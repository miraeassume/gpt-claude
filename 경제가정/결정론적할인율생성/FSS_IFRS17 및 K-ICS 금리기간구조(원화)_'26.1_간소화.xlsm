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MALIFE\Desktop\work\gpt-claude\경제가정\결정론적할인율생성\"/>
    </mc:Choice>
  </mc:AlternateContent>
  <bookViews>
    <workbookView xWindow="28680" yWindow="-120" windowWidth="29040" windowHeight="15840"/>
  </bookViews>
  <sheets>
    <sheet name="원화 무위험 금리기간구조" sheetId="3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3" l="1"/>
  <c r="K8" i="3" l="1" a="1"/>
  <c r="K8" i="3" l="1"/>
  <c r="K10" i="3"/>
  <c r="K16" i="3"/>
  <c r="K23" i="3"/>
  <c r="K24" i="3"/>
  <c r="K11" i="3"/>
  <c r="K19" i="3"/>
  <c r="K15" i="3"/>
  <c r="K12" i="3"/>
  <c r="K9" i="3"/>
  <c r="K18" i="3"/>
  <c r="K14" i="3"/>
  <c r="K13" i="3"/>
  <c r="K22" i="3"/>
  <c r="K17" i="3"/>
  <c r="K20" i="3"/>
  <c r="K21" i="3"/>
  <c r="U4" i="3"/>
  <c r="L8" i="3" l="1"/>
  <c r="L21" i="3"/>
  <c r="L24" i="3"/>
  <c r="L20" i="3"/>
  <c r="L23" i="3"/>
  <c r="L17" i="3"/>
  <c r="L16" i="3"/>
  <c r="L22" i="3"/>
  <c r="L10" i="3"/>
  <c r="L13" i="3"/>
  <c r="L14" i="3"/>
  <c r="L18" i="3"/>
  <c r="L9" i="3"/>
  <c r="L12" i="3"/>
  <c r="L15" i="3"/>
  <c r="L19" i="3"/>
  <c r="L11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4" i="3"/>
  <c r="F8" i="3" a="1"/>
  <c r="U9" i="3"/>
  <c r="F15" i="3" l="1"/>
  <c r="F10" i="3"/>
  <c r="F20" i="3"/>
  <c r="F23" i="3"/>
  <c r="F8" i="3"/>
  <c r="F14" i="3"/>
  <c r="F17" i="3"/>
  <c r="F18" i="3"/>
  <c r="F13" i="3"/>
  <c r="F11" i="3"/>
  <c r="F19" i="3"/>
  <c r="F12" i="3"/>
  <c r="F22" i="3"/>
  <c r="F16" i="3"/>
  <c r="F9" i="3"/>
  <c r="F21" i="3"/>
  <c r="G8" i="3" l="1"/>
  <c r="G9" i="3"/>
  <c r="G17" i="3"/>
  <c r="G21" i="3"/>
  <c r="G18" i="3"/>
  <c r="G22" i="3"/>
  <c r="G16" i="3"/>
  <c r="G14" i="3"/>
  <c r="G12" i="3"/>
  <c r="G23" i="3"/>
  <c r="G19" i="3"/>
  <c r="G20" i="3"/>
  <c r="G11" i="3"/>
  <c r="G10" i="3"/>
  <c r="G13" i="3"/>
  <c r="G15" i="3"/>
  <c r="U13" i="3" a="1"/>
  <c r="U623" i="3" l="1"/>
  <c r="U412" i="3"/>
  <c r="U273" i="3"/>
  <c r="U256" i="3"/>
  <c r="U223" i="3"/>
  <c r="U171" i="3"/>
  <c r="U726" i="3"/>
  <c r="U388" i="3"/>
  <c r="U632" i="3"/>
  <c r="U815" i="3"/>
  <c r="U1184" i="3"/>
  <c r="U68" i="3"/>
  <c r="U25" i="3"/>
  <c r="U827" i="3"/>
  <c r="U51" i="3"/>
  <c r="U164" i="3"/>
  <c r="U196" i="3"/>
  <c r="U380" i="3"/>
  <c r="U521" i="3"/>
  <c r="U1044" i="3"/>
  <c r="U339" i="3"/>
  <c r="U476" i="3"/>
  <c r="U524" i="3"/>
  <c r="U660" i="3"/>
  <c r="U305" i="3"/>
  <c r="U510" i="3"/>
  <c r="U589" i="3"/>
  <c r="U578" i="3"/>
  <c r="U1156" i="3"/>
  <c r="U153" i="3"/>
  <c r="U1204" i="3"/>
  <c r="U641" i="3"/>
  <c r="U655" i="3"/>
  <c r="U687" i="3"/>
  <c r="U104" i="3"/>
  <c r="U669" i="3"/>
  <c r="U108" i="3"/>
  <c r="U281" i="3"/>
  <c r="U517" i="3"/>
  <c r="U590" i="3"/>
  <c r="U1179" i="3"/>
  <c r="U430" i="3"/>
  <c r="U993" i="3"/>
  <c r="U419" i="3"/>
  <c r="U320" i="3"/>
  <c r="U308" i="3"/>
  <c r="U657" i="3"/>
  <c r="U219" i="3"/>
  <c r="U978" i="3"/>
  <c r="U40" i="3"/>
  <c r="U239" i="3"/>
  <c r="U604" i="3"/>
  <c r="U283" i="3"/>
  <c r="U307" i="3"/>
  <c r="U403" i="3"/>
  <c r="U1213" i="3"/>
  <c r="U1079" i="3"/>
  <c r="U47" i="3"/>
  <c r="U451" i="3"/>
  <c r="U483" i="3"/>
  <c r="U579" i="3"/>
  <c r="U586" i="3"/>
  <c r="U133" i="3"/>
  <c r="U359" i="3"/>
  <c r="U595" i="3"/>
  <c r="U659" i="3"/>
  <c r="U212" i="3"/>
  <c r="U501" i="3"/>
  <c r="U1168" i="3"/>
  <c r="U1192" i="3"/>
  <c r="U136" i="3"/>
  <c r="U929" i="3"/>
  <c r="U755" i="3"/>
  <c r="U984" i="3"/>
  <c r="U64" i="3"/>
  <c r="U914" i="3"/>
  <c r="U970" i="3"/>
  <c r="U82" i="3"/>
  <c r="U402" i="3"/>
  <c r="U209" i="3"/>
  <c r="U428" i="3"/>
  <c r="U279" i="3"/>
  <c r="U386" i="3"/>
  <c r="U853" i="3"/>
  <c r="U33" i="3"/>
  <c r="U481" i="3"/>
  <c r="U443" i="3"/>
  <c r="U790" i="3"/>
  <c r="U13" i="3"/>
  <c r="U269" i="3"/>
  <c r="U262" i="3"/>
  <c r="U1214" i="3"/>
  <c r="U539" i="3"/>
  <c r="U318" i="3"/>
  <c r="U446" i="3"/>
  <c r="U686" i="3"/>
  <c r="U661" i="3"/>
  <c r="U1138" i="3"/>
  <c r="U635" i="3"/>
  <c r="U711" i="3"/>
  <c r="U753" i="3"/>
  <c r="U540" i="3"/>
  <c r="U31" i="3"/>
  <c r="U110" i="3"/>
  <c r="U355" i="3"/>
  <c r="U746" i="3"/>
  <c r="U849" i="3"/>
  <c r="U174" i="3"/>
  <c r="U904" i="3"/>
  <c r="U66" i="3"/>
  <c r="U1171" i="3"/>
  <c r="U1195" i="3"/>
  <c r="U142" i="3"/>
  <c r="U580" i="3"/>
  <c r="U569" i="3"/>
  <c r="U676" i="3"/>
  <c r="U75" i="3"/>
  <c r="U127" i="3"/>
  <c r="U607" i="3"/>
  <c r="U734" i="3"/>
  <c r="U953" i="3"/>
  <c r="U71" i="3"/>
  <c r="U1068" i="3"/>
  <c r="U1092" i="3"/>
  <c r="U1148" i="3"/>
  <c r="U28" i="3"/>
  <c r="U646" i="3"/>
  <c r="U175" i="3"/>
  <c r="U1164" i="3"/>
  <c r="U1188" i="3"/>
  <c r="U122" i="3"/>
  <c r="U644" i="3"/>
  <c r="U1116" i="3"/>
  <c r="U471" i="3"/>
  <c r="U173" i="3"/>
  <c r="U250" i="3"/>
  <c r="U224" i="3"/>
  <c r="U114" i="3"/>
  <c r="U312" i="3"/>
  <c r="U117" i="3"/>
  <c r="U351" i="3"/>
  <c r="U741" i="3"/>
  <c r="U1183" i="3"/>
  <c r="U843" i="3"/>
  <c r="U272" i="3"/>
  <c r="U956" i="3"/>
  <c r="U983" i="3"/>
  <c r="U440" i="3"/>
  <c r="U335" i="3"/>
  <c r="U123" i="3"/>
  <c r="U882" i="3"/>
  <c r="U227" i="3"/>
  <c r="U275" i="3"/>
  <c r="U639" i="3"/>
  <c r="U396" i="3"/>
  <c r="U363" i="3"/>
  <c r="U829" i="3"/>
  <c r="U856" i="3"/>
  <c r="U304" i="3"/>
  <c r="U218" i="3"/>
  <c r="U266" i="3"/>
  <c r="U459" i="3"/>
  <c r="U939" i="3"/>
  <c r="U966" i="3"/>
  <c r="U648" i="3"/>
  <c r="U807" i="3"/>
  <c r="U1174" i="3"/>
  <c r="U651" i="3"/>
  <c r="U1046" i="3"/>
  <c r="U1070" i="3"/>
  <c r="U1026" i="3"/>
  <c r="U845" i="3"/>
  <c r="U498" i="3"/>
  <c r="U1108" i="3"/>
  <c r="U257" i="3"/>
  <c r="U463" i="3"/>
  <c r="U495" i="3"/>
  <c r="U599" i="3"/>
  <c r="U689" i="3"/>
  <c r="U857" i="3"/>
  <c r="U885" i="3"/>
  <c r="U466" i="3"/>
  <c r="U1132" i="3"/>
  <c r="U268" i="3"/>
  <c r="U1053" i="3"/>
  <c r="U871" i="3"/>
  <c r="U1101" i="3"/>
  <c r="U645" i="3"/>
  <c r="U514" i="3"/>
  <c r="U383" i="3"/>
  <c r="U1027" i="3"/>
  <c r="U658" i="3"/>
  <c r="U92" i="3"/>
  <c r="U169" i="3"/>
  <c r="U492" i="3"/>
  <c r="U449" i="3"/>
  <c r="U131" i="3"/>
  <c r="U194" i="3"/>
  <c r="U732" i="3"/>
  <c r="U594" i="3"/>
  <c r="U782" i="3"/>
  <c r="U65" i="3"/>
  <c r="U588" i="3"/>
  <c r="U473" i="3"/>
  <c r="U739" i="3"/>
  <c r="U771" i="3"/>
  <c r="U526" i="3"/>
  <c r="U865" i="3"/>
  <c r="U684" i="3"/>
  <c r="U665" i="3"/>
  <c r="U859" i="3"/>
  <c r="U886" i="3"/>
  <c r="U863" i="3"/>
  <c r="U1030" i="3"/>
  <c r="U20" i="3"/>
  <c r="U774" i="3"/>
  <c r="U968" i="3"/>
  <c r="U996" i="3"/>
  <c r="U527" i="3"/>
  <c r="U820" i="3"/>
  <c r="U554" i="3"/>
  <c r="U875" i="3"/>
  <c r="U647" i="3"/>
  <c r="U754" i="3"/>
  <c r="U802" i="3"/>
  <c r="U15" i="3"/>
  <c r="U76" i="3"/>
  <c r="U518" i="3"/>
  <c r="U572" i="3"/>
  <c r="U1165" i="3"/>
  <c r="U389" i="3"/>
  <c r="U323" i="3"/>
  <c r="U958" i="3"/>
  <c r="U533" i="3"/>
  <c r="U1013" i="3"/>
  <c r="U460" i="3"/>
  <c r="U509" i="3"/>
  <c r="U1124" i="3"/>
  <c r="U52" i="3"/>
  <c r="U697" i="3"/>
  <c r="U543" i="3"/>
  <c r="U282" i="3"/>
  <c r="U132" i="3"/>
  <c r="U159" i="3"/>
  <c r="U938" i="3"/>
  <c r="U23" i="3"/>
  <c r="U511" i="3"/>
  <c r="U255" i="3"/>
  <c r="U1060" i="3"/>
  <c r="U263" i="3"/>
  <c r="U236" i="3"/>
  <c r="U319" i="3"/>
  <c r="U907" i="3"/>
  <c r="U376" i="3"/>
  <c r="U921" i="3"/>
  <c r="U841" i="3"/>
  <c r="U332" i="3"/>
  <c r="U415" i="3"/>
  <c r="U61" i="3"/>
  <c r="U528" i="3"/>
  <c r="U1103" i="3"/>
  <c r="U997" i="3"/>
  <c r="U252" i="3"/>
  <c r="U100" i="3"/>
  <c r="U1198" i="3"/>
  <c r="U688" i="3"/>
  <c r="U609" i="3"/>
  <c r="U728" i="3"/>
  <c r="U1173" i="3"/>
  <c r="U792" i="3"/>
  <c r="U962" i="3"/>
  <c r="U1075" i="3"/>
  <c r="U1099" i="3"/>
  <c r="U151" i="3"/>
  <c r="U631" i="3"/>
  <c r="U1210" i="3"/>
  <c r="U675" i="3"/>
  <c r="U134" i="3"/>
  <c r="U897" i="3"/>
  <c r="U62" i="3"/>
  <c r="U729" i="3"/>
  <c r="U254" i="3"/>
  <c r="U793" i="3"/>
  <c r="U544" i="3"/>
  <c r="U321" i="3"/>
  <c r="U1128" i="3"/>
  <c r="U884" i="3"/>
  <c r="U719" i="3"/>
  <c r="U59" i="3"/>
  <c r="U625" i="3"/>
  <c r="U348" i="3"/>
  <c r="U640" i="3"/>
  <c r="U124" i="3"/>
  <c r="U35" i="3"/>
  <c r="U99" i="3"/>
  <c r="U243" i="3"/>
  <c r="U300" i="3"/>
  <c r="U251" i="3"/>
  <c r="U423" i="3"/>
  <c r="U587" i="3"/>
  <c r="U295" i="3"/>
  <c r="U546" i="3"/>
  <c r="U961" i="3"/>
  <c r="U479" i="3"/>
  <c r="U519" i="3"/>
  <c r="U145" i="3"/>
  <c r="U487" i="3"/>
  <c r="U233" i="3"/>
  <c r="U1074" i="3"/>
  <c r="U144" i="3"/>
  <c r="U32" i="3"/>
  <c r="U730" i="3"/>
  <c r="U679" i="3"/>
  <c r="U489" i="3"/>
  <c r="U39" i="3"/>
  <c r="U833" i="3"/>
  <c r="U1087" i="3"/>
  <c r="U1162" i="3"/>
  <c r="U176" i="3"/>
  <c r="U846" i="3"/>
  <c r="U873" i="3"/>
  <c r="U512" i="3"/>
  <c r="U105" i="3"/>
  <c r="U664" i="3"/>
  <c r="U775" i="3"/>
  <c r="U532" i="3"/>
  <c r="U778" i="3"/>
  <c r="U536" i="3"/>
  <c r="U1086" i="3"/>
  <c r="U1088" i="3"/>
  <c r="U621" i="3"/>
  <c r="U656" i="3"/>
  <c r="U892" i="3"/>
  <c r="U119" i="3"/>
  <c r="U770" i="3"/>
  <c r="U152" i="3"/>
  <c r="U210" i="3"/>
  <c r="U617" i="3"/>
  <c r="U148" i="3"/>
  <c r="U228" i="3"/>
  <c r="U450" i="3"/>
  <c r="U401" i="3"/>
  <c r="U1163" i="3"/>
  <c r="U545" i="3"/>
  <c r="U626" i="3"/>
  <c r="U667" i="3"/>
  <c r="U1083" i="3"/>
  <c r="U593" i="3"/>
  <c r="U170" i="3"/>
  <c r="U794" i="3"/>
  <c r="U787" i="3"/>
  <c r="U577" i="3"/>
  <c r="U221" i="3"/>
  <c r="U834" i="3"/>
  <c r="U477" i="3"/>
  <c r="U946" i="3"/>
  <c r="U900" i="3"/>
  <c r="U531" i="3"/>
  <c r="U271" i="3"/>
  <c r="U303" i="3"/>
  <c r="U407" i="3"/>
  <c r="U497" i="3"/>
  <c r="U737" i="3"/>
  <c r="U769" i="3"/>
  <c r="U185" i="3"/>
  <c r="U149" i="3"/>
  <c r="U425" i="3"/>
  <c r="U301" i="3"/>
  <c r="U764" i="3"/>
  <c r="U855" i="3"/>
  <c r="U292" i="3"/>
  <c r="U107" i="3"/>
  <c r="U163" i="3"/>
  <c r="U259" i="3"/>
  <c r="U112" i="3"/>
  <c r="U1209" i="3"/>
  <c r="U738" i="3"/>
  <c r="U596" i="3"/>
  <c r="U468" i="3"/>
  <c r="U147" i="3"/>
  <c r="U404" i="3"/>
  <c r="U866" i="3"/>
  <c r="U615" i="3"/>
  <c r="U555" i="3"/>
  <c r="U515" i="3"/>
  <c r="U1063" i="3"/>
  <c r="U745" i="3"/>
  <c r="U1111" i="3"/>
  <c r="U707" i="3"/>
  <c r="U1145" i="3"/>
  <c r="U611" i="3"/>
  <c r="U1159" i="3"/>
  <c r="U864" i="3"/>
  <c r="U29" i="3"/>
  <c r="U923" i="3"/>
  <c r="U1050" i="3"/>
  <c r="U225" i="3"/>
  <c r="U182" i="3"/>
  <c r="U974" i="3"/>
  <c r="U334" i="3"/>
  <c r="U465" i="3"/>
  <c r="U972" i="3"/>
  <c r="U999" i="3"/>
  <c r="U55" i="3"/>
  <c r="U439" i="3"/>
  <c r="U342" i="3"/>
  <c r="U499" i="3"/>
  <c r="U842" i="3"/>
  <c r="U959" i="3"/>
  <c r="U485" i="3"/>
  <c r="U955" i="3"/>
  <c r="U990" i="3"/>
  <c r="U1091" i="3"/>
  <c r="U1187" i="3"/>
  <c r="U963" i="3"/>
  <c r="U26" i="3"/>
  <c r="U313" i="3"/>
  <c r="U704" i="3"/>
  <c r="U671" i="3"/>
  <c r="U529" i="3"/>
  <c r="U1081" i="3"/>
  <c r="U1025" i="3"/>
  <c r="U205" i="3"/>
  <c r="U1104" i="3"/>
  <c r="U1201" i="3"/>
  <c r="U462" i="3"/>
  <c r="U260" i="3"/>
  <c r="U760" i="3"/>
  <c r="U158" i="3"/>
  <c r="U1206" i="3"/>
  <c r="U390" i="3"/>
  <c r="U556" i="3"/>
  <c r="U1095" i="3"/>
  <c r="U706" i="3"/>
  <c r="U826" i="3"/>
  <c r="U751" i="3"/>
  <c r="U906" i="3"/>
  <c r="U573" i="3"/>
  <c r="U410" i="3"/>
  <c r="U414" i="3"/>
  <c r="U474" i="3"/>
  <c r="U345" i="3"/>
  <c r="U207" i="3"/>
  <c r="U801" i="3"/>
  <c r="U896" i="3"/>
  <c r="U776" i="3"/>
  <c r="U294" i="3"/>
  <c r="U280" i="3"/>
  <c r="U976" i="3"/>
  <c r="U1177" i="3"/>
  <c r="U883" i="3"/>
  <c r="U700" i="3"/>
  <c r="U432" i="3"/>
  <c r="U1143" i="3"/>
  <c r="U1058" i="3"/>
  <c r="U948" i="3"/>
  <c r="U472" i="3"/>
  <c r="U508" i="3"/>
  <c r="U973" i="3"/>
  <c r="U713" i="3"/>
  <c r="U433" i="3"/>
  <c r="U286" i="3"/>
  <c r="U575" i="3"/>
  <c r="U989" i="3"/>
  <c r="U562" i="3"/>
  <c r="U287" i="3"/>
  <c r="U1105" i="3"/>
  <c r="U1150" i="3"/>
  <c r="U44" i="3"/>
  <c r="U908" i="3"/>
  <c r="U264" i="3"/>
  <c r="U930" i="3"/>
  <c r="U681" i="3"/>
  <c r="U783" i="3"/>
  <c r="U668" i="3"/>
  <c r="U1133" i="3"/>
  <c r="U767" i="3"/>
  <c r="U1047" i="3"/>
  <c r="U786" i="3"/>
  <c r="U798" i="3"/>
  <c r="U913" i="3"/>
  <c r="U824" i="3"/>
  <c r="U549" i="3"/>
  <c r="U156" i="3"/>
  <c r="U565" i="3"/>
  <c r="U759" i="3"/>
  <c r="U876" i="3"/>
  <c r="U418" i="3"/>
  <c r="U1014" i="3"/>
  <c r="U140" i="3"/>
  <c r="U1169" i="3"/>
  <c r="U705" i="3"/>
  <c r="U1126" i="3"/>
  <c r="U559" i="3"/>
  <c r="U1208" i="3"/>
  <c r="U888" i="3"/>
  <c r="U72" i="3"/>
  <c r="U788" i="3"/>
  <c r="U469" i="3"/>
  <c r="U431" i="3"/>
  <c r="U441" i="3"/>
  <c r="U43" i="3"/>
  <c r="U1205" i="3"/>
  <c r="U1193" i="3"/>
  <c r="U328" i="3"/>
  <c r="U943" i="3"/>
  <c r="U610" i="3"/>
  <c r="U1032" i="3"/>
  <c r="U810" i="3"/>
  <c r="U486" i="3"/>
  <c r="U329" i="3"/>
  <c r="U293" i="3"/>
  <c r="U574" i="3"/>
  <c r="U602" i="3"/>
  <c r="U727" i="3"/>
  <c r="U601" i="3"/>
  <c r="U795" i="3"/>
  <c r="U1131" i="3"/>
  <c r="U817" i="3"/>
  <c r="U848" i="3"/>
  <c r="U825" i="3"/>
  <c r="U805" i="3"/>
  <c r="U808" i="3"/>
  <c r="U919" i="3"/>
  <c r="U490" i="3"/>
  <c r="U944" i="3"/>
  <c r="U731" i="3"/>
  <c r="U45" i="3"/>
  <c r="U1054" i="3"/>
  <c r="U478" i="3"/>
  <c r="U735" i="3"/>
  <c r="U1152" i="3"/>
  <c r="U493" i="3"/>
  <c r="U712" i="3"/>
  <c r="U115" i="3"/>
  <c r="U654" i="3"/>
  <c r="U1134" i="3"/>
  <c r="U278" i="3"/>
  <c r="U1035" i="3"/>
  <c r="U211" i="3"/>
  <c r="U240" i="3"/>
  <c r="U455" i="3"/>
  <c r="U324" i="3"/>
  <c r="U1140" i="3"/>
  <c r="U464" i="3"/>
  <c r="U542" i="3"/>
  <c r="U21" i="3"/>
  <c r="U162" i="3"/>
  <c r="U1107" i="3"/>
  <c r="U277" i="3"/>
  <c r="U694" i="3"/>
  <c r="U1001" i="3"/>
  <c r="U839" i="3"/>
  <c r="U523" i="3"/>
  <c r="U1078" i="3"/>
  <c r="U1167" i="3"/>
  <c r="U58" i="3"/>
  <c r="U971" i="3"/>
  <c r="U570" i="3"/>
  <c r="U740" i="3"/>
  <c r="U448" i="3"/>
  <c r="U1197" i="3"/>
  <c r="U253" i="3"/>
  <c r="U558" i="3"/>
  <c r="U213" i="3"/>
  <c r="U1158" i="3"/>
  <c r="U327" i="3"/>
  <c r="U87" i="3"/>
  <c r="U37" i="3"/>
  <c r="U1203" i="3"/>
  <c r="U613" i="3"/>
  <c r="U1000" i="3"/>
  <c r="U743" i="3"/>
  <c r="U350" i="3"/>
  <c r="U399" i="3"/>
  <c r="U980" i="3"/>
  <c r="U56" i="3"/>
  <c r="U995" i="3"/>
  <c r="U799" i="3"/>
  <c r="U408" i="3"/>
  <c r="U870" i="3"/>
  <c r="U248" i="3"/>
  <c r="U73" i="3"/>
  <c r="U662" i="3"/>
  <c r="U265" i="3"/>
  <c r="U874" i="3"/>
  <c r="U1207" i="3"/>
  <c r="U828" i="3"/>
  <c r="U649" i="3"/>
  <c r="U915" i="3"/>
  <c r="U816" i="3"/>
  <c r="U63" i="3"/>
  <c r="U937" i="3"/>
  <c r="U397" i="3"/>
  <c r="U1185" i="3"/>
  <c r="U936" i="3"/>
  <c r="U120" i="3"/>
  <c r="U1141" i="3"/>
  <c r="U862" i="3"/>
  <c r="U1102" i="3"/>
  <c r="U1037" i="3"/>
  <c r="U296" i="3"/>
  <c r="U74" i="3"/>
  <c r="U744" i="3"/>
  <c r="U934" i="3"/>
  <c r="U1190" i="3"/>
  <c r="U860" i="3"/>
  <c r="U942" i="3"/>
  <c r="U591" i="3"/>
  <c r="U130" i="3"/>
  <c r="U619" i="3"/>
  <c r="U1069" i="3"/>
  <c r="U19" i="3"/>
  <c r="U1034" i="3"/>
  <c r="U748" i="3"/>
  <c r="U1172" i="3"/>
  <c r="U887" i="3"/>
  <c r="U630" i="3"/>
  <c r="U1157" i="3"/>
  <c r="U927" i="3"/>
  <c r="U302" i="3"/>
  <c r="U1073" i="3"/>
  <c r="U879" i="3"/>
  <c r="U534" i="3"/>
  <c r="U30" i="3"/>
  <c r="U716" i="3"/>
  <c r="U551" i="3"/>
  <c r="U347" i="3"/>
  <c r="U400" i="3"/>
  <c r="U998" i="3"/>
  <c r="U552" i="3"/>
  <c r="U757" i="3"/>
  <c r="U98" i="3"/>
  <c r="U1199" i="3"/>
  <c r="U1016" i="3"/>
  <c r="U206" i="3"/>
  <c r="U1049" i="3"/>
  <c r="U372" i="3"/>
  <c r="U375" i="3"/>
  <c r="U905" i="3"/>
  <c r="U1015" i="3"/>
  <c r="U1113" i="3"/>
  <c r="U488" i="3"/>
  <c r="U1045" i="3"/>
  <c r="U17" i="3"/>
  <c r="U193" i="3"/>
  <c r="U247" i="3"/>
  <c r="U234" i="3"/>
  <c r="U568" i="3"/>
  <c r="U1028" i="3"/>
  <c r="U566" i="3"/>
  <c r="U832" i="3"/>
  <c r="U437" i="3"/>
  <c r="U1098" i="3"/>
  <c r="U155" i="3"/>
  <c r="U818" i="3"/>
  <c r="U988" i="3"/>
  <c r="U1004" i="3"/>
  <c r="U1082" i="3"/>
  <c r="U81" i="3"/>
  <c r="U703" i="3"/>
  <c r="U137" i="3"/>
  <c r="U442" i="3"/>
  <c r="U34" i="3"/>
  <c r="U197" i="3"/>
  <c r="U721" i="3"/>
  <c r="U1022" i="3"/>
  <c r="U42" i="3"/>
  <c r="U1176" i="3"/>
  <c r="U502" i="3"/>
  <c r="U981" i="3"/>
  <c r="U1175" i="3"/>
  <c r="U909" i="3"/>
  <c r="U1033" i="3"/>
  <c r="U733" i="3"/>
  <c r="U1076" i="3"/>
  <c r="U438" i="3"/>
  <c r="U326" i="3"/>
  <c r="U773" i="3"/>
  <c r="U854" i="3"/>
  <c r="U198" i="3"/>
  <c r="U813" i="3"/>
  <c r="U1011" i="3"/>
  <c r="U1109" i="3"/>
  <c r="U643" i="3"/>
  <c r="U530" i="3"/>
  <c r="U692" i="3"/>
  <c r="U125" i="3"/>
  <c r="U789" i="3"/>
  <c r="U878" i="3"/>
  <c r="U1127" i="3"/>
  <c r="U917" i="3"/>
  <c r="U330" i="3"/>
  <c r="U237" i="3"/>
  <c r="U420" i="3"/>
  <c r="U1023" i="3"/>
  <c r="U24" i="3"/>
  <c r="U612" i="3"/>
  <c r="U894" i="3"/>
  <c r="U606" i="3"/>
  <c r="U48" i="3"/>
  <c r="U1139" i="3"/>
  <c r="U457" i="3"/>
  <c r="U672" i="3"/>
  <c r="U276" i="3"/>
  <c r="U837" i="3"/>
  <c r="U67" i="3"/>
  <c r="U49" i="3"/>
  <c r="U785" i="3"/>
  <c r="U445" i="3"/>
  <c r="U1080" i="3"/>
  <c r="U1072" i="3"/>
  <c r="U1066" i="3"/>
  <c r="U608" i="3"/>
  <c r="U636" i="3"/>
  <c r="U1003" i="3"/>
  <c r="U346" i="3"/>
  <c r="U603" i="3"/>
  <c r="U1094" i="3"/>
  <c r="U165" i="3"/>
  <c r="U663" i="3"/>
  <c r="U525" i="3"/>
  <c r="U951" i="3"/>
  <c r="U620" i="3"/>
  <c r="U991" i="3"/>
  <c r="U1161" i="3"/>
  <c r="U809" i="3"/>
  <c r="U683" i="3"/>
  <c r="U877" i="3"/>
  <c r="U1170" i="3"/>
  <c r="U60" i="3"/>
  <c r="U89" i="3"/>
  <c r="U584" i="3"/>
  <c r="U235" i="3"/>
  <c r="U724" i="3"/>
  <c r="U447" i="3"/>
  <c r="U949" i="3"/>
  <c r="U215" i="3"/>
  <c r="U200" i="3"/>
  <c r="U1118" i="3"/>
  <c r="U467" i="3"/>
  <c r="U338" i="3"/>
  <c r="U113" i="3"/>
  <c r="U945" i="3"/>
  <c r="U177" i="3"/>
  <c r="U614" i="3"/>
  <c r="U652" i="3"/>
  <c r="U1211" i="3"/>
  <c r="U429" i="3"/>
  <c r="U146" i="3"/>
  <c r="U1040" i="3"/>
  <c r="U83" i="3"/>
  <c r="U844" i="3"/>
  <c r="U1100" i="3"/>
  <c r="U695" i="3"/>
  <c r="U1212" i="3"/>
  <c r="U128" i="3"/>
  <c r="U987" i="3"/>
  <c r="U814" i="3"/>
  <c r="U421" i="3"/>
  <c r="U699" i="3"/>
  <c r="U27" i="3"/>
  <c r="U95" i="3"/>
  <c r="U1097" i="3"/>
  <c r="U1122" i="3"/>
  <c r="U583" i="3"/>
  <c r="U315" i="3"/>
  <c r="U184" i="3"/>
  <c r="U238" i="3"/>
  <c r="U367" i="3"/>
  <c r="U563" i="3"/>
  <c r="U411" i="3"/>
  <c r="U336" i="3"/>
  <c r="U1186" i="3"/>
  <c r="U384" i="3"/>
  <c r="U118" i="3"/>
  <c r="U954" i="3"/>
  <c r="U343" i="3"/>
  <c r="U1135" i="3"/>
  <c r="U38" i="3"/>
  <c r="U178" i="3"/>
  <c r="U628" i="3"/>
  <c r="U141" i="3"/>
  <c r="U677" i="3"/>
  <c r="U186" i="3"/>
  <c r="U847" i="3"/>
  <c r="U1031" i="3"/>
  <c r="U1181" i="3"/>
  <c r="U356" i="3"/>
  <c r="U701" i="3"/>
  <c r="U368" i="3"/>
  <c r="U111" i="3"/>
  <c r="U819" i="3"/>
  <c r="U454" i="3"/>
  <c r="U901" i="3"/>
  <c r="U1182" i="3"/>
  <c r="U627" i="3"/>
  <c r="U436" i="3"/>
  <c r="U564" i="3"/>
  <c r="U231" i="3"/>
  <c r="U561" i="3"/>
  <c r="U1038" i="3"/>
  <c r="U470" i="3"/>
  <c r="U427" i="3"/>
  <c r="U274" i="3"/>
  <c r="U422" i="3"/>
  <c r="U150" i="3"/>
  <c r="U85" i="3"/>
  <c r="U288" i="3"/>
  <c r="U922" i="3"/>
  <c r="U653" i="3"/>
  <c r="U1002" i="3"/>
  <c r="U1093" i="3"/>
  <c r="U361" i="3"/>
  <c r="U409" i="3"/>
  <c r="U893" i="3"/>
  <c r="U505" i="3"/>
  <c r="U53" i="3"/>
  <c r="U1071" i="3"/>
  <c r="U597" i="3"/>
  <c r="U1142" i="3"/>
  <c r="U1153" i="3"/>
  <c r="U424" i="3"/>
  <c r="U270" i="3"/>
  <c r="U691" i="3"/>
  <c r="U358" i="3"/>
  <c r="U96" i="3"/>
  <c r="U520" i="3"/>
  <c r="U581" i="3"/>
  <c r="U698" i="3"/>
  <c r="U940" i="3"/>
  <c r="U97" i="3"/>
  <c r="U616" i="3"/>
  <c r="U765" i="3"/>
  <c r="U1010" i="3"/>
  <c r="U310" i="3"/>
  <c r="U553" i="3"/>
  <c r="U417" i="3"/>
  <c r="U881" i="3"/>
  <c r="U166" i="3"/>
  <c r="U932" i="3"/>
  <c r="U298" i="3"/>
  <c r="U567" i="3"/>
  <c r="U14" i="3"/>
  <c r="V13" i="3" s="1"/>
  <c r="Y13" i="3" s="1"/>
  <c r="U720" i="3"/>
  <c r="U585" i="3"/>
  <c r="U202" i="3"/>
  <c r="U918" i="3"/>
  <c r="U366" i="3"/>
  <c r="U803" i="3"/>
  <c r="U241" i="3"/>
  <c r="U1160" i="3"/>
  <c r="U179" i="3"/>
  <c r="U291" i="3"/>
  <c r="U812" i="3"/>
  <c r="U910" i="3"/>
  <c r="U969" i="3"/>
  <c r="U90" i="3"/>
  <c r="U920" i="3"/>
  <c r="U957" i="3"/>
  <c r="U1012" i="3"/>
  <c r="U217" i="3"/>
  <c r="U352" i="3"/>
  <c r="U373" i="3"/>
  <c r="U666" i="3"/>
  <c r="U284" i="3"/>
  <c r="U756" i="3"/>
  <c r="U1166" i="3"/>
  <c r="U387" i="3"/>
  <c r="U1067" i="3"/>
  <c r="U325" i="3"/>
  <c r="U985" i="3"/>
  <c r="U1024" i="3"/>
  <c r="U538" i="3"/>
  <c r="U947" i="3"/>
  <c r="U230" i="3"/>
  <c r="U916" i="3"/>
  <c r="U1120" i="3"/>
  <c r="U1117" i="3"/>
  <c r="U967" i="3"/>
  <c r="U157" i="3"/>
  <c r="U685" i="3"/>
  <c r="U618" i="3"/>
  <c r="U102" i="3"/>
  <c r="U516" i="3"/>
  <c r="U379" i="3"/>
  <c r="U811" i="3"/>
  <c r="U1007" i="3"/>
  <c r="U344" i="3"/>
  <c r="U1191" i="3"/>
  <c r="U838" i="3"/>
  <c r="U714" i="3"/>
  <c r="U192" i="3"/>
  <c r="U435" i="3"/>
  <c r="U285" i="3"/>
  <c r="U1021" i="3"/>
  <c r="U57" i="3"/>
  <c r="U289" i="3"/>
  <c r="U762" i="3"/>
  <c r="U1096" i="3"/>
  <c r="U382" i="3"/>
  <c r="U245" i="3"/>
  <c r="U702" i="3"/>
  <c r="U858" i="3"/>
  <c r="U135" i="3"/>
  <c r="U780" i="3"/>
  <c r="U1051" i="3"/>
  <c r="U208" i="3"/>
  <c r="U548" i="3"/>
  <c r="U1112" i="3"/>
  <c r="U93" i="3"/>
  <c r="U160" i="3"/>
  <c r="U187" i="3"/>
  <c r="U941" i="3"/>
  <c r="U46" i="3"/>
  <c r="U822" i="3"/>
  <c r="U453" i="3"/>
  <c r="U201" i="3"/>
  <c r="U1061" i="3"/>
  <c r="U69" i="3"/>
  <c r="U77" i="3"/>
  <c r="U126" i="3"/>
  <c r="U1009" i="3"/>
  <c r="U317" i="3"/>
  <c r="U106" i="3"/>
  <c r="U129" i="3"/>
  <c r="U70" i="3"/>
  <c r="U337" i="3"/>
  <c r="U1149" i="3"/>
  <c r="U872" i="3"/>
  <c r="U722" i="3"/>
  <c r="U1042" i="3"/>
  <c r="U306" i="3"/>
  <c r="U758" i="3"/>
  <c r="U138" i="3"/>
  <c r="U398" i="3"/>
  <c r="U992" i="3"/>
  <c r="U491" i="3"/>
  <c r="U678" i="3"/>
  <c r="U222" i="3"/>
  <c r="U503" i="3"/>
  <c r="U986" i="3"/>
  <c r="U353" i="3"/>
  <c r="U309" i="3"/>
  <c r="U1062" i="3"/>
  <c r="U911" i="3"/>
  <c r="U322" i="3"/>
  <c r="U506" i="3"/>
  <c r="U1144" i="3"/>
  <c r="U571" i="3"/>
  <c r="U203" i="3"/>
  <c r="U1059" i="3"/>
  <c r="U851" i="3"/>
  <c r="U261" i="3"/>
  <c r="U836" i="3"/>
  <c r="U605" i="3"/>
  <c r="U333" i="3"/>
  <c r="U154" i="3"/>
  <c r="U982" i="3"/>
  <c r="U494" i="3"/>
  <c r="U642" i="3"/>
  <c r="U172" i="3"/>
  <c r="U314" i="3"/>
  <c r="U1017" i="3"/>
  <c r="U1194" i="3"/>
  <c r="U800" i="3"/>
  <c r="U902" i="3"/>
  <c r="U1090" i="3"/>
  <c r="U777" i="3"/>
  <c r="U369" i="3"/>
  <c r="U50" i="3"/>
  <c r="U823" i="3"/>
  <c r="U950" i="3"/>
  <c r="U830" i="3"/>
  <c r="U690" i="3"/>
  <c r="U480" i="3"/>
  <c r="U804" i="3"/>
  <c r="U461" i="3"/>
  <c r="U392" i="3"/>
  <c r="U682" i="3"/>
  <c r="U1029" i="3"/>
  <c r="U456" i="3"/>
  <c r="U541" i="3"/>
  <c r="U880" i="3"/>
  <c r="U374" i="3"/>
  <c r="U1018" i="3"/>
  <c r="U482" i="3"/>
  <c r="U550" i="3"/>
  <c r="U903" i="3"/>
  <c r="U216" i="3"/>
  <c r="U709" i="3"/>
  <c r="U195" i="3"/>
  <c r="U796" i="3"/>
  <c r="U638" i="3"/>
  <c r="U868" i="3"/>
  <c r="U624" i="3"/>
  <c r="U226" i="3"/>
  <c r="U1155" i="3"/>
  <c r="U924" i="3"/>
  <c r="U928" i="3"/>
  <c r="U458" i="3"/>
  <c r="U180" i="3"/>
  <c r="U629" i="3"/>
  <c r="U784" i="3"/>
  <c r="U598" i="3"/>
  <c r="U1151" i="3"/>
  <c r="U1119" i="3"/>
  <c r="U723" i="3"/>
  <c r="U674" i="3"/>
  <c r="U341" i="3"/>
  <c r="U88" i="3"/>
  <c r="U79" i="3"/>
  <c r="U931" i="3"/>
  <c r="U434" i="3"/>
  <c r="U867" i="3"/>
  <c r="U101" i="3"/>
  <c r="U1005" i="3"/>
  <c r="U890" i="3"/>
  <c r="U1129" i="3"/>
  <c r="U693" i="3"/>
  <c r="U850" i="3"/>
  <c r="U696" i="3"/>
  <c r="U78" i="3"/>
  <c r="U935" i="3"/>
  <c r="U139" i="3"/>
  <c r="U670" i="3"/>
  <c r="U331" i="3"/>
  <c r="U1041" i="3"/>
  <c r="U1043" i="3"/>
  <c r="U507" i="3"/>
  <c r="U781" i="3"/>
  <c r="U214" i="3"/>
  <c r="U229" i="3"/>
  <c r="U1085" i="3"/>
  <c r="U965" i="3"/>
  <c r="U1089" i="3"/>
  <c r="U1196" i="3"/>
  <c r="U763" i="3"/>
  <c r="U1180" i="3"/>
  <c r="U36" i="3"/>
  <c r="U199" i="3"/>
  <c r="U1008" i="3"/>
  <c r="U365" i="3"/>
  <c r="U349" i="3"/>
  <c r="U761" i="3"/>
  <c r="U1006" i="3"/>
  <c r="U371" i="3"/>
  <c r="U405" i="3"/>
  <c r="U1048" i="3"/>
  <c r="U299" i="3"/>
  <c r="U960" i="3"/>
  <c r="U952" i="3"/>
  <c r="U779" i="3"/>
  <c r="U354" i="3"/>
  <c r="U188" i="3"/>
  <c r="U926" i="3"/>
  <c r="U16" i="3"/>
  <c r="U103" i="3"/>
  <c r="U912" i="3"/>
  <c r="U1178" i="3"/>
  <c r="U18" i="3"/>
  <c r="U1123" i="3"/>
  <c r="U821" i="3"/>
  <c r="U267" i="3"/>
  <c r="U717" i="3"/>
  <c r="U975" i="3"/>
  <c r="U246" i="3"/>
  <c r="U1057" i="3"/>
  <c r="U1020" i="3"/>
  <c r="U258" i="3"/>
  <c r="U977" i="3"/>
  <c r="U899" i="3"/>
  <c r="U840" i="3"/>
  <c r="U1154" i="3"/>
  <c r="U484" i="3"/>
  <c r="U94" i="3"/>
  <c r="U835" i="3"/>
  <c r="U109" i="3"/>
  <c r="U191" i="3"/>
  <c r="U41" i="3"/>
  <c r="U406" i="3"/>
  <c r="U633" i="3"/>
  <c r="U715" i="3"/>
  <c r="U1039" i="3"/>
  <c r="U861" i="3"/>
  <c r="U831" i="3"/>
  <c r="U1121" i="3"/>
  <c r="U290" i="3"/>
  <c r="U249" i="3"/>
  <c r="U791" i="3"/>
  <c r="U1114" i="3"/>
  <c r="U537" i="3"/>
  <c r="U244" i="3"/>
  <c r="U1056" i="3"/>
  <c r="U1064" i="3"/>
  <c r="U54" i="3"/>
  <c r="U1130" i="3"/>
  <c r="U1065" i="3"/>
  <c r="U964" i="3"/>
  <c r="U1146" i="3"/>
  <c r="U547" i="3"/>
  <c r="U370" i="3"/>
  <c r="U504" i="3"/>
  <c r="U522" i="3"/>
  <c r="U168" i="3"/>
  <c r="U1036" i="3"/>
  <c r="U680" i="3"/>
  <c r="U167" i="3"/>
  <c r="U426" i="3"/>
  <c r="U475" i="3"/>
  <c r="U1137" i="3"/>
  <c r="U725" i="3"/>
  <c r="U444" i="3"/>
  <c r="U378" i="3"/>
  <c r="U994" i="3"/>
  <c r="U535" i="3"/>
  <c r="U381" i="3"/>
  <c r="U1019" i="3"/>
  <c r="U1136" i="3"/>
  <c r="U1052" i="3"/>
  <c r="U232" i="3"/>
  <c r="U1125" i="3"/>
  <c r="U1055" i="3"/>
  <c r="U204" i="3"/>
  <c r="U513" i="3"/>
  <c r="U736" i="3"/>
  <c r="U84" i="3"/>
  <c r="U750" i="3"/>
  <c r="U311" i="3"/>
  <c r="U576" i="3"/>
  <c r="U622" i="3"/>
  <c r="U1084" i="3"/>
  <c r="U1106" i="3"/>
  <c r="U1189" i="3"/>
  <c r="U116" i="3"/>
  <c r="U895" i="3"/>
  <c r="U1077" i="3"/>
  <c r="U797" i="3"/>
  <c r="U496" i="3"/>
  <c r="U560" i="3"/>
  <c r="U385" i="3"/>
  <c r="U377" i="3"/>
  <c r="U362" i="3"/>
  <c r="U749" i="3"/>
  <c r="U718" i="3"/>
  <c r="U742" i="3"/>
  <c r="U220" i="3"/>
  <c r="U898" i="3"/>
  <c r="U1147" i="3"/>
  <c r="U806" i="3"/>
  <c r="U391" i="3"/>
  <c r="U143" i="3"/>
  <c r="U500" i="3"/>
  <c r="U766" i="3"/>
  <c r="U852" i="3"/>
  <c r="U772" i="3"/>
  <c r="U891" i="3"/>
  <c r="U889" i="3"/>
  <c r="U395" i="3"/>
  <c r="U710" i="3"/>
  <c r="U747" i="3"/>
  <c r="U86" i="3"/>
  <c r="U340" i="3"/>
  <c r="U869" i="3"/>
  <c r="U1115" i="3"/>
  <c r="U394" i="3"/>
  <c r="U557" i="3"/>
  <c r="U452" i="3"/>
  <c r="U357" i="3"/>
  <c r="U189" i="3"/>
  <c r="U1110" i="3"/>
  <c r="U708" i="3"/>
  <c r="U91" i="3"/>
  <c r="U183" i="3"/>
  <c r="U242" i="3"/>
  <c r="U416" i="3"/>
  <c r="U121" i="3"/>
  <c r="U22" i="3"/>
  <c r="U600" i="3"/>
  <c r="U413" i="3"/>
  <c r="U634" i="3"/>
  <c r="U190" i="3"/>
  <c r="U637" i="3"/>
  <c r="U768" i="3"/>
  <c r="U592" i="3"/>
  <c r="U925" i="3"/>
  <c r="U933" i="3"/>
  <c r="U393" i="3"/>
  <c r="U582" i="3"/>
  <c r="U1202" i="3"/>
  <c r="U673" i="3"/>
  <c r="U80" i="3"/>
  <c r="U364" i="3"/>
  <c r="U752" i="3"/>
  <c r="U181" i="3"/>
  <c r="U979" i="3"/>
  <c r="U360" i="3"/>
  <c r="U1200" i="3"/>
  <c r="U297" i="3"/>
  <c r="U316" i="3"/>
  <c r="U161" i="3"/>
  <c r="U650" i="3"/>
  <c r="V15" i="3" l="1"/>
  <c r="Y15" i="3" s="1"/>
  <c r="V788" i="3"/>
  <c r="Y788" i="3" s="1"/>
  <c r="V1142" i="3"/>
  <c r="Y1142" i="3" s="1"/>
  <c r="V882" i="3"/>
  <c r="Y882" i="3" s="1"/>
  <c r="V963" i="3"/>
  <c r="Y963" i="3" s="1"/>
  <c r="V1015" i="3"/>
  <c r="Y1015" i="3" s="1"/>
  <c r="V195" i="3"/>
  <c r="Y195" i="3" s="1"/>
  <c r="V742" i="3"/>
  <c r="Y742" i="3" s="1"/>
  <c r="V180" i="3"/>
  <c r="Y180" i="3" s="1"/>
  <c r="V1018" i="3"/>
  <c r="Y1018" i="3" s="1"/>
  <c r="V845" i="3"/>
  <c r="Y845" i="3" s="1"/>
  <c r="V939" i="3"/>
  <c r="Y939" i="3" s="1"/>
  <c r="V696" i="3"/>
  <c r="Y696" i="3" s="1"/>
  <c r="V363" i="3"/>
  <c r="Y363" i="3" s="1"/>
  <c r="V826" i="3"/>
  <c r="Y826" i="3" s="1"/>
  <c r="V418" i="3"/>
  <c r="Y418" i="3" s="1"/>
  <c r="V1034" i="3"/>
  <c r="Y1034" i="3" s="1"/>
  <c r="V46" i="3"/>
  <c r="Y46" i="3" s="1"/>
  <c r="V685" i="3"/>
  <c r="Y685" i="3" s="1"/>
  <c r="V993" i="3"/>
  <c r="Y993" i="3" s="1"/>
  <c r="V246" i="3"/>
  <c r="Y246" i="3" s="1"/>
  <c r="V471" i="3"/>
  <c r="Y471" i="3" s="1"/>
  <c r="V133" i="3"/>
  <c r="Y133" i="3" s="1"/>
  <c r="V461" i="3"/>
  <c r="Y461" i="3" s="1"/>
  <c r="V380" i="3"/>
  <c r="Y380" i="3" s="1"/>
  <c r="V1095" i="3"/>
  <c r="Y1095" i="3" s="1"/>
  <c r="V478" i="3"/>
  <c r="Y478" i="3" s="1"/>
  <c r="V553" i="3"/>
  <c r="Y553" i="3" s="1"/>
  <c r="V213" i="3"/>
  <c r="Y213" i="3" s="1"/>
  <c r="V94" i="3"/>
  <c r="Y94" i="3" s="1"/>
  <c r="V918" i="3"/>
  <c r="Y918" i="3" s="1"/>
  <c r="V629" i="3"/>
  <c r="Y629" i="3" s="1"/>
  <c r="V325" i="3"/>
  <c r="Y325" i="3" s="1"/>
  <c r="V1041" i="3"/>
  <c r="Y1041" i="3" s="1"/>
  <c r="V525" i="3"/>
  <c r="Y525" i="3" s="1"/>
  <c r="V1143" i="3"/>
  <c r="Y1143" i="3" s="1"/>
  <c r="V312" i="3"/>
  <c r="Y312" i="3" s="1"/>
  <c r="V1097" i="3"/>
  <c r="Y1097" i="3" s="1"/>
  <c r="V796" i="3"/>
  <c r="Y796" i="3" s="1"/>
  <c r="V239" i="3"/>
  <c r="Y239" i="3" s="1"/>
  <c r="V242" i="3"/>
  <c r="Y242" i="3" s="1"/>
  <c r="V945" i="3"/>
  <c r="Y945" i="3" s="1"/>
  <c r="V562" i="3"/>
  <c r="Y562" i="3" s="1"/>
  <c r="V198" i="3"/>
  <c r="Y198" i="3" s="1"/>
  <c r="V66" i="3"/>
  <c r="Y66" i="3" s="1"/>
  <c r="V732" i="3"/>
  <c r="Y732" i="3" s="1"/>
  <c r="V966" i="3"/>
  <c r="Y966" i="3" s="1"/>
  <c r="V95" i="3"/>
  <c r="Y95" i="3" s="1"/>
  <c r="V62" i="3"/>
  <c r="Y62" i="3" s="1"/>
  <c r="V595" i="3"/>
  <c r="Y595" i="3" s="1"/>
  <c r="V490" i="3"/>
  <c r="Y490" i="3" s="1"/>
  <c r="V903" i="3"/>
  <c r="Y903" i="3" s="1"/>
  <c r="V1126" i="3"/>
  <c r="Y1126" i="3" s="1"/>
  <c r="V1167" i="3"/>
  <c r="Y1167" i="3" s="1"/>
  <c r="V894" i="3"/>
  <c r="Y894" i="3" s="1"/>
  <c r="V948" i="3"/>
  <c r="Y948" i="3" s="1"/>
  <c r="V262" i="3"/>
  <c r="Y262" i="3" s="1"/>
  <c r="V190" i="3"/>
  <c r="Y190" i="3" s="1"/>
  <c r="V959" i="3"/>
  <c r="Y959" i="3" s="1"/>
  <c r="V234" i="3"/>
  <c r="Y234" i="3" s="1"/>
  <c r="V141" i="3"/>
  <c r="Y141" i="3" s="1"/>
  <c r="V814" i="3"/>
  <c r="Y814" i="3" s="1"/>
  <c r="V598" i="3"/>
  <c r="Y598" i="3" s="1"/>
  <c r="V515" i="3"/>
  <c r="Y515" i="3" s="1"/>
  <c r="V98" i="3"/>
  <c r="Y98" i="3" s="1"/>
  <c r="V1049" i="3"/>
  <c r="Y1049" i="3" s="1"/>
  <c r="V1092" i="3"/>
  <c r="Y1092" i="3" s="1"/>
  <c r="V1055" i="3"/>
  <c r="Y1055" i="3" s="1"/>
  <c r="V113" i="3"/>
  <c r="Y113" i="3" s="1"/>
  <c r="V856" i="3"/>
  <c r="Y856" i="3" s="1"/>
  <c r="V931" i="3"/>
  <c r="Y931" i="3" s="1"/>
  <c r="V498" i="3"/>
  <c r="Y498" i="3" s="1"/>
  <c r="V815" i="3"/>
  <c r="Y815" i="3" s="1"/>
  <c r="V466" i="3"/>
  <c r="Y466" i="3" s="1"/>
  <c r="V504" i="3"/>
  <c r="Y504" i="3" s="1"/>
  <c r="V864" i="3"/>
  <c r="Y864" i="3" s="1"/>
  <c r="V854" i="3"/>
  <c r="Y854" i="3" s="1"/>
  <c r="V241" i="3"/>
  <c r="Y241" i="3" s="1"/>
  <c r="V973" i="3"/>
  <c r="Y973" i="3" s="1"/>
  <c r="V513" i="3"/>
  <c r="Y513" i="3" s="1"/>
  <c r="V436" i="3"/>
  <c r="Y436" i="3" s="1"/>
  <c r="V1185" i="3"/>
  <c r="Y1185" i="3" s="1"/>
  <c r="V1151" i="3"/>
  <c r="Y1151" i="3" s="1"/>
  <c r="V105" i="3"/>
  <c r="Y105" i="3" s="1"/>
  <c r="V783" i="3"/>
  <c r="Y783" i="3" s="1"/>
  <c r="V476" i="3"/>
  <c r="Y476" i="3" s="1"/>
  <c r="V654" i="3"/>
  <c r="Y654" i="3" s="1"/>
  <c r="V495" i="3"/>
  <c r="Y495" i="3" s="1"/>
  <c r="V810" i="3"/>
  <c r="Y810" i="3" s="1"/>
  <c r="V1155" i="3"/>
  <c r="Y1155" i="3" s="1"/>
  <c r="V552" i="3"/>
  <c r="Y552" i="3" s="1"/>
  <c r="V759" i="3"/>
  <c r="Y759" i="3" s="1"/>
  <c r="V813" i="3"/>
  <c r="Y813" i="3" s="1"/>
  <c r="V1039" i="3"/>
  <c r="Y1039" i="3" s="1"/>
  <c r="V704" i="3"/>
  <c r="Y704" i="3" s="1"/>
  <c r="V691" i="3"/>
  <c r="Y691" i="3" s="1"/>
  <c r="V842" i="3"/>
  <c r="Y842" i="3" s="1"/>
  <c r="V420" i="3"/>
  <c r="Y420" i="3" s="1"/>
  <c r="V111" i="3"/>
  <c r="Y111" i="3" s="1"/>
  <c r="V171" i="3"/>
  <c r="Y171" i="3" s="1"/>
  <c r="V1131" i="3"/>
  <c r="Y1131" i="3" s="1"/>
  <c r="V828" i="3"/>
  <c r="Y828" i="3" s="1"/>
  <c r="V1127" i="3"/>
  <c r="Y1127" i="3" s="1"/>
  <c r="V319" i="3"/>
  <c r="Y319" i="3" s="1"/>
  <c r="V439" i="3"/>
  <c r="Y439" i="3" s="1"/>
  <c r="V348" i="3"/>
  <c r="Y348" i="3" s="1"/>
  <c r="V697" i="3"/>
  <c r="Y697" i="3" s="1"/>
  <c r="V1047" i="3"/>
  <c r="Y1047" i="3" s="1"/>
  <c r="V793" i="3"/>
  <c r="Y793" i="3" s="1"/>
  <c r="V1085" i="3"/>
  <c r="Y1085" i="3" s="1"/>
  <c r="V560" i="3"/>
  <c r="Y560" i="3" s="1"/>
  <c r="V1189" i="3"/>
  <c r="Y1189" i="3" s="1"/>
  <c r="V891" i="3"/>
  <c r="Y891" i="3" s="1"/>
  <c r="V909" i="3"/>
  <c r="Y909" i="3" s="1"/>
  <c r="V1132" i="3"/>
  <c r="Y1132" i="3" s="1"/>
  <c r="V622" i="3"/>
  <c r="Y622" i="3" s="1"/>
  <c r="V121" i="3"/>
  <c r="Y121" i="3" s="1"/>
  <c r="V142" i="3"/>
  <c r="Y142" i="3" s="1"/>
  <c r="V132" i="3"/>
  <c r="Y132" i="3" s="1"/>
  <c r="V393" i="3"/>
  <c r="Y393" i="3" s="1"/>
  <c r="V1122" i="3"/>
  <c r="Y1122" i="3" s="1"/>
  <c r="V875" i="3"/>
  <c r="Y875" i="3" s="1"/>
  <c r="V1205" i="3"/>
  <c r="Y1205" i="3" s="1"/>
  <c r="V620" i="3"/>
  <c r="Y620" i="3" s="1"/>
  <c r="V1074" i="3"/>
  <c r="Y1074" i="3" s="1"/>
  <c r="V1057" i="3"/>
  <c r="Y1057" i="3" s="1"/>
  <c r="V806" i="3"/>
  <c r="Y806" i="3" s="1"/>
  <c r="V716" i="3"/>
  <c r="Y716" i="3" s="1"/>
  <c r="V329" i="3"/>
  <c r="Y329" i="3" s="1"/>
  <c r="V265" i="3"/>
  <c r="Y265" i="3" s="1"/>
  <c r="V734" i="3"/>
  <c r="Y734" i="3" s="1"/>
  <c r="V700" i="3"/>
  <c r="Y700" i="3" s="1"/>
  <c r="V878" i="3"/>
  <c r="Y878" i="3" s="1"/>
  <c r="V447" i="3"/>
  <c r="Y447" i="3" s="1"/>
  <c r="V510" i="3"/>
  <c r="Y510" i="3" s="1"/>
  <c r="V45" i="3"/>
  <c r="Y45" i="3" s="1"/>
  <c r="V698" i="3"/>
  <c r="Y698" i="3" s="1"/>
  <c r="V1121" i="3"/>
  <c r="Y1121" i="3" s="1"/>
  <c r="V170" i="3"/>
  <c r="Y170" i="3" s="1"/>
  <c r="V812" i="3"/>
  <c r="Y812" i="3" s="1"/>
  <c r="V1109" i="3"/>
  <c r="Y1109" i="3" s="1"/>
  <c r="V1066" i="3"/>
  <c r="Y1066" i="3" s="1"/>
  <c r="V1010" i="3"/>
  <c r="Y1010" i="3" s="1"/>
  <c r="V1063" i="3"/>
  <c r="Y1063" i="3" s="1"/>
  <c r="V829" i="3"/>
  <c r="Y829" i="3" s="1"/>
  <c r="V1004" i="3"/>
  <c r="Y1004" i="3" s="1"/>
  <c r="V956" i="3"/>
  <c r="Y956" i="3" s="1"/>
  <c r="V735" i="3"/>
  <c r="Y735" i="3" s="1"/>
  <c r="V594" i="3"/>
  <c r="Y594" i="3" s="1"/>
  <c r="V80" i="3"/>
  <c r="Y80" i="3" s="1"/>
  <c r="V1009" i="3"/>
  <c r="Y1009" i="3" s="1"/>
  <c r="V900" i="3"/>
  <c r="Y900" i="3" s="1"/>
  <c r="V419" i="3"/>
  <c r="Y419" i="3" s="1"/>
  <c r="V577" i="3"/>
  <c r="Y577" i="3" s="1"/>
  <c r="V777" i="3"/>
  <c r="Y777" i="3" s="1"/>
  <c r="V369" i="3"/>
  <c r="Y369" i="3" s="1"/>
  <c r="V915" i="3"/>
  <c r="Y915" i="3" s="1"/>
  <c r="V250" i="3"/>
  <c r="Y250" i="3" s="1"/>
  <c r="V772" i="3"/>
  <c r="Y772" i="3" s="1"/>
  <c r="V1179" i="3"/>
  <c r="Y1179" i="3" s="1"/>
  <c r="V277" i="3"/>
  <c r="Y277" i="3" s="1"/>
  <c r="V317" i="3"/>
  <c r="Y317" i="3" s="1"/>
  <c r="V643" i="3"/>
  <c r="Y643" i="3" s="1"/>
  <c r="V621" i="3"/>
  <c r="Y621" i="3" s="1"/>
  <c r="V437" i="3"/>
  <c r="Y437" i="3" s="1"/>
  <c r="V166" i="3"/>
  <c r="Y166" i="3" s="1"/>
  <c r="V374" i="3"/>
  <c r="Y374" i="3" s="1"/>
  <c r="V69" i="3"/>
  <c r="Y69" i="3" s="1"/>
  <c r="V301" i="3"/>
  <c r="Y301" i="3" s="1"/>
  <c r="V377" i="3"/>
  <c r="Y377" i="3" s="1"/>
  <c r="V804" i="3"/>
  <c r="Y804" i="3" s="1"/>
  <c r="V1166" i="3"/>
  <c r="Y1166" i="3" s="1"/>
  <c r="V100" i="3"/>
  <c r="Y100" i="3" s="1"/>
  <c r="V867" i="3"/>
  <c r="Y867" i="3" s="1"/>
  <c r="V999" i="3"/>
  <c r="Y999" i="3" s="1"/>
  <c r="V263" i="3"/>
  <c r="Y263" i="3" s="1"/>
  <c r="V820" i="3"/>
  <c r="Y820" i="3" s="1"/>
  <c r="V1014" i="3"/>
  <c r="Y1014" i="3" s="1"/>
  <c r="V91" i="3"/>
  <c r="Y91" i="3" s="1"/>
  <c r="V576" i="3"/>
  <c r="Y576" i="3" s="1"/>
  <c r="V549" i="3"/>
  <c r="Y549" i="3" s="1"/>
  <c r="V120" i="3"/>
  <c r="Y120" i="3" s="1"/>
  <c r="V217" i="3"/>
  <c r="Y217" i="3" s="1"/>
  <c r="V29" i="3"/>
  <c r="Y29" i="3" s="1"/>
  <c r="V229" i="3"/>
  <c r="Y229" i="3" s="1"/>
  <c r="V110" i="3"/>
  <c r="Y110" i="3" s="1"/>
  <c r="V164" i="3"/>
  <c r="Y164" i="3" s="1"/>
  <c r="V1110" i="3"/>
  <c r="Y1110" i="3" s="1"/>
  <c r="V448" i="3"/>
  <c r="Y448" i="3" s="1"/>
  <c r="V224" i="3"/>
  <c r="Y224" i="3" s="1"/>
  <c r="V152" i="3"/>
  <c r="Y152" i="3" s="1"/>
  <c r="V304" i="3"/>
  <c r="Y304" i="3" s="1"/>
  <c r="V1111" i="3"/>
  <c r="Y1111" i="3" s="1"/>
  <c r="V1163" i="3"/>
  <c r="Y1163" i="3" s="1"/>
  <c r="V853" i="3"/>
  <c r="Y853" i="3" s="1"/>
  <c r="V258" i="3"/>
  <c r="Y258" i="3" s="1"/>
  <c r="V1134" i="3"/>
  <c r="Y1134" i="3" s="1"/>
  <c r="V1119" i="3"/>
  <c r="Y1119" i="3" s="1"/>
  <c r="V619" i="3"/>
  <c r="Y619" i="3" s="1"/>
  <c r="V663" i="3"/>
  <c r="Y663" i="3" s="1"/>
  <c r="V469" i="3"/>
  <c r="Y469" i="3" s="1"/>
  <c r="V408" i="3"/>
  <c r="Y408" i="3" s="1"/>
  <c r="V890" i="3"/>
  <c r="Y890" i="3" s="1"/>
  <c r="V631" i="3"/>
  <c r="Y631" i="3" s="1"/>
  <c r="V637" i="3"/>
  <c r="Y637" i="3" s="1"/>
  <c r="V602" i="3"/>
  <c r="Y602" i="3" s="1"/>
  <c r="V176" i="3"/>
  <c r="Y176" i="3" s="1"/>
  <c r="V261" i="3"/>
  <c r="Y261" i="3" s="1"/>
  <c r="V253" i="3"/>
  <c r="Y253" i="3" s="1"/>
  <c r="V984" i="3"/>
  <c r="Y984" i="3" s="1"/>
  <c r="V1139" i="3"/>
  <c r="Y1139" i="3" s="1"/>
  <c r="V449" i="3"/>
  <c r="Y449" i="3" s="1"/>
  <c r="V843" i="3"/>
  <c r="Y843" i="3" s="1"/>
  <c r="V249" i="3"/>
  <c r="Y249" i="3" s="1"/>
  <c r="V991" i="3"/>
  <c r="Y991" i="3" s="1"/>
  <c r="V968" i="3"/>
  <c r="Y968" i="3" s="1"/>
  <c r="V291" i="3"/>
  <c r="Y291" i="3" s="1"/>
  <c r="V157" i="3"/>
  <c r="Y157" i="3" s="1"/>
  <c r="V370" i="3"/>
  <c r="Y370" i="3" s="1"/>
  <c r="V827" i="3"/>
  <c r="Y827" i="3" s="1"/>
  <c r="V1096" i="3"/>
  <c r="Y1096" i="3" s="1"/>
  <c r="V610" i="3"/>
  <c r="Y610" i="3" s="1"/>
  <c r="V584" i="3"/>
  <c r="Y584" i="3" s="1"/>
  <c r="V603" i="3"/>
  <c r="Y603" i="3" s="1"/>
  <c r="V726" i="3"/>
  <c r="Y726" i="3" s="1"/>
  <c r="V546" i="3"/>
  <c r="Y546" i="3" s="1"/>
  <c r="V1068" i="3"/>
  <c r="Y1068" i="3" s="1"/>
  <c r="V920" i="3"/>
  <c r="Y920" i="3" s="1"/>
  <c r="V911" i="3"/>
  <c r="Y911" i="3" s="1"/>
  <c r="V755" i="3"/>
  <c r="Y755" i="3" s="1"/>
  <c r="V717" i="3"/>
  <c r="Y717" i="3" s="1"/>
  <c r="V248" i="3"/>
  <c r="Y248" i="3" s="1"/>
  <c r="V567" i="3"/>
  <c r="Y567" i="3" s="1"/>
  <c r="V360" i="3"/>
  <c r="Y360" i="3" s="1"/>
  <c r="V757" i="3"/>
  <c r="Y757" i="3" s="1"/>
  <c r="V446" i="3"/>
  <c r="Y446" i="3" s="1"/>
  <c r="V710" i="3"/>
  <c r="Y710" i="3" s="1"/>
  <c r="V356" i="3"/>
  <c r="Y356" i="3" s="1"/>
  <c r="V292" i="3"/>
  <c r="Y292" i="3" s="1"/>
  <c r="V508" i="3"/>
  <c r="Y508" i="3" s="1"/>
  <c r="V850" i="3"/>
  <c r="Y850" i="3" s="1"/>
  <c r="V611" i="3"/>
  <c r="Y611" i="3" s="1"/>
  <c r="V707" i="3"/>
  <c r="Y707" i="3" s="1"/>
  <c r="V650" i="3"/>
  <c r="Y650" i="3" s="1"/>
  <c r="V409" i="3"/>
  <c r="Y409" i="3" s="1"/>
  <c r="V808" i="3"/>
  <c r="Y808" i="3" s="1"/>
  <c r="V849" i="3"/>
  <c r="Y849" i="3" s="1"/>
  <c r="V128" i="3"/>
  <c r="Y128" i="3" s="1"/>
  <c r="V502" i="3"/>
  <c r="Y502" i="3" s="1"/>
  <c r="V284" i="3"/>
  <c r="Y284" i="3" s="1"/>
  <c r="V305" i="3"/>
  <c r="Y305" i="3" s="1"/>
  <c r="V605" i="3"/>
  <c r="Y605" i="3" s="1"/>
  <c r="V39" i="3"/>
  <c r="Y39" i="3" s="1"/>
  <c r="V638" i="3"/>
  <c r="Y638" i="3" s="1"/>
  <c r="V89" i="3"/>
  <c r="Y89" i="3" s="1"/>
  <c r="V908" i="3"/>
  <c r="Y908" i="3" s="1"/>
  <c r="V482" i="3"/>
  <c r="Y482" i="3" s="1"/>
  <c r="V838" i="3"/>
  <c r="Y838" i="3" s="1"/>
  <c r="V971" i="3"/>
  <c r="Y971" i="3" s="1"/>
  <c r="V516" i="3"/>
  <c r="Y516" i="3" s="1"/>
  <c r="V635" i="3"/>
  <c r="Y635" i="3" s="1"/>
  <c r="V1172" i="3"/>
  <c r="Y1172" i="3" s="1"/>
  <c r="V1200" i="3"/>
  <c r="Y1200" i="3" s="1"/>
  <c r="V1056" i="3"/>
  <c r="Y1056" i="3" s="1"/>
  <c r="V634" i="3"/>
  <c r="Y634" i="3" s="1"/>
  <c r="V355" i="3"/>
  <c r="Y355" i="3" s="1"/>
  <c r="V295" i="3"/>
  <c r="Y295" i="3" s="1"/>
  <c r="V215" i="3"/>
  <c r="Y215" i="3" s="1"/>
  <c r="V646" i="3"/>
  <c r="Y646" i="3" s="1"/>
  <c r="V585" i="3"/>
  <c r="Y585" i="3" s="1"/>
  <c r="V389" i="3"/>
  <c r="Y389" i="3" s="1"/>
  <c r="V641" i="3"/>
  <c r="Y641" i="3" s="1"/>
  <c r="V543" i="3"/>
  <c r="Y543" i="3" s="1"/>
  <c r="V519" i="3"/>
  <c r="Y519" i="3" s="1"/>
  <c r="V1011" i="3"/>
  <c r="Y1011" i="3" s="1"/>
  <c r="V203" i="3"/>
  <c r="Y203" i="3" s="1"/>
  <c r="V868" i="3"/>
  <c r="Y868" i="3" s="1"/>
  <c r="V1091" i="3"/>
  <c r="Y1091" i="3" s="1"/>
  <c r="V59" i="3"/>
  <c r="Y59" i="3" s="1"/>
  <c r="V126" i="3"/>
  <c r="Y126" i="3" s="1"/>
  <c r="V648" i="3"/>
  <c r="Y648" i="3" s="1"/>
  <c r="V699" i="3"/>
  <c r="Y699" i="3" s="1"/>
  <c r="V644" i="3"/>
  <c r="Y644" i="3" s="1"/>
  <c r="V924" i="3"/>
  <c r="Y924" i="3" s="1"/>
  <c r="V158" i="3"/>
  <c r="Y158" i="3" s="1"/>
  <c r="V256" i="3"/>
  <c r="Y256" i="3" s="1"/>
  <c r="V801" i="3"/>
  <c r="Y801" i="3" s="1"/>
  <c r="V20" i="3"/>
  <c r="Y20" i="3" s="1"/>
  <c r="V694" i="3"/>
  <c r="Y694" i="3" s="1"/>
  <c r="V403" i="3"/>
  <c r="Y403" i="3" s="1"/>
  <c r="V432" i="3"/>
  <c r="Y432" i="3" s="1"/>
  <c r="V858" i="3"/>
  <c r="Y858" i="3" s="1"/>
  <c r="V60" i="3"/>
  <c r="Y60" i="3" s="1"/>
  <c r="V834" i="3"/>
  <c r="Y834" i="3" s="1"/>
  <c r="V366" i="3"/>
  <c r="Y366" i="3" s="1"/>
  <c r="V361" i="3"/>
  <c r="Y361" i="3" s="1"/>
  <c r="V119" i="3"/>
  <c r="Y119" i="3" s="1"/>
  <c r="V299" i="3"/>
  <c r="Y299" i="3" s="1"/>
  <c r="V1168" i="3"/>
  <c r="Y1168" i="3" s="1"/>
  <c r="V983" i="3"/>
  <c r="Y983" i="3" s="1"/>
  <c r="V857" i="3"/>
  <c r="Y857" i="3" s="1"/>
  <c r="V582" i="3"/>
  <c r="Y582" i="3" s="1"/>
  <c r="V805" i="3"/>
  <c r="Y805" i="3" s="1"/>
  <c r="V537" i="3"/>
  <c r="Y537" i="3" s="1"/>
  <c r="V998" i="3"/>
  <c r="Y998" i="3" s="1"/>
  <c r="V1050" i="3"/>
  <c r="Y1050" i="3" s="1"/>
  <c r="V830" i="3"/>
  <c r="Y830" i="3" s="1"/>
  <c r="V189" i="3"/>
  <c r="Y189" i="3" s="1"/>
  <c r="V1147" i="3"/>
  <c r="Y1147" i="3" s="1"/>
  <c r="V695" i="3"/>
  <c r="Y695" i="3" s="1"/>
  <c r="V746" i="3"/>
  <c r="Y746" i="3" s="1"/>
  <c r="V884" i="3"/>
  <c r="Y884" i="3" s="1"/>
  <c r="V1012" i="3"/>
  <c r="Y1012" i="3" s="1"/>
  <c r="V404" i="3"/>
  <c r="Y404" i="3" s="1"/>
  <c r="V597" i="3"/>
  <c r="Y597" i="3" s="1"/>
  <c r="V386" i="3"/>
  <c r="Y386" i="3" s="1"/>
  <c r="V1101" i="3"/>
  <c r="Y1101" i="3" s="1"/>
  <c r="V922" i="3"/>
  <c r="Y922" i="3" s="1"/>
  <c r="V1080" i="3"/>
  <c r="Y1080" i="3" s="1"/>
  <c r="V781" i="3"/>
  <c r="Y781" i="3" s="1"/>
  <c r="V161" i="3"/>
  <c r="Y161" i="3" s="1"/>
  <c r="V311" i="3"/>
  <c r="Y311" i="3" s="1"/>
  <c r="V264" i="3"/>
  <c r="Y264" i="3" s="1"/>
  <c r="V505" i="3"/>
  <c r="Y505" i="3" s="1"/>
  <c r="V153" i="3"/>
  <c r="Y153" i="3" s="1"/>
  <c r="V869" i="3"/>
  <c r="Y869" i="3" s="1"/>
  <c r="V73" i="3"/>
  <c r="Y73" i="3" s="1"/>
  <c r="V463" i="3"/>
  <c r="Y463" i="3" s="1"/>
  <c r="V334" i="3"/>
  <c r="Y334" i="3" s="1"/>
  <c r="V254" i="3"/>
  <c r="Y254" i="3" s="1"/>
  <c r="V90" i="3"/>
  <c r="Y90" i="3" s="1"/>
  <c r="V589" i="3"/>
  <c r="Y589" i="3" s="1"/>
  <c r="V33" i="3"/>
  <c r="Y33" i="3" s="1"/>
  <c r="V202" i="3"/>
  <c r="Y202" i="3" s="1"/>
  <c r="V767" i="3"/>
  <c r="Y767" i="3" s="1"/>
  <c r="V1006" i="3"/>
  <c r="Y1006" i="3" s="1"/>
  <c r="V1016" i="3"/>
  <c r="Y1016" i="3" s="1"/>
  <c r="V1211" i="3"/>
  <c r="Y1211" i="3" s="1"/>
  <c r="V1046" i="3"/>
  <c r="Y1046" i="3" s="1"/>
  <c r="V658" i="3"/>
  <c r="Y658" i="3" s="1"/>
  <c r="V720" i="3"/>
  <c r="Y720" i="3" s="1"/>
  <c r="V30" i="3"/>
  <c r="Y30" i="3" s="1"/>
  <c r="V123" i="3"/>
  <c r="Y123" i="3" s="1"/>
  <c r="V731" i="3"/>
  <c r="Y731" i="3" s="1"/>
  <c r="V1090" i="3"/>
  <c r="Y1090" i="3" s="1"/>
  <c r="V1033" i="3"/>
  <c r="Y1033" i="3" s="1"/>
  <c r="V526" i="3"/>
  <c r="Y526" i="3" s="1"/>
  <c r="V728" i="3"/>
  <c r="Y728" i="3" s="1"/>
  <c r="V259" i="3"/>
  <c r="Y259" i="3" s="1"/>
  <c r="V1197" i="3"/>
  <c r="Y1197" i="3" s="1"/>
  <c r="V575" i="3"/>
  <c r="Y575" i="3" s="1"/>
  <c r="V861" i="3"/>
  <c r="Y861" i="3" s="1"/>
  <c r="V666" i="3"/>
  <c r="Y666" i="3" s="1"/>
  <c r="V421" i="3"/>
  <c r="Y421" i="3" s="1"/>
  <c r="V413" i="3"/>
  <c r="Y413" i="3" s="1"/>
  <c r="V208" i="3"/>
  <c r="Y208" i="3" s="1"/>
  <c r="V271" i="3"/>
  <c r="Y271" i="3" s="1"/>
  <c r="V1079" i="3"/>
  <c r="Y1079" i="3" s="1"/>
  <c r="V276" i="3"/>
  <c r="Y276" i="3" s="1"/>
  <c r="V573" i="3"/>
  <c r="Y573" i="3" s="1"/>
  <c r="V55" i="3"/>
  <c r="Y55" i="3" s="1"/>
  <c r="V275" i="3"/>
  <c r="Y275" i="3" s="1"/>
  <c r="V1098" i="3"/>
  <c r="Y1098" i="3" s="1"/>
  <c r="V67" i="3"/>
  <c r="Y67" i="3" s="1"/>
  <c r="V257" i="3"/>
  <c r="Y257" i="3" s="1"/>
  <c r="V645" i="3"/>
  <c r="Y645" i="3" s="1"/>
  <c r="V416" i="3"/>
  <c r="Y416" i="3" s="1"/>
  <c r="V965" i="3"/>
  <c r="Y965" i="3" s="1"/>
  <c r="V659" i="3"/>
  <c r="Y659" i="3" s="1"/>
  <c r="V114" i="3"/>
  <c r="Y114" i="3" s="1"/>
  <c r="V154" i="3"/>
  <c r="Y154" i="3" s="1"/>
  <c r="V1160" i="3"/>
  <c r="Y1160" i="3" s="1"/>
  <c r="V563" i="3"/>
  <c r="Y563" i="3" s="1"/>
  <c r="V346" i="3"/>
  <c r="Y346" i="3" s="1"/>
  <c r="V1044" i="3"/>
  <c r="Y1044" i="3" s="1"/>
  <c r="V1020" i="3"/>
  <c r="Y1020" i="3" s="1"/>
  <c r="V178" i="3"/>
  <c r="Y178" i="3" s="1"/>
  <c r="V97" i="3"/>
  <c r="Y97" i="3" s="1"/>
  <c r="V197" i="3"/>
  <c r="Y197" i="3" s="1"/>
  <c r="V209" i="3"/>
  <c r="Y209" i="3" s="1"/>
  <c r="V740" i="3"/>
  <c r="Y740" i="3" s="1"/>
  <c r="V341" i="3"/>
  <c r="Y341" i="3" s="1"/>
  <c r="V524" i="3"/>
  <c r="Y524" i="3" s="1"/>
  <c r="V937" i="3"/>
  <c r="Y937" i="3" s="1"/>
  <c r="V512" i="3"/>
  <c r="Y512" i="3" s="1"/>
  <c r="V150" i="3"/>
  <c r="Y150" i="3" s="1"/>
  <c r="V1116" i="3"/>
  <c r="Y1116" i="3" s="1"/>
  <c r="V1130" i="3"/>
  <c r="Y1130" i="3" s="1"/>
  <c r="V514" i="3"/>
  <c r="Y514" i="3" s="1"/>
  <c r="V954" i="3"/>
  <c r="Y954" i="3" s="1"/>
  <c r="V331" i="3"/>
  <c r="Y331" i="3" s="1"/>
  <c r="V210" i="3"/>
  <c r="Y210" i="3" s="1"/>
  <c r="V108" i="3"/>
  <c r="Y108" i="3" s="1"/>
  <c r="V174" i="3"/>
  <c r="Y174" i="3" s="1"/>
  <c r="V1188" i="3"/>
  <c r="Y1188" i="3" s="1"/>
  <c r="V43" i="3"/>
  <c r="Y43" i="3" s="1"/>
  <c r="V1094" i="3"/>
  <c r="Y1094" i="3" s="1"/>
  <c r="V628" i="3"/>
  <c r="Y628" i="3" s="1"/>
  <c r="V422" i="3"/>
  <c r="Y422" i="3" s="1"/>
  <c r="V336" i="3"/>
  <c r="Y336" i="3" s="1"/>
  <c r="V692" i="3"/>
  <c r="Y692" i="3" s="1"/>
  <c r="V677" i="3"/>
  <c r="Y677" i="3" s="1"/>
  <c r="V606" i="3"/>
  <c r="Y606" i="3" s="1"/>
  <c r="V520" i="3"/>
  <c r="Y520" i="3" s="1"/>
  <c r="V1103" i="3"/>
  <c r="Y1103" i="3" s="1"/>
  <c r="V797" i="3"/>
  <c r="Y797" i="3" s="1"/>
  <c r="V926" i="3"/>
  <c r="Y926" i="3" s="1"/>
  <c r="V1213" i="3"/>
  <c r="V1038" i="3"/>
  <c r="Y1038" i="3" s="1"/>
  <c r="V116" i="3"/>
  <c r="Y116" i="3" s="1"/>
  <c r="V914" i="3"/>
  <c r="Y914" i="3" s="1"/>
  <c r="V1086" i="3"/>
  <c r="Y1086" i="3" s="1"/>
  <c r="V118" i="3"/>
  <c r="Y118" i="3" s="1"/>
  <c r="V642" i="3"/>
  <c r="Y642" i="3" s="1"/>
  <c r="V400" i="3"/>
  <c r="Y400" i="3" s="1"/>
  <c r="V460" i="3"/>
  <c r="Y460" i="3" s="1"/>
  <c r="V455" i="3"/>
  <c r="Y455" i="3" s="1"/>
  <c r="V873" i="3"/>
  <c r="Y873" i="3" s="1"/>
  <c r="V780" i="3"/>
  <c r="Y780" i="3" s="1"/>
  <c r="V503" i="3"/>
  <c r="Y503" i="3" s="1"/>
  <c r="V417" i="3"/>
  <c r="Y417" i="3" s="1"/>
  <c r="V227" i="3"/>
  <c r="Y227" i="3" s="1"/>
  <c r="V770" i="3"/>
  <c r="Y770" i="3" s="1"/>
  <c r="V687" i="3"/>
  <c r="Y687" i="3" s="1"/>
  <c r="V737" i="3"/>
  <c r="Y737" i="3" s="1"/>
  <c r="V260" i="3"/>
  <c r="Y260" i="3" s="1"/>
  <c r="V528" i="3"/>
  <c r="Y528" i="3" s="1"/>
  <c r="V322" i="3"/>
  <c r="Y322" i="3" s="1"/>
  <c r="V574" i="3"/>
  <c r="Y574" i="3" s="1"/>
  <c r="V769" i="3"/>
  <c r="Y769" i="3" s="1"/>
  <c r="V1093" i="3"/>
  <c r="Y1093" i="3" s="1"/>
  <c r="V207" i="3"/>
  <c r="Y207" i="3" s="1"/>
  <c r="V354" i="3"/>
  <c r="Y354" i="3" s="1"/>
  <c r="V883" i="3"/>
  <c r="Y883" i="3" s="1"/>
  <c r="V733" i="3"/>
  <c r="Y733" i="3" s="1"/>
  <c r="V607" i="3"/>
  <c r="Y607" i="3" s="1"/>
  <c r="V456" i="3"/>
  <c r="Y456" i="3" s="1"/>
  <c r="V278" i="3"/>
  <c r="Y278" i="3" s="1"/>
  <c r="V414" i="3"/>
  <c r="Y414" i="3" s="1"/>
  <c r="V964" i="3"/>
  <c r="Y964" i="3" s="1"/>
  <c r="V65" i="3"/>
  <c r="Y65" i="3" s="1"/>
  <c r="V1180" i="3"/>
  <c r="Y1180" i="3" s="1"/>
  <c r="V1190" i="3"/>
  <c r="Y1190" i="3" s="1"/>
  <c r="V693" i="3"/>
  <c r="Y693" i="3" s="1"/>
  <c r="V468" i="3"/>
  <c r="Y468" i="3" s="1"/>
  <c r="V44" i="3"/>
  <c r="Y44" i="3" s="1"/>
  <c r="V122" i="3"/>
  <c r="Y122" i="3" s="1"/>
  <c r="V679" i="3"/>
  <c r="Y679" i="3" s="1"/>
  <c r="V462" i="3"/>
  <c r="Y462" i="3" s="1"/>
  <c r="V647" i="3"/>
  <c r="Y647" i="3" s="1"/>
  <c r="V729" i="3"/>
  <c r="Y729" i="3" s="1"/>
  <c r="V1202" i="3"/>
  <c r="Y1202" i="3" s="1"/>
  <c r="V730" i="3"/>
  <c r="Y730" i="3" s="1"/>
  <c r="V228" i="3"/>
  <c r="Y228" i="3" s="1"/>
  <c r="V529" i="3"/>
  <c r="Y529" i="3" s="1"/>
  <c r="V676" i="3"/>
  <c r="Y676" i="3" s="1"/>
  <c r="V431" i="3"/>
  <c r="Y431" i="3" s="1"/>
  <c r="V318" i="3"/>
  <c r="Y318" i="3" s="1"/>
  <c r="V1173" i="3"/>
  <c r="Y1173" i="3" s="1"/>
  <c r="V457" i="3"/>
  <c r="Y457" i="3" s="1"/>
  <c r="V702" i="3"/>
  <c r="Y702" i="3" s="1"/>
  <c r="V724" i="3"/>
  <c r="Y724" i="3" s="1"/>
  <c r="V951" i="3"/>
  <c r="Y951" i="3" s="1"/>
  <c r="V599" i="3"/>
  <c r="Y599" i="3" s="1"/>
  <c r="V1159" i="3"/>
  <c r="Y1159" i="3" s="1"/>
  <c r="V738" i="3"/>
  <c r="Y738" i="3" s="1"/>
  <c r="V847" i="3"/>
  <c r="Y847" i="3" s="1"/>
  <c r="V1194" i="3"/>
  <c r="Y1194" i="3" s="1"/>
  <c r="V441" i="3"/>
  <c r="Y441" i="3" s="1"/>
  <c r="V1117" i="3"/>
  <c r="Y1117" i="3" s="1"/>
  <c r="V938" i="3"/>
  <c r="Y938" i="3" s="1"/>
  <c r="V996" i="3"/>
  <c r="Y996" i="3" s="1"/>
  <c r="V384" i="3"/>
  <c r="Y384" i="3" s="1"/>
  <c r="V860" i="3"/>
  <c r="Y860" i="3" s="1"/>
  <c r="V337" i="3"/>
  <c r="Y337" i="3" s="1"/>
  <c r="V623" i="3"/>
  <c r="Y623" i="3" s="1"/>
  <c r="V107" i="3"/>
  <c r="Y107" i="3" s="1"/>
  <c r="V443" i="3"/>
  <c r="Y443" i="3" s="1"/>
  <c r="V764" i="3"/>
  <c r="Y764" i="3" s="1"/>
  <c r="V1008" i="3"/>
  <c r="Y1008" i="3" s="1"/>
  <c r="V444" i="3"/>
  <c r="Y444" i="3" s="1"/>
  <c r="V970" i="3"/>
  <c r="Y970" i="3" s="1"/>
  <c r="V773" i="3"/>
  <c r="Y773" i="3" s="1"/>
  <c r="V429" i="3"/>
  <c r="Y429" i="3" s="1"/>
  <c r="V1083" i="3"/>
  <c r="Y1083" i="3" s="1"/>
  <c r="V630" i="3"/>
  <c r="Y630" i="3" s="1"/>
  <c r="V435" i="3"/>
  <c r="Y435" i="3" s="1"/>
  <c r="V542" i="3"/>
  <c r="Y542" i="3" s="1"/>
  <c r="V899" i="3"/>
  <c r="Y899" i="3" s="1"/>
  <c r="V779" i="3"/>
  <c r="Y779" i="3" s="1"/>
  <c r="V1048" i="3"/>
  <c r="Y1048" i="3" s="1"/>
  <c r="V995" i="3"/>
  <c r="Y995" i="3" s="1"/>
  <c r="V186" i="3"/>
  <c r="Y186" i="3" s="1"/>
  <c r="V288" i="3"/>
  <c r="Y288" i="3" s="1"/>
  <c r="V586" i="3"/>
  <c r="Y586" i="3" s="1"/>
  <c r="V906" i="3"/>
  <c r="Y906" i="3" s="1"/>
  <c r="V871" i="3"/>
  <c r="Y871" i="3" s="1"/>
  <c r="V840" i="3"/>
  <c r="Y840" i="3" s="1"/>
  <c r="V588" i="3"/>
  <c r="Y588" i="3" s="1"/>
  <c r="V1199" i="3"/>
  <c r="Y1199" i="3" s="1"/>
  <c r="V944" i="3"/>
  <c r="Y944" i="3" s="1"/>
  <c r="V130" i="3"/>
  <c r="Y130" i="3" s="1"/>
  <c r="V917" i="3"/>
  <c r="Y917" i="3" s="1"/>
  <c r="V1071" i="3"/>
  <c r="Y1071" i="3" s="1"/>
  <c r="V1176" i="3"/>
  <c r="Y1176" i="3" s="1"/>
  <c r="V927" i="3"/>
  <c r="Y927" i="3" s="1"/>
  <c r="V85" i="3"/>
  <c r="Y85" i="3" s="1"/>
  <c r="V391" i="3"/>
  <c r="Y391" i="3" s="1"/>
  <c r="V232" i="3"/>
  <c r="Y232" i="3" s="1"/>
  <c r="V989" i="3"/>
  <c r="Y989" i="3" s="1"/>
  <c r="V803" i="3"/>
  <c r="Y803" i="3" s="1"/>
  <c r="V1025" i="3"/>
  <c r="Y1025" i="3" s="1"/>
  <c r="V792" i="3"/>
  <c r="Y792" i="3" s="1"/>
  <c r="V761" i="3"/>
  <c r="Y761" i="3" s="1"/>
  <c r="V362" i="3"/>
  <c r="Y362" i="3" s="1"/>
  <c r="V352" i="3"/>
  <c r="Y352" i="3" s="1"/>
  <c r="V225" i="3"/>
  <c r="Y225" i="3" s="1"/>
  <c r="V541" i="3"/>
  <c r="Y541" i="3" s="1"/>
  <c r="V1089" i="3"/>
  <c r="Y1089" i="3" s="1"/>
  <c r="V1208" i="3"/>
  <c r="Y1208" i="3" s="1"/>
  <c r="V96" i="3"/>
  <c r="Y96" i="3" s="1"/>
  <c r="V109" i="3"/>
  <c r="Y109" i="3" s="1"/>
  <c r="V749" i="3"/>
  <c r="Y749" i="3" s="1"/>
  <c r="V955" i="3"/>
  <c r="Y955" i="3" s="1"/>
  <c r="V521" i="3"/>
  <c r="Y521" i="3" s="1"/>
  <c r="V741" i="3"/>
  <c r="Y741" i="3" s="1"/>
  <c r="V972" i="3"/>
  <c r="Y972" i="3" s="1"/>
  <c r="V1140" i="3"/>
  <c r="Y1140" i="3" s="1"/>
  <c r="V146" i="3"/>
  <c r="Y146" i="3" s="1"/>
  <c r="V235" i="3"/>
  <c r="Y235" i="3" s="1"/>
  <c r="V92" i="3"/>
  <c r="Y92" i="3" s="1"/>
  <c r="V1125" i="3"/>
  <c r="Y1125" i="3" s="1"/>
  <c r="V506" i="3"/>
  <c r="Y506" i="3" s="1"/>
  <c r="V255" i="3"/>
  <c r="Y255" i="3" s="1"/>
  <c r="V531" i="3"/>
  <c r="Y531" i="3" s="1"/>
  <c r="V910" i="3"/>
  <c r="Y910" i="3" s="1"/>
  <c r="V134" i="3"/>
  <c r="Y134" i="3" s="1"/>
  <c r="V1058" i="3"/>
  <c r="Y1058" i="3" s="1"/>
  <c r="V1073" i="3"/>
  <c r="Y1073" i="3" s="1"/>
  <c r="V268" i="3"/>
  <c r="Y268" i="3" s="1"/>
  <c r="V1104" i="3"/>
  <c r="Y1104" i="3" s="1"/>
  <c r="V22" i="3"/>
  <c r="Y22" i="3" s="1"/>
  <c r="V453" i="3"/>
  <c r="Y453" i="3" s="1"/>
  <c r="V181" i="3"/>
  <c r="Y181" i="3" s="1"/>
  <c r="V958" i="3"/>
  <c r="Y958" i="3" s="1"/>
  <c r="V63" i="3"/>
  <c r="Y63" i="3" s="1"/>
  <c r="V532" i="3"/>
  <c r="Y532" i="3" s="1"/>
  <c r="V1051" i="3"/>
  <c r="Y1051" i="3" s="1"/>
  <c r="V200" i="3"/>
  <c r="Y200" i="3" s="1"/>
  <c r="V929" i="3"/>
  <c r="Y929" i="3" s="1"/>
  <c r="V211" i="3"/>
  <c r="Y211" i="3" s="1"/>
  <c r="V986" i="3"/>
  <c r="Y986" i="3" s="1"/>
  <c r="V136" i="3"/>
  <c r="Y136" i="3" s="1"/>
  <c r="V320" i="3"/>
  <c r="Y320" i="3" s="1"/>
  <c r="V866" i="3"/>
  <c r="Y866" i="3" s="1"/>
  <c r="V751" i="3"/>
  <c r="Y751" i="3" s="1"/>
  <c r="V489" i="3"/>
  <c r="Y489" i="3" s="1"/>
  <c r="V243" i="3"/>
  <c r="Y243" i="3" s="1"/>
  <c r="V309" i="3"/>
  <c r="Y309" i="3" s="1"/>
  <c r="V240" i="3"/>
  <c r="Y240" i="3" s="1"/>
  <c r="V401" i="3"/>
  <c r="Y401" i="3" s="1"/>
  <c r="V885" i="3"/>
  <c r="Y885" i="3" s="1"/>
  <c r="V323" i="3"/>
  <c r="Y323" i="3" s="1"/>
  <c r="V493" i="3"/>
  <c r="Y493" i="3" s="1"/>
  <c r="V581" i="3"/>
  <c r="Y581" i="3" s="1"/>
  <c r="V1021" i="3"/>
  <c r="Y1021" i="3" s="1"/>
  <c r="V270" i="3"/>
  <c r="Y270" i="3" s="1"/>
  <c r="V1153" i="3"/>
  <c r="Y1153" i="3" s="1"/>
  <c r="V172" i="3"/>
  <c r="Y172" i="3" s="1"/>
  <c r="V551" i="3"/>
  <c r="Y551" i="3" s="1"/>
  <c r="V978" i="3"/>
  <c r="Y978" i="3" s="1"/>
  <c r="V1001" i="3"/>
  <c r="Y1001" i="3" s="1"/>
  <c r="V539" i="3"/>
  <c r="Y539" i="3" s="1"/>
  <c r="V82" i="3"/>
  <c r="Y82" i="3" s="1"/>
  <c r="V452" i="3"/>
  <c r="Y452" i="3" s="1"/>
  <c r="V347" i="3"/>
  <c r="Y347" i="3" s="1"/>
  <c r="V344" i="3"/>
  <c r="Y344" i="3" s="1"/>
  <c r="V395" i="3"/>
  <c r="Y395" i="3" s="1"/>
  <c r="V266" i="3"/>
  <c r="Y266" i="3" s="1"/>
  <c r="V206" i="3"/>
  <c r="Y206" i="3" s="1"/>
  <c r="V941" i="3"/>
  <c r="Y941" i="3" s="1"/>
  <c r="V1032" i="3"/>
  <c r="Y1032" i="3" s="1"/>
  <c r="V1077" i="3"/>
  <c r="Y1077" i="3" s="1"/>
  <c r="V252" i="3"/>
  <c r="Y252" i="3" s="1"/>
  <c r="V381" i="3"/>
  <c r="Y381" i="3" s="1"/>
  <c r="V35" i="3"/>
  <c r="Y35" i="3" s="1"/>
  <c r="V714" i="3"/>
  <c r="Y714" i="3" s="1"/>
  <c r="V143" i="3"/>
  <c r="Y143" i="3" s="1"/>
  <c r="V1209" i="3"/>
  <c r="Y1209" i="3" s="1"/>
  <c r="V534" i="3"/>
  <c r="Y534" i="3" s="1"/>
  <c r="V17" i="3"/>
  <c r="Y17" i="3" s="1"/>
  <c r="V664" i="3"/>
  <c r="Y664" i="3" s="1"/>
  <c r="V1146" i="3"/>
  <c r="Y1146" i="3" s="1"/>
  <c r="V470" i="3"/>
  <c r="Y470" i="3" s="1"/>
  <c r="V655" i="3"/>
  <c r="Y655" i="3" s="1"/>
  <c r="V632" i="3"/>
  <c r="Y632" i="3" s="1"/>
  <c r="V23" i="3"/>
  <c r="Y23" i="3" s="1"/>
  <c r="V194" i="3"/>
  <c r="Y194" i="3" s="1"/>
  <c r="V950" i="3"/>
  <c r="Y950" i="3" s="1"/>
  <c r="V52" i="3"/>
  <c r="Y52" i="3" s="1"/>
  <c r="V681" i="3"/>
  <c r="Y681" i="3" s="1"/>
  <c r="V557" i="3"/>
  <c r="Y557" i="3" s="1"/>
  <c r="V79" i="3"/>
  <c r="Y79" i="3" s="1"/>
  <c r="V1030" i="3"/>
  <c r="Y1030" i="3" s="1"/>
  <c r="V365" i="3"/>
  <c r="Y365" i="3" s="1"/>
  <c r="V358" i="3"/>
  <c r="Y358" i="3" s="1"/>
  <c r="V273" i="3"/>
  <c r="Y273" i="3" s="1"/>
  <c r="V753" i="3"/>
  <c r="Y753" i="3" s="1"/>
  <c r="V327" i="3"/>
  <c r="Y327" i="3" s="1"/>
  <c r="V83" i="3"/>
  <c r="Y83" i="3" s="1"/>
  <c r="V907" i="3"/>
  <c r="Y907" i="3" s="1"/>
  <c r="V841" i="3"/>
  <c r="Y841" i="3" s="1"/>
  <c r="V382" i="3"/>
  <c r="Y382" i="3" s="1"/>
  <c r="V754" i="3"/>
  <c r="Y754" i="3" s="1"/>
  <c r="V872" i="3"/>
  <c r="Y872" i="3" s="1"/>
  <c r="V193" i="3"/>
  <c r="Y193" i="3" s="1"/>
  <c r="V604" i="3"/>
  <c r="Y604" i="3" s="1"/>
  <c r="V326" i="3"/>
  <c r="Y326" i="3" s="1"/>
  <c r="V715" i="3"/>
  <c r="Y715" i="3" s="1"/>
  <c r="V823" i="3"/>
  <c r="Y823" i="3" s="1"/>
  <c r="V1045" i="3"/>
  <c r="Y1045" i="3" s="1"/>
  <c r="V690" i="3"/>
  <c r="Y690" i="3" s="1"/>
  <c r="V877" i="3"/>
  <c r="Y877" i="3" s="1"/>
  <c r="V949" i="3"/>
  <c r="Y949" i="3" s="1"/>
  <c r="V285" i="3"/>
  <c r="Y285" i="3" s="1"/>
  <c r="V778" i="3"/>
  <c r="Y778" i="3" s="1"/>
  <c r="V53" i="3"/>
  <c r="Y53" i="3" s="1"/>
  <c r="V587" i="3"/>
  <c r="Y587" i="3" s="1"/>
  <c r="V289" i="3"/>
  <c r="Y289" i="3" s="1"/>
  <c r="V233" i="3"/>
  <c r="Y233" i="3" s="1"/>
  <c r="V410" i="3"/>
  <c r="Y410" i="3" s="1"/>
  <c r="V665" i="3"/>
  <c r="Y665" i="3" s="1"/>
  <c r="V306" i="3"/>
  <c r="Y306" i="3" s="1"/>
  <c r="V977" i="3"/>
  <c r="Y977" i="3" s="1"/>
  <c r="V501" i="3"/>
  <c r="Y501" i="3" s="1"/>
  <c r="V129" i="3"/>
  <c r="Y129" i="3" s="1"/>
  <c r="V633" i="3"/>
  <c r="Y633" i="3" s="1"/>
  <c r="V364" i="3"/>
  <c r="Y364" i="3" s="1"/>
  <c r="V283" i="3"/>
  <c r="Y283" i="3" s="1"/>
  <c r="V1031" i="3"/>
  <c r="Y1031" i="3" s="1"/>
  <c r="V131" i="3"/>
  <c r="Y131" i="3" s="1"/>
  <c r="V990" i="3"/>
  <c r="Y990" i="3" s="1"/>
  <c r="V807" i="3"/>
  <c r="Y807" i="3" s="1"/>
  <c r="V1000" i="3"/>
  <c r="Y1000" i="3" s="1"/>
  <c r="V1013" i="3"/>
  <c r="Y1013" i="3" s="1"/>
  <c r="V343" i="3"/>
  <c r="Y343" i="3" s="1"/>
  <c r="V1198" i="3"/>
  <c r="Y1198" i="3" s="1"/>
  <c r="V921" i="3"/>
  <c r="Y921" i="3" s="1"/>
  <c r="V1026" i="3"/>
  <c r="Y1026" i="3" s="1"/>
  <c r="V1108" i="3"/>
  <c r="Y1108" i="3" s="1"/>
  <c r="V1186" i="3"/>
  <c r="Y1186" i="3" s="1"/>
  <c r="V756" i="3"/>
  <c r="Y756" i="3" s="1"/>
  <c r="V247" i="3"/>
  <c r="Y247" i="3" s="1"/>
  <c r="V56" i="3"/>
  <c r="Y56" i="3" s="1"/>
  <c r="V612" i="3"/>
  <c r="Y612" i="3" s="1"/>
  <c r="V686" i="3"/>
  <c r="Y686" i="3" s="1"/>
  <c r="V651" i="3"/>
  <c r="Y651" i="3" s="1"/>
  <c r="V912" i="3"/>
  <c r="Y912" i="3" s="1"/>
  <c r="V790" i="3"/>
  <c r="Y790" i="3" s="1"/>
  <c r="V162" i="3"/>
  <c r="Y162" i="3" s="1"/>
  <c r="V887" i="3"/>
  <c r="Y887" i="3" s="1"/>
  <c r="V762" i="3"/>
  <c r="Y762" i="3" s="1"/>
  <c r="V472" i="3"/>
  <c r="Y472" i="3" s="1"/>
  <c r="V684" i="3"/>
  <c r="Y684" i="3" s="1"/>
  <c r="V50" i="3"/>
  <c r="Y50" i="3" s="1"/>
  <c r="V1148" i="3"/>
  <c r="Y1148" i="3" s="1"/>
  <c r="V350" i="3"/>
  <c r="Y350" i="3" s="1"/>
  <c r="V313" i="3"/>
  <c r="Y313" i="3" s="1"/>
  <c r="V86" i="3"/>
  <c r="Y86" i="3" s="1"/>
  <c r="V425" i="3"/>
  <c r="Y425" i="3" s="1"/>
  <c r="V1170" i="3"/>
  <c r="Y1170" i="3" s="1"/>
  <c r="V934" i="3"/>
  <c r="Y934" i="3" s="1"/>
  <c r="V1036" i="3"/>
  <c r="Y1036" i="3" s="1"/>
  <c r="V405" i="3"/>
  <c r="Y405" i="3" s="1"/>
  <c r="V433" i="3"/>
  <c r="Y433" i="3" s="1"/>
  <c r="V617" i="3"/>
  <c r="Y617" i="3" s="1"/>
  <c r="V427" i="3"/>
  <c r="Y427" i="3" s="1"/>
  <c r="V14" i="3"/>
  <c r="Y14" i="3" s="1"/>
  <c r="V671" i="3"/>
  <c r="Y671" i="3" s="1"/>
  <c r="V415" i="3"/>
  <c r="Y415" i="3" s="1"/>
  <c r="V353" i="3"/>
  <c r="Y353" i="3" s="1"/>
  <c r="V540" i="3"/>
  <c r="Y540" i="3" s="1"/>
  <c r="V349" i="3"/>
  <c r="Y349" i="3" s="1"/>
  <c r="V1175" i="3"/>
  <c r="Y1175" i="3" s="1"/>
  <c r="V992" i="3"/>
  <c r="Y992" i="3" s="1"/>
  <c r="V487" i="3"/>
  <c r="Y487" i="3" s="1"/>
  <c r="V1183" i="3"/>
  <c r="Y1183" i="3" s="1"/>
  <c r="V943" i="3"/>
  <c r="Y943" i="3" s="1"/>
  <c r="V76" i="3"/>
  <c r="Y76" i="3" s="1"/>
  <c r="V855" i="3"/>
  <c r="Y855" i="3" s="1"/>
  <c r="V1075" i="3"/>
  <c r="Y1075" i="3" s="1"/>
  <c r="V302" i="3"/>
  <c r="Y302" i="3" s="1"/>
  <c r="V1164" i="3"/>
  <c r="Y1164" i="3" s="1"/>
  <c r="V1023" i="3"/>
  <c r="Y1023" i="3" s="1"/>
  <c r="V625" i="3"/>
  <c r="Y625" i="3" s="1"/>
  <c r="V300" i="3"/>
  <c r="Y300" i="3" s="1"/>
  <c r="V179" i="3"/>
  <c r="Y179" i="3" s="1"/>
  <c r="V40" i="3"/>
  <c r="Y40" i="3" s="1"/>
  <c r="V1141" i="3"/>
  <c r="Y1141" i="3" s="1"/>
  <c r="V101" i="3"/>
  <c r="Y101" i="3" s="1"/>
  <c r="V809" i="3"/>
  <c r="Y809" i="3" s="1"/>
  <c r="V766" i="3"/>
  <c r="Y766" i="3" s="1"/>
  <c r="V1203" i="3"/>
  <c r="Y1203" i="3" s="1"/>
  <c r="V1154" i="3"/>
  <c r="Y1154" i="3" s="1"/>
  <c r="V204" i="3"/>
  <c r="Y204" i="3" s="1"/>
  <c r="V199" i="3"/>
  <c r="Y199" i="3" s="1"/>
  <c r="V372" i="3"/>
  <c r="Y372" i="3" s="1"/>
  <c r="V373" i="3"/>
  <c r="Y373" i="3" s="1"/>
  <c r="V57" i="3"/>
  <c r="Y57" i="3" s="1"/>
  <c r="V477" i="3"/>
  <c r="Y477" i="3" s="1"/>
  <c r="V904" i="3"/>
  <c r="Y904" i="3" s="1"/>
  <c r="V846" i="3"/>
  <c r="Y846" i="3" s="1"/>
  <c r="V745" i="3"/>
  <c r="Y745" i="3" s="1"/>
  <c r="V839" i="3"/>
  <c r="Y839" i="3" s="1"/>
  <c r="V1210" i="3"/>
  <c r="Y1210" i="3" s="1"/>
  <c r="V18" i="3"/>
  <c r="Y18" i="3" s="1"/>
  <c r="V330" i="3"/>
  <c r="Y330" i="3" s="1"/>
  <c r="V149" i="3"/>
  <c r="Y149" i="3" s="1"/>
  <c r="V719" i="3"/>
  <c r="Y719" i="3" s="1"/>
  <c r="V479" i="3"/>
  <c r="Y479" i="3" s="1"/>
  <c r="V802" i="3"/>
  <c r="Y802" i="3" s="1"/>
  <c r="V544" i="3"/>
  <c r="Y544" i="3" s="1"/>
  <c r="V36" i="3"/>
  <c r="Y36" i="3" s="1"/>
  <c r="V527" i="3"/>
  <c r="Y527" i="3" s="1"/>
  <c r="V511" i="3"/>
  <c r="Y511" i="3" s="1"/>
  <c r="V798" i="3"/>
  <c r="Y798" i="3" s="1"/>
  <c r="V727" i="3"/>
  <c r="Y727" i="3" s="1"/>
  <c r="V226" i="3"/>
  <c r="Y226" i="3" s="1"/>
  <c r="V102" i="3"/>
  <c r="Y102" i="3" s="1"/>
  <c r="V135" i="3"/>
  <c r="Y135" i="3" s="1"/>
  <c r="V399" i="3"/>
  <c r="Y399" i="3" s="1"/>
  <c r="V440" i="3"/>
  <c r="Y440" i="3" s="1"/>
  <c r="V84" i="3"/>
  <c r="Y84" i="3" s="1"/>
  <c r="V771" i="3"/>
  <c r="Y771" i="3" s="1"/>
  <c r="V1043" i="3"/>
  <c r="Y1043" i="3" s="1"/>
  <c r="V492" i="3"/>
  <c r="Y492" i="3" s="1"/>
  <c r="V411" i="3"/>
  <c r="Y411" i="3" s="1"/>
  <c r="V426" i="3"/>
  <c r="Y426" i="3" s="1"/>
  <c r="V483" i="3"/>
  <c r="Y483" i="3" s="1"/>
  <c r="V378" i="3"/>
  <c r="Y378" i="3" s="1"/>
  <c r="V188" i="3"/>
  <c r="Y188" i="3" s="1"/>
  <c r="V451" i="3"/>
  <c r="Y451" i="3" s="1"/>
  <c r="V967" i="3"/>
  <c r="Y967" i="3" s="1"/>
  <c r="V328" i="3"/>
  <c r="Y328" i="3" s="1"/>
  <c r="V1206" i="3"/>
  <c r="Y1206" i="3" s="1"/>
  <c r="V561" i="3"/>
  <c r="Y561" i="3" s="1"/>
  <c r="V530" i="3"/>
  <c r="Y530" i="3" s="1"/>
  <c r="V673" i="3"/>
  <c r="Y673" i="3" s="1"/>
  <c r="V497" i="3"/>
  <c r="Y497" i="3" s="1"/>
  <c r="V307" i="3"/>
  <c r="Y307" i="3" s="1"/>
  <c r="V465" i="3"/>
  <c r="Y465" i="3" s="1"/>
  <c r="V758" i="3"/>
  <c r="Y758" i="3" s="1"/>
  <c r="V1081" i="3"/>
  <c r="Y1081" i="3" s="1"/>
  <c r="V591" i="3"/>
  <c r="Y591" i="3" s="1"/>
  <c r="V568" i="3"/>
  <c r="Y568" i="3" s="1"/>
  <c r="V124" i="3"/>
  <c r="Y124" i="3" s="1"/>
  <c r="V191" i="3"/>
  <c r="Y191" i="3" s="1"/>
  <c r="V660" i="3"/>
  <c r="Y660" i="3" s="1"/>
  <c r="V165" i="3"/>
  <c r="Y165" i="3" s="1"/>
  <c r="V159" i="3"/>
  <c r="Y159" i="3" s="1"/>
  <c r="V68" i="3"/>
  <c r="Y68" i="3" s="1"/>
  <c r="V548" i="3"/>
  <c r="Y548" i="3" s="1"/>
  <c r="V473" i="3"/>
  <c r="Y473" i="3" s="1"/>
  <c r="V865" i="3"/>
  <c r="Y865" i="3" s="1"/>
  <c r="V583" i="3"/>
  <c r="Y583" i="3" s="1"/>
  <c r="V290" i="3"/>
  <c r="Y290" i="3" s="1"/>
  <c r="V214" i="3"/>
  <c r="Y214" i="3" s="1"/>
  <c r="V760" i="3"/>
  <c r="Y760" i="3" s="1"/>
  <c r="V412" i="3"/>
  <c r="Y412" i="3" s="1"/>
  <c r="V981" i="3"/>
  <c r="Y981" i="3" s="1"/>
  <c r="V982" i="3"/>
  <c r="Y982" i="3" s="1"/>
  <c r="V816" i="3"/>
  <c r="Y816" i="3" s="1"/>
  <c r="V817" i="3"/>
  <c r="Y817" i="3" s="1"/>
  <c r="V1181" i="3"/>
  <c r="Y1181" i="3" s="1"/>
  <c r="V1182" i="3"/>
  <c r="Y1182" i="3" s="1"/>
  <c r="V1123" i="3"/>
  <c r="Y1123" i="3" s="1"/>
  <c r="V1124" i="3"/>
  <c r="Y1124" i="3" s="1"/>
  <c r="V147" i="3"/>
  <c r="Y147" i="3" s="1"/>
  <c r="V148" i="3"/>
  <c r="Y148" i="3" s="1"/>
  <c r="V296" i="3"/>
  <c r="Y296" i="3" s="1"/>
  <c r="V297" i="3"/>
  <c r="Y297" i="3" s="1"/>
  <c r="V667" i="3"/>
  <c r="Y667" i="3" s="1"/>
  <c r="V668" i="3"/>
  <c r="Y668" i="3" s="1"/>
  <c r="V244" i="3"/>
  <c r="Y244" i="3" s="1"/>
  <c r="V245" i="3"/>
  <c r="Y245" i="3" s="1"/>
  <c r="V280" i="3"/>
  <c r="Y280" i="3" s="1"/>
  <c r="V279" i="3"/>
  <c r="Y279" i="3" s="1"/>
  <c r="V979" i="3"/>
  <c r="Y979" i="3" s="1"/>
  <c r="V980" i="3"/>
  <c r="Y980" i="3" s="1"/>
  <c r="V832" i="3"/>
  <c r="Y832" i="3" s="1"/>
  <c r="V833" i="3"/>
  <c r="Y833" i="3" s="1"/>
  <c r="V744" i="3"/>
  <c r="Y744" i="3" s="1"/>
  <c r="V743" i="3"/>
  <c r="Y743" i="3" s="1"/>
  <c r="V1105" i="3"/>
  <c r="Y1105" i="3" s="1"/>
  <c r="V626" i="3"/>
  <c r="Y626" i="3" s="1"/>
  <c r="V627" i="3"/>
  <c r="Y627" i="3" s="1"/>
  <c r="V888" i="3"/>
  <c r="Y888" i="3" s="1"/>
  <c r="V1027" i="3"/>
  <c r="Y1027" i="3" s="1"/>
  <c r="V1028" i="3"/>
  <c r="Y1028" i="3" s="1"/>
  <c r="V818" i="3"/>
  <c r="Y818" i="3" s="1"/>
  <c r="V819" i="3"/>
  <c r="Y819" i="3" s="1"/>
  <c r="V1149" i="3"/>
  <c r="Y1149" i="3" s="1"/>
  <c r="V608" i="3"/>
  <c r="Y608" i="3" s="1"/>
  <c r="V609" i="3"/>
  <c r="Y609" i="3" s="1"/>
  <c r="V661" i="3"/>
  <c r="Y661" i="3" s="1"/>
  <c r="V662" i="3"/>
  <c r="Y662" i="3" s="1"/>
  <c r="V71" i="3"/>
  <c r="Y71" i="3" s="1"/>
  <c r="V70" i="3"/>
  <c r="Y70" i="3" s="1"/>
  <c r="V895" i="3"/>
  <c r="Y895" i="3" s="1"/>
  <c r="V896" i="3"/>
  <c r="Y896" i="3" s="1"/>
  <c r="V1061" i="3"/>
  <c r="Y1061" i="3" s="1"/>
  <c r="V1062" i="3"/>
  <c r="Y1062" i="3" s="1"/>
  <c r="V800" i="3"/>
  <c r="Y800" i="3" s="1"/>
  <c r="V799" i="3"/>
  <c r="Y799" i="3" s="1"/>
  <c r="V536" i="3"/>
  <c r="Y536" i="3" s="1"/>
  <c r="V535" i="3"/>
  <c r="Y535" i="3" s="1"/>
  <c r="V1177" i="3"/>
  <c r="Y1177" i="3" s="1"/>
  <c r="V1178" i="3"/>
  <c r="Y1178" i="3" s="1"/>
  <c r="V1128" i="3"/>
  <c r="Y1128" i="3" s="1"/>
  <c r="V1129" i="3"/>
  <c r="Y1129" i="3" s="1"/>
  <c r="V930" i="3"/>
  <c r="Y930" i="3" s="1"/>
  <c r="V1053" i="3"/>
  <c r="Y1053" i="3" s="1"/>
  <c r="V1054" i="3"/>
  <c r="Y1054" i="3" s="1"/>
  <c r="V794" i="3"/>
  <c r="Y794" i="3" s="1"/>
  <c r="V795" i="3"/>
  <c r="Y795" i="3" s="1"/>
  <c r="V721" i="3"/>
  <c r="Y721" i="3" s="1"/>
  <c r="V722" i="3"/>
  <c r="Y722" i="3" s="1"/>
  <c r="V811" i="3"/>
  <c r="Y811" i="3" s="1"/>
  <c r="V571" i="3"/>
  <c r="Y571" i="3" s="1"/>
  <c r="V572" i="3"/>
  <c r="Y572" i="3" s="1"/>
  <c r="V708" i="3"/>
  <c r="Y708" i="3" s="1"/>
  <c r="V709" i="3"/>
  <c r="Y709" i="3" s="1"/>
  <c r="V77" i="3"/>
  <c r="Y77" i="3" s="1"/>
  <c r="V78" i="3"/>
  <c r="Y78" i="3" s="1"/>
  <c r="V932" i="3"/>
  <c r="Y932" i="3" s="1"/>
  <c r="V640" i="3"/>
  <c r="Y640" i="3" s="1"/>
  <c r="V639" i="3"/>
  <c r="Y639" i="3" s="1"/>
  <c r="V475" i="3"/>
  <c r="Y475" i="3" s="1"/>
  <c r="V474" i="3"/>
  <c r="Y474" i="3" s="1"/>
  <c r="V219" i="3"/>
  <c r="Y219" i="3" s="1"/>
  <c r="V218" i="3"/>
  <c r="Y218" i="3" s="1"/>
  <c r="V220" i="3"/>
  <c r="Y220" i="3" s="1"/>
  <c r="V221" i="3"/>
  <c r="Y221" i="3" s="1"/>
  <c r="V880" i="3"/>
  <c r="Y880" i="3" s="1"/>
  <c r="V881" i="3"/>
  <c r="Y881" i="3" s="1"/>
  <c r="V711" i="3"/>
  <c r="Y711" i="3" s="1"/>
  <c r="V375" i="3"/>
  <c r="Y375" i="3" s="1"/>
  <c r="V486" i="3"/>
  <c r="Y486" i="3" s="1"/>
  <c r="V485" i="3"/>
  <c r="Y485" i="3" s="1"/>
  <c r="V1059" i="3"/>
  <c r="Y1059" i="3" s="1"/>
  <c r="V1165" i="3"/>
  <c r="Y1165" i="3" s="1"/>
  <c r="V41" i="3"/>
  <c r="Y41" i="3" s="1"/>
  <c r="V42" i="3"/>
  <c r="Y42" i="3" s="1"/>
  <c r="V167" i="3"/>
  <c r="Y167" i="3" s="1"/>
  <c r="V168" i="3"/>
  <c r="Y168" i="3" s="1"/>
  <c r="V652" i="3"/>
  <c r="Y652" i="3" s="1"/>
  <c r="V653" i="3"/>
  <c r="Y653" i="3" s="1"/>
  <c r="V902" i="3"/>
  <c r="Y902" i="3" s="1"/>
  <c r="V901" i="3"/>
  <c r="Y901" i="3" s="1"/>
  <c r="V387" i="3"/>
  <c r="Y387" i="3" s="1"/>
  <c r="V388" i="3"/>
  <c r="Y388" i="3" s="1"/>
  <c r="V1099" i="3"/>
  <c r="Y1099" i="3" s="1"/>
  <c r="V1100" i="3"/>
  <c r="Y1100" i="3" s="1"/>
  <c r="V236" i="3"/>
  <c r="Y236" i="3" s="1"/>
  <c r="V237" i="3"/>
  <c r="Y237" i="3" s="1"/>
  <c r="V230" i="3"/>
  <c r="Y230" i="3" s="1"/>
  <c r="V231" i="3"/>
  <c r="Y231" i="3" s="1"/>
  <c r="V144" i="3"/>
  <c r="Y144" i="3" s="1"/>
  <c r="V145" i="3"/>
  <c r="Y145" i="3" s="1"/>
  <c r="V339" i="3"/>
  <c r="Y339" i="3" s="1"/>
  <c r="V338" i="3"/>
  <c r="Y338" i="3" s="1"/>
  <c r="V137" i="3"/>
  <c r="Y137" i="3" s="1"/>
  <c r="V138" i="3"/>
  <c r="Y138" i="3" s="1"/>
  <c r="V367" i="3"/>
  <c r="Y367" i="3" s="1"/>
  <c r="V368" i="3"/>
  <c r="Y368" i="3" s="1"/>
  <c r="V303" i="3"/>
  <c r="Y303" i="3" s="1"/>
  <c r="V600" i="3"/>
  <c r="Y600" i="3" s="1"/>
  <c r="V1060" i="3"/>
  <c r="Y1060" i="3" s="1"/>
  <c r="V26" i="3"/>
  <c r="Y26" i="3" s="1"/>
  <c r="V27" i="3"/>
  <c r="Y27" i="3" s="1"/>
  <c r="V1192" i="3"/>
  <c r="Y1192" i="3" s="1"/>
  <c r="V1191" i="3"/>
  <c r="Y1191" i="3" s="1"/>
  <c r="V748" i="3"/>
  <c r="Y748" i="3" s="1"/>
  <c r="V747" i="3"/>
  <c r="Y747" i="3" s="1"/>
  <c r="V1135" i="3"/>
  <c r="Y1135" i="3" s="1"/>
  <c r="V1136" i="3"/>
  <c r="Y1136" i="3" s="1"/>
  <c r="V1002" i="3"/>
  <c r="Y1002" i="3" s="1"/>
  <c r="V1003" i="3"/>
  <c r="Y1003" i="3" s="1"/>
  <c r="V836" i="3"/>
  <c r="Y836" i="3" s="1"/>
  <c r="V837" i="3"/>
  <c r="Y837" i="3" s="1"/>
  <c r="V1145" i="3"/>
  <c r="Y1145" i="3" s="1"/>
  <c r="V1144" i="3"/>
  <c r="Y1144" i="3" s="1"/>
  <c r="V974" i="3"/>
  <c r="Y974" i="3" s="1"/>
  <c r="V975" i="3"/>
  <c r="Y975" i="3" s="1"/>
  <c r="V222" i="3"/>
  <c r="Y222" i="3" s="1"/>
  <c r="V223" i="3"/>
  <c r="Y223" i="3" s="1"/>
  <c r="V1107" i="3"/>
  <c r="Y1107" i="3" s="1"/>
  <c r="V1106" i="3"/>
  <c r="Y1106" i="3" s="1"/>
  <c r="V321" i="3"/>
  <c r="Y321" i="3" s="1"/>
  <c r="V1022" i="3"/>
  <c r="Y1022" i="3" s="1"/>
  <c r="V238" i="3"/>
  <c r="Y238" i="3" s="1"/>
  <c r="V624" i="3"/>
  <c r="Y624" i="3" s="1"/>
  <c r="V458" i="3"/>
  <c r="Y458" i="3" s="1"/>
  <c r="V1195" i="3"/>
  <c r="Y1195" i="3" s="1"/>
  <c r="V494" i="3"/>
  <c r="Y494" i="3" s="1"/>
  <c r="V481" i="3"/>
  <c r="Y481" i="3" s="1"/>
  <c r="V480" i="3"/>
  <c r="Y480" i="3" s="1"/>
  <c r="V1065" i="3"/>
  <c r="Y1065" i="3" s="1"/>
  <c r="V1064" i="3"/>
  <c r="Y1064" i="3" s="1"/>
  <c r="V156" i="3"/>
  <c r="Y156" i="3" s="1"/>
  <c r="V155" i="3"/>
  <c r="Y155" i="3" s="1"/>
  <c r="V281" i="3"/>
  <c r="Y281" i="3" s="1"/>
  <c r="V282" i="3"/>
  <c r="Y282" i="3" s="1"/>
  <c r="V592" i="3"/>
  <c r="Y592" i="3" s="1"/>
  <c r="V593" i="3"/>
  <c r="Y593" i="3" s="1"/>
  <c r="V104" i="3"/>
  <c r="Y104" i="3" s="1"/>
  <c r="V103" i="3"/>
  <c r="Y103" i="3" s="1"/>
  <c r="V1137" i="3"/>
  <c r="Y1137" i="3" s="1"/>
  <c r="V1138" i="3"/>
  <c r="Y1138" i="3" s="1"/>
  <c r="V898" i="3"/>
  <c r="Y898" i="3" s="1"/>
  <c r="V897" i="3"/>
  <c r="Y897" i="3" s="1"/>
  <c r="V688" i="3"/>
  <c r="Y688" i="3" s="1"/>
  <c r="V689" i="3"/>
  <c r="Y689" i="3" s="1"/>
  <c r="V87" i="3"/>
  <c r="Y87" i="3" s="1"/>
  <c r="V464" i="3"/>
  <c r="Y464" i="3" s="1"/>
  <c r="V488" i="3"/>
  <c r="Y488" i="3" s="1"/>
  <c r="V942" i="3"/>
  <c r="Y942" i="3" s="1"/>
  <c r="V454" i="3"/>
  <c r="Y454" i="3" s="1"/>
  <c r="V351" i="3"/>
  <c r="Y351" i="3" s="1"/>
  <c r="V1069" i="3"/>
  <c r="Y1069" i="3" s="1"/>
  <c r="V1070" i="3"/>
  <c r="Y1070" i="3" s="1"/>
  <c r="V613" i="3"/>
  <c r="Y613" i="3" s="1"/>
  <c r="V614" i="3"/>
  <c r="Y614" i="3" s="1"/>
  <c r="V565" i="3"/>
  <c r="Y565" i="3" s="1"/>
  <c r="V566" i="3"/>
  <c r="Y566" i="3" s="1"/>
  <c r="V517" i="3"/>
  <c r="Y517" i="3" s="1"/>
  <c r="V518" i="3"/>
  <c r="Y518" i="3" s="1"/>
  <c r="V24" i="3"/>
  <c r="Y24" i="3" s="1"/>
  <c r="V25" i="3"/>
  <c r="Y25" i="3" s="1"/>
  <c r="V862" i="3"/>
  <c r="Y862" i="3" s="1"/>
  <c r="V863" i="3"/>
  <c r="Y863" i="3" s="1"/>
  <c r="V1072" i="3"/>
  <c r="Y1072" i="3" s="1"/>
  <c r="V64" i="3"/>
  <c r="Y64" i="3" s="1"/>
  <c r="V1171" i="3"/>
  <c r="Y1171" i="3" s="1"/>
  <c r="V442" i="3"/>
  <c r="Y442" i="3" s="1"/>
  <c r="V298" i="3"/>
  <c r="Y298" i="3" s="1"/>
  <c r="V683" i="3"/>
  <c r="Y683" i="3" s="1"/>
  <c r="V274" i="3"/>
  <c r="Y274" i="3" s="1"/>
  <c r="V870" i="3"/>
  <c r="Y870" i="3" s="1"/>
  <c r="V785" i="3"/>
  <c r="Y785" i="3" s="1"/>
  <c r="V786" i="3"/>
  <c r="Y786" i="3" s="1"/>
  <c r="V615" i="3"/>
  <c r="Y615" i="3" s="1"/>
  <c r="V616" i="3"/>
  <c r="Y616" i="3" s="1"/>
  <c r="V1087" i="3"/>
  <c r="Y1087" i="3" s="1"/>
  <c r="V1088" i="3"/>
  <c r="Y1088" i="3" s="1"/>
  <c r="V656" i="3"/>
  <c r="Y656" i="3" s="1"/>
  <c r="V657" i="3"/>
  <c r="Y657" i="3" s="1"/>
  <c r="V961" i="3"/>
  <c r="Y961" i="3" s="1"/>
  <c r="V962" i="3"/>
  <c r="Y962" i="3" s="1"/>
  <c r="V423" i="3"/>
  <c r="Y423" i="3" s="1"/>
  <c r="V424" i="3"/>
  <c r="Y424" i="3" s="1"/>
  <c r="V558" i="3"/>
  <c r="Y558" i="3" s="1"/>
  <c r="V559" i="3"/>
  <c r="Y559" i="3" s="1"/>
  <c r="V428" i="3"/>
  <c r="Y428" i="3" s="1"/>
  <c r="V1174" i="3"/>
  <c r="Y1174" i="3" s="1"/>
  <c r="V674" i="3"/>
  <c r="Y674" i="3" s="1"/>
  <c r="V675" i="3"/>
  <c r="Y675" i="3" s="1"/>
  <c r="V61" i="3"/>
  <c r="Y61" i="3" s="1"/>
  <c r="V21" i="3"/>
  <c r="Y21" i="3" s="1"/>
  <c r="V54" i="3"/>
  <c r="Y54" i="3" s="1"/>
  <c r="V357" i="3"/>
  <c r="Y357" i="3" s="1"/>
  <c r="V936" i="3"/>
  <c r="Y936" i="3" s="1"/>
  <c r="V935" i="3"/>
  <c r="Y935" i="3" s="1"/>
  <c r="V946" i="3"/>
  <c r="Y946" i="3" s="1"/>
  <c r="V947" i="3"/>
  <c r="Y947" i="3" s="1"/>
  <c r="V712" i="3"/>
  <c r="Y712" i="3" s="1"/>
  <c r="V713" i="3"/>
  <c r="Y713" i="3" s="1"/>
  <c r="V48" i="3"/>
  <c r="Y48" i="3" s="1"/>
  <c r="V49" i="3"/>
  <c r="Y49" i="3" s="1"/>
  <c r="V500" i="3"/>
  <c r="Y500" i="3" s="1"/>
  <c r="V499" i="3"/>
  <c r="Y499" i="3" s="1"/>
  <c r="V1157" i="3"/>
  <c r="Y1157" i="3" s="1"/>
  <c r="V1156" i="3"/>
  <c r="Y1156" i="3" s="1"/>
  <c r="V824" i="3"/>
  <c r="Y824" i="3" s="1"/>
  <c r="V825" i="3"/>
  <c r="Y825" i="3" s="1"/>
  <c r="V987" i="3"/>
  <c r="Y987" i="3" s="1"/>
  <c r="V988" i="3"/>
  <c r="Y988" i="3" s="1"/>
  <c r="V397" i="3"/>
  <c r="Y397" i="3" s="1"/>
  <c r="V398" i="3"/>
  <c r="Y398" i="3" s="1"/>
  <c r="V952" i="3"/>
  <c r="Y952" i="3" s="1"/>
  <c r="V892" i="3"/>
  <c r="Y892" i="3" s="1"/>
  <c r="V893" i="3"/>
  <c r="Y893" i="3" s="1"/>
  <c r="V32" i="3"/>
  <c r="Y32" i="3" s="1"/>
  <c r="V31" i="3"/>
  <c r="Y31" i="3" s="1"/>
  <c r="V293" i="3"/>
  <c r="Y293" i="3" s="1"/>
  <c r="V269" i="3"/>
  <c r="Y269" i="3" s="1"/>
  <c r="V333" i="3"/>
  <c r="Y333" i="3" s="1"/>
  <c r="V774" i="3"/>
  <c r="Y774" i="3" s="1"/>
  <c r="V1007" i="3"/>
  <c r="Y1007" i="3" s="1"/>
  <c r="V522" i="3"/>
  <c r="Y522" i="3" s="1"/>
  <c r="V523" i="3"/>
  <c r="Y523" i="3" s="1"/>
  <c r="V182" i="3"/>
  <c r="Y182" i="3" s="1"/>
  <c r="V183" i="3"/>
  <c r="Y183" i="3" s="1"/>
  <c r="V578" i="3"/>
  <c r="Y578" i="3" s="1"/>
  <c r="V579" i="3"/>
  <c r="Y579" i="3" s="1"/>
  <c r="V37" i="3"/>
  <c r="Y37" i="3" s="1"/>
  <c r="V38" i="3"/>
  <c r="Y38" i="3" s="1"/>
  <c r="V1113" i="3"/>
  <c r="Y1113" i="3" s="1"/>
  <c r="V1114" i="3"/>
  <c r="Y1114" i="3" s="1"/>
  <c r="V286" i="3"/>
  <c r="Y286" i="3" s="1"/>
  <c r="V287" i="3"/>
  <c r="Y287" i="3" s="1"/>
  <c r="V985" i="3"/>
  <c r="Y985" i="3" s="1"/>
  <c r="V554" i="3"/>
  <c r="Y554" i="3" s="1"/>
  <c r="V314" i="3"/>
  <c r="Y314" i="3" s="1"/>
  <c r="V75" i="3"/>
  <c r="Y75" i="3" s="1"/>
  <c r="V1169" i="3"/>
  <c r="Y1169" i="3" s="1"/>
  <c r="V672" i="3"/>
  <c r="Y672" i="3" s="1"/>
  <c r="V765" i="3"/>
  <c r="Y765" i="3" s="1"/>
  <c r="V1161" i="3"/>
  <c r="Y1161" i="3" s="1"/>
  <c r="V406" i="3"/>
  <c r="Y406" i="3" s="1"/>
  <c r="V16" i="3"/>
  <c r="Y16" i="3" s="1"/>
  <c r="V569" i="3"/>
  <c r="Y569" i="3" s="1"/>
  <c r="V570" i="3"/>
  <c r="Y570" i="3" s="1"/>
  <c r="V994" i="3"/>
  <c r="Y994" i="3" s="1"/>
  <c r="V187" i="3"/>
  <c r="Y187" i="3" s="1"/>
  <c r="V997" i="3"/>
  <c r="Y997" i="3" s="1"/>
  <c r="V831" i="3"/>
  <c r="Y831" i="3" s="1"/>
  <c r="V787" i="3"/>
  <c r="Y787" i="3" s="1"/>
  <c r="V933" i="3"/>
  <c r="Y933" i="3" s="1"/>
  <c r="V953" i="3"/>
  <c r="Y953" i="3" s="1"/>
  <c r="V752" i="3"/>
  <c r="Y752" i="3" s="1"/>
  <c r="V791" i="3"/>
  <c r="Y791" i="3" s="1"/>
  <c r="V848" i="3"/>
  <c r="Y848" i="3" s="1"/>
  <c r="V1035" i="3"/>
  <c r="Y1035" i="3" s="1"/>
  <c r="V267" i="3"/>
  <c r="Y267" i="3" s="1"/>
  <c r="V205" i="3"/>
  <c r="Y205" i="3" s="1"/>
  <c r="V789" i="3"/>
  <c r="Y789" i="3" s="1"/>
  <c r="V547" i="3"/>
  <c r="Y547" i="3" s="1"/>
  <c r="V1076" i="3"/>
  <c r="Y1076" i="3" s="1"/>
  <c r="V34" i="3"/>
  <c r="Y34" i="3" s="1"/>
  <c r="V251" i="3"/>
  <c r="Y251" i="3" s="1"/>
  <c r="V886" i="3"/>
  <c r="Y886" i="3" s="1"/>
  <c r="V822" i="3"/>
  <c r="Y822" i="3" s="1"/>
  <c r="V88" i="3"/>
  <c r="Y88" i="3" s="1"/>
  <c r="V491" i="3"/>
  <c r="Y491" i="3" s="1"/>
  <c r="V1029" i="3"/>
  <c r="Y1029" i="3" s="1"/>
  <c r="V1150" i="3"/>
  <c r="Y1150" i="3" s="1"/>
  <c r="V272" i="3"/>
  <c r="Y272" i="3" s="1"/>
  <c r="V332" i="3"/>
  <c r="Y332" i="3" s="1"/>
  <c r="V1133" i="3"/>
  <c r="Y1133" i="3" s="1"/>
  <c r="V703" i="3"/>
  <c r="Y703" i="3" s="1"/>
  <c r="V58" i="3"/>
  <c r="Y58" i="3" s="1"/>
  <c r="V1052" i="3"/>
  <c r="Y1052" i="3" s="1"/>
  <c r="V768" i="3"/>
  <c r="Y768" i="3" s="1"/>
  <c r="V601" i="3"/>
  <c r="Y601" i="3" s="1"/>
  <c r="V928" i="3"/>
  <c r="Y928" i="3" s="1"/>
  <c r="V736" i="3"/>
  <c r="Y736" i="3" s="1"/>
  <c r="V940" i="3"/>
  <c r="Y940" i="3" s="1"/>
  <c r="V430" i="3"/>
  <c r="Y430" i="3" s="1"/>
  <c r="V723" i="3"/>
  <c r="Y723" i="3" s="1"/>
  <c r="V335" i="3"/>
  <c r="Y335" i="3" s="1"/>
  <c r="V874" i="3"/>
  <c r="Y874" i="3" s="1"/>
  <c r="V81" i="3"/>
  <c r="Y81" i="3" s="1"/>
  <c r="V394" i="3"/>
  <c r="Y394" i="3" s="1"/>
  <c r="V392" i="3"/>
  <c r="Y392" i="3" s="1"/>
  <c r="V564" i="3"/>
  <c r="Y564" i="3" s="1"/>
  <c r="V216" i="3"/>
  <c r="Y216" i="3" s="1"/>
  <c r="V184" i="3"/>
  <c r="Y184" i="3" s="1"/>
  <c r="V402" i="3"/>
  <c r="Y402" i="3" s="1"/>
  <c r="V28" i="3"/>
  <c r="Y28" i="3" s="1"/>
  <c r="V169" i="3"/>
  <c r="Y169" i="3" s="1"/>
  <c r="V538" i="3"/>
  <c r="Y538" i="3" s="1"/>
  <c r="V1204" i="3"/>
  <c r="Y1204" i="3" s="1"/>
  <c r="V680" i="3"/>
  <c r="Y680" i="3" s="1"/>
  <c r="V379" i="3"/>
  <c r="Y379" i="3" s="1"/>
  <c r="V509" i="3"/>
  <c r="Y509" i="3" s="1"/>
  <c r="V163" i="3"/>
  <c r="Y163" i="3" s="1"/>
  <c r="V308" i="3"/>
  <c r="Y308" i="3" s="1"/>
  <c r="V1212" i="3"/>
  <c r="Y1212" i="3" s="1"/>
  <c r="V106" i="3"/>
  <c r="Y106" i="3" s="1"/>
  <c r="V1115" i="3"/>
  <c r="Y1115" i="3" s="1"/>
  <c r="V925" i="3"/>
  <c r="Y925" i="3" s="1"/>
  <c r="V201" i="3"/>
  <c r="Y201" i="3" s="1"/>
  <c r="V315" i="3"/>
  <c r="Y315" i="3" s="1"/>
  <c r="V851" i="3"/>
  <c r="Y851" i="3" s="1"/>
  <c r="V434" i="3"/>
  <c r="Y434" i="3" s="1"/>
  <c r="V763" i="3"/>
  <c r="Y763" i="3" s="1"/>
  <c r="V1207" i="3"/>
  <c r="Y1207" i="3" s="1"/>
  <c r="V913" i="3"/>
  <c r="Y913" i="3" s="1"/>
  <c r="V1084" i="3"/>
  <c r="Y1084" i="3" s="1"/>
  <c r="V140" i="3"/>
  <c r="Y140" i="3" s="1"/>
  <c r="V459" i="3"/>
  <c r="Y459" i="3" s="1"/>
  <c r="V701" i="3"/>
  <c r="Y701" i="3" s="1"/>
  <c r="V1201" i="3"/>
  <c r="Y1201" i="3" s="1"/>
  <c r="V784" i="3"/>
  <c r="Y784" i="3" s="1"/>
  <c r="V383" i="3"/>
  <c r="Y383" i="3" s="1"/>
  <c r="V173" i="3"/>
  <c r="Y173" i="3" s="1"/>
  <c r="V294" i="3"/>
  <c r="Y294" i="3" s="1"/>
  <c r="V212" i="3"/>
  <c r="Y212" i="3" s="1"/>
  <c r="V396" i="3"/>
  <c r="Y396" i="3" s="1"/>
  <c r="V390" i="3"/>
  <c r="Y390" i="3" s="1"/>
  <c r="V324" i="3"/>
  <c r="Y324" i="3" s="1"/>
  <c r="V467" i="3"/>
  <c r="Y467" i="3" s="1"/>
  <c r="V407" i="3"/>
  <c r="Y407" i="3" s="1"/>
  <c r="V580" i="3"/>
  <c r="Y580" i="3" s="1"/>
  <c r="V533" i="3"/>
  <c r="Y533" i="3" s="1"/>
  <c r="V450" i="3"/>
  <c r="Y450" i="3" s="1"/>
  <c r="V1037" i="3"/>
  <c r="Y1037" i="3" s="1"/>
  <c r="V555" i="3"/>
  <c r="Y555" i="3" s="1"/>
  <c r="V1082" i="3"/>
  <c r="Y1082" i="3" s="1"/>
  <c r="V1196" i="3"/>
  <c r="Y1196" i="3" s="1"/>
  <c r="V969" i="3"/>
  <c r="Y969" i="3" s="1"/>
  <c r="V960" i="3"/>
  <c r="Y960" i="3" s="1"/>
  <c r="V775" i="3"/>
  <c r="Y775" i="3" s="1"/>
  <c r="V1193" i="3"/>
  <c r="Y1193" i="3" s="1"/>
  <c r="V776" i="3"/>
  <c r="Y776" i="3" s="1"/>
  <c r="V905" i="3"/>
  <c r="Y905" i="3" s="1"/>
  <c r="V371" i="3"/>
  <c r="Y371" i="3" s="1"/>
  <c r="V115" i="3"/>
  <c r="Y115" i="3" s="1"/>
  <c r="V345" i="3"/>
  <c r="Y345" i="3" s="1"/>
  <c r="V112" i="3"/>
  <c r="Y112" i="3" s="1"/>
  <c r="V1019" i="3"/>
  <c r="Y1019" i="3" s="1"/>
  <c r="V177" i="3"/>
  <c r="Y177" i="3" s="1"/>
  <c r="V678" i="3"/>
  <c r="Y678" i="3" s="1"/>
  <c r="V196" i="3"/>
  <c r="Y196" i="3" s="1"/>
  <c r="V51" i="3"/>
  <c r="Y51" i="3" s="1"/>
  <c r="V117" i="3"/>
  <c r="Y117" i="3" s="1"/>
  <c r="V47" i="3"/>
  <c r="Y47" i="3" s="1"/>
  <c r="V1078" i="3"/>
  <c r="Y1078" i="3" s="1"/>
  <c r="V556" i="3"/>
  <c r="Y556" i="3" s="1"/>
  <c r="V550" i="3"/>
  <c r="Y550" i="3" s="1"/>
  <c r="V340" i="3"/>
  <c r="Y340" i="3" s="1"/>
  <c r="V185" i="3"/>
  <c r="Y185" i="3" s="1"/>
  <c r="V859" i="3"/>
  <c r="Y859" i="3" s="1"/>
  <c r="V316" i="3"/>
  <c r="Y316" i="3" s="1"/>
  <c r="V192" i="3"/>
  <c r="Y192" i="3" s="1"/>
  <c r="V93" i="3"/>
  <c r="Y93" i="3" s="1"/>
  <c r="V445" i="3"/>
  <c r="Y445" i="3" s="1"/>
  <c r="V1040" i="3"/>
  <c r="Y1040" i="3" s="1"/>
  <c r="V835" i="3"/>
  <c r="Y835" i="3" s="1"/>
  <c r="V725" i="3"/>
  <c r="Y725" i="3" s="1"/>
  <c r="V957" i="3"/>
  <c r="Y957" i="3" s="1"/>
  <c r="V1184" i="3"/>
  <c r="Y1184" i="3" s="1"/>
  <c r="V879" i="3"/>
  <c r="Y879" i="3" s="1"/>
  <c r="V1152" i="3"/>
  <c r="Y1152" i="3" s="1"/>
  <c r="V1162" i="3"/>
  <c r="Y1162" i="3" s="1"/>
  <c r="V919" i="3"/>
  <c r="Y919" i="3" s="1"/>
  <c r="V1112" i="3"/>
  <c r="Y1112" i="3" s="1"/>
  <c r="V782" i="3"/>
  <c r="Y782" i="3" s="1"/>
  <c r="V636" i="3"/>
  <c r="Y636" i="3" s="1"/>
  <c r="V876" i="3"/>
  <c r="Y876" i="3" s="1"/>
  <c r="V852" i="3"/>
  <c r="Y852" i="3" s="1"/>
  <c r="V739" i="3"/>
  <c r="Y739" i="3" s="1"/>
  <c r="V705" i="3"/>
  <c r="Y705" i="3" s="1"/>
  <c r="V1158" i="3"/>
  <c r="Y1158" i="3" s="1"/>
  <c r="V1118" i="3"/>
  <c r="Y1118" i="3" s="1"/>
  <c r="V706" i="3"/>
  <c r="Y706" i="3" s="1"/>
  <c r="V139" i="3"/>
  <c r="Y139" i="3" s="1"/>
  <c r="V618" i="3"/>
  <c r="Y618" i="3" s="1"/>
  <c r="V127" i="3"/>
  <c r="Y127" i="3" s="1"/>
  <c r="V889" i="3"/>
  <c r="Y889" i="3" s="1"/>
  <c r="V376" i="3"/>
  <c r="Y376" i="3" s="1"/>
  <c r="V545" i="3"/>
  <c r="Y545" i="3" s="1"/>
  <c r="V669" i="3"/>
  <c r="Y669" i="3" s="1"/>
  <c r="V844" i="3"/>
  <c r="Y844" i="3" s="1"/>
  <c r="V507" i="3"/>
  <c r="Y507" i="3" s="1"/>
  <c r="V151" i="3"/>
  <c r="Y151" i="3" s="1"/>
  <c r="V670" i="3"/>
  <c r="Y670" i="3" s="1"/>
  <c r="V1042" i="3"/>
  <c r="Y1042" i="3" s="1"/>
  <c r="V682" i="3"/>
  <c r="Y682" i="3" s="1"/>
  <c r="V175" i="3"/>
  <c r="Y175" i="3" s="1"/>
  <c r="V359" i="3"/>
  <c r="Y359" i="3" s="1"/>
  <c r="V1102" i="3"/>
  <c r="Y1102" i="3" s="1"/>
  <c r="V438" i="3"/>
  <c r="Y438" i="3" s="1"/>
  <c r="V74" i="3"/>
  <c r="Y74" i="3" s="1"/>
  <c r="V1120" i="3"/>
  <c r="Y1120" i="3" s="1"/>
  <c r="V484" i="3"/>
  <c r="Y484" i="3" s="1"/>
  <c r="V1067" i="3"/>
  <c r="Y1067" i="3" s="1"/>
  <c r="V916" i="3"/>
  <c r="Y916" i="3" s="1"/>
  <c r="V976" i="3"/>
  <c r="Y976" i="3" s="1"/>
  <c r="V590" i="3"/>
  <c r="Y590" i="3" s="1"/>
  <c r="V1187" i="3"/>
  <c r="Y1187" i="3" s="1"/>
  <c r="V1005" i="3"/>
  <c r="Y1005" i="3" s="1"/>
  <c r="V750" i="3"/>
  <c r="Y750" i="3" s="1"/>
  <c r="V1024" i="3"/>
  <c r="Y1024" i="3" s="1"/>
  <c r="V496" i="3"/>
  <c r="Y496" i="3" s="1"/>
  <c r="V99" i="3"/>
  <c r="Y99" i="3" s="1"/>
  <c r="V718" i="3"/>
  <c r="Y718" i="3" s="1"/>
  <c r="V821" i="3"/>
  <c r="Y821" i="3" s="1"/>
  <c r="V160" i="3"/>
  <c r="Y160" i="3" s="1"/>
  <c r="V385" i="3"/>
  <c r="Y385" i="3" s="1"/>
  <c r="V596" i="3"/>
  <c r="Y596" i="3" s="1"/>
  <c r="V125" i="3"/>
  <c r="Y125" i="3" s="1"/>
  <c r="V649" i="3"/>
  <c r="Y649" i="3" s="1"/>
  <c r="V923" i="3"/>
  <c r="Y923" i="3" s="1"/>
  <c r="V72" i="3"/>
  <c r="Y72" i="3" s="1"/>
  <c r="V19" i="3"/>
  <c r="Y19" i="3" s="1"/>
  <c r="V310" i="3"/>
  <c r="Y310" i="3" s="1"/>
  <c r="V1017" i="3"/>
  <c r="Y1017" i="3" s="1"/>
  <c r="V342" i="3"/>
  <c r="Y342" i="3" s="1"/>
  <c r="U10" i="3" l="1"/>
</calcChain>
</file>

<file path=xl/sharedStrings.xml><?xml version="1.0" encoding="utf-8"?>
<sst xmlns="http://schemas.openxmlformats.org/spreadsheetml/2006/main" count="40" uniqueCount="35">
  <si>
    <t>산출시점</t>
    <phoneticPr fontId="2" type="noConversion"/>
  </si>
  <si>
    <t>수렴오차</t>
    <phoneticPr fontId="2" type="noConversion"/>
  </si>
  <si>
    <t>최종관찰만기</t>
    <phoneticPr fontId="2" type="noConversion"/>
  </si>
  <si>
    <t>최초수렴시점</t>
    <phoneticPr fontId="2" type="noConversion"/>
  </si>
  <si>
    <t>장기선도금리</t>
    <phoneticPr fontId="2" type="noConversion"/>
  </si>
  <si>
    <t>Forward(Discrete)</t>
    <phoneticPr fontId="2" type="noConversion"/>
  </si>
  <si>
    <t>수렴속도</t>
    <phoneticPr fontId="2" type="noConversion"/>
  </si>
  <si>
    <t>이자지급횟수(년)</t>
    <phoneticPr fontId="2" type="noConversion"/>
  </si>
  <si>
    <t>Tenor(월)</t>
    <phoneticPr fontId="2" type="noConversion"/>
  </si>
  <si>
    <t>YTM → Spot 변환</t>
    <phoneticPr fontId="2" type="noConversion"/>
  </si>
  <si>
    <t>Tenor(년)</t>
    <phoneticPr fontId="2" type="noConversion"/>
  </si>
  <si>
    <t>수렴속도</t>
    <phoneticPr fontId="2" type="noConversion"/>
  </si>
  <si>
    <t>원화 무위험 금리기간구조</t>
    <phoneticPr fontId="2" type="noConversion"/>
  </si>
  <si>
    <t>Spot(Discrete)</t>
    <phoneticPr fontId="2" type="noConversion"/>
  </si>
  <si>
    <t>Forward(Discrete)</t>
    <phoneticPr fontId="2" type="noConversion"/>
  </si>
  <si>
    <t>YTM</t>
    <phoneticPr fontId="2" type="noConversion"/>
  </si>
  <si>
    <t>Spot(Cont)</t>
    <phoneticPr fontId="2" type="noConversion"/>
  </si>
  <si>
    <t>Spot(Cont)+LP</t>
    <phoneticPr fontId="2" type="noConversion"/>
  </si>
  <si>
    <t>: 입력 셀</t>
    <phoneticPr fontId="2" type="noConversion"/>
  </si>
  <si>
    <t>기본 무위험 금리기간구조</t>
    <phoneticPr fontId="2" type="noConversion"/>
  </si>
  <si>
    <t>조정 무위험 금리기간구조(유동성프리미엄 가산)</t>
    <phoneticPr fontId="2" type="noConversion"/>
  </si>
  <si>
    <t>수렴여부</t>
    <phoneticPr fontId="2" type="noConversion"/>
  </si>
  <si>
    <t>LP 및 VA</t>
    <phoneticPr fontId="2" type="noConversion"/>
  </si>
  <si>
    <t>유동성프리미엄(LP)</t>
    <phoneticPr fontId="2" type="noConversion"/>
  </si>
  <si>
    <t>자산평가용 금리기간구조</t>
    <phoneticPr fontId="2" type="noConversion"/>
  </si>
  <si>
    <t>-</t>
    <phoneticPr fontId="2" type="noConversion"/>
  </si>
  <si>
    <t>국고채 금리</t>
    <phoneticPr fontId="2" type="noConversion"/>
  </si>
  <si>
    <t>산출시점</t>
    <phoneticPr fontId="2" type="noConversion"/>
  </si>
  <si>
    <t>수렴속도</t>
    <phoneticPr fontId="2" type="noConversion"/>
  </si>
  <si>
    <t>이자지급횟수(년)</t>
    <phoneticPr fontId="2" type="noConversion"/>
  </si>
  <si>
    <t>Tener(년)</t>
    <phoneticPr fontId="2" type="noConversion"/>
  </si>
  <si>
    <t>Spot(Cont)</t>
    <phoneticPr fontId="2" type="noConversion"/>
  </si>
  <si>
    <t>Spot(Cont)+LP</t>
    <phoneticPr fontId="2" type="noConversion"/>
  </si>
  <si>
    <t>최종관찰만기 단계적 확대(1단계 ,23년)</t>
    <phoneticPr fontId="2" type="noConversion"/>
  </si>
  <si>
    <t>YTM → Spot 변환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</si>
</sst>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\[0\]"/>
    <numFmt numFmtId="177" formatCode="0.0&quot;bp&quot;"/>
    <numFmt numFmtId="178" formatCode="0.000%"/>
    <numFmt numFmtId="179" formatCode="0&quot;년&quot;"/>
    <numFmt numFmtId="180" formatCode="0.0000000"/>
    <numFmt numFmtId="181" formatCode="0.00000000"/>
    <numFmt numFmtId="182" formatCode="0.0"/>
  </numFmts>
  <fonts count="20"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theme="0"/>
      <name val="맑은 고딕"/>
      <family val="3"/>
      <charset val="129"/>
      <scheme val="minor"/>
    </font>
    <font>
      <sz val="8"/>
      <color theme="1"/>
      <name val="Arial Narrow"/>
      <family val="2"/>
    </font>
    <font>
      <sz val="11"/>
      <color theme="1"/>
      <name val="Arial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0" tint="-4.9989318521683403E-2"/>
      <name val="맑은 고딕"/>
      <family val="2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b/>
      <sz val="10"/>
      <color rgb="FFFA7D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i/>
      <sz val="1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5FA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3" fillId="0" borderId="0"/>
    <xf numFmtId="176" fontId="5" fillId="3" borderId="0" applyBorder="0">
      <alignment horizontal="center" vertical="center"/>
    </xf>
    <xf numFmtId="0" fontId="6" fillId="4" borderId="9" applyFont="0" applyBorder="0" applyAlignment="0">
      <alignment horizontal="left" indent="1"/>
    </xf>
    <xf numFmtId="9" fontId="14" fillId="0" borderId="0" applyFont="0" applyFill="0" applyBorder="0" applyAlignment="0" applyProtection="0">
      <alignment vertical="center"/>
    </xf>
    <xf numFmtId="0" fontId="14" fillId="9" borderId="17" applyNumberFormat="0" applyFont="0" applyAlignment="0" applyProtection="0">
      <alignment vertical="center"/>
    </xf>
    <xf numFmtId="0" fontId="16" fillId="0" borderId="0"/>
    <xf numFmtId="41" fontId="14" fillId="0" borderId="0" applyFont="0" applyFill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</cellStyleXfs>
  <cellXfs count="10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7" fillId="7" borderId="3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 vertical="center"/>
    </xf>
    <xf numFmtId="0" fontId="15" fillId="6" borderId="8" xfId="0" applyNumberFormat="1" applyFont="1" applyFill="1" applyBorder="1" applyAlignment="1">
      <alignment horizontal="center"/>
    </xf>
    <xf numFmtId="0" fontId="15" fillId="6" borderId="9" xfId="0" applyNumberFormat="1" applyFont="1" applyFill="1" applyBorder="1" applyAlignment="1">
      <alignment horizontal="center"/>
    </xf>
    <xf numFmtId="178" fontId="15" fillId="6" borderId="9" xfId="0" applyNumberFormat="1" applyFont="1" applyFill="1" applyBorder="1" applyAlignment="1">
      <alignment horizontal="center"/>
    </xf>
    <xf numFmtId="0" fontId="15" fillId="6" borderId="3" xfId="0" applyNumberFormat="1" applyFont="1" applyFill="1" applyBorder="1" applyAlignment="1">
      <alignment horizontal="center"/>
    </xf>
    <xf numFmtId="178" fontId="15" fillId="6" borderId="3" xfId="0" applyNumberFormat="1" applyFont="1" applyFill="1" applyBorder="1" applyAlignment="1">
      <alignment horizontal="center"/>
    </xf>
    <xf numFmtId="2" fontId="10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3" fontId="11" fillId="7" borderId="16" xfId="1" applyNumberFormat="1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8" fillId="7" borderId="8" xfId="4" applyFont="1" applyFill="1" applyBorder="1" applyAlignment="1">
      <alignment horizontal="center" vertical="center"/>
    </xf>
    <xf numFmtId="0" fontId="8" fillId="7" borderId="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178" fontId="13" fillId="0" borderId="14" xfId="5" applyNumberFormat="1" applyFont="1" applyFill="1" applyBorder="1" applyAlignment="1">
      <alignment horizontal="center" vertical="center"/>
    </xf>
    <xf numFmtId="178" fontId="13" fillId="0" borderId="7" xfId="5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13" fillId="0" borderId="15" xfId="5" applyNumberFormat="1" applyFont="1" applyFill="1" applyBorder="1" applyAlignment="1">
      <alignment horizontal="center" vertical="center"/>
    </xf>
    <xf numFmtId="178" fontId="13" fillId="0" borderId="14" xfId="0" applyNumberFormat="1" applyFont="1" applyFill="1" applyBorder="1" applyAlignment="1">
      <alignment horizontal="center" vertical="center"/>
    </xf>
    <xf numFmtId="178" fontId="13" fillId="0" borderId="0" xfId="5" applyNumberFormat="1" applyFont="1" applyFill="1" applyBorder="1" applyAlignment="1">
      <alignment horizontal="center" vertical="center"/>
    </xf>
    <xf numFmtId="178" fontId="13" fillId="0" borderId="0" xfId="0" applyNumberFormat="1" applyFont="1" applyFill="1" applyBorder="1" applyAlignment="1">
      <alignment horizontal="center" vertical="center"/>
    </xf>
    <xf numFmtId="178" fontId="13" fillId="0" borderId="6" xfId="5" applyNumberFormat="1" applyFont="1" applyFill="1" applyBorder="1" applyAlignment="1">
      <alignment horizontal="center" vertical="center"/>
    </xf>
    <xf numFmtId="178" fontId="13" fillId="0" borderId="12" xfId="5" applyNumberFormat="1" applyFont="1" applyFill="1" applyBorder="1" applyAlignment="1">
      <alignment horizontal="center" vertical="center"/>
    </xf>
    <xf numFmtId="178" fontId="13" fillId="0" borderId="7" xfId="0" applyNumberFormat="1" applyFont="1" applyFill="1" applyBorder="1" applyAlignment="1">
      <alignment horizontal="center" vertical="center"/>
    </xf>
    <xf numFmtId="178" fontId="13" fillId="0" borderId="5" xfId="0" applyNumberFormat="1" applyFont="1" applyFill="1" applyBorder="1" applyAlignment="1">
      <alignment horizontal="center" vertical="center"/>
    </xf>
    <xf numFmtId="178" fontId="13" fillId="0" borderId="4" xfId="0" applyNumberFormat="1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178" fontId="15" fillId="6" borderId="8" xfId="0" applyNumberFormat="1" applyFont="1" applyFill="1" applyBorder="1" applyAlignment="1">
      <alignment horizontal="center"/>
    </xf>
    <xf numFmtId="0" fontId="7" fillId="9" borderId="17" xfId="6" applyNumberFormat="1" applyFont="1" applyAlignment="1">
      <alignment horizontal="center"/>
    </xf>
    <xf numFmtId="178" fontId="0" fillId="0" borderId="0" xfId="0" applyNumberFormat="1">
      <alignment vertical="center"/>
    </xf>
    <xf numFmtId="0" fontId="16" fillId="0" borderId="0" xfId="7"/>
    <xf numFmtId="0" fontId="9" fillId="0" borderId="0" xfId="0" applyFont="1" applyBorder="1">
      <alignment vertical="center"/>
    </xf>
    <xf numFmtId="0" fontId="17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7" fillId="0" borderId="0" xfId="0" applyFont="1">
      <alignment vertical="center"/>
    </xf>
    <xf numFmtId="0" fontId="15" fillId="10" borderId="9" xfId="0" applyNumberFormat="1" applyFont="1" applyFill="1" applyBorder="1" applyAlignment="1">
      <alignment horizontal="center"/>
    </xf>
    <xf numFmtId="0" fontId="17" fillId="0" borderId="7" xfId="0" applyFont="1" applyBorder="1">
      <alignment vertical="center"/>
    </xf>
    <xf numFmtId="0" fontId="17" fillId="0" borderId="9" xfId="0" applyFont="1" applyBorder="1">
      <alignment vertical="center"/>
    </xf>
    <xf numFmtId="0" fontId="17" fillId="0" borderId="3" xfId="0" applyFont="1" applyBorder="1">
      <alignment vertical="center"/>
    </xf>
    <xf numFmtId="0" fontId="15" fillId="10" borderId="9" xfId="0" applyFont="1" applyFill="1" applyBorder="1" applyAlignment="1">
      <alignment horizontal="center" vertical="center"/>
    </xf>
    <xf numFmtId="0" fontId="7" fillId="12" borderId="16" xfId="0" applyFont="1" applyFill="1" applyBorder="1">
      <alignment vertical="center"/>
    </xf>
    <xf numFmtId="0" fontId="7" fillId="12" borderId="2" xfId="0" applyFont="1" applyFill="1" applyBorder="1" applyAlignment="1">
      <alignment horizontal="center" vertical="center"/>
    </xf>
    <xf numFmtId="178" fontId="15" fillId="0" borderId="9" xfId="0" applyNumberFormat="1" applyFont="1" applyBorder="1">
      <alignment vertical="center"/>
    </xf>
    <xf numFmtId="0" fontId="9" fillId="0" borderId="12" xfId="0" applyFont="1" applyBorder="1">
      <alignment vertical="center"/>
    </xf>
    <xf numFmtId="179" fontId="7" fillId="6" borderId="10" xfId="0" applyNumberFormat="1" applyFont="1" applyFill="1" applyBorder="1" applyAlignment="1">
      <alignment horizontal="center"/>
    </xf>
    <xf numFmtId="179" fontId="7" fillId="6" borderId="11" xfId="0" applyNumberFormat="1" applyFont="1" applyFill="1" applyBorder="1" applyAlignment="1">
      <alignment horizontal="center"/>
    </xf>
    <xf numFmtId="14" fontId="7" fillId="6" borderId="10" xfId="0" applyNumberFormat="1" applyFont="1" applyFill="1" applyBorder="1" applyAlignment="1">
      <alignment horizontal="center"/>
    </xf>
    <xf numFmtId="14" fontId="7" fillId="6" borderId="11" xfId="0" applyNumberFormat="1" applyFont="1" applyFill="1" applyBorder="1" applyAlignment="1">
      <alignment horizontal="center"/>
    </xf>
    <xf numFmtId="176" fontId="8" fillId="7" borderId="10" xfId="3" applyFont="1" applyFill="1" applyBorder="1" applyAlignment="1">
      <alignment horizontal="center" vertical="center" wrapText="1"/>
    </xf>
    <xf numFmtId="176" fontId="8" fillId="7" borderId="11" xfId="3" applyFont="1" applyFill="1" applyBorder="1" applyAlignment="1">
      <alignment horizontal="center" vertical="center" wrapText="1"/>
    </xf>
    <xf numFmtId="179" fontId="7" fillId="7" borderId="4" xfId="0" applyNumberFormat="1" applyFont="1" applyFill="1" applyBorder="1" applyAlignment="1">
      <alignment horizontal="center" vertical="center"/>
    </xf>
    <xf numFmtId="179" fontId="7" fillId="7" borderId="5" xfId="0" applyNumberFormat="1" applyFont="1" applyFill="1" applyBorder="1" applyAlignment="1">
      <alignment horizontal="center" vertical="center"/>
    </xf>
    <xf numFmtId="179" fontId="7" fillId="7" borderId="15" xfId="0" applyNumberFormat="1" applyFont="1" applyFill="1" applyBorder="1" applyAlignment="1">
      <alignment horizontal="center" vertical="center"/>
    </xf>
    <xf numFmtId="179" fontId="7" fillId="7" borderId="14" xfId="0" applyNumberFormat="1" applyFont="1" applyFill="1" applyBorder="1" applyAlignment="1">
      <alignment horizontal="center" vertical="center"/>
    </xf>
    <xf numFmtId="179" fontId="7" fillId="7" borderId="6" xfId="0" applyNumberFormat="1" applyFont="1" applyFill="1" applyBorder="1" applyAlignment="1">
      <alignment horizontal="center" vertical="center"/>
    </xf>
    <xf numFmtId="179" fontId="7" fillId="7" borderId="7" xfId="0" applyNumberFormat="1" applyFont="1" applyFill="1" applyBorder="1" applyAlignment="1">
      <alignment horizontal="center" vertical="center"/>
    </xf>
    <xf numFmtId="0" fontId="8" fillId="7" borderId="10" xfId="4" applyFont="1" applyFill="1" applyBorder="1" applyAlignment="1">
      <alignment horizontal="center" vertical="center" wrapText="1"/>
    </xf>
    <xf numFmtId="0" fontId="8" fillId="7" borderId="11" xfId="4" applyFont="1" applyFill="1" applyBorder="1" applyAlignment="1">
      <alignment horizontal="center" vertical="center" wrapText="1"/>
    </xf>
    <xf numFmtId="14" fontId="4" fillId="5" borderId="10" xfId="0" applyNumberFormat="1" applyFont="1" applyFill="1" applyBorder="1" applyAlignment="1">
      <alignment horizontal="center"/>
    </xf>
    <xf numFmtId="14" fontId="4" fillId="5" borderId="13" xfId="0" applyNumberFormat="1" applyFont="1" applyFill="1" applyBorder="1" applyAlignment="1">
      <alignment horizontal="center"/>
    </xf>
    <xf numFmtId="176" fontId="8" fillId="7" borderId="13" xfId="3" applyFont="1" applyFill="1" applyBorder="1" applyAlignment="1">
      <alignment horizontal="center" vertical="center" wrapText="1"/>
    </xf>
    <xf numFmtId="14" fontId="7" fillId="6" borderId="6" xfId="0" applyNumberFormat="1" applyFont="1" applyFill="1" applyBorder="1" applyAlignment="1">
      <alignment horizontal="center"/>
    </xf>
    <xf numFmtId="14" fontId="7" fillId="6" borderId="12" xfId="0" applyNumberFormat="1" applyFont="1" applyFill="1" applyBorder="1" applyAlignment="1">
      <alignment horizontal="center"/>
    </xf>
    <xf numFmtId="14" fontId="7" fillId="6" borderId="7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 vertical="center"/>
    </xf>
    <xf numFmtId="0" fontId="8" fillId="7" borderId="1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/>
    </xf>
    <xf numFmtId="10" fontId="7" fillId="6" borderId="10" xfId="0" applyNumberFormat="1" applyFont="1" applyFill="1" applyBorder="1" applyAlignment="1">
      <alignment horizontal="center"/>
    </xf>
    <xf numFmtId="10" fontId="7" fillId="6" borderId="11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/>
    </xf>
    <xf numFmtId="0" fontId="8" fillId="7" borderId="11" xfId="4" applyFont="1" applyFill="1" applyBorder="1" applyAlignment="1">
      <alignment horizontal="center"/>
    </xf>
    <xf numFmtId="9" fontId="8" fillId="7" borderId="10" xfId="4" applyNumberFormat="1" applyFont="1" applyFill="1" applyBorder="1" applyAlignment="1">
      <alignment horizontal="center" vertical="center"/>
    </xf>
    <xf numFmtId="9" fontId="8" fillId="7" borderId="11" xfId="4" applyNumberFormat="1" applyFont="1" applyFill="1" applyBorder="1" applyAlignment="1">
      <alignment horizontal="center" vertical="center"/>
    </xf>
    <xf numFmtId="181" fontId="8" fillId="8" borderId="10" xfId="0" applyNumberFormat="1" applyFont="1" applyFill="1" applyBorder="1" applyAlignment="1">
      <alignment horizontal="center" vertical="center"/>
    </xf>
    <xf numFmtId="181" fontId="8" fillId="8" borderId="11" xfId="0" applyNumberFormat="1" applyFont="1" applyFill="1" applyBorder="1" applyAlignment="1">
      <alignment horizontal="center" vertical="center"/>
    </xf>
    <xf numFmtId="180" fontId="8" fillId="3" borderId="10" xfId="0" applyNumberFormat="1" applyFont="1" applyFill="1" applyBorder="1" applyAlignment="1">
      <alignment horizontal="center" vertical="center"/>
    </xf>
    <xf numFmtId="180" fontId="8" fillId="3" borderId="11" xfId="0" applyNumberFormat="1" applyFont="1" applyFill="1" applyBorder="1" applyAlignment="1">
      <alignment horizontal="center" vertical="center"/>
    </xf>
    <xf numFmtId="177" fontId="7" fillId="7" borderId="10" xfId="0" applyNumberFormat="1" applyFont="1" applyFill="1" applyBorder="1" applyAlignment="1">
      <alignment horizontal="center"/>
    </xf>
    <xf numFmtId="177" fontId="7" fillId="7" borderId="11" xfId="0" applyNumberFormat="1" applyFont="1" applyFill="1" applyBorder="1" applyAlignment="1">
      <alignment horizontal="center"/>
    </xf>
    <xf numFmtId="178" fontId="7" fillId="6" borderId="13" xfId="0" applyNumberFormat="1" applyFont="1" applyFill="1" applyBorder="1" applyAlignment="1">
      <alignment horizontal="center"/>
    </xf>
    <xf numFmtId="178" fontId="7" fillId="6" borderId="11" xfId="0" applyNumberFormat="1" applyFont="1" applyFill="1" applyBorder="1" applyAlignment="1">
      <alignment horizontal="center"/>
    </xf>
    <xf numFmtId="179" fontId="7" fillId="6" borderId="2" xfId="0" applyNumberFormat="1" applyFont="1" applyFill="1" applyBorder="1" applyAlignment="1">
      <alignment horizontal="center"/>
    </xf>
    <xf numFmtId="10" fontId="7" fillId="6" borderId="2" xfId="0" applyNumberFormat="1" applyFont="1" applyFill="1" applyBorder="1" applyAlignment="1">
      <alignment horizontal="center"/>
    </xf>
    <xf numFmtId="177" fontId="7" fillId="7" borderId="2" xfId="0" applyNumberFormat="1" applyFont="1" applyFill="1" applyBorder="1" applyAlignment="1">
      <alignment horizontal="center"/>
    </xf>
    <xf numFmtId="180" fontId="8" fillId="3" borderId="2" xfId="0" applyNumberFormat="1" applyFont="1" applyFill="1" applyBorder="1" applyAlignment="1">
      <alignment horizontal="center" vertical="center"/>
    </xf>
    <xf numFmtId="180" fontId="8" fillId="8" borderId="13" xfId="0" applyNumberFormat="1" applyFont="1" applyFill="1" applyBorder="1" applyAlignment="1">
      <alignment horizontal="center" vertical="center"/>
    </xf>
    <xf numFmtId="180" fontId="8" fillId="8" borderId="11" xfId="0" applyNumberFormat="1" applyFont="1" applyFill="1" applyBorder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14" fontId="4" fillId="5" borderId="15" xfId="0" applyNumberFormat="1" applyFont="1" applyFill="1" applyBorder="1" applyAlignment="1">
      <alignment horizontal="center"/>
    </xf>
    <xf numFmtId="14" fontId="4" fillId="5" borderId="0" xfId="0" applyNumberFormat="1" applyFont="1" applyFill="1" applyBorder="1" applyAlignment="1">
      <alignment horizontal="center"/>
    </xf>
    <xf numFmtId="0" fontId="7" fillId="7" borderId="16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176" fontId="8" fillId="7" borderId="2" xfId="3" applyFont="1" applyFill="1" applyBorder="1" applyAlignment="1">
      <alignment horizontal="center" vertical="center" wrapText="1"/>
    </xf>
    <xf numFmtId="14" fontId="7" fillId="6" borderId="13" xfId="0" applyNumberFormat="1" applyFont="1" applyFill="1" applyBorder="1" applyAlignment="1">
      <alignment horizontal="center"/>
    </xf>
    <xf numFmtId="0" fontId="7" fillId="12" borderId="13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14" fontId="7" fillId="11" borderId="13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0" fillId="0" borderId="0" xfId="0" applyAlignment="1"/>
  </cellXfs>
  <cellStyles count="10">
    <cellStyle name="IAIS.FT_RCode" xfId="3"/>
    <cellStyle name="IAIS_FT.Caption 2" xfId="4"/>
    <cellStyle name="계산" xfId="1" builtinId="22"/>
    <cellStyle name="메모" xfId="6" builtinId="10"/>
    <cellStyle name="백분율" xfId="5" builtinId="5"/>
    <cellStyle name="보통 2" xfId="9"/>
    <cellStyle name="쉼표 [0] 2" xfId="8"/>
    <cellStyle name="표준" xfId="0" builtinId="0"/>
    <cellStyle name="표준 2" xfId="2"/>
    <cellStyle name="표준 3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A1214"/>
  <sheetViews>
    <sheetView tabSelected="1" topLeftCell="D1" zoomScale="70" zoomScaleNormal="70" workbookViewId="0">
      <selection activeCell="S7" sqref="S7:T7"/>
    </sheetView>
  </sheetViews>
  <sheetFormatPr defaultRowHeight="17.100000000000001" customHeight="1"/>
  <cols>
    <col min="3" max="3" width="3" customWidth="1"/>
    <col min="4" max="4" width="15.375" bestFit="1" customWidth="1"/>
    <col min="5" max="5" width="11.25" customWidth="1"/>
    <col min="6" max="8" width="11.25" style="1" customWidth="1"/>
    <col min="9" max="9" width="2.125" style="2" customWidth="1"/>
    <col min="10" max="10" width="16.5" style="39" bestFit="1" customWidth="1"/>
    <col min="11" max="11" width="10.25" style="39" customWidth="1"/>
    <col min="12" max="12" width="11.75" style="39" customWidth="1"/>
    <col min="13" max="13" width="11.625" style="39" customWidth="1"/>
    <col min="14" max="14" width="4.125" style="2" customWidth="1"/>
    <col min="15" max="15" width="8.5" style="2" customWidth="1"/>
    <col min="16" max="16" width="8.5" customWidth="1"/>
    <col min="17" max="18" width="17.5" customWidth="1"/>
    <col min="19" max="19" width="19.125" style="21" customWidth="1"/>
    <col min="20" max="20" width="17.25" style="21" customWidth="1"/>
    <col min="21" max="22" width="15.75" style="21" customWidth="1"/>
    <col min="23" max="23" width="15.75" style="1" customWidth="1"/>
    <col min="24" max="24" width="10.25" customWidth="1"/>
    <col min="25" max="25" width="34.25" customWidth="1"/>
  </cols>
  <sheetData>
    <row r="1" spans="1:26" ht="17.100000000000001" customHeight="1">
      <c r="A1" s="33"/>
      <c r="B1" t="s">
        <v>18</v>
      </c>
      <c r="D1" s="63" t="s">
        <v>26</v>
      </c>
      <c r="E1" s="64"/>
      <c r="F1" s="64"/>
      <c r="G1" s="64"/>
      <c r="H1" s="64"/>
      <c r="J1" s="93" t="s">
        <v>33</v>
      </c>
      <c r="K1" s="93"/>
      <c r="L1" s="93"/>
      <c r="M1" s="93"/>
      <c r="O1" s="94" t="s">
        <v>12</v>
      </c>
      <c r="P1" s="95"/>
      <c r="Q1" s="95"/>
      <c r="R1" s="95"/>
      <c r="S1" s="95"/>
      <c r="T1" s="95"/>
      <c r="U1" s="95"/>
      <c r="V1" s="95"/>
      <c r="W1" s="95"/>
    </row>
    <row r="2" spans="1:26" ht="17.100000000000001" customHeight="1">
      <c r="E2" s="1"/>
      <c r="N2" s="36"/>
    </row>
    <row r="3" spans="1:26" ht="17.100000000000001" customHeight="1">
      <c r="D3" s="14"/>
      <c r="E3" s="53" t="s">
        <v>9</v>
      </c>
      <c r="F3" s="65"/>
      <c r="G3" s="65"/>
      <c r="H3" s="54"/>
      <c r="J3" s="45"/>
      <c r="K3" s="102" t="s">
        <v>34</v>
      </c>
      <c r="L3" s="102"/>
      <c r="M3" s="102"/>
      <c r="N3" s="37"/>
      <c r="O3" s="96"/>
      <c r="P3" s="96"/>
      <c r="Q3" s="61" t="s">
        <v>24</v>
      </c>
      <c r="R3" s="62"/>
      <c r="S3" s="53" t="s">
        <v>19</v>
      </c>
      <c r="T3" s="54"/>
      <c r="U3" s="54" t="s">
        <v>20</v>
      </c>
      <c r="V3" s="98"/>
      <c r="W3" s="98"/>
    </row>
    <row r="4" spans="1:26" s="1" customFormat="1" ht="17.100000000000001" customHeight="1">
      <c r="D4" s="4" t="s">
        <v>0</v>
      </c>
      <c r="E4" s="66">
        <v>46234</v>
      </c>
      <c r="F4" s="67"/>
      <c r="G4" s="67"/>
      <c r="H4" s="68"/>
      <c r="I4" s="3"/>
      <c r="J4" s="46" t="s">
        <v>27</v>
      </c>
      <c r="K4" s="103">
        <f>E4</f>
        <v>46234</v>
      </c>
      <c r="L4" s="104"/>
      <c r="M4" s="105"/>
      <c r="N4" s="38"/>
      <c r="O4" s="97" t="s">
        <v>0</v>
      </c>
      <c r="P4" s="97"/>
      <c r="Q4" s="51"/>
      <c r="R4" s="52"/>
      <c r="S4" s="51"/>
      <c r="T4" s="52"/>
      <c r="U4" s="99">
        <f>E4</f>
        <v>46234</v>
      </c>
      <c r="V4" s="99"/>
      <c r="W4" s="52"/>
      <c r="Z4" s="35"/>
    </row>
    <row r="5" spans="1:26" s="1" customFormat="1" ht="17.100000000000001" customHeight="1">
      <c r="D5" s="5" t="s">
        <v>6</v>
      </c>
      <c r="E5" s="69">
        <v>0.1</v>
      </c>
      <c r="F5" s="70"/>
      <c r="G5" s="70"/>
      <c r="H5" s="71"/>
      <c r="I5" s="3"/>
      <c r="J5" s="46" t="s">
        <v>28</v>
      </c>
      <c r="K5" s="100">
        <v>0.1</v>
      </c>
      <c r="L5" s="100"/>
      <c r="M5" s="101"/>
      <c r="N5" s="38"/>
      <c r="O5" s="97" t="s">
        <v>2</v>
      </c>
      <c r="P5" s="97"/>
      <c r="Q5" s="55" t="s">
        <v>25</v>
      </c>
      <c r="R5" s="56"/>
      <c r="S5" s="49"/>
      <c r="T5" s="50"/>
      <c r="U5" s="50">
        <v>23</v>
      </c>
      <c r="V5" s="87"/>
      <c r="W5" s="87"/>
      <c r="Z5" s="35"/>
    </row>
    <row r="6" spans="1:26" ht="17.100000000000001" customHeight="1">
      <c r="D6" s="5" t="s">
        <v>7</v>
      </c>
      <c r="E6" s="69">
        <v>2</v>
      </c>
      <c r="F6" s="70"/>
      <c r="G6" s="70"/>
      <c r="H6" s="71"/>
      <c r="J6" s="46" t="s">
        <v>29</v>
      </c>
      <c r="K6" s="100">
        <v>2</v>
      </c>
      <c r="L6" s="100"/>
      <c r="M6" s="101"/>
      <c r="N6" s="36"/>
      <c r="O6" s="72" t="s">
        <v>3</v>
      </c>
      <c r="P6" s="72"/>
      <c r="Q6" s="57"/>
      <c r="R6" s="58"/>
      <c r="S6" s="49"/>
      <c r="T6" s="50"/>
      <c r="U6" s="50">
        <v>60</v>
      </c>
      <c r="V6" s="87"/>
      <c r="W6" s="87"/>
      <c r="Z6" s="35"/>
    </row>
    <row r="7" spans="1:26" ht="17.100000000000001" customHeight="1">
      <c r="D7" s="5" t="s">
        <v>10</v>
      </c>
      <c r="E7" s="6" t="s">
        <v>15</v>
      </c>
      <c r="F7" s="6" t="s">
        <v>16</v>
      </c>
      <c r="G7" s="6" t="s">
        <v>17</v>
      </c>
      <c r="H7" s="6"/>
      <c r="J7" s="46" t="s">
        <v>30</v>
      </c>
      <c r="K7" s="46" t="s">
        <v>31</v>
      </c>
      <c r="L7" s="46" t="s">
        <v>32</v>
      </c>
      <c r="M7" s="46"/>
      <c r="N7" s="36"/>
      <c r="O7" s="72" t="s">
        <v>4</v>
      </c>
      <c r="P7" s="72"/>
      <c r="Q7" s="57"/>
      <c r="R7" s="58"/>
      <c r="S7" s="73"/>
      <c r="T7" s="74"/>
      <c r="U7" s="74">
        <v>4.2999999999999997E-2</v>
      </c>
      <c r="V7" s="88"/>
      <c r="W7" s="88"/>
      <c r="Z7" s="35"/>
    </row>
    <row r="8" spans="1:26" ht="17.100000000000001" customHeight="1">
      <c r="D8" s="7">
        <v>0.25</v>
      </c>
      <c r="E8" s="32">
        <v>2.8309999999999998E-2</v>
      </c>
      <c r="F8" s="19">
        <f t="array" ref="F8:F23">SmithWilsonYTM(E23,E5,D8:D23,E8:E23,E6,D8:D23)</f>
        <v>2.8210288184647447E-2</v>
      </c>
      <c r="G8" s="19">
        <f t="shared" ref="G8:G23" si="0">LN(EXP(F8)+$V$11)</f>
        <v>3.2227051551456873E-2</v>
      </c>
      <c r="H8" s="19"/>
      <c r="J8" s="40">
        <v>0.25</v>
      </c>
      <c r="K8" s="47">
        <f t="array" ref="K8:K24">SmithWilsonYTM(E23,E5,D8:D23,E8:E23,E6,J8:J24)</f>
        <v>2.8210288184647447E-2</v>
      </c>
      <c r="L8" s="47">
        <f t="shared" ref="L8:L24" si="1">LN(EXP(K8)+$V$11)</f>
        <v>3.2227051551456873E-2</v>
      </c>
      <c r="M8" s="47"/>
      <c r="N8" s="36"/>
      <c r="O8" s="72" t="s">
        <v>1</v>
      </c>
      <c r="P8" s="72"/>
      <c r="Q8" s="57"/>
      <c r="R8" s="58"/>
      <c r="S8" s="83"/>
      <c r="T8" s="84"/>
      <c r="U8" s="84">
        <v>1</v>
      </c>
      <c r="V8" s="89"/>
      <c r="W8" s="89"/>
      <c r="Z8" s="35"/>
    </row>
    <row r="9" spans="1:26" ht="17.100000000000001" customHeight="1">
      <c r="D9" s="8">
        <v>0.5</v>
      </c>
      <c r="E9" s="9">
        <v>3.0929999999999999E-2</v>
      </c>
      <c r="F9" s="19">
        <v>3.0693271327882382E-2</v>
      </c>
      <c r="G9" s="19">
        <f t="shared" si="0"/>
        <v>3.4700093440491048E-2</v>
      </c>
      <c r="H9" s="19"/>
      <c r="J9" s="40">
        <v>0.5</v>
      </c>
      <c r="K9" s="47">
        <v>3.0693271327882382E-2</v>
      </c>
      <c r="L9" s="47">
        <f t="shared" si="1"/>
        <v>3.4700093440491048E-2</v>
      </c>
      <c r="M9" s="47"/>
      <c r="O9" s="75" t="s">
        <v>11</v>
      </c>
      <c r="P9" s="76"/>
      <c r="Q9" s="57"/>
      <c r="R9" s="58"/>
      <c r="S9" s="81"/>
      <c r="T9" s="82"/>
      <c r="U9" s="82">
        <f>SmithWilson_ALPHA_UB_LB(U7,$J8:$J22,$L8:$L22,U6,U8*0.0001)</f>
        <v>0.12355576923079634</v>
      </c>
      <c r="V9" s="90"/>
      <c r="W9" s="90"/>
      <c r="Z9" s="35"/>
    </row>
    <row r="10" spans="1:26" ht="17.100000000000001" customHeight="1">
      <c r="D10" s="8">
        <v>0.75</v>
      </c>
      <c r="E10" s="9">
        <v>3.3159999999999995E-2</v>
      </c>
      <c r="F10" s="19">
        <v>3.2780979693500051E-2</v>
      </c>
      <c r="G10" s="19">
        <f t="shared" si="0"/>
        <v>3.6779462140003098E-2</v>
      </c>
      <c r="H10" s="19"/>
      <c r="J10" s="40">
        <v>0.75</v>
      </c>
      <c r="K10" s="47">
        <v>3.2780979693500051E-2</v>
      </c>
      <c r="L10" s="47">
        <f t="shared" si="1"/>
        <v>3.6779462140003098E-2</v>
      </c>
      <c r="M10" s="47"/>
      <c r="O10" s="75" t="s">
        <v>21</v>
      </c>
      <c r="P10" s="76"/>
      <c r="Q10" s="57"/>
      <c r="R10" s="58"/>
      <c r="S10" s="79"/>
      <c r="T10" s="80"/>
      <c r="U10" s="91" t="str">
        <f>IF(ROUND(ABS((VLOOKUP($U$6*12-1,$P$13:$V$1213,7,0)+VLOOKUP($U$6*12,$P$13:$V$1213,7,0))/2-$U$7),4)&lt;=0.0001,"PASS","FAIL")</f>
        <v>PASS</v>
      </c>
      <c r="V10" s="91"/>
      <c r="W10" s="92"/>
      <c r="Z10" s="35"/>
    </row>
    <row r="11" spans="1:26" ht="17.100000000000001" customHeight="1">
      <c r="D11" s="8">
        <v>1</v>
      </c>
      <c r="E11" s="9">
        <v>3.3939999999999998E-2</v>
      </c>
      <c r="F11" s="19">
        <v>3.3680387420272906E-2</v>
      </c>
      <c r="G11" s="19">
        <f t="shared" si="0"/>
        <v>3.767528238810515E-2</v>
      </c>
      <c r="H11" s="19"/>
      <c r="J11" s="40">
        <v>1</v>
      </c>
      <c r="K11" s="47">
        <v>3.3680387420272906E-2</v>
      </c>
      <c r="L11" s="47">
        <f t="shared" si="1"/>
        <v>3.767528238810515E-2</v>
      </c>
      <c r="M11" s="47"/>
      <c r="O11" s="75" t="s">
        <v>22</v>
      </c>
      <c r="P11" s="76"/>
      <c r="Q11" s="59"/>
      <c r="R11" s="60"/>
      <c r="S11" s="77"/>
      <c r="T11" s="78"/>
      <c r="U11" s="15" t="s">
        <v>23</v>
      </c>
      <c r="V11" s="85">
        <v>4.1399999999999996E-3</v>
      </c>
      <c r="W11" s="86"/>
      <c r="Z11" s="35"/>
    </row>
    <row r="12" spans="1:26" ht="17.100000000000001" customHeight="1">
      <c r="D12" s="8">
        <v>1.5</v>
      </c>
      <c r="E12" s="9">
        <v>3.5349999999999999E-2</v>
      </c>
      <c r="F12" s="19">
        <v>3.5083372756459605E-2</v>
      </c>
      <c r="G12" s="19">
        <f t="shared" si="0"/>
        <v>3.9072678032002879E-2</v>
      </c>
      <c r="H12" s="19"/>
      <c r="J12" s="40">
        <v>1.5</v>
      </c>
      <c r="K12" s="47">
        <v>3.5083372756459605E-2</v>
      </c>
      <c r="L12" s="47">
        <f t="shared" si="1"/>
        <v>3.9072678032002879E-2</v>
      </c>
      <c r="M12" s="47"/>
      <c r="O12" s="16" t="s">
        <v>10</v>
      </c>
      <c r="P12" s="16" t="s">
        <v>8</v>
      </c>
      <c r="Q12" s="6" t="s">
        <v>13</v>
      </c>
      <c r="R12" s="6" t="s">
        <v>14</v>
      </c>
      <c r="S12" s="6" t="s">
        <v>13</v>
      </c>
      <c r="T12" s="6" t="s">
        <v>14</v>
      </c>
      <c r="U12" s="18" t="s">
        <v>13</v>
      </c>
      <c r="V12" s="6" t="s">
        <v>5</v>
      </c>
      <c r="W12" s="17"/>
      <c r="Z12" s="35"/>
    </row>
    <row r="13" spans="1:26" ht="17.100000000000001" customHeight="1">
      <c r="D13" s="8">
        <v>2</v>
      </c>
      <c r="E13" s="9">
        <v>3.6549999999999999E-2</v>
      </c>
      <c r="F13" s="19">
        <v>3.6285513486840955E-2</v>
      </c>
      <c r="G13" s="19">
        <f t="shared" si="0"/>
        <v>4.0270035473309977E-2</v>
      </c>
      <c r="H13" s="19"/>
      <c r="J13" s="40">
        <v>2</v>
      </c>
      <c r="K13" s="47">
        <v>3.6285513486840955E-2</v>
      </c>
      <c r="L13" s="47">
        <f t="shared" si="1"/>
        <v>4.0270035473309977E-2</v>
      </c>
      <c r="M13" s="47"/>
      <c r="O13" s="12">
        <v>0</v>
      </c>
      <c r="P13" s="13">
        <v>0</v>
      </c>
      <c r="Q13" s="30"/>
      <c r="R13" s="29"/>
      <c r="S13" s="22"/>
      <c r="T13" s="23"/>
      <c r="U13" s="24">
        <f t="array" ref="U13:U1214">Cont2Discrete(SmithWilson(U7,U9,J8:J22,L8:L22,O13:O1214))</f>
        <v>3.1665997300924342E-2</v>
      </c>
      <c r="V13" s="25">
        <f>U14</f>
        <v>3.1790219588637036E-2</v>
      </c>
      <c r="W13" s="106">
        <v>3.1790219999999998</v>
      </c>
      <c r="X13" s="106">
        <v>3.1789999999999999E-2</v>
      </c>
      <c r="Y13" s="34">
        <f t="shared" ref="Y13:Y76" si="2">X13-V13</f>
        <v>-2.1958863703763765E-7</v>
      </c>
      <c r="Z13" s="35"/>
    </row>
    <row r="14" spans="1:26" ht="17.100000000000001" customHeight="1">
      <c r="D14" s="8">
        <v>2.5</v>
      </c>
      <c r="E14" s="9">
        <v>3.7000000000000005E-2</v>
      </c>
      <c r="F14" s="19">
        <v>3.6731648001538539E-2</v>
      </c>
      <c r="G14" s="19">
        <f t="shared" si="0"/>
        <v>4.0714396286144976E-2</v>
      </c>
      <c r="H14" s="19"/>
      <c r="J14" s="40">
        <v>2.5</v>
      </c>
      <c r="K14" s="47">
        <v>3.6731648001538539E-2</v>
      </c>
      <c r="L14" s="47">
        <f t="shared" si="1"/>
        <v>4.0714396286144976E-2</v>
      </c>
      <c r="M14" s="47"/>
      <c r="O14" s="12">
        <f t="shared" ref="O14:O77" si="3">P14/12</f>
        <v>8.3333333333333329E-2</v>
      </c>
      <c r="P14" s="13">
        <v>1</v>
      </c>
      <c r="Q14" s="22"/>
      <c r="R14" s="19"/>
      <c r="S14" s="22"/>
      <c r="T14" s="19"/>
      <c r="U14" s="24">
        <v>3.1790219588637036E-2</v>
      </c>
      <c r="V14" s="24">
        <f t="shared" ref="V14:V77" si="4">(1+U15)^P15/(1+U14)^P14-1</f>
        <v>3.2514521165712518E-2</v>
      </c>
      <c r="W14" s="106">
        <v>3.251452</v>
      </c>
      <c r="X14" s="106">
        <v>3.2515000000000002E-2</v>
      </c>
      <c r="Y14" s="34">
        <f t="shared" si="2"/>
        <v>4.7883428748451973E-7</v>
      </c>
      <c r="Z14" s="35"/>
    </row>
    <row r="15" spans="1:26" ht="17.100000000000001" customHeight="1">
      <c r="D15" s="8">
        <v>3</v>
      </c>
      <c r="E15" s="9">
        <v>3.7599999999999995E-2</v>
      </c>
      <c r="F15" s="19">
        <v>3.7338478872435223E-2</v>
      </c>
      <c r="G15" s="19">
        <f t="shared" si="0"/>
        <v>4.1318815837707662E-2</v>
      </c>
      <c r="H15" s="19"/>
      <c r="J15" s="40">
        <v>3</v>
      </c>
      <c r="K15" s="47">
        <v>3.7338478872435223E-2</v>
      </c>
      <c r="L15" s="47">
        <f t="shared" si="1"/>
        <v>4.1318815837707662E-2</v>
      </c>
      <c r="M15" s="47"/>
      <c r="O15" s="12">
        <f t="shared" si="3"/>
        <v>0.16666666666666666</v>
      </c>
      <c r="P15" s="13">
        <v>2</v>
      </c>
      <c r="Q15" s="22"/>
      <c r="R15" s="19"/>
      <c r="S15" s="22"/>
      <c r="T15" s="19"/>
      <c r="U15" s="24">
        <v>3.2152306843339362E-2</v>
      </c>
      <c r="V15" s="24">
        <f t="shared" si="4"/>
        <v>3.3952331555627824E-2</v>
      </c>
      <c r="W15" s="106">
        <v>3.3952330000000002</v>
      </c>
      <c r="X15" s="106">
        <v>3.3952000000000003E-2</v>
      </c>
      <c r="Y15" s="34">
        <f t="shared" si="2"/>
        <v>-3.3155562782077874E-7</v>
      </c>
      <c r="Z15" s="35"/>
    </row>
    <row r="16" spans="1:26" ht="17.100000000000001" customHeight="1">
      <c r="D16" s="8">
        <v>4</v>
      </c>
      <c r="E16" s="9">
        <v>3.9050000000000001E-2</v>
      </c>
      <c r="F16" s="19">
        <v>3.883043639872813E-2</v>
      </c>
      <c r="G16" s="19">
        <f t="shared" si="0"/>
        <v>4.280485107469667E-2</v>
      </c>
      <c r="H16" s="19"/>
      <c r="J16" s="40">
        <v>4</v>
      </c>
      <c r="K16" s="47">
        <v>3.883043639872813E-2</v>
      </c>
      <c r="L16" s="47">
        <f t="shared" si="1"/>
        <v>4.280485107469667E-2</v>
      </c>
      <c r="M16" s="47"/>
      <c r="O16" s="12">
        <f t="shared" si="3"/>
        <v>0.25</v>
      </c>
      <c r="P16" s="13">
        <v>3</v>
      </c>
      <c r="Q16" s="22"/>
      <c r="R16" s="19"/>
      <c r="S16" s="22"/>
      <c r="T16" s="19"/>
      <c r="U16" s="24">
        <v>3.2751966623000062E-2</v>
      </c>
      <c r="V16" s="24">
        <f t="shared" si="4"/>
        <v>3.5956181268166132E-2</v>
      </c>
      <c r="W16" s="106">
        <v>3.595618</v>
      </c>
      <c r="X16" s="106">
        <v>3.5956000000000002E-2</v>
      </c>
      <c r="Y16" s="34">
        <f t="shared" si="2"/>
        <v>-1.8126816613006635E-7</v>
      </c>
      <c r="Z16" s="35"/>
    </row>
    <row r="17" spans="2:27" ht="17.100000000000001" customHeight="1">
      <c r="D17" s="8">
        <v>5</v>
      </c>
      <c r="E17" s="9">
        <v>4.0199999999999993E-2</v>
      </c>
      <c r="F17" s="19">
        <v>4.0026865661954028E-2</v>
      </c>
      <c r="G17" s="19">
        <f t="shared" si="0"/>
        <v>4.3996537495325096E-2</v>
      </c>
      <c r="H17" s="19"/>
      <c r="J17" s="40">
        <v>5</v>
      </c>
      <c r="K17" s="47">
        <v>4.0026865661954028E-2</v>
      </c>
      <c r="L17" s="47">
        <f t="shared" si="1"/>
        <v>4.3996537495325096E-2</v>
      </c>
      <c r="M17" s="47"/>
      <c r="O17" s="12">
        <f t="shared" si="3"/>
        <v>0.33333333333333331</v>
      </c>
      <c r="P17" s="13">
        <v>4</v>
      </c>
      <c r="Q17" s="22"/>
      <c r="R17" s="19"/>
      <c r="S17" s="22"/>
      <c r="T17" s="19"/>
      <c r="U17" s="24">
        <v>3.3552089962049836E-2</v>
      </c>
      <c r="V17" s="24">
        <f t="shared" si="4"/>
        <v>3.7932466434832168E-2</v>
      </c>
      <c r="W17" s="106">
        <v>3.793247</v>
      </c>
      <c r="X17" s="106">
        <v>3.7932E-2</v>
      </c>
      <c r="Y17" s="34">
        <f t="shared" si="2"/>
        <v>-4.664348321678502E-7</v>
      </c>
      <c r="Z17" s="35"/>
    </row>
    <row r="18" spans="2:27" ht="17.100000000000001" customHeight="1">
      <c r="D18" s="8">
        <v>7</v>
      </c>
      <c r="E18" s="9">
        <v>4.1489999999999999E-2</v>
      </c>
      <c r="F18" s="19">
        <v>4.1374608371262958E-2</v>
      </c>
      <c r="G18" s="19">
        <f t="shared" si="0"/>
        <v>4.5338944295666476E-2</v>
      </c>
      <c r="H18" s="19"/>
      <c r="J18" s="40">
        <v>7</v>
      </c>
      <c r="K18" s="47">
        <v>4.1374608371262958E-2</v>
      </c>
      <c r="L18" s="47">
        <f t="shared" si="1"/>
        <v>4.5338944295666476E-2</v>
      </c>
      <c r="M18" s="47"/>
      <c r="O18" s="12">
        <f t="shared" si="3"/>
        <v>0.41666666666666669</v>
      </c>
      <c r="P18" s="13">
        <v>5</v>
      </c>
      <c r="Q18" s="22"/>
      <c r="R18" s="19"/>
      <c r="S18" s="22"/>
      <c r="T18" s="19"/>
      <c r="U18" s="24">
        <v>3.4426683837333494E-2</v>
      </c>
      <c r="V18" s="24">
        <f t="shared" si="4"/>
        <v>3.9732883869025182E-2</v>
      </c>
      <c r="W18" s="106">
        <v>3.9732880000000002</v>
      </c>
      <c r="X18" s="106">
        <v>3.9732999999999997E-2</v>
      </c>
      <c r="Y18" s="34">
        <f t="shared" si="2"/>
        <v>1.1613097481572021E-7</v>
      </c>
      <c r="Z18" s="35"/>
    </row>
    <row r="19" spans="2:27" ht="17.100000000000001" customHeight="1">
      <c r="D19" s="8">
        <v>10</v>
      </c>
      <c r="E19" s="9">
        <v>4.2619999999999998E-2</v>
      </c>
      <c r="F19" s="19">
        <v>4.2585465498520804E-2</v>
      </c>
      <c r="G19" s="19">
        <f t="shared" si="0"/>
        <v>4.6545013568665028E-2</v>
      </c>
      <c r="H19" s="19"/>
      <c r="J19" s="40">
        <v>10</v>
      </c>
      <c r="K19" s="47">
        <v>4.2585465498520804E-2</v>
      </c>
      <c r="L19" s="47">
        <f t="shared" si="1"/>
        <v>4.6545013568665028E-2</v>
      </c>
      <c r="M19" s="47"/>
      <c r="O19" s="12">
        <f t="shared" si="3"/>
        <v>0.5</v>
      </c>
      <c r="P19" s="13">
        <v>6</v>
      </c>
      <c r="Q19" s="22"/>
      <c r="R19" s="19"/>
      <c r="S19" s="22"/>
      <c r="T19" s="19"/>
      <c r="U19" s="24">
        <v>3.5309166225002908E-2</v>
      </c>
      <c r="V19" s="24">
        <f t="shared" si="4"/>
        <v>4.1251120753180492E-2</v>
      </c>
      <c r="W19" s="106">
        <v>4.1251119999999997</v>
      </c>
      <c r="X19" s="106">
        <v>4.1251000000000003E-2</v>
      </c>
      <c r="Y19" s="34">
        <f t="shared" si="2"/>
        <v>-1.2075318048948569E-7</v>
      </c>
      <c r="Z19" s="35"/>
    </row>
    <row r="20" spans="2:27" ht="17.100000000000001" customHeight="1">
      <c r="D20" s="8">
        <v>15</v>
      </c>
      <c r="E20" s="9">
        <v>4.3840000000000004E-2</v>
      </c>
      <c r="F20" s="19">
        <v>4.3980721053584589E-2</v>
      </c>
      <c r="G20" s="19">
        <f t="shared" si="0"/>
        <v>4.7934759294803814E-2</v>
      </c>
      <c r="H20" s="19"/>
      <c r="J20" s="40">
        <v>15</v>
      </c>
      <c r="K20" s="47">
        <v>4.3980721053584589E-2</v>
      </c>
      <c r="L20" s="47">
        <f t="shared" si="1"/>
        <v>4.7934759294803814E-2</v>
      </c>
      <c r="M20" s="47"/>
      <c r="O20" s="12">
        <f t="shared" si="3"/>
        <v>0.58333333333333337</v>
      </c>
      <c r="P20" s="13">
        <v>7</v>
      </c>
      <c r="Q20" s="22"/>
      <c r="R20" s="19"/>
      <c r="S20" s="22"/>
      <c r="T20" s="19"/>
      <c r="U20" s="24">
        <v>3.6155936340220629E-2</v>
      </c>
      <c r="V20" s="24">
        <f t="shared" si="4"/>
        <v>4.2060114573255758E-2</v>
      </c>
      <c r="W20" s="106">
        <v>4.2060110000000002</v>
      </c>
      <c r="X20" s="106">
        <v>4.206E-2</v>
      </c>
      <c r="Y20" s="34">
        <f t="shared" si="2"/>
        <v>-1.1457325575781052E-7</v>
      </c>
    </row>
    <row r="21" spans="2:27" ht="17.100000000000001" customHeight="1">
      <c r="D21" s="8">
        <v>20</v>
      </c>
      <c r="E21" s="9">
        <v>4.4699999999999997E-2</v>
      </c>
      <c r="F21" s="19">
        <v>4.5059956108158654E-2</v>
      </c>
      <c r="G21" s="19">
        <f t="shared" si="0"/>
        <v>4.9009737726495667E-2</v>
      </c>
      <c r="H21" s="19"/>
      <c r="J21" s="40">
        <v>20</v>
      </c>
      <c r="K21" s="47">
        <v>4.5059956108158654E-2</v>
      </c>
      <c r="L21" s="47">
        <f t="shared" si="1"/>
        <v>4.9009737726495667E-2</v>
      </c>
      <c r="M21" s="47"/>
      <c r="O21" s="12">
        <f t="shared" si="3"/>
        <v>0.66666666666666663</v>
      </c>
      <c r="P21" s="13">
        <v>8</v>
      </c>
      <c r="Q21" s="22"/>
      <c r="R21" s="19"/>
      <c r="S21" s="22"/>
      <c r="T21" s="19"/>
      <c r="U21" s="24">
        <v>3.6892125297289358E-2</v>
      </c>
      <c r="V21" s="24">
        <f t="shared" si="4"/>
        <v>4.2052133853998974E-2</v>
      </c>
      <c r="W21" s="106">
        <v>4.2052129999999996</v>
      </c>
      <c r="X21" s="106">
        <v>4.2051999999999999E-2</v>
      </c>
      <c r="Y21" s="34">
        <f t="shared" si="2"/>
        <v>-1.3385399897508643E-7</v>
      </c>
    </row>
    <row r="22" spans="2:27" ht="17.100000000000001" customHeight="1">
      <c r="D22" s="8">
        <v>30</v>
      </c>
      <c r="E22" s="9">
        <v>4.5080000000000002E-2</v>
      </c>
      <c r="F22" s="19">
        <v>4.5337327542609676E-2</v>
      </c>
      <c r="G22" s="19">
        <f t="shared" si="0"/>
        <v>4.9286015916139077E-2</v>
      </c>
      <c r="H22" s="19"/>
      <c r="J22" s="44">
        <v>23</v>
      </c>
      <c r="K22" s="47">
        <v>4.5421078152358609E-2</v>
      </c>
      <c r="L22" s="47">
        <f t="shared" si="1"/>
        <v>4.9369436486662192E-2</v>
      </c>
      <c r="M22" s="47"/>
      <c r="O22" s="12">
        <f t="shared" si="3"/>
        <v>0.75</v>
      </c>
      <c r="P22" s="13">
        <v>9</v>
      </c>
      <c r="Q22" s="22"/>
      <c r="R22" s="19"/>
      <c r="S22" s="22"/>
      <c r="T22" s="19"/>
      <c r="U22" s="24">
        <v>3.7464195473263739E-2</v>
      </c>
      <c r="V22" s="24">
        <f t="shared" si="4"/>
        <v>4.1435685171721914E-2</v>
      </c>
      <c r="W22" s="106">
        <v>4.1435690000000003</v>
      </c>
      <c r="X22" s="106">
        <v>4.1436000000000001E-2</v>
      </c>
      <c r="Y22" s="34">
        <f t="shared" si="2"/>
        <v>3.1482827808626546E-7</v>
      </c>
    </row>
    <row r="23" spans="2:27" ht="17.100000000000001" customHeight="1">
      <c r="D23" s="8">
        <v>50</v>
      </c>
      <c r="E23" s="9">
        <v>4.4089999999999997E-2</v>
      </c>
      <c r="F23" s="19">
        <v>4.2782520716525926E-2</v>
      </c>
      <c r="G23" s="19">
        <f t="shared" si="0"/>
        <v>4.6741290156159153E-2</v>
      </c>
      <c r="H23" s="19"/>
      <c r="J23" s="44">
        <v>30</v>
      </c>
      <c r="K23" s="47">
        <v>4.5337327542609676E-2</v>
      </c>
      <c r="L23" s="47">
        <f t="shared" si="1"/>
        <v>4.9286015916139077E-2</v>
      </c>
      <c r="M23" s="47"/>
      <c r="O23" s="12">
        <f t="shared" si="3"/>
        <v>0.83333333333333337</v>
      </c>
      <c r="P23" s="13">
        <v>10</v>
      </c>
      <c r="Q23" s="22"/>
      <c r="R23" s="19"/>
      <c r="S23" s="22"/>
      <c r="T23" s="19"/>
      <c r="U23" s="24">
        <v>3.7860661955147812E-2</v>
      </c>
      <c r="V23" s="24">
        <f t="shared" si="4"/>
        <v>4.1044193985910304E-2</v>
      </c>
      <c r="W23" s="106">
        <v>4.104419</v>
      </c>
      <c r="X23" s="106">
        <v>4.1043999999999997E-2</v>
      </c>
      <c r="Y23" s="34">
        <f t="shared" si="2"/>
        <v>-1.9398591030728163E-7</v>
      </c>
      <c r="AA23" s="31"/>
    </row>
    <row r="24" spans="2:27" ht="17.100000000000001" customHeight="1">
      <c r="D24" s="8"/>
      <c r="E24" s="9"/>
      <c r="F24" s="19"/>
      <c r="G24" s="19"/>
      <c r="H24" s="19"/>
      <c r="J24" s="44">
        <v>50</v>
      </c>
      <c r="K24" s="47">
        <v>4.2782520716525926E-2</v>
      </c>
      <c r="L24" s="47">
        <f t="shared" si="1"/>
        <v>4.6741290156159153E-2</v>
      </c>
      <c r="M24" s="47"/>
      <c r="O24" s="12">
        <f t="shared" si="3"/>
        <v>0.91666666666666663</v>
      </c>
      <c r="P24" s="13">
        <v>11</v>
      </c>
      <c r="Q24" s="22"/>
      <c r="R24" s="19"/>
      <c r="S24" s="22"/>
      <c r="T24" s="19"/>
      <c r="U24" s="24">
        <v>3.8149671224813941E-2</v>
      </c>
      <c r="V24" s="24">
        <f t="shared" si="4"/>
        <v>4.1085334204266077E-2</v>
      </c>
      <c r="W24" s="106">
        <v>4.1085330000000004</v>
      </c>
      <c r="X24" s="106">
        <v>4.1085000000000003E-2</v>
      </c>
      <c r="Y24" s="34">
        <f t="shared" si="2"/>
        <v>-3.3420426607394527E-7</v>
      </c>
    </row>
    <row r="25" spans="2:27" ht="17.100000000000001" customHeight="1">
      <c r="D25" s="8"/>
      <c r="E25" s="9"/>
      <c r="F25" s="19"/>
      <c r="G25" s="19"/>
      <c r="H25" s="19"/>
      <c r="J25" s="42"/>
      <c r="K25" s="42"/>
      <c r="L25" s="42"/>
      <c r="M25" s="42"/>
      <c r="O25" s="12">
        <f t="shared" si="3"/>
        <v>1</v>
      </c>
      <c r="P25" s="13">
        <v>12</v>
      </c>
      <c r="Q25" s="22"/>
      <c r="R25" s="19"/>
      <c r="S25" s="22"/>
      <c r="T25" s="19"/>
      <c r="U25" s="24">
        <v>3.8393993309934205E-2</v>
      </c>
      <c r="V25" s="24">
        <f t="shared" si="4"/>
        <v>4.1489171513484191E-2</v>
      </c>
      <c r="W25" s="106">
        <v>4.148917</v>
      </c>
      <c r="X25" s="106">
        <v>4.1488999999999998E-2</v>
      </c>
      <c r="Y25" s="34">
        <f t="shared" si="2"/>
        <v>-1.715134841928645E-7</v>
      </c>
    </row>
    <row r="26" spans="2:27" ht="17.100000000000001" customHeight="1">
      <c r="D26" s="10"/>
      <c r="E26" s="11"/>
      <c r="F26" s="20"/>
      <c r="G26" s="20"/>
      <c r="H26" s="20"/>
      <c r="I26" s="48"/>
      <c r="J26" s="43"/>
      <c r="K26" s="43"/>
      <c r="L26" s="43"/>
      <c r="M26" s="41"/>
      <c r="O26" s="12">
        <f t="shared" si="3"/>
        <v>1.0833333333333333</v>
      </c>
      <c r="P26" s="13">
        <v>13</v>
      </c>
      <c r="Q26" s="22"/>
      <c r="R26" s="19"/>
      <c r="S26" s="22"/>
      <c r="T26" s="19"/>
      <c r="U26" s="24">
        <v>3.863175701841759E-2</v>
      </c>
      <c r="V26" s="24">
        <f t="shared" si="4"/>
        <v>4.1976932105348919E-2</v>
      </c>
      <c r="W26" s="106">
        <v>4.1976930000000001</v>
      </c>
      <c r="X26" s="106">
        <v>4.1977E-2</v>
      </c>
      <c r="Y26" s="34">
        <f t="shared" si="2"/>
        <v>6.7894651081812363E-8</v>
      </c>
    </row>
    <row r="27" spans="2:27" ht="17.100000000000001" customHeight="1">
      <c r="O27" s="12">
        <f t="shared" si="3"/>
        <v>1.1666666666666667</v>
      </c>
      <c r="P27" s="13">
        <v>14</v>
      </c>
      <c r="Q27" s="22"/>
      <c r="R27" s="19"/>
      <c r="S27" s="22"/>
      <c r="T27" s="19"/>
      <c r="U27" s="24">
        <v>3.8870341533787878E-2</v>
      </c>
      <c r="V27" s="24">
        <f t="shared" si="4"/>
        <v>4.2479014027389184E-2</v>
      </c>
      <c r="W27" s="106">
        <v>4.2479009999999997</v>
      </c>
      <c r="X27" s="106">
        <v>4.2479000000000003E-2</v>
      </c>
      <c r="Y27" s="34">
        <f t="shared" si="2"/>
        <v>-1.4027389180770733E-8</v>
      </c>
    </row>
    <row r="28" spans="2:27" ht="17.100000000000001" customHeight="1">
      <c r="B28" s="39"/>
      <c r="C28" s="39"/>
      <c r="D28" s="39"/>
      <c r="E28" s="39"/>
      <c r="F28" s="39"/>
      <c r="G28" s="39"/>
      <c r="H28" s="39"/>
      <c r="I28" s="39"/>
      <c r="O28" s="12">
        <f t="shared" si="3"/>
        <v>1.25</v>
      </c>
      <c r="P28" s="13">
        <v>15</v>
      </c>
      <c r="Q28" s="22"/>
      <c r="R28" s="19"/>
      <c r="S28" s="22"/>
      <c r="T28" s="19"/>
      <c r="U28" s="24">
        <v>3.9110530584737013E-2</v>
      </c>
      <c r="V28" s="24">
        <f t="shared" si="4"/>
        <v>4.2995548050969834E-2</v>
      </c>
      <c r="W28" s="106">
        <v>4.2995549999999998</v>
      </c>
      <c r="X28" s="106">
        <v>4.2995999999999999E-2</v>
      </c>
      <c r="Y28" s="34">
        <f t="shared" si="2"/>
        <v>4.5194903016548826E-7</v>
      </c>
    </row>
    <row r="29" spans="2:27" ht="17.100000000000001" customHeight="1">
      <c r="B29" s="39"/>
      <c r="C29" s="39"/>
      <c r="D29" s="39"/>
      <c r="E29" s="39"/>
      <c r="F29" s="39"/>
      <c r="G29" s="39"/>
      <c r="H29" s="39"/>
      <c r="I29" s="39"/>
      <c r="O29" s="12">
        <f t="shared" si="3"/>
        <v>1.3333333333333333</v>
      </c>
      <c r="P29" s="13">
        <v>16</v>
      </c>
      <c r="Q29" s="22"/>
      <c r="R29" s="19"/>
      <c r="S29" s="22"/>
      <c r="T29" s="19"/>
      <c r="U29" s="24">
        <v>3.9352919656088892E-2</v>
      </c>
      <c r="V29" s="24">
        <f t="shared" si="4"/>
        <v>4.3526673056165865E-2</v>
      </c>
      <c r="W29" s="106">
        <v>4.3526670000000003</v>
      </c>
      <c r="X29" s="106">
        <v>4.3527000000000003E-2</v>
      </c>
      <c r="Y29" s="34">
        <f t="shared" si="2"/>
        <v>3.2694383413772732E-7</v>
      </c>
    </row>
    <row r="30" spans="2:27" ht="17.100000000000001" customHeight="1">
      <c r="B30" s="39"/>
      <c r="C30" s="39"/>
      <c r="D30" s="39"/>
      <c r="E30" s="39"/>
      <c r="F30" s="39"/>
      <c r="G30" s="39"/>
      <c r="H30" s="39"/>
      <c r="I30" s="39"/>
      <c r="O30" s="12">
        <f t="shared" si="3"/>
        <v>1.4166666666666667</v>
      </c>
      <c r="P30" s="13">
        <v>17</v>
      </c>
      <c r="Q30" s="22"/>
      <c r="R30" s="19"/>
      <c r="S30" s="22"/>
      <c r="T30" s="19"/>
      <c r="U30" s="24">
        <v>3.9597971801709431E-2</v>
      </c>
      <c r="V30" s="24">
        <f t="shared" si="4"/>
        <v>4.4072536295870268E-2</v>
      </c>
      <c r="W30" s="106">
        <v>4.407254</v>
      </c>
      <c r="X30" s="106">
        <v>4.4073000000000001E-2</v>
      </c>
      <c r="Y30" s="34">
        <f t="shared" si="2"/>
        <v>4.6370412973284481E-7</v>
      </c>
    </row>
    <row r="31" spans="2:27" ht="17.100000000000001" customHeight="1">
      <c r="B31" s="39"/>
      <c r="C31" s="39"/>
      <c r="D31" s="39"/>
      <c r="E31" s="39"/>
      <c r="F31" s="39"/>
      <c r="G31" s="39"/>
      <c r="H31" s="39"/>
      <c r="I31" s="39"/>
      <c r="O31" s="12">
        <f t="shared" si="3"/>
        <v>1.5</v>
      </c>
      <c r="P31" s="13">
        <v>18</v>
      </c>
      <c r="Q31" s="22"/>
      <c r="R31" s="19"/>
      <c r="S31" s="22"/>
      <c r="T31" s="19"/>
      <c r="U31" s="24">
        <v>3.9846054868794889E-2</v>
      </c>
      <c r="V31" s="24">
        <f t="shared" si="4"/>
        <v>4.4597664880106302E-2</v>
      </c>
      <c r="W31" s="106">
        <v>4.4597660000000001</v>
      </c>
      <c r="X31" s="106">
        <v>4.4597999999999999E-2</v>
      </c>
      <c r="Y31" s="34">
        <f t="shared" si="2"/>
        <v>3.3511989369627848E-7</v>
      </c>
    </row>
    <row r="32" spans="2:27" ht="17.100000000000001" customHeight="1">
      <c r="B32" s="39"/>
      <c r="C32" s="39"/>
      <c r="D32" s="39"/>
      <c r="E32" s="39"/>
      <c r="F32" s="39"/>
      <c r="G32" s="39"/>
      <c r="H32" s="39"/>
      <c r="I32" s="39"/>
      <c r="O32" s="12">
        <f t="shared" si="3"/>
        <v>1.5833333333333333</v>
      </c>
      <c r="P32" s="13">
        <v>19</v>
      </c>
      <c r="Q32" s="22"/>
      <c r="R32" s="19"/>
      <c r="S32" s="22"/>
      <c r="T32" s="19"/>
      <c r="U32" s="24">
        <v>4.0095599894252709E-2</v>
      </c>
      <c r="V32" s="24">
        <f t="shared" si="4"/>
        <v>4.495954456533946E-2</v>
      </c>
      <c r="W32" s="106">
        <v>4.4959540000000002</v>
      </c>
      <c r="X32" s="106">
        <v>4.496E-2</v>
      </c>
      <c r="Y32" s="34">
        <f t="shared" si="2"/>
        <v>4.554346605400994E-7</v>
      </c>
    </row>
    <row r="33" spans="2:25" ht="17.100000000000001" customHeight="1">
      <c r="B33" s="39"/>
      <c r="C33" s="39"/>
      <c r="D33" s="39"/>
      <c r="E33" s="39"/>
      <c r="F33" s="39"/>
      <c r="G33" s="39"/>
      <c r="H33" s="39"/>
      <c r="I33" s="39"/>
      <c r="O33" s="12">
        <f t="shared" si="3"/>
        <v>1.6666666666666667</v>
      </c>
      <c r="P33" s="13">
        <v>20</v>
      </c>
      <c r="Q33" s="22"/>
      <c r="R33" s="19"/>
      <c r="S33" s="22"/>
      <c r="T33" s="19"/>
      <c r="U33" s="24">
        <v>4.0338258548048067E-2</v>
      </c>
      <c r="V33" s="24">
        <f t="shared" si="4"/>
        <v>4.5122326150091929E-2</v>
      </c>
      <c r="W33" s="106">
        <v>4.5122330000000002</v>
      </c>
      <c r="X33" s="106">
        <v>4.5122000000000002E-2</v>
      </c>
      <c r="Y33" s="34">
        <f t="shared" si="2"/>
        <v>-3.2615009192688005E-7</v>
      </c>
    </row>
    <row r="34" spans="2:25" ht="17.100000000000001" customHeight="1">
      <c r="B34" s="39"/>
      <c r="C34" s="39"/>
      <c r="D34" s="39"/>
      <c r="E34" s="39"/>
      <c r="F34" s="39"/>
      <c r="G34" s="39"/>
      <c r="H34" s="39"/>
      <c r="I34" s="39"/>
      <c r="O34" s="12">
        <f t="shared" si="3"/>
        <v>1.75</v>
      </c>
      <c r="P34" s="13">
        <v>21</v>
      </c>
      <c r="Q34" s="22"/>
      <c r="R34" s="19"/>
      <c r="S34" s="22"/>
      <c r="T34" s="19"/>
      <c r="U34" s="24">
        <v>4.0565573915724906E-2</v>
      </c>
      <c r="V34" s="24">
        <f t="shared" si="4"/>
        <v>4.5085813433067834E-2</v>
      </c>
      <c r="W34" s="106">
        <v>4.5085810000000004</v>
      </c>
      <c r="X34" s="106">
        <v>4.5086000000000001E-2</v>
      </c>
      <c r="Y34" s="34">
        <f t="shared" si="2"/>
        <v>1.8656693216712039E-7</v>
      </c>
    </row>
    <row r="35" spans="2:25" ht="17.100000000000001" customHeight="1">
      <c r="B35" s="39"/>
      <c r="C35" s="39"/>
      <c r="D35" s="39"/>
      <c r="E35" s="39"/>
      <c r="F35" s="39"/>
      <c r="G35" s="39"/>
      <c r="H35" s="39"/>
      <c r="I35" s="39"/>
      <c r="O35" s="12">
        <f t="shared" si="3"/>
        <v>1.8333333333333333</v>
      </c>
      <c r="P35" s="13">
        <v>22</v>
      </c>
      <c r="Q35" s="22"/>
      <c r="R35" s="19"/>
      <c r="S35" s="22"/>
      <c r="T35" s="19"/>
      <c r="U35" s="24">
        <v>4.0770614562092078E-2</v>
      </c>
      <c r="V35" s="24">
        <f t="shared" si="4"/>
        <v>4.4849892989756057E-2</v>
      </c>
      <c r="W35" s="106">
        <v>4.4849889999999997</v>
      </c>
      <c r="X35" s="106">
        <v>4.4850000000000001E-2</v>
      </c>
      <c r="Y35" s="34">
        <f t="shared" si="2"/>
        <v>1.0701024394377256E-7</v>
      </c>
    </row>
    <row r="36" spans="2:25" ht="17.100000000000001" customHeight="1">
      <c r="B36" s="39"/>
      <c r="C36" s="39"/>
      <c r="D36" s="39"/>
      <c r="E36" s="39"/>
      <c r="F36" s="39"/>
      <c r="G36" s="39"/>
      <c r="H36" s="39"/>
      <c r="I36" s="39"/>
      <c r="O36" s="12">
        <f t="shared" si="3"/>
        <v>1.9166666666666667</v>
      </c>
      <c r="P36" s="13">
        <v>23</v>
      </c>
      <c r="Q36" s="22"/>
      <c r="R36" s="19"/>
      <c r="S36" s="22"/>
      <c r="T36" s="19"/>
      <c r="U36" s="24">
        <v>4.0947642874011203E-2</v>
      </c>
      <c r="V36" s="24">
        <f t="shared" si="4"/>
        <v>4.4414566074121309E-2</v>
      </c>
      <c r="W36" s="106">
        <v>4.4414569999999998</v>
      </c>
      <c r="X36" s="106">
        <v>4.4415000000000003E-2</v>
      </c>
      <c r="Y36" s="34">
        <f t="shared" si="2"/>
        <v>4.3392587869423016E-7</v>
      </c>
    </row>
    <row r="37" spans="2:25" ht="17.100000000000001" customHeight="1">
      <c r="B37" s="39"/>
      <c r="C37" s="39"/>
      <c r="D37" s="39"/>
      <c r="E37" s="39"/>
      <c r="F37" s="39"/>
      <c r="G37" s="39"/>
      <c r="H37" s="39"/>
      <c r="I37" s="39"/>
      <c r="O37" s="12">
        <f t="shared" si="3"/>
        <v>2</v>
      </c>
      <c r="P37" s="13">
        <v>24</v>
      </c>
      <c r="Q37" s="22"/>
      <c r="R37" s="19"/>
      <c r="S37" s="22"/>
      <c r="T37" s="19"/>
      <c r="U37" s="24">
        <v>4.1091867973361618E-2</v>
      </c>
      <c r="V37" s="24">
        <f t="shared" si="4"/>
        <v>4.384600378876935E-2</v>
      </c>
      <c r="W37" s="106">
        <v>4.3845999999999998</v>
      </c>
      <c r="X37" s="106">
        <v>4.3846000000000003E-2</v>
      </c>
      <c r="Y37" s="34">
        <f t="shared" si="2"/>
        <v>-3.788769346868559E-9</v>
      </c>
    </row>
    <row r="38" spans="2:25" ht="17.100000000000001" customHeight="1">
      <c r="B38" s="39"/>
      <c r="C38" s="39"/>
      <c r="D38" s="39"/>
      <c r="E38" s="39"/>
      <c r="F38" s="39"/>
      <c r="G38" s="39"/>
      <c r="H38" s="39"/>
      <c r="I38" s="39"/>
      <c r="O38" s="12">
        <f t="shared" si="3"/>
        <v>2.0833333333333335</v>
      </c>
      <c r="P38" s="13">
        <v>25</v>
      </c>
      <c r="Q38" s="22"/>
      <c r="R38" s="19"/>
      <c r="S38" s="22"/>
      <c r="T38" s="19"/>
      <c r="U38" s="24">
        <v>4.1201893758502806E-2</v>
      </c>
      <c r="V38" s="24">
        <f t="shared" si="4"/>
        <v>4.3408359835502175E-2</v>
      </c>
      <c r="W38" s="106">
        <v>4.3408360000000004</v>
      </c>
      <c r="X38" s="106">
        <v>4.3408000000000002E-2</v>
      </c>
      <c r="Y38" s="34">
        <f t="shared" si="2"/>
        <v>-3.5983550217277838E-7</v>
      </c>
    </row>
    <row r="39" spans="2:25" ht="17.100000000000001" customHeight="1">
      <c r="B39" s="39"/>
      <c r="C39" s="39"/>
      <c r="D39" s="39"/>
      <c r="E39" s="39"/>
      <c r="F39" s="39"/>
      <c r="G39" s="39"/>
      <c r="H39" s="39"/>
      <c r="I39" s="39"/>
      <c r="O39" s="12">
        <f t="shared" si="3"/>
        <v>2.1666666666666665</v>
      </c>
      <c r="P39" s="13">
        <v>26</v>
      </c>
      <c r="Q39" s="22"/>
      <c r="R39" s="19"/>
      <c r="S39" s="22"/>
      <c r="T39" s="19"/>
      <c r="U39" s="24">
        <v>4.1286671496478577E-2</v>
      </c>
      <c r="V39" s="24">
        <f t="shared" si="4"/>
        <v>4.3167480239411304E-2</v>
      </c>
      <c r="W39" s="106">
        <v>4.3167479999999996</v>
      </c>
      <c r="X39" s="106">
        <v>4.3166999999999997E-2</v>
      </c>
      <c r="Y39" s="34">
        <f t="shared" si="2"/>
        <v>-4.8023941130737047E-7</v>
      </c>
    </row>
    <row r="40" spans="2:25" ht="17.100000000000001" customHeight="1">
      <c r="B40" s="39"/>
      <c r="C40" s="39"/>
      <c r="D40" s="39"/>
      <c r="E40" s="39"/>
      <c r="F40" s="39"/>
      <c r="G40" s="39"/>
      <c r="H40" s="39"/>
      <c r="I40" s="39"/>
      <c r="O40" s="12">
        <f t="shared" si="3"/>
        <v>2.25</v>
      </c>
      <c r="P40" s="13">
        <v>27</v>
      </c>
      <c r="Q40" s="22"/>
      <c r="R40" s="19"/>
      <c r="S40" s="22"/>
      <c r="T40" s="19"/>
      <c r="U40" s="24">
        <v>4.1356270570283016E-2</v>
      </c>
      <c r="V40" s="24">
        <f t="shared" si="4"/>
        <v>4.3123238327796631E-2</v>
      </c>
      <c r="W40" s="106">
        <v>4.3123240000000003</v>
      </c>
      <c r="X40" s="106">
        <v>4.3123000000000002E-2</v>
      </c>
      <c r="Y40" s="34">
        <f t="shared" si="2"/>
        <v>-2.3832779662974479E-7</v>
      </c>
    </row>
    <row r="41" spans="2:25" ht="17.100000000000001" customHeight="1">
      <c r="B41" s="39"/>
      <c r="C41" s="39"/>
      <c r="D41" s="39"/>
      <c r="E41" s="39"/>
      <c r="F41" s="39"/>
      <c r="G41" s="39"/>
      <c r="H41" s="39"/>
      <c r="I41" s="39"/>
      <c r="O41" s="12">
        <f t="shared" si="3"/>
        <v>2.3333333333333335</v>
      </c>
      <c r="P41" s="13">
        <v>28</v>
      </c>
      <c r="Q41" s="22"/>
      <c r="R41" s="19"/>
      <c r="S41" s="22"/>
      <c r="T41" s="19"/>
      <c r="U41" s="24">
        <v>4.1419324992058915E-2</v>
      </c>
      <c r="V41" s="24">
        <f t="shared" si="4"/>
        <v>4.3275617083549989E-2</v>
      </c>
      <c r="W41" s="106">
        <v>4.3275620000000004</v>
      </c>
      <c r="X41" s="106">
        <v>4.3276000000000002E-2</v>
      </c>
      <c r="Y41" s="34">
        <f t="shared" si="2"/>
        <v>3.829164500132598E-7</v>
      </c>
    </row>
    <row r="42" spans="2:25" ht="17.100000000000001" customHeight="1">
      <c r="B42" s="39"/>
      <c r="C42" s="39"/>
      <c r="D42" s="39"/>
      <c r="E42" s="39"/>
      <c r="F42" s="39"/>
      <c r="G42" s="39"/>
      <c r="H42" s="39"/>
      <c r="I42" s="39"/>
      <c r="O42" s="12">
        <f t="shared" si="3"/>
        <v>2.4166666666666665</v>
      </c>
      <c r="P42" s="13">
        <v>29</v>
      </c>
      <c r="Q42" s="22"/>
      <c r="R42" s="19"/>
      <c r="S42" s="22"/>
      <c r="T42" s="19"/>
      <c r="U42" s="24">
        <v>4.1483280047771354E-2</v>
      </c>
      <c r="V42" s="24">
        <f t="shared" si="4"/>
        <v>4.3624740033940457E-2</v>
      </c>
      <c r="W42" s="106">
        <v>4.3624739999999997</v>
      </c>
      <c r="X42" s="106">
        <v>4.3624999999999997E-2</v>
      </c>
      <c r="Y42" s="34">
        <f t="shared" si="2"/>
        <v>2.59966059540373E-7</v>
      </c>
    </row>
    <row r="43" spans="2:25" ht="17.100000000000001" customHeight="1">
      <c r="B43" s="39"/>
      <c r="C43" s="39"/>
      <c r="D43" s="39"/>
      <c r="E43" s="39"/>
      <c r="F43" s="39"/>
      <c r="G43" s="39"/>
      <c r="H43" s="39"/>
      <c r="I43" s="39"/>
      <c r="O43" s="12">
        <f t="shared" si="3"/>
        <v>2.5</v>
      </c>
      <c r="P43" s="13">
        <v>30</v>
      </c>
      <c r="Q43" s="22"/>
      <c r="R43" s="19"/>
      <c r="S43" s="22"/>
      <c r="T43" s="19"/>
      <c r="U43" s="24">
        <v>4.1554591202471292E-2</v>
      </c>
      <c r="V43" s="24">
        <f t="shared" si="4"/>
        <v>4.4133433697032043E-2</v>
      </c>
      <c r="W43" s="106">
        <v>4.4133430000000002</v>
      </c>
      <c r="X43" s="106">
        <v>4.4132999999999999E-2</v>
      </c>
      <c r="Y43" s="34">
        <f t="shared" si="2"/>
        <v>-4.3369703204426679E-7</v>
      </c>
    </row>
    <row r="44" spans="2:25" ht="17.100000000000001" customHeight="1">
      <c r="B44" s="39"/>
      <c r="C44" s="39"/>
      <c r="D44" s="39"/>
      <c r="E44" s="39"/>
      <c r="F44" s="39"/>
      <c r="G44" s="39"/>
      <c r="H44" s="39"/>
      <c r="I44" s="39"/>
      <c r="O44" s="12">
        <f t="shared" si="3"/>
        <v>2.5833333333333335</v>
      </c>
      <c r="P44" s="13">
        <v>31</v>
      </c>
      <c r="Q44" s="22"/>
      <c r="R44" s="19"/>
      <c r="S44" s="22"/>
      <c r="T44" s="19"/>
      <c r="U44" s="24">
        <v>4.1637680168248314E-2</v>
      </c>
      <c r="V44" s="24">
        <f t="shared" si="4"/>
        <v>4.4652115728670339E-2</v>
      </c>
      <c r="W44" s="106">
        <v>4.4652120000000002</v>
      </c>
      <c r="X44" s="106">
        <v>4.4651999999999997E-2</v>
      </c>
      <c r="Y44" s="34">
        <f t="shared" si="2"/>
        <v>-1.1572867034126411E-7</v>
      </c>
    </row>
    <row r="45" spans="2:25" ht="17.100000000000001" customHeight="1">
      <c r="B45" s="39"/>
      <c r="C45" s="39"/>
      <c r="D45" s="39"/>
      <c r="E45" s="39"/>
      <c r="F45" s="39"/>
      <c r="G45" s="39"/>
      <c r="H45" s="39"/>
      <c r="I45" s="39"/>
      <c r="O45" s="12">
        <f t="shared" si="3"/>
        <v>2.6666666666666665</v>
      </c>
      <c r="P45" s="13">
        <v>32</v>
      </c>
      <c r="Q45" s="22"/>
      <c r="R45" s="19"/>
      <c r="S45" s="22"/>
      <c r="T45" s="19"/>
      <c r="U45" s="24">
        <v>4.1731749483197023E-2</v>
      </c>
      <c r="V45" s="24">
        <f t="shared" si="4"/>
        <v>4.5143408297651844E-2</v>
      </c>
      <c r="W45" s="106">
        <v>4.5143409999999999</v>
      </c>
      <c r="X45" s="106">
        <v>4.5143000000000003E-2</v>
      </c>
      <c r="Y45" s="34">
        <f t="shared" si="2"/>
        <v>-4.0829765184102751E-7</v>
      </c>
    </row>
    <row r="46" spans="2:25" ht="17.100000000000001" customHeight="1">
      <c r="B46" s="39"/>
      <c r="C46" s="39"/>
      <c r="D46" s="39"/>
      <c r="E46" s="39"/>
      <c r="F46" s="39"/>
      <c r="G46" s="39"/>
      <c r="H46" s="39"/>
      <c r="I46" s="39"/>
      <c r="O46" s="12">
        <f t="shared" si="3"/>
        <v>2.75</v>
      </c>
      <c r="P46" s="13">
        <v>33</v>
      </c>
      <c r="Q46" s="22"/>
      <c r="R46" s="19"/>
      <c r="S46" s="22"/>
      <c r="T46" s="19"/>
      <c r="U46" s="24">
        <v>4.1834969275746481E-2</v>
      </c>
      <c r="V46" s="24">
        <f t="shared" si="4"/>
        <v>4.5607365670581324E-2</v>
      </c>
      <c r="W46" s="106">
        <v>4.5607369999999996</v>
      </c>
      <c r="X46" s="106">
        <v>4.5607000000000002E-2</v>
      </c>
      <c r="Y46" s="34">
        <f t="shared" si="2"/>
        <v>-3.6567058132180863E-7</v>
      </c>
    </row>
    <row r="47" spans="2:25" ht="17.100000000000001" customHeight="1">
      <c r="B47" s="39"/>
      <c r="C47" s="39"/>
      <c r="D47" s="39"/>
      <c r="E47" s="39"/>
      <c r="F47" s="39"/>
      <c r="G47" s="39"/>
      <c r="H47" s="39"/>
      <c r="I47" s="39"/>
      <c r="O47" s="12">
        <f t="shared" si="3"/>
        <v>2.8333333333333335</v>
      </c>
      <c r="P47" s="13">
        <v>34</v>
      </c>
      <c r="Q47" s="22"/>
      <c r="R47" s="19"/>
      <c r="S47" s="22"/>
      <c r="T47" s="19"/>
      <c r="U47" s="24">
        <v>4.1945727606044203E-2</v>
      </c>
      <c r="V47" s="24">
        <f t="shared" si="4"/>
        <v>4.6044031010507469E-2</v>
      </c>
      <c r="W47" s="106">
        <v>4.6044029999999996</v>
      </c>
      <c r="X47" s="106">
        <v>4.6044000000000002E-2</v>
      </c>
      <c r="Y47" s="34">
        <f t="shared" si="2"/>
        <v>-3.1010507467454929E-8</v>
      </c>
    </row>
    <row r="48" spans="2:25" ht="17.100000000000001" customHeight="1">
      <c r="B48" s="39"/>
      <c r="C48" s="39"/>
      <c r="D48" s="39"/>
      <c r="E48" s="39"/>
      <c r="F48" s="39"/>
      <c r="G48" s="39"/>
      <c r="H48" s="39"/>
      <c r="I48" s="39"/>
      <c r="O48" s="12">
        <f t="shared" si="3"/>
        <v>2.9166666666666665</v>
      </c>
      <c r="P48" s="13">
        <v>35</v>
      </c>
      <c r="Q48" s="22"/>
      <c r="R48" s="19"/>
      <c r="S48" s="22"/>
      <c r="T48" s="19"/>
      <c r="U48" s="24">
        <v>4.2062598860434397E-2</v>
      </c>
      <c r="V48" s="24">
        <f t="shared" si="4"/>
        <v>4.6453436972351714E-2</v>
      </c>
      <c r="W48" s="106">
        <v>4.6453439999999997</v>
      </c>
      <c r="X48" s="106">
        <v>4.6453000000000001E-2</v>
      </c>
      <c r="Y48" s="34">
        <f t="shared" si="2"/>
        <v>-4.3697235171252791E-7</v>
      </c>
    </row>
    <row r="49" spans="2:25" ht="17.100000000000001" customHeight="1">
      <c r="B49" s="39"/>
      <c r="C49" s="39"/>
      <c r="D49" s="39"/>
      <c r="E49" s="39"/>
      <c r="F49" s="39"/>
      <c r="G49" s="39"/>
      <c r="H49" s="39"/>
      <c r="I49" s="39"/>
      <c r="O49" s="12">
        <f t="shared" si="3"/>
        <v>3</v>
      </c>
      <c r="P49" s="13">
        <v>36</v>
      </c>
      <c r="Q49" s="22"/>
      <c r="R49" s="19"/>
      <c r="S49" s="22"/>
      <c r="T49" s="19"/>
      <c r="U49" s="24">
        <v>4.2184317451671394E-2</v>
      </c>
      <c r="V49" s="24">
        <f t="shared" si="4"/>
        <v>4.6836363038630591E-2</v>
      </c>
      <c r="W49" s="106">
        <v>4.6836359999999999</v>
      </c>
      <c r="X49" s="106">
        <v>4.6836000000000003E-2</v>
      </c>
      <c r="Y49" s="34">
        <f t="shared" si="2"/>
        <v>-3.6303863058806396E-7</v>
      </c>
    </row>
    <row r="50" spans="2:25" ht="17.100000000000001" customHeight="1">
      <c r="B50" s="39"/>
      <c r="C50" s="39"/>
      <c r="D50" s="39"/>
      <c r="E50" s="39"/>
      <c r="F50" s="39"/>
      <c r="G50" s="39"/>
      <c r="H50" s="39"/>
      <c r="I50" s="39"/>
      <c r="O50" s="12">
        <f t="shared" si="3"/>
        <v>3.0833333333333335</v>
      </c>
      <c r="P50" s="13">
        <v>37</v>
      </c>
      <c r="Q50" s="22"/>
      <c r="R50" s="19"/>
      <c r="S50" s="22"/>
      <c r="T50" s="19"/>
      <c r="U50" s="24">
        <v>4.230977618104026E-2</v>
      </c>
      <c r="V50" s="24">
        <f t="shared" si="4"/>
        <v>4.7195853525646481E-2</v>
      </c>
      <c r="W50" s="106">
        <v>4.7195850000000004</v>
      </c>
      <c r="X50" s="106">
        <v>4.7196000000000002E-2</v>
      </c>
      <c r="Y50" s="34">
        <f t="shared" si="2"/>
        <v>1.4647435352121985E-7</v>
      </c>
    </row>
    <row r="51" spans="2:25" ht="17.100000000000001" customHeight="1">
      <c r="B51" s="39"/>
      <c r="C51" s="39"/>
      <c r="D51" s="39"/>
      <c r="E51" s="39"/>
      <c r="F51" s="39"/>
      <c r="G51" s="39"/>
      <c r="H51" s="39"/>
      <c r="I51" s="39"/>
      <c r="O51" s="12">
        <f t="shared" si="3"/>
        <v>3.1666666666666665</v>
      </c>
      <c r="P51" s="13">
        <v>38</v>
      </c>
      <c r="Q51" s="22"/>
      <c r="R51" s="19"/>
      <c r="S51" s="22"/>
      <c r="T51" s="19"/>
      <c r="U51" s="24">
        <v>4.2438064619511939E-2</v>
      </c>
      <c r="V51" s="24">
        <f t="shared" si="4"/>
        <v>4.7532680478755251E-2</v>
      </c>
      <c r="W51" s="106">
        <v>4.7532680000000003</v>
      </c>
      <c r="X51" s="106">
        <v>4.7532999999999999E-2</v>
      </c>
      <c r="Y51" s="34">
        <f t="shared" si="2"/>
        <v>3.1952124474737831E-7</v>
      </c>
    </row>
    <row r="52" spans="2:25" ht="17.100000000000001" customHeight="1">
      <c r="B52" s="39"/>
      <c r="C52" s="39"/>
      <c r="D52" s="39"/>
      <c r="E52" s="39"/>
      <c r="F52" s="39"/>
      <c r="G52" s="39"/>
      <c r="H52" s="39"/>
      <c r="I52" s="39"/>
      <c r="O52" s="12">
        <f t="shared" si="3"/>
        <v>3.25</v>
      </c>
      <c r="P52" s="13">
        <v>39</v>
      </c>
      <c r="Q52" s="22"/>
      <c r="R52" s="19"/>
      <c r="S52" s="22"/>
      <c r="T52" s="19"/>
      <c r="U52" s="24">
        <v>4.2568385765917149E-2</v>
      </c>
      <c r="V52" s="24">
        <f t="shared" si="4"/>
        <v>4.7846852703943066E-2</v>
      </c>
      <c r="W52" s="106">
        <v>4.7846849999999996</v>
      </c>
      <c r="X52" s="106">
        <v>4.7847000000000001E-2</v>
      </c>
      <c r="Y52" s="34">
        <f t="shared" si="2"/>
        <v>1.4729605693486469E-7</v>
      </c>
    </row>
    <row r="53" spans="2:25" ht="17.100000000000001" customHeight="1">
      <c r="B53" s="39"/>
      <c r="C53" s="39"/>
      <c r="D53" s="39"/>
      <c r="E53" s="39"/>
      <c r="F53" s="39"/>
      <c r="G53" s="39"/>
      <c r="H53" s="39"/>
      <c r="I53" s="39"/>
      <c r="O53" s="12">
        <f t="shared" si="3"/>
        <v>3.3333333333333335</v>
      </c>
      <c r="P53" s="13">
        <v>40</v>
      </c>
      <c r="Q53" s="22"/>
      <c r="R53" s="19"/>
      <c r="S53" s="22"/>
      <c r="T53" s="19"/>
      <c r="U53" s="24">
        <v>4.2700022814961436E-2</v>
      </c>
      <c r="V53" s="24">
        <f t="shared" si="4"/>
        <v>4.8138372199487245E-2</v>
      </c>
      <c r="W53" s="106">
        <v>4.8138370000000004</v>
      </c>
      <c r="X53" s="106">
        <v>4.8138E-2</v>
      </c>
      <c r="Y53" s="34">
        <f t="shared" si="2"/>
        <v>-3.7219948724465102E-7</v>
      </c>
    </row>
    <row r="54" spans="2:25" ht="17.100000000000001" customHeight="1">
      <c r="B54" s="39"/>
      <c r="C54" s="39"/>
      <c r="D54" s="39"/>
      <c r="E54" s="39"/>
      <c r="F54" s="39"/>
      <c r="G54" s="39"/>
      <c r="H54" s="39"/>
      <c r="I54" s="39"/>
      <c r="O54" s="12">
        <f t="shared" si="3"/>
        <v>3.4166666666666665</v>
      </c>
      <c r="P54" s="13">
        <v>41</v>
      </c>
      <c r="Q54" s="22"/>
      <c r="R54" s="19"/>
      <c r="S54" s="22"/>
      <c r="T54" s="19"/>
      <c r="U54" s="24">
        <v>4.2832329166002214E-2</v>
      </c>
      <c r="V54" s="24">
        <f t="shared" si="4"/>
        <v>4.8407234556470558E-2</v>
      </c>
      <c r="W54" s="106">
        <v>4.8407229999999997</v>
      </c>
      <c r="X54" s="106">
        <v>4.8406999999999999E-2</v>
      </c>
      <c r="Y54" s="34">
        <f t="shared" si="2"/>
        <v>-2.3455647055886653E-7</v>
      </c>
    </row>
    <row r="55" spans="2:25" ht="17.100000000000001" customHeight="1">
      <c r="B55" s="39"/>
      <c r="C55" s="39"/>
      <c r="D55" s="39"/>
      <c r="E55" s="39"/>
      <c r="F55" s="39"/>
      <c r="G55" s="39"/>
      <c r="H55" s="39"/>
      <c r="I55" s="39"/>
      <c r="O55" s="12">
        <f t="shared" si="3"/>
        <v>3.5</v>
      </c>
      <c r="P55" s="13">
        <v>42</v>
      </c>
      <c r="Q55" s="22"/>
      <c r="R55" s="19"/>
      <c r="S55" s="22"/>
      <c r="T55" s="19"/>
      <c r="U55" s="24">
        <v>4.2964719873000323E-2</v>
      </c>
      <c r="V55" s="24">
        <f t="shared" si="4"/>
        <v>4.8653429358304301E-2</v>
      </c>
      <c r="W55" s="106">
        <v>4.8653430000000002</v>
      </c>
      <c r="X55" s="106">
        <v>4.8653000000000002E-2</v>
      </c>
      <c r="Y55" s="34">
        <f t="shared" si="2"/>
        <v>-4.2935830429913224E-7</v>
      </c>
    </row>
    <row r="56" spans="2:25" ht="17.100000000000001" customHeight="1">
      <c r="O56" s="12">
        <f t="shared" si="3"/>
        <v>3.5833333333333335</v>
      </c>
      <c r="P56" s="13">
        <v>43</v>
      </c>
      <c r="Q56" s="22"/>
      <c r="R56" s="19"/>
      <c r="S56" s="22"/>
      <c r="T56" s="19"/>
      <c r="U56" s="24">
        <v>4.3096664300280363E-2</v>
      </c>
      <c r="V56" s="24">
        <f t="shared" si="4"/>
        <v>4.887694057972336E-2</v>
      </c>
      <c r="W56" s="106">
        <v>4.8876939999999998</v>
      </c>
      <c r="X56" s="106">
        <v>4.8876999999999997E-2</v>
      </c>
      <c r="Y56" s="34">
        <f t="shared" si="2"/>
        <v>5.9420276636579228E-8</v>
      </c>
    </row>
    <row r="57" spans="2:25" ht="17.100000000000001" customHeight="1">
      <c r="O57" s="12">
        <f t="shared" si="3"/>
        <v>3.6666666666666665</v>
      </c>
      <c r="P57" s="13">
        <v>44</v>
      </c>
      <c r="Q57" s="22"/>
      <c r="R57" s="19"/>
      <c r="S57" s="22"/>
      <c r="T57" s="19"/>
      <c r="U57" s="24">
        <v>4.322767979166442E-2</v>
      </c>
      <c r="V57" s="24">
        <f t="shared" si="4"/>
        <v>4.9077746986307957E-2</v>
      </c>
      <c r="W57" s="106">
        <v>4.907775</v>
      </c>
      <c r="X57" s="106">
        <v>4.9077999999999997E-2</v>
      </c>
      <c r="Y57" s="34">
        <f t="shared" si="2"/>
        <v>2.5301369203922786E-7</v>
      </c>
    </row>
    <row r="58" spans="2:25" ht="17.100000000000001" customHeight="1">
      <c r="O58" s="12">
        <f t="shared" si="3"/>
        <v>3.75</v>
      </c>
      <c r="P58" s="13">
        <v>45</v>
      </c>
      <c r="Q58" s="22"/>
      <c r="R58" s="19"/>
      <c r="S58" s="22"/>
      <c r="T58" s="19"/>
      <c r="U58" s="24">
        <v>4.3357326194881418E-2</v>
      </c>
      <c r="V58" s="24">
        <f t="shared" si="4"/>
        <v>4.9255822534515215E-2</v>
      </c>
      <c r="W58" s="106">
        <v>4.9255820000000003</v>
      </c>
      <c r="X58" s="106">
        <v>4.9256000000000001E-2</v>
      </c>
      <c r="Y58" s="34">
        <f t="shared" si="2"/>
        <v>1.7746548478664304E-7</v>
      </c>
    </row>
    <row r="59" spans="2:25" ht="17.100000000000001" customHeight="1">
      <c r="O59" s="12">
        <f t="shared" si="3"/>
        <v>3.8333333333333335</v>
      </c>
      <c r="P59" s="13">
        <v>46</v>
      </c>
      <c r="Q59" s="22"/>
      <c r="R59" s="19"/>
      <c r="S59" s="22"/>
      <c r="T59" s="19"/>
      <c r="U59" s="24">
        <v>4.348520111072518E-2</v>
      </c>
      <c r="V59" s="24">
        <f t="shared" si="4"/>
        <v>4.9411136772874675E-2</v>
      </c>
      <c r="W59" s="106">
        <v>4.9411139999999998</v>
      </c>
      <c r="X59" s="106">
        <v>4.9410999999999997E-2</v>
      </c>
      <c r="Y59" s="34">
        <f t="shared" si="2"/>
        <v>-1.3677287467872556E-7</v>
      </c>
    </row>
    <row r="60" spans="2:25" ht="17.100000000000001" customHeight="1">
      <c r="O60" s="12">
        <f t="shared" si="3"/>
        <v>3.9166666666666665</v>
      </c>
      <c r="P60" s="13">
        <v>47</v>
      </c>
      <c r="Q60" s="22"/>
      <c r="R60" s="19"/>
      <c r="S60" s="22"/>
      <c r="T60" s="19"/>
      <c r="U60" s="24">
        <v>4.361093575873265E-2</v>
      </c>
      <c r="V60" s="24">
        <f t="shared" si="4"/>
        <v>4.9543655245003038E-2</v>
      </c>
      <c r="W60" s="106">
        <v>4.9543660000000003</v>
      </c>
      <c r="X60" s="106">
        <v>4.9543999999999998E-2</v>
      </c>
      <c r="Y60" s="34">
        <f t="shared" si="2"/>
        <v>3.4475499696012823E-7</v>
      </c>
    </row>
    <row r="61" spans="2:25" ht="17.100000000000001" customHeight="1">
      <c r="O61" s="12">
        <f t="shared" si="3"/>
        <v>4</v>
      </c>
      <c r="P61" s="13">
        <v>48</v>
      </c>
      <c r="Q61" s="22"/>
      <c r="R61" s="19"/>
      <c r="S61" s="22"/>
      <c r="T61" s="19"/>
      <c r="U61" s="24">
        <v>4.3734191369253494E-2</v>
      </c>
      <c r="V61" s="24">
        <f t="shared" si="4"/>
        <v>4.9655154948906155E-2</v>
      </c>
      <c r="W61" s="106">
        <v>4.9655149999999999</v>
      </c>
      <c r="X61" s="106">
        <v>4.9654999999999998E-2</v>
      </c>
      <c r="Y61" s="34">
        <f t="shared" si="2"/>
        <v>-1.5494890615724843E-7</v>
      </c>
    </row>
    <row r="62" spans="2:25" ht="17.100000000000001" customHeight="1">
      <c r="O62" s="12">
        <f t="shared" si="3"/>
        <v>4.083333333333333</v>
      </c>
      <c r="P62" s="13">
        <v>49</v>
      </c>
      <c r="Q62" s="22"/>
      <c r="R62" s="19"/>
      <c r="S62" s="22"/>
      <c r="T62" s="19"/>
      <c r="U62" s="24">
        <v>4.3854692863802391E-2</v>
      </c>
      <c r="V62" s="24">
        <f t="shared" si="4"/>
        <v>4.9752864006374686E-2</v>
      </c>
      <c r="W62" s="106">
        <v>4.9752859999999997</v>
      </c>
      <c r="X62" s="106">
        <v>4.9752999999999999E-2</v>
      </c>
      <c r="Y62" s="34">
        <f t="shared" si="2"/>
        <v>1.3599362531230286E-7</v>
      </c>
    </row>
    <row r="63" spans="2:25" ht="17.100000000000001" customHeight="1">
      <c r="O63" s="12">
        <f t="shared" si="3"/>
        <v>4.166666666666667</v>
      </c>
      <c r="P63" s="13">
        <v>50</v>
      </c>
      <c r="Q63" s="22"/>
      <c r="R63" s="19"/>
      <c r="S63" s="22"/>
      <c r="T63" s="19"/>
      <c r="U63" s="24">
        <v>4.3972330896085099E-2</v>
      </c>
      <c r="V63" s="24">
        <f t="shared" si="4"/>
        <v>4.98385785058999E-2</v>
      </c>
      <c r="W63" s="106">
        <v>4.9838579999999997</v>
      </c>
      <c r="X63" s="106">
        <v>4.9839000000000001E-2</v>
      </c>
      <c r="Y63" s="34">
        <f t="shared" si="2"/>
        <v>4.2149410010156041E-7</v>
      </c>
    </row>
    <row r="64" spans="2:25" ht="17.100000000000001" customHeight="1">
      <c r="O64" s="12">
        <f t="shared" si="3"/>
        <v>4.25</v>
      </c>
      <c r="P64" s="13">
        <v>51</v>
      </c>
      <c r="Q64" s="22"/>
      <c r="R64" s="19"/>
      <c r="S64" s="22"/>
      <c r="T64" s="19"/>
      <c r="U64" s="24">
        <v>4.4087039695622776E-2</v>
      </c>
      <c r="V64" s="24">
        <f t="shared" si="4"/>
        <v>4.991227981239077E-2</v>
      </c>
      <c r="W64" s="106">
        <v>4.9912280000000004</v>
      </c>
      <c r="X64" s="106">
        <v>4.9911999999999998E-2</v>
      </c>
      <c r="Y64" s="34">
        <f t="shared" si="2"/>
        <v>-2.7981239077157216E-7</v>
      </c>
    </row>
    <row r="65" spans="15:25" ht="17.100000000000001" customHeight="1">
      <c r="O65" s="12">
        <f t="shared" si="3"/>
        <v>4.333333333333333</v>
      </c>
      <c r="P65" s="13">
        <v>52</v>
      </c>
      <c r="Q65" s="22"/>
      <c r="R65" s="19"/>
      <c r="S65" s="22"/>
      <c r="T65" s="19"/>
      <c r="U65" s="24">
        <v>4.4198758172655062E-2</v>
      </c>
      <c r="V65" s="24">
        <f t="shared" si="4"/>
        <v>4.9973947635922444E-2</v>
      </c>
      <c r="W65" s="106">
        <v>4.997395</v>
      </c>
      <c r="X65" s="106">
        <v>4.9973999999999998E-2</v>
      </c>
      <c r="Y65" s="34">
        <f t="shared" si="2"/>
        <v>5.236407755321304E-8</v>
      </c>
    </row>
    <row r="66" spans="15:25" ht="17.100000000000001" customHeight="1">
      <c r="O66" s="12">
        <f t="shared" si="3"/>
        <v>4.416666666666667</v>
      </c>
      <c r="P66" s="13">
        <v>53</v>
      </c>
      <c r="Q66" s="22"/>
      <c r="R66" s="19"/>
      <c r="S66" s="22"/>
      <c r="T66" s="19"/>
      <c r="U66" s="24">
        <v>4.4307429441707846E-2</v>
      </c>
      <c r="V66" s="24">
        <f t="shared" si="4"/>
        <v>5.0023560142856471E-2</v>
      </c>
      <c r="W66" s="106">
        <v>5.0023559999999998</v>
      </c>
      <c r="X66" s="106">
        <v>5.0023999999999999E-2</v>
      </c>
      <c r="Y66" s="34">
        <f t="shared" si="2"/>
        <v>4.3985714352767769E-7</v>
      </c>
    </row>
    <row r="67" spans="15:25" ht="17.100000000000001" customHeight="1">
      <c r="O67" s="12">
        <f t="shared" si="3"/>
        <v>4.5</v>
      </c>
      <c r="P67" s="13">
        <v>54</v>
      </c>
      <c r="Q67" s="22"/>
      <c r="R67" s="19"/>
      <c r="S67" s="22"/>
      <c r="T67" s="19"/>
      <c r="U67" s="24">
        <v>4.4413000400140845E-2</v>
      </c>
      <c r="V67" s="24">
        <f t="shared" si="4"/>
        <v>5.0061094068227341E-2</v>
      </c>
      <c r="W67" s="106">
        <v>5.0061090000000004</v>
      </c>
      <c r="X67" s="106">
        <v>5.0061000000000001E-2</v>
      </c>
      <c r="Y67" s="34">
        <f t="shared" si="2"/>
        <v>-9.406822733953879E-8</v>
      </c>
    </row>
    <row r="68" spans="15:25" ht="17.100000000000001" customHeight="1">
      <c r="O68" s="12">
        <f t="shared" si="3"/>
        <v>4.583333333333333</v>
      </c>
      <c r="P68" s="13">
        <v>55</v>
      </c>
      <c r="Q68" s="22"/>
      <c r="R68" s="19"/>
      <c r="S68" s="22"/>
      <c r="T68" s="19"/>
      <c r="U68" s="24">
        <v>4.4515421354692331E-2</v>
      </c>
      <c r="V68" s="24">
        <f t="shared" si="4"/>
        <v>5.0086524827899215E-2</v>
      </c>
      <c r="W68" s="106">
        <v>5.0086519999999997</v>
      </c>
      <c r="X68" s="106">
        <v>5.0087E-2</v>
      </c>
      <c r="Y68" s="34">
        <f t="shared" si="2"/>
        <v>4.7517210078479311E-7</v>
      </c>
    </row>
    <row r="69" spans="15:25" ht="17.100000000000001" customHeight="1">
      <c r="O69" s="12">
        <f t="shared" si="3"/>
        <v>4.666666666666667</v>
      </c>
      <c r="P69" s="13">
        <v>56</v>
      </c>
      <c r="Q69" s="22"/>
      <c r="R69" s="19"/>
      <c r="S69" s="22"/>
      <c r="T69" s="19"/>
      <c r="U69" s="24">
        <v>4.4614645690014498E-2</v>
      </c>
      <c r="V69" s="24">
        <f t="shared" si="4"/>
        <v>5.009982663244017E-2</v>
      </c>
      <c r="W69" s="106">
        <v>5.0099830000000001</v>
      </c>
      <c r="X69" s="106">
        <v>5.0099999999999999E-2</v>
      </c>
      <c r="Y69" s="34">
        <f t="shared" si="2"/>
        <v>1.7336755982894081E-7</v>
      </c>
    </row>
    <row r="70" spans="15:25" ht="17.100000000000001" customHeight="1">
      <c r="O70" s="12">
        <f t="shared" si="3"/>
        <v>4.75</v>
      </c>
      <c r="P70" s="13">
        <v>57</v>
      </c>
      <c r="Q70" s="22"/>
      <c r="R70" s="19"/>
      <c r="S70" s="22"/>
      <c r="T70" s="19"/>
      <c r="U70" s="24">
        <v>4.4710629574065797E-2</v>
      </c>
      <c r="V70" s="24">
        <f t="shared" si="4"/>
        <v>5.010097260122981E-2</v>
      </c>
      <c r="W70" s="106">
        <v>5.010097</v>
      </c>
      <c r="X70" s="106">
        <v>5.0101E-2</v>
      </c>
      <c r="Y70" s="34">
        <f t="shared" si="2"/>
        <v>2.7398770190145694E-8</v>
      </c>
    </row>
    <row r="71" spans="15:25" ht="17.100000000000001" customHeight="1">
      <c r="O71" s="12">
        <f t="shared" si="3"/>
        <v>4.833333333333333</v>
      </c>
      <c r="P71" s="13">
        <v>58</v>
      </c>
      <c r="Q71" s="22"/>
      <c r="R71" s="19"/>
      <c r="S71" s="22"/>
      <c r="T71" s="19"/>
      <c r="U71" s="24">
        <v>4.4803331695915105E-2</v>
      </c>
      <c r="V71" s="24">
        <f t="shared" si="4"/>
        <v>5.0089934877870279E-2</v>
      </c>
      <c r="W71" s="106">
        <v>5.0089930000000003</v>
      </c>
      <c r="X71" s="106">
        <v>5.0090000000000003E-2</v>
      </c>
      <c r="Y71" s="34">
        <f t="shared" si="2"/>
        <v>6.5122129723482747E-8</v>
      </c>
    </row>
    <row r="72" spans="15:25" ht="17.100000000000001" customHeight="1">
      <c r="O72" s="12">
        <f t="shared" si="3"/>
        <v>4.916666666666667</v>
      </c>
      <c r="P72" s="13">
        <v>59</v>
      </c>
      <c r="Q72" s="22"/>
      <c r="R72" s="19"/>
      <c r="S72" s="22"/>
      <c r="T72" s="19"/>
      <c r="U72" s="24">
        <v>4.4892713032128828E-2</v>
      </c>
      <c r="V72" s="24">
        <f t="shared" si="4"/>
        <v>5.0066684746424173E-2</v>
      </c>
      <c r="W72" s="106">
        <v>5.0066680000000003</v>
      </c>
      <c r="X72" s="106">
        <v>5.0067E-2</v>
      </c>
      <c r="Y72" s="34">
        <f t="shared" si="2"/>
        <v>3.1525357582773417E-7</v>
      </c>
    </row>
    <row r="73" spans="15:25" ht="17.100000000000001" customHeight="1">
      <c r="O73" s="12">
        <f t="shared" si="3"/>
        <v>5</v>
      </c>
      <c r="P73" s="13">
        <v>60</v>
      </c>
      <c r="Q73" s="22"/>
      <c r="R73" s="19"/>
      <c r="S73" s="22"/>
      <c r="T73" s="19"/>
      <c r="U73" s="24">
        <v>4.4978736638419115E-2</v>
      </c>
      <c r="V73" s="24">
        <f t="shared" si="4"/>
        <v>5.0033710634791895E-2</v>
      </c>
      <c r="W73" s="106">
        <v>5.0033709999999996</v>
      </c>
      <c r="X73" s="106">
        <v>5.0034000000000002E-2</v>
      </c>
      <c r="Y73" s="34">
        <f t="shared" si="2"/>
        <v>2.8936520810735056E-7</v>
      </c>
    </row>
    <row r="74" spans="15:25" ht="17.100000000000001" customHeight="1">
      <c r="O74" s="12">
        <f t="shared" si="3"/>
        <v>5.083333333333333</v>
      </c>
      <c r="P74" s="13">
        <v>61</v>
      </c>
      <c r="Q74" s="22"/>
      <c r="R74" s="19"/>
      <c r="S74" s="22"/>
      <c r="T74" s="19"/>
      <c r="U74" s="24">
        <v>4.5061408545077342E-2</v>
      </c>
      <c r="V74" s="24">
        <f t="shared" si="4"/>
        <v>5.0001064869473977E-2</v>
      </c>
      <c r="W74" s="106">
        <v>5.0001059999999997</v>
      </c>
      <c r="X74" s="106">
        <v>5.0000999999999997E-2</v>
      </c>
      <c r="Y74" s="34">
        <f t="shared" si="2"/>
        <v>-6.4869473979933812E-8</v>
      </c>
    </row>
    <row r="75" spans="15:25" ht="17.100000000000001" customHeight="1">
      <c r="O75" s="12">
        <f t="shared" si="3"/>
        <v>5.166666666666667</v>
      </c>
      <c r="P75" s="13">
        <v>62</v>
      </c>
      <c r="Q75" s="22"/>
      <c r="R75" s="19"/>
      <c r="S75" s="22"/>
      <c r="T75" s="19"/>
      <c r="U75" s="24">
        <v>4.5140895744068654E-2</v>
      </c>
      <c r="V75" s="24">
        <f t="shared" si="4"/>
        <v>4.9971265125665409E-2</v>
      </c>
      <c r="W75" s="106">
        <v>4.9971269999999999</v>
      </c>
      <c r="X75" s="106">
        <v>4.9971000000000002E-2</v>
      </c>
      <c r="Y75" s="34">
        <f t="shared" si="2"/>
        <v>-2.6512566540792815E-7</v>
      </c>
    </row>
    <row r="76" spans="15:25" ht="17.100000000000001" customHeight="1">
      <c r="O76" s="12">
        <f t="shared" si="3"/>
        <v>5.25</v>
      </c>
      <c r="P76" s="13">
        <v>63</v>
      </c>
      <c r="Q76" s="22"/>
      <c r="R76" s="19"/>
      <c r="S76" s="22"/>
      <c r="T76" s="19"/>
      <c r="U76" s="24">
        <v>4.5217394437235159E-2</v>
      </c>
      <c r="V76" s="24">
        <f t="shared" si="4"/>
        <v>4.9944314191568084E-2</v>
      </c>
      <c r="W76" s="106">
        <v>4.9944309999999996</v>
      </c>
      <c r="X76" s="106">
        <v>4.9944000000000002E-2</v>
      </c>
      <c r="Y76" s="34">
        <f t="shared" si="2"/>
        <v>-3.1419156808210058E-7</v>
      </c>
    </row>
    <row r="77" spans="15:25" ht="17.100000000000001" customHeight="1">
      <c r="O77" s="12">
        <f t="shared" si="3"/>
        <v>5.333333333333333</v>
      </c>
      <c r="P77" s="13">
        <v>64</v>
      </c>
      <c r="Q77" s="22"/>
      <c r="R77" s="19"/>
      <c r="S77" s="22"/>
      <c r="T77" s="19"/>
      <c r="U77" s="24">
        <v>4.5291088649048517E-2</v>
      </c>
      <c r="V77" s="24">
        <f t="shared" si="4"/>
        <v>4.9920215120348166E-2</v>
      </c>
      <c r="W77" s="106">
        <v>4.9920220000000004</v>
      </c>
      <c r="X77" s="106">
        <v>4.9919999999999999E-2</v>
      </c>
      <c r="Y77" s="34">
        <f t="shared" ref="Y77:Y140" si="5">X77-V77</f>
        <v>-2.1512034816678627E-7</v>
      </c>
    </row>
    <row r="78" spans="15:25" ht="17.100000000000001" customHeight="1">
      <c r="O78" s="12">
        <f t="shared" ref="O78:O141" si="6">P78/12</f>
        <v>5.416666666666667</v>
      </c>
      <c r="P78" s="13">
        <v>65</v>
      </c>
      <c r="Q78" s="22"/>
      <c r="R78" s="19"/>
      <c r="S78" s="22"/>
      <c r="T78" s="19"/>
      <c r="U78" s="24">
        <v>4.5362151163993891E-2</v>
      </c>
      <c r="V78" s="24">
        <f t="shared" ref="V78:V141" si="7">(1+U79)^P79/(1+U78)^P78-1</f>
        <v>4.9898971237630541E-2</v>
      </c>
      <c r="W78" s="106">
        <v>4.989897</v>
      </c>
      <c r="X78" s="106">
        <v>4.9898999999999999E-2</v>
      </c>
      <c r="Y78" s="34">
        <f t="shared" si="5"/>
        <v>2.8762369458368298E-8</v>
      </c>
    </row>
    <row r="79" spans="15:25" ht="17.100000000000001" customHeight="1">
      <c r="O79" s="12">
        <f t="shared" si="6"/>
        <v>5.5</v>
      </c>
      <c r="P79" s="13">
        <v>66</v>
      </c>
      <c r="Q79" s="22"/>
      <c r="R79" s="19"/>
      <c r="S79" s="22"/>
      <c r="T79" s="19"/>
      <c r="U79" s="24">
        <v>4.543074437913952E-2</v>
      </c>
      <c r="V79" s="24">
        <f t="shared" si="7"/>
        <v>4.988058614852009E-2</v>
      </c>
      <c r="W79" s="106">
        <v>4.9880589999999998</v>
      </c>
      <c r="X79" s="106">
        <v>4.9881000000000002E-2</v>
      </c>
      <c r="Y79" s="34">
        <f t="shared" si="5"/>
        <v>4.1385147991207516E-7</v>
      </c>
    </row>
    <row r="80" spans="15:25" ht="17.100000000000001" customHeight="1">
      <c r="O80" s="12">
        <f t="shared" si="6"/>
        <v>5.583333333333333</v>
      </c>
      <c r="P80" s="13">
        <v>67</v>
      </c>
      <c r="Q80" s="22"/>
      <c r="R80" s="19"/>
      <c r="S80" s="22"/>
      <c r="T80" s="19"/>
      <c r="U80" s="24">
        <v>4.5497021080717737E-2</v>
      </c>
      <c r="V80" s="24">
        <f t="shared" si="7"/>
        <v>4.9865063744677363E-2</v>
      </c>
      <c r="W80" s="106">
        <v>4.9865060000000003</v>
      </c>
      <c r="X80" s="106">
        <v>4.9865E-2</v>
      </c>
      <c r="Y80" s="34">
        <f t="shared" si="5"/>
        <v>-6.3744677362975732E-8</v>
      </c>
    </row>
    <row r="81" spans="15:25" ht="17.100000000000001" customHeight="1">
      <c r="O81" s="12">
        <f t="shared" si="6"/>
        <v>5.666666666666667</v>
      </c>
      <c r="P81" s="13">
        <v>68</v>
      </c>
      <c r="Q81" s="22"/>
      <c r="R81" s="19"/>
      <c r="S81" s="22"/>
      <c r="T81" s="19"/>
      <c r="U81" s="24">
        <v>4.5561125152513204E-2</v>
      </c>
      <c r="V81" s="24">
        <f t="shared" si="7"/>
        <v>4.9852408211778165E-2</v>
      </c>
      <c r="W81" s="106">
        <v>4.9852410000000003</v>
      </c>
      <c r="X81" s="106">
        <v>4.9852E-2</v>
      </c>
      <c r="Y81" s="34">
        <f t="shared" si="5"/>
        <v>-4.0821177816480203E-7</v>
      </c>
    </row>
    <row r="82" spans="15:25" ht="17.100000000000001" customHeight="1">
      <c r="O82" s="12">
        <f t="shared" si="6"/>
        <v>5.75</v>
      </c>
      <c r="P82" s="13">
        <v>69</v>
      </c>
      <c r="Q82" s="22"/>
      <c r="R82" s="19"/>
      <c r="S82" s="22"/>
      <c r="T82" s="19"/>
      <c r="U82" s="24">
        <v>4.5623192222960407E-2</v>
      </c>
      <c r="V82" s="24">
        <f t="shared" si="7"/>
        <v>4.9842624036615657E-2</v>
      </c>
      <c r="W82" s="106">
        <v>4.9842620000000002</v>
      </c>
      <c r="X82" s="106">
        <v>4.9842999999999998E-2</v>
      </c>
      <c r="Y82" s="34">
        <f t="shared" si="5"/>
        <v>3.7596338434142673E-7</v>
      </c>
    </row>
    <row r="83" spans="15:25" ht="17.100000000000001" customHeight="1">
      <c r="O83" s="12">
        <f t="shared" si="6"/>
        <v>5.833333333333333</v>
      </c>
      <c r="P83" s="13">
        <v>70</v>
      </c>
      <c r="Q83" s="22"/>
      <c r="R83" s="19"/>
      <c r="S83" s="22"/>
      <c r="T83" s="19"/>
      <c r="U83" s="24">
        <v>4.5683350257053723E-2</v>
      </c>
      <c r="V83" s="24">
        <f t="shared" si="7"/>
        <v>4.9835716014633213E-2</v>
      </c>
      <c r="W83" s="106">
        <v>4.9835719999999997</v>
      </c>
      <c r="X83" s="106">
        <v>4.9835999999999998E-2</v>
      </c>
      <c r="Y83" s="34">
        <f t="shared" si="5"/>
        <v>2.8398536678492237E-7</v>
      </c>
    </row>
    <row r="84" spans="15:25" ht="17.100000000000001" customHeight="1">
      <c r="O84" s="12">
        <f t="shared" si="6"/>
        <v>5.916666666666667</v>
      </c>
      <c r="P84" s="13">
        <v>71</v>
      </c>
      <c r="Q84" s="22"/>
      <c r="R84" s="19"/>
      <c r="S84" s="22"/>
      <c r="T84" s="19"/>
      <c r="U84" s="24">
        <v>4.5741720098500194E-2</v>
      </c>
      <c r="V84" s="24">
        <f t="shared" si="7"/>
        <v>4.9831689257284317E-2</v>
      </c>
      <c r="W84" s="106">
        <v>4.9831690000000002</v>
      </c>
      <c r="X84" s="106">
        <v>4.9832000000000001E-2</v>
      </c>
      <c r="Y84" s="34">
        <f t="shared" si="5"/>
        <v>3.1074271568398704E-7</v>
      </c>
    </row>
    <row r="85" spans="15:25" ht="17.100000000000001" customHeight="1">
      <c r="O85" s="12">
        <f t="shared" si="6"/>
        <v>6</v>
      </c>
      <c r="P85" s="13">
        <v>72</v>
      </c>
      <c r="Q85" s="22"/>
      <c r="R85" s="19"/>
      <c r="S85" s="22"/>
      <c r="T85" s="19"/>
      <c r="U85" s="24">
        <v>4.5798415966935346E-2</v>
      </c>
      <c r="V85" s="24">
        <f t="shared" si="7"/>
        <v>4.9830549199835206E-2</v>
      </c>
      <c r="W85" s="106">
        <v>4.9830550000000002</v>
      </c>
      <c r="X85" s="106">
        <v>4.9831E-2</v>
      </c>
      <c r="Y85" s="34">
        <f t="shared" si="5"/>
        <v>4.5080016479459584E-7</v>
      </c>
    </row>
    <row r="86" spans="15:25" ht="17.100000000000001" customHeight="1">
      <c r="O86" s="12">
        <f t="shared" si="6"/>
        <v>6.083333333333333</v>
      </c>
      <c r="P86" s="13">
        <v>73</v>
      </c>
      <c r="Q86" s="22"/>
      <c r="R86" s="19"/>
      <c r="S86" s="22"/>
      <c r="T86" s="19"/>
      <c r="U86" s="24">
        <v>4.5853545914501748E-2</v>
      </c>
      <c r="V86" s="24">
        <f t="shared" si="7"/>
        <v>4.9832301608673024E-2</v>
      </c>
      <c r="W86" s="106">
        <v>4.9832299999999998</v>
      </c>
      <c r="X86" s="106">
        <v>4.9832000000000001E-2</v>
      </c>
      <c r="Y86" s="34">
        <f t="shared" si="5"/>
        <v>-3.0160867302286842E-7</v>
      </c>
    </row>
    <row r="87" spans="15:25" ht="17.100000000000001" customHeight="1">
      <c r="O87" s="12">
        <f t="shared" si="6"/>
        <v>6.166666666666667</v>
      </c>
      <c r="P87" s="13">
        <v>74</v>
      </c>
      <c r="Q87" s="22"/>
      <c r="R87" s="19"/>
      <c r="S87" s="22"/>
      <c r="T87" s="19"/>
      <c r="U87" s="24">
        <v>4.5907212245618334E-2</v>
      </c>
      <c r="V87" s="24">
        <f t="shared" si="7"/>
        <v>4.9836952589235928E-2</v>
      </c>
      <c r="W87" s="106">
        <v>4.983695</v>
      </c>
      <c r="X87" s="106">
        <v>4.9836999999999999E-2</v>
      </c>
      <c r="Y87" s="34">
        <f t="shared" si="5"/>
        <v>4.7410764071609268E-8</v>
      </c>
    </row>
    <row r="88" spans="15:25" ht="17.100000000000001" customHeight="1">
      <c r="O88" s="12">
        <f t="shared" si="6"/>
        <v>6.25</v>
      </c>
      <c r="P88" s="13">
        <v>75</v>
      </c>
      <c r="Q88" s="22"/>
      <c r="R88" s="19"/>
      <c r="S88" s="22"/>
      <c r="T88" s="19"/>
      <c r="U88" s="24">
        <v>4.5959511903372885E-2</v>
      </c>
      <c r="V88" s="24">
        <f t="shared" si="7"/>
        <v>4.9844508593728021E-2</v>
      </c>
      <c r="W88" s="106">
        <v>4.984451</v>
      </c>
      <c r="X88" s="106">
        <v>4.9845E-2</v>
      </c>
      <c r="Y88" s="34">
        <f t="shared" si="5"/>
        <v>4.9140627197963305E-7</v>
      </c>
    </row>
    <row r="89" spans="15:25" ht="17.100000000000001" customHeight="1">
      <c r="O89" s="12">
        <f t="shared" si="6"/>
        <v>6.333333333333333</v>
      </c>
      <c r="P89" s="13">
        <v>76</v>
      </c>
      <c r="Q89" s="22"/>
      <c r="R89" s="19"/>
      <c r="S89" s="22"/>
      <c r="T89" s="19"/>
      <c r="U89" s="24">
        <v>4.6010536825598303E-2</v>
      </c>
      <c r="V89" s="24">
        <f t="shared" si="7"/>
        <v>4.985497642922021E-2</v>
      </c>
      <c r="W89" s="106">
        <v>4.9854979999999998</v>
      </c>
      <c r="X89" s="106">
        <v>4.9854999999999997E-2</v>
      </c>
      <c r="Y89" s="34">
        <f t="shared" si="5"/>
        <v>2.3570779786319385E-8</v>
      </c>
    </row>
    <row r="90" spans="15:25" ht="17.100000000000001" customHeight="1">
      <c r="O90" s="12">
        <f t="shared" si="6"/>
        <v>6.416666666666667</v>
      </c>
      <c r="P90" s="13">
        <v>77</v>
      </c>
      <c r="Q90" s="22"/>
      <c r="R90" s="19"/>
      <c r="S90" s="22"/>
      <c r="T90" s="19"/>
      <c r="U90" s="24">
        <v>4.6060374273388938E-2</v>
      </c>
      <c r="V90" s="24">
        <f t="shared" si="7"/>
        <v>4.9868363265623827E-2</v>
      </c>
      <c r="W90" s="106">
        <v>4.9868360000000003</v>
      </c>
      <c r="X90" s="106">
        <v>4.9868000000000003E-2</v>
      </c>
      <c r="Y90" s="34">
        <f t="shared" si="5"/>
        <v>-3.6326562382477112E-7</v>
      </c>
    </row>
    <row r="91" spans="15:25" ht="17.100000000000001" customHeight="1">
      <c r="O91" s="12">
        <f t="shared" si="6"/>
        <v>6.5</v>
      </c>
      <c r="P91" s="13">
        <v>78</v>
      </c>
      <c r="Q91" s="22"/>
      <c r="R91" s="19"/>
      <c r="S91" s="22"/>
      <c r="T91" s="19"/>
      <c r="U91" s="24">
        <v>4.6109107134516769E-2</v>
      </c>
      <c r="V91" s="24">
        <f t="shared" si="7"/>
        <v>4.9884676643548342E-2</v>
      </c>
      <c r="W91" s="106">
        <v>4.9884680000000001</v>
      </c>
      <c r="X91" s="106">
        <v>4.9884999999999999E-2</v>
      </c>
      <c r="Y91" s="34">
        <f t="shared" si="5"/>
        <v>3.2335645165637583E-7</v>
      </c>
    </row>
    <row r="92" spans="15:25" ht="17.100000000000001" customHeight="1">
      <c r="O92" s="12">
        <f t="shared" si="6"/>
        <v>6.583333333333333</v>
      </c>
      <c r="P92" s="13">
        <v>79</v>
      </c>
      <c r="Q92" s="22"/>
      <c r="R92" s="19"/>
      <c r="S92" s="22"/>
      <c r="T92" s="19"/>
      <c r="U92" s="24">
        <v>4.6156814203968777E-2</v>
      </c>
      <c r="V92" s="24">
        <f t="shared" si="7"/>
        <v>4.990392448311054E-2</v>
      </c>
      <c r="W92" s="106">
        <v>4.9903919999999999</v>
      </c>
      <c r="X92" s="106">
        <v>4.9903999999999997E-2</v>
      </c>
      <c r="Y92" s="34">
        <f t="shared" si="5"/>
        <v>7.5516889457005743E-8</v>
      </c>
    </row>
    <row r="93" spans="15:25" ht="17.100000000000001" customHeight="1">
      <c r="O93" s="12">
        <f t="shared" si="6"/>
        <v>6.666666666666667</v>
      </c>
      <c r="P93" s="13">
        <v>80</v>
      </c>
      <c r="Q93" s="22"/>
      <c r="R93" s="19"/>
      <c r="S93" s="22"/>
      <c r="T93" s="19"/>
      <c r="U93" s="24">
        <v>4.6203570443608566E-2</v>
      </c>
      <c r="V93" s="24">
        <f t="shared" si="7"/>
        <v>4.9926115091745826E-2</v>
      </c>
      <c r="W93" s="106">
        <v>4.9926120000000003</v>
      </c>
      <c r="X93" s="106">
        <v>4.9925999999999998E-2</v>
      </c>
      <c r="Y93" s="34">
        <f t="shared" si="5"/>
        <v>-1.1509174582813309E-7</v>
      </c>
    </row>
    <row r="94" spans="15:25" ht="17.100000000000001" customHeight="1">
      <c r="O94" s="12">
        <f t="shared" si="6"/>
        <v>6.75</v>
      </c>
      <c r="P94" s="13">
        <v>81</v>
      </c>
      <c r="Q94" s="22"/>
      <c r="R94" s="19"/>
      <c r="S94" s="22"/>
      <c r="T94" s="19"/>
      <c r="U94" s="24">
        <v>4.6249447222752815E-2</v>
      </c>
      <c r="V94" s="24">
        <f t="shared" si="7"/>
        <v>4.9951257173167729E-2</v>
      </c>
      <c r="W94" s="106">
        <v>4.995126</v>
      </c>
      <c r="X94" s="106">
        <v>4.9951000000000002E-2</v>
      </c>
      <c r="Y94" s="34">
        <f t="shared" si="5"/>
        <v>-2.5717316772672083E-7</v>
      </c>
    </row>
    <row r="95" spans="15:25" ht="17.100000000000001" customHeight="1">
      <c r="O95" s="12">
        <f t="shared" si="6"/>
        <v>6.833333333333333</v>
      </c>
      <c r="P95" s="13">
        <v>82</v>
      </c>
      <c r="Q95" s="22"/>
      <c r="R95" s="19"/>
      <c r="S95" s="22"/>
      <c r="T95" s="19"/>
      <c r="U95" s="24">
        <v>4.6294512541298127E-2</v>
      </c>
      <c r="V95" s="24">
        <f t="shared" si="7"/>
        <v>4.9979359835705894E-2</v>
      </c>
      <c r="W95" s="106">
        <v>4.9979360000000002</v>
      </c>
      <c r="X95" s="106">
        <v>4.9979000000000003E-2</v>
      </c>
      <c r="Y95" s="34">
        <f t="shared" si="5"/>
        <v>-3.598357058917645E-7</v>
      </c>
    </row>
    <row r="96" spans="15:25" ht="17.100000000000001" customHeight="1">
      <c r="O96" s="12">
        <f t="shared" si="6"/>
        <v>6.916666666666667</v>
      </c>
      <c r="P96" s="13">
        <v>83</v>
      </c>
      <c r="Q96" s="22"/>
      <c r="R96" s="19"/>
      <c r="S96" s="22"/>
      <c r="T96" s="19"/>
      <c r="U96" s="24">
        <v>4.6338831236860667E-2</v>
      </c>
      <c r="V96" s="24">
        <f t="shared" si="7"/>
        <v>5.0010432601262256E-2</v>
      </c>
      <c r="W96" s="106">
        <v>5.0010430000000001</v>
      </c>
      <c r="X96" s="106">
        <v>5.0009999999999999E-2</v>
      </c>
      <c r="Y96" s="34">
        <f t="shared" si="5"/>
        <v>-4.326012622568598E-7</v>
      </c>
    </row>
    <row r="97" spans="15:25" ht="17.100000000000001" customHeight="1">
      <c r="O97" s="12">
        <f t="shared" si="6"/>
        <v>7</v>
      </c>
      <c r="P97" s="13">
        <v>84</v>
      </c>
      <c r="Q97" s="22"/>
      <c r="R97" s="19"/>
      <c r="S97" s="22"/>
      <c r="T97" s="19"/>
      <c r="U97" s="24">
        <v>4.6382465177263077E-2</v>
      </c>
      <c r="V97" s="24">
        <f t="shared" si="7"/>
        <v>5.0043950936334847E-2</v>
      </c>
      <c r="W97" s="106">
        <v>5.0043949999999997</v>
      </c>
      <c r="X97" s="106">
        <v>5.0043999999999998E-2</v>
      </c>
      <c r="Y97" s="34">
        <f t="shared" si="5"/>
        <v>4.9063665151505287E-8</v>
      </c>
    </row>
    <row r="98" spans="15:25" ht="17.100000000000001" customHeight="1">
      <c r="O98" s="12">
        <f t="shared" si="6"/>
        <v>7.083333333333333</v>
      </c>
      <c r="P98" s="13">
        <v>85</v>
      </c>
      <c r="Q98" s="22"/>
      <c r="R98" s="19"/>
      <c r="S98" s="22"/>
      <c r="T98" s="19"/>
      <c r="U98" s="24">
        <v>4.6425467173266455E-2</v>
      </c>
      <c r="V98" s="24">
        <f t="shared" si="7"/>
        <v>5.0077784699624539E-2</v>
      </c>
      <c r="W98" s="106">
        <v>5.0077780000000001</v>
      </c>
      <c r="X98" s="106">
        <v>5.0077999999999998E-2</v>
      </c>
      <c r="Y98" s="34">
        <f t="shared" si="5"/>
        <v>2.1530037545847147E-7</v>
      </c>
    </row>
    <row r="99" spans="15:25" ht="17.100000000000001" customHeight="1">
      <c r="O99" s="12">
        <f t="shared" si="6"/>
        <v>7.166666666666667</v>
      </c>
      <c r="P99" s="13">
        <v>86</v>
      </c>
      <c r="Q99" s="22"/>
      <c r="R99" s="19"/>
      <c r="S99" s="22"/>
      <c r="T99" s="19"/>
      <c r="U99" s="24">
        <v>4.6467862898509571E-2</v>
      </c>
      <c r="V99" s="24">
        <f t="shared" si="7"/>
        <v>5.0111402891165335E-2</v>
      </c>
      <c r="W99" s="106">
        <v>5.0111400000000001</v>
      </c>
      <c r="X99" s="106">
        <v>5.0111000000000003E-2</v>
      </c>
      <c r="Y99" s="34">
        <f t="shared" si="5"/>
        <v>-4.0289116533254177E-7</v>
      </c>
    </row>
    <row r="100" spans="15:25" ht="17.100000000000001" customHeight="1">
      <c r="O100" s="12">
        <f t="shared" si="6"/>
        <v>7.25</v>
      </c>
      <c r="P100" s="13">
        <v>87</v>
      </c>
      <c r="Q100" s="22"/>
      <c r="R100" s="19"/>
      <c r="S100" s="22"/>
      <c r="T100" s="19"/>
      <c r="U100" s="24">
        <v>4.6509670764994349E-2</v>
      </c>
      <c r="V100" s="24">
        <f t="shared" si="7"/>
        <v>5.0144808347562631E-2</v>
      </c>
      <c r="W100" s="106">
        <v>5.014481</v>
      </c>
      <c r="X100" s="106">
        <v>5.0145000000000002E-2</v>
      </c>
      <c r="Y100" s="34">
        <f t="shared" si="5"/>
        <v>1.9165243737157001E-7</v>
      </c>
    </row>
    <row r="101" spans="15:25" ht="17.100000000000001" customHeight="1">
      <c r="O101" s="12">
        <f t="shared" si="6"/>
        <v>7.333333333333333</v>
      </c>
      <c r="P101" s="13">
        <v>88</v>
      </c>
      <c r="Q101" s="22"/>
      <c r="R101" s="19"/>
      <c r="S101" s="22"/>
      <c r="T101" s="19"/>
      <c r="U101" s="24">
        <v>4.6550908380748934E-2</v>
      </c>
      <c r="V101" s="24">
        <f t="shared" si="7"/>
        <v>5.0178003879964184E-2</v>
      </c>
      <c r="W101" s="106">
        <v>5.0178000000000003</v>
      </c>
      <c r="X101" s="106">
        <v>5.0178E-2</v>
      </c>
      <c r="Y101" s="34">
        <f t="shared" si="5"/>
        <v>-3.8799641832731879E-9</v>
      </c>
    </row>
    <row r="102" spans="15:25" ht="17.100000000000001" customHeight="1">
      <c r="O102" s="12">
        <f t="shared" si="6"/>
        <v>7.416666666666667</v>
      </c>
      <c r="P102" s="13">
        <v>89</v>
      </c>
      <c r="Q102" s="22"/>
      <c r="R102" s="19"/>
      <c r="S102" s="22"/>
      <c r="T102" s="19"/>
      <c r="U102" s="24">
        <v>4.6591592594670717E-2</v>
      </c>
      <c r="V102" s="24">
        <f t="shared" si="7"/>
        <v>5.0210992274232202E-2</v>
      </c>
      <c r="W102" s="106">
        <v>5.0210990000000004</v>
      </c>
      <c r="X102" s="106">
        <v>5.0210999999999999E-2</v>
      </c>
      <c r="Y102" s="34">
        <f t="shared" si="5"/>
        <v>7.725767796340488E-9</v>
      </c>
    </row>
    <row r="103" spans="15:25" ht="17.100000000000001" customHeight="1">
      <c r="O103" s="12">
        <f t="shared" si="6"/>
        <v>7.5</v>
      </c>
      <c r="P103" s="13">
        <v>90</v>
      </c>
      <c r="Q103" s="22"/>
      <c r="R103" s="19"/>
      <c r="S103" s="22"/>
      <c r="T103" s="19"/>
      <c r="U103" s="24">
        <v>4.6631739538381956E-2</v>
      </c>
      <c r="V103" s="24">
        <f t="shared" si="7"/>
        <v>5.0243776291384989E-2</v>
      </c>
      <c r="W103" s="106">
        <v>5.0243779999999996</v>
      </c>
      <c r="X103" s="106">
        <v>5.0243999999999997E-2</v>
      </c>
      <c r="Y103" s="34">
        <f t="shared" si="5"/>
        <v>2.2370861500753403E-7</v>
      </c>
    </row>
    <row r="104" spans="15:25" ht="17.100000000000001" customHeight="1">
      <c r="O104" s="12">
        <f t="shared" si="6"/>
        <v>7.583333333333333</v>
      </c>
      <c r="P104" s="13">
        <v>91</v>
      </c>
      <c r="Q104" s="22"/>
      <c r="R104" s="19"/>
      <c r="S104" s="22"/>
      <c r="T104" s="19"/>
      <c r="U104" s="24">
        <v>4.6671364665335169E-2</v>
      </c>
      <c r="V104" s="24">
        <f t="shared" si="7"/>
        <v>5.0276358667866283E-2</v>
      </c>
      <c r="W104" s="106">
        <v>5.0276360000000002</v>
      </c>
      <c r="X104" s="106">
        <v>5.0276000000000001E-2</v>
      </c>
      <c r="Y104" s="34">
        <f t="shared" si="5"/>
        <v>-3.5866786628202529E-7</v>
      </c>
    </row>
    <row r="105" spans="15:25" ht="17.100000000000001" customHeight="1">
      <c r="O105" s="12">
        <f t="shared" si="6"/>
        <v>7.666666666666667</v>
      </c>
      <c r="P105" s="13">
        <v>92</v>
      </c>
      <c r="Q105" s="22"/>
      <c r="R105" s="19"/>
      <c r="S105" s="22"/>
      <c r="T105" s="19"/>
      <c r="U105" s="24">
        <v>4.6710482787371443E-2</v>
      </c>
      <c r="V105" s="24">
        <f t="shared" si="7"/>
        <v>5.030874211617542E-2</v>
      </c>
      <c r="W105" s="106">
        <v>5.0308739999999998</v>
      </c>
      <c r="X105" s="106">
        <v>5.0309E-2</v>
      </c>
      <c r="Y105" s="34">
        <f t="shared" si="5"/>
        <v>2.5788382457953007E-7</v>
      </c>
    </row>
    <row r="106" spans="15:25" ht="17.100000000000001" customHeight="1">
      <c r="O106" s="12">
        <f t="shared" si="6"/>
        <v>7.75</v>
      </c>
      <c r="P106" s="13">
        <v>93</v>
      </c>
      <c r="Q106" s="22"/>
      <c r="R106" s="19"/>
      <c r="S106" s="22"/>
      <c r="T106" s="19"/>
      <c r="U106" s="24">
        <v>4.674910810892996E-2</v>
      </c>
      <c r="V106" s="24">
        <f t="shared" si="7"/>
        <v>5.0340929324977246E-2</v>
      </c>
      <c r="W106" s="106">
        <v>5.0340930000000004</v>
      </c>
      <c r="X106" s="106">
        <v>5.0340999999999997E-2</v>
      </c>
      <c r="Y106" s="34">
        <f t="shared" si="5"/>
        <v>7.067502275082127E-8</v>
      </c>
    </row>
    <row r="107" spans="15:25" ht="17.100000000000001" customHeight="1">
      <c r="O107" s="12">
        <f t="shared" si="6"/>
        <v>7.833333333333333</v>
      </c>
      <c r="P107" s="13">
        <v>94</v>
      </c>
      <c r="Q107" s="22"/>
      <c r="R107" s="19"/>
      <c r="S107" s="22"/>
      <c r="T107" s="19"/>
      <c r="U107" s="24">
        <v>4.678725425907615E-2</v>
      </c>
      <c r="V107" s="24">
        <f t="shared" si="7"/>
        <v>5.0372922959575961E-2</v>
      </c>
      <c r="W107" s="106">
        <v>5.0372919999999999</v>
      </c>
      <c r="X107" s="106">
        <v>5.0373000000000001E-2</v>
      </c>
      <c r="Y107" s="34">
        <f t="shared" si="5"/>
        <v>7.7040424040220046E-8</v>
      </c>
    </row>
    <row r="108" spans="15:25" ht="17.100000000000001" customHeight="1">
      <c r="O108" s="12">
        <f t="shared" si="6"/>
        <v>7.916666666666667</v>
      </c>
      <c r="P108" s="13">
        <v>95</v>
      </c>
      <c r="Q108" s="22"/>
      <c r="R108" s="19"/>
      <c r="S108" s="22"/>
      <c r="T108" s="19"/>
      <c r="U108" s="24">
        <v>4.6824934321514133E-2</v>
      </c>
      <c r="V108" s="24">
        <f t="shared" si="7"/>
        <v>5.0404725662211325E-2</v>
      </c>
      <c r="W108" s="106">
        <v>5.0404730000000004</v>
      </c>
      <c r="X108" s="106">
        <v>5.0404999999999998E-2</v>
      </c>
      <c r="Y108" s="34">
        <f t="shared" si="5"/>
        <v>2.7433778867352876E-7</v>
      </c>
    </row>
    <row r="109" spans="15:25" ht="17.100000000000001" customHeight="1">
      <c r="O109" s="12">
        <f t="shared" si="6"/>
        <v>8</v>
      </c>
      <c r="P109" s="13">
        <v>96</v>
      </c>
      <c r="Q109" s="22"/>
      <c r="R109" s="19"/>
      <c r="S109" s="22"/>
      <c r="T109" s="19"/>
      <c r="U109" s="24">
        <v>4.6862160862727764E-2</v>
      </c>
      <c r="V109" s="24">
        <f t="shared" si="7"/>
        <v>5.0436340052554929E-2</v>
      </c>
      <c r="W109" s="106">
        <v>5.043634</v>
      </c>
      <c r="X109" s="106">
        <v>5.0436000000000002E-2</v>
      </c>
      <c r="Y109" s="34">
        <f t="shared" si="5"/>
        <v>-3.4005255492713937E-7</v>
      </c>
    </row>
    <row r="110" spans="15:25" ht="17.100000000000001" customHeight="1">
      <c r="O110" s="12">
        <f t="shared" si="6"/>
        <v>8.0833333333333339</v>
      </c>
      <c r="P110" s="13">
        <v>97</v>
      </c>
      <c r="Q110" s="22"/>
      <c r="R110" s="19"/>
      <c r="S110" s="22"/>
      <c r="T110" s="19"/>
      <c r="U110" s="24">
        <v>4.6898945958387284E-2</v>
      </c>
      <c r="V110" s="24">
        <f t="shared" si="7"/>
        <v>5.0467768727751272E-2</v>
      </c>
      <c r="W110" s="106">
        <v>5.0467769999999996</v>
      </c>
      <c r="X110" s="106">
        <v>5.0467999999999999E-2</v>
      </c>
      <c r="Y110" s="34">
        <f t="shared" si="5"/>
        <v>2.3127224872687702E-7</v>
      </c>
    </row>
    <row r="111" spans="15:25" ht="17.100000000000001" customHeight="1">
      <c r="O111" s="12">
        <f t="shared" si="6"/>
        <v>8.1666666666666661</v>
      </c>
      <c r="P111" s="13">
        <v>98</v>
      </c>
      <c r="Q111" s="22"/>
      <c r="R111" s="19"/>
      <c r="S111" s="22"/>
      <c r="T111" s="19"/>
      <c r="U111" s="24">
        <v>4.6935301218141046E-2</v>
      </c>
      <c r="V111" s="24">
        <f t="shared" si="7"/>
        <v>5.0499014263281294E-2</v>
      </c>
      <c r="W111" s="106">
        <v>5.0499010000000002</v>
      </c>
      <c r="X111" s="106">
        <v>5.0499000000000002E-2</v>
      </c>
      <c r="Y111" s="34">
        <f t="shared" si="5"/>
        <v>-1.4263281292170582E-8</v>
      </c>
    </row>
    <row r="112" spans="15:25" ht="17.100000000000001" customHeight="1">
      <c r="O112" s="12">
        <f t="shared" si="6"/>
        <v>8.25</v>
      </c>
      <c r="P112" s="13">
        <v>99</v>
      </c>
      <c r="Q112" s="22"/>
      <c r="R112" s="19"/>
      <c r="S112" s="22"/>
      <c r="T112" s="19"/>
      <c r="U112" s="24">
        <v>4.6971237808915101E-2</v>
      </c>
      <c r="V112" s="24">
        <f t="shared" si="7"/>
        <v>5.0530079212589563E-2</v>
      </c>
      <c r="W112" s="106">
        <v>5.0530080000000002</v>
      </c>
      <c r="X112" s="106">
        <v>5.0529999999999999E-2</v>
      </c>
      <c r="Y112" s="34">
        <f t="shared" si="5"/>
        <v>-7.921258956405941E-8</v>
      </c>
    </row>
    <row r="113" spans="15:25" ht="17.100000000000001" customHeight="1">
      <c r="O113" s="12">
        <f t="shared" si="6"/>
        <v>8.3333333333333339</v>
      </c>
      <c r="P113" s="13">
        <v>100</v>
      </c>
      <c r="Q113" s="22"/>
      <c r="R113" s="19"/>
      <c r="S113" s="22"/>
      <c r="T113" s="19"/>
      <c r="U113" s="24">
        <v>4.7006766476811235E-2</v>
      </c>
      <c r="V113" s="24">
        <f t="shared" si="7"/>
        <v>5.0560966108130767E-2</v>
      </c>
      <c r="W113" s="106">
        <v>5.0560970000000003</v>
      </c>
      <c r="X113" s="106">
        <v>5.0561000000000002E-2</v>
      </c>
      <c r="Y113" s="34">
        <f t="shared" si="5"/>
        <v>3.389186923469234E-8</v>
      </c>
    </row>
    <row r="114" spans="15:25" ht="17.100000000000001" customHeight="1">
      <c r="O114" s="12">
        <f t="shared" si="6"/>
        <v>8.4166666666666661</v>
      </c>
      <c r="P114" s="13">
        <v>101</v>
      </c>
      <c r="Q114" s="22"/>
      <c r="R114" s="19"/>
      <c r="S114" s="22"/>
      <c r="T114" s="19"/>
      <c r="U114" s="24">
        <v>4.7041897567716262E-2</v>
      </c>
      <c r="V114" s="24">
        <f t="shared" si="7"/>
        <v>5.0591677461408358E-2</v>
      </c>
      <c r="W114" s="106">
        <v>5.0591679999999997</v>
      </c>
      <c r="X114" s="106">
        <v>5.0591999999999998E-2</v>
      </c>
      <c r="Y114" s="34">
        <f t="shared" si="5"/>
        <v>3.2253859164055321E-7</v>
      </c>
    </row>
    <row r="115" spans="15:25" ht="17.100000000000001" customHeight="1">
      <c r="O115" s="12">
        <f t="shared" si="6"/>
        <v>8.5</v>
      </c>
      <c r="P115" s="13">
        <v>102</v>
      </c>
      <c r="Q115" s="22"/>
      <c r="R115" s="19"/>
      <c r="S115" s="22"/>
      <c r="T115" s="19"/>
      <c r="U115" s="24">
        <v>4.7076641046699397E-2</v>
      </c>
      <c r="V115" s="24">
        <f t="shared" si="7"/>
        <v>5.0622215762972989E-2</v>
      </c>
      <c r="W115" s="106">
        <v>5.0622220000000002</v>
      </c>
      <c r="X115" s="106">
        <v>5.0622E-2</v>
      </c>
      <c r="Y115" s="34">
        <f t="shared" si="5"/>
        <v>-2.1576297298819824E-7</v>
      </c>
    </row>
    <row r="116" spans="15:25" ht="17.100000000000001" customHeight="1">
      <c r="O116" s="12">
        <f t="shared" si="6"/>
        <v>8.5833333333333339</v>
      </c>
      <c r="P116" s="13">
        <v>103</v>
      </c>
      <c r="Q116" s="22"/>
      <c r="R116" s="19"/>
      <c r="S116" s="22"/>
      <c r="T116" s="19"/>
      <c r="U116" s="24">
        <v>4.7111006516281861E-2</v>
      </c>
      <c r="V116" s="24">
        <f t="shared" si="7"/>
        <v>5.065258348334023E-2</v>
      </c>
      <c r="W116" s="106">
        <v>5.065258</v>
      </c>
      <c r="X116" s="106">
        <v>5.0652999999999997E-2</v>
      </c>
      <c r="Y116" s="34">
        <f t="shared" si="5"/>
        <v>4.1651665976666363E-7</v>
      </c>
    </row>
    <row r="117" spans="15:25" ht="17.100000000000001" customHeight="1">
      <c r="O117" s="12">
        <f t="shared" si="6"/>
        <v>8.6666666666666661</v>
      </c>
      <c r="P117" s="13">
        <v>104</v>
      </c>
      <c r="Q117" s="22"/>
      <c r="R117" s="19"/>
      <c r="S117" s="22"/>
      <c r="T117" s="19"/>
      <c r="U117" s="24">
        <v>4.7145003233660887E-2</v>
      </c>
      <c r="V117" s="24">
        <f t="shared" si="7"/>
        <v>5.0682783073010773E-2</v>
      </c>
      <c r="W117" s="106">
        <v>5.0682780000000003</v>
      </c>
      <c r="X117" s="106">
        <v>5.0682999999999999E-2</v>
      </c>
      <c r="Y117" s="34">
        <f t="shared" si="5"/>
        <v>2.1692698922576303E-7</v>
      </c>
    </row>
    <row r="118" spans="15:25" ht="17.100000000000001" customHeight="1">
      <c r="O118" s="12">
        <f t="shared" si="6"/>
        <v>8.75</v>
      </c>
      <c r="P118" s="13">
        <v>105</v>
      </c>
      <c r="Q118" s="22"/>
      <c r="R118" s="19"/>
      <c r="S118" s="22"/>
      <c r="T118" s="19"/>
      <c r="U118" s="24">
        <v>4.7178640126950722E-2</v>
      </c>
      <c r="V118" s="24">
        <f t="shared" si="7"/>
        <v>5.0712816962609431E-2</v>
      </c>
      <c r="W118" s="106">
        <v>5.0712820000000001</v>
      </c>
      <c r="X118" s="106">
        <v>5.0713000000000001E-2</v>
      </c>
      <c r="Y118" s="34">
        <f t="shared" si="5"/>
        <v>1.830373905706284E-7</v>
      </c>
    </row>
    <row r="119" spans="15:25" ht="17.100000000000001" customHeight="1">
      <c r="O119" s="12">
        <f t="shared" si="6"/>
        <v>8.8333333333333339</v>
      </c>
      <c r="P119" s="13">
        <v>106</v>
      </c>
      <c r="Q119" s="22"/>
      <c r="R119" s="19"/>
      <c r="S119" s="22"/>
      <c r="T119" s="19"/>
      <c r="U119" s="24">
        <v>4.7211925810506594E-2</v>
      </c>
      <c r="V119" s="24">
        <f t="shared" si="7"/>
        <v>5.0742687563819056E-2</v>
      </c>
      <c r="W119" s="106">
        <v>5.0742690000000001</v>
      </c>
      <c r="X119" s="106">
        <v>5.0743000000000003E-2</v>
      </c>
      <c r="Y119" s="34">
        <f t="shared" si="5"/>
        <v>3.1243618094783931E-7</v>
      </c>
    </row>
    <row r="120" spans="15:25" ht="17.100000000000001" customHeight="1">
      <c r="O120" s="12">
        <f t="shared" si="6"/>
        <v>8.9166666666666661</v>
      </c>
      <c r="P120" s="13">
        <v>107</v>
      </c>
      <c r="Q120" s="22"/>
      <c r="R120" s="19"/>
      <c r="S120" s="22"/>
      <c r="T120" s="19"/>
      <c r="U120" s="24">
        <v>4.7244868599398249E-2</v>
      </c>
      <c r="V120" s="24">
        <f t="shared" si="7"/>
        <v>5.0772397268691538E-2</v>
      </c>
      <c r="W120" s="106">
        <v>5.0772399999999998</v>
      </c>
      <c r="X120" s="106">
        <v>5.0771999999999998E-2</v>
      </c>
      <c r="Y120" s="34">
        <f t="shared" si="5"/>
        <v>-3.972686915404422E-7</v>
      </c>
    </row>
    <row r="121" spans="15:25" ht="17.100000000000001" customHeight="1">
      <c r="O121" s="12">
        <f t="shared" si="6"/>
        <v>9</v>
      </c>
      <c r="P121" s="13">
        <v>108</v>
      </c>
      <c r="Q121" s="22"/>
      <c r="R121" s="19"/>
      <c r="S121" s="22"/>
      <c r="T121" s="19"/>
      <c r="U121" s="24">
        <v>4.7277476523074347E-2</v>
      </c>
      <c r="V121" s="24">
        <f t="shared" si="7"/>
        <v>5.0801948451125511E-2</v>
      </c>
      <c r="W121" s="106">
        <v>5.0801949999999998</v>
      </c>
      <c r="X121" s="106">
        <v>5.0802E-2</v>
      </c>
      <c r="Y121" s="34">
        <f t="shared" si="5"/>
        <v>5.1548874488438479E-8</v>
      </c>
    </row>
    <row r="122" spans="15:25" ht="17.100000000000001" customHeight="1">
      <c r="O122" s="12">
        <f t="shared" si="6"/>
        <v>9.0833333333333339</v>
      </c>
      <c r="P122" s="13">
        <v>109</v>
      </c>
      <c r="Q122" s="22"/>
      <c r="R122" s="19"/>
      <c r="S122" s="22"/>
      <c r="T122" s="19"/>
      <c r="U122" s="24">
        <v>4.7309757338288128E-2</v>
      </c>
      <c r="V122" s="24">
        <f t="shared" si="7"/>
        <v>5.0831343466294365E-2</v>
      </c>
      <c r="W122" s="106">
        <v>5.0831340000000003</v>
      </c>
      <c r="X122" s="106">
        <v>5.0831000000000001E-2</v>
      </c>
      <c r="Y122" s="34">
        <f t="shared" si="5"/>
        <v>-3.4346629436410314E-7</v>
      </c>
    </row>
    <row r="123" spans="15:25" ht="17.100000000000001" customHeight="1">
      <c r="O123" s="12">
        <f t="shared" si="6"/>
        <v>9.1666666666666661</v>
      </c>
      <c r="P123" s="13">
        <v>110</v>
      </c>
      <c r="Q123" s="22"/>
      <c r="R123" s="19"/>
      <c r="S123" s="22"/>
      <c r="T123" s="19"/>
      <c r="U123" s="24">
        <v>4.7341718541312972E-2</v>
      </c>
      <c r="V123" s="24">
        <f t="shared" si="7"/>
        <v>5.0860584651264862E-2</v>
      </c>
      <c r="W123" s="106">
        <v>5.0860580000000004</v>
      </c>
      <c r="X123" s="106">
        <v>5.0861000000000003E-2</v>
      </c>
      <c r="Y123" s="34">
        <f t="shared" si="5"/>
        <v>4.1534873514159631E-7</v>
      </c>
    </row>
    <row r="124" spans="15:25" ht="17.100000000000001" customHeight="1">
      <c r="O124" s="12">
        <f t="shared" si="6"/>
        <v>9.25</v>
      </c>
      <c r="P124" s="13">
        <v>111</v>
      </c>
      <c r="Q124" s="22"/>
      <c r="R124" s="19"/>
      <c r="S124" s="22"/>
      <c r="T124" s="19"/>
      <c r="U124" s="24">
        <v>4.7373367379505371E-2</v>
      </c>
      <c r="V124" s="24">
        <f t="shared" si="7"/>
        <v>5.0889674325289347E-2</v>
      </c>
      <c r="W124" s="106">
        <v>5.0889670000000002</v>
      </c>
      <c r="X124" s="106">
        <v>5.0889999999999998E-2</v>
      </c>
      <c r="Y124" s="34">
        <f t="shared" si="5"/>
        <v>3.256747106508695E-7</v>
      </c>
    </row>
    <row r="125" spans="15:25" ht="17.100000000000001" customHeight="1">
      <c r="O125" s="12">
        <f t="shared" si="6"/>
        <v>9.3333333333333339</v>
      </c>
      <c r="P125" s="13">
        <v>112</v>
      </c>
      <c r="Q125" s="22"/>
      <c r="R125" s="19"/>
      <c r="S125" s="22"/>
      <c r="T125" s="19"/>
      <c r="U125" s="24">
        <v>4.7404710862249066E-2</v>
      </c>
      <c r="V125" s="24">
        <f t="shared" si="7"/>
        <v>5.0918614790220751E-2</v>
      </c>
      <c r="W125" s="106">
        <v>5.0918609999999997</v>
      </c>
      <c r="X125" s="106">
        <v>5.0918999999999999E-2</v>
      </c>
      <c r="Y125" s="34">
        <f t="shared" si="5"/>
        <v>3.8520977924810795E-7</v>
      </c>
    </row>
    <row r="126" spans="15:25" ht="17.100000000000001" customHeight="1">
      <c r="O126" s="12">
        <f t="shared" si="6"/>
        <v>9.4166666666666661</v>
      </c>
      <c r="P126" s="13">
        <v>113</v>
      </c>
      <c r="Q126" s="22"/>
      <c r="R126" s="19"/>
      <c r="S126" s="22"/>
      <c r="T126" s="19"/>
      <c r="U126" s="24">
        <v>4.7435755771324528E-2</v>
      </c>
      <c r="V126" s="24">
        <f t="shared" si="7"/>
        <v>5.0947408330550337E-2</v>
      </c>
      <c r="W126" s="106">
        <v>5.094741</v>
      </c>
      <c r="X126" s="106">
        <v>5.0946999999999999E-2</v>
      </c>
      <c r="Y126" s="34">
        <f t="shared" si="5"/>
        <v>-4.0833055033745458E-7</v>
      </c>
    </row>
    <row r="127" spans="15:25" ht="17.100000000000001" customHeight="1">
      <c r="O127" s="12">
        <f t="shared" si="6"/>
        <v>9.5</v>
      </c>
      <c r="P127" s="13">
        <v>114</v>
      </c>
      <c r="Q127" s="22"/>
      <c r="R127" s="19"/>
      <c r="S127" s="22"/>
      <c r="T127" s="19"/>
      <c r="U127" s="24">
        <v>4.7466508670731544E-2</v>
      </c>
      <c r="V127" s="24">
        <f t="shared" si="7"/>
        <v>5.0976057213808712E-2</v>
      </c>
      <c r="W127" s="106">
        <v>5.0976059999999999</v>
      </c>
      <c r="X127" s="106">
        <v>5.0976E-2</v>
      </c>
      <c r="Y127" s="34">
        <f t="shared" si="5"/>
        <v>-5.721380871154258E-8</v>
      </c>
    </row>
    <row r="128" spans="15:25" ht="17.100000000000001" customHeight="1">
      <c r="O128" s="12">
        <f t="shared" si="6"/>
        <v>9.5833333333333339</v>
      </c>
      <c r="P128" s="13">
        <v>115</v>
      </c>
      <c r="Q128" s="22"/>
      <c r="R128" s="19"/>
      <c r="S128" s="22"/>
      <c r="T128" s="19"/>
      <c r="U128" s="24">
        <v>4.7496975916004214E-2</v>
      </c>
      <c r="V128" s="24">
        <f t="shared" si="7"/>
        <v>5.1004563691100513E-2</v>
      </c>
      <c r="W128" s="106">
        <v>5.1004560000000003</v>
      </c>
      <c r="X128" s="106">
        <v>5.1005000000000002E-2</v>
      </c>
      <c r="Y128" s="34">
        <f t="shared" si="5"/>
        <v>4.3630889948881313E-7</v>
      </c>
    </row>
    <row r="129" spans="15:25" ht="17.100000000000001" customHeight="1">
      <c r="O129" s="12">
        <f t="shared" si="6"/>
        <v>9.6666666666666661</v>
      </c>
      <c r="P129" s="13">
        <v>116</v>
      </c>
      <c r="Q129" s="22"/>
      <c r="R129" s="19"/>
      <c r="S129" s="22"/>
      <c r="T129" s="19"/>
      <c r="U129" s="24">
        <v>4.7527163663048988E-2</v>
      </c>
      <c r="V129" s="24">
        <f t="shared" si="7"/>
        <v>5.1032929996820187E-2</v>
      </c>
      <c r="W129" s="106">
        <v>5.1032929999999999</v>
      </c>
      <c r="X129" s="106">
        <v>5.1033000000000002E-2</v>
      </c>
      <c r="Y129" s="34">
        <f t="shared" si="5"/>
        <v>7.0003179815369965E-8</v>
      </c>
    </row>
    <row r="130" spans="15:25" ht="17.100000000000001" customHeight="1">
      <c r="O130" s="12">
        <f t="shared" si="6"/>
        <v>9.75</v>
      </c>
      <c r="P130" s="13">
        <v>117</v>
      </c>
      <c r="Q130" s="22"/>
      <c r="R130" s="19"/>
      <c r="S130" s="22"/>
      <c r="T130" s="19"/>
      <c r="U130" s="24">
        <v>4.755707787652641E-2</v>
      </c>
      <c r="V130" s="24">
        <f t="shared" si="7"/>
        <v>5.1061158349702263E-2</v>
      </c>
      <c r="W130" s="106">
        <v>5.1061160000000001</v>
      </c>
      <c r="X130" s="106">
        <v>5.1061000000000002E-2</v>
      </c>
      <c r="Y130" s="34">
        <f t="shared" si="5"/>
        <v>-1.5834970226030753E-7</v>
      </c>
    </row>
    <row r="131" spans="15:25" ht="17.100000000000001" customHeight="1">
      <c r="O131" s="12">
        <f t="shared" si="6"/>
        <v>9.8333333333333339</v>
      </c>
      <c r="P131" s="13">
        <v>118</v>
      </c>
      <c r="Q131" s="22"/>
      <c r="R131" s="19"/>
      <c r="S131" s="22"/>
      <c r="T131" s="19"/>
      <c r="U131" s="24">
        <v>4.7586724337817188E-2</v>
      </c>
      <c r="V131" s="24">
        <f t="shared" si="7"/>
        <v>5.108925095228134E-2</v>
      </c>
      <c r="W131" s="106">
        <v>5.1089250000000002</v>
      </c>
      <c r="X131" s="106">
        <v>5.1089000000000002E-2</v>
      </c>
      <c r="Y131" s="34">
        <f t="shared" si="5"/>
        <v>-2.509522813373688E-7</v>
      </c>
    </row>
    <row r="132" spans="15:25" ht="17.100000000000001" customHeight="1">
      <c r="O132" s="12">
        <f t="shared" si="6"/>
        <v>9.9166666666666661</v>
      </c>
      <c r="P132" s="13">
        <v>119</v>
      </c>
      <c r="Q132" s="22"/>
      <c r="R132" s="19"/>
      <c r="S132" s="22"/>
      <c r="T132" s="19"/>
      <c r="U132" s="24">
        <v>4.7616108652581479E-2</v>
      </c>
      <c r="V132" s="24">
        <f t="shared" si="7"/>
        <v>5.1117209991813128E-2</v>
      </c>
      <c r="W132" s="106">
        <v>5.1117210000000002</v>
      </c>
      <c r="X132" s="106">
        <v>5.1117000000000003E-2</v>
      </c>
      <c r="Y132" s="34">
        <f t="shared" si="5"/>
        <v>-2.0999181312569837E-7</v>
      </c>
    </row>
    <row r="133" spans="15:25" ht="17.100000000000001" customHeight="1">
      <c r="O133" s="12">
        <f t="shared" si="6"/>
        <v>10</v>
      </c>
      <c r="P133" s="13">
        <v>120</v>
      </c>
      <c r="Q133" s="22"/>
      <c r="R133" s="19"/>
      <c r="S133" s="22"/>
      <c r="T133" s="19"/>
      <c r="U133" s="24">
        <v>4.7645236257948254E-2</v>
      </c>
      <c r="V133" s="24">
        <f t="shared" si="7"/>
        <v>5.1145068044597508E-2</v>
      </c>
      <c r="W133" s="106">
        <v>5.1145069999999997</v>
      </c>
      <c r="X133" s="106">
        <v>5.1145000000000003E-2</v>
      </c>
      <c r="Y133" s="34">
        <f t="shared" si="5"/>
        <v>-6.8044597505145799E-8</v>
      </c>
    </row>
    <row r="134" spans="15:25" ht="17.100000000000001" customHeight="1">
      <c r="O134" s="12">
        <f t="shared" si="6"/>
        <v>10.083333333333334</v>
      </c>
      <c r="P134" s="13">
        <v>121</v>
      </c>
      <c r="Q134" s="22"/>
      <c r="R134" s="19"/>
      <c r="S134" s="22"/>
      <c r="T134" s="19"/>
      <c r="U134" s="24">
        <v>4.7674112679794156E-2</v>
      </c>
      <c r="V134" s="24">
        <f t="shared" si="7"/>
        <v>5.1172949052699312E-2</v>
      </c>
      <c r="W134" s="106">
        <v>5.1172950000000004</v>
      </c>
      <c r="X134" s="106">
        <v>5.1173000000000003E-2</v>
      </c>
      <c r="Y134" s="34">
        <f t="shared" si="5"/>
        <v>5.0947300690717956E-8</v>
      </c>
    </row>
    <row r="135" spans="15:25" ht="17.100000000000001" customHeight="1">
      <c r="O135" s="12">
        <f t="shared" si="6"/>
        <v>10.166666666666666</v>
      </c>
      <c r="P135" s="13">
        <v>122</v>
      </c>
      <c r="Q135" s="22"/>
      <c r="R135" s="19"/>
      <c r="S135" s="22"/>
      <c r="T135" s="19"/>
      <c r="U135" s="24">
        <v>4.770274427553689E-2</v>
      </c>
      <c r="V135" s="24">
        <f t="shared" si="7"/>
        <v>5.1200886033130999E-2</v>
      </c>
      <c r="W135" s="106">
        <v>5.1200890000000001</v>
      </c>
      <c r="X135" s="106">
        <v>5.1201000000000003E-2</v>
      </c>
      <c r="Y135" s="34">
        <f t="shared" si="5"/>
        <v>1.1396686900450037E-7</v>
      </c>
    </row>
    <row r="136" spans="15:25" ht="17.100000000000001" customHeight="1">
      <c r="O136" s="12">
        <f t="shared" si="6"/>
        <v>10.25</v>
      </c>
      <c r="P136" s="13">
        <v>123</v>
      </c>
      <c r="Q136" s="22"/>
      <c r="R136" s="19"/>
      <c r="S136" s="22"/>
      <c r="T136" s="19"/>
      <c r="U136" s="24">
        <v>4.7731137463568496E-2</v>
      </c>
      <c r="V136" s="24">
        <f t="shared" si="7"/>
        <v>5.1228881648655689E-2</v>
      </c>
      <c r="W136" s="106">
        <v>5.1228879999999997</v>
      </c>
      <c r="X136" s="106">
        <v>5.1228999999999997E-2</v>
      </c>
      <c r="Y136" s="34">
        <f t="shared" si="5"/>
        <v>1.1835134430815408E-7</v>
      </c>
    </row>
    <row r="137" spans="15:25" ht="17.100000000000001" customHeight="1">
      <c r="O137" s="12">
        <f t="shared" si="6"/>
        <v>10.333333333333334</v>
      </c>
      <c r="P137" s="13">
        <v>124</v>
      </c>
      <c r="Q137" s="22"/>
      <c r="R137" s="19"/>
      <c r="S137" s="22"/>
      <c r="T137" s="19"/>
      <c r="U137" s="24">
        <v>4.7759298476812928E-2</v>
      </c>
      <c r="V137" s="24">
        <f t="shared" si="7"/>
        <v>5.1256938572065147E-2</v>
      </c>
      <c r="W137" s="106">
        <v>5.1256940000000002</v>
      </c>
      <c r="X137" s="106">
        <v>5.1256999999999997E-2</v>
      </c>
      <c r="Y137" s="34">
        <f t="shared" si="5"/>
        <v>6.1427934849866972E-8</v>
      </c>
    </row>
    <row r="138" spans="15:25" ht="17.100000000000001" customHeight="1">
      <c r="O138" s="12">
        <f t="shared" si="6"/>
        <v>10.416666666666666</v>
      </c>
      <c r="P138" s="13">
        <v>125</v>
      </c>
      <c r="Q138" s="22"/>
      <c r="R138" s="19"/>
      <c r="S138" s="22"/>
      <c r="T138" s="19"/>
      <c r="U138" s="24">
        <v>4.7787233370217619E-2</v>
      </c>
      <c r="V138" s="24">
        <f t="shared" si="7"/>
        <v>5.1285059486896323E-2</v>
      </c>
      <c r="W138" s="106">
        <v>5.1285059999999998</v>
      </c>
      <c r="X138" s="106">
        <v>5.1284999999999997E-2</v>
      </c>
      <c r="Y138" s="34">
        <f t="shared" si="5"/>
        <v>-5.9486896325511296E-8</v>
      </c>
    </row>
    <row r="139" spans="15:25" ht="17.100000000000001" customHeight="1">
      <c r="O139" s="12">
        <f t="shared" si="6"/>
        <v>10.5</v>
      </c>
      <c r="P139" s="13">
        <v>126</v>
      </c>
      <c r="Q139" s="22"/>
      <c r="R139" s="19"/>
      <c r="S139" s="22"/>
      <c r="T139" s="19"/>
      <c r="U139" s="24">
        <v>4.7814948027894655E-2</v>
      </c>
      <c r="V139" s="24">
        <f t="shared" si="7"/>
        <v>5.1313247087455327E-2</v>
      </c>
      <c r="W139" s="106">
        <v>5.1313250000000004</v>
      </c>
      <c r="X139" s="106">
        <v>5.1312999999999998E-2</v>
      </c>
      <c r="Y139" s="34">
        <f t="shared" si="5"/>
        <v>-2.4708745532953102E-7</v>
      </c>
    </row>
    <row r="140" spans="15:25" ht="17.100000000000001" customHeight="1">
      <c r="O140" s="12">
        <f t="shared" si="6"/>
        <v>10.583333333333334</v>
      </c>
      <c r="P140" s="13">
        <v>127</v>
      </c>
      <c r="Q140" s="22"/>
      <c r="R140" s="19"/>
      <c r="S140" s="22"/>
      <c r="T140" s="19"/>
      <c r="U140" s="24">
        <v>4.7842448169924445E-2</v>
      </c>
      <c r="V140" s="24">
        <f t="shared" si="7"/>
        <v>5.134150407943805E-2</v>
      </c>
      <c r="W140" s="106">
        <v>5.13415</v>
      </c>
      <c r="X140" s="106">
        <v>5.1341999999999999E-2</v>
      </c>
      <c r="Y140" s="34">
        <f t="shared" si="5"/>
        <v>4.9592056194924794E-7</v>
      </c>
    </row>
    <row r="141" spans="15:25" ht="17.100000000000001" customHeight="1">
      <c r="O141" s="12">
        <f t="shared" si="6"/>
        <v>10.666666666666666</v>
      </c>
      <c r="P141" s="13">
        <v>128</v>
      </c>
      <c r="Q141" s="22"/>
      <c r="R141" s="19"/>
      <c r="S141" s="22"/>
      <c r="T141" s="19"/>
      <c r="U141" s="24">
        <v>4.7869739358846974E-2</v>
      </c>
      <c r="V141" s="24">
        <f t="shared" si="7"/>
        <v>5.1369833180218816E-2</v>
      </c>
      <c r="W141" s="106">
        <v>5.1369829999999999</v>
      </c>
      <c r="X141" s="106">
        <v>5.1369999999999999E-2</v>
      </c>
      <c r="Y141" s="34">
        <f t="shared" ref="Y141:Y204" si="8">X141-V141</f>
        <v>1.6681978118326946E-7</v>
      </c>
    </row>
    <row r="142" spans="15:25" ht="17.100000000000001" customHeight="1">
      <c r="O142" s="12">
        <f t="shared" ref="O142:O205" si="9">P142/12</f>
        <v>10.75</v>
      </c>
      <c r="P142" s="13">
        <v>129</v>
      </c>
      <c r="Q142" s="22"/>
      <c r="R142" s="19"/>
      <c r="S142" s="22"/>
      <c r="T142" s="19"/>
      <c r="U142" s="24">
        <v>4.7896827005851295E-2</v>
      </c>
      <c r="V142" s="24">
        <f t="shared" ref="V142:V205" si="10">(1+U143)^P143/(1+U142)^P142-1</f>
        <v>5.139823711902558E-2</v>
      </c>
      <c r="W142" s="106">
        <v>5.1398239999999999</v>
      </c>
      <c r="X142" s="106">
        <v>5.1397999999999999E-2</v>
      </c>
      <c r="Y142" s="34">
        <f t="shared" si="8"/>
        <v>-2.3711902558121167E-7</v>
      </c>
    </row>
    <row r="143" spans="15:25" ht="17.100000000000001" customHeight="1">
      <c r="O143" s="12">
        <f t="shared" si="9"/>
        <v>10.833333333333334</v>
      </c>
      <c r="P143" s="13">
        <v>130</v>
      </c>
      <c r="Q143" s="22"/>
      <c r="R143" s="19"/>
      <c r="S143" s="22"/>
      <c r="T143" s="19"/>
      <c r="U143" s="24">
        <v>4.7923716376683023E-2</v>
      </c>
      <c r="V143" s="24">
        <f t="shared" si="10"/>
        <v>5.1426718637902047E-2</v>
      </c>
      <c r="W143" s="106">
        <v>5.1426720000000001</v>
      </c>
      <c r="X143" s="106">
        <v>5.1427E-2</v>
      </c>
      <c r="Y143" s="34">
        <f t="shared" si="8"/>
        <v>2.813620979535969E-7</v>
      </c>
    </row>
    <row r="144" spans="15:25" ht="17.100000000000001" customHeight="1">
      <c r="O144" s="12">
        <f t="shared" si="9"/>
        <v>10.916666666666666</v>
      </c>
      <c r="P144" s="13">
        <v>131</v>
      </c>
      <c r="Q144" s="22"/>
      <c r="R144" s="19"/>
      <c r="S144" s="22"/>
      <c r="T144" s="19"/>
      <c r="U144" s="24">
        <v>4.7950412597287828E-2</v>
      </c>
      <c r="V144" s="24">
        <f t="shared" si="10"/>
        <v>5.1455280491232491E-2</v>
      </c>
      <c r="W144" s="106">
        <v>5.1455279999999997</v>
      </c>
      <c r="X144" s="106">
        <v>5.1455000000000001E-2</v>
      </c>
      <c r="Y144" s="34">
        <f t="shared" si="8"/>
        <v>-2.8049123249052066E-7</v>
      </c>
    </row>
    <row r="145" spans="15:25" ht="17.100000000000001" customHeight="1">
      <c r="O145" s="12">
        <f t="shared" si="9"/>
        <v>11</v>
      </c>
      <c r="P145" s="13">
        <v>132</v>
      </c>
      <c r="Q145" s="22"/>
      <c r="R145" s="19"/>
      <c r="S145" s="22"/>
      <c r="T145" s="19"/>
      <c r="U145" s="24">
        <v>4.7976920659194899E-2</v>
      </c>
      <c r="V145" s="24">
        <f t="shared" si="10"/>
        <v>5.1483925446993872E-2</v>
      </c>
      <c r="W145" s="106">
        <v>5.1483930000000004</v>
      </c>
      <c r="X145" s="106">
        <v>5.1484000000000002E-2</v>
      </c>
      <c r="Y145" s="34">
        <f t="shared" si="8"/>
        <v>7.4553006129685073E-8</v>
      </c>
    </row>
    <row r="146" spans="15:25" ht="17.100000000000001" customHeight="1">
      <c r="O146" s="12">
        <f t="shared" si="9"/>
        <v>11.083333333333334</v>
      </c>
      <c r="P146" s="13">
        <v>133</v>
      </c>
      <c r="Q146" s="22"/>
      <c r="R146" s="19"/>
      <c r="S146" s="22"/>
      <c r="T146" s="19"/>
      <c r="U146" s="24">
        <v>4.8003245424667051E-2</v>
      </c>
      <c r="V146" s="24">
        <f t="shared" si="10"/>
        <v>5.151265628633972E-2</v>
      </c>
      <c r="W146" s="106">
        <v>5.1512659999999997</v>
      </c>
      <c r="X146" s="106">
        <v>5.1513000000000003E-2</v>
      </c>
      <c r="Y146" s="34">
        <f t="shared" si="8"/>
        <v>3.437136602835178E-7</v>
      </c>
    </row>
    <row r="147" spans="15:25" ht="17.100000000000001" customHeight="1">
      <c r="O147" s="12">
        <f t="shared" si="9"/>
        <v>11.166666666666666</v>
      </c>
      <c r="P147" s="13">
        <v>134</v>
      </c>
      <c r="Q147" s="22"/>
      <c r="R147" s="19"/>
      <c r="S147" s="22"/>
      <c r="T147" s="19"/>
      <c r="U147" s="24">
        <v>4.8029391631618346E-2</v>
      </c>
      <c r="V147" s="24">
        <f t="shared" si="10"/>
        <v>5.1541475804768089E-2</v>
      </c>
      <c r="W147" s="106">
        <v>5.1541480000000002</v>
      </c>
      <c r="X147" s="106">
        <v>5.1540999999999997E-2</v>
      </c>
      <c r="Y147" s="34">
        <f t="shared" si="8"/>
        <v>-4.7580476809222505E-7</v>
      </c>
    </row>
    <row r="148" spans="15:25" ht="17.100000000000001" customHeight="1">
      <c r="O148" s="12">
        <f t="shared" si="9"/>
        <v>11.25</v>
      </c>
      <c r="P148" s="13">
        <v>135</v>
      </c>
      <c r="Q148" s="22"/>
      <c r="R148" s="19"/>
      <c r="S148" s="22"/>
      <c r="T148" s="19"/>
      <c r="U148" s="24">
        <v>4.8055363898320325E-2</v>
      </c>
      <c r="V148" s="24">
        <f t="shared" si="10"/>
        <v>5.1570386811906399E-2</v>
      </c>
      <c r="W148" s="106">
        <v>5.1570390000000002</v>
      </c>
      <c r="X148" s="106">
        <v>5.1569999999999998E-2</v>
      </c>
      <c r="Y148" s="34">
        <f t="shared" si="8"/>
        <v>-3.8681190640127427E-7</v>
      </c>
    </row>
    <row r="149" spans="15:25" ht="17.100000000000001" customHeight="1">
      <c r="O149" s="12">
        <f t="shared" si="9"/>
        <v>11.333333333333334</v>
      </c>
      <c r="P149" s="13">
        <v>136</v>
      </c>
      <c r="Q149" s="22"/>
      <c r="R149" s="19"/>
      <c r="S149" s="22"/>
      <c r="T149" s="19"/>
      <c r="U149" s="24">
        <v>4.8081166727900415E-2</v>
      </c>
      <c r="V149" s="24">
        <f t="shared" si="10"/>
        <v>5.159939213212561E-2</v>
      </c>
      <c r="W149" s="106">
        <v>5.1599389999999996</v>
      </c>
      <c r="X149" s="106">
        <v>5.1598999999999999E-2</v>
      </c>
      <c r="Y149" s="34">
        <f t="shared" si="8"/>
        <v>-3.9213212561090005E-7</v>
      </c>
    </row>
    <row r="150" spans="15:25" ht="17.100000000000001" customHeight="1">
      <c r="O150" s="12">
        <f t="shared" si="9"/>
        <v>11.416666666666666</v>
      </c>
      <c r="P150" s="13">
        <v>137</v>
      </c>
      <c r="Q150" s="22"/>
      <c r="R150" s="19"/>
      <c r="S150" s="22"/>
      <c r="T150" s="19"/>
      <c r="U150" s="24">
        <v>4.810680451264715E-2</v>
      </c>
      <c r="V150" s="24">
        <f t="shared" si="10"/>
        <v>5.1628494605067132E-2</v>
      </c>
      <c r="W150" s="106">
        <v>5.1628489999999996</v>
      </c>
      <c r="X150" s="106">
        <v>5.1628E-2</v>
      </c>
      <c r="Y150" s="34">
        <f t="shared" si="8"/>
        <v>-4.9460506713200347E-7</v>
      </c>
    </row>
    <row r="151" spans="15:25" ht="17.100000000000001" customHeight="1">
      <c r="O151" s="12">
        <f t="shared" si="9"/>
        <v>11.5</v>
      </c>
      <c r="P151" s="13">
        <v>138</v>
      </c>
      <c r="Q151" s="22"/>
      <c r="R151" s="19"/>
      <c r="S151" s="22"/>
      <c r="T151" s="19"/>
      <c r="U151" s="24">
        <v>4.8132281538132649E-2</v>
      </c>
      <c r="V151" s="24">
        <f t="shared" si="10"/>
        <v>5.1657697085744525E-2</v>
      </c>
      <c r="W151" s="106">
        <v>5.1657700000000002</v>
      </c>
      <c r="X151" s="106">
        <v>5.1658000000000003E-2</v>
      </c>
      <c r="Y151" s="34">
        <f t="shared" si="8"/>
        <v>3.0291425547751549E-7</v>
      </c>
    </row>
    <row r="152" spans="15:25" ht="17.100000000000001" customHeight="1">
      <c r="O152" s="12">
        <f t="shared" si="9"/>
        <v>11.583333333333334</v>
      </c>
      <c r="P152" s="13">
        <v>139</v>
      </c>
      <c r="Q152" s="22"/>
      <c r="R152" s="19"/>
      <c r="S152" s="22"/>
      <c r="T152" s="19"/>
      <c r="U152" s="24">
        <v>4.8157601987157905E-2</v>
      </c>
      <c r="V152" s="24">
        <f t="shared" si="10"/>
        <v>5.1687002445299557E-2</v>
      </c>
      <c r="W152" s="106">
        <v>5.1687000000000003</v>
      </c>
      <c r="X152" s="106">
        <v>5.1686999999999997E-2</v>
      </c>
      <c r="Y152" s="34">
        <f t="shared" si="8"/>
        <v>-2.4452995600610095E-9</v>
      </c>
    </row>
    <row r="153" spans="15:25" ht="17.100000000000001" customHeight="1">
      <c r="O153" s="12">
        <f t="shared" si="9"/>
        <v>11.666666666666666</v>
      </c>
      <c r="P153" s="13">
        <v>140</v>
      </c>
      <c r="Q153" s="22"/>
      <c r="R153" s="19"/>
      <c r="S153" s="22"/>
      <c r="T153" s="19"/>
      <c r="U153" s="24">
        <v>4.8182769943533987E-2</v>
      </c>
      <c r="V153" s="24">
        <f t="shared" si="10"/>
        <v>5.1716413571141429E-2</v>
      </c>
      <c r="W153" s="106">
        <v>5.1716410000000002</v>
      </c>
      <c r="X153" s="106">
        <v>5.1715999999999998E-2</v>
      </c>
      <c r="Y153" s="34">
        <f t="shared" si="8"/>
        <v>-4.135711414304799E-7</v>
      </c>
    </row>
    <row r="154" spans="15:25" ht="17.100000000000001" customHeight="1">
      <c r="O154" s="12">
        <f t="shared" si="9"/>
        <v>11.75</v>
      </c>
      <c r="P154" s="13">
        <v>141</v>
      </c>
      <c r="Q154" s="22"/>
      <c r="R154" s="19"/>
      <c r="S154" s="22"/>
      <c r="T154" s="19"/>
      <c r="U154" s="24">
        <v>4.8207789395704248E-2</v>
      </c>
      <c r="V154" s="24">
        <f t="shared" si="10"/>
        <v>5.1745933367488783E-2</v>
      </c>
      <c r="W154" s="106">
        <v>5.1745929999999998</v>
      </c>
      <c r="X154" s="106">
        <v>5.1746E-2</v>
      </c>
      <c r="Y154" s="34">
        <f t="shared" si="8"/>
        <v>6.663251121696856E-8</v>
      </c>
    </row>
    <row r="155" spans="15:25" ht="17.100000000000001" customHeight="1">
      <c r="O155" s="12">
        <f t="shared" si="9"/>
        <v>11.833333333333334</v>
      </c>
      <c r="P155" s="13">
        <v>142</v>
      </c>
      <c r="Q155" s="22"/>
      <c r="R155" s="19"/>
      <c r="S155" s="22"/>
      <c r="T155" s="19"/>
      <c r="U155" s="24">
        <v>4.8232664240216439E-2</v>
      </c>
      <c r="V155" s="24">
        <f t="shared" si="10"/>
        <v>5.1775564755683678E-2</v>
      </c>
      <c r="W155" s="106">
        <v>5.177556</v>
      </c>
      <c r="X155" s="106">
        <v>5.1776000000000003E-2</v>
      </c>
      <c r="Y155" s="34">
        <f t="shared" si="8"/>
        <v>4.3524431632413485E-7</v>
      </c>
    </row>
    <row r="156" spans="15:25" ht="17.100000000000001" customHeight="1">
      <c r="O156" s="12">
        <f t="shared" si="9"/>
        <v>11.916666666666666</v>
      </c>
      <c r="P156" s="13">
        <v>143</v>
      </c>
      <c r="Q156" s="22"/>
      <c r="R156" s="19"/>
      <c r="S156" s="22"/>
      <c r="T156" s="19"/>
      <c r="U156" s="24">
        <v>4.8257398285052266E-2</v>
      </c>
      <c r="V156" s="24">
        <f t="shared" si="10"/>
        <v>5.1805310674740923E-2</v>
      </c>
      <c r="W156" s="106">
        <v>5.1805310000000002</v>
      </c>
      <c r="X156" s="106">
        <v>5.1804999999999997E-2</v>
      </c>
      <c r="Y156" s="34">
        <f t="shared" si="8"/>
        <v>-3.1067474092622005E-7</v>
      </c>
    </row>
    <row r="157" spans="15:25" ht="17.100000000000001" customHeight="1">
      <c r="O157" s="12">
        <f t="shared" si="9"/>
        <v>12</v>
      </c>
      <c r="P157" s="13">
        <v>144</v>
      </c>
      <c r="Q157" s="22"/>
      <c r="R157" s="19"/>
      <c r="S157" s="22"/>
      <c r="T157" s="19"/>
      <c r="U157" s="24">
        <v>4.8281995252821508E-2</v>
      </c>
      <c r="V157" s="24">
        <f t="shared" si="10"/>
        <v>5.1835174081616975E-2</v>
      </c>
      <c r="W157" s="106">
        <v>5.1835170000000002</v>
      </c>
      <c r="X157" s="106">
        <v>5.1834999999999999E-2</v>
      </c>
      <c r="Y157" s="34">
        <f t="shared" si="8"/>
        <v>-1.7408161697568536E-7</v>
      </c>
    </row>
    <row r="158" spans="15:25" ht="17.100000000000001" customHeight="1">
      <c r="O158" s="12">
        <f t="shared" si="9"/>
        <v>12.083333333333334</v>
      </c>
      <c r="P158" s="13">
        <v>145</v>
      </c>
      <c r="Q158" s="22"/>
      <c r="R158" s="19"/>
      <c r="S158" s="22"/>
      <c r="T158" s="19"/>
      <c r="U158" s="24">
        <v>4.8306458783826223E-2</v>
      </c>
      <c r="V158" s="24">
        <f t="shared" si="10"/>
        <v>5.186515795203217E-2</v>
      </c>
      <c r="W158" s="106">
        <v>5.1865160000000001</v>
      </c>
      <c r="X158" s="106">
        <v>5.1865000000000001E-2</v>
      </c>
      <c r="Y158" s="34">
        <f t="shared" si="8"/>
        <v>-1.5795203216900644E-7</v>
      </c>
    </row>
    <row r="159" spans="15:25" ht="17.100000000000001" customHeight="1">
      <c r="O159" s="12">
        <f t="shared" si="9"/>
        <v>12.166666666666666</v>
      </c>
      <c r="P159" s="13">
        <v>146</v>
      </c>
      <c r="Q159" s="22"/>
      <c r="R159" s="19"/>
      <c r="S159" s="22"/>
      <c r="T159" s="19"/>
      <c r="U159" s="24">
        <v>4.83307924390044E-2</v>
      </c>
      <c r="V159" s="24">
        <f t="shared" si="10"/>
        <v>5.1895265280115677E-2</v>
      </c>
      <c r="W159" s="106">
        <v>5.189527</v>
      </c>
      <c r="X159" s="106">
        <v>5.1894999999999997E-2</v>
      </c>
      <c r="Y159" s="34">
        <f t="shared" si="8"/>
        <v>-2.6528011567994447E-7</v>
      </c>
    </row>
    <row r="160" spans="15:25" ht="17.100000000000001" customHeight="1">
      <c r="O160" s="12">
        <f t="shared" si="9"/>
        <v>12.25</v>
      </c>
      <c r="P160" s="13">
        <v>147</v>
      </c>
      <c r="Q160" s="22"/>
      <c r="R160" s="19"/>
      <c r="S160" s="22"/>
      <c r="T160" s="19"/>
      <c r="U160" s="24">
        <v>4.8354999702751478E-2</v>
      </c>
      <c r="V160" s="24">
        <f t="shared" si="10"/>
        <v>5.1925499079595427E-2</v>
      </c>
      <c r="W160" s="106">
        <v>5.1925499999999998</v>
      </c>
      <c r="X160" s="106">
        <v>5.1924999999999999E-2</v>
      </c>
      <c r="Y160" s="34">
        <f t="shared" si="8"/>
        <v>-4.9907959542849767E-7</v>
      </c>
    </row>
    <row r="161" spans="15:25" ht="17.100000000000001" customHeight="1">
      <c r="O161" s="12">
        <f t="shared" si="9"/>
        <v>12.333333333333334</v>
      </c>
      <c r="P161" s="13">
        <v>148</v>
      </c>
      <c r="Q161" s="22"/>
      <c r="R161" s="19"/>
      <c r="S161" s="22"/>
      <c r="T161" s="19"/>
      <c r="U161" s="24">
        <v>4.8379083985635285E-2</v>
      </c>
      <c r="V161" s="24">
        <f t="shared" si="10"/>
        <v>5.1955862383977536E-2</v>
      </c>
      <c r="W161" s="106">
        <v>5.1955859999999996</v>
      </c>
      <c r="X161" s="106">
        <v>5.1956000000000002E-2</v>
      </c>
      <c r="Y161" s="34">
        <f t="shared" si="8"/>
        <v>1.3761602246642468E-7</v>
      </c>
    </row>
    <row r="162" spans="15:25" ht="17.100000000000001" customHeight="1">
      <c r="O162" s="12">
        <f t="shared" si="9"/>
        <v>12.416666666666666</v>
      </c>
      <c r="P162" s="13">
        <v>149</v>
      </c>
      <c r="Q162" s="22"/>
      <c r="R162" s="19"/>
      <c r="S162" s="22"/>
      <c r="T162" s="19"/>
      <c r="U162" s="24">
        <v>4.8403048627003065E-2</v>
      </c>
      <c r="V162" s="24">
        <f t="shared" si="10"/>
        <v>5.1986358247004816E-2</v>
      </c>
      <c r="W162" s="106">
        <v>5.1986359999999996</v>
      </c>
      <c r="X162" s="106">
        <v>5.1985999999999997E-2</v>
      </c>
      <c r="Y162" s="34">
        <f t="shared" si="8"/>
        <v>-3.5824700481829064E-7</v>
      </c>
    </row>
    <row r="163" spans="15:25" ht="17.100000000000001" customHeight="1">
      <c r="O163" s="12">
        <f t="shared" si="9"/>
        <v>12.5</v>
      </c>
      <c r="P163" s="13">
        <v>150</v>
      </c>
      <c r="Q163" s="22"/>
      <c r="R163" s="19"/>
      <c r="S163" s="22"/>
      <c r="T163" s="19"/>
      <c r="U163" s="24">
        <v>4.8426896897486804E-2</v>
      </c>
      <c r="V163" s="24">
        <f t="shared" si="10"/>
        <v>5.2016989742864839E-2</v>
      </c>
      <c r="W163" s="106">
        <v>5.2016989999999996</v>
      </c>
      <c r="X163" s="106">
        <v>5.2017000000000001E-2</v>
      </c>
      <c r="Y163" s="34">
        <f t="shared" si="8"/>
        <v>1.0257135162061726E-8</v>
      </c>
    </row>
    <row r="164" spans="15:25" ht="17.100000000000001" customHeight="1">
      <c r="O164" s="12">
        <f t="shared" si="9"/>
        <v>12.583333333333334</v>
      </c>
      <c r="P164" s="13">
        <v>151</v>
      </c>
      <c r="Q164" s="22"/>
      <c r="R164" s="19"/>
      <c r="S164" s="22"/>
      <c r="T164" s="19"/>
      <c r="U164" s="24">
        <v>4.8450632001411531E-2</v>
      </c>
      <c r="V164" s="24">
        <f t="shared" si="10"/>
        <v>5.2047759967098983E-2</v>
      </c>
      <c r="W164" s="106">
        <v>5.2047759999999998</v>
      </c>
      <c r="X164" s="106">
        <v>5.2047999999999997E-2</v>
      </c>
      <c r="Y164" s="34">
        <f t="shared" si="8"/>
        <v>2.4003290101382024E-7</v>
      </c>
    </row>
    <row r="165" spans="15:25" ht="17.100000000000001" customHeight="1">
      <c r="O165" s="12">
        <f t="shared" si="9"/>
        <v>12.666666666666666</v>
      </c>
      <c r="P165" s="13">
        <v>152</v>
      </c>
      <c r="Q165" s="22"/>
      <c r="R165" s="19"/>
      <c r="S165" s="22"/>
      <c r="T165" s="19"/>
      <c r="U165" s="24">
        <v>4.8474257079113237E-2</v>
      </c>
      <c r="V165" s="24">
        <f t="shared" si="10"/>
        <v>5.2078672036571794E-2</v>
      </c>
      <c r="W165" s="106">
        <v>5.2078670000000002</v>
      </c>
      <c r="X165" s="106">
        <v>5.2079E-2</v>
      </c>
      <c r="Y165" s="34">
        <f t="shared" si="8"/>
        <v>3.279634282066235E-7</v>
      </c>
    </row>
    <row r="166" spans="15:25" ht="17.100000000000001" customHeight="1">
      <c r="O166" s="12">
        <f t="shared" si="9"/>
        <v>12.75</v>
      </c>
      <c r="P166" s="13">
        <v>153</v>
      </c>
      <c r="Q166" s="22"/>
      <c r="R166" s="19"/>
      <c r="S166" s="22"/>
      <c r="T166" s="19"/>
      <c r="U166" s="24">
        <v>4.8497775209166871E-2</v>
      </c>
      <c r="V166" s="24">
        <f t="shared" si="10"/>
        <v>5.2109729090483503E-2</v>
      </c>
      <c r="W166" s="106">
        <v>5.2109730000000001</v>
      </c>
      <c r="X166" s="106">
        <v>5.2109999999999997E-2</v>
      </c>
      <c r="Y166" s="34">
        <f t="shared" si="8"/>
        <v>2.7090951649350048E-7</v>
      </c>
    </row>
    <row r="167" spans="15:25" ht="17.100000000000001" customHeight="1">
      <c r="O167" s="12">
        <f t="shared" si="9"/>
        <v>12.833333333333334</v>
      </c>
      <c r="P167" s="13">
        <v>154</v>
      </c>
      <c r="Q167" s="22"/>
      <c r="R167" s="19"/>
      <c r="S167" s="22"/>
      <c r="T167" s="19"/>
      <c r="U167" s="24">
        <v>4.8521189410533072E-2</v>
      </c>
      <c r="V167" s="24">
        <f t="shared" si="10"/>
        <v>5.2140934290288543E-2</v>
      </c>
      <c r="W167" s="106">
        <v>5.2140930000000001</v>
      </c>
      <c r="X167" s="106">
        <v>5.2141E-2</v>
      </c>
      <c r="Y167" s="34">
        <f t="shared" si="8"/>
        <v>6.5709711456751752E-8</v>
      </c>
    </row>
    <row r="168" spans="15:25" ht="17.100000000000001" customHeight="1">
      <c r="O168" s="12">
        <f t="shared" si="9"/>
        <v>12.916666666666666</v>
      </c>
      <c r="P168" s="13">
        <v>155</v>
      </c>
      <c r="Q168" s="22"/>
      <c r="R168" s="19"/>
      <c r="S168" s="22"/>
      <c r="T168" s="19"/>
      <c r="U168" s="24">
        <v>4.8544502644622289E-2</v>
      </c>
      <c r="V168" s="24">
        <f t="shared" si="10"/>
        <v>5.2172290820391209E-2</v>
      </c>
      <c r="W168" s="106">
        <v>5.2172289999999997</v>
      </c>
      <c r="X168" s="106">
        <v>5.2172000000000003E-2</v>
      </c>
      <c r="Y168" s="34">
        <f t="shared" si="8"/>
        <v>-2.9082039120637004E-7</v>
      </c>
    </row>
    <row r="169" spans="15:25" ht="17.100000000000001" customHeight="1">
      <c r="O169" s="12">
        <f t="shared" si="9"/>
        <v>13</v>
      </c>
      <c r="P169" s="13">
        <v>156</v>
      </c>
      <c r="Q169" s="22"/>
      <c r="R169" s="19"/>
      <c r="S169" s="22"/>
      <c r="T169" s="19"/>
      <c r="U169" s="24">
        <v>4.8567717817283418E-2</v>
      </c>
      <c r="V169" s="24">
        <f t="shared" si="10"/>
        <v>5.2203801888864643E-2</v>
      </c>
      <c r="W169" s="106">
        <v>5.2203799999999996</v>
      </c>
      <c r="X169" s="106">
        <v>5.2204E-2</v>
      </c>
      <c r="Y169" s="34">
        <f t="shared" si="8"/>
        <v>1.9811113535772584E-7</v>
      </c>
    </row>
    <row r="170" spans="15:25" ht="17.100000000000001" customHeight="1">
      <c r="O170" s="12">
        <f t="shared" si="9"/>
        <v>13.083333333333334</v>
      </c>
      <c r="P170" s="13">
        <v>157</v>
      </c>
      <c r="Q170" s="22"/>
      <c r="R170" s="19"/>
      <c r="S170" s="22"/>
      <c r="T170" s="19"/>
      <c r="U170" s="24">
        <v>4.859083778072093E-2</v>
      </c>
      <c r="V170" s="24">
        <f t="shared" si="10"/>
        <v>5.2235470727435285E-2</v>
      </c>
      <c r="W170" s="106">
        <v>5.2235469999999999</v>
      </c>
      <c r="X170" s="106">
        <v>5.2234999999999997E-2</v>
      </c>
      <c r="Y170" s="34">
        <f t="shared" si="8"/>
        <v>-4.7072743528803196E-7</v>
      </c>
    </row>
    <row r="171" spans="15:25" ht="17.100000000000001" customHeight="1">
      <c r="O171" s="12">
        <f t="shared" si="9"/>
        <v>13.166666666666666</v>
      </c>
      <c r="P171" s="13">
        <v>158</v>
      </c>
      <c r="Q171" s="22"/>
      <c r="R171" s="19"/>
      <c r="S171" s="22"/>
      <c r="T171" s="19"/>
      <c r="U171" s="24">
        <v>4.8613865335339623E-2</v>
      </c>
      <c r="V171" s="24">
        <f t="shared" si="10"/>
        <v>5.2267300592478083E-2</v>
      </c>
      <c r="W171" s="106">
        <v>5.2267299999999999</v>
      </c>
      <c r="X171" s="106">
        <v>5.2267000000000001E-2</v>
      </c>
      <c r="Y171" s="34">
        <f t="shared" si="8"/>
        <v>-3.0059247808217338E-7</v>
      </c>
    </row>
    <row r="172" spans="15:25" ht="17.100000000000001" customHeight="1">
      <c r="O172" s="12">
        <f t="shared" si="9"/>
        <v>13.25</v>
      </c>
      <c r="P172" s="13">
        <v>159</v>
      </c>
      <c r="Q172" s="22"/>
      <c r="R172" s="19"/>
      <c r="S172" s="22"/>
      <c r="T172" s="19"/>
      <c r="U172" s="24">
        <v>4.8636803231525194E-2</v>
      </c>
      <c r="V172" s="24">
        <f t="shared" si="10"/>
        <v>5.2299294765154603E-2</v>
      </c>
      <c r="W172" s="106">
        <v>5.2299290000000003</v>
      </c>
      <c r="X172" s="106">
        <v>5.2298999999999998E-2</v>
      </c>
      <c r="Y172" s="34">
        <f t="shared" si="8"/>
        <v>-2.9476515460424846E-7</v>
      </c>
    </row>
    <row r="173" spans="15:25" ht="17.100000000000001" customHeight="1">
      <c r="O173" s="12">
        <f t="shared" si="9"/>
        <v>13.333333333333334</v>
      </c>
      <c r="P173" s="13">
        <v>160</v>
      </c>
      <c r="Q173" s="22"/>
      <c r="R173" s="19"/>
      <c r="S173" s="22"/>
      <c r="T173" s="19"/>
      <c r="U173" s="24">
        <v>4.86596541713602E-2</v>
      </c>
      <c r="V173" s="24">
        <f t="shared" si="10"/>
        <v>5.233145655204674E-2</v>
      </c>
      <c r="W173" s="106">
        <v>5.2331459999999996</v>
      </c>
      <c r="X173" s="106">
        <v>5.2331000000000003E-2</v>
      </c>
      <c r="Y173" s="34">
        <f t="shared" si="8"/>
        <v>-4.5655204673755723E-7</v>
      </c>
    </row>
    <row r="174" spans="15:25" ht="17.100000000000001" customHeight="1">
      <c r="O174" s="12">
        <f t="shared" si="9"/>
        <v>13.416666666666666</v>
      </c>
      <c r="P174" s="13">
        <v>161</v>
      </c>
      <c r="Q174" s="22"/>
      <c r="R174" s="19"/>
      <c r="S174" s="22"/>
      <c r="T174" s="19"/>
      <c r="U174" s="24">
        <v>4.8682420810278515E-2</v>
      </c>
      <c r="V174" s="24">
        <f t="shared" si="10"/>
        <v>5.2363789285660323E-2</v>
      </c>
      <c r="W174" s="106">
        <v>5.2363790000000003</v>
      </c>
      <c r="X174" s="106">
        <v>5.2364000000000001E-2</v>
      </c>
      <c r="Y174" s="34">
        <f t="shared" si="8"/>
        <v>2.1071433967817521E-7</v>
      </c>
    </row>
    <row r="175" spans="15:25" ht="17.100000000000001" customHeight="1">
      <c r="O175" s="12">
        <f t="shared" si="9"/>
        <v>13.5</v>
      </c>
      <c r="P175" s="13">
        <v>162</v>
      </c>
      <c r="Q175" s="22"/>
      <c r="R175" s="19"/>
      <c r="S175" s="22"/>
      <c r="T175" s="19"/>
      <c r="U175" s="24">
        <v>4.8705105758662715E-2</v>
      </c>
      <c r="V175" s="24">
        <f t="shared" si="10"/>
        <v>5.2396296324906944E-2</v>
      </c>
      <c r="W175" s="106">
        <v>5.23963</v>
      </c>
      <c r="X175" s="106">
        <v>5.2395999999999998E-2</v>
      </c>
      <c r="Y175" s="34">
        <f t="shared" si="8"/>
        <v>-2.9632490694542213E-7</v>
      </c>
    </row>
    <row r="176" spans="15:25" ht="17.100000000000001" customHeight="1">
      <c r="O176" s="12">
        <f t="shared" si="9"/>
        <v>13.583333333333334</v>
      </c>
      <c r="P176" s="13">
        <v>163</v>
      </c>
      <c r="Q176" s="22"/>
      <c r="R176" s="19"/>
      <c r="S176" s="22"/>
      <c r="T176" s="19"/>
      <c r="U176" s="24">
        <v>4.8727711583385069E-2</v>
      </c>
      <c r="V176" s="24">
        <f t="shared" si="10"/>
        <v>5.2428981055525181E-2</v>
      </c>
      <c r="W176" s="106">
        <v>5.2428980000000003</v>
      </c>
      <c r="X176" s="106">
        <v>5.2429000000000003E-2</v>
      </c>
      <c r="Y176" s="34">
        <f t="shared" si="8"/>
        <v>1.8944474822202295E-8</v>
      </c>
    </row>
    <row r="177" spans="15:25" ht="17.100000000000001" customHeight="1">
      <c r="O177" s="12">
        <f t="shared" si="9"/>
        <v>13.666666666666666</v>
      </c>
      <c r="P177" s="13">
        <v>164</v>
      </c>
      <c r="Q177" s="22"/>
      <c r="R177" s="19"/>
      <c r="S177" s="22"/>
      <c r="T177" s="19"/>
      <c r="U177" s="24">
        <v>4.875024080929502E-2</v>
      </c>
      <c r="V177" s="24">
        <f t="shared" si="10"/>
        <v>5.2461846891034281E-2</v>
      </c>
      <c r="W177" s="106">
        <v>5.2461849999999997</v>
      </c>
      <c r="X177" s="106">
        <v>5.2462000000000002E-2</v>
      </c>
      <c r="Y177" s="34">
        <f t="shared" si="8"/>
        <v>1.5310896572112709E-7</v>
      </c>
    </row>
    <row r="178" spans="15:25" ht="17.100000000000001" customHeight="1">
      <c r="O178" s="12">
        <f t="shared" si="9"/>
        <v>13.75</v>
      </c>
      <c r="P178" s="13">
        <v>165</v>
      </c>
      <c r="Q178" s="22"/>
      <c r="R178" s="19"/>
      <c r="S178" s="22"/>
      <c r="T178" s="19"/>
      <c r="U178" s="24">
        <v>4.8772695920658027E-2</v>
      </c>
      <c r="V178" s="24">
        <f t="shared" si="10"/>
        <v>5.2494897272584939E-2</v>
      </c>
      <c r="W178" s="106">
        <v>5.2494899999999998</v>
      </c>
      <c r="X178" s="106">
        <v>5.2495E-2</v>
      </c>
      <c r="Y178" s="34">
        <f t="shared" si="8"/>
        <v>1.0272741506056615E-7</v>
      </c>
    </row>
    <row r="179" spans="15:25" ht="17.100000000000001" customHeight="1">
      <c r="O179" s="12">
        <f t="shared" si="9"/>
        <v>13.833333333333334</v>
      </c>
      <c r="P179" s="13">
        <v>166</v>
      </c>
      <c r="Q179" s="22"/>
      <c r="R179" s="19"/>
      <c r="S179" s="22"/>
      <c r="T179" s="19"/>
      <c r="U179" s="24">
        <v>4.8795079362541793E-2</v>
      </c>
      <c r="V179" s="24">
        <f t="shared" si="10"/>
        <v>5.2528135670010911E-2</v>
      </c>
      <c r="W179" s="106">
        <v>5.2528139999999999</v>
      </c>
      <c r="X179" s="106">
        <v>5.2527999999999998E-2</v>
      </c>
      <c r="Y179" s="34">
        <f t="shared" si="8"/>
        <v>-1.3567001091313591E-7</v>
      </c>
    </row>
    <row r="180" spans="15:25" ht="17.100000000000001" customHeight="1">
      <c r="O180" s="12">
        <f t="shared" si="9"/>
        <v>13.916666666666666</v>
      </c>
      <c r="P180" s="13">
        <v>167</v>
      </c>
      <c r="Q180" s="22"/>
      <c r="R180" s="19"/>
      <c r="S180" s="22"/>
      <c r="T180" s="19"/>
      <c r="U180" s="24">
        <v>4.8817393542158749E-2</v>
      </c>
      <c r="V180" s="24">
        <f t="shared" si="10"/>
        <v>5.2561565582293301E-2</v>
      </c>
      <c r="W180" s="106">
        <v>5.256157</v>
      </c>
      <c r="X180" s="106">
        <v>5.2561999999999998E-2</v>
      </c>
      <c r="Y180" s="34">
        <f t="shared" si="8"/>
        <v>4.3441770669616631E-7</v>
      </c>
    </row>
    <row r="181" spans="15:25" ht="17.100000000000001" customHeight="1">
      <c r="O181" s="12">
        <f t="shared" si="9"/>
        <v>14</v>
      </c>
      <c r="P181" s="13">
        <v>168</v>
      </c>
      <c r="Q181" s="22"/>
      <c r="R181" s="19"/>
      <c r="S181" s="22"/>
      <c r="T181" s="19"/>
      <c r="U181" s="24">
        <v>4.8839640830163455E-2</v>
      </c>
      <c r="V181" s="24">
        <f t="shared" si="10"/>
        <v>5.2595190537707337E-2</v>
      </c>
      <c r="W181" s="106">
        <v>5.2595190000000001</v>
      </c>
      <c r="X181" s="106">
        <v>5.2595000000000003E-2</v>
      </c>
      <c r="Y181" s="34">
        <f t="shared" si="8"/>
        <v>-1.9053770733412634E-7</v>
      </c>
    </row>
    <row r="182" spans="15:25" ht="17.100000000000001" customHeight="1">
      <c r="O182" s="12">
        <f t="shared" si="9"/>
        <v>14.083333333333334</v>
      </c>
      <c r="P182" s="13">
        <v>169</v>
      </c>
      <c r="Q182" s="22"/>
      <c r="R182" s="19"/>
      <c r="S182" s="22"/>
      <c r="T182" s="19"/>
      <c r="U182" s="24">
        <v>4.8861823561904494E-2</v>
      </c>
      <c r="V182" s="24">
        <f t="shared" si="10"/>
        <v>5.2629014095102455E-2</v>
      </c>
      <c r="W182" s="106">
        <v>5.2629010000000003</v>
      </c>
      <c r="X182" s="106">
        <v>5.2629000000000002E-2</v>
      </c>
      <c r="Y182" s="34">
        <f t="shared" si="8"/>
        <v>-1.4095102453259845E-8</v>
      </c>
    </row>
    <row r="183" spans="15:25" ht="17.100000000000001" customHeight="1">
      <c r="O183" s="12">
        <f t="shared" si="9"/>
        <v>14.166666666666666</v>
      </c>
      <c r="P183" s="13">
        <v>170</v>
      </c>
      <c r="Q183" s="22"/>
      <c r="R183" s="19"/>
      <c r="S183" s="22"/>
      <c r="T183" s="19"/>
      <c r="U183" s="24">
        <v>4.8883944038640603E-2</v>
      </c>
      <c r="V183" s="24">
        <f t="shared" si="10"/>
        <v>5.2663039843612758E-2</v>
      </c>
      <c r="W183" s="106">
        <v>5.2663039999999999</v>
      </c>
      <c r="X183" s="106">
        <v>5.2663000000000001E-2</v>
      </c>
      <c r="Y183" s="34">
        <f t="shared" si="8"/>
        <v>-3.9843612756329527E-8</v>
      </c>
    </row>
    <row r="184" spans="15:25" ht="17.100000000000001" customHeight="1">
      <c r="O184" s="12">
        <f t="shared" si="9"/>
        <v>14.25</v>
      </c>
      <c r="P184" s="13">
        <v>171</v>
      </c>
      <c r="Q184" s="22"/>
      <c r="R184" s="19"/>
      <c r="S184" s="22"/>
      <c r="T184" s="19"/>
      <c r="U184" s="24">
        <v>4.8906004528711078E-2</v>
      </c>
      <c r="V184" s="24">
        <f t="shared" si="10"/>
        <v>5.2697271404231971E-2</v>
      </c>
      <c r="W184" s="106">
        <v>5.2697269999999996</v>
      </c>
      <c r="X184" s="106">
        <v>5.2697000000000001E-2</v>
      </c>
      <c r="Y184" s="34">
        <f t="shared" si="8"/>
        <v>-2.7140423197041796E-7</v>
      </c>
    </row>
    <row r="185" spans="15:25" ht="17.100000000000001" customHeight="1">
      <c r="O185" s="12">
        <f t="shared" si="9"/>
        <v>14.333333333333334</v>
      </c>
      <c r="P185" s="13">
        <v>172</v>
      </c>
      <c r="Q185" s="22"/>
      <c r="R185" s="19"/>
      <c r="S185" s="22"/>
      <c r="T185" s="19"/>
      <c r="U185" s="24">
        <v>4.89280072686753E-2</v>
      </c>
      <c r="V185" s="24">
        <f t="shared" si="10"/>
        <v>5.2731712429124444E-2</v>
      </c>
      <c r="W185" s="106">
        <v>5.2731709999999996</v>
      </c>
      <c r="X185" s="106">
        <v>5.2732000000000001E-2</v>
      </c>
      <c r="Y185" s="34">
        <f t="shared" si="8"/>
        <v>2.8757087555675298E-7</v>
      </c>
    </row>
    <row r="186" spans="15:25" ht="17.100000000000001" customHeight="1">
      <c r="O186" s="12">
        <f t="shared" si="9"/>
        <v>14.416666666666666</v>
      </c>
      <c r="P186" s="13">
        <v>173</v>
      </c>
      <c r="Q186" s="22"/>
      <c r="R186" s="19"/>
      <c r="S186" s="22"/>
      <c r="T186" s="19"/>
      <c r="U186" s="24">
        <v>4.8949954464409196E-2</v>
      </c>
      <c r="V186" s="24">
        <f t="shared" si="10"/>
        <v>5.2766366603432813E-2</v>
      </c>
      <c r="W186" s="106">
        <v>5.276637</v>
      </c>
      <c r="X186" s="106">
        <v>5.2766E-2</v>
      </c>
      <c r="Y186" s="34">
        <f t="shared" si="8"/>
        <v>-3.666034328123069E-7</v>
      </c>
    </row>
    <row r="187" spans="15:25" ht="17.100000000000001" customHeight="1">
      <c r="O187" s="12">
        <f t="shared" si="9"/>
        <v>14.5</v>
      </c>
      <c r="P187" s="13">
        <v>174</v>
      </c>
      <c r="Q187" s="22"/>
      <c r="R187" s="19"/>
      <c r="S187" s="22"/>
      <c r="T187" s="19"/>
      <c r="U187" s="24">
        <v>4.8971848292172604E-2</v>
      </c>
      <c r="V187" s="24">
        <f t="shared" si="10"/>
        <v>5.2801237645159205E-2</v>
      </c>
      <c r="W187" s="106">
        <v>5.2801239999999998</v>
      </c>
      <c r="X187" s="106">
        <v>5.2801000000000001E-2</v>
      </c>
      <c r="Y187" s="34">
        <f t="shared" si="8"/>
        <v>-2.3764515920399187E-7</v>
      </c>
    </row>
    <row r="188" spans="15:25" ht="17.100000000000001" customHeight="1">
      <c r="O188" s="12">
        <f t="shared" si="9"/>
        <v>14.583333333333334</v>
      </c>
      <c r="P188" s="13">
        <v>175</v>
      </c>
      <c r="Q188" s="22"/>
      <c r="R188" s="19"/>
      <c r="S188" s="22"/>
      <c r="T188" s="19"/>
      <c r="U188" s="24">
        <v>4.899369089964134E-2</v>
      </c>
      <c r="V188" s="24">
        <f t="shared" si="10"/>
        <v>5.2836329305908425E-2</v>
      </c>
      <c r="W188" s="106">
        <v>5.283633</v>
      </c>
      <c r="X188" s="106">
        <v>5.2836000000000001E-2</v>
      </c>
      <c r="Y188" s="34">
        <f t="shared" si="8"/>
        <v>-3.2930590842389362E-7</v>
      </c>
    </row>
    <row r="189" spans="15:25" ht="17.100000000000001" customHeight="1">
      <c r="O189" s="12">
        <f t="shared" si="9"/>
        <v>14.666666666666666</v>
      </c>
      <c r="P189" s="13">
        <v>176</v>
      </c>
      <c r="Q189" s="22"/>
      <c r="R189" s="19"/>
      <c r="S189" s="22"/>
      <c r="T189" s="19"/>
      <c r="U189" s="24">
        <v>4.9015484406906618E-2</v>
      </c>
      <c r="V189" s="24">
        <f t="shared" si="10"/>
        <v>5.2871645371636466E-2</v>
      </c>
      <c r="W189" s="106">
        <v>5.2871649999999999</v>
      </c>
      <c r="X189" s="106">
        <v>5.2872000000000002E-2</v>
      </c>
      <c r="Y189" s="34">
        <f t="shared" si="8"/>
        <v>3.5462836353583604E-7</v>
      </c>
    </row>
    <row r="190" spans="15:25" ht="17.100000000000001" customHeight="1">
      <c r="O190" s="12">
        <f t="shared" si="9"/>
        <v>14.75</v>
      </c>
      <c r="P190" s="13">
        <v>177</v>
      </c>
      <c r="Q190" s="22"/>
      <c r="R190" s="19"/>
      <c r="S190" s="22"/>
      <c r="T190" s="19"/>
      <c r="U190" s="24">
        <v>4.903723090744605E-2</v>
      </c>
      <c r="V190" s="24">
        <f t="shared" si="10"/>
        <v>5.2907189662889431E-2</v>
      </c>
      <c r="W190" s="106">
        <v>5.2907190000000002</v>
      </c>
      <c r="X190" s="106">
        <v>5.2907000000000003E-2</v>
      </c>
      <c r="Y190" s="34">
        <f t="shared" si="8"/>
        <v>-1.8966288942851017E-7</v>
      </c>
    </row>
    <row r="191" spans="15:25" ht="17.100000000000001" customHeight="1">
      <c r="O191" s="12">
        <f t="shared" si="9"/>
        <v>14.833333333333334</v>
      </c>
      <c r="P191" s="13">
        <v>178</v>
      </c>
      <c r="Q191" s="22"/>
      <c r="R191" s="19"/>
      <c r="S191" s="22"/>
      <c r="T191" s="19"/>
      <c r="U191" s="24">
        <v>4.9058932469062011E-2</v>
      </c>
      <c r="V191" s="24">
        <f t="shared" si="10"/>
        <v>5.2942966036079619E-2</v>
      </c>
      <c r="W191" s="106">
        <v>5.2942970000000003</v>
      </c>
      <c r="X191" s="106">
        <v>5.2942999999999997E-2</v>
      </c>
      <c r="Y191" s="34">
        <f t="shared" si="8"/>
        <v>3.3963920377522161E-8</v>
      </c>
    </row>
    <row r="192" spans="15:25" ht="17.100000000000001" customHeight="1">
      <c r="O192" s="12">
        <f t="shared" si="9"/>
        <v>14.916666666666666</v>
      </c>
      <c r="P192" s="13">
        <v>179</v>
      </c>
      <c r="Q192" s="22"/>
      <c r="R192" s="19"/>
      <c r="S192" s="22"/>
      <c r="T192" s="19"/>
      <c r="U192" s="24">
        <v>4.9080591134796681E-2</v>
      </c>
      <c r="V192" s="24">
        <f t="shared" si="10"/>
        <v>5.297897838348975E-2</v>
      </c>
      <c r="W192" s="106">
        <v>5.297898</v>
      </c>
      <c r="X192" s="106">
        <v>5.2978999999999998E-2</v>
      </c>
      <c r="Y192" s="34">
        <f t="shared" si="8"/>
        <v>2.1616510248456677E-8</v>
      </c>
    </row>
    <row r="193" spans="15:25" ht="17.100000000000001" customHeight="1">
      <c r="O193" s="12">
        <f t="shared" si="9"/>
        <v>15</v>
      </c>
      <c r="P193" s="13">
        <v>180</v>
      </c>
      <c r="Q193" s="22"/>
      <c r="R193" s="19"/>
      <c r="S193" s="22"/>
      <c r="T193" s="19"/>
      <c r="U193" s="24">
        <v>4.9102208923816004E-2</v>
      </c>
      <c r="V193" s="24">
        <f t="shared" si="10"/>
        <v>5.3015063276383056E-2</v>
      </c>
      <c r="W193" s="106">
        <v>5.3015059999999998</v>
      </c>
      <c r="X193" s="106">
        <v>5.3015E-2</v>
      </c>
      <c r="Y193" s="34">
        <f t="shared" si="8"/>
        <v>-6.3276383056865004E-8</v>
      </c>
    </row>
    <row r="194" spans="15:25" ht="17.100000000000001" customHeight="1">
      <c r="O194" s="12">
        <f t="shared" si="9"/>
        <v>15.083333333333334</v>
      </c>
      <c r="P194" s="13">
        <v>181</v>
      </c>
      <c r="Q194" s="22"/>
      <c r="R194" s="19"/>
      <c r="S194" s="22"/>
      <c r="T194" s="19"/>
      <c r="U194" s="24">
        <v>4.9123786911057898E-2</v>
      </c>
      <c r="V194" s="24">
        <f t="shared" si="10"/>
        <v>5.305055411868409E-2</v>
      </c>
      <c r="W194" s="106">
        <v>5.3050550000000003</v>
      </c>
      <c r="X194" s="106">
        <v>5.3051000000000001E-2</v>
      </c>
      <c r="Y194" s="34">
        <f t="shared" si="8"/>
        <v>4.4588131591083435E-7</v>
      </c>
    </row>
    <row r="195" spans="15:25" ht="17.100000000000001" customHeight="1">
      <c r="O195" s="12">
        <f t="shared" si="9"/>
        <v>15.166666666666666</v>
      </c>
      <c r="P195" s="13">
        <v>182</v>
      </c>
      <c r="Q195" s="22"/>
      <c r="R195" s="19"/>
      <c r="S195" s="22"/>
      <c r="T195" s="19"/>
      <c r="U195" s="24">
        <v>4.914532249879966E-2</v>
      </c>
      <c r="V195" s="24">
        <f t="shared" si="10"/>
        <v>5.3085284394361665E-2</v>
      </c>
      <c r="W195" s="106">
        <v>5.3085279999999999</v>
      </c>
      <c r="X195" s="106">
        <v>5.3085E-2</v>
      </c>
      <c r="Y195" s="34">
        <f t="shared" si="8"/>
        <v>-2.8439436166455279E-7</v>
      </c>
    </row>
    <row r="196" spans="15:25" ht="17.100000000000001" customHeight="1">
      <c r="O196" s="12">
        <f t="shared" si="9"/>
        <v>15.25</v>
      </c>
      <c r="P196" s="13">
        <v>183</v>
      </c>
      <c r="Q196" s="22"/>
      <c r="R196" s="19"/>
      <c r="S196" s="22"/>
      <c r="T196" s="19"/>
      <c r="U196" s="24">
        <v>4.9166812239628044E-2</v>
      </c>
      <c r="V196" s="24">
        <f t="shared" si="10"/>
        <v>5.3119254570902719E-2</v>
      </c>
      <c r="W196" s="106">
        <v>5.3119249999999996</v>
      </c>
      <c r="X196" s="106">
        <v>5.3119E-2</v>
      </c>
      <c r="Y196" s="34">
        <f t="shared" si="8"/>
        <v>-2.5457090271907568E-7</v>
      </c>
    </row>
    <row r="197" spans="15:25" ht="17.100000000000001" customHeight="1">
      <c r="O197" s="12">
        <f t="shared" si="9"/>
        <v>15.333333333333334</v>
      </c>
      <c r="P197" s="13">
        <v>184</v>
      </c>
      <c r="Q197" s="22"/>
      <c r="R197" s="19"/>
      <c r="S197" s="22"/>
      <c r="T197" s="19"/>
      <c r="U197" s="24">
        <v>4.918825276368044E-2</v>
      </c>
      <c r="V197" s="24">
        <f t="shared" si="10"/>
        <v>5.3152465014417727E-2</v>
      </c>
      <c r="W197" s="106">
        <v>5.3152470000000003</v>
      </c>
      <c r="X197" s="106">
        <v>5.3151999999999998E-2</v>
      </c>
      <c r="Y197" s="34">
        <f t="shared" si="8"/>
        <v>-4.6501441772900387E-7</v>
      </c>
    </row>
    <row r="198" spans="15:25" ht="17.100000000000001" customHeight="1">
      <c r="O198" s="12">
        <f t="shared" si="9"/>
        <v>15.416666666666666</v>
      </c>
      <c r="P198" s="13">
        <v>185</v>
      </c>
      <c r="Q198" s="22"/>
      <c r="R198" s="19"/>
      <c r="S198" s="22"/>
      <c r="T198" s="19"/>
      <c r="U198" s="24">
        <v>4.9209640775995878E-2</v>
      </c>
      <c r="V198" s="24">
        <f t="shared" si="10"/>
        <v>5.3184915989046289E-2</v>
      </c>
      <c r="W198" s="106">
        <v>5.318492</v>
      </c>
      <c r="X198" s="106">
        <v>5.3185000000000003E-2</v>
      </c>
      <c r="Y198" s="34">
        <f t="shared" si="8"/>
        <v>8.4010953714519498E-8</v>
      </c>
    </row>
    <row r="199" spans="15:25" ht="17.100000000000001" customHeight="1">
      <c r="O199" s="12">
        <f t="shared" si="9"/>
        <v>15.5</v>
      </c>
      <c r="P199" s="13">
        <v>186</v>
      </c>
      <c r="Q199" s="22"/>
      <c r="R199" s="19"/>
      <c r="S199" s="22"/>
      <c r="T199" s="19"/>
      <c r="U199" s="24">
        <v>4.923097305394819E-2</v>
      </c>
      <c r="V199" s="24">
        <f t="shared" si="10"/>
        <v>5.3216607658174819E-2</v>
      </c>
      <c r="W199" s="106">
        <v>5.3216609999999998</v>
      </c>
      <c r="X199" s="106">
        <v>5.3217E-2</v>
      </c>
      <c r="Y199" s="34">
        <f t="shared" si="8"/>
        <v>3.9234182518110838E-7</v>
      </c>
    </row>
    <row r="200" spans="15:25" ht="17.100000000000001" customHeight="1">
      <c r="O200" s="12">
        <f t="shared" si="9"/>
        <v>15.583333333333334</v>
      </c>
      <c r="P200" s="13">
        <v>187</v>
      </c>
      <c r="Q200" s="22"/>
      <c r="R200" s="19"/>
      <c r="S200" s="22"/>
      <c r="T200" s="19"/>
      <c r="U200" s="24">
        <v>4.9252246444768222E-2</v>
      </c>
      <c r="V200" s="24">
        <f t="shared" si="10"/>
        <v>5.3247540083944944E-2</v>
      </c>
      <c r="W200" s="106">
        <v>5.3247540000000004</v>
      </c>
      <c r="X200" s="106">
        <v>5.3247999999999997E-2</v>
      </c>
      <c r="Y200" s="34">
        <f t="shared" si="8"/>
        <v>4.5991605505252275E-7</v>
      </c>
    </row>
    <row r="201" spans="15:25" ht="17.100000000000001" customHeight="1">
      <c r="O201" s="12">
        <f t="shared" si="9"/>
        <v>15.666666666666666</v>
      </c>
      <c r="P201" s="13">
        <v>188</v>
      </c>
      <c r="Q201" s="22"/>
      <c r="R201" s="19"/>
      <c r="S201" s="22"/>
      <c r="T201" s="19"/>
      <c r="U201" s="24">
        <v>4.9273457863142633E-2</v>
      </c>
      <c r="V201" s="24">
        <f t="shared" si="10"/>
        <v>5.3277713228232493E-2</v>
      </c>
      <c r="W201" s="106">
        <v>5.3277710000000003</v>
      </c>
      <c r="X201" s="106">
        <v>5.3277999999999999E-2</v>
      </c>
      <c r="Y201" s="34">
        <f t="shared" si="8"/>
        <v>2.8677176750618871E-7</v>
      </c>
    </row>
    <row r="202" spans="15:25" ht="17.100000000000001" customHeight="1">
      <c r="O202" s="12">
        <f t="shared" si="9"/>
        <v>15.75</v>
      </c>
      <c r="P202" s="13">
        <v>189</v>
      </c>
      <c r="Q202" s="22"/>
      <c r="R202" s="19"/>
      <c r="S202" s="22"/>
      <c r="T202" s="19"/>
      <c r="U202" s="24">
        <v>4.9294604288894206E-2</v>
      </c>
      <c r="V202" s="24">
        <f t="shared" si="10"/>
        <v>5.3307126952237383E-2</v>
      </c>
      <c r="W202" s="106">
        <v>5.3307130000000003</v>
      </c>
      <c r="X202" s="106">
        <v>5.3307E-2</v>
      </c>
      <c r="Y202" s="34">
        <f t="shared" si="8"/>
        <v>-1.26952237382294E-7</v>
      </c>
    </row>
    <row r="203" spans="15:25" ht="17.100000000000001" customHeight="1">
      <c r="O203" s="12">
        <f t="shared" si="9"/>
        <v>15.833333333333334</v>
      </c>
      <c r="P203" s="13">
        <v>190</v>
      </c>
      <c r="Q203" s="22"/>
      <c r="R203" s="19"/>
      <c r="S203" s="22"/>
      <c r="T203" s="19"/>
      <c r="U203" s="24">
        <v>4.9315682764733415E-2</v>
      </c>
      <c r="V203" s="24">
        <f t="shared" si="10"/>
        <v>5.3335781017631145E-2</v>
      </c>
      <c r="W203" s="106">
        <v>5.3335780000000002</v>
      </c>
      <c r="X203" s="106">
        <v>5.3336000000000001E-2</v>
      </c>
      <c r="Y203" s="34">
        <f t="shared" si="8"/>
        <v>2.1898236885614653E-7</v>
      </c>
    </row>
    <row r="204" spans="15:25" ht="17.100000000000001" customHeight="1">
      <c r="O204" s="12">
        <f t="shared" si="9"/>
        <v>15.916666666666666</v>
      </c>
      <c r="P204" s="13">
        <v>191</v>
      </c>
      <c r="Q204" s="22"/>
      <c r="R204" s="19"/>
      <c r="S204" s="22"/>
      <c r="T204" s="19"/>
      <c r="U204" s="24">
        <v>4.9336690394086613E-2</v>
      </c>
      <c r="V204" s="24">
        <f t="shared" si="10"/>
        <v>5.3363675085660756E-2</v>
      </c>
      <c r="W204" s="106">
        <v>5.3363680000000002</v>
      </c>
      <c r="X204" s="106">
        <v>5.3364000000000002E-2</v>
      </c>
      <c r="Y204" s="34">
        <f t="shared" si="8"/>
        <v>3.2491433924614066E-7</v>
      </c>
    </row>
    <row r="205" spans="15:25" ht="17.100000000000001" customHeight="1">
      <c r="O205" s="12">
        <f t="shared" si="9"/>
        <v>16</v>
      </c>
      <c r="P205" s="13">
        <v>192</v>
      </c>
      <c r="Q205" s="22"/>
      <c r="R205" s="19"/>
      <c r="S205" s="22"/>
      <c r="T205" s="19"/>
      <c r="U205" s="24">
        <v>4.9357624338987716E-2</v>
      </c>
      <c r="V205" s="24">
        <f t="shared" si="10"/>
        <v>5.3390808718710714E-2</v>
      </c>
      <c r="W205" s="106">
        <v>5.3390810000000002</v>
      </c>
      <c r="X205" s="106">
        <v>5.3391000000000001E-2</v>
      </c>
      <c r="Y205" s="34">
        <f t="shared" ref="Y205:Y268" si="11">X205-V205</f>
        <v>1.9128128928708188E-7</v>
      </c>
    </row>
    <row r="206" spans="15:25" ht="17.100000000000001" customHeight="1">
      <c r="O206" s="12">
        <f t="shared" ref="O206:O269" si="12">P206/12</f>
        <v>16.083333333333332</v>
      </c>
      <c r="P206" s="13">
        <v>193</v>
      </c>
      <c r="Q206" s="22"/>
      <c r="R206" s="19"/>
      <c r="S206" s="22"/>
      <c r="T206" s="19"/>
      <c r="U206" s="24">
        <v>4.9378481818043163E-2</v>
      </c>
      <c r="V206" s="24">
        <f t="shared" ref="V206:V269" si="13">(1+U207)^P207/(1+U206)^P206-1</f>
        <v>5.3417181379312284E-2</v>
      </c>
      <c r="W206" s="106">
        <v>5.3417180000000002</v>
      </c>
      <c r="X206" s="106">
        <v>5.3416999999999999E-2</v>
      </c>
      <c r="Y206" s="34">
        <f t="shared" si="11"/>
        <v>-1.8137931228484616E-7</v>
      </c>
    </row>
    <row r="207" spans="15:25" ht="17.100000000000001" customHeight="1">
      <c r="O207" s="12">
        <f t="shared" si="12"/>
        <v>16.166666666666668</v>
      </c>
      <c r="P207" s="13">
        <v>194</v>
      </c>
      <c r="Q207" s="22"/>
      <c r="R207" s="19"/>
      <c r="S207" s="22"/>
      <c r="T207" s="19"/>
      <c r="U207" s="24">
        <v>4.9399260104455278E-2</v>
      </c>
      <c r="V207" s="24">
        <f t="shared" si="13"/>
        <v>5.3442792431257713E-2</v>
      </c>
      <c r="W207" s="106">
        <v>5.3442790000000002</v>
      </c>
      <c r="X207" s="106">
        <v>5.3442999999999997E-2</v>
      </c>
      <c r="Y207" s="34">
        <f t="shared" si="11"/>
        <v>2.0756874228450295E-7</v>
      </c>
    </row>
    <row r="208" spans="15:25" ht="17.100000000000001" customHeight="1">
      <c r="O208" s="12">
        <f t="shared" si="12"/>
        <v>16.25</v>
      </c>
      <c r="P208" s="13">
        <v>195</v>
      </c>
      <c r="Q208" s="22"/>
      <c r="R208" s="19"/>
      <c r="S208" s="22"/>
      <c r="T208" s="19"/>
      <c r="U208" s="24">
        <v>4.9419956524111575E-2</v>
      </c>
      <c r="V208" s="24">
        <f t="shared" si="13"/>
        <v>5.3467641139162136E-2</v>
      </c>
      <c r="W208" s="106">
        <v>5.3467640000000003</v>
      </c>
      <c r="X208" s="106">
        <v>5.3468000000000002E-2</v>
      </c>
      <c r="Y208" s="34">
        <f t="shared" si="11"/>
        <v>3.5886083786518252E-7</v>
      </c>
    </row>
    <row r="209" spans="15:25" ht="17.100000000000001" customHeight="1">
      <c r="O209" s="12">
        <f t="shared" si="12"/>
        <v>16.333333333333332</v>
      </c>
      <c r="P209" s="13">
        <v>196</v>
      </c>
      <c r="Q209" s="22"/>
      <c r="R209" s="19"/>
      <c r="S209" s="22"/>
      <c r="T209" s="19"/>
      <c r="U209" s="24">
        <v>4.9440568453731348E-2</v>
      </c>
      <c r="V209" s="24">
        <f t="shared" si="13"/>
        <v>5.349172666929336E-2</v>
      </c>
      <c r="W209" s="106">
        <v>5.3491730000000004</v>
      </c>
      <c r="X209" s="106">
        <v>5.3491999999999998E-2</v>
      </c>
      <c r="Y209" s="34">
        <f t="shared" si="11"/>
        <v>2.7333070663770886E-7</v>
      </c>
    </row>
    <row r="210" spans="15:25" ht="17.100000000000001" customHeight="1">
      <c r="O210" s="12">
        <f t="shared" si="12"/>
        <v>16.416666666666668</v>
      </c>
      <c r="P210" s="13">
        <v>197</v>
      </c>
      <c r="Q210" s="22"/>
      <c r="R210" s="19"/>
      <c r="S210" s="22"/>
      <c r="T210" s="19"/>
      <c r="U210" s="24">
        <v>4.9461093319072225E-2</v>
      </c>
      <c r="V210" s="24">
        <f t="shared" si="13"/>
        <v>5.351504808917662E-2</v>
      </c>
      <c r="W210" s="106">
        <v>5.3515050000000004</v>
      </c>
      <c r="X210" s="106">
        <v>5.3515E-2</v>
      </c>
      <c r="Y210" s="34">
        <f t="shared" si="11"/>
        <v>-4.8089176619969809E-8</v>
      </c>
    </row>
    <row r="211" spans="15:25" ht="17.100000000000001" customHeight="1">
      <c r="O211" s="12">
        <f t="shared" si="12"/>
        <v>16.5</v>
      </c>
      <c r="P211" s="13">
        <v>198</v>
      </c>
      <c r="Q211" s="22"/>
      <c r="R211" s="19"/>
      <c r="S211" s="22"/>
      <c r="T211" s="19"/>
      <c r="U211" s="24">
        <v>4.9481528593188662E-2</v>
      </c>
      <c r="V211" s="24">
        <f t="shared" si="13"/>
        <v>5.3537604368193215E-2</v>
      </c>
      <c r="W211" s="106">
        <v>5.3537600000000003</v>
      </c>
      <c r="X211" s="106">
        <v>5.3538000000000002E-2</v>
      </c>
      <c r="Y211" s="34">
        <f t="shared" si="11"/>
        <v>3.956318067876996E-7</v>
      </c>
    </row>
    <row r="212" spans="15:25" ht="17.100000000000001" customHeight="1">
      <c r="O212" s="12">
        <f t="shared" si="12"/>
        <v>16.583333333333332</v>
      </c>
      <c r="P212" s="13">
        <v>199</v>
      </c>
      <c r="Q212" s="22"/>
      <c r="R212" s="19"/>
      <c r="S212" s="22"/>
      <c r="T212" s="19"/>
      <c r="U212" s="24">
        <v>4.9501871794747521E-2</v>
      </c>
      <c r="V212" s="24">
        <f t="shared" si="13"/>
        <v>5.3559394377363789E-2</v>
      </c>
      <c r="W212" s="106">
        <v>5.3559390000000002</v>
      </c>
      <c r="X212" s="106">
        <v>5.3559000000000002E-2</v>
      </c>
      <c r="Y212" s="34">
        <f t="shared" si="11"/>
        <v>-3.943773637868353E-7</v>
      </c>
    </row>
    <row r="213" spans="15:25" ht="17.100000000000001" customHeight="1">
      <c r="O213" s="12">
        <f t="shared" si="12"/>
        <v>16.666666666666668</v>
      </c>
      <c r="P213" s="13">
        <v>200</v>
      </c>
      <c r="Q213" s="22"/>
      <c r="R213" s="19"/>
      <c r="S213" s="22"/>
      <c r="T213" s="19"/>
      <c r="U213" s="24">
        <v>4.9522120486391596E-2</v>
      </c>
      <c r="V213" s="24">
        <f t="shared" si="13"/>
        <v>5.3580416890000482E-2</v>
      </c>
      <c r="W213" s="106">
        <v>5.3580420000000002</v>
      </c>
      <c r="X213" s="106">
        <v>5.3580000000000003E-2</v>
      </c>
      <c r="Y213" s="34">
        <f t="shared" si="11"/>
        <v>-4.1689000047917535E-7</v>
      </c>
    </row>
    <row r="214" spans="15:25" ht="17.100000000000001" customHeight="1">
      <c r="O214" s="12">
        <f t="shared" si="12"/>
        <v>16.75</v>
      </c>
      <c r="P214" s="13">
        <v>201</v>
      </c>
      <c r="Q214" s="22"/>
      <c r="R214" s="19"/>
      <c r="S214" s="22"/>
      <c r="T214" s="19"/>
      <c r="U214" s="24">
        <v>4.9542272273155996E-2</v>
      </c>
      <c r="V214" s="24">
        <f t="shared" si="13"/>
        <v>5.3600670581286147E-2</v>
      </c>
      <c r="W214" s="106">
        <v>5.3600669999999999</v>
      </c>
      <c r="X214" s="106">
        <v>5.3601000000000003E-2</v>
      </c>
      <c r="Y214" s="34">
        <f t="shared" si="11"/>
        <v>3.2941871385555599E-7</v>
      </c>
    </row>
    <row r="215" spans="15:25" ht="17.100000000000001" customHeight="1">
      <c r="O215" s="12">
        <f t="shared" si="12"/>
        <v>16.833333333333332</v>
      </c>
      <c r="P215" s="13">
        <v>202</v>
      </c>
      <c r="Q215" s="22"/>
      <c r="R215" s="19"/>
      <c r="S215" s="22"/>
      <c r="T215" s="19"/>
      <c r="U215" s="24">
        <v>4.9562324800929369E-2</v>
      </c>
      <c r="V215" s="24">
        <f t="shared" si="13"/>
        <v>5.3620154028916955E-2</v>
      </c>
      <c r="W215" s="106">
        <v>5.3620150000000004</v>
      </c>
      <c r="X215" s="106">
        <v>5.3620000000000001E-2</v>
      </c>
      <c r="Y215" s="34">
        <f t="shared" si="11"/>
        <v>-1.5402891695437404E-7</v>
      </c>
    </row>
    <row r="216" spans="15:25" ht="17.100000000000001" customHeight="1">
      <c r="O216" s="12">
        <f t="shared" si="12"/>
        <v>16.916666666666668</v>
      </c>
      <c r="P216" s="13">
        <v>203</v>
      </c>
      <c r="Q216" s="22"/>
      <c r="R216" s="19"/>
      <c r="S216" s="22"/>
      <c r="T216" s="19"/>
      <c r="U216" s="24">
        <v>4.9582275754963545E-2</v>
      </c>
      <c r="V216" s="24">
        <f t="shared" si="13"/>
        <v>5.3638865712857475E-2</v>
      </c>
      <c r="W216" s="106">
        <v>5.3638870000000001</v>
      </c>
      <c r="X216" s="106">
        <v>5.3638999999999999E-2</v>
      </c>
      <c r="Y216" s="34">
        <f t="shared" si="11"/>
        <v>1.3428714252389229E-7</v>
      </c>
    </row>
    <row r="217" spans="15:25" ht="17.100000000000001" customHeight="1">
      <c r="O217" s="12">
        <f t="shared" si="12"/>
        <v>17</v>
      </c>
      <c r="P217" s="13">
        <v>204</v>
      </c>
      <c r="Q217" s="22"/>
      <c r="R217" s="19"/>
      <c r="S217" s="22"/>
      <c r="T217" s="19"/>
      <c r="U217" s="24">
        <v>4.9602122858426467E-2</v>
      </c>
      <c r="V217" s="24">
        <f t="shared" si="13"/>
        <v>5.3656804015810078E-2</v>
      </c>
      <c r="W217" s="106">
        <v>5.3656800000000002</v>
      </c>
      <c r="X217" s="106">
        <v>5.3657000000000003E-2</v>
      </c>
      <c r="Y217" s="34">
        <f t="shared" si="11"/>
        <v>1.9598418992544664E-7</v>
      </c>
    </row>
    <row r="218" spans="15:25" ht="17.100000000000001" customHeight="1">
      <c r="O218" s="12">
        <f t="shared" si="12"/>
        <v>17.083333333333332</v>
      </c>
      <c r="P218" s="13">
        <v>205</v>
      </c>
      <c r="Q218" s="22"/>
      <c r="R218" s="19"/>
      <c r="S218" s="22"/>
      <c r="T218" s="19"/>
      <c r="U218" s="24">
        <v>4.9621863870998872E-2</v>
      </c>
      <c r="V218" s="24">
        <f t="shared" si="13"/>
        <v>5.3673967222920949E-2</v>
      </c>
      <c r="W218" s="106">
        <v>5.3673970000000004</v>
      </c>
      <c r="X218" s="106">
        <v>5.3673999999999999E-2</v>
      </c>
      <c r="Y218" s="34">
        <f t="shared" si="11"/>
        <v>3.2777079050916313E-8</v>
      </c>
    </row>
    <row r="219" spans="15:25" ht="17.100000000000001" customHeight="1">
      <c r="O219" s="12">
        <f t="shared" si="12"/>
        <v>17.166666666666668</v>
      </c>
      <c r="P219" s="13">
        <v>206</v>
      </c>
      <c r="Q219" s="22"/>
      <c r="R219" s="19"/>
      <c r="S219" s="22"/>
      <c r="T219" s="19"/>
      <c r="U219" s="24">
        <v>4.9641496587511158E-2</v>
      </c>
      <c r="V219" s="24">
        <f t="shared" si="13"/>
        <v>5.3690353522265921E-2</v>
      </c>
      <c r="W219" s="106">
        <v>5.3690350000000002</v>
      </c>
      <c r="X219" s="106">
        <v>5.3690000000000002E-2</v>
      </c>
      <c r="Y219" s="34">
        <f t="shared" si="11"/>
        <v>-3.5352226591955915E-7</v>
      </c>
    </row>
    <row r="220" spans="15:25" ht="17.100000000000001" customHeight="1">
      <c r="O220" s="12">
        <f t="shared" si="12"/>
        <v>17.25</v>
      </c>
      <c r="P220" s="13">
        <v>207</v>
      </c>
      <c r="Q220" s="22"/>
      <c r="R220" s="19"/>
      <c r="S220" s="22"/>
      <c r="T220" s="19"/>
      <c r="U220" s="24">
        <v>4.9661018836621329E-2</v>
      </c>
      <c r="V220" s="24">
        <f t="shared" si="13"/>
        <v>5.370596100478453E-2</v>
      </c>
      <c r="W220" s="106">
        <v>5.3705959999999999</v>
      </c>
      <c r="X220" s="106">
        <v>5.3705999999999997E-2</v>
      </c>
      <c r="Y220" s="34">
        <f t="shared" si="11"/>
        <v>3.8995215466408606E-8</v>
      </c>
    </row>
    <row r="221" spans="15:25" ht="17.100000000000001" customHeight="1">
      <c r="O221" s="12">
        <f t="shared" si="12"/>
        <v>17.333333333333332</v>
      </c>
      <c r="P221" s="13">
        <v>208</v>
      </c>
      <c r="Q221" s="22"/>
      <c r="R221" s="19"/>
      <c r="S221" s="22"/>
      <c r="T221" s="19"/>
      <c r="U221" s="24">
        <v>4.968042847953158E-2</v>
      </c>
      <c r="V221" s="24">
        <f t="shared" si="13"/>
        <v>5.3720787664196079E-2</v>
      </c>
      <c r="W221" s="106">
        <v>5.3720790000000003</v>
      </c>
      <c r="X221" s="106">
        <v>5.3720999999999998E-2</v>
      </c>
      <c r="Y221" s="34">
        <f t="shared" si="11"/>
        <v>2.1233580391882834E-7</v>
      </c>
    </row>
    <row r="222" spans="15:25" ht="17.100000000000001" customHeight="1">
      <c r="O222" s="12">
        <f t="shared" si="12"/>
        <v>17.416666666666668</v>
      </c>
      <c r="P222" s="13">
        <v>209</v>
      </c>
      <c r="Q222" s="22"/>
      <c r="R222" s="19"/>
      <c r="S222" s="22"/>
      <c r="T222" s="19"/>
      <c r="U222" s="24">
        <v>4.969972340874107E-2</v>
      </c>
      <c r="V222" s="24">
        <f t="shared" si="13"/>
        <v>5.373483139747548E-2</v>
      </c>
      <c r="W222" s="106">
        <v>5.3734830000000002</v>
      </c>
      <c r="X222" s="106">
        <v>5.3734999999999998E-2</v>
      </c>
      <c r="Y222" s="34">
        <f t="shared" si="11"/>
        <v>1.6860252451816882E-7</v>
      </c>
    </row>
    <row r="223" spans="15:25" ht="17.100000000000001" customHeight="1">
      <c r="O223" s="12">
        <f t="shared" si="12"/>
        <v>17.5</v>
      </c>
      <c r="P223" s="13">
        <v>210</v>
      </c>
      <c r="Q223" s="22"/>
      <c r="R223" s="19"/>
      <c r="S223" s="22"/>
      <c r="T223" s="19"/>
      <c r="U223" s="24">
        <v>4.9718901546835781E-2</v>
      </c>
      <c r="V223" s="24">
        <f t="shared" si="13"/>
        <v>5.3748090004522631E-2</v>
      </c>
      <c r="W223" s="106">
        <v>5.3748089999999999</v>
      </c>
      <c r="X223" s="106">
        <v>5.3747999999999997E-2</v>
      </c>
      <c r="Y223" s="34">
        <f t="shared" si="11"/>
        <v>-9.000452263346892E-8</v>
      </c>
    </row>
    <row r="224" spans="15:25" ht="17.100000000000001" customHeight="1">
      <c r="O224" s="12">
        <f t="shared" si="12"/>
        <v>17.583333333333332</v>
      </c>
      <c r="P224" s="13">
        <v>211</v>
      </c>
      <c r="Q224" s="22"/>
      <c r="R224" s="19"/>
      <c r="S224" s="22"/>
      <c r="T224" s="19"/>
      <c r="U224" s="24">
        <v>4.9737960845312346E-2</v>
      </c>
      <c r="V224" s="24">
        <f t="shared" si="13"/>
        <v>5.3760561188672895E-2</v>
      </c>
      <c r="W224" s="106">
        <v>5.3760560000000002</v>
      </c>
      <c r="X224" s="106">
        <v>5.3761000000000003E-2</v>
      </c>
      <c r="Y224" s="34">
        <f t="shared" si="11"/>
        <v>4.3881132710810178E-7</v>
      </c>
    </row>
    <row r="225" spans="15:25" ht="17.100000000000001" customHeight="1">
      <c r="O225" s="12">
        <f t="shared" si="12"/>
        <v>17.666666666666668</v>
      </c>
      <c r="P225" s="13">
        <v>212</v>
      </c>
      <c r="Q225" s="22"/>
      <c r="R225" s="19"/>
      <c r="S225" s="22"/>
      <c r="T225" s="19"/>
      <c r="U225" s="24">
        <v>4.975689928343674E-2</v>
      </c>
      <c r="V225" s="24">
        <f t="shared" si="13"/>
        <v>5.3772242556116456E-2</v>
      </c>
      <c r="W225" s="106">
        <v>5.377224</v>
      </c>
      <c r="X225" s="106">
        <v>5.3772E-2</v>
      </c>
      <c r="Y225" s="34">
        <f t="shared" si="11"/>
        <v>-2.4255611645596087E-7</v>
      </c>
    </row>
    <row r="226" spans="15:25" ht="17.100000000000001" customHeight="1">
      <c r="O226" s="12">
        <f t="shared" si="12"/>
        <v>17.75</v>
      </c>
      <c r="P226" s="13">
        <v>213</v>
      </c>
      <c r="Q226" s="22"/>
      <c r="R226" s="19"/>
      <c r="S226" s="22"/>
      <c r="T226" s="19"/>
      <c r="U226" s="24">
        <v>4.9775714867132725E-2</v>
      </c>
      <c r="V226" s="24">
        <f t="shared" si="13"/>
        <v>5.3783131616747637E-2</v>
      </c>
      <c r="W226" s="106">
        <v>5.3783130000000003</v>
      </c>
      <c r="X226" s="106">
        <v>5.3782999999999997E-2</v>
      </c>
      <c r="Y226" s="34">
        <f t="shared" si="11"/>
        <v>-1.3161674763950693E-7</v>
      </c>
    </row>
    <row r="227" spans="15:25" ht="17.100000000000001" customHeight="1">
      <c r="O227" s="12">
        <f t="shared" si="12"/>
        <v>17.833333333333332</v>
      </c>
      <c r="P227" s="13">
        <v>214</v>
      </c>
      <c r="Q227" s="22"/>
      <c r="R227" s="19"/>
      <c r="S227" s="22"/>
      <c r="T227" s="19"/>
      <c r="U227" s="24">
        <v>4.9794405627904936E-2</v>
      </c>
      <c r="V227" s="24">
        <f t="shared" si="13"/>
        <v>5.3793225783616228E-2</v>
      </c>
      <c r="W227" s="106">
        <v>5.3793230000000003</v>
      </c>
      <c r="X227" s="106">
        <v>5.3793000000000001E-2</v>
      </c>
      <c r="Y227" s="34">
        <f t="shared" si="11"/>
        <v>-2.2578361622699328E-7</v>
      </c>
    </row>
    <row r="228" spans="15:25" ht="17.100000000000001" customHeight="1">
      <c r="O228" s="12">
        <f t="shared" si="12"/>
        <v>17.916666666666668</v>
      </c>
      <c r="P228" s="13">
        <v>215</v>
      </c>
      <c r="Q228" s="22"/>
      <c r="R228" s="19"/>
      <c r="S228" s="22"/>
      <c r="T228" s="19"/>
      <c r="U228" s="24">
        <v>4.9812969621790382E-2</v>
      </c>
      <c r="V228" s="24">
        <f t="shared" si="13"/>
        <v>5.3802522373101347E-2</v>
      </c>
      <c r="W228" s="106">
        <v>5.3802519999999996</v>
      </c>
      <c r="X228" s="106">
        <v>5.3802999999999997E-2</v>
      </c>
      <c r="Y228" s="34">
        <f t="shared" si="11"/>
        <v>4.7762689864977448E-7</v>
      </c>
    </row>
    <row r="229" spans="15:25" ht="17.100000000000001" customHeight="1">
      <c r="O229" s="12">
        <f t="shared" si="12"/>
        <v>18</v>
      </c>
      <c r="P229" s="13">
        <v>216</v>
      </c>
      <c r="Q229" s="22"/>
      <c r="R229" s="19"/>
      <c r="S229" s="22"/>
      <c r="T229" s="19"/>
      <c r="U229" s="24">
        <v>4.9831404928338374E-2</v>
      </c>
      <c r="V229" s="24">
        <f t="shared" si="13"/>
        <v>5.3811018605134597E-2</v>
      </c>
      <c r="W229" s="106">
        <v>5.3811020000000003</v>
      </c>
      <c r="X229" s="106">
        <v>5.3810999999999998E-2</v>
      </c>
      <c r="Y229" s="34">
        <f t="shared" si="11"/>
        <v>-1.8605134599614104E-8</v>
      </c>
    </row>
    <row r="230" spans="15:25" ht="17.100000000000001" customHeight="1">
      <c r="O230" s="12">
        <f t="shared" si="12"/>
        <v>18.083333333333332</v>
      </c>
      <c r="P230" s="13">
        <v>217</v>
      </c>
      <c r="Q230" s="22"/>
      <c r="R230" s="19"/>
      <c r="S230" s="22"/>
      <c r="T230" s="19"/>
      <c r="U230" s="24">
        <v>4.9849709649621099E-2</v>
      </c>
      <c r="V230" s="24">
        <f t="shared" si="13"/>
        <v>5.3818711603220493E-2</v>
      </c>
      <c r="W230" s="106">
        <v>5.3818710000000003</v>
      </c>
      <c r="X230" s="106">
        <v>5.3818999999999999E-2</v>
      </c>
      <c r="Y230" s="34">
        <f t="shared" si="11"/>
        <v>2.8839677950615039E-7</v>
      </c>
    </row>
    <row r="231" spans="15:25" ht="17.100000000000001" customHeight="1">
      <c r="O231" s="12">
        <f t="shared" si="12"/>
        <v>18.166666666666668</v>
      </c>
      <c r="P231" s="13">
        <v>218</v>
      </c>
      <c r="Q231" s="22"/>
      <c r="R231" s="19"/>
      <c r="S231" s="22"/>
      <c r="T231" s="19"/>
      <c r="U231" s="24">
        <v>4.9867881909270384E-2</v>
      </c>
      <c r="V231" s="24">
        <f t="shared" si="13"/>
        <v>5.3825598394123819E-2</v>
      </c>
      <c r="W231" s="106">
        <v>5.3825599999999998</v>
      </c>
      <c r="X231" s="106">
        <v>5.3825999999999999E-2</v>
      </c>
      <c r="Y231" s="34">
        <f t="shared" si="11"/>
        <v>4.0160587617965593E-7</v>
      </c>
    </row>
    <row r="232" spans="15:25" ht="17.100000000000001" customHeight="1">
      <c r="O232" s="12">
        <f t="shared" si="12"/>
        <v>18.25</v>
      </c>
      <c r="P232" s="13">
        <v>219</v>
      </c>
      <c r="Q232" s="22"/>
      <c r="R232" s="19"/>
      <c r="S232" s="22"/>
      <c r="T232" s="19"/>
      <c r="U232" s="24">
        <v>4.9885919851539784E-2</v>
      </c>
      <c r="V232" s="24">
        <f t="shared" si="13"/>
        <v>5.3831675908393217E-2</v>
      </c>
      <c r="W232" s="106">
        <v>5.3831680000000004</v>
      </c>
      <c r="X232" s="106">
        <v>5.3831999999999998E-2</v>
      </c>
      <c r="Y232" s="34">
        <f t="shared" si="11"/>
        <v>3.2409160678065208E-7</v>
      </c>
    </row>
    <row r="233" spans="15:25" ht="17.100000000000001" customHeight="1">
      <c r="O233" s="12">
        <f t="shared" si="12"/>
        <v>18.333333333333332</v>
      </c>
      <c r="P233" s="13">
        <v>220</v>
      </c>
      <c r="Q233" s="22"/>
      <c r="R233" s="19"/>
      <c r="S233" s="22"/>
      <c r="T233" s="19"/>
      <c r="U233" s="24">
        <v>4.9903821640394419E-2</v>
      </c>
      <c r="V233" s="24">
        <f t="shared" si="13"/>
        <v>5.3836940979811621E-2</v>
      </c>
      <c r="W233" s="106">
        <v>5.3836940000000002</v>
      </c>
      <c r="X233" s="106">
        <v>5.3837000000000003E-2</v>
      </c>
      <c r="Y233" s="34">
        <f t="shared" si="11"/>
        <v>5.9020188382385985E-8</v>
      </c>
    </row>
    <row r="234" spans="15:25" ht="17.100000000000001" customHeight="1">
      <c r="O234" s="12">
        <f t="shared" si="12"/>
        <v>18.416666666666668</v>
      </c>
      <c r="P234" s="13">
        <v>221</v>
      </c>
      <c r="Q234" s="22"/>
      <c r="R234" s="19"/>
      <c r="S234" s="22"/>
      <c r="T234" s="19"/>
      <c r="U234" s="24">
        <v>4.9921585458623685E-2</v>
      </c>
      <c r="V234" s="24">
        <f t="shared" si="13"/>
        <v>5.3841390346110574E-2</v>
      </c>
      <c r="W234" s="106">
        <v>5.3841390000000002</v>
      </c>
      <c r="X234" s="106">
        <v>5.3841E-2</v>
      </c>
      <c r="Y234" s="34">
        <f t="shared" si="11"/>
        <v>-3.9034611057364721E-7</v>
      </c>
    </row>
    <row r="235" spans="15:25" ht="17.100000000000001" customHeight="1">
      <c r="O235" s="12">
        <f t="shared" si="12"/>
        <v>18.5</v>
      </c>
      <c r="P235" s="13">
        <v>222</v>
      </c>
      <c r="Q235" s="22"/>
      <c r="R235" s="19"/>
      <c r="S235" s="22"/>
      <c r="T235" s="19"/>
      <c r="U235" s="24">
        <v>4.9939209506979498E-2</v>
      </c>
      <c r="V235" s="24">
        <f t="shared" si="13"/>
        <v>5.3845020648282338E-2</v>
      </c>
      <c r="W235" s="106">
        <v>5.3845020000000003</v>
      </c>
      <c r="X235" s="106">
        <v>5.3844999999999997E-2</v>
      </c>
      <c r="Y235" s="34">
        <f t="shared" si="11"/>
        <v>-2.0648282340884894E-8</v>
      </c>
    </row>
    <row r="236" spans="15:25" ht="17.100000000000001" customHeight="1">
      <c r="O236" s="12">
        <f t="shared" si="12"/>
        <v>18.583333333333332</v>
      </c>
      <c r="P236" s="13">
        <v>223</v>
      </c>
      <c r="Q236" s="22"/>
      <c r="R236" s="19"/>
      <c r="S236" s="22"/>
      <c r="T236" s="19"/>
      <c r="U236" s="24">
        <v>4.9956692003336078E-2</v>
      </c>
      <c r="V236" s="24">
        <f t="shared" si="13"/>
        <v>5.3847828431291545E-2</v>
      </c>
      <c r="W236" s="106">
        <v>5.3847829999999997</v>
      </c>
      <c r="X236" s="106">
        <v>5.3848E-2</v>
      </c>
      <c r="Y236" s="34">
        <f t="shared" si="11"/>
        <v>1.715687084555273E-7</v>
      </c>
    </row>
    <row r="237" spans="15:25" ht="17.100000000000001" customHeight="1">
      <c r="O237" s="12">
        <f t="shared" si="12"/>
        <v>18.666666666666668</v>
      </c>
      <c r="P237" s="13">
        <v>224</v>
      </c>
      <c r="Q237" s="22"/>
      <c r="R237" s="19"/>
      <c r="S237" s="22"/>
      <c r="T237" s="19"/>
      <c r="U237" s="24">
        <v>4.9974031181874601E-2</v>
      </c>
      <c r="V237" s="24">
        <f t="shared" si="13"/>
        <v>5.3849810143338894E-2</v>
      </c>
      <c r="W237" s="106">
        <v>5.3849809999999998</v>
      </c>
      <c r="X237" s="106">
        <v>5.3850000000000002E-2</v>
      </c>
      <c r="Y237" s="34">
        <f t="shared" si="11"/>
        <v>1.8985666110776789E-7</v>
      </c>
    </row>
    <row r="238" spans="15:25" ht="17.100000000000001" customHeight="1">
      <c r="O238" s="12">
        <f t="shared" si="12"/>
        <v>18.75</v>
      </c>
      <c r="P238" s="13">
        <v>225</v>
      </c>
      <c r="Q238" s="22"/>
      <c r="R238" s="19"/>
      <c r="S238" s="22"/>
      <c r="T238" s="19"/>
      <c r="U238" s="24">
        <v>4.9991225292286501E-2</v>
      </c>
      <c r="V238" s="24">
        <f t="shared" si="13"/>
        <v>5.3850962136429814E-2</v>
      </c>
      <c r="W238" s="106">
        <v>5.3850959999999999</v>
      </c>
      <c r="X238" s="106">
        <v>5.3851000000000003E-2</v>
      </c>
      <c r="Y238" s="34">
        <f t="shared" si="11"/>
        <v>3.7863570188922946E-8</v>
      </c>
    </row>
    <row r="239" spans="15:25" ht="17.100000000000001" customHeight="1">
      <c r="O239" s="12">
        <f t="shared" si="12"/>
        <v>18.833333333333332</v>
      </c>
      <c r="P239" s="13">
        <v>226</v>
      </c>
      <c r="Q239" s="22"/>
      <c r="R239" s="19"/>
      <c r="S239" s="22"/>
      <c r="T239" s="19"/>
      <c r="U239" s="24">
        <v>5.000827259899987E-2</v>
      </c>
      <c r="V239" s="24">
        <f t="shared" si="13"/>
        <v>5.3851280666236123E-2</v>
      </c>
      <c r="W239" s="106">
        <v>5.3851279999999999</v>
      </c>
      <c r="X239" s="106">
        <v>5.3851000000000003E-2</v>
      </c>
      <c r="Y239" s="34">
        <f t="shared" si="11"/>
        <v>-2.8066623612016395E-7</v>
      </c>
    </row>
    <row r="240" spans="15:25" ht="17.100000000000001" customHeight="1">
      <c r="O240" s="12">
        <f t="shared" si="12"/>
        <v>18.916666666666668</v>
      </c>
      <c r="P240" s="13">
        <v>227</v>
      </c>
      <c r="Q240" s="22"/>
      <c r="R240" s="19"/>
      <c r="S240" s="22"/>
      <c r="T240" s="19"/>
      <c r="U240" s="24">
        <v>5.0025171380426281E-2</v>
      </c>
      <c r="V240" s="24">
        <f t="shared" si="13"/>
        <v>5.3850761891829135E-2</v>
      </c>
      <c r="W240" s="106">
        <v>5.3850759999999998</v>
      </c>
      <c r="X240" s="106">
        <v>5.3851000000000003E-2</v>
      </c>
      <c r="Y240" s="34">
        <f t="shared" si="11"/>
        <v>2.3810817086772351E-7</v>
      </c>
    </row>
    <row r="241" spans="15:25" ht="17.100000000000001" customHeight="1">
      <c r="O241" s="12">
        <f t="shared" si="12"/>
        <v>19</v>
      </c>
      <c r="P241" s="13">
        <v>228</v>
      </c>
      <c r="Q241" s="22"/>
      <c r="R241" s="19"/>
      <c r="S241" s="22"/>
      <c r="T241" s="19"/>
      <c r="U241" s="24">
        <v>5.004191992822582E-2</v>
      </c>
      <c r="V241" s="24">
        <f t="shared" si="13"/>
        <v>5.3849401876405967E-2</v>
      </c>
      <c r="W241" s="106">
        <v>5.3849400000000003</v>
      </c>
      <c r="X241" s="106">
        <v>5.3849000000000001E-2</v>
      </c>
      <c r="Y241" s="34">
        <f t="shared" si="11"/>
        <v>-4.0187640596572871E-7</v>
      </c>
    </row>
    <row r="242" spans="15:25" ht="17.100000000000001" customHeight="1">
      <c r="O242" s="12">
        <f t="shared" si="12"/>
        <v>19.083333333333332</v>
      </c>
      <c r="P242" s="13">
        <v>229</v>
      </c>
      <c r="Q242" s="22"/>
      <c r="R242" s="19"/>
      <c r="S242" s="22"/>
      <c r="T242" s="19"/>
      <c r="U242" s="24">
        <v>5.0058516546593879E-2</v>
      </c>
      <c r="V242" s="24">
        <f t="shared" si="13"/>
        <v>5.3847196586196411E-2</v>
      </c>
      <c r="W242" s="106">
        <v>5.3847199999999997</v>
      </c>
      <c r="X242" s="106">
        <v>5.3846999999999999E-2</v>
      </c>
      <c r="Y242" s="34">
        <f t="shared" si="11"/>
        <v>-1.9658619641177433E-7</v>
      </c>
    </row>
    <row r="243" spans="15:25" ht="17.100000000000001" customHeight="1">
      <c r="O243" s="12">
        <f t="shared" si="12"/>
        <v>19.166666666666668</v>
      </c>
      <c r="P243" s="13">
        <v>230</v>
      </c>
      <c r="Q243" s="22"/>
      <c r="R243" s="19"/>
      <c r="S243" s="22"/>
      <c r="T243" s="19"/>
      <c r="U243" s="24">
        <v>5.0074959551563047E-2</v>
      </c>
      <c r="V243" s="24">
        <f t="shared" si="13"/>
        <v>5.3844141891497888E-2</v>
      </c>
      <c r="W243" s="106">
        <v>5.3844139999999996</v>
      </c>
      <c r="X243" s="106">
        <v>5.3844000000000003E-2</v>
      </c>
      <c r="Y243" s="34">
        <f t="shared" si="11"/>
        <v>-1.41891497884572E-7</v>
      </c>
    </row>
    <row r="244" spans="15:25" ht="17.100000000000001" customHeight="1">
      <c r="O244" s="12">
        <f t="shared" si="12"/>
        <v>19.25</v>
      </c>
      <c r="P244" s="13">
        <v>231</v>
      </c>
      <c r="Q244" s="22"/>
      <c r="R244" s="19"/>
      <c r="S244" s="22"/>
      <c r="T244" s="19"/>
      <c r="U244" s="24">
        <v>5.00912472703261E-2</v>
      </c>
      <c r="V244" s="24">
        <f t="shared" si="13"/>
        <v>5.3840233566128104E-2</v>
      </c>
      <c r="W244" s="106">
        <v>5.384023</v>
      </c>
      <c r="X244" s="106">
        <v>5.3839999999999999E-2</v>
      </c>
      <c r="Y244" s="34">
        <f t="shared" si="11"/>
        <v>-2.3356612810498945E-7</v>
      </c>
    </row>
    <row r="245" spans="15:25" ht="17.100000000000001" customHeight="1">
      <c r="O245" s="12">
        <f t="shared" si="12"/>
        <v>19.333333333333332</v>
      </c>
      <c r="P245" s="13">
        <v>232</v>
      </c>
      <c r="Q245" s="22"/>
      <c r="R245" s="19"/>
      <c r="S245" s="22"/>
      <c r="T245" s="19"/>
      <c r="U245" s="24">
        <v>5.0107378040574524E-2</v>
      </c>
      <c r="V245" s="24">
        <f t="shared" si="13"/>
        <v>5.3835467287312255E-2</v>
      </c>
      <c r="W245" s="106">
        <v>5.3835470000000001</v>
      </c>
      <c r="X245" s="106">
        <v>5.3835000000000001E-2</v>
      </c>
      <c r="Y245" s="34">
        <f t="shared" si="11"/>
        <v>-4.6728731225437192E-7</v>
      </c>
    </row>
    <row r="246" spans="15:25" ht="17.100000000000001" customHeight="1">
      <c r="O246" s="12">
        <f t="shared" si="12"/>
        <v>19.416666666666668</v>
      </c>
      <c r="P246" s="13">
        <v>233</v>
      </c>
      <c r="Q246" s="22"/>
      <c r="R246" s="19"/>
      <c r="S246" s="22"/>
      <c r="T246" s="19"/>
      <c r="U246" s="24">
        <v>5.0123350209854145E-2</v>
      </c>
      <c r="V246" s="24">
        <f t="shared" si="13"/>
        <v>5.3829838636500815E-2</v>
      </c>
      <c r="W246" s="106">
        <v>5.3829840000000004</v>
      </c>
      <c r="X246" s="106">
        <v>5.3830000000000003E-2</v>
      </c>
      <c r="Y246" s="34">
        <f t="shared" si="11"/>
        <v>1.6136349918760562E-7</v>
      </c>
    </row>
    <row r="247" spans="15:25" ht="17.100000000000001" customHeight="1">
      <c r="O247" s="12">
        <f t="shared" si="12"/>
        <v>19.5</v>
      </c>
      <c r="P247" s="13">
        <v>234</v>
      </c>
      <c r="Q247" s="22"/>
      <c r="R247" s="19"/>
      <c r="S247" s="22"/>
      <c r="T247" s="19"/>
      <c r="U247" s="24">
        <v>5.0139162134939408E-2</v>
      </c>
      <c r="V247" s="24">
        <f t="shared" si="13"/>
        <v>5.3823343098020837E-2</v>
      </c>
      <c r="W247" s="106">
        <v>5.3823340000000002</v>
      </c>
      <c r="X247" s="106">
        <v>5.3823000000000003E-2</v>
      </c>
      <c r="Y247" s="34">
        <f t="shared" si="11"/>
        <v>-3.4309802083437591E-7</v>
      </c>
    </row>
    <row r="248" spans="15:25" ht="17.100000000000001" customHeight="1">
      <c r="O248" s="12">
        <f t="shared" si="12"/>
        <v>19.583333333333332</v>
      </c>
      <c r="P248" s="13">
        <v>235</v>
      </c>
      <c r="Q248" s="22"/>
      <c r="R248" s="19"/>
      <c r="S248" s="22"/>
      <c r="T248" s="19"/>
      <c r="U248" s="24">
        <v>5.0154812181218977E-2</v>
      </c>
      <c r="V248" s="24">
        <f t="shared" si="13"/>
        <v>5.3815976060477722E-2</v>
      </c>
      <c r="W248" s="106">
        <v>5.3815980000000003</v>
      </c>
      <c r="X248" s="106">
        <v>5.3816000000000003E-2</v>
      </c>
      <c r="Y248" s="34">
        <f t="shared" si="11"/>
        <v>2.3939522281191117E-8</v>
      </c>
    </row>
    <row r="249" spans="15:25" ht="17.100000000000001" customHeight="1">
      <c r="O249" s="12">
        <f t="shared" si="12"/>
        <v>19.666666666666668</v>
      </c>
      <c r="P249" s="13">
        <v>236</v>
      </c>
      <c r="Q249" s="22"/>
      <c r="R249" s="19"/>
      <c r="S249" s="22"/>
      <c r="T249" s="19"/>
      <c r="U249" s="24">
        <v>5.0170298722101325E-2</v>
      </c>
      <c r="V249" s="24">
        <f t="shared" si="13"/>
        <v>5.3807732815900344E-2</v>
      </c>
      <c r="W249" s="106">
        <v>5.3807729999999996</v>
      </c>
      <c r="X249" s="106">
        <v>5.3808000000000002E-2</v>
      </c>
      <c r="Y249" s="34">
        <f t="shared" si="11"/>
        <v>2.6718409965736933E-7</v>
      </c>
    </row>
    <row r="250" spans="15:25" ht="17.100000000000001" customHeight="1">
      <c r="O250" s="12">
        <f t="shared" si="12"/>
        <v>19.75</v>
      </c>
      <c r="P250" s="13">
        <v>237</v>
      </c>
      <c r="Q250" s="22"/>
      <c r="R250" s="19"/>
      <c r="S250" s="22"/>
      <c r="T250" s="19"/>
      <c r="U250" s="24">
        <v>5.0185620138433418E-2</v>
      </c>
      <c r="V250" s="24">
        <f t="shared" si="13"/>
        <v>5.3798608559694205E-2</v>
      </c>
      <c r="W250" s="106">
        <v>5.379861</v>
      </c>
      <c r="X250" s="106">
        <v>5.3799E-2</v>
      </c>
      <c r="Y250" s="34">
        <f t="shared" si="11"/>
        <v>3.9144030579418843E-7</v>
      </c>
    </row>
    <row r="251" spans="15:25" ht="17.100000000000001" customHeight="1">
      <c r="O251" s="12">
        <f t="shared" si="12"/>
        <v>19.833333333333332</v>
      </c>
      <c r="P251" s="13">
        <v>238</v>
      </c>
      <c r="Q251" s="22"/>
      <c r="R251" s="19"/>
      <c r="S251" s="22"/>
      <c r="T251" s="19"/>
      <c r="U251" s="24">
        <v>5.0200774817932281E-2</v>
      </c>
      <c r="V251" s="24">
        <f t="shared" si="13"/>
        <v>5.3788598391603104E-2</v>
      </c>
      <c r="W251" s="106">
        <v>5.3788600000000004</v>
      </c>
      <c r="X251" s="106">
        <v>5.3788999999999997E-2</v>
      </c>
      <c r="Y251" s="34">
        <f t="shared" si="11"/>
        <v>4.0160839689246108E-7</v>
      </c>
    </row>
    <row r="252" spans="15:25" ht="17.100000000000001" customHeight="1">
      <c r="O252" s="12">
        <f t="shared" si="12"/>
        <v>19.916666666666668</v>
      </c>
      <c r="P252" s="13">
        <v>239</v>
      </c>
      <c r="Q252" s="22"/>
      <c r="R252" s="19"/>
      <c r="S252" s="22"/>
      <c r="T252" s="19"/>
      <c r="U252" s="24">
        <v>5.0215761154634997E-2</v>
      </c>
      <c r="V252" s="24">
        <f t="shared" si="13"/>
        <v>5.3777697314156159E-2</v>
      </c>
      <c r="W252" s="106">
        <v>5.3777699999999999</v>
      </c>
      <c r="X252" s="106">
        <v>5.3777999999999999E-2</v>
      </c>
      <c r="Y252" s="34">
        <f t="shared" si="11"/>
        <v>3.0268584384068875E-7</v>
      </c>
    </row>
    <row r="253" spans="15:25" ht="17.100000000000001" customHeight="1">
      <c r="O253" s="12">
        <f t="shared" si="12"/>
        <v>20</v>
      </c>
      <c r="P253" s="13">
        <v>240</v>
      </c>
      <c r="Q253" s="22"/>
      <c r="R253" s="19"/>
      <c r="S253" s="22"/>
      <c r="T253" s="19"/>
      <c r="U253" s="24">
        <v>5.0230577548356692E-2</v>
      </c>
      <c r="V253" s="24">
        <f t="shared" si="13"/>
        <v>5.3765733866192766E-2</v>
      </c>
      <c r="W253" s="106">
        <v>5.3765729999999996</v>
      </c>
      <c r="X253" s="106">
        <v>5.3766000000000001E-2</v>
      </c>
      <c r="Y253" s="34">
        <f t="shared" si="11"/>
        <v>2.6613380723489177E-7</v>
      </c>
    </row>
    <row r="254" spans="15:25" ht="17.100000000000001" customHeight="1">
      <c r="O254" s="12">
        <f t="shared" si="12"/>
        <v>20.083333333333332</v>
      </c>
      <c r="P254" s="13">
        <v>241</v>
      </c>
      <c r="Q254" s="22"/>
      <c r="R254" s="19"/>
      <c r="S254" s="22"/>
      <c r="T254" s="19"/>
      <c r="U254" s="24">
        <v>5.0245221716149535E-2</v>
      </c>
      <c r="V254" s="24">
        <f t="shared" si="13"/>
        <v>5.3752036239391954E-2</v>
      </c>
      <c r="W254" s="106">
        <v>5.3752040000000001</v>
      </c>
      <c r="X254" s="106">
        <v>5.3752000000000001E-2</v>
      </c>
      <c r="Y254" s="34">
        <f t="shared" si="11"/>
        <v>-3.6239391952574973E-8</v>
      </c>
    </row>
    <row r="255" spans="15:25" ht="17.100000000000001" customHeight="1">
      <c r="O255" s="12">
        <f t="shared" si="12"/>
        <v>20.166666666666668</v>
      </c>
      <c r="P255" s="13">
        <v>242</v>
      </c>
      <c r="Q255" s="22"/>
      <c r="R255" s="19"/>
      <c r="S255" s="22"/>
      <c r="T255" s="19"/>
      <c r="U255" s="24">
        <v>5.0259688645623912E-2</v>
      </c>
      <c r="V255" s="24">
        <f t="shared" si="13"/>
        <v>5.373642958546232E-2</v>
      </c>
      <c r="W255" s="106">
        <v>5.3736430000000004</v>
      </c>
      <c r="X255" s="106">
        <v>5.3735999999999999E-2</v>
      </c>
      <c r="Y255" s="34">
        <f t="shared" si="11"/>
        <v>-4.2958546232069184E-7</v>
      </c>
    </row>
    <row r="256" spans="15:25" ht="17.100000000000001" customHeight="1">
      <c r="O256" s="12">
        <f t="shared" si="12"/>
        <v>20.25</v>
      </c>
      <c r="P256" s="13">
        <v>243</v>
      </c>
      <c r="Q256" s="22"/>
      <c r="R256" s="19"/>
      <c r="S256" s="22"/>
      <c r="T256" s="19"/>
      <c r="U256" s="24">
        <v>5.0273972689140134E-2</v>
      </c>
      <c r="V256" s="24">
        <f t="shared" si="13"/>
        <v>5.3718904952652524E-2</v>
      </c>
      <c r="W256" s="106">
        <v>5.3718899999999996</v>
      </c>
      <c r="X256" s="106">
        <v>5.3719000000000003E-2</v>
      </c>
      <c r="Y256" s="34">
        <f t="shared" si="11"/>
        <v>9.5047347478671718E-8</v>
      </c>
    </row>
    <row r="257" spans="15:25" ht="17.100000000000001" customHeight="1">
      <c r="O257" s="12">
        <f t="shared" si="12"/>
        <v>20.333333333333332</v>
      </c>
      <c r="P257" s="13">
        <v>244</v>
      </c>
      <c r="Q257" s="22"/>
      <c r="R257" s="19"/>
      <c r="S257" s="22"/>
      <c r="T257" s="19"/>
      <c r="U257" s="24">
        <v>5.0288068254396023E-2</v>
      </c>
      <c r="V257" s="24">
        <f t="shared" si="13"/>
        <v>5.3699453201959679E-2</v>
      </c>
      <c r="W257" s="106">
        <v>5.3699450000000004</v>
      </c>
      <c r="X257" s="106">
        <v>5.3698999999999997E-2</v>
      </c>
      <c r="Y257" s="34">
        <f t="shared" si="11"/>
        <v>-4.5320195968256982E-7</v>
      </c>
    </row>
    <row r="258" spans="15:25" ht="17.100000000000001" customHeight="1">
      <c r="O258" s="12">
        <f t="shared" si="12"/>
        <v>20.416666666666668</v>
      </c>
      <c r="P258" s="13">
        <v>245</v>
      </c>
      <c r="Q258" s="22"/>
      <c r="R258" s="19"/>
      <c r="S258" s="22"/>
      <c r="T258" s="19"/>
      <c r="U258" s="24">
        <v>5.0301969802500013E-2</v>
      </c>
      <c r="V258" s="24">
        <f t="shared" si="13"/>
        <v>5.3678065008573306E-2</v>
      </c>
      <c r="W258" s="106">
        <v>5.367807</v>
      </c>
      <c r="X258" s="106">
        <v>5.3677999999999997E-2</v>
      </c>
      <c r="Y258" s="34">
        <f t="shared" si="11"/>
        <v>-6.5008573309210949E-8</v>
      </c>
    </row>
    <row r="259" spans="15:25" ht="17.100000000000001" customHeight="1">
      <c r="O259" s="12">
        <f t="shared" si="12"/>
        <v>20.5</v>
      </c>
      <c r="P259" s="13">
        <v>246</v>
      </c>
      <c r="Q259" s="22"/>
      <c r="R259" s="19"/>
      <c r="S259" s="22"/>
      <c r="T259" s="19"/>
      <c r="U259" s="24">
        <v>5.0315671846097088E-2</v>
      </c>
      <c r="V259" s="24">
        <f t="shared" si="13"/>
        <v>5.3654730865105638E-2</v>
      </c>
      <c r="W259" s="106">
        <v>5.3654729999999997</v>
      </c>
      <c r="X259" s="106">
        <v>5.3655000000000001E-2</v>
      </c>
      <c r="Y259" s="34">
        <f t="shared" si="11"/>
        <v>2.6913489436369842E-7</v>
      </c>
    </row>
    <row r="260" spans="15:25" ht="17.100000000000001" customHeight="1">
      <c r="O260" s="12">
        <f t="shared" si="12"/>
        <v>20.583333333333332</v>
      </c>
      <c r="P260" s="13">
        <v>247</v>
      </c>
      <c r="Q260" s="22"/>
      <c r="R260" s="19"/>
      <c r="S260" s="22"/>
      <c r="T260" s="19"/>
      <c r="U260" s="24">
        <v>5.0329168947552239E-2</v>
      </c>
      <c r="V260" s="24">
        <f t="shared" si="13"/>
        <v>5.3629441082128748E-2</v>
      </c>
      <c r="W260" s="106">
        <v>5.3629439999999997</v>
      </c>
      <c r="X260" s="106">
        <v>5.3629000000000003E-2</v>
      </c>
      <c r="Y260" s="34">
        <f t="shared" si="11"/>
        <v>-4.4108212874510722E-7</v>
      </c>
    </row>
    <row r="261" spans="15:25" ht="17.100000000000001" customHeight="1">
      <c r="O261" s="12">
        <f t="shared" si="12"/>
        <v>20.666666666666668</v>
      </c>
      <c r="P261" s="13">
        <v>248</v>
      </c>
      <c r="Q261" s="22"/>
      <c r="R261" s="19"/>
      <c r="S261" s="22"/>
      <c r="T261" s="19"/>
      <c r="U261" s="24">
        <v>5.0342455717180101E-2</v>
      </c>
      <c r="V261" s="24">
        <f t="shared" si="13"/>
        <v>5.3602185791444823E-2</v>
      </c>
      <c r="W261" s="106">
        <v>5.3602189999999998</v>
      </c>
      <c r="X261" s="106">
        <v>5.3601999999999997E-2</v>
      </c>
      <c r="Y261" s="34">
        <f t="shared" si="11"/>
        <v>-1.857914448261111E-7</v>
      </c>
    </row>
    <row r="262" spans="15:25" ht="17.100000000000001" customHeight="1">
      <c r="O262" s="12">
        <f t="shared" si="12"/>
        <v>20.75</v>
      </c>
      <c r="P262" s="13">
        <v>249</v>
      </c>
      <c r="Q262" s="22"/>
      <c r="R262" s="19"/>
      <c r="S262" s="22"/>
      <c r="T262" s="19"/>
      <c r="U262" s="24">
        <v>5.0355526811529217E-2</v>
      </c>
      <c r="V262" s="24">
        <f t="shared" si="13"/>
        <v>5.3572954947298301E-2</v>
      </c>
      <c r="W262" s="106">
        <v>5.3572949999999997</v>
      </c>
      <c r="X262" s="106">
        <v>5.3573000000000003E-2</v>
      </c>
      <c r="Y262" s="34">
        <f t="shared" si="11"/>
        <v>4.5052701701242537E-8</v>
      </c>
    </row>
    <row r="263" spans="15:25" ht="17.100000000000001" customHeight="1">
      <c r="O263" s="12">
        <f t="shared" si="12"/>
        <v>20.833333333333332</v>
      </c>
      <c r="P263" s="13">
        <v>250</v>
      </c>
      <c r="Q263" s="22"/>
      <c r="R263" s="19"/>
      <c r="S263" s="22"/>
      <c r="T263" s="19"/>
      <c r="U263" s="24">
        <v>5.0368376931712922E-2</v>
      </c>
      <c r="V263" s="24">
        <f t="shared" si="13"/>
        <v>5.3541738328985344E-2</v>
      </c>
      <c r="W263" s="106">
        <v>5.3541740000000004</v>
      </c>
      <c r="X263" s="106">
        <v>5.3541999999999999E-2</v>
      </c>
      <c r="Y263" s="34">
        <f t="shared" si="11"/>
        <v>2.6167101465496279E-7</v>
      </c>
    </row>
    <row r="264" spans="15:25" ht="17.100000000000001" customHeight="1">
      <c r="O264" s="12">
        <f t="shared" si="12"/>
        <v>20.916666666666668</v>
      </c>
      <c r="P264" s="13">
        <v>251</v>
      </c>
      <c r="Q264" s="22"/>
      <c r="R264" s="19"/>
      <c r="S264" s="22"/>
      <c r="T264" s="19"/>
      <c r="U264" s="24">
        <v>5.0381000821788646E-2</v>
      </c>
      <c r="V264" s="24">
        <f t="shared" si="13"/>
        <v>5.3508525543003893E-2</v>
      </c>
      <c r="W264" s="106">
        <v>5.3508529999999999</v>
      </c>
      <c r="X264" s="106">
        <v>5.3509000000000001E-2</v>
      </c>
      <c r="Y264" s="34">
        <f t="shared" si="11"/>
        <v>4.7445699610793035E-7</v>
      </c>
    </row>
    <row r="265" spans="15:25" ht="17.100000000000001" customHeight="1">
      <c r="O265" s="12">
        <f t="shared" si="12"/>
        <v>21</v>
      </c>
      <c r="P265" s="13">
        <v>252</v>
      </c>
      <c r="Q265" s="22"/>
      <c r="R265" s="19"/>
      <c r="S265" s="22"/>
      <c r="T265" s="19"/>
      <c r="U265" s="24">
        <v>5.0393393267184505E-2</v>
      </c>
      <c r="V265" s="24">
        <f t="shared" si="13"/>
        <v>5.3473306024748979E-2</v>
      </c>
      <c r="W265" s="106">
        <v>5.3473309999999996</v>
      </c>
      <c r="X265" s="106">
        <v>5.3473E-2</v>
      </c>
      <c r="Y265" s="34">
        <f t="shared" si="11"/>
        <v>-3.0602474897917231E-7</v>
      </c>
    </row>
    <row r="266" spans="15:25" ht="17.100000000000001" customHeight="1">
      <c r="O266" s="12">
        <f t="shared" si="12"/>
        <v>21.083333333333332</v>
      </c>
      <c r="P266" s="13">
        <v>253</v>
      </c>
      <c r="Q266" s="22"/>
      <c r="R266" s="19"/>
      <c r="S266" s="22"/>
      <c r="T266" s="19"/>
      <c r="U266" s="24">
        <v>5.0405549093169855E-2</v>
      </c>
      <c r="V266" s="24">
        <f t="shared" si="13"/>
        <v>5.343606904178877E-2</v>
      </c>
      <c r="W266" s="106">
        <v>5.3436070000000004</v>
      </c>
      <c r="X266" s="106">
        <v>5.3435999999999997E-2</v>
      </c>
      <c r="Y266" s="34">
        <f t="shared" si="11"/>
        <v>-6.9041788772206125E-8</v>
      </c>
    </row>
    <row r="267" spans="15:25" ht="17.100000000000001" customHeight="1">
      <c r="O267" s="12">
        <f t="shared" si="12"/>
        <v>21.166666666666668</v>
      </c>
      <c r="P267" s="13">
        <v>254</v>
      </c>
      <c r="Q267" s="22"/>
      <c r="R267" s="19"/>
      <c r="S267" s="22"/>
      <c r="T267" s="19"/>
      <c r="U267" s="24">
        <v>5.0417463163372922E-2</v>
      </c>
      <c r="V267" s="24">
        <f t="shared" si="13"/>
        <v>5.3396803695243689E-2</v>
      </c>
      <c r="W267" s="106">
        <v>5.3396800000000004</v>
      </c>
      <c r="X267" s="106">
        <v>5.3397E-2</v>
      </c>
      <c r="Y267" s="34">
        <f t="shared" si="11"/>
        <v>1.9630475631138289E-7</v>
      </c>
    </row>
    <row r="268" spans="15:25" ht="17.100000000000001" customHeight="1">
      <c r="O268" s="12">
        <f t="shared" si="12"/>
        <v>21.25</v>
      </c>
      <c r="P268" s="13">
        <v>255</v>
      </c>
      <c r="Q268" s="22"/>
      <c r="R268" s="19"/>
      <c r="S268" s="22"/>
      <c r="T268" s="19"/>
      <c r="U268" s="24">
        <v>5.0429130378339071E-2</v>
      </c>
      <c r="V268" s="24">
        <f t="shared" si="13"/>
        <v>5.3355498922645017E-2</v>
      </c>
      <c r="W268" s="106">
        <v>5.3355499999999996</v>
      </c>
      <c r="X268" s="106">
        <v>5.3355E-2</v>
      </c>
      <c r="Y268" s="34">
        <f t="shared" si="11"/>
        <v>-4.9892264501749661E-7</v>
      </c>
    </row>
    <row r="269" spans="15:25" ht="17.100000000000001" customHeight="1">
      <c r="O269" s="12">
        <f t="shared" si="12"/>
        <v>21.333333333333332</v>
      </c>
      <c r="P269" s="13">
        <v>256</v>
      </c>
      <c r="Q269" s="22"/>
      <c r="R269" s="19"/>
      <c r="S269" s="22"/>
      <c r="T269" s="19"/>
      <c r="U269" s="24">
        <v>5.0440545674133475E-2</v>
      </c>
      <c r="V269" s="24">
        <f t="shared" si="13"/>
        <v>5.3312143499972819E-2</v>
      </c>
      <c r="W269" s="106">
        <v>5.3312140000000001</v>
      </c>
      <c r="X269" s="106">
        <v>5.3311999999999998E-2</v>
      </c>
      <c r="Y269" s="34">
        <f t="shared" ref="Y269:Y332" si="14">X269-V269</f>
        <v>-1.4349997282114835E-7</v>
      </c>
    </row>
    <row r="270" spans="15:25" ht="17.100000000000001" customHeight="1">
      <c r="O270" s="12">
        <f t="shared" ref="O270:O333" si="15">P270/12</f>
        <v>21.416666666666668</v>
      </c>
      <c r="P270" s="13">
        <v>257</v>
      </c>
      <c r="Q270" s="22"/>
      <c r="R270" s="19"/>
      <c r="S270" s="22"/>
      <c r="T270" s="19"/>
      <c r="U270" s="24">
        <v>5.0451704020983312E-2</v>
      </c>
      <c r="V270" s="24">
        <f t="shared" ref="V270:V333" si="16">(1+U271)^P271/(1+U270)^P270-1</f>
        <v>5.326672604483762E-2</v>
      </c>
      <c r="W270" s="106">
        <v>5.3266730000000004</v>
      </c>
      <c r="X270" s="106">
        <v>5.3267000000000002E-2</v>
      </c>
      <c r="Y270" s="34">
        <f t="shared" si="14"/>
        <v>2.7395516238176709E-7</v>
      </c>
    </row>
    <row r="271" spans="15:25" ht="17.100000000000001" customHeight="1">
      <c r="O271" s="12">
        <f t="shared" si="15"/>
        <v>21.5</v>
      </c>
      <c r="P271" s="13">
        <v>258</v>
      </c>
      <c r="Q271" s="22"/>
      <c r="R271" s="19"/>
      <c r="S271" s="22"/>
      <c r="T271" s="19"/>
      <c r="U271" s="24">
        <v>5.0462600421962822E-2</v>
      </c>
      <c r="V271" s="24">
        <f t="shared" si="16"/>
        <v>5.3219235018193256E-2</v>
      </c>
      <c r="W271" s="106">
        <v>5.3219240000000001</v>
      </c>
      <c r="X271" s="106">
        <v>5.3219000000000002E-2</v>
      </c>
      <c r="Y271" s="34">
        <f t="shared" si="14"/>
        <v>-2.3501819325366657E-7</v>
      </c>
    </row>
    <row r="272" spans="15:25" ht="17.100000000000001" customHeight="1">
      <c r="O272" s="12">
        <f t="shared" si="15"/>
        <v>21.583333333333332</v>
      </c>
      <c r="P272" s="13">
        <v>259</v>
      </c>
      <c r="Q272" s="22"/>
      <c r="R272" s="19"/>
      <c r="S272" s="22"/>
      <c r="T272" s="19"/>
      <c r="U272" s="24">
        <v>5.0473229911716322E-2</v>
      </c>
      <c r="V272" s="24">
        <f t="shared" si="16"/>
        <v>5.3169658727655777E-2</v>
      </c>
      <c r="W272" s="106">
        <v>5.3169659999999999</v>
      </c>
      <c r="X272" s="106">
        <v>5.3170000000000002E-2</v>
      </c>
      <c r="Y272" s="34">
        <f t="shared" si="14"/>
        <v>3.4127234422448582E-7</v>
      </c>
    </row>
    <row r="273" spans="15:25" ht="17.100000000000001" customHeight="1">
      <c r="O273" s="12">
        <f t="shared" si="15"/>
        <v>21.666666666666668</v>
      </c>
      <c r="P273" s="13">
        <v>260</v>
      </c>
      <c r="Q273" s="22"/>
      <c r="R273" s="19"/>
      <c r="S273" s="22"/>
      <c r="T273" s="19"/>
      <c r="U273" s="24">
        <v>5.0483587555220533E-2</v>
      </c>
      <c r="V273" s="24">
        <f t="shared" si="16"/>
        <v>5.311798532947809E-2</v>
      </c>
      <c r="W273" s="106">
        <v>5.3117989999999997</v>
      </c>
      <c r="X273" s="106">
        <v>5.3117999999999999E-2</v>
      </c>
      <c r="Y273" s="34">
        <f t="shared" si="14"/>
        <v>1.4670521908399792E-8</v>
      </c>
    </row>
    <row r="274" spans="15:25" ht="17.100000000000001" customHeight="1">
      <c r="O274" s="12">
        <f t="shared" si="15"/>
        <v>21.75</v>
      </c>
      <c r="P274" s="13">
        <v>261</v>
      </c>
      <c r="Q274" s="22"/>
      <c r="R274" s="19"/>
      <c r="S274" s="22"/>
      <c r="T274" s="19"/>
      <c r="U274" s="24">
        <v>5.0493668446584206E-2</v>
      </c>
      <c r="V274" s="24">
        <f t="shared" si="16"/>
        <v>5.3064202831992091E-2</v>
      </c>
      <c r="W274" s="106">
        <v>5.3064200000000001</v>
      </c>
      <c r="X274" s="106">
        <v>5.3064E-2</v>
      </c>
      <c r="Y274" s="34">
        <f t="shared" si="14"/>
        <v>-2.0283199209103486E-7</v>
      </c>
    </row>
    <row r="275" spans="15:25" ht="17.100000000000001" customHeight="1">
      <c r="O275" s="12">
        <f t="shared" si="15"/>
        <v>21.833333333333332</v>
      </c>
      <c r="P275" s="13">
        <v>262</v>
      </c>
      <c r="Q275" s="22"/>
      <c r="R275" s="19"/>
      <c r="S275" s="22"/>
      <c r="T275" s="19"/>
      <c r="U275" s="24">
        <v>5.0503467707886607E-2</v>
      </c>
      <c r="V275" s="24">
        <f t="shared" si="16"/>
        <v>5.3008299097831779E-2</v>
      </c>
      <c r="W275" s="106">
        <v>5.3008300000000004</v>
      </c>
      <c r="X275" s="106">
        <v>5.3008E-2</v>
      </c>
      <c r="Y275" s="34">
        <f t="shared" si="14"/>
        <v>-2.9909783177961557E-7</v>
      </c>
    </row>
    <row r="276" spans="15:25" ht="17.100000000000001" customHeight="1">
      <c r="O276" s="12">
        <f t="shared" si="15"/>
        <v>21.916666666666668</v>
      </c>
      <c r="P276" s="13">
        <v>263</v>
      </c>
      <c r="Q276" s="22"/>
      <c r="R276" s="19"/>
      <c r="S276" s="22"/>
      <c r="T276" s="19"/>
      <c r="U276" s="24">
        <v>5.0512980488050641E-2</v>
      </c>
      <c r="V276" s="24">
        <f t="shared" si="16"/>
        <v>5.2950261846980595E-2</v>
      </c>
      <c r="W276" s="106">
        <v>5.295026</v>
      </c>
      <c r="X276" s="106">
        <v>5.2949999999999997E-2</v>
      </c>
      <c r="Y276" s="34">
        <f t="shared" si="14"/>
        <v>-2.6184698059816824E-7</v>
      </c>
    </row>
    <row r="277" spans="15:25" ht="17.100000000000001" customHeight="1">
      <c r="O277" s="12">
        <f t="shared" si="15"/>
        <v>22</v>
      </c>
      <c r="P277" s="13">
        <v>264</v>
      </c>
      <c r="Q277" s="22"/>
      <c r="R277" s="19"/>
      <c r="S277" s="22"/>
      <c r="T277" s="19"/>
      <c r="U277" s="24">
        <v>5.0522201961751945E-2</v>
      </c>
      <c r="V277" s="24">
        <f t="shared" si="16"/>
        <v>5.2890078659911799E-2</v>
      </c>
      <c r="W277" s="106">
        <v>5.2890079999999999</v>
      </c>
      <c r="X277" s="106">
        <v>5.289E-2</v>
      </c>
      <c r="Y277" s="34">
        <f t="shared" si="14"/>
        <v>-7.8659911799394688E-8</v>
      </c>
    </row>
    <row r="278" spans="15:25" ht="17.100000000000001" customHeight="1">
      <c r="O278" s="12">
        <f t="shared" si="15"/>
        <v>22.083333333333332</v>
      </c>
      <c r="P278" s="13">
        <v>265</v>
      </c>
      <c r="Q278" s="22"/>
      <c r="R278" s="19"/>
      <c r="S278" s="22"/>
      <c r="T278" s="19"/>
      <c r="U278" s="24">
        <v>5.05311273283644E-2</v>
      </c>
      <c r="V278" s="24">
        <f t="shared" si="16"/>
        <v>5.2827736980005868E-2</v>
      </c>
      <c r="W278" s="106">
        <v>5.2827739999999999</v>
      </c>
      <c r="X278" s="106">
        <v>5.2828E-2</v>
      </c>
      <c r="Y278" s="34">
        <f t="shared" si="14"/>
        <v>2.6301999413169685E-7</v>
      </c>
    </row>
    <row r="279" spans="15:25" ht="17.100000000000001" customHeight="1">
      <c r="O279" s="12">
        <f t="shared" si="15"/>
        <v>22.166666666666668</v>
      </c>
      <c r="P279" s="13">
        <v>266</v>
      </c>
      <c r="Q279" s="22"/>
      <c r="R279" s="19"/>
      <c r="S279" s="22"/>
      <c r="T279" s="19"/>
      <c r="U279" s="24">
        <v>5.0539751810937394E-2</v>
      </c>
      <c r="V279" s="24">
        <f t="shared" si="16"/>
        <v>5.2763224117663876E-2</v>
      </c>
      <c r="W279" s="106">
        <v>5.2763220000000004</v>
      </c>
      <c r="X279" s="106">
        <v>5.2762999999999997E-2</v>
      </c>
      <c r="Y279" s="34">
        <f t="shared" si="14"/>
        <v>-2.2411766387869791E-7</v>
      </c>
    </row>
    <row r="280" spans="15:25" ht="17.100000000000001" customHeight="1">
      <c r="O280" s="12">
        <f t="shared" si="15"/>
        <v>22.25</v>
      </c>
      <c r="P280" s="13">
        <v>267</v>
      </c>
      <c r="Q280" s="22"/>
      <c r="R280" s="19"/>
      <c r="S280" s="22"/>
      <c r="T280" s="19"/>
      <c r="U280" s="24">
        <v>5.0548070655210386E-2</v>
      </c>
      <c r="V280" s="24">
        <f t="shared" si="16"/>
        <v>5.2696527251920422E-2</v>
      </c>
      <c r="W280" s="106">
        <v>5.2696529999999999</v>
      </c>
      <c r="X280" s="106">
        <v>5.2697000000000001E-2</v>
      </c>
      <c r="Y280" s="34">
        <f t="shared" si="14"/>
        <v>4.7274807957881082E-7</v>
      </c>
    </row>
    <row r="281" spans="15:25" ht="17.100000000000001" customHeight="1">
      <c r="O281" s="12">
        <f t="shared" si="15"/>
        <v>22.333333333333332</v>
      </c>
      <c r="P281" s="13">
        <v>268</v>
      </c>
      <c r="Q281" s="22"/>
      <c r="R281" s="19"/>
      <c r="S281" s="22"/>
      <c r="T281" s="19"/>
      <c r="U281" s="24">
        <v>5.0556079128655673E-2</v>
      </c>
      <c r="V281" s="24">
        <f t="shared" si="16"/>
        <v>5.2627633435122112E-2</v>
      </c>
      <c r="W281" s="106">
        <v>5.2627629999999996</v>
      </c>
      <c r="X281" s="106">
        <v>5.2628000000000001E-2</v>
      </c>
      <c r="Y281" s="34">
        <f t="shared" si="14"/>
        <v>3.6656487788916392E-7</v>
      </c>
    </row>
    <row r="282" spans="15:25" ht="17.100000000000001" customHeight="1">
      <c r="O282" s="12">
        <f t="shared" si="15"/>
        <v>22.416666666666668</v>
      </c>
      <c r="P282" s="13">
        <v>269</v>
      </c>
      <c r="Q282" s="22"/>
      <c r="R282" s="19"/>
      <c r="S282" s="22"/>
      <c r="T282" s="19"/>
      <c r="U282" s="24">
        <v>5.0563772519558459E-2</v>
      </c>
      <c r="V282" s="24">
        <f t="shared" si="16"/>
        <v>5.2556529595597867E-2</v>
      </c>
      <c r="W282" s="106">
        <v>5.2556529999999997</v>
      </c>
      <c r="X282" s="106">
        <v>5.2557E-2</v>
      </c>
      <c r="Y282" s="34">
        <f t="shared" si="14"/>
        <v>4.7040440213225176E-7</v>
      </c>
    </row>
    <row r="283" spans="15:25" ht="17.100000000000001" customHeight="1">
      <c r="O283" s="12">
        <f t="shared" si="15"/>
        <v>22.5</v>
      </c>
      <c r="P283" s="13">
        <v>270</v>
      </c>
      <c r="Q283" s="22"/>
      <c r="R283" s="19"/>
      <c r="S283" s="22"/>
      <c r="T283" s="19"/>
      <c r="U283" s="24">
        <v>5.0571146136126011E-2</v>
      </c>
      <c r="V283" s="24">
        <f t="shared" si="16"/>
        <v>5.2483202540748453E-2</v>
      </c>
      <c r="W283" s="106">
        <v>5.2483199999999997</v>
      </c>
      <c r="X283" s="106">
        <v>5.2483000000000002E-2</v>
      </c>
      <c r="Y283" s="34">
        <f t="shared" si="14"/>
        <v>-2.0254074845071912E-7</v>
      </c>
    </row>
    <row r="284" spans="15:25" ht="17.100000000000001" customHeight="1">
      <c r="O284" s="12">
        <f t="shared" si="15"/>
        <v>22.583333333333332</v>
      </c>
      <c r="P284" s="13">
        <v>271</v>
      </c>
      <c r="Q284" s="22"/>
      <c r="R284" s="19"/>
      <c r="S284" s="22"/>
      <c r="T284" s="19"/>
      <c r="U284" s="24">
        <v>5.057819530562857E-2</v>
      </c>
      <c r="V284" s="24">
        <f t="shared" si="16"/>
        <v>5.2407638960895175E-2</v>
      </c>
      <c r="W284" s="106">
        <v>5.2407640000000004</v>
      </c>
      <c r="X284" s="106">
        <v>5.2408000000000003E-2</v>
      </c>
      <c r="Y284" s="34">
        <f t="shared" si="14"/>
        <v>3.6103910482782053E-7</v>
      </c>
    </row>
    <row r="285" spans="15:25" ht="17.100000000000001" customHeight="1">
      <c r="O285" s="12">
        <f t="shared" si="15"/>
        <v>22.666666666666668</v>
      </c>
      <c r="P285" s="13">
        <v>272</v>
      </c>
      <c r="Q285" s="22"/>
      <c r="R285" s="19"/>
      <c r="S285" s="22"/>
      <c r="T285" s="19"/>
      <c r="U285" s="24">
        <v>5.0584915373570905E-2</v>
      </c>
      <c r="V285" s="24">
        <f t="shared" si="16"/>
        <v>5.2329825432920529E-2</v>
      </c>
      <c r="W285" s="106">
        <v>5.2329829999999999</v>
      </c>
      <c r="X285" s="106">
        <v>5.2330000000000002E-2</v>
      </c>
      <c r="Y285" s="34">
        <f t="shared" si="14"/>
        <v>1.7456707947227645E-7</v>
      </c>
    </row>
    <row r="286" spans="15:25" ht="17.100000000000001" customHeight="1">
      <c r="O286" s="12">
        <f t="shared" si="15"/>
        <v>22.75</v>
      </c>
      <c r="P286" s="13">
        <v>273</v>
      </c>
      <c r="Q286" s="22"/>
      <c r="R286" s="19"/>
      <c r="S286" s="22"/>
      <c r="T286" s="19"/>
      <c r="U286" s="24">
        <v>5.059130170289583E-2</v>
      </c>
      <c r="V286" s="24">
        <f t="shared" si="16"/>
        <v>5.2249748423544018E-2</v>
      </c>
      <c r="W286" s="106">
        <v>5.2249749999999997</v>
      </c>
      <c r="X286" s="106">
        <v>5.2249999999999998E-2</v>
      </c>
      <c r="Y286" s="34">
        <f t="shared" si="14"/>
        <v>2.5157645597989609E-7</v>
      </c>
    </row>
    <row r="287" spans="15:25" ht="17.100000000000001" customHeight="1">
      <c r="O287" s="12">
        <f t="shared" si="15"/>
        <v>22.833333333333332</v>
      </c>
      <c r="P287" s="13">
        <v>274</v>
      </c>
      <c r="Q287" s="22"/>
      <c r="R287" s="19"/>
      <c r="S287" s="22"/>
      <c r="T287" s="19"/>
      <c r="U287" s="24">
        <v>5.0597349673215719E-2</v>
      </c>
      <c r="V287" s="24">
        <f t="shared" si="16"/>
        <v>5.2167394292963465E-2</v>
      </c>
      <c r="W287" s="106">
        <v>5.2167389999999996</v>
      </c>
      <c r="X287" s="106">
        <v>5.2166999999999998E-2</v>
      </c>
      <c r="Y287" s="34">
        <f t="shared" si="14"/>
        <v>-3.9429296346676912E-7</v>
      </c>
    </row>
    <row r="288" spans="15:25" ht="17.100000000000001" customHeight="1">
      <c r="O288" s="12">
        <f t="shared" si="15"/>
        <v>22.916666666666668</v>
      </c>
      <c r="P288" s="13">
        <v>275</v>
      </c>
      <c r="Q288" s="22"/>
      <c r="R288" s="19"/>
      <c r="S288" s="22"/>
      <c r="T288" s="19"/>
      <c r="U288" s="24">
        <v>5.0603054680072868E-2</v>
      </c>
      <c r="V288" s="24">
        <f t="shared" si="16"/>
        <v>5.20827492992606E-2</v>
      </c>
      <c r="W288" s="106">
        <v>5.2082750000000004</v>
      </c>
      <c r="X288" s="106">
        <v>5.2082999999999997E-2</v>
      </c>
      <c r="Y288" s="34">
        <f t="shared" si="14"/>
        <v>2.5070073939731374E-7</v>
      </c>
    </row>
    <row r="289" spans="15:25" ht="17.100000000000001" customHeight="1">
      <c r="O289" s="12">
        <f t="shared" si="15"/>
        <v>23</v>
      </c>
      <c r="P289" s="13">
        <v>276</v>
      </c>
      <c r="Q289" s="22"/>
      <c r="R289" s="19"/>
      <c r="S289" s="22"/>
      <c r="T289" s="19"/>
      <c r="U289" s="24">
        <v>5.0608412134232061E-2</v>
      </c>
      <c r="V289" s="24">
        <f t="shared" si="16"/>
        <v>5.1996314789625186E-2</v>
      </c>
      <c r="W289" s="106">
        <v>5.1996310000000001</v>
      </c>
      <c r="X289" s="106">
        <v>5.1996000000000001E-2</v>
      </c>
      <c r="Y289" s="34">
        <f t="shared" si="14"/>
        <v>-3.1478962518594056E-7</v>
      </c>
    </row>
    <row r="290" spans="15:25" ht="17.100000000000001" customHeight="1">
      <c r="O290" s="12">
        <f t="shared" si="15"/>
        <v>23.083333333333332</v>
      </c>
      <c r="P290" s="13">
        <v>277</v>
      </c>
      <c r="Q290" s="22"/>
      <c r="R290" s="19"/>
      <c r="S290" s="22"/>
      <c r="T290" s="19"/>
      <c r="U290" s="24">
        <v>5.0613419318438213E-2</v>
      </c>
      <c r="V290" s="24">
        <f t="shared" si="16"/>
        <v>5.1910140266805627E-2</v>
      </c>
      <c r="W290" s="106">
        <v>5.191014</v>
      </c>
      <c r="X290" s="106">
        <v>5.1909999999999998E-2</v>
      </c>
      <c r="Y290" s="34">
        <f t="shared" si="14"/>
        <v>-1.4026680562884142E-7</v>
      </c>
    </row>
    <row r="291" spans="15:25" ht="17.100000000000001" customHeight="1">
      <c r="O291" s="12">
        <f t="shared" si="15"/>
        <v>23.166666666666668</v>
      </c>
      <c r="P291" s="13">
        <v>278</v>
      </c>
      <c r="Q291" s="22"/>
      <c r="R291" s="19"/>
      <c r="S291" s="22"/>
      <c r="T291" s="19"/>
      <c r="U291" s="24">
        <v>5.0618080916429165E-2</v>
      </c>
      <c r="V291" s="24">
        <f t="shared" si="16"/>
        <v>5.1824734426306529E-2</v>
      </c>
      <c r="W291" s="106">
        <v>5.1824729999999999</v>
      </c>
      <c r="X291" s="106">
        <v>5.1825000000000003E-2</v>
      </c>
      <c r="Y291" s="34">
        <f t="shared" si="14"/>
        <v>2.6557369347396387E-7</v>
      </c>
    </row>
    <row r="292" spans="15:25" ht="17.100000000000001" customHeight="1">
      <c r="O292" s="12">
        <f t="shared" si="15"/>
        <v>23.25</v>
      </c>
      <c r="P292" s="13">
        <v>279</v>
      </c>
      <c r="Q292" s="22"/>
      <c r="R292" s="19"/>
      <c r="S292" s="22"/>
      <c r="T292" s="19"/>
      <c r="U292" s="24">
        <v>5.062240336657009E-2</v>
      </c>
      <c r="V292" s="24">
        <f t="shared" si="16"/>
        <v>5.174009149600356E-2</v>
      </c>
      <c r="W292" s="106">
        <v>5.1740089999999999</v>
      </c>
      <c r="X292" s="106">
        <v>5.1740000000000001E-2</v>
      </c>
      <c r="Y292" s="34">
        <f t="shared" si="14"/>
        <v>-9.149600355834453E-8</v>
      </c>
    </row>
    <row r="293" spans="15:25" ht="17.100000000000001" customHeight="1">
      <c r="O293" s="12">
        <f t="shared" si="15"/>
        <v>23.333333333333332</v>
      </c>
      <c r="P293" s="13">
        <v>280</v>
      </c>
      <c r="Q293" s="22"/>
      <c r="R293" s="19"/>
      <c r="S293" s="22"/>
      <c r="T293" s="19"/>
      <c r="U293" s="24">
        <v>5.0626392995692493E-2</v>
      </c>
      <c r="V293" s="24">
        <f t="shared" si="16"/>
        <v>5.1656205725970183E-2</v>
      </c>
      <c r="W293" s="106">
        <v>5.1656209999999998</v>
      </c>
      <c r="X293" s="106">
        <v>5.1656000000000001E-2</v>
      </c>
      <c r="Y293" s="34">
        <f t="shared" si="14"/>
        <v>-2.0572597018292393E-7</v>
      </c>
    </row>
    <row r="294" spans="15:25" ht="17.100000000000001" customHeight="1">
      <c r="O294" s="12">
        <f t="shared" si="15"/>
        <v>23.416666666666668</v>
      </c>
      <c r="P294" s="13">
        <v>281</v>
      </c>
      <c r="Q294" s="22"/>
      <c r="R294" s="19"/>
      <c r="S294" s="22"/>
      <c r="T294" s="19"/>
      <c r="U294" s="24">
        <v>5.0630056021131908E-2</v>
      </c>
      <c r="V294" s="24">
        <f t="shared" si="16"/>
        <v>5.1573071389138025E-2</v>
      </c>
      <c r="W294" s="106">
        <v>5.1573070000000003</v>
      </c>
      <c r="X294" s="106">
        <v>5.1573000000000001E-2</v>
      </c>
      <c r="Y294" s="34">
        <f t="shared" si="14"/>
        <v>-7.1389138024680054E-8</v>
      </c>
    </row>
    <row r="295" spans="15:25" ht="17.100000000000001" customHeight="1">
      <c r="O295" s="12">
        <f t="shared" si="15"/>
        <v>23.5</v>
      </c>
      <c r="P295" s="13">
        <v>282</v>
      </c>
      <c r="Q295" s="22"/>
      <c r="R295" s="19"/>
      <c r="S295" s="22"/>
      <c r="T295" s="19"/>
      <c r="U295" s="24">
        <v>5.0633398552723197E-2</v>
      </c>
      <c r="V295" s="24">
        <f t="shared" si="16"/>
        <v>5.1490682781963004E-2</v>
      </c>
      <c r="W295" s="106">
        <v>5.1490679999999998</v>
      </c>
      <c r="X295" s="106">
        <v>5.1491000000000002E-2</v>
      </c>
      <c r="Y295" s="34">
        <f t="shared" si="14"/>
        <v>3.1721803699785722E-7</v>
      </c>
    </row>
    <row r="296" spans="15:25" ht="17.100000000000001" customHeight="1">
      <c r="O296" s="12">
        <f t="shared" si="15"/>
        <v>23.583333333333332</v>
      </c>
      <c r="P296" s="13">
        <v>283</v>
      </c>
      <c r="Q296" s="22"/>
      <c r="R296" s="19"/>
      <c r="S296" s="22"/>
      <c r="T296" s="19"/>
      <c r="U296" s="24">
        <v>5.06364265947572E-2</v>
      </c>
      <c r="V296" s="24">
        <f t="shared" si="16"/>
        <v>5.1409034223949268E-2</v>
      </c>
      <c r="W296" s="106">
        <v>5.1409029999999998</v>
      </c>
      <c r="X296" s="106">
        <v>5.1409000000000003E-2</v>
      </c>
      <c r="Y296" s="34">
        <f t="shared" si="14"/>
        <v>-3.4223949264833298E-8</v>
      </c>
    </row>
    <row r="297" spans="15:25" ht="17.100000000000001" customHeight="1">
      <c r="O297" s="12">
        <f t="shared" si="15"/>
        <v>23.666666666666668</v>
      </c>
      <c r="P297" s="13">
        <v>284</v>
      </c>
      <c r="Q297" s="22"/>
      <c r="R297" s="19"/>
      <c r="S297" s="22"/>
      <c r="T297" s="19"/>
      <c r="U297" s="24">
        <v>5.0639146047895434E-2</v>
      </c>
      <c r="V297" s="24">
        <f t="shared" si="16"/>
        <v>5.1328120058880877E-2</v>
      </c>
      <c r="W297" s="106">
        <v>5.1328120000000004</v>
      </c>
      <c r="X297" s="106">
        <v>5.1327999999999999E-2</v>
      </c>
      <c r="Y297" s="34">
        <f t="shared" si="14"/>
        <v>-1.2005888087862626E-7</v>
      </c>
    </row>
    <row r="298" spans="15:25" ht="17.100000000000001" customHeight="1">
      <c r="O298" s="12">
        <f t="shared" si="15"/>
        <v>23.75</v>
      </c>
      <c r="P298" s="13">
        <v>285</v>
      </c>
      <c r="Q298" s="22"/>
      <c r="R298" s="19"/>
      <c r="S298" s="22"/>
      <c r="T298" s="19"/>
      <c r="U298" s="24">
        <v>5.0641562711049026E-2</v>
      </c>
      <c r="V298" s="24">
        <f t="shared" si="16"/>
        <v>5.1247934654113037E-2</v>
      </c>
      <c r="W298" s="106">
        <v>5.1247930000000004</v>
      </c>
      <c r="X298" s="106">
        <v>5.1248000000000002E-2</v>
      </c>
      <c r="Y298" s="34">
        <f t="shared" si="14"/>
        <v>6.5345886965384459E-8</v>
      </c>
    </row>
    <row r="299" spans="15:25" ht="17.100000000000001" customHeight="1">
      <c r="O299" s="12">
        <f t="shared" si="15"/>
        <v>23.833333333333332</v>
      </c>
      <c r="P299" s="13">
        <v>286</v>
      </c>
      <c r="Q299" s="22"/>
      <c r="R299" s="19"/>
      <c r="S299" s="22"/>
      <c r="T299" s="19"/>
      <c r="U299" s="24">
        <v>5.0643682283215918E-2</v>
      </c>
      <c r="V299" s="24">
        <f t="shared" si="16"/>
        <v>5.1168472402061793E-2</v>
      </c>
      <c r="W299" s="106">
        <v>5.1168469999999999</v>
      </c>
      <c r="X299" s="106">
        <v>5.1167999999999998E-2</v>
      </c>
      <c r="Y299" s="34">
        <f t="shared" si="14"/>
        <v>-4.7240206179494093E-7</v>
      </c>
    </row>
    <row r="300" spans="15:25" ht="17.100000000000001" customHeight="1">
      <c r="O300" s="12">
        <f t="shared" si="15"/>
        <v>23.916666666666668</v>
      </c>
      <c r="P300" s="13">
        <v>287</v>
      </c>
      <c r="Q300" s="22"/>
      <c r="R300" s="19"/>
      <c r="S300" s="22"/>
      <c r="T300" s="19"/>
      <c r="U300" s="24">
        <v>5.0645510365286306E-2</v>
      </c>
      <c r="V300" s="24">
        <f t="shared" si="16"/>
        <v>5.108972771942577E-2</v>
      </c>
      <c r="W300" s="106">
        <v>5.1089729999999998</v>
      </c>
      <c r="X300" s="106">
        <v>5.1090000000000003E-2</v>
      </c>
      <c r="Y300" s="34">
        <f t="shared" si="14"/>
        <v>2.7228057423306362E-7</v>
      </c>
    </row>
    <row r="301" spans="15:25" ht="17.100000000000001" customHeight="1">
      <c r="O301" s="12">
        <f t="shared" si="15"/>
        <v>24</v>
      </c>
      <c r="P301" s="13">
        <v>288</v>
      </c>
      <c r="Q301" s="22"/>
      <c r="R301" s="19"/>
      <c r="S301" s="22"/>
      <c r="T301" s="19"/>
      <c r="U301" s="24">
        <v>5.0647052461807229E-2</v>
      </c>
      <c r="V301" s="24">
        <f t="shared" si="16"/>
        <v>5.1011695047998407E-2</v>
      </c>
      <c r="W301" s="106">
        <v>5.1011699999999998</v>
      </c>
      <c r="X301" s="106">
        <v>5.1012000000000002E-2</v>
      </c>
      <c r="Y301" s="34">
        <f t="shared" si="14"/>
        <v>3.0495200159519342E-7</v>
      </c>
    </row>
    <row r="302" spans="15:25" ht="17.100000000000001" customHeight="1">
      <c r="O302" s="12">
        <f t="shared" si="15"/>
        <v>24.083333333333332</v>
      </c>
      <c r="P302" s="13">
        <v>289</v>
      </c>
      <c r="Q302" s="22"/>
      <c r="R302" s="19"/>
      <c r="S302" s="22"/>
      <c r="T302" s="19"/>
      <c r="U302" s="24">
        <v>5.0648313982715187E-2</v>
      </c>
      <c r="V302" s="24">
        <f t="shared" si="16"/>
        <v>5.0934368854811174E-2</v>
      </c>
      <c r="W302" s="106">
        <v>5.0934369999999998</v>
      </c>
      <c r="X302" s="106">
        <v>5.0934E-2</v>
      </c>
      <c r="Y302" s="34">
        <f t="shared" si="14"/>
        <v>-3.6885481117382435E-7</v>
      </c>
    </row>
    <row r="303" spans="15:25" ht="17.100000000000001" customHeight="1">
      <c r="O303" s="12">
        <f t="shared" si="15"/>
        <v>24.166666666666668</v>
      </c>
      <c r="P303" s="13">
        <v>290</v>
      </c>
      <c r="Q303" s="22"/>
      <c r="R303" s="19"/>
      <c r="S303" s="22"/>
      <c r="T303" s="19"/>
      <c r="U303" s="24">
        <v>5.0649300245032558E-2</v>
      </c>
      <c r="V303" s="24">
        <f t="shared" si="16"/>
        <v>5.0857743632662267E-2</v>
      </c>
      <c r="W303" s="106">
        <v>5.0857739999999998</v>
      </c>
      <c r="X303" s="106">
        <v>5.0858E-2</v>
      </c>
      <c r="Y303" s="34">
        <f t="shared" si="14"/>
        <v>2.5636733773370945E-7</v>
      </c>
    </row>
    <row r="304" spans="15:25" ht="17.100000000000001" customHeight="1">
      <c r="O304" s="12">
        <f t="shared" si="15"/>
        <v>24.25</v>
      </c>
      <c r="P304" s="13">
        <v>291</v>
      </c>
      <c r="Q304" s="22"/>
      <c r="R304" s="19"/>
      <c r="S304" s="22"/>
      <c r="T304" s="19"/>
      <c r="U304" s="24">
        <v>5.0650016474532045E-2</v>
      </c>
      <c r="V304" s="24">
        <f t="shared" si="16"/>
        <v>5.0781813899580808E-2</v>
      </c>
      <c r="W304" s="106">
        <v>5.0781809999999998</v>
      </c>
      <c r="X304" s="106">
        <v>5.0782000000000001E-2</v>
      </c>
      <c r="Y304" s="34">
        <f t="shared" si="14"/>
        <v>1.8610041919303599E-7</v>
      </c>
    </row>
    <row r="305" spans="15:25" ht="17.100000000000001" customHeight="1">
      <c r="O305" s="12">
        <f t="shared" si="15"/>
        <v>24.333333333333332</v>
      </c>
      <c r="P305" s="13">
        <v>292</v>
      </c>
      <c r="Q305" s="22"/>
      <c r="R305" s="19"/>
      <c r="S305" s="22"/>
      <c r="T305" s="19"/>
      <c r="U305" s="24">
        <v>5.0650467807365818E-2</v>
      </c>
      <c r="V305" s="24">
        <f t="shared" si="16"/>
        <v>5.0706574199974375E-2</v>
      </c>
      <c r="W305" s="106">
        <v>5.0706569999999997</v>
      </c>
      <c r="X305" s="106">
        <v>5.0707000000000002E-2</v>
      </c>
      <c r="Y305" s="34">
        <f t="shared" si="14"/>
        <v>4.2580002562742081E-7</v>
      </c>
    </row>
    <row r="306" spans="15:25" ht="17.100000000000001" customHeight="1">
      <c r="O306" s="12">
        <f t="shared" si="15"/>
        <v>24.416666666666668</v>
      </c>
      <c r="P306" s="13">
        <v>293</v>
      </c>
      <c r="Q306" s="22"/>
      <c r="R306" s="19"/>
      <c r="S306" s="22"/>
      <c r="T306" s="19"/>
      <c r="U306" s="24">
        <v>5.0650659291665123E-2</v>
      </c>
      <c r="V306" s="24">
        <f t="shared" si="16"/>
        <v>5.0632019104438486E-2</v>
      </c>
      <c r="W306" s="106">
        <v>5.0632020000000004</v>
      </c>
      <c r="X306" s="106">
        <v>5.0632000000000003E-2</v>
      </c>
      <c r="Y306" s="34">
        <f t="shared" si="14"/>
        <v>-1.9104438482575592E-8</v>
      </c>
    </row>
    <row r="307" spans="15:25" ht="17.100000000000001" customHeight="1">
      <c r="O307" s="12">
        <f t="shared" si="15"/>
        <v>24.5</v>
      </c>
      <c r="P307" s="13">
        <v>294</v>
      </c>
      <c r="Q307" s="22"/>
      <c r="R307" s="19"/>
      <c r="S307" s="22"/>
      <c r="T307" s="19"/>
      <c r="U307" s="24">
        <v>5.0650595889107253E-2</v>
      </c>
      <c r="V307" s="24">
        <f t="shared" si="16"/>
        <v>5.0558143209881168E-2</v>
      </c>
      <c r="W307" s="106">
        <v>5.0558139999999998</v>
      </c>
      <c r="X307" s="106">
        <v>5.0557999999999999E-2</v>
      </c>
      <c r="Y307" s="34">
        <f t="shared" si="14"/>
        <v>-1.4320988116905964E-7</v>
      </c>
    </row>
    <row r="308" spans="15:25" ht="17.100000000000001" customHeight="1">
      <c r="O308" s="12">
        <f t="shared" si="15"/>
        <v>24.583333333333332</v>
      </c>
      <c r="P308" s="13">
        <v>295</v>
      </c>
      <c r="Q308" s="22"/>
      <c r="R308" s="19"/>
      <c r="S308" s="22"/>
      <c r="T308" s="19"/>
      <c r="U308" s="24">
        <v>5.0650282476451647E-2</v>
      </c>
      <c r="V308" s="24">
        <f t="shared" si="16"/>
        <v>5.048494113974944E-2</v>
      </c>
      <c r="W308" s="106">
        <v>5.0484939999999998</v>
      </c>
      <c r="X308" s="106">
        <v>5.0485000000000002E-2</v>
      </c>
      <c r="Y308" s="34">
        <f t="shared" si="14"/>
        <v>5.8860250562453587E-8</v>
      </c>
    </row>
    <row r="309" spans="15:25" ht="17.100000000000001" customHeight="1">
      <c r="O309" s="12">
        <f t="shared" si="15"/>
        <v>24.666666666666668</v>
      </c>
      <c r="P309" s="13">
        <v>296</v>
      </c>
      <c r="Q309" s="22"/>
      <c r="R309" s="19"/>
      <c r="S309" s="22"/>
      <c r="T309" s="19"/>
      <c r="U309" s="24">
        <v>5.0649723847046246E-2</v>
      </c>
      <c r="V309" s="24">
        <f t="shared" si="16"/>
        <v>5.0412407544860427E-2</v>
      </c>
      <c r="W309" s="106">
        <v>5.0412410000000003</v>
      </c>
      <c r="X309" s="106">
        <v>5.0411999999999998E-2</v>
      </c>
      <c r="Y309" s="34">
        <f t="shared" si="14"/>
        <v>-4.0754486042848814E-7</v>
      </c>
    </row>
    <row r="310" spans="15:25" ht="17.100000000000001" customHeight="1">
      <c r="O310" s="12">
        <f t="shared" si="15"/>
        <v>24.75</v>
      </c>
      <c r="P310" s="13">
        <v>297</v>
      </c>
      <c r="Q310" s="22"/>
      <c r="R310" s="19"/>
      <c r="S310" s="22"/>
      <c r="T310" s="19"/>
      <c r="U310" s="24">
        <v>5.0648924712305643E-2</v>
      </c>
      <c r="V310" s="24">
        <f t="shared" si="16"/>
        <v>5.0340537102180116E-2</v>
      </c>
      <c r="W310" s="106">
        <v>5.0340540000000003</v>
      </c>
      <c r="X310" s="106">
        <v>5.0340999999999997E-2</v>
      </c>
      <c r="Y310" s="34">
        <f t="shared" si="14"/>
        <v>4.6289781988062551E-7</v>
      </c>
    </row>
    <row r="311" spans="15:25" ht="17.100000000000001" customHeight="1">
      <c r="O311" s="12">
        <f t="shared" si="15"/>
        <v>24.833333333333332</v>
      </c>
      <c r="P311" s="13">
        <v>298</v>
      </c>
      <c r="Q311" s="22"/>
      <c r="R311" s="19"/>
      <c r="S311" s="22"/>
      <c r="T311" s="19"/>
      <c r="U311" s="24">
        <v>5.0647889703157256E-2</v>
      </c>
      <c r="V311" s="24">
        <f t="shared" si="16"/>
        <v>5.0269324516793334E-2</v>
      </c>
      <c r="W311" s="106">
        <v>5.0269320000000004</v>
      </c>
      <c r="X311" s="106">
        <v>5.0269000000000001E-2</v>
      </c>
      <c r="Y311" s="34">
        <f t="shared" si="14"/>
        <v>-3.2451679333328487E-7</v>
      </c>
    </row>
    <row r="312" spans="15:25" ht="17.100000000000001" customHeight="1">
      <c r="O312" s="12">
        <f t="shared" si="15"/>
        <v>24.916666666666668</v>
      </c>
      <c r="P312" s="13">
        <v>299</v>
      </c>
      <c r="Q312" s="22"/>
      <c r="R312" s="19"/>
      <c r="S312" s="22"/>
      <c r="T312" s="19"/>
      <c r="U312" s="24">
        <v>5.0646623371464639E-2</v>
      </c>
      <c r="V312" s="24">
        <f t="shared" si="16"/>
        <v>5.019876452054417E-2</v>
      </c>
      <c r="W312" s="106">
        <v>5.019876</v>
      </c>
      <c r="X312" s="106">
        <v>5.0199000000000001E-2</v>
      </c>
      <c r="Y312" s="34">
        <f t="shared" si="14"/>
        <v>2.3547945583041185E-7</v>
      </c>
    </row>
    <row r="313" spans="15:25" ht="17.100000000000001" customHeight="1">
      <c r="O313" s="12">
        <f t="shared" si="15"/>
        <v>25</v>
      </c>
      <c r="P313" s="13">
        <v>300</v>
      </c>
      <c r="Q313" s="22"/>
      <c r="R313" s="19"/>
      <c r="S313" s="22"/>
      <c r="T313" s="19"/>
      <c r="U313" s="24">
        <v>5.0645130191417698E-2</v>
      </c>
      <c r="V313" s="24">
        <f t="shared" si="16"/>
        <v>5.0128851872982993E-2</v>
      </c>
      <c r="W313" s="106">
        <v>5.0128849999999998</v>
      </c>
      <c r="X313" s="106">
        <v>5.0129E-2</v>
      </c>
      <c r="Y313" s="34">
        <f t="shared" si="14"/>
        <v>1.481270170064497E-7</v>
      </c>
    </row>
    <row r="314" spans="15:25" ht="17.100000000000001" customHeight="1">
      <c r="O314" s="12">
        <f t="shared" si="15"/>
        <v>25.083333333333332</v>
      </c>
      <c r="P314" s="13">
        <v>301</v>
      </c>
      <c r="Q314" s="22"/>
      <c r="R314" s="19"/>
      <c r="S314" s="22"/>
      <c r="T314" s="19"/>
      <c r="U314" s="24">
        <v>5.0643414560900046E-2</v>
      </c>
      <c r="V314" s="24">
        <f t="shared" si="16"/>
        <v>5.0059581361684202E-2</v>
      </c>
      <c r="W314" s="106">
        <v>5.0059579999999997</v>
      </c>
      <c r="X314" s="106">
        <v>5.006E-2</v>
      </c>
      <c r="Y314" s="34">
        <f t="shared" si="14"/>
        <v>4.1863831579808108E-7</v>
      </c>
    </row>
    <row r="315" spans="15:25" ht="17.100000000000001" customHeight="1">
      <c r="O315" s="12">
        <f t="shared" si="15"/>
        <v>25.166666666666668</v>
      </c>
      <c r="P315" s="13">
        <v>302</v>
      </c>
      <c r="Q315" s="22"/>
      <c r="R315" s="19"/>
      <c r="S315" s="22"/>
      <c r="T315" s="19"/>
      <c r="U315" s="24">
        <v>5.0641480802829264E-2</v>
      </c>
      <c r="V315" s="24">
        <f t="shared" si="16"/>
        <v>4.9990947801663799E-2</v>
      </c>
      <c r="W315" s="106">
        <v>4.9990949999999996</v>
      </c>
      <c r="X315" s="106">
        <v>4.9991000000000001E-2</v>
      </c>
      <c r="Y315" s="34">
        <f t="shared" si="14"/>
        <v>5.2198336202013973E-8</v>
      </c>
    </row>
    <row r="316" spans="15:25" ht="17.100000000000001" customHeight="1">
      <c r="O316" s="12">
        <f t="shared" si="15"/>
        <v>25.25</v>
      </c>
      <c r="P316" s="13">
        <v>303</v>
      </c>
      <c r="Q316" s="22"/>
      <c r="R316" s="19"/>
      <c r="S316" s="22"/>
      <c r="T316" s="19"/>
      <c r="U316" s="24">
        <v>5.0639333166470291E-2</v>
      </c>
      <c r="V316" s="24">
        <f t="shared" si="16"/>
        <v>4.992294603620695E-2</v>
      </c>
      <c r="W316" s="106">
        <v>4.9922950000000004</v>
      </c>
      <c r="X316" s="106">
        <v>4.9923000000000002E-2</v>
      </c>
      <c r="Y316" s="34">
        <f t="shared" si="14"/>
        <v>5.3963793052169695E-8</v>
      </c>
    </row>
    <row r="317" spans="15:25" ht="17.100000000000001" customHeight="1">
      <c r="O317" s="12">
        <f t="shared" si="15"/>
        <v>25.333333333333332</v>
      </c>
      <c r="P317" s="13">
        <v>304</v>
      </c>
      <c r="Q317" s="22"/>
      <c r="R317" s="19"/>
      <c r="S317" s="22"/>
      <c r="T317" s="19"/>
      <c r="U317" s="24">
        <v>5.0636975828724839E-2</v>
      </c>
      <c r="V317" s="24">
        <f t="shared" si="16"/>
        <v>4.9855570936306881E-2</v>
      </c>
      <c r="W317" s="106">
        <v>4.985557</v>
      </c>
      <c r="X317" s="106">
        <v>4.9855999999999998E-2</v>
      </c>
      <c r="Y317" s="34">
        <f t="shared" si="14"/>
        <v>4.2906369311646042E-7</v>
      </c>
    </row>
    <row r="318" spans="15:25" ht="17.100000000000001" customHeight="1">
      <c r="O318" s="12">
        <f t="shared" si="15"/>
        <v>25.416666666666668</v>
      </c>
      <c r="P318" s="13">
        <v>305</v>
      </c>
      <c r="Q318" s="22"/>
      <c r="R318" s="19"/>
      <c r="S318" s="22"/>
      <c r="T318" s="19"/>
      <c r="U318" s="24">
        <v>5.0634412895394609E-2</v>
      </c>
      <c r="V318" s="24">
        <f t="shared" si="16"/>
        <v>4.9788817402081298E-2</v>
      </c>
      <c r="W318" s="106">
        <v>4.9788819999999996</v>
      </c>
      <c r="X318" s="106">
        <v>4.9789E-2</v>
      </c>
      <c r="Y318" s="34">
        <f t="shared" si="14"/>
        <v>1.8259791870200992E-7</v>
      </c>
    </row>
    <row r="319" spans="15:25" ht="17.100000000000001" customHeight="1">
      <c r="O319" s="12">
        <f t="shared" si="15"/>
        <v>25.5</v>
      </c>
      <c r="P319" s="13">
        <v>306</v>
      </c>
      <c r="Q319" s="22"/>
      <c r="R319" s="19"/>
      <c r="S319" s="22"/>
      <c r="T319" s="19"/>
      <c r="U319" s="24">
        <v>5.0631648402424734E-2</v>
      </c>
      <c r="V319" s="24">
        <f t="shared" si="16"/>
        <v>4.9722680361011573E-2</v>
      </c>
      <c r="W319" s="106">
        <v>4.9722679999999997</v>
      </c>
      <c r="X319" s="106">
        <v>4.9723000000000003E-2</v>
      </c>
      <c r="Y319" s="34">
        <f t="shared" si="14"/>
        <v>3.1963898843023753E-7</v>
      </c>
    </row>
    <row r="320" spans="15:25" ht="17.100000000000001" customHeight="1">
      <c r="O320" s="12">
        <f t="shared" si="15"/>
        <v>25.583333333333332</v>
      </c>
      <c r="P320" s="13">
        <v>307</v>
      </c>
      <c r="Q320" s="22"/>
      <c r="R320" s="19"/>
      <c r="S320" s="22"/>
      <c r="T320" s="19"/>
      <c r="U320" s="24">
        <v>5.0628686317117255E-2</v>
      </c>
      <c r="V320" s="24">
        <f t="shared" si="16"/>
        <v>4.9657154769913392E-2</v>
      </c>
      <c r="W320" s="106">
        <v>4.9657150000000003</v>
      </c>
      <c r="X320" s="106">
        <v>4.9657E-2</v>
      </c>
      <c r="Y320" s="34">
        <f t="shared" si="14"/>
        <v>-1.5476991339219426E-7</v>
      </c>
    </row>
    <row r="321" spans="15:25" ht="17.100000000000001" customHeight="1">
      <c r="O321" s="12">
        <f t="shared" si="15"/>
        <v>25.666666666666668</v>
      </c>
      <c r="P321" s="13">
        <v>308</v>
      </c>
      <c r="Q321" s="22"/>
      <c r="R321" s="19"/>
      <c r="S321" s="22"/>
      <c r="T321" s="19"/>
      <c r="U321" s="24">
        <v>5.0625530539327723E-2</v>
      </c>
      <c r="V321" s="24">
        <f t="shared" si="16"/>
        <v>4.9592235613437063E-2</v>
      </c>
      <c r="W321" s="106">
        <v>4.9592239999999999</v>
      </c>
      <c r="X321" s="106">
        <v>4.9591999999999997E-2</v>
      </c>
      <c r="Y321" s="34">
        <f t="shared" si="14"/>
        <v>-2.3561343706623994E-7</v>
      </c>
    </row>
    <row r="322" spans="15:25" ht="17.100000000000001" customHeight="1">
      <c r="O322" s="12">
        <f t="shared" si="15"/>
        <v>25.75</v>
      </c>
      <c r="P322" s="13">
        <v>309</v>
      </c>
      <c r="Q322" s="22"/>
      <c r="R322" s="19"/>
      <c r="S322" s="22"/>
      <c r="T322" s="19"/>
      <c r="U322" s="24">
        <v>5.0622184902634038E-2</v>
      </c>
      <c r="V322" s="24">
        <f t="shared" si="16"/>
        <v>4.9527917905823449E-2</v>
      </c>
      <c r="W322" s="106">
        <v>4.9527919999999996</v>
      </c>
      <c r="X322" s="106">
        <v>4.9528000000000003E-2</v>
      </c>
      <c r="Y322" s="34">
        <f t="shared" si="14"/>
        <v>8.2094176553915155E-8</v>
      </c>
    </row>
    <row r="323" spans="15:25" ht="17.100000000000001" customHeight="1">
      <c r="O323" s="12">
        <f t="shared" si="15"/>
        <v>25.833333333333332</v>
      </c>
      <c r="P323" s="13">
        <v>310</v>
      </c>
      <c r="Q323" s="22"/>
      <c r="R323" s="19"/>
      <c r="S323" s="22"/>
      <c r="T323" s="19"/>
      <c r="U323" s="24">
        <v>5.0618653175488637E-2</v>
      </c>
      <c r="V323" s="24">
        <f t="shared" si="16"/>
        <v>4.9464196689200435E-2</v>
      </c>
      <c r="W323" s="106">
        <v>4.9464199999999998</v>
      </c>
      <c r="X323" s="106">
        <v>4.9464000000000001E-2</v>
      </c>
      <c r="Y323" s="34">
        <f t="shared" si="14"/>
        <v>-1.9668920043375282E-7</v>
      </c>
    </row>
    <row r="324" spans="15:25" ht="17.100000000000001" customHeight="1">
      <c r="O324" s="12">
        <f t="shared" si="15"/>
        <v>25.916666666666668</v>
      </c>
      <c r="P324" s="13">
        <v>311</v>
      </c>
      <c r="Q324" s="22"/>
      <c r="R324" s="19"/>
      <c r="S324" s="22"/>
      <c r="T324" s="19"/>
      <c r="U324" s="24">
        <v>5.0614939062343378E-2</v>
      </c>
      <c r="V324" s="24">
        <f t="shared" si="16"/>
        <v>4.9401067035085289E-2</v>
      </c>
      <c r="W324" s="106">
        <v>4.9401070000000002</v>
      </c>
      <c r="X324" s="106">
        <v>4.9401E-2</v>
      </c>
      <c r="Y324" s="34">
        <f t="shared" si="14"/>
        <v>-6.7035085288269514E-8</v>
      </c>
    </row>
    <row r="325" spans="15:25" ht="17.100000000000001" customHeight="1">
      <c r="O325" s="12">
        <f t="shared" si="15"/>
        <v>26</v>
      </c>
      <c r="P325" s="13">
        <v>312</v>
      </c>
      <c r="Q325" s="22"/>
      <c r="R325" s="19"/>
      <c r="S325" s="22"/>
      <c r="T325" s="19"/>
      <c r="U325" s="24">
        <v>5.0611046204757981E-2</v>
      </c>
      <c r="V325" s="24">
        <f t="shared" si="16"/>
        <v>4.9338524043924359E-2</v>
      </c>
      <c r="W325" s="106">
        <v>4.9338519999999999</v>
      </c>
      <c r="X325" s="106">
        <v>4.9339000000000001E-2</v>
      </c>
      <c r="Y325" s="34">
        <f t="shared" si="14"/>
        <v>4.7595607564204778E-7</v>
      </c>
    </row>
    <row r="326" spans="15:25" ht="17.100000000000001" customHeight="1">
      <c r="O326" s="12">
        <f t="shared" si="15"/>
        <v>26.083333333333332</v>
      </c>
      <c r="P326" s="13">
        <v>313</v>
      </c>
      <c r="Q326" s="22"/>
      <c r="R326" s="19"/>
      <c r="S326" s="22"/>
      <c r="T326" s="19"/>
      <c r="U326" s="24">
        <v>5.0606978182485385E-2</v>
      </c>
      <c r="V326" s="24">
        <f t="shared" si="16"/>
        <v>4.9276562845097294E-2</v>
      </c>
      <c r="W326" s="106">
        <v>4.9276559999999998</v>
      </c>
      <c r="X326" s="106">
        <v>4.9277000000000001E-2</v>
      </c>
      <c r="Y326" s="34">
        <f t="shared" si="14"/>
        <v>4.3715490270768154E-7</v>
      </c>
    </row>
    <row r="327" spans="15:25" ht="17.100000000000001" customHeight="1">
      <c r="O327" s="12">
        <f t="shared" si="15"/>
        <v>26.166666666666668</v>
      </c>
      <c r="P327" s="13">
        <v>314</v>
      </c>
      <c r="Q327" s="22"/>
      <c r="R327" s="19"/>
      <c r="S327" s="22"/>
      <c r="T327" s="19"/>
      <c r="U327" s="24">
        <v>5.0602738514537338E-2</v>
      </c>
      <c r="V327" s="24">
        <f t="shared" si="16"/>
        <v>4.9215178597002751E-2</v>
      </c>
      <c r="W327" s="106">
        <v>4.9215179999999998</v>
      </c>
      <c r="X327" s="106">
        <v>4.9215000000000002E-2</v>
      </c>
      <c r="Y327" s="34">
        <f t="shared" si="14"/>
        <v>-1.7859700274930335E-7</v>
      </c>
    </row>
    <row r="328" spans="15:25" ht="17.100000000000001" customHeight="1">
      <c r="O328" s="12">
        <f t="shared" si="15"/>
        <v>26.25</v>
      </c>
      <c r="P328" s="13">
        <v>315</v>
      </c>
      <c r="Q328" s="22"/>
      <c r="R328" s="19"/>
      <c r="S328" s="22"/>
      <c r="T328" s="19"/>
      <c r="U328" s="24">
        <v>5.0598330660230451E-2</v>
      </c>
      <c r="V328" s="24">
        <f t="shared" si="16"/>
        <v>4.9154366487023982E-2</v>
      </c>
      <c r="W328" s="106">
        <v>4.9154369999999998</v>
      </c>
      <c r="X328" s="106">
        <v>4.9154000000000003E-2</v>
      </c>
      <c r="Y328" s="34">
        <f t="shared" si="14"/>
        <v>-3.6648702397834576E-7</v>
      </c>
    </row>
    <row r="329" spans="15:25" ht="17.100000000000001" customHeight="1">
      <c r="O329" s="12">
        <f t="shared" si="15"/>
        <v>26.333333333333332</v>
      </c>
      <c r="P329" s="13">
        <v>316</v>
      </c>
      <c r="Q329" s="22"/>
      <c r="R329" s="19"/>
      <c r="S329" s="22"/>
      <c r="T329" s="19"/>
      <c r="U329" s="24">
        <v>5.0593758020211377E-2</v>
      </c>
      <c r="V329" s="24">
        <f t="shared" si="16"/>
        <v>4.9094121732498941E-2</v>
      </c>
      <c r="W329" s="106">
        <v>4.9094119999999997</v>
      </c>
      <c r="X329" s="106">
        <v>4.9093999999999999E-2</v>
      </c>
      <c r="Y329" s="34">
        <f t="shared" si="14"/>
        <v>-1.2173249894220639E-7</v>
      </c>
    </row>
    <row r="330" spans="15:25" ht="17.100000000000001" customHeight="1">
      <c r="O330" s="12">
        <f t="shared" si="15"/>
        <v>26.416666666666668</v>
      </c>
      <c r="P330" s="13">
        <v>317</v>
      </c>
      <c r="Q330" s="22"/>
      <c r="R330" s="19"/>
      <c r="S330" s="22"/>
      <c r="T330" s="19"/>
      <c r="U330" s="24">
        <v>5.0589023937467115E-2</v>
      </c>
      <c r="V330" s="24">
        <f t="shared" si="16"/>
        <v>4.903443957898701E-2</v>
      </c>
      <c r="W330" s="106">
        <v>4.9034440000000004</v>
      </c>
      <c r="X330" s="106">
        <v>4.9034000000000001E-2</v>
      </c>
      <c r="Y330" s="34">
        <f t="shared" si="14"/>
        <v>-4.3957898700902609E-7</v>
      </c>
    </row>
    <row r="331" spans="15:25" ht="17.100000000000001" customHeight="1">
      <c r="O331" s="12">
        <f t="shared" si="15"/>
        <v>26.5</v>
      </c>
      <c r="P331" s="13">
        <v>318</v>
      </c>
      <c r="Q331" s="22"/>
      <c r="R331" s="19"/>
      <c r="S331" s="22"/>
      <c r="T331" s="19"/>
      <c r="U331" s="24">
        <v>5.058413169831022E-2</v>
      </c>
      <c r="V331" s="24">
        <f t="shared" si="16"/>
        <v>4.8975315302008049E-2</v>
      </c>
      <c r="W331" s="106">
        <v>4.897532</v>
      </c>
      <c r="X331" s="106">
        <v>4.8974999999999998E-2</v>
      </c>
      <c r="Y331" s="34">
        <f t="shared" si="14"/>
        <v>-3.1530200805124364E-7</v>
      </c>
    </row>
    <row r="332" spans="15:25" ht="17.100000000000001" customHeight="1">
      <c r="O332" s="12">
        <f t="shared" si="15"/>
        <v>26.583333333333332</v>
      </c>
      <c r="P332" s="13">
        <v>319</v>
      </c>
      <c r="Q332" s="22"/>
      <c r="R332" s="19"/>
      <c r="S332" s="22"/>
      <c r="T332" s="19"/>
      <c r="U332" s="24">
        <v>5.0579084533351804E-2</v>
      </c>
      <c r="V332" s="24">
        <f t="shared" si="16"/>
        <v>4.8916744206276341E-2</v>
      </c>
      <c r="W332" s="106">
        <v>4.8916740000000001</v>
      </c>
      <c r="X332" s="106">
        <v>4.8917000000000002E-2</v>
      </c>
      <c r="Y332" s="34">
        <f t="shared" si="14"/>
        <v>2.5579372366080211E-7</v>
      </c>
    </row>
    <row r="333" spans="15:25" ht="17.100000000000001" customHeight="1">
      <c r="O333" s="12">
        <f t="shared" si="15"/>
        <v>26.666666666666668</v>
      </c>
      <c r="P333" s="13">
        <v>320</v>
      </c>
      <c r="Q333" s="22"/>
      <c r="R333" s="19"/>
      <c r="S333" s="22"/>
      <c r="T333" s="19"/>
      <c r="U333" s="24">
        <v>5.0573885618453884E-2</v>
      </c>
      <c r="V333" s="24">
        <f t="shared" si="16"/>
        <v>4.8858721625701929E-2</v>
      </c>
      <c r="W333" s="106">
        <v>4.885872</v>
      </c>
      <c r="X333" s="106">
        <v>4.8859E-2</v>
      </c>
      <c r="Y333" s="34">
        <f t="shared" ref="Y333:Y396" si="17">X333-V333</f>
        <v>2.7837429807109348E-7</v>
      </c>
    </row>
    <row r="334" spans="15:25" ht="17.100000000000001" customHeight="1">
      <c r="O334" s="12">
        <f t="shared" ref="O334:O397" si="18">P334/12</f>
        <v>26.75</v>
      </c>
      <c r="P334" s="13">
        <v>321</v>
      </c>
      <c r="Q334" s="22"/>
      <c r="R334" s="19"/>
      <c r="S334" s="22"/>
      <c r="T334" s="19"/>
      <c r="U334" s="24">
        <v>5.0568538075663527E-2</v>
      </c>
      <c r="V334" s="24">
        <f t="shared" ref="V334:V397" si="19">(1+U335)^P335/(1+U334)^P334-1</f>
        <v>4.8801242923638632E-2</v>
      </c>
      <c r="W334" s="106">
        <v>4.8801240000000004</v>
      </c>
      <c r="X334" s="106">
        <v>4.8800999999999997E-2</v>
      </c>
      <c r="Y334" s="34">
        <f t="shared" si="17"/>
        <v>-2.429236386353173E-7</v>
      </c>
    </row>
    <row r="335" spans="15:25" ht="17.100000000000001" customHeight="1">
      <c r="O335" s="12">
        <f t="shared" si="18"/>
        <v>26.833333333333332</v>
      </c>
      <c r="P335" s="13">
        <v>322</v>
      </c>
      <c r="Q335" s="22"/>
      <c r="R335" s="19"/>
      <c r="S335" s="22"/>
      <c r="T335" s="19"/>
      <c r="U335" s="24">
        <v>5.056304497413211E-2</v>
      </c>
      <c r="V335" s="24">
        <f t="shared" si="19"/>
        <v>4.8744303493012842E-2</v>
      </c>
      <c r="W335" s="106">
        <v>4.8744300000000003</v>
      </c>
      <c r="X335" s="106">
        <v>4.8744000000000003E-2</v>
      </c>
      <c r="Y335" s="34">
        <f t="shared" si="17"/>
        <v>-3.0349301283899566E-7</v>
      </c>
    </row>
    <row r="336" spans="15:25" ht="17.100000000000001" customHeight="1">
      <c r="O336" s="12">
        <f t="shared" si="18"/>
        <v>26.916666666666668</v>
      </c>
      <c r="P336" s="13">
        <v>323</v>
      </c>
      <c r="Q336" s="22"/>
      <c r="R336" s="19"/>
      <c r="S336" s="22"/>
      <c r="T336" s="19"/>
      <c r="U336" s="24">
        <v>5.0557409331016157E-2</v>
      </c>
      <c r="V336" s="24">
        <f t="shared" si="19"/>
        <v>4.8687898755611636E-2</v>
      </c>
      <c r="W336" s="106">
        <v>4.8687899999999997</v>
      </c>
      <c r="X336" s="106">
        <v>4.8688000000000002E-2</v>
      </c>
      <c r="Y336" s="34">
        <f t="shared" si="17"/>
        <v>1.0124438836606187E-7</v>
      </c>
    </row>
    <row r="337" spans="15:25" ht="17.100000000000001" customHeight="1">
      <c r="O337" s="12">
        <f t="shared" si="18"/>
        <v>27</v>
      </c>
      <c r="P337" s="13">
        <v>324</v>
      </c>
      <c r="Q337" s="22"/>
      <c r="R337" s="19"/>
      <c r="S337" s="22"/>
      <c r="T337" s="19"/>
      <c r="U337" s="24">
        <v>5.0551634112361299E-2</v>
      </c>
      <c r="V337" s="24">
        <f t="shared" si="19"/>
        <v>4.8632024163668408E-2</v>
      </c>
      <c r="W337" s="106">
        <v>4.8632020000000002</v>
      </c>
      <c r="X337" s="106">
        <v>4.8632000000000002E-2</v>
      </c>
      <c r="Y337" s="34">
        <f t="shared" si="17"/>
        <v>-2.4163668406462779E-8</v>
      </c>
    </row>
    <row r="338" spans="15:25" ht="17.100000000000001" customHeight="1">
      <c r="O338" s="12">
        <f t="shared" si="18"/>
        <v>27.083333333333332</v>
      </c>
      <c r="P338" s="13">
        <v>325</v>
      </c>
      <c r="Q338" s="22"/>
      <c r="R338" s="19"/>
      <c r="S338" s="22"/>
      <c r="T338" s="19"/>
      <c r="U338" s="24">
        <v>5.0545722233974022E-2</v>
      </c>
      <c r="V338" s="24">
        <f t="shared" si="19"/>
        <v>4.8576675197600894E-2</v>
      </c>
      <c r="W338" s="106">
        <v>4.8576680000000003</v>
      </c>
      <c r="X338" s="106">
        <v>4.8577000000000002E-2</v>
      </c>
      <c r="Y338" s="34">
        <f t="shared" si="17"/>
        <v>3.248023991084259E-7</v>
      </c>
    </row>
    <row r="339" spans="15:25" ht="17.100000000000001" customHeight="1">
      <c r="O339" s="12">
        <f t="shared" si="18"/>
        <v>27.166666666666668</v>
      </c>
      <c r="P339" s="13">
        <v>326</v>
      </c>
      <c r="Q339" s="22"/>
      <c r="R339" s="19"/>
      <c r="S339" s="22"/>
      <c r="T339" s="19"/>
      <c r="U339" s="24">
        <v>5.0539676562270319E-2</v>
      </c>
      <c r="V339" s="24">
        <f t="shared" si="19"/>
        <v>4.8521847368330651E-2</v>
      </c>
      <c r="W339" s="106">
        <v>4.8521850000000004</v>
      </c>
      <c r="X339" s="106">
        <v>4.8522000000000003E-2</v>
      </c>
      <c r="Y339" s="34">
        <f t="shared" si="17"/>
        <v>1.5263166935203243E-7</v>
      </c>
    </row>
    <row r="340" spans="15:25" ht="17.100000000000001" customHeight="1">
      <c r="O340" s="12">
        <f t="shared" si="18"/>
        <v>27.25</v>
      </c>
      <c r="P340" s="13">
        <v>327</v>
      </c>
      <c r="Q340" s="22"/>
      <c r="R340" s="19"/>
      <c r="S340" s="22"/>
      <c r="T340" s="19"/>
      <c r="U340" s="24">
        <v>5.0533499915117464E-2</v>
      </c>
      <c r="V340" s="24">
        <f t="shared" si="19"/>
        <v>4.8467536215194729E-2</v>
      </c>
      <c r="W340" s="106">
        <v>4.8467539999999998</v>
      </c>
      <c r="X340" s="106">
        <v>4.8467999999999997E-2</v>
      </c>
      <c r="Y340" s="34">
        <f t="shared" si="17"/>
        <v>4.6378480526854116E-7</v>
      </c>
    </row>
    <row r="341" spans="15:25" ht="17.100000000000001" customHeight="1">
      <c r="O341" s="12">
        <f t="shared" si="18"/>
        <v>27.333333333333332</v>
      </c>
      <c r="P341" s="13">
        <v>328</v>
      </c>
      <c r="Q341" s="22"/>
      <c r="R341" s="19"/>
      <c r="S341" s="22"/>
      <c r="T341" s="19"/>
      <c r="U341" s="24">
        <v>5.0527195062652686E-2</v>
      </c>
      <c r="V341" s="24">
        <f t="shared" si="19"/>
        <v>4.8413737307960281E-2</v>
      </c>
      <c r="W341" s="106">
        <v>4.8413740000000001</v>
      </c>
      <c r="X341" s="106">
        <v>4.8413999999999999E-2</v>
      </c>
      <c r="Y341" s="34">
        <f t="shared" si="17"/>
        <v>2.6269203971807098E-7</v>
      </c>
    </row>
    <row r="342" spans="15:25" ht="17.100000000000001" customHeight="1">
      <c r="O342" s="12">
        <f t="shared" si="18"/>
        <v>27.416666666666668</v>
      </c>
      <c r="P342" s="13">
        <v>329</v>
      </c>
      <c r="Q342" s="22"/>
      <c r="R342" s="19"/>
      <c r="S342" s="22"/>
      <c r="T342" s="19"/>
      <c r="U342" s="24">
        <v>5.0520764728093859E-2</v>
      </c>
      <c r="V342" s="24">
        <f t="shared" si="19"/>
        <v>4.8360446244883892E-2</v>
      </c>
      <c r="W342" s="106">
        <v>4.8360450000000004</v>
      </c>
      <c r="X342" s="106">
        <v>4.836E-2</v>
      </c>
      <c r="Y342" s="34">
        <f t="shared" si="17"/>
        <v>-4.462448838921107E-7</v>
      </c>
    </row>
    <row r="343" spans="15:25" ht="17.100000000000001" customHeight="1">
      <c r="O343" s="12">
        <f t="shared" si="18"/>
        <v>27.5</v>
      </c>
      <c r="P343" s="13">
        <v>330</v>
      </c>
      <c r="Q343" s="22"/>
      <c r="R343" s="19"/>
      <c r="S343" s="22"/>
      <c r="T343" s="19"/>
      <c r="U343" s="24">
        <v>5.05142115885302E-2</v>
      </c>
      <c r="V343" s="24">
        <f t="shared" si="19"/>
        <v>4.8307658654201724E-2</v>
      </c>
      <c r="W343" s="106">
        <v>4.8307659999999997</v>
      </c>
      <c r="X343" s="106">
        <v>4.8307999999999997E-2</v>
      </c>
      <c r="Y343" s="34">
        <f t="shared" si="17"/>
        <v>3.4134579827288514E-7</v>
      </c>
    </row>
    <row r="344" spans="15:25" ht="17.100000000000001" customHeight="1">
      <c r="O344" s="12">
        <f t="shared" si="18"/>
        <v>27.583333333333332</v>
      </c>
      <c r="P344" s="13">
        <v>331</v>
      </c>
      <c r="Q344" s="22"/>
      <c r="R344" s="19"/>
      <c r="S344" s="22"/>
      <c r="T344" s="19"/>
      <c r="U344" s="24">
        <v>5.0507538275702313E-2</v>
      </c>
      <c r="V344" s="24">
        <f t="shared" si="19"/>
        <v>4.8255370193209579E-2</v>
      </c>
      <c r="W344" s="106">
        <v>4.8255369999999997</v>
      </c>
      <c r="X344" s="106">
        <v>4.8254999999999999E-2</v>
      </c>
      <c r="Y344" s="34">
        <f t="shared" si="17"/>
        <v>-3.7019320957981661E-7</v>
      </c>
    </row>
    <row r="345" spans="15:25" ht="17.100000000000001" customHeight="1">
      <c r="O345" s="12">
        <f t="shared" si="18"/>
        <v>27.666666666666668</v>
      </c>
      <c r="P345" s="13">
        <v>332</v>
      </c>
      <c r="Q345" s="22"/>
      <c r="R345" s="19"/>
      <c r="S345" s="22"/>
      <c r="T345" s="19"/>
      <c r="U345" s="24">
        <v>5.0500747376766242E-2</v>
      </c>
      <c r="V345" s="24">
        <f t="shared" si="19"/>
        <v>4.8203576548463856E-2</v>
      </c>
      <c r="W345" s="106">
        <v>4.8203579999999997</v>
      </c>
      <c r="X345" s="106">
        <v>4.8203999999999997E-2</v>
      </c>
      <c r="Y345" s="34">
        <f t="shared" si="17"/>
        <v>4.2345153614120612E-7</v>
      </c>
    </row>
    <row r="346" spans="15:25" ht="17.100000000000001" customHeight="1">
      <c r="O346" s="12">
        <f t="shared" si="18"/>
        <v>27.75</v>
      </c>
      <c r="P346" s="13">
        <v>333</v>
      </c>
      <c r="Q346" s="22"/>
      <c r="R346" s="19"/>
      <c r="S346" s="22"/>
      <c r="T346" s="19"/>
      <c r="U346" s="24">
        <v>5.0493841435044873E-2</v>
      </c>
      <c r="V346" s="24">
        <f t="shared" si="19"/>
        <v>4.8152273436124826E-2</v>
      </c>
      <c r="W346" s="106">
        <v>4.8152270000000001</v>
      </c>
      <c r="X346" s="106">
        <v>4.8152E-2</v>
      </c>
      <c r="Y346" s="34">
        <f t="shared" si="17"/>
        <v>-2.7343612482577662E-7</v>
      </c>
    </row>
    <row r="347" spans="15:25" ht="17.100000000000001" customHeight="1">
      <c r="O347" s="12">
        <f t="shared" si="18"/>
        <v>27.833333333333332</v>
      </c>
      <c r="P347" s="13">
        <v>334</v>
      </c>
      <c r="Q347" s="22"/>
      <c r="R347" s="19"/>
      <c r="S347" s="22"/>
      <c r="T347" s="19"/>
      <c r="U347" s="24">
        <v>5.0486822950765564E-2</v>
      </c>
      <c r="V347" s="24">
        <f t="shared" si="19"/>
        <v>4.8101456601368664E-2</v>
      </c>
      <c r="W347" s="106">
        <v>4.8101459999999996</v>
      </c>
      <c r="X347" s="106">
        <v>4.8100999999999998E-2</v>
      </c>
      <c r="Y347" s="34">
        <f t="shared" si="17"/>
        <v>-4.5660136866604306E-7</v>
      </c>
    </row>
    <row r="348" spans="15:25" ht="17.100000000000001" customHeight="1">
      <c r="O348" s="12">
        <f t="shared" si="18"/>
        <v>27.916666666666668</v>
      </c>
      <c r="P348" s="13">
        <v>335</v>
      </c>
      <c r="Q348" s="22"/>
      <c r="R348" s="19"/>
      <c r="S348" s="22"/>
      <c r="T348" s="19"/>
      <c r="U348" s="24">
        <v>5.0479694381784679E-2</v>
      </c>
      <c r="V348" s="24">
        <f t="shared" si="19"/>
        <v>4.8051121818466935E-2</v>
      </c>
      <c r="W348" s="106">
        <v>4.8051120000000003</v>
      </c>
      <c r="X348" s="106">
        <v>4.8051000000000003E-2</v>
      </c>
      <c r="Y348" s="34">
        <f t="shared" si="17"/>
        <v>-1.2181846693187781E-7</v>
      </c>
    </row>
    <row r="349" spans="15:25" ht="17.100000000000001" customHeight="1">
      <c r="O349" s="12">
        <f t="shared" si="18"/>
        <v>28</v>
      </c>
      <c r="P349" s="13">
        <v>336</v>
      </c>
      <c r="Q349" s="22"/>
      <c r="R349" s="19"/>
      <c r="S349" s="22"/>
      <c r="T349" s="19"/>
      <c r="U349" s="24">
        <v>5.0472458144298571E-2</v>
      </c>
      <c r="V349" s="24">
        <f t="shared" si="19"/>
        <v>4.8001264891125439E-2</v>
      </c>
      <c r="W349" s="106">
        <v>4.8001259999999997</v>
      </c>
      <c r="X349" s="106">
        <v>4.8001000000000002E-2</v>
      </c>
      <c r="Y349" s="34">
        <f t="shared" si="17"/>
        <v>-2.6489112543714999E-7</v>
      </c>
    </row>
    <row r="350" spans="15:25" ht="17.100000000000001" customHeight="1">
      <c r="O350" s="12">
        <f t="shared" si="18"/>
        <v>28.083333333333332</v>
      </c>
      <c r="P350" s="13">
        <v>337</v>
      </c>
      <c r="Q350" s="22"/>
      <c r="R350" s="19"/>
      <c r="S350" s="22"/>
      <c r="T350" s="19"/>
      <c r="U350" s="24">
        <v>5.0465116613543248E-2</v>
      </c>
      <c r="V350" s="24">
        <f t="shared" si="19"/>
        <v>4.7951881651951522E-2</v>
      </c>
      <c r="W350" s="106">
        <v>4.7951879999999996</v>
      </c>
      <c r="X350" s="106">
        <v>4.7952000000000002E-2</v>
      </c>
      <c r="Y350" s="34">
        <f t="shared" si="17"/>
        <v>1.183480484792665E-7</v>
      </c>
    </row>
    <row r="351" spans="15:25" ht="17.100000000000001" customHeight="1">
      <c r="O351" s="12">
        <f t="shared" si="18"/>
        <v>28.166666666666668</v>
      </c>
      <c r="P351" s="13">
        <v>338</v>
      </c>
      <c r="Q351" s="22"/>
      <c r="R351" s="19"/>
      <c r="S351" s="22"/>
      <c r="T351" s="19"/>
      <c r="U351" s="24">
        <v>5.0457672124480268E-2</v>
      </c>
      <c r="V351" s="24">
        <f t="shared" si="19"/>
        <v>4.7902967962769827E-2</v>
      </c>
      <c r="W351" s="106">
        <v>4.7902969999999998</v>
      </c>
      <c r="X351" s="106">
        <v>4.7903000000000001E-2</v>
      </c>
      <c r="Y351" s="34">
        <f t="shared" si="17"/>
        <v>3.2037230174308817E-8</v>
      </c>
    </row>
    <row r="352" spans="15:25" ht="17.100000000000001" customHeight="1">
      <c r="O352" s="12">
        <f t="shared" si="18"/>
        <v>28.25</v>
      </c>
      <c r="P352" s="13">
        <v>339</v>
      </c>
      <c r="Q352" s="22"/>
      <c r="R352" s="19"/>
      <c r="S352" s="22"/>
      <c r="T352" s="19"/>
      <c r="U352" s="24">
        <v>5.0450126972471532E-2</v>
      </c>
      <c r="V352" s="24">
        <f t="shared" si="19"/>
        <v>4.7854519714683574E-2</v>
      </c>
      <c r="W352" s="106">
        <v>4.7854520000000003</v>
      </c>
      <c r="X352" s="106">
        <v>4.7855000000000002E-2</v>
      </c>
      <c r="Y352" s="34">
        <f t="shared" si="17"/>
        <v>4.802853164273535E-7</v>
      </c>
    </row>
    <row r="353" spans="15:25" ht="17.100000000000001" customHeight="1">
      <c r="O353" s="12">
        <f t="shared" si="18"/>
        <v>28.333333333333332</v>
      </c>
      <c r="P353" s="13">
        <v>340</v>
      </c>
      <c r="Q353" s="22"/>
      <c r="R353" s="19"/>
      <c r="S353" s="22"/>
      <c r="T353" s="19"/>
      <c r="U353" s="24">
        <v>5.0442483413942529E-2</v>
      </c>
      <c r="V353" s="24">
        <f t="shared" si="19"/>
        <v>4.7806532826782266E-2</v>
      </c>
      <c r="W353" s="106">
        <v>4.780653</v>
      </c>
      <c r="X353" s="106">
        <v>4.7807000000000002E-2</v>
      </c>
      <c r="Y353" s="34">
        <f t="shared" si="17"/>
        <v>4.6717321773581677E-7</v>
      </c>
    </row>
    <row r="354" spans="15:25" ht="17.100000000000001" customHeight="1">
      <c r="O354" s="12">
        <f t="shared" si="18"/>
        <v>28.416666666666668</v>
      </c>
      <c r="P354" s="13">
        <v>341</v>
      </c>
      <c r="Q354" s="22"/>
      <c r="R354" s="19"/>
      <c r="S354" s="22"/>
      <c r="T354" s="19"/>
      <c r="U354" s="24">
        <v>5.0434743667030268E-2</v>
      </c>
      <c r="V354" s="24">
        <f t="shared" si="19"/>
        <v>4.7759003248189158E-2</v>
      </c>
      <c r="W354" s="106">
        <v>4.7759</v>
      </c>
      <c r="X354" s="106">
        <v>4.7759000000000003E-2</v>
      </c>
      <c r="Y354" s="34">
        <f t="shared" si="17"/>
        <v>-3.2481891551472408E-9</v>
      </c>
    </row>
    <row r="355" spans="15:25" ht="17.100000000000001" customHeight="1">
      <c r="O355" s="12">
        <f t="shared" si="18"/>
        <v>28.5</v>
      </c>
      <c r="P355" s="13">
        <v>342</v>
      </c>
      <c r="Q355" s="22"/>
      <c r="R355" s="19"/>
      <c r="S355" s="22"/>
      <c r="T355" s="19"/>
      <c r="U355" s="24">
        <v>5.042690991222587E-2</v>
      </c>
      <c r="V355" s="24">
        <f t="shared" si="19"/>
        <v>4.7711926956196971E-2</v>
      </c>
      <c r="W355" s="106">
        <v>4.7711930000000002</v>
      </c>
      <c r="X355" s="106">
        <v>4.7711999999999997E-2</v>
      </c>
      <c r="Y355" s="34">
        <f t="shared" si="17"/>
        <v>7.3043803026917598E-8</v>
      </c>
    </row>
    <row r="356" spans="15:25" ht="17.100000000000001" customHeight="1">
      <c r="O356" s="12">
        <f t="shared" si="18"/>
        <v>28.583333333333332</v>
      </c>
      <c r="P356" s="13">
        <v>343</v>
      </c>
      <c r="Q356" s="22"/>
      <c r="R356" s="19"/>
      <c r="S356" s="22"/>
      <c r="T356" s="19"/>
      <c r="U356" s="24">
        <v>5.0418984293000513E-2</v>
      </c>
      <c r="V356" s="24">
        <f t="shared" si="19"/>
        <v>4.7665299957090346E-2</v>
      </c>
      <c r="W356" s="106">
        <v>4.7665300000000004</v>
      </c>
      <c r="X356" s="106">
        <v>4.7664999999999999E-2</v>
      </c>
      <c r="Y356" s="34">
        <f t="shared" si="17"/>
        <v>-2.9995709034669193E-7</v>
      </c>
    </row>
    <row r="357" spans="15:25" ht="17.100000000000001" customHeight="1">
      <c r="O357" s="12">
        <f t="shared" si="18"/>
        <v>28.666666666666668</v>
      </c>
      <c r="P357" s="13">
        <v>344</v>
      </c>
      <c r="Q357" s="22"/>
      <c r="R357" s="19"/>
      <c r="S357" s="22"/>
      <c r="T357" s="19"/>
      <c r="U357" s="24">
        <v>5.0410968916423382E-2</v>
      </c>
      <c r="V357" s="24">
        <f t="shared" si="19"/>
        <v>4.7619118285705975E-2</v>
      </c>
      <c r="W357" s="106">
        <v>4.7619119999999997</v>
      </c>
      <c r="X357" s="106">
        <v>4.7619000000000002E-2</v>
      </c>
      <c r="Y357" s="34">
        <f t="shared" si="17"/>
        <v>-1.1828570597310906E-7</v>
      </c>
    </row>
    <row r="358" spans="15:25" ht="17.100000000000001" customHeight="1">
      <c r="O358" s="12">
        <f t="shared" si="18"/>
        <v>28.75</v>
      </c>
      <c r="P358" s="13">
        <v>345</v>
      </c>
      <c r="Q358" s="22"/>
      <c r="R358" s="19"/>
      <c r="S358" s="22"/>
      <c r="T358" s="19"/>
      <c r="U358" s="24">
        <v>5.0402865853767409E-2</v>
      </c>
      <c r="V358" s="24">
        <f t="shared" si="19"/>
        <v>4.7573378005679068E-2</v>
      </c>
      <c r="W358" s="106">
        <v>4.7573379999999998</v>
      </c>
      <c r="X358" s="106">
        <v>4.7572999999999997E-2</v>
      </c>
      <c r="Y358" s="34">
        <f t="shared" si="17"/>
        <v>-3.7800567907059213E-7</v>
      </c>
    </row>
    <row r="359" spans="15:25" ht="17.100000000000001" customHeight="1">
      <c r="O359" s="12">
        <f t="shared" si="18"/>
        <v>28.833333333333332</v>
      </c>
      <c r="P359" s="13">
        <v>346</v>
      </c>
      <c r="Q359" s="22"/>
      <c r="R359" s="19"/>
      <c r="S359" s="22"/>
      <c r="T359" s="19"/>
      <c r="U359" s="24">
        <v>5.0394677141105015E-2</v>
      </c>
      <c r="V359" s="24">
        <f t="shared" si="19"/>
        <v>4.752807520879454E-2</v>
      </c>
      <c r="W359" s="106">
        <v>4.7528079999999999</v>
      </c>
      <c r="X359" s="106">
        <v>4.7528000000000001E-2</v>
      </c>
      <c r="Y359" s="34">
        <f t="shared" si="17"/>
        <v>-7.5208794539372015E-8</v>
      </c>
    </row>
    <row r="360" spans="15:25" ht="17.100000000000001" customHeight="1">
      <c r="O360" s="12">
        <f t="shared" si="18"/>
        <v>28.916666666666668</v>
      </c>
      <c r="P360" s="13">
        <v>347</v>
      </c>
      <c r="Q360" s="22"/>
      <c r="R360" s="19"/>
      <c r="S360" s="22"/>
      <c r="T360" s="19"/>
      <c r="U360" s="24">
        <v>5.0386404779892757E-2</v>
      </c>
      <c r="V360" s="24">
        <f t="shared" si="19"/>
        <v>4.7483206016161628E-2</v>
      </c>
      <c r="W360" s="106">
        <v>4.7483209999999998</v>
      </c>
      <c r="X360" s="106">
        <v>4.7482999999999997E-2</v>
      </c>
      <c r="Y360" s="34">
        <f t="shared" si="17"/>
        <v>-2.0601616163018477E-7</v>
      </c>
    </row>
    <row r="361" spans="15:25" ht="17.100000000000001" customHeight="1">
      <c r="O361" s="12">
        <f t="shared" si="18"/>
        <v>29</v>
      </c>
      <c r="P361" s="13">
        <v>348</v>
      </c>
      <c r="Q361" s="22"/>
      <c r="R361" s="19"/>
      <c r="S361" s="22"/>
      <c r="T361" s="19"/>
      <c r="U361" s="24">
        <v>5.0378050737548197E-2</v>
      </c>
      <c r="V361" s="24">
        <f t="shared" si="19"/>
        <v>4.7438766576021418E-2</v>
      </c>
      <c r="W361" s="106">
        <v>4.7438770000000003</v>
      </c>
      <c r="X361" s="106">
        <v>4.7439000000000002E-2</v>
      </c>
      <c r="Y361" s="34">
        <f t="shared" si="17"/>
        <v>2.3342397858366892E-7</v>
      </c>
    </row>
    <row r="362" spans="15:25" ht="17.100000000000001" customHeight="1">
      <c r="O362" s="12">
        <f t="shared" si="18"/>
        <v>29.083333333333332</v>
      </c>
      <c r="P362" s="13">
        <v>349</v>
      </c>
      <c r="Q362" s="22"/>
      <c r="R362" s="19"/>
      <c r="S362" s="22"/>
      <c r="T362" s="19"/>
      <c r="U362" s="24">
        <v>5.0369616948011897E-2</v>
      </c>
      <c r="V362" s="24">
        <f t="shared" si="19"/>
        <v>4.7394753066158923E-2</v>
      </c>
      <c r="W362" s="106">
        <v>4.7394749999999997</v>
      </c>
      <c r="X362" s="106">
        <v>4.7395E-2</v>
      </c>
      <c r="Y362" s="34">
        <f t="shared" si="17"/>
        <v>2.4693384107626892E-7</v>
      </c>
    </row>
    <row r="363" spans="15:25" ht="17.100000000000001" customHeight="1">
      <c r="O363" s="12">
        <f t="shared" si="18"/>
        <v>29.166666666666668</v>
      </c>
      <c r="P363" s="13">
        <v>350</v>
      </c>
      <c r="Q363" s="22"/>
      <c r="R363" s="19"/>
      <c r="S363" s="22"/>
      <c r="T363" s="19"/>
      <c r="U363" s="24">
        <v>5.0361105312305421E-2</v>
      </c>
      <c r="V363" s="24">
        <f t="shared" si="19"/>
        <v>4.7351161691240762E-2</v>
      </c>
      <c r="W363" s="106">
        <v>4.7351159999999997</v>
      </c>
      <c r="X363" s="106">
        <v>4.7350999999999997E-2</v>
      </c>
      <c r="Y363" s="34">
        <f t="shared" si="17"/>
        <v>-1.6169124076453878E-7</v>
      </c>
    </row>
    <row r="364" spans="15:25" ht="17.100000000000001" customHeight="1">
      <c r="O364" s="12">
        <f t="shared" si="18"/>
        <v>29.25</v>
      </c>
      <c r="P364" s="13">
        <v>351</v>
      </c>
      <c r="Q364" s="22"/>
      <c r="R364" s="19"/>
      <c r="S364" s="22"/>
      <c r="T364" s="19"/>
      <c r="U364" s="24">
        <v>5.0352517699074006E-2</v>
      </c>
      <c r="V364" s="24">
        <f t="shared" si="19"/>
        <v>4.7307988685612701E-2</v>
      </c>
      <c r="W364" s="106">
        <v>4.7307990000000002</v>
      </c>
      <c r="X364" s="106">
        <v>4.7308000000000003E-2</v>
      </c>
      <c r="Y364" s="34">
        <f t="shared" si="17"/>
        <v>1.13143873020638E-8</v>
      </c>
    </row>
    <row r="365" spans="15:25" ht="17.100000000000001" customHeight="1">
      <c r="O365" s="12">
        <f t="shared" si="18"/>
        <v>29.333333333333332</v>
      </c>
      <c r="P365" s="13">
        <v>352</v>
      </c>
      <c r="Q365" s="22"/>
      <c r="R365" s="19"/>
      <c r="S365" s="22"/>
      <c r="T365" s="19"/>
      <c r="U365" s="24">
        <v>5.0343855945125915E-2</v>
      </c>
      <c r="V365" s="24">
        <f t="shared" si="19"/>
        <v>4.7265230310380879E-2</v>
      </c>
      <c r="W365" s="106">
        <v>4.7265230000000003</v>
      </c>
      <c r="X365" s="106">
        <v>4.7265000000000001E-2</v>
      </c>
      <c r="Y365" s="34">
        <f t="shared" si="17"/>
        <v>-2.3031038087761857E-7</v>
      </c>
    </row>
    <row r="366" spans="15:25" ht="17.100000000000001" customHeight="1">
      <c r="O366" s="12">
        <f t="shared" si="18"/>
        <v>29.416666666666668</v>
      </c>
      <c r="P366" s="13">
        <v>353</v>
      </c>
      <c r="Q366" s="22"/>
      <c r="R366" s="19"/>
      <c r="S366" s="22"/>
      <c r="T366" s="19"/>
      <c r="U366" s="24">
        <v>5.0335121855956455E-2</v>
      </c>
      <c r="V366" s="24">
        <f t="shared" si="19"/>
        <v>4.7222882854943027E-2</v>
      </c>
      <c r="W366" s="106">
        <v>4.7222879999999998</v>
      </c>
      <c r="X366" s="106">
        <v>4.7223000000000001E-2</v>
      </c>
      <c r="Y366" s="34">
        <f t="shared" si="17"/>
        <v>1.1714505697424382E-7</v>
      </c>
    </row>
    <row r="367" spans="15:25" ht="17.100000000000001" customHeight="1">
      <c r="O367" s="12">
        <f t="shared" si="18"/>
        <v>29.5</v>
      </c>
      <c r="P367" s="13">
        <v>354</v>
      </c>
      <c r="Q367" s="22"/>
      <c r="R367" s="19"/>
      <c r="S367" s="22"/>
      <c r="T367" s="19"/>
      <c r="U367" s="24">
        <v>5.032631720626668E-2</v>
      </c>
      <c r="V367" s="24">
        <f t="shared" si="19"/>
        <v>4.7180942636674716E-2</v>
      </c>
      <c r="W367" s="106">
        <v>4.7180939999999998</v>
      </c>
      <c r="X367" s="106">
        <v>4.7181000000000001E-2</v>
      </c>
      <c r="Y367" s="34">
        <f t="shared" si="17"/>
        <v>5.7363325284276456E-8</v>
      </c>
    </row>
    <row r="368" spans="15:25" ht="17.100000000000001" customHeight="1">
      <c r="O368" s="12">
        <f t="shared" si="18"/>
        <v>29.583333333333332</v>
      </c>
      <c r="P368" s="13">
        <v>355</v>
      </c>
      <c r="Q368" s="22"/>
      <c r="R368" s="19"/>
      <c r="S368" s="22"/>
      <c r="T368" s="19"/>
      <c r="U368" s="24">
        <v>5.031744374047209E-2</v>
      </c>
      <c r="V368" s="24">
        <f t="shared" si="19"/>
        <v>4.7139406000813899E-2</v>
      </c>
      <c r="W368" s="106">
        <v>4.7139410000000002</v>
      </c>
      <c r="X368" s="106">
        <v>4.7139E-2</v>
      </c>
      <c r="Y368" s="34">
        <f t="shared" si="17"/>
        <v>-4.060008138989657E-7</v>
      </c>
    </row>
    <row r="369" spans="15:25" ht="17.100000000000001" customHeight="1">
      <c r="O369" s="12">
        <f t="shared" si="18"/>
        <v>29.666666666666668</v>
      </c>
      <c r="P369" s="13">
        <v>356</v>
      </c>
      <c r="Q369" s="22"/>
      <c r="R369" s="19"/>
      <c r="S369" s="22"/>
      <c r="T369" s="19"/>
      <c r="U369" s="24">
        <v>5.0308503173203123E-2</v>
      </c>
      <c r="V369" s="24">
        <f t="shared" si="19"/>
        <v>4.709826931976191E-2</v>
      </c>
      <c r="W369" s="106">
        <v>4.7098269999999998</v>
      </c>
      <c r="X369" s="106">
        <v>4.7098000000000001E-2</v>
      </c>
      <c r="Y369" s="34">
        <f t="shared" si="17"/>
        <v>-2.6931976190858187E-7</v>
      </c>
    </row>
    <row r="370" spans="15:25" ht="17.100000000000001" customHeight="1">
      <c r="O370" s="12">
        <f t="shared" si="18"/>
        <v>29.75</v>
      </c>
      <c r="P370" s="13">
        <v>357</v>
      </c>
      <c r="Q370" s="22"/>
      <c r="R370" s="19"/>
      <c r="S370" s="22"/>
      <c r="T370" s="19"/>
      <c r="U370" s="24">
        <v>5.0299497189795428E-2</v>
      </c>
      <c r="V370" s="24">
        <f t="shared" si="19"/>
        <v>4.7057528993594167E-2</v>
      </c>
      <c r="W370" s="106">
        <v>4.7057529999999996</v>
      </c>
      <c r="X370" s="106">
        <v>4.7058000000000003E-2</v>
      </c>
      <c r="Y370" s="34">
        <f t="shared" si="17"/>
        <v>4.71006405836083E-7</v>
      </c>
    </row>
    <row r="371" spans="15:25" ht="17.100000000000001" customHeight="1">
      <c r="O371" s="12">
        <f t="shared" si="18"/>
        <v>29.833333333333332</v>
      </c>
      <c r="P371" s="13">
        <v>358</v>
      </c>
      <c r="Q371" s="22"/>
      <c r="R371" s="19"/>
      <c r="S371" s="22"/>
      <c r="T371" s="19"/>
      <c r="U371" s="24">
        <v>5.0290427446773256E-2</v>
      </c>
      <c r="V371" s="24">
        <f t="shared" si="19"/>
        <v>4.701718145045275E-2</v>
      </c>
      <c r="W371" s="106">
        <v>4.7017179999999996</v>
      </c>
      <c r="X371" s="106">
        <v>4.7017000000000003E-2</v>
      </c>
      <c r="Y371" s="34">
        <f t="shared" si="17"/>
        <v>-1.8145045274642335E-7</v>
      </c>
    </row>
    <row r="372" spans="15:25" ht="17.100000000000001" customHeight="1">
      <c r="O372" s="12">
        <f t="shared" si="18"/>
        <v>29.916666666666668</v>
      </c>
      <c r="P372" s="13">
        <v>359</v>
      </c>
      <c r="Q372" s="22"/>
      <c r="R372" s="19"/>
      <c r="S372" s="22"/>
      <c r="T372" s="19"/>
      <c r="U372" s="24">
        <v>5.0281295572325524E-2</v>
      </c>
      <c r="V372" s="24">
        <f t="shared" si="19"/>
        <v>4.697722314446251E-2</v>
      </c>
      <c r="W372" s="106">
        <v>4.6977219999999997</v>
      </c>
      <c r="X372" s="106">
        <v>4.6976999999999998E-2</v>
      </c>
      <c r="Y372" s="34">
        <f t="shared" si="17"/>
        <v>-2.2314446251198161E-7</v>
      </c>
    </row>
    <row r="373" spans="15:25" ht="17.100000000000001" customHeight="1">
      <c r="O373" s="12">
        <f t="shared" si="18"/>
        <v>30</v>
      </c>
      <c r="P373" s="13">
        <v>360</v>
      </c>
      <c r="Q373" s="22"/>
      <c r="R373" s="19"/>
      <c r="S373" s="22"/>
      <c r="T373" s="19"/>
      <c r="U373" s="24">
        <v>5.0272103166769E-2</v>
      </c>
      <c r="V373" s="24">
        <f t="shared" si="19"/>
        <v>4.6937650558395161E-2</v>
      </c>
      <c r="W373" s="106">
        <v>4.693765</v>
      </c>
      <c r="X373" s="106">
        <v>4.6938000000000001E-2</v>
      </c>
      <c r="Y373" s="34">
        <f t="shared" si="17"/>
        <v>3.4944160483968423E-7</v>
      </c>
    </row>
    <row r="374" spans="15:25" ht="17.100000000000001" customHeight="1">
      <c r="O374" s="12">
        <f t="shared" si="18"/>
        <v>30.083333333333332</v>
      </c>
      <c r="P374" s="13">
        <v>361</v>
      </c>
      <c r="Q374" s="22"/>
      <c r="R374" s="19"/>
      <c r="S374" s="22"/>
      <c r="T374" s="19"/>
      <c r="U374" s="24">
        <v>5.0262851803010822E-2</v>
      </c>
      <c r="V374" s="24">
        <f t="shared" si="19"/>
        <v>4.6898460201095338E-2</v>
      </c>
      <c r="W374" s="106">
        <v>4.6898460000000002</v>
      </c>
      <c r="X374" s="106">
        <v>4.6898000000000002E-2</v>
      </c>
      <c r="Y374" s="34">
        <f t="shared" si="17"/>
        <v>-4.6020109533556619E-7</v>
      </c>
    </row>
    <row r="375" spans="15:25" ht="17.100000000000001" customHeight="1">
      <c r="O375" s="12">
        <f t="shared" si="18"/>
        <v>30.166666666666668</v>
      </c>
      <c r="P375" s="13">
        <v>362</v>
      </c>
      <c r="Q375" s="22"/>
      <c r="R375" s="19"/>
      <c r="S375" s="22"/>
      <c r="T375" s="19"/>
      <c r="U375" s="24">
        <v>5.0253543026996139E-2</v>
      </c>
      <c r="V375" s="24">
        <f t="shared" si="19"/>
        <v>4.6859648608924998E-2</v>
      </c>
      <c r="W375" s="106">
        <v>4.6859650000000004</v>
      </c>
      <c r="X375" s="106">
        <v>4.6859999999999999E-2</v>
      </c>
      <c r="Y375" s="34">
        <f t="shared" si="17"/>
        <v>3.5139107500137268E-7</v>
      </c>
    </row>
    <row r="376" spans="15:25" ht="17.100000000000001" customHeight="1">
      <c r="O376" s="12">
        <f t="shared" si="18"/>
        <v>30.25</v>
      </c>
      <c r="P376" s="13">
        <v>363</v>
      </c>
      <c r="Q376" s="22"/>
      <c r="R376" s="19"/>
      <c r="S376" s="22"/>
      <c r="T376" s="19"/>
      <c r="U376" s="24">
        <v>5.0244178358153091E-2</v>
      </c>
      <c r="V376" s="24">
        <f t="shared" si="19"/>
        <v>4.6821212344767993E-2</v>
      </c>
      <c r="W376" s="106">
        <v>4.6821210000000004</v>
      </c>
      <c r="X376" s="106">
        <v>4.6821000000000002E-2</v>
      </c>
      <c r="Y376" s="34">
        <f t="shared" si="17"/>
        <v>-2.1234476799136814E-7</v>
      </c>
    </row>
    <row r="377" spans="15:25" ht="17.100000000000001" customHeight="1">
      <c r="O377" s="12">
        <f t="shared" si="18"/>
        <v>30.333333333333332</v>
      </c>
      <c r="P377" s="13">
        <v>364</v>
      </c>
      <c r="Q377" s="22"/>
      <c r="R377" s="19"/>
      <c r="S377" s="22"/>
      <c r="T377" s="19"/>
      <c r="U377" s="24">
        <v>5.0234759289826902E-2</v>
      </c>
      <c r="V377" s="24">
        <f t="shared" si="19"/>
        <v>4.6783147998701091E-2</v>
      </c>
      <c r="W377" s="106">
        <v>4.6783149999999996</v>
      </c>
      <c r="X377" s="106">
        <v>4.6782999999999998E-2</v>
      </c>
      <c r="Y377" s="34">
        <f t="shared" si="17"/>
        <v>-1.4799870109299951E-7</v>
      </c>
    </row>
    <row r="378" spans="15:25" ht="17.100000000000001" customHeight="1">
      <c r="O378" s="12">
        <f t="shared" si="18"/>
        <v>30.416666666666668</v>
      </c>
      <c r="P378" s="13">
        <v>365</v>
      </c>
      <c r="Q378" s="22"/>
      <c r="R378" s="19"/>
      <c r="S378" s="22"/>
      <c r="T378" s="19"/>
      <c r="U378" s="24">
        <v>5.0225287289709319E-2</v>
      </c>
      <c r="V378" s="24">
        <f t="shared" si="19"/>
        <v>4.6745452186660597E-2</v>
      </c>
      <c r="W378" s="106">
        <v>4.6745450000000002</v>
      </c>
      <c r="X378" s="106">
        <v>4.6745000000000002E-2</v>
      </c>
      <c r="Y378" s="34">
        <f t="shared" si="17"/>
        <v>-4.5218666059471113E-7</v>
      </c>
    </row>
    <row r="379" spans="15:25" ht="17.100000000000001" customHeight="1">
      <c r="O379" s="12">
        <f t="shared" si="18"/>
        <v>30.5</v>
      </c>
      <c r="P379" s="13">
        <v>366</v>
      </c>
      <c r="Q379" s="22"/>
      <c r="R379" s="19"/>
      <c r="S379" s="22"/>
      <c r="T379" s="19"/>
      <c r="U379" s="24">
        <v>5.0215763800257607E-2</v>
      </c>
      <c r="V379" s="24">
        <f t="shared" si="19"/>
        <v>4.670812155189541E-2</v>
      </c>
      <c r="W379" s="106">
        <v>4.6708119999999997</v>
      </c>
      <c r="X379" s="106">
        <v>4.6708E-2</v>
      </c>
      <c r="Y379" s="34">
        <f t="shared" si="17"/>
        <v>-1.2155189541007694E-7</v>
      </c>
    </row>
    <row r="380" spans="15:25" ht="17.100000000000001" customHeight="1">
      <c r="O380" s="12">
        <f t="shared" si="18"/>
        <v>30.583333333333332</v>
      </c>
      <c r="P380" s="13">
        <v>367</v>
      </c>
      <c r="Q380" s="22"/>
      <c r="R380" s="19"/>
      <c r="S380" s="22"/>
      <c r="T380" s="19"/>
      <c r="U380" s="24">
        <v>5.0206190239109993E-2</v>
      </c>
      <c r="V380" s="24">
        <f t="shared" si="19"/>
        <v>4.6671152763662738E-2</v>
      </c>
      <c r="W380" s="106">
        <v>4.6671149999999999</v>
      </c>
      <c r="X380" s="106">
        <v>4.6670999999999997E-2</v>
      </c>
      <c r="Y380" s="34">
        <f t="shared" si="17"/>
        <v>-1.5276366274047382E-7</v>
      </c>
    </row>
    <row r="381" spans="15:25" ht="17.100000000000001" customHeight="1">
      <c r="O381" s="12">
        <f t="shared" si="18"/>
        <v>30.666666666666668</v>
      </c>
      <c r="P381" s="13">
        <v>368</v>
      </c>
      <c r="Q381" s="22"/>
      <c r="R381" s="19"/>
      <c r="S381" s="22"/>
      <c r="T381" s="19"/>
      <c r="U381" s="24">
        <v>5.019656799949157E-2</v>
      </c>
      <c r="V381" s="24">
        <f t="shared" si="19"/>
        <v>4.6634542517669297E-2</v>
      </c>
      <c r="W381" s="106">
        <v>4.6634539999999998</v>
      </c>
      <c r="X381" s="106">
        <v>4.6635000000000003E-2</v>
      </c>
      <c r="Y381" s="34">
        <f t="shared" si="17"/>
        <v>4.5748233070547206E-7</v>
      </c>
    </row>
    <row r="382" spans="15:25" ht="17.100000000000001" customHeight="1">
      <c r="O382" s="12">
        <f t="shared" si="18"/>
        <v>30.75</v>
      </c>
      <c r="P382" s="13">
        <v>369</v>
      </c>
      <c r="Q382" s="22"/>
      <c r="R382" s="19"/>
      <c r="S382" s="22"/>
      <c r="T382" s="19"/>
      <c r="U382" s="24">
        <v>5.0186898450614414E-2</v>
      </c>
      <c r="V382" s="24">
        <f t="shared" si="19"/>
        <v>4.6598287535377647E-2</v>
      </c>
      <c r="W382" s="106">
        <v>4.6598290000000002</v>
      </c>
      <c r="X382" s="106">
        <v>4.6598000000000001E-2</v>
      </c>
      <c r="Y382" s="34">
        <f t="shared" si="17"/>
        <v>-2.875353776465861E-7</v>
      </c>
    </row>
    <row r="383" spans="15:25" ht="17.100000000000001" customHeight="1">
      <c r="O383" s="12">
        <f t="shared" si="18"/>
        <v>30.833333333333332</v>
      </c>
      <c r="P383" s="13">
        <v>370</v>
      </c>
      <c r="Q383" s="22"/>
      <c r="R383" s="19"/>
      <c r="S383" s="22"/>
      <c r="T383" s="19"/>
      <c r="U383" s="24">
        <v>5.017718293806972E-2</v>
      </c>
      <c r="V383" s="24">
        <f t="shared" si="19"/>
        <v>4.6562384564688752E-2</v>
      </c>
      <c r="W383" s="106">
        <v>4.6562380000000001</v>
      </c>
      <c r="X383" s="106">
        <v>4.6561999999999999E-2</v>
      </c>
      <c r="Y383" s="34">
        <f t="shared" si="17"/>
        <v>-3.8456468875319727E-7</v>
      </c>
    </row>
    <row r="384" spans="15:25" ht="17.100000000000001" customHeight="1">
      <c r="O384" s="12">
        <f t="shared" si="18"/>
        <v>30.916666666666668</v>
      </c>
      <c r="P384" s="13">
        <v>371</v>
      </c>
      <c r="Q384" s="22"/>
      <c r="R384" s="19"/>
      <c r="S384" s="22"/>
      <c r="T384" s="19"/>
      <c r="U384" s="24">
        <v>5.0167422784215265E-2</v>
      </c>
      <c r="V384" s="24">
        <f t="shared" si="19"/>
        <v>4.652683037916483E-2</v>
      </c>
      <c r="W384" s="106">
        <v>4.6526829999999997</v>
      </c>
      <c r="X384" s="106">
        <v>4.6526999999999999E-2</v>
      </c>
      <c r="Y384" s="34">
        <f t="shared" si="17"/>
        <v>1.6962083516924853E-7</v>
      </c>
    </row>
    <row r="385" spans="15:25" ht="17.100000000000001" customHeight="1">
      <c r="O385" s="12">
        <f t="shared" si="18"/>
        <v>31</v>
      </c>
      <c r="P385" s="13">
        <v>372</v>
      </c>
      <c r="Q385" s="22"/>
      <c r="R385" s="19"/>
      <c r="S385" s="22"/>
      <c r="T385" s="19"/>
      <c r="U385" s="24">
        <v>5.0157619288554667E-2</v>
      </c>
      <c r="V385" s="24">
        <f t="shared" si="19"/>
        <v>4.6491621778253389E-2</v>
      </c>
      <c r="W385" s="106">
        <v>4.6491619999999996</v>
      </c>
      <c r="X385" s="106">
        <v>4.6491999999999999E-2</v>
      </c>
      <c r="Y385" s="34">
        <f t="shared" si="17"/>
        <v>3.7822174660945285E-7</v>
      </c>
    </row>
    <row r="386" spans="15:25" ht="17.100000000000001" customHeight="1">
      <c r="O386" s="12">
        <f t="shared" si="18"/>
        <v>31.083333333333332</v>
      </c>
      <c r="P386" s="13">
        <v>373</v>
      </c>
      <c r="Q386" s="22"/>
      <c r="R386" s="19"/>
      <c r="S386" s="22"/>
      <c r="T386" s="19"/>
      <c r="U386" s="24">
        <v>5.0147773728111078E-2</v>
      </c>
      <c r="V386" s="24">
        <f t="shared" si="19"/>
        <v>4.6456755586965048E-2</v>
      </c>
      <c r="W386" s="106">
        <v>4.6456759999999999</v>
      </c>
      <c r="X386" s="106">
        <v>4.6456999999999998E-2</v>
      </c>
      <c r="Y386" s="34">
        <f t="shared" si="17"/>
        <v>2.4441303494993072E-7</v>
      </c>
    </row>
    <row r="387" spans="15:25" ht="17.100000000000001" customHeight="1">
      <c r="O387" s="12">
        <f t="shared" si="18"/>
        <v>31.166666666666668</v>
      </c>
      <c r="P387" s="13">
        <v>374</v>
      </c>
      <c r="Q387" s="22"/>
      <c r="R387" s="19"/>
      <c r="S387" s="22"/>
      <c r="T387" s="19"/>
      <c r="U387" s="24">
        <v>5.0137887357794453E-2</v>
      </c>
      <c r="V387" s="24">
        <f t="shared" si="19"/>
        <v>4.6422228655883302E-2</v>
      </c>
      <c r="W387" s="106">
        <v>4.6422230000000004</v>
      </c>
      <c r="X387" s="106">
        <v>4.6421999999999998E-2</v>
      </c>
      <c r="Y387" s="34">
        <f t="shared" si="17"/>
        <v>-2.2865588330395203E-7</v>
      </c>
    </row>
    <row r="388" spans="15:25" ht="17.100000000000001" customHeight="1">
      <c r="O388" s="12">
        <f t="shared" si="18"/>
        <v>31.25</v>
      </c>
      <c r="P388" s="13">
        <v>375</v>
      </c>
      <c r="Q388" s="22"/>
      <c r="R388" s="19"/>
      <c r="S388" s="22"/>
      <c r="T388" s="19"/>
      <c r="U388" s="24">
        <v>5.0127961410762589E-2</v>
      </c>
      <c r="V388" s="24">
        <f t="shared" si="19"/>
        <v>4.6388037860765952E-2</v>
      </c>
      <c r="W388" s="106">
        <v>4.6388040000000004</v>
      </c>
      <c r="X388" s="106">
        <v>4.6387999999999999E-2</v>
      </c>
      <c r="Y388" s="34">
        <f t="shared" si="17"/>
        <v>-3.7860765952912878E-8</v>
      </c>
    </row>
    <row r="389" spans="15:25" ht="17.100000000000001" customHeight="1">
      <c r="O389" s="12">
        <f t="shared" si="18"/>
        <v>31.333333333333332</v>
      </c>
      <c r="P389" s="13">
        <v>376</v>
      </c>
      <c r="Q389" s="22"/>
      <c r="R389" s="19"/>
      <c r="S389" s="22"/>
      <c r="T389" s="19"/>
      <c r="U389" s="24">
        <v>5.0117997098775735E-2</v>
      </c>
      <c r="V389" s="24">
        <f t="shared" si="19"/>
        <v>4.6354180102759157E-2</v>
      </c>
      <c r="W389" s="106">
        <v>4.6354179999999996</v>
      </c>
      <c r="X389" s="106">
        <v>4.6353999999999999E-2</v>
      </c>
      <c r="Y389" s="34">
        <f t="shared" si="17"/>
        <v>-1.8010275915775198E-7</v>
      </c>
    </row>
    <row r="390" spans="15:25" ht="17.100000000000001" customHeight="1">
      <c r="O390" s="12">
        <f t="shared" si="18"/>
        <v>31.416666666666668</v>
      </c>
      <c r="P390" s="13">
        <v>377</v>
      </c>
      <c r="Q390" s="22"/>
      <c r="R390" s="19"/>
      <c r="S390" s="22"/>
      <c r="T390" s="19"/>
      <c r="U390" s="24">
        <v>5.0107995612545864E-2</v>
      </c>
      <c r="V390" s="24">
        <f t="shared" si="19"/>
        <v>4.6320652308457611E-2</v>
      </c>
      <c r="W390" s="106">
        <v>4.6320649999999999</v>
      </c>
      <c r="X390" s="106">
        <v>4.6321000000000001E-2</v>
      </c>
      <c r="Y390" s="34">
        <f t="shared" si="17"/>
        <v>3.4769154239056022E-7</v>
      </c>
    </row>
    <row r="391" spans="15:25" ht="17.100000000000001" customHeight="1">
      <c r="O391" s="12">
        <f t="shared" si="18"/>
        <v>31.5</v>
      </c>
      <c r="P391" s="13">
        <v>378</v>
      </c>
      <c r="Q391" s="22"/>
      <c r="R391" s="19"/>
      <c r="S391" s="22"/>
      <c r="T391" s="19"/>
      <c r="U391" s="24">
        <v>5.0097958122080621E-2</v>
      </c>
      <c r="V391" s="24">
        <f t="shared" si="19"/>
        <v>4.6287451428705051E-2</v>
      </c>
      <c r="W391" s="106">
        <v>4.6287450000000003</v>
      </c>
      <c r="X391" s="106">
        <v>4.6287000000000002E-2</v>
      </c>
      <c r="Y391" s="34">
        <f t="shared" si="17"/>
        <v>-4.5142870504916166E-7</v>
      </c>
    </row>
    <row r="392" spans="15:25" ht="17.100000000000001" customHeight="1">
      <c r="O392" s="12">
        <f t="shared" si="18"/>
        <v>31.583333333333332</v>
      </c>
      <c r="P392" s="13">
        <v>379</v>
      </c>
      <c r="Q392" s="22"/>
      <c r="R392" s="19"/>
      <c r="S392" s="22"/>
      <c r="T392" s="19"/>
      <c r="U392" s="24">
        <v>5.0087885777019281E-2</v>
      </c>
      <c r="V392" s="24">
        <f t="shared" si="19"/>
        <v>4.62545744397449E-2</v>
      </c>
      <c r="W392" s="106">
        <v>4.6254569999999999</v>
      </c>
      <c r="X392" s="106">
        <v>4.6254999999999998E-2</v>
      </c>
      <c r="Y392" s="34">
        <f t="shared" si="17"/>
        <v>4.255602550976012E-7</v>
      </c>
    </row>
    <row r="393" spans="15:25" ht="17.100000000000001" customHeight="1">
      <c r="O393" s="12">
        <f t="shared" si="18"/>
        <v>31.666666666666668</v>
      </c>
      <c r="P393" s="13">
        <v>380</v>
      </c>
      <c r="Q393" s="22"/>
      <c r="R393" s="19"/>
      <c r="S393" s="22"/>
      <c r="T393" s="19"/>
      <c r="U393" s="24">
        <v>5.0077779706965808E-2</v>
      </c>
      <c r="V393" s="24">
        <f t="shared" si="19"/>
        <v>4.6222018342485516E-2</v>
      </c>
      <c r="W393" s="106">
        <v>4.6222019999999997</v>
      </c>
      <c r="X393" s="106">
        <v>4.6221999999999999E-2</v>
      </c>
      <c r="Y393" s="34">
        <f t="shared" si="17"/>
        <v>-1.8342485516575913E-8</v>
      </c>
    </row>
    <row r="394" spans="15:25" ht="17.100000000000001" customHeight="1">
      <c r="O394" s="12">
        <f t="shared" si="18"/>
        <v>31.75</v>
      </c>
      <c r="P394" s="13">
        <v>381</v>
      </c>
      <c r="Q394" s="22"/>
      <c r="R394" s="19"/>
      <c r="S394" s="22"/>
      <c r="T394" s="19"/>
      <c r="U394" s="24">
        <v>5.0067641021814824E-2</v>
      </c>
      <c r="V394" s="24">
        <f t="shared" si="19"/>
        <v>4.6189780162027905E-2</v>
      </c>
      <c r="W394" s="106">
        <v>4.6189780000000003</v>
      </c>
      <c r="X394" s="106">
        <v>4.6190000000000002E-2</v>
      </c>
      <c r="Y394" s="34">
        <f t="shared" si="17"/>
        <v>2.1983797209718103E-7</v>
      </c>
    </row>
    <row r="395" spans="15:25" ht="17.100000000000001" customHeight="1">
      <c r="O395" s="12">
        <f t="shared" si="18"/>
        <v>31.833333333333332</v>
      </c>
      <c r="P395" s="13">
        <v>382</v>
      </c>
      <c r="Q395" s="22"/>
      <c r="R395" s="19"/>
      <c r="S395" s="22"/>
      <c r="T395" s="19"/>
      <c r="U395" s="24">
        <v>5.0057470812072014E-2</v>
      </c>
      <c r="V395" s="24">
        <f t="shared" si="19"/>
        <v>4.6157856948417342E-2</v>
      </c>
      <c r="W395" s="106">
        <v>4.6157859999999999</v>
      </c>
      <c r="X395" s="106">
        <v>4.6157999999999998E-2</v>
      </c>
      <c r="Y395" s="34">
        <f t="shared" si="17"/>
        <v>1.4305158265587314E-7</v>
      </c>
    </row>
    <row r="396" spans="15:25" ht="17.100000000000001" customHeight="1">
      <c r="O396" s="12">
        <f t="shared" si="18"/>
        <v>31.916666666666668</v>
      </c>
      <c r="P396" s="13">
        <v>383</v>
      </c>
      <c r="Q396" s="22"/>
      <c r="R396" s="19"/>
      <c r="S396" s="22"/>
      <c r="T396" s="19"/>
      <c r="U396" s="24">
        <v>5.004727014917032E-2</v>
      </c>
      <c r="V396" s="24">
        <f t="shared" si="19"/>
        <v>4.6126245775721442E-2</v>
      </c>
      <c r="W396" s="106">
        <v>4.6126250000000004</v>
      </c>
      <c r="X396" s="106">
        <v>4.6126E-2</v>
      </c>
      <c r="Y396" s="34">
        <f t="shared" si="17"/>
        <v>-2.4577572144135473E-7</v>
      </c>
    </row>
    <row r="397" spans="15:25" ht="17.100000000000001" customHeight="1">
      <c r="O397" s="12">
        <f t="shared" si="18"/>
        <v>32</v>
      </c>
      <c r="P397" s="13">
        <v>384</v>
      </c>
      <c r="Q397" s="22"/>
      <c r="R397" s="19"/>
      <c r="S397" s="22"/>
      <c r="T397" s="19"/>
      <c r="U397" s="24">
        <v>5.0037040085780138E-2</v>
      </c>
      <c r="V397" s="24">
        <f t="shared" si="19"/>
        <v>4.6094943742089667E-2</v>
      </c>
      <c r="W397" s="106">
        <v>4.6094939999999998</v>
      </c>
      <c r="X397" s="106">
        <v>4.6094999999999997E-2</v>
      </c>
      <c r="Y397" s="34">
        <f t="shared" ref="Y397:Y460" si="20">X397-V397</f>
        <v>5.625791033025962E-8</v>
      </c>
    </row>
    <row r="398" spans="15:25" ht="17.100000000000001" customHeight="1">
      <c r="O398" s="12">
        <f t="shared" ref="O398:O461" si="21">P398/12</f>
        <v>32.083333333333336</v>
      </c>
      <c r="P398" s="13">
        <v>385</v>
      </c>
      <c r="Q398" s="22"/>
      <c r="R398" s="19"/>
      <c r="S398" s="22"/>
      <c r="T398" s="19"/>
      <c r="U398" s="24">
        <v>5.0026781656113517E-2</v>
      </c>
      <c r="V398" s="24">
        <f t="shared" ref="V398:V461" si="22">(1+U399)^P399/(1+U398)^P398-1</f>
        <v>4.606394796984814E-2</v>
      </c>
      <c r="W398" s="106">
        <v>4.606395</v>
      </c>
      <c r="X398" s="106">
        <v>4.6064000000000001E-2</v>
      </c>
      <c r="Y398" s="34">
        <f t="shared" si="20"/>
        <v>5.203015186056037E-8</v>
      </c>
    </row>
    <row r="399" spans="15:25" ht="17.100000000000001" customHeight="1">
      <c r="O399" s="12">
        <f t="shared" si="21"/>
        <v>32.166666666666664</v>
      </c>
      <c r="P399" s="13">
        <v>386</v>
      </c>
      <c r="Q399" s="22"/>
      <c r="R399" s="19"/>
      <c r="S399" s="22"/>
      <c r="T399" s="19"/>
      <c r="U399" s="24">
        <v>5.0016495876225253E-2</v>
      </c>
      <c r="V399" s="24">
        <f t="shared" si="22"/>
        <v>4.6033255605224754E-2</v>
      </c>
      <c r="W399" s="106">
        <v>4.603326</v>
      </c>
      <c r="X399" s="106">
        <v>4.6032999999999998E-2</v>
      </c>
      <c r="Y399" s="34">
        <f t="shared" si="20"/>
        <v>-2.5560522475681635E-7</v>
      </c>
    </row>
    <row r="400" spans="15:25" ht="17.100000000000001" customHeight="1">
      <c r="O400" s="12">
        <f t="shared" si="21"/>
        <v>32.25</v>
      </c>
      <c r="P400" s="13">
        <v>387</v>
      </c>
      <c r="Q400" s="22"/>
      <c r="R400" s="19"/>
      <c r="S400" s="22"/>
      <c r="T400" s="19"/>
      <c r="U400" s="24">
        <v>5.0006183744307986E-2</v>
      </c>
      <c r="V400" s="24">
        <f t="shared" si="22"/>
        <v>4.6002863818145334E-2</v>
      </c>
      <c r="W400" s="106">
        <v>4.6002859999999997</v>
      </c>
      <c r="X400" s="106">
        <v>4.6003000000000002E-2</v>
      </c>
      <c r="Y400" s="34">
        <f t="shared" si="20"/>
        <v>1.3618185466801602E-7</v>
      </c>
    </row>
    <row r="401" spans="15:25" ht="17.100000000000001" customHeight="1">
      <c r="O401" s="12">
        <f t="shared" si="21"/>
        <v>32.333333333333336</v>
      </c>
      <c r="P401" s="13">
        <v>388</v>
      </c>
      <c r="Q401" s="22"/>
      <c r="R401" s="19"/>
      <c r="S401" s="22"/>
      <c r="T401" s="19"/>
      <c r="U401" s="24">
        <v>4.9995846240981745E-2</v>
      </c>
      <c r="V401" s="24">
        <f t="shared" si="22"/>
        <v>4.5972769802091529E-2</v>
      </c>
      <c r="W401" s="106">
        <v>4.5972770000000001</v>
      </c>
      <c r="X401" s="106">
        <v>4.5973E-2</v>
      </c>
      <c r="Y401" s="34">
        <f t="shared" si="20"/>
        <v>2.3019790847123023E-7</v>
      </c>
    </row>
    <row r="402" spans="15:25" ht="17.100000000000001" customHeight="1">
      <c r="O402" s="12">
        <f t="shared" si="21"/>
        <v>32.416666666666664</v>
      </c>
      <c r="P402" s="13">
        <v>389</v>
      </c>
      <c r="Q402" s="22"/>
      <c r="R402" s="19"/>
      <c r="S402" s="22"/>
      <c r="T402" s="19"/>
      <c r="U402" s="24">
        <v>4.9985484329579499E-2</v>
      </c>
      <c r="V402" s="24">
        <f t="shared" si="22"/>
        <v>4.5942970773906078E-2</v>
      </c>
      <c r="W402" s="106">
        <v>4.5942970000000001</v>
      </c>
      <c r="X402" s="106">
        <v>4.5942999999999998E-2</v>
      </c>
      <c r="Y402" s="34">
        <f t="shared" si="20"/>
        <v>2.9226093919976215E-8</v>
      </c>
    </row>
    <row r="403" spans="15:25" ht="17.100000000000001" customHeight="1">
      <c r="O403" s="12">
        <f t="shared" si="21"/>
        <v>32.5</v>
      </c>
      <c r="P403" s="13">
        <v>390</v>
      </c>
      <c r="Q403" s="22"/>
      <c r="R403" s="19"/>
      <c r="S403" s="22"/>
      <c r="T403" s="19"/>
      <c r="U403" s="24">
        <v>4.9975098956428043E-2</v>
      </c>
      <c r="V403" s="24">
        <f t="shared" si="22"/>
        <v>4.5913463974265101E-2</v>
      </c>
      <c r="W403" s="106">
        <v>4.5913459999999997</v>
      </c>
      <c r="X403" s="106">
        <v>4.5913000000000002E-2</v>
      </c>
      <c r="Y403" s="34">
        <f t="shared" si="20"/>
        <v>-4.639742650983103E-7</v>
      </c>
    </row>
    <row r="404" spans="15:25" ht="17.100000000000001" customHeight="1">
      <c r="O404" s="12">
        <f t="shared" si="21"/>
        <v>32.583333333333336</v>
      </c>
      <c r="P404" s="13">
        <v>391</v>
      </c>
      <c r="Q404" s="22"/>
      <c r="R404" s="19"/>
      <c r="S404" s="22"/>
      <c r="T404" s="19"/>
      <c r="U404" s="24">
        <v>4.9964691051124666E-2</v>
      </c>
      <c r="V404" s="24">
        <f t="shared" si="22"/>
        <v>4.5884246666465511E-2</v>
      </c>
      <c r="W404" s="106">
        <v>4.588425</v>
      </c>
      <c r="X404" s="106">
        <v>4.5884000000000001E-2</v>
      </c>
      <c r="Y404" s="34">
        <f t="shared" si="20"/>
        <v>-2.4666646551013693E-7</v>
      </c>
    </row>
    <row r="405" spans="15:25" ht="17.100000000000001" customHeight="1">
      <c r="O405" s="12">
        <f t="shared" si="21"/>
        <v>32.666666666666664</v>
      </c>
      <c r="P405" s="13">
        <v>392</v>
      </c>
      <c r="Q405" s="22"/>
      <c r="R405" s="19"/>
      <c r="S405" s="22"/>
      <c r="T405" s="19"/>
      <c r="U405" s="24">
        <v>4.9954261526807597E-2</v>
      </c>
      <c r="V405" s="24">
        <f t="shared" si="22"/>
        <v>4.585531613681626E-2</v>
      </c>
      <c r="W405" s="106">
        <v>4.5855319999999997</v>
      </c>
      <c r="X405" s="106">
        <v>4.5855E-2</v>
      </c>
      <c r="Y405" s="34">
        <f t="shared" si="20"/>
        <v>-3.1613681625991541E-7</v>
      </c>
    </row>
    <row r="406" spans="15:25" ht="17.100000000000001" customHeight="1">
      <c r="O406" s="12">
        <f t="shared" si="21"/>
        <v>32.75</v>
      </c>
      <c r="P406" s="13">
        <v>393</v>
      </c>
      <c r="Q406" s="22"/>
      <c r="R406" s="19"/>
      <c r="S406" s="22"/>
      <c r="T406" s="19"/>
      <c r="U406" s="24">
        <v>4.9943811280422912E-2</v>
      </c>
      <c r="V406" s="24">
        <f t="shared" si="22"/>
        <v>4.5826669695284039E-2</v>
      </c>
      <c r="W406" s="106">
        <v>4.5826669999999998</v>
      </c>
      <c r="X406" s="106">
        <v>4.5827E-2</v>
      </c>
      <c r="Y406" s="34">
        <f t="shared" si="20"/>
        <v>3.3030471596057209E-7</v>
      </c>
    </row>
    <row r="407" spans="15:25" ht="17.100000000000001" customHeight="1">
      <c r="O407" s="12">
        <f t="shared" si="21"/>
        <v>32.833333333333336</v>
      </c>
      <c r="P407" s="13">
        <v>394</v>
      </c>
      <c r="Q407" s="22"/>
      <c r="R407" s="19"/>
      <c r="S407" s="22"/>
      <c r="T407" s="19"/>
      <c r="U407" s="24">
        <v>4.9933341192988978E-2</v>
      </c>
      <c r="V407" s="24">
        <f t="shared" si="22"/>
        <v>4.5798304673584145E-2</v>
      </c>
      <c r="W407" s="106">
        <v>4.5798300000000003</v>
      </c>
      <c r="X407" s="106">
        <v>4.5797999999999998E-2</v>
      </c>
      <c r="Y407" s="34">
        <f t="shared" si="20"/>
        <v>-3.0467358414637546E-7</v>
      </c>
    </row>
    <row r="408" spans="15:25" ht="17.100000000000001" customHeight="1">
      <c r="O408" s="12">
        <f t="shared" si="21"/>
        <v>32.916666666666664</v>
      </c>
      <c r="P408" s="13">
        <v>395</v>
      </c>
      <c r="Q408" s="22"/>
      <c r="R408" s="19"/>
      <c r="S408" s="22"/>
      <c r="T408" s="19"/>
      <c r="U408" s="24">
        <v>4.992285212985248E-2</v>
      </c>
      <c r="V408" s="24">
        <f t="shared" si="22"/>
        <v>4.5770218426781861E-2</v>
      </c>
      <c r="W408" s="106">
        <v>4.5770220000000004</v>
      </c>
      <c r="X408" s="106">
        <v>4.5769999999999998E-2</v>
      </c>
      <c r="Y408" s="34">
        <f t="shared" si="20"/>
        <v>-2.1842678186306808E-7</v>
      </c>
    </row>
    <row r="409" spans="15:25" ht="17.100000000000001" customHeight="1">
      <c r="O409" s="12">
        <f t="shared" si="21"/>
        <v>33</v>
      </c>
      <c r="P409" s="13">
        <v>396</v>
      </c>
      <c r="Q409" s="22"/>
      <c r="R409" s="19"/>
      <c r="S409" s="22"/>
      <c r="T409" s="19"/>
      <c r="U409" s="24">
        <v>4.9912344940943987E-2</v>
      </c>
      <c r="V409" s="24">
        <f t="shared" si="22"/>
        <v>4.5742408332048567E-2</v>
      </c>
      <c r="W409" s="106">
        <v>4.5742409999999998</v>
      </c>
      <c r="X409" s="106">
        <v>4.5741999999999998E-2</v>
      </c>
      <c r="Y409" s="34">
        <f t="shared" si="20"/>
        <v>-4.0833204856954852E-7</v>
      </c>
    </row>
    <row r="410" spans="15:25" ht="17.100000000000001" customHeight="1">
      <c r="O410" s="12">
        <f t="shared" si="21"/>
        <v>33.083333333333336</v>
      </c>
      <c r="P410" s="13">
        <v>397</v>
      </c>
      <c r="Q410" s="22"/>
      <c r="R410" s="19"/>
      <c r="S410" s="22"/>
      <c r="T410" s="19"/>
      <c r="U410" s="24">
        <v>4.9901820461027313E-2</v>
      </c>
      <c r="V410" s="24">
        <f t="shared" si="22"/>
        <v>4.5714871789170219E-2</v>
      </c>
      <c r="W410" s="106">
        <v>4.5714870000000003</v>
      </c>
      <c r="X410" s="106">
        <v>4.5714999999999999E-2</v>
      </c>
      <c r="Y410" s="34">
        <f t="shared" si="20"/>
        <v>1.2821082977926279E-7</v>
      </c>
    </row>
    <row r="411" spans="15:25" ht="17.100000000000001" customHeight="1">
      <c r="O411" s="12">
        <f t="shared" si="21"/>
        <v>33.166666666666664</v>
      </c>
      <c r="P411" s="13">
        <v>398</v>
      </c>
      <c r="Q411" s="22"/>
      <c r="R411" s="19"/>
      <c r="S411" s="22"/>
      <c r="T411" s="19"/>
      <c r="U411" s="24">
        <v>4.9891279509945763E-2</v>
      </c>
      <c r="V411" s="24">
        <f t="shared" si="22"/>
        <v>4.5687606219884103E-2</v>
      </c>
      <c r="W411" s="106">
        <v>4.5687610000000003</v>
      </c>
      <c r="X411" s="106">
        <v>4.5687999999999999E-2</v>
      </c>
      <c r="Y411" s="34">
        <f t="shared" si="20"/>
        <v>3.937801158968024E-7</v>
      </c>
    </row>
    <row r="412" spans="15:25" ht="17.100000000000001" customHeight="1">
      <c r="O412" s="12">
        <f t="shared" si="21"/>
        <v>33.25</v>
      </c>
      <c r="P412" s="13">
        <v>399</v>
      </c>
      <c r="Q412" s="22"/>
      <c r="R412" s="19"/>
      <c r="S412" s="22"/>
      <c r="T412" s="19"/>
      <c r="U412" s="24">
        <v>4.9880722892863494E-2</v>
      </c>
      <c r="V412" s="24">
        <f t="shared" si="22"/>
        <v>4.5660609067914359E-2</v>
      </c>
      <c r="W412" s="106">
        <v>4.5660610000000004</v>
      </c>
      <c r="X412" s="106">
        <v>4.5661E-2</v>
      </c>
      <c r="Y412" s="34">
        <f t="shared" si="20"/>
        <v>3.9093208564072723E-7</v>
      </c>
    </row>
    <row r="413" spans="15:25" ht="17.100000000000001" customHeight="1">
      <c r="O413" s="12">
        <f t="shared" si="21"/>
        <v>33.333333333333336</v>
      </c>
      <c r="P413" s="13">
        <v>400</v>
      </c>
      <c r="Q413" s="22"/>
      <c r="R413" s="19"/>
      <c r="S413" s="22"/>
      <c r="T413" s="19"/>
      <c r="U413" s="24">
        <v>4.9870151400503104E-2</v>
      </c>
      <c r="V413" s="24">
        <f t="shared" si="22"/>
        <v>4.5633877799150735E-2</v>
      </c>
      <c r="W413" s="106">
        <v>4.5633879999999998</v>
      </c>
      <c r="X413" s="106">
        <v>4.5634000000000001E-2</v>
      </c>
      <c r="Y413" s="34">
        <f t="shared" si="20"/>
        <v>1.2220084926600761E-7</v>
      </c>
    </row>
    <row r="414" spans="15:25" ht="17.100000000000001" customHeight="1">
      <c r="O414" s="12">
        <f t="shared" si="21"/>
        <v>33.416666666666664</v>
      </c>
      <c r="P414" s="13">
        <v>401</v>
      </c>
      <c r="Q414" s="22"/>
      <c r="R414" s="19"/>
      <c r="S414" s="22"/>
      <c r="T414" s="19"/>
      <c r="U414" s="24">
        <v>4.9859565809380335E-2</v>
      </c>
      <c r="V414" s="24">
        <f t="shared" si="22"/>
        <v>4.5607409901261331E-2</v>
      </c>
      <c r="W414" s="106">
        <v>4.5607410000000002</v>
      </c>
      <c r="X414" s="106">
        <v>4.5607000000000002E-2</v>
      </c>
      <c r="Y414" s="34">
        <f t="shared" si="20"/>
        <v>-4.0990126132928184E-7</v>
      </c>
    </row>
    <row r="415" spans="15:25" ht="17.100000000000001" customHeight="1">
      <c r="O415" s="12">
        <f t="shared" si="21"/>
        <v>33.5</v>
      </c>
      <c r="P415" s="13">
        <v>402</v>
      </c>
      <c r="Q415" s="22"/>
      <c r="R415" s="19"/>
      <c r="S415" s="22"/>
      <c r="T415" s="19"/>
      <c r="U415" s="24">
        <v>4.9848966882034107E-2</v>
      </c>
      <c r="V415" s="24">
        <f t="shared" si="22"/>
        <v>4.5581202883330008E-2</v>
      </c>
      <c r="W415" s="106">
        <v>4.5581199999999997</v>
      </c>
      <c r="X415" s="106">
        <v>4.5581000000000003E-2</v>
      </c>
      <c r="Y415" s="34">
        <f t="shared" si="20"/>
        <v>-2.0288333000412218E-7</v>
      </c>
    </row>
    <row r="416" spans="15:25" ht="17.100000000000001" customHeight="1">
      <c r="O416" s="12">
        <f t="shared" si="21"/>
        <v>33.583333333333336</v>
      </c>
      <c r="P416" s="13">
        <v>403</v>
      </c>
      <c r="Q416" s="22"/>
      <c r="R416" s="19"/>
      <c r="S416" s="22"/>
      <c r="T416" s="19"/>
      <c r="U416" s="24">
        <v>4.983835536725234E-2</v>
      </c>
      <c r="V416" s="24">
        <f t="shared" si="22"/>
        <v>4.5555254275521317E-2</v>
      </c>
      <c r="W416" s="106">
        <v>4.5555250000000003</v>
      </c>
      <c r="X416" s="106">
        <v>4.5554999999999998E-2</v>
      </c>
      <c r="Y416" s="34">
        <f t="shared" si="20"/>
        <v>-2.5427552131918052E-7</v>
      </c>
    </row>
    <row r="417" spans="15:25" ht="17.100000000000001" customHeight="1">
      <c r="O417" s="12">
        <f t="shared" si="21"/>
        <v>33.666666666666664</v>
      </c>
      <c r="P417" s="13">
        <v>404</v>
      </c>
      <c r="Q417" s="22"/>
      <c r="R417" s="19"/>
      <c r="S417" s="22"/>
      <c r="T417" s="19"/>
      <c r="U417" s="24">
        <v>4.9827732000294001E-2</v>
      </c>
      <c r="V417" s="24">
        <f t="shared" si="22"/>
        <v>4.5529561630312188E-2</v>
      </c>
      <c r="W417" s="106">
        <v>4.552956</v>
      </c>
      <c r="X417" s="106">
        <v>4.5530000000000001E-2</v>
      </c>
      <c r="Y417" s="34">
        <f t="shared" si="20"/>
        <v>4.3836968781352237E-7</v>
      </c>
    </row>
    <row r="418" spans="15:25" ht="17.100000000000001" customHeight="1">
      <c r="O418" s="12">
        <f t="shared" si="21"/>
        <v>33.75</v>
      </c>
      <c r="P418" s="13">
        <v>405</v>
      </c>
      <c r="Q418" s="22"/>
      <c r="R418" s="19"/>
      <c r="S418" s="22"/>
      <c r="T418" s="19"/>
      <c r="U418" s="24">
        <v>4.9817097503110253E-2</v>
      </c>
      <c r="V418" s="24">
        <f t="shared" si="22"/>
        <v>4.55041225208066E-2</v>
      </c>
      <c r="W418" s="106">
        <v>4.5504119999999997</v>
      </c>
      <c r="X418" s="106">
        <v>4.5504000000000003E-2</v>
      </c>
      <c r="Y418" s="34">
        <f t="shared" si="20"/>
        <v>-1.2252080659747033E-7</v>
      </c>
    </row>
    <row r="419" spans="15:25" ht="17.100000000000001" customHeight="1">
      <c r="O419" s="12">
        <f t="shared" si="21"/>
        <v>33.833333333333336</v>
      </c>
      <c r="P419" s="13">
        <v>406</v>
      </c>
      <c r="Q419" s="22"/>
      <c r="R419" s="19"/>
      <c r="S419" s="22"/>
      <c r="T419" s="19"/>
      <c r="U419" s="24">
        <v>4.9806452584558514E-2</v>
      </c>
      <c r="V419" s="24">
        <f t="shared" si="22"/>
        <v>4.5478934541030025E-2</v>
      </c>
      <c r="W419" s="106">
        <v>4.5478930000000002</v>
      </c>
      <c r="X419" s="106">
        <v>4.5478999999999999E-2</v>
      </c>
      <c r="Y419" s="34">
        <f t="shared" si="20"/>
        <v>6.5458969973619663E-8</v>
      </c>
    </row>
    <row r="420" spans="15:25" ht="17.100000000000001" customHeight="1">
      <c r="O420" s="12">
        <f t="shared" si="21"/>
        <v>33.916666666666664</v>
      </c>
      <c r="P420" s="13">
        <v>407</v>
      </c>
      <c r="Q420" s="22"/>
      <c r="R420" s="19"/>
      <c r="S420" s="22"/>
      <c r="T420" s="19"/>
      <c r="U420" s="24">
        <v>4.9795797940614284E-2</v>
      </c>
      <c r="V420" s="24">
        <f t="shared" si="22"/>
        <v>4.5453995306039108E-2</v>
      </c>
      <c r="W420" s="106">
        <v>4.5453999999999999</v>
      </c>
      <c r="X420" s="106">
        <v>4.5454000000000001E-2</v>
      </c>
      <c r="Y420" s="34">
        <f t="shared" si="20"/>
        <v>4.6939608935869792E-9</v>
      </c>
    </row>
    <row r="421" spans="15:25" ht="17.100000000000001" customHeight="1">
      <c r="O421" s="12">
        <f t="shared" si="21"/>
        <v>34</v>
      </c>
      <c r="P421" s="13">
        <v>408</v>
      </c>
      <c r="Q421" s="22"/>
      <c r="R421" s="19"/>
      <c r="S421" s="22"/>
      <c r="T421" s="19"/>
      <c r="U421" s="24">
        <v>4.9785134254580088E-2</v>
      </c>
      <c r="V421" s="24">
        <f t="shared" si="22"/>
        <v>4.5429302451823528E-2</v>
      </c>
      <c r="W421" s="106">
        <v>4.5429300000000001</v>
      </c>
      <c r="X421" s="106">
        <v>4.5428999999999997E-2</v>
      </c>
      <c r="Y421" s="34">
        <f t="shared" si="20"/>
        <v>-3.0245182353061395E-7</v>
      </c>
    </row>
    <row r="422" spans="15:25" ht="17.100000000000001" customHeight="1">
      <c r="O422" s="12">
        <f t="shared" si="21"/>
        <v>34.083333333333336</v>
      </c>
      <c r="P422" s="13">
        <v>409</v>
      </c>
      <c r="Q422" s="22"/>
      <c r="R422" s="19"/>
      <c r="S422" s="22"/>
      <c r="T422" s="19"/>
      <c r="U422" s="24">
        <v>4.9774462197290648E-2</v>
      </c>
      <c r="V422" s="24">
        <f t="shared" si="22"/>
        <v>4.5404853634774645E-2</v>
      </c>
      <c r="W422" s="106">
        <v>4.5404850000000003</v>
      </c>
      <c r="X422" s="106">
        <v>4.5405000000000001E-2</v>
      </c>
      <c r="Y422" s="34">
        <f t="shared" si="20"/>
        <v>1.4636522535638186E-7</v>
      </c>
    </row>
    <row r="423" spans="15:25" ht="17.100000000000001" customHeight="1">
      <c r="O423" s="12">
        <f t="shared" si="21"/>
        <v>34.166666666666664</v>
      </c>
      <c r="P423" s="13">
        <v>410</v>
      </c>
      <c r="Q423" s="22"/>
      <c r="R423" s="19"/>
      <c r="S423" s="22"/>
      <c r="T423" s="19"/>
      <c r="U423" s="24">
        <v>4.9763782427314718E-2</v>
      </c>
      <c r="V423" s="24">
        <f t="shared" si="22"/>
        <v>4.5380646531869351E-2</v>
      </c>
      <c r="W423" s="106">
        <v>4.5380649999999996</v>
      </c>
      <c r="X423" s="106">
        <v>4.5380999999999998E-2</v>
      </c>
      <c r="Y423" s="34">
        <f t="shared" si="20"/>
        <v>3.5346813064690563E-7</v>
      </c>
    </row>
    <row r="424" spans="15:25" ht="17.100000000000001" customHeight="1">
      <c r="O424" s="12">
        <f t="shared" si="21"/>
        <v>34.25</v>
      </c>
      <c r="P424" s="13">
        <v>411</v>
      </c>
      <c r="Q424" s="22"/>
      <c r="R424" s="19"/>
      <c r="S424" s="22"/>
      <c r="T424" s="19"/>
      <c r="U424" s="24">
        <v>4.9753095591153373E-2</v>
      </c>
      <c r="V424" s="24">
        <f t="shared" si="22"/>
        <v>4.5356678840491549E-2</v>
      </c>
      <c r="W424" s="106">
        <v>4.5356680000000003</v>
      </c>
      <c r="X424" s="106">
        <v>4.5357000000000001E-2</v>
      </c>
      <c r="Y424" s="34">
        <f t="shared" si="20"/>
        <v>3.2115950845262864E-7</v>
      </c>
    </row>
    <row r="425" spans="15:25" ht="17.100000000000001" customHeight="1">
      <c r="O425" s="12">
        <f t="shared" si="21"/>
        <v>34.333333333333336</v>
      </c>
      <c r="P425" s="13">
        <v>412</v>
      </c>
      <c r="Q425" s="22"/>
      <c r="R425" s="19"/>
      <c r="S425" s="22"/>
      <c r="T425" s="19"/>
      <c r="U425" s="24">
        <v>4.9742402323435631E-2</v>
      </c>
      <c r="V425" s="24">
        <f t="shared" si="22"/>
        <v>4.5332948277832852E-2</v>
      </c>
      <c r="W425" s="106">
        <v>4.5332949999999999</v>
      </c>
      <c r="X425" s="106">
        <v>4.5332999999999998E-2</v>
      </c>
      <c r="Y425" s="34">
        <f t="shared" si="20"/>
        <v>5.1722167146439624E-8</v>
      </c>
    </row>
    <row r="426" spans="15:25" ht="17.100000000000001" customHeight="1">
      <c r="O426" s="12">
        <f t="shared" si="21"/>
        <v>34.416666666666664</v>
      </c>
      <c r="P426" s="13">
        <v>413</v>
      </c>
      <c r="Q426" s="22"/>
      <c r="R426" s="19"/>
      <c r="S426" s="22"/>
      <c r="T426" s="19"/>
      <c r="U426" s="24">
        <v>4.9731703247110071E-2</v>
      </c>
      <c r="V426" s="24">
        <f t="shared" si="22"/>
        <v>4.5309452581605347E-2</v>
      </c>
      <c r="W426" s="106">
        <v>4.530945</v>
      </c>
      <c r="X426" s="106">
        <v>4.5309000000000002E-2</v>
      </c>
      <c r="Y426" s="34">
        <f t="shared" si="20"/>
        <v>-4.5258160534522585E-7</v>
      </c>
    </row>
    <row r="427" spans="15:25" ht="17.100000000000001" customHeight="1">
      <c r="O427" s="12">
        <f t="shared" si="21"/>
        <v>34.5</v>
      </c>
      <c r="P427" s="13">
        <v>414</v>
      </c>
      <c r="Q427" s="22"/>
      <c r="R427" s="19"/>
      <c r="S427" s="22"/>
      <c r="T427" s="19"/>
      <c r="U427" s="24">
        <v>4.9720998973634467E-2</v>
      </c>
      <c r="V427" s="24">
        <f t="shared" si="22"/>
        <v>4.5286189509354147E-2</v>
      </c>
      <c r="W427" s="106">
        <v>4.528619</v>
      </c>
      <c r="X427" s="106">
        <v>4.5286E-2</v>
      </c>
      <c r="Y427" s="34">
        <f t="shared" si="20"/>
        <v>-1.8950935414679959E-7</v>
      </c>
    </row>
    <row r="428" spans="15:25" ht="17.100000000000001" customHeight="1">
      <c r="O428" s="12">
        <f t="shared" si="21"/>
        <v>34.583333333333336</v>
      </c>
      <c r="P428" s="13">
        <v>415</v>
      </c>
      <c r="Q428" s="22"/>
      <c r="R428" s="19"/>
      <c r="S428" s="22"/>
      <c r="T428" s="19"/>
      <c r="U428" s="24">
        <v>4.971029010316208E-2</v>
      </c>
      <c r="V428" s="24">
        <f t="shared" si="22"/>
        <v>4.5263156838065921E-2</v>
      </c>
      <c r="W428" s="106">
        <v>4.5263159999999996</v>
      </c>
      <c r="X428" s="106">
        <v>4.5262999999999998E-2</v>
      </c>
      <c r="Y428" s="34">
        <f t="shared" si="20"/>
        <v>-1.5683806592337035E-7</v>
      </c>
    </row>
    <row r="429" spans="15:25" ht="17.100000000000001" customHeight="1">
      <c r="O429" s="12">
        <f t="shared" si="21"/>
        <v>34.666666666666664</v>
      </c>
      <c r="P429" s="13">
        <v>416</v>
      </c>
      <c r="Q429" s="22"/>
      <c r="R429" s="19"/>
      <c r="S429" s="22"/>
      <c r="T429" s="19"/>
      <c r="U429" s="24">
        <v>4.9699577224723512E-2</v>
      </c>
      <c r="V429" s="24">
        <f t="shared" si="22"/>
        <v>4.5240352364876335E-2</v>
      </c>
      <c r="W429" s="106">
        <v>4.5240349999999996</v>
      </c>
      <c r="X429" s="106">
        <v>4.5240000000000002E-2</v>
      </c>
      <c r="Y429" s="34">
        <f t="shared" si="20"/>
        <v>-3.5236487633261149E-7</v>
      </c>
    </row>
    <row r="430" spans="15:25" ht="17.100000000000001" customHeight="1">
      <c r="O430" s="12">
        <f t="shared" si="21"/>
        <v>34.75</v>
      </c>
      <c r="P430" s="13">
        <v>417</v>
      </c>
      <c r="Q430" s="22"/>
      <c r="R430" s="19"/>
      <c r="S430" s="22"/>
      <c r="T430" s="19"/>
      <c r="U430" s="24">
        <v>4.9688860916407895E-2</v>
      </c>
      <c r="V430" s="24">
        <f t="shared" si="22"/>
        <v>4.5217773905666947E-2</v>
      </c>
      <c r="W430" s="106">
        <v>4.5217770000000002</v>
      </c>
      <c r="X430" s="106">
        <v>4.5218000000000001E-2</v>
      </c>
      <c r="Y430" s="34">
        <f t="shared" si="20"/>
        <v>2.2609433305426085E-7</v>
      </c>
    </row>
    <row r="431" spans="15:25" ht="17.100000000000001" customHeight="1">
      <c r="O431" s="12">
        <f t="shared" si="21"/>
        <v>34.833333333333336</v>
      </c>
      <c r="P431" s="13">
        <v>418</v>
      </c>
      <c r="Q431" s="22"/>
      <c r="R431" s="19"/>
      <c r="S431" s="22"/>
      <c r="T431" s="19"/>
      <c r="U431" s="24">
        <v>4.9678141745538973E-2</v>
      </c>
      <c r="V431" s="24">
        <f t="shared" si="22"/>
        <v>4.5195419296341077E-2</v>
      </c>
      <c r="W431" s="106">
        <v>4.5195420000000004</v>
      </c>
      <c r="X431" s="106">
        <v>4.5194999999999999E-2</v>
      </c>
      <c r="Y431" s="34">
        <f t="shared" si="20"/>
        <v>-4.1929634107817915E-7</v>
      </c>
    </row>
    <row r="432" spans="15:25" ht="17.100000000000001" customHeight="1">
      <c r="O432" s="12">
        <f t="shared" si="21"/>
        <v>34.916666666666664</v>
      </c>
      <c r="P432" s="13">
        <v>419</v>
      </c>
      <c r="Q432" s="22"/>
      <c r="R432" s="19"/>
      <c r="S432" s="22"/>
      <c r="T432" s="19"/>
      <c r="U432" s="24">
        <v>4.9667420268850071E-2</v>
      </c>
      <c r="V432" s="24">
        <f t="shared" si="22"/>
        <v>4.5173286391924083E-2</v>
      </c>
      <c r="W432" s="106">
        <v>4.5173290000000001</v>
      </c>
      <c r="X432" s="106">
        <v>4.5172999999999998E-2</v>
      </c>
      <c r="Y432" s="34">
        <f t="shared" si="20"/>
        <v>-2.8639192408558278E-7</v>
      </c>
    </row>
    <row r="433" spans="15:25" ht="17.100000000000001" customHeight="1">
      <c r="O433" s="12">
        <f t="shared" si="21"/>
        <v>35</v>
      </c>
      <c r="P433" s="13">
        <v>420</v>
      </c>
      <c r="Q433" s="22"/>
      <c r="R433" s="19"/>
      <c r="S433" s="22"/>
      <c r="T433" s="19"/>
      <c r="U433" s="24">
        <v>4.9656697032655961E-2</v>
      </c>
      <c r="V433" s="24">
        <f t="shared" si="22"/>
        <v>4.515137306613326E-2</v>
      </c>
      <c r="W433" s="106">
        <v>4.5151370000000002</v>
      </c>
      <c r="X433" s="106">
        <v>4.5150999999999997E-2</v>
      </c>
      <c r="Y433" s="34">
        <f t="shared" si="20"/>
        <v>-3.7306613326348881E-7</v>
      </c>
    </row>
    <row r="434" spans="15:25" ht="17.100000000000001" customHeight="1">
      <c r="O434" s="12">
        <f t="shared" si="21"/>
        <v>35.083333333333336</v>
      </c>
      <c r="P434" s="13">
        <v>421</v>
      </c>
      <c r="Q434" s="22"/>
      <c r="R434" s="19"/>
      <c r="S434" s="22"/>
      <c r="T434" s="19"/>
      <c r="U434" s="24">
        <v>4.9645972573020503E-2</v>
      </c>
      <c r="V434" s="24">
        <f t="shared" si="22"/>
        <v>4.5129677211930952E-2</v>
      </c>
      <c r="W434" s="106">
        <v>4.5129679999999999</v>
      </c>
      <c r="X434" s="106">
        <v>4.5130000000000003E-2</v>
      </c>
      <c r="Y434" s="34">
        <f t="shared" si="20"/>
        <v>3.2278806905150503E-7</v>
      </c>
    </row>
    <row r="435" spans="15:25" ht="17.100000000000001" customHeight="1">
      <c r="O435" s="12">
        <f t="shared" si="21"/>
        <v>35.166666666666664</v>
      </c>
      <c r="P435" s="13">
        <v>422</v>
      </c>
      <c r="Q435" s="22"/>
      <c r="R435" s="19"/>
      <c r="S435" s="22"/>
      <c r="T435" s="19"/>
      <c r="U435" s="24">
        <v>4.9635247415923178E-2</v>
      </c>
      <c r="V435" s="24">
        <f t="shared" si="22"/>
        <v>4.5108196740980988E-2</v>
      </c>
      <c r="W435" s="106">
        <v>4.5108199999999998</v>
      </c>
      <c r="X435" s="106">
        <v>4.5108000000000002E-2</v>
      </c>
      <c r="Y435" s="34">
        <f t="shared" si="20"/>
        <v>-1.9674098098582116E-7</v>
      </c>
    </row>
    <row r="436" spans="15:25" ht="17.100000000000001" customHeight="1">
      <c r="O436" s="12">
        <f t="shared" si="21"/>
        <v>35.25</v>
      </c>
      <c r="P436" s="13">
        <v>423</v>
      </c>
      <c r="Q436" s="22"/>
      <c r="R436" s="19"/>
      <c r="S436" s="22"/>
      <c r="T436" s="19"/>
      <c r="U436" s="24">
        <v>4.9624522077422739E-2</v>
      </c>
      <c r="V436" s="24">
        <f t="shared" si="22"/>
        <v>4.5086929583409985E-2</v>
      </c>
      <c r="W436" s="106">
        <v>4.5086930000000001</v>
      </c>
      <c r="X436" s="106">
        <v>4.5087000000000002E-2</v>
      </c>
      <c r="Y436" s="34">
        <f t="shared" si="20"/>
        <v>7.0416590017274849E-8</v>
      </c>
    </row>
    <row r="437" spans="15:25" ht="17.100000000000001" customHeight="1">
      <c r="O437" s="12">
        <f t="shared" si="21"/>
        <v>35.333333333333336</v>
      </c>
      <c r="P437" s="13">
        <v>424</v>
      </c>
      <c r="Q437" s="22"/>
      <c r="R437" s="19"/>
      <c r="S437" s="22"/>
      <c r="T437" s="19"/>
      <c r="U437" s="24">
        <v>4.9613797063816856E-2</v>
      </c>
      <c r="V437" s="24">
        <f t="shared" si="22"/>
        <v>4.5065873688311386E-2</v>
      </c>
      <c r="W437" s="106">
        <v>4.5065869999999997</v>
      </c>
      <c r="X437" s="106">
        <v>4.5066000000000002E-2</v>
      </c>
      <c r="Y437" s="34">
        <f t="shared" si="20"/>
        <v>1.2631168861548803E-7</v>
      </c>
    </row>
    <row r="438" spans="15:25" ht="17.100000000000001" customHeight="1">
      <c r="O438" s="12">
        <f t="shared" si="21"/>
        <v>35.416666666666664</v>
      </c>
      <c r="P438" s="13">
        <v>425</v>
      </c>
      <c r="Q438" s="22"/>
      <c r="R438" s="19"/>
      <c r="S438" s="22"/>
      <c r="T438" s="19"/>
      <c r="U438" s="24">
        <v>4.9603072871801768E-2</v>
      </c>
      <c r="V438" s="24">
        <f t="shared" si="22"/>
        <v>4.5045027022736495E-2</v>
      </c>
      <c r="W438" s="106">
        <v>4.5045029999999997</v>
      </c>
      <c r="X438" s="106">
        <v>4.5045000000000002E-2</v>
      </c>
      <c r="Y438" s="34">
        <f t="shared" si="20"/>
        <v>-2.7022736492909871E-8</v>
      </c>
    </row>
    <row r="439" spans="15:25" ht="17.100000000000001" customHeight="1">
      <c r="O439" s="12">
        <f t="shared" si="21"/>
        <v>35.5</v>
      </c>
      <c r="P439" s="13">
        <v>426</v>
      </c>
      <c r="Q439" s="22"/>
      <c r="R439" s="19"/>
      <c r="S439" s="22"/>
      <c r="T439" s="19"/>
      <c r="U439" s="24">
        <v>4.9592349988626605E-2</v>
      </c>
      <c r="V439" s="24">
        <f t="shared" si="22"/>
        <v>4.5024387571992452E-2</v>
      </c>
      <c r="W439" s="106">
        <v>4.5024389999999999</v>
      </c>
      <c r="X439" s="106">
        <v>4.5024000000000002E-2</v>
      </c>
      <c r="Y439" s="34">
        <f t="shared" si="20"/>
        <v>-3.8757199245093021E-7</v>
      </c>
    </row>
    <row r="440" spans="15:25" ht="17.100000000000001" customHeight="1">
      <c r="O440" s="12">
        <f t="shared" si="21"/>
        <v>35.583333333333336</v>
      </c>
      <c r="P440" s="13">
        <v>427</v>
      </c>
      <c r="Q440" s="22"/>
      <c r="R440" s="19"/>
      <c r="S440" s="22"/>
      <c r="T440" s="19"/>
      <c r="U440" s="24">
        <v>4.9581628892246599E-2</v>
      </c>
      <c r="V440" s="24">
        <f t="shared" si="22"/>
        <v>4.5003953340079228E-2</v>
      </c>
      <c r="W440" s="106">
        <v>4.5003950000000001</v>
      </c>
      <c r="X440" s="106">
        <v>4.5004000000000002E-2</v>
      </c>
      <c r="Y440" s="34">
        <f t="shared" si="20"/>
        <v>4.6659920774350105E-8</v>
      </c>
    </row>
    <row r="441" spans="15:25" ht="17.100000000000001" customHeight="1">
      <c r="O441" s="12">
        <f t="shared" si="21"/>
        <v>35.666666666666664</v>
      </c>
      <c r="P441" s="13">
        <v>428</v>
      </c>
      <c r="Q441" s="22"/>
      <c r="R441" s="19"/>
      <c r="S441" s="22"/>
      <c r="T441" s="19"/>
      <c r="U441" s="24">
        <v>4.9570910051475181E-2</v>
      </c>
      <c r="V441" s="24">
        <f t="shared" si="22"/>
        <v>4.4983722347854638E-2</v>
      </c>
      <c r="W441" s="106">
        <v>4.4983719999999998</v>
      </c>
      <c r="X441" s="106">
        <v>4.4984000000000003E-2</v>
      </c>
      <c r="Y441" s="34">
        <f t="shared" si="20"/>
        <v>2.776521453654035E-7</v>
      </c>
    </row>
    <row r="442" spans="15:25" ht="17.100000000000001" customHeight="1">
      <c r="O442" s="12">
        <f t="shared" si="21"/>
        <v>35.75</v>
      </c>
      <c r="P442" s="13">
        <v>429</v>
      </c>
      <c r="Q442" s="22"/>
      <c r="R442" s="19"/>
      <c r="S442" s="22"/>
      <c r="T442" s="19"/>
      <c r="U442" s="24">
        <v>4.9560193926129426E-2</v>
      </c>
      <c r="V442" s="24">
        <f t="shared" si="22"/>
        <v>4.4963692635028085E-2</v>
      </c>
      <c r="W442" s="106">
        <v>4.4963689999999996</v>
      </c>
      <c r="X442" s="106">
        <v>4.4963999999999997E-2</v>
      </c>
      <c r="Y442" s="34">
        <f t="shared" si="20"/>
        <v>3.0736497191180545E-7</v>
      </c>
    </row>
    <row r="443" spans="15:25" ht="17.100000000000001" customHeight="1">
      <c r="O443" s="12">
        <f t="shared" si="21"/>
        <v>35.833333333333336</v>
      </c>
      <c r="P443" s="13">
        <v>430</v>
      </c>
      <c r="Q443" s="22"/>
      <c r="R443" s="19"/>
      <c r="S443" s="22"/>
      <c r="T443" s="19"/>
      <c r="U443" s="24">
        <v>4.9549480967178594E-2</v>
      </c>
      <c r="V443" s="24">
        <f t="shared" si="22"/>
        <v>4.4943862258534972E-2</v>
      </c>
      <c r="W443" s="106">
        <v>4.4943860000000004</v>
      </c>
      <c r="X443" s="106">
        <v>4.4943999999999998E-2</v>
      </c>
      <c r="Y443" s="34">
        <f t="shared" si="20"/>
        <v>1.3774146502554263E-7</v>
      </c>
    </row>
    <row r="444" spans="15:25" ht="17.100000000000001" customHeight="1">
      <c r="O444" s="12">
        <f t="shared" si="21"/>
        <v>35.916666666666664</v>
      </c>
      <c r="P444" s="13">
        <v>431</v>
      </c>
      <c r="Q444" s="22"/>
      <c r="R444" s="19"/>
      <c r="S444" s="22"/>
      <c r="T444" s="19"/>
      <c r="U444" s="24">
        <v>4.9538771616886246E-2</v>
      </c>
      <c r="V444" s="24">
        <f t="shared" si="22"/>
        <v>4.4924229293092477E-2</v>
      </c>
      <c r="W444" s="106">
        <v>4.4924229999999996</v>
      </c>
      <c r="X444" s="106">
        <v>4.4923999999999999E-2</v>
      </c>
      <c r="Y444" s="34">
        <f t="shared" si="20"/>
        <v>-2.2929309247826657E-7</v>
      </c>
    </row>
    <row r="445" spans="15:25" ht="17.100000000000001" customHeight="1">
      <c r="O445" s="12">
        <f t="shared" si="21"/>
        <v>36</v>
      </c>
      <c r="P445" s="13">
        <v>432</v>
      </c>
      <c r="Q445" s="22"/>
      <c r="R445" s="19"/>
      <c r="S445" s="22"/>
      <c r="T445" s="19"/>
      <c r="U445" s="24">
        <v>4.9528066308952123E-2</v>
      </c>
      <c r="V445" s="24">
        <f t="shared" si="22"/>
        <v>4.4904791830473245E-2</v>
      </c>
      <c r="W445" s="106">
        <v>4.4904789999999997</v>
      </c>
      <c r="X445" s="106">
        <v>4.4905E-2</v>
      </c>
      <c r="Y445" s="34">
        <f t="shared" si="20"/>
        <v>2.0816952675528633E-7</v>
      </c>
    </row>
    <row r="446" spans="15:25" ht="17.100000000000001" customHeight="1">
      <c r="O446" s="12">
        <f t="shared" si="21"/>
        <v>36.083333333333336</v>
      </c>
      <c r="P446" s="13">
        <v>433</v>
      </c>
      <c r="Q446" s="22"/>
      <c r="R446" s="19"/>
      <c r="S446" s="22"/>
      <c r="T446" s="19"/>
      <c r="U446" s="24">
        <v>4.9517365468650043E-2</v>
      </c>
      <c r="V446" s="24">
        <f t="shared" si="22"/>
        <v>4.4885547979979235E-2</v>
      </c>
      <c r="W446" s="106">
        <v>4.4885549999999999</v>
      </c>
      <c r="X446" s="106">
        <v>4.4886000000000002E-2</v>
      </c>
      <c r="Y446" s="34">
        <f t="shared" si="20"/>
        <v>4.5202002076777381E-7</v>
      </c>
    </row>
    <row r="447" spans="15:25" ht="17.100000000000001" customHeight="1">
      <c r="O447" s="12">
        <f t="shared" si="21"/>
        <v>36.166666666666664</v>
      </c>
      <c r="P447" s="13">
        <v>434</v>
      </c>
      <c r="Q447" s="22"/>
      <c r="R447" s="19"/>
      <c r="S447" s="22"/>
      <c r="T447" s="19"/>
      <c r="U447" s="24">
        <v>4.9506669512965784E-2</v>
      </c>
      <c r="V447" s="24">
        <f t="shared" si="22"/>
        <v>4.4866495868280731E-2</v>
      </c>
      <c r="W447" s="106">
        <v>4.48665</v>
      </c>
      <c r="X447" s="106">
        <v>4.4866000000000003E-2</v>
      </c>
      <c r="Y447" s="34">
        <f t="shared" si="20"/>
        <v>-4.9586828072822886E-7</v>
      </c>
    </row>
    <row r="448" spans="15:25" ht="17.100000000000001" customHeight="1">
      <c r="O448" s="12">
        <f t="shared" si="21"/>
        <v>36.25</v>
      </c>
      <c r="P448" s="13">
        <v>435</v>
      </c>
      <c r="Q448" s="22"/>
      <c r="R448" s="19"/>
      <c r="S448" s="22"/>
      <c r="T448" s="19"/>
      <c r="U448" s="24">
        <v>4.9495978850731204E-2</v>
      </c>
      <c r="V448" s="24">
        <f t="shared" si="22"/>
        <v>4.4847633638584794E-2</v>
      </c>
      <c r="W448" s="106">
        <v>4.4847630000000001</v>
      </c>
      <c r="X448" s="106">
        <v>4.4847999999999999E-2</v>
      </c>
      <c r="Y448" s="34">
        <f t="shared" si="20"/>
        <v>3.6636141520496324E-7</v>
      </c>
    </row>
    <row r="449" spans="15:25" ht="17.100000000000001" customHeight="1">
      <c r="O449" s="12">
        <f t="shared" si="21"/>
        <v>36.333333333333336</v>
      </c>
      <c r="P449" s="13">
        <v>436</v>
      </c>
      <c r="Q449" s="22"/>
      <c r="R449" s="19"/>
      <c r="S449" s="22"/>
      <c r="T449" s="19"/>
      <c r="U449" s="24">
        <v>4.9485293882756576E-2</v>
      </c>
      <c r="V449" s="24">
        <f t="shared" si="22"/>
        <v>4.4828959451645334E-2</v>
      </c>
      <c r="W449" s="106">
        <v>4.4828960000000002</v>
      </c>
      <c r="X449" s="106">
        <v>4.4829000000000001E-2</v>
      </c>
      <c r="Y449" s="34">
        <f t="shared" si="20"/>
        <v>4.0548354666991582E-8</v>
      </c>
    </row>
    <row r="450" spans="15:25" ht="17.100000000000001" customHeight="1">
      <c r="O450" s="12">
        <f t="shared" si="21"/>
        <v>36.416666666666664</v>
      </c>
      <c r="P450" s="13">
        <v>437</v>
      </c>
      <c r="Q450" s="22"/>
      <c r="R450" s="19"/>
      <c r="S450" s="22"/>
      <c r="T450" s="19"/>
      <c r="U450" s="24">
        <v>4.9474615001961375E-2</v>
      </c>
      <c r="V450" s="24">
        <f t="shared" si="22"/>
        <v>4.4810471483927916E-2</v>
      </c>
      <c r="W450" s="106">
        <v>4.4810470000000002</v>
      </c>
      <c r="X450" s="106">
        <v>4.4810000000000003E-2</v>
      </c>
      <c r="Y450" s="34">
        <f t="shared" si="20"/>
        <v>-4.7148392791351856E-7</v>
      </c>
    </row>
    <row r="451" spans="15:25" ht="17.100000000000001" customHeight="1">
      <c r="O451" s="12">
        <f t="shared" si="21"/>
        <v>36.5</v>
      </c>
      <c r="P451" s="13">
        <v>438</v>
      </c>
      <c r="Q451" s="22"/>
      <c r="R451" s="19"/>
      <c r="S451" s="22"/>
      <c r="T451" s="19"/>
      <c r="U451" s="24">
        <v>4.9463942593501065E-2</v>
      </c>
      <c r="V451" s="24">
        <f t="shared" si="22"/>
        <v>4.4792167929950777E-2</v>
      </c>
      <c r="W451" s="106">
        <v>4.4792170000000002</v>
      </c>
      <c r="X451" s="106">
        <v>4.4791999999999998E-2</v>
      </c>
      <c r="Y451" s="34">
        <f t="shared" si="20"/>
        <v>-1.6792995077841155E-7</v>
      </c>
    </row>
    <row r="452" spans="15:25" ht="17.100000000000001" customHeight="1">
      <c r="O452" s="12">
        <f t="shared" si="21"/>
        <v>36.583333333333336</v>
      </c>
      <c r="P452" s="13">
        <v>439</v>
      </c>
      <c r="Q452" s="22"/>
      <c r="R452" s="19"/>
      <c r="S452" s="22"/>
      <c r="T452" s="19"/>
      <c r="U452" s="24">
        <v>4.9453277034895438E-2</v>
      </c>
      <c r="V452" s="24">
        <f t="shared" si="22"/>
        <v>4.4774046999326744E-2</v>
      </c>
      <c r="W452" s="106">
        <v>4.4774050000000001</v>
      </c>
      <c r="X452" s="106">
        <v>4.4774000000000001E-2</v>
      </c>
      <c r="Y452" s="34">
        <f t="shared" si="20"/>
        <v>-4.6999326742958036E-8</v>
      </c>
    </row>
    <row r="453" spans="15:25" ht="17.100000000000001" customHeight="1">
      <c r="O453" s="12">
        <f t="shared" si="21"/>
        <v>36.666666666666664</v>
      </c>
      <c r="P453" s="13">
        <v>440</v>
      </c>
      <c r="Q453" s="22"/>
      <c r="R453" s="19"/>
      <c r="S453" s="22"/>
      <c r="T453" s="19"/>
      <c r="U453" s="24">
        <v>4.9442618696150742E-2</v>
      </c>
      <c r="V453" s="24">
        <f t="shared" si="22"/>
        <v>4.4756106919069394E-2</v>
      </c>
      <c r="W453" s="106">
        <v>4.4756109999999998</v>
      </c>
      <c r="X453" s="106">
        <v>4.4755999999999997E-2</v>
      </c>
      <c r="Y453" s="34">
        <f t="shared" si="20"/>
        <v>-1.0691906939669371E-7</v>
      </c>
    </row>
    <row r="454" spans="15:25" ht="17.100000000000001" customHeight="1">
      <c r="O454" s="12">
        <f t="shared" si="21"/>
        <v>36.75</v>
      </c>
      <c r="P454" s="13">
        <v>441</v>
      </c>
      <c r="Q454" s="22"/>
      <c r="R454" s="19"/>
      <c r="S454" s="22"/>
      <c r="T454" s="19"/>
      <c r="U454" s="24">
        <v>4.9431967939883359E-2</v>
      </c>
      <c r="V454" s="24">
        <f t="shared" si="22"/>
        <v>4.4738345931848889E-2</v>
      </c>
      <c r="W454" s="106">
        <v>4.4738350000000002</v>
      </c>
      <c r="X454" s="106">
        <v>4.4738E-2</v>
      </c>
      <c r="Y454" s="34">
        <f t="shared" si="20"/>
        <v>-3.4593184888853656E-7</v>
      </c>
    </row>
    <row r="455" spans="15:25" ht="17.100000000000001" customHeight="1">
      <c r="O455" s="12">
        <f t="shared" si="21"/>
        <v>36.833333333333336</v>
      </c>
      <c r="P455" s="13">
        <v>442</v>
      </c>
      <c r="Q455" s="22"/>
      <c r="R455" s="19"/>
      <c r="S455" s="22"/>
      <c r="T455" s="19"/>
      <c r="U455" s="24">
        <v>4.9421325121439263E-2</v>
      </c>
      <c r="V455" s="24">
        <f t="shared" si="22"/>
        <v>4.4720762296800221E-2</v>
      </c>
      <c r="W455" s="106">
        <v>4.4720760000000004</v>
      </c>
      <c r="X455" s="106">
        <v>4.4720999999999997E-2</v>
      </c>
      <c r="Y455" s="34">
        <f t="shared" si="20"/>
        <v>2.3770319977634013E-7</v>
      </c>
    </row>
    <row r="456" spans="15:25" ht="17.100000000000001" customHeight="1">
      <c r="O456" s="12">
        <f t="shared" si="21"/>
        <v>36.916666666666664</v>
      </c>
      <c r="P456" s="13">
        <v>443</v>
      </c>
      <c r="Q456" s="22"/>
      <c r="R456" s="19"/>
      <c r="S456" s="22"/>
      <c r="T456" s="19"/>
      <c r="U456" s="24">
        <v>4.9410690589012596E-2</v>
      </c>
      <c r="V456" s="24">
        <f t="shared" si="22"/>
        <v>4.4703354288682773E-2</v>
      </c>
      <c r="W456" s="106">
        <v>4.4703350000000004</v>
      </c>
      <c r="X456" s="106">
        <v>4.4703E-2</v>
      </c>
      <c r="Y456" s="34">
        <f t="shared" si="20"/>
        <v>-3.5428868277315173E-7</v>
      </c>
    </row>
    <row r="457" spans="15:25" ht="17.100000000000001" customHeight="1">
      <c r="O457" s="12">
        <f t="shared" si="21"/>
        <v>37</v>
      </c>
      <c r="P457" s="13">
        <v>444</v>
      </c>
      <c r="Q457" s="22"/>
      <c r="R457" s="19"/>
      <c r="S457" s="22"/>
      <c r="T457" s="19"/>
      <c r="U457" s="24">
        <v>4.9400064683761791E-2</v>
      </c>
      <c r="V457" s="24">
        <f t="shared" si="22"/>
        <v>4.4686120198408341E-2</v>
      </c>
      <c r="W457" s="106">
        <v>4.4686120000000003</v>
      </c>
      <c r="X457" s="106">
        <v>4.4685999999999997E-2</v>
      </c>
      <c r="Y457" s="34">
        <f t="shared" si="20"/>
        <v>-1.2019840834459616E-7</v>
      </c>
    </row>
    <row r="458" spans="15:25" ht="17.100000000000001" customHeight="1">
      <c r="O458" s="12">
        <f t="shared" si="21"/>
        <v>37.083333333333336</v>
      </c>
      <c r="P458" s="13">
        <v>445</v>
      </c>
      <c r="Q458" s="22"/>
      <c r="R458" s="19"/>
      <c r="S458" s="22"/>
      <c r="T458" s="19"/>
      <c r="U458" s="24">
        <v>4.9389447739925041E-2</v>
      </c>
      <c r="V458" s="24">
        <f t="shared" si="22"/>
        <v>4.4669058332374778E-2</v>
      </c>
      <c r="W458" s="106">
        <v>4.4669059999999998</v>
      </c>
      <c r="X458" s="106">
        <v>4.4669E-2</v>
      </c>
      <c r="Y458" s="34">
        <f t="shared" si="20"/>
        <v>-5.8332374777703144E-8</v>
      </c>
    </row>
    <row r="459" spans="15:25" ht="17.100000000000001" customHeight="1">
      <c r="O459" s="12">
        <f t="shared" si="21"/>
        <v>37.166666666666664</v>
      </c>
      <c r="P459" s="13">
        <v>446</v>
      </c>
      <c r="Q459" s="22"/>
      <c r="R459" s="19"/>
      <c r="S459" s="22"/>
      <c r="T459" s="19"/>
      <c r="U459" s="24">
        <v>4.9378840084931763E-2</v>
      </c>
      <c r="V459" s="24">
        <f t="shared" si="22"/>
        <v>4.4652167012993127E-2</v>
      </c>
      <c r="W459" s="106">
        <v>4.465217</v>
      </c>
      <c r="X459" s="106">
        <v>4.4651999999999997E-2</v>
      </c>
      <c r="Y459" s="34">
        <f t="shared" si="20"/>
        <v>-1.6701299312971152E-7</v>
      </c>
    </row>
    <row r="460" spans="15:25" ht="17.100000000000001" customHeight="1">
      <c r="O460" s="12">
        <f t="shared" si="21"/>
        <v>37.25</v>
      </c>
      <c r="P460" s="13">
        <v>447</v>
      </c>
      <c r="Q460" s="22"/>
      <c r="R460" s="19"/>
      <c r="S460" s="22"/>
      <c r="T460" s="19"/>
      <c r="U460" s="24">
        <v>4.9368242039515176E-2</v>
      </c>
      <c r="V460" s="24">
        <f t="shared" si="22"/>
        <v>4.4635444577698635E-2</v>
      </c>
      <c r="W460" s="106">
        <v>4.4635439999999997</v>
      </c>
      <c r="X460" s="106">
        <v>4.4635000000000001E-2</v>
      </c>
      <c r="Y460" s="34">
        <f t="shared" si="20"/>
        <v>-4.445776986342076E-7</v>
      </c>
    </row>
    <row r="461" spans="15:25" ht="17.100000000000001" customHeight="1">
      <c r="O461" s="12">
        <f t="shared" si="21"/>
        <v>37.333333333333336</v>
      </c>
      <c r="P461" s="13">
        <v>448</v>
      </c>
      <c r="Q461" s="22"/>
      <c r="R461" s="19"/>
      <c r="S461" s="22"/>
      <c r="T461" s="19"/>
      <c r="U461" s="24">
        <v>4.935765391782021E-2</v>
      </c>
      <c r="V461" s="24">
        <f t="shared" si="22"/>
        <v>4.4618889379306026E-2</v>
      </c>
      <c r="W461" s="106">
        <v>4.4618890000000002</v>
      </c>
      <c r="X461" s="106">
        <v>4.4618999999999999E-2</v>
      </c>
      <c r="Y461" s="34">
        <f t="shared" ref="Y461:Y524" si="23">X461-V461</f>
        <v>1.106206939729959E-7</v>
      </c>
    </row>
    <row r="462" spans="15:25" ht="17.100000000000001" customHeight="1">
      <c r="O462" s="12">
        <f t="shared" ref="O462:O525" si="24">P462/12</f>
        <v>37.416666666666664</v>
      </c>
      <c r="P462" s="13">
        <v>449</v>
      </c>
      <c r="Q462" s="22"/>
      <c r="R462" s="19"/>
      <c r="S462" s="22"/>
      <c r="T462" s="19"/>
      <c r="U462" s="24">
        <v>4.9347076027511205E-2</v>
      </c>
      <c r="V462" s="24">
        <f t="shared" ref="V462:V525" si="25">(1+U463)^P463/(1+U462)^P462-1</f>
        <v>4.4602499786339678E-2</v>
      </c>
      <c r="W462" s="106">
        <v>4.4602500000000003</v>
      </c>
      <c r="X462" s="106">
        <v>4.4602000000000003E-2</v>
      </c>
      <c r="Y462" s="34">
        <f t="shared" si="23"/>
        <v>-4.9978633967495689E-7</v>
      </c>
    </row>
    <row r="463" spans="15:25" ht="17.100000000000001" customHeight="1">
      <c r="O463" s="12">
        <f t="shared" si="24"/>
        <v>37.5</v>
      </c>
      <c r="P463" s="13">
        <v>450</v>
      </c>
      <c r="Q463" s="22"/>
      <c r="R463" s="19"/>
      <c r="S463" s="22"/>
      <c r="T463" s="19"/>
      <c r="U463" s="24">
        <v>4.9336508669878931E-2</v>
      </c>
      <c r="V463" s="24">
        <f t="shared" si="25"/>
        <v>4.4586274181801278E-2</v>
      </c>
      <c r="W463" s="106">
        <v>4.4586269999999999</v>
      </c>
      <c r="X463" s="106">
        <v>4.4586000000000001E-2</v>
      </c>
      <c r="Y463" s="34">
        <f t="shared" si="23"/>
        <v>-2.7418180127691816E-7</v>
      </c>
    </row>
    <row r="464" spans="15:25" ht="17.100000000000001" customHeight="1">
      <c r="O464" s="12">
        <f t="shared" si="24"/>
        <v>37.583333333333336</v>
      </c>
      <c r="P464" s="13">
        <v>451</v>
      </c>
      <c r="Q464" s="22"/>
      <c r="R464" s="19"/>
      <c r="S464" s="22"/>
      <c r="T464" s="19"/>
      <c r="U464" s="24">
        <v>4.932595213994273E-2</v>
      </c>
      <c r="V464" s="24">
        <f t="shared" si="25"/>
        <v>4.4570210964179235E-2</v>
      </c>
      <c r="W464" s="106">
        <v>4.4570210000000001</v>
      </c>
      <c r="X464" s="106">
        <v>4.4569999999999999E-2</v>
      </c>
      <c r="Y464" s="34">
        <f t="shared" si="23"/>
        <v>-2.1096417923693878E-7</v>
      </c>
    </row>
    <row r="465" spans="15:25" ht="17.100000000000001" customHeight="1">
      <c r="O465" s="12">
        <f t="shared" si="24"/>
        <v>37.666666666666664</v>
      </c>
      <c r="P465" s="13">
        <v>452</v>
      </c>
      <c r="Q465" s="22"/>
      <c r="R465" s="19"/>
      <c r="S465" s="22"/>
      <c r="T465" s="19"/>
      <c r="U465" s="24">
        <v>4.9315406726554878E-2</v>
      </c>
      <c r="V465" s="24">
        <f t="shared" si="25"/>
        <v>4.4554308546326693E-2</v>
      </c>
      <c r="W465" s="106">
        <v>4.4554309999999999</v>
      </c>
      <c r="X465" s="106">
        <v>4.4554000000000003E-2</v>
      </c>
      <c r="Y465" s="34">
        <f t="shared" si="23"/>
        <v>-3.0854632668969595E-7</v>
      </c>
    </row>
    <row r="466" spans="15:25" ht="17.100000000000001" customHeight="1">
      <c r="O466" s="12">
        <f t="shared" si="24"/>
        <v>37.75</v>
      </c>
      <c r="P466" s="13">
        <v>453</v>
      </c>
      <c r="Q466" s="22"/>
      <c r="R466" s="19"/>
      <c r="S466" s="22"/>
      <c r="T466" s="19"/>
      <c r="U466" s="24">
        <v>4.9304872712500059E-2</v>
      </c>
      <c r="V466" s="24">
        <f t="shared" si="25"/>
        <v>4.4538565356360138E-2</v>
      </c>
      <c r="W466" s="106">
        <v>4.4538570000000002</v>
      </c>
      <c r="X466" s="106">
        <v>4.4539000000000002E-2</v>
      </c>
      <c r="Y466" s="34">
        <f t="shared" si="23"/>
        <v>4.3464363986417398E-7</v>
      </c>
    </row>
    <row r="467" spans="15:25" ht="17.100000000000001" customHeight="1">
      <c r="O467" s="12">
        <f t="shared" si="24"/>
        <v>37.833333333333336</v>
      </c>
      <c r="P467" s="13">
        <v>454</v>
      </c>
      <c r="Q467" s="22"/>
      <c r="R467" s="19"/>
      <c r="S467" s="22"/>
      <c r="T467" s="19"/>
      <c r="U467" s="24">
        <v>4.9294350374595286E-2</v>
      </c>
      <c r="V467" s="24">
        <f t="shared" si="25"/>
        <v>4.4522979836748355E-2</v>
      </c>
      <c r="W467" s="106">
        <v>4.4522979999999999</v>
      </c>
      <c r="X467" s="106">
        <v>4.4523E-2</v>
      </c>
      <c r="Y467" s="34">
        <f t="shared" si="23"/>
        <v>2.0163251644722546E-8</v>
      </c>
    </row>
    <row r="468" spans="15:25" ht="17.100000000000001" customHeight="1">
      <c r="O468" s="12">
        <f t="shared" si="24"/>
        <v>37.916666666666664</v>
      </c>
      <c r="P468" s="13">
        <v>455</v>
      </c>
      <c r="Q468" s="22"/>
      <c r="R468" s="19"/>
      <c r="S468" s="22"/>
      <c r="T468" s="19"/>
      <c r="U468" s="24">
        <v>4.9283839983787825E-2</v>
      </c>
      <c r="V468" s="24">
        <f t="shared" si="25"/>
        <v>4.4507550444121691E-2</v>
      </c>
      <c r="W468" s="106">
        <v>4.450755</v>
      </c>
      <c r="X468" s="106">
        <v>4.4507999999999999E-2</v>
      </c>
      <c r="Y468" s="34">
        <f t="shared" si="23"/>
        <v>4.4955587830824983E-7</v>
      </c>
    </row>
    <row r="469" spans="15:25" ht="17.100000000000001" customHeight="1">
      <c r="O469" s="12">
        <f t="shared" si="24"/>
        <v>38</v>
      </c>
      <c r="P469" s="13">
        <v>456</v>
      </c>
      <c r="Q469" s="22"/>
      <c r="R469" s="19"/>
      <c r="S469" s="22"/>
      <c r="T469" s="19"/>
      <c r="U469" s="24">
        <v>4.9273341805250004E-2</v>
      </c>
      <c r="V469" s="24">
        <f t="shared" si="25"/>
        <v>4.4492275650232394E-2</v>
      </c>
      <c r="W469" s="106">
        <v>4.4492279999999997</v>
      </c>
      <c r="X469" s="106">
        <v>4.4491999999999997E-2</v>
      </c>
      <c r="Y469" s="34">
        <f t="shared" si="23"/>
        <v>-2.7565023239667363E-7</v>
      </c>
    </row>
    <row r="470" spans="15:25" ht="17.100000000000001" customHeight="1">
      <c r="O470" s="12">
        <f t="shared" si="24"/>
        <v>38.083333333333336</v>
      </c>
      <c r="P470" s="13">
        <v>457</v>
      </c>
      <c r="Q470" s="22"/>
      <c r="R470" s="19"/>
      <c r="S470" s="22"/>
      <c r="T470" s="19"/>
      <c r="U470" s="24">
        <v>4.9262856098475805E-2</v>
      </c>
      <c r="V470" s="24">
        <f t="shared" si="25"/>
        <v>4.4477153940629899E-2</v>
      </c>
      <c r="W470" s="106">
        <v>4.4477149999999996</v>
      </c>
      <c r="X470" s="106">
        <v>4.4477000000000003E-2</v>
      </c>
      <c r="Y470" s="34">
        <f t="shared" si="23"/>
        <v>-1.5394062989615431E-7</v>
      </c>
    </row>
    <row r="471" spans="15:25" ht="17.100000000000001" customHeight="1">
      <c r="O471" s="12">
        <f t="shared" si="24"/>
        <v>38.166666666666664</v>
      </c>
      <c r="P471" s="13">
        <v>458</v>
      </c>
      <c r="Q471" s="22"/>
      <c r="R471" s="19"/>
      <c r="S471" s="22"/>
      <c r="T471" s="19"/>
      <c r="U471" s="24">
        <v>4.9252383117373011E-2</v>
      </c>
      <c r="V471" s="24">
        <f t="shared" si="25"/>
        <v>4.4462183814717671E-2</v>
      </c>
      <c r="W471" s="106">
        <v>4.446218</v>
      </c>
      <c r="X471" s="106">
        <v>4.4462000000000002E-2</v>
      </c>
      <c r="Y471" s="34">
        <f t="shared" si="23"/>
        <v>-1.838147176691507E-7</v>
      </c>
    </row>
    <row r="472" spans="15:25" ht="17.100000000000001" customHeight="1">
      <c r="O472" s="12">
        <f t="shared" si="24"/>
        <v>38.25</v>
      </c>
      <c r="P472" s="13">
        <v>459</v>
      </c>
      <c r="Q472" s="22"/>
      <c r="R472" s="19"/>
      <c r="S472" s="22"/>
      <c r="T472" s="19"/>
      <c r="U472" s="24">
        <v>4.924192311035358E-2</v>
      </c>
      <c r="V472" s="24">
        <f t="shared" si="25"/>
        <v>4.4447363786398242E-2</v>
      </c>
      <c r="W472" s="106">
        <v>4.4447359999999998</v>
      </c>
      <c r="X472" s="106">
        <v>4.4447E-2</v>
      </c>
      <c r="Y472" s="34">
        <f t="shared" si="23"/>
        <v>-3.637863982414169E-7</v>
      </c>
    </row>
    <row r="473" spans="15:25" ht="17.100000000000001" customHeight="1">
      <c r="O473" s="12">
        <f t="shared" si="24"/>
        <v>38.333333333333336</v>
      </c>
      <c r="P473" s="13">
        <v>460</v>
      </c>
      <c r="Q473" s="22"/>
      <c r="R473" s="19"/>
      <c r="S473" s="22"/>
      <c r="T473" s="19"/>
      <c r="U473" s="24">
        <v>4.9231476320426015E-2</v>
      </c>
      <c r="V473" s="24">
        <f t="shared" si="25"/>
        <v>4.4432692383645112E-2</v>
      </c>
      <c r="W473" s="106">
        <v>4.4432689999999999</v>
      </c>
      <c r="X473" s="106">
        <v>4.4433E-2</v>
      </c>
      <c r="Y473" s="34">
        <f t="shared" si="23"/>
        <v>3.0761635488874006E-7</v>
      </c>
    </row>
    <row r="474" spans="15:25" ht="17.100000000000001" customHeight="1">
      <c r="O474" s="12">
        <f t="shared" si="24"/>
        <v>38.416666666666664</v>
      </c>
      <c r="P474" s="13">
        <v>461</v>
      </c>
      <c r="Q474" s="22"/>
      <c r="R474" s="19"/>
      <c r="S474" s="22"/>
      <c r="T474" s="19"/>
      <c r="U474" s="24">
        <v>4.9221042985283514E-2</v>
      </c>
      <c r="V474" s="24">
        <f t="shared" si="25"/>
        <v>4.4418168147382753E-2</v>
      </c>
      <c r="W474" s="106">
        <v>4.4418170000000003</v>
      </c>
      <c r="X474" s="106">
        <v>4.4417999999999999E-2</v>
      </c>
      <c r="Y474" s="34">
        <f t="shared" si="23"/>
        <v>-1.6814738275361396E-7</v>
      </c>
    </row>
    <row r="475" spans="15:25" ht="17.100000000000001" customHeight="1">
      <c r="O475" s="12">
        <f t="shared" si="24"/>
        <v>38.5</v>
      </c>
      <c r="P475" s="13">
        <v>462</v>
      </c>
      <c r="Q475" s="22"/>
      <c r="R475" s="19"/>
      <c r="S475" s="22"/>
      <c r="T475" s="19"/>
      <c r="U475" s="24">
        <v>4.9210623337390125E-2</v>
      </c>
      <c r="V475" s="24">
        <f t="shared" si="25"/>
        <v>4.4403789633116642E-2</v>
      </c>
      <c r="W475" s="106">
        <v>4.4403790000000001</v>
      </c>
      <c r="X475" s="106">
        <v>4.4403999999999999E-2</v>
      </c>
      <c r="Y475" s="34">
        <f t="shared" si="23"/>
        <v>2.1036688335751563E-7</v>
      </c>
    </row>
    <row r="476" spans="15:25" ht="17.100000000000001" customHeight="1">
      <c r="O476" s="12">
        <f t="shared" si="24"/>
        <v>38.583333333333336</v>
      </c>
      <c r="P476" s="13">
        <v>463</v>
      </c>
      <c r="Q476" s="22"/>
      <c r="R476" s="19"/>
      <c r="S476" s="22"/>
      <c r="T476" s="19"/>
      <c r="U476" s="24">
        <v>4.9200217604068452E-2</v>
      </c>
      <c r="V476" s="24">
        <f t="shared" si="25"/>
        <v>4.4389555409303005E-2</v>
      </c>
      <c r="W476" s="106">
        <v>4.4389560000000001</v>
      </c>
      <c r="X476" s="106">
        <v>4.4389999999999999E-2</v>
      </c>
      <c r="Y476" s="34">
        <f t="shared" si="23"/>
        <v>4.4459069699354092E-7</v>
      </c>
    </row>
    <row r="477" spans="15:25" ht="17.100000000000001" customHeight="1">
      <c r="O477" s="12">
        <f t="shared" si="24"/>
        <v>38.666666666666664</v>
      </c>
      <c r="P477" s="13">
        <v>464</v>
      </c>
      <c r="Q477" s="22"/>
      <c r="R477" s="19"/>
      <c r="S477" s="22"/>
      <c r="T477" s="19"/>
      <c r="U477" s="24">
        <v>4.9189826007583148E-2</v>
      </c>
      <c r="V477" s="24">
        <f t="shared" si="25"/>
        <v>4.4375464058037828E-2</v>
      </c>
      <c r="W477" s="106">
        <v>4.4375460000000002</v>
      </c>
      <c r="X477" s="106">
        <v>4.4374999999999998E-2</v>
      </c>
      <c r="Y477" s="34">
        <f t="shared" si="23"/>
        <v>-4.6405803783011734E-7</v>
      </c>
    </row>
    <row r="478" spans="15:25" ht="17.100000000000001" customHeight="1">
      <c r="O478" s="12">
        <f t="shared" si="24"/>
        <v>38.75</v>
      </c>
      <c r="P478" s="13">
        <v>465</v>
      </c>
      <c r="Q478" s="22"/>
      <c r="R478" s="19"/>
      <c r="S478" s="22"/>
      <c r="T478" s="19"/>
      <c r="U478" s="24">
        <v>4.9179448765224398E-2</v>
      </c>
      <c r="V478" s="24">
        <f t="shared" si="25"/>
        <v>4.4361514174917849E-2</v>
      </c>
      <c r="W478" s="106">
        <v>4.4361509999999997</v>
      </c>
      <c r="X478" s="106">
        <v>4.4361999999999999E-2</v>
      </c>
      <c r="Y478" s="34">
        <f t="shared" si="23"/>
        <v>4.8582508214989328E-7</v>
      </c>
    </row>
    <row r="479" spans="15:25" ht="17.100000000000001" customHeight="1">
      <c r="O479" s="12">
        <f t="shared" si="24"/>
        <v>38.833333333333336</v>
      </c>
      <c r="P479" s="13">
        <v>466</v>
      </c>
      <c r="Q479" s="22"/>
      <c r="R479" s="19"/>
      <c r="S479" s="22"/>
      <c r="T479" s="19"/>
      <c r="U479" s="24">
        <v>4.9169086089390746E-2</v>
      </c>
      <c r="V479" s="24">
        <f t="shared" si="25"/>
        <v>4.4347704368258967E-2</v>
      </c>
      <c r="W479" s="106">
        <v>4.4347700000000003</v>
      </c>
      <c r="X479" s="106">
        <v>4.4347999999999999E-2</v>
      </c>
      <c r="Y479" s="34">
        <f t="shared" si="23"/>
        <v>2.956317410318654E-7</v>
      </c>
    </row>
    <row r="480" spans="15:25" ht="17.100000000000001" customHeight="1">
      <c r="O480" s="12">
        <f t="shared" si="24"/>
        <v>38.916666666666664</v>
      </c>
      <c r="P480" s="13">
        <v>467</v>
      </c>
      <c r="Q480" s="22"/>
      <c r="R480" s="19"/>
      <c r="S480" s="22"/>
      <c r="T480" s="19"/>
      <c r="U480" s="24">
        <v>4.915873818766836E-2</v>
      </c>
      <c r="V480" s="24">
        <f t="shared" si="25"/>
        <v>4.4334033260157391E-2</v>
      </c>
      <c r="W480" s="106">
        <v>4.4334030000000002</v>
      </c>
      <c r="X480" s="106">
        <v>4.4333999999999998E-2</v>
      </c>
      <c r="Y480" s="34">
        <f t="shared" si="23"/>
        <v>-3.3260157392134282E-8</v>
      </c>
    </row>
    <row r="481" spans="15:25" ht="17.100000000000001" customHeight="1">
      <c r="O481" s="12">
        <f t="shared" si="24"/>
        <v>39</v>
      </c>
      <c r="P481" s="13">
        <v>468</v>
      </c>
      <c r="Q481" s="22"/>
      <c r="R481" s="19"/>
      <c r="S481" s="22"/>
      <c r="T481" s="19"/>
      <c r="U481" s="24">
        <v>4.9148405262911865E-2</v>
      </c>
      <c r="V481" s="24">
        <f t="shared" si="25"/>
        <v>4.4320499485116738E-2</v>
      </c>
      <c r="W481" s="106">
        <v>4.4320500000000003</v>
      </c>
      <c r="X481" s="106">
        <v>4.4319999999999998E-2</v>
      </c>
      <c r="Y481" s="34">
        <f t="shared" si="23"/>
        <v>-4.9948511673947316E-7</v>
      </c>
    </row>
    <row r="482" spans="15:25" ht="17.100000000000001" customHeight="1">
      <c r="O482" s="12">
        <f t="shared" si="24"/>
        <v>39.083333333333336</v>
      </c>
      <c r="P482" s="13">
        <v>469</v>
      </c>
      <c r="Q482" s="22"/>
      <c r="R482" s="19"/>
      <c r="S482" s="22"/>
      <c r="T482" s="19"/>
      <c r="U482" s="24">
        <v>4.9138087513321604E-2</v>
      </c>
      <c r="V482" s="24">
        <f t="shared" si="25"/>
        <v>4.4307101690971962E-2</v>
      </c>
      <c r="W482" s="106">
        <v>4.4307100000000004</v>
      </c>
      <c r="X482" s="106">
        <v>4.4306999999999999E-2</v>
      </c>
      <c r="Y482" s="34">
        <f t="shared" si="23"/>
        <v>-1.0169097196255361E-7</v>
      </c>
    </row>
    <row r="483" spans="15:25" ht="17.100000000000001" customHeight="1">
      <c r="O483" s="12">
        <f t="shared" si="24"/>
        <v>39.166666666666664</v>
      </c>
      <c r="P483" s="13">
        <v>470</v>
      </c>
      <c r="Q483" s="22"/>
      <c r="R483" s="19"/>
      <c r="S483" s="22"/>
      <c r="T483" s="19"/>
      <c r="U483" s="24">
        <v>4.9127785132521362E-2</v>
      </c>
      <c r="V483" s="24">
        <f t="shared" si="25"/>
        <v>4.4293838537657448E-2</v>
      </c>
      <c r="W483" s="106">
        <v>4.4293839999999998</v>
      </c>
      <c r="X483" s="106">
        <v>4.4294E-2</v>
      </c>
      <c r="Y483" s="34">
        <f t="shared" si="23"/>
        <v>1.6146234255165481E-7</v>
      </c>
    </row>
    <row r="484" spans="15:25" ht="17.100000000000001" customHeight="1">
      <c r="O484" s="12">
        <f t="shared" si="24"/>
        <v>39.25</v>
      </c>
      <c r="P484" s="13">
        <v>471</v>
      </c>
      <c r="Q484" s="22"/>
      <c r="R484" s="19"/>
      <c r="S484" s="22"/>
      <c r="T484" s="19"/>
      <c r="U484" s="24">
        <v>4.9117498309632746E-2</v>
      </c>
      <c r="V484" s="24">
        <f t="shared" si="25"/>
        <v>4.4280708698681837E-2</v>
      </c>
      <c r="W484" s="106">
        <v>4.4280710000000001</v>
      </c>
      <c r="X484" s="106">
        <v>4.4281000000000001E-2</v>
      </c>
      <c r="Y484" s="34">
        <f t="shared" si="23"/>
        <v>2.9130131816434979E-7</v>
      </c>
    </row>
    <row r="485" spans="15:25" ht="17.100000000000001" customHeight="1">
      <c r="O485" s="12">
        <f t="shared" si="24"/>
        <v>39.333333333333336</v>
      </c>
      <c r="P485" s="13">
        <v>472</v>
      </c>
      <c r="Q485" s="22"/>
      <c r="R485" s="19"/>
      <c r="S485" s="22"/>
      <c r="T485" s="19"/>
      <c r="U485" s="24">
        <v>4.9107227229351569E-2</v>
      </c>
      <c r="V485" s="24">
        <f t="shared" si="25"/>
        <v>4.4267710859431375E-2</v>
      </c>
      <c r="W485" s="106">
        <v>4.4267709999999996</v>
      </c>
      <c r="X485" s="106">
        <v>4.4268000000000002E-2</v>
      </c>
      <c r="Y485" s="34">
        <f t="shared" si="23"/>
        <v>2.8914056862672233E-7</v>
      </c>
    </row>
    <row r="486" spans="15:25" ht="17.100000000000001" customHeight="1">
      <c r="O486" s="12">
        <f t="shared" si="24"/>
        <v>39.416666666666664</v>
      </c>
      <c r="P486" s="13">
        <v>473</v>
      </c>
      <c r="Q486" s="22"/>
      <c r="R486" s="19"/>
      <c r="S486" s="22"/>
      <c r="T486" s="19"/>
      <c r="U486" s="24">
        <v>4.9096972072019796E-2</v>
      </c>
      <c r="V486" s="24">
        <f t="shared" si="25"/>
        <v>4.4254843717915104E-2</v>
      </c>
      <c r="W486" s="106">
        <v>4.425484</v>
      </c>
      <c r="X486" s="106">
        <v>4.4255000000000003E-2</v>
      </c>
      <c r="Y486" s="34">
        <f t="shared" si="23"/>
        <v>1.5628208489826267E-7</v>
      </c>
    </row>
    <row r="487" spans="15:25" ht="17.100000000000001" customHeight="1">
      <c r="O487" s="12">
        <f t="shared" si="24"/>
        <v>39.5</v>
      </c>
      <c r="P487" s="13">
        <v>474</v>
      </c>
      <c r="Q487" s="22"/>
      <c r="R487" s="19"/>
      <c r="S487" s="22"/>
      <c r="T487" s="19"/>
      <c r="U487" s="24">
        <v>4.9086733013698369E-2</v>
      </c>
      <c r="V487" s="24">
        <f t="shared" si="25"/>
        <v>4.4242105984375169E-2</v>
      </c>
      <c r="W487" s="106">
        <v>4.4242109999999997</v>
      </c>
      <c r="X487" s="106">
        <v>4.4241999999999997E-2</v>
      </c>
      <c r="Y487" s="34">
        <f t="shared" si="23"/>
        <v>-1.0598437517189696E-7</v>
      </c>
    </row>
    <row r="488" spans="15:25" ht="17.100000000000001" customHeight="1">
      <c r="O488" s="12">
        <f t="shared" si="24"/>
        <v>39.583333333333336</v>
      </c>
      <c r="P488" s="13">
        <v>475</v>
      </c>
      <c r="Q488" s="22"/>
      <c r="R488" s="19"/>
      <c r="S488" s="22"/>
      <c r="T488" s="19"/>
      <c r="U488" s="24">
        <v>4.9076510226237824E-2</v>
      </c>
      <c r="V488" s="24">
        <f t="shared" si="25"/>
        <v>4.4229496381874123E-2</v>
      </c>
      <c r="W488" s="106">
        <v>4.4229500000000002</v>
      </c>
      <c r="X488" s="106">
        <v>4.4228999999999997E-2</v>
      </c>
      <c r="Y488" s="34">
        <f t="shared" si="23"/>
        <v>-4.9638187412520685E-7</v>
      </c>
    </row>
    <row r="489" spans="15:25" ht="17.100000000000001" customHeight="1">
      <c r="O489" s="12">
        <f t="shared" si="24"/>
        <v>39.666666666666664</v>
      </c>
      <c r="P489" s="13">
        <v>476</v>
      </c>
      <c r="Q489" s="22"/>
      <c r="R489" s="19"/>
      <c r="S489" s="22"/>
      <c r="T489" s="19"/>
      <c r="U489" s="24">
        <v>4.906630387734956E-2</v>
      </c>
      <c r="V489" s="24">
        <f t="shared" si="25"/>
        <v>4.4217013644455294E-2</v>
      </c>
      <c r="W489" s="106">
        <v>4.4217009999999997</v>
      </c>
      <c r="X489" s="106">
        <v>4.4216999999999999E-2</v>
      </c>
      <c r="Y489" s="34">
        <f t="shared" si="23"/>
        <v>-1.3644455294781199E-8</v>
      </c>
    </row>
    <row r="490" spans="15:25" ht="17.100000000000001" customHeight="1">
      <c r="O490" s="12">
        <f t="shared" si="24"/>
        <v>39.75</v>
      </c>
      <c r="P490" s="13">
        <v>477</v>
      </c>
      <c r="Q490" s="22"/>
      <c r="R490" s="19"/>
      <c r="S490" s="22"/>
      <c r="T490" s="19"/>
      <c r="U490" s="24">
        <v>4.9056114130672457E-2</v>
      </c>
      <c r="V490" s="24">
        <f t="shared" si="25"/>
        <v>4.4204656519447605E-2</v>
      </c>
      <c r="W490" s="106">
        <v>4.4204660000000002</v>
      </c>
      <c r="X490" s="106">
        <v>4.4205000000000001E-2</v>
      </c>
      <c r="Y490" s="34">
        <f t="shared" si="23"/>
        <v>3.43480552396358E-7</v>
      </c>
    </row>
    <row r="491" spans="15:25" ht="17.100000000000001" customHeight="1">
      <c r="O491" s="12">
        <f t="shared" si="24"/>
        <v>39.833333333333336</v>
      </c>
      <c r="P491" s="13">
        <v>478</v>
      </c>
      <c r="Q491" s="22"/>
      <c r="R491" s="19"/>
      <c r="S491" s="22"/>
      <c r="T491" s="19"/>
      <c r="U491" s="24">
        <v>4.9045941145843042E-2</v>
      </c>
      <c r="V491" s="24">
        <f t="shared" si="25"/>
        <v>4.4192423765296862E-2</v>
      </c>
      <c r="W491" s="106">
        <v>4.4192419999999997</v>
      </c>
      <c r="X491" s="106">
        <v>4.4192000000000002E-2</v>
      </c>
      <c r="Y491" s="34">
        <f t="shared" si="23"/>
        <v>-4.2376529686000142E-7</v>
      </c>
    </row>
    <row r="492" spans="15:25" ht="17.100000000000001" customHeight="1">
      <c r="O492" s="12">
        <f t="shared" si="24"/>
        <v>39.916666666666664</v>
      </c>
      <c r="P492" s="13">
        <v>479</v>
      </c>
      <c r="Q492" s="22"/>
      <c r="R492" s="19"/>
      <c r="S492" s="22"/>
      <c r="T492" s="19"/>
      <c r="U492" s="24">
        <v>4.9035785078560767E-2</v>
      </c>
      <c r="V492" s="24">
        <f t="shared" si="25"/>
        <v>4.4180314152172162E-2</v>
      </c>
      <c r="W492" s="106">
        <v>4.418031</v>
      </c>
      <c r="X492" s="106">
        <v>4.4179999999999997E-2</v>
      </c>
      <c r="Y492" s="34">
        <f t="shared" si="23"/>
        <v>-3.1415217216501645E-7</v>
      </c>
    </row>
    <row r="493" spans="15:25" ht="17.100000000000001" customHeight="1">
      <c r="O493" s="12">
        <f t="shared" si="24"/>
        <v>40</v>
      </c>
      <c r="P493" s="13">
        <v>480</v>
      </c>
      <c r="Q493" s="22"/>
      <c r="R493" s="19"/>
      <c r="S493" s="22"/>
      <c r="T493" s="19"/>
      <c r="U493" s="24">
        <v>4.9025646080653518E-2</v>
      </c>
      <c r="V493" s="24">
        <f t="shared" si="25"/>
        <v>4.4168326462568741E-2</v>
      </c>
      <c r="W493" s="106">
        <v>4.4168329999999996</v>
      </c>
      <c r="X493" s="106">
        <v>4.4167999999999999E-2</v>
      </c>
      <c r="Y493" s="34">
        <f t="shared" si="23"/>
        <v>-3.2646256874213631E-7</v>
      </c>
    </row>
    <row r="494" spans="15:25" ht="17.100000000000001" customHeight="1">
      <c r="O494" s="12">
        <f t="shared" si="24"/>
        <v>40.083333333333336</v>
      </c>
      <c r="P494" s="13">
        <v>481</v>
      </c>
      <c r="Q494" s="22"/>
      <c r="R494" s="19"/>
      <c r="S494" s="22"/>
      <c r="T494" s="19"/>
      <c r="U494" s="24">
        <v>4.9015524300143332E-2</v>
      </c>
      <c r="V494" s="24">
        <f t="shared" si="25"/>
        <v>4.4156459490255484E-2</v>
      </c>
      <c r="W494" s="106">
        <v>4.4156459999999997</v>
      </c>
      <c r="X494" s="106">
        <v>4.4156000000000001E-2</v>
      </c>
      <c r="Y494" s="34">
        <f t="shared" si="23"/>
        <v>-4.5949025548330802E-7</v>
      </c>
    </row>
    <row r="495" spans="15:25" ht="17.100000000000001" customHeight="1">
      <c r="O495" s="12">
        <f t="shared" si="24"/>
        <v>40.166666666666664</v>
      </c>
      <c r="P495" s="13">
        <v>482</v>
      </c>
      <c r="Q495" s="22"/>
      <c r="R495" s="19"/>
      <c r="S495" s="22"/>
      <c r="T495" s="19"/>
      <c r="U495" s="24">
        <v>4.9005419881309464E-2</v>
      </c>
      <c r="V495" s="24">
        <f t="shared" si="25"/>
        <v>4.4144712040298906E-2</v>
      </c>
      <c r="W495" s="106">
        <v>4.4144709999999998</v>
      </c>
      <c r="X495" s="106">
        <v>4.4144999999999997E-2</v>
      </c>
      <c r="Y495" s="34">
        <f t="shared" si="23"/>
        <v>2.8795970109102287E-7</v>
      </c>
    </row>
    <row r="496" spans="15:25" ht="17.100000000000001" customHeight="1">
      <c r="O496" s="12">
        <f t="shared" si="24"/>
        <v>40.25</v>
      </c>
      <c r="P496" s="13">
        <v>483</v>
      </c>
      <c r="Q496" s="22"/>
      <c r="R496" s="19"/>
      <c r="S496" s="22"/>
      <c r="T496" s="19"/>
      <c r="U496" s="24">
        <v>4.899533296475056E-2</v>
      </c>
      <c r="V496" s="24">
        <f t="shared" si="25"/>
        <v>4.4133082929514567E-2</v>
      </c>
      <c r="W496" s="106">
        <v>4.4133079999999998</v>
      </c>
      <c r="X496" s="106">
        <v>4.4132999999999999E-2</v>
      </c>
      <c r="Y496" s="34">
        <f t="shared" si="23"/>
        <v>-8.2929514567953166E-8</v>
      </c>
    </row>
    <row r="497" spans="15:25" ht="17.100000000000001" customHeight="1">
      <c r="O497" s="12">
        <f t="shared" si="24"/>
        <v>40.333333333333336</v>
      </c>
      <c r="P497" s="13">
        <v>484</v>
      </c>
      <c r="Q497" s="22"/>
      <c r="R497" s="19"/>
      <c r="S497" s="22"/>
      <c r="T497" s="19"/>
      <c r="U497" s="24">
        <v>4.8985263687447045E-2</v>
      </c>
      <c r="V497" s="24">
        <f t="shared" si="25"/>
        <v>4.4121570985889758E-2</v>
      </c>
      <c r="W497" s="106">
        <v>4.4121569999999997</v>
      </c>
      <c r="X497" s="106">
        <v>4.4122000000000001E-2</v>
      </c>
      <c r="Y497" s="34">
        <f t="shared" si="23"/>
        <v>4.2901411024393044E-7</v>
      </c>
    </row>
    <row r="498" spans="15:25" ht="17.100000000000001" customHeight="1">
      <c r="O498" s="12">
        <f t="shared" si="24"/>
        <v>40.416666666666664</v>
      </c>
      <c r="P498" s="13">
        <v>485</v>
      </c>
      <c r="Q498" s="22"/>
      <c r="R498" s="19"/>
      <c r="S498" s="22"/>
      <c r="T498" s="19"/>
      <c r="U498" s="24">
        <v>4.8975212182821748E-2</v>
      </c>
      <c r="V498" s="24">
        <f t="shared" si="25"/>
        <v>4.4110175048485134E-2</v>
      </c>
      <c r="W498" s="106">
        <v>4.4110180000000003</v>
      </c>
      <c r="X498" s="106">
        <v>4.4110000000000003E-2</v>
      </c>
      <c r="Y498" s="34">
        <f t="shared" si="23"/>
        <v>-1.7504848513066884E-7</v>
      </c>
    </row>
    <row r="499" spans="15:25" ht="17.100000000000001" customHeight="1">
      <c r="O499" s="12">
        <f t="shared" si="24"/>
        <v>40.5</v>
      </c>
      <c r="P499" s="13">
        <v>486</v>
      </c>
      <c r="Q499" s="22"/>
      <c r="R499" s="19"/>
      <c r="S499" s="22"/>
      <c r="T499" s="19"/>
      <c r="U499" s="24">
        <v>4.8965178580798518E-2</v>
      </c>
      <c r="V499" s="24">
        <f t="shared" si="25"/>
        <v>4.4098893967648101E-2</v>
      </c>
      <c r="W499" s="106">
        <v>4.4098889999999997</v>
      </c>
      <c r="X499" s="106">
        <v>4.4098999999999999E-2</v>
      </c>
      <c r="Y499" s="34">
        <f t="shared" si="23"/>
        <v>1.0603235189865501E-7</v>
      </c>
    </row>
    <row r="500" spans="15:25" ht="17.100000000000001" customHeight="1">
      <c r="O500" s="12">
        <f t="shared" si="24"/>
        <v>40.583333333333336</v>
      </c>
      <c r="P500" s="13">
        <v>487</v>
      </c>
      <c r="Q500" s="22"/>
      <c r="R500" s="19"/>
      <c r="S500" s="22"/>
      <c r="T500" s="19"/>
      <c r="U500" s="24">
        <v>4.8955163007862623E-2</v>
      </c>
      <c r="V500" s="24">
        <f t="shared" si="25"/>
        <v>4.4087726604658872E-2</v>
      </c>
      <c r="W500" s="106">
        <v>4.4087730000000001</v>
      </c>
      <c r="X500" s="106">
        <v>4.4088000000000002E-2</v>
      </c>
      <c r="Y500" s="34">
        <f t="shared" si="23"/>
        <v>2.7339534112991171E-7</v>
      </c>
    </row>
    <row r="501" spans="15:25" ht="17.100000000000001" customHeight="1">
      <c r="O501" s="12">
        <f t="shared" si="24"/>
        <v>40.666666666666664</v>
      </c>
      <c r="P501" s="13">
        <v>488</v>
      </c>
      <c r="Q501" s="22"/>
      <c r="R501" s="19"/>
      <c r="S501" s="22"/>
      <c r="T501" s="19"/>
      <c r="U501" s="24">
        <v>4.8945165587117367E-2</v>
      </c>
      <c r="V501" s="24">
        <f t="shared" si="25"/>
        <v>4.4076671831715153E-2</v>
      </c>
      <c r="W501" s="106">
        <v>4.407667</v>
      </c>
      <c r="X501" s="106">
        <v>4.4076999999999998E-2</v>
      </c>
      <c r="Y501" s="34">
        <f t="shared" si="23"/>
        <v>3.2816828484522054E-7</v>
      </c>
    </row>
    <row r="502" spans="15:25" ht="17.100000000000001" customHeight="1">
      <c r="O502" s="12">
        <f t="shared" si="24"/>
        <v>40.75</v>
      </c>
      <c r="P502" s="13">
        <v>489</v>
      </c>
      <c r="Q502" s="22"/>
      <c r="R502" s="19"/>
      <c r="S502" s="22"/>
      <c r="T502" s="19"/>
      <c r="U502" s="24">
        <v>4.8935186438341827E-2</v>
      </c>
      <c r="V502" s="24">
        <f t="shared" si="25"/>
        <v>4.4065728531659243E-2</v>
      </c>
      <c r="W502" s="106">
        <v>4.4065729999999999</v>
      </c>
      <c r="X502" s="106">
        <v>4.4066000000000001E-2</v>
      </c>
      <c r="Y502" s="34">
        <f t="shared" si="23"/>
        <v>2.7146834075814086E-7</v>
      </c>
    </row>
    <row r="503" spans="15:25" ht="17.100000000000001" customHeight="1">
      <c r="O503" s="12">
        <f t="shared" si="24"/>
        <v>40.833333333333336</v>
      </c>
      <c r="P503" s="13">
        <v>490</v>
      </c>
      <c r="Q503" s="22"/>
      <c r="R503" s="19"/>
      <c r="S503" s="22"/>
      <c r="T503" s="19"/>
      <c r="U503" s="24">
        <v>4.8925225678046136E-2</v>
      </c>
      <c r="V503" s="24">
        <f t="shared" si="25"/>
        <v>4.4054895598575783E-2</v>
      </c>
      <c r="W503" s="106">
        <v>4.4054900000000004</v>
      </c>
      <c r="X503" s="106">
        <v>4.4054999999999997E-2</v>
      </c>
      <c r="Y503" s="34">
        <f t="shared" si="23"/>
        <v>1.0440142421408449E-7</v>
      </c>
    </row>
    <row r="504" spans="15:25" ht="17.100000000000001" customHeight="1">
      <c r="O504" s="12">
        <f t="shared" si="24"/>
        <v>40.916666666666664</v>
      </c>
      <c r="P504" s="13">
        <v>491</v>
      </c>
      <c r="Q504" s="22"/>
      <c r="R504" s="19"/>
      <c r="S504" s="22"/>
      <c r="T504" s="19"/>
      <c r="U504" s="24">
        <v>4.8915283419527666E-2</v>
      </c>
      <c r="V504" s="24">
        <f t="shared" si="25"/>
        <v>4.4044171936330923E-2</v>
      </c>
      <c r="W504" s="106">
        <v>4.4044169999999996</v>
      </c>
      <c r="X504" s="106">
        <v>4.4044E-2</v>
      </c>
      <c r="Y504" s="34">
        <f t="shared" si="23"/>
        <v>-1.7193633092271732E-7</v>
      </c>
    </row>
    <row r="505" spans="15:25" ht="17.100000000000001" customHeight="1">
      <c r="O505" s="12">
        <f t="shared" si="24"/>
        <v>41</v>
      </c>
      <c r="P505" s="13">
        <v>492</v>
      </c>
      <c r="Q505" s="22"/>
      <c r="R505" s="19"/>
      <c r="S505" s="22"/>
      <c r="T505" s="19"/>
      <c r="U505" s="24">
        <v>4.8905359772924095E-2</v>
      </c>
      <c r="V505" s="24">
        <f t="shared" si="25"/>
        <v>4.4033556460107093E-2</v>
      </c>
      <c r="W505" s="106">
        <v>4.4033559999999996</v>
      </c>
      <c r="X505" s="106">
        <v>4.4033999999999997E-2</v>
      </c>
      <c r="Y505" s="34">
        <f t="shared" si="23"/>
        <v>4.4353989290396578E-7</v>
      </c>
    </row>
    <row r="506" spans="15:25" ht="17.100000000000001" customHeight="1">
      <c r="O506" s="12">
        <f t="shared" si="24"/>
        <v>41.083333333333336</v>
      </c>
      <c r="P506" s="13">
        <v>493</v>
      </c>
      <c r="Q506" s="22"/>
      <c r="R506" s="19"/>
      <c r="S506" s="22"/>
      <c r="T506" s="19"/>
      <c r="U506" s="24">
        <v>4.8895454845268249E-2</v>
      </c>
      <c r="V506" s="24">
        <f t="shared" si="25"/>
        <v>4.402304809512203E-2</v>
      </c>
      <c r="W506" s="106">
        <v>4.4023050000000001</v>
      </c>
      <c r="X506" s="106">
        <v>4.4023E-2</v>
      </c>
      <c r="Y506" s="34">
        <f t="shared" si="23"/>
        <v>-4.809512203080013E-8</v>
      </c>
    </row>
    <row r="507" spans="15:25" ht="17.100000000000001" customHeight="1">
      <c r="O507" s="12">
        <f t="shared" si="24"/>
        <v>41.166666666666664</v>
      </c>
      <c r="P507" s="13">
        <v>494</v>
      </c>
      <c r="Q507" s="22"/>
      <c r="R507" s="19"/>
      <c r="S507" s="22"/>
      <c r="T507" s="19"/>
      <c r="U507" s="24">
        <v>4.888556874053962E-2</v>
      </c>
      <c r="V507" s="24">
        <f t="shared" si="25"/>
        <v>4.4012645777003145E-2</v>
      </c>
      <c r="W507" s="106">
        <v>4.4012650000000004</v>
      </c>
      <c r="X507" s="106">
        <v>4.4012999999999997E-2</v>
      </c>
      <c r="Y507" s="34">
        <f t="shared" si="23"/>
        <v>3.5422299685117231E-7</v>
      </c>
    </row>
    <row r="508" spans="15:25" ht="17.100000000000001" customHeight="1">
      <c r="O508" s="12">
        <f t="shared" si="24"/>
        <v>41.25</v>
      </c>
      <c r="P508" s="13">
        <v>495</v>
      </c>
      <c r="Q508" s="22"/>
      <c r="R508" s="19"/>
      <c r="S508" s="22"/>
      <c r="T508" s="19"/>
      <c r="U508" s="24">
        <v>4.8875701559716545E-2</v>
      </c>
      <c r="V508" s="24">
        <f t="shared" si="25"/>
        <v>4.4002348451728013E-2</v>
      </c>
      <c r="W508" s="106">
        <v>4.4002350000000003</v>
      </c>
      <c r="X508" s="106">
        <v>4.4001999999999999E-2</v>
      </c>
      <c r="Y508" s="34">
        <f t="shared" si="23"/>
        <v>-3.4845172801334368E-7</v>
      </c>
    </row>
    <row r="509" spans="15:25" ht="17.100000000000001" customHeight="1">
      <c r="O509" s="12">
        <f t="shared" si="24"/>
        <v>41.333333333333336</v>
      </c>
      <c r="P509" s="13">
        <v>496</v>
      </c>
      <c r="Q509" s="22"/>
      <c r="R509" s="19"/>
      <c r="S509" s="22"/>
      <c r="T509" s="19"/>
      <c r="U509" s="24">
        <v>4.8865853400827719E-2</v>
      </c>
      <c r="V509" s="24">
        <f t="shared" si="25"/>
        <v>4.399215507474552E-2</v>
      </c>
      <c r="W509" s="106">
        <v>4.399216</v>
      </c>
      <c r="X509" s="106">
        <v>4.3992000000000003E-2</v>
      </c>
      <c r="Y509" s="34">
        <f t="shared" si="23"/>
        <v>-1.5507474551701428E-7</v>
      </c>
    </row>
    <row r="510" spans="15:25" ht="17.100000000000001" customHeight="1">
      <c r="O510" s="12">
        <f t="shared" si="24"/>
        <v>41.416666666666664</v>
      </c>
      <c r="P510" s="13">
        <v>497</v>
      </c>
      <c r="Q510" s="22"/>
      <c r="R510" s="19"/>
      <c r="S510" s="22"/>
      <c r="T510" s="19"/>
      <c r="U510" s="24">
        <v>4.8856024359000605E-2</v>
      </c>
      <c r="V510" s="24">
        <f t="shared" si="25"/>
        <v>4.3982064613089511E-2</v>
      </c>
      <c r="W510" s="106">
        <v>4.3982060000000001</v>
      </c>
      <c r="X510" s="106">
        <v>4.3982E-2</v>
      </c>
      <c r="Y510" s="34">
        <f t="shared" si="23"/>
        <v>-6.4613089510723309E-8</v>
      </c>
    </row>
    <row r="511" spans="15:25" ht="17.100000000000001" customHeight="1">
      <c r="O511" s="12">
        <f t="shared" si="24"/>
        <v>41.5</v>
      </c>
      <c r="P511" s="13">
        <v>498</v>
      </c>
      <c r="Q511" s="22"/>
      <c r="R511" s="19"/>
      <c r="S511" s="22"/>
      <c r="T511" s="19"/>
      <c r="U511" s="24">
        <v>4.8846214526513831E-2</v>
      </c>
      <c r="V511" s="24">
        <f t="shared" si="25"/>
        <v>4.3972076042101405E-2</v>
      </c>
      <c r="W511" s="106">
        <v>4.397208</v>
      </c>
      <c r="X511" s="106">
        <v>4.3971999999999997E-2</v>
      </c>
      <c r="Y511" s="34">
        <f t="shared" si="23"/>
        <v>-7.6042101407325369E-8</v>
      </c>
    </row>
    <row r="512" spans="15:25" ht="17.100000000000001" customHeight="1">
      <c r="O512" s="12">
        <f t="shared" si="24"/>
        <v>41.583333333333336</v>
      </c>
      <c r="P512" s="13">
        <v>499</v>
      </c>
      <c r="Q512" s="22"/>
      <c r="R512" s="19"/>
      <c r="S512" s="22"/>
      <c r="T512" s="19"/>
      <c r="U512" s="24">
        <v>4.8836423992842715E-2</v>
      </c>
      <c r="V512" s="24">
        <f t="shared" si="25"/>
        <v>4.3962188347972164E-2</v>
      </c>
      <c r="W512" s="106">
        <v>4.3962190000000003</v>
      </c>
      <c r="X512" s="106">
        <v>4.3962000000000001E-2</v>
      </c>
      <c r="Y512" s="34">
        <f t="shared" si="23"/>
        <v>-1.883479721631609E-7</v>
      </c>
    </row>
    <row r="513" spans="15:25" ht="17.100000000000001" customHeight="1">
      <c r="O513" s="12">
        <f t="shared" si="24"/>
        <v>41.666666666666664</v>
      </c>
      <c r="P513" s="13">
        <v>500</v>
      </c>
      <c r="Q513" s="22"/>
      <c r="R513" s="19"/>
      <c r="S513" s="22"/>
      <c r="T513" s="19"/>
      <c r="U513" s="24">
        <v>4.8826652844708995E-2</v>
      </c>
      <c r="V513" s="24">
        <f t="shared" si="25"/>
        <v>4.3952400526426905E-2</v>
      </c>
      <c r="W513" s="106">
        <v>4.3952400000000003</v>
      </c>
      <c r="X513" s="106">
        <v>4.3951999999999998E-2</v>
      </c>
      <c r="Y513" s="34">
        <f t="shared" si="23"/>
        <v>-4.0052642690663331E-7</v>
      </c>
    </row>
    <row r="514" spans="15:25" ht="17.100000000000001" customHeight="1">
      <c r="O514" s="12">
        <f t="shared" si="24"/>
        <v>41.75</v>
      </c>
      <c r="P514" s="13">
        <v>501</v>
      </c>
      <c r="Q514" s="22"/>
      <c r="R514" s="19"/>
      <c r="S514" s="22"/>
      <c r="T514" s="19"/>
      <c r="U514" s="24">
        <v>4.8816901166127469E-2</v>
      </c>
      <c r="V514" s="24">
        <f t="shared" si="25"/>
        <v>4.3942711582855898E-2</v>
      </c>
      <c r="W514" s="106">
        <v>4.3942709999999998</v>
      </c>
      <c r="X514" s="106">
        <v>4.3943000000000003E-2</v>
      </c>
      <c r="Y514" s="34">
        <f t="shared" si="23"/>
        <v>2.8841714410504649E-7</v>
      </c>
    </row>
    <row r="515" spans="15:25" ht="17.100000000000001" customHeight="1">
      <c r="O515" s="12">
        <f t="shared" si="24"/>
        <v>41.833333333333336</v>
      </c>
      <c r="P515" s="13">
        <v>502</v>
      </c>
      <c r="Q515" s="22"/>
      <c r="R515" s="19"/>
      <c r="S515" s="22"/>
      <c r="T515" s="19"/>
      <c r="U515" s="24">
        <v>4.8807169038452169E-2</v>
      </c>
      <c r="V515" s="24">
        <f t="shared" si="25"/>
        <v>4.3933120532398062E-2</v>
      </c>
      <c r="W515" s="106">
        <v>4.3933119999999999</v>
      </c>
      <c r="X515" s="106">
        <v>4.3933E-2</v>
      </c>
      <c r="Y515" s="34">
        <f t="shared" si="23"/>
        <v>-1.2053239806242289E-7</v>
      </c>
    </row>
    <row r="516" spans="15:25" ht="17.100000000000001" customHeight="1">
      <c r="O516" s="12">
        <f t="shared" si="24"/>
        <v>41.916666666666664</v>
      </c>
      <c r="P516" s="13">
        <v>503</v>
      </c>
      <c r="Q516" s="22"/>
      <c r="R516" s="19"/>
      <c r="S516" s="22"/>
      <c r="T516" s="19"/>
      <c r="U516" s="24">
        <v>4.8797456540422335E-2</v>
      </c>
      <c r="V516" s="24">
        <f t="shared" si="25"/>
        <v>4.3923626399482441E-2</v>
      </c>
      <c r="W516" s="106">
        <v>4.3923629999999996</v>
      </c>
      <c r="X516" s="106">
        <v>4.3923999999999998E-2</v>
      </c>
      <c r="Y516" s="34">
        <f t="shared" si="23"/>
        <v>3.7360051755724877E-7</v>
      </c>
    </row>
    <row r="517" spans="15:25" ht="17.100000000000001" customHeight="1">
      <c r="O517" s="12">
        <f t="shared" si="24"/>
        <v>42</v>
      </c>
      <c r="P517" s="13">
        <v>504</v>
      </c>
      <c r="Q517" s="22"/>
      <c r="R517" s="19"/>
      <c r="S517" s="22"/>
      <c r="T517" s="19"/>
      <c r="U517" s="24">
        <v>4.8787763748206814E-2</v>
      </c>
      <c r="V517" s="24">
        <f t="shared" si="25"/>
        <v>4.3914228218185913E-2</v>
      </c>
      <c r="W517" s="106">
        <v>4.3914229999999996</v>
      </c>
      <c r="X517" s="106">
        <v>4.3914000000000002E-2</v>
      </c>
      <c r="Y517" s="34">
        <f t="shared" si="23"/>
        <v>-2.2821818591173271E-7</v>
      </c>
    </row>
    <row r="518" spans="15:25" ht="17.100000000000001" customHeight="1">
      <c r="O518" s="12">
        <f t="shared" si="24"/>
        <v>42.083333333333336</v>
      </c>
      <c r="P518" s="13">
        <v>505</v>
      </c>
      <c r="Q518" s="22"/>
      <c r="R518" s="19"/>
      <c r="S518" s="22"/>
      <c r="T518" s="19"/>
      <c r="U518" s="24">
        <v>4.877809073544892E-2</v>
      </c>
      <c r="V518" s="24">
        <f t="shared" si="25"/>
        <v>4.3904925032009601E-2</v>
      </c>
      <c r="W518" s="106">
        <v>4.3904930000000002</v>
      </c>
      <c r="X518" s="106">
        <v>4.3905E-2</v>
      </c>
      <c r="Y518" s="34">
        <f t="shared" si="23"/>
        <v>7.4967990398855378E-8</v>
      </c>
    </row>
    <row r="519" spans="15:25" ht="17.100000000000001" customHeight="1">
      <c r="O519" s="12">
        <f t="shared" si="24"/>
        <v>42.166666666666664</v>
      </c>
      <c r="P519" s="13">
        <v>506</v>
      </c>
      <c r="Q519" s="22"/>
      <c r="R519" s="19"/>
      <c r="S519" s="22"/>
      <c r="T519" s="19"/>
      <c r="U519" s="24">
        <v>4.8768437573309509E-2</v>
      </c>
      <c r="V519" s="24">
        <f t="shared" si="25"/>
        <v>4.389571589360397E-2</v>
      </c>
      <c r="W519" s="106">
        <v>4.3895720000000003</v>
      </c>
      <c r="X519" s="106">
        <v>4.3895999999999998E-2</v>
      </c>
      <c r="Y519" s="34">
        <f t="shared" si="23"/>
        <v>2.8410639602710619E-7</v>
      </c>
    </row>
    <row r="520" spans="15:25" ht="17.100000000000001" customHeight="1">
      <c r="O520" s="12">
        <f t="shared" si="24"/>
        <v>42.25</v>
      </c>
      <c r="P520" s="13">
        <v>507</v>
      </c>
      <c r="Q520" s="22"/>
      <c r="R520" s="19"/>
      <c r="S520" s="22"/>
      <c r="T520" s="19"/>
      <c r="U520" s="24">
        <v>4.8758804330510497E-2</v>
      </c>
      <c r="V520" s="24">
        <f t="shared" si="25"/>
        <v>4.3886599864580988E-2</v>
      </c>
      <c r="W520" s="106">
        <v>4.3886599999999998</v>
      </c>
      <c r="X520" s="106">
        <v>4.3887000000000002E-2</v>
      </c>
      <c r="Y520" s="34">
        <f t="shared" si="23"/>
        <v>4.0013541901390282E-7</v>
      </c>
    </row>
    <row r="521" spans="15:25" ht="17.100000000000001" customHeight="1">
      <c r="O521" s="12">
        <f t="shared" si="24"/>
        <v>42.333333333333336</v>
      </c>
      <c r="P521" s="13">
        <v>508</v>
      </c>
      <c r="Q521" s="22"/>
      <c r="R521" s="19"/>
      <c r="S521" s="22"/>
      <c r="T521" s="19"/>
      <c r="U521" s="24">
        <v>4.8749191073375497E-2</v>
      </c>
      <c r="V521" s="24">
        <f t="shared" si="25"/>
        <v>4.3877576016249753E-2</v>
      </c>
      <c r="W521" s="106">
        <v>4.3877579999999998</v>
      </c>
      <c r="X521" s="106">
        <v>4.3878E-2</v>
      </c>
      <c r="Y521" s="34">
        <f t="shared" si="23"/>
        <v>4.2398375024732537E-7</v>
      </c>
    </row>
    <row r="522" spans="15:25" ht="17.100000000000001" customHeight="1">
      <c r="O522" s="12">
        <f t="shared" si="24"/>
        <v>42.416666666666664</v>
      </c>
      <c r="P522" s="13">
        <v>509</v>
      </c>
      <c r="Q522" s="22"/>
      <c r="R522" s="19"/>
      <c r="S522" s="22"/>
      <c r="T522" s="19"/>
      <c r="U522" s="24">
        <v>4.8739597865873563E-2</v>
      </c>
      <c r="V522" s="24">
        <f t="shared" si="25"/>
        <v>4.3868643428117693E-2</v>
      </c>
      <c r="W522" s="106">
        <v>4.3868640000000001</v>
      </c>
      <c r="X522" s="106">
        <v>4.3868999999999998E-2</v>
      </c>
      <c r="Y522" s="34">
        <f t="shared" si="23"/>
        <v>3.5657188230536763E-7</v>
      </c>
    </row>
    <row r="523" spans="15:25" ht="17.100000000000001" customHeight="1">
      <c r="O523" s="12">
        <f t="shared" si="24"/>
        <v>42.5</v>
      </c>
      <c r="P523" s="13">
        <v>510</v>
      </c>
      <c r="Q523" s="22"/>
      <c r="R523" s="19"/>
      <c r="S523" s="22"/>
      <c r="T523" s="19"/>
      <c r="U523" s="24">
        <v>4.873002476965782E-2</v>
      </c>
      <c r="V523" s="24">
        <f t="shared" si="25"/>
        <v>4.3859801189460645E-2</v>
      </c>
      <c r="W523" s="106">
        <v>4.38598</v>
      </c>
      <c r="X523" s="106">
        <v>4.3860000000000003E-2</v>
      </c>
      <c r="Y523" s="34">
        <f t="shared" si="23"/>
        <v>1.9881053935771886E-7</v>
      </c>
    </row>
    <row r="524" spans="15:25" ht="17.100000000000001" customHeight="1">
      <c r="O524" s="12">
        <f t="shared" si="24"/>
        <v>42.583333333333336</v>
      </c>
      <c r="P524" s="13">
        <v>511</v>
      </c>
      <c r="Q524" s="22"/>
      <c r="R524" s="19"/>
      <c r="S524" s="22"/>
      <c r="T524" s="19"/>
      <c r="U524" s="24">
        <v>4.8720471844107216E-2</v>
      </c>
      <c r="V524" s="24">
        <f t="shared" si="25"/>
        <v>4.3851048398073855E-2</v>
      </c>
      <c r="W524" s="106">
        <v>4.3851050000000003</v>
      </c>
      <c r="X524" s="106">
        <v>4.3851000000000001E-2</v>
      </c>
      <c r="Y524" s="34">
        <f t="shared" si="23"/>
        <v>-4.839807385415007E-8</v>
      </c>
    </row>
    <row r="525" spans="15:25" ht="17.100000000000001" customHeight="1">
      <c r="O525" s="12">
        <f t="shared" si="24"/>
        <v>42.666666666666664</v>
      </c>
      <c r="P525" s="13">
        <v>512</v>
      </c>
      <c r="Q525" s="22"/>
      <c r="R525" s="19"/>
      <c r="S525" s="22"/>
      <c r="T525" s="19"/>
      <c r="U525" s="24">
        <v>4.8710939146365817E-2</v>
      </c>
      <c r="V525" s="24">
        <f t="shared" si="25"/>
        <v>4.3842384159962E-2</v>
      </c>
      <c r="W525" s="106">
        <v>4.3842379999999999</v>
      </c>
      <c r="X525" s="106">
        <v>4.3841999999999999E-2</v>
      </c>
      <c r="Y525" s="34">
        <f t="shared" ref="Y525:Y588" si="26">X525-V525</f>
        <v>-3.8415996200108493E-7</v>
      </c>
    </row>
    <row r="526" spans="15:25" ht="17.100000000000001" customHeight="1">
      <c r="O526" s="12">
        <f t="shared" ref="O526:O589" si="27">P526/12</f>
        <v>42.75</v>
      </c>
      <c r="P526" s="13">
        <v>513</v>
      </c>
      <c r="Q526" s="22"/>
      <c r="R526" s="19"/>
      <c r="S526" s="22"/>
      <c r="T526" s="19"/>
      <c r="U526" s="24">
        <v>4.8701426731380781E-2</v>
      </c>
      <c r="V526" s="24">
        <f t="shared" ref="V526:V589" si="28">(1+U527)^P527/(1+U526)^P526-1</f>
        <v>4.3833807591093565E-2</v>
      </c>
      <c r="W526" s="106">
        <v>4.383381</v>
      </c>
      <c r="X526" s="106">
        <v>4.3833999999999998E-2</v>
      </c>
      <c r="Y526" s="34">
        <f t="shared" si="26"/>
        <v>1.9240890643257291E-7</v>
      </c>
    </row>
    <row r="527" spans="15:25" ht="17.100000000000001" customHeight="1">
      <c r="O527" s="12">
        <f t="shared" si="27"/>
        <v>42.833333333333336</v>
      </c>
      <c r="P527" s="13">
        <v>514</v>
      </c>
      <c r="Q527" s="22"/>
      <c r="R527" s="19"/>
      <c r="S527" s="22"/>
      <c r="T527" s="19"/>
      <c r="U527" s="24">
        <v>4.8691934651942548E-2</v>
      </c>
      <c r="V527" s="24">
        <f t="shared" si="28"/>
        <v>4.3825317814559117E-2</v>
      </c>
      <c r="W527" s="106">
        <v>4.3825320000000003</v>
      </c>
      <c r="X527" s="106">
        <v>4.3825000000000003E-2</v>
      </c>
      <c r="Y527" s="34">
        <f t="shared" si="26"/>
        <v>-3.1781455911428225E-7</v>
      </c>
    </row>
    <row r="528" spans="15:25" ht="17.100000000000001" customHeight="1">
      <c r="O528" s="12">
        <f t="shared" si="27"/>
        <v>42.916666666666664</v>
      </c>
      <c r="P528" s="13">
        <v>515</v>
      </c>
      <c r="Q528" s="22"/>
      <c r="R528" s="19"/>
      <c r="S528" s="22"/>
      <c r="T528" s="19"/>
      <c r="U528" s="24">
        <v>4.8682462958720141E-2</v>
      </c>
      <c r="V528" s="24">
        <f t="shared" si="28"/>
        <v>4.3816913963476756E-2</v>
      </c>
      <c r="W528" s="106">
        <v>4.381691</v>
      </c>
      <c r="X528" s="106">
        <v>4.3817000000000002E-2</v>
      </c>
      <c r="Y528" s="34">
        <f t="shared" si="26"/>
        <v>8.6036523246069141E-8</v>
      </c>
    </row>
    <row r="529" spans="15:25" ht="17.100000000000001" customHeight="1">
      <c r="O529" s="12">
        <f t="shared" si="27"/>
        <v>43</v>
      </c>
      <c r="P529" s="13">
        <v>516</v>
      </c>
      <c r="Q529" s="22"/>
      <c r="R529" s="19"/>
      <c r="S529" s="22"/>
      <c r="T529" s="19"/>
      <c r="U529" s="24">
        <v>4.8673011700301361E-2</v>
      </c>
      <c r="V529" s="24">
        <f t="shared" si="28"/>
        <v>4.3808595178103538E-2</v>
      </c>
      <c r="W529" s="106">
        <v>4.3808600000000002</v>
      </c>
      <c r="X529" s="106">
        <v>4.3809000000000001E-2</v>
      </c>
      <c r="Y529" s="34">
        <f t="shared" si="26"/>
        <v>4.048218964630701E-7</v>
      </c>
    </row>
    <row r="530" spans="15:25" ht="17.100000000000001" customHeight="1">
      <c r="O530" s="12">
        <f t="shared" si="27"/>
        <v>43.083333333333336</v>
      </c>
      <c r="P530" s="13">
        <v>517</v>
      </c>
      <c r="Q530" s="22"/>
      <c r="R530" s="19"/>
      <c r="S530" s="22"/>
      <c r="T530" s="19"/>
      <c r="U530" s="24">
        <v>4.8663580923226535E-2</v>
      </c>
      <c r="V530" s="24">
        <f t="shared" si="28"/>
        <v>4.3800360607985978E-2</v>
      </c>
      <c r="W530" s="106">
        <v>4.3800359999999996</v>
      </c>
      <c r="X530" s="106">
        <v>4.3799999999999999E-2</v>
      </c>
      <c r="Y530" s="34">
        <f t="shared" si="26"/>
        <v>-3.606079859788669E-7</v>
      </c>
    </row>
    <row r="531" spans="15:25" ht="17.100000000000001" customHeight="1">
      <c r="O531" s="12">
        <f t="shared" si="27"/>
        <v>43.166666666666664</v>
      </c>
      <c r="P531" s="13">
        <v>518</v>
      </c>
      <c r="Q531" s="22"/>
      <c r="R531" s="19"/>
      <c r="S531" s="22"/>
      <c r="T531" s="19"/>
      <c r="U531" s="24">
        <v>4.8654170672026265E-2</v>
      </c>
      <c r="V531" s="24">
        <f t="shared" si="28"/>
        <v>4.3792209410260297E-2</v>
      </c>
      <c r="W531" s="106">
        <v>4.3792210000000003</v>
      </c>
      <c r="X531" s="106">
        <v>4.3791999999999998E-2</v>
      </c>
      <c r="Y531" s="34">
        <f t="shared" si="26"/>
        <v>-2.0941026029897003E-7</v>
      </c>
    </row>
    <row r="532" spans="15:25" ht="17.100000000000001" customHeight="1">
      <c r="O532" s="12">
        <f t="shared" si="27"/>
        <v>43.25</v>
      </c>
      <c r="P532" s="13">
        <v>519</v>
      </c>
      <c r="Q532" s="22"/>
      <c r="R532" s="19"/>
      <c r="S532" s="22"/>
      <c r="T532" s="19"/>
      <c r="U532" s="24">
        <v>4.864478098925562E-2</v>
      </c>
      <c r="V532" s="24">
        <f t="shared" si="28"/>
        <v>4.3784140751206735E-2</v>
      </c>
      <c r="W532" s="106">
        <v>4.3784140000000003</v>
      </c>
      <c r="X532" s="106">
        <v>4.3784000000000003E-2</v>
      </c>
      <c r="Y532" s="34">
        <f t="shared" si="26"/>
        <v>-1.4075120673140429E-7</v>
      </c>
    </row>
    <row r="533" spans="15:25" ht="17.100000000000001" customHeight="1">
      <c r="O533" s="12">
        <f t="shared" si="27"/>
        <v>43.333333333333336</v>
      </c>
      <c r="P533" s="13">
        <v>520</v>
      </c>
      <c r="Q533" s="22"/>
      <c r="R533" s="19"/>
      <c r="S533" s="22"/>
      <c r="T533" s="19"/>
      <c r="U533" s="24">
        <v>4.863541191553078E-2</v>
      </c>
      <c r="V533" s="24">
        <f t="shared" si="28"/>
        <v>4.3776153804331086E-2</v>
      </c>
      <c r="W533" s="106">
        <v>4.3776149999999996</v>
      </c>
      <c r="X533" s="106">
        <v>4.3776000000000002E-2</v>
      </c>
      <c r="Y533" s="34">
        <f t="shared" si="26"/>
        <v>-1.5380433108364011E-7</v>
      </c>
    </row>
    <row r="534" spans="15:25" ht="17.100000000000001" customHeight="1">
      <c r="O534" s="12">
        <f t="shared" si="27"/>
        <v>43.416666666666664</v>
      </c>
      <c r="P534" s="13">
        <v>521</v>
      </c>
      <c r="Q534" s="22"/>
      <c r="R534" s="19"/>
      <c r="S534" s="22"/>
      <c r="T534" s="19"/>
      <c r="U534" s="24">
        <v>4.8626063489561666E-2</v>
      </c>
      <c r="V534" s="24">
        <f t="shared" si="28"/>
        <v>4.3768247751699185E-2</v>
      </c>
      <c r="W534" s="106">
        <v>4.3768250000000002</v>
      </c>
      <c r="X534" s="106">
        <v>4.3768000000000001E-2</v>
      </c>
      <c r="Y534" s="34">
        <f t="shared" si="26"/>
        <v>-2.4775169918389572E-7</v>
      </c>
    </row>
    <row r="535" spans="15:25" ht="17.100000000000001" customHeight="1">
      <c r="O535" s="12">
        <f t="shared" si="27"/>
        <v>43.5</v>
      </c>
      <c r="P535" s="13">
        <v>522</v>
      </c>
      <c r="Q535" s="22"/>
      <c r="R535" s="19"/>
      <c r="S535" s="22"/>
      <c r="T535" s="19"/>
      <c r="U535" s="24">
        <v>4.8616735748186368E-2</v>
      </c>
      <c r="V535" s="24">
        <f t="shared" si="28"/>
        <v>4.3760421783226144E-2</v>
      </c>
      <c r="W535" s="106">
        <v>4.376042</v>
      </c>
      <c r="X535" s="106">
        <v>4.376E-2</v>
      </c>
      <c r="Y535" s="34">
        <f t="shared" si="26"/>
        <v>-4.2178322614411234E-7</v>
      </c>
    </row>
    <row r="536" spans="15:25" ht="17.100000000000001" customHeight="1">
      <c r="O536" s="12">
        <f t="shared" si="27"/>
        <v>43.583333333333336</v>
      </c>
      <c r="P536" s="13">
        <v>523</v>
      </c>
      <c r="Q536" s="22"/>
      <c r="R536" s="19"/>
      <c r="S536" s="22"/>
      <c r="T536" s="19"/>
      <c r="U536" s="24">
        <v>4.8607428726404445E-2</v>
      </c>
      <c r="V536" s="24">
        <f t="shared" si="28"/>
        <v>4.3752675096851545E-2</v>
      </c>
      <c r="W536" s="106">
        <v>4.3752680000000002</v>
      </c>
      <c r="X536" s="106">
        <v>4.3753E-2</v>
      </c>
      <c r="Y536" s="34">
        <f t="shared" si="26"/>
        <v>3.2490314845479151E-7</v>
      </c>
    </row>
    <row r="537" spans="15:25" ht="17.100000000000001" customHeight="1">
      <c r="O537" s="12">
        <f t="shared" si="27"/>
        <v>43.666666666666664</v>
      </c>
      <c r="P537" s="13">
        <v>524</v>
      </c>
      <c r="Q537" s="22"/>
      <c r="R537" s="19"/>
      <c r="S537" s="22"/>
      <c r="T537" s="19"/>
      <c r="U537" s="24">
        <v>4.8598142457409788E-2</v>
      </c>
      <c r="V537" s="24">
        <f t="shared" si="28"/>
        <v>4.3745006897992766E-2</v>
      </c>
      <c r="W537" s="106">
        <v>4.3745010000000004</v>
      </c>
      <c r="X537" s="106">
        <v>4.3744999999999999E-2</v>
      </c>
      <c r="Y537" s="34">
        <f t="shared" si="26"/>
        <v>-6.8979927672629948E-9</v>
      </c>
    </row>
    <row r="538" spans="15:25" ht="17.100000000000001" customHeight="1">
      <c r="O538" s="12">
        <f t="shared" si="27"/>
        <v>43.75</v>
      </c>
      <c r="P538" s="13">
        <v>525</v>
      </c>
      <c r="Q538" s="22"/>
      <c r="R538" s="19"/>
      <c r="S538" s="22"/>
      <c r="T538" s="19"/>
      <c r="U538" s="24">
        <v>4.8588876972622153E-2</v>
      </c>
      <c r="V538" s="24">
        <f t="shared" si="28"/>
        <v>4.3737416400893459E-2</v>
      </c>
      <c r="W538" s="106">
        <v>4.373742</v>
      </c>
      <c r="X538" s="106">
        <v>4.3736999999999998E-2</v>
      </c>
      <c r="Y538" s="34">
        <f t="shared" si="26"/>
        <v>-4.1640089346040021E-7</v>
      </c>
    </row>
    <row r="539" spans="15:25" ht="17.100000000000001" customHeight="1">
      <c r="O539" s="12">
        <f t="shared" si="27"/>
        <v>43.833333333333336</v>
      </c>
      <c r="P539" s="13">
        <v>526</v>
      </c>
      <c r="Q539" s="22"/>
      <c r="R539" s="19"/>
      <c r="S539" s="22"/>
      <c r="T539" s="19"/>
      <c r="U539" s="24">
        <v>4.8579632301720466E-2</v>
      </c>
      <c r="V539" s="24">
        <f t="shared" si="28"/>
        <v>4.3729902825946132E-2</v>
      </c>
      <c r="W539" s="106">
        <v>4.3729899999999997</v>
      </c>
      <c r="X539" s="106">
        <v>4.3729999999999998E-2</v>
      </c>
      <c r="Y539" s="34">
        <f t="shared" si="26"/>
        <v>9.7174053866055932E-8</v>
      </c>
    </row>
    <row r="540" spans="15:25" ht="17.100000000000001" customHeight="1">
      <c r="O540" s="12">
        <f t="shared" si="27"/>
        <v>43.916666666666664</v>
      </c>
      <c r="P540" s="13">
        <v>527</v>
      </c>
      <c r="Q540" s="22"/>
      <c r="R540" s="19"/>
      <c r="S540" s="22"/>
      <c r="T540" s="19"/>
      <c r="U540" s="24">
        <v>4.8570408472671911E-2</v>
      </c>
      <c r="V540" s="24">
        <f t="shared" si="28"/>
        <v>4.3722465402593835E-2</v>
      </c>
      <c r="W540" s="106">
        <v>4.3722469999999998</v>
      </c>
      <c r="X540" s="106">
        <v>4.3721999999999997E-2</v>
      </c>
      <c r="Y540" s="34">
        <f t="shared" si="26"/>
        <v>-4.654025938383155E-7</v>
      </c>
    </row>
    <row r="541" spans="15:25" ht="17.100000000000001" customHeight="1">
      <c r="O541" s="12">
        <f t="shared" si="27"/>
        <v>44</v>
      </c>
      <c r="P541" s="13">
        <v>528</v>
      </c>
      <c r="Q541" s="22"/>
      <c r="R541" s="19"/>
      <c r="S541" s="22"/>
      <c r="T541" s="19"/>
      <c r="U541" s="24">
        <v>4.8561205511764571E-2</v>
      </c>
      <c r="V541" s="24">
        <f t="shared" si="28"/>
        <v>4.3715103366699593E-2</v>
      </c>
      <c r="W541" s="106">
        <v>4.3715099999999998</v>
      </c>
      <c r="X541" s="106">
        <v>4.3714999999999997E-2</v>
      </c>
      <c r="Y541" s="34">
        <f t="shared" si="26"/>
        <v>-1.033666995955973E-7</v>
      </c>
    </row>
    <row r="542" spans="15:25" ht="17.100000000000001" customHeight="1">
      <c r="O542" s="12">
        <f t="shared" si="27"/>
        <v>44.083333333333336</v>
      </c>
      <c r="P542" s="13">
        <v>529</v>
      </c>
      <c r="Q542" s="22"/>
      <c r="R542" s="19"/>
      <c r="S542" s="22"/>
      <c r="T542" s="19"/>
      <c r="U542" s="24">
        <v>4.855202344363585E-2</v>
      </c>
      <c r="V542" s="24">
        <f t="shared" si="28"/>
        <v>4.370781596273221E-2</v>
      </c>
      <c r="W542" s="106">
        <v>4.3707820000000002</v>
      </c>
      <c r="X542" s="106">
        <v>4.3707999999999997E-2</v>
      </c>
      <c r="Y542" s="34">
        <f t="shared" si="26"/>
        <v>1.8403726778637441E-7</v>
      </c>
    </row>
    <row r="543" spans="15:25" ht="17.100000000000001" customHeight="1">
      <c r="O543" s="12">
        <f t="shared" si="27"/>
        <v>44.166666666666664</v>
      </c>
      <c r="P543" s="13">
        <v>530</v>
      </c>
      <c r="Q543" s="22"/>
      <c r="R543" s="19"/>
      <c r="S543" s="22"/>
      <c r="T543" s="19"/>
      <c r="U543" s="24">
        <v>4.8542862291304445E-2</v>
      </c>
      <c r="V543" s="24">
        <f t="shared" si="28"/>
        <v>4.3700602441532732E-2</v>
      </c>
      <c r="W543" s="106">
        <v>4.3700599999999996</v>
      </c>
      <c r="X543" s="106">
        <v>4.3700999999999997E-2</v>
      </c>
      <c r="Y543" s="34">
        <f t="shared" si="26"/>
        <v>3.9755846726469146E-7</v>
      </c>
    </row>
    <row r="544" spans="15:25" ht="17.100000000000001" customHeight="1">
      <c r="O544" s="12">
        <f t="shared" si="27"/>
        <v>44.25</v>
      </c>
      <c r="P544" s="13">
        <v>531</v>
      </c>
      <c r="Q544" s="22"/>
      <c r="R544" s="19"/>
      <c r="S544" s="22"/>
      <c r="T544" s="19"/>
      <c r="U544" s="24">
        <v>4.8533722076197439E-2</v>
      </c>
      <c r="V544" s="24">
        <f t="shared" si="28"/>
        <v>4.3693462062058597E-2</v>
      </c>
      <c r="W544" s="106">
        <v>4.3693460000000002</v>
      </c>
      <c r="X544" s="106">
        <v>4.3693000000000003E-2</v>
      </c>
      <c r="Y544" s="34">
        <f t="shared" si="26"/>
        <v>-4.6206205859405935E-7</v>
      </c>
    </row>
    <row r="545" spans="15:25" ht="17.100000000000001" customHeight="1">
      <c r="O545" s="12">
        <f t="shared" si="27"/>
        <v>44.333333333333336</v>
      </c>
      <c r="P545" s="13">
        <v>532</v>
      </c>
      <c r="Q545" s="22"/>
      <c r="R545" s="19"/>
      <c r="S545" s="22"/>
      <c r="T545" s="19"/>
      <c r="U545" s="24">
        <v>4.8524602818180718E-2</v>
      </c>
      <c r="V545" s="24">
        <f t="shared" si="28"/>
        <v>4.3686394089994529E-2</v>
      </c>
      <c r="W545" s="106">
        <v>4.3686389999999999</v>
      </c>
      <c r="X545" s="106">
        <v>4.3686000000000003E-2</v>
      </c>
      <c r="Y545" s="34">
        <f t="shared" si="26"/>
        <v>-3.9408999452650306E-7</v>
      </c>
    </row>
    <row r="546" spans="15:25" ht="17.100000000000001" customHeight="1">
      <c r="O546" s="12">
        <f t="shared" si="27"/>
        <v>44.416666666666664</v>
      </c>
      <c r="P546" s="13">
        <v>533</v>
      </c>
      <c r="Q546" s="22"/>
      <c r="R546" s="19"/>
      <c r="S546" s="22"/>
      <c r="T546" s="19"/>
      <c r="U546" s="24">
        <v>4.8515504535586285E-2</v>
      </c>
      <c r="V546" s="24">
        <f t="shared" si="28"/>
        <v>4.3679397798983999E-2</v>
      </c>
      <c r="W546" s="106">
        <v>4.3679399999999999</v>
      </c>
      <c r="X546" s="106">
        <v>4.3679000000000003E-2</v>
      </c>
      <c r="Y546" s="34">
        <f t="shared" si="26"/>
        <v>-3.977989839962226E-7</v>
      </c>
    </row>
    <row r="547" spans="15:25" ht="17.100000000000001" customHeight="1">
      <c r="O547" s="12">
        <f t="shared" si="27"/>
        <v>44.5</v>
      </c>
      <c r="P547" s="13">
        <v>534</v>
      </c>
      <c r="Q547" s="22"/>
      <c r="R547" s="19"/>
      <c r="S547" s="22"/>
      <c r="T547" s="19"/>
      <c r="U547" s="24">
        <v>4.8506427245241568E-2</v>
      </c>
      <c r="V547" s="24">
        <f t="shared" si="28"/>
        <v>4.3672472468760493E-2</v>
      </c>
      <c r="W547" s="106">
        <v>4.3672469999999999</v>
      </c>
      <c r="X547" s="106">
        <v>4.3672000000000002E-2</v>
      </c>
      <c r="Y547" s="34">
        <f t="shared" si="26"/>
        <v>-4.7246876049011899E-7</v>
      </c>
    </row>
    <row r="548" spans="15:25" ht="17.100000000000001" customHeight="1">
      <c r="O548" s="12">
        <f t="shared" si="27"/>
        <v>44.583333333333336</v>
      </c>
      <c r="P548" s="13">
        <v>535</v>
      </c>
      <c r="Q548" s="22"/>
      <c r="R548" s="19"/>
      <c r="S548" s="22"/>
      <c r="T548" s="19"/>
      <c r="U548" s="24">
        <v>4.8497370962494957E-2</v>
      </c>
      <c r="V548" s="24">
        <f t="shared" si="28"/>
        <v>4.3665617386885236E-2</v>
      </c>
      <c r="W548" s="106">
        <v>4.3665620000000001</v>
      </c>
      <c r="X548" s="106">
        <v>4.3666000000000003E-2</v>
      </c>
      <c r="Y548" s="34">
        <f t="shared" si="26"/>
        <v>3.8261311476744941E-7</v>
      </c>
    </row>
    <row r="549" spans="15:25" ht="17.100000000000001" customHeight="1">
      <c r="O549" s="12">
        <f t="shared" si="27"/>
        <v>44.666666666666664</v>
      </c>
      <c r="P549" s="13">
        <v>536</v>
      </c>
      <c r="Q549" s="22"/>
      <c r="R549" s="19"/>
      <c r="S549" s="22"/>
      <c r="T549" s="19"/>
      <c r="U549" s="24">
        <v>4.8488335701244445E-2</v>
      </c>
      <c r="V549" s="24">
        <f t="shared" si="28"/>
        <v>4.3658831847911417E-2</v>
      </c>
      <c r="W549" s="106">
        <v>4.3658830000000002</v>
      </c>
      <c r="X549" s="106">
        <v>4.3659000000000003E-2</v>
      </c>
      <c r="Y549" s="34">
        <f t="shared" si="26"/>
        <v>1.681520885865595E-7</v>
      </c>
    </row>
    <row r="550" spans="15:25" ht="17.100000000000001" customHeight="1">
      <c r="O550" s="12">
        <f t="shared" si="27"/>
        <v>44.75</v>
      </c>
      <c r="P550" s="13">
        <v>537</v>
      </c>
      <c r="Q550" s="22"/>
      <c r="R550" s="19"/>
      <c r="S550" s="22"/>
      <c r="T550" s="19"/>
      <c r="U550" s="24">
        <v>4.8479321473963832E-2</v>
      </c>
      <c r="V550" s="24">
        <f t="shared" si="28"/>
        <v>4.3652115153249627E-2</v>
      </c>
      <c r="W550" s="106">
        <v>4.3652119999999996</v>
      </c>
      <c r="X550" s="106">
        <v>4.3652000000000003E-2</v>
      </c>
      <c r="Y550" s="34">
        <f t="shared" si="26"/>
        <v>-1.1515324962324547E-7</v>
      </c>
    </row>
    <row r="551" spans="15:25" ht="17.100000000000001" customHeight="1">
      <c r="O551" s="12">
        <f t="shared" si="27"/>
        <v>44.833333333333336</v>
      </c>
      <c r="P551" s="13">
        <v>538</v>
      </c>
      <c r="Q551" s="22"/>
      <c r="R551" s="19"/>
      <c r="S551" s="22"/>
      <c r="T551" s="19"/>
      <c r="U551" s="24">
        <v>4.8470328291729148E-2</v>
      </c>
      <c r="V551" s="24">
        <f t="shared" si="28"/>
        <v>4.3645466610644279E-2</v>
      </c>
      <c r="W551" s="106">
        <v>4.364547</v>
      </c>
      <c r="X551" s="106">
        <v>4.3645000000000003E-2</v>
      </c>
      <c r="Y551" s="34">
        <f t="shared" si="26"/>
        <v>-4.6661064427577781E-7</v>
      </c>
    </row>
    <row r="552" spans="15:25" ht="17.100000000000001" customHeight="1">
      <c r="O552" s="12">
        <f t="shared" si="27"/>
        <v>44.916666666666664</v>
      </c>
      <c r="P552" s="13">
        <v>539</v>
      </c>
      <c r="Q552" s="22"/>
      <c r="R552" s="19"/>
      <c r="S552" s="22"/>
      <c r="T552" s="19"/>
      <c r="U552" s="24">
        <v>4.8461356164243297E-2</v>
      </c>
      <c r="V552" s="24">
        <f t="shared" si="28"/>
        <v>4.3638885535773886E-2</v>
      </c>
      <c r="W552" s="106">
        <v>4.3638890000000004</v>
      </c>
      <c r="X552" s="106">
        <v>4.3638999999999997E-2</v>
      </c>
      <c r="Y552" s="34">
        <f t="shared" si="26"/>
        <v>1.1446422611138818E-7</v>
      </c>
    </row>
    <row r="553" spans="15:25" ht="17.100000000000001" customHeight="1">
      <c r="O553" s="12">
        <f t="shared" si="27"/>
        <v>45</v>
      </c>
      <c r="P553" s="13">
        <v>540</v>
      </c>
      <c r="Q553" s="22"/>
      <c r="R553" s="19"/>
      <c r="S553" s="22"/>
      <c r="T553" s="19"/>
      <c r="U553" s="24">
        <v>4.8452405099863372E-2</v>
      </c>
      <c r="V553" s="24">
        <f t="shared" si="28"/>
        <v>4.3632371249972435E-2</v>
      </c>
      <c r="W553" s="106">
        <v>4.3632369999999998</v>
      </c>
      <c r="X553" s="106">
        <v>4.3631999999999997E-2</v>
      </c>
      <c r="Y553" s="34">
        <f t="shared" si="26"/>
        <v>-3.7124997243759283E-7</v>
      </c>
    </row>
    <row r="554" spans="15:25" ht="17.100000000000001" customHeight="1">
      <c r="O554" s="12">
        <f t="shared" si="27"/>
        <v>45.083333333333336</v>
      </c>
      <c r="P554" s="13">
        <v>541</v>
      </c>
      <c r="Q554" s="22"/>
      <c r="R554" s="19"/>
      <c r="S554" s="22"/>
      <c r="T554" s="19"/>
      <c r="U554" s="24">
        <v>4.8443475105623968E-2</v>
      </c>
      <c r="V554" s="24">
        <f t="shared" si="28"/>
        <v>4.3625923081896723E-2</v>
      </c>
      <c r="W554" s="106">
        <v>4.3625920000000002</v>
      </c>
      <c r="X554" s="106">
        <v>4.3625999999999998E-2</v>
      </c>
      <c r="Y554" s="34">
        <f t="shared" si="26"/>
        <v>7.6918103275591676E-8</v>
      </c>
    </row>
    <row r="555" spans="15:25" ht="17.100000000000001" customHeight="1">
      <c r="O555" s="12">
        <f t="shared" si="27"/>
        <v>45.166666666666664</v>
      </c>
      <c r="P555" s="13">
        <v>542</v>
      </c>
      <c r="Q555" s="22"/>
      <c r="R555" s="19"/>
      <c r="S555" s="22"/>
      <c r="T555" s="19"/>
      <c r="U555" s="24">
        <v>4.8434566187262718E-2</v>
      </c>
      <c r="V555" s="24">
        <f t="shared" si="28"/>
        <v>4.3619540366333531E-2</v>
      </c>
      <c r="W555" s="106">
        <v>4.3619539999999999</v>
      </c>
      <c r="X555" s="106">
        <v>4.3619999999999999E-2</v>
      </c>
      <c r="Y555" s="34">
        <f t="shared" si="26"/>
        <v>4.596336664677847E-7</v>
      </c>
    </row>
    <row r="556" spans="15:25" ht="17.100000000000001" customHeight="1">
      <c r="O556" s="12">
        <f t="shared" si="27"/>
        <v>45.25</v>
      </c>
      <c r="P556" s="13">
        <v>543</v>
      </c>
      <c r="Q556" s="22"/>
      <c r="R556" s="19"/>
      <c r="S556" s="22"/>
      <c r="T556" s="19"/>
      <c r="U556" s="24">
        <v>4.8425678349243828E-2</v>
      </c>
      <c r="V556" s="24">
        <f t="shared" si="28"/>
        <v>4.3613222445595623E-2</v>
      </c>
      <c r="W556" s="106">
        <v>4.3613220000000004</v>
      </c>
      <c r="X556" s="106">
        <v>4.3612999999999999E-2</v>
      </c>
      <c r="Y556" s="34">
        <f t="shared" si="26"/>
        <v>-2.2244559562401012E-7</v>
      </c>
    </row>
    <row r="557" spans="15:25" ht="17.100000000000001" customHeight="1">
      <c r="O557" s="12">
        <f t="shared" si="27"/>
        <v>45.333333333333336</v>
      </c>
      <c r="P557" s="13">
        <v>544</v>
      </c>
      <c r="Q557" s="22"/>
      <c r="R557" s="19"/>
      <c r="S557" s="22"/>
      <c r="T557" s="19"/>
      <c r="U557" s="24">
        <v>4.8416811594782949E-2</v>
      </c>
      <c r="V557" s="24">
        <f t="shared" si="28"/>
        <v>4.3606968667174506E-2</v>
      </c>
      <c r="W557" s="106">
        <v>4.360697</v>
      </c>
      <c r="X557" s="106">
        <v>4.3607E-2</v>
      </c>
      <c r="Y557" s="34">
        <f t="shared" si="26"/>
        <v>3.1332825493890493E-8</v>
      </c>
    </row>
    <row r="558" spans="15:25" ht="17.100000000000001" customHeight="1">
      <c r="O558" s="12">
        <f t="shared" si="27"/>
        <v>45.416666666666664</v>
      </c>
      <c r="P558" s="13">
        <v>545</v>
      </c>
      <c r="Q558" s="22"/>
      <c r="R558" s="19"/>
      <c r="S558" s="22"/>
      <c r="T558" s="19"/>
      <c r="U558" s="24">
        <v>4.8407965925869378E-2</v>
      </c>
      <c r="V558" s="24">
        <f t="shared" si="28"/>
        <v>4.3600778386091221E-2</v>
      </c>
      <c r="W558" s="106">
        <v>4.3600779999999997</v>
      </c>
      <c r="X558" s="106">
        <v>4.3601000000000001E-2</v>
      </c>
      <c r="Y558" s="34">
        <f t="shared" si="26"/>
        <v>2.2161390877961651E-7</v>
      </c>
    </row>
    <row r="559" spans="15:25" ht="17.100000000000001" customHeight="1">
      <c r="O559" s="12">
        <f t="shared" si="27"/>
        <v>45.5</v>
      </c>
      <c r="P559" s="13">
        <v>546</v>
      </c>
      <c r="Q559" s="22"/>
      <c r="R559" s="19"/>
      <c r="S559" s="22"/>
      <c r="T559" s="19"/>
      <c r="U559" s="24">
        <v>4.8399141343290264E-2</v>
      </c>
      <c r="V559" s="24">
        <f t="shared" si="28"/>
        <v>4.3594650963155512E-2</v>
      </c>
      <c r="W559" s="106">
        <v>4.3594650000000001</v>
      </c>
      <c r="X559" s="106">
        <v>4.3595000000000002E-2</v>
      </c>
      <c r="Y559" s="34">
        <f t="shared" si="26"/>
        <v>3.4903684448944761E-7</v>
      </c>
    </row>
    <row r="560" spans="15:25" ht="17.100000000000001" customHeight="1">
      <c r="O560" s="12">
        <f t="shared" si="27"/>
        <v>45.583333333333336</v>
      </c>
      <c r="P560" s="13">
        <v>547</v>
      </c>
      <c r="Q560" s="22"/>
      <c r="R560" s="19"/>
      <c r="S560" s="22"/>
      <c r="T560" s="19"/>
      <c r="U560" s="24">
        <v>4.8390337846652365E-2</v>
      </c>
      <c r="V560" s="24">
        <f t="shared" si="28"/>
        <v>4.3588585765699905E-2</v>
      </c>
      <c r="W560" s="106">
        <v>4.3588589999999998</v>
      </c>
      <c r="X560" s="106">
        <v>4.3589000000000003E-2</v>
      </c>
      <c r="Y560" s="34">
        <f t="shared" si="26"/>
        <v>4.1423430009734918E-7</v>
      </c>
    </row>
    <row r="561" spans="15:25" ht="17.100000000000001" customHeight="1">
      <c r="O561" s="12">
        <f t="shared" si="27"/>
        <v>45.666666666666664</v>
      </c>
      <c r="P561" s="13">
        <v>548</v>
      </c>
      <c r="Q561" s="22"/>
      <c r="R561" s="19"/>
      <c r="S561" s="22"/>
      <c r="T561" s="19"/>
      <c r="U561" s="24">
        <v>4.8381555434405144E-2</v>
      </c>
      <c r="V561" s="24">
        <f t="shared" si="28"/>
        <v>4.3582582167086548E-2</v>
      </c>
      <c r="W561" s="106">
        <v>4.3582580000000002</v>
      </c>
      <c r="X561" s="106">
        <v>4.3582999999999997E-2</v>
      </c>
      <c r="Y561" s="34">
        <f t="shared" si="26"/>
        <v>4.1783291344910101E-7</v>
      </c>
    </row>
    <row r="562" spans="15:25" ht="17.100000000000001" customHeight="1">
      <c r="O562" s="12">
        <f t="shared" si="27"/>
        <v>45.75</v>
      </c>
      <c r="P562" s="13">
        <v>549</v>
      </c>
      <c r="Q562" s="22"/>
      <c r="R562" s="19"/>
      <c r="S562" s="22"/>
      <c r="T562" s="19"/>
      <c r="U562" s="24">
        <v>4.8372794103862082E-2</v>
      </c>
      <c r="V562" s="24">
        <f t="shared" si="28"/>
        <v>4.35766395474253E-2</v>
      </c>
      <c r="W562" s="106">
        <v>4.3576639999999998</v>
      </c>
      <c r="X562" s="106">
        <v>4.3576999999999998E-2</v>
      </c>
      <c r="Y562" s="34">
        <f t="shared" si="26"/>
        <v>3.6045257469780045E-7</v>
      </c>
    </row>
    <row r="563" spans="15:25" ht="17.100000000000001" customHeight="1">
      <c r="O563" s="12">
        <f t="shared" si="27"/>
        <v>45.833333333333336</v>
      </c>
      <c r="P563" s="13">
        <v>550</v>
      </c>
      <c r="Q563" s="22"/>
      <c r="R563" s="19"/>
      <c r="S563" s="22"/>
      <c r="T563" s="19"/>
      <c r="U563" s="24">
        <v>4.8364053851223332E-2</v>
      </c>
      <c r="V563" s="24">
        <f t="shared" si="28"/>
        <v>4.3570757292327178E-2</v>
      </c>
      <c r="W563" s="106">
        <v>4.3570760000000002</v>
      </c>
      <c r="X563" s="106">
        <v>4.3570999999999999E-2</v>
      </c>
      <c r="Y563" s="34">
        <f t="shared" si="26"/>
        <v>2.4270767282064121E-7</v>
      </c>
    </row>
    <row r="564" spans="15:25" ht="17.100000000000001" customHeight="1">
      <c r="O564" s="12">
        <f t="shared" si="27"/>
        <v>45.916666666666664</v>
      </c>
      <c r="P564" s="13">
        <v>551</v>
      </c>
      <c r="Q564" s="22"/>
      <c r="R564" s="19"/>
      <c r="S564" s="22"/>
      <c r="T564" s="19"/>
      <c r="U564" s="24">
        <v>4.8355334671595918E-2</v>
      </c>
      <c r="V564" s="24">
        <f t="shared" si="28"/>
        <v>4.3564934793855148E-2</v>
      </c>
      <c r="W564" s="106">
        <v>4.3564930000000004</v>
      </c>
      <c r="X564" s="106">
        <v>4.3565E-2</v>
      </c>
      <c r="Y564" s="34">
        <f t="shared" si="26"/>
        <v>6.5206144851670533E-8</v>
      </c>
    </row>
    <row r="565" spans="15:25" ht="17.100000000000001" customHeight="1">
      <c r="O565" s="12">
        <f t="shared" si="27"/>
        <v>46</v>
      </c>
      <c r="P565" s="13">
        <v>552</v>
      </c>
      <c r="Q565" s="22"/>
      <c r="R565" s="19"/>
      <c r="S565" s="22"/>
      <c r="T565" s="19"/>
      <c r="U565" s="24">
        <v>4.8346636559015499E-2</v>
      </c>
      <c r="V565" s="24">
        <f t="shared" si="28"/>
        <v>4.3559171449732093E-2</v>
      </c>
      <c r="W565" s="106">
        <v>4.3559169999999998</v>
      </c>
      <c r="X565" s="106">
        <v>4.3559E-2</v>
      </c>
      <c r="Y565" s="34">
        <f t="shared" si="26"/>
        <v>-1.7144973209204384E-7</v>
      </c>
    </row>
    <row r="566" spans="15:25" ht="17.100000000000001" customHeight="1">
      <c r="O566" s="12">
        <f t="shared" si="27"/>
        <v>46.083333333333336</v>
      </c>
      <c r="P566" s="13">
        <v>553</v>
      </c>
      <c r="Q566" s="22"/>
      <c r="R566" s="19"/>
      <c r="S566" s="22"/>
      <c r="T566" s="19"/>
      <c r="U566" s="24">
        <v>4.8337959506466133E-2</v>
      </c>
      <c r="V566" s="24">
        <f t="shared" si="28"/>
        <v>4.3553466664324469E-2</v>
      </c>
      <c r="W566" s="106">
        <v>4.3553470000000001</v>
      </c>
      <c r="X566" s="106">
        <v>4.3553000000000001E-2</v>
      </c>
      <c r="Y566" s="34">
        <f t="shared" si="26"/>
        <v>-4.6666432446801354E-7</v>
      </c>
    </row>
    <row r="567" spans="15:25" ht="17.100000000000001" customHeight="1">
      <c r="O567" s="12">
        <f t="shared" si="27"/>
        <v>46.166666666666664</v>
      </c>
      <c r="P567" s="13">
        <v>554</v>
      </c>
      <c r="Q567" s="22"/>
      <c r="R567" s="19"/>
      <c r="S567" s="22"/>
      <c r="T567" s="19"/>
      <c r="U567" s="24">
        <v>4.8329303505902033E-2</v>
      </c>
      <c r="V567" s="24">
        <f t="shared" si="28"/>
        <v>4.3547819847331803E-2</v>
      </c>
      <c r="W567" s="106">
        <v>4.3547820000000002</v>
      </c>
      <c r="X567" s="106">
        <v>4.3548000000000003E-2</v>
      </c>
      <c r="Y567" s="34">
        <f t="shared" si="26"/>
        <v>1.8015266819992881E-7</v>
      </c>
    </row>
    <row r="568" spans="15:25" ht="17.100000000000001" customHeight="1">
      <c r="O568" s="12">
        <f t="shared" si="27"/>
        <v>46.25</v>
      </c>
      <c r="P568" s="13">
        <v>555</v>
      </c>
      <c r="Q568" s="22"/>
      <c r="R568" s="19"/>
      <c r="S568" s="22"/>
      <c r="T568" s="19"/>
      <c r="U568" s="24">
        <v>4.8320668548266443E-2</v>
      </c>
      <c r="V568" s="24">
        <f t="shared" si="28"/>
        <v>4.3542230414026717E-2</v>
      </c>
      <c r="W568" s="106">
        <v>4.3542230000000002</v>
      </c>
      <c r="X568" s="106">
        <v>4.3541999999999997E-2</v>
      </c>
      <c r="Y568" s="34">
        <f t="shared" si="26"/>
        <v>-2.304140267195276E-7</v>
      </c>
    </row>
    <row r="569" spans="15:25" ht="17.100000000000001" customHeight="1">
      <c r="O569" s="12">
        <f t="shared" si="27"/>
        <v>46.333333333333336</v>
      </c>
      <c r="P569" s="13">
        <v>556</v>
      </c>
      <c r="Q569" s="22"/>
      <c r="R569" s="19"/>
      <c r="S569" s="22"/>
      <c r="T569" s="19"/>
      <c r="U569" s="24">
        <v>4.8312054623510736E-2</v>
      </c>
      <c r="V569" s="24">
        <f t="shared" si="28"/>
        <v>4.3536697786533463E-2</v>
      </c>
      <c r="W569" s="106">
        <v>4.3536700000000002</v>
      </c>
      <c r="X569" s="106">
        <v>4.3536999999999999E-2</v>
      </c>
      <c r="Y569" s="34">
        <f t="shared" si="26"/>
        <v>3.022134665367493E-7</v>
      </c>
    </row>
    <row r="570" spans="15:25" ht="17.100000000000001" customHeight="1">
      <c r="O570" s="12">
        <f t="shared" si="27"/>
        <v>46.416666666666664</v>
      </c>
      <c r="P570" s="13">
        <v>557</v>
      </c>
      <c r="Q570" s="22"/>
      <c r="R570" s="19"/>
      <c r="S570" s="22"/>
      <c r="T570" s="19"/>
      <c r="U570" s="24">
        <v>4.8303461720615726E-2</v>
      </c>
      <c r="V570" s="24">
        <f t="shared" si="28"/>
        <v>4.3531221391745367E-2</v>
      </c>
      <c r="W570" s="106">
        <v>4.3531219999999999</v>
      </c>
      <c r="X570" s="106">
        <v>4.3531E-2</v>
      </c>
      <c r="Y570" s="34">
        <f t="shared" si="26"/>
        <v>-2.2139174536695005E-7</v>
      </c>
    </row>
    <row r="571" spans="15:25" ht="17.100000000000001" customHeight="1">
      <c r="O571" s="12">
        <f t="shared" si="27"/>
        <v>46.5</v>
      </c>
      <c r="P571" s="13">
        <v>558</v>
      </c>
      <c r="Q571" s="22"/>
      <c r="R571" s="19"/>
      <c r="S571" s="22"/>
      <c r="T571" s="19"/>
      <c r="U571" s="24">
        <v>4.8294889827608989E-2</v>
      </c>
      <c r="V571" s="24">
        <f t="shared" si="28"/>
        <v>4.3525800662723046E-2</v>
      </c>
      <c r="W571" s="106">
        <v>4.3525799999999997</v>
      </c>
      <c r="X571" s="106">
        <v>4.3526000000000002E-2</v>
      </c>
      <c r="Y571" s="34">
        <f t="shared" si="26"/>
        <v>1.9933727695570225E-7</v>
      </c>
    </row>
    <row r="572" spans="15:25" ht="17.100000000000001" customHeight="1">
      <c r="O572" s="12">
        <f t="shared" si="27"/>
        <v>46.583333333333336</v>
      </c>
      <c r="P572" s="13">
        <v>559</v>
      </c>
      <c r="Q572" s="22"/>
      <c r="R572" s="19"/>
      <c r="S572" s="22"/>
      <c r="T572" s="19"/>
      <c r="U572" s="24">
        <v>4.8286338931584627E-2</v>
      </c>
      <c r="V572" s="24">
        <f t="shared" si="28"/>
        <v>4.3520435037588623E-2</v>
      </c>
      <c r="W572" s="106">
        <v>4.3520440000000002</v>
      </c>
      <c r="X572" s="106">
        <v>4.3520000000000003E-2</v>
      </c>
      <c r="Y572" s="34">
        <f t="shared" si="26"/>
        <v>-4.3503758861973552E-7</v>
      </c>
    </row>
    <row r="573" spans="15:25" ht="17.100000000000001" customHeight="1">
      <c r="O573" s="12">
        <f t="shared" si="27"/>
        <v>46.666666666666664</v>
      </c>
      <c r="P573" s="13">
        <v>560</v>
      </c>
      <c r="Q573" s="22"/>
      <c r="R573" s="19"/>
      <c r="S573" s="22"/>
      <c r="T573" s="19"/>
      <c r="U573" s="24">
        <v>4.8277809018720363E-2</v>
      </c>
      <c r="V573" s="24">
        <f t="shared" si="28"/>
        <v>4.3515123960956359E-2</v>
      </c>
      <c r="W573" s="106">
        <v>4.3515119999999996</v>
      </c>
      <c r="X573" s="106">
        <v>4.3514999999999998E-2</v>
      </c>
      <c r="Y573" s="34">
        <f t="shared" si="26"/>
        <v>-1.239609563608024E-7</v>
      </c>
    </row>
    <row r="574" spans="15:25" ht="17.100000000000001" customHeight="1">
      <c r="O574" s="12">
        <f t="shared" si="27"/>
        <v>46.75</v>
      </c>
      <c r="P574" s="13">
        <v>561</v>
      </c>
      <c r="Q574" s="22"/>
      <c r="R574" s="19"/>
      <c r="S574" s="22"/>
      <c r="T574" s="19"/>
      <c r="U574" s="24">
        <v>4.8269300074297528E-2</v>
      </c>
      <c r="V574" s="24">
        <f t="shared" si="28"/>
        <v>4.3509866882329717E-2</v>
      </c>
      <c r="W574" s="106">
        <v>4.3509869999999999</v>
      </c>
      <c r="X574" s="106">
        <v>4.351E-2</v>
      </c>
      <c r="Y574" s="34">
        <f t="shared" si="26"/>
        <v>1.3311767028262311E-7</v>
      </c>
    </row>
    <row r="575" spans="15:25" ht="17.100000000000001" customHeight="1">
      <c r="O575" s="12">
        <f t="shared" si="27"/>
        <v>46.833333333333336</v>
      </c>
      <c r="P575" s="13">
        <v>562</v>
      </c>
      <c r="Q575" s="22"/>
      <c r="R575" s="19"/>
      <c r="S575" s="22"/>
      <c r="T575" s="19"/>
      <c r="U575" s="24">
        <v>4.826081208271793E-2</v>
      </c>
      <c r="V575" s="24">
        <f t="shared" si="28"/>
        <v>4.3504663256837439E-2</v>
      </c>
      <c r="W575" s="106">
        <v>4.3504659999999999</v>
      </c>
      <c r="X575" s="106">
        <v>4.3505000000000002E-2</v>
      </c>
      <c r="Y575" s="34">
        <f t="shared" si="26"/>
        <v>3.3674316256282477E-7</v>
      </c>
    </row>
    <row r="576" spans="15:25" ht="17.100000000000001" customHeight="1">
      <c r="O576" s="12">
        <f t="shared" si="27"/>
        <v>46.916666666666664</v>
      </c>
      <c r="P576" s="13">
        <v>563</v>
      </c>
      <c r="Q576" s="22"/>
      <c r="R576" s="19"/>
      <c r="S576" s="22"/>
      <c r="T576" s="19"/>
      <c r="U576" s="24">
        <v>4.8252345027521404E-2</v>
      </c>
      <c r="V576" s="24">
        <f t="shared" si="28"/>
        <v>4.3499512544616037E-2</v>
      </c>
      <c r="W576" s="106">
        <v>4.3499509999999999</v>
      </c>
      <c r="X576" s="106">
        <v>4.3499999999999997E-2</v>
      </c>
      <c r="Y576" s="34">
        <f t="shared" si="26"/>
        <v>4.8745538396011145E-7</v>
      </c>
    </row>
    <row r="577" spans="15:25" ht="17.100000000000001" customHeight="1">
      <c r="O577" s="12">
        <f t="shared" si="27"/>
        <v>47</v>
      </c>
      <c r="P577" s="13">
        <v>564</v>
      </c>
      <c r="Q577" s="22"/>
      <c r="R577" s="19"/>
      <c r="S577" s="22"/>
      <c r="T577" s="19"/>
      <c r="U577" s="24">
        <v>4.8243898891402903E-2</v>
      </c>
      <c r="V577" s="24">
        <f t="shared" si="28"/>
        <v>4.3494414211926458E-2</v>
      </c>
      <c r="W577" s="106">
        <v>4.3494409999999997</v>
      </c>
      <c r="X577" s="106">
        <v>4.3493999999999998E-2</v>
      </c>
      <c r="Y577" s="34">
        <f t="shared" si="26"/>
        <v>-4.1421192645968441E-7</v>
      </c>
    </row>
    <row r="578" spans="15:25" ht="17.100000000000001" customHeight="1">
      <c r="O578" s="12">
        <f t="shared" si="27"/>
        <v>47.083333333333336</v>
      </c>
      <c r="P578" s="13">
        <v>565</v>
      </c>
      <c r="Q578" s="22"/>
      <c r="R578" s="19"/>
      <c r="S578" s="22"/>
      <c r="T578" s="19"/>
      <c r="U578" s="24">
        <v>4.8235473656230043E-2</v>
      </c>
      <c r="V578" s="24">
        <f t="shared" si="28"/>
        <v>4.3489367730164208E-2</v>
      </c>
      <c r="W578" s="106">
        <v>4.3489370000000003</v>
      </c>
      <c r="X578" s="106">
        <v>4.3489E-2</v>
      </c>
      <c r="Y578" s="34">
        <f t="shared" si="26"/>
        <v>-3.6773016420799109E-7</v>
      </c>
    </row>
    <row r="579" spans="15:25" ht="17.100000000000001" customHeight="1">
      <c r="O579" s="12">
        <f t="shared" si="27"/>
        <v>47.166666666666664</v>
      </c>
      <c r="P579" s="13">
        <v>566</v>
      </c>
      <c r="Q579" s="22"/>
      <c r="R579" s="19"/>
      <c r="S579" s="22"/>
      <c r="T579" s="19"/>
      <c r="U579" s="24">
        <v>4.8227069303060421E-2</v>
      </c>
      <c r="V579" s="24">
        <f t="shared" si="28"/>
        <v>4.348437257519655E-2</v>
      </c>
      <c r="W579" s="106">
        <v>4.3484369999999997</v>
      </c>
      <c r="X579" s="106">
        <v>4.3484000000000002E-2</v>
      </c>
      <c r="Y579" s="34">
        <f t="shared" si="26"/>
        <v>-3.7257519654859683E-7</v>
      </c>
    </row>
    <row r="580" spans="15:25" ht="17.100000000000001" customHeight="1">
      <c r="O580" s="12">
        <f t="shared" si="27"/>
        <v>47.25</v>
      </c>
      <c r="P580" s="13">
        <v>567</v>
      </c>
      <c r="Q580" s="22"/>
      <c r="R580" s="19"/>
      <c r="S580" s="22"/>
      <c r="T580" s="19"/>
      <c r="U580" s="24">
        <v>4.8218685812156048E-2</v>
      </c>
      <c r="V580" s="24">
        <f t="shared" si="28"/>
        <v>4.3479428229146411E-2</v>
      </c>
      <c r="W580" s="106">
        <v>4.3479429999999999</v>
      </c>
      <c r="X580" s="106">
        <v>4.3478999999999997E-2</v>
      </c>
      <c r="Y580" s="34">
        <f t="shared" si="26"/>
        <v>-4.2822914641388321E-7</v>
      </c>
    </row>
    <row r="581" spans="15:25" ht="17.100000000000001" customHeight="1">
      <c r="O581" s="12">
        <f t="shared" si="27"/>
        <v>47.333333333333336</v>
      </c>
      <c r="P581" s="13">
        <v>568</v>
      </c>
      <c r="Q581" s="22"/>
      <c r="R581" s="19"/>
      <c r="S581" s="22"/>
      <c r="T581" s="19"/>
      <c r="U581" s="24">
        <v>4.8210323163001778E-2</v>
      </c>
      <c r="V581" s="24">
        <f t="shared" si="28"/>
        <v>4.3474534178551183E-2</v>
      </c>
      <c r="W581" s="106">
        <v>4.3474529999999998</v>
      </c>
      <c r="X581" s="106">
        <v>4.3475E-2</v>
      </c>
      <c r="Y581" s="34">
        <f t="shared" si="26"/>
        <v>4.6582144881679444E-7</v>
      </c>
    </row>
    <row r="582" spans="15:25" ht="17.100000000000001" customHeight="1">
      <c r="O582" s="12">
        <f t="shared" si="27"/>
        <v>47.416666666666664</v>
      </c>
      <c r="P582" s="13">
        <v>569</v>
      </c>
      <c r="Q582" s="22"/>
      <c r="R582" s="19"/>
      <c r="S582" s="22"/>
      <c r="T582" s="19"/>
      <c r="U582" s="24">
        <v>4.8201981334319965E-2</v>
      </c>
      <c r="V582" s="24">
        <f t="shared" si="28"/>
        <v>4.3469689915512699E-2</v>
      </c>
      <c r="W582" s="106">
        <v>4.3469689999999996</v>
      </c>
      <c r="X582" s="106">
        <v>4.3470000000000002E-2</v>
      </c>
      <c r="Y582" s="34">
        <f t="shared" si="26"/>
        <v>3.1008448730246441E-7</v>
      </c>
    </row>
    <row r="583" spans="15:25" ht="17.100000000000001" customHeight="1">
      <c r="O583" s="12">
        <f t="shared" si="27"/>
        <v>47.5</v>
      </c>
      <c r="P583" s="13">
        <v>570</v>
      </c>
      <c r="Q583" s="22"/>
      <c r="R583" s="19"/>
      <c r="S583" s="22"/>
      <c r="T583" s="19"/>
      <c r="U583" s="24">
        <v>4.8193660304086672E-2</v>
      </c>
      <c r="V583" s="24">
        <f t="shared" si="28"/>
        <v>4.3464894937097265E-2</v>
      </c>
      <c r="W583" s="106">
        <v>4.346489</v>
      </c>
      <c r="X583" s="106">
        <v>4.3464999999999997E-2</v>
      </c>
      <c r="Y583" s="34">
        <f t="shared" si="26"/>
        <v>1.0506290273187835E-7</v>
      </c>
    </row>
    <row r="584" spans="15:25" ht="17.100000000000001" customHeight="1">
      <c r="O584" s="12">
        <f t="shared" si="27"/>
        <v>47.583333333333336</v>
      </c>
      <c r="P584" s="13">
        <v>571</v>
      </c>
      <c r="Q584" s="22"/>
      <c r="R584" s="19"/>
      <c r="S584" s="22"/>
      <c r="T584" s="19"/>
      <c r="U584" s="24">
        <v>4.818536004954721E-2</v>
      </c>
      <c r="V584" s="24">
        <f t="shared" si="28"/>
        <v>4.3460148745035454E-2</v>
      </c>
      <c r="W584" s="106">
        <v>4.3460150000000004</v>
      </c>
      <c r="X584" s="106">
        <v>4.3459999999999999E-2</v>
      </c>
      <c r="Y584" s="34">
        <f t="shared" si="26"/>
        <v>-1.4874503545536655E-7</v>
      </c>
    </row>
    <row r="585" spans="15:25" ht="17.100000000000001" customHeight="1">
      <c r="O585" s="12">
        <f t="shared" si="27"/>
        <v>47.666666666666664</v>
      </c>
      <c r="P585" s="13">
        <v>572</v>
      </c>
      <c r="Q585" s="22"/>
      <c r="R585" s="19"/>
      <c r="S585" s="22"/>
      <c r="T585" s="19"/>
      <c r="U585" s="24">
        <v>4.8177080547230577E-2</v>
      </c>
      <c r="V585" s="24">
        <f t="shared" si="28"/>
        <v>4.3455450846343613E-2</v>
      </c>
      <c r="W585" s="106">
        <v>4.3455450000000004</v>
      </c>
      <c r="X585" s="106">
        <v>4.3455000000000001E-2</v>
      </c>
      <c r="Y585" s="34">
        <f t="shared" si="26"/>
        <v>-4.5084634361231002E-7</v>
      </c>
    </row>
    <row r="586" spans="15:25" ht="17.100000000000001" customHeight="1">
      <c r="O586" s="12">
        <f t="shared" si="27"/>
        <v>47.75</v>
      </c>
      <c r="P586" s="13">
        <v>573</v>
      </c>
      <c r="Q586" s="22"/>
      <c r="R586" s="19"/>
      <c r="S586" s="22"/>
      <c r="T586" s="19"/>
      <c r="U586" s="24">
        <v>4.816882177296522E-2</v>
      </c>
      <c r="V586" s="24">
        <f t="shared" si="28"/>
        <v>4.34508007533283E-2</v>
      </c>
      <c r="W586" s="106">
        <v>4.3450800000000003</v>
      </c>
      <c r="X586" s="106">
        <v>4.3450999999999997E-2</v>
      </c>
      <c r="Y586" s="34">
        <f t="shared" si="26"/>
        <v>1.9924667169629595E-7</v>
      </c>
    </row>
    <row r="587" spans="15:25" ht="17.100000000000001" customHeight="1">
      <c r="O587" s="12">
        <f t="shared" si="27"/>
        <v>47.833333333333336</v>
      </c>
      <c r="P587" s="13">
        <v>574</v>
      </c>
      <c r="Q587" s="22"/>
      <c r="R587" s="19"/>
      <c r="S587" s="22"/>
      <c r="T587" s="19"/>
      <c r="U587" s="24">
        <v>4.8160583701894133E-2</v>
      </c>
      <c r="V587" s="24">
        <f t="shared" si="28"/>
        <v>4.3446197982038859E-2</v>
      </c>
      <c r="W587" s="106">
        <v>4.3446199999999999</v>
      </c>
      <c r="X587" s="106">
        <v>4.3445999999999999E-2</v>
      </c>
      <c r="Y587" s="34">
        <f t="shared" si="26"/>
        <v>-1.9798203886034482E-7</v>
      </c>
    </row>
    <row r="588" spans="15:25" ht="17.100000000000001" customHeight="1">
      <c r="O588" s="12">
        <f t="shared" si="27"/>
        <v>47.916666666666664</v>
      </c>
      <c r="P588" s="13">
        <v>575</v>
      </c>
      <c r="Q588" s="22"/>
      <c r="R588" s="19"/>
      <c r="S588" s="22"/>
      <c r="T588" s="19"/>
      <c r="U588" s="24">
        <v>4.8152366308487515E-2</v>
      </c>
      <c r="V588" s="24">
        <f t="shared" si="28"/>
        <v>4.3441642054656615E-2</v>
      </c>
      <c r="W588" s="106">
        <v>4.3441640000000001</v>
      </c>
      <c r="X588" s="106">
        <v>4.3442000000000001E-2</v>
      </c>
      <c r="Y588" s="34">
        <f t="shared" si="26"/>
        <v>3.5794534338634554E-7</v>
      </c>
    </row>
    <row r="589" spans="15:25" ht="17.100000000000001" customHeight="1">
      <c r="O589" s="12">
        <f t="shared" si="27"/>
        <v>48</v>
      </c>
      <c r="P589" s="13">
        <v>576</v>
      </c>
      <c r="Q589" s="22"/>
      <c r="R589" s="19"/>
      <c r="S589" s="22"/>
      <c r="T589" s="19"/>
      <c r="U589" s="24">
        <v>4.8144169566559203E-2</v>
      </c>
      <c r="V589" s="24">
        <f t="shared" si="28"/>
        <v>4.3437132497023967E-2</v>
      </c>
      <c r="W589" s="106">
        <v>4.3437130000000002</v>
      </c>
      <c r="X589" s="106">
        <v>4.3437000000000003E-2</v>
      </c>
      <c r="Y589" s="34">
        <f t="shared" ref="Y589:Y652" si="29">X589-V589</f>
        <v>-1.3249702396356255E-7</v>
      </c>
    </row>
    <row r="590" spans="15:25" ht="17.100000000000001" customHeight="1">
      <c r="O590" s="12">
        <f t="shared" ref="O590:O653" si="30">P590/12</f>
        <v>48.083333333333336</v>
      </c>
      <c r="P590" s="13">
        <v>577</v>
      </c>
      <c r="Q590" s="22"/>
      <c r="R590" s="19"/>
      <c r="S590" s="22"/>
      <c r="T590" s="19"/>
      <c r="U590" s="24">
        <v>4.8135993449279102E-2</v>
      </c>
      <c r="V590" s="24">
        <f t="shared" ref="V590:V653" si="31">(1+U591)^P591/(1+U590)^P590-1</f>
        <v>4.343266884097341E-2</v>
      </c>
      <c r="W590" s="106">
        <v>4.343267</v>
      </c>
      <c r="X590" s="106">
        <v>4.3432999999999999E-2</v>
      </c>
      <c r="Y590" s="34">
        <f t="shared" si="29"/>
        <v>3.3115902658975571E-7</v>
      </c>
    </row>
    <row r="591" spans="15:25" ht="17.100000000000001" customHeight="1">
      <c r="O591" s="12">
        <f t="shared" si="30"/>
        <v>48.166666666666664</v>
      </c>
      <c r="P591" s="13">
        <v>578</v>
      </c>
      <c r="Q591" s="22"/>
      <c r="R591" s="19"/>
      <c r="S591" s="22"/>
      <c r="T591" s="19"/>
      <c r="U591" s="24">
        <v>4.8127837929188511E-2</v>
      </c>
      <c r="V591" s="24">
        <f t="shared" si="31"/>
        <v>4.3428250621174724E-2</v>
      </c>
      <c r="W591" s="106">
        <v>4.3428250000000004</v>
      </c>
      <c r="X591" s="106">
        <v>4.3428000000000001E-2</v>
      </c>
      <c r="Y591" s="34">
        <f t="shared" si="29"/>
        <v>-2.5062117472302026E-7</v>
      </c>
    </row>
    <row r="592" spans="15:25" ht="17.100000000000001" customHeight="1">
      <c r="O592" s="12">
        <f t="shared" si="30"/>
        <v>48.25</v>
      </c>
      <c r="P592" s="13">
        <v>579</v>
      </c>
      <c r="Q592" s="22"/>
      <c r="R592" s="19"/>
      <c r="S592" s="22"/>
      <c r="T592" s="19"/>
      <c r="U592" s="24">
        <v>4.8119702978211221E-2</v>
      </c>
      <c r="V592" s="24">
        <f t="shared" si="31"/>
        <v>4.342387737880693E-2</v>
      </c>
      <c r="W592" s="106">
        <v>4.3423879999999997</v>
      </c>
      <c r="X592" s="106">
        <v>4.3423999999999997E-2</v>
      </c>
      <c r="Y592" s="34">
        <f t="shared" si="29"/>
        <v>1.2262119306744035E-7</v>
      </c>
    </row>
    <row r="593" spans="15:25" ht="17.100000000000001" customHeight="1">
      <c r="O593" s="12">
        <f t="shared" si="30"/>
        <v>48.333333333333336</v>
      </c>
      <c r="P593" s="13">
        <v>580</v>
      </c>
      <c r="Q593" s="22"/>
      <c r="R593" s="19"/>
      <c r="S593" s="22"/>
      <c r="T593" s="19"/>
      <c r="U593" s="24">
        <v>4.8111588567669505E-2</v>
      </c>
      <c r="V593" s="24">
        <f t="shared" si="31"/>
        <v>4.3419548658461871E-2</v>
      </c>
      <c r="W593" s="106">
        <v>4.3419549999999996</v>
      </c>
      <c r="X593" s="106">
        <v>4.342E-2</v>
      </c>
      <c r="Y593" s="34">
        <f t="shared" si="29"/>
        <v>4.5134153812964595E-7</v>
      </c>
    </row>
    <row r="594" spans="15:25" ht="17.100000000000001" customHeight="1">
      <c r="O594" s="12">
        <f t="shared" si="30"/>
        <v>48.416666666666664</v>
      </c>
      <c r="P594" s="13">
        <v>581</v>
      </c>
      <c r="Q594" s="22"/>
      <c r="R594" s="19"/>
      <c r="S594" s="22"/>
      <c r="T594" s="19"/>
      <c r="U594" s="24">
        <v>4.8103494668295887E-2</v>
      </c>
      <c r="V594" s="24">
        <f t="shared" si="31"/>
        <v>4.3415264010321808E-2</v>
      </c>
      <c r="W594" s="106">
        <v>4.341526</v>
      </c>
      <c r="X594" s="106">
        <v>4.3415000000000002E-2</v>
      </c>
      <c r="Y594" s="34">
        <f t="shared" si="29"/>
        <v>-2.6401032180572992E-7</v>
      </c>
    </row>
    <row r="595" spans="15:25" ht="17.100000000000001" customHeight="1">
      <c r="O595" s="12">
        <f t="shared" si="30"/>
        <v>48.5</v>
      </c>
      <c r="P595" s="13">
        <v>582</v>
      </c>
      <c r="Q595" s="22"/>
      <c r="R595" s="19"/>
      <c r="S595" s="22"/>
      <c r="T595" s="19"/>
      <c r="U595" s="24">
        <v>4.8095421250246906E-2</v>
      </c>
      <c r="V595" s="24">
        <f t="shared" si="31"/>
        <v>4.3411022987118963E-2</v>
      </c>
      <c r="W595" s="106">
        <v>4.3411020000000002</v>
      </c>
      <c r="X595" s="106">
        <v>4.3410999999999998E-2</v>
      </c>
      <c r="Y595" s="34">
        <f t="shared" si="29"/>
        <v>-2.2987118965256403E-8</v>
      </c>
    </row>
    <row r="596" spans="15:25" ht="17.100000000000001" customHeight="1">
      <c r="O596" s="12">
        <f t="shared" si="30"/>
        <v>48.583333333333336</v>
      </c>
      <c r="P596" s="13">
        <v>583</v>
      </c>
      <c r="Q596" s="22"/>
      <c r="R596" s="19"/>
      <c r="S596" s="22"/>
      <c r="T596" s="19"/>
      <c r="U596" s="24">
        <v>4.8087368283113552E-2</v>
      </c>
      <c r="V596" s="24">
        <f t="shared" si="31"/>
        <v>4.3406825148623041E-2</v>
      </c>
      <c r="W596" s="106">
        <v>4.3406830000000003</v>
      </c>
      <c r="X596" s="106">
        <v>4.3407000000000001E-2</v>
      </c>
      <c r="Y596" s="34">
        <f t="shared" si="29"/>
        <v>1.7485137696060526E-7</v>
      </c>
    </row>
    <row r="597" spans="15:25" ht="17.100000000000001" customHeight="1">
      <c r="O597" s="12">
        <f t="shared" si="30"/>
        <v>48.666666666666664</v>
      </c>
      <c r="P597" s="13">
        <v>584</v>
      </c>
      <c r="Q597" s="22"/>
      <c r="R597" s="19"/>
      <c r="S597" s="22"/>
      <c r="T597" s="19"/>
      <c r="U597" s="24">
        <v>4.8079335735937478E-2</v>
      </c>
      <c r="V597" s="24">
        <f t="shared" si="31"/>
        <v>4.3402670056976733E-2</v>
      </c>
      <c r="W597" s="106">
        <v>4.3402669999999999</v>
      </c>
      <c r="X597" s="106">
        <v>4.3402999999999997E-2</v>
      </c>
      <c r="Y597" s="34">
        <f t="shared" si="29"/>
        <v>3.2994302326394553E-7</v>
      </c>
    </row>
    <row r="598" spans="15:25" ht="17.100000000000001" customHeight="1">
      <c r="O598" s="12">
        <f t="shared" si="30"/>
        <v>48.75</v>
      </c>
      <c r="P598" s="13">
        <v>585</v>
      </c>
      <c r="Q598" s="22"/>
      <c r="R598" s="19"/>
      <c r="S598" s="22"/>
      <c r="T598" s="19"/>
      <c r="U598" s="24">
        <v>4.8071323577219882E-2</v>
      </c>
      <c r="V598" s="24">
        <f t="shared" si="31"/>
        <v>4.3398557279965333E-2</v>
      </c>
      <c r="W598" s="106">
        <v>4.3398560000000002</v>
      </c>
      <c r="X598" s="106">
        <v>4.3399E-2</v>
      </c>
      <c r="Y598" s="34">
        <f t="shared" si="29"/>
        <v>4.4272003466711007E-7</v>
      </c>
    </row>
    <row r="599" spans="15:25" ht="17.100000000000001" customHeight="1">
      <c r="O599" s="12">
        <f t="shared" si="30"/>
        <v>48.833333333333336</v>
      </c>
      <c r="P599" s="13">
        <v>586</v>
      </c>
      <c r="Q599" s="22"/>
      <c r="R599" s="19"/>
      <c r="S599" s="22"/>
      <c r="T599" s="19"/>
      <c r="U599" s="24">
        <v>4.8063331774936158E-2</v>
      </c>
      <c r="V599" s="24">
        <f t="shared" si="31"/>
        <v>4.3394486388600662E-2</v>
      </c>
      <c r="W599" s="106">
        <v>4.3394490000000001</v>
      </c>
      <c r="X599" s="106">
        <v>4.3394000000000002E-2</v>
      </c>
      <c r="Y599" s="34">
        <f t="shared" si="29"/>
        <v>-4.8638860065952638E-7</v>
      </c>
    </row>
    <row r="600" spans="15:25" ht="17.100000000000001" customHeight="1">
      <c r="O600" s="12">
        <f t="shared" si="30"/>
        <v>48.916666666666664</v>
      </c>
      <c r="P600" s="13">
        <v>587</v>
      </c>
      <c r="Q600" s="22"/>
      <c r="R600" s="19"/>
      <c r="S600" s="22"/>
      <c r="T600" s="19"/>
      <c r="U600" s="24">
        <v>4.8055360296545446E-2</v>
      </c>
      <c r="V600" s="24">
        <f t="shared" si="31"/>
        <v>4.3390456958895651E-2</v>
      </c>
      <c r="W600" s="106">
        <v>4.3390459999999997</v>
      </c>
      <c r="X600" s="106">
        <v>4.3389999999999998E-2</v>
      </c>
      <c r="Y600" s="34">
        <f t="shared" si="29"/>
        <v>-4.5695889565322556E-7</v>
      </c>
    </row>
    <row r="601" spans="15:25" ht="17.100000000000001" customHeight="1">
      <c r="O601" s="12">
        <f t="shared" si="30"/>
        <v>49</v>
      </c>
      <c r="P601" s="13">
        <v>588</v>
      </c>
      <c r="Q601" s="22"/>
      <c r="R601" s="19"/>
      <c r="S601" s="22"/>
      <c r="T601" s="19"/>
      <c r="U601" s="24">
        <v>4.8047409109003958E-2</v>
      </c>
      <c r="V601" s="24">
        <f t="shared" si="31"/>
        <v>4.3386468571813053E-2</v>
      </c>
      <c r="W601" s="106">
        <v>4.3386469999999999</v>
      </c>
      <c r="X601" s="106">
        <v>4.3386000000000001E-2</v>
      </c>
      <c r="Y601" s="34">
        <f t="shared" si="29"/>
        <v>-4.6857181305176576E-7</v>
      </c>
    </row>
    <row r="602" spans="15:25" ht="17.100000000000001" customHeight="1">
      <c r="O602" s="12">
        <f t="shared" si="30"/>
        <v>49.083333333333336</v>
      </c>
      <c r="P602" s="13">
        <v>589</v>
      </c>
      <c r="Q602" s="22"/>
      <c r="R602" s="19"/>
      <c r="S602" s="22"/>
      <c r="T602" s="19"/>
      <c r="U602" s="24">
        <v>4.8039478178777406E-2</v>
      </c>
      <c r="V602" s="24">
        <f t="shared" si="31"/>
        <v>4.3382520810270053E-2</v>
      </c>
      <c r="W602" s="106">
        <v>4.3382519999999998</v>
      </c>
      <c r="X602" s="106">
        <v>4.3382999999999998E-2</v>
      </c>
      <c r="Y602" s="34">
        <f t="shared" si="29"/>
        <v>4.7918972994470677E-7</v>
      </c>
    </row>
    <row r="603" spans="15:25" ht="17.100000000000001" customHeight="1">
      <c r="O603" s="12">
        <f t="shared" si="30"/>
        <v>49.166666666666664</v>
      </c>
      <c r="P603" s="13">
        <v>590</v>
      </c>
      <c r="Q603" s="22"/>
      <c r="R603" s="19"/>
      <c r="S603" s="22"/>
      <c r="T603" s="19"/>
      <c r="U603" s="24">
        <v>4.8031567471849002E-2</v>
      </c>
      <c r="V603" s="24">
        <f t="shared" si="31"/>
        <v>4.3378613263667765E-2</v>
      </c>
      <c r="W603" s="106">
        <v>4.3378610000000002</v>
      </c>
      <c r="X603" s="106">
        <v>4.3379000000000001E-2</v>
      </c>
      <c r="Y603" s="34">
        <f t="shared" si="29"/>
        <v>3.8673633223629267E-7</v>
      </c>
    </row>
    <row r="604" spans="15:25" ht="17.100000000000001" customHeight="1">
      <c r="O604" s="12">
        <f t="shared" si="30"/>
        <v>49.25</v>
      </c>
      <c r="P604" s="13">
        <v>591</v>
      </c>
      <c r="Q604" s="22"/>
      <c r="R604" s="19"/>
      <c r="S604" s="22"/>
      <c r="T604" s="19"/>
      <c r="U604" s="24">
        <v>4.8023676953733663E-2</v>
      </c>
      <c r="V604" s="24">
        <f t="shared" si="31"/>
        <v>4.3374745524734193E-2</v>
      </c>
      <c r="W604" s="106">
        <v>4.3374750000000004</v>
      </c>
      <c r="X604" s="106">
        <v>4.3374999999999997E-2</v>
      </c>
      <c r="Y604" s="34">
        <f t="shared" si="29"/>
        <v>2.5447526580402169E-7</v>
      </c>
    </row>
    <row r="605" spans="15:25" ht="17.100000000000001" customHeight="1">
      <c r="O605" s="12">
        <f t="shared" si="30"/>
        <v>49.333333333333336</v>
      </c>
      <c r="P605" s="13">
        <v>592</v>
      </c>
      <c r="Q605" s="22"/>
      <c r="R605" s="19"/>
      <c r="S605" s="22"/>
      <c r="T605" s="19"/>
      <c r="U605" s="24">
        <v>4.8015806589488452E-2</v>
      </c>
      <c r="V605" s="24">
        <f t="shared" si="31"/>
        <v>4.3370917189384128E-2</v>
      </c>
      <c r="W605" s="106">
        <v>4.3370920000000002</v>
      </c>
      <c r="X605" s="106">
        <v>4.3371E-2</v>
      </c>
      <c r="Y605" s="34">
        <f t="shared" si="29"/>
        <v>8.2810615871509174E-8</v>
      </c>
    </row>
    <row r="606" spans="15:25" ht="17.100000000000001" customHeight="1">
      <c r="O606" s="12">
        <f t="shared" si="30"/>
        <v>49.416666666666664</v>
      </c>
      <c r="P606" s="13">
        <v>593</v>
      </c>
      <c r="Q606" s="22"/>
      <c r="R606" s="19"/>
      <c r="S606" s="22"/>
      <c r="T606" s="19"/>
      <c r="U606" s="24">
        <v>4.8007956343721681E-2</v>
      </c>
      <c r="V606" s="24">
        <f t="shared" si="31"/>
        <v>4.3367127859458066E-2</v>
      </c>
      <c r="W606" s="106">
        <v>4.3367129999999996</v>
      </c>
      <c r="X606" s="106">
        <v>4.3367000000000003E-2</v>
      </c>
      <c r="Y606" s="34">
        <f t="shared" si="29"/>
        <v>-1.2785945806281784E-7</v>
      </c>
    </row>
    <row r="607" spans="15:25" ht="17.100000000000001" customHeight="1">
      <c r="O607" s="12">
        <f t="shared" si="30"/>
        <v>49.5</v>
      </c>
      <c r="P607" s="13">
        <v>594</v>
      </c>
      <c r="Q607" s="22"/>
      <c r="R607" s="19"/>
      <c r="S607" s="22"/>
      <c r="T607" s="19"/>
      <c r="U607" s="24">
        <v>4.8000126180606228E-2</v>
      </c>
      <c r="V607" s="24">
        <f t="shared" si="31"/>
        <v>4.3363377138354364E-2</v>
      </c>
      <c r="W607" s="106">
        <v>4.3363379999999996</v>
      </c>
      <c r="X607" s="106">
        <v>4.3362999999999999E-2</v>
      </c>
      <c r="Y607" s="34">
        <f t="shared" si="29"/>
        <v>-3.7713835436548049E-7</v>
      </c>
    </row>
    <row r="608" spans="15:25" ht="17.100000000000001" customHeight="1">
      <c r="O608" s="12">
        <f t="shared" si="30"/>
        <v>49.583333333333336</v>
      </c>
      <c r="P608" s="13">
        <v>595</v>
      </c>
      <c r="Q608" s="22"/>
      <c r="R608" s="19"/>
      <c r="S608" s="22"/>
      <c r="T608" s="19"/>
      <c r="U608" s="24">
        <v>4.7992316063886653E-2</v>
      </c>
      <c r="V608" s="24">
        <f t="shared" si="31"/>
        <v>4.3359664635748141E-2</v>
      </c>
      <c r="W608" s="106">
        <v>4.335966</v>
      </c>
      <c r="X608" s="106">
        <v>4.3360000000000003E-2</v>
      </c>
      <c r="Y608" s="34">
        <f t="shared" si="29"/>
        <v>3.3536425186192487E-7</v>
      </c>
    </row>
    <row r="609" spans="15:25" ht="17.100000000000001" customHeight="1">
      <c r="O609" s="12">
        <f t="shared" si="30"/>
        <v>49.666666666666664</v>
      </c>
      <c r="P609" s="13">
        <v>596</v>
      </c>
      <c r="Q609" s="22"/>
      <c r="R609" s="19"/>
      <c r="S609" s="22"/>
      <c r="T609" s="19"/>
      <c r="U609" s="24">
        <v>4.7984525956892732E-2</v>
      </c>
      <c r="V609" s="24">
        <f t="shared" si="31"/>
        <v>4.3355989964331432E-2</v>
      </c>
      <c r="W609" s="106">
        <v>4.3355990000000002</v>
      </c>
      <c r="X609" s="106">
        <v>4.3355999999999999E-2</v>
      </c>
      <c r="Y609" s="34">
        <f t="shared" si="29"/>
        <v>1.003566856699889E-8</v>
      </c>
    </row>
    <row r="610" spans="15:25" ht="17.100000000000001" customHeight="1">
      <c r="O610" s="12">
        <f t="shared" si="30"/>
        <v>49.75</v>
      </c>
      <c r="P610" s="13">
        <v>597</v>
      </c>
      <c r="Q610" s="22"/>
      <c r="R610" s="19"/>
      <c r="S610" s="22"/>
      <c r="T610" s="19"/>
      <c r="U610" s="24">
        <v>4.7976755822547901E-2</v>
      </c>
      <c r="V610" s="24">
        <f t="shared" si="31"/>
        <v>4.3352352739516542E-2</v>
      </c>
      <c r="W610" s="106">
        <v>4.3352349999999999</v>
      </c>
      <c r="X610" s="106">
        <v>4.3352000000000002E-2</v>
      </c>
      <c r="Y610" s="34">
        <f t="shared" si="29"/>
        <v>-3.5273951654035685E-7</v>
      </c>
    </row>
    <row r="611" spans="15:25" ht="17.100000000000001" customHeight="1">
      <c r="O611" s="12">
        <f t="shared" si="30"/>
        <v>49.833333333333336</v>
      </c>
      <c r="P611" s="13">
        <v>598</v>
      </c>
      <c r="Q611" s="22"/>
      <c r="R611" s="19"/>
      <c r="S611" s="22"/>
      <c r="T611" s="19"/>
      <c r="U611" s="24">
        <v>4.7969005623378136E-2</v>
      </c>
      <c r="V611" s="24">
        <f t="shared" si="31"/>
        <v>4.334875258289439E-2</v>
      </c>
      <c r="W611" s="106">
        <v>4.3348750000000003</v>
      </c>
      <c r="X611" s="106">
        <v>4.3348999999999999E-2</v>
      </c>
      <c r="Y611" s="34">
        <f t="shared" si="29"/>
        <v>2.4741710560882701E-7</v>
      </c>
    </row>
    <row r="612" spans="15:25" ht="17.100000000000001" customHeight="1">
      <c r="O612" s="12">
        <f t="shared" si="30"/>
        <v>49.916666666666664</v>
      </c>
      <c r="P612" s="13">
        <v>599</v>
      </c>
      <c r="Q612" s="22"/>
      <c r="R612" s="19"/>
      <c r="S612" s="22"/>
      <c r="T612" s="19"/>
      <c r="U612" s="24">
        <v>4.796127532152461E-2</v>
      </c>
      <c r="V612" s="24">
        <f t="shared" si="31"/>
        <v>4.3345189117994343E-2</v>
      </c>
      <c r="W612" s="106">
        <v>4.3345190000000002</v>
      </c>
      <c r="X612" s="106">
        <v>4.3345000000000002E-2</v>
      </c>
      <c r="Y612" s="34">
        <f t="shared" si="29"/>
        <v>-1.8911799434112586E-7</v>
      </c>
    </row>
    <row r="613" spans="15:25" ht="17.100000000000001" customHeight="1">
      <c r="O613" s="12">
        <f t="shared" si="30"/>
        <v>50</v>
      </c>
      <c r="P613" s="13">
        <v>600</v>
      </c>
      <c r="Q613" s="22"/>
      <c r="R613" s="19"/>
      <c r="S613" s="22"/>
      <c r="T613" s="19"/>
      <c r="U613" s="24">
        <v>4.7953564878750798E-2</v>
      </c>
      <c r="V613" s="24">
        <f t="shared" si="31"/>
        <v>4.3341661972770673E-2</v>
      </c>
      <c r="W613" s="106">
        <v>4.3341659999999997</v>
      </c>
      <c r="X613" s="106">
        <v>4.3341999999999999E-2</v>
      </c>
      <c r="Y613" s="34">
        <f t="shared" si="29"/>
        <v>3.3802722932546603E-7</v>
      </c>
    </row>
    <row r="614" spans="15:25" ht="17.100000000000001" customHeight="1">
      <c r="O614" s="12">
        <f t="shared" si="30"/>
        <v>50.083333333333336</v>
      </c>
      <c r="P614" s="13">
        <v>601</v>
      </c>
      <c r="Q614" s="22"/>
      <c r="R614" s="19"/>
      <c r="S614" s="22"/>
      <c r="T614" s="19"/>
      <c r="U614" s="24">
        <v>4.7945874256452914E-2</v>
      </c>
      <c r="V614" s="24">
        <f t="shared" si="31"/>
        <v>4.3338170779275709E-2</v>
      </c>
      <c r="W614" s="106">
        <v>4.3338169999999998</v>
      </c>
      <c r="X614" s="106">
        <v>4.3338000000000002E-2</v>
      </c>
      <c r="Y614" s="34">
        <f t="shared" si="29"/>
        <v>-1.7077927570718909E-7</v>
      </c>
    </row>
    <row r="615" spans="15:25" ht="17.100000000000001" customHeight="1">
      <c r="O615" s="12">
        <f t="shared" si="30"/>
        <v>50.166666666666664</v>
      </c>
      <c r="P615" s="13">
        <v>602</v>
      </c>
      <c r="Q615" s="22"/>
      <c r="R615" s="19"/>
      <c r="S615" s="22"/>
      <c r="T615" s="19"/>
      <c r="U615" s="24">
        <v>4.7938203415669456E-2</v>
      </c>
      <c r="V615" s="24">
        <f t="shared" si="31"/>
        <v>4.3334715172221205E-2</v>
      </c>
      <c r="W615" s="106">
        <v>4.3334720000000004</v>
      </c>
      <c r="X615" s="106">
        <v>4.3334999999999999E-2</v>
      </c>
      <c r="Y615" s="34">
        <f t="shared" si="29"/>
        <v>2.8482777879312859E-7</v>
      </c>
    </row>
    <row r="616" spans="15:25" ht="17.100000000000001" customHeight="1">
      <c r="O616" s="12">
        <f t="shared" si="30"/>
        <v>50.25</v>
      </c>
      <c r="P616" s="13">
        <v>603</v>
      </c>
      <c r="Q616" s="22"/>
      <c r="R616" s="19"/>
      <c r="S616" s="22"/>
      <c r="T616" s="19"/>
      <c r="U616" s="24">
        <v>4.7930552317088981E-2</v>
      </c>
      <c r="V616" s="24">
        <f t="shared" si="31"/>
        <v>4.3331294791333574E-2</v>
      </c>
      <c r="W616" s="106">
        <v>4.3331289999999996</v>
      </c>
      <c r="X616" s="106">
        <v>4.3331000000000001E-2</v>
      </c>
      <c r="Y616" s="34">
        <f t="shared" si="29"/>
        <v>-2.947913335729635E-7</v>
      </c>
    </row>
    <row r="617" spans="15:25" ht="17.100000000000001" customHeight="1">
      <c r="O617" s="12">
        <f t="shared" si="30"/>
        <v>50.333333333333336</v>
      </c>
      <c r="P617" s="13">
        <v>604</v>
      </c>
      <c r="Q617" s="22"/>
      <c r="R617" s="19"/>
      <c r="S617" s="22"/>
      <c r="T617" s="19"/>
      <c r="U617" s="24">
        <v>4.7922920921061429E-2</v>
      </c>
      <c r="V617" s="24">
        <f t="shared" si="31"/>
        <v>4.3327909278565668E-2</v>
      </c>
      <c r="W617" s="106">
        <v>4.3327910000000003</v>
      </c>
      <c r="X617" s="106">
        <v>4.3327999999999998E-2</v>
      </c>
      <c r="Y617" s="34">
        <f t="shared" si="29"/>
        <v>9.0721434330143236E-8</v>
      </c>
    </row>
    <row r="618" spans="15:25" ht="17.100000000000001" customHeight="1">
      <c r="O618" s="12">
        <f t="shared" si="30"/>
        <v>50.416666666666664</v>
      </c>
      <c r="P618" s="13">
        <v>605</v>
      </c>
      <c r="Q618" s="22"/>
      <c r="R618" s="19"/>
      <c r="S618" s="22"/>
      <c r="T618" s="19"/>
      <c r="U618" s="24">
        <v>4.7915309187604338E-2</v>
      </c>
      <c r="V618" s="24">
        <f t="shared" si="31"/>
        <v>4.3324558280777969E-2</v>
      </c>
      <c r="W618" s="106">
        <v>4.3324559999999996</v>
      </c>
      <c r="X618" s="106">
        <v>4.3325000000000002E-2</v>
      </c>
      <c r="Y618" s="34">
        <f t="shared" si="29"/>
        <v>4.4171922203295466E-7</v>
      </c>
    </row>
    <row r="619" spans="15:25" ht="17.100000000000001" customHeight="1">
      <c r="O619" s="12">
        <f t="shared" si="30"/>
        <v>50.5</v>
      </c>
      <c r="P619" s="13">
        <v>606</v>
      </c>
      <c r="Q619" s="22"/>
      <c r="R619" s="19"/>
      <c r="S619" s="22"/>
      <c r="T619" s="19"/>
      <c r="U619" s="24">
        <v>4.7907717076413725E-2</v>
      </c>
      <c r="V619" s="24">
        <f t="shared" si="31"/>
        <v>4.332124144722771E-2</v>
      </c>
      <c r="W619" s="106">
        <v>4.3321240000000003</v>
      </c>
      <c r="X619" s="106">
        <v>4.3320999999999998E-2</v>
      </c>
      <c r="Y619" s="34">
        <f t="shared" si="29"/>
        <v>-2.4144722771124449E-7</v>
      </c>
    </row>
    <row r="620" spans="15:25" ht="17.100000000000001" customHeight="1">
      <c r="O620" s="12">
        <f t="shared" si="30"/>
        <v>50.583333333333336</v>
      </c>
      <c r="P620" s="13">
        <v>607</v>
      </c>
      <c r="Q620" s="22"/>
      <c r="R620" s="19"/>
      <c r="S620" s="22"/>
      <c r="T620" s="19"/>
      <c r="U620" s="24">
        <v>4.7900144546870971E-2</v>
      </c>
      <c r="V620" s="24">
        <f t="shared" si="31"/>
        <v>4.3317958431957848E-2</v>
      </c>
      <c r="W620" s="106">
        <v>4.3317959999999998</v>
      </c>
      <c r="X620" s="106">
        <v>4.3318000000000002E-2</v>
      </c>
      <c r="Y620" s="34">
        <f t="shared" si="29"/>
        <v>4.1568042154216389E-8</v>
      </c>
    </row>
    <row r="621" spans="15:25" ht="17.100000000000001" customHeight="1">
      <c r="O621" s="12">
        <f t="shared" si="30"/>
        <v>50.666666666666664</v>
      </c>
      <c r="P621" s="13">
        <v>608</v>
      </c>
      <c r="Q621" s="22"/>
      <c r="R621" s="19"/>
      <c r="S621" s="22"/>
      <c r="T621" s="19"/>
      <c r="U621" s="24">
        <v>4.7892591558053033E-2</v>
      </c>
      <c r="V621" s="24">
        <f t="shared" si="31"/>
        <v>4.3314708891063258E-2</v>
      </c>
      <c r="W621" s="106">
        <v>4.3314709999999996</v>
      </c>
      <c r="X621" s="106">
        <v>4.3314999999999999E-2</v>
      </c>
      <c r="Y621" s="34">
        <f t="shared" si="29"/>
        <v>2.9110893674105798E-7</v>
      </c>
    </row>
    <row r="622" spans="15:25" ht="17.100000000000001" customHeight="1">
      <c r="O622" s="12">
        <f t="shared" si="30"/>
        <v>50.75</v>
      </c>
      <c r="P622" s="13">
        <v>609</v>
      </c>
      <c r="Q622" s="22"/>
      <c r="R622" s="19"/>
      <c r="S622" s="22"/>
      <c r="T622" s="19"/>
      <c r="U622" s="24">
        <v>4.7885058068738662E-2</v>
      </c>
      <c r="V622" s="24">
        <f t="shared" si="31"/>
        <v>4.3311492484852332E-2</v>
      </c>
      <c r="W622" s="106">
        <v>4.3311489999999999</v>
      </c>
      <c r="X622" s="106">
        <v>4.3311000000000002E-2</v>
      </c>
      <c r="Y622" s="34">
        <f t="shared" si="29"/>
        <v>-4.9248485232966654E-7</v>
      </c>
    </row>
    <row r="623" spans="15:25" ht="17.100000000000001" customHeight="1">
      <c r="O623" s="12">
        <f t="shared" si="30"/>
        <v>50.833333333333336</v>
      </c>
      <c r="P623" s="13">
        <v>610</v>
      </c>
      <c r="Q623" s="22"/>
      <c r="R623" s="19"/>
      <c r="S623" s="22"/>
      <c r="T623" s="19"/>
      <c r="U623" s="24">
        <v>4.7877544037417508E-2</v>
      </c>
      <c r="V623" s="24">
        <f t="shared" si="31"/>
        <v>4.3308308877394674E-2</v>
      </c>
      <c r="W623" s="106">
        <v>4.3308309999999999</v>
      </c>
      <c r="X623" s="106">
        <v>4.3307999999999999E-2</v>
      </c>
      <c r="Y623" s="34">
        <f t="shared" si="29"/>
        <v>-3.0887739467522213E-7</v>
      </c>
    </row>
    <row r="624" spans="15:25" ht="17.100000000000001" customHeight="1">
      <c r="O624" s="12">
        <f t="shared" si="30"/>
        <v>50.916666666666664</v>
      </c>
      <c r="P624" s="13">
        <v>611</v>
      </c>
      <c r="Q624" s="22"/>
      <c r="R624" s="19"/>
      <c r="S624" s="22"/>
      <c r="T624" s="19"/>
      <c r="U624" s="24">
        <v>4.7870049422298777E-2</v>
      </c>
      <c r="V624" s="24">
        <f t="shared" si="31"/>
        <v>4.3305157735562982E-2</v>
      </c>
      <c r="W624" s="106">
        <v>4.3305160000000003</v>
      </c>
      <c r="X624" s="106">
        <v>4.3305000000000003E-2</v>
      </c>
      <c r="Y624" s="34">
        <f t="shared" si="29"/>
        <v>-1.5773556297921099E-7</v>
      </c>
    </row>
    <row r="625" spans="15:25" ht="17.100000000000001" customHeight="1">
      <c r="O625" s="12">
        <f t="shared" si="30"/>
        <v>51</v>
      </c>
      <c r="P625" s="13">
        <v>612</v>
      </c>
      <c r="Q625" s="22"/>
      <c r="R625" s="19"/>
      <c r="S625" s="22"/>
      <c r="T625" s="19"/>
      <c r="U625" s="24">
        <v>4.7862574181318118E-2</v>
      </c>
      <c r="V625" s="24">
        <f t="shared" si="31"/>
        <v>4.330203872962568E-2</v>
      </c>
      <c r="W625" s="106">
        <v>4.3302040000000002</v>
      </c>
      <c r="X625" s="106">
        <v>4.3302E-2</v>
      </c>
      <c r="Y625" s="34">
        <f t="shared" si="29"/>
        <v>-3.8729625680133939E-8</v>
      </c>
    </row>
    <row r="626" spans="15:25" ht="17.100000000000001" customHeight="1">
      <c r="O626" s="12">
        <f t="shared" si="30"/>
        <v>51.083333333333336</v>
      </c>
      <c r="P626" s="13">
        <v>613</v>
      </c>
      <c r="Q626" s="22"/>
      <c r="R626" s="19"/>
      <c r="S626" s="22"/>
      <c r="T626" s="19"/>
      <c r="U626" s="24">
        <v>4.7855118272145614E-2</v>
      </c>
      <c r="V626" s="24">
        <f t="shared" si="31"/>
        <v>4.3298951533447427E-2</v>
      </c>
      <c r="W626" s="106">
        <v>4.3298949999999996</v>
      </c>
      <c r="X626" s="106">
        <v>4.3298999999999997E-2</v>
      </c>
      <c r="Y626" s="34">
        <f t="shared" si="29"/>
        <v>4.8466552569903509E-8</v>
      </c>
    </row>
    <row r="627" spans="15:25" ht="17.100000000000001" customHeight="1">
      <c r="O627" s="12">
        <f t="shared" si="30"/>
        <v>51.166666666666664</v>
      </c>
      <c r="P627" s="13">
        <v>614</v>
      </c>
      <c r="Q627" s="22"/>
      <c r="R627" s="19"/>
      <c r="S627" s="22"/>
      <c r="T627" s="19"/>
      <c r="U627" s="24">
        <v>4.7847681652193552E-2</v>
      </c>
      <c r="V627" s="24">
        <f t="shared" si="31"/>
        <v>4.3295895823862951E-2</v>
      </c>
      <c r="W627" s="106">
        <v>4.3295899999999996</v>
      </c>
      <c r="X627" s="106">
        <v>4.3296000000000001E-2</v>
      </c>
      <c r="Y627" s="34">
        <f t="shared" si="29"/>
        <v>1.0417613705016038E-7</v>
      </c>
    </row>
    <row r="628" spans="15:25" ht="17.100000000000001" customHeight="1">
      <c r="O628" s="12">
        <f t="shared" si="30"/>
        <v>51.25</v>
      </c>
      <c r="P628" s="13">
        <v>615</v>
      </c>
      <c r="Q628" s="22"/>
      <c r="R628" s="19"/>
      <c r="S628" s="22"/>
      <c r="T628" s="19"/>
      <c r="U628" s="24">
        <v>4.7840264278623312E-2</v>
      </c>
      <c r="V628" s="24">
        <f t="shared" si="31"/>
        <v>4.3292871281414236E-2</v>
      </c>
      <c r="W628" s="106">
        <v>4.3292869999999999</v>
      </c>
      <c r="X628" s="106">
        <v>4.3292999999999998E-2</v>
      </c>
      <c r="Y628" s="34">
        <f t="shared" si="29"/>
        <v>1.2871858576235518E-7</v>
      </c>
    </row>
    <row r="629" spans="15:25" ht="17.100000000000001" customHeight="1">
      <c r="O629" s="12">
        <f t="shared" si="30"/>
        <v>51.333333333333336</v>
      </c>
      <c r="P629" s="13">
        <v>616</v>
      </c>
      <c r="Q629" s="22"/>
      <c r="R629" s="19"/>
      <c r="S629" s="22"/>
      <c r="T629" s="19"/>
      <c r="U629" s="24">
        <v>4.7832866108354022E-2</v>
      </c>
      <c r="V629" s="24">
        <f t="shared" si="31"/>
        <v>4.3289877589173908E-2</v>
      </c>
      <c r="W629" s="106">
        <v>4.3289879999999998</v>
      </c>
      <c r="X629" s="106">
        <v>4.3290000000000002E-2</v>
      </c>
      <c r="Y629" s="34">
        <f t="shared" si="29"/>
        <v>1.2241082609359966E-7</v>
      </c>
    </row>
    <row r="630" spans="15:25" ht="17.100000000000001" customHeight="1">
      <c r="O630" s="12">
        <f t="shared" si="30"/>
        <v>51.416666666666664</v>
      </c>
      <c r="P630" s="13">
        <v>617</v>
      </c>
      <c r="Q630" s="22"/>
      <c r="R630" s="19"/>
      <c r="S630" s="22"/>
      <c r="T630" s="19"/>
      <c r="U630" s="24">
        <v>4.7825487098067887E-2</v>
      </c>
      <c r="V630" s="24">
        <f t="shared" si="31"/>
        <v>4.3286914434100821E-2</v>
      </c>
      <c r="W630" s="106">
        <v>4.3286910000000001</v>
      </c>
      <c r="X630" s="106">
        <v>4.3286999999999999E-2</v>
      </c>
      <c r="Y630" s="34">
        <f t="shared" si="29"/>
        <v>8.55658991785746E-8</v>
      </c>
    </row>
    <row r="631" spans="15:25" ht="17.100000000000001" customHeight="1">
      <c r="O631" s="12">
        <f t="shared" si="30"/>
        <v>51.5</v>
      </c>
      <c r="P631" s="13">
        <v>618</v>
      </c>
      <c r="Q631" s="22"/>
      <c r="R631" s="19"/>
      <c r="S631" s="22"/>
      <c r="T631" s="19"/>
      <c r="U631" s="24">
        <v>4.7818127204219074E-2</v>
      </c>
      <c r="V631" s="24">
        <f t="shared" si="31"/>
        <v>4.3283981505830349E-2</v>
      </c>
      <c r="W631" s="106">
        <v>4.328398</v>
      </c>
      <c r="X631" s="106">
        <v>4.3284000000000003E-2</v>
      </c>
      <c r="Y631" s="34">
        <f t="shared" si="29"/>
        <v>1.8494169654048598E-8</v>
      </c>
    </row>
    <row r="632" spans="15:25" ht="17.100000000000001" customHeight="1">
      <c r="O632" s="12">
        <f t="shared" si="30"/>
        <v>51.583333333333336</v>
      </c>
      <c r="P632" s="13">
        <v>619</v>
      </c>
      <c r="Q632" s="22"/>
      <c r="R632" s="19"/>
      <c r="S632" s="22"/>
      <c r="T632" s="19"/>
      <c r="U632" s="24">
        <v>4.7810786383039705E-2</v>
      </c>
      <c r="V632" s="24">
        <f t="shared" si="31"/>
        <v>4.3281078497715342E-2</v>
      </c>
      <c r="W632" s="106">
        <v>4.3281080000000003</v>
      </c>
      <c r="X632" s="106">
        <v>4.3281E-2</v>
      </c>
      <c r="Y632" s="34">
        <f t="shared" si="29"/>
        <v>-7.8497715341740992E-8</v>
      </c>
    </row>
    <row r="633" spans="15:25" ht="17.100000000000001" customHeight="1">
      <c r="O633" s="12">
        <f t="shared" si="30"/>
        <v>51.666666666666664</v>
      </c>
      <c r="P633" s="13">
        <v>620</v>
      </c>
      <c r="Q633" s="22"/>
      <c r="R633" s="19"/>
      <c r="S633" s="22"/>
      <c r="T633" s="19"/>
      <c r="U633" s="24">
        <v>4.7803464590547184E-2</v>
      </c>
      <c r="V633" s="24">
        <f t="shared" si="31"/>
        <v>4.3278205105215184E-2</v>
      </c>
      <c r="W633" s="106">
        <v>4.3278210000000001</v>
      </c>
      <c r="X633" s="106">
        <v>4.3277999999999997E-2</v>
      </c>
      <c r="Y633" s="34">
        <f t="shared" si="29"/>
        <v>-2.0510521518690705E-7</v>
      </c>
    </row>
    <row r="634" spans="15:25" ht="17.100000000000001" customHeight="1">
      <c r="O634" s="12">
        <f t="shared" si="30"/>
        <v>51.75</v>
      </c>
      <c r="P634" s="13">
        <v>621</v>
      </c>
      <c r="Q634" s="22"/>
      <c r="R634" s="19"/>
      <c r="S634" s="22"/>
      <c r="T634" s="19"/>
      <c r="U634" s="24">
        <v>4.7796161782550195E-2</v>
      </c>
      <c r="V634" s="24">
        <f t="shared" si="31"/>
        <v>4.3275361027327097E-2</v>
      </c>
      <c r="W634" s="106">
        <v>4.3275360000000003</v>
      </c>
      <c r="X634" s="106">
        <v>4.3275000000000001E-2</v>
      </c>
      <c r="Y634" s="34">
        <f t="shared" si="29"/>
        <v>-3.6102732709625274E-7</v>
      </c>
    </row>
    <row r="635" spans="15:25" ht="17.100000000000001" customHeight="1">
      <c r="O635" s="12">
        <f t="shared" si="30"/>
        <v>51.833333333333336</v>
      </c>
      <c r="P635" s="13">
        <v>622</v>
      </c>
      <c r="Q635" s="22"/>
      <c r="R635" s="19"/>
      <c r="S635" s="22"/>
      <c r="T635" s="19"/>
      <c r="U635" s="24">
        <v>4.7788877914655581E-2</v>
      </c>
      <c r="V635" s="24">
        <f t="shared" si="31"/>
        <v>4.3272545967016018E-2</v>
      </c>
      <c r="W635" s="106">
        <v>4.3272550000000001</v>
      </c>
      <c r="X635" s="106">
        <v>4.3272999999999999E-2</v>
      </c>
      <c r="Y635" s="34">
        <f t="shared" si="29"/>
        <v>4.540329839805568E-7</v>
      </c>
    </row>
    <row r="636" spans="15:25" ht="17.100000000000001" customHeight="1">
      <c r="O636" s="12">
        <f t="shared" si="30"/>
        <v>51.916666666666664</v>
      </c>
      <c r="P636" s="13">
        <v>623</v>
      </c>
      <c r="Q636" s="22"/>
      <c r="R636" s="19"/>
      <c r="S636" s="22"/>
      <c r="T636" s="19"/>
      <c r="U636" s="24">
        <v>4.7781612942276341E-2</v>
      </c>
      <c r="V636" s="24">
        <f t="shared" si="31"/>
        <v>4.3269759628609572E-2</v>
      </c>
      <c r="W636" s="106">
        <v>4.3269760000000002</v>
      </c>
      <c r="X636" s="106">
        <v>4.3270000000000003E-2</v>
      </c>
      <c r="Y636" s="34">
        <f t="shared" si="29"/>
        <v>2.403713904308713E-7</v>
      </c>
    </row>
    <row r="637" spans="15:25" ht="17.100000000000001" customHeight="1">
      <c r="O637" s="12">
        <f t="shared" si="30"/>
        <v>52</v>
      </c>
      <c r="P637" s="13">
        <v>624</v>
      </c>
      <c r="Q637" s="22"/>
      <c r="R637" s="19"/>
      <c r="S637" s="22"/>
      <c r="T637" s="19"/>
      <c r="U637" s="24">
        <v>4.7774366820635628E-2</v>
      </c>
      <c r="V637" s="24">
        <f t="shared" si="31"/>
        <v>4.3267001720477483E-2</v>
      </c>
      <c r="W637" s="106">
        <v>4.3266999999999998</v>
      </c>
      <c r="X637" s="106">
        <v>4.3267E-2</v>
      </c>
      <c r="Y637" s="34">
        <f t="shared" si="29"/>
        <v>-1.7204774827028757E-9</v>
      </c>
    </row>
    <row r="638" spans="15:25" ht="17.100000000000001" customHeight="1">
      <c r="O638" s="12">
        <f t="shared" si="30"/>
        <v>52.083333333333336</v>
      </c>
      <c r="P638" s="13">
        <v>625</v>
      </c>
      <c r="Q638" s="22"/>
      <c r="R638" s="19"/>
      <c r="S638" s="22"/>
      <c r="T638" s="19"/>
      <c r="U638" s="24">
        <v>4.7767139504774514E-2</v>
      </c>
      <c r="V638" s="24">
        <f t="shared" si="31"/>
        <v>4.3264271953780797E-2</v>
      </c>
      <c r="W638" s="106">
        <v>4.3264269999999998</v>
      </c>
      <c r="X638" s="106">
        <v>4.3263999999999997E-2</v>
      </c>
      <c r="Y638" s="34">
        <f t="shared" si="29"/>
        <v>-2.7195378080047128E-7</v>
      </c>
    </row>
    <row r="639" spans="15:25" ht="17.100000000000001" customHeight="1">
      <c r="O639" s="12">
        <f t="shared" si="30"/>
        <v>52.166666666666664</v>
      </c>
      <c r="P639" s="13">
        <v>626</v>
      </c>
      <c r="Q639" s="22"/>
      <c r="R639" s="19"/>
      <c r="S639" s="22"/>
      <c r="T639" s="19"/>
      <c r="U639" s="24">
        <v>4.7759930949558216E-2</v>
      </c>
      <c r="V639" s="24">
        <f t="shared" si="31"/>
        <v>4.3261570042394837E-2</v>
      </c>
      <c r="W639" s="106">
        <v>4.3261570000000003</v>
      </c>
      <c r="X639" s="106">
        <v>4.3262000000000002E-2</v>
      </c>
      <c r="Y639" s="34">
        <f t="shared" si="29"/>
        <v>4.2995760516501003E-7</v>
      </c>
    </row>
    <row r="640" spans="15:25" ht="17.100000000000001" customHeight="1">
      <c r="O640" s="12">
        <f t="shared" si="30"/>
        <v>52.25</v>
      </c>
      <c r="P640" s="13">
        <v>627</v>
      </c>
      <c r="Q640" s="22"/>
      <c r="R640" s="19"/>
      <c r="S640" s="22"/>
      <c r="T640" s="19"/>
      <c r="U640" s="24">
        <v>4.775274110968164E-2</v>
      </c>
      <c r="V640" s="24">
        <f t="shared" si="31"/>
        <v>4.3258895703176758E-2</v>
      </c>
      <c r="W640" s="106">
        <v>4.3258900000000002</v>
      </c>
      <c r="X640" s="106">
        <v>4.3258999999999999E-2</v>
      </c>
      <c r="Y640" s="34">
        <f t="shared" si="29"/>
        <v>1.0429682324036849E-7</v>
      </c>
    </row>
    <row r="641" spans="15:25" ht="17.100000000000001" customHeight="1">
      <c r="O641" s="12">
        <f t="shared" si="30"/>
        <v>52.333333333333336</v>
      </c>
      <c r="P641" s="13">
        <v>628</v>
      </c>
      <c r="Q641" s="22"/>
      <c r="R641" s="19"/>
      <c r="S641" s="22"/>
      <c r="T641" s="19"/>
      <c r="U641" s="24">
        <v>4.7745569939675603E-2</v>
      </c>
      <c r="V641" s="24">
        <f t="shared" si="31"/>
        <v>4.3256248655463514E-2</v>
      </c>
      <c r="W641" s="106">
        <v>4.3256249999999996</v>
      </c>
      <c r="X641" s="106">
        <v>4.3256000000000003E-2</v>
      </c>
      <c r="Y641" s="34">
        <f t="shared" si="29"/>
        <v>-2.4865546351116041E-7</v>
      </c>
    </row>
    <row r="642" spans="15:25" ht="17.100000000000001" customHeight="1">
      <c r="O642" s="12">
        <f t="shared" si="30"/>
        <v>52.416666666666664</v>
      </c>
      <c r="P642" s="13">
        <v>629</v>
      </c>
      <c r="Q642" s="22"/>
      <c r="R642" s="19"/>
      <c r="S642" s="22"/>
      <c r="T642" s="19"/>
      <c r="U642" s="24">
        <v>4.7738417393911936E-2</v>
      </c>
      <c r="V642" s="24">
        <f t="shared" si="31"/>
        <v>4.3253628622357931E-2</v>
      </c>
      <c r="W642" s="106">
        <v>4.3253630000000003</v>
      </c>
      <c r="X642" s="106">
        <v>4.3254000000000001E-2</v>
      </c>
      <c r="Y642" s="34">
        <f t="shared" si="29"/>
        <v>3.7137764206940371E-7</v>
      </c>
    </row>
    <row r="643" spans="15:25" ht="17.100000000000001" customHeight="1">
      <c r="O643" s="12">
        <f t="shared" si="30"/>
        <v>52.5</v>
      </c>
      <c r="P643" s="13">
        <v>630</v>
      </c>
      <c r="Q643" s="22"/>
      <c r="R643" s="19"/>
      <c r="S643" s="22"/>
      <c r="T643" s="19"/>
      <c r="U643" s="24">
        <v>4.773128342661126E-2</v>
      </c>
      <c r="V643" s="24">
        <f t="shared" si="31"/>
        <v>4.3251035328850218E-2</v>
      </c>
      <c r="W643" s="106">
        <v>4.3251039999999996</v>
      </c>
      <c r="X643" s="106">
        <v>4.3250999999999998E-2</v>
      </c>
      <c r="Y643" s="34">
        <f t="shared" si="29"/>
        <v>-3.5328850220284203E-8</v>
      </c>
    </row>
    <row r="644" spans="15:25" ht="17.100000000000001" customHeight="1">
      <c r="O644" s="12">
        <f t="shared" si="30"/>
        <v>52.583333333333336</v>
      </c>
      <c r="P644" s="13">
        <v>631</v>
      </c>
      <c r="Q644" s="22"/>
      <c r="R644" s="19"/>
      <c r="S644" s="22"/>
      <c r="T644" s="19"/>
      <c r="U644" s="24">
        <v>4.7724167991846311E-2</v>
      </c>
      <c r="V644" s="24">
        <f t="shared" si="31"/>
        <v>4.3248468503234827E-2</v>
      </c>
      <c r="W644" s="106">
        <v>4.3248470000000001</v>
      </c>
      <c r="X644" s="106">
        <v>4.3248000000000002E-2</v>
      </c>
      <c r="Y644" s="34">
        <f t="shared" si="29"/>
        <v>-4.6850323482533485E-7</v>
      </c>
    </row>
    <row r="645" spans="15:25" ht="17.100000000000001" customHeight="1">
      <c r="O645" s="12">
        <f t="shared" si="30"/>
        <v>52.666666666666664</v>
      </c>
      <c r="P645" s="13">
        <v>632</v>
      </c>
      <c r="Q645" s="22"/>
      <c r="R645" s="19"/>
      <c r="S645" s="22"/>
      <c r="T645" s="19"/>
      <c r="U645" s="24">
        <v>4.7717071043549275E-2</v>
      </c>
      <c r="V645" s="24">
        <f t="shared" si="31"/>
        <v>4.3245927875969148E-2</v>
      </c>
      <c r="W645" s="106">
        <v>4.3245930000000001</v>
      </c>
      <c r="X645" s="106">
        <v>4.3246E-2</v>
      </c>
      <c r="Y645" s="34">
        <f t="shared" si="29"/>
        <v>7.2124030851827836E-8</v>
      </c>
    </row>
    <row r="646" spans="15:25" ht="17.100000000000001" customHeight="1">
      <c r="O646" s="12">
        <f t="shared" si="30"/>
        <v>52.75</v>
      </c>
      <c r="P646" s="13">
        <v>633</v>
      </c>
      <c r="Q646" s="22"/>
      <c r="R646" s="19"/>
      <c r="S646" s="22"/>
      <c r="T646" s="19"/>
      <c r="U646" s="24">
        <v>4.7709992535515777E-2</v>
      </c>
      <c r="V646" s="24">
        <f t="shared" si="31"/>
        <v>4.3243413180966916E-2</v>
      </c>
      <c r="W646" s="106">
        <v>4.3243410000000004</v>
      </c>
      <c r="X646" s="106">
        <v>4.3242999999999997E-2</v>
      </c>
      <c r="Y646" s="34">
        <f t="shared" si="29"/>
        <v>-4.1318096691972395E-7</v>
      </c>
    </row>
    <row r="647" spans="15:25" ht="17.100000000000001" customHeight="1">
      <c r="O647" s="12">
        <f t="shared" si="30"/>
        <v>52.833333333333336</v>
      </c>
      <c r="P647" s="13">
        <v>634</v>
      </c>
      <c r="Q647" s="22"/>
      <c r="R647" s="19"/>
      <c r="S647" s="22"/>
      <c r="T647" s="19"/>
      <c r="U647" s="24">
        <v>4.770293242141177E-2</v>
      </c>
      <c r="V647" s="24">
        <f t="shared" si="31"/>
        <v>4.3240924154551053E-2</v>
      </c>
      <c r="W647" s="106">
        <v>4.3240920000000003</v>
      </c>
      <c r="X647" s="106">
        <v>4.3241000000000002E-2</v>
      </c>
      <c r="Y647" s="34">
        <f t="shared" si="29"/>
        <v>7.5845448949118932E-8</v>
      </c>
    </row>
    <row r="648" spans="15:25" ht="17.100000000000001" customHeight="1">
      <c r="O648" s="12">
        <f t="shared" si="30"/>
        <v>52.916666666666664</v>
      </c>
      <c r="P648" s="13">
        <v>635</v>
      </c>
      <c r="Q648" s="22"/>
      <c r="R648" s="19"/>
      <c r="S648" s="22"/>
      <c r="T648" s="19"/>
      <c r="U648" s="24">
        <v>4.7695890654777973E-2</v>
      </c>
      <c r="V648" s="24">
        <f t="shared" si="31"/>
        <v>4.3238460535216072E-2</v>
      </c>
      <c r="W648" s="106">
        <v>4.3238459999999996</v>
      </c>
      <c r="X648" s="106">
        <v>4.3237999999999999E-2</v>
      </c>
      <c r="Y648" s="34">
        <f t="shared" si="29"/>
        <v>-4.6053521607358761E-7</v>
      </c>
    </row>
    <row r="649" spans="15:25" ht="17.100000000000001" customHeight="1">
      <c r="O649" s="12">
        <f t="shared" si="30"/>
        <v>53</v>
      </c>
      <c r="P649" s="13">
        <v>636</v>
      </c>
      <c r="Q649" s="22"/>
      <c r="R649" s="19"/>
      <c r="S649" s="22"/>
      <c r="T649" s="19"/>
      <c r="U649" s="24">
        <v>4.7688867189034978E-2</v>
      </c>
      <c r="V649" s="24">
        <f t="shared" si="31"/>
        <v>4.323602206498367E-2</v>
      </c>
      <c r="W649" s="106">
        <v>4.3236020000000002</v>
      </c>
      <c r="X649" s="106">
        <v>4.3235999999999997E-2</v>
      </c>
      <c r="Y649" s="34">
        <f t="shared" si="29"/>
        <v>-2.2064983673519833E-8</v>
      </c>
    </row>
    <row r="650" spans="15:25" ht="17.100000000000001" customHeight="1">
      <c r="O650" s="12">
        <f t="shared" si="30"/>
        <v>53.083333333333336</v>
      </c>
      <c r="P650" s="13">
        <v>637</v>
      </c>
      <c r="Q650" s="22"/>
      <c r="R650" s="19"/>
      <c r="S650" s="22"/>
      <c r="T650" s="19"/>
      <c r="U650" s="24">
        <v>4.7681861977488582E-2</v>
      </c>
      <c r="V650" s="24">
        <f t="shared" si="31"/>
        <v>4.3233608487598607E-2</v>
      </c>
      <c r="W650" s="106">
        <v>4.3233610000000002</v>
      </c>
      <c r="X650" s="106">
        <v>4.3234000000000002E-2</v>
      </c>
      <c r="Y650" s="34">
        <f t="shared" si="29"/>
        <v>3.9151240139451149E-7</v>
      </c>
    </row>
    <row r="651" spans="15:25" ht="17.100000000000001" customHeight="1">
      <c r="O651" s="12">
        <f t="shared" si="30"/>
        <v>53.166666666666664</v>
      </c>
      <c r="P651" s="13">
        <v>638</v>
      </c>
      <c r="Q651" s="22"/>
      <c r="R651" s="19"/>
      <c r="S651" s="22"/>
      <c r="T651" s="19"/>
      <c r="U651" s="24">
        <v>4.7674874973334891E-2</v>
      </c>
      <c r="V651" s="24">
        <f t="shared" si="31"/>
        <v>4.3231219550090128E-2</v>
      </c>
      <c r="W651" s="106">
        <v>4.3231219999999997</v>
      </c>
      <c r="X651" s="106">
        <v>4.3230999999999999E-2</v>
      </c>
      <c r="Y651" s="34">
        <f t="shared" si="29"/>
        <v>-2.1955009012891713E-7</v>
      </c>
    </row>
    <row r="652" spans="15:25" ht="17.100000000000001" customHeight="1">
      <c r="O652" s="12">
        <f t="shared" si="30"/>
        <v>53.25</v>
      </c>
      <c r="P652" s="13">
        <v>639</v>
      </c>
      <c r="Q652" s="22"/>
      <c r="R652" s="19"/>
      <c r="S652" s="22"/>
      <c r="T652" s="19"/>
      <c r="U652" s="24">
        <v>4.7667906129665205E-2</v>
      </c>
      <c r="V652" s="24">
        <f t="shared" si="31"/>
        <v>4.3228855001681499E-2</v>
      </c>
      <c r="W652" s="106">
        <v>4.3228859999999996</v>
      </c>
      <c r="X652" s="106">
        <v>4.3228999999999997E-2</v>
      </c>
      <c r="Y652" s="34">
        <f t="shared" si="29"/>
        <v>1.449983184978465E-7</v>
      </c>
    </row>
    <row r="653" spans="15:25" ht="17.100000000000001" customHeight="1">
      <c r="O653" s="12">
        <f t="shared" si="30"/>
        <v>53.333333333333336</v>
      </c>
      <c r="P653" s="13">
        <v>640</v>
      </c>
      <c r="Q653" s="22"/>
      <c r="R653" s="19"/>
      <c r="S653" s="22"/>
      <c r="T653" s="19"/>
      <c r="U653" s="24">
        <v>4.7660955399470684E-2</v>
      </c>
      <c r="V653" s="24">
        <f t="shared" si="31"/>
        <v>4.3226514594148835E-2</v>
      </c>
      <c r="W653" s="106">
        <v>4.3226509999999996</v>
      </c>
      <c r="X653" s="106">
        <v>4.3227000000000002E-2</v>
      </c>
      <c r="Y653" s="34">
        <f t="shared" ref="Y653:Y716" si="32">X653-V653</f>
        <v>4.8540585116663149E-7</v>
      </c>
    </row>
    <row r="654" spans="15:25" ht="17.100000000000001" customHeight="1">
      <c r="O654" s="12">
        <f t="shared" ref="O654:O717" si="33">P654/12</f>
        <v>53.416666666666664</v>
      </c>
      <c r="P654" s="13">
        <v>641</v>
      </c>
      <c r="Q654" s="22"/>
      <c r="R654" s="19"/>
      <c r="S654" s="22"/>
      <c r="T654" s="19"/>
      <c r="U654" s="24">
        <v>4.7654022735647228E-2</v>
      </c>
      <c r="V654" s="24">
        <f t="shared" ref="V654:V717" si="34">(1+U655)^P655/(1+U654)^P654-1</f>
        <v>4.3224198081896814E-2</v>
      </c>
      <c r="W654" s="106">
        <v>4.3224200000000002</v>
      </c>
      <c r="X654" s="106">
        <v>4.3223999999999999E-2</v>
      </c>
      <c r="Y654" s="34">
        <f t="shared" si="32"/>
        <v>-1.9808189681558286E-7</v>
      </c>
    </row>
    <row r="655" spans="15:25" ht="17.100000000000001" customHeight="1">
      <c r="O655" s="12">
        <f t="shared" si="33"/>
        <v>53.5</v>
      </c>
      <c r="P655" s="13">
        <v>642</v>
      </c>
      <c r="Q655" s="22"/>
      <c r="R655" s="19"/>
      <c r="S655" s="22"/>
      <c r="T655" s="19"/>
      <c r="U655" s="24">
        <v>4.7647108091000145E-2</v>
      </c>
      <c r="V655" s="24">
        <f t="shared" si="34"/>
        <v>4.3221905221805468E-2</v>
      </c>
      <c r="W655" s="106">
        <v>4.3221910000000001</v>
      </c>
      <c r="X655" s="106">
        <v>4.3221999999999997E-2</v>
      </c>
      <c r="Y655" s="34">
        <f t="shared" si="32"/>
        <v>9.4778194528744031E-8</v>
      </c>
    </row>
    <row r="656" spans="15:25" ht="17.100000000000001" customHeight="1">
      <c r="O656" s="12">
        <f t="shared" si="33"/>
        <v>53.583333333333336</v>
      </c>
      <c r="P656" s="13">
        <v>643</v>
      </c>
      <c r="Q656" s="22"/>
      <c r="R656" s="19"/>
      <c r="S656" s="22"/>
      <c r="T656" s="19"/>
      <c r="U656" s="24">
        <v>4.7640211418249034E-2</v>
      </c>
      <c r="V656" s="24">
        <f t="shared" si="34"/>
        <v>4.3219635772937082E-2</v>
      </c>
      <c r="W656" s="106">
        <v>4.3219640000000004</v>
      </c>
      <c r="X656" s="106">
        <v>4.3220000000000001E-2</v>
      </c>
      <c r="Y656" s="34">
        <f t="shared" si="32"/>
        <v>3.6422706291977525E-7</v>
      </c>
    </row>
    <row r="657" spans="15:25" ht="17.100000000000001" customHeight="1">
      <c r="O657" s="12">
        <f t="shared" si="33"/>
        <v>53.666666666666664</v>
      </c>
      <c r="P657" s="13">
        <v>644</v>
      </c>
      <c r="Q657" s="22"/>
      <c r="R657" s="19"/>
      <c r="S657" s="22"/>
      <c r="T657" s="19"/>
      <c r="U657" s="24">
        <v>4.7633332670031336E-2</v>
      </c>
      <c r="V657" s="24">
        <f t="shared" si="34"/>
        <v>4.3217389497243186E-2</v>
      </c>
      <c r="W657" s="106">
        <v>4.321739</v>
      </c>
      <c r="X657" s="106">
        <v>4.3216999999999998E-2</v>
      </c>
      <c r="Y657" s="34">
        <f t="shared" si="32"/>
        <v>-3.8949724318754209E-7</v>
      </c>
    </row>
    <row r="658" spans="15:25" ht="17.100000000000001" customHeight="1">
      <c r="O658" s="12">
        <f t="shared" si="33"/>
        <v>53.75</v>
      </c>
      <c r="P658" s="13">
        <v>645</v>
      </c>
      <c r="Q658" s="22"/>
      <c r="R658" s="19"/>
      <c r="S658" s="22"/>
      <c r="T658" s="19"/>
      <c r="U658" s="24">
        <v>4.7626471798907888E-2</v>
      </c>
      <c r="V658" s="24">
        <f t="shared" si="34"/>
        <v>4.321516615889931E-2</v>
      </c>
      <c r="W658" s="106">
        <v>4.3215170000000001</v>
      </c>
      <c r="X658" s="106">
        <v>4.3215000000000003E-2</v>
      </c>
      <c r="Y658" s="34">
        <f t="shared" si="32"/>
        <v>-1.6615889930626793E-7</v>
      </c>
    </row>
    <row r="659" spans="15:25" ht="17.100000000000001" customHeight="1">
      <c r="O659" s="12">
        <f t="shared" si="33"/>
        <v>53.833333333333336</v>
      </c>
      <c r="P659" s="13">
        <v>646</v>
      </c>
      <c r="Q659" s="22"/>
      <c r="R659" s="19"/>
      <c r="S659" s="22"/>
      <c r="T659" s="19"/>
      <c r="U659" s="24">
        <v>4.7619628757366916E-2</v>
      </c>
      <c r="V659" s="24">
        <f t="shared" si="34"/>
        <v>4.3212965524223268E-2</v>
      </c>
      <c r="W659" s="106">
        <v>4.3212970000000004</v>
      </c>
      <c r="X659" s="106">
        <v>4.3213000000000001E-2</v>
      </c>
      <c r="Y659" s="34">
        <f t="shared" si="32"/>
        <v>3.4475776733433605E-8</v>
      </c>
    </row>
    <row r="660" spans="15:25" ht="17.100000000000001" customHeight="1">
      <c r="O660" s="12">
        <f t="shared" si="33"/>
        <v>53.916666666666664</v>
      </c>
      <c r="P660" s="13">
        <v>647</v>
      </c>
      <c r="Q660" s="22"/>
      <c r="R660" s="19"/>
      <c r="S660" s="22"/>
      <c r="T660" s="19"/>
      <c r="U660" s="24">
        <v>4.7612803497828038E-2</v>
      </c>
      <c r="V660" s="24">
        <f t="shared" si="34"/>
        <v>4.3210787362126579E-2</v>
      </c>
      <c r="W660" s="106">
        <v>4.3210790000000001</v>
      </c>
      <c r="X660" s="106">
        <v>4.3210999999999999E-2</v>
      </c>
      <c r="Y660" s="34">
        <f t="shared" si="32"/>
        <v>2.1263787342018503E-7</v>
      </c>
    </row>
    <row r="661" spans="15:25" ht="17.100000000000001" customHeight="1">
      <c r="O661" s="12">
        <f t="shared" si="33"/>
        <v>54</v>
      </c>
      <c r="P661" s="13">
        <v>648</v>
      </c>
      <c r="Q661" s="22"/>
      <c r="R661" s="19"/>
      <c r="S661" s="22"/>
      <c r="T661" s="19"/>
      <c r="U661" s="24">
        <v>4.7605995972646253E-2</v>
      </c>
      <c r="V661" s="24">
        <f t="shared" si="34"/>
        <v>4.3208631443799161E-2</v>
      </c>
      <c r="W661" s="106">
        <v>4.3208630000000001</v>
      </c>
      <c r="X661" s="106">
        <v>4.3208999999999997E-2</v>
      </c>
      <c r="Y661" s="34">
        <f t="shared" si="32"/>
        <v>3.6855620083597884E-7</v>
      </c>
    </row>
    <row r="662" spans="15:25" ht="17.100000000000001" customHeight="1">
      <c r="O662" s="12">
        <f t="shared" si="33"/>
        <v>54.083333333333336</v>
      </c>
      <c r="P662" s="13">
        <v>649</v>
      </c>
      <c r="Q662" s="22"/>
      <c r="R662" s="19"/>
      <c r="S662" s="22"/>
      <c r="T662" s="19"/>
      <c r="U662" s="24">
        <v>4.7599206134116834E-2</v>
      </c>
      <c r="V662" s="24">
        <f t="shared" si="34"/>
        <v>4.3206497543075706E-2</v>
      </c>
      <c r="W662" s="106">
        <v>4.3206499999999997</v>
      </c>
      <c r="X662" s="106">
        <v>4.3206000000000001E-2</v>
      </c>
      <c r="Y662" s="34">
        <f t="shared" si="32"/>
        <v>-4.9754307570454293E-7</v>
      </c>
    </row>
    <row r="663" spans="15:25" ht="17.100000000000001" customHeight="1">
      <c r="O663" s="12">
        <f t="shared" si="33"/>
        <v>54.166666666666664</v>
      </c>
      <c r="P663" s="13">
        <v>650</v>
      </c>
      <c r="Q663" s="22"/>
      <c r="R663" s="19"/>
      <c r="S663" s="22"/>
      <c r="T663" s="19"/>
      <c r="U663" s="24">
        <v>4.7592433934479095E-2</v>
      </c>
      <c r="V663" s="24">
        <f t="shared" si="34"/>
        <v>4.3204385435562598E-2</v>
      </c>
      <c r="W663" s="106">
        <v>4.3204390000000004</v>
      </c>
      <c r="X663" s="106">
        <v>4.3203999999999999E-2</v>
      </c>
      <c r="Y663" s="34">
        <f t="shared" si="32"/>
        <v>-3.8543556259845735E-7</v>
      </c>
    </row>
    <row r="664" spans="15:25" ht="17.100000000000001" customHeight="1">
      <c r="O664" s="12">
        <f t="shared" si="33"/>
        <v>54.25</v>
      </c>
      <c r="P664" s="13">
        <v>651</v>
      </c>
      <c r="Q664" s="22"/>
      <c r="R664" s="19"/>
      <c r="S664" s="22"/>
      <c r="T664" s="19"/>
      <c r="U664" s="24">
        <v>4.758567932591995E-2</v>
      </c>
      <c r="V664" s="24">
        <f t="shared" si="34"/>
        <v>4.3202294899058691E-2</v>
      </c>
      <c r="W664" s="106">
        <v>4.3202290000000003</v>
      </c>
      <c r="X664" s="106">
        <v>4.3201999999999997E-2</v>
      </c>
      <c r="Y664" s="34">
        <f t="shared" si="32"/>
        <v>-2.9489905869345412E-7</v>
      </c>
    </row>
    <row r="665" spans="15:25" ht="17.100000000000001" customHeight="1">
      <c r="O665" s="12">
        <f t="shared" si="33"/>
        <v>54.333333333333336</v>
      </c>
      <c r="P665" s="13">
        <v>652</v>
      </c>
      <c r="Q665" s="22"/>
      <c r="R665" s="19"/>
      <c r="S665" s="22"/>
      <c r="T665" s="19"/>
      <c r="U665" s="24">
        <v>4.7578942260577906E-2</v>
      </c>
      <c r="V665" s="24">
        <f t="shared" si="34"/>
        <v>4.3200225714488116E-2</v>
      </c>
      <c r="W665" s="106">
        <v>4.3200229999999999</v>
      </c>
      <c r="X665" s="106">
        <v>4.3200000000000002E-2</v>
      </c>
      <c r="Y665" s="34">
        <f t="shared" si="32"/>
        <v>-2.2571448811403716E-7</v>
      </c>
    </row>
    <row r="666" spans="15:25" ht="17.100000000000001" customHeight="1">
      <c r="O666" s="12">
        <f t="shared" si="33"/>
        <v>54.416666666666664</v>
      </c>
      <c r="P666" s="13">
        <v>653</v>
      </c>
      <c r="Q666" s="22"/>
      <c r="R666" s="19"/>
      <c r="S666" s="22"/>
      <c r="T666" s="19"/>
      <c r="U666" s="24">
        <v>4.7572222690547505E-2</v>
      </c>
      <c r="V666" s="24">
        <f t="shared" si="34"/>
        <v>4.3198177663856585E-2</v>
      </c>
      <c r="W666" s="106">
        <v>4.3198179999999997</v>
      </c>
      <c r="X666" s="106">
        <v>4.3198E-2</v>
      </c>
      <c r="Y666" s="34">
        <f t="shared" si="32"/>
        <v>-1.7766385658479766E-7</v>
      </c>
    </row>
    <row r="667" spans="15:25" ht="17.100000000000001" customHeight="1">
      <c r="O667" s="12">
        <f t="shared" si="33"/>
        <v>54.5</v>
      </c>
      <c r="P667" s="13">
        <v>654</v>
      </c>
      <c r="Q667" s="22"/>
      <c r="R667" s="19"/>
      <c r="S667" s="22"/>
      <c r="T667" s="19"/>
      <c r="U667" s="24">
        <v>4.7565520567882213E-2</v>
      </c>
      <c r="V667" s="24">
        <f t="shared" si="34"/>
        <v>4.3196150532379463E-2</v>
      </c>
      <c r="W667" s="106">
        <v>4.3196149999999998</v>
      </c>
      <c r="X667" s="106">
        <v>4.3195999999999998E-2</v>
      </c>
      <c r="Y667" s="34">
        <f t="shared" si="32"/>
        <v>-1.5053237946427434E-7</v>
      </c>
    </row>
    <row r="668" spans="15:25" ht="17.100000000000001" customHeight="1">
      <c r="O668" s="12">
        <f t="shared" si="33"/>
        <v>54.583333333333336</v>
      </c>
      <c r="P668" s="13">
        <v>655</v>
      </c>
      <c r="Q668" s="22"/>
      <c r="R668" s="19"/>
      <c r="S668" s="22"/>
      <c r="T668" s="19"/>
      <c r="U668" s="24">
        <v>4.7558835844599079E-2</v>
      </c>
      <c r="V668" s="24">
        <f t="shared" si="34"/>
        <v>4.3194144106652121E-2</v>
      </c>
      <c r="W668" s="106">
        <v>4.3194140000000001</v>
      </c>
      <c r="X668" s="106">
        <v>4.3194000000000003E-2</v>
      </c>
      <c r="Y668" s="34">
        <f t="shared" si="32"/>
        <v>-1.4410665211822549E-7</v>
      </c>
    </row>
    <row r="669" spans="15:25" ht="17.100000000000001" customHeight="1">
      <c r="O669" s="12">
        <f t="shared" si="33"/>
        <v>54.666666666666664</v>
      </c>
      <c r="P669" s="13">
        <v>656</v>
      </c>
      <c r="Q669" s="22"/>
      <c r="R669" s="19"/>
      <c r="S669" s="22"/>
      <c r="T669" s="19"/>
      <c r="U669" s="24">
        <v>4.7552168472681178E-2</v>
      </c>
      <c r="V669" s="24">
        <f t="shared" si="34"/>
        <v>4.319215817584543E-2</v>
      </c>
      <c r="W669" s="106">
        <v>4.3192159999999999</v>
      </c>
      <c r="X669" s="106">
        <v>4.3192000000000001E-2</v>
      </c>
      <c r="Y669" s="34">
        <f t="shared" si="32"/>
        <v>-1.5817584542859864E-7</v>
      </c>
    </row>
    <row r="670" spans="15:25" ht="17.100000000000001" customHeight="1">
      <c r="O670" s="12">
        <f t="shared" si="33"/>
        <v>54.75</v>
      </c>
      <c r="P670" s="13">
        <v>657</v>
      </c>
      <c r="Q670" s="22"/>
      <c r="R670" s="19"/>
      <c r="S670" s="22"/>
      <c r="T670" s="19"/>
      <c r="U670" s="24">
        <v>4.7545518404082054E-2</v>
      </c>
      <c r="V670" s="24">
        <f t="shared" si="34"/>
        <v>4.3190192531613381E-2</v>
      </c>
      <c r="W670" s="106">
        <v>4.3190189999999999</v>
      </c>
      <c r="X670" s="106">
        <v>4.3189999999999999E-2</v>
      </c>
      <c r="Y670" s="34">
        <f t="shared" si="32"/>
        <v>-1.925316133813415E-7</v>
      </c>
    </row>
    <row r="671" spans="15:25" ht="17.100000000000001" customHeight="1">
      <c r="O671" s="12">
        <f t="shared" si="33"/>
        <v>54.833333333333336</v>
      </c>
      <c r="P671" s="13">
        <v>658</v>
      </c>
      <c r="Q671" s="22"/>
      <c r="R671" s="19"/>
      <c r="S671" s="22"/>
      <c r="T671" s="19"/>
      <c r="U671" s="24">
        <v>4.7538885590729718E-2</v>
      </c>
      <c r="V671" s="24">
        <f t="shared" si="34"/>
        <v>4.3188246966668009E-2</v>
      </c>
      <c r="W671" s="106">
        <v>4.3188250000000004</v>
      </c>
      <c r="X671" s="106">
        <v>4.3187999999999997E-2</v>
      </c>
      <c r="Y671" s="34">
        <f t="shared" si="32"/>
        <v>-2.4696666801188316E-7</v>
      </c>
    </row>
    <row r="672" spans="15:25" ht="17.100000000000001" customHeight="1">
      <c r="O672" s="12">
        <f t="shared" si="33"/>
        <v>54.916666666666664</v>
      </c>
      <c r="P672" s="13">
        <v>659</v>
      </c>
      <c r="Q672" s="22"/>
      <c r="R672" s="19"/>
      <c r="S672" s="22"/>
      <c r="T672" s="19"/>
      <c r="U672" s="24">
        <v>4.7532269984527975E-2</v>
      </c>
      <c r="V672" s="24">
        <f t="shared" si="34"/>
        <v>4.3186321276680983E-2</v>
      </c>
      <c r="W672" s="106">
        <v>4.318632</v>
      </c>
      <c r="X672" s="106">
        <v>4.3186000000000002E-2</v>
      </c>
      <c r="Y672" s="34">
        <f t="shared" si="32"/>
        <v>-3.2127668098125284E-7</v>
      </c>
    </row>
    <row r="673" spans="15:25" ht="17.100000000000001" customHeight="1">
      <c r="O673" s="12">
        <f t="shared" si="33"/>
        <v>55</v>
      </c>
      <c r="P673" s="13">
        <v>660</v>
      </c>
      <c r="Q673" s="22"/>
      <c r="R673" s="19"/>
      <c r="S673" s="22"/>
      <c r="T673" s="19"/>
      <c r="U673" s="24">
        <v>4.752567153736198E-2</v>
      </c>
      <c r="V673" s="24">
        <f t="shared" si="34"/>
        <v>4.3184415259433617E-2</v>
      </c>
      <c r="W673" s="106">
        <v>4.3184420000000001</v>
      </c>
      <c r="X673" s="106">
        <v>4.3184E-2</v>
      </c>
      <c r="Y673" s="34">
        <f t="shared" si="32"/>
        <v>-4.1525943361708784E-7</v>
      </c>
    </row>
    <row r="674" spans="15:25" ht="17.100000000000001" customHeight="1">
      <c r="O674" s="12">
        <f t="shared" si="33"/>
        <v>55.083333333333336</v>
      </c>
      <c r="P674" s="13">
        <v>661</v>
      </c>
      <c r="Q674" s="22"/>
      <c r="R674" s="19"/>
      <c r="S674" s="22"/>
      <c r="T674" s="19"/>
      <c r="U674" s="24">
        <v>4.7519090201100678E-2</v>
      </c>
      <c r="V674" s="24">
        <f t="shared" si="34"/>
        <v>4.3182528714205137E-2</v>
      </c>
      <c r="W674" s="106">
        <v>4.3182530000000003</v>
      </c>
      <c r="X674" s="106">
        <v>4.3182999999999999E-2</v>
      </c>
      <c r="Y674" s="34">
        <f t="shared" si="32"/>
        <v>4.7128579486188649E-7</v>
      </c>
    </row>
    <row r="675" spans="15:25" ht="17.100000000000001" customHeight="1">
      <c r="O675" s="12">
        <f t="shared" si="33"/>
        <v>55.166666666666664</v>
      </c>
      <c r="P675" s="13">
        <v>662</v>
      </c>
      <c r="Q675" s="22"/>
      <c r="R675" s="19"/>
      <c r="S675" s="22"/>
      <c r="T675" s="19"/>
      <c r="U675" s="24">
        <v>4.7512525927599913E-2</v>
      </c>
      <c r="V675" s="24">
        <f t="shared" si="34"/>
        <v>4.3180661442890234E-2</v>
      </c>
      <c r="W675" s="106">
        <v>4.318066</v>
      </c>
      <c r="X675" s="106">
        <v>4.3180999999999997E-2</v>
      </c>
      <c r="Y675" s="34">
        <f t="shared" si="32"/>
        <v>3.385571097636042E-7</v>
      </c>
    </row>
    <row r="676" spans="15:25" ht="17.100000000000001" customHeight="1">
      <c r="O676" s="12">
        <f t="shared" si="33"/>
        <v>55.25</v>
      </c>
      <c r="P676" s="13">
        <v>663</v>
      </c>
      <c r="Q676" s="22"/>
      <c r="R676" s="19"/>
      <c r="S676" s="22"/>
      <c r="T676" s="19"/>
      <c r="U676" s="24">
        <v>4.7505978668705984E-2</v>
      </c>
      <c r="V676" s="24">
        <f t="shared" si="34"/>
        <v>4.317881324843853E-2</v>
      </c>
      <c r="W676" s="106">
        <v>4.3178809999999999</v>
      </c>
      <c r="X676" s="106">
        <v>4.3179000000000002E-2</v>
      </c>
      <c r="Y676" s="34">
        <f t="shared" si="32"/>
        <v>1.8675156147202054E-7</v>
      </c>
    </row>
    <row r="677" spans="15:25" ht="17.100000000000001" customHeight="1">
      <c r="O677" s="12">
        <f t="shared" si="33"/>
        <v>55.333333333333336</v>
      </c>
      <c r="P677" s="13">
        <v>664</v>
      </c>
      <c r="Q677" s="22"/>
      <c r="R677" s="19"/>
      <c r="S677" s="22"/>
      <c r="T677" s="19"/>
      <c r="U677" s="24">
        <v>4.7499448376257636E-2</v>
      </c>
      <c r="V677" s="24">
        <f t="shared" si="34"/>
        <v>4.3176983937329716E-2</v>
      </c>
      <c r="W677" s="106">
        <v>4.317698</v>
      </c>
      <c r="X677" s="106">
        <v>4.3177E-2</v>
      </c>
      <c r="Y677" s="34">
        <f t="shared" si="32"/>
        <v>1.6062670284144875E-8</v>
      </c>
    </row>
    <row r="678" spans="15:25" ht="17.100000000000001" customHeight="1">
      <c r="O678" s="12">
        <f t="shared" si="33"/>
        <v>55.416666666666664</v>
      </c>
      <c r="P678" s="13">
        <v>665</v>
      </c>
      <c r="Q678" s="22"/>
      <c r="R678" s="19"/>
      <c r="S678" s="22"/>
      <c r="T678" s="19"/>
      <c r="U678" s="24">
        <v>4.7492935002091397E-2</v>
      </c>
      <c r="V678" s="24">
        <f t="shared" si="34"/>
        <v>4.3175173316617466E-2</v>
      </c>
      <c r="W678" s="106">
        <v>4.3175169999999996</v>
      </c>
      <c r="X678" s="106">
        <v>4.3174999999999998E-2</v>
      </c>
      <c r="Y678" s="34">
        <f t="shared" si="32"/>
        <v>-1.7331661746750049E-7</v>
      </c>
    </row>
    <row r="679" spans="15:25" ht="17.100000000000001" customHeight="1">
      <c r="O679" s="12">
        <f t="shared" si="33"/>
        <v>55.5</v>
      </c>
      <c r="P679" s="13">
        <v>666</v>
      </c>
      <c r="Q679" s="22"/>
      <c r="R679" s="19"/>
      <c r="S679" s="22"/>
      <c r="T679" s="19"/>
      <c r="U679" s="24">
        <v>4.7486438498042238E-2</v>
      </c>
      <c r="V679" s="24">
        <f t="shared" si="34"/>
        <v>4.3173381195545701E-2</v>
      </c>
      <c r="W679" s="106">
        <v>4.3173380000000003</v>
      </c>
      <c r="X679" s="106">
        <v>4.3173000000000003E-2</v>
      </c>
      <c r="Y679" s="34">
        <f t="shared" si="32"/>
        <v>-3.8119554569837621E-7</v>
      </c>
    </row>
    <row r="680" spans="15:25" ht="17.100000000000001" customHeight="1">
      <c r="O680" s="12">
        <f t="shared" si="33"/>
        <v>55.583333333333336</v>
      </c>
      <c r="P680" s="13">
        <v>667</v>
      </c>
      <c r="Q680" s="22"/>
      <c r="R680" s="19"/>
      <c r="S680" s="22"/>
      <c r="T680" s="19"/>
      <c r="U680" s="24">
        <v>4.7479958815947354E-2</v>
      </c>
      <c r="V680" s="24">
        <f t="shared" si="34"/>
        <v>4.317160738639414E-2</v>
      </c>
      <c r="W680" s="106">
        <v>4.3171609999999996</v>
      </c>
      <c r="X680" s="106">
        <v>4.3172000000000002E-2</v>
      </c>
      <c r="Y680" s="34">
        <f t="shared" si="32"/>
        <v>3.926136058624019E-7</v>
      </c>
    </row>
    <row r="681" spans="15:25" ht="17.100000000000001" customHeight="1">
      <c r="O681" s="12">
        <f t="shared" si="33"/>
        <v>55.666666666666664</v>
      </c>
      <c r="P681" s="13">
        <v>668</v>
      </c>
      <c r="Q681" s="22"/>
      <c r="R681" s="19"/>
      <c r="S681" s="22"/>
      <c r="T681" s="19"/>
      <c r="U681" s="24">
        <v>4.7473495907650154E-2</v>
      </c>
      <c r="V681" s="24">
        <f t="shared" si="34"/>
        <v>4.3169851701829076E-2</v>
      </c>
      <c r="W681" s="106">
        <v>4.3169849999999999</v>
      </c>
      <c r="X681" s="106">
        <v>4.317E-2</v>
      </c>
      <c r="Y681" s="34">
        <f t="shared" si="32"/>
        <v>1.4829817092387731E-7</v>
      </c>
    </row>
    <row r="682" spans="15:25" ht="17.100000000000001" customHeight="1">
      <c r="O682" s="12">
        <f t="shared" si="33"/>
        <v>55.75</v>
      </c>
      <c r="P682" s="13">
        <v>669</v>
      </c>
      <c r="Q682" s="22"/>
      <c r="R682" s="19"/>
      <c r="S682" s="22"/>
      <c r="T682" s="19"/>
      <c r="U682" s="24">
        <v>4.7467049725001154E-2</v>
      </c>
      <c r="V682" s="24">
        <f t="shared" si="34"/>
        <v>4.3168113957570586E-2</v>
      </c>
      <c r="W682" s="106">
        <v>4.3168110000000004</v>
      </c>
      <c r="X682" s="106">
        <v>4.3167999999999998E-2</v>
      </c>
      <c r="Y682" s="34">
        <f t="shared" si="32"/>
        <v>-1.139575705882967E-7</v>
      </c>
    </row>
    <row r="683" spans="15:25" ht="17.100000000000001" customHeight="1">
      <c r="O683" s="12">
        <f t="shared" si="33"/>
        <v>55.833333333333336</v>
      </c>
      <c r="P683" s="13">
        <v>670</v>
      </c>
      <c r="Q683" s="22"/>
      <c r="R683" s="19"/>
      <c r="S683" s="22"/>
      <c r="T683" s="19"/>
      <c r="U683" s="24">
        <v>4.7460620219862415E-2</v>
      </c>
      <c r="V683" s="24">
        <f t="shared" si="34"/>
        <v>4.3166393970210937E-2</v>
      </c>
      <c r="W683" s="106">
        <v>4.3166390000000003</v>
      </c>
      <c r="X683" s="106">
        <v>4.3166000000000003E-2</v>
      </c>
      <c r="Y683" s="34">
        <f t="shared" si="32"/>
        <v>-3.9397021093373619E-7</v>
      </c>
    </row>
    <row r="684" spans="15:25" ht="17.100000000000001" customHeight="1">
      <c r="O684" s="12">
        <f t="shared" si="33"/>
        <v>55.916666666666664</v>
      </c>
      <c r="P684" s="13">
        <v>671</v>
      </c>
      <c r="Q684" s="22"/>
      <c r="R684" s="19"/>
      <c r="S684" s="22"/>
      <c r="T684" s="19"/>
      <c r="U684" s="24">
        <v>4.7454207344108879E-2</v>
      </c>
      <c r="V684" s="24">
        <f t="shared" si="34"/>
        <v>4.3164691559187007E-2</v>
      </c>
      <c r="W684" s="106">
        <v>4.3164689999999997</v>
      </c>
      <c r="X684" s="106">
        <v>4.3165000000000002E-2</v>
      </c>
      <c r="Y684" s="34">
        <f t="shared" si="32"/>
        <v>3.084408129946925E-7</v>
      </c>
    </row>
    <row r="685" spans="15:25" ht="17.100000000000001" customHeight="1">
      <c r="O685" s="12">
        <f t="shared" si="33"/>
        <v>56</v>
      </c>
      <c r="P685" s="13">
        <v>672</v>
      </c>
      <c r="Q685" s="22"/>
      <c r="R685" s="19"/>
      <c r="S685" s="22"/>
      <c r="T685" s="19"/>
      <c r="U685" s="24">
        <v>4.7447811049632138E-2</v>
      </c>
      <c r="V685" s="24">
        <f t="shared" si="34"/>
        <v>4.316300654529881E-2</v>
      </c>
      <c r="W685" s="106">
        <v>4.3163010000000002</v>
      </c>
      <c r="X685" s="106">
        <v>4.3163E-2</v>
      </c>
      <c r="Y685" s="34">
        <f t="shared" si="32"/>
        <v>-6.5452988098901876E-9</v>
      </c>
    </row>
    <row r="686" spans="15:25" ht="17.100000000000001" customHeight="1">
      <c r="O686" s="12">
        <f t="shared" si="33"/>
        <v>56.083333333333336</v>
      </c>
      <c r="P686" s="13">
        <v>673</v>
      </c>
      <c r="Q686" s="22"/>
      <c r="R686" s="19"/>
      <c r="S686" s="22"/>
      <c r="T686" s="19"/>
      <c r="U686" s="24">
        <v>4.7441431288343106E-2</v>
      </c>
      <c r="V686" s="24">
        <f t="shared" si="34"/>
        <v>4.316133875105721E-2</v>
      </c>
      <c r="W686" s="106">
        <v>4.3161339999999999</v>
      </c>
      <c r="X686" s="106">
        <v>4.3160999999999998E-2</v>
      </c>
      <c r="Y686" s="34">
        <f t="shared" si="32"/>
        <v>-3.387510572119834E-7</v>
      </c>
    </row>
    <row r="687" spans="15:25" ht="17.100000000000001" customHeight="1">
      <c r="O687" s="12">
        <f t="shared" si="33"/>
        <v>56.166666666666664</v>
      </c>
      <c r="P687" s="13">
        <v>674</v>
      </c>
      <c r="Q687" s="22"/>
      <c r="R687" s="19"/>
      <c r="S687" s="22"/>
      <c r="T687" s="19"/>
      <c r="U687" s="24">
        <v>4.7435068012173343E-2</v>
      </c>
      <c r="V687" s="24">
        <f t="shared" si="34"/>
        <v>4.315968800055181E-2</v>
      </c>
      <c r="W687" s="106">
        <v>4.3159689999999999</v>
      </c>
      <c r="X687" s="106">
        <v>4.3159999999999997E-2</v>
      </c>
      <c r="Y687" s="34">
        <f t="shared" si="32"/>
        <v>3.1199944818677272E-7</v>
      </c>
    </row>
    <row r="688" spans="15:25" ht="17.100000000000001" customHeight="1">
      <c r="O688" s="12">
        <f t="shared" si="33"/>
        <v>56.25</v>
      </c>
      <c r="P688" s="13">
        <v>675</v>
      </c>
      <c r="Q688" s="22"/>
      <c r="R688" s="19"/>
      <c r="S688" s="22"/>
      <c r="T688" s="19"/>
      <c r="U688" s="24">
        <v>4.7428721173078392E-2</v>
      </c>
      <c r="V688" s="24">
        <f t="shared" si="34"/>
        <v>4.3158054120799205E-2</v>
      </c>
      <c r="W688" s="106">
        <v>4.3158050000000001</v>
      </c>
      <c r="X688" s="106">
        <v>4.3158000000000002E-2</v>
      </c>
      <c r="Y688" s="34">
        <f t="shared" si="32"/>
        <v>-5.4120799203305481E-8</v>
      </c>
    </row>
    <row r="689" spans="15:25" ht="17.100000000000001" customHeight="1">
      <c r="O689" s="12">
        <f t="shared" si="33"/>
        <v>56.333333333333336</v>
      </c>
      <c r="P689" s="13">
        <v>676</v>
      </c>
      <c r="Q689" s="22"/>
      <c r="R689" s="19"/>
      <c r="S689" s="22"/>
      <c r="T689" s="19"/>
      <c r="U689" s="24">
        <v>4.7422390723041108E-2</v>
      </c>
      <c r="V689" s="24">
        <f t="shared" si="34"/>
        <v>4.3156436939132403E-2</v>
      </c>
      <c r="W689" s="106">
        <v>4.3156439999999998</v>
      </c>
      <c r="X689" s="106">
        <v>4.3156E-2</v>
      </c>
      <c r="Y689" s="34">
        <f t="shared" si="32"/>
        <v>-4.3693913240328008E-7</v>
      </c>
    </row>
    <row r="690" spans="15:25" ht="17.100000000000001" customHeight="1">
      <c r="O690" s="12">
        <f t="shared" si="33"/>
        <v>56.416666666666664</v>
      </c>
      <c r="P690" s="13">
        <v>677</v>
      </c>
      <c r="Q690" s="22"/>
      <c r="R690" s="19"/>
      <c r="S690" s="22"/>
      <c r="T690" s="19"/>
      <c r="U690" s="24">
        <v>4.7416076614072322E-2</v>
      </c>
      <c r="V690" s="24">
        <f t="shared" si="34"/>
        <v>4.315483628578054E-2</v>
      </c>
      <c r="W690" s="106">
        <v>4.3154839999999997</v>
      </c>
      <c r="X690" s="106">
        <v>4.3154999999999999E-2</v>
      </c>
      <c r="Y690" s="34">
        <f t="shared" si="32"/>
        <v>1.6371421945882147E-7</v>
      </c>
    </row>
    <row r="691" spans="15:25" ht="17.100000000000001" customHeight="1">
      <c r="O691" s="12">
        <f t="shared" si="33"/>
        <v>56.5</v>
      </c>
      <c r="P691" s="13">
        <v>678</v>
      </c>
      <c r="Q691" s="22"/>
      <c r="R691" s="19"/>
      <c r="S691" s="22"/>
      <c r="T691" s="19"/>
      <c r="U691" s="24">
        <v>4.7409778798214841E-2</v>
      </c>
      <c r="V691" s="24">
        <f t="shared" si="34"/>
        <v>4.3153251991580044E-2</v>
      </c>
      <c r="W691" s="106">
        <v>4.3153249999999996</v>
      </c>
      <c r="X691" s="106">
        <v>4.3152999999999997E-2</v>
      </c>
      <c r="Y691" s="34">
        <f t="shared" si="32"/>
        <v>-2.5199158004696187E-7</v>
      </c>
    </row>
    <row r="692" spans="15:25" ht="17.100000000000001" customHeight="1">
      <c r="O692" s="12">
        <f t="shared" si="33"/>
        <v>56.583333333333336</v>
      </c>
      <c r="P692" s="13">
        <v>679</v>
      </c>
      <c r="Q692" s="22"/>
      <c r="R692" s="19"/>
      <c r="S692" s="22"/>
      <c r="T692" s="19"/>
      <c r="U692" s="24">
        <v>4.7403497227544111E-2</v>
      </c>
      <c r="V692" s="24">
        <f t="shared" si="34"/>
        <v>4.3151683890311876E-2</v>
      </c>
      <c r="W692" s="106">
        <v>4.3151679999999999</v>
      </c>
      <c r="X692" s="106">
        <v>4.3152000000000003E-2</v>
      </c>
      <c r="Y692" s="34">
        <f t="shared" si="32"/>
        <v>3.1610968812684215E-7</v>
      </c>
    </row>
    <row r="693" spans="15:25" ht="17.100000000000001" customHeight="1">
      <c r="O693" s="12">
        <f t="shared" si="33"/>
        <v>56.666666666666664</v>
      </c>
      <c r="P693" s="13">
        <v>680</v>
      </c>
      <c r="Q693" s="22"/>
      <c r="R693" s="19"/>
      <c r="S693" s="22"/>
      <c r="T693" s="19"/>
      <c r="U693" s="24">
        <v>4.7397231854172439E-2</v>
      </c>
      <c r="V693" s="24">
        <f t="shared" si="34"/>
        <v>4.3150131816566573E-2</v>
      </c>
      <c r="W693" s="106">
        <v>4.3150130000000004</v>
      </c>
      <c r="X693" s="106">
        <v>4.3150000000000001E-2</v>
      </c>
      <c r="Y693" s="34">
        <f t="shared" si="32"/>
        <v>-1.3181656657174079E-7</v>
      </c>
    </row>
    <row r="694" spans="15:25" ht="17.100000000000001" customHeight="1">
      <c r="O694" s="12">
        <f t="shared" si="33"/>
        <v>56.75</v>
      </c>
      <c r="P694" s="13">
        <v>681</v>
      </c>
      <c r="Q694" s="22"/>
      <c r="R694" s="19"/>
      <c r="S694" s="22"/>
      <c r="T694" s="19"/>
      <c r="U694" s="24">
        <v>4.7390982630249656E-2</v>
      </c>
      <c r="V694" s="24">
        <f t="shared" si="34"/>
        <v>4.3148595606486317E-2</v>
      </c>
      <c r="W694" s="106">
        <v>4.3148600000000004</v>
      </c>
      <c r="X694" s="106">
        <v>4.3149E-2</v>
      </c>
      <c r="Y694" s="34">
        <f t="shared" si="32"/>
        <v>4.0439351368243281E-7</v>
      </c>
    </row>
    <row r="695" spans="15:25" ht="17.100000000000001" customHeight="1">
      <c r="O695" s="12">
        <f t="shared" si="33"/>
        <v>56.833333333333336</v>
      </c>
      <c r="P695" s="13">
        <v>682</v>
      </c>
      <c r="Q695" s="22"/>
      <c r="R695" s="19"/>
      <c r="S695" s="22"/>
      <c r="T695" s="19"/>
      <c r="U695" s="24">
        <v>4.738474950796534E-2</v>
      </c>
      <c r="V695" s="24">
        <f t="shared" si="34"/>
        <v>4.3147075099030152E-2</v>
      </c>
      <c r="W695" s="106">
        <v>4.3147080000000004</v>
      </c>
      <c r="X695" s="106">
        <v>4.3146999999999998E-2</v>
      </c>
      <c r="Y695" s="34">
        <f t="shared" si="32"/>
        <v>-7.5099030154290869E-8</v>
      </c>
    </row>
    <row r="696" spans="15:25" ht="17.100000000000001" customHeight="1">
      <c r="O696" s="12">
        <f t="shared" si="33"/>
        <v>56.916666666666664</v>
      </c>
      <c r="P696" s="13">
        <v>683</v>
      </c>
      <c r="Q696" s="22"/>
      <c r="R696" s="19"/>
      <c r="S696" s="22"/>
      <c r="T696" s="19"/>
      <c r="U696" s="24">
        <v>4.7378532439552812E-2</v>
      </c>
      <c r="V696" s="24">
        <f t="shared" si="34"/>
        <v>4.3145570133766853E-2</v>
      </c>
      <c r="W696" s="106">
        <v>4.3145569999999998</v>
      </c>
      <c r="X696" s="106">
        <v>4.3145999999999997E-2</v>
      </c>
      <c r="Y696" s="34">
        <f t="shared" si="32"/>
        <v>4.2986623314394956E-7</v>
      </c>
    </row>
    <row r="697" spans="15:25" ht="17.100000000000001" customHeight="1">
      <c r="O697" s="12">
        <f t="shared" si="33"/>
        <v>57</v>
      </c>
      <c r="P697" s="13">
        <v>684</v>
      </c>
      <c r="Q697" s="22"/>
      <c r="R697" s="19"/>
      <c r="S697" s="22"/>
      <c r="T697" s="19"/>
      <c r="U697" s="24">
        <v>4.7372331377289134E-2</v>
      </c>
      <c r="V697" s="24">
        <f t="shared" si="34"/>
        <v>4.3144080551966058E-2</v>
      </c>
      <c r="W697" s="106">
        <v>4.3144080000000002</v>
      </c>
      <c r="X697" s="106">
        <v>4.3144000000000002E-2</v>
      </c>
      <c r="Y697" s="34">
        <f t="shared" si="32"/>
        <v>-8.0551966055719681E-8</v>
      </c>
    </row>
    <row r="698" spans="15:25" ht="17.100000000000001" customHeight="1">
      <c r="O698" s="12">
        <f t="shared" si="33"/>
        <v>57.083333333333336</v>
      </c>
      <c r="P698" s="13">
        <v>685</v>
      </c>
      <c r="Q698" s="22"/>
      <c r="R698" s="19"/>
      <c r="S698" s="22"/>
      <c r="T698" s="19"/>
      <c r="U698" s="24">
        <v>4.7366146273498E-2</v>
      </c>
      <c r="V698" s="24">
        <f t="shared" si="34"/>
        <v>4.314260619688759E-2</v>
      </c>
      <c r="W698" s="106">
        <v>4.3142610000000001</v>
      </c>
      <c r="X698" s="106">
        <v>4.3143000000000001E-2</v>
      </c>
      <c r="Y698" s="34">
        <f t="shared" si="32"/>
        <v>3.9380311241121735E-7</v>
      </c>
    </row>
    <row r="699" spans="15:25" ht="17.100000000000001" customHeight="1">
      <c r="O699" s="12">
        <f t="shared" si="33"/>
        <v>57.166666666666664</v>
      </c>
      <c r="P699" s="13">
        <v>686</v>
      </c>
      <c r="Q699" s="22"/>
      <c r="R699" s="19"/>
      <c r="S699" s="22"/>
      <c r="T699" s="19"/>
      <c r="U699" s="24">
        <v>4.735997708055173E-2</v>
      </c>
      <c r="V699" s="24">
        <f t="shared" si="34"/>
        <v>4.3141146912788919E-2</v>
      </c>
      <c r="W699" s="106">
        <v>4.3141150000000001</v>
      </c>
      <c r="X699" s="106">
        <v>4.3140999999999999E-2</v>
      </c>
      <c r="Y699" s="34">
        <f t="shared" si="32"/>
        <v>-1.4691278892031701E-7</v>
      </c>
    </row>
    <row r="700" spans="15:25" ht="17.100000000000001" customHeight="1">
      <c r="O700" s="12">
        <f t="shared" si="33"/>
        <v>57.25</v>
      </c>
      <c r="P700" s="13">
        <v>687</v>
      </c>
      <c r="Q700" s="22"/>
      <c r="R700" s="19"/>
      <c r="S700" s="22"/>
      <c r="T700" s="19"/>
      <c r="U700" s="24">
        <v>4.7353823750873048E-2</v>
      </c>
      <c r="V700" s="24">
        <f t="shared" si="34"/>
        <v>4.3139702546746816E-2</v>
      </c>
      <c r="W700" s="106">
        <v>4.3139700000000003</v>
      </c>
      <c r="X700" s="106">
        <v>4.3139999999999998E-2</v>
      </c>
      <c r="Y700" s="34">
        <f t="shared" si="32"/>
        <v>2.9745325318131233E-7</v>
      </c>
    </row>
    <row r="701" spans="15:25" ht="17.100000000000001" customHeight="1">
      <c r="O701" s="12">
        <f t="shared" si="33"/>
        <v>57.333333333333336</v>
      </c>
      <c r="P701" s="13">
        <v>688</v>
      </c>
      <c r="Q701" s="22"/>
      <c r="R701" s="19"/>
      <c r="S701" s="22"/>
      <c r="T701" s="19"/>
      <c r="U701" s="24">
        <v>4.7347686236937747E-2</v>
      </c>
      <c r="V701" s="24">
        <f t="shared" si="34"/>
        <v>4.3138272945957068E-2</v>
      </c>
      <c r="W701" s="106">
        <v>4.3138269999999999</v>
      </c>
      <c r="X701" s="106">
        <v>4.3138000000000003E-2</v>
      </c>
      <c r="Y701" s="34">
        <f t="shared" si="32"/>
        <v>-2.7294595706522928E-7</v>
      </c>
    </row>
    <row r="702" spans="15:25" ht="17.100000000000001" customHeight="1">
      <c r="O702" s="12">
        <f t="shared" si="33"/>
        <v>57.416666666666664</v>
      </c>
      <c r="P702" s="13">
        <v>689</v>
      </c>
      <c r="Q702" s="22"/>
      <c r="R702" s="19"/>
      <c r="S702" s="22"/>
      <c r="T702" s="19"/>
      <c r="U702" s="24">
        <v>4.73415644912758E-2</v>
      </c>
      <c r="V702" s="24">
        <f t="shared" si="34"/>
        <v>4.3136857959921615E-2</v>
      </c>
      <c r="W702" s="106">
        <v>4.3136859999999997</v>
      </c>
      <c r="X702" s="106">
        <v>4.3137000000000002E-2</v>
      </c>
      <c r="Y702" s="34">
        <f t="shared" si="32"/>
        <v>1.4204007838664046E-7</v>
      </c>
    </row>
    <row r="703" spans="15:25" ht="17.100000000000001" customHeight="1">
      <c r="O703" s="12">
        <f t="shared" si="33"/>
        <v>57.5</v>
      </c>
      <c r="P703" s="13">
        <v>690</v>
      </c>
      <c r="Q703" s="22"/>
      <c r="R703" s="19"/>
      <c r="S703" s="22"/>
      <c r="T703" s="19"/>
      <c r="U703" s="24">
        <v>4.7335458466473357E-2</v>
      </c>
      <c r="V703" s="24">
        <f t="shared" si="34"/>
        <v>4.3135457439503977E-2</v>
      </c>
      <c r="W703" s="106">
        <v>4.3135459999999997</v>
      </c>
      <c r="X703" s="106">
        <v>4.3135E-2</v>
      </c>
      <c r="Y703" s="34">
        <f t="shared" si="32"/>
        <v>-4.5743950397719724E-7</v>
      </c>
    </row>
    <row r="704" spans="15:25" ht="17.100000000000001" customHeight="1">
      <c r="O704" s="12">
        <f t="shared" si="33"/>
        <v>57.583333333333336</v>
      </c>
      <c r="P704" s="13">
        <v>691</v>
      </c>
      <c r="Q704" s="22"/>
      <c r="R704" s="19"/>
      <c r="S704" s="22"/>
      <c r="T704" s="19"/>
      <c r="U704" s="24">
        <v>4.7329368115174519E-2</v>
      </c>
      <c r="V704" s="24">
        <f t="shared" si="34"/>
        <v>4.3134071237227678E-2</v>
      </c>
      <c r="W704" s="106">
        <v>4.3134069999999998</v>
      </c>
      <c r="X704" s="106">
        <v>4.3133999999999999E-2</v>
      </c>
      <c r="Y704" s="34">
        <f t="shared" si="32"/>
        <v>-7.1237227679266102E-8</v>
      </c>
    </row>
    <row r="705" spans="15:25" ht="17.100000000000001" customHeight="1">
      <c r="O705" s="12">
        <f t="shared" si="33"/>
        <v>57.666666666666664</v>
      </c>
      <c r="P705" s="13">
        <v>692</v>
      </c>
      <c r="Q705" s="22"/>
      <c r="R705" s="19"/>
      <c r="S705" s="22"/>
      <c r="T705" s="19"/>
      <c r="U705" s="24">
        <v>4.7323293390083787E-2</v>
      </c>
      <c r="V705" s="24">
        <f t="shared" si="34"/>
        <v>4.3132699206948066E-2</v>
      </c>
      <c r="W705" s="106">
        <v>4.3132700000000002</v>
      </c>
      <c r="X705" s="106">
        <v>4.3132999999999998E-2</v>
      </c>
      <c r="Y705" s="34">
        <f t="shared" si="32"/>
        <v>3.0079305193136952E-7</v>
      </c>
    </row>
    <row r="706" spans="15:25" ht="17.100000000000001" customHeight="1">
      <c r="O706" s="12">
        <f t="shared" si="33"/>
        <v>57.75</v>
      </c>
      <c r="P706" s="13">
        <v>693</v>
      </c>
      <c r="Q706" s="22"/>
      <c r="R706" s="19"/>
      <c r="S706" s="22"/>
      <c r="T706" s="19"/>
      <c r="U706" s="24">
        <v>4.7317234243966944E-2</v>
      </c>
      <c r="V706" s="24">
        <f t="shared" si="34"/>
        <v>4.3131341203881624E-2</v>
      </c>
      <c r="W706" s="106">
        <v>4.3131339999999998</v>
      </c>
      <c r="X706" s="106">
        <v>4.3131000000000003E-2</v>
      </c>
      <c r="Y706" s="34">
        <f t="shared" si="32"/>
        <v>-3.4120388162084403E-7</v>
      </c>
    </row>
    <row r="707" spans="15:25" ht="17.100000000000001" customHeight="1">
      <c r="O707" s="12">
        <f t="shared" si="33"/>
        <v>57.833333333333336</v>
      </c>
      <c r="P707" s="13">
        <v>694</v>
      </c>
      <c r="Q707" s="22"/>
      <c r="R707" s="19"/>
      <c r="S707" s="22"/>
      <c r="T707" s="19"/>
      <c r="U707" s="24">
        <v>4.7311190629652833E-2</v>
      </c>
      <c r="V707" s="24">
        <f t="shared" si="34"/>
        <v>4.3129997085133986E-2</v>
      </c>
      <c r="W707" s="106">
        <v>4.3129999999999997</v>
      </c>
      <c r="X707" s="106">
        <v>4.3130000000000002E-2</v>
      </c>
      <c r="Y707" s="34">
        <f t="shared" si="32"/>
        <v>2.9148660152245043E-9</v>
      </c>
    </row>
    <row r="708" spans="15:25" ht="17.100000000000001" customHeight="1">
      <c r="O708" s="12">
        <f t="shared" si="33"/>
        <v>57.916666666666664</v>
      </c>
      <c r="P708" s="13">
        <v>695</v>
      </c>
      <c r="Q708" s="22"/>
      <c r="R708" s="19"/>
      <c r="S708" s="22"/>
      <c r="T708" s="19"/>
      <c r="U708" s="24">
        <v>4.7305162500036024E-2</v>
      </c>
      <c r="V708" s="24">
        <f t="shared" si="34"/>
        <v>4.3128666708885266E-2</v>
      </c>
      <c r="W708" s="106">
        <v>4.3128669999999998</v>
      </c>
      <c r="X708" s="106">
        <v>4.3129000000000001E-2</v>
      </c>
      <c r="Y708" s="34">
        <f t="shared" si="32"/>
        <v>3.3329111473467954E-7</v>
      </c>
    </row>
    <row r="709" spans="15:25" ht="17.100000000000001" customHeight="1">
      <c r="O709" s="12">
        <f t="shared" si="33"/>
        <v>58</v>
      </c>
      <c r="P709" s="13">
        <v>696</v>
      </c>
      <c r="Q709" s="22"/>
      <c r="R709" s="19"/>
      <c r="S709" s="22"/>
      <c r="T709" s="19"/>
      <c r="U709" s="24">
        <v>4.7299149808077035E-2</v>
      </c>
      <c r="V709" s="24">
        <f t="shared" si="34"/>
        <v>4.3127349935059289E-2</v>
      </c>
      <c r="W709" s="106">
        <v>4.312735</v>
      </c>
      <c r="X709" s="106">
        <v>4.3126999999999999E-2</v>
      </c>
      <c r="Y709" s="34">
        <f t="shared" si="32"/>
        <v>-3.4993505929059587E-7</v>
      </c>
    </row>
    <row r="710" spans="15:25" ht="17.100000000000001" customHeight="1">
      <c r="O710" s="12">
        <f t="shared" si="33"/>
        <v>58.083333333333336</v>
      </c>
      <c r="P710" s="13">
        <v>697</v>
      </c>
      <c r="Q710" s="22"/>
      <c r="R710" s="19"/>
      <c r="S710" s="22"/>
      <c r="T710" s="19"/>
      <c r="U710" s="24">
        <v>4.7293152506805214E-2</v>
      </c>
      <c r="V710" s="24">
        <f t="shared" si="34"/>
        <v>4.3126046624405001E-2</v>
      </c>
      <c r="W710" s="106">
        <v>4.3126049999999996</v>
      </c>
      <c r="X710" s="106">
        <v>4.3125999999999998E-2</v>
      </c>
      <c r="Y710" s="34">
        <f t="shared" si="32"/>
        <v>-4.6624405003470315E-8</v>
      </c>
    </row>
    <row r="711" spans="15:25" ht="17.100000000000001" customHeight="1">
      <c r="O711" s="12">
        <f t="shared" si="33"/>
        <v>58.166666666666664</v>
      </c>
      <c r="P711" s="13">
        <v>698</v>
      </c>
      <c r="Q711" s="22"/>
      <c r="R711" s="19"/>
      <c r="S711" s="22"/>
      <c r="T711" s="19"/>
      <c r="U711" s="24">
        <v>4.7287170549318969E-2</v>
      </c>
      <c r="V711" s="24">
        <f t="shared" si="34"/>
        <v>4.3124756640022133E-2</v>
      </c>
      <c r="W711" s="106">
        <v>4.3124760000000002</v>
      </c>
      <c r="X711" s="106">
        <v>4.3124999999999997E-2</v>
      </c>
      <c r="Y711" s="34">
        <f t="shared" si="32"/>
        <v>2.4335997786395502E-7</v>
      </c>
    </row>
    <row r="712" spans="15:25" ht="17.100000000000001" customHeight="1">
      <c r="O712" s="12">
        <f t="shared" si="33"/>
        <v>58.25</v>
      </c>
      <c r="P712" s="13">
        <v>699</v>
      </c>
      <c r="Q712" s="22"/>
      <c r="R712" s="19"/>
      <c r="S712" s="22"/>
      <c r="T712" s="19"/>
      <c r="U712" s="24">
        <v>4.7281203888788648E-2</v>
      </c>
      <c r="V712" s="24">
        <f t="shared" si="34"/>
        <v>4.3123479845826651E-2</v>
      </c>
      <c r="W712" s="106">
        <v>4.3123480000000001</v>
      </c>
      <c r="X712" s="106">
        <v>4.3123000000000002E-2</v>
      </c>
      <c r="Y712" s="34">
        <f t="shared" si="32"/>
        <v>-4.7984582664944986E-7</v>
      </c>
    </row>
    <row r="713" spans="15:25" ht="17.100000000000001" customHeight="1">
      <c r="O713" s="12">
        <f t="shared" si="33"/>
        <v>58.333333333333336</v>
      </c>
      <c r="P713" s="13">
        <v>700</v>
      </c>
      <c r="Q713" s="22"/>
      <c r="R713" s="19"/>
      <c r="S713" s="22"/>
      <c r="T713" s="19"/>
      <c r="U713" s="24">
        <v>4.7275252478457652E-2</v>
      </c>
      <c r="V713" s="24">
        <f t="shared" si="34"/>
        <v>4.3122216106910471E-2</v>
      </c>
      <c r="W713" s="106">
        <v>4.3122220000000002</v>
      </c>
      <c r="X713" s="106">
        <v>4.3122000000000001E-2</v>
      </c>
      <c r="Y713" s="34">
        <f t="shared" si="32"/>
        <v>-2.1610691047085906E-7</v>
      </c>
    </row>
    <row r="714" spans="15:25" ht="17.100000000000001" customHeight="1">
      <c r="O714" s="12">
        <f t="shared" si="33"/>
        <v>58.416666666666664</v>
      </c>
      <c r="P714" s="13">
        <v>701</v>
      </c>
      <c r="Q714" s="22"/>
      <c r="R714" s="19"/>
      <c r="S714" s="22"/>
      <c r="T714" s="19"/>
      <c r="U714" s="24">
        <v>4.7269316271642881E-2</v>
      </c>
      <c r="V714" s="24">
        <f t="shared" si="34"/>
        <v>4.3120965290088797E-2</v>
      </c>
      <c r="W714" s="106">
        <v>4.3120969999999996</v>
      </c>
      <c r="X714" s="106">
        <v>4.3121E-2</v>
      </c>
      <c r="Y714" s="34">
        <f t="shared" si="32"/>
        <v>3.4709911202190913E-8</v>
      </c>
    </row>
    <row r="715" spans="15:25" ht="17.100000000000001" customHeight="1">
      <c r="O715" s="12">
        <f t="shared" si="33"/>
        <v>58.5</v>
      </c>
      <c r="P715" s="13">
        <v>702</v>
      </c>
      <c r="Q715" s="22"/>
      <c r="R715" s="19"/>
      <c r="S715" s="22"/>
      <c r="T715" s="19"/>
      <c r="U715" s="24">
        <v>4.7263395221737392E-2</v>
      </c>
      <c r="V715" s="24">
        <f t="shared" si="34"/>
        <v>4.3119727263582153E-2</v>
      </c>
      <c r="W715" s="106">
        <v>4.3119730000000001</v>
      </c>
      <c r="X715" s="106">
        <v>4.3119999999999999E-2</v>
      </c>
      <c r="Y715" s="34">
        <f t="shared" si="32"/>
        <v>2.7273641784592018E-7</v>
      </c>
    </row>
    <row r="716" spans="15:25" ht="17.100000000000001" customHeight="1">
      <c r="O716" s="12">
        <f t="shared" si="33"/>
        <v>58.583333333333336</v>
      </c>
      <c r="P716" s="13">
        <v>703</v>
      </c>
      <c r="Q716" s="22"/>
      <c r="R716" s="19"/>
      <c r="S716" s="22"/>
      <c r="T716" s="19"/>
      <c r="U716" s="24">
        <v>4.7257489282211296E-2</v>
      </c>
      <c r="V716" s="24">
        <f t="shared" si="34"/>
        <v>4.3118501896837858E-2</v>
      </c>
      <c r="W716" s="106">
        <v>4.3118499999999997</v>
      </c>
      <c r="X716" s="106">
        <v>4.3118999999999998E-2</v>
      </c>
      <c r="Y716" s="34">
        <f t="shared" si="32"/>
        <v>4.9810316214010664E-7</v>
      </c>
    </row>
    <row r="717" spans="15:25" ht="17.100000000000001" customHeight="1">
      <c r="O717" s="12">
        <f t="shared" si="33"/>
        <v>58.666666666666664</v>
      </c>
      <c r="P717" s="13">
        <v>704</v>
      </c>
      <c r="Q717" s="22"/>
      <c r="R717" s="19"/>
      <c r="S717" s="22"/>
      <c r="T717" s="19"/>
      <c r="U717" s="24">
        <v>4.7251598406613304E-2</v>
      </c>
      <c r="V717" s="24">
        <f t="shared" si="34"/>
        <v>4.3117289060825126E-2</v>
      </c>
      <c r="W717" s="106">
        <v>4.3117289999999997</v>
      </c>
      <c r="X717" s="106">
        <v>4.3117000000000003E-2</v>
      </c>
      <c r="Y717" s="34">
        <f t="shared" ref="Y717:Y780" si="35">X717-V717</f>
        <v>-2.8906082512325515E-7</v>
      </c>
    </row>
    <row r="718" spans="15:25" ht="17.100000000000001" customHeight="1">
      <c r="O718" s="12">
        <f t="shared" ref="O718:O781" si="36">P718/12</f>
        <v>58.75</v>
      </c>
      <c r="P718" s="13">
        <v>705</v>
      </c>
      <c r="Q718" s="22"/>
      <c r="R718" s="19"/>
      <c r="S718" s="22"/>
      <c r="T718" s="19"/>
      <c r="U718" s="24">
        <v>4.7245722548572289E-2</v>
      </c>
      <c r="V718" s="24">
        <f t="shared" ref="V718:V781" si="37">(1+U719)^P719/(1+U718)^P718-1</f>
        <v>4.3116088626794058E-2</v>
      </c>
      <c r="W718" s="106">
        <v>4.3116089999999998</v>
      </c>
      <c r="X718" s="106">
        <v>4.3116000000000002E-2</v>
      </c>
      <c r="Y718" s="34">
        <f t="shared" si="35"/>
        <v>-8.8626794056412272E-8</v>
      </c>
    </row>
    <row r="719" spans="15:25" ht="17.100000000000001" customHeight="1">
      <c r="O719" s="12">
        <f t="shared" si="36"/>
        <v>58.833333333333336</v>
      </c>
      <c r="P719" s="13">
        <v>706</v>
      </c>
      <c r="Q719" s="22"/>
      <c r="R719" s="19"/>
      <c r="S719" s="22"/>
      <c r="T719" s="19"/>
      <c r="U719" s="24">
        <v>4.7239861661797056E-2</v>
      </c>
      <c r="V719" s="24">
        <f t="shared" si="37"/>
        <v>4.3114900469205741E-2</v>
      </c>
      <c r="W719" s="106">
        <v>4.31149</v>
      </c>
      <c r="X719" s="106">
        <v>4.3115000000000001E-2</v>
      </c>
      <c r="Y719" s="34">
        <f t="shared" si="35"/>
        <v>9.9530794259172772E-8</v>
      </c>
    </row>
    <row r="720" spans="15:25" ht="17.100000000000001" customHeight="1">
      <c r="O720" s="12">
        <f t="shared" si="36"/>
        <v>58.916666666666664</v>
      </c>
      <c r="P720" s="13">
        <v>707</v>
      </c>
      <c r="Q720" s="22"/>
      <c r="R720" s="19"/>
      <c r="S720" s="22"/>
      <c r="T720" s="19"/>
      <c r="U720" s="24">
        <v>4.7234015700080123E-2</v>
      </c>
      <c r="V720" s="24">
        <f t="shared" si="37"/>
        <v>4.3113724462099157E-2</v>
      </c>
      <c r="W720" s="106">
        <v>4.3113720000000004</v>
      </c>
      <c r="X720" s="106">
        <v>4.3114E-2</v>
      </c>
      <c r="Y720" s="34">
        <f t="shared" si="35"/>
        <v>2.7553790084289265E-7</v>
      </c>
    </row>
    <row r="721" spans="15:25" ht="17.100000000000001" customHeight="1">
      <c r="O721" s="12">
        <f t="shared" si="36"/>
        <v>59</v>
      </c>
      <c r="P721" s="13">
        <v>708</v>
      </c>
      <c r="Q721" s="22"/>
      <c r="R721" s="19"/>
      <c r="S721" s="22"/>
      <c r="T721" s="19"/>
      <c r="U721" s="24">
        <v>4.7228184617297053E-2</v>
      </c>
      <c r="V721" s="24">
        <f t="shared" si="37"/>
        <v>4.3112560481541662E-2</v>
      </c>
      <c r="W721" s="106">
        <v>4.3112560000000002</v>
      </c>
      <c r="X721" s="106">
        <v>4.3112999999999999E-2</v>
      </c>
      <c r="Y721" s="34">
        <f t="shared" si="35"/>
        <v>4.3951845833667402E-7</v>
      </c>
    </row>
    <row r="722" spans="15:25" ht="17.100000000000001" customHeight="1">
      <c r="O722" s="12">
        <f t="shared" si="36"/>
        <v>59.083333333333336</v>
      </c>
      <c r="P722" s="13">
        <v>709</v>
      </c>
      <c r="Q722" s="22"/>
      <c r="R722" s="19"/>
      <c r="S722" s="22"/>
      <c r="T722" s="19"/>
      <c r="U722" s="24">
        <v>4.722236836740823E-2</v>
      </c>
      <c r="V722" s="24">
        <f t="shared" si="37"/>
        <v>4.3111408404676199E-2</v>
      </c>
      <c r="W722" s="106">
        <v>4.3111410000000001</v>
      </c>
      <c r="X722" s="106">
        <v>4.3110999999999997E-2</v>
      </c>
      <c r="Y722" s="34">
        <f t="shared" si="35"/>
        <v>-4.0840467620262277E-7</v>
      </c>
    </row>
    <row r="723" spans="15:25" ht="17.100000000000001" customHeight="1">
      <c r="O723" s="12">
        <f t="shared" si="36"/>
        <v>59.166666666666664</v>
      </c>
      <c r="P723" s="13">
        <v>710</v>
      </c>
      <c r="Q723" s="22"/>
      <c r="R723" s="19"/>
      <c r="S723" s="22"/>
      <c r="T723" s="19"/>
      <c r="U723" s="24">
        <v>4.7216566904460411E-2</v>
      </c>
      <c r="V723" s="24">
        <f t="shared" si="37"/>
        <v>4.3110268110121863E-2</v>
      </c>
      <c r="W723" s="106">
        <v>4.3110270000000002</v>
      </c>
      <c r="X723" s="106">
        <v>4.3110000000000002E-2</v>
      </c>
      <c r="Y723" s="34">
        <f t="shared" si="35"/>
        <v>-2.681101218607318E-7</v>
      </c>
    </row>
    <row r="724" spans="15:25" ht="17.100000000000001" customHeight="1">
      <c r="O724" s="12">
        <f t="shared" si="36"/>
        <v>59.25</v>
      </c>
      <c r="P724" s="13">
        <v>711</v>
      </c>
      <c r="Q724" s="22"/>
      <c r="R724" s="19"/>
      <c r="S724" s="22"/>
      <c r="T724" s="19"/>
      <c r="U724" s="24">
        <v>4.7210780182587175E-2</v>
      </c>
      <c r="V724" s="24">
        <f t="shared" si="37"/>
        <v>4.3109139477883973E-2</v>
      </c>
      <c r="W724" s="106">
        <v>4.3109140000000004</v>
      </c>
      <c r="X724" s="106">
        <v>4.3109000000000001E-2</v>
      </c>
      <c r="Y724" s="34">
        <f t="shared" si="35"/>
        <v>-1.394778839716726E-7</v>
      </c>
    </row>
    <row r="725" spans="15:25" ht="17.100000000000001" customHeight="1">
      <c r="O725" s="12">
        <f t="shared" si="36"/>
        <v>59.333333333333336</v>
      </c>
      <c r="P725" s="13">
        <v>712</v>
      </c>
      <c r="Q725" s="22"/>
      <c r="R725" s="19"/>
      <c r="S725" s="22"/>
      <c r="T725" s="19"/>
      <c r="U725" s="24">
        <v>4.7205008156011363E-2</v>
      </c>
      <c r="V725" s="24">
        <f t="shared" si="37"/>
        <v>4.3108022387781109E-2</v>
      </c>
      <c r="W725" s="106">
        <v>4.3108019999999998</v>
      </c>
      <c r="X725" s="106">
        <v>4.3108E-2</v>
      </c>
      <c r="Y725" s="34">
        <f t="shared" si="35"/>
        <v>-2.2387781108135218E-8</v>
      </c>
    </row>
    <row r="726" spans="15:25" ht="17.100000000000001" customHeight="1">
      <c r="O726" s="12">
        <f t="shared" si="36"/>
        <v>59.416666666666664</v>
      </c>
      <c r="P726" s="13">
        <v>713</v>
      </c>
      <c r="Q726" s="22"/>
      <c r="R726" s="19"/>
      <c r="S726" s="22"/>
      <c r="T726" s="19"/>
      <c r="U726" s="24">
        <v>4.7199250779043522E-2</v>
      </c>
      <c r="V726" s="24">
        <f t="shared" si="37"/>
        <v>4.310691672295186E-2</v>
      </c>
      <c r="W726" s="106">
        <v>4.3106920000000004</v>
      </c>
      <c r="X726" s="106">
        <v>4.3106999999999999E-2</v>
      </c>
      <c r="Y726" s="34">
        <f t="shared" si="35"/>
        <v>8.3277048139318577E-8</v>
      </c>
    </row>
    <row r="727" spans="15:25" ht="17.100000000000001" customHeight="1">
      <c r="O727" s="12">
        <f t="shared" si="36"/>
        <v>59.5</v>
      </c>
      <c r="P727" s="13">
        <v>714</v>
      </c>
      <c r="Q727" s="22"/>
      <c r="R727" s="19"/>
      <c r="S727" s="22"/>
      <c r="T727" s="19"/>
      <c r="U727" s="24">
        <v>4.7193508006086349E-2</v>
      </c>
      <c r="V727" s="24">
        <f t="shared" si="37"/>
        <v>4.3105822366800384E-2</v>
      </c>
      <c r="W727" s="106">
        <v>4.3105820000000001</v>
      </c>
      <c r="X727" s="106">
        <v>4.3105999999999998E-2</v>
      </c>
      <c r="Y727" s="34">
        <f t="shared" si="35"/>
        <v>1.7763319961477952E-7</v>
      </c>
    </row>
    <row r="728" spans="15:25" ht="17.100000000000001" customHeight="1">
      <c r="O728" s="12">
        <f t="shared" si="36"/>
        <v>59.583333333333336</v>
      </c>
      <c r="P728" s="13">
        <v>715</v>
      </c>
      <c r="Q728" s="22"/>
      <c r="R728" s="19"/>
      <c r="S728" s="22"/>
      <c r="T728" s="19"/>
      <c r="U728" s="24">
        <v>4.7187779791633799E-2</v>
      </c>
      <c r="V728" s="24">
        <f t="shared" si="37"/>
        <v>4.3104739203082776E-2</v>
      </c>
      <c r="W728" s="106">
        <v>4.3104740000000001</v>
      </c>
      <c r="X728" s="106">
        <v>4.3104999999999997E-2</v>
      </c>
      <c r="Y728" s="34">
        <f t="shared" si="35"/>
        <v>2.6079691722163956E-7</v>
      </c>
    </row>
    <row r="729" spans="15:25" ht="17.100000000000001" customHeight="1">
      <c r="O729" s="12">
        <f t="shared" si="36"/>
        <v>59.666666666666664</v>
      </c>
      <c r="P729" s="13">
        <v>716</v>
      </c>
      <c r="Q729" s="22"/>
      <c r="R729" s="19"/>
      <c r="S729" s="22"/>
      <c r="T729" s="19"/>
      <c r="U729" s="24">
        <v>4.7182066090271979E-2</v>
      </c>
      <c r="V729" s="24">
        <f t="shared" si="37"/>
        <v>4.3103667117958544E-2</v>
      </c>
      <c r="W729" s="106">
        <v>4.3103670000000003</v>
      </c>
      <c r="X729" s="106">
        <v>4.3104000000000003E-2</v>
      </c>
      <c r="Y729" s="34">
        <f t="shared" si="35"/>
        <v>3.3288204145942579E-7</v>
      </c>
    </row>
    <row r="730" spans="15:25" ht="17.100000000000001" customHeight="1">
      <c r="O730" s="12">
        <f t="shared" si="36"/>
        <v>59.75</v>
      </c>
      <c r="P730" s="13">
        <v>717</v>
      </c>
      <c r="Q730" s="22"/>
      <c r="R730" s="19"/>
      <c r="S730" s="22"/>
      <c r="T730" s="19"/>
      <c r="U730" s="24">
        <v>4.7176366856680696E-2</v>
      </c>
      <c r="V730" s="24">
        <f t="shared" si="37"/>
        <v>4.3102605998326382E-2</v>
      </c>
      <c r="W730" s="106">
        <v>4.3102609999999997</v>
      </c>
      <c r="X730" s="106">
        <v>4.3103000000000002E-2</v>
      </c>
      <c r="Y730" s="34">
        <f t="shared" si="35"/>
        <v>3.9400167362035887E-7</v>
      </c>
    </row>
    <row r="731" spans="15:25" ht="17.100000000000001" customHeight="1">
      <c r="O731" s="12">
        <f t="shared" si="36"/>
        <v>59.833333333333336</v>
      </c>
      <c r="P731" s="13">
        <v>718</v>
      </c>
      <c r="Q731" s="22"/>
      <c r="R731" s="19"/>
      <c r="S731" s="22"/>
      <c r="T731" s="19"/>
      <c r="U731" s="24">
        <v>4.7170682045634793E-2</v>
      </c>
      <c r="V731" s="24">
        <f t="shared" si="37"/>
        <v>4.3101555732175889E-2</v>
      </c>
      <c r="W731" s="106">
        <v>4.3101560000000001</v>
      </c>
      <c r="X731" s="106">
        <v>4.3102000000000001E-2</v>
      </c>
      <c r="Y731" s="34">
        <f t="shared" si="35"/>
        <v>4.4426782411233212E-7</v>
      </c>
    </row>
    <row r="732" spans="15:25" ht="17.100000000000001" customHeight="1">
      <c r="O732" s="12">
        <f t="shared" si="36"/>
        <v>59.916666666666664</v>
      </c>
      <c r="P732" s="13">
        <v>719</v>
      </c>
      <c r="Q732" s="22"/>
      <c r="R732" s="19"/>
      <c r="S732" s="22"/>
      <c r="T732" s="19"/>
      <c r="U732" s="24">
        <v>4.7165011612004371E-2</v>
      </c>
      <c r="V732" s="24">
        <f t="shared" si="37"/>
        <v>4.3100516208398387E-2</v>
      </c>
      <c r="W732" s="106">
        <v>4.3100519999999998</v>
      </c>
      <c r="X732" s="106">
        <v>4.3101E-2</v>
      </c>
      <c r="Y732" s="34">
        <f t="shared" si="35"/>
        <v>4.8379160161315937E-7</v>
      </c>
    </row>
    <row r="733" spans="15:25" ht="17.100000000000001" customHeight="1">
      <c r="O733" s="12">
        <f t="shared" si="36"/>
        <v>60</v>
      </c>
      <c r="P733" s="13">
        <v>720</v>
      </c>
      <c r="Q733" s="22"/>
      <c r="R733" s="19"/>
      <c r="S733" s="22"/>
      <c r="T733" s="19"/>
      <c r="U733" s="24">
        <v>4.7159355510755896E-2</v>
      </c>
      <c r="V733" s="24">
        <f t="shared" si="37"/>
        <v>4.3099487317522778E-2</v>
      </c>
      <c r="W733" s="106">
        <v>4.3099489999999996</v>
      </c>
      <c r="X733" s="106">
        <v>4.3098999999999998E-2</v>
      </c>
      <c r="Y733" s="34">
        <f t="shared" si="35"/>
        <v>-4.8731752277930696E-7</v>
      </c>
    </row>
    <row r="734" spans="15:25" ht="17.100000000000001" customHeight="1">
      <c r="O734" s="12">
        <f t="shared" si="36"/>
        <v>60.083333333333336</v>
      </c>
      <c r="P734" s="13">
        <v>721</v>
      </c>
      <c r="Q734" s="22"/>
      <c r="R734" s="19"/>
      <c r="S734" s="22"/>
      <c r="T734" s="19"/>
      <c r="U734" s="24">
        <v>4.7153713696953314E-2</v>
      </c>
      <c r="V734" s="24">
        <f t="shared" si="37"/>
        <v>4.3098468951053404E-2</v>
      </c>
      <c r="W734" s="106">
        <v>4.3098470000000004</v>
      </c>
      <c r="X734" s="106">
        <v>4.3097999999999997E-2</v>
      </c>
      <c r="Y734" s="34">
        <f t="shared" si="35"/>
        <v>-4.6895105340616361E-7</v>
      </c>
    </row>
    <row r="735" spans="15:25" ht="17.100000000000001" customHeight="1">
      <c r="O735" s="12">
        <f t="shared" si="36"/>
        <v>60.166666666666664</v>
      </c>
      <c r="P735" s="13">
        <v>722</v>
      </c>
      <c r="Q735" s="22"/>
      <c r="R735" s="19"/>
      <c r="S735" s="22"/>
      <c r="T735" s="19"/>
      <c r="U735" s="24">
        <v>4.7148086125759159E-2</v>
      </c>
      <c r="V735" s="24">
        <f t="shared" si="37"/>
        <v>4.3097461001244231E-2</v>
      </c>
      <c r="W735" s="106">
        <v>4.3097459999999996</v>
      </c>
      <c r="X735" s="106">
        <v>4.3097000000000003E-2</v>
      </c>
      <c r="Y735" s="34">
        <f t="shared" si="35"/>
        <v>-4.6100124422715494E-7</v>
      </c>
    </row>
    <row r="736" spans="15:25" ht="17.100000000000001" customHeight="1">
      <c r="O736" s="12">
        <f t="shared" si="36"/>
        <v>60.25</v>
      </c>
      <c r="P736" s="13">
        <v>723</v>
      </c>
      <c r="Q736" s="22"/>
      <c r="R736" s="19"/>
      <c r="S736" s="22"/>
      <c r="T736" s="19"/>
      <c r="U736" s="24">
        <v>4.714247275243455E-2</v>
      </c>
      <c r="V736" s="24">
        <f t="shared" si="37"/>
        <v>4.3096463361666393E-2</v>
      </c>
      <c r="W736" s="106">
        <v>4.3096459999999999</v>
      </c>
      <c r="X736" s="106">
        <v>4.3096000000000002E-2</v>
      </c>
      <c r="Y736" s="34">
        <f t="shared" si="35"/>
        <v>-4.633616663904383E-7</v>
      </c>
    </row>
    <row r="737" spans="15:25" ht="17.100000000000001" customHeight="1">
      <c r="O737" s="12">
        <f t="shared" si="36"/>
        <v>60.333333333333336</v>
      </c>
      <c r="P737" s="13">
        <v>724</v>
      </c>
      <c r="Q737" s="22"/>
      <c r="R737" s="19"/>
      <c r="S737" s="22"/>
      <c r="T737" s="19"/>
      <c r="U737" s="24">
        <v>4.7136873532340751E-2</v>
      </c>
      <c r="V737" s="24">
        <f t="shared" si="37"/>
        <v>4.3095475927134919E-2</v>
      </c>
      <c r="W737" s="106">
        <v>4.3095480000000004</v>
      </c>
      <c r="X737" s="106">
        <v>4.3095000000000001E-2</v>
      </c>
      <c r="Y737" s="34">
        <f t="shared" si="35"/>
        <v>-4.7592713491723115E-7</v>
      </c>
    </row>
    <row r="738" spans="15:25" ht="17.100000000000001" customHeight="1">
      <c r="O738" s="12">
        <f t="shared" si="36"/>
        <v>60.416666666666664</v>
      </c>
      <c r="P738" s="13">
        <v>725</v>
      </c>
      <c r="Q738" s="22"/>
      <c r="R738" s="19"/>
      <c r="S738" s="22"/>
      <c r="T738" s="19"/>
      <c r="U738" s="24">
        <v>4.7131288420939832E-2</v>
      </c>
      <c r="V738" s="24">
        <f t="shared" si="37"/>
        <v>4.3094498593213348E-2</v>
      </c>
      <c r="W738" s="106">
        <v>4.30945</v>
      </c>
      <c r="X738" s="106">
        <v>4.3094E-2</v>
      </c>
      <c r="Y738" s="34">
        <f t="shared" si="35"/>
        <v>-4.9859321334805307E-7</v>
      </c>
    </row>
    <row r="739" spans="15:25" ht="17.100000000000001" customHeight="1">
      <c r="O739" s="12">
        <f t="shared" si="36"/>
        <v>60.5</v>
      </c>
      <c r="P739" s="13">
        <v>726</v>
      </c>
      <c r="Q739" s="22"/>
      <c r="R739" s="19"/>
      <c r="S739" s="22"/>
      <c r="T739" s="19"/>
      <c r="U739" s="24">
        <v>4.7125717373795117E-2</v>
      </c>
      <c r="V739" s="24">
        <f t="shared" si="37"/>
        <v>4.309353125762283E-2</v>
      </c>
      <c r="W739" s="106">
        <v>4.3093529999999998</v>
      </c>
      <c r="X739" s="106">
        <v>4.3094E-2</v>
      </c>
      <c r="Y739" s="34">
        <f t="shared" si="35"/>
        <v>4.6874237717015044E-7</v>
      </c>
    </row>
    <row r="740" spans="15:25" ht="17.100000000000001" customHeight="1">
      <c r="O740" s="12">
        <f t="shared" si="36"/>
        <v>60.583333333333336</v>
      </c>
      <c r="P740" s="13">
        <v>727</v>
      </c>
      <c r="Q740" s="22"/>
      <c r="R740" s="19"/>
      <c r="S740" s="22"/>
      <c r="T740" s="19"/>
      <c r="U740" s="24">
        <v>4.7120160346573403E-2</v>
      </c>
      <c r="V740" s="24">
        <f t="shared" si="37"/>
        <v>4.3092573816774893E-2</v>
      </c>
      <c r="W740" s="106">
        <v>4.3092569999999997</v>
      </c>
      <c r="X740" s="106">
        <v>4.3092999999999999E-2</v>
      </c>
      <c r="Y740" s="34">
        <f t="shared" si="35"/>
        <v>4.2618322510651341E-7</v>
      </c>
    </row>
    <row r="741" spans="15:25" ht="17.100000000000001" customHeight="1">
      <c r="O741" s="12">
        <f t="shared" si="36"/>
        <v>60.666666666666664</v>
      </c>
      <c r="P741" s="13">
        <v>728</v>
      </c>
      <c r="Q741" s="22"/>
      <c r="R741" s="19"/>
      <c r="S741" s="22"/>
      <c r="T741" s="19"/>
      <c r="U741" s="24">
        <v>4.711461729504296E-2</v>
      </c>
      <c r="V741" s="24">
        <f t="shared" si="37"/>
        <v>4.3091626170282282E-2</v>
      </c>
      <c r="W741" s="106">
        <v>4.3091629999999999</v>
      </c>
      <c r="X741" s="106">
        <v>4.3091999999999998E-2</v>
      </c>
      <c r="Y741" s="34">
        <f t="shared" si="35"/>
        <v>3.7382971771610096E-7</v>
      </c>
    </row>
    <row r="742" spans="15:25" ht="17.100000000000001" customHeight="1">
      <c r="O742" s="12">
        <f t="shared" si="36"/>
        <v>60.75</v>
      </c>
      <c r="P742" s="13">
        <v>729</v>
      </c>
      <c r="Q742" s="22"/>
      <c r="R742" s="19"/>
      <c r="S742" s="22"/>
      <c r="T742" s="19"/>
      <c r="U742" s="24">
        <v>4.7109088175076419E-2</v>
      </c>
      <c r="V742" s="24">
        <f t="shared" si="37"/>
        <v>4.3090688218743622E-2</v>
      </c>
      <c r="W742" s="106">
        <v>4.309069</v>
      </c>
      <c r="X742" s="106">
        <v>4.3090999999999997E-2</v>
      </c>
      <c r="Y742" s="34">
        <f t="shared" si="35"/>
        <v>3.1178125637493226E-7</v>
      </c>
    </row>
    <row r="743" spans="15:25" ht="17.100000000000001" customHeight="1">
      <c r="O743" s="12">
        <f t="shared" si="36"/>
        <v>60.833333333333336</v>
      </c>
      <c r="P743" s="13">
        <v>730</v>
      </c>
      <c r="Q743" s="22"/>
      <c r="R743" s="19"/>
      <c r="S743" s="22"/>
      <c r="T743" s="19"/>
      <c r="U743" s="24">
        <v>4.7103572942651883E-2</v>
      </c>
      <c r="V743" s="24">
        <f t="shared" si="37"/>
        <v>4.3089759861864918E-2</v>
      </c>
      <c r="W743" s="106">
        <v>4.3089760000000004</v>
      </c>
      <c r="X743" s="106">
        <v>4.3090000000000003E-2</v>
      </c>
      <c r="Y743" s="34">
        <f t="shared" si="35"/>
        <v>2.4013813508527715E-7</v>
      </c>
    </row>
    <row r="744" spans="15:25" ht="17.100000000000001" customHeight="1">
      <c r="O744" s="12">
        <f t="shared" si="36"/>
        <v>60.916666666666664</v>
      </c>
      <c r="P744" s="13">
        <v>731</v>
      </c>
      <c r="Q744" s="22"/>
      <c r="R744" s="19"/>
      <c r="S744" s="22"/>
      <c r="T744" s="19"/>
      <c r="U744" s="24">
        <v>4.7098071553851151E-2</v>
      </c>
      <c r="V744" s="24">
        <f t="shared" si="37"/>
        <v>4.3088841002533629E-2</v>
      </c>
      <c r="W744" s="106">
        <v>4.3088839999999999</v>
      </c>
      <c r="X744" s="106">
        <v>4.3089000000000002E-2</v>
      </c>
      <c r="Y744" s="34">
        <f t="shared" si="35"/>
        <v>1.5899746637348944E-7</v>
      </c>
    </row>
    <row r="745" spans="15:25" ht="17.100000000000001" customHeight="1">
      <c r="O745" s="12">
        <f t="shared" si="36"/>
        <v>61</v>
      </c>
      <c r="P745" s="13">
        <v>732</v>
      </c>
      <c r="Q745" s="22"/>
      <c r="R745" s="19"/>
      <c r="S745" s="22"/>
      <c r="T745" s="19"/>
      <c r="U745" s="24">
        <v>4.7092583964862822E-2</v>
      </c>
      <c r="V745" s="24">
        <f t="shared" si="37"/>
        <v>4.3087931543322577E-2</v>
      </c>
      <c r="W745" s="106">
        <v>4.3087929999999997</v>
      </c>
      <c r="X745" s="106">
        <v>4.3088000000000001E-2</v>
      </c>
      <c r="Y745" s="34">
        <f t="shared" si="35"/>
        <v>6.8456677423944789E-8</v>
      </c>
    </row>
    <row r="746" spans="15:25" ht="17.100000000000001" customHeight="1">
      <c r="O746" s="12">
        <f t="shared" si="36"/>
        <v>61.083333333333336</v>
      </c>
      <c r="P746" s="13">
        <v>733</v>
      </c>
      <c r="Q746" s="22"/>
      <c r="R746" s="19"/>
      <c r="S746" s="22"/>
      <c r="T746" s="19"/>
      <c r="U746" s="24">
        <v>4.7087110131981635E-2</v>
      </c>
      <c r="V746" s="24">
        <f t="shared" si="37"/>
        <v>4.3087031388228336E-2</v>
      </c>
      <c r="W746" s="106">
        <v>4.3087030000000004</v>
      </c>
      <c r="X746" s="106">
        <v>4.3087E-2</v>
      </c>
      <c r="Y746" s="34">
        <f t="shared" si="35"/>
        <v>-3.1388228335926804E-8</v>
      </c>
    </row>
    <row r="747" spans="15:25" ht="17.100000000000001" customHeight="1">
      <c r="O747" s="12">
        <f t="shared" si="36"/>
        <v>61.166666666666664</v>
      </c>
      <c r="P747" s="13">
        <v>734</v>
      </c>
      <c r="Q747" s="22"/>
      <c r="R747" s="19"/>
      <c r="S747" s="22"/>
      <c r="T747" s="19"/>
      <c r="U747" s="24">
        <v>4.7081650011609577E-2</v>
      </c>
      <c r="V747" s="24">
        <f t="shared" si="37"/>
        <v>4.3086140442365473E-2</v>
      </c>
      <c r="W747" s="106">
        <v>4.3086140000000004</v>
      </c>
      <c r="X747" s="106">
        <v>4.3085999999999999E-2</v>
      </c>
      <c r="Y747" s="34">
        <f t="shared" si="35"/>
        <v>-1.4044236547328115E-7</v>
      </c>
    </row>
    <row r="748" spans="15:25" ht="17.100000000000001" customHeight="1">
      <c r="O748" s="12">
        <f t="shared" si="36"/>
        <v>61.25</v>
      </c>
      <c r="P748" s="13">
        <v>735</v>
      </c>
      <c r="Q748" s="22"/>
      <c r="R748" s="19"/>
      <c r="S748" s="22"/>
      <c r="T748" s="19"/>
      <c r="U748" s="24">
        <v>4.7076203560256547E-2</v>
      </c>
      <c r="V748" s="24">
        <f t="shared" si="37"/>
        <v>4.3085258611486266E-2</v>
      </c>
      <c r="W748" s="106">
        <v>4.3085259999999996</v>
      </c>
      <c r="X748" s="106">
        <v>4.3084999999999998E-2</v>
      </c>
      <c r="Y748" s="34">
        <f t="shared" si="35"/>
        <v>-2.586114862673794E-7</v>
      </c>
    </row>
    <row r="749" spans="15:25" ht="17.100000000000001" customHeight="1">
      <c r="O749" s="12">
        <f t="shared" si="36"/>
        <v>61.333333333333336</v>
      </c>
      <c r="P749" s="13">
        <v>736</v>
      </c>
      <c r="Q749" s="22"/>
      <c r="R749" s="19"/>
      <c r="S749" s="22"/>
      <c r="T749" s="19"/>
      <c r="U749" s="24">
        <v>4.7070770734540357E-2</v>
      </c>
      <c r="V749" s="24">
        <f t="shared" si="37"/>
        <v>4.3084385802496294E-2</v>
      </c>
      <c r="W749" s="106">
        <v>4.3084389999999999</v>
      </c>
      <c r="X749" s="106">
        <v>4.3083999999999997E-2</v>
      </c>
      <c r="Y749" s="34">
        <f t="shared" si="35"/>
        <v>-3.8580249629716068E-7</v>
      </c>
    </row>
    <row r="750" spans="15:25" ht="17.100000000000001" customHeight="1">
      <c r="O750" s="12">
        <f t="shared" si="36"/>
        <v>61.416666666666664</v>
      </c>
      <c r="P750" s="13">
        <v>737</v>
      </c>
      <c r="Q750" s="22"/>
      <c r="R750" s="19"/>
      <c r="S750" s="22"/>
      <c r="T750" s="19"/>
      <c r="U750" s="24">
        <v>4.7065351491188068E-2</v>
      </c>
      <c r="V750" s="24">
        <f t="shared" si="37"/>
        <v>4.308352192310938E-2</v>
      </c>
      <c r="W750" s="106">
        <v>4.3083520000000002</v>
      </c>
      <c r="X750" s="106">
        <v>4.3083999999999997E-2</v>
      </c>
      <c r="Y750" s="34">
        <f t="shared" si="35"/>
        <v>4.7807689061707404E-7</v>
      </c>
    </row>
    <row r="751" spans="15:25" ht="17.100000000000001" customHeight="1">
      <c r="O751" s="12">
        <f t="shared" si="36"/>
        <v>61.5</v>
      </c>
      <c r="P751" s="13">
        <v>738</v>
      </c>
      <c r="Q751" s="22"/>
      <c r="R751" s="19"/>
      <c r="S751" s="22"/>
      <c r="T751" s="19"/>
      <c r="U751" s="24">
        <v>4.7059945787035984E-2</v>
      </c>
      <c r="V751" s="24">
        <f t="shared" si="37"/>
        <v>4.308266688203477E-2</v>
      </c>
      <c r="W751" s="106">
        <v>4.3082669999999998</v>
      </c>
      <c r="X751" s="106">
        <v>4.3083000000000003E-2</v>
      </c>
      <c r="Y751" s="34">
        <f t="shared" si="35"/>
        <v>3.3311796523299853E-7</v>
      </c>
    </row>
    <row r="752" spans="15:25" ht="17.100000000000001" customHeight="1">
      <c r="O752" s="12">
        <f t="shared" si="36"/>
        <v>61.583333333333336</v>
      </c>
      <c r="P752" s="13">
        <v>739</v>
      </c>
      <c r="Q752" s="22"/>
      <c r="R752" s="19"/>
      <c r="S752" s="22"/>
      <c r="T752" s="19"/>
      <c r="U752" s="24">
        <v>4.7054553579030323E-2</v>
      </c>
      <c r="V752" s="24">
        <f t="shared" si="37"/>
        <v>4.308182058938681E-2</v>
      </c>
      <c r="W752" s="106">
        <v>4.3081820000000004</v>
      </c>
      <c r="X752" s="106">
        <v>4.3082000000000002E-2</v>
      </c>
      <c r="Y752" s="34">
        <f t="shared" si="35"/>
        <v>1.7941061319221019E-7</v>
      </c>
    </row>
    <row r="753" spans="15:25" ht="17.100000000000001" customHeight="1">
      <c r="O753" s="12">
        <f t="shared" si="36"/>
        <v>61.666666666666664</v>
      </c>
      <c r="P753" s="13">
        <v>740</v>
      </c>
      <c r="Q753" s="22"/>
      <c r="R753" s="19"/>
      <c r="S753" s="22"/>
      <c r="T753" s="19"/>
      <c r="U753" s="24">
        <v>4.7049174824228324E-2</v>
      </c>
      <c r="V753" s="24">
        <f t="shared" si="37"/>
        <v>4.3080982955135516E-2</v>
      </c>
      <c r="W753" s="106">
        <v>4.3080980000000002</v>
      </c>
      <c r="X753" s="106">
        <v>4.3081000000000001E-2</v>
      </c>
      <c r="Y753" s="34">
        <f t="shared" si="35"/>
        <v>1.7044864485116218E-8</v>
      </c>
    </row>
    <row r="754" spans="15:25" ht="17.100000000000001" customHeight="1">
      <c r="O754" s="12">
        <f t="shared" si="36"/>
        <v>61.75</v>
      </c>
      <c r="P754" s="13">
        <v>741</v>
      </c>
      <c r="Q754" s="22"/>
      <c r="R754" s="19"/>
      <c r="S754" s="22"/>
      <c r="T754" s="19"/>
      <c r="U754" s="24">
        <v>4.7043809479797583E-2</v>
      </c>
      <c r="V754" s="24">
        <f t="shared" si="37"/>
        <v>4.3080153891402295E-2</v>
      </c>
      <c r="W754" s="106">
        <v>4.3080150000000001</v>
      </c>
      <c r="X754" s="106">
        <v>4.308E-2</v>
      </c>
      <c r="Y754" s="34">
        <f t="shared" si="35"/>
        <v>-1.5389140229499221E-7</v>
      </c>
    </row>
    <row r="755" spans="15:25" ht="17.100000000000001" customHeight="1">
      <c r="O755" s="12">
        <f t="shared" si="36"/>
        <v>61.833333333333336</v>
      </c>
      <c r="P755" s="13">
        <v>742</v>
      </c>
      <c r="Q755" s="22"/>
      <c r="R755" s="19"/>
      <c r="S755" s="22"/>
      <c r="T755" s="19"/>
      <c r="U755" s="24">
        <v>4.7038457503017606E-2</v>
      </c>
      <c r="V755" s="24">
        <f t="shared" si="37"/>
        <v>4.3079333310153567E-2</v>
      </c>
      <c r="W755" s="106">
        <v>4.3079330000000002</v>
      </c>
      <c r="X755" s="106">
        <v>4.3078999999999999E-2</v>
      </c>
      <c r="Y755" s="34">
        <f t="shared" si="35"/>
        <v>-3.3331015356768967E-7</v>
      </c>
    </row>
    <row r="756" spans="15:25" ht="17.100000000000001" customHeight="1">
      <c r="O756" s="12">
        <f t="shared" si="36"/>
        <v>61.916666666666664</v>
      </c>
      <c r="P756" s="13">
        <v>743</v>
      </c>
      <c r="Q756" s="22"/>
      <c r="R756" s="19"/>
      <c r="S756" s="22"/>
      <c r="T756" s="19"/>
      <c r="U756" s="24">
        <v>4.7033118851279809E-2</v>
      </c>
      <c r="V756" s="24">
        <f t="shared" si="37"/>
        <v>4.3078521124601199E-2</v>
      </c>
      <c r="W756" s="106">
        <v>4.3078519999999996</v>
      </c>
      <c r="X756" s="106">
        <v>4.3078999999999999E-2</v>
      </c>
      <c r="Y756" s="34">
        <f t="shared" si="35"/>
        <v>4.7887539880026031E-7</v>
      </c>
    </row>
    <row r="757" spans="15:25" ht="17.100000000000001" customHeight="1">
      <c r="O757" s="12">
        <f t="shared" si="36"/>
        <v>62</v>
      </c>
      <c r="P757" s="13">
        <v>744</v>
      </c>
      <c r="Q757" s="22"/>
      <c r="R757" s="19"/>
      <c r="S757" s="22"/>
      <c r="T757" s="19"/>
      <c r="U757" s="24">
        <v>4.7027793482087521E-2</v>
      </c>
      <c r="V757" s="24">
        <f t="shared" si="37"/>
        <v>4.3077717249723202E-2</v>
      </c>
      <c r="W757" s="106">
        <v>4.3077719999999999</v>
      </c>
      <c r="X757" s="106">
        <v>4.3077999999999998E-2</v>
      </c>
      <c r="Y757" s="34">
        <f t="shared" si="35"/>
        <v>2.8275027679630638E-7</v>
      </c>
    </row>
    <row r="758" spans="15:25" ht="17.100000000000001" customHeight="1">
      <c r="O758" s="12">
        <f t="shared" si="36"/>
        <v>62.083333333333336</v>
      </c>
      <c r="P758" s="13">
        <v>745</v>
      </c>
      <c r="Q758" s="22"/>
      <c r="R758" s="19"/>
      <c r="S758" s="22"/>
      <c r="T758" s="19"/>
      <c r="U758" s="24">
        <v>4.7022481353057977E-2</v>
      </c>
      <c r="V758" s="24">
        <f t="shared" si="37"/>
        <v>4.3076921599803253E-2</v>
      </c>
      <c r="W758" s="106">
        <v>4.3076920000000003</v>
      </c>
      <c r="X758" s="106">
        <v>4.3076999999999997E-2</v>
      </c>
      <c r="Y758" s="34">
        <f t="shared" si="35"/>
        <v>7.8400196744377038E-8</v>
      </c>
    </row>
    <row r="759" spans="15:25" ht="17.100000000000001" customHeight="1">
      <c r="O759" s="12">
        <f t="shared" si="36"/>
        <v>62.166666666666664</v>
      </c>
      <c r="P759" s="13">
        <v>746</v>
      </c>
      <c r="Q759" s="22"/>
      <c r="R759" s="19"/>
      <c r="S759" s="22"/>
      <c r="T759" s="19"/>
      <c r="U759" s="24">
        <v>4.7017182421920767E-2</v>
      </c>
      <c r="V759" s="24">
        <f t="shared" si="37"/>
        <v>4.3076134090905827E-2</v>
      </c>
      <c r="W759" s="106">
        <v>4.3076129999999999</v>
      </c>
      <c r="X759" s="106">
        <v>4.3076000000000003E-2</v>
      </c>
      <c r="Y759" s="34">
        <f t="shared" si="35"/>
        <v>-1.3409090582339189E-7</v>
      </c>
    </row>
    <row r="760" spans="15:25" ht="17.100000000000001" customHeight="1">
      <c r="O760" s="12">
        <f t="shared" si="36"/>
        <v>62.25</v>
      </c>
      <c r="P760" s="13">
        <v>747</v>
      </c>
      <c r="Q760" s="22"/>
      <c r="R760" s="19"/>
      <c r="S760" s="22"/>
      <c r="T760" s="19"/>
      <c r="U760" s="24">
        <v>4.7011896646519391E-2</v>
      </c>
      <c r="V760" s="24">
        <f t="shared" si="37"/>
        <v>4.3075354640083274E-2</v>
      </c>
      <c r="W760" s="106">
        <v>4.3075349999999997</v>
      </c>
      <c r="X760" s="106">
        <v>4.3075000000000002E-2</v>
      </c>
      <c r="Y760" s="34">
        <f t="shared" si="35"/>
        <v>-3.5464008327212859E-7</v>
      </c>
    </row>
    <row r="761" spans="15:25" ht="17.100000000000001" customHeight="1">
      <c r="O761" s="12">
        <f t="shared" si="36"/>
        <v>62.333333333333336</v>
      </c>
      <c r="P761" s="13">
        <v>748</v>
      </c>
      <c r="Q761" s="22"/>
      <c r="R761" s="19"/>
      <c r="S761" s="22"/>
      <c r="T761" s="19"/>
      <c r="U761" s="24">
        <v>4.7006623984811702E-2</v>
      </c>
      <c r="V761" s="24">
        <f t="shared" si="37"/>
        <v>4.3074583164969482E-2</v>
      </c>
      <c r="W761" s="106">
        <v>4.3074579999999996</v>
      </c>
      <c r="X761" s="106">
        <v>4.3075000000000002E-2</v>
      </c>
      <c r="Y761" s="34">
        <f t="shared" si="35"/>
        <v>4.1683503052003523E-7</v>
      </c>
    </row>
    <row r="762" spans="15:25" ht="17.100000000000001" customHeight="1">
      <c r="O762" s="12">
        <f t="shared" si="36"/>
        <v>62.416666666666664</v>
      </c>
      <c r="P762" s="13">
        <v>749</v>
      </c>
      <c r="Q762" s="22"/>
      <c r="R762" s="19"/>
      <c r="S762" s="22"/>
      <c r="T762" s="19"/>
      <c r="U762" s="24">
        <v>4.7001364394869682E-2</v>
      </c>
      <c r="V762" s="24">
        <f t="shared" si="37"/>
        <v>4.3073819583758999E-2</v>
      </c>
      <c r="W762" s="106">
        <v>4.3073819999999996</v>
      </c>
      <c r="X762" s="106">
        <v>4.3074000000000001E-2</v>
      </c>
      <c r="Y762" s="34">
        <f t="shared" si="35"/>
        <v>1.8041624100240128E-7</v>
      </c>
    </row>
    <row r="763" spans="15:25" ht="17.100000000000001" customHeight="1">
      <c r="O763" s="12">
        <f t="shared" si="36"/>
        <v>62.5</v>
      </c>
      <c r="P763" s="13">
        <v>750</v>
      </c>
      <c r="Q763" s="22"/>
      <c r="R763" s="19"/>
      <c r="S763" s="22"/>
      <c r="T763" s="19"/>
      <c r="U763" s="24">
        <v>4.6996117834880335E-2</v>
      </c>
      <c r="V763" s="24">
        <f t="shared" si="37"/>
        <v>4.3073063815921131E-2</v>
      </c>
      <c r="W763" s="106">
        <v>4.3073059999999996</v>
      </c>
      <c r="X763" s="106">
        <v>4.3073E-2</v>
      </c>
      <c r="Y763" s="34">
        <f t="shared" si="35"/>
        <v>-6.3815921130805364E-8</v>
      </c>
    </row>
    <row r="764" spans="15:25" ht="17.100000000000001" customHeight="1">
      <c r="O764" s="12">
        <f t="shared" si="36"/>
        <v>62.583333333333336</v>
      </c>
      <c r="P764" s="13">
        <v>751</v>
      </c>
      <c r="Q764" s="22"/>
      <c r="R764" s="19"/>
      <c r="S764" s="22"/>
      <c r="T764" s="19"/>
      <c r="U764" s="24">
        <v>4.6990884263145682E-2</v>
      </c>
      <c r="V764" s="24">
        <f t="shared" si="37"/>
        <v>4.3072315781585546E-2</v>
      </c>
      <c r="W764" s="106">
        <v>4.3072319999999999</v>
      </c>
      <c r="X764" s="106">
        <v>4.3071999999999999E-2</v>
      </c>
      <c r="Y764" s="34">
        <f t="shared" si="35"/>
        <v>-3.1578158554701474E-7</v>
      </c>
    </row>
    <row r="765" spans="15:25" ht="17.100000000000001" customHeight="1">
      <c r="O765" s="12">
        <f t="shared" si="36"/>
        <v>62.666666666666664</v>
      </c>
      <c r="P765" s="13">
        <v>752</v>
      </c>
      <c r="Q765" s="22"/>
      <c r="R765" s="19"/>
      <c r="S765" s="22"/>
      <c r="T765" s="19"/>
      <c r="U765" s="24">
        <v>4.6985663638083208E-2</v>
      </c>
      <c r="V765" s="24">
        <f t="shared" si="37"/>
        <v>4.3071575401615991E-2</v>
      </c>
      <c r="W765" s="106">
        <v>4.3071580000000003</v>
      </c>
      <c r="X765" s="106">
        <v>4.3071999999999999E-2</v>
      </c>
      <c r="Y765" s="34">
        <f t="shared" si="35"/>
        <v>4.245983840078793E-7</v>
      </c>
    </row>
    <row r="766" spans="15:25" ht="17.100000000000001" customHeight="1">
      <c r="O766" s="12">
        <f t="shared" si="36"/>
        <v>62.75</v>
      </c>
      <c r="P766" s="13">
        <v>753</v>
      </c>
      <c r="Q766" s="22"/>
      <c r="R766" s="19"/>
      <c r="S766" s="22"/>
      <c r="T766" s="19"/>
      <c r="U766" s="24">
        <v>4.6980455918226083E-2</v>
      </c>
      <c r="V766" s="24">
        <f t="shared" si="37"/>
        <v>4.3070842598152081E-2</v>
      </c>
      <c r="W766" s="106">
        <v>4.3070839999999997</v>
      </c>
      <c r="X766" s="106">
        <v>4.3070999999999998E-2</v>
      </c>
      <c r="Y766" s="34">
        <f t="shared" si="35"/>
        <v>1.5740184791668277E-7</v>
      </c>
    </row>
    <row r="767" spans="15:25" ht="17.100000000000001" customHeight="1">
      <c r="O767" s="12">
        <f t="shared" si="36"/>
        <v>62.833333333333336</v>
      </c>
      <c r="P767" s="13">
        <v>754</v>
      </c>
      <c r="Q767" s="22"/>
      <c r="R767" s="19"/>
      <c r="S767" s="22"/>
      <c r="T767" s="19"/>
      <c r="U767" s="24">
        <v>4.6975261062224272E-2</v>
      </c>
      <c r="V767" s="24">
        <f t="shared" si="37"/>
        <v>4.3070117293069865E-2</v>
      </c>
      <c r="W767" s="106">
        <v>4.3070120000000003</v>
      </c>
      <c r="X767" s="106">
        <v>4.3069999999999997E-2</v>
      </c>
      <c r="Y767" s="34">
        <f t="shared" si="35"/>
        <v>-1.1729306986785204E-7</v>
      </c>
    </row>
    <row r="768" spans="15:25" ht="17.100000000000001" customHeight="1">
      <c r="O768" s="12">
        <f t="shared" si="36"/>
        <v>62.916666666666664</v>
      </c>
      <c r="P768" s="13">
        <v>755</v>
      </c>
      <c r="Q768" s="22"/>
      <c r="R768" s="19"/>
      <c r="S768" s="22"/>
      <c r="T768" s="19"/>
      <c r="U768" s="24">
        <v>4.6970079028843204E-2</v>
      </c>
      <c r="V768" s="24">
        <f t="shared" si="37"/>
        <v>4.3069399410577081E-2</v>
      </c>
      <c r="W768" s="106">
        <v>4.30694</v>
      </c>
      <c r="X768" s="106">
        <v>4.3069000000000003E-2</v>
      </c>
      <c r="Y768" s="34">
        <f t="shared" si="35"/>
        <v>-3.9941057707743033E-7</v>
      </c>
    </row>
    <row r="769" spans="15:25" ht="17.100000000000001" customHeight="1">
      <c r="O769" s="12">
        <f t="shared" si="36"/>
        <v>63</v>
      </c>
      <c r="P769" s="13">
        <v>756</v>
      </c>
      <c r="Q769" s="22"/>
      <c r="R769" s="19"/>
      <c r="S769" s="22"/>
      <c r="T769" s="19"/>
      <c r="U769" s="24">
        <v>4.6964909776965991E-2</v>
      </c>
      <c r="V769" s="24">
        <f t="shared" si="37"/>
        <v>4.3068688873944661E-2</v>
      </c>
      <c r="W769" s="106">
        <v>4.3068689999999998</v>
      </c>
      <c r="X769" s="106">
        <v>4.3069000000000003E-2</v>
      </c>
      <c r="Y769" s="34">
        <f t="shared" si="35"/>
        <v>3.1112605534261428E-7</v>
      </c>
    </row>
    <row r="770" spans="15:25" ht="17.100000000000001" customHeight="1">
      <c r="O770" s="12">
        <f t="shared" si="36"/>
        <v>63.083333333333336</v>
      </c>
      <c r="P770" s="13">
        <v>757</v>
      </c>
      <c r="Q770" s="22"/>
      <c r="R770" s="19"/>
      <c r="S770" s="22"/>
      <c r="T770" s="19"/>
      <c r="U770" s="24">
        <v>4.6959753265591653E-2</v>
      </c>
      <c r="V770" s="24">
        <f t="shared" si="37"/>
        <v>4.3067985608242321E-2</v>
      </c>
      <c r="W770" s="106">
        <v>4.3067989999999998</v>
      </c>
      <c r="X770" s="106">
        <v>4.3068000000000002E-2</v>
      </c>
      <c r="Y770" s="34">
        <f t="shared" si="35"/>
        <v>1.4391757681420092E-8</v>
      </c>
    </row>
    <row r="771" spans="15:25" ht="17.100000000000001" customHeight="1">
      <c r="O771" s="12">
        <f t="shared" si="36"/>
        <v>63.166666666666664</v>
      </c>
      <c r="P771" s="13">
        <v>758</v>
      </c>
      <c r="Q771" s="22"/>
      <c r="R771" s="19"/>
      <c r="S771" s="22"/>
      <c r="T771" s="19"/>
      <c r="U771" s="24">
        <v>4.6954609453836893E-2</v>
      </c>
      <c r="V771" s="24">
        <f t="shared" si="37"/>
        <v>4.3067289539921783E-2</v>
      </c>
      <c r="W771" s="106">
        <v>4.3067289999999998</v>
      </c>
      <c r="X771" s="106">
        <v>4.3067000000000001E-2</v>
      </c>
      <c r="Y771" s="34">
        <f t="shared" si="35"/>
        <v>-2.8953992178143428E-7</v>
      </c>
    </row>
    <row r="772" spans="15:25" ht="17.100000000000001" customHeight="1">
      <c r="O772" s="12">
        <f t="shared" si="36"/>
        <v>63.25</v>
      </c>
      <c r="P772" s="13">
        <v>759</v>
      </c>
      <c r="Q772" s="22"/>
      <c r="R772" s="19"/>
      <c r="S772" s="22"/>
      <c r="T772" s="19"/>
      <c r="U772" s="24">
        <v>4.694947830093632E-2</v>
      </c>
      <c r="V772" s="24">
        <f t="shared" si="37"/>
        <v>4.3066600594294124E-2</v>
      </c>
      <c r="W772" s="106">
        <v>4.3066599999999999</v>
      </c>
      <c r="X772" s="106">
        <v>4.3067000000000001E-2</v>
      </c>
      <c r="Y772" s="34">
        <f t="shared" si="35"/>
        <v>3.9940570587676527E-7</v>
      </c>
    </row>
    <row r="773" spans="15:25" ht="17.100000000000001" customHeight="1">
      <c r="O773" s="12">
        <f t="shared" si="36"/>
        <v>63.333333333333336</v>
      </c>
      <c r="P773" s="13">
        <v>760</v>
      </c>
      <c r="Q773" s="22"/>
      <c r="R773" s="19"/>
      <c r="S773" s="22"/>
      <c r="T773" s="19"/>
      <c r="U773" s="24">
        <v>4.6944359766241339E-2</v>
      </c>
      <c r="V773" s="24">
        <f t="shared" si="37"/>
        <v>4.3065918699374262E-2</v>
      </c>
      <c r="W773" s="106">
        <v>4.3065920000000002</v>
      </c>
      <c r="X773" s="106">
        <v>4.3066E-2</v>
      </c>
      <c r="Y773" s="34">
        <f t="shared" si="35"/>
        <v>8.1300625738578436E-8</v>
      </c>
    </row>
    <row r="774" spans="15:25" ht="17.100000000000001" customHeight="1">
      <c r="O774" s="12">
        <f t="shared" si="36"/>
        <v>63.416666666666664</v>
      </c>
      <c r="P774" s="13">
        <v>761</v>
      </c>
      <c r="Q774" s="22"/>
      <c r="R774" s="19"/>
      <c r="S774" s="22"/>
      <c r="T774" s="19"/>
      <c r="U774" s="24">
        <v>4.6939253809221926E-2</v>
      </c>
      <c r="V774" s="24">
        <f t="shared" si="37"/>
        <v>4.3065243782700602E-2</v>
      </c>
      <c r="W774" s="106">
        <v>4.3065239999999996</v>
      </c>
      <c r="X774" s="106">
        <v>4.3064999999999999E-2</v>
      </c>
      <c r="Y774" s="34">
        <f t="shared" si="35"/>
        <v>-2.4378270060271268E-7</v>
      </c>
    </row>
    <row r="775" spans="15:25" ht="17.100000000000001" customHeight="1">
      <c r="O775" s="12">
        <f t="shared" si="36"/>
        <v>63.5</v>
      </c>
      <c r="P775" s="13">
        <v>762</v>
      </c>
      <c r="Q775" s="22"/>
      <c r="R775" s="19"/>
      <c r="S775" s="22"/>
      <c r="T775" s="19"/>
      <c r="U775" s="24">
        <v>4.6934160389465962E-2</v>
      </c>
      <c r="V775" s="24">
        <f t="shared" si="37"/>
        <v>4.3064575772880698E-2</v>
      </c>
      <c r="W775" s="106">
        <v>4.3064580000000001</v>
      </c>
      <c r="X775" s="106">
        <v>4.3064999999999999E-2</v>
      </c>
      <c r="Y775" s="34">
        <f t="shared" si="35"/>
        <v>4.2422711930140133E-7</v>
      </c>
    </row>
    <row r="776" spans="15:25" ht="17.100000000000001" customHeight="1">
      <c r="O776" s="12">
        <f t="shared" si="36"/>
        <v>63.583333333333336</v>
      </c>
      <c r="P776" s="13">
        <v>763</v>
      </c>
      <c r="Q776" s="22"/>
      <c r="R776" s="19"/>
      <c r="S776" s="22"/>
      <c r="T776" s="19"/>
      <c r="U776" s="24">
        <v>4.6929079466679458E-2</v>
      </c>
      <c r="V776" s="24">
        <f t="shared" si="37"/>
        <v>4.3063914599586584E-2</v>
      </c>
      <c r="W776" s="106">
        <v>4.3063909999999996</v>
      </c>
      <c r="X776" s="106">
        <v>4.3063999999999998E-2</v>
      </c>
      <c r="Y776" s="34">
        <f t="shared" si="35"/>
        <v>8.540041341459359E-8</v>
      </c>
    </row>
    <row r="777" spans="15:25" ht="17.100000000000001" customHeight="1">
      <c r="O777" s="12">
        <f t="shared" si="36"/>
        <v>63.666666666666664</v>
      </c>
      <c r="P777" s="13">
        <v>764</v>
      </c>
      <c r="Q777" s="22"/>
      <c r="R777" s="19"/>
      <c r="S777" s="22"/>
      <c r="T777" s="19"/>
      <c r="U777" s="24">
        <v>4.6924011000687216E-2</v>
      </c>
      <c r="V777" s="24">
        <f t="shared" si="37"/>
        <v>4.3063260192722996E-2</v>
      </c>
      <c r="W777" s="106">
        <v>4.3063260000000003</v>
      </c>
      <c r="X777" s="106">
        <v>4.3062999999999997E-2</v>
      </c>
      <c r="Y777" s="34">
        <f t="shared" si="35"/>
        <v>-2.6019272299920848E-7</v>
      </c>
    </row>
    <row r="778" spans="15:25" ht="17.100000000000001" customHeight="1">
      <c r="O778" s="12">
        <f t="shared" si="36"/>
        <v>63.75</v>
      </c>
      <c r="P778" s="13">
        <v>765</v>
      </c>
      <c r="Q778" s="22"/>
      <c r="R778" s="19"/>
      <c r="S778" s="22"/>
      <c r="T778" s="19"/>
      <c r="U778" s="24">
        <v>4.691895495143239E-2</v>
      </c>
      <c r="V778" s="24">
        <f t="shared" si="37"/>
        <v>4.3062612482925422E-2</v>
      </c>
      <c r="W778" s="106">
        <v>4.3062610000000001</v>
      </c>
      <c r="X778" s="106">
        <v>4.3062999999999997E-2</v>
      </c>
      <c r="Y778" s="34">
        <f t="shared" si="35"/>
        <v>3.8751707457512774E-7</v>
      </c>
    </row>
    <row r="779" spans="15:25" ht="17.100000000000001" customHeight="1">
      <c r="O779" s="12">
        <f t="shared" si="36"/>
        <v>63.833333333333336</v>
      </c>
      <c r="P779" s="13">
        <v>766</v>
      </c>
      <c r="Q779" s="22"/>
      <c r="R779" s="19"/>
      <c r="S779" s="22"/>
      <c r="T779" s="19"/>
      <c r="U779" s="24">
        <v>4.6913911278976927E-2</v>
      </c>
      <c r="V779" s="24">
        <f t="shared" si="37"/>
        <v>4.3061971402300614E-2</v>
      </c>
      <c r="W779" s="106">
        <v>4.3061970000000001</v>
      </c>
      <c r="X779" s="106">
        <v>4.3062000000000003E-2</v>
      </c>
      <c r="Y779" s="34">
        <f t="shared" si="35"/>
        <v>2.8597699389121267E-8</v>
      </c>
    </row>
    <row r="780" spans="15:25" ht="17.100000000000001" customHeight="1">
      <c r="O780" s="12">
        <f t="shared" si="36"/>
        <v>63.916666666666664</v>
      </c>
      <c r="P780" s="13">
        <v>767</v>
      </c>
      <c r="Q780" s="22"/>
      <c r="R780" s="19"/>
      <c r="S780" s="22"/>
      <c r="T780" s="19"/>
      <c r="U780" s="24">
        <v>4.6908879943502235E-2</v>
      </c>
      <c r="V780" s="24">
        <f t="shared" si="37"/>
        <v>4.3061336882158185E-2</v>
      </c>
      <c r="W780" s="106">
        <v>4.3061340000000001</v>
      </c>
      <c r="X780" s="106">
        <v>4.3061000000000002E-2</v>
      </c>
      <c r="Y780" s="34">
        <f t="shared" si="35"/>
        <v>-3.3688215818339362E-7</v>
      </c>
    </row>
    <row r="781" spans="15:25" ht="17.100000000000001" customHeight="1">
      <c r="O781" s="12">
        <f t="shared" si="36"/>
        <v>64</v>
      </c>
      <c r="P781" s="13">
        <v>768</v>
      </c>
      <c r="Q781" s="22"/>
      <c r="R781" s="19"/>
      <c r="S781" s="22"/>
      <c r="T781" s="19"/>
      <c r="U781" s="24">
        <v>4.6903860905307848E-2</v>
      </c>
      <c r="V781" s="24">
        <f t="shared" si="37"/>
        <v>4.306070885619695E-2</v>
      </c>
      <c r="W781" s="106">
        <v>4.3060710000000002</v>
      </c>
      <c r="X781" s="106">
        <v>4.3061000000000002E-2</v>
      </c>
      <c r="Y781" s="34">
        <f t="shared" ref="Y781:Y844" si="38">X781-V781</f>
        <v>2.9114380305228504E-7</v>
      </c>
    </row>
    <row r="782" spans="15:25" ht="17.100000000000001" customHeight="1">
      <c r="O782" s="12">
        <f t="shared" ref="O782:O845" si="39">P782/12</f>
        <v>64.083333333333329</v>
      </c>
      <c r="P782" s="13">
        <v>769</v>
      </c>
      <c r="Q782" s="22"/>
      <c r="R782" s="19"/>
      <c r="S782" s="22"/>
      <c r="T782" s="19"/>
      <c r="U782" s="24">
        <v>4.6898854124813427E-2</v>
      </c>
      <c r="V782" s="24">
        <f t="shared" ref="V782:V845" si="40">(1+U783)^P783/(1+U782)^P782-1</f>
        <v>4.306008725790833E-2</v>
      </c>
      <c r="W782" s="106">
        <v>4.3060090000000004</v>
      </c>
      <c r="X782" s="106">
        <v>4.3060000000000001E-2</v>
      </c>
      <c r="Y782" s="34">
        <f t="shared" si="38"/>
        <v>-8.7257908329418932E-8</v>
      </c>
    </row>
    <row r="783" spans="15:25" ht="17.100000000000001" customHeight="1">
      <c r="O783" s="12">
        <f t="shared" si="39"/>
        <v>64.166666666666671</v>
      </c>
      <c r="P783" s="13">
        <v>770</v>
      </c>
      <c r="Q783" s="22"/>
      <c r="R783" s="19"/>
      <c r="S783" s="22"/>
      <c r="T783" s="19"/>
      <c r="U783" s="24">
        <v>4.6893859562557649E-2</v>
      </c>
      <c r="V783" s="24">
        <f t="shared" si="40"/>
        <v>4.3059472021311107E-2</v>
      </c>
      <c r="W783" s="106">
        <v>4.3059469999999997</v>
      </c>
      <c r="X783" s="106">
        <v>4.3059E-2</v>
      </c>
      <c r="Y783" s="34">
        <f t="shared" si="38"/>
        <v>-4.7202131110701817E-7</v>
      </c>
    </row>
    <row r="784" spans="15:25" ht="17.100000000000001" customHeight="1">
      <c r="O784" s="12">
        <f t="shared" si="39"/>
        <v>64.25</v>
      </c>
      <c r="P784" s="13">
        <v>771</v>
      </c>
      <c r="Q784" s="22"/>
      <c r="R784" s="19"/>
      <c r="S784" s="22"/>
      <c r="T784" s="19"/>
      <c r="U784" s="24">
        <v>4.6888877179198873E-2</v>
      </c>
      <c r="V784" s="24">
        <f t="shared" si="40"/>
        <v>4.3058863081330889E-2</v>
      </c>
      <c r="W784" s="106">
        <v>4.3058860000000001</v>
      </c>
      <c r="X784" s="106">
        <v>4.3059E-2</v>
      </c>
      <c r="Y784" s="34">
        <f t="shared" si="38"/>
        <v>1.3691866911080819E-7</v>
      </c>
    </row>
    <row r="785" spans="15:25" ht="17.100000000000001" customHeight="1">
      <c r="O785" s="12">
        <f t="shared" si="39"/>
        <v>64.333333333333329</v>
      </c>
      <c r="P785" s="13">
        <v>772</v>
      </c>
      <c r="Q785" s="22"/>
      <c r="R785" s="19"/>
      <c r="S785" s="22"/>
      <c r="T785" s="19"/>
      <c r="U785" s="24">
        <v>4.6883906935514252E-2</v>
      </c>
      <c r="V785" s="24">
        <f t="shared" si="40"/>
        <v>4.3058260373754154E-2</v>
      </c>
      <c r="W785" s="106">
        <v>4.3058259999999997</v>
      </c>
      <c r="X785" s="106">
        <v>4.3057999999999999E-2</v>
      </c>
      <c r="Y785" s="34">
        <f t="shared" si="38"/>
        <v>-2.6037375415455255E-7</v>
      </c>
    </row>
    <row r="786" spans="15:25" ht="17.100000000000001" customHeight="1">
      <c r="O786" s="12">
        <f t="shared" si="39"/>
        <v>64.416666666666671</v>
      </c>
      <c r="P786" s="13">
        <v>773</v>
      </c>
      <c r="Q786" s="22"/>
      <c r="R786" s="19"/>
      <c r="S786" s="22"/>
      <c r="T786" s="19"/>
      <c r="U786" s="24">
        <v>4.6878948792401509E-2</v>
      </c>
      <c r="V786" s="24">
        <f t="shared" si="40"/>
        <v>4.3057663834956017E-2</v>
      </c>
      <c r="W786" s="106">
        <v>4.3057660000000002</v>
      </c>
      <c r="X786" s="106">
        <v>4.3057999999999999E-2</v>
      </c>
      <c r="Y786" s="34">
        <f t="shared" si="38"/>
        <v>3.3616504398203961E-7</v>
      </c>
    </row>
    <row r="787" spans="15:25" ht="17.100000000000001" customHeight="1">
      <c r="O787" s="12">
        <f t="shared" si="39"/>
        <v>64.5</v>
      </c>
      <c r="P787" s="13">
        <v>774</v>
      </c>
      <c r="Q787" s="22"/>
      <c r="R787" s="19"/>
      <c r="S787" s="22"/>
      <c r="T787" s="19"/>
      <c r="U787" s="24">
        <v>4.6874002710877605E-2</v>
      </c>
      <c r="V787" s="24">
        <f t="shared" si="40"/>
        <v>4.3057073401475687E-2</v>
      </c>
      <c r="W787" s="106">
        <v>4.305707</v>
      </c>
      <c r="X787" s="106">
        <v>4.3056999999999998E-2</v>
      </c>
      <c r="Y787" s="34">
        <f t="shared" si="38"/>
        <v>-7.3401475689238715E-8</v>
      </c>
    </row>
    <row r="788" spans="15:25" ht="17.100000000000001" customHeight="1">
      <c r="O788" s="12">
        <f t="shared" si="39"/>
        <v>64.583333333333329</v>
      </c>
      <c r="P788" s="13">
        <v>775</v>
      </c>
      <c r="Q788" s="22"/>
      <c r="R788" s="19"/>
      <c r="S788" s="22"/>
      <c r="T788" s="19"/>
      <c r="U788" s="24">
        <v>4.6869068652079182E-2</v>
      </c>
      <c r="V788" s="24">
        <f t="shared" si="40"/>
        <v>4.305648901125303E-2</v>
      </c>
      <c r="W788" s="106">
        <v>4.3056489999999998</v>
      </c>
      <c r="X788" s="106">
        <v>4.3055999999999997E-2</v>
      </c>
      <c r="Y788" s="34">
        <f t="shared" si="38"/>
        <v>-4.8901125303257853E-7</v>
      </c>
    </row>
    <row r="789" spans="15:25" ht="17.100000000000001" customHeight="1">
      <c r="O789" s="12">
        <f t="shared" si="39"/>
        <v>64.666666666666671</v>
      </c>
      <c r="P789" s="13">
        <v>776</v>
      </c>
      <c r="Q789" s="22"/>
      <c r="R789" s="19"/>
      <c r="S789" s="22"/>
      <c r="T789" s="19"/>
      <c r="U789" s="24">
        <v>4.6864146577263233E-2</v>
      </c>
      <c r="V789" s="24">
        <f t="shared" si="40"/>
        <v>4.3055910602435965E-2</v>
      </c>
      <c r="W789" s="106">
        <v>4.3055909999999997</v>
      </c>
      <c r="X789" s="106">
        <v>4.3055999999999997E-2</v>
      </c>
      <c r="Y789" s="34">
        <f t="shared" si="38"/>
        <v>8.939756403203436E-8</v>
      </c>
    </row>
    <row r="790" spans="15:25" ht="17.100000000000001" customHeight="1">
      <c r="O790" s="12">
        <f t="shared" si="39"/>
        <v>64.75</v>
      </c>
      <c r="P790" s="13">
        <v>777</v>
      </c>
      <c r="Q790" s="22"/>
      <c r="R790" s="19"/>
      <c r="S790" s="22"/>
      <c r="T790" s="19"/>
      <c r="U790" s="24">
        <v>4.6859236447806207E-2</v>
      </c>
      <c r="V790" s="24">
        <f t="shared" si="40"/>
        <v>4.3055338113215713E-2</v>
      </c>
      <c r="W790" s="106">
        <v>4.3055339999999998</v>
      </c>
      <c r="X790" s="106">
        <v>4.3055000000000003E-2</v>
      </c>
      <c r="Y790" s="34">
        <f t="shared" si="38"/>
        <v>-3.3811321571014519E-7</v>
      </c>
    </row>
    <row r="791" spans="15:25" ht="17.100000000000001" customHeight="1">
      <c r="O791" s="12">
        <f t="shared" si="39"/>
        <v>64.833333333333329</v>
      </c>
      <c r="P791" s="13">
        <v>778</v>
      </c>
      <c r="Q791" s="22"/>
      <c r="R791" s="19"/>
      <c r="S791" s="22"/>
      <c r="T791" s="19"/>
      <c r="U791" s="24">
        <v>4.685433822520424E-2</v>
      </c>
      <c r="V791" s="24">
        <f t="shared" si="40"/>
        <v>4.3054771483893584E-2</v>
      </c>
      <c r="W791" s="106">
        <v>4.3054769999999998</v>
      </c>
      <c r="X791" s="106">
        <v>4.3055000000000003E-2</v>
      </c>
      <c r="Y791" s="34">
        <f t="shared" si="38"/>
        <v>2.2851610641944076E-7</v>
      </c>
    </row>
    <row r="792" spans="15:25" ht="17.100000000000001" customHeight="1">
      <c r="O792" s="12">
        <f t="shared" si="39"/>
        <v>64.916666666666671</v>
      </c>
      <c r="P792" s="13">
        <v>779</v>
      </c>
      <c r="Q792" s="22"/>
      <c r="R792" s="19"/>
      <c r="S792" s="22"/>
      <c r="T792" s="19"/>
      <c r="U792" s="24">
        <v>4.6849451871074033E-2</v>
      </c>
      <c r="V792" s="24">
        <f t="shared" si="40"/>
        <v>4.3054210654436709E-2</v>
      </c>
      <c r="W792" s="106">
        <v>4.3054209999999999</v>
      </c>
      <c r="X792" s="106">
        <v>4.3054000000000002E-2</v>
      </c>
      <c r="Y792" s="34">
        <f t="shared" si="38"/>
        <v>-2.1065443670670314E-7</v>
      </c>
    </row>
    <row r="793" spans="15:25" ht="17.100000000000001" customHeight="1">
      <c r="O793" s="12">
        <f t="shared" si="39"/>
        <v>65</v>
      </c>
      <c r="P793" s="13">
        <v>780</v>
      </c>
      <c r="Q793" s="22"/>
      <c r="R793" s="19"/>
      <c r="S793" s="22"/>
      <c r="T793" s="19"/>
      <c r="U793" s="24">
        <v>4.6844577347152416E-2</v>
      </c>
      <c r="V793" s="24">
        <f t="shared" si="40"/>
        <v>4.3053655565248539E-2</v>
      </c>
      <c r="W793" s="106">
        <v>4.3053660000000002</v>
      </c>
      <c r="X793" s="106">
        <v>4.3054000000000002E-2</v>
      </c>
      <c r="Y793" s="34">
        <f t="shared" si="38"/>
        <v>3.4443475146334057E-7</v>
      </c>
    </row>
    <row r="794" spans="15:25" ht="17.100000000000001" customHeight="1">
      <c r="O794" s="12">
        <f t="shared" si="39"/>
        <v>65.083333333333329</v>
      </c>
      <c r="P794" s="13">
        <v>781</v>
      </c>
      <c r="Q794" s="22"/>
      <c r="R794" s="19"/>
      <c r="S794" s="22"/>
      <c r="T794" s="19"/>
      <c r="U794" s="24">
        <v>4.683971461529568E-2</v>
      </c>
      <c r="V794" s="24">
        <f t="shared" si="40"/>
        <v>4.3053106157492804E-2</v>
      </c>
      <c r="W794" s="106">
        <v>4.3053109999999997</v>
      </c>
      <c r="X794" s="106">
        <v>4.3053000000000001E-2</v>
      </c>
      <c r="Y794" s="34">
        <f t="shared" si="38"/>
        <v>-1.0615749280323827E-7</v>
      </c>
    </row>
    <row r="795" spans="15:25" ht="17.100000000000001" customHeight="1">
      <c r="O795" s="12">
        <f t="shared" si="39"/>
        <v>65.166666666666671</v>
      </c>
      <c r="P795" s="13">
        <v>782</v>
      </c>
      <c r="Q795" s="22"/>
      <c r="R795" s="19"/>
      <c r="S795" s="22"/>
      <c r="T795" s="19"/>
      <c r="U795" s="24">
        <v>4.683486363748024E-2</v>
      </c>
      <c r="V795" s="24">
        <f t="shared" si="40"/>
        <v>4.3052562373199876E-2</v>
      </c>
      <c r="W795" s="106">
        <v>4.305256</v>
      </c>
      <c r="X795" s="106">
        <v>4.3053000000000001E-2</v>
      </c>
      <c r="Y795" s="34">
        <f t="shared" si="38"/>
        <v>4.3762680012465749E-7</v>
      </c>
    </row>
    <row r="796" spans="15:25" ht="17.100000000000001" customHeight="1">
      <c r="O796" s="12">
        <f t="shared" si="39"/>
        <v>65.25</v>
      </c>
      <c r="P796" s="13">
        <v>783</v>
      </c>
      <c r="Q796" s="22"/>
      <c r="R796" s="19"/>
      <c r="S796" s="22"/>
      <c r="T796" s="19"/>
      <c r="U796" s="24">
        <v>4.6830024375802637E-2</v>
      </c>
      <c r="V796" s="24">
        <f t="shared" si="40"/>
        <v>4.3052024155235236E-2</v>
      </c>
      <c r="W796" s="106">
        <v>4.3052020000000004</v>
      </c>
      <c r="X796" s="106">
        <v>4.3052E-2</v>
      </c>
      <c r="Y796" s="34">
        <f t="shared" si="38"/>
        <v>-2.4155235235634454E-8</v>
      </c>
    </row>
    <row r="797" spans="15:25" ht="17.100000000000001" customHeight="1">
      <c r="O797" s="12">
        <f t="shared" si="39"/>
        <v>65.333333333333329</v>
      </c>
      <c r="P797" s="13">
        <v>784</v>
      </c>
      <c r="Q797" s="22"/>
      <c r="R797" s="19"/>
      <c r="S797" s="22"/>
      <c r="T797" s="19"/>
      <c r="U797" s="24">
        <v>4.6825196792479762E-2</v>
      </c>
      <c r="V797" s="24">
        <f t="shared" si="40"/>
        <v>4.3051491446171042E-2</v>
      </c>
      <c r="W797" s="106">
        <v>4.3051490000000001</v>
      </c>
      <c r="X797" s="106">
        <v>4.3050999999999999E-2</v>
      </c>
      <c r="Y797" s="34">
        <f t="shared" si="38"/>
        <v>-4.9144617104285304E-7</v>
      </c>
    </row>
    <row r="798" spans="15:25" ht="17.100000000000001" customHeight="1">
      <c r="O798" s="12">
        <f t="shared" si="39"/>
        <v>65.416666666666671</v>
      </c>
      <c r="P798" s="13">
        <v>785</v>
      </c>
      <c r="Q798" s="22"/>
      <c r="R798" s="19"/>
      <c r="S798" s="22"/>
      <c r="T798" s="19"/>
      <c r="U798" s="24">
        <v>4.6820380849848187E-2</v>
      </c>
      <c r="V798" s="24">
        <f t="shared" si="40"/>
        <v>4.3050964189930152E-2</v>
      </c>
      <c r="W798" s="106">
        <v>4.3050959999999998</v>
      </c>
      <c r="X798" s="106">
        <v>4.3050999999999999E-2</v>
      </c>
      <c r="Y798" s="34">
        <f t="shared" si="38"/>
        <v>3.5810069846931025E-8</v>
      </c>
    </row>
    <row r="799" spans="15:25" ht="17.100000000000001" customHeight="1">
      <c r="O799" s="12">
        <f t="shared" si="39"/>
        <v>65.5</v>
      </c>
      <c r="P799" s="13">
        <v>786</v>
      </c>
      <c r="Q799" s="22"/>
      <c r="R799" s="19"/>
      <c r="S799" s="22"/>
      <c r="T799" s="19"/>
      <c r="U799" s="24">
        <v>4.6815576510364387E-2</v>
      </c>
      <c r="V799" s="24">
        <f t="shared" si="40"/>
        <v>4.3050442330388794E-2</v>
      </c>
      <c r="W799" s="106">
        <v>4.3050439999999996</v>
      </c>
      <c r="X799" s="106">
        <v>4.3049999999999998E-2</v>
      </c>
      <c r="Y799" s="34">
        <f t="shared" si="38"/>
        <v>-4.4233038879598618E-7</v>
      </c>
    </row>
    <row r="800" spans="15:25" ht="17.100000000000001" customHeight="1">
      <c r="O800" s="12">
        <f t="shared" si="39"/>
        <v>65.583333333333329</v>
      </c>
      <c r="P800" s="13">
        <v>787</v>
      </c>
      <c r="Q800" s="22"/>
      <c r="R800" s="19"/>
      <c r="S800" s="22"/>
      <c r="T800" s="19"/>
      <c r="U800" s="24">
        <v>4.6810783736604744E-2</v>
      </c>
      <c r="V800" s="24">
        <f t="shared" si="40"/>
        <v>4.304992581296041E-2</v>
      </c>
      <c r="W800" s="106">
        <v>4.3049929999999996</v>
      </c>
      <c r="X800" s="106">
        <v>4.3049999999999998E-2</v>
      </c>
      <c r="Y800" s="34">
        <f t="shared" si="38"/>
        <v>7.4187039587891856E-8</v>
      </c>
    </row>
    <row r="801" spans="15:25" ht="17.100000000000001" customHeight="1">
      <c r="O801" s="12">
        <f t="shared" si="39"/>
        <v>65.666666666666671</v>
      </c>
      <c r="P801" s="13">
        <v>788</v>
      </c>
      <c r="Q801" s="22"/>
      <c r="R801" s="19"/>
      <c r="S801" s="22"/>
      <c r="T801" s="19"/>
      <c r="U801" s="24">
        <v>4.6806002491266208E-2</v>
      </c>
      <c r="V801" s="24">
        <f t="shared" si="40"/>
        <v>4.3049414582317258E-2</v>
      </c>
      <c r="W801" s="106">
        <v>4.3049410000000004</v>
      </c>
      <c r="X801" s="106">
        <v>4.3048999999999997E-2</v>
      </c>
      <c r="Y801" s="34">
        <f t="shared" si="38"/>
        <v>-4.1458231726104744E-7</v>
      </c>
    </row>
    <row r="802" spans="15:25" ht="17.100000000000001" customHeight="1">
      <c r="O802" s="12">
        <f t="shared" si="39"/>
        <v>65.75</v>
      </c>
      <c r="P802" s="13">
        <v>789</v>
      </c>
      <c r="Q802" s="22"/>
      <c r="R802" s="19"/>
      <c r="S802" s="22"/>
      <c r="T802" s="19"/>
      <c r="U802" s="24">
        <v>4.6801232737164744E-2</v>
      </c>
      <c r="V802" s="24">
        <f t="shared" si="40"/>
        <v>4.3048908584717438E-2</v>
      </c>
      <c r="W802" s="106">
        <v>4.3048909999999996</v>
      </c>
      <c r="X802" s="106">
        <v>4.3048999999999997E-2</v>
      </c>
      <c r="Y802" s="34">
        <f t="shared" si="38"/>
        <v>9.1415282559015321E-8</v>
      </c>
    </row>
    <row r="803" spans="15:25" ht="17.100000000000001" customHeight="1">
      <c r="O803" s="12">
        <f t="shared" si="39"/>
        <v>65.833333333333329</v>
      </c>
      <c r="P803" s="13">
        <v>790</v>
      </c>
      <c r="Q803" s="22"/>
      <c r="R803" s="19"/>
      <c r="S803" s="22"/>
      <c r="T803" s="19"/>
      <c r="U803" s="24">
        <v>4.6796474437236668E-2</v>
      </c>
      <c r="V803" s="24">
        <f t="shared" si="40"/>
        <v>4.3048407766945962E-2</v>
      </c>
      <c r="W803" s="106">
        <v>4.3048409999999997</v>
      </c>
      <c r="X803" s="106">
        <v>4.3048000000000003E-2</v>
      </c>
      <c r="Y803" s="34">
        <f t="shared" si="38"/>
        <v>-4.0776694595900942E-7</v>
      </c>
    </row>
    <row r="804" spans="15:25" ht="17.100000000000001" customHeight="1">
      <c r="O804" s="12">
        <f t="shared" si="39"/>
        <v>65.916666666666671</v>
      </c>
      <c r="P804" s="13">
        <v>791</v>
      </c>
      <c r="Q804" s="22"/>
      <c r="R804" s="19"/>
      <c r="S804" s="22"/>
      <c r="T804" s="19"/>
      <c r="U804" s="24">
        <v>4.6791727554538198E-2</v>
      </c>
      <c r="V804" s="24">
        <f t="shared" si="40"/>
        <v>4.3047912075465211E-2</v>
      </c>
      <c r="W804" s="106">
        <v>4.3047909999999998</v>
      </c>
      <c r="X804" s="106">
        <v>4.3048000000000003E-2</v>
      </c>
      <c r="Y804" s="34">
        <f t="shared" si="38"/>
        <v>8.7924534791783415E-8</v>
      </c>
    </row>
    <row r="805" spans="15:25" ht="17.100000000000001" customHeight="1">
      <c r="O805" s="12">
        <f t="shared" si="39"/>
        <v>66</v>
      </c>
      <c r="P805" s="13">
        <v>792</v>
      </c>
      <c r="Q805" s="22"/>
      <c r="R805" s="19"/>
      <c r="S805" s="22"/>
      <c r="T805" s="19"/>
      <c r="U805" s="24">
        <v>4.6786992052244791E-2</v>
      </c>
      <c r="V805" s="24">
        <f t="shared" si="40"/>
        <v>4.3047421458261903E-2</v>
      </c>
      <c r="W805" s="106">
        <v>4.3047420000000001</v>
      </c>
      <c r="X805" s="106">
        <v>4.3047000000000002E-2</v>
      </c>
      <c r="Y805" s="34">
        <f t="shared" si="38"/>
        <v>-4.2145826190109759E-7</v>
      </c>
    </row>
    <row r="806" spans="15:25" ht="17.100000000000001" customHeight="1">
      <c r="O806" s="12">
        <f t="shared" si="39"/>
        <v>66.083333333333329</v>
      </c>
      <c r="P806" s="13">
        <v>793</v>
      </c>
      <c r="Q806" s="22"/>
      <c r="R806" s="19"/>
      <c r="S806" s="22"/>
      <c r="T806" s="19"/>
      <c r="U806" s="24">
        <v>4.678226789365203E-2</v>
      </c>
      <c r="V806" s="24">
        <f t="shared" si="40"/>
        <v>4.3046935862768088E-2</v>
      </c>
      <c r="W806" s="106">
        <v>4.3046939999999996</v>
      </c>
      <c r="X806" s="106">
        <v>4.3047000000000002E-2</v>
      </c>
      <c r="Y806" s="34">
        <f t="shared" si="38"/>
        <v>6.4137231914340731E-8</v>
      </c>
    </row>
    <row r="807" spans="15:25" ht="17.100000000000001" customHeight="1">
      <c r="O807" s="12">
        <f t="shared" si="39"/>
        <v>66.166666666666671</v>
      </c>
      <c r="P807" s="13">
        <v>794</v>
      </c>
      <c r="Q807" s="22"/>
      <c r="R807" s="19"/>
      <c r="S807" s="22"/>
      <c r="T807" s="19"/>
      <c r="U807" s="24">
        <v>4.677755504217429E-2</v>
      </c>
      <c r="V807" s="24">
        <f t="shared" si="40"/>
        <v>4.3046455238464176E-2</v>
      </c>
      <c r="W807" s="106">
        <v>4.304646</v>
      </c>
      <c r="X807" s="106">
        <v>4.3046000000000001E-2</v>
      </c>
      <c r="Y807" s="34">
        <f t="shared" si="38"/>
        <v>-4.5523846417538927E-7</v>
      </c>
    </row>
    <row r="808" spans="15:25" ht="17.100000000000001" customHeight="1">
      <c r="O808" s="12">
        <f t="shared" si="39"/>
        <v>66.25</v>
      </c>
      <c r="P808" s="13">
        <v>795</v>
      </c>
      <c r="Q808" s="22"/>
      <c r="R808" s="19"/>
      <c r="S808" s="22"/>
      <c r="T808" s="19"/>
      <c r="U808" s="24">
        <v>4.677285346134652E-2</v>
      </c>
      <c r="V808" s="24">
        <f t="shared" si="40"/>
        <v>4.3045979534247047E-2</v>
      </c>
      <c r="W808" s="106">
        <v>4.3045980000000004</v>
      </c>
      <c r="X808" s="106">
        <v>4.3046000000000001E-2</v>
      </c>
      <c r="Y808" s="34">
        <f t="shared" si="38"/>
        <v>2.0465752953446881E-8</v>
      </c>
    </row>
    <row r="809" spans="15:25" ht="17.100000000000001" customHeight="1">
      <c r="O809" s="12">
        <f t="shared" si="39"/>
        <v>66.333333333333329</v>
      </c>
      <c r="P809" s="13">
        <v>796</v>
      </c>
      <c r="Q809" s="22"/>
      <c r="R809" s="19"/>
      <c r="S809" s="22"/>
      <c r="T809" s="19"/>
      <c r="U809" s="24">
        <v>4.6768163114822459E-2</v>
      </c>
      <c r="V809" s="24">
        <f t="shared" si="40"/>
        <v>4.3045508699459889E-2</v>
      </c>
      <c r="W809" s="106">
        <v>4.304551</v>
      </c>
      <c r="X809" s="106">
        <v>4.3046000000000001E-2</v>
      </c>
      <c r="Y809" s="34">
        <f t="shared" si="38"/>
        <v>4.9130054011192748E-7</v>
      </c>
    </row>
    <row r="810" spans="15:25" ht="17.100000000000001" customHeight="1">
      <c r="O810" s="12">
        <f t="shared" si="39"/>
        <v>66.416666666666671</v>
      </c>
      <c r="P810" s="13">
        <v>797</v>
      </c>
      <c r="Q810" s="22"/>
      <c r="R810" s="19"/>
      <c r="S810" s="22"/>
      <c r="T810" s="19"/>
      <c r="U810" s="24">
        <v>4.6763483966375086E-2</v>
      </c>
      <c r="V810" s="24">
        <f t="shared" si="40"/>
        <v>4.3045042684507484E-2</v>
      </c>
      <c r="W810" s="106">
        <v>4.3045039999999997</v>
      </c>
      <c r="X810" s="106">
        <v>4.3045E-2</v>
      </c>
      <c r="Y810" s="34">
        <f t="shared" si="38"/>
        <v>-4.2684507484125334E-8</v>
      </c>
    </row>
    <row r="811" spans="15:25" ht="17.100000000000001" customHeight="1">
      <c r="O811" s="12">
        <f t="shared" si="39"/>
        <v>66.5</v>
      </c>
      <c r="P811" s="13">
        <v>798</v>
      </c>
      <c r="Q811" s="22"/>
      <c r="R811" s="19"/>
      <c r="S811" s="22"/>
      <c r="T811" s="19"/>
      <c r="U811" s="24">
        <v>4.6758815979896617E-2</v>
      </c>
      <c r="V811" s="24">
        <f t="shared" si="40"/>
        <v>4.3044581439957152E-2</v>
      </c>
      <c r="W811" s="106">
        <v>4.3044580000000003</v>
      </c>
      <c r="X811" s="106">
        <v>4.3045E-2</v>
      </c>
      <c r="Y811" s="34">
        <f t="shared" si="38"/>
        <v>4.1856004284746007E-7</v>
      </c>
    </row>
    <row r="812" spans="15:25" ht="17.100000000000001" customHeight="1">
      <c r="O812" s="12">
        <f t="shared" si="39"/>
        <v>66.583333333333329</v>
      </c>
      <c r="P812" s="13">
        <v>799</v>
      </c>
      <c r="Q812" s="22"/>
      <c r="R812" s="19"/>
      <c r="S812" s="22"/>
      <c r="T812" s="19"/>
      <c r="U812" s="24">
        <v>4.6754159119398508E-2</v>
      </c>
      <c r="V812" s="24">
        <f t="shared" si="40"/>
        <v>4.3044124917194004E-2</v>
      </c>
      <c r="W812" s="106">
        <v>4.3044120000000001</v>
      </c>
      <c r="X812" s="106">
        <v>4.3043999999999999E-2</v>
      </c>
      <c r="Y812" s="34">
        <f t="shared" si="38"/>
        <v>-1.24917194005425E-7</v>
      </c>
    </row>
    <row r="813" spans="15:25" ht="17.100000000000001" customHeight="1">
      <c r="O813" s="12">
        <f t="shared" si="39"/>
        <v>66.666666666666671</v>
      </c>
      <c r="P813" s="13">
        <v>800</v>
      </c>
      <c r="Q813" s="22"/>
      <c r="R813" s="19"/>
      <c r="S813" s="22"/>
      <c r="T813" s="19"/>
      <c r="U813" s="24">
        <v>4.6749513349011007E-2</v>
      </c>
      <c r="V813" s="24">
        <f t="shared" si="40"/>
        <v>4.3043673067984622E-2</v>
      </c>
      <c r="W813" s="106">
        <v>4.3043670000000001</v>
      </c>
      <c r="X813" s="106">
        <v>4.3043999999999999E-2</v>
      </c>
      <c r="Y813" s="34">
        <f t="shared" si="38"/>
        <v>3.2693201537647987E-7</v>
      </c>
    </row>
    <row r="814" spans="15:25" ht="17.100000000000001" customHeight="1">
      <c r="O814" s="12">
        <f t="shared" si="39"/>
        <v>66.75</v>
      </c>
      <c r="P814" s="13">
        <v>801</v>
      </c>
      <c r="Q814" s="22"/>
      <c r="R814" s="19"/>
      <c r="S814" s="22"/>
      <c r="T814" s="19"/>
      <c r="U814" s="24">
        <v>4.67448786329836E-2</v>
      </c>
      <c r="V814" s="24">
        <f t="shared" si="40"/>
        <v>4.3043225843966137E-2</v>
      </c>
      <c r="W814" s="106">
        <v>4.3043230000000001</v>
      </c>
      <c r="X814" s="106">
        <v>4.3042999999999998E-2</v>
      </c>
      <c r="Y814" s="34">
        <f t="shared" si="38"/>
        <v>-2.2584396613956059E-7</v>
      </c>
    </row>
    <row r="815" spans="15:25" ht="17.100000000000001" customHeight="1">
      <c r="O815" s="12">
        <f t="shared" si="39"/>
        <v>66.833333333333329</v>
      </c>
      <c r="P815" s="13">
        <v>802</v>
      </c>
      <c r="Q815" s="22"/>
      <c r="R815" s="19"/>
      <c r="S815" s="22"/>
      <c r="T815" s="19"/>
      <c r="U815" s="24">
        <v>4.6740254935683678E-2</v>
      </c>
      <c r="V815" s="24">
        <f t="shared" si="40"/>
        <v>4.3042783198576018E-2</v>
      </c>
      <c r="W815" s="106">
        <v>4.304278</v>
      </c>
      <c r="X815" s="106">
        <v>4.3042999999999998E-2</v>
      </c>
      <c r="Y815" s="34">
        <f t="shared" si="38"/>
        <v>2.1680142398006197E-7</v>
      </c>
    </row>
    <row r="816" spans="15:25" ht="17.100000000000001" customHeight="1">
      <c r="O816" s="12">
        <f t="shared" si="39"/>
        <v>66.916666666666671</v>
      </c>
      <c r="P816" s="13">
        <v>803</v>
      </c>
      <c r="Q816" s="22"/>
      <c r="R816" s="19"/>
      <c r="S816" s="22"/>
      <c r="T816" s="19"/>
      <c r="U816" s="24">
        <v>4.6735642221598317E-2</v>
      </c>
      <c r="V816" s="24">
        <f t="shared" si="40"/>
        <v>4.3042345084379319E-2</v>
      </c>
      <c r="W816" s="106">
        <v>4.3042350000000003</v>
      </c>
      <c r="X816" s="106">
        <v>4.3041999999999997E-2</v>
      </c>
      <c r="Y816" s="34">
        <f t="shared" si="38"/>
        <v>-3.450843793217917E-7</v>
      </c>
    </row>
    <row r="817" spans="15:25" ht="17.100000000000001" customHeight="1">
      <c r="O817" s="12">
        <f t="shared" si="39"/>
        <v>67</v>
      </c>
      <c r="P817" s="13">
        <v>804</v>
      </c>
      <c r="Q817" s="22"/>
      <c r="R817" s="19"/>
      <c r="S817" s="22"/>
      <c r="T817" s="19"/>
      <c r="U817" s="24">
        <v>4.6731040455332273E-2</v>
      </c>
      <c r="V817" s="24">
        <f t="shared" si="40"/>
        <v>4.3041911455437454E-2</v>
      </c>
      <c r="W817" s="106">
        <v>4.3041910000000003</v>
      </c>
      <c r="X817" s="106">
        <v>4.3041999999999997E-2</v>
      </c>
      <c r="Y817" s="34">
        <f t="shared" si="38"/>
        <v>8.854456254314691E-8</v>
      </c>
    </row>
    <row r="818" spans="15:25" ht="17.100000000000001" customHeight="1">
      <c r="O818" s="12">
        <f t="shared" si="39"/>
        <v>67.083333333333329</v>
      </c>
      <c r="P818" s="13">
        <v>805</v>
      </c>
      <c r="Q818" s="22"/>
      <c r="R818" s="19"/>
      <c r="S818" s="22"/>
      <c r="T818" s="19"/>
      <c r="U818" s="24">
        <v>4.6726449601609099E-2</v>
      </c>
      <c r="V818" s="24">
        <f t="shared" si="40"/>
        <v>4.3041482265691489E-2</v>
      </c>
      <c r="W818" s="106">
        <v>4.3041479999999996</v>
      </c>
      <c r="X818" s="106">
        <v>4.3041000000000003E-2</v>
      </c>
      <c r="Y818" s="34">
        <f t="shared" si="38"/>
        <v>-4.8226569148573928E-7</v>
      </c>
    </row>
    <row r="819" spans="15:25" ht="17.100000000000001" customHeight="1">
      <c r="O819" s="12">
        <f t="shared" si="39"/>
        <v>67.166666666666671</v>
      </c>
      <c r="P819" s="13">
        <v>806</v>
      </c>
      <c r="Q819" s="22"/>
      <c r="R819" s="19"/>
      <c r="S819" s="22"/>
      <c r="T819" s="19"/>
      <c r="U819" s="24">
        <v>4.6721869625270251E-2</v>
      </c>
      <c r="V819" s="24">
        <f t="shared" si="40"/>
        <v>4.304105746937914E-2</v>
      </c>
      <c r="W819" s="106">
        <v>4.304106</v>
      </c>
      <c r="X819" s="106">
        <v>4.3041000000000003E-2</v>
      </c>
      <c r="Y819" s="34">
        <f t="shared" si="38"/>
        <v>-5.7469379137475851E-8</v>
      </c>
    </row>
    <row r="820" spans="15:25" ht="17.100000000000001" customHeight="1">
      <c r="O820" s="12">
        <f t="shared" si="39"/>
        <v>67.25</v>
      </c>
      <c r="P820" s="13">
        <v>807</v>
      </c>
      <c r="Q820" s="22"/>
      <c r="R820" s="19"/>
      <c r="S820" s="22"/>
      <c r="T820" s="19"/>
      <c r="U820" s="24">
        <v>4.6717300491275093E-2</v>
      </c>
      <c r="V820" s="24">
        <f t="shared" si="40"/>
        <v>4.3040637022345951E-2</v>
      </c>
      <c r="W820" s="106">
        <v>4.3040640000000003</v>
      </c>
      <c r="X820" s="106">
        <v>4.3041000000000003E-2</v>
      </c>
      <c r="Y820" s="34">
        <f t="shared" si="38"/>
        <v>3.6297765405174376E-7</v>
      </c>
    </row>
    <row r="821" spans="15:25" ht="17.100000000000001" customHeight="1">
      <c r="O821" s="12">
        <f t="shared" si="39"/>
        <v>67.333333333333329</v>
      </c>
      <c r="P821" s="13">
        <v>808</v>
      </c>
      <c r="Q821" s="22"/>
      <c r="R821" s="19"/>
      <c r="S821" s="22"/>
      <c r="T821" s="19"/>
      <c r="U821" s="24">
        <v>4.6712742164701559E-2</v>
      </c>
      <c r="V821" s="24">
        <f t="shared" si="40"/>
        <v>4.304022087910564E-2</v>
      </c>
      <c r="W821" s="106">
        <v>4.3040219999999998</v>
      </c>
      <c r="X821" s="106">
        <v>4.3040000000000002E-2</v>
      </c>
      <c r="Y821" s="34">
        <f t="shared" si="38"/>
        <v>-2.2087910563767243E-7</v>
      </c>
    </row>
    <row r="822" spans="15:25" ht="17.100000000000001" customHeight="1">
      <c r="O822" s="12">
        <f t="shared" si="39"/>
        <v>67.416666666666671</v>
      </c>
      <c r="P822" s="13">
        <v>809</v>
      </c>
      <c r="Q822" s="22"/>
      <c r="R822" s="19"/>
      <c r="S822" s="22"/>
      <c r="T822" s="19"/>
      <c r="U822" s="24">
        <v>4.6708194610744158E-2</v>
      </c>
      <c r="V822" s="24">
        <f t="shared" si="40"/>
        <v>4.3039808996511386E-2</v>
      </c>
      <c r="W822" s="106">
        <v>4.3039810000000003</v>
      </c>
      <c r="X822" s="106">
        <v>4.3040000000000002E-2</v>
      </c>
      <c r="Y822" s="34">
        <f t="shared" si="38"/>
        <v>1.9100348861572636E-7</v>
      </c>
    </row>
    <row r="823" spans="15:25" ht="17.100000000000001" customHeight="1">
      <c r="O823" s="12">
        <f t="shared" si="39"/>
        <v>67.5</v>
      </c>
      <c r="P823" s="13">
        <v>810</v>
      </c>
      <c r="Q823" s="22"/>
      <c r="R823" s="19"/>
      <c r="S823" s="22"/>
      <c r="T823" s="19"/>
      <c r="U823" s="24">
        <v>4.6703657794716191E-2</v>
      </c>
      <c r="V823" s="24">
        <f t="shared" si="40"/>
        <v>4.3039401330339233E-2</v>
      </c>
      <c r="W823" s="106">
        <v>4.3039399999999999</v>
      </c>
      <c r="X823" s="106">
        <v>4.3039000000000001E-2</v>
      </c>
      <c r="Y823" s="34">
        <f t="shared" si="38"/>
        <v>-4.0133033923223094E-7</v>
      </c>
    </row>
    <row r="824" spans="15:25" ht="17.100000000000001" customHeight="1">
      <c r="O824" s="12">
        <f t="shared" si="39"/>
        <v>67.583333333333329</v>
      </c>
      <c r="P824" s="13">
        <v>811</v>
      </c>
      <c r="Q824" s="22"/>
      <c r="R824" s="19"/>
      <c r="S824" s="22"/>
      <c r="T824" s="19"/>
      <c r="U824" s="24">
        <v>4.6699131682047534E-2</v>
      </c>
      <c r="V824" s="24">
        <f t="shared" si="40"/>
        <v>4.3038997838038773E-2</v>
      </c>
      <c r="W824" s="106">
        <v>4.3038999999999996</v>
      </c>
      <c r="X824" s="106">
        <v>4.3039000000000001E-2</v>
      </c>
      <c r="Y824" s="34">
        <f t="shared" si="38"/>
        <v>2.1619612280976419E-9</v>
      </c>
    </row>
    <row r="825" spans="15:25" ht="17.100000000000001" customHeight="1">
      <c r="O825" s="12">
        <f t="shared" si="39"/>
        <v>67.666666666666671</v>
      </c>
      <c r="P825" s="13">
        <v>812</v>
      </c>
      <c r="Q825" s="22"/>
      <c r="R825" s="19"/>
      <c r="S825" s="22"/>
      <c r="T825" s="19"/>
      <c r="U825" s="24">
        <v>4.6694616238285747E-2</v>
      </c>
      <c r="V825" s="24">
        <f t="shared" si="40"/>
        <v>4.3038598476465628E-2</v>
      </c>
      <c r="W825" s="106">
        <v>4.3038600000000002</v>
      </c>
      <c r="X825" s="106">
        <v>4.3039000000000001E-2</v>
      </c>
      <c r="Y825" s="34">
        <f t="shared" si="38"/>
        <v>4.0152353437267196E-7</v>
      </c>
    </row>
    <row r="826" spans="15:25" ht="17.100000000000001" customHeight="1">
      <c r="O826" s="12">
        <f t="shared" si="39"/>
        <v>67.75</v>
      </c>
      <c r="P826" s="13">
        <v>813</v>
      </c>
      <c r="Q826" s="22"/>
      <c r="R826" s="19"/>
      <c r="S826" s="22"/>
      <c r="T826" s="19"/>
      <c r="U826" s="24">
        <v>4.6690111429095182E-2</v>
      </c>
      <c r="V826" s="24">
        <f t="shared" si="40"/>
        <v>4.3038203203348946E-2</v>
      </c>
      <c r="W826" s="106">
        <v>4.30382</v>
      </c>
      <c r="X826" s="106">
        <v>4.3038E-2</v>
      </c>
      <c r="Y826" s="34">
        <f t="shared" si="38"/>
        <v>-2.0320334894602388E-7</v>
      </c>
    </row>
    <row r="827" spans="15:25" ht="17.100000000000001" customHeight="1">
      <c r="O827" s="12">
        <f t="shared" si="39"/>
        <v>67.833333333333329</v>
      </c>
      <c r="P827" s="13">
        <v>814</v>
      </c>
      <c r="Q827" s="22"/>
      <c r="R827" s="19"/>
      <c r="S827" s="22"/>
      <c r="T827" s="19"/>
      <c r="U827" s="24">
        <v>4.6685617220256992E-2</v>
      </c>
      <c r="V827" s="24">
        <f t="shared" si="40"/>
        <v>4.3037811977037821E-2</v>
      </c>
      <c r="W827" s="106">
        <v>4.3037809999999999</v>
      </c>
      <c r="X827" s="106">
        <v>4.3038E-2</v>
      </c>
      <c r="Y827" s="34">
        <f t="shared" si="38"/>
        <v>1.8802296217895753E-7</v>
      </c>
    </row>
    <row r="828" spans="15:25" ht="17.100000000000001" customHeight="1">
      <c r="O828" s="12">
        <f t="shared" si="39"/>
        <v>67.916666666666671</v>
      </c>
      <c r="P828" s="13">
        <v>815</v>
      </c>
      <c r="Q828" s="22"/>
      <c r="R828" s="19"/>
      <c r="S828" s="22"/>
      <c r="T828" s="19"/>
      <c r="U828" s="24">
        <v>4.6681133577669121E-2</v>
      </c>
      <c r="V828" s="24">
        <f t="shared" si="40"/>
        <v>4.3037424755839382E-2</v>
      </c>
      <c r="W828" s="106">
        <v>4.3037419999999997</v>
      </c>
      <c r="X828" s="106">
        <v>4.3036999999999999E-2</v>
      </c>
      <c r="Y828" s="34">
        <f t="shared" si="38"/>
        <v>-4.2475583938300643E-7</v>
      </c>
    </row>
    <row r="829" spans="15:25" ht="17.100000000000001" customHeight="1">
      <c r="O829" s="12">
        <f t="shared" si="39"/>
        <v>68</v>
      </c>
      <c r="P829" s="13">
        <v>816</v>
      </c>
      <c r="Q829" s="22"/>
      <c r="R829" s="19"/>
      <c r="S829" s="22"/>
      <c r="T829" s="19"/>
      <c r="U829" s="24">
        <v>4.6676660467345865E-2</v>
      </c>
      <c r="V829" s="24">
        <f t="shared" si="40"/>
        <v>4.303704149929688E-2</v>
      </c>
      <c r="W829" s="106">
        <v>4.3037039999999998</v>
      </c>
      <c r="X829" s="106">
        <v>4.3036999999999999E-2</v>
      </c>
      <c r="Y829" s="34">
        <f t="shared" si="38"/>
        <v>-4.1499296880853631E-8</v>
      </c>
    </row>
    <row r="830" spans="15:25" ht="17.100000000000001" customHeight="1">
      <c r="O830" s="12">
        <f t="shared" si="39"/>
        <v>68.083333333333329</v>
      </c>
      <c r="P830" s="13">
        <v>817</v>
      </c>
      <c r="Q830" s="22"/>
      <c r="R830" s="19"/>
      <c r="S830" s="22"/>
      <c r="T830" s="19"/>
      <c r="U830" s="24">
        <v>4.6672197855418096E-2</v>
      </c>
      <c r="V830" s="24">
        <f t="shared" si="40"/>
        <v>4.3036662166392237E-2</v>
      </c>
      <c r="W830" s="106">
        <v>4.3036659999999998</v>
      </c>
      <c r="X830" s="106">
        <v>4.3036999999999999E-2</v>
      </c>
      <c r="Y830" s="34">
        <f t="shared" si="38"/>
        <v>3.3783360776223903E-7</v>
      </c>
    </row>
    <row r="831" spans="15:25" ht="17.100000000000001" customHeight="1">
      <c r="O831" s="12">
        <f t="shared" si="39"/>
        <v>68.166666666666671</v>
      </c>
      <c r="P831" s="13">
        <v>818</v>
      </c>
      <c r="Q831" s="22"/>
      <c r="R831" s="19"/>
      <c r="S831" s="22"/>
      <c r="T831" s="19"/>
      <c r="U831" s="24">
        <v>4.6667745708132591E-2</v>
      </c>
      <c r="V831" s="24">
        <f t="shared" si="40"/>
        <v>4.3036286717054617E-2</v>
      </c>
      <c r="W831" s="106">
        <v>4.3036289999999999</v>
      </c>
      <c r="X831" s="106">
        <v>4.3035999999999998E-2</v>
      </c>
      <c r="Y831" s="34">
        <f t="shared" si="38"/>
        <v>-2.8671705461918995E-7</v>
      </c>
    </row>
    <row r="832" spans="15:25" ht="17.100000000000001" customHeight="1">
      <c r="O832" s="12">
        <f t="shared" si="39"/>
        <v>68.25</v>
      </c>
      <c r="P832" s="13">
        <v>819</v>
      </c>
      <c r="Q832" s="22"/>
      <c r="R832" s="19"/>
      <c r="S832" s="22"/>
      <c r="T832" s="19"/>
      <c r="U832" s="24">
        <v>4.6663303991852034E-2</v>
      </c>
      <c r="V832" s="24">
        <f t="shared" si="40"/>
        <v>4.3035915111679257E-2</v>
      </c>
      <c r="W832" s="106">
        <v>4.3035920000000001</v>
      </c>
      <c r="X832" s="106">
        <v>4.3035999999999998E-2</v>
      </c>
      <c r="Y832" s="34">
        <f t="shared" si="38"/>
        <v>8.488832074077246E-8</v>
      </c>
    </row>
    <row r="833" spans="15:25" ht="17.100000000000001" customHeight="1">
      <c r="O833" s="12">
        <f t="shared" si="39"/>
        <v>68.333333333333329</v>
      </c>
      <c r="P833" s="13">
        <v>820</v>
      </c>
      <c r="Q833" s="22"/>
      <c r="R833" s="19"/>
      <c r="S833" s="22"/>
      <c r="T833" s="19"/>
      <c r="U833" s="24">
        <v>4.6658872673054796E-2</v>
      </c>
      <c r="V833" s="24">
        <f t="shared" si="40"/>
        <v>4.3035547310734446E-2</v>
      </c>
      <c r="W833" s="106">
        <v>4.3035550000000002</v>
      </c>
      <c r="X833" s="106">
        <v>4.3035999999999998E-2</v>
      </c>
      <c r="Y833" s="34">
        <f t="shared" si="38"/>
        <v>4.52689265552364E-7</v>
      </c>
    </row>
    <row r="834" spans="15:25" ht="17.100000000000001" customHeight="1">
      <c r="O834" s="12">
        <f t="shared" si="39"/>
        <v>68.416666666666671</v>
      </c>
      <c r="P834" s="13">
        <v>821</v>
      </c>
      <c r="Q834" s="22"/>
      <c r="R834" s="19"/>
      <c r="S834" s="22"/>
      <c r="T834" s="19"/>
      <c r="U834" s="24">
        <v>4.6654451718334489E-2</v>
      </c>
      <c r="V834" s="24">
        <f t="shared" si="40"/>
        <v>4.3035183275720534E-2</v>
      </c>
      <c r="W834" s="106">
        <v>4.3035180000000004</v>
      </c>
      <c r="X834" s="106">
        <v>4.3034999999999997E-2</v>
      </c>
      <c r="Y834" s="34">
        <f t="shared" si="38"/>
        <v>-1.832757205375013E-7</v>
      </c>
    </row>
    <row r="835" spans="15:25" ht="17.100000000000001" customHeight="1">
      <c r="O835" s="12">
        <f t="shared" si="39"/>
        <v>68.5</v>
      </c>
      <c r="P835" s="13">
        <v>822</v>
      </c>
      <c r="Q835" s="22"/>
      <c r="R835" s="19"/>
      <c r="S835" s="22"/>
      <c r="T835" s="19"/>
      <c r="U835" s="24">
        <v>4.6650041094400851E-2</v>
      </c>
      <c r="V835" s="24">
        <f t="shared" si="40"/>
        <v>4.3034822967573438E-2</v>
      </c>
      <c r="W835" s="106">
        <v>4.3034819999999998</v>
      </c>
      <c r="X835" s="106">
        <v>4.3034999999999997E-2</v>
      </c>
      <c r="Y835" s="34">
        <f t="shared" si="38"/>
        <v>1.7703242655847662E-7</v>
      </c>
    </row>
    <row r="836" spans="15:25" ht="17.100000000000001" customHeight="1">
      <c r="O836" s="12">
        <f t="shared" si="39"/>
        <v>68.583333333333329</v>
      </c>
      <c r="P836" s="13">
        <v>823</v>
      </c>
      <c r="Q836" s="22"/>
      <c r="R836" s="19"/>
      <c r="S836" s="22"/>
      <c r="T836" s="19"/>
      <c r="U836" s="24">
        <v>4.6645640768077534E-2</v>
      </c>
      <c r="V836" s="24">
        <f t="shared" si="40"/>
        <v>4.3034466348533362E-2</v>
      </c>
      <c r="W836" s="106">
        <v>4.3034470000000002</v>
      </c>
      <c r="X836" s="106">
        <v>4.3034000000000003E-2</v>
      </c>
      <c r="Y836" s="34">
        <f t="shared" si="38"/>
        <v>-4.6634853335947302E-7</v>
      </c>
    </row>
    <row r="837" spans="15:25" ht="17.100000000000001" customHeight="1">
      <c r="O837" s="12">
        <f t="shared" si="39"/>
        <v>68.666666666666671</v>
      </c>
      <c r="P837" s="13">
        <v>824</v>
      </c>
      <c r="Q837" s="22"/>
      <c r="R837" s="19"/>
      <c r="S837" s="22"/>
      <c r="T837" s="19"/>
      <c r="U837" s="24">
        <v>4.6641250706303872E-2</v>
      </c>
      <c r="V837" s="24">
        <f t="shared" si="40"/>
        <v>4.303411338044727E-2</v>
      </c>
      <c r="W837" s="106">
        <v>4.3034109999999997</v>
      </c>
      <c r="X837" s="106">
        <v>4.3034000000000003E-2</v>
      </c>
      <c r="Y837" s="34">
        <f t="shared" si="38"/>
        <v>-1.1338044726694196E-7</v>
      </c>
    </row>
    <row r="838" spans="15:25" ht="17.100000000000001" customHeight="1">
      <c r="O838" s="12">
        <f t="shared" si="39"/>
        <v>68.75</v>
      </c>
      <c r="P838" s="13">
        <v>825</v>
      </c>
      <c r="Q838" s="22"/>
      <c r="R838" s="19"/>
      <c r="S838" s="22"/>
      <c r="T838" s="19"/>
      <c r="U838" s="24">
        <v>4.6636870876133329E-2</v>
      </c>
      <c r="V838" s="24">
        <f t="shared" si="40"/>
        <v>4.3033764026212395E-2</v>
      </c>
      <c r="W838" s="106">
        <v>4.3033760000000001</v>
      </c>
      <c r="X838" s="106">
        <v>4.3034000000000003E-2</v>
      </c>
      <c r="Y838" s="34">
        <f t="shared" si="38"/>
        <v>2.3597378760731313E-7</v>
      </c>
    </row>
    <row r="839" spans="15:25" ht="17.100000000000001" customHeight="1">
      <c r="O839" s="12">
        <f t="shared" si="39"/>
        <v>68.833333333333329</v>
      </c>
      <c r="P839" s="13">
        <v>826</v>
      </c>
      <c r="Q839" s="22"/>
      <c r="R839" s="19"/>
      <c r="S839" s="22"/>
      <c r="T839" s="19"/>
      <c r="U839" s="24">
        <v>4.6632501244733726E-2</v>
      </c>
      <c r="V839" s="24">
        <f t="shared" si="40"/>
        <v>4.3033418249200706E-2</v>
      </c>
      <c r="W839" s="106">
        <v>4.3033419999999998</v>
      </c>
      <c r="X839" s="106">
        <v>4.3033000000000002E-2</v>
      </c>
      <c r="Y839" s="34">
        <f t="shared" si="38"/>
        <v>-4.1824920070376859E-7</v>
      </c>
    </row>
    <row r="840" spans="15:25" ht="17.100000000000001" customHeight="1">
      <c r="O840" s="12">
        <f t="shared" si="39"/>
        <v>68.916666666666671</v>
      </c>
      <c r="P840" s="13">
        <v>827</v>
      </c>
      <c r="Q840" s="22"/>
      <c r="R840" s="19"/>
      <c r="S840" s="22"/>
      <c r="T840" s="19"/>
      <c r="U840" s="24">
        <v>4.6628141779387677E-2</v>
      </c>
      <c r="V840" s="24">
        <f t="shared" si="40"/>
        <v>4.3033076011985472E-2</v>
      </c>
      <c r="W840" s="106">
        <v>4.3033080000000004</v>
      </c>
      <c r="X840" s="106">
        <v>4.3033000000000002E-2</v>
      </c>
      <c r="Y840" s="34">
        <f t="shared" si="38"/>
        <v>-7.6011985469803811E-8</v>
      </c>
    </row>
    <row r="841" spans="15:25" ht="17.100000000000001" customHeight="1">
      <c r="O841" s="12">
        <f t="shared" si="39"/>
        <v>69</v>
      </c>
      <c r="P841" s="13">
        <v>828</v>
      </c>
      <c r="Q841" s="22"/>
      <c r="R841" s="19"/>
      <c r="S841" s="22"/>
      <c r="T841" s="19"/>
      <c r="U841" s="24">
        <v>4.6623792447490819E-2</v>
      </c>
      <c r="V841" s="24">
        <f t="shared" si="40"/>
        <v>4.3032737279154132E-2</v>
      </c>
      <c r="W841" s="106">
        <v>4.303274</v>
      </c>
      <c r="X841" s="106">
        <v>4.3033000000000002E-2</v>
      </c>
      <c r="Y841" s="34">
        <f t="shared" si="38"/>
        <v>2.6272084586997924E-7</v>
      </c>
    </row>
    <row r="842" spans="15:25" ht="17.100000000000001" customHeight="1">
      <c r="O842" s="12">
        <f t="shared" si="39"/>
        <v>69.083333333333329</v>
      </c>
      <c r="P842" s="13">
        <v>829</v>
      </c>
      <c r="Q842" s="22"/>
      <c r="R842" s="19"/>
      <c r="S842" s="22"/>
      <c r="T842" s="19"/>
      <c r="U842" s="24">
        <v>4.6619453216553364E-2</v>
      </c>
      <c r="V842" s="24">
        <f t="shared" si="40"/>
        <v>4.3032402014260951E-2</v>
      </c>
      <c r="W842" s="106">
        <v>4.3032399999999997</v>
      </c>
      <c r="X842" s="106">
        <v>4.3032000000000001E-2</v>
      </c>
      <c r="Y842" s="34">
        <f t="shared" si="38"/>
        <v>-4.0201426095010095E-7</v>
      </c>
    </row>
    <row r="843" spans="15:25" ht="17.100000000000001" customHeight="1">
      <c r="O843" s="12">
        <f t="shared" si="39"/>
        <v>69.166666666666671</v>
      </c>
      <c r="P843" s="13">
        <v>830</v>
      </c>
      <c r="Q843" s="22"/>
      <c r="R843" s="19"/>
      <c r="S843" s="22"/>
      <c r="T843" s="19"/>
      <c r="U843" s="24">
        <v>4.6615124054198098E-2</v>
      </c>
      <c r="V843" s="24">
        <f t="shared" si="40"/>
        <v>4.3032070182006832E-2</v>
      </c>
      <c r="W843" s="106">
        <v>4.3032069999999996</v>
      </c>
      <c r="X843" s="106">
        <v>4.3032000000000001E-2</v>
      </c>
      <c r="Y843" s="34">
        <f t="shared" si="38"/>
        <v>-7.0182006831065458E-8</v>
      </c>
    </row>
    <row r="844" spans="15:25" ht="17.100000000000001" customHeight="1">
      <c r="O844" s="12">
        <f t="shared" si="39"/>
        <v>69.25</v>
      </c>
      <c r="P844" s="13">
        <v>831</v>
      </c>
      <c r="Q844" s="22"/>
      <c r="R844" s="19"/>
      <c r="S844" s="22"/>
      <c r="T844" s="19"/>
      <c r="U844" s="24">
        <v>4.661080492816172E-2</v>
      </c>
      <c r="V844" s="24">
        <f t="shared" si="40"/>
        <v>4.3031741747543872E-2</v>
      </c>
      <c r="W844" s="106">
        <v>4.3031740000000003</v>
      </c>
      <c r="X844" s="106">
        <v>4.3032000000000001E-2</v>
      </c>
      <c r="Y844" s="34">
        <f t="shared" si="38"/>
        <v>2.5825245612842718E-7</v>
      </c>
    </row>
    <row r="845" spans="15:25" ht="17.100000000000001" customHeight="1">
      <c r="O845" s="12">
        <f t="shared" si="39"/>
        <v>69.333333333333329</v>
      </c>
      <c r="P845" s="13">
        <v>832</v>
      </c>
      <c r="Q845" s="22"/>
      <c r="R845" s="19"/>
      <c r="S845" s="22"/>
      <c r="T845" s="19"/>
      <c r="U845" s="24">
        <v>4.6606495806293724E-2</v>
      </c>
      <c r="V845" s="24">
        <f t="shared" si="40"/>
        <v>4.3031416675519463E-2</v>
      </c>
      <c r="W845" s="106">
        <v>4.3031420000000002</v>
      </c>
      <c r="X845" s="106">
        <v>4.3031E-2</v>
      </c>
      <c r="Y845" s="34">
        <f t="shared" ref="Y845:Y908" si="41">X845-V845</f>
        <v>-4.1667551946289461E-7</v>
      </c>
    </row>
    <row r="846" spans="15:25" ht="17.100000000000001" customHeight="1">
      <c r="O846" s="12">
        <f t="shared" ref="O846:O909" si="42">P846/12</f>
        <v>69.416666666666671</v>
      </c>
      <c r="P846" s="13">
        <v>833</v>
      </c>
      <c r="Q846" s="22"/>
      <c r="R846" s="19"/>
      <c r="S846" s="22"/>
      <c r="T846" s="19"/>
      <c r="U846" s="24">
        <v>4.6602196656555961E-2</v>
      </c>
      <c r="V846" s="24">
        <f t="shared" ref="V846:V909" si="43">(1+U847)^P847/(1+U846)^P846-1</f>
        <v>4.3031094932210578E-2</v>
      </c>
      <c r="W846" s="106">
        <v>4.3031090000000001</v>
      </c>
      <c r="X846" s="106">
        <v>4.3031E-2</v>
      </c>
      <c r="Y846" s="34">
        <f t="shared" si="41"/>
        <v>-9.4932210578657639E-8</v>
      </c>
    </row>
    <row r="847" spans="15:25" ht="17.100000000000001" customHeight="1">
      <c r="O847" s="12">
        <f t="shared" si="42"/>
        <v>69.5</v>
      </c>
      <c r="P847" s="13">
        <v>834</v>
      </c>
      <c r="Q847" s="22"/>
      <c r="R847" s="19"/>
      <c r="S847" s="22"/>
      <c r="T847" s="19"/>
      <c r="U847" s="24">
        <v>4.6597907447023301E-2</v>
      </c>
      <c r="V847" s="24">
        <f t="shared" si="43"/>
        <v>4.3030776482937849E-2</v>
      </c>
      <c r="W847" s="106">
        <v>4.3030780000000002</v>
      </c>
      <c r="X847" s="106">
        <v>4.3031E-2</v>
      </c>
      <c r="Y847" s="34">
        <f t="shared" si="41"/>
        <v>2.2351706215062439E-7</v>
      </c>
    </row>
    <row r="848" spans="15:25" ht="17.100000000000001" customHeight="1">
      <c r="O848" s="12">
        <f t="shared" si="42"/>
        <v>69.583333333333329</v>
      </c>
      <c r="P848" s="13">
        <v>835</v>
      </c>
      <c r="Q848" s="22"/>
      <c r="R848" s="19"/>
      <c r="S848" s="22"/>
      <c r="T848" s="19"/>
      <c r="U848" s="24">
        <v>4.6593628145882526E-2</v>
      </c>
      <c r="V848" s="24">
        <f t="shared" si="43"/>
        <v>4.3030461294089717E-2</v>
      </c>
      <c r="W848" s="106">
        <v>4.3030460000000001</v>
      </c>
      <c r="X848" s="106">
        <v>4.3029999999999999E-2</v>
      </c>
      <c r="Y848" s="34">
        <f t="shared" si="41"/>
        <v>-4.6129408971806729E-7</v>
      </c>
    </row>
    <row r="849" spans="15:25" ht="17.100000000000001" customHeight="1">
      <c r="O849" s="12">
        <f t="shared" si="42"/>
        <v>69.666666666666671</v>
      </c>
      <c r="P849" s="13">
        <v>836</v>
      </c>
      <c r="Q849" s="22"/>
      <c r="R849" s="19"/>
      <c r="S849" s="22"/>
      <c r="T849" s="19"/>
      <c r="U849" s="24">
        <v>4.6589358721432106E-2</v>
      </c>
      <c r="V849" s="24">
        <f t="shared" si="43"/>
        <v>4.3030149332876411E-2</v>
      </c>
      <c r="W849" s="106">
        <v>4.3030150000000003</v>
      </c>
      <c r="X849" s="106">
        <v>4.3029999999999999E-2</v>
      </c>
      <c r="Y849" s="34">
        <f t="shared" si="41"/>
        <v>-1.4933287641183401E-7</v>
      </c>
    </row>
    <row r="850" spans="15:25" ht="17.100000000000001" customHeight="1">
      <c r="O850" s="12">
        <f t="shared" si="42"/>
        <v>69.75</v>
      </c>
      <c r="P850" s="13">
        <v>837</v>
      </c>
      <c r="Q850" s="22"/>
      <c r="R850" s="19"/>
      <c r="S850" s="22"/>
      <c r="T850" s="19"/>
      <c r="U850" s="24">
        <v>4.6585099142083086E-2</v>
      </c>
      <c r="V850" s="24">
        <f t="shared" si="43"/>
        <v>4.3029840565617539E-2</v>
      </c>
      <c r="W850" s="106">
        <v>4.3029840000000004</v>
      </c>
      <c r="X850" s="106">
        <v>4.3029999999999999E-2</v>
      </c>
      <c r="Y850" s="34">
        <f t="shared" si="41"/>
        <v>1.5943438246013297E-7</v>
      </c>
    </row>
    <row r="851" spans="15:25" ht="17.100000000000001" customHeight="1">
      <c r="O851" s="12">
        <f t="shared" si="42"/>
        <v>69.833333333333329</v>
      </c>
      <c r="P851" s="13">
        <v>838</v>
      </c>
      <c r="Q851" s="22"/>
      <c r="R851" s="19"/>
      <c r="S851" s="22"/>
      <c r="T851" s="19"/>
      <c r="U851" s="24">
        <v>4.6580849376357092E-2</v>
      </c>
      <c r="V851" s="24">
        <f t="shared" si="43"/>
        <v>4.3029534959619031E-2</v>
      </c>
      <c r="W851" s="106">
        <v>4.3029529999999996</v>
      </c>
      <c r="X851" s="106">
        <v>4.3029999999999999E-2</v>
      </c>
      <c r="Y851" s="34">
        <f t="shared" si="41"/>
        <v>4.6504038096750744E-7</v>
      </c>
    </row>
    <row r="852" spans="15:25" ht="17.100000000000001" customHeight="1">
      <c r="O852" s="12">
        <f t="shared" si="42"/>
        <v>69.916666666666671</v>
      </c>
      <c r="P852" s="13">
        <v>839</v>
      </c>
      <c r="Q852" s="22"/>
      <c r="R852" s="19"/>
      <c r="S852" s="22"/>
      <c r="T852" s="19"/>
      <c r="U852" s="24">
        <v>4.6576609392887214E-2</v>
      </c>
      <c r="V852" s="24">
        <f t="shared" si="43"/>
        <v>4.3029232483323243E-2</v>
      </c>
      <c r="W852" s="106">
        <v>4.3029229999999998</v>
      </c>
      <c r="X852" s="106">
        <v>4.3028999999999998E-2</v>
      </c>
      <c r="Y852" s="34">
        <f t="shared" si="41"/>
        <v>-2.3248332324532495E-7</v>
      </c>
    </row>
    <row r="853" spans="15:25" ht="17.100000000000001" customHeight="1">
      <c r="O853" s="12">
        <f t="shared" si="42"/>
        <v>70</v>
      </c>
      <c r="P853" s="13">
        <v>840</v>
      </c>
      <c r="Q853" s="22"/>
      <c r="R853" s="19"/>
      <c r="S853" s="22"/>
      <c r="T853" s="19"/>
      <c r="U853" s="24">
        <v>4.6572379160418009E-2</v>
      </c>
      <c r="V853" s="24">
        <f t="shared" si="43"/>
        <v>4.3028933103601563E-2</v>
      </c>
      <c r="W853" s="106">
        <v>4.3028930000000001</v>
      </c>
      <c r="X853" s="106">
        <v>4.3028999999999998E-2</v>
      </c>
      <c r="Y853" s="34">
        <f t="shared" si="41"/>
        <v>6.6896398434601601E-8</v>
      </c>
    </row>
    <row r="854" spans="15:25" ht="17.100000000000001" customHeight="1">
      <c r="O854" s="12">
        <f t="shared" si="42"/>
        <v>70.083333333333329</v>
      </c>
      <c r="P854" s="13">
        <v>841</v>
      </c>
      <c r="Q854" s="22"/>
      <c r="R854" s="19"/>
      <c r="S854" s="22"/>
      <c r="T854" s="19"/>
      <c r="U854" s="24">
        <v>4.6568158647803726E-2</v>
      </c>
      <c r="V854" s="24">
        <f t="shared" si="43"/>
        <v>4.3028636789572472E-2</v>
      </c>
      <c r="W854" s="106">
        <v>4.3028639999999996</v>
      </c>
      <c r="X854" s="106">
        <v>4.3028999999999998E-2</v>
      </c>
      <c r="Y854" s="34">
        <f t="shared" si="41"/>
        <v>3.6321042752585075E-7</v>
      </c>
    </row>
    <row r="855" spans="15:25" ht="17.100000000000001" customHeight="1">
      <c r="O855" s="12">
        <f t="shared" si="42"/>
        <v>70.166666666666671</v>
      </c>
      <c r="P855" s="13">
        <v>842</v>
      </c>
      <c r="Q855" s="22"/>
      <c r="R855" s="19"/>
      <c r="S855" s="22"/>
      <c r="T855" s="19"/>
      <c r="U855" s="24">
        <v>4.6563947824009855E-2</v>
      </c>
      <c r="V855" s="24">
        <f t="shared" si="43"/>
        <v>4.3028343509555977E-2</v>
      </c>
      <c r="W855" s="106">
        <v>4.3028339999999998</v>
      </c>
      <c r="X855" s="106">
        <v>4.3027999999999997E-2</v>
      </c>
      <c r="Y855" s="34">
        <f t="shared" si="41"/>
        <v>-3.435095559806145E-7</v>
      </c>
    </row>
    <row r="856" spans="15:25" ht="17.100000000000001" customHeight="1">
      <c r="O856" s="12">
        <f t="shared" si="42"/>
        <v>70.25</v>
      </c>
      <c r="P856" s="13">
        <v>843</v>
      </c>
      <c r="Q856" s="22"/>
      <c r="R856" s="19"/>
      <c r="S856" s="22"/>
      <c r="T856" s="19"/>
      <c r="U856" s="24">
        <v>4.6559746658111578E-2</v>
      </c>
      <c r="V856" s="24">
        <f t="shared" si="43"/>
        <v>4.3028053232279317E-2</v>
      </c>
      <c r="W856" s="106">
        <v>4.3028050000000002</v>
      </c>
      <c r="X856" s="106">
        <v>4.3027999999999997E-2</v>
      </c>
      <c r="Y856" s="34">
        <f t="shared" si="41"/>
        <v>-5.3232279320636344E-8</v>
      </c>
    </row>
    <row r="857" spans="15:25" ht="17.100000000000001" customHeight="1">
      <c r="O857" s="12">
        <f t="shared" si="42"/>
        <v>70.333333333333329</v>
      </c>
      <c r="P857" s="13">
        <v>844</v>
      </c>
      <c r="Q857" s="22"/>
      <c r="R857" s="19"/>
      <c r="S857" s="22"/>
      <c r="T857" s="19"/>
      <c r="U857" s="24">
        <v>4.6555555119293768E-2</v>
      </c>
      <c r="V857" s="24">
        <f t="shared" si="43"/>
        <v>4.3027765927293293E-2</v>
      </c>
      <c r="W857" s="106">
        <v>4.3027769999999999</v>
      </c>
      <c r="X857" s="106">
        <v>4.3027999999999997E-2</v>
      </c>
      <c r="Y857" s="34">
        <f t="shared" si="41"/>
        <v>2.3407270670350311E-7</v>
      </c>
    </row>
    <row r="858" spans="15:25" ht="17.100000000000001" customHeight="1">
      <c r="O858" s="12">
        <f t="shared" si="42"/>
        <v>70.416666666666671</v>
      </c>
      <c r="P858" s="13">
        <v>845</v>
      </c>
      <c r="Q858" s="22"/>
      <c r="R858" s="19"/>
      <c r="S858" s="22"/>
      <c r="T858" s="19"/>
      <c r="U858" s="24">
        <v>4.6551373176851429E-2</v>
      </c>
      <c r="V858" s="24">
        <f t="shared" si="43"/>
        <v>4.3027481564481995E-2</v>
      </c>
      <c r="W858" s="106">
        <v>4.3027480000000002</v>
      </c>
      <c r="X858" s="106">
        <v>4.3027000000000003E-2</v>
      </c>
      <c r="Y858" s="34">
        <f t="shared" si="41"/>
        <v>-4.8156448199249136E-7</v>
      </c>
    </row>
    <row r="859" spans="15:25" ht="17.100000000000001" customHeight="1">
      <c r="O859" s="12">
        <f t="shared" si="42"/>
        <v>70.5</v>
      </c>
      <c r="P859" s="13">
        <v>846</v>
      </c>
      <c r="Q859" s="22"/>
      <c r="R859" s="19"/>
      <c r="S859" s="22"/>
      <c r="T859" s="19"/>
      <c r="U859" s="24">
        <v>4.6547200800188593E-2</v>
      </c>
      <c r="V859" s="24">
        <f t="shared" si="43"/>
        <v>4.3027200113268327E-2</v>
      </c>
      <c r="W859" s="106">
        <v>4.3027199999999999</v>
      </c>
      <c r="X859" s="106">
        <v>4.3027000000000003E-2</v>
      </c>
      <c r="Y859" s="34">
        <f t="shared" si="41"/>
        <v>-2.0011326832408693E-7</v>
      </c>
    </row>
    <row r="860" spans="15:25" ht="17.100000000000001" customHeight="1">
      <c r="O860" s="12">
        <f t="shared" si="42"/>
        <v>70.583333333333329</v>
      </c>
      <c r="P860" s="13">
        <v>847</v>
      </c>
      <c r="Q860" s="22"/>
      <c r="R860" s="19"/>
      <c r="S860" s="22"/>
      <c r="T860" s="19"/>
      <c r="U860" s="24">
        <v>4.6543037958818534E-2</v>
      </c>
      <c r="V860" s="24">
        <f t="shared" si="43"/>
        <v>4.3026921543514396E-2</v>
      </c>
      <c r="W860" s="106">
        <v>4.3026920000000004</v>
      </c>
      <c r="X860" s="106">
        <v>4.3027000000000003E-2</v>
      </c>
      <c r="Y860" s="34">
        <f t="shared" si="41"/>
        <v>7.8456485606837045E-8</v>
      </c>
    </row>
    <row r="861" spans="15:25" ht="17.100000000000001" customHeight="1">
      <c r="O861" s="12">
        <f t="shared" si="42"/>
        <v>70.666666666666671</v>
      </c>
      <c r="P861" s="13">
        <v>848</v>
      </c>
      <c r="Q861" s="22"/>
      <c r="R861" s="19"/>
      <c r="S861" s="22"/>
      <c r="T861" s="19"/>
      <c r="U861" s="24">
        <v>4.6538884622362442E-2</v>
      </c>
      <c r="V861" s="24">
        <f t="shared" si="43"/>
        <v>4.3026645826540699E-2</v>
      </c>
      <c r="W861" s="106">
        <v>4.3026650000000002</v>
      </c>
      <c r="X861" s="106">
        <v>4.3027000000000003E-2</v>
      </c>
      <c r="Y861" s="34">
        <f t="shared" si="41"/>
        <v>3.5417345930349731E-7</v>
      </c>
    </row>
    <row r="862" spans="15:25" ht="17.100000000000001" customHeight="1">
      <c r="O862" s="12">
        <f t="shared" si="42"/>
        <v>70.75</v>
      </c>
      <c r="P862" s="13">
        <v>849</v>
      </c>
      <c r="Q862" s="22"/>
      <c r="R862" s="19"/>
      <c r="S862" s="22"/>
      <c r="T862" s="19"/>
      <c r="U862" s="24">
        <v>4.6534740760550974E-2</v>
      </c>
      <c r="V862" s="24">
        <f t="shared" si="43"/>
        <v>4.302637293277578E-2</v>
      </c>
      <c r="W862" s="106">
        <v>4.3026369999999998</v>
      </c>
      <c r="X862" s="106">
        <v>4.3026000000000002E-2</v>
      </c>
      <c r="Y862" s="34">
        <f t="shared" si="41"/>
        <v>-3.7293277577871153E-7</v>
      </c>
    </row>
    <row r="863" spans="15:25" ht="17.100000000000001" customHeight="1">
      <c r="O863" s="12">
        <f t="shared" si="42"/>
        <v>70.833333333333329</v>
      </c>
      <c r="P863" s="13">
        <v>850</v>
      </c>
      <c r="Q863" s="22"/>
      <c r="R863" s="19"/>
      <c r="S863" s="22"/>
      <c r="T863" s="19"/>
      <c r="U863" s="24">
        <v>4.6530606343222702E-2</v>
      </c>
      <c r="V863" s="24">
        <f t="shared" si="43"/>
        <v>4.3026102833158664E-2</v>
      </c>
      <c r="W863" s="106">
        <v>4.3026099999999996</v>
      </c>
      <c r="X863" s="106">
        <v>4.3026000000000002E-2</v>
      </c>
      <c r="Y863" s="34">
        <f t="shared" si="41"/>
        <v>-1.0283315866194132E-7</v>
      </c>
    </row>
    <row r="864" spans="15:25" ht="17.100000000000001" customHeight="1">
      <c r="O864" s="12">
        <f t="shared" si="42"/>
        <v>70.916666666666671</v>
      </c>
      <c r="P864" s="13">
        <v>851</v>
      </c>
      <c r="Q864" s="22"/>
      <c r="R864" s="19"/>
      <c r="S864" s="22"/>
      <c r="T864" s="19"/>
      <c r="U864" s="24">
        <v>4.6526481340323667E-2</v>
      </c>
      <c r="V864" s="24">
        <f t="shared" si="43"/>
        <v>4.3025835499545417E-2</v>
      </c>
      <c r="W864" s="106">
        <v>4.3025840000000004</v>
      </c>
      <c r="X864" s="106">
        <v>4.3026000000000002E-2</v>
      </c>
      <c r="Y864" s="34">
        <f t="shared" si="41"/>
        <v>1.6450045458443752E-7</v>
      </c>
    </row>
    <row r="865" spans="15:25" ht="17.100000000000001" customHeight="1">
      <c r="O865" s="12">
        <f t="shared" si="42"/>
        <v>71</v>
      </c>
      <c r="P865" s="13">
        <v>852</v>
      </c>
      <c r="Q865" s="22"/>
      <c r="R865" s="19"/>
      <c r="S865" s="22"/>
      <c r="T865" s="19"/>
      <c r="U865" s="24">
        <v>4.6522365721908265E-2</v>
      </c>
      <c r="V865" s="24">
        <f t="shared" si="43"/>
        <v>4.302557090324588E-2</v>
      </c>
      <c r="W865" s="106">
        <v>4.3025570000000002</v>
      </c>
      <c r="X865" s="106">
        <v>4.3026000000000002E-2</v>
      </c>
      <c r="Y865" s="34">
        <f t="shared" si="41"/>
        <v>4.2909675412178272E-7</v>
      </c>
    </row>
    <row r="866" spans="15:25" ht="17.100000000000001" customHeight="1">
      <c r="O866" s="12">
        <f t="shared" si="42"/>
        <v>71.083333333333329</v>
      </c>
      <c r="P866" s="13">
        <v>853</v>
      </c>
      <c r="Q866" s="22"/>
      <c r="R866" s="19"/>
      <c r="S866" s="22"/>
      <c r="T866" s="19"/>
      <c r="U866" s="24">
        <v>4.6518259458137701E-2</v>
      </c>
      <c r="V866" s="24">
        <f t="shared" si="43"/>
        <v>4.3025309016169633E-2</v>
      </c>
      <c r="W866" s="106">
        <v>4.3025310000000001</v>
      </c>
      <c r="X866" s="106">
        <v>4.3025000000000001E-2</v>
      </c>
      <c r="Y866" s="34">
        <f t="shared" si="41"/>
        <v>-3.0901616963202594E-7</v>
      </c>
    </row>
    <row r="867" spans="15:25" ht="17.100000000000001" customHeight="1">
      <c r="O867" s="12">
        <f t="shared" si="42"/>
        <v>71.166666666666671</v>
      </c>
      <c r="P867" s="13">
        <v>854</v>
      </c>
      <c r="Q867" s="22"/>
      <c r="R867" s="19"/>
      <c r="S867" s="22"/>
      <c r="T867" s="19"/>
      <c r="U867" s="24">
        <v>4.65141625192802E-2</v>
      </c>
      <c r="V867" s="24">
        <f t="shared" si="43"/>
        <v>4.3025049810699434E-2</v>
      </c>
      <c r="W867" s="106">
        <v>4.302505</v>
      </c>
      <c r="X867" s="106">
        <v>4.3025000000000001E-2</v>
      </c>
      <c r="Y867" s="34">
        <f t="shared" si="41"/>
        <v>-4.981069943316152E-8</v>
      </c>
    </row>
    <row r="868" spans="15:25" ht="17.100000000000001" customHeight="1">
      <c r="O868" s="12">
        <f t="shared" si="42"/>
        <v>71.25</v>
      </c>
      <c r="P868" s="13">
        <v>855</v>
      </c>
      <c r="Q868" s="22"/>
      <c r="R868" s="19"/>
      <c r="S868" s="22"/>
      <c r="T868" s="19"/>
      <c r="U868" s="24">
        <v>4.6510074875710794E-2</v>
      </c>
      <c r="V868" s="24">
        <f t="shared" si="43"/>
        <v>4.3024793259744953E-2</v>
      </c>
      <c r="W868" s="106">
        <v>4.3024789999999999</v>
      </c>
      <c r="X868" s="106">
        <v>4.3025000000000001E-2</v>
      </c>
      <c r="Y868" s="34">
        <f t="shared" si="41"/>
        <v>2.0674025504735516E-7</v>
      </c>
    </row>
    <row r="869" spans="15:25" ht="17.100000000000001" customHeight="1">
      <c r="O869" s="12">
        <f t="shared" si="42"/>
        <v>71.333333333333329</v>
      </c>
      <c r="P869" s="13">
        <v>856</v>
      </c>
      <c r="Q869" s="22"/>
      <c r="R869" s="19"/>
      <c r="S869" s="22"/>
      <c r="T869" s="19"/>
      <c r="U869" s="24">
        <v>4.6505996497911317E-2</v>
      </c>
      <c r="V869" s="24">
        <f t="shared" si="43"/>
        <v>4.3024539335544176E-2</v>
      </c>
      <c r="W869" s="106">
        <v>4.302454</v>
      </c>
      <c r="X869" s="106">
        <v>4.3025000000000001E-2</v>
      </c>
      <c r="Y869" s="34">
        <f t="shared" si="41"/>
        <v>4.6066445582443327E-7</v>
      </c>
    </row>
    <row r="870" spans="15:25" ht="17.100000000000001" customHeight="1">
      <c r="O870" s="12">
        <f t="shared" si="42"/>
        <v>71.416666666666671</v>
      </c>
      <c r="P870" s="13">
        <v>857</v>
      </c>
      <c r="Q870" s="22"/>
      <c r="R870" s="19"/>
      <c r="S870" s="22"/>
      <c r="T870" s="19"/>
      <c r="U870" s="24">
        <v>4.6501927356469297E-2</v>
      </c>
      <c r="V870" s="24">
        <f t="shared" si="43"/>
        <v>4.30242880116527E-2</v>
      </c>
      <c r="W870" s="106">
        <v>4.3024290000000001</v>
      </c>
      <c r="X870" s="106">
        <v>4.3024E-2</v>
      </c>
      <c r="Y870" s="34">
        <f t="shared" si="41"/>
        <v>-2.8801165270070372E-7</v>
      </c>
    </row>
    <row r="871" spans="15:25" ht="17.100000000000001" customHeight="1">
      <c r="O871" s="12">
        <f t="shared" si="42"/>
        <v>71.5</v>
      </c>
      <c r="P871" s="13">
        <v>858</v>
      </c>
      <c r="Q871" s="22"/>
      <c r="R871" s="19"/>
      <c r="S871" s="22"/>
      <c r="T871" s="19"/>
      <c r="U871" s="24">
        <v>4.649786742207862E-2</v>
      </c>
      <c r="V871" s="24">
        <f t="shared" si="43"/>
        <v>4.3024039261244429E-2</v>
      </c>
      <c r="W871" s="106">
        <v>4.3024040000000001</v>
      </c>
      <c r="X871" s="106">
        <v>4.3024E-2</v>
      </c>
      <c r="Y871" s="34">
        <f t="shared" si="41"/>
        <v>-3.9261244429156239E-8</v>
      </c>
    </row>
    <row r="872" spans="15:25" ht="17.100000000000001" customHeight="1">
      <c r="O872" s="12">
        <f t="shared" si="42"/>
        <v>71.583333333333329</v>
      </c>
      <c r="P872" s="13">
        <v>859</v>
      </c>
      <c r="Q872" s="22"/>
      <c r="R872" s="19"/>
      <c r="S872" s="22"/>
      <c r="T872" s="19"/>
      <c r="U872" s="24">
        <v>4.6493816665538201E-2</v>
      </c>
      <c r="V872" s="24">
        <f t="shared" si="43"/>
        <v>4.3023793058048154E-2</v>
      </c>
      <c r="W872" s="106">
        <v>4.3023790000000002</v>
      </c>
      <c r="X872" s="106">
        <v>4.3024E-2</v>
      </c>
      <c r="Y872" s="34">
        <f t="shared" si="41"/>
        <v>2.0694195184550734E-7</v>
      </c>
    </row>
    <row r="873" spans="15:25" ht="17.100000000000001" customHeight="1">
      <c r="O873" s="12">
        <f t="shared" si="42"/>
        <v>71.666666666666671</v>
      </c>
      <c r="P873" s="13">
        <v>860</v>
      </c>
      <c r="Q873" s="22"/>
      <c r="R873" s="19"/>
      <c r="S873" s="22"/>
      <c r="T873" s="19"/>
      <c r="U873" s="24">
        <v>4.6489775057752647E-2</v>
      </c>
      <c r="V873" s="24">
        <f t="shared" si="43"/>
        <v>4.3023549375828418E-2</v>
      </c>
      <c r="W873" s="106">
        <v>4.3023550000000004</v>
      </c>
      <c r="X873" s="106">
        <v>4.3024E-2</v>
      </c>
      <c r="Y873" s="34">
        <f t="shared" si="41"/>
        <v>4.5062417158153734E-7</v>
      </c>
    </row>
    <row r="874" spans="15:25" ht="17.100000000000001" customHeight="1">
      <c r="O874" s="12">
        <f t="shared" si="42"/>
        <v>71.75</v>
      </c>
      <c r="P874" s="13">
        <v>861</v>
      </c>
      <c r="Q874" s="22"/>
      <c r="R874" s="19"/>
      <c r="S874" s="22"/>
      <c r="T874" s="19"/>
      <c r="U874" s="24">
        <v>4.648574256973137E-2</v>
      </c>
      <c r="V874" s="24">
        <f t="shared" si="43"/>
        <v>4.3023308188907095E-2</v>
      </c>
      <c r="W874" s="106">
        <v>4.3023309999999997</v>
      </c>
      <c r="X874" s="106">
        <v>4.3022999999999999E-2</v>
      </c>
      <c r="Y874" s="34">
        <f t="shared" si="41"/>
        <v>-3.081889070957744E-7</v>
      </c>
    </row>
    <row r="875" spans="15:25" ht="17.100000000000001" customHeight="1">
      <c r="O875" s="12">
        <f t="shared" si="42"/>
        <v>71.833333333333329</v>
      </c>
      <c r="P875" s="13">
        <v>862</v>
      </c>
      <c r="Q875" s="22"/>
      <c r="R875" s="19"/>
      <c r="S875" s="22"/>
      <c r="T875" s="19"/>
      <c r="U875" s="24">
        <v>4.6481719172588365E-2</v>
      </c>
      <c r="V875" s="24">
        <f t="shared" si="43"/>
        <v>4.302306947197243E-2</v>
      </c>
      <c r="W875" s="106">
        <v>4.3023069999999999</v>
      </c>
      <c r="X875" s="106">
        <v>4.3022999999999999E-2</v>
      </c>
      <c r="Y875" s="34">
        <f t="shared" si="41"/>
        <v>-6.9471972431733864E-8</v>
      </c>
    </row>
    <row r="876" spans="15:25" ht="17.100000000000001" customHeight="1">
      <c r="O876" s="12">
        <f t="shared" si="42"/>
        <v>71.916666666666671</v>
      </c>
      <c r="P876" s="13">
        <v>863</v>
      </c>
      <c r="Q876" s="22"/>
      <c r="R876" s="19"/>
      <c r="S876" s="22"/>
      <c r="T876" s="19"/>
      <c r="U876" s="24">
        <v>4.6477704837542433E-2</v>
      </c>
      <c r="V876" s="24">
        <f t="shared" si="43"/>
        <v>4.3022833199166444E-2</v>
      </c>
      <c r="W876" s="106">
        <v>4.3022830000000001</v>
      </c>
      <c r="X876" s="106">
        <v>4.3022999999999999E-2</v>
      </c>
      <c r="Y876" s="34">
        <f t="shared" si="41"/>
        <v>1.668008335550808E-7</v>
      </c>
    </row>
    <row r="877" spans="15:25" ht="17.100000000000001" customHeight="1">
      <c r="O877" s="12">
        <f t="shared" si="42"/>
        <v>72</v>
      </c>
      <c r="P877" s="13">
        <v>864</v>
      </c>
      <c r="Q877" s="22"/>
      <c r="R877" s="19"/>
      <c r="S877" s="22"/>
      <c r="T877" s="19"/>
      <c r="U877" s="24">
        <v>4.6473699535915847E-2</v>
      </c>
      <c r="V877" s="24">
        <f t="shared" si="43"/>
        <v>4.3022599346347334E-2</v>
      </c>
      <c r="W877" s="106">
        <v>4.3022600000000004</v>
      </c>
      <c r="X877" s="106">
        <v>4.3022999999999999E-2</v>
      </c>
      <c r="Y877" s="34">
        <f t="shared" si="41"/>
        <v>4.0065365266434005E-7</v>
      </c>
    </row>
    <row r="878" spans="15:25" ht="17.100000000000001" customHeight="1">
      <c r="O878" s="12">
        <f t="shared" si="42"/>
        <v>72.083333333333329</v>
      </c>
      <c r="P878" s="13">
        <v>865</v>
      </c>
      <c r="Q878" s="22"/>
      <c r="R878" s="19"/>
      <c r="S878" s="22"/>
      <c r="T878" s="19"/>
      <c r="U878" s="24">
        <v>4.6469703239135463E-2</v>
      </c>
      <c r="V878" s="24">
        <f t="shared" si="43"/>
        <v>4.3022367887705748E-2</v>
      </c>
      <c r="W878" s="106">
        <v>4.3022369999999999</v>
      </c>
      <c r="X878" s="106">
        <v>4.3021999999999998E-2</v>
      </c>
      <c r="Y878" s="34">
        <f t="shared" si="41"/>
        <v>-3.6788770575030272E-7</v>
      </c>
    </row>
    <row r="879" spans="15:25" ht="17.100000000000001" customHeight="1">
      <c r="O879" s="12">
        <f t="shared" si="42"/>
        <v>72.166666666666671</v>
      </c>
      <c r="P879" s="13">
        <v>866</v>
      </c>
      <c r="Q879" s="22"/>
      <c r="R879" s="19"/>
      <c r="S879" s="22"/>
      <c r="T879" s="19"/>
      <c r="U879" s="24">
        <v>4.6465715918730721E-2</v>
      </c>
      <c r="V879" s="24">
        <f t="shared" si="43"/>
        <v>4.3022138799713838E-2</v>
      </c>
      <c r="W879" s="106">
        <v>4.3022140000000002</v>
      </c>
      <c r="X879" s="106">
        <v>4.3021999999999998E-2</v>
      </c>
      <c r="Y879" s="34">
        <f t="shared" si="41"/>
        <v>-1.3879971384050949E-7</v>
      </c>
    </row>
    <row r="880" spans="15:25" ht="17.100000000000001" customHeight="1">
      <c r="O880" s="12">
        <f t="shared" si="42"/>
        <v>72.25</v>
      </c>
      <c r="P880" s="13">
        <v>867</v>
      </c>
      <c r="Q880" s="22"/>
      <c r="R880" s="19"/>
      <c r="S880" s="22"/>
      <c r="T880" s="19"/>
      <c r="U880" s="24">
        <v>4.646173754633498E-2</v>
      </c>
      <c r="V880" s="24">
        <f t="shared" si="43"/>
        <v>4.3021912056999456E-2</v>
      </c>
      <c r="W880" s="106">
        <v>4.3021909999999997</v>
      </c>
      <c r="X880" s="106">
        <v>4.3021999999999998E-2</v>
      </c>
      <c r="Y880" s="34">
        <f t="shared" si="41"/>
        <v>8.7943000541546024E-8</v>
      </c>
    </row>
    <row r="881" spans="15:25" ht="17.100000000000001" customHeight="1">
      <c r="O881" s="12">
        <f t="shared" si="42"/>
        <v>72.333333333333329</v>
      </c>
      <c r="P881" s="13">
        <v>868</v>
      </c>
      <c r="Q881" s="22"/>
      <c r="R881" s="19"/>
      <c r="S881" s="22"/>
      <c r="T881" s="19"/>
      <c r="U881" s="24">
        <v>4.6457768093683738E-2</v>
      </c>
      <c r="V881" s="24">
        <f t="shared" si="43"/>
        <v>4.3021687636718209E-2</v>
      </c>
      <c r="W881" s="106">
        <v>4.3021690000000001</v>
      </c>
      <c r="X881" s="106">
        <v>4.3021999999999998E-2</v>
      </c>
      <c r="Y881" s="34">
        <f t="shared" si="41"/>
        <v>3.1236328178890771E-7</v>
      </c>
    </row>
    <row r="882" spans="15:25" ht="17.100000000000001" customHeight="1">
      <c r="O882" s="12">
        <f t="shared" si="42"/>
        <v>72.416666666666671</v>
      </c>
      <c r="P882" s="13">
        <v>869</v>
      </c>
      <c r="Q882" s="22"/>
      <c r="R882" s="19"/>
      <c r="S882" s="22"/>
      <c r="T882" s="19"/>
      <c r="U882" s="24">
        <v>4.6453807532615743E-2</v>
      </c>
      <c r="V882" s="24">
        <f t="shared" si="43"/>
        <v>4.302146551433661E-2</v>
      </c>
      <c r="W882" s="106">
        <v>4.3021469999999997</v>
      </c>
      <c r="X882" s="106">
        <v>4.3020999999999997E-2</v>
      </c>
      <c r="Y882" s="34">
        <f t="shared" si="41"/>
        <v>-4.6551433661307096E-7</v>
      </c>
    </row>
    <row r="883" spans="15:25" ht="17.100000000000001" customHeight="1">
      <c r="O883" s="12">
        <f t="shared" si="42"/>
        <v>72.5</v>
      </c>
      <c r="P883" s="13">
        <v>870</v>
      </c>
      <c r="Q883" s="22"/>
      <c r="R883" s="19"/>
      <c r="S883" s="22"/>
      <c r="T883" s="19"/>
      <c r="U883" s="24">
        <v>4.6449855835071663E-2</v>
      </c>
      <c r="V883" s="24">
        <f t="shared" si="43"/>
        <v>4.3021245666649222E-2</v>
      </c>
      <c r="W883" s="106">
        <v>4.3021250000000002</v>
      </c>
      <c r="X883" s="106">
        <v>4.3020999999999997E-2</v>
      </c>
      <c r="Y883" s="34">
        <f t="shared" si="41"/>
        <v>-2.4566664922481829E-7</v>
      </c>
    </row>
    <row r="884" spans="15:25" ht="17.100000000000001" customHeight="1">
      <c r="O884" s="12">
        <f t="shared" si="42"/>
        <v>72.583333333333329</v>
      </c>
      <c r="P884" s="13">
        <v>871</v>
      </c>
      <c r="Q884" s="22"/>
      <c r="R884" s="19"/>
      <c r="S884" s="22"/>
      <c r="T884" s="19"/>
      <c r="U884" s="24">
        <v>4.6445912973094083E-2</v>
      </c>
      <c r="V884" s="24">
        <f t="shared" si="43"/>
        <v>4.3021028070291623E-2</v>
      </c>
      <c r="W884" s="106">
        <v>4.3021029999999998</v>
      </c>
      <c r="X884" s="106">
        <v>4.3020999999999997E-2</v>
      </c>
      <c r="Y884" s="34">
        <f t="shared" si="41"/>
        <v>-2.807029162582575E-8</v>
      </c>
    </row>
    <row r="885" spans="15:25" ht="17.100000000000001" customHeight="1">
      <c r="O885" s="12">
        <f t="shared" si="42"/>
        <v>72.666666666666671</v>
      </c>
      <c r="P885" s="13">
        <v>872</v>
      </c>
      <c r="Q885" s="22"/>
      <c r="R885" s="19"/>
      <c r="S885" s="22"/>
      <c r="T885" s="19"/>
      <c r="U885" s="24">
        <v>4.6441978918827509E-2</v>
      </c>
      <c r="V885" s="24">
        <f t="shared" si="43"/>
        <v>4.3020812702110112E-2</v>
      </c>
      <c r="W885" s="106">
        <v>4.3020810000000003</v>
      </c>
      <c r="X885" s="106">
        <v>4.3020999999999997E-2</v>
      </c>
      <c r="Y885" s="34">
        <f t="shared" si="41"/>
        <v>1.8729788988508522E-7</v>
      </c>
    </row>
    <row r="886" spans="15:25" ht="17.100000000000001" customHeight="1">
      <c r="O886" s="12">
        <f t="shared" si="42"/>
        <v>72.75</v>
      </c>
      <c r="P886" s="13">
        <v>873</v>
      </c>
      <c r="Q886" s="22"/>
      <c r="R886" s="19"/>
      <c r="S886" s="22"/>
      <c r="T886" s="19"/>
      <c r="U886" s="24">
        <v>4.6438053644517252E-2</v>
      </c>
      <c r="V886" s="24">
        <f t="shared" si="43"/>
        <v>4.3020599539298487E-2</v>
      </c>
      <c r="W886" s="106">
        <v>4.30206</v>
      </c>
      <c r="X886" s="106">
        <v>4.3020999999999997E-2</v>
      </c>
      <c r="Y886" s="34">
        <f t="shared" si="41"/>
        <v>4.0046070150928648E-7</v>
      </c>
    </row>
    <row r="887" spans="15:25" ht="17.100000000000001" customHeight="1">
      <c r="O887" s="12">
        <f t="shared" si="42"/>
        <v>72.833333333333329</v>
      </c>
      <c r="P887" s="13">
        <v>874</v>
      </c>
      <c r="Q887" s="22"/>
      <c r="R887" s="19"/>
      <c r="S887" s="22"/>
      <c r="T887" s="19"/>
      <c r="U887" s="24">
        <v>4.64341371225101E-2</v>
      </c>
      <c r="V887" s="24">
        <f t="shared" si="43"/>
        <v>4.3020388559501743E-2</v>
      </c>
      <c r="W887" s="106">
        <v>4.3020389999999997</v>
      </c>
      <c r="X887" s="106">
        <v>4.3020000000000003E-2</v>
      </c>
      <c r="Y887" s="34">
        <f t="shared" si="41"/>
        <v>-3.8855950174054854E-7</v>
      </c>
    </row>
    <row r="888" spans="15:25" ht="17.100000000000001" customHeight="1">
      <c r="O888" s="12">
        <f t="shared" si="42"/>
        <v>72.916666666666671</v>
      </c>
      <c r="P888" s="13">
        <v>875</v>
      </c>
      <c r="Q888" s="22"/>
      <c r="R888" s="19"/>
      <c r="S888" s="22"/>
      <c r="T888" s="19"/>
      <c r="U888" s="24">
        <v>4.6430229325253425E-2</v>
      </c>
      <c r="V888" s="24">
        <f t="shared" si="43"/>
        <v>4.3020179740194342E-2</v>
      </c>
      <c r="W888" s="106">
        <v>4.3020180000000003</v>
      </c>
      <c r="X888" s="106">
        <v>4.3020000000000003E-2</v>
      </c>
      <c r="Y888" s="34">
        <f t="shared" si="41"/>
        <v>-1.7974019433930621E-7</v>
      </c>
    </row>
    <row r="889" spans="15:25" ht="17.100000000000001" customHeight="1">
      <c r="O889" s="12">
        <f t="shared" si="42"/>
        <v>73</v>
      </c>
      <c r="P889" s="13">
        <v>876</v>
      </c>
      <c r="Q889" s="22"/>
      <c r="R889" s="19"/>
      <c r="S889" s="22"/>
      <c r="T889" s="19"/>
      <c r="U889" s="24">
        <v>4.6426330225294965E-2</v>
      </c>
      <c r="V889" s="24">
        <f t="shared" si="43"/>
        <v>4.3019973059351679E-2</v>
      </c>
      <c r="W889" s="106">
        <v>4.3019970000000001</v>
      </c>
      <c r="X889" s="106">
        <v>4.3020000000000003E-2</v>
      </c>
      <c r="Y889" s="34">
        <f t="shared" si="41"/>
        <v>2.6940648323314775E-8</v>
      </c>
    </row>
    <row r="890" spans="15:25" ht="17.100000000000001" customHeight="1">
      <c r="O890" s="12">
        <f t="shared" si="42"/>
        <v>73.083333333333329</v>
      </c>
      <c r="P890" s="13">
        <v>877</v>
      </c>
      <c r="Q890" s="22"/>
      <c r="R890" s="19"/>
      <c r="S890" s="22"/>
      <c r="T890" s="19"/>
      <c r="U890" s="24">
        <v>4.64224397952826E-2</v>
      </c>
      <c r="V890" s="24">
        <f t="shared" si="43"/>
        <v>4.3019768494919619E-2</v>
      </c>
      <c r="W890" s="106">
        <v>4.3019769999999999</v>
      </c>
      <c r="X890" s="106">
        <v>4.3020000000000003E-2</v>
      </c>
      <c r="Y890" s="34">
        <f t="shared" si="41"/>
        <v>2.315050803836094E-7</v>
      </c>
    </row>
    <row r="891" spans="15:25" ht="17.100000000000001" customHeight="1">
      <c r="O891" s="12">
        <f t="shared" si="42"/>
        <v>73.166666666666671</v>
      </c>
      <c r="P891" s="13">
        <v>878</v>
      </c>
      <c r="Q891" s="22"/>
      <c r="R891" s="19"/>
      <c r="S891" s="22"/>
      <c r="T891" s="19"/>
      <c r="U891" s="24">
        <v>4.6418558007963906E-2</v>
      </c>
      <c r="V891" s="24">
        <f t="shared" si="43"/>
        <v>4.3019566025354727E-2</v>
      </c>
      <c r="W891" s="106">
        <v>4.3019569999999998</v>
      </c>
      <c r="X891" s="106">
        <v>4.3020000000000003E-2</v>
      </c>
      <c r="Y891" s="34">
        <f t="shared" si="41"/>
        <v>4.3397464527528129E-7</v>
      </c>
    </row>
    <row r="892" spans="15:25" ht="17.100000000000001" customHeight="1">
      <c r="O892" s="12">
        <f t="shared" si="42"/>
        <v>73.25</v>
      </c>
      <c r="P892" s="13">
        <v>879</v>
      </c>
      <c r="Q892" s="22"/>
      <c r="R892" s="19"/>
      <c r="S892" s="22"/>
      <c r="T892" s="19"/>
      <c r="U892" s="24">
        <v>4.6414684836185938E-2</v>
      </c>
      <c r="V892" s="24">
        <f t="shared" si="43"/>
        <v>4.301936562925035E-2</v>
      </c>
      <c r="W892" s="106">
        <v>4.3019369999999997</v>
      </c>
      <c r="X892" s="106">
        <v>4.3019000000000002E-2</v>
      </c>
      <c r="Y892" s="34">
        <f t="shared" si="41"/>
        <v>-3.6562925034844262E-7</v>
      </c>
    </row>
    <row r="893" spans="15:25" ht="17.100000000000001" customHeight="1">
      <c r="O893" s="12">
        <f t="shared" si="42"/>
        <v>73.333333333333329</v>
      </c>
      <c r="P893" s="13">
        <v>880</v>
      </c>
      <c r="Q893" s="22"/>
      <c r="R893" s="19"/>
      <c r="S893" s="22"/>
      <c r="T893" s="19"/>
      <c r="U893" s="24">
        <v>4.6410820252895002E-2</v>
      </c>
      <c r="V893" s="24">
        <f t="shared" si="43"/>
        <v>4.3019167285692994E-2</v>
      </c>
      <c r="W893" s="106">
        <v>4.3019170000000004</v>
      </c>
      <c r="X893" s="106">
        <v>4.3019000000000002E-2</v>
      </c>
      <c r="Y893" s="34">
        <f t="shared" si="41"/>
        <v>-1.672856929924027E-7</v>
      </c>
    </row>
    <row r="894" spans="15:25" ht="17.100000000000001" customHeight="1">
      <c r="O894" s="12">
        <f t="shared" si="42"/>
        <v>73.416666666666671</v>
      </c>
      <c r="P894" s="13">
        <v>881</v>
      </c>
      <c r="Q894" s="22"/>
      <c r="R894" s="19"/>
      <c r="S894" s="22"/>
      <c r="T894" s="19"/>
      <c r="U894" s="24">
        <v>4.6406964231136438E-2</v>
      </c>
      <c r="V894" s="24">
        <f t="shared" si="43"/>
        <v>4.3018970972628967E-2</v>
      </c>
      <c r="W894" s="106">
        <v>4.3018970000000003</v>
      </c>
      <c r="X894" s="106">
        <v>4.3019000000000002E-2</v>
      </c>
      <c r="Y894" s="34">
        <f t="shared" si="41"/>
        <v>2.902737103460673E-8</v>
      </c>
    </row>
    <row r="895" spans="15:25" ht="17.100000000000001" customHeight="1">
      <c r="O895" s="12">
        <f t="shared" si="42"/>
        <v>73.5</v>
      </c>
      <c r="P895" s="13">
        <v>882</v>
      </c>
      <c r="Q895" s="22"/>
      <c r="R895" s="19"/>
      <c r="S895" s="22"/>
      <c r="T895" s="19"/>
      <c r="U895" s="24">
        <v>4.6403116744053285E-2</v>
      </c>
      <c r="V895" s="24">
        <f t="shared" si="43"/>
        <v>4.3018776670411984E-2</v>
      </c>
      <c r="W895" s="106">
        <v>4.3018780000000003</v>
      </c>
      <c r="X895" s="106">
        <v>4.3019000000000002E-2</v>
      </c>
      <c r="Y895" s="34">
        <f t="shared" si="41"/>
        <v>2.2332958801718483E-7</v>
      </c>
    </row>
    <row r="896" spans="15:25" ht="17.100000000000001" customHeight="1">
      <c r="O896" s="12">
        <f t="shared" si="42"/>
        <v>73.583333333333329</v>
      </c>
      <c r="P896" s="13">
        <v>883</v>
      </c>
      <c r="Q896" s="22"/>
      <c r="R896" s="19"/>
      <c r="S896" s="22"/>
      <c r="T896" s="19"/>
      <c r="U896" s="24">
        <v>4.6399277764887836E-2</v>
      </c>
      <c r="V896" s="24">
        <f t="shared" si="43"/>
        <v>4.3018584357641387E-2</v>
      </c>
      <c r="W896" s="106">
        <v>4.3018580000000002</v>
      </c>
      <c r="X896" s="106">
        <v>4.3019000000000002E-2</v>
      </c>
      <c r="Y896" s="34">
        <f t="shared" si="41"/>
        <v>4.1564235861435428E-7</v>
      </c>
    </row>
    <row r="897" spans="15:25" ht="17.100000000000001" customHeight="1">
      <c r="O897" s="12">
        <f t="shared" si="42"/>
        <v>73.666666666666671</v>
      </c>
      <c r="P897" s="13">
        <v>884</v>
      </c>
      <c r="Q897" s="22"/>
      <c r="R897" s="19"/>
      <c r="S897" s="22"/>
      <c r="T897" s="19"/>
      <c r="U897" s="24">
        <v>4.6395447266979417E-2</v>
      </c>
      <c r="V897" s="24">
        <f t="shared" si="43"/>
        <v>4.3018394014599171E-2</v>
      </c>
      <c r="W897" s="106">
        <v>4.3018390000000002</v>
      </c>
      <c r="X897" s="106">
        <v>4.3018000000000001E-2</v>
      </c>
      <c r="Y897" s="34">
        <f t="shared" si="41"/>
        <v>-3.9401459916987847E-7</v>
      </c>
    </row>
    <row r="898" spans="15:25" ht="17.100000000000001" customHeight="1">
      <c r="O898" s="12">
        <f t="shared" si="42"/>
        <v>73.75</v>
      </c>
      <c r="P898" s="13">
        <v>885</v>
      </c>
      <c r="Q898" s="22"/>
      <c r="R898" s="19"/>
      <c r="S898" s="22"/>
      <c r="T898" s="19"/>
      <c r="U898" s="24">
        <v>4.6391625223765498E-2</v>
      </c>
      <c r="V898" s="24">
        <f t="shared" si="43"/>
        <v>4.3018205620679151E-2</v>
      </c>
      <c r="W898" s="106">
        <v>4.3018210000000003</v>
      </c>
      <c r="X898" s="106">
        <v>4.3018000000000001E-2</v>
      </c>
      <c r="Y898" s="34">
        <f t="shared" si="41"/>
        <v>-2.0562067915008697E-7</v>
      </c>
    </row>
    <row r="899" spans="15:25" ht="17.100000000000001" customHeight="1">
      <c r="O899" s="12">
        <f t="shared" si="42"/>
        <v>73.833333333333329</v>
      </c>
      <c r="P899" s="13">
        <v>886</v>
      </c>
      <c r="Q899" s="22"/>
      <c r="R899" s="19"/>
      <c r="S899" s="22"/>
      <c r="T899" s="19"/>
      <c r="U899" s="24">
        <v>4.6387811608780583E-2</v>
      </c>
      <c r="V899" s="24">
        <f t="shared" si="43"/>
        <v>4.3018019156217058E-2</v>
      </c>
      <c r="W899" s="106">
        <v>4.3018020000000003</v>
      </c>
      <c r="X899" s="106">
        <v>4.3018000000000001E-2</v>
      </c>
      <c r="Y899" s="34">
        <f t="shared" si="41"/>
        <v>-1.9156217057059166E-8</v>
      </c>
    </row>
    <row r="900" spans="15:25" ht="17.100000000000001" customHeight="1">
      <c r="O900" s="12">
        <f t="shared" si="42"/>
        <v>73.916666666666671</v>
      </c>
      <c r="P900" s="13">
        <v>887</v>
      </c>
      <c r="Q900" s="22"/>
      <c r="R900" s="19"/>
      <c r="S900" s="22"/>
      <c r="T900" s="19"/>
      <c r="U900" s="24">
        <v>4.638400639565643E-2</v>
      </c>
      <c r="V900" s="24">
        <f t="shared" si="43"/>
        <v>4.3017834600872495E-2</v>
      </c>
      <c r="W900" s="106">
        <v>4.3017830000000004</v>
      </c>
      <c r="X900" s="106">
        <v>4.3018000000000001E-2</v>
      </c>
      <c r="Y900" s="34">
        <f t="shared" si="41"/>
        <v>1.6539912750523911E-7</v>
      </c>
    </row>
    <row r="901" spans="15:25" ht="17.100000000000001" customHeight="1">
      <c r="O901" s="12">
        <f t="shared" si="42"/>
        <v>74</v>
      </c>
      <c r="P901" s="13">
        <v>888</v>
      </c>
      <c r="Q901" s="22"/>
      <c r="R901" s="19"/>
      <c r="S901" s="22"/>
      <c r="T901" s="19"/>
      <c r="U901" s="24">
        <v>4.63802095581205E-2</v>
      </c>
      <c r="V901" s="24">
        <f t="shared" si="43"/>
        <v>4.301765193613849E-2</v>
      </c>
      <c r="W901" s="106">
        <v>4.3017649999999996</v>
      </c>
      <c r="X901" s="106">
        <v>4.3018000000000001E-2</v>
      </c>
      <c r="Y901" s="34">
        <f t="shared" si="41"/>
        <v>3.4806386151053914E-7</v>
      </c>
    </row>
    <row r="902" spans="15:25" ht="17.100000000000001" customHeight="1">
      <c r="O902" s="12">
        <f t="shared" si="42"/>
        <v>74.083333333333329</v>
      </c>
      <c r="P902" s="13">
        <v>889</v>
      </c>
      <c r="Q902" s="22"/>
      <c r="R902" s="19"/>
      <c r="S902" s="22"/>
      <c r="T902" s="19"/>
      <c r="U902" s="24">
        <v>4.6376421069997953E-2</v>
      </c>
      <c r="V902" s="24">
        <f t="shared" si="43"/>
        <v>4.3017471141539199E-2</v>
      </c>
      <c r="W902" s="106">
        <v>4.3017469999999998</v>
      </c>
      <c r="X902" s="106">
        <v>4.3017E-2</v>
      </c>
      <c r="Y902" s="34">
        <f t="shared" si="41"/>
        <v>-4.7114153919891599E-7</v>
      </c>
    </row>
    <row r="903" spans="15:25" ht="17.100000000000001" customHeight="1">
      <c r="O903" s="12">
        <f t="shared" si="42"/>
        <v>74.166666666666671</v>
      </c>
      <c r="P903" s="13">
        <v>890</v>
      </c>
      <c r="Q903" s="22"/>
      <c r="R903" s="19"/>
      <c r="S903" s="22"/>
      <c r="T903" s="19"/>
      <c r="U903" s="24">
        <v>4.6372640905208762E-2</v>
      </c>
      <c r="V903" s="24">
        <f t="shared" si="43"/>
        <v>4.3017292198576529E-2</v>
      </c>
      <c r="W903" s="106">
        <v>4.3017289999999999</v>
      </c>
      <c r="X903" s="106">
        <v>4.3017E-2</v>
      </c>
      <c r="Y903" s="34">
        <f t="shared" si="41"/>
        <v>-2.9219857652917902E-7</v>
      </c>
    </row>
    <row r="904" spans="15:25" ht="17.100000000000001" customHeight="1">
      <c r="O904" s="12">
        <f t="shared" si="42"/>
        <v>74.25</v>
      </c>
      <c r="P904" s="13">
        <v>891</v>
      </c>
      <c r="Q904" s="22"/>
      <c r="R904" s="19"/>
      <c r="S904" s="22"/>
      <c r="T904" s="19"/>
      <c r="U904" s="24">
        <v>4.6368869037769045E-2</v>
      </c>
      <c r="V904" s="24">
        <f t="shared" si="43"/>
        <v>4.3017115088310298E-2</v>
      </c>
      <c r="W904" s="106">
        <v>4.3017120000000002</v>
      </c>
      <c r="X904" s="106">
        <v>4.3017E-2</v>
      </c>
      <c r="Y904" s="34">
        <f t="shared" si="41"/>
        <v>-1.1508831029849453E-7</v>
      </c>
    </row>
    <row r="905" spans="15:25" ht="17.100000000000001" customHeight="1">
      <c r="O905" s="12">
        <f t="shared" si="42"/>
        <v>74.333333333333329</v>
      </c>
      <c r="P905" s="13">
        <v>892</v>
      </c>
      <c r="Q905" s="22"/>
      <c r="R905" s="19"/>
      <c r="S905" s="22"/>
      <c r="T905" s="19"/>
      <c r="U905" s="24">
        <v>4.6365105441790622E-2</v>
      </c>
      <c r="V905" s="24">
        <f t="shared" si="43"/>
        <v>4.3016939791739706E-2</v>
      </c>
      <c r="W905" s="106">
        <v>4.3016940000000004</v>
      </c>
      <c r="X905" s="106">
        <v>4.3017E-2</v>
      </c>
      <c r="Y905" s="34">
        <f t="shared" si="41"/>
        <v>6.0208260294070115E-8</v>
      </c>
    </row>
    <row r="906" spans="15:25" ht="17.100000000000001" customHeight="1">
      <c r="O906" s="12">
        <f t="shared" si="42"/>
        <v>74.416666666666671</v>
      </c>
      <c r="P906" s="13">
        <v>893</v>
      </c>
      <c r="Q906" s="22"/>
      <c r="R906" s="19"/>
      <c r="S906" s="22"/>
      <c r="T906" s="19"/>
      <c r="U906" s="24">
        <v>4.6361350091479903E-2</v>
      </c>
      <c r="V906" s="24">
        <f t="shared" si="43"/>
        <v>4.3016766290410624E-2</v>
      </c>
      <c r="W906" s="106">
        <v>4.3016769999999998</v>
      </c>
      <c r="X906" s="106">
        <v>4.3017E-2</v>
      </c>
      <c r="Y906" s="34">
        <f t="shared" si="41"/>
        <v>2.3370958937563024E-7</v>
      </c>
    </row>
    <row r="907" spans="15:25" ht="17.100000000000001" customHeight="1">
      <c r="O907" s="12">
        <f t="shared" si="42"/>
        <v>74.5</v>
      </c>
      <c r="P907" s="13">
        <v>894</v>
      </c>
      <c r="Q907" s="22"/>
      <c r="R907" s="19"/>
      <c r="S907" s="22"/>
      <c r="T907" s="19"/>
      <c r="U907" s="24">
        <v>4.6357602961138111E-2</v>
      </c>
      <c r="V907" s="24">
        <f t="shared" si="43"/>
        <v>4.3016594565647104E-2</v>
      </c>
      <c r="W907" s="106">
        <v>4.3016589999999999</v>
      </c>
      <c r="X907" s="106">
        <v>4.3017E-2</v>
      </c>
      <c r="Y907" s="34">
        <f t="shared" si="41"/>
        <v>4.0543435289586149E-7</v>
      </c>
    </row>
    <row r="908" spans="15:25" ht="17.100000000000001" customHeight="1">
      <c r="O908" s="12">
        <f t="shared" si="42"/>
        <v>74.583333333333329</v>
      </c>
      <c r="P908" s="13">
        <v>895</v>
      </c>
      <c r="Q908" s="22"/>
      <c r="R908" s="19"/>
      <c r="S908" s="22"/>
      <c r="T908" s="19"/>
      <c r="U908" s="24">
        <v>4.635386402516084E-2</v>
      </c>
      <c r="V908" s="24">
        <f t="shared" si="43"/>
        <v>4.3016424599809699E-2</v>
      </c>
      <c r="W908" s="106">
        <v>4.3016420000000002</v>
      </c>
      <c r="X908" s="106">
        <v>4.3015999999999999E-2</v>
      </c>
      <c r="Y908" s="34">
        <f t="shared" si="41"/>
        <v>-4.2459980970077638E-7</v>
      </c>
    </row>
    <row r="909" spans="15:25" ht="17.100000000000001" customHeight="1">
      <c r="O909" s="12">
        <f t="shared" si="42"/>
        <v>74.666666666666671</v>
      </c>
      <c r="P909" s="13">
        <v>896</v>
      </c>
      <c r="Q909" s="22"/>
      <c r="R909" s="19"/>
      <c r="S909" s="22"/>
      <c r="T909" s="19"/>
      <c r="U909" s="24">
        <v>4.6350133258038051E-2</v>
      </c>
      <c r="V909" s="24">
        <f t="shared" si="43"/>
        <v>4.3016256374699191E-2</v>
      </c>
      <c r="W909" s="106">
        <v>4.3016259999999997</v>
      </c>
      <c r="X909" s="106">
        <v>4.3015999999999999E-2</v>
      </c>
      <c r="Y909" s="34">
        <f t="shared" ref="Y909:Y972" si="44">X909-V909</f>
        <v>-2.5637469919237432E-7</v>
      </c>
    </row>
    <row r="910" spans="15:25" ht="17.100000000000001" customHeight="1">
      <c r="O910" s="12">
        <f t="shared" ref="O910:O973" si="45">P910/12</f>
        <v>74.75</v>
      </c>
      <c r="P910" s="13">
        <v>897</v>
      </c>
      <c r="Q910" s="22"/>
      <c r="R910" s="19"/>
      <c r="S910" s="22"/>
      <c r="T910" s="19"/>
      <c r="U910" s="24">
        <v>4.6346410634353408E-2</v>
      </c>
      <c r="V910" s="24">
        <f t="shared" ref="V910:V973" si="46">(1+U911)^P911/(1+U910)^P910-1</f>
        <v>4.3016089872045082E-2</v>
      </c>
      <c r="W910" s="106">
        <v>4.301609</v>
      </c>
      <c r="X910" s="106">
        <v>4.3015999999999999E-2</v>
      </c>
      <c r="Y910" s="34">
        <f t="shared" si="44"/>
        <v>-8.9872045083705387E-8</v>
      </c>
    </row>
    <row r="911" spans="15:25" ht="17.100000000000001" customHeight="1">
      <c r="O911" s="12">
        <f t="shared" si="45"/>
        <v>74.833333333333329</v>
      </c>
      <c r="P911" s="13">
        <v>898</v>
      </c>
      <c r="Q911" s="22"/>
      <c r="R911" s="19"/>
      <c r="S911" s="22"/>
      <c r="T911" s="19"/>
      <c r="U911" s="24">
        <v>4.6342696128783611E-2</v>
      </c>
      <c r="V911" s="24">
        <f t="shared" si="46"/>
        <v>4.3015925074878059E-2</v>
      </c>
      <c r="W911" s="106">
        <v>4.3015930000000004</v>
      </c>
      <c r="X911" s="106">
        <v>4.3015999999999999E-2</v>
      </c>
      <c r="Y911" s="34">
        <f t="shared" si="44"/>
        <v>7.4925121940072614E-8</v>
      </c>
    </row>
    <row r="912" spans="15:25" ht="17.100000000000001" customHeight="1">
      <c r="O912" s="12">
        <f t="shared" si="45"/>
        <v>74.916666666666671</v>
      </c>
      <c r="P912" s="13">
        <v>899</v>
      </c>
      <c r="Q912" s="22"/>
      <c r="R912" s="19"/>
      <c r="S912" s="22"/>
      <c r="T912" s="19"/>
      <c r="U912" s="24">
        <v>4.6338989716099288E-2</v>
      </c>
      <c r="V912" s="24">
        <f t="shared" si="46"/>
        <v>4.301576196525847E-2</v>
      </c>
      <c r="W912" s="106">
        <v>4.3015759999999998</v>
      </c>
      <c r="X912" s="106">
        <v>4.3015999999999999E-2</v>
      </c>
      <c r="Y912" s="34">
        <f t="shared" si="44"/>
        <v>2.3803474152872539E-7</v>
      </c>
    </row>
    <row r="913" spans="15:25" ht="17.100000000000001" customHeight="1">
      <c r="O913" s="12">
        <f t="shared" si="45"/>
        <v>75</v>
      </c>
      <c r="P913" s="13">
        <v>900</v>
      </c>
      <c r="Q913" s="22"/>
      <c r="R913" s="19"/>
      <c r="S913" s="22"/>
      <c r="T913" s="19"/>
      <c r="U913" s="24">
        <v>4.6335291371163212E-2</v>
      </c>
      <c r="V913" s="24">
        <f t="shared" si="46"/>
        <v>4.3015600525834419E-2</v>
      </c>
      <c r="W913" s="106">
        <v>4.3015600000000003</v>
      </c>
      <c r="X913" s="106">
        <v>4.3015999999999999E-2</v>
      </c>
      <c r="Y913" s="34">
        <f t="shared" si="44"/>
        <v>3.9947416557994941E-7</v>
      </c>
    </row>
    <row r="914" spans="15:25" ht="17.100000000000001" customHeight="1">
      <c r="O914" s="12">
        <f t="shared" si="45"/>
        <v>75.083333333333329</v>
      </c>
      <c r="P914" s="13">
        <v>901</v>
      </c>
      <c r="Q914" s="22"/>
      <c r="R914" s="19"/>
      <c r="S914" s="22"/>
      <c r="T914" s="19"/>
      <c r="U914" s="24">
        <v>4.633160106893075E-2</v>
      </c>
      <c r="V914" s="24">
        <f t="shared" si="46"/>
        <v>4.3015440740225008E-2</v>
      </c>
      <c r="W914" s="106">
        <v>4.3015439999999998</v>
      </c>
      <c r="X914" s="106">
        <v>4.3014999999999998E-2</v>
      </c>
      <c r="Y914" s="34">
        <f t="shared" si="44"/>
        <v>-4.4074022501061627E-7</v>
      </c>
    </row>
    <row r="915" spans="15:25" ht="17.100000000000001" customHeight="1">
      <c r="O915" s="12">
        <f t="shared" si="45"/>
        <v>75.166666666666671</v>
      </c>
      <c r="P915" s="13">
        <v>902</v>
      </c>
      <c r="Q915" s="22"/>
      <c r="R915" s="19"/>
      <c r="S915" s="22"/>
      <c r="T915" s="19"/>
      <c r="U915" s="24">
        <v>4.6327918784450084E-2</v>
      </c>
      <c r="V915" s="24">
        <f t="shared" si="46"/>
        <v>4.3015282590824322E-2</v>
      </c>
      <c r="W915" s="106">
        <v>4.3015280000000002</v>
      </c>
      <c r="X915" s="106">
        <v>4.3014999999999998E-2</v>
      </c>
      <c r="Y915" s="34">
        <f t="shared" si="44"/>
        <v>-2.8259082432424698E-7</v>
      </c>
    </row>
    <row r="916" spans="15:25" ht="17.100000000000001" customHeight="1">
      <c r="O916" s="12">
        <f t="shared" si="45"/>
        <v>75.25</v>
      </c>
      <c r="P916" s="13">
        <v>903</v>
      </c>
      <c r="Q916" s="22"/>
      <c r="R916" s="19"/>
      <c r="S916" s="22"/>
      <c r="T916" s="19"/>
      <c r="U916" s="24">
        <v>4.6324244492860656E-2</v>
      </c>
      <c r="V916" s="24">
        <f t="shared" si="46"/>
        <v>4.30151260609688E-2</v>
      </c>
      <c r="W916" s="106">
        <v>4.3015129999999999</v>
      </c>
      <c r="X916" s="106">
        <v>4.3014999999999998E-2</v>
      </c>
      <c r="Y916" s="34">
        <f t="shared" si="44"/>
        <v>-1.260609688025216E-7</v>
      </c>
    </row>
    <row r="917" spans="15:25" ht="17.100000000000001" customHeight="1">
      <c r="O917" s="12">
        <f t="shared" si="45"/>
        <v>75.333333333333329</v>
      </c>
      <c r="P917" s="13">
        <v>904</v>
      </c>
      <c r="Q917" s="22"/>
      <c r="R917" s="19"/>
      <c r="S917" s="22"/>
      <c r="T917" s="19"/>
      <c r="U917" s="24">
        <v>4.6320578169393611E-2</v>
      </c>
      <c r="V917" s="24">
        <f t="shared" si="46"/>
        <v>4.301497113394781E-2</v>
      </c>
      <c r="W917" s="106">
        <v>4.3014970000000003</v>
      </c>
      <c r="X917" s="106">
        <v>4.3014999999999998E-2</v>
      </c>
      <c r="Y917" s="34">
        <f t="shared" si="44"/>
        <v>2.8866052187437319E-8</v>
      </c>
    </row>
    <row r="918" spans="15:25" ht="17.100000000000001" customHeight="1">
      <c r="O918" s="12">
        <f t="shared" si="45"/>
        <v>75.416666666666671</v>
      </c>
      <c r="P918" s="13">
        <v>905</v>
      </c>
      <c r="Q918" s="22"/>
      <c r="R918" s="19"/>
      <c r="S918" s="22"/>
      <c r="T918" s="19"/>
      <c r="U918" s="24">
        <v>4.6316919789371136E-2</v>
      </c>
      <c r="V918" s="24">
        <f t="shared" si="46"/>
        <v>4.3014817794135629E-2</v>
      </c>
      <c r="W918" s="106">
        <v>4.301482</v>
      </c>
      <c r="X918" s="106">
        <v>4.3014999999999998E-2</v>
      </c>
      <c r="Y918" s="34">
        <f t="shared" si="44"/>
        <v>1.8220586436856756E-7</v>
      </c>
    </row>
    <row r="919" spans="15:25" ht="17.100000000000001" customHeight="1">
      <c r="O919" s="12">
        <f t="shared" si="45"/>
        <v>75.5</v>
      </c>
      <c r="P919" s="13">
        <v>906</v>
      </c>
      <c r="Q919" s="22"/>
      <c r="R919" s="19"/>
      <c r="S919" s="22"/>
      <c r="T919" s="19"/>
      <c r="U919" s="24">
        <v>4.6313269328207118E-2</v>
      </c>
      <c r="V919" s="24">
        <f t="shared" si="46"/>
        <v>4.3014666024330239E-2</v>
      </c>
      <c r="W919" s="106">
        <v>4.3014669999999997</v>
      </c>
      <c r="X919" s="106">
        <v>4.3014999999999998E-2</v>
      </c>
      <c r="Y919" s="34">
        <f t="shared" si="44"/>
        <v>3.3397566975845727E-7</v>
      </c>
    </row>
    <row r="920" spans="15:25" ht="17.100000000000001" customHeight="1">
      <c r="O920" s="12">
        <f t="shared" si="45"/>
        <v>75.583333333333329</v>
      </c>
      <c r="P920" s="13">
        <v>907</v>
      </c>
      <c r="Q920" s="22"/>
      <c r="R920" s="19"/>
      <c r="S920" s="22"/>
      <c r="T920" s="19"/>
      <c r="U920" s="24">
        <v>4.6309626761405376E-2</v>
      </c>
      <c r="V920" s="24">
        <f t="shared" si="46"/>
        <v>4.3014515809059795E-2</v>
      </c>
      <c r="W920" s="106">
        <v>4.3014520000000003</v>
      </c>
      <c r="X920" s="106">
        <v>4.3014999999999998E-2</v>
      </c>
      <c r="Y920" s="34">
        <f t="shared" si="44"/>
        <v>4.8419094020313302E-7</v>
      </c>
    </row>
    <row r="921" spans="15:25" ht="17.100000000000001" customHeight="1">
      <c r="O921" s="12">
        <f t="shared" si="45"/>
        <v>75.666666666666671</v>
      </c>
      <c r="P921" s="13">
        <v>908</v>
      </c>
      <c r="Q921" s="22"/>
      <c r="R921" s="19"/>
      <c r="S921" s="22"/>
      <c r="T921" s="19"/>
      <c r="U921" s="24">
        <v>4.6305992064560098E-2</v>
      </c>
      <c r="V921" s="24">
        <f t="shared" si="46"/>
        <v>4.3014367132000908E-2</v>
      </c>
      <c r="W921" s="106">
        <v>4.301437</v>
      </c>
      <c r="X921" s="106">
        <v>4.3013999999999997E-2</v>
      </c>
      <c r="Y921" s="34">
        <f t="shared" si="44"/>
        <v>-3.6713200091131881E-7</v>
      </c>
    </row>
    <row r="922" spans="15:25" ht="17.100000000000001" customHeight="1">
      <c r="O922" s="12">
        <f t="shared" si="45"/>
        <v>75.75</v>
      </c>
      <c r="P922" s="13">
        <v>909</v>
      </c>
      <c r="Q922" s="22"/>
      <c r="R922" s="19"/>
      <c r="S922" s="22"/>
      <c r="T922" s="19"/>
      <c r="U922" s="24">
        <v>4.6302365213355623E-2</v>
      </c>
      <c r="V922" s="24">
        <f t="shared" si="46"/>
        <v>4.3014219977809631E-2</v>
      </c>
      <c r="W922" s="106">
        <v>4.3014219999999996</v>
      </c>
      <c r="X922" s="106">
        <v>4.3013999999999997E-2</v>
      </c>
      <c r="Y922" s="34">
        <f t="shared" si="44"/>
        <v>-2.1997780963456393E-7</v>
      </c>
    </row>
    <row r="923" spans="15:25" ht="17.100000000000001" customHeight="1">
      <c r="O923" s="12">
        <f t="shared" si="45"/>
        <v>75.833333333333329</v>
      </c>
      <c r="P923" s="13">
        <v>910</v>
      </c>
      <c r="Q923" s="22"/>
      <c r="R923" s="19"/>
      <c r="S923" s="22"/>
      <c r="T923" s="19"/>
      <c r="U923" s="24">
        <v>4.6298746183565997E-2</v>
      </c>
      <c r="V923" s="24">
        <f t="shared" si="46"/>
        <v>4.3014074330403718E-2</v>
      </c>
      <c r="W923" s="106">
        <v>4.3014070000000002</v>
      </c>
      <c r="X923" s="106">
        <v>4.3013999999999997E-2</v>
      </c>
      <c r="Y923" s="34">
        <f t="shared" si="44"/>
        <v>-7.4330403720956895E-8</v>
      </c>
    </row>
    <row r="924" spans="15:25" ht="17.100000000000001" customHeight="1">
      <c r="O924" s="12">
        <f t="shared" si="45"/>
        <v>75.916666666666671</v>
      </c>
      <c r="P924" s="13">
        <v>911</v>
      </c>
      <c r="Q924" s="22"/>
      <c r="R924" s="19"/>
      <c r="S924" s="22"/>
      <c r="T924" s="19"/>
      <c r="U924" s="24">
        <v>4.6295134951054306E-2</v>
      </c>
      <c r="V924" s="24">
        <f t="shared" si="46"/>
        <v>4.3013930174869097E-2</v>
      </c>
      <c r="W924" s="106">
        <v>4.301393</v>
      </c>
      <c r="X924" s="106">
        <v>4.3013999999999997E-2</v>
      </c>
      <c r="Y924" s="34">
        <f t="shared" si="44"/>
        <v>6.982513089948128E-8</v>
      </c>
    </row>
    <row r="925" spans="15:25" ht="17.100000000000001" customHeight="1">
      <c r="O925" s="12">
        <f t="shared" si="45"/>
        <v>76</v>
      </c>
      <c r="P925" s="13">
        <v>912</v>
      </c>
      <c r="Q925" s="22"/>
      <c r="R925" s="19"/>
      <c r="S925" s="22"/>
      <c r="T925" s="19"/>
      <c r="U925" s="24">
        <v>4.6291531491773119E-2</v>
      </c>
      <c r="V925" s="24">
        <f t="shared" si="46"/>
        <v>4.3013787495638001E-2</v>
      </c>
      <c r="W925" s="106">
        <v>4.3013789999999998</v>
      </c>
      <c r="X925" s="106">
        <v>4.3013999999999997E-2</v>
      </c>
      <c r="Y925" s="34">
        <f t="shared" si="44"/>
        <v>2.125043619960465E-7</v>
      </c>
    </row>
    <row r="926" spans="15:25" ht="17.100000000000001" customHeight="1">
      <c r="O926" s="12">
        <f t="shared" si="45"/>
        <v>76.083333333333329</v>
      </c>
      <c r="P926" s="13">
        <v>913</v>
      </c>
      <c r="Q926" s="22"/>
      <c r="R926" s="19"/>
      <c r="S926" s="22"/>
      <c r="T926" s="19"/>
      <c r="U926" s="24">
        <v>4.6287935781763601E-2</v>
      </c>
      <c r="V926" s="24">
        <f t="shared" si="46"/>
        <v>4.3013646277435758E-2</v>
      </c>
      <c r="W926" s="106">
        <v>4.3013649999999997</v>
      </c>
      <c r="X926" s="106">
        <v>4.3013999999999997E-2</v>
      </c>
      <c r="Y926" s="34">
        <f t="shared" si="44"/>
        <v>3.5372256423915616E-7</v>
      </c>
    </row>
    <row r="927" spans="15:25" ht="17.100000000000001" customHeight="1">
      <c r="O927" s="12">
        <f t="shared" si="45"/>
        <v>76.166666666666671</v>
      </c>
      <c r="P927" s="13">
        <v>914</v>
      </c>
      <c r="Q927" s="22"/>
      <c r="R927" s="19"/>
      <c r="S927" s="22"/>
      <c r="T927" s="19"/>
      <c r="U927" s="24">
        <v>4.6284347797154846E-2</v>
      </c>
      <c r="V927" s="24">
        <f t="shared" si="46"/>
        <v>4.3013506505805266E-2</v>
      </c>
      <c r="W927" s="106">
        <v>4.3013510000000004</v>
      </c>
      <c r="X927" s="106">
        <v>4.3013999999999997E-2</v>
      </c>
      <c r="Y927" s="34">
        <f t="shared" si="44"/>
        <v>4.9349419473099232E-7</v>
      </c>
    </row>
    <row r="928" spans="15:25" ht="17.100000000000001" customHeight="1">
      <c r="O928" s="12">
        <f t="shared" si="45"/>
        <v>76.25</v>
      </c>
      <c r="P928" s="13">
        <v>915</v>
      </c>
      <c r="Q928" s="22"/>
      <c r="R928" s="19"/>
      <c r="S928" s="22"/>
      <c r="T928" s="19"/>
      <c r="U928" s="24">
        <v>4.6280767514164767E-2</v>
      </c>
      <c r="V928" s="24">
        <f t="shared" si="46"/>
        <v>4.3013368165660815E-2</v>
      </c>
      <c r="W928" s="106">
        <v>4.3013370000000002</v>
      </c>
      <c r="X928" s="106">
        <v>4.3013000000000003E-2</v>
      </c>
      <c r="Y928" s="34">
        <f t="shared" si="44"/>
        <v>-3.681656608120476E-7</v>
      </c>
    </row>
    <row r="929" spans="15:25" ht="17.100000000000001" customHeight="1">
      <c r="O929" s="12">
        <f t="shared" si="45"/>
        <v>76.333333333333329</v>
      </c>
      <c r="P929" s="13">
        <v>916</v>
      </c>
      <c r="Q929" s="22"/>
      <c r="R929" s="19"/>
      <c r="S929" s="22"/>
      <c r="T929" s="19"/>
      <c r="U929" s="24">
        <v>4.6277194909098762E-2</v>
      </c>
      <c r="V929" s="24">
        <f t="shared" si="46"/>
        <v>4.3013231242090555E-2</v>
      </c>
      <c r="W929" s="106">
        <v>4.301323</v>
      </c>
      <c r="X929" s="106">
        <v>4.3013000000000003E-2</v>
      </c>
      <c r="Y929" s="34">
        <f t="shared" si="44"/>
        <v>-2.3124209055230827E-7</v>
      </c>
    </row>
    <row r="930" spans="15:25" ht="17.100000000000001" customHeight="1">
      <c r="O930" s="12">
        <f t="shared" si="45"/>
        <v>76.416666666666671</v>
      </c>
      <c r="P930" s="13">
        <v>917</v>
      </c>
      <c r="Q930" s="22"/>
      <c r="R930" s="19"/>
      <c r="S930" s="22"/>
      <c r="T930" s="19"/>
      <c r="U930" s="24">
        <v>4.6273629958349494E-2</v>
      </c>
      <c r="V930" s="24">
        <f t="shared" si="46"/>
        <v>4.3013095721015304E-2</v>
      </c>
      <c r="W930" s="106">
        <v>4.30131</v>
      </c>
      <c r="X930" s="106">
        <v>4.3013000000000003E-2</v>
      </c>
      <c r="Y930" s="34">
        <f t="shared" si="44"/>
        <v>-9.5721015301586387E-8</v>
      </c>
    </row>
    <row r="931" spans="15:25" ht="17.100000000000001" customHeight="1">
      <c r="O931" s="12">
        <f t="shared" si="45"/>
        <v>76.5</v>
      </c>
      <c r="P931" s="13">
        <v>918</v>
      </c>
      <c r="Q931" s="22"/>
      <c r="R931" s="19"/>
      <c r="S931" s="22"/>
      <c r="T931" s="19"/>
      <c r="U931" s="24">
        <v>4.6270072638397108E-2</v>
      </c>
      <c r="V931" s="24">
        <f t="shared" si="46"/>
        <v>4.3012961587720167E-2</v>
      </c>
      <c r="W931" s="106">
        <v>4.3012959999999998</v>
      </c>
      <c r="X931" s="106">
        <v>4.3013000000000003E-2</v>
      </c>
      <c r="Y931" s="34">
        <f t="shared" si="44"/>
        <v>3.8412279836086416E-8</v>
      </c>
    </row>
    <row r="932" spans="15:25" ht="17.100000000000001" customHeight="1">
      <c r="O932" s="12">
        <f t="shared" si="45"/>
        <v>76.583333333333329</v>
      </c>
      <c r="P932" s="13">
        <v>919</v>
      </c>
      <c r="Q932" s="22"/>
      <c r="R932" s="19"/>
      <c r="S932" s="22"/>
      <c r="T932" s="19"/>
      <c r="U932" s="24">
        <v>4.6266522925808351E-2</v>
      </c>
      <c r="V932" s="24">
        <f t="shared" si="46"/>
        <v>4.3012828828052241E-2</v>
      </c>
      <c r="W932" s="106">
        <v>4.3012829999999997</v>
      </c>
      <c r="X932" s="106">
        <v>4.3013000000000003E-2</v>
      </c>
      <c r="Y932" s="34">
        <f t="shared" si="44"/>
        <v>1.7117194776178346E-7</v>
      </c>
    </row>
    <row r="933" spans="15:25" ht="17.100000000000001" customHeight="1">
      <c r="O933" s="12">
        <f t="shared" si="45"/>
        <v>76.666666666666671</v>
      </c>
      <c r="P933" s="13">
        <v>920</v>
      </c>
      <c r="Q933" s="22"/>
      <c r="R933" s="19"/>
      <c r="S933" s="22"/>
      <c r="T933" s="19"/>
      <c r="U933" s="24">
        <v>4.6262980797236342E-2</v>
      </c>
      <c r="V933" s="24">
        <f t="shared" si="46"/>
        <v>4.3012697428408186E-2</v>
      </c>
      <c r="W933" s="106">
        <v>4.3012699999999997</v>
      </c>
      <c r="X933" s="106">
        <v>4.3013000000000003E-2</v>
      </c>
      <c r="Y933" s="34">
        <f t="shared" si="44"/>
        <v>3.0257159181618087E-7</v>
      </c>
    </row>
    <row r="934" spans="15:25" ht="17.100000000000001" customHeight="1">
      <c r="O934" s="12">
        <f t="shared" si="45"/>
        <v>76.75</v>
      </c>
      <c r="P934" s="13">
        <v>921</v>
      </c>
      <c r="Q934" s="22"/>
      <c r="R934" s="19"/>
      <c r="S934" s="22"/>
      <c r="T934" s="19"/>
      <c r="U934" s="24">
        <v>4.6259446229421242E-2</v>
      </c>
      <c r="V934" s="24">
        <f t="shared" si="46"/>
        <v>4.3012567374446142E-2</v>
      </c>
      <c r="W934" s="106">
        <v>4.3012569999999997</v>
      </c>
      <c r="X934" s="106">
        <v>4.3013000000000003E-2</v>
      </c>
      <c r="Y934" s="34">
        <f t="shared" si="44"/>
        <v>4.3262555386031076E-7</v>
      </c>
    </row>
    <row r="935" spans="15:25" ht="17.100000000000001" customHeight="1">
      <c r="O935" s="12">
        <f t="shared" si="45"/>
        <v>76.833333333333329</v>
      </c>
      <c r="P935" s="13">
        <v>922</v>
      </c>
      <c r="Q935" s="22"/>
      <c r="R935" s="19"/>
      <c r="S935" s="22"/>
      <c r="T935" s="19"/>
      <c r="U935" s="24">
        <v>4.6255919199188256E-2</v>
      </c>
      <c r="V935" s="24">
        <f t="shared" si="46"/>
        <v>4.3012438652209273E-2</v>
      </c>
      <c r="W935" s="106">
        <v>4.3012439999999996</v>
      </c>
      <c r="X935" s="106">
        <v>4.3012000000000002E-2</v>
      </c>
      <c r="Y935" s="34">
        <f t="shared" si="44"/>
        <v>-4.3865220927113979E-7</v>
      </c>
    </row>
    <row r="936" spans="15:25" ht="17.100000000000001" customHeight="1">
      <c r="O936" s="12">
        <f t="shared" si="45"/>
        <v>76.916666666666671</v>
      </c>
      <c r="P936" s="13">
        <v>923</v>
      </c>
      <c r="Q936" s="22"/>
      <c r="R936" s="19"/>
      <c r="S936" s="22"/>
      <c r="T936" s="19"/>
      <c r="U936" s="24">
        <v>4.625239968344852E-2</v>
      </c>
      <c r="V936" s="24">
        <f t="shared" si="46"/>
        <v>4.3012311248591395E-2</v>
      </c>
      <c r="W936" s="106">
        <v>4.3012309999999996</v>
      </c>
      <c r="X936" s="106">
        <v>4.3012000000000002E-2</v>
      </c>
      <c r="Y936" s="34">
        <f t="shared" si="44"/>
        <v>-3.1124859139336492E-7</v>
      </c>
    </row>
    <row r="937" spans="15:25" ht="17.100000000000001" customHeight="1">
      <c r="O937" s="12">
        <f t="shared" si="45"/>
        <v>77</v>
      </c>
      <c r="P937" s="13">
        <v>924</v>
      </c>
      <c r="Q937" s="22"/>
      <c r="R937" s="19"/>
      <c r="S937" s="22"/>
      <c r="T937" s="19"/>
      <c r="U937" s="24">
        <v>4.6248887659198434E-2</v>
      </c>
      <c r="V937" s="24">
        <f t="shared" si="46"/>
        <v>4.3012185149569504E-2</v>
      </c>
      <c r="W937" s="106">
        <v>4.3012189999999997</v>
      </c>
      <c r="X937" s="106">
        <v>4.3012000000000002E-2</v>
      </c>
      <c r="Y937" s="34">
        <f t="shared" si="44"/>
        <v>-1.8514956950238526E-7</v>
      </c>
    </row>
    <row r="938" spans="15:25" ht="17.100000000000001" customHeight="1">
      <c r="O938" s="12">
        <f t="shared" si="45"/>
        <v>77.083333333333329</v>
      </c>
      <c r="P938" s="13">
        <v>925</v>
      </c>
      <c r="Q938" s="22"/>
      <c r="R938" s="19"/>
      <c r="S938" s="22"/>
      <c r="T938" s="19"/>
      <c r="U938" s="24">
        <v>4.6245383103519444E-2</v>
      </c>
      <c r="V938" s="24">
        <f t="shared" si="46"/>
        <v>4.3012060342219716E-2</v>
      </c>
      <c r="W938" s="106">
        <v>4.3012059999999996</v>
      </c>
      <c r="X938" s="106">
        <v>4.3012000000000002E-2</v>
      </c>
      <c r="Y938" s="34">
        <f t="shared" si="44"/>
        <v>-6.0342219714015766E-8</v>
      </c>
    </row>
    <row r="939" spans="15:25" ht="17.100000000000001" customHeight="1">
      <c r="O939" s="12">
        <f t="shared" si="45"/>
        <v>77.166666666666671</v>
      </c>
      <c r="P939" s="13">
        <v>926</v>
      </c>
      <c r="Q939" s="22"/>
      <c r="R939" s="19"/>
      <c r="S939" s="22"/>
      <c r="T939" s="19"/>
      <c r="U939" s="24">
        <v>4.6241885993577592E-2</v>
      </c>
      <c r="V939" s="24">
        <f t="shared" si="46"/>
        <v>4.3011936812852758E-2</v>
      </c>
      <c r="W939" s="106">
        <v>4.3011939999999997</v>
      </c>
      <c r="X939" s="106">
        <v>4.3012000000000002E-2</v>
      </c>
      <c r="Y939" s="34">
        <f t="shared" si="44"/>
        <v>6.3187147243681796E-8</v>
      </c>
    </row>
    <row r="940" spans="15:25" ht="17.100000000000001" customHeight="1">
      <c r="O940" s="12">
        <f t="shared" si="45"/>
        <v>77.25</v>
      </c>
      <c r="P940" s="13">
        <v>927</v>
      </c>
      <c r="Q940" s="22"/>
      <c r="R940" s="19"/>
      <c r="S940" s="22"/>
      <c r="T940" s="19"/>
      <c r="U940" s="24">
        <v>4.6238396306623075E-2</v>
      </c>
      <c r="V940" s="24">
        <f t="shared" si="46"/>
        <v>4.3011814548831184E-2</v>
      </c>
      <c r="W940" s="106">
        <v>4.3011809999999997</v>
      </c>
      <c r="X940" s="106">
        <v>4.3012000000000002E-2</v>
      </c>
      <c r="Y940" s="34">
        <f t="shared" si="44"/>
        <v>1.8545116881735213E-7</v>
      </c>
    </row>
    <row r="941" spans="15:25" ht="17.100000000000001" customHeight="1">
      <c r="O941" s="12">
        <f t="shared" si="45"/>
        <v>77.333333333333329</v>
      </c>
      <c r="P941" s="13">
        <v>928</v>
      </c>
      <c r="Q941" s="22"/>
      <c r="R941" s="19"/>
      <c r="S941" s="22"/>
      <c r="T941" s="19"/>
      <c r="U941" s="24">
        <v>4.623491401999047E-2</v>
      </c>
      <c r="V941" s="24">
        <f t="shared" si="46"/>
        <v>4.3011693536910034E-2</v>
      </c>
      <c r="W941" s="106">
        <v>4.3011689999999998</v>
      </c>
      <c r="X941" s="106">
        <v>4.3012000000000002E-2</v>
      </c>
      <c r="Y941" s="34">
        <f t="shared" si="44"/>
        <v>3.0646308996767901E-7</v>
      </c>
    </row>
    <row r="942" spans="15:25" ht="17.100000000000001" customHeight="1">
      <c r="O942" s="12">
        <f t="shared" si="45"/>
        <v>77.416666666666671</v>
      </c>
      <c r="P942" s="13">
        <v>929</v>
      </c>
      <c r="Q942" s="22"/>
      <c r="R942" s="19"/>
      <c r="S942" s="22"/>
      <c r="T942" s="19"/>
      <c r="U942" s="24">
        <v>4.623143911109806E-2</v>
      </c>
      <c r="V942" s="24">
        <f t="shared" si="46"/>
        <v>4.3011573764224931E-2</v>
      </c>
      <c r="W942" s="106">
        <v>4.3011569999999999</v>
      </c>
      <c r="X942" s="106">
        <v>4.3012000000000002E-2</v>
      </c>
      <c r="Y942" s="34">
        <f t="shared" si="44"/>
        <v>4.2623577507089339E-7</v>
      </c>
    </row>
    <row r="943" spans="15:25" ht="17.100000000000001" customHeight="1">
      <c r="O943" s="12">
        <f t="shared" si="45"/>
        <v>77.5</v>
      </c>
      <c r="P943" s="13">
        <v>930</v>
      </c>
      <c r="Q943" s="22"/>
      <c r="R943" s="19"/>
      <c r="S943" s="22"/>
      <c r="T943" s="19"/>
      <c r="U943" s="24">
        <v>4.6227971557447178E-2</v>
      </c>
      <c r="V943" s="24">
        <f t="shared" si="46"/>
        <v>4.3011455218604722E-2</v>
      </c>
      <c r="W943" s="106">
        <v>4.3011460000000001</v>
      </c>
      <c r="X943" s="106">
        <v>4.3011000000000001E-2</v>
      </c>
      <c r="Y943" s="34">
        <f t="shared" si="44"/>
        <v>-4.5521860472103048E-7</v>
      </c>
    </row>
    <row r="944" spans="15:25" ht="17.100000000000001" customHeight="1">
      <c r="O944" s="12">
        <f t="shared" si="45"/>
        <v>77.583333333333329</v>
      </c>
      <c r="P944" s="13">
        <v>931</v>
      </c>
      <c r="Q944" s="22"/>
      <c r="R944" s="19"/>
      <c r="S944" s="22"/>
      <c r="T944" s="19"/>
      <c r="U944" s="24">
        <v>4.6224511336622864E-2</v>
      </c>
      <c r="V944" s="24">
        <f t="shared" si="46"/>
        <v>4.3011337886700973E-2</v>
      </c>
      <c r="W944" s="106">
        <v>4.3011340000000002</v>
      </c>
      <c r="X944" s="106">
        <v>4.3011000000000001E-2</v>
      </c>
      <c r="Y944" s="34">
        <f t="shared" si="44"/>
        <v>-3.3788670097262274E-7</v>
      </c>
    </row>
    <row r="945" spans="15:25" ht="17.100000000000001" customHeight="1">
      <c r="O945" s="12">
        <f t="shared" si="45"/>
        <v>77.666666666666671</v>
      </c>
      <c r="P945" s="13">
        <v>932</v>
      </c>
      <c r="Q945" s="22"/>
      <c r="R945" s="19"/>
      <c r="S945" s="22"/>
      <c r="T945" s="19"/>
      <c r="U945" s="24">
        <v>4.6221058426292538E-2</v>
      </c>
      <c r="V945" s="24">
        <f t="shared" si="46"/>
        <v>4.3011221756782403E-2</v>
      </c>
      <c r="W945" s="106">
        <v>4.3011220000000003</v>
      </c>
      <c r="X945" s="106">
        <v>4.3011000000000001E-2</v>
      </c>
      <c r="Y945" s="34">
        <f t="shared" si="44"/>
        <v>-2.2175678240227148E-7</v>
      </c>
    </row>
    <row r="946" spans="15:25" ht="17.100000000000001" customHeight="1">
      <c r="O946" s="12">
        <f t="shared" si="45"/>
        <v>77.75</v>
      </c>
      <c r="P946" s="13">
        <v>933</v>
      </c>
      <c r="Q946" s="22"/>
      <c r="R946" s="19"/>
      <c r="S946" s="22"/>
      <c r="T946" s="19"/>
      <c r="U946" s="24">
        <v>4.6217612804206443E-2</v>
      </c>
      <c r="V946" s="24">
        <f t="shared" si="46"/>
        <v>4.3011106816141842E-2</v>
      </c>
      <c r="W946" s="106">
        <v>4.3011109999999997</v>
      </c>
      <c r="X946" s="106">
        <v>4.3011000000000001E-2</v>
      </c>
      <c r="Y946" s="34">
        <f t="shared" si="44"/>
        <v>-1.0681614184132604E-7</v>
      </c>
    </row>
    <row r="947" spans="15:25" ht="17.100000000000001" customHeight="1">
      <c r="O947" s="12">
        <f t="shared" si="45"/>
        <v>77.833333333333329</v>
      </c>
      <c r="P947" s="13">
        <v>934</v>
      </c>
      <c r="Q947" s="22"/>
      <c r="R947" s="19"/>
      <c r="S947" s="22"/>
      <c r="T947" s="19"/>
      <c r="U947" s="24">
        <v>4.6214174448196754E-2</v>
      </c>
      <c r="V947" s="24">
        <f t="shared" si="46"/>
        <v>4.3010993052633673E-2</v>
      </c>
      <c r="W947" s="106">
        <v>4.3010989999999998</v>
      </c>
      <c r="X947" s="106">
        <v>4.3011000000000001E-2</v>
      </c>
      <c r="Y947" s="34">
        <f t="shared" si="44"/>
        <v>6.9473663280583686E-9</v>
      </c>
    </row>
    <row r="948" spans="15:25" ht="17.100000000000001" customHeight="1">
      <c r="O948" s="12">
        <f t="shared" si="45"/>
        <v>77.916666666666671</v>
      </c>
      <c r="P948" s="13">
        <v>935</v>
      </c>
      <c r="Q948" s="22"/>
      <c r="R948" s="19"/>
      <c r="S948" s="22"/>
      <c r="T948" s="19"/>
      <c r="U948" s="24">
        <v>4.6210743336177584E-2</v>
      </c>
      <c r="V948" s="24">
        <f t="shared" si="46"/>
        <v>4.3010880454362521E-2</v>
      </c>
      <c r="W948" s="106">
        <v>4.301088</v>
      </c>
      <c r="X948" s="106">
        <v>4.3011000000000001E-2</v>
      </c>
      <c r="Y948" s="34">
        <f t="shared" si="44"/>
        <v>1.1954563747945679E-7</v>
      </c>
    </row>
    <row r="949" spans="15:25" ht="17.100000000000001" customHeight="1">
      <c r="O949" s="12">
        <f t="shared" si="45"/>
        <v>78</v>
      </c>
      <c r="P949" s="13">
        <v>936</v>
      </c>
      <c r="Q949" s="22"/>
      <c r="R949" s="19"/>
      <c r="S949" s="22"/>
      <c r="T949" s="19"/>
      <c r="U949" s="24">
        <v>4.6207319446144979E-2</v>
      </c>
      <c r="V949" s="24">
        <f t="shared" si="46"/>
        <v>4.3010769009581562E-2</v>
      </c>
      <c r="W949" s="106">
        <v>4.3010770000000003</v>
      </c>
      <c r="X949" s="106">
        <v>4.3011000000000001E-2</v>
      </c>
      <c r="Y949" s="34">
        <f t="shared" si="44"/>
        <v>2.3099041843860357E-7</v>
      </c>
    </row>
    <row r="950" spans="15:25" ht="17.100000000000001" customHeight="1">
      <c r="O950" s="12">
        <f t="shared" si="45"/>
        <v>78.083333333333329</v>
      </c>
      <c r="P950" s="13">
        <v>937</v>
      </c>
      <c r="Q950" s="22"/>
      <c r="R950" s="19"/>
      <c r="S950" s="22"/>
      <c r="T950" s="19"/>
      <c r="U950" s="24">
        <v>4.620390275617603E-2</v>
      </c>
      <c r="V950" s="24">
        <f t="shared" si="46"/>
        <v>4.3010658705615157E-2</v>
      </c>
      <c r="W950" s="106">
        <v>4.3010659999999996</v>
      </c>
      <c r="X950" s="106">
        <v>4.3011000000000001E-2</v>
      </c>
      <c r="Y950" s="34">
        <f t="shared" si="44"/>
        <v>3.4129438484381547E-7</v>
      </c>
    </row>
    <row r="951" spans="15:25" ht="17.100000000000001" customHeight="1">
      <c r="O951" s="12">
        <f t="shared" si="45"/>
        <v>78.166666666666671</v>
      </c>
      <c r="P951" s="13">
        <v>938</v>
      </c>
      <c r="Q951" s="22"/>
      <c r="R951" s="19"/>
      <c r="S951" s="22"/>
      <c r="T951" s="19"/>
      <c r="U951" s="24">
        <v>4.6200493244428431E-2</v>
      </c>
      <c r="V951" s="24">
        <f t="shared" si="46"/>
        <v>4.3010549531784514E-2</v>
      </c>
      <c r="W951" s="106">
        <v>4.3010549999999999</v>
      </c>
      <c r="X951" s="106">
        <v>4.3011000000000001E-2</v>
      </c>
      <c r="Y951" s="34">
        <f t="shared" si="44"/>
        <v>4.5046821548627713E-7</v>
      </c>
    </row>
    <row r="952" spans="15:25" ht="17.100000000000001" customHeight="1">
      <c r="O952" s="12">
        <f t="shared" si="45"/>
        <v>78.25</v>
      </c>
      <c r="P952" s="13">
        <v>939</v>
      </c>
      <c r="Q952" s="22"/>
      <c r="R952" s="19"/>
      <c r="S952" s="22"/>
      <c r="T952" s="19"/>
      <c r="U952" s="24">
        <v>4.6197090889141368E-2</v>
      </c>
      <c r="V952" s="24">
        <f t="shared" si="46"/>
        <v>4.3010441475917816E-2</v>
      </c>
      <c r="W952" s="106">
        <v>4.3010440000000001</v>
      </c>
      <c r="X952" s="106">
        <v>4.301E-2</v>
      </c>
      <c r="Y952" s="34">
        <f t="shared" si="44"/>
        <v>-4.4147591781590334E-7</v>
      </c>
    </row>
    <row r="953" spans="15:25" ht="17.100000000000001" customHeight="1">
      <c r="O953" s="12">
        <f t="shared" si="45"/>
        <v>78.333333333333329</v>
      </c>
      <c r="P953" s="13">
        <v>940</v>
      </c>
      <c r="Q953" s="22"/>
      <c r="R953" s="19"/>
      <c r="S953" s="22"/>
      <c r="T953" s="19"/>
      <c r="U953" s="24">
        <v>4.6193695668633739E-2</v>
      </c>
      <c r="V953" s="24">
        <f t="shared" si="46"/>
        <v>4.3010334526955685E-2</v>
      </c>
      <c r="W953" s="106">
        <v>4.3010330000000003</v>
      </c>
      <c r="X953" s="106">
        <v>4.301E-2</v>
      </c>
      <c r="Y953" s="34">
        <f t="shared" si="44"/>
        <v>-3.3452695568508828E-7</v>
      </c>
    </row>
    <row r="954" spans="15:25" ht="17.100000000000001" customHeight="1">
      <c r="O954" s="12">
        <f t="shared" si="45"/>
        <v>78.416666666666671</v>
      </c>
      <c r="P954" s="13">
        <v>941</v>
      </c>
      <c r="Q954" s="22"/>
      <c r="R954" s="19"/>
      <c r="S954" s="22"/>
      <c r="T954" s="19"/>
      <c r="U954" s="24">
        <v>4.6190307561305044E-2</v>
      </c>
      <c r="V954" s="24">
        <f t="shared" si="46"/>
        <v>4.301022867311266E-2</v>
      </c>
      <c r="W954" s="106">
        <v>4.3010229999999998</v>
      </c>
      <c r="X954" s="106">
        <v>4.301E-2</v>
      </c>
      <c r="Y954" s="34">
        <f t="shared" si="44"/>
        <v>-2.2867311266078216E-7</v>
      </c>
    </row>
    <row r="955" spans="15:25" ht="17.100000000000001" customHeight="1">
      <c r="O955" s="12">
        <f t="shared" si="45"/>
        <v>78.5</v>
      </c>
      <c r="P955" s="13">
        <v>942</v>
      </c>
      <c r="Q955" s="22"/>
      <c r="R955" s="19"/>
      <c r="S955" s="22"/>
      <c r="T955" s="19"/>
      <c r="U955" s="24">
        <v>4.6186926545634055E-2</v>
      </c>
      <c r="V955" s="24">
        <f t="shared" si="46"/>
        <v>4.3010123903488129E-2</v>
      </c>
      <c r="W955" s="106">
        <v>4.3010120000000001</v>
      </c>
      <c r="X955" s="106">
        <v>4.301E-2</v>
      </c>
      <c r="Y955" s="34">
        <f t="shared" si="44"/>
        <v>-1.2390348812924001E-7</v>
      </c>
    </row>
    <row r="956" spans="15:25" ht="17.100000000000001" customHeight="1">
      <c r="O956" s="12">
        <f t="shared" si="45"/>
        <v>78.583333333333329</v>
      </c>
      <c r="P956" s="13">
        <v>943</v>
      </c>
      <c r="Q956" s="22"/>
      <c r="R956" s="19"/>
      <c r="S956" s="22"/>
      <c r="T956" s="19"/>
      <c r="U956" s="24">
        <v>4.6183552600179256E-2</v>
      </c>
      <c r="V956" s="24">
        <f t="shared" si="46"/>
        <v>4.3010020207156607E-2</v>
      </c>
      <c r="W956" s="106">
        <v>4.3010020000000004</v>
      </c>
      <c r="X956" s="106">
        <v>4.301E-2</v>
      </c>
      <c r="Y956" s="34">
        <f t="shared" si="44"/>
        <v>-2.02071566077211E-8</v>
      </c>
    </row>
    <row r="957" spans="15:25" ht="17.100000000000001" customHeight="1">
      <c r="O957" s="12">
        <f t="shared" si="45"/>
        <v>78.666666666666671</v>
      </c>
      <c r="P957" s="13">
        <v>944</v>
      </c>
      <c r="Q957" s="22"/>
      <c r="R957" s="19"/>
      <c r="S957" s="22"/>
      <c r="T957" s="19"/>
      <c r="U957" s="24">
        <v>4.6180185703578847E-2</v>
      </c>
      <c r="V957" s="24">
        <f t="shared" si="46"/>
        <v>4.3009917572477185E-2</v>
      </c>
      <c r="W957" s="106">
        <v>4.3009919999999999</v>
      </c>
      <c r="X957" s="106">
        <v>4.301E-2</v>
      </c>
      <c r="Y957" s="34">
        <f t="shared" si="44"/>
        <v>8.2427522814232379E-8</v>
      </c>
    </row>
    <row r="958" spans="15:25" ht="17.100000000000001" customHeight="1">
      <c r="O958" s="12">
        <f t="shared" si="45"/>
        <v>78.75</v>
      </c>
      <c r="P958" s="13">
        <v>945</v>
      </c>
      <c r="Q958" s="22"/>
      <c r="R958" s="19"/>
      <c r="S958" s="22"/>
      <c r="T958" s="19"/>
      <c r="U958" s="24">
        <v>4.617682583454874E-2</v>
      </c>
      <c r="V958" s="24">
        <f t="shared" si="46"/>
        <v>4.3009815989115685E-2</v>
      </c>
      <c r="W958" s="106">
        <v>4.3009820000000003</v>
      </c>
      <c r="X958" s="106">
        <v>4.301E-2</v>
      </c>
      <c r="Y958" s="34">
        <f t="shared" si="44"/>
        <v>1.8401088431457824E-7</v>
      </c>
    </row>
    <row r="959" spans="15:25" ht="17.100000000000001" customHeight="1">
      <c r="O959" s="12">
        <f t="shared" si="45"/>
        <v>78.833333333333329</v>
      </c>
      <c r="P959" s="13">
        <v>946</v>
      </c>
      <c r="Q959" s="22"/>
      <c r="R959" s="19"/>
      <c r="S959" s="22"/>
      <c r="T959" s="19"/>
      <c r="U959" s="24">
        <v>4.6173472971884344E-2</v>
      </c>
      <c r="V959" s="24">
        <f t="shared" si="46"/>
        <v>4.3009715446574281E-2</v>
      </c>
      <c r="W959" s="106">
        <v>4.3009719999999998</v>
      </c>
      <c r="X959" s="106">
        <v>4.301E-2</v>
      </c>
      <c r="Y959" s="34">
        <f t="shared" si="44"/>
        <v>2.8455342571814812E-7</v>
      </c>
    </row>
    <row r="960" spans="15:25" ht="17.100000000000001" customHeight="1">
      <c r="O960" s="12">
        <f t="shared" si="45"/>
        <v>78.916666666666671</v>
      </c>
      <c r="P960" s="13">
        <v>947</v>
      </c>
      <c r="Q960" s="22"/>
      <c r="R960" s="19"/>
      <c r="S960" s="22"/>
      <c r="T960" s="19"/>
      <c r="U960" s="24">
        <v>4.6170127094459446E-2</v>
      </c>
      <c r="V960" s="24">
        <f t="shared" si="46"/>
        <v>4.3009615933174095E-2</v>
      </c>
      <c r="W960" s="106">
        <v>4.3009620000000002</v>
      </c>
      <c r="X960" s="106">
        <v>4.301E-2</v>
      </c>
      <c r="Y960" s="34">
        <f t="shared" si="44"/>
        <v>3.8406682590502728E-7</v>
      </c>
    </row>
    <row r="961" spans="15:25" ht="17.100000000000001" customHeight="1">
      <c r="O961" s="12">
        <f t="shared" si="45"/>
        <v>79</v>
      </c>
      <c r="P961" s="13">
        <v>948</v>
      </c>
      <c r="Q961" s="22"/>
      <c r="R961" s="19"/>
      <c r="S961" s="22"/>
      <c r="T961" s="19"/>
      <c r="U961" s="24">
        <v>4.6166788181225105E-2</v>
      </c>
      <c r="V961" s="24">
        <f t="shared" si="46"/>
        <v>4.3009517439628331E-2</v>
      </c>
      <c r="W961" s="106">
        <v>4.3009519999999997</v>
      </c>
      <c r="X961" s="106">
        <v>4.301E-2</v>
      </c>
      <c r="Y961" s="34">
        <f t="shared" si="44"/>
        <v>4.8256037166877208E-7</v>
      </c>
    </row>
    <row r="962" spans="15:25" ht="17.100000000000001" customHeight="1">
      <c r="O962" s="12">
        <f t="shared" si="45"/>
        <v>79.083333333333329</v>
      </c>
      <c r="P962" s="13">
        <v>949</v>
      </c>
      <c r="Q962" s="22"/>
      <c r="R962" s="19"/>
      <c r="S962" s="22"/>
      <c r="T962" s="19"/>
      <c r="U962" s="24">
        <v>4.6163456211210985E-2</v>
      </c>
      <c r="V962" s="24">
        <f t="shared" si="46"/>
        <v>4.3009419954360251E-2</v>
      </c>
      <c r="W962" s="106">
        <v>4.300942</v>
      </c>
      <c r="X962" s="106">
        <v>4.3008999999999999E-2</v>
      </c>
      <c r="Y962" s="34">
        <f t="shared" si="44"/>
        <v>-4.1995436025205057E-7</v>
      </c>
    </row>
    <row r="963" spans="15:25" ht="17.100000000000001" customHeight="1">
      <c r="O963" s="12">
        <f t="shared" si="45"/>
        <v>79.166666666666671</v>
      </c>
      <c r="P963" s="13">
        <v>950</v>
      </c>
      <c r="Q963" s="22"/>
      <c r="R963" s="19"/>
      <c r="S963" s="22"/>
      <c r="T963" s="19"/>
      <c r="U963" s="24">
        <v>4.6160131163523133E-2</v>
      </c>
      <c r="V963" s="24">
        <f t="shared" si="46"/>
        <v>4.3009323467574134E-2</v>
      </c>
      <c r="W963" s="106">
        <v>4.3009320000000004</v>
      </c>
      <c r="X963" s="106">
        <v>4.3008999999999999E-2</v>
      </c>
      <c r="Y963" s="34">
        <f t="shared" si="44"/>
        <v>-3.2346757413564964E-7</v>
      </c>
    </row>
    <row r="964" spans="15:25" ht="17.100000000000001" customHeight="1">
      <c r="O964" s="12">
        <f t="shared" si="45"/>
        <v>79.25</v>
      </c>
      <c r="P964" s="13">
        <v>951</v>
      </c>
      <c r="Q964" s="22"/>
      <c r="R964" s="19"/>
      <c r="S964" s="22"/>
      <c r="T964" s="19"/>
      <c r="U964" s="24">
        <v>4.6156813017345311E-2</v>
      </c>
      <c r="V964" s="24">
        <f t="shared" si="46"/>
        <v>4.3009227969255548E-2</v>
      </c>
      <c r="W964" s="106">
        <v>4.3009230000000001</v>
      </c>
      <c r="X964" s="106">
        <v>4.3008999999999999E-2</v>
      </c>
      <c r="Y964" s="34">
        <f t="shared" si="44"/>
        <v>-2.2796925554929848E-7</v>
      </c>
    </row>
    <row r="965" spans="15:25" ht="17.100000000000001" customHeight="1">
      <c r="O965" s="12">
        <f t="shared" si="45"/>
        <v>79.333333333333329</v>
      </c>
      <c r="P965" s="13">
        <v>952</v>
      </c>
      <c r="Q965" s="22"/>
      <c r="R965" s="19"/>
      <c r="S965" s="22"/>
      <c r="T965" s="19"/>
      <c r="U965" s="24">
        <v>4.6153501751938109E-2</v>
      </c>
      <c r="V965" s="24">
        <f t="shared" si="46"/>
        <v>4.3009133449087189E-2</v>
      </c>
      <c r="W965" s="106">
        <v>4.3009130000000004</v>
      </c>
      <c r="X965" s="106">
        <v>4.3008999999999999E-2</v>
      </c>
      <c r="Y965" s="34">
        <f t="shared" si="44"/>
        <v>-1.3344908719042925E-7</v>
      </c>
    </row>
    <row r="966" spans="15:25" ht="17.100000000000001" customHeight="1">
      <c r="O966" s="12">
        <f t="shared" si="45"/>
        <v>79.416666666666671</v>
      </c>
      <c r="P966" s="13">
        <v>953</v>
      </c>
      <c r="Q966" s="22"/>
      <c r="R966" s="19"/>
      <c r="S966" s="22"/>
      <c r="T966" s="19"/>
      <c r="U966" s="24">
        <v>4.6150197346638722E-2</v>
      </c>
      <c r="V966" s="24">
        <f t="shared" si="46"/>
        <v>4.3009039896714674E-2</v>
      </c>
      <c r="W966" s="106">
        <v>4.3009040000000001</v>
      </c>
      <c r="X966" s="106">
        <v>4.3008999999999999E-2</v>
      </c>
      <c r="Y966" s="34">
        <f t="shared" si="44"/>
        <v>-3.9896714675025091E-8</v>
      </c>
    </row>
    <row r="967" spans="15:25" ht="17.100000000000001" customHeight="1">
      <c r="O967" s="12">
        <f t="shared" si="45"/>
        <v>79.5</v>
      </c>
      <c r="P967" s="13">
        <v>954</v>
      </c>
      <c r="Q967" s="22"/>
      <c r="R967" s="19"/>
      <c r="S967" s="22"/>
      <c r="T967" s="19"/>
      <c r="U967" s="24">
        <v>4.6146899780860062E-2</v>
      </c>
      <c r="V967" s="24">
        <f t="shared" si="46"/>
        <v>4.3008947302690004E-2</v>
      </c>
      <c r="W967" s="106">
        <v>4.3008949999999997</v>
      </c>
      <c r="X967" s="106">
        <v>4.3008999999999999E-2</v>
      </c>
      <c r="Y967" s="34">
        <f t="shared" si="44"/>
        <v>5.2697309994853558E-8</v>
      </c>
    </row>
    <row r="968" spans="15:25" ht="17.100000000000001" customHeight="1">
      <c r="O968" s="12">
        <f t="shared" si="45"/>
        <v>79.583333333333329</v>
      </c>
      <c r="P968" s="13">
        <v>955</v>
      </c>
      <c r="Q968" s="22"/>
      <c r="R968" s="19"/>
      <c r="S968" s="22"/>
      <c r="T968" s="19"/>
      <c r="U968" s="24">
        <v>4.6143609034091426E-2</v>
      </c>
      <c r="V968" s="24">
        <f t="shared" si="46"/>
        <v>4.3008855657201917E-2</v>
      </c>
      <c r="W968" s="106">
        <v>4.3008860000000002</v>
      </c>
      <c r="X968" s="106">
        <v>4.3008999999999999E-2</v>
      </c>
      <c r="Y968" s="34">
        <f t="shared" si="44"/>
        <v>1.4434279808211992E-7</v>
      </c>
    </row>
    <row r="969" spans="15:25" ht="17.100000000000001" customHeight="1">
      <c r="O969" s="12">
        <f t="shared" si="45"/>
        <v>79.666666666666671</v>
      </c>
      <c r="P969" s="13">
        <v>956</v>
      </c>
      <c r="Q969" s="22"/>
      <c r="R969" s="19"/>
      <c r="S969" s="22"/>
      <c r="T969" s="19"/>
      <c r="U969" s="24">
        <v>4.6140325085897826E-2</v>
      </c>
      <c r="V969" s="24">
        <f t="shared" si="46"/>
        <v>4.3008764949814982E-2</v>
      </c>
      <c r="W969" s="106">
        <v>4.3008759999999997</v>
      </c>
      <c r="X969" s="106">
        <v>4.3008999999999999E-2</v>
      </c>
      <c r="Y969" s="34">
        <f t="shared" si="44"/>
        <v>2.3505018501707164E-7</v>
      </c>
    </row>
    <row r="970" spans="15:25" ht="17.100000000000001" customHeight="1">
      <c r="O970" s="12">
        <f t="shared" si="45"/>
        <v>79.75</v>
      </c>
      <c r="P970" s="13">
        <v>957</v>
      </c>
      <c r="Q970" s="22"/>
      <c r="R970" s="19"/>
      <c r="S970" s="22"/>
      <c r="T970" s="19"/>
      <c r="U970" s="24">
        <v>4.6137047915918883E-2</v>
      </c>
      <c r="V970" s="24">
        <f t="shared" si="46"/>
        <v>4.3008675172003796E-2</v>
      </c>
      <c r="W970" s="106">
        <v>4.3008680000000004</v>
      </c>
      <c r="X970" s="106">
        <v>4.3008999999999999E-2</v>
      </c>
      <c r="Y970" s="34">
        <f t="shared" si="44"/>
        <v>3.2482799620231484E-7</v>
      </c>
    </row>
    <row r="971" spans="15:25" ht="17.100000000000001" customHeight="1">
      <c r="O971" s="12">
        <f t="shared" si="45"/>
        <v>79.833333333333329</v>
      </c>
      <c r="P971" s="13">
        <v>958</v>
      </c>
      <c r="Q971" s="22"/>
      <c r="R971" s="19"/>
      <c r="S971" s="22"/>
      <c r="T971" s="19"/>
      <c r="U971" s="24">
        <v>4.6133777503870377E-2</v>
      </c>
      <c r="V971" s="24">
        <f t="shared" si="46"/>
        <v>4.3008586313522557E-2</v>
      </c>
      <c r="W971" s="106">
        <v>4.300859</v>
      </c>
      <c r="X971" s="106">
        <v>4.3008999999999999E-2</v>
      </c>
      <c r="Y971" s="34">
        <f t="shared" si="44"/>
        <v>4.1368647744205456E-7</v>
      </c>
    </row>
    <row r="972" spans="15:25" ht="17.100000000000001" customHeight="1">
      <c r="O972" s="12">
        <f t="shared" si="45"/>
        <v>79.916666666666671</v>
      </c>
      <c r="P972" s="13">
        <v>959</v>
      </c>
      <c r="Q972" s="22"/>
      <c r="R972" s="19"/>
      <c r="S972" s="22"/>
      <c r="T972" s="19"/>
      <c r="U972" s="24">
        <v>4.613051382954203E-2</v>
      </c>
      <c r="V972" s="24">
        <f t="shared" si="46"/>
        <v>4.3008498365214809E-2</v>
      </c>
      <c r="W972" s="106">
        <v>4.3008499999999996</v>
      </c>
      <c r="X972" s="106">
        <v>4.3007999999999998E-2</v>
      </c>
      <c r="Y972" s="34">
        <f t="shared" si="44"/>
        <v>-4.98365214811336E-7</v>
      </c>
    </row>
    <row r="973" spans="15:25" ht="17.100000000000001" customHeight="1">
      <c r="O973" s="12">
        <f t="shared" si="45"/>
        <v>80</v>
      </c>
      <c r="P973" s="13">
        <v>960</v>
      </c>
      <c r="Q973" s="22"/>
      <c r="R973" s="19"/>
      <c r="S973" s="22"/>
      <c r="T973" s="19"/>
      <c r="U973" s="24">
        <v>4.6127256872798617E-2</v>
      </c>
      <c r="V973" s="24">
        <f t="shared" si="46"/>
        <v>4.3008411317613904E-2</v>
      </c>
      <c r="W973" s="106">
        <v>4.3008410000000001</v>
      </c>
      <c r="X973" s="106">
        <v>4.3007999999999998E-2</v>
      </c>
      <c r="Y973" s="34">
        <f t="shared" ref="Y973:Y1036" si="47">X973-V973</f>
        <v>-4.1131761390617028E-7</v>
      </c>
    </row>
    <row r="974" spans="15:25" ht="17.100000000000001" customHeight="1">
      <c r="O974" s="12">
        <f t="shared" ref="O974:O1037" si="48">P974/12</f>
        <v>80.083333333333329</v>
      </c>
      <c r="P974" s="13">
        <v>961</v>
      </c>
      <c r="Q974" s="22"/>
      <c r="R974" s="19"/>
      <c r="S974" s="22"/>
      <c r="T974" s="19"/>
      <c r="U974" s="24">
        <v>4.6124006613578628E-2</v>
      </c>
      <c r="V974" s="24">
        <f t="shared" ref="V974:V1037" si="49">(1+U975)^P975/(1+U974)^P974-1</f>
        <v>4.3008325161517202E-2</v>
      </c>
      <c r="W974" s="106">
        <v>4.3008329999999999</v>
      </c>
      <c r="X974" s="106">
        <v>4.3007999999999998E-2</v>
      </c>
      <c r="Y974" s="34">
        <f t="shared" si="47"/>
        <v>-3.2516151720479725E-7</v>
      </c>
    </row>
    <row r="975" spans="15:25" ht="17.100000000000001" customHeight="1">
      <c r="O975" s="12">
        <f t="shared" si="48"/>
        <v>80.166666666666671</v>
      </c>
      <c r="P975" s="13">
        <v>962</v>
      </c>
      <c r="Q975" s="22"/>
      <c r="R975" s="19"/>
      <c r="S975" s="22"/>
      <c r="T975" s="19"/>
      <c r="U975" s="24">
        <v>4.6120763031894496E-2</v>
      </c>
      <c r="V975" s="24">
        <f t="shared" si="49"/>
        <v>4.3008239888155941E-2</v>
      </c>
      <c r="W975" s="106">
        <v>4.3008240000000004</v>
      </c>
      <c r="X975" s="106">
        <v>4.3007999999999998E-2</v>
      </c>
      <c r="Y975" s="34">
        <f t="shared" si="47"/>
        <v>-2.3988815594372381E-7</v>
      </c>
    </row>
    <row r="976" spans="15:25" ht="17.100000000000001" customHeight="1">
      <c r="O976" s="12">
        <f t="shared" si="48"/>
        <v>80.25</v>
      </c>
      <c r="P976" s="13">
        <v>963</v>
      </c>
      <c r="Q976" s="22"/>
      <c r="R976" s="19"/>
      <c r="S976" s="22"/>
      <c r="T976" s="19"/>
      <c r="U976" s="24">
        <v>4.611752610783304E-2</v>
      </c>
      <c r="V976" s="24">
        <f t="shared" si="49"/>
        <v>4.3008155487593847E-2</v>
      </c>
      <c r="W976" s="106">
        <v>4.3008160000000002</v>
      </c>
      <c r="X976" s="106">
        <v>4.3007999999999998E-2</v>
      </c>
      <c r="Y976" s="34">
        <f t="shared" si="47"/>
        <v>-1.5548759384892419E-7</v>
      </c>
    </row>
    <row r="977" spans="15:25" ht="17.100000000000001" customHeight="1">
      <c r="O977" s="12">
        <f t="shared" si="48"/>
        <v>80.333333333333329</v>
      </c>
      <c r="P977" s="13">
        <v>964</v>
      </c>
      <c r="Q977" s="22"/>
      <c r="R977" s="19"/>
      <c r="S977" s="22"/>
      <c r="T977" s="19"/>
      <c r="U977" s="24">
        <v>4.611429582155302E-2</v>
      </c>
      <c r="V977" s="24">
        <f t="shared" si="49"/>
        <v>4.3008071952209459E-2</v>
      </c>
      <c r="W977" s="106">
        <v>4.3008069999999998</v>
      </c>
      <c r="X977" s="106">
        <v>4.3007999999999998E-2</v>
      </c>
      <c r="Y977" s="34">
        <f t="shared" si="47"/>
        <v>-7.1952209461378924E-8</v>
      </c>
    </row>
    <row r="978" spans="15:25" ht="17.100000000000001" customHeight="1">
      <c r="O978" s="12">
        <f t="shared" si="48"/>
        <v>80.416666666666671</v>
      </c>
      <c r="P978" s="13">
        <v>965</v>
      </c>
      <c r="Q978" s="22"/>
      <c r="R978" s="19"/>
      <c r="S978" s="22"/>
      <c r="T978" s="19"/>
      <c r="U978" s="24">
        <v>4.6111072153287802E-2</v>
      </c>
      <c r="V978" s="24">
        <f t="shared" si="49"/>
        <v>4.3007989271877545E-2</v>
      </c>
      <c r="W978" s="106">
        <v>4.3007989999999996</v>
      </c>
      <c r="X978" s="106">
        <v>4.3007999999999998E-2</v>
      </c>
      <c r="Y978" s="34">
        <f t="shared" si="47"/>
        <v>1.072812245289656E-8</v>
      </c>
    </row>
    <row r="979" spans="15:25" ht="17.100000000000001" customHeight="1">
      <c r="O979" s="12">
        <f t="shared" si="48"/>
        <v>80.5</v>
      </c>
      <c r="P979" s="13">
        <v>966</v>
      </c>
      <c r="Q979" s="22"/>
      <c r="R979" s="19"/>
      <c r="S979" s="22"/>
      <c r="T979" s="19"/>
      <c r="U979" s="24">
        <v>4.6107855083342475E-2</v>
      </c>
      <c r="V979" s="24">
        <f t="shared" si="49"/>
        <v>4.3007907438734838E-2</v>
      </c>
      <c r="W979" s="106">
        <v>4.3007910000000003</v>
      </c>
      <c r="X979" s="106">
        <v>4.3007999999999998E-2</v>
      </c>
      <c r="Y979" s="34">
        <f t="shared" si="47"/>
        <v>9.2561265159496475E-8</v>
      </c>
    </row>
    <row r="980" spans="15:25" ht="17.100000000000001" customHeight="1">
      <c r="O980" s="12">
        <f t="shared" si="48"/>
        <v>80.583333333333329</v>
      </c>
      <c r="P980" s="13">
        <v>967</v>
      </c>
      <c r="Q980" s="22"/>
      <c r="R980" s="19"/>
      <c r="S980" s="22"/>
      <c r="T980" s="19"/>
      <c r="U980" s="24">
        <v>4.6104644592095179E-2</v>
      </c>
      <c r="V980" s="24">
        <f t="shared" si="49"/>
        <v>4.3007826443618669E-2</v>
      </c>
      <c r="W980" s="106">
        <v>4.300783</v>
      </c>
      <c r="X980" s="106">
        <v>4.3007999999999998E-2</v>
      </c>
      <c r="Y980" s="34">
        <f t="shared" si="47"/>
        <v>1.7355638132904305E-7</v>
      </c>
    </row>
    <row r="981" spans="15:25" ht="17.100000000000001" customHeight="1">
      <c r="O981" s="12">
        <f t="shared" si="48"/>
        <v>80.666666666666671</v>
      </c>
      <c r="P981" s="13">
        <v>968</v>
      </c>
      <c r="Q981" s="22"/>
      <c r="R981" s="19"/>
      <c r="S981" s="22"/>
      <c r="T981" s="19"/>
      <c r="U981" s="24">
        <v>4.6101440659995774E-2</v>
      </c>
      <c r="V981" s="24">
        <f t="shared" si="49"/>
        <v>4.300774627791637E-2</v>
      </c>
      <c r="W981" s="106">
        <v>4.3007749999999998</v>
      </c>
      <c r="X981" s="106">
        <v>4.3007999999999998E-2</v>
      </c>
      <c r="Y981" s="34">
        <f t="shared" si="47"/>
        <v>2.5372208362767212E-7</v>
      </c>
    </row>
    <row r="982" spans="15:25" ht="17.100000000000001" customHeight="1">
      <c r="O982" s="12">
        <f t="shared" si="48"/>
        <v>80.75</v>
      </c>
      <c r="P982" s="13">
        <v>969</v>
      </c>
      <c r="Q982" s="22"/>
      <c r="R982" s="19"/>
      <c r="S982" s="22"/>
      <c r="T982" s="19"/>
      <c r="U982" s="24">
        <v>4.6098243267566286E-2</v>
      </c>
      <c r="V982" s="24">
        <f t="shared" si="49"/>
        <v>4.3007666933289501E-2</v>
      </c>
      <c r="W982" s="106">
        <v>4.3007669999999996</v>
      </c>
      <c r="X982" s="106">
        <v>4.3007999999999998E-2</v>
      </c>
      <c r="Y982" s="34">
        <f t="shared" si="47"/>
        <v>3.3306671049643244E-7</v>
      </c>
    </row>
    <row r="983" spans="15:25" ht="17.100000000000001" customHeight="1">
      <c r="O983" s="12">
        <f t="shared" si="48"/>
        <v>80.833333333333329</v>
      </c>
      <c r="P983" s="13">
        <v>970</v>
      </c>
      <c r="Q983" s="22"/>
      <c r="R983" s="19"/>
      <c r="S983" s="22"/>
      <c r="T983" s="19"/>
      <c r="U983" s="24">
        <v>4.609505239540046E-2</v>
      </c>
      <c r="V983" s="24">
        <f t="shared" si="49"/>
        <v>4.3007588401700936E-2</v>
      </c>
      <c r="W983" s="106">
        <v>4.3007590000000002</v>
      </c>
      <c r="X983" s="106">
        <v>4.3007999999999998E-2</v>
      </c>
      <c r="Y983" s="34">
        <f t="shared" si="47"/>
        <v>4.1159829906184386E-7</v>
      </c>
    </row>
    <row r="984" spans="15:25" ht="17.100000000000001" customHeight="1">
      <c r="O984" s="12">
        <f t="shared" si="48"/>
        <v>80.916666666666671</v>
      </c>
      <c r="P984" s="13">
        <v>971</v>
      </c>
      <c r="Q984" s="22"/>
      <c r="R984" s="19"/>
      <c r="S984" s="22"/>
      <c r="T984" s="19"/>
      <c r="U984" s="24">
        <v>4.609186802416354E-2</v>
      </c>
      <c r="V984" s="24">
        <f t="shared" si="49"/>
        <v>4.3007510674174299E-2</v>
      </c>
      <c r="W984" s="106">
        <v>4.300751</v>
      </c>
      <c r="X984" s="106">
        <v>4.3007999999999998E-2</v>
      </c>
      <c r="Y984" s="34">
        <f t="shared" si="47"/>
        <v>4.893258256991051E-7</v>
      </c>
    </row>
    <row r="985" spans="15:25" ht="17.100000000000001" customHeight="1">
      <c r="O985" s="12">
        <f t="shared" si="48"/>
        <v>81</v>
      </c>
      <c r="P985" s="13">
        <v>972</v>
      </c>
      <c r="Q985" s="22"/>
      <c r="R985" s="19"/>
      <c r="S985" s="22"/>
      <c r="T985" s="19"/>
      <c r="U985" s="24">
        <v>4.6088690134591603E-2</v>
      </c>
      <c r="V985" s="24">
        <f t="shared" si="49"/>
        <v>4.3007433742899837E-2</v>
      </c>
      <c r="W985" s="106">
        <v>4.3007429999999998</v>
      </c>
      <c r="X985" s="106">
        <v>4.3006999999999997E-2</v>
      </c>
      <c r="Y985" s="34">
        <f t="shared" si="47"/>
        <v>-4.3374289983993952E-7</v>
      </c>
    </row>
    <row r="986" spans="15:25" ht="17.100000000000001" customHeight="1">
      <c r="O986" s="12">
        <f t="shared" si="48"/>
        <v>81.083333333333329</v>
      </c>
      <c r="P986" s="13">
        <v>973</v>
      </c>
      <c r="Q986" s="22"/>
      <c r="R986" s="19"/>
      <c r="S986" s="22"/>
      <c r="T986" s="19"/>
      <c r="U986" s="24">
        <v>4.6085518707491557E-2</v>
      </c>
      <c r="V986" s="24">
        <f t="shared" si="49"/>
        <v>4.3007357599472051E-2</v>
      </c>
      <c r="W986" s="106">
        <v>4.3007359999999997</v>
      </c>
      <c r="X986" s="106">
        <v>4.3006999999999997E-2</v>
      </c>
      <c r="Y986" s="34">
        <f t="shared" si="47"/>
        <v>-3.5759947205477038E-7</v>
      </c>
    </row>
    <row r="987" spans="15:25" ht="17.100000000000001" customHeight="1">
      <c r="O987" s="12">
        <f t="shared" si="48"/>
        <v>81.166666666666671</v>
      </c>
      <c r="P987" s="13">
        <v>974</v>
      </c>
      <c r="Q987" s="22"/>
      <c r="R987" s="19"/>
      <c r="S987" s="22"/>
      <c r="T987" s="19"/>
      <c r="U987" s="24">
        <v>4.6082353723740921E-2</v>
      </c>
      <c r="V987" s="24">
        <f t="shared" si="49"/>
        <v>4.3007282236063871E-2</v>
      </c>
      <c r="W987" s="106">
        <v>4.3007280000000003</v>
      </c>
      <c r="X987" s="106">
        <v>4.3006999999999997E-2</v>
      </c>
      <c r="Y987" s="34">
        <f t="shared" si="47"/>
        <v>-2.8223606387406397E-7</v>
      </c>
    </row>
    <row r="988" spans="15:25" ht="17.100000000000001" customHeight="1">
      <c r="O988" s="12">
        <f t="shared" si="48"/>
        <v>81.25</v>
      </c>
      <c r="P988" s="13">
        <v>975</v>
      </c>
      <c r="Q988" s="22"/>
      <c r="R988" s="19"/>
      <c r="S988" s="22"/>
      <c r="T988" s="19"/>
      <c r="U988" s="24">
        <v>4.6079195164287601E-2</v>
      </c>
      <c r="V988" s="24">
        <f t="shared" si="49"/>
        <v>4.3007207644316647E-2</v>
      </c>
      <c r="W988" s="106">
        <v>4.3007210000000002</v>
      </c>
      <c r="X988" s="106">
        <v>4.3006999999999997E-2</v>
      </c>
      <c r="Y988" s="34">
        <f t="shared" si="47"/>
        <v>-2.0764431665071248E-7</v>
      </c>
    </row>
    <row r="989" spans="15:25" ht="17.100000000000001" customHeight="1">
      <c r="O989" s="12">
        <f t="shared" si="48"/>
        <v>81.333333333333329</v>
      </c>
      <c r="P989" s="13">
        <v>976</v>
      </c>
      <c r="Q989" s="22"/>
      <c r="R989" s="19"/>
      <c r="S989" s="22"/>
      <c r="T989" s="19"/>
      <c r="U989" s="24">
        <v>4.6076043010149004E-2</v>
      </c>
      <c r="V989" s="24">
        <f t="shared" si="49"/>
        <v>4.3007133816644894E-2</v>
      </c>
      <c r="W989" s="106">
        <v>4.300713</v>
      </c>
      <c r="X989" s="106">
        <v>4.3006999999999997E-2</v>
      </c>
      <c r="Y989" s="34">
        <f t="shared" si="47"/>
        <v>-1.3381664489692247E-7</v>
      </c>
    </row>
    <row r="990" spans="15:25" ht="17.100000000000001" customHeight="1">
      <c r="O990" s="12">
        <f t="shared" si="48"/>
        <v>81.416666666666671</v>
      </c>
      <c r="P990" s="13">
        <v>977</v>
      </c>
      <c r="Q990" s="22"/>
      <c r="R990" s="19"/>
      <c r="S990" s="22"/>
      <c r="T990" s="19"/>
      <c r="U990" s="24">
        <v>4.6072897242412703E-2</v>
      </c>
      <c r="V990" s="24">
        <f t="shared" si="49"/>
        <v>4.3007060745398062E-2</v>
      </c>
      <c r="W990" s="106">
        <v>4.3007059999999999</v>
      </c>
      <c r="X990" s="106">
        <v>4.3006999999999997E-2</v>
      </c>
      <c r="Y990" s="34">
        <f t="shared" si="47"/>
        <v>-6.0745398065831235E-8</v>
      </c>
    </row>
    <row r="991" spans="15:25" ht="17.100000000000001" customHeight="1">
      <c r="O991" s="12">
        <f t="shared" si="48"/>
        <v>81.5</v>
      </c>
      <c r="P991" s="13">
        <v>978</v>
      </c>
      <c r="Q991" s="22"/>
      <c r="R991" s="19"/>
      <c r="S991" s="22"/>
      <c r="T991" s="19"/>
      <c r="U991" s="24">
        <v>4.6069757842235992E-2</v>
      </c>
      <c r="V991" s="24">
        <f t="shared" si="49"/>
        <v>4.3006988422471304E-2</v>
      </c>
      <c r="W991" s="106">
        <v>4.3006989999999998</v>
      </c>
      <c r="X991" s="106">
        <v>4.3006999999999997E-2</v>
      </c>
      <c r="Y991" s="34">
        <f t="shared" si="47"/>
        <v>1.1577528692685579E-8</v>
      </c>
    </row>
    <row r="992" spans="15:25" ht="17.100000000000001" customHeight="1">
      <c r="O992" s="12">
        <f t="shared" si="48"/>
        <v>81.583333333333329</v>
      </c>
      <c r="P992" s="13">
        <v>979</v>
      </c>
      <c r="Q992" s="22"/>
      <c r="R992" s="19"/>
      <c r="S992" s="22"/>
      <c r="T992" s="19"/>
      <c r="U992" s="24">
        <v>4.6066624790844557E-2</v>
      </c>
      <c r="V992" s="24">
        <f t="shared" si="49"/>
        <v>4.3006916840153675E-2</v>
      </c>
      <c r="W992" s="106">
        <v>4.3006919999999997</v>
      </c>
      <c r="X992" s="106">
        <v>4.3006999999999997E-2</v>
      </c>
      <c r="Y992" s="34">
        <f t="shared" si="47"/>
        <v>8.315984632162321E-8</v>
      </c>
    </row>
    <row r="993" spans="15:25" ht="17.100000000000001" customHeight="1">
      <c r="O993" s="12">
        <f t="shared" si="48"/>
        <v>81.666666666666671</v>
      </c>
      <c r="P993" s="13">
        <v>980</v>
      </c>
      <c r="Q993" s="22"/>
      <c r="R993" s="19"/>
      <c r="S993" s="22"/>
      <c r="T993" s="19"/>
      <c r="U993" s="24">
        <v>4.606349806953336E-2</v>
      </c>
      <c r="V993" s="24">
        <f t="shared" si="49"/>
        <v>4.3006845991272913E-2</v>
      </c>
      <c r="W993" s="106">
        <v>4.3006849999999996</v>
      </c>
      <c r="X993" s="106">
        <v>4.3006999999999997E-2</v>
      </c>
      <c r="Y993" s="34">
        <f t="shared" si="47"/>
        <v>1.5400872708376534E-7</v>
      </c>
    </row>
    <row r="994" spans="15:25" ht="17.100000000000001" customHeight="1">
      <c r="O994" s="12">
        <f t="shared" si="48"/>
        <v>81.75</v>
      </c>
      <c r="P994" s="13">
        <v>981</v>
      </c>
      <c r="Q994" s="22"/>
      <c r="R994" s="19"/>
      <c r="S994" s="22"/>
      <c r="T994" s="19"/>
      <c r="U994" s="24">
        <v>4.6060377659666196E-2</v>
      </c>
      <c r="V994" s="24">
        <f t="shared" si="49"/>
        <v>4.3006775867672875E-2</v>
      </c>
      <c r="W994" s="106">
        <v>4.3006779999999996</v>
      </c>
      <c r="X994" s="106">
        <v>4.3006999999999997E-2</v>
      </c>
      <c r="Y994" s="34">
        <f t="shared" si="47"/>
        <v>2.2413232712154008E-7</v>
      </c>
    </row>
    <row r="995" spans="15:25" ht="17.100000000000001" customHeight="1">
      <c r="O995" s="12">
        <f t="shared" si="48"/>
        <v>81.833333333333329</v>
      </c>
      <c r="P995" s="13">
        <v>982</v>
      </c>
      <c r="Q995" s="22"/>
      <c r="R995" s="19"/>
      <c r="S995" s="22"/>
      <c r="T995" s="19"/>
      <c r="U995" s="24">
        <v>4.6057263542674587E-2</v>
      </c>
      <c r="V995" s="24">
        <f t="shared" si="49"/>
        <v>4.300670646270266E-2</v>
      </c>
      <c r="W995" s="106">
        <v>4.3006710000000004</v>
      </c>
      <c r="X995" s="106">
        <v>4.3006999999999997E-2</v>
      </c>
      <c r="Y995" s="34">
        <f t="shared" si="47"/>
        <v>2.9353729733699874E-7</v>
      </c>
    </row>
    <row r="996" spans="15:25" ht="17.100000000000001" customHeight="1">
      <c r="O996" s="12">
        <f t="shared" si="48"/>
        <v>81.916666666666671</v>
      </c>
      <c r="P996" s="13">
        <v>983</v>
      </c>
      <c r="Q996" s="22"/>
      <c r="R996" s="19"/>
      <c r="S996" s="22"/>
      <c r="T996" s="19"/>
      <c r="U996" s="24">
        <v>4.6054155700058885E-2</v>
      </c>
      <c r="V996" s="24">
        <f t="shared" si="49"/>
        <v>4.300663776838709E-2</v>
      </c>
      <c r="W996" s="106">
        <v>4.3006640000000003</v>
      </c>
      <c r="X996" s="106">
        <v>4.3006999999999997E-2</v>
      </c>
      <c r="Y996" s="34">
        <f t="shared" si="47"/>
        <v>3.6223161290621642E-7</v>
      </c>
    </row>
    <row r="997" spans="15:25" ht="17.100000000000001" customHeight="1">
      <c r="O997" s="12">
        <f t="shared" si="48"/>
        <v>82</v>
      </c>
      <c r="P997" s="13">
        <v>984</v>
      </c>
      <c r="Q997" s="22"/>
      <c r="R997" s="19"/>
      <c r="S997" s="22"/>
      <c r="T997" s="19"/>
      <c r="U997" s="24">
        <v>4.6051054113386725E-2</v>
      </c>
      <c r="V997" s="24">
        <f t="shared" si="49"/>
        <v>4.3006569777718884E-2</v>
      </c>
      <c r="W997" s="106">
        <v>4.3006570000000002</v>
      </c>
      <c r="X997" s="106">
        <v>4.3006999999999997E-2</v>
      </c>
      <c r="Y997" s="34">
        <f t="shared" si="47"/>
        <v>4.3022228111283534E-7</v>
      </c>
    </row>
    <row r="998" spans="15:25" ht="17.100000000000001" customHeight="1">
      <c r="O998" s="12">
        <f t="shared" si="48"/>
        <v>82.083333333333329</v>
      </c>
      <c r="P998" s="13">
        <v>985</v>
      </c>
      <c r="Q998" s="22"/>
      <c r="R998" s="19"/>
      <c r="S998" s="22"/>
      <c r="T998" s="19"/>
      <c r="U998" s="24">
        <v>4.6047958764293462E-2</v>
      </c>
      <c r="V998" s="24">
        <f t="shared" si="49"/>
        <v>4.3006502483562192E-2</v>
      </c>
      <c r="W998" s="106">
        <v>4.3006500000000001</v>
      </c>
      <c r="X998" s="106">
        <v>4.3006999999999997E-2</v>
      </c>
      <c r="Y998" s="34">
        <f t="shared" si="47"/>
        <v>4.9751643780432397E-7</v>
      </c>
    </row>
    <row r="999" spans="15:25" ht="17.100000000000001" customHeight="1">
      <c r="O999" s="12">
        <f t="shared" si="48"/>
        <v>82.166666666666671</v>
      </c>
      <c r="P999" s="13">
        <v>986</v>
      </c>
      <c r="Q999" s="22"/>
      <c r="R999" s="19"/>
      <c r="S999" s="22"/>
      <c r="T999" s="19"/>
      <c r="U999" s="24">
        <v>4.6044869634481733E-2</v>
      </c>
      <c r="V999" s="24">
        <f t="shared" si="49"/>
        <v>4.3006435878523375E-2</v>
      </c>
      <c r="W999" s="106">
        <v>4.3006440000000001</v>
      </c>
      <c r="X999" s="106">
        <v>4.3006000000000003E-2</v>
      </c>
      <c r="Y999" s="34">
        <f t="shared" si="47"/>
        <v>-4.3587852337212407E-7</v>
      </c>
    </row>
    <row r="1000" spans="15:25" ht="17.100000000000001" customHeight="1">
      <c r="O1000" s="12">
        <f t="shared" si="48"/>
        <v>82.25</v>
      </c>
      <c r="P1000" s="13">
        <v>987</v>
      </c>
      <c r="Q1000" s="22"/>
      <c r="R1000" s="19"/>
      <c r="S1000" s="22"/>
      <c r="T1000" s="19"/>
      <c r="U1000" s="24">
        <v>4.6041786705721233E-2</v>
      </c>
      <c r="V1000" s="24">
        <f t="shared" si="49"/>
        <v>4.3006369955713497E-2</v>
      </c>
      <c r="W1000" s="106">
        <v>4.300637</v>
      </c>
      <c r="X1000" s="106">
        <v>4.3006000000000003E-2</v>
      </c>
      <c r="Y1000" s="34">
        <f t="shared" si="47"/>
        <v>-3.6995571349451861E-7</v>
      </c>
    </row>
    <row r="1001" spans="15:25" ht="17.100000000000001" customHeight="1">
      <c r="O1001" s="12">
        <f t="shared" si="48"/>
        <v>82.333333333333329</v>
      </c>
      <c r="P1001" s="13">
        <v>988</v>
      </c>
      <c r="Q1001" s="22"/>
      <c r="R1001" s="19"/>
      <c r="S1001" s="22"/>
      <c r="T1001" s="19"/>
      <c r="U1001" s="24">
        <v>4.6038709959848267E-2</v>
      </c>
      <c r="V1001" s="24">
        <f t="shared" si="49"/>
        <v>4.3006304708006482E-2</v>
      </c>
      <c r="W1001" s="106">
        <v>4.30063</v>
      </c>
      <c r="X1001" s="106">
        <v>4.3006000000000003E-2</v>
      </c>
      <c r="Y1001" s="34">
        <f t="shared" si="47"/>
        <v>-3.0470800647941498E-7</v>
      </c>
    </row>
    <row r="1002" spans="15:25" ht="17.100000000000001" customHeight="1">
      <c r="O1002" s="12">
        <f t="shared" si="48"/>
        <v>82.416666666666671</v>
      </c>
      <c r="P1002" s="13">
        <v>989</v>
      </c>
      <c r="Q1002" s="22"/>
      <c r="R1002" s="19"/>
      <c r="S1002" s="22"/>
      <c r="T1002" s="19"/>
      <c r="U1002" s="24">
        <v>4.6035639378765536E-2</v>
      </c>
      <c r="V1002" s="24">
        <f t="shared" si="49"/>
        <v>4.3006240128679263E-2</v>
      </c>
      <c r="W1002" s="106">
        <v>4.300624</v>
      </c>
      <c r="X1002" s="106">
        <v>4.3006000000000003E-2</v>
      </c>
      <c r="Y1002" s="34">
        <f t="shared" si="47"/>
        <v>-2.4012867926026527E-7</v>
      </c>
    </row>
    <row r="1003" spans="15:25" ht="17.100000000000001" customHeight="1">
      <c r="O1003" s="12">
        <f t="shared" si="48"/>
        <v>82.5</v>
      </c>
      <c r="P1003" s="13">
        <v>990</v>
      </c>
      <c r="Q1003" s="22"/>
      <c r="R1003" s="19"/>
      <c r="S1003" s="22"/>
      <c r="T1003" s="19"/>
      <c r="U1003" s="24">
        <v>4.6032574944442128E-2</v>
      </c>
      <c r="V1003" s="24">
        <f t="shared" si="49"/>
        <v>4.3006176211147107E-2</v>
      </c>
      <c r="W1003" s="106">
        <v>4.3006180000000001</v>
      </c>
      <c r="X1003" s="106">
        <v>4.3006000000000003E-2</v>
      </c>
      <c r="Y1003" s="34">
        <f t="shared" si="47"/>
        <v>-1.7621114710431041E-7</v>
      </c>
    </row>
    <row r="1004" spans="15:25" ht="17.100000000000001" customHeight="1">
      <c r="O1004" s="12">
        <f t="shared" si="48"/>
        <v>82.583333333333329</v>
      </c>
      <c r="P1004" s="13">
        <v>991</v>
      </c>
      <c r="Q1004" s="22"/>
      <c r="R1004" s="19"/>
      <c r="S1004" s="22"/>
      <c r="T1004" s="19"/>
      <c r="U1004" s="24">
        <v>4.6029516638913526E-2</v>
      </c>
      <c r="V1004" s="24">
        <f t="shared" si="49"/>
        <v>4.3006112947985731E-2</v>
      </c>
      <c r="W1004" s="106">
        <v>4.300611</v>
      </c>
      <c r="X1004" s="106">
        <v>4.3006000000000003E-2</v>
      </c>
      <c r="Y1004" s="34">
        <f t="shared" si="47"/>
        <v>-1.1294798572814013E-7</v>
      </c>
    </row>
    <row r="1005" spans="15:25" ht="17.100000000000001" customHeight="1">
      <c r="O1005" s="12">
        <f t="shared" si="48"/>
        <v>82.666666666666671</v>
      </c>
      <c r="P1005" s="13">
        <v>992</v>
      </c>
      <c r="Q1005" s="22"/>
      <c r="R1005" s="19"/>
      <c r="S1005" s="22"/>
      <c r="T1005" s="19"/>
      <c r="U1005" s="24">
        <v>4.6026464444280046E-2</v>
      </c>
      <c r="V1005" s="24">
        <f t="shared" si="49"/>
        <v>4.3006050332662582E-2</v>
      </c>
      <c r="W1005" s="106">
        <v>4.300605</v>
      </c>
      <c r="X1005" s="106">
        <v>4.3006000000000003E-2</v>
      </c>
      <c r="Y1005" s="34">
        <f t="shared" si="47"/>
        <v>-5.033266257947755E-8</v>
      </c>
    </row>
    <row r="1006" spans="15:25" ht="17.100000000000001" customHeight="1">
      <c r="O1006" s="12">
        <f t="shared" si="48"/>
        <v>82.75</v>
      </c>
      <c r="P1006" s="13">
        <v>993</v>
      </c>
      <c r="Q1006" s="22"/>
      <c r="R1006" s="19"/>
      <c r="S1006" s="22"/>
      <c r="T1006" s="19"/>
      <c r="U1006" s="24">
        <v>4.6023418342707734E-2</v>
      </c>
      <c r="V1006" s="24">
        <f t="shared" si="49"/>
        <v>4.3005988358939984E-2</v>
      </c>
      <c r="W1006" s="106">
        <v>4.3005990000000001</v>
      </c>
      <c r="X1006" s="106">
        <v>4.3006000000000003E-2</v>
      </c>
      <c r="Y1006" s="34">
        <f t="shared" si="47"/>
        <v>1.1641060018718896E-8</v>
      </c>
    </row>
    <row r="1007" spans="15:25" ht="17.100000000000001" customHeight="1">
      <c r="O1007" s="12">
        <f t="shared" si="48"/>
        <v>82.833333333333329</v>
      </c>
      <c r="P1007" s="13">
        <v>994</v>
      </c>
      <c r="Q1007" s="22"/>
      <c r="R1007" s="19"/>
      <c r="S1007" s="22"/>
      <c r="T1007" s="19"/>
      <c r="U1007" s="24">
        <v>4.6020378316428134E-2</v>
      </c>
      <c r="V1007" s="24">
        <f t="shared" si="49"/>
        <v>4.3005927019930112E-2</v>
      </c>
      <c r="W1007" s="106">
        <v>4.3005930000000001</v>
      </c>
      <c r="X1007" s="106">
        <v>4.3006000000000003E-2</v>
      </c>
      <c r="Y1007" s="34">
        <f t="shared" si="47"/>
        <v>7.2980069890093979E-8</v>
      </c>
    </row>
    <row r="1008" spans="15:25" ht="17.100000000000001" customHeight="1">
      <c r="O1008" s="12">
        <f t="shared" si="48"/>
        <v>82.916666666666671</v>
      </c>
      <c r="P1008" s="13">
        <v>995</v>
      </c>
      <c r="Q1008" s="22"/>
      <c r="R1008" s="19"/>
      <c r="S1008" s="22"/>
      <c r="T1008" s="19"/>
      <c r="U1008" s="24">
        <v>4.601734434773741E-2</v>
      </c>
      <c r="V1008" s="24">
        <f t="shared" si="49"/>
        <v>4.3005866309201446E-2</v>
      </c>
      <c r="W1008" s="106">
        <v>4.3005870000000002</v>
      </c>
      <c r="X1008" s="106">
        <v>4.3006000000000003E-2</v>
      </c>
      <c r="Y1008" s="34">
        <f t="shared" si="47"/>
        <v>1.3369079855662935E-7</v>
      </c>
    </row>
    <row r="1009" spans="15:25" ht="17.100000000000001" customHeight="1">
      <c r="O1009" s="12">
        <f t="shared" si="48"/>
        <v>83</v>
      </c>
      <c r="P1009" s="13">
        <v>996</v>
      </c>
      <c r="Q1009" s="22"/>
      <c r="R1009" s="19"/>
      <c r="S1009" s="22"/>
      <c r="T1009" s="19"/>
      <c r="U1009" s="24">
        <v>4.6014316418996337E-2</v>
      </c>
      <c r="V1009" s="24">
        <f t="shared" si="49"/>
        <v>4.3005806220266729E-2</v>
      </c>
      <c r="W1009" s="106">
        <v>4.3005810000000002</v>
      </c>
      <c r="X1009" s="106">
        <v>4.3006000000000003E-2</v>
      </c>
      <c r="Y1009" s="34">
        <f t="shared" si="47"/>
        <v>1.9377973327350251E-7</v>
      </c>
    </row>
    <row r="1010" spans="15:25" ht="17.100000000000001" customHeight="1">
      <c r="O1010" s="12">
        <f t="shared" si="48"/>
        <v>83.083333333333329</v>
      </c>
      <c r="P1010" s="13">
        <v>997</v>
      </c>
      <c r="Q1010" s="22"/>
      <c r="R1010" s="19"/>
      <c r="S1010" s="22"/>
      <c r="T1010" s="19"/>
      <c r="U1010" s="24">
        <v>4.6011294512630307E-2</v>
      </c>
      <c r="V1010" s="24">
        <f t="shared" si="49"/>
        <v>4.3005746746710649E-2</v>
      </c>
      <c r="W1010" s="106">
        <v>4.3005750000000003</v>
      </c>
      <c r="X1010" s="106">
        <v>4.3006000000000003E-2</v>
      </c>
      <c r="Y1010" s="34">
        <f t="shared" si="47"/>
        <v>2.5325328935343894E-7</v>
      </c>
    </row>
    <row r="1011" spans="15:25" ht="17.100000000000001" customHeight="1">
      <c r="O1011" s="12">
        <f t="shared" si="48"/>
        <v>83.166666666666671</v>
      </c>
      <c r="P1011" s="13">
        <v>998</v>
      </c>
      <c r="Q1011" s="22"/>
      <c r="R1011" s="19"/>
      <c r="S1011" s="22"/>
      <c r="T1011" s="19"/>
      <c r="U1011" s="24">
        <v>4.6008278611128661E-2</v>
      </c>
      <c r="V1011" s="24">
        <f t="shared" si="49"/>
        <v>4.3005687882383903E-2</v>
      </c>
      <c r="W1011" s="106">
        <v>4.3005690000000003</v>
      </c>
      <c r="X1011" s="106">
        <v>4.3006000000000003E-2</v>
      </c>
      <c r="Y1011" s="34">
        <f t="shared" si="47"/>
        <v>3.1211761609972744E-7</v>
      </c>
    </row>
    <row r="1012" spans="15:25" ht="17.100000000000001" customHeight="1">
      <c r="O1012" s="12">
        <f t="shared" si="48"/>
        <v>83.25</v>
      </c>
      <c r="P1012" s="13">
        <v>999</v>
      </c>
      <c r="Q1012" s="22"/>
      <c r="R1012" s="19"/>
      <c r="S1012" s="22"/>
      <c r="T1012" s="19"/>
      <c r="U1012" s="24">
        <v>4.6005268697044466E-2</v>
      </c>
      <c r="V1012" s="24">
        <f t="shared" si="49"/>
        <v>4.300562962117227E-2</v>
      </c>
      <c r="W1012" s="106">
        <v>4.3005630000000004</v>
      </c>
      <c r="X1012" s="106">
        <v>4.3006000000000003E-2</v>
      </c>
      <c r="Y1012" s="34">
        <f t="shared" si="47"/>
        <v>3.7037882773260922E-7</v>
      </c>
    </row>
    <row r="1013" spans="15:25" ht="17.100000000000001" customHeight="1">
      <c r="O1013" s="12">
        <f t="shared" si="48"/>
        <v>83.333333333333329</v>
      </c>
      <c r="P1013" s="13">
        <v>1000</v>
      </c>
      <c r="Q1013" s="22"/>
      <c r="R1013" s="19"/>
      <c r="S1013" s="22"/>
      <c r="T1013" s="19"/>
      <c r="U1013" s="24">
        <v>4.6002264752994959E-2</v>
      </c>
      <c r="V1013" s="24">
        <f t="shared" si="49"/>
        <v>4.3005571956393318E-2</v>
      </c>
      <c r="W1013" s="106">
        <v>4.3005570000000004</v>
      </c>
      <c r="X1013" s="106">
        <v>4.3006000000000003E-2</v>
      </c>
      <c r="Y1013" s="34">
        <f t="shared" si="47"/>
        <v>4.280436066844695E-7</v>
      </c>
    </row>
    <row r="1014" spans="15:25" ht="17.100000000000001" customHeight="1">
      <c r="O1014" s="12">
        <f t="shared" si="48"/>
        <v>83.416666666666671</v>
      </c>
      <c r="P1014" s="13">
        <v>1001</v>
      </c>
      <c r="Q1014" s="22"/>
      <c r="R1014" s="19"/>
      <c r="S1014" s="22"/>
      <c r="T1014" s="19"/>
      <c r="U1014" s="24">
        <v>4.5999266761660218E-2</v>
      </c>
      <c r="V1014" s="24">
        <f t="shared" si="49"/>
        <v>4.3005514882626716E-2</v>
      </c>
      <c r="W1014" s="106">
        <v>4.3005509999999996</v>
      </c>
      <c r="X1014" s="106">
        <v>4.3006000000000003E-2</v>
      </c>
      <c r="Y1014" s="34">
        <f t="shared" si="47"/>
        <v>4.8511737328615911E-7</v>
      </c>
    </row>
    <row r="1015" spans="15:25" ht="17.100000000000001" customHeight="1">
      <c r="O1015" s="12">
        <f t="shared" si="48"/>
        <v>83.5</v>
      </c>
      <c r="P1015" s="13">
        <v>1002</v>
      </c>
      <c r="Q1015" s="22"/>
      <c r="R1015" s="19"/>
      <c r="S1015" s="22"/>
      <c r="T1015" s="19"/>
      <c r="U1015" s="24">
        <v>4.5996274705783824E-2</v>
      </c>
      <c r="V1015" s="24">
        <f t="shared" si="49"/>
        <v>4.300545839302905E-2</v>
      </c>
      <c r="W1015" s="106">
        <v>4.3005459999999998</v>
      </c>
      <c r="X1015" s="106">
        <v>4.3005000000000002E-2</v>
      </c>
      <c r="Y1015" s="34">
        <f t="shared" si="47"/>
        <v>-4.5839302904859824E-7</v>
      </c>
    </row>
    <row r="1016" spans="15:25" ht="17.100000000000001" customHeight="1">
      <c r="O1016" s="12">
        <f t="shared" si="48"/>
        <v>83.583333333333329</v>
      </c>
      <c r="P1016" s="13">
        <v>1003</v>
      </c>
      <c r="Q1016" s="22"/>
      <c r="R1016" s="19"/>
      <c r="S1016" s="22"/>
      <c r="T1016" s="19"/>
      <c r="U1016" s="24">
        <v>4.5993288568171753E-2</v>
      </c>
      <c r="V1016" s="24">
        <f t="shared" si="49"/>
        <v>4.3005402482114263E-2</v>
      </c>
      <c r="W1016" s="106">
        <v>4.3005399999999998</v>
      </c>
      <c r="X1016" s="106">
        <v>4.3005000000000002E-2</v>
      </c>
      <c r="Y1016" s="34">
        <f t="shared" si="47"/>
        <v>-4.0248211426174851E-7</v>
      </c>
    </row>
    <row r="1017" spans="15:25" ht="17.100000000000001" customHeight="1">
      <c r="O1017" s="12">
        <f t="shared" si="48"/>
        <v>83.666666666666671</v>
      </c>
      <c r="P1017" s="13">
        <v>1004</v>
      </c>
      <c r="Q1017" s="22"/>
      <c r="R1017" s="19"/>
      <c r="S1017" s="22"/>
      <c r="T1017" s="19"/>
      <c r="U1017" s="24">
        <v>4.599030833169282E-2</v>
      </c>
      <c r="V1017" s="24">
        <f t="shared" si="49"/>
        <v>4.3005347144119188E-2</v>
      </c>
      <c r="W1017" s="106">
        <v>4.300535</v>
      </c>
      <c r="X1017" s="106">
        <v>4.3005000000000002E-2</v>
      </c>
      <c r="Y1017" s="34">
        <f t="shared" si="47"/>
        <v>-3.4714411918657095E-7</v>
      </c>
    </row>
    <row r="1018" spans="15:25" ht="17.100000000000001" customHeight="1">
      <c r="O1018" s="12">
        <f t="shared" si="48"/>
        <v>83.75</v>
      </c>
      <c r="P1018" s="13">
        <v>1005</v>
      </c>
      <c r="Q1018" s="22"/>
      <c r="R1018" s="19"/>
      <c r="S1018" s="22"/>
      <c r="T1018" s="19"/>
      <c r="U1018" s="24">
        <v>4.5987333979278677E-2</v>
      </c>
      <c r="V1018" s="24">
        <f t="shared" si="49"/>
        <v>4.3005292372877424E-2</v>
      </c>
      <c r="W1018" s="106">
        <v>4.300529</v>
      </c>
      <c r="X1018" s="106">
        <v>4.3005000000000002E-2</v>
      </c>
      <c r="Y1018" s="34">
        <f t="shared" si="47"/>
        <v>-2.9237287742234219E-7</v>
      </c>
    </row>
    <row r="1019" spans="15:25" ht="17.100000000000001" customHeight="1">
      <c r="O1019" s="12">
        <f t="shared" si="48"/>
        <v>83.833333333333329</v>
      </c>
      <c r="P1019" s="13">
        <v>1006</v>
      </c>
      <c r="Q1019" s="22"/>
      <c r="R1019" s="19"/>
      <c r="S1019" s="22"/>
      <c r="T1019" s="19"/>
      <c r="U1019" s="24">
        <v>4.5984365493922486E-2</v>
      </c>
      <c r="V1019" s="24">
        <f t="shared" si="49"/>
        <v>4.3005238162733495E-2</v>
      </c>
      <c r="W1019" s="106">
        <v>4.3005240000000002</v>
      </c>
      <c r="X1019" s="106">
        <v>4.3005000000000002E-2</v>
      </c>
      <c r="Y1019" s="34">
        <f t="shared" si="47"/>
        <v>-2.3816273349297479E-7</v>
      </c>
    </row>
    <row r="1020" spans="15:25" ht="17.100000000000001" customHeight="1">
      <c r="O1020" s="12">
        <f t="shared" si="48"/>
        <v>83.916666666666671</v>
      </c>
      <c r="P1020" s="13">
        <v>1007</v>
      </c>
      <c r="Q1020" s="22"/>
      <c r="R1020" s="19"/>
      <c r="S1020" s="22"/>
      <c r="T1020" s="19"/>
      <c r="U1020" s="24">
        <v>4.5981402858679576E-2</v>
      </c>
      <c r="V1020" s="24">
        <f t="shared" si="49"/>
        <v>4.300518450740487E-2</v>
      </c>
      <c r="W1020" s="106">
        <v>4.3005180000000003</v>
      </c>
      <c r="X1020" s="106">
        <v>4.3005000000000002E-2</v>
      </c>
      <c r="Y1020" s="34">
        <f t="shared" si="47"/>
        <v>-1.8450740486841699E-7</v>
      </c>
    </row>
    <row r="1021" spans="15:25" ht="17.100000000000001" customHeight="1">
      <c r="O1021" s="12">
        <f t="shared" si="48"/>
        <v>84</v>
      </c>
      <c r="P1021" s="13">
        <v>1008</v>
      </c>
      <c r="Q1021" s="22"/>
      <c r="R1021" s="19"/>
      <c r="S1021" s="22"/>
      <c r="T1021" s="19"/>
      <c r="U1021" s="24">
        <v>4.5978446056666344E-2</v>
      </c>
      <c r="V1021" s="24">
        <f t="shared" si="49"/>
        <v>4.3005131402292118E-2</v>
      </c>
      <c r="W1021" s="106">
        <v>4.3005129999999996</v>
      </c>
      <c r="X1021" s="106">
        <v>4.3005000000000002E-2</v>
      </c>
      <c r="Y1021" s="34">
        <f t="shared" si="47"/>
        <v>-1.3140229211672239E-7</v>
      </c>
    </row>
    <row r="1022" spans="15:25" ht="17.100000000000001" customHeight="1">
      <c r="O1022" s="12">
        <f t="shared" si="48"/>
        <v>84.083333333333329</v>
      </c>
      <c r="P1022" s="13">
        <v>1009</v>
      </c>
      <c r="Q1022" s="22"/>
      <c r="R1022" s="19"/>
      <c r="S1022" s="22"/>
      <c r="T1022" s="19"/>
      <c r="U1022" s="24">
        <v>4.5975495071061578E-2</v>
      </c>
      <c r="V1022" s="24">
        <f t="shared" si="49"/>
        <v>4.3005078840635758E-2</v>
      </c>
      <c r="W1022" s="106">
        <v>4.3005079999999998</v>
      </c>
      <c r="X1022" s="106">
        <v>4.3005000000000002E-2</v>
      </c>
      <c r="Y1022" s="34">
        <f t="shared" si="47"/>
        <v>-7.8840635756027844E-8</v>
      </c>
    </row>
    <row r="1023" spans="15:25" ht="17.100000000000001" customHeight="1">
      <c r="O1023" s="12">
        <f t="shared" si="48"/>
        <v>84.166666666666671</v>
      </c>
      <c r="P1023" s="13">
        <v>1010</v>
      </c>
      <c r="Q1023" s="22"/>
      <c r="R1023" s="19"/>
      <c r="S1023" s="22"/>
      <c r="T1023" s="19"/>
      <c r="U1023" s="24">
        <v>4.5972549885104241E-2</v>
      </c>
      <c r="V1023" s="24">
        <f t="shared" si="49"/>
        <v>4.3005026817248604E-2</v>
      </c>
      <c r="W1023" s="106">
        <v>4.300503</v>
      </c>
      <c r="X1023" s="106">
        <v>4.3005000000000002E-2</v>
      </c>
      <c r="Y1023" s="34">
        <f t="shared" si="47"/>
        <v>-2.6817248602317711E-8</v>
      </c>
    </row>
    <row r="1024" spans="15:25" ht="17.100000000000001" customHeight="1">
      <c r="O1024" s="12">
        <f t="shared" si="48"/>
        <v>84.25</v>
      </c>
      <c r="P1024" s="13">
        <v>1011</v>
      </c>
      <c r="Q1024" s="22"/>
      <c r="R1024" s="19"/>
      <c r="S1024" s="22"/>
      <c r="T1024" s="19"/>
      <c r="U1024" s="24">
        <v>4.5969610482094359E-2</v>
      </c>
      <c r="V1024" s="24">
        <f t="shared" si="49"/>
        <v>4.3004975327223249E-2</v>
      </c>
      <c r="W1024" s="106">
        <v>4.3004980000000002</v>
      </c>
      <c r="X1024" s="106">
        <v>4.3005000000000002E-2</v>
      </c>
      <c r="Y1024" s="34">
        <f t="shared" si="47"/>
        <v>2.4672776752221459E-8</v>
      </c>
    </row>
    <row r="1025" spans="15:25" ht="17.100000000000001" customHeight="1">
      <c r="O1025" s="12">
        <f t="shared" si="48"/>
        <v>84.333333333333329</v>
      </c>
      <c r="P1025" s="13">
        <v>1012</v>
      </c>
      <c r="Q1025" s="22"/>
      <c r="R1025" s="19"/>
      <c r="S1025" s="22"/>
      <c r="T1025" s="19"/>
      <c r="U1025" s="24">
        <v>4.596667684539324E-2</v>
      </c>
      <c r="V1025" s="24">
        <f t="shared" si="49"/>
        <v>4.3004924364481001E-2</v>
      </c>
      <c r="W1025" s="106">
        <v>4.3004920000000002</v>
      </c>
      <c r="X1025" s="106">
        <v>4.3005000000000002E-2</v>
      </c>
      <c r="Y1025" s="34">
        <f t="shared" si="47"/>
        <v>7.5635519000694096E-8</v>
      </c>
    </row>
    <row r="1026" spans="15:25" ht="17.100000000000001" customHeight="1">
      <c r="O1026" s="12">
        <f t="shared" si="48"/>
        <v>84.416666666666671</v>
      </c>
      <c r="P1026" s="13">
        <v>1013</v>
      </c>
      <c r="Q1026" s="22"/>
      <c r="R1026" s="19"/>
      <c r="S1026" s="22"/>
      <c r="T1026" s="19"/>
      <c r="U1026" s="24">
        <v>4.5963748958421924E-2</v>
      </c>
      <c r="V1026" s="24">
        <f t="shared" si="49"/>
        <v>4.300487392325536E-2</v>
      </c>
      <c r="W1026" s="106">
        <v>4.3004870000000004</v>
      </c>
      <c r="X1026" s="106">
        <v>4.3005000000000002E-2</v>
      </c>
      <c r="Y1026" s="34">
        <f t="shared" si="47"/>
        <v>1.260767446414901E-7</v>
      </c>
    </row>
    <row r="1027" spans="15:25" ht="17.100000000000001" customHeight="1">
      <c r="O1027" s="12">
        <f t="shared" si="48"/>
        <v>84.5</v>
      </c>
      <c r="P1027" s="13">
        <v>1014</v>
      </c>
      <c r="Q1027" s="22"/>
      <c r="R1027" s="19"/>
      <c r="S1027" s="22"/>
      <c r="T1027" s="19"/>
      <c r="U1027" s="24">
        <v>4.5960826804661403E-2</v>
      </c>
      <c r="V1027" s="24">
        <f t="shared" si="49"/>
        <v>4.3004823999132746E-2</v>
      </c>
      <c r="W1027" s="106">
        <v>4.3004819999999997</v>
      </c>
      <c r="X1027" s="106">
        <v>4.3005000000000002E-2</v>
      </c>
      <c r="Y1027" s="34">
        <f t="shared" si="47"/>
        <v>1.7600086725522157E-7</v>
      </c>
    </row>
    <row r="1028" spans="15:25" ht="17.100000000000001" customHeight="1">
      <c r="O1028" s="12">
        <f t="shared" si="48"/>
        <v>84.583333333333329</v>
      </c>
      <c r="P1028" s="13">
        <v>1015</v>
      </c>
      <c r="Q1028" s="22"/>
      <c r="R1028" s="19"/>
      <c r="S1028" s="22"/>
      <c r="T1028" s="19"/>
      <c r="U1028" s="24">
        <v>4.5957910367653509E-2</v>
      </c>
      <c r="V1028" s="24">
        <f t="shared" si="49"/>
        <v>4.3004774586434591E-2</v>
      </c>
      <c r="W1028" s="106">
        <v>4.3004769999999999</v>
      </c>
      <c r="X1028" s="106">
        <v>4.3005000000000002E-2</v>
      </c>
      <c r="Y1028" s="34">
        <f t="shared" si="47"/>
        <v>2.2541356541061486E-7</v>
      </c>
    </row>
    <row r="1029" spans="15:25" ht="17.100000000000001" customHeight="1">
      <c r="O1029" s="12">
        <f t="shared" si="48"/>
        <v>84.666666666666671</v>
      </c>
      <c r="P1029" s="13">
        <v>1016</v>
      </c>
      <c r="Q1029" s="22"/>
      <c r="R1029" s="19"/>
      <c r="S1029" s="22"/>
      <c r="T1029" s="19"/>
      <c r="U1029" s="24">
        <v>4.5954999630998916E-2</v>
      </c>
      <c r="V1029" s="24">
        <f t="shared" si="49"/>
        <v>4.3004725679574474E-2</v>
      </c>
      <c r="W1029" s="106">
        <v>4.3004730000000002</v>
      </c>
      <c r="X1029" s="106">
        <v>4.3005000000000002E-2</v>
      </c>
      <c r="Y1029" s="34">
        <f t="shared" si="47"/>
        <v>2.7432042552788527E-7</v>
      </c>
    </row>
    <row r="1030" spans="15:25" ht="17.100000000000001" customHeight="1">
      <c r="O1030" s="12">
        <f t="shared" si="48"/>
        <v>84.75</v>
      </c>
      <c r="P1030" s="13">
        <v>1017</v>
      </c>
      <c r="Q1030" s="22"/>
      <c r="R1030" s="19"/>
      <c r="S1030" s="22"/>
      <c r="T1030" s="19"/>
      <c r="U1030" s="24">
        <v>4.5952094578358027E-2</v>
      </c>
      <c r="V1030" s="24">
        <f t="shared" si="49"/>
        <v>4.3004677273818182E-2</v>
      </c>
      <c r="W1030" s="106">
        <v>4.3004680000000004</v>
      </c>
      <c r="X1030" s="106">
        <v>4.3005000000000002E-2</v>
      </c>
      <c r="Y1030" s="34">
        <f t="shared" si="47"/>
        <v>3.2272618182005441E-7</v>
      </c>
    </row>
    <row r="1031" spans="15:25" ht="17.100000000000001" customHeight="1">
      <c r="O1031" s="12">
        <f t="shared" si="48"/>
        <v>84.833333333333329</v>
      </c>
      <c r="P1031" s="13">
        <v>1018</v>
      </c>
      <c r="Q1031" s="22"/>
      <c r="R1031" s="19"/>
      <c r="S1031" s="22"/>
      <c r="T1031" s="19"/>
      <c r="U1031" s="24">
        <v>4.594919519345031E-2</v>
      </c>
      <c r="V1031" s="24">
        <f t="shared" si="49"/>
        <v>4.3004629363606606E-2</v>
      </c>
      <c r="W1031" s="106">
        <v>4.3004629999999997</v>
      </c>
      <c r="X1031" s="106">
        <v>4.3005000000000002E-2</v>
      </c>
      <c r="Y1031" s="34">
        <f t="shared" si="47"/>
        <v>3.7063639339585119E-7</v>
      </c>
    </row>
    <row r="1032" spans="15:25" ht="17.100000000000001" customHeight="1">
      <c r="O1032" s="12">
        <f t="shared" si="48"/>
        <v>84.916666666666671</v>
      </c>
      <c r="P1032" s="13">
        <v>1019</v>
      </c>
      <c r="Q1032" s="22"/>
      <c r="R1032" s="19"/>
      <c r="S1032" s="22"/>
      <c r="T1032" s="19"/>
      <c r="U1032" s="24">
        <v>4.5946301460054073E-2</v>
      </c>
      <c r="V1032" s="24">
        <f t="shared" si="49"/>
        <v>4.3004581944500186E-2</v>
      </c>
      <c r="W1032" s="106">
        <v>4.3004579999999999</v>
      </c>
      <c r="X1032" s="106">
        <v>4.3005000000000002E-2</v>
      </c>
      <c r="Y1032" s="34">
        <f t="shared" si="47"/>
        <v>4.1805549981510648E-7</v>
      </c>
    </row>
    <row r="1033" spans="15:25" ht="17.100000000000001" customHeight="1">
      <c r="O1033" s="12">
        <f t="shared" si="48"/>
        <v>85</v>
      </c>
      <c r="P1033" s="13">
        <v>1020</v>
      </c>
      <c r="Q1033" s="22"/>
      <c r="R1033" s="19"/>
      <c r="S1033" s="22"/>
      <c r="T1033" s="19"/>
      <c r="U1033" s="24">
        <v>4.5943413362006913E-2</v>
      </c>
      <c r="V1033" s="24">
        <f t="shared" si="49"/>
        <v>4.3004535011289979E-2</v>
      </c>
      <c r="W1033" s="106">
        <v>4.3004540000000002</v>
      </c>
      <c r="X1033" s="106">
        <v>4.3005000000000002E-2</v>
      </c>
      <c r="Y1033" s="34">
        <f t="shared" si="47"/>
        <v>4.6498871002220721E-7</v>
      </c>
    </row>
    <row r="1034" spans="15:25" ht="17.100000000000001" customHeight="1">
      <c r="O1034" s="12">
        <f t="shared" si="48"/>
        <v>85.083333333333329</v>
      </c>
      <c r="P1034" s="13">
        <v>1021</v>
      </c>
      <c r="Q1034" s="22"/>
      <c r="R1034" s="19"/>
      <c r="S1034" s="22"/>
      <c r="T1034" s="19"/>
      <c r="U1034" s="24">
        <v>4.59405308832046E-2</v>
      </c>
      <c r="V1034" s="24">
        <f t="shared" si="49"/>
        <v>4.300448855797212E-2</v>
      </c>
      <c r="W1034" s="106">
        <v>4.3004490000000004</v>
      </c>
      <c r="X1034" s="106">
        <v>4.3004000000000001E-2</v>
      </c>
      <c r="Y1034" s="34">
        <f t="shared" si="47"/>
        <v>-4.8855797211977414E-7</v>
      </c>
    </row>
    <row r="1035" spans="15:25" ht="17.100000000000001" customHeight="1">
      <c r="O1035" s="12">
        <f t="shared" si="48"/>
        <v>85.166666666666671</v>
      </c>
      <c r="P1035" s="13">
        <v>1022</v>
      </c>
      <c r="Q1035" s="22"/>
      <c r="R1035" s="19"/>
      <c r="S1035" s="22"/>
      <c r="T1035" s="19"/>
      <c r="U1035" s="24">
        <v>4.5937654007600415E-2</v>
      </c>
      <c r="V1035" s="24">
        <f t="shared" si="49"/>
        <v>4.300444258129632E-2</v>
      </c>
      <c r="W1035" s="106">
        <v>4.3004439999999997</v>
      </c>
      <c r="X1035" s="106">
        <v>4.3004000000000001E-2</v>
      </c>
      <c r="Y1035" s="34">
        <f t="shared" si="47"/>
        <v>-4.425812963199105E-7</v>
      </c>
    </row>
    <row r="1036" spans="15:25" ht="17.100000000000001" customHeight="1">
      <c r="O1036" s="12">
        <f t="shared" si="48"/>
        <v>85.25</v>
      </c>
      <c r="P1036" s="13">
        <v>1023</v>
      </c>
      <c r="Q1036" s="22"/>
      <c r="R1036" s="19"/>
      <c r="S1036" s="22"/>
      <c r="T1036" s="19"/>
      <c r="U1036" s="24">
        <v>4.5934782719206702E-2</v>
      </c>
      <c r="V1036" s="24">
        <f t="shared" si="49"/>
        <v>4.3004397075035117E-2</v>
      </c>
      <c r="W1036" s="106">
        <v>4.30044</v>
      </c>
      <c r="X1036" s="106">
        <v>4.3004000000000001E-2</v>
      </c>
      <c r="Y1036" s="34">
        <f t="shared" si="47"/>
        <v>-3.9707503511621223E-7</v>
      </c>
    </row>
    <row r="1037" spans="15:25" ht="17.100000000000001" customHeight="1">
      <c r="O1037" s="12">
        <f t="shared" si="48"/>
        <v>85.333333333333329</v>
      </c>
      <c r="P1037" s="13">
        <v>1024</v>
      </c>
      <c r="Q1037" s="22"/>
      <c r="R1037" s="19"/>
      <c r="S1037" s="22"/>
      <c r="T1037" s="19"/>
      <c r="U1037" s="24">
        <v>4.593191700209287E-2</v>
      </c>
      <c r="V1037" s="24">
        <f t="shared" si="49"/>
        <v>4.300435203527031E-2</v>
      </c>
      <c r="W1037" s="106">
        <v>4.3004350000000002</v>
      </c>
      <c r="X1037" s="106">
        <v>4.3004000000000001E-2</v>
      </c>
      <c r="Y1037" s="34">
        <f t="shared" ref="Y1037:Y1100" si="50">X1037-V1037</f>
        <v>-3.5203527030958082E-7</v>
      </c>
    </row>
    <row r="1038" spans="15:25" ht="17.100000000000001" customHeight="1">
      <c r="O1038" s="12">
        <f t="shared" ref="O1038:O1101" si="51">P1038/12</f>
        <v>85.416666666666671</v>
      </c>
      <c r="P1038" s="13">
        <v>1025</v>
      </c>
      <c r="Q1038" s="22"/>
      <c r="R1038" s="19"/>
      <c r="S1038" s="22"/>
      <c r="T1038" s="19"/>
      <c r="U1038" s="24">
        <v>4.5929056840386506E-2</v>
      </c>
      <c r="V1038" s="24">
        <f t="shared" ref="V1038:V1101" si="52">(1+U1039)^P1039/(1+U1038)^P1038-1</f>
        <v>4.3004307456434132E-2</v>
      </c>
      <c r="W1038" s="106">
        <v>4.3004309999999997</v>
      </c>
      <c r="X1038" s="106">
        <v>4.3004000000000001E-2</v>
      </c>
      <c r="Y1038" s="34">
        <f t="shared" si="50"/>
        <v>-3.0745643413154777E-7</v>
      </c>
    </row>
    <row r="1039" spans="15:25" ht="17.100000000000001" customHeight="1">
      <c r="O1039" s="12">
        <f t="shared" si="51"/>
        <v>85.5</v>
      </c>
      <c r="P1039" s="13">
        <v>1026</v>
      </c>
      <c r="Q1039" s="22"/>
      <c r="R1039" s="19"/>
      <c r="S1039" s="22"/>
      <c r="T1039" s="19"/>
      <c r="U1039" s="24">
        <v>4.5926202218271595E-2</v>
      </c>
      <c r="V1039" s="24">
        <f t="shared" si="52"/>
        <v>4.3004263334543102E-2</v>
      </c>
      <c r="W1039" s="106">
        <v>4.3004259999999999</v>
      </c>
      <c r="X1039" s="106">
        <v>4.3004000000000001E-2</v>
      </c>
      <c r="Y1039" s="34">
        <f t="shared" si="50"/>
        <v>-2.6333454310190074E-7</v>
      </c>
    </row>
    <row r="1040" spans="15:25" ht="17.100000000000001" customHeight="1">
      <c r="O1040" s="12">
        <f t="shared" si="51"/>
        <v>85.583333333333329</v>
      </c>
      <c r="P1040" s="13">
        <v>1027</v>
      </c>
      <c r="Q1040" s="22"/>
      <c r="R1040" s="19"/>
      <c r="S1040" s="22"/>
      <c r="T1040" s="19"/>
      <c r="U1040" s="24">
        <v>4.5923353119990074E-2</v>
      </c>
      <c r="V1040" s="24">
        <f t="shared" si="52"/>
        <v>4.3004219664493304E-2</v>
      </c>
      <c r="W1040" s="106">
        <v>4.3004220000000002</v>
      </c>
      <c r="X1040" s="106">
        <v>4.3004000000000001E-2</v>
      </c>
      <c r="Y1040" s="34">
        <f t="shared" si="50"/>
        <v>-2.1966449330335092E-7</v>
      </c>
    </row>
    <row r="1041" spans="15:25" ht="17.100000000000001" customHeight="1">
      <c r="O1041" s="12">
        <f t="shared" si="51"/>
        <v>85.666666666666671</v>
      </c>
      <c r="P1041" s="13">
        <v>1028</v>
      </c>
      <c r="Q1041" s="22"/>
      <c r="R1041" s="19"/>
      <c r="S1041" s="22"/>
      <c r="T1041" s="19"/>
      <c r="U1041" s="24">
        <v>4.5920509529840281E-2</v>
      </c>
      <c r="V1041" s="24">
        <f t="shared" si="52"/>
        <v>4.3004176441520769E-2</v>
      </c>
      <c r="W1041" s="106">
        <v>4.3004179999999996</v>
      </c>
      <c r="X1041" s="106">
        <v>4.3004000000000001E-2</v>
      </c>
      <c r="Y1041" s="34">
        <f t="shared" si="50"/>
        <v>-1.7644152076889963E-7</v>
      </c>
    </row>
    <row r="1042" spans="15:25" ht="17.100000000000001" customHeight="1">
      <c r="O1042" s="12">
        <f t="shared" si="51"/>
        <v>85.75</v>
      </c>
      <c r="P1042" s="13">
        <v>1029</v>
      </c>
      <c r="Q1042" s="22"/>
      <c r="R1042" s="19"/>
      <c r="S1042" s="22"/>
      <c r="T1042" s="19"/>
      <c r="U1042" s="24">
        <v>4.5917671432176954E-2</v>
      </c>
      <c r="V1042" s="24">
        <f t="shared" si="52"/>
        <v>4.3004133661751487E-2</v>
      </c>
      <c r="W1042" s="106">
        <v>4.3004129999999998</v>
      </c>
      <c r="X1042" s="106">
        <v>4.3004000000000001E-2</v>
      </c>
      <c r="Y1042" s="34">
        <f t="shared" si="50"/>
        <v>-1.3366175148632475E-7</v>
      </c>
    </row>
    <row r="1043" spans="15:25" ht="17.100000000000001" customHeight="1">
      <c r="O1043" s="12">
        <f t="shared" si="51"/>
        <v>85.833333333333329</v>
      </c>
      <c r="P1043" s="13">
        <v>1030</v>
      </c>
      <c r="Q1043" s="22"/>
      <c r="R1043" s="19"/>
      <c r="S1043" s="22"/>
      <c r="T1043" s="19"/>
      <c r="U1043" s="24">
        <v>4.5914838811411895E-2</v>
      </c>
      <c r="V1043" s="24">
        <f t="shared" si="52"/>
        <v>4.3004091319597704E-2</v>
      </c>
      <c r="W1043" s="106">
        <v>4.3004090000000001</v>
      </c>
      <c r="X1043" s="106">
        <v>4.3004000000000001E-2</v>
      </c>
      <c r="Y1043" s="34">
        <f t="shared" si="50"/>
        <v>-9.1319597703143351E-8</v>
      </c>
    </row>
    <row r="1044" spans="15:25" ht="17.100000000000001" customHeight="1">
      <c r="O1044" s="12">
        <f t="shared" si="51"/>
        <v>85.916666666666671</v>
      </c>
      <c r="P1044" s="13">
        <v>1031</v>
      </c>
      <c r="Q1044" s="22"/>
      <c r="R1044" s="19"/>
      <c r="S1044" s="22"/>
      <c r="T1044" s="19"/>
      <c r="U1044" s="24">
        <v>4.5912011652012197E-2</v>
      </c>
      <c r="V1044" s="24">
        <f t="shared" si="52"/>
        <v>4.3004049411408118E-2</v>
      </c>
      <c r="W1044" s="106">
        <v>4.3004049999999996</v>
      </c>
      <c r="X1044" s="106">
        <v>4.3004000000000001E-2</v>
      </c>
      <c r="Y1044" s="34">
        <f t="shared" si="50"/>
        <v>-4.9411408117872035E-8</v>
      </c>
    </row>
    <row r="1045" spans="15:25" ht="17.100000000000001" customHeight="1">
      <c r="O1045" s="12">
        <f t="shared" si="51"/>
        <v>86</v>
      </c>
      <c r="P1045" s="13">
        <v>1032</v>
      </c>
      <c r="Q1045" s="22"/>
      <c r="R1045" s="19"/>
      <c r="S1045" s="22"/>
      <c r="T1045" s="19"/>
      <c r="U1045" s="24">
        <v>4.5909189938501571E-2</v>
      </c>
      <c r="V1045" s="24">
        <f t="shared" si="52"/>
        <v>4.3004007932931909E-2</v>
      </c>
      <c r="W1045" s="106">
        <v>4.3004009999999999</v>
      </c>
      <c r="X1045" s="106">
        <v>4.3004000000000001E-2</v>
      </c>
      <c r="Y1045" s="34">
        <f t="shared" si="50"/>
        <v>-7.9329319085941208E-9</v>
      </c>
    </row>
    <row r="1046" spans="15:25" ht="17.100000000000001" customHeight="1">
      <c r="O1046" s="12">
        <f t="shared" si="51"/>
        <v>86.083333333333329</v>
      </c>
      <c r="P1046" s="13">
        <v>1033</v>
      </c>
      <c r="Q1046" s="22"/>
      <c r="R1046" s="19"/>
      <c r="S1046" s="22"/>
      <c r="T1046" s="19"/>
      <c r="U1046" s="24">
        <v>4.5906373655459465E-2</v>
      </c>
      <c r="V1046" s="24">
        <f t="shared" si="52"/>
        <v>4.3003966878638833E-2</v>
      </c>
      <c r="W1046" s="106">
        <v>4.3003970000000002</v>
      </c>
      <c r="X1046" s="106">
        <v>4.3004000000000001E-2</v>
      </c>
      <c r="Y1046" s="34">
        <f t="shared" si="50"/>
        <v>3.3121361167620655E-8</v>
      </c>
    </row>
    <row r="1047" spans="15:25" ht="17.100000000000001" customHeight="1">
      <c r="O1047" s="12">
        <f t="shared" si="51"/>
        <v>86.166666666666671</v>
      </c>
      <c r="P1047" s="13">
        <v>1034</v>
      </c>
      <c r="Q1047" s="22"/>
      <c r="R1047" s="19"/>
      <c r="S1047" s="22"/>
      <c r="T1047" s="19"/>
      <c r="U1047" s="24">
        <v>4.5903562787519947E-2</v>
      </c>
      <c r="V1047" s="24">
        <f t="shared" si="52"/>
        <v>4.3003926245218649E-2</v>
      </c>
      <c r="W1047" s="106">
        <v>4.3003929999999997</v>
      </c>
      <c r="X1047" s="106">
        <v>4.3004000000000001E-2</v>
      </c>
      <c r="Y1047" s="34">
        <f t="shared" si="50"/>
        <v>7.3754781351742515E-8</v>
      </c>
    </row>
    <row r="1048" spans="15:25" ht="17.100000000000001" customHeight="1">
      <c r="O1048" s="12">
        <f t="shared" si="51"/>
        <v>86.25</v>
      </c>
      <c r="P1048" s="13">
        <v>1035</v>
      </c>
      <c r="Q1048" s="22"/>
      <c r="R1048" s="19"/>
      <c r="S1048" s="22"/>
      <c r="T1048" s="19"/>
      <c r="U1048" s="24">
        <v>4.5900757319373264E-2</v>
      </c>
      <c r="V1048" s="24">
        <f t="shared" si="52"/>
        <v>4.3003886027941807E-2</v>
      </c>
      <c r="W1048" s="106">
        <v>4.300389</v>
      </c>
      <c r="X1048" s="106">
        <v>4.3004000000000001E-2</v>
      </c>
      <c r="Y1048" s="34">
        <f t="shared" si="50"/>
        <v>1.1397205819385636E-7</v>
      </c>
    </row>
    <row r="1049" spans="15:25" ht="17.100000000000001" customHeight="1">
      <c r="O1049" s="12">
        <f t="shared" si="51"/>
        <v>86.333333333333329</v>
      </c>
      <c r="P1049" s="13">
        <v>1036</v>
      </c>
      <c r="Q1049" s="22"/>
      <c r="R1049" s="19"/>
      <c r="S1049" s="22"/>
      <c r="T1049" s="19"/>
      <c r="U1049" s="24">
        <v>4.5897957235764064E-2</v>
      </c>
      <c r="V1049" s="24">
        <f t="shared" si="52"/>
        <v>4.3003846222499753E-2</v>
      </c>
      <c r="W1049" s="106">
        <v>4.3003850000000003</v>
      </c>
      <c r="X1049" s="106">
        <v>4.3004000000000001E-2</v>
      </c>
      <c r="Y1049" s="34">
        <f t="shared" si="50"/>
        <v>1.5377750024747616E-7</v>
      </c>
    </row>
    <row r="1050" spans="15:25" ht="17.100000000000001" customHeight="1">
      <c r="O1050" s="12">
        <f t="shared" si="51"/>
        <v>86.416666666666671</v>
      </c>
      <c r="P1050" s="13">
        <v>1037</v>
      </c>
      <c r="Q1050" s="22"/>
      <c r="R1050" s="19"/>
      <c r="S1050" s="22"/>
      <c r="T1050" s="19"/>
      <c r="U1050" s="24">
        <v>4.5895162521492283E-2</v>
      </c>
      <c r="V1050" s="24">
        <f t="shared" si="52"/>
        <v>4.3003806824666091E-2</v>
      </c>
      <c r="W1050" s="106">
        <v>4.3003809999999998</v>
      </c>
      <c r="X1050" s="106">
        <v>4.3004000000000001E-2</v>
      </c>
      <c r="Y1050" s="34">
        <f t="shared" si="50"/>
        <v>1.9317533390961206E-7</v>
      </c>
    </row>
    <row r="1051" spans="15:25" ht="17.100000000000001" customHeight="1">
      <c r="O1051" s="12">
        <f t="shared" si="51"/>
        <v>86.5</v>
      </c>
      <c r="P1051" s="13">
        <v>1038</v>
      </c>
      <c r="Q1051" s="22"/>
      <c r="R1051" s="19"/>
      <c r="S1051" s="22"/>
      <c r="T1051" s="19"/>
      <c r="U1051" s="24">
        <v>4.5892373161411815E-2</v>
      </c>
      <c r="V1051" s="24">
        <f t="shared" si="52"/>
        <v>4.3003767830896322E-2</v>
      </c>
      <c r="W1051" s="106">
        <v>4.3003770000000001</v>
      </c>
      <c r="X1051" s="106">
        <v>4.3004000000000001E-2</v>
      </c>
      <c r="Y1051" s="34">
        <f t="shared" si="50"/>
        <v>2.3216910367829247E-7</v>
      </c>
    </row>
    <row r="1052" spans="15:25" ht="17.100000000000001" customHeight="1">
      <c r="O1052" s="12">
        <f t="shared" si="51"/>
        <v>86.583333333333329</v>
      </c>
      <c r="P1052" s="13">
        <v>1039</v>
      </c>
      <c r="Q1052" s="22"/>
      <c r="R1052" s="19"/>
      <c r="S1052" s="22"/>
      <c r="T1052" s="19"/>
      <c r="U1052" s="24">
        <v>4.5889589140431841E-2</v>
      </c>
      <c r="V1052" s="24">
        <f t="shared" si="52"/>
        <v>4.3003729236200439E-2</v>
      </c>
      <c r="W1052" s="106">
        <v>4.3003729999999996</v>
      </c>
      <c r="X1052" s="106">
        <v>4.3004000000000001E-2</v>
      </c>
      <c r="Y1052" s="34">
        <f t="shared" si="50"/>
        <v>2.7076379956192387E-7</v>
      </c>
    </row>
    <row r="1053" spans="15:25" ht="17.100000000000001" customHeight="1">
      <c r="O1053" s="12">
        <f t="shared" si="51"/>
        <v>86.666666666666671</v>
      </c>
      <c r="P1053" s="13">
        <v>1040</v>
      </c>
      <c r="Q1053" s="22"/>
      <c r="R1053" s="19"/>
      <c r="S1053" s="22"/>
      <c r="T1053" s="19"/>
      <c r="U1053" s="24">
        <v>4.5886810443514836E-2</v>
      </c>
      <c r="V1053" s="24">
        <f t="shared" si="52"/>
        <v>4.300369103657764E-2</v>
      </c>
      <c r="W1053" s="106">
        <v>4.3003689999999999</v>
      </c>
      <c r="X1053" s="106">
        <v>4.3004000000000001E-2</v>
      </c>
      <c r="Y1053" s="34">
        <f t="shared" si="50"/>
        <v>3.089634223601978E-7</v>
      </c>
    </row>
    <row r="1054" spans="15:25" ht="17.100000000000001" customHeight="1">
      <c r="O1054" s="12">
        <f t="shared" si="51"/>
        <v>86.75</v>
      </c>
      <c r="P1054" s="13">
        <v>1041</v>
      </c>
      <c r="Q1054" s="22"/>
      <c r="R1054" s="19"/>
      <c r="S1054" s="22"/>
      <c r="T1054" s="19"/>
      <c r="U1054" s="24">
        <v>4.5884037055677229E-2</v>
      </c>
      <c r="V1054" s="24">
        <f t="shared" si="52"/>
        <v>4.300365322876587E-2</v>
      </c>
      <c r="W1054" s="106">
        <v>4.3003650000000002</v>
      </c>
      <c r="X1054" s="106">
        <v>4.3004000000000001E-2</v>
      </c>
      <c r="Y1054" s="34">
        <f t="shared" si="50"/>
        <v>3.4677123413040523E-7</v>
      </c>
    </row>
    <row r="1055" spans="15:25" ht="17.100000000000001" customHeight="1">
      <c r="O1055" s="12">
        <f t="shared" si="51"/>
        <v>86.833333333333329</v>
      </c>
      <c r="P1055" s="13">
        <v>1042</v>
      </c>
      <c r="Q1055" s="22"/>
      <c r="R1055" s="19"/>
      <c r="S1055" s="22"/>
      <c r="T1055" s="19"/>
      <c r="U1055" s="24">
        <v>4.5881268961989852E-2</v>
      </c>
      <c r="V1055" s="24">
        <f t="shared" si="52"/>
        <v>4.3003615807684747E-2</v>
      </c>
      <c r="W1055" s="106">
        <v>4.3003619999999998</v>
      </c>
      <c r="X1055" s="106">
        <v>4.3004000000000001E-2</v>
      </c>
      <c r="Y1055" s="34">
        <f t="shared" si="50"/>
        <v>3.8419231525310682E-7</v>
      </c>
    </row>
    <row r="1056" spans="15:25" ht="17.100000000000001" customHeight="1">
      <c r="O1056" s="12">
        <f t="shared" si="51"/>
        <v>86.916666666666671</v>
      </c>
      <c r="P1056" s="13">
        <v>1043</v>
      </c>
      <c r="Q1056" s="22"/>
      <c r="R1056" s="19"/>
      <c r="S1056" s="22"/>
      <c r="T1056" s="19"/>
      <c r="U1056" s="24">
        <v>4.5878506147576159E-2</v>
      </c>
      <c r="V1056" s="24">
        <f t="shared" si="52"/>
        <v>4.3003578770425044E-2</v>
      </c>
      <c r="W1056" s="106">
        <v>4.3003580000000001</v>
      </c>
      <c r="X1056" s="106">
        <v>4.3004000000000001E-2</v>
      </c>
      <c r="Y1056" s="34">
        <f t="shared" si="50"/>
        <v>4.2122957495671631E-7</v>
      </c>
    </row>
    <row r="1057" spans="15:25" ht="17.100000000000001" customHeight="1">
      <c r="O1057" s="12">
        <f t="shared" si="51"/>
        <v>87</v>
      </c>
      <c r="P1057" s="13">
        <v>1044</v>
      </c>
      <c r="Q1057" s="22"/>
      <c r="R1057" s="19"/>
      <c r="S1057" s="22"/>
      <c r="T1057" s="19"/>
      <c r="U1057" s="24">
        <v>4.5875748597613786E-2</v>
      </c>
      <c r="V1057" s="24">
        <f t="shared" si="52"/>
        <v>4.3003542112096005E-2</v>
      </c>
      <c r="W1057" s="106">
        <v>4.3003539999999996</v>
      </c>
      <c r="X1057" s="106">
        <v>4.3004000000000001E-2</v>
      </c>
      <c r="Y1057" s="34">
        <f t="shared" si="50"/>
        <v>4.5788790399570178E-7</v>
      </c>
    </row>
    <row r="1058" spans="15:25" ht="17.100000000000001" customHeight="1">
      <c r="O1058" s="12">
        <f t="shared" si="51"/>
        <v>87.083333333333329</v>
      </c>
      <c r="P1058" s="13">
        <v>1045</v>
      </c>
      <c r="Q1058" s="22"/>
      <c r="R1058" s="19"/>
      <c r="S1058" s="22"/>
      <c r="T1058" s="19"/>
      <c r="U1058" s="24">
        <v>4.5872996297332325E-2</v>
      </c>
      <c r="V1058" s="24">
        <f t="shared" si="52"/>
        <v>4.3003505829335431E-2</v>
      </c>
      <c r="W1058" s="106">
        <v>4.300351</v>
      </c>
      <c r="X1058" s="106">
        <v>4.3004000000000001E-2</v>
      </c>
      <c r="Y1058" s="34">
        <f t="shared" si="50"/>
        <v>4.9417066456947101E-7</v>
      </c>
    </row>
    <row r="1059" spans="15:25" ht="17.100000000000001" customHeight="1">
      <c r="O1059" s="12">
        <f t="shared" si="51"/>
        <v>87.166666666666671</v>
      </c>
      <c r="P1059" s="13">
        <v>1046</v>
      </c>
      <c r="Q1059" s="22"/>
      <c r="R1059" s="19"/>
      <c r="S1059" s="22"/>
      <c r="T1059" s="19"/>
      <c r="U1059" s="24">
        <v>4.5870249232014881E-2</v>
      </c>
      <c r="V1059" s="24">
        <f t="shared" si="52"/>
        <v>4.300346991841808E-2</v>
      </c>
      <c r="W1059" s="106">
        <v>4.3003470000000004</v>
      </c>
      <c r="X1059" s="106">
        <v>4.3003E-2</v>
      </c>
      <c r="Y1059" s="34">
        <f t="shared" si="50"/>
        <v>-4.6991841808063928E-7</v>
      </c>
    </row>
    <row r="1060" spans="15:25" ht="17.100000000000001" customHeight="1">
      <c r="O1060" s="12">
        <f t="shared" si="51"/>
        <v>87.25</v>
      </c>
      <c r="P1060" s="13">
        <v>1047</v>
      </c>
      <c r="Q1060" s="22"/>
      <c r="R1060" s="19"/>
      <c r="S1060" s="22"/>
      <c r="T1060" s="19"/>
      <c r="U1060" s="24">
        <v>4.5867507386997408E-2</v>
      </c>
      <c r="V1060" s="24">
        <f t="shared" si="52"/>
        <v>4.3003434375245231E-2</v>
      </c>
      <c r="W1060" s="106">
        <v>4.3003429999999998</v>
      </c>
      <c r="X1060" s="106">
        <v>4.3003E-2</v>
      </c>
      <c r="Y1060" s="34">
        <f t="shared" si="50"/>
        <v>-4.3437524523126658E-7</v>
      </c>
    </row>
    <row r="1061" spans="15:25" ht="17.100000000000001" customHeight="1">
      <c r="O1061" s="12">
        <f t="shared" si="51"/>
        <v>87.333333333333329</v>
      </c>
      <c r="P1061" s="13">
        <v>1048</v>
      </c>
      <c r="Q1061" s="22"/>
      <c r="R1061" s="19"/>
      <c r="S1061" s="22"/>
      <c r="T1061" s="19"/>
      <c r="U1061" s="24">
        <v>4.5864770747667816E-2</v>
      </c>
      <c r="V1061" s="24">
        <f t="shared" si="52"/>
        <v>4.3003399196242409E-2</v>
      </c>
      <c r="W1061" s="106">
        <v>4.3003400000000003</v>
      </c>
      <c r="X1061" s="106">
        <v>4.3003E-2</v>
      </c>
      <c r="Y1061" s="34">
        <f t="shared" si="50"/>
        <v>-3.9919624240936091E-7</v>
      </c>
    </row>
    <row r="1062" spans="15:25" ht="17.100000000000001" customHeight="1">
      <c r="O1062" s="12">
        <f t="shared" si="51"/>
        <v>87.416666666666671</v>
      </c>
      <c r="P1062" s="13">
        <v>1049</v>
      </c>
      <c r="Q1062" s="22"/>
      <c r="R1062" s="19"/>
      <c r="S1062" s="22"/>
      <c r="T1062" s="19"/>
      <c r="U1062" s="24">
        <v>4.5862039299466195E-2</v>
      </c>
      <c r="V1062" s="24">
        <f t="shared" si="52"/>
        <v>4.3003364377339093E-2</v>
      </c>
      <c r="W1062" s="106">
        <v>4.3003359999999997</v>
      </c>
      <c r="X1062" s="106">
        <v>4.3003E-2</v>
      </c>
      <c r="Y1062" s="34">
        <f t="shared" si="50"/>
        <v>-3.6437733909322478E-7</v>
      </c>
    </row>
    <row r="1063" spans="15:25" ht="17.100000000000001" customHeight="1">
      <c r="O1063" s="12">
        <f t="shared" si="51"/>
        <v>87.5</v>
      </c>
      <c r="P1063" s="13">
        <v>1050</v>
      </c>
      <c r="Q1063" s="22"/>
      <c r="R1063" s="19"/>
      <c r="S1063" s="22"/>
      <c r="T1063" s="19"/>
      <c r="U1063" s="24">
        <v>4.5859313027884818E-2</v>
      </c>
      <c r="V1063" s="24">
        <f t="shared" si="52"/>
        <v>4.3003329915487498E-2</v>
      </c>
      <c r="W1063" s="106">
        <v>4.3003330000000002</v>
      </c>
      <c r="X1063" s="106">
        <v>4.3003E-2</v>
      </c>
      <c r="Y1063" s="34">
        <f t="shared" si="50"/>
        <v>-3.2991548749861099E-7</v>
      </c>
    </row>
    <row r="1064" spans="15:25" ht="17.100000000000001" customHeight="1">
      <c r="O1064" s="12">
        <f t="shared" si="51"/>
        <v>87.583333333333329</v>
      </c>
      <c r="P1064" s="13">
        <v>1051</v>
      </c>
      <c r="Q1064" s="22"/>
      <c r="R1064" s="19"/>
      <c r="S1064" s="22"/>
      <c r="T1064" s="19"/>
      <c r="U1064" s="24">
        <v>4.5856591918467693E-2</v>
      </c>
      <c r="V1064" s="24">
        <f t="shared" si="52"/>
        <v>4.3003295806201214E-2</v>
      </c>
      <c r="W1064" s="106">
        <v>4.3003299999999998</v>
      </c>
      <c r="X1064" s="106">
        <v>4.3003E-2</v>
      </c>
      <c r="Y1064" s="34">
        <f t="shared" si="50"/>
        <v>-2.9580620121427703E-7</v>
      </c>
    </row>
    <row r="1065" spans="15:25" ht="17.100000000000001" customHeight="1">
      <c r="O1065" s="12">
        <f t="shared" si="51"/>
        <v>87.666666666666671</v>
      </c>
      <c r="P1065" s="13">
        <v>1052</v>
      </c>
      <c r="Q1065" s="22"/>
      <c r="R1065" s="19"/>
      <c r="S1065" s="22"/>
      <c r="T1065" s="19"/>
      <c r="U1065" s="24">
        <v>4.585387595681012E-2</v>
      </c>
      <c r="V1065" s="24">
        <f t="shared" si="52"/>
        <v>4.3003262046278135E-2</v>
      </c>
      <c r="W1065" s="106">
        <v>4.3003260000000001</v>
      </c>
      <c r="X1065" s="106">
        <v>4.3003E-2</v>
      </c>
      <c r="Y1065" s="34">
        <f t="shared" si="50"/>
        <v>-2.6204627813497527E-7</v>
      </c>
    </row>
    <row r="1066" spans="15:25" ht="17.100000000000001" customHeight="1">
      <c r="O1066" s="12">
        <f t="shared" si="51"/>
        <v>87.75</v>
      </c>
      <c r="P1066" s="13">
        <v>1053</v>
      </c>
      <c r="Q1066" s="22"/>
      <c r="R1066" s="19"/>
      <c r="S1066" s="22"/>
      <c r="T1066" s="19"/>
      <c r="U1066" s="24">
        <v>4.5851165128558913E-2</v>
      </c>
      <c r="V1066" s="24">
        <f t="shared" si="52"/>
        <v>4.3003228632438439E-2</v>
      </c>
      <c r="W1066" s="106">
        <v>4.3003229999999997</v>
      </c>
      <c r="X1066" s="106">
        <v>4.3003E-2</v>
      </c>
      <c r="Y1066" s="34">
        <f t="shared" si="50"/>
        <v>-2.2863243843984637E-7</v>
      </c>
    </row>
    <row r="1067" spans="15:25" ht="17.100000000000001" customHeight="1">
      <c r="O1067" s="12">
        <f t="shared" si="51"/>
        <v>87.833333333333329</v>
      </c>
      <c r="P1067" s="13">
        <v>1054</v>
      </c>
      <c r="Q1067" s="22"/>
      <c r="R1067" s="19"/>
      <c r="S1067" s="22"/>
      <c r="T1067" s="19"/>
      <c r="U1067" s="24">
        <v>4.5848459419412402E-2</v>
      </c>
      <c r="V1067" s="24">
        <f t="shared" si="52"/>
        <v>4.3003195560822327E-2</v>
      </c>
      <c r="W1067" s="106">
        <v>4.3003200000000001</v>
      </c>
      <c r="X1067" s="106">
        <v>4.3003E-2</v>
      </c>
      <c r="Y1067" s="34">
        <f t="shared" si="50"/>
        <v>-1.9556082232752292E-7</v>
      </c>
    </row>
    <row r="1068" spans="15:25" ht="17.100000000000001" customHeight="1">
      <c r="O1068" s="12">
        <f t="shared" si="51"/>
        <v>87.916666666666671</v>
      </c>
      <c r="P1068" s="13">
        <v>1055</v>
      </c>
      <c r="Q1068" s="22"/>
      <c r="R1068" s="19"/>
      <c r="S1068" s="22"/>
      <c r="T1068" s="19"/>
      <c r="U1068" s="24">
        <v>4.584575881511932E-2</v>
      </c>
      <c r="V1068" s="24">
        <f t="shared" si="52"/>
        <v>4.3003162827783825E-2</v>
      </c>
      <c r="W1068" s="106">
        <v>4.3003159999999996</v>
      </c>
      <c r="X1068" s="106">
        <v>4.3003E-2</v>
      </c>
      <c r="Y1068" s="34">
        <f t="shared" si="50"/>
        <v>-1.6282778382559204E-7</v>
      </c>
    </row>
    <row r="1069" spans="15:25" ht="17.100000000000001" customHeight="1">
      <c r="O1069" s="12">
        <f t="shared" si="51"/>
        <v>88</v>
      </c>
      <c r="P1069" s="13">
        <v>1056</v>
      </c>
      <c r="Q1069" s="22"/>
      <c r="R1069" s="19"/>
      <c r="S1069" s="22"/>
      <c r="T1069" s="19"/>
      <c r="U1069" s="24">
        <v>4.5843063301479248E-2</v>
      </c>
      <c r="V1069" s="24">
        <f t="shared" si="52"/>
        <v>4.3003130429976721E-2</v>
      </c>
      <c r="W1069" s="106">
        <v>4.3003130000000001</v>
      </c>
      <c r="X1069" s="106">
        <v>4.3003E-2</v>
      </c>
      <c r="Y1069" s="34">
        <f t="shared" si="50"/>
        <v>-1.3042997672185752E-7</v>
      </c>
    </row>
    <row r="1070" spans="15:25" ht="17.100000000000001" customHeight="1">
      <c r="O1070" s="12">
        <f t="shared" si="51"/>
        <v>88.083333333333329</v>
      </c>
      <c r="P1070" s="13">
        <v>1057</v>
      </c>
      <c r="Q1070" s="22"/>
      <c r="R1070" s="19"/>
      <c r="S1070" s="22"/>
      <c r="T1070" s="19"/>
      <c r="U1070" s="24">
        <v>4.5840372864342394E-2</v>
      </c>
      <c r="V1070" s="24">
        <f t="shared" si="52"/>
        <v>4.3003098364340353E-2</v>
      </c>
      <c r="W1070" s="106">
        <v>4.3003099999999996</v>
      </c>
      <c r="X1070" s="106">
        <v>4.3003E-2</v>
      </c>
      <c r="Y1070" s="34">
        <f t="shared" si="50"/>
        <v>-9.8364340353485069E-8</v>
      </c>
    </row>
    <row r="1071" spans="15:25" ht="17.100000000000001" customHeight="1">
      <c r="O1071" s="12">
        <f t="shared" si="51"/>
        <v>88.166666666666671</v>
      </c>
      <c r="P1071" s="13">
        <v>1058</v>
      </c>
      <c r="Q1071" s="22"/>
      <c r="R1071" s="19"/>
      <c r="S1071" s="22"/>
      <c r="T1071" s="19"/>
      <c r="U1071" s="24">
        <v>4.5837687489609369E-2</v>
      </c>
      <c r="V1071" s="24">
        <f t="shared" si="52"/>
        <v>4.3003066627000264E-2</v>
      </c>
      <c r="W1071" s="106">
        <v>4.3003070000000001</v>
      </c>
      <c r="X1071" s="106">
        <v>4.3003E-2</v>
      </c>
      <c r="Y1071" s="34">
        <f t="shared" si="50"/>
        <v>-6.662700026416335E-8</v>
      </c>
    </row>
    <row r="1072" spans="15:25" ht="17.100000000000001" customHeight="1">
      <c r="O1072" s="12">
        <f t="shared" si="51"/>
        <v>88.25</v>
      </c>
      <c r="P1072" s="13">
        <v>1059</v>
      </c>
      <c r="Q1072" s="22"/>
      <c r="R1072" s="19"/>
      <c r="S1072" s="22"/>
      <c r="T1072" s="19"/>
      <c r="U1072" s="24">
        <v>4.5835007163230745E-2</v>
      </c>
      <c r="V1072" s="24">
        <f t="shared" si="52"/>
        <v>4.3003035214952856E-2</v>
      </c>
      <c r="W1072" s="106">
        <v>4.3003039999999997</v>
      </c>
      <c r="X1072" s="106">
        <v>4.3003E-2</v>
      </c>
      <c r="Y1072" s="34">
        <f t="shared" si="50"/>
        <v>-3.5214952856521542E-8</v>
      </c>
    </row>
    <row r="1073" spans="15:25" ht="17.100000000000001" customHeight="1">
      <c r="O1073" s="12">
        <f t="shared" si="51"/>
        <v>88.333333333333329</v>
      </c>
      <c r="P1073" s="13">
        <v>1060</v>
      </c>
      <c r="Q1073" s="22"/>
      <c r="R1073" s="19"/>
      <c r="S1073" s="22"/>
      <c r="T1073" s="19"/>
      <c r="U1073" s="24">
        <v>4.5832331871207055E-2</v>
      </c>
      <c r="V1073" s="24">
        <f t="shared" si="52"/>
        <v>4.3003004124112953E-2</v>
      </c>
      <c r="W1073" s="106">
        <v>4.3003</v>
      </c>
      <c r="X1073" s="106">
        <v>4.3003E-2</v>
      </c>
      <c r="Y1073" s="34">
        <f t="shared" si="50"/>
        <v>-4.1241129539182353E-9</v>
      </c>
    </row>
    <row r="1074" spans="15:25" ht="17.100000000000001" customHeight="1">
      <c r="O1074" s="12">
        <f t="shared" si="51"/>
        <v>88.416666666666671</v>
      </c>
      <c r="P1074" s="13">
        <v>1061</v>
      </c>
      <c r="Q1074" s="22"/>
      <c r="R1074" s="19"/>
      <c r="S1074" s="22"/>
      <c r="T1074" s="19"/>
      <c r="U1074" s="24">
        <v>4.5829661599588123E-2</v>
      </c>
      <c r="V1074" s="24">
        <f t="shared" si="52"/>
        <v>4.3002973352231244E-2</v>
      </c>
      <c r="W1074" s="106">
        <v>4.3002969999999996</v>
      </c>
      <c r="X1074" s="106">
        <v>4.3003E-2</v>
      </c>
      <c r="Y1074" s="34">
        <f t="shared" si="50"/>
        <v>2.6647768755494461E-8</v>
      </c>
    </row>
    <row r="1075" spans="15:25" ht="17.100000000000001" customHeight="1">
      <c r="O1075" s="12">
        <f t="shared" si="51"/>
        <v>88.5</v>
      </c>
      <c r="P1075" s="13">
        <v>1062</v>
      </c>
      <c r="Q1075" s="22"/>
      <c r="R1075" s="19"/>
      <c r="S1075" s="22"/>
      <c r="T1075" s="19"/>
      <c r="U1075" s="24">
        <v>4.5826996334474179E-2</v>
      </c>
      <c r="V1075" s="24">
        <f t="shared" si="52"/>
        <v>4.3002942895221441E-2</v>
      </c>
      <c r="W1075" s="106">
        <v>4.3002940000000001</v>
      </c>
      <c r="X1075" s="106">
        <v>4.3003E-2</v>
      </c>
      <c r="Y1075" s="34">
        <f t="shared" si="50"/>
        <v>5.7104778558580982E-8</v>
      </c>
    </row>
    <row r="1076" spans="15:25" ht="17.100000000000001" customHeight="1">
      <c r="O1076" s="12">
        <f t="shared" si="51"/>
        <v>88.583333333333329</v>
      </c>
      <c r="P1076" s="13">
        <v>1063</v>
      </c>
      <c r="Q1076" s="22"/>
      <c r="R1076" s="19"/>
      <c r="S1076" s="22"/>
      <c r="T1076" s="19"/>
      <c r="U1076" s="24">
        <v>4.5824336062013638E-2</v>
      </c>
      <c r="V1076" s="24">
        <f t="shared" si="52"/>
        <v>4.3002912750510713E-2</v>
      </c>
      <c r="W1076" s="106">
        <v>4.3002909999999996</v>
      </c>
      <c r="X1076" s="106">
        <v>4.3003E-2</v>
      </c>
      <c r="Y1076" s="34">
        <f t="shared" si="50"/>
        <v>8.7249489286178594E-8</v>
      </c>
    </row>
    <row r="1077" spans="15:25" ht="17.100000000000001" customHeight="1">
      <c r="O1077" s="12">
        <f t="shared" si="51"/>
        <v>88.666666666666671</v>
      </c>
      <c r="P1077" s="13">
        <v>1064</v>
      </c>
      <c r="Q1077" s="22"/>
      <c r="R1077" s="19"/>
      <c r="S1077" s="22"/>
      <c r="T1077" s="19"/>
      <c r="U1077" s="24">
        <v>4.5821680768405093E-2</v>
      </c>
      <c r="V1077" s="24">
        <f t="shared" si="52"/>
        <v>4.3002882914392249E-2</v>
      </c>
      <c r="W1077" s="106">
        <v>4.3002880000000001</v>
      </c>
      <c r="X1077" s="106">
        <v>4.3003E-2</v>
      </c>
      <c r="Y1077" s="34">
        <f t="shared" si="50"/>
        <v>1.1708560775092192E-7</v>
      </c>
    </row>
    <row r="1078" spans="15:25" ht="17.100000000000001" customHeight="1">
      <c r="O1078" s="12">
        <f t="shared" si="51"/>
        <v>88.75</v>
      </c>
      <c r="P1078" s="13">
        <v>1065</v>
      </c>
      <c r="Q1078" s="22"/>
      <c r="R1078" s="19"/>
      <c r="S1078" s="22"/>
      <c r="T1078" s="19"/>
      <c r="U1078" s="24">
        <v>4.5819030439895325E-2</v>
      </c>
      <c r="V1078" s="24">
        <f t="shared" si="52"/>
        <v>4.3002853383988571E-2</v>
      </c>
      <c r="W1078" s="106">
        <v>4.3002849999999997</v>
      </c>
      <c r="X1078" s="106">
        <v>4.3003E-2</v>
      </c>
      <c r="Y1078" s="34">
        <f t="shared" si="50"/>
        <v>1.4661601142884617E-7</v>
      </c>
    </row>
    <row r="1079" spans="15:25" ht="17.100000000000001" customHeight="1">
      <c r="O1079" s="12">
        <f t="shared" si="51"/>
        <v>88.833333333333329</v>
      </c>
      <c r="P1079" s="13">
        <v>1066</v>
      </c>
      <c r="Q1079" s="22"/>
      <c r="R1079" s="19"/>
      <c r="S1079" s="22"/>
      <c r="T1079" s="19"/>
      <c r="U1079" s="24">
        <v>4.5816385062780185E-2</v>
      </c>
      <c r="V1079" s="24">
        <f t="shared" si="52"/>
        <v>4.3002824155813801E-2</v>
      </c>
      <c r="W1079" s="106">
        <v>4.3002820000000002</v>
      </c>
      <c r="X1079" s="106">
        <v>4.3003E-2</v>
      </c>
      <c r="Y1079" s="34">
        <f t="shared" si="50"/>
        <v>1.7584418619820408E-7</v>
      </c>
    </row>
    <row r="1080" spans="15:25" ht="17.100000000000001" customHeight="1">
      <c r="O1080" s="12">
        <f t="shared" si="51"/>
        <v>88.916666666666671</v>
      </c>
      <c r="P1080" s="13">
        <v>1067</v>
      </c>
      <c r="Q1080" s="22"/>
      <c r="R1080" s="19"/>
      <c r="S1080" s="22"/>
      <c r="T1080" s="19"/>
      <c r="U1080" s="24">
        <v>4.5813744623403485E-2</v>
      </c>
      <c r="V1080" s="24">
        <f t="shared" si="52"/>
        <v>4.3002795227449209E-2</v>
      </c>
      <c r="W1080" s="106">
        <v>4.3002799999999999</v>
      </c>
      <c r="X1080" s="106">
        <v>4.3003E-2</v>
      </c>
      <c r="Y1080" s="34">
        <f t="shared" si="50"/>
        <v>2.0477255079087708E-7</v>
      </c>
    </row>
    <row r="1081" spans="15:25" ht="17.100000000000001" customHeight="1">
      <c r="O1081" s="12">
        <f t="shared" si="51"/>
        <v>89</v>
      </c>
      <c r="P1081" s="13">
        <v>1068</v>
      </c>
      <c r="Q1081" s="22"/>
      <c r="R1081" s="19"/>
      <c r="S1081" s="22"/>
      <c r="T1081" s="19"/>
      <c r="U1081" s="24">
        <v>4.581110910815811E-2</v>
      </c>
      <c r="V1081" s="24">
        <f t="shared" si="52"/>
        <v>4.300276659485891E-2</v>
      </c>
      <c r="W1081" s="106">
        <v>4.3002770000000003</v>
      </c>
      <c r="X1081" s="106">
        <v>4.3003E-2</v>
      </c>
      <c r="Y1081" s="34">
        <f t="shared" si="50"/>
        <v>2.3340514108960431E-7</v>
      </c>
    </row>
    <row r="1082" spans="15:25" ht="17.100000000000001" customHeight="1">
      <c r="O1082" s="12">
        <f t="shared" si="51"/>
        <v>89.083333333333329</v>
      </c>
      <c r="P1082" s="13">
        <v>1069</v>
      </c>
      <c r="Q1082" s="22"/>
      <c r="R1082" s="19"/>
      <c r="S1082" s="22"/>
      <c r="T1082" s="19"/>
      <c r="U1082" s="24">
        <v>4.580847850348424E-2</v>
      </c>
      <c r="V1082" s="24">
        <f t="shared" si="52"/>
        <v>4.3002738255860873E-2</v>
      </c>
      <c r="W1082" s="106">
        <v>4.3002739999999999</v>
      </c>
      <c r="X1082" s="106">
        <v>4.3003E-2</v>
      </c>
      <c r="Y1082" s="34">
        <f t="shared" si="50"/>
        <v>2.6174413912671834E-7</v>
      </c>
    </row>
    <row r="1083" spans="15:25" ht="17.100000000000001" customHeight="1">
      <c r="O1083" s="12">
        <f t="shared" si="51"/>
        <v>89.166666666666671</v>
      </c>
      <c r="P1083" s="13">
        <v>1070</v>
      </c>
      <c r="Q1083" s="22"/>
      <c r="R1083" s="19"/>
      <c r="S1083" s="22"/>
      <c r="T1083" s="19"/>
      <c r="U1083" s="24">
        <v>4.5805852795870683E-2</v>
      </c>
      <c r="V1083" s="24">
        <f t="shared" si="52"/>
        <v>4.3002710207326267E-2</v>
      </c>
      <c r="W1083" s="106">
        <v>4.3002710000000004</v>
      </c>
      <c r="X1083" s="106">
        <v>4.3003E-2</v>
      </c>
      <c r="Y1083" s="34">
        <f t="shared" si="50"/>
        <v>2.897926737327472E-7</v>
      </c>
    </row>
    <row r="1084" spans="15:25" ht="17.100000000000001" customHeight="1">
      <c r="O1084" s="12">
        <f t="shared" si="51"/>
        <v>89.25</v>
      </c>
      <c r="P1084" s="13">
        <v>1071</v>
      </c>
      <c r="Q1084" s="22"/>
      <c r="R1084" s="19"/>
      <c r="S1084" s="22"/>
      <c r="T1084" s="19"/>
      <c r="U1084" s="24">
        <v>4.5803231971853764E-2</v>
      </c>
      <c r="V1084" s="24">
        <f t="shared" si="52"/>
        <v>4.3002682445704155E-2</v>
      </c>
      <c r="W1084" s="106">
        <v>4.300268</v>
      </c>
      <c r="X1084" s="106">
        <v>4.3003E-2</v>
      </c>
      <c r="Y1084" s="34">
        <f t="shared" si="50"/>
        <v>3.1755429584501282E-7</v>
      </c>
    </row>
    <row r="1085" spans="15:25" ht="17.100000000000001" customHeight="1">
      <c r="O1085" s="12">
        <f t="shared" si="51"/>
        <v>89.333333333333329</v>
      </c>
      <c r="P1085" s="13">
        <v>1072</v>
      </c>
      <c r="Q1085" s="22"/>
      <c r="R1085" s="19"/>
      <c r="S1085" s="22"/>
      <c r="T1085" s="19"/>
      <c r="U1085" s="24">
        <v>4.5800616018016882E-2</v>
      </c>
      <c r="V1085" s="24">
        <f t="shared" si="52"/>
        <v>4.3002654968576026E-2</v>
      </c>
      <c r="W1085" s="106">
        <v>4.3002649999999996</v>
      </c>
      <c r="X1085" s="106">
        <v>4.3003E-2</v>
      </c>
      <c r="Y1085" s="34">
        <f t="shared" si="50"/>
        <v>3.4503142397335207E-7</v>
      </c>
    </row>
    <row r="1086" spans="15:25" ht="17.100000000000001" customHeight="1">
      <c r="O1086" s="12">
        <f t="shared" si="51"/>
        <v>89.416666666666671</v>
      </c>
      <c r="P1086" s="13">
        <v>1073</v>
      </c>
      <c r="Q1086" s="22"/>
      <c r="R1086" s="19"/>
      <c r="S1086" s="22"/>
      <c r="T1086" s="19"/>
      <c r="U1086" s="24">
        <v>4.5798004920991175E-2</v>
      </c>
      <c r="V1086" s="24">
        <f t="shared" si="52"/>
        <v>4.3002627773247815E-2</v>
      </c>
      <c r="W1086" s="106">
        <v>4.3002630000000002</v>
      </c>
      <c r="X1086" s="106">
        <v>4.3003E-2</v>
      </c>
      <c r="Y1086" s="34">
        <f t="shared" si="50"/>
        <v>3.7222675218495649E-7</v>
      </c>
    </row>
    <row r="1087" spans="15:25" ht="17.100000000000001" customHeight="1">
      <c r="O1087" s="12">
        <f t="shared" si="51"/>
        <v>89.5</v>
      </c>
      <c r="P1087" s="13">
        <v>1074</v>
      </c>
      <c r="Q1087" s="22"/>
      <c r="R1087" s="19"/>
      <c r="S1087" s="22"/>
      <c r="T1087" s="19"/>
      <c r="U1087" s="24">
        <v>4.57953986674553E-2</v>
      </c>
      <c r="V1087" s="24">
        <f t="shared" si="52"/>
        <v>4.3002600855900353E-2</v>
      </c>
      <c r="W1087" s="106">
        <v>4.3002599999999997</v>
      </c>
      <c r="X1087" s="106">
        <v>4.3003E-2</v>
      </c>
      <c r="Y1087" s="34">
        <f t="shared" si="50"/>
        <v>3.9914409964703079E-7</v>
      </c>
    </row>
    <row r="1088" spans="15:25" ht="17.100000000000001" customHeight="1">
      <c r="O1088" s="12">
        <f t="shared" si="51"/>
        <v>89.583333333333329</v>
      </c>
      <c r="P1088" s="13">
        <v>1075</v>
      </c>
      <c r="Q1088" s="22"/>
      <c r="R1088" s="19"/>
      <c r="S1088" s="22"/>
      <c r="T1088" s="19"/>
      <c r="U1088" s="24">
        <v>4.5792797244133876E-2</v>
      </c>
      <c r="V1088" s="24">
        <f t="shared" si="52"/>
        <v>4.3002574214575873E-2</v>
      </c>
      <c r="W1088" s="106">
        <v>4.3002570000000002</v>
      </c>
      <c r="X1088" s="106">
        <v>4.3003E-2</v>
      </c>
      <c r="Y1088" s="34">
        <f t="shared" si="50"/>
        <v>4.257854241268566E-7</v>
      </c>
    </row>
    <row r="1089" spans="15:25" ht="17.100000000000001" customHeight="1">
      <c r="O1089" s="12">
        <f t="shared" si="51"/>
        <v>89.666666666666671</v>
      </c>
      <c r="P1089" s="13">
        <v>1076</v>
      </c>
      <c r="Q1089" s="22"/>
      <c r="R1089" s="19"/>
      <c r="S1089" s="22"/>
      <c r="T1089" s="19"/>
      <c r="U1089" s="24">
        <v>4.5790200637799039E-2</v>
      </c>
      <c r="V1089" s="24">
        <f t="shared" si="52"/>
        <v>4.3002547846312078E-2</v>
      </c>
      <c r="W1089" s="106">
        <v>4.3002549999999999</v>
      </c>
      <c r="X1089" s="106">
        <v>4.3003E-2</v>
      </c>
      <c r="Y1089" s="34">
        <f t="shared" si="50"/>
        <v>4.5215368792150823E-7</v>
      </c>
    </row>
    <row r="1090" spans="15:25" ht="17.100000000000001" customHeight="1">
      <c r="O1090" s="12">
        <f t="shared" si="51"/>
        <v>89.75</v>
      </c>
      <c r="P1090" s="13">
        <v>1077</v>
      </c>
      <c r="Q1090" s="22"/>
      <c r="R1090" s="19"/>
      <c r="S1090" s="22"/>
      <c r="T1090" s="19"/>
      <c r="U1090" s="24">
        <v>4.5787608835269333E-2</v>
      </c>
      <c r="V1090" s="24">
        <f t="shared" si="52"/>
        <v>4.3002521747797617E-2</v>
      </c>
      <c r="W1090" s="106">
        <v>4.3002520000000004</v>
      </c>
      <c r="X1090" s="106">
        <v>4.3003E-2</v>
      </c>
      <c r="Y1090" s="34">
        <f t="shared" si="50"/>
        <v>4.7825220238217891E-7</v>
      </c>
    </row>
    <row r="1091" spans="15:25" ht="17.100000000000001" customHeight="1">
      <c r="O1091" s="12">
        <f t="shared" si="51"/>
        <v>89.833333333333329</v>
      </c>
      <c r="P1091" s="13">
        <v>1078</v>
      </c>
      <c r="Q1091" s="22"/>
      <c r="R1091" s="19"/>
      <c r="S1091" s="22"/>
      <c r="T1091" s="19"/>
      <c r="U1091" s="24">
        <v>4.5785021823409489E-2</v>
      </c>
      <c r="V1091" s="24">
        <f t="shared" si="52"/>
        <v>4.3002495916940164E-2</v>
      </c>
      <c r="W1091" s="106">
        <v>4.3002500000000001</v>
      </c>
      <c r="X1091" s="106">
        <v>4.3001999999999999E-2</v>
      </c>
      <c r="Y1091" s="34">
        <f t="shared" si="50"/>
        <v>-4.9591694016581922E-7</v>
      </c>
    </row>
    <row r="1092" spans="15:25" ht="17.100000000000001" customHeight="1">
      <c r="O1092" s="12">
        <f t="shared" si="51"/>
        <v>89.916666666666671</v>
      </c>
      <c r="P1092" s="13">
        <v>1079</v>
      </c>
      <c r="Q1092" s="22"/>
      <c r="R1092" s="19"/>
      <c r="S1092" s="22"/>
      <c r="T1092" s="19"/>
      <c r="U1092" s="24">
        <v>4.5782439589130641E-2</v>
      </c>
      <c r="V1092" s="24">
        <f t="shared" si="52"/>
        <v>4.3002470350610444E-2</v>
      </c>
      <c r="W1092" s="106">
        <v>4.3002469999999997</v>
      </c>
      <c r="X1092" s="106">
        <v>4.3001999999999999E-2</v>
      </c>
      <c r="Y1092" s="34">
        <f t="shared" si="50"/>
        <v>-4.7035061044586879E-7</v>
      </c>
    </row>
    <row r="1093" spans="15:25" ht="17.100000000000001" customHeight="1">
      <c r="O1093" s="12">
        <f t="shared" si="51"/>
        <v>90</v>
      </c>
      <c r="P1093" s="13">
        <v>1080</v>
      </c>
      <c r="Q1093" s="22"/>
      <c r="R1093" s="19"/>
      <c r="S1093" s="22"/>
      <c r="T1093" s="19"/>
      <c r="U1093" s="24">
        <v>4.5779862119389891E-2</v>
      </c>
      <c r="V1093" s="24">
        <f t="shared" si="52"/>
        <v>4.3002445045541959E-2</v>
      </c>
      <c r="W1093" s="106">
        <v>4.3002450000000003</v>
      </c>
      <c r="X1093" s="106">
        <v>4.3001999999999999E-2</v>
      </c>
      <c r="Y1093" s="34">
        <f t="shared" si="50"/>
        <v>-4.4504554196078683E-7</v>
      </c>
    </row>
    <row r="1094" spans="15:25" ht="17.100000000000001" customHeight="1">
      <c r="O1094" s="12">
        <f t="shared" si="51"/>
        <v>90.083333333333329</v>
      </c>
      <c r="P1094" s="13">
        <v>1081</v>
      </c>
      <c r="Q1094" s="22"/>
      <c r="R1094" s="19"/>
      <c r="S1094" s="22"/>
      <c r="T1094" s="19"/>
      <c r="U1094" s="24">
        <v>4.5777289401189636E-2</v>
      </c>
      <c r="V1094" s="24">
        <f t="shared" si="52"/>
        <v>4.3002420000650909E-2</v>
      </c>
      <c r="W1094" s="106">
        <v>4.3002419999999999</v>
      </c>
      <c r="X1094" s="106">
        <v>4.3001999999999999E-2</v>
      </c>
      <c r="Y1094" s="34">
        <f t="shared" si="50"/>
        <v>-4.200006509108567E-7</v>
      </c>
    </row>
    <row r="1095" spans="15:25" ht="17.100000000000001" customHeight="1">
      <c r="O1095" s="12">
        <f t="shared" si="51"/>
        <v>90.166666666666671</v>
      </c>
      <c r="P1095" s="13">
        <v>1082</v>
      </c>
      <c r="Q1095" s="22"/>
      <c r="R1095" s="19"/>
      <c r="S1095" s="22"/>
      <c r="T1095" s="19"/>
      <c r="U1095" s="24">
        <v>4.5774721421578901E-2</v>
      </c>
      <c r="V1095" s="24">
        <f t="shared" si="52"/>
        <v>4.3002395211707789E-2</v>
      </c>
      <c r="W1095" s="106">
        <v>4.3002399999999996</v>
      </c>
      <c r="X1095" s="106">
        <v>4.3001999999999999E-2</v>
      </c>
      <c r="Y1095" s="34">
        <f t="shared" si="50"/>
        <v>-3.9521170779044379E-7</v>
      </c>
    </row>
    <row r="1096" spans="15:25" ht="17.100000000000001" customHeight="1">
      <c r="O1096" s="12">
        <f t="shared" si="51"/>
        <v>90.25</v>
      </c>
      <c r="P1096" s="13">
        <v>1083</v>
      </c>
      <c r="Q1096" s="22"/>
      <c r="R1096" s="19"/>
      <c r="S1096" s="22"/>
      <c r="T1096" s="19"/>
      <c r="U1096" s="24">
        <v>4.5772158167651344E-2</v>
      </c>
      <c r="V1096" s="24">
        <f t="shared" si="52"/>
        <v>4.3002370676747503E-2</v>
      </c>
      <c r="W1096" s="106">
        <v>4.3002370000000001</v>
      </c>
      <c r="X1096" s="106">
        <v>4.3001999999999999E-2</v>
      </c>
      <c r="Y1096" s="34">
        <f t="shared" si="50"/>
        <v>-3.7067674750479451E-7</v>
      </c>
    </row>
    <row r="1097" spans="15:25" ht="17.100000000000001" customHeight="1">
      <c r="O1097" s="12">
        <f t="shared" si="51"/>
        <v>90.333333333333329</v>
      </c>
      <c r="P1097" s="13">
        <v>1084</v>
      </c>
      <c r="Q1097" s="22"/>
      <c r="R1097" s="19"/>
      <c r="S1097" s="22"/>
      <c r="T1097" s="19"/>
      <c r="U1097" s="24">
        <v>4.5769599626546142E-2</v>
      </c>
      <c r="V1097" s="24">
        <f t="shared" si="52"/>
        <v>4.3002346393173463E-2</v>
      </c>
      <c r="W1097" s="106">
        <v>4.3002349999999998</v>
      </c>
      <c r="X1097" s="106">
        <v>4.3001999999999999E-2</v>
      </c>
      <c r="Y1097" s="34">
        <f t="shared" si="50"/>
        <v>-3.4639317346429888E-7</v>
      </c>
    </row>
    <row r="1098" spans="15:25" ht="17.100000000000001" customHeight="1">
      <c r="O1098" s="12">
        <f t="shared" si="51"/>
        <v>90.416666666666671</v>
      </c>
      <c r="P1098" s="13">
        <v>1085</v>
      </c>
      <c r="Q1098" s="22"/>
      <c r="R1098" s="19"/>
      <c r="S1098" s="22"/>
      <c r="T1098" s="19"/>
      <c r="U1098" s="24">
        <v>4.5767045785447547E-2</v>
      </c>
      <c r="V1098" s="24">
        <f t="shared" si="52"/>
        <v>4.3002322358546063E-2</v>
      </c>
      <c r="W1098" s="106">
        <v>4.3002320000000003</v>
      </c>
      <c r="X1098" s="106">
        <v>4.3001999999999999E-2</v>
      </c>
      <c r="Y1098" s="34">
        <f t="shared" si="50"/>
        <v>-3.2235854606488257E-7</v>
      </c>
    </row>
    <row r="1099" spans="15:25" ht="17.100000000000001" customHeight="1">
      <c r="O1099" s="12">
        <f t="shared" si="51"/>
        <v>90.5</v>
      </c>
      <c r="P1099" s="13">
        <v>1086</v>
      </c>
      <c r="Q1099" s="22"/>
      <c r="R1099" s="19"/>
      <c r="S1099" s="22"/>
      <c r="T1099" s="19"/>
      <c r="U1099" s="24">
        <v>4.5764496631584883E-2</v>
      </c>
      <c r="V1099" s="24">
        <f t="shared" si="52"/>
        <v>4.3002298569640551E-2</v>
      </c>
      <c r="W1099" s="106">
        <v>4.30023</v>
      </c>
      <c r="X1099" s="106">
        <v>4.3001999999999999E-2</v>
      </c>
      <c r="Y1099" s="34">
        <f t="shared" si="50"/>
        <v>-2.9856964055274826E-7</v>
      </c>
    </row>
    <row r="1100" spans="15:25" ht="17.100000000000001" customHeight="1">
      <c r="O1100" s="12">
        <f t="shared" si="51"/>
        <v>90.583333333333329</v>
      </c>
      <c r="P1100" s="13">
        <v>1087</v>
      </c>
      <c r="Q1100" s="22"/>
      <c r="R1100" s="19"/>
      <c r="S1100" s="22"/>
      <c r="T1100" s="19"/>
      <c r="U1100" s="24">
        <v>4.5761952152231444E-2</v>
      </c>
      <c r="V1100" s="24">
        <f t="shared" si="52"/>
        <v>4.3002275024657477E-2</v>
      </c>
      <c r="W1100" s="106">
        <v>4.3002279999999997</v>
      </c>
      <c r="X1100" s="106">
        <v>4.3001999999999999E-2</v>
      </c>
      <c r="Y1100" s="34">
        <f t="shared" si="50"/>
        <v>-2.7502465747841764E-7</v>
      </c>
    </row>
    <row r="1101" spans="15:25" ht="17.100000000000001" customHeight="1">
      <c r="O1101" s="12">
        <f t="shared" si="51"/>
        <v>90.666666666666671</v>
      </c>
      <c r="P1101" s="13">
        <v>1088</v>
      </c>
      <c r="Q1101" s="22"/>
      <c r="R1101" s="19"/>
      <c r="S1101" s="22"/>
      <c r="T1101" s="19"/>
      <c r="U1101" s="24">
        <v>4.575941233470604E-2</v>
      </c>
      <c r="V1101" s="24">
        <f t="shared" si="52"/>
        <v>4.300225172080463E-2</v>
      </c>
      <c r="W1101" s="106">
        <v>4.3002250000000002</v>
      </c>
      <c r="X1101" s="106">
        <v>4.3001999999999999E-2</v>
      </c>
      <c r="Y1101" s="34">
        <f t="shared" ref="Y1101:Y1164" si="53">X1101-V1101</f>
        <v>-2.5172080463098379E-7</v>
      </c>
    </row>
    <row r="1102" spans="15:25" ht="17.100000000000001" customHeight="1">
      <c r="O1102" s="12">
        <f t="shared" ref="O1102:O1165" si="54">P1102/12</f>
        <v>90.75</v>
      </c>
      <c r="P1102" s="13">
        <v>1089</v>
      </c>
      <c r="Q1102" s="22"/>
      <c r="R1102" s="19"/>
      <c r="S1102" s="22"/>
      <c r="T1102" s="19"/>
      <c r="U1102" s="24">
        <v>4.5756877166371224E-2</v>
      </c>
      <c r="V1102" s="24">
        <f t="shared" ref="V1102:V1165" si="55">(1+U1103)^P1103/(1+U1102)^P1102-1</f>
        <v>4.3002228655736774E-2</v>
      </c>
      <c r="W1102" s="106">
        <v>4.3002229999999999</v>
      </c>
      <c r="X1102" s="106">
        <v>4.3001999999999999E-2</v>
      </c>
      <c r="Y1102" s="34">
        <f t="shared" si="53"/>
        <v>-2.2865573677532947E-7</v>
      </c>
    </row>
    <row r="1103" spans="15:25" ht="17.100000000000001" customHeight="1">
      <c r="O1103" s="12">
        <f t="shared" si="54"/>
        <v>90.833333333333329</v>
      </c>
      <c r="P1103" s="13">
        <v>1090</v>
      </c>
      <c r="Q1103" s="22"/>
      <c r="R1103" s="19"/>
      <c r="S1103" s="22"/>
      <c r="T1103" s="19"/>
      <c r="U1103" s="24">
        <v>4.5754346634633958E-2</v>
      </c>
      <c r="V1103" s="24">
        <f t="shared" si="55"/>
        <v>4.3002205827226803E-2</v>
      </c>
      <c r="W1103" s="106">
        <v>4.3002209999999996</v>
      </c>
      <c r="X1103" s="106">
        <v>4.3001999999999999E-2</v>
      </c>
      <c r="Y1103" s="34">
        <f t="shared" si="53"/>
        <v>-2.0582722680406729E-7</v>
      </c>
    </row>
    <row r="1104" spans="15:25" ht="17.100000000000001" customHeight="1">
      <c r="O1104" s="12">
        <f t="shared" si="54"/>
        <v>90.916666666666671</v>
      </c>
      <c r="P1104" s="13">
        <v>1091</v>
      </c>
      <c r="Q1104" s="22"/>
      <c r="R1104" s="19"/>
      <c r="S1104" s="22"/>
      <c r="T1104" s="19"/>
      <c r="U1104" s="24">
        <v>4.5751820726945169E-2</v>
      </c>
      <c r="V1104" s="24">
        <f t="shared" si="55"/>
        <v>4.3002183231791058E-2</v>
      </c>
      <c r="W1104" s="106">
        <v>4.3002180000000001</v>
      </c>
      <c r="X1104" s="106">
        <v>4.3001999999999999E-2</v>
      </c>
      <c r="Y1104" s="34">
        <f t="shared" si="53"/>
        <v>-1.8323179105939058E-7</v>
      </c>
    </row>
    <row r="1105" spans="15:25" ht="17.100000000000001" customHeight="1">
      <c r="O1105" s="12">
        <f t="shared" si="54"/>
        <v>91</v>
      </c>
      <c r="P1105" s="13">
        <v>1092</v>
      </c>
      <c r="Q1105" s="22"/>
      <c r="R1105" s="19"/>
      <c r="S1105" s="22"/>
      <c r="T1105" s="19"/>
      <c r="U1105" s="24">
        <v>4.5749299430799084E-2</v>
      </c>
      <c r="V1105" s="24">
        <f t="shared" si="55"/>
        <v>4.3002160868325312E-2</v>
      </c>
      <c r="W1105" s="106">
        <v>4.3002159999999998</v>
      </c>
      <c r="X1105" s="106">
        <v>4.3001999999999999E-2</v>
      </c>
      <c r="Y1105" s="34">
        <f t="shared" si="53"/>
        <v>-1.6086832531347905E-7</v>
      </c>
    </row>
    <row r="1106" spans="15:25" ht="17.100000000000001" customHeight="1">
      <c r="O1106" s="12">
        <f t="shared" si="54"/>
        <v>91.083333333333329</v>
      </c>
      <c r="P1106" s="13">
        <v>1093</v>
      </c>
      <c r="Q1106" s="22"/>
      <c r="R1106" s="19"/>
      <c r="S1106" s="22"/>
      <c r="T1106" s="19"/>
      <c r="U1106" s="24">
        <v>4.5746782733734337E-2</v>
      </c>
      <c r="V1106" s="24">
        <f t="shared" si="55"/>
        <v>4.300213873402603E-2</v>
      </c>
      <c r="W1106" s="106">
        <v>4.3002140000000004</v>
      </c>
      <c r="X1106" s="106">
        <v>4.3001999999999999E-2</v>
      </c>
      <c r="Y1106" s="34">
        <f t="shared" si="53"/>
        <v>-1.3873402603115093E-7</v>
      </c>
    </row>
    <row r="1107" spans="15:25" ht="17.100000000000001" customHeight="1">
      <c r="O1107" s="12">
        <f t="shared" si="54"/>
        <v>91.166666666666671</v>
      </c>
      <c r="P1107" s="13">
        <v>1094</v>
      </c>
      <c r="Q1107" s="22"/>
      <c r="R1107" s="19"/>
      <c r="S1107" s="22"/>
      <c r="T1107" s="19"/>
      <c r="U1107" s="24">
        <v>4.5744270623332639E-2</v>
      </c>
      <c r="V1107" s="24">
        <f t="shared" si="55"/>
        <v>4.3002116826323045E-2</v>
      </c>
      <c r="W1107" s="106">
        <v>4.3002120000000001</v>
      </c>
      <c r="X1107" s="106">
        <v>4.3001999999999999E-2</v>
      </c>
      <c r="Y1107" s="34">
        <f t="shared" si="53"/>
        <v>-1.1682632304610419E-7</v>
      </c>
    </row>
    <row r="1108" spans="15:25" ht="17.100000000000001" customHeight="1">
      <c r="O1108" s="12">
        <f t="shared" si="54"/>
        <v>91.25</v>
      </c>
      <c r="P1108" s="13">
        <v>1095</v>
      </c>
      <c r="Q1108" s="22"/>
      <c r="R1108" s="19"/>
      <c r="S1108" s="22"/>
      <c r="T1108" s="19"/>
      <c r="U1108" s="24">
        <v>4.5741763087219001E-2</v>
      </c>
      <c r="V1108" s="24">
        <f t="shared" si="55"/>
        <v>4.3002095142754104E-2</v>
      </c>
      <c r="W1108" s="106">
        <v>4.3002099999999999</v>
      </c>
      <c r="X1108" s="106">
        <v>4.3001999999999999E-2</v>
      </c>
      <c r="Y1108" s="34">
        <f t="shared" si="53"/>
        <v>-9.5142754105714822E-8</v>
      </c>
    </row>
    <row r="1109" spans="15:25" ht="17.100000000000001" customHeight="1">
      <c r="O1109" s="12">
        <f t="shared" si="54"/>
        <v>91.333333333333329</v>
      </c>
      <c r="P1109" s="13">
        <v>1096</v>
      </c>
      <c r="Q1109" s="22"/>
      <c r="R1109" s="19"/>
      <c r="S1109" s="22"/>
      <c r="T1109" s="19"/>
      <c r="U1109" s="24">
        <v>4.5739260113061286E-2</v>
      </c>
      <c r="V1109" s="24">
        <f t="shared" si="55"/>
        <v>4.3002073681601471E-2</v>
      </c>
      <c r="W1109" s="106">
        <v>4.3002070000000003</v>
      </c>
      <c r="X1109" s="106">
        <v>4.3001999999999999E-2</v>
      </c>
      <c r="Y1109" s="34">
        <f t="shared" si="53"/>
        <v>-7.3681601472919134E-8</v>
      </c>
    </row>
    <row r="1110" spans="15:25" ht="17.100000000000001" customHeight="1">
      <c r="O1110" s="12">
        <f t="shared" si="54"/>
        <v>91.416666666666671</v>
      </c>
      <c r="P1110" s="13">
        <v>1097</v>
      </c>
      <c r="Q1110" s="22"/>
      <c r="R1110" s="19"/>
      <c r="S1110" s="22"/>
      <c r="T1110" s="19"/>
      <c r="U1110" s="24">
        <v>4.573676168857066E-2</v>
      </c>
      <c r="V1110" s="24">
        <f t="shared" si="55"/>
        <v>4.300205244017552E-2</v>
      </c>
      <c r="W1110" s="106">
        <v>4.3002050000000001</v>
      </c>
      <c r="X1110" s="106">
        <v>4.3001999999999999E-2</v>
      </c>
      <c r="Y1110" s="34">
        <f t="shared" si="53"/>
        <v>-5.2440175521417665E-8</v>
      </c>
    </row>
    <row r="1111" spans="15:25" ht="17.100000000000001" customHeight="1">
      <c r="O1111" s="12">
        <f t="shared" si="54"/>
        <v>91.5</v>
      </c>
      <c r="P1111" s="13">
        <v>1098</v>
      </c>
      <c r="Q1111" s="22"/>
      <c r="R1111" s="19"/>
      <c r="S1111" s="22"/>
      <c r="T1111" s="19"/>
      <c r="U1111" s="24">
        <v>4.5734267801500916E-2</v>
      </c>
      <c r="V1111" s="24">
        <f t="shared" si="55"/>
        <v>4.3002031416077946E-2</v>
      </c>
      <c r="W1111" s="106">
        <v>4.3002029999999998</v>
      </c>
      <c r="X1111" s="106">
        <v>4.3001999999999999E-2</v>
      </c>
      <c r="Y1111" s="34">
        <f t="shared" si="53"/>
        <v>-3.1416077947432619E-8</v>
      </c>
    </row>
    <row r="1112" spans="15:25" ht="17.100000000000001" customHeight="1">
      <c r="O1112" s="12">
        <f t="shared" si="54"/>
        <v>91.583333333333329</v>
      </c>
      <c r="P1112" s="13">
        <v>1099</v>
      </c>
      <c r="Q1112" s="22"/>
      <c r="R1112" s="19"/>
      <c r="S1112" s="22"/>
      <c r="T1112" s="19"/>
      <c r="U1112" s="24">
        <v>4.5731778439648263E-2</v>
      </c>
      <c r="V1112" s="24">
        <f t="shared" si="55"/>
        <v>4.300201060776887E-2</v>
      </c>
      <c r="W1112" s="106">
        <v>4.3002010000000004</v>
      </c>
      <c r="X1112" s="106">
        <v>4.3001999999999999E-2</v>
      </c>
      <c r="Y1112" s="34">
        <f t="shared" si="53"/>
        <v>-1.0607768871628842E-8</v>
      </c>
    </row>
    <row r="1113" spans="15:25" ht="17.100000000000001" customHeight="1">
      <c r="O1113" s="12">
        <f t="shared" si="54"/>
        <v>91.666666666666671</v>
      </c>
      <c r="P1113" s="13">
        <v>1100</v>
      </c>
      <c r="Q1113" s="22"/>
      <c r="R1113" s="19"/>
      <c r="S1113" s="22"/>
      <c r="T1113" s="19"/>
      <c r="U1113" s="24">
        <v>4.5729293590851539E-2</v>
      </c>
      <c r="V1113" s="24">
        <f t="shared" si="55"/>
        <v>4.3001990012674574E-2</v>
      </c>
      <c r="W1113" s="106">
        <v>4.3001990000000001</v>
      </c>
      <c r="X1113" s="106">
        <v>4.3001999999999999E-2</v>
      </c>
      <c r="Y1113" s="34">
        <f t="shared" si="53"/>
        <v>9.9873254250093524E-9</v>
      </c>
    </row>
    <row r="1114" spans="15:25" ht="17.100000000000001" customHeight="1">
      <c r="O1114" s="12">
        <f t="shared" si="54"/>
        <v>91.75</v>
      </c>
      <c r="P1114" s="13">
        <v>1101</v>
      </c>
      <c r="Q1114" s="22"/>
      <c r="R1114" s="19"/>
      <c r="S1114" s="22"/>
      <c r="T1114" s="19"/>
      <c r="U1114" s="24">
        <v>4.5726813242991993E-2</v>
      </c>
      <c r="V1114" s="24">
        <f t="shared" si="55"/>
        <v>4.3001969627951553E-2</v>
      </c>
      <c r="W1114" s="106">
        <v>4.3001969999999998</v>
      </c>
      <c r="X1114" s="106">
        <v>4.3001999999999999E-2</v>
      </c>
      <c r="Y1114" s="34">
        <f t="shared" si="53"/>
        <v>3.0372048445692634E-8</v>
      </c>
    </row>
    <row r="1115" spans="15:25" ht="17.100000000000001" customHeight="1">
      <c r="O1115" s="12">
        <f t="shared" si="54"/>
        <v>91.833333333333329</v>
      </c>
      <c r="P1115" s="13">
        <v>1102</v>
      </c>
      <c r="Q1115" s="22"/>
      <c r="R1115" s="19"/>
      <c r="S1115" s="22"/>
      <c r="T1115" s="19"/>
      <c r="U1115" s="24">
        <v>4.5724337383992175E-2</v>
      </c>
      <c r="V1115" s="24">
        <f t="shared" si="55"/>
        <v>4.3001949452486476E-2</v>
      </c>
      <c r="W1115" s="106">
        <v>4.3001950000000004</v>
      </c>
      <c r="X1115" s="106">
        <v>4.3001999999999999E-2</v>
      </c>
      <c r="Y1115" s="34">
        <f t="shared" si="53"/>
        <v>5.0547513522070098E-8</v>
      </c>
    </row>
    <row r="1116" spans="15:25" ht="17.100000000000001" customHeight="1">
      <c r="O1116" s="12">
        <f t="shared" si="54"/>
        <v>91.916666666666671</v>
      </c>
      <c r="P1116" s="13">
        <v>1103</v>
      </c>
      <c r="Q1116" s="22"/>
      <c r="R1116" s="19"/>
      <c r="S1116" s="22"/>
      <c r="T1116" s="19"/>
      <c r="U1116" s="24">
        <v>4.5721866001817268E-2</v>
      </c>
      <c r="V1116" s="24">
        <f t="shared" si="55"/>
        <v>4.3001929483691859E-2</v>
      </c>
      <c r="W1116" s="106">
        <v>4.3001930000000002</v>
      </c>
      <c r="X1116" s="106">
        <v>4.3001999999999999E-2</v>
      </c>
      <c r="Y1116" s="34">
        <f t="shared" si="53"/>
        <v>7.0516308139922934E-8</v>
      </c>
    </row>
    <row r="1117" spans="15:25" ht="17.100000000000001" customHeight="1">
      <c r="O1117" s="12">
        <f t="shared" si="54"/>
        <v>92</v>
      </c>
      <c r="P1117" s="13">
        <v>1104</v>
      </c>
      <c r="Q1117" s="22"/>
      <c r="R1117" s="19"/>
      <c r="S1117" s="22"/>
      <c r="T1117" s="19"/>
      <c r="U1117" s="24">
        <v>4.5719399084473977E-2</v>
      </c>
      <c r="V1117" s="24">
        <f t="shared" si="55"/>
        <v>4.300190971912432E-2</v>
      </c>
      <c r="W1117" s="106">
        <v>4.3001909999999999</v>
      </c>
      <c r="X1117" s="106">
        <v>4.3001999999999999E-2</v>
      </c>
      <c r="Y1117" s="34">
        <f t="shared" si="53"/>
        <v>9.0280875678083738E-8</v>
      </c>
    </row>
    <row r="1118" spans="15:25" ht="17.100000000000001" customHeight="1">
      <c r="O1118" s="12">
        <f t="shared" si="54"/>
        <v>92.083333333333329</v>
      </c>
      <c r="P1118" s="13">
        <v>1105</v>
      </c>
      <c r="Q1118" s="22"/>
      <c r="R1118" s="19"/>
      <c r="S1118" s="22"/>
      <c r="T1118" s="19"/>
      <c r="U1118" s="24">
        <v>4.5716936620010307E-2</v>
      </c>
      <c r="V1118" s="24">
        <f t="shared" si="55"/>
        <v>4.3001890157466693E-2</v>
      </c>
      <c r="W1118" s="106">
        <v>4.3001889999999996</v>
      </c>
      <c r="X1118" s="106">
        <v>4.3001999999999999E-2</v>
      </c>
      <c r="Y1118" s="34">
        <f t="shared" si="53"/>
        <v>1.0984253330514893E-7</v>
      </c>
    </row>
    <row r="1119" spans="15:25" ht="17.100000000000001" customHeight="1">
      <c r="O1119" s="12">
        <f t="shared" si="54"/>
        <v>92.166666666666671</v>
      </c>
      <c r="P1119" s="13">
        <v>1106</v>
      </c>
      <c r="Q1119" s="22"/>
      <c r="R1119" s="19"/>
      <c r="S1119" s="22"/>
      <c r="T1119" s="19"/>
      <c r="U1119" s="24">
        <v>4.5714478596516006E-2</v>
      </c>
      <c r="V1119" s="24">
        <f t="shared" si="55"/>
        <v>4.3001870795663422E-2</v>
      </c>
      <c r="W1119" s="106">
        <v>4.3001870000000002</v>
      </c>
      <c r="X1119" s="106">
        <v>4.3001999999999999E-2</v>
      </c>
      <c r="Y1119" s="34">
        <f t="shared" si="53"/>
        <v>1.2920433657692687E-7</v>
      </c>
    </row>
    <row r="1120" spans="15:25" ht="17.100000000000001" customHeight="1">
      <c r="O1120" s="12">
        <f t="shared" si="54"/>
        <v>92.25</v>
      </c>
      <c r="P1120" s="13">
        <v>1107</v>
      </c>
      <c r="Q1120" s="22"/>
      <c r="R1120" s="19"/>
      <c r="S1120" s="22"/>
      <c r="T1120" s="19"/>
      <c r="U1120" s="24">
        <v>4.5712025002121681E-2</v>
      </c>
      <c r="V1120" s="24">
        <f t="shared" si="55"/>
        <v>4.3001851632864296E-2</v>
      </c>
      <c r="W1120" s="106">
        <v>4.3001849999999999</v>
      </c>
      <c r="X1120" s="106">
        <v>4.3001999999999999E-2</v>
      </c>
      <c r="Y1120" s="34">
        <f t="shared" si="53"/>
        <v>1.4836713570220983E-7</v>
      </c>
    </row>
    <row r="1121" spans="15:25" ht="17.100000000000001" customHeight="1">
      <c r="O1121" s="12">
        <f t="shared" si="54"/>
        <v>92.333333333333329</v>
      </c>
      <c r="P1121" s="13">
        <v>1108</v>
      </c>
      <c r="Q1121" s="22"/>
      <c r="R1121" s="19"/>
      <c r="S1121" s="22"/>
      <c r="T1121" s="19"/>
      <c r="U1121" s="24">
        <v>4.570957582499946E-2</v>
      </c>
      <c r="V1121" s="24">
        <f t="shared" si="55"/>
        <v>4.300183266553903E-2</v>
      </c>
      <c r="W1121" s="106">
        <v>4.3001829999999996</v>
      </c>
      <c r="X1121" s="106">
        <v>4.3001999999999999E-2</v>
      </c>
      <c r="Y1121" s="34">
        <f t="shared" si="53"/>
        <v>1.6733446096817151E-7</v>
      </c>
    </row>
    <row r="1122" spans="15:25" ht="17.100000000000001" customHeight="1">
      <c r="O1122" s="12">
        <f t="shared" si="54"/>
        <v>92.416666666666671</v>
      </c>
      <c r="P1122" s="13">
        <v>1109</v>
      </c>
      <c r="Q1122" s="22"/>
      <c r="R1122" s="19"/>
      <c r="S1122" s="22"/>
      <c r="T1122" s="19"/>
      <c r="U1122" s="24">
        <v>4.570713105336166E-2</v>
      </c>
      <c r="V1122" s="24">
        <f t="shared" si="55"/>
        <v>4.3001813893045027E-2</v>
      </c>
      <c r="W1122" s="106">
        <v>4.3001810000000003</v>
      </c>
      <c r="X1122" s="106">
        <v>4.3001999999999999E-2</v>
      </c>
      <c r="Y1122" s="34">
        <f t="shared" si="53"/>
        <v>1.8610695497189855E-7</v>
      </c>
    </row>
    <row r="1123" spans="15:25" ht="17.100000000000001" customHeight="1">
      <c r="O1123" s="12">
        <f t="shared" si="54"/>
        <v>92.5</v>
      </c>
      <c r="P1123" s="13">
        <v>1110</v>
      </c>
      <c r="Q1123" s="22"/>
      <c r="R1123" s="19"/>
      <c r="S1123" s="22"/>
      <c r="T1123" s="19"/>
      <c r="U1123" s="24">
        <v>4.5704690675461901E-2</v>
      </c>
      <c r="V1123" s="24">
        <f t="shared" si="55"/>
        <v>4.3001795312645807E-2</v>
      </c>
      <c r="W1123" s="106">
        <v>4.3001800000000001</v>
      </c>
      <c r="X1123" s="106">
        <v>4.3001999999999999E-2</v>
      </c>
      <c r="Y1123" s="34">
        <f t="shared" si="53"/>
        <v>2.0468735419110207E-7</v>
      </c>
    </row>
    <row r="1124" spans="15:25" ht="17.100000000000001" customHeight="1">
      <c r="O1124" s="12">
        <f t="shared" si="54"/>
        <v>92.583333333333329</v>
      </c>
      <c r="P1124" s="13">
        <v>1111</v>
      </c>
      <c r="Q1124" s="22"/>
      <c r="R1124" s="19"/>
      <c r="S1124" s="22"/>
      <c r="T1124" s="19"/>
      <c r="U1124" s="24">
        <v>4.5702254679594212E-2</v>
      </c>
      <c r="V1124" s="24">
        <f t="shared" si="55"/>
        <v>4.3001776922611867E-2</v>
      </c>
      <c r="W1124" s="106">
        <v>4.3001779999999998</v>
      </c>
      <c r="X1124" s="106">
        <v>4.3001999999999999E-2</v>
      </c>
      <c r="Y1124" s="34">
        <f t="shared" si="53"/>
        <v>2.2307738813120981E-7</v>
      </c>
    </row>
    <row r="1125" spans="15:25" ht="17.100000000000001" customHeight="1">
      <c r="O1125" s="12">
        <f t="shared" si="54"/>
        <v>92.666666666666671</v>
      </c>
      <c r="P1125" s="13">
        <v>1112</v>
      </c>
      <c r="Q1125" s="22"/>
      <c r="R1125" s="19"/>
      <c r="S1125" s="22"/>
      <c r="T1125" s="19"/>
      <c r="U1125" s="24">
        <v>4.5699823054092814E-2</v>
      </c>
      <c r="V1125" s="24">
        <f t="shared" si="55"/>
        <v>4.300175872090195E-2</v>
      </c>
      <c r="W1125" s="106">
        <v>4.3001760000000004</v>
      </c>
      <c r="X1125" s="106">
        <v>4.3001999999999999E-2</v>
      </c>
      <c r="Y1125" s="34">
        <f t="shared" si="53"/>
        <v>2.4127909804827485E-7</v>
      </c>
    </row>
    <row r="1126" spans="15:25" ht="17.100000000000001" customHeight="1">
      <c r="O1126" s="12">
        <f t="shared" si="54"/>
        <v>92.75</v>
      </c>
      <c r="P1126" s="13">
        <v>1113</v>
      </c>
      <c r="Q1126" s="22"/>
      <c r="R1126" s="19"/>
      <c r="S1126" s="22"/>
      <c r="T1126" s="19"/>
      <c r="U1126" s="24">
        <v>4.569739578733234E-2</v>
      </c>
      <c r="V1126" s="24">
        <f t="shared" si="55"/>
        <v>4.3001740705832958E-2</v>
      </c>
      <c r="W1126" s="106">
        <v>4.3001740000000002</v>
      </c>
      <c r="X1126" s="106">
        <v>4.3001999999999999E-2</v>
      </c>
      <c r="Y1126" s="34">
        <f t="shared" si="53"/>
        <v>2.5929416704040253E-7</v>
      </c>
    </row>
    <row r="1127" spans="15:25" ht="17.100000000000001" customHeight="1">
      <c r="O1127" s="12">
        <f t="shared" si="54"/>
        <v>92.833333333333329</v>
      </c>
      <c r="P1127" s="13">
        <v>1114</v>
      </c>
      <c r="Q1127" s="22"/>
      <c r="R1127" s="19"/>
      <c r="S1127" s="22"/>
      <c r="T1127" s="19"/>
      <c r="U1127" s="24">
        <v>4.5694972867727612E-2</v>
      </c>
      <c r="V1127" s="24">
        <f t="shared" si="55"/>
        <v>4.3001722874900672E-2</v>
      </c>
      <c r="W1127" s="106">
        <v>4.3001719999999999</v>
      </c>
      <c r="X1127" s="106">
        <v>4.3001999999999999E-2</v>
      </c>
      <c r="Y1127" s="34">
        <f t="shared" si="53"/>
        <v>2.771250993266472E-7</v>
      </c>
    </row>
    <row r="1128" spans="15:25" ht="17.100000000000001" customHeight="1">
      <c r="O1128" s="12">
        <f t="shared" si="54"/>
        <v>92.916666666666671</v>
      </c>
      <c r="P1128" s="13">
        <v>1115</v>
      </c>
      <c r="Q1128" s="22"/>
      <c r="R1128" s="19"/>
      <c r="S1128" s="22"/>
      <c r="T1128" s="19"/>
      <c r="U1128" s="24">
        <v>4.5692554283732756E-2</v>
      </c>
      <c r="V1128" s="24">
        <f t="shared" si="55"/>
        <v>4.3001705227154519E-2</v>
      </c>
      <c r="W1128" s="106">
        <v>4.3001709999999997</v>
      </c>
      <c r="X1128" s="106">
        <v>4.3001999999999999E-2</v>
      </c>
      <c r="Y1128" s="34">
        <f t="shared" si="53"/>
        <v>2.9477284547996252E-7</v>
      </c>
    </row>
    <row r="1129" spans="15:25" ht="17.100000000000001" customHeight="1">
      <c r="O1129" s="12">
        <f t="shared" si="54"/>
        <v>93</v>
      </c>
      <c r="P1129" s="13">
        <v>1116</v>
      </c>
      <c r="Q1129" s="22"/>
      <c r="R1129" s="19"/>
      <c r="S1129" s="22"/>
      <c r="T1129" s="19"/>
      <c r="U1129" s="24">
        <v>4.5690140023842529E-2</v>
      </c>
      <c r="V1129" s="24">
        <f t="shared" si="55"/>
        <v>4.3001687759841367E-2</v>
      </c>
      <c r="W1129" s="106">
        <v>4.3001690000000004</v>
      </c>
      <c r="X1129" s="106">
        <v>4.3001999999999999E-2</v>
      </c>
      <c r="Y1129" s="34">
        <f t="shared" si="53"/>
        <v>3.1224015863140497E-7</v>
      </c>
    </row>
    <row r="1130" spans="15:25" ht="17.100000000000001" customHeight="1">
      <c r="O1130" s="12">
        <f t="shared" si="54"/>
        <v>93.083333333333329</v>
      </c>
      <c r="P1130" s="13">
        <v>1117</v>
      </c>
      <c r="Q1130" s="22"/>
      <c r="R1130" s="19"/>
      <c r="S1130" s="22"/>
      <c r="T1130" s="19"/>
      <c r="U1130" s="24">
        <v>4.5687730076590549E-2</v>
      </c>
      <c r="V1130" s="24">
        <f t="shared" si="55"/>
        <v>4.3001670471545905E-2</v>
      </c>
      <c r="W1130" s="106">
        <v>4.3001670000000001</v>
      </c>
      <c r="X1130" s="106">
        <v>4.3001999999999999E-2</v>
      </c>
      <c r="Y1130" s="34">
        <f t="shared" si="53"/>
        <v>3.2952845409328635E-7</v>
      </c>
    </row>
    <row r="1131" spans="15:25" ht="17.100000000000001" customHeight="1">
      <c r="O1131" s="12">
        <f t="shared" si="54"/>
        <v>93.166666666666671</v>
      </c>
      <c r="P1131" s="13">
        <v>1118</v>
      </c>
      <c r="Q1131" s="22"/>
      <c r="R1131" s="19"/>
      <c r="S1131" s="22"/>
      <c r="T1131" s="19"/>
      <c r="U1131" s="24">
        <v>4.5685324430550178E-2</v>
      </c>
      <c r="V1131" s="24">
        <f t="shared" si="55"/>
        <v>4.300165336019357E-2</v>
      </c>
      <c r="W1131" s="106">
        <v>4.3001649999999998</v>
      </c>
      <c r="X1131" s="106">
        <v>4.3001999999999999E-2</v>
      </c>
      <c r="Y1131" s="34">
        <f t="shared" si="53"/>
        <v>3.4663980642835046E-7</v>
      </c>
    </row>
    <row r="1132" spans="15:25" ht="17.100000000000001" customHeight="1">
      <c r="O1132" s="12">
        <f t="shared" si="54"/>
        <v>93.25</v>
      </c>
      <c r="P1132" s="13">
        <v>1119</v>
      </c>
      <c r="Q1132" s="22"/>
      <c r="R1132" s="19"/>
      <c r="S1132" s="22"/>
      <c r="T1132" s="19"/>
      <c r="U1132" s="24">
        <v>4.5682923074333859E-2</v>
      </c>
      <c r="V1132" s="24">
        <f t="shared" si="55"/>
        <v>4.3001636424304657E-2</v>
      </c>
      <c r="W1132" s="106">
        <v>4.3001639999999997</v>
      </c>
      <c r="X1132" s="106">
        <v>4.3001999999999999E-2</v>
      </c>
      <c r="Y1132" s="34">
        <f t="shared" si="53"/>
        <v>3.6357569534184453E-7</v>
      </c>
    </row>
    <row r="1133" spans="15:25" ht="17.100000000000001" customHeight="1">
      <c r="O1133" s="12">
        <f t="shared" si="54"/>
        <v>93.333333333333329</v>
      </c>
      <c r="P1133" s="13">
        <v>1120</v>
      </c>
      <c r="Q1133" s="22"/>
      <c r="R1133" s="19"/>
      <c r="S1133" s="22"/>
      <c r="T1133" s="19"/>
      <c r="U1133" s="24">
        <v>4.5680525996593113E-2</v>
      </c>
      <c r="V1133" s="24">
        <f t="shared" si="55"/>
        <v>4.3001619661654278E-2</v>
      </c>
      <c r="W1133" s="106">
        <v>4.3001620000000003</v>
      </c>
      <c r="X1133" s="106">
        <v>4.3001999999999999E-2</v>
      </c>
      <c r="Y1133" s="34">
        <f t="shared" si="53"/>
        <v>3.803383457207099E-7</v>
      </c>
    </row>
    <row r="1134" spans="15:25" ht="17.100000000000001" customHeight="1">
      <c r="O1134" s="12">
        <f t="shared" si="54"/>
        <v>93.416666666666671</v>
      </c>
      <c r="P1134" s="13">
        <v>1121</v>
      </c>
      <c r="Q1134" s="22"/>
      <c r="R1134" s="19"/>
      <c r="S1134" s="22"/>
      <c r="T1134" s="19"/>
      <c r="U1134" s="24">
        <v>4.5678133186018544E-2</v>
      </c>
      <c r="V1134" s="24">
        <f t="shared" si="55"/>
        <v>4.3001603070909722E-2</v>
      </c>
      <c r="W1134" s="106">
        <v>4.30016</v>
      </c>
      <c r="X1134" s="106">
        <v>4.3001999999999999E-2</v>
      </c>
      <c r="Y1134" s="34">
        <f t="shared" si="53"/>
        <v>3.9692909027666534E-7</v>
      </c>
    </row>
    <row r="1135" spans="15:25" ht="17.100000000000001" customHeight="1">
      <c r="O1135" s="12">
        <f t="shared" si="54"/>
        <v>93.5</v>
      </c>
      <c r="P1135" s="13">
        <v>1122</v>
      </c>
      <c r="Q1135" s="22"/>
      <c r="R1135" s="19"/>
      <c r="S1135" s="22"/>
      <c r="T1135" s="19"/>
      <c r="U1135" s="24">
        <v>4.567574463133961E-2</v>
      </c>
      <c r="V1135" s="24">
        <f t="shared" si="55"/>
        <v>4.3001586650140977E-2</v>
      </c>
      <c r="W1135" s="106">
        <v>4.3001589999999998</v>
      </c>
      <c r="X1135" s="106">
        <v>4.3001999999999999E-2</v>
      </c>
      <c r="Y1135" s="34">
        <f t="shared" si="53"/>
        <v>4.1334985902141685E-7</v>
      </c>
    </row>
    <row r="1136" spans="15:25" ht="17.100000000000001" customHeight="1">
      <c r="O1136" s="12">
        <f t="shared" si="54"/>
        <v>93.583333333333329</v>
      </c>
      <c r="P1136" s="13">
        <v>1123</v>
      </c>
      <c r="Q1136" s="22"/>
      <c r="R1136" s="19"/>
      <c r="S1136" s="22"/>
      <c r="T1136" s="19"/>
      <c r="U1136" s="24">
        <v>4.5673360321324186E-2</v>
      </c>
      <c r="V1136" s="24">
        <f t="shared" si="55"/>
        <v>4.3001570397260602E-2</v>
      </c>
      <c r="W1136" s="106">
        <v>4.3001569999999996</v>
      </c>
      <c r="X1136" s="106">
        <v>4.3001999999999999E-2</v>
      </c>
      <c r="Y1136" s="34">
        <f t="shared" si="53"/>
        <v>4.2960273939629534E-7</v>
      </c>
    </row>
    <row r="1137" spans="15:25" ht="17.100000000000001" customHeight="1">
      <c r="O1137" s="12">
        <f t="shared" si="54"/>
        <v>93.666666666666671</v>
      </c>
      <c r="P1137" s="13">
        <v>1124</v>
      </c>
      <c r="Q1137" s="22"/>
      <c r="R1137" s="19"/>
      <c r="S1137" s="22"/>
      <c r="T1137" s="19"/>
      <c r="U1137" s="24">
        <v>4.5670980244778558E-2</v>
      </c>
      <c r="V1137" s="24">
        <f t="shared" si="55"/>
        <v>4.3001554311325796E-2</v>
      </c>
      <c r="W1137" s="106">
        <v>4.3001550000000002</v>
      </c>
      <c r="X1137" s="106">
        <v>4.3001999999999999E-2</v>
      </c>
      <c r="Y1137" s="34">
        <f t="shared" si="53"/>
        <v>4.4568867420269331E-7</v>
      </c>
    </row>
    <row r="1138" spans="15:25" ht="17.100000000000001" customHeight="1">
      <c r="O1138" s="12">
        <f t="shared" si="54"/>
        <v>93.75</v>
      </c>
      <c r="P1138" s="13">
        <v>1125</v>
      </c>
      <c r="Q1138" s="22"/>
      <c r="R1138" s="19"/>
      <c r="S1138" s="22"/>
      <c r="T1138" s="19"/>
      <c r="U1138" s="24">
        <v>4.5668604390547873E-2</v>
      </c>
      <c r="V1138" s="24">
        <f t="shared" si="55"/>
        <v>4.3001538389970229E-2</v>
      </c>
      <c r="W1138" s="106">
        <v>4.300154</v>
      </c>
      <c r="X1138" s="106">
        <v>4.3001999999999999E-2</v>
      </c>
      <c r="Y1138" s="34">
        <f t="shared" si="53"/>
        <v>4.6161002976996546E-7</v>
      </c>
    </row>
    <row r="1139" spans="15:25" ht="17.100000000000001" customHeight="1">
      <c r="O1139" s="12">
        <f t="shared" si="54"/>
        <v>93.833333333333329</v>
      </c>
      <c r="P1139" s="13">
        <v>1126</v>
      </c>
      <c r="Q1139" s="22"/>
      <c r="R1139" s="19"/>
      <c r="S1139" s="22"/>
      <c r="T1139" s="19"/>
      <c r="U1139" s="24">
        <v>4.5666232747514801E-2</v>
      </c>
      <c r="V1139" s="24">
        <f t="shared" si="55"/>
        <v>4.3001522631515465E-2</v>
      </c>
      <c r="W1139" s="106">
        <v>4.3001519999999998</v>
      </c>
      <c r="X1139" s="106">
        <v>4.3001999999999999E-2</v>
      </c>
      <c r="Y1139" s="34">
        <f t="shared" si="53"/>
        <v>4.773684845332804E-7</v>
      </c>
    </row>
    <row r="1140" spans="15:25" ht="17.100000000000001" customHeight="1">
      <c r="O1140" s="12">
        <f t="shared" si="54"/>
        <v>93.916666666666671</v>
      </c>
      <c r="P1140" s="13">
        <v>1127</v>
      </c>
      <c r="Q1140" s="22"/>
      <c r="R1140" s="19"/>
      <c r="S1140" s="22"/>
      <c r="T1140" s="19"/>
      <c r="U1140" s="24">
        <v>4.5663865304600204E-2</v>
      </c>
      <c r="V1140" s="24">
        <f t="shared" si="55"/>
        <v>4.3001507034636788E-2</v>
      </c>
      <c r="W1140" s="106">
        <v>4.3001509999999996</v>
      </c>
      <c r="X1140" s="106">
        <v>4.3001999999999999E-2</v>
      </c>
      <c r="Y1140" s="34">
        <f t="shared" si="53"/>
        <v>4.9296536321075113E-7</v>
      </c>
    </row>
    <row r="1141" spans="15:25" ht="17.100000000000001" customHeight="1">
      <c r="O1141" s="12">
        <f t="shared" si="54"/>
        <v>94</v>
      </c>
      <c r="P1141" s="13">
        <v>1128</v>
      </c>
      <c r="Q1141" s="22"/>
      <c r="R1141" s="19"/>
      <c r="S1141" s="22"/>
      <c r="T1141" s="19"/>
      <c r="U1141" s="24">
        <v>4.5661502050762914E-2</v>
      </c>
      <c r="V1141" s="24">
        <f t="shared" si="55"/>
        <v>4.3001491597730812E-2</v>
      </c>
      <c r="W1141" s="106">
        <v>4.3001490000000002</v>
      </c>
      <c r="X1141" s="106">
        <v>4.3000999999999998E-2</v>
      </c>
      <c r="Y1141" s="34">
        <f t="shared" si="53"/>
        <v>-4.9159773081453029E-7</v>
      </c>
    </row>
    <row r="1142" spans="15:25" ht="17.100000000000001" customHeight="1">
      <c r="O1142" s="12">
        <f t="shared" si="54"/>
        <v>94.083333333333329</v>
      </c>
      <c r="P1142" s="13">
        <v>1129</v>
      </c>
      <c r="Q1142" s="22"/>
      <c r="R1142" s="19"/>
      <c r="S1142" s="22"/>
      <c r="T1142" s="19"/>
      <c r="U1142" s="24">
        <v>4.5659142974999511E-2</v>
      </c>
      <c r="V1142" s="24">
        <f t="shared" si="55"/>
        <v>4.300147631848894E-2</v>
      </c>
      <c r="W1142" s="106">
        <v>4.3001480000000001</v>
      </c>
      <c r="X1142" s="106">
        <v>4.3000999999999998E-2</v>
      </c>
      <c r="Y1142" s="34">
        <f t="shared" si="53"/>
        <v>-4.7631848894280626E-7</v>
      </c>
    </row>
    <row r="1143" spans="15:25" ht="17.100000000000001" customHeight="1">
      <c r="O1143" s="12">
        <f t="shared" si="54"/>
        <v>94.166666666666671</v>
      </c>
      <c r="P1143" s="13">
        <v>1130</v>
      </c>
      <c r="Q1143" s="22"/>
      <c r="R1143" s="19"/>
      <c r="S1143" s="22"/>
      <c r="T1143" s="19"/>
      <c r="U1143" s="24">
        <v>4.5656788066343656E-2</v>
      </c>
      <c r="V1143" s="24">
        <f t="shared" si="55"/>
        <v>4.3001461195909085E-2</v>
      </c>
      <c r="W1143" s="106">
        <v>4.3001459999999998</v>
      </c>
      <c r="X1143" s="106">
        <v>4.3000999999999998E-2</v>
      </c>
      <c r="Y1143" s="34">
        <f t="shared" si="53"/>
        <v>-4.6119590908777486E-7</v>
      </c>
    </row>
    <row r="1144" spans="15:25" ht="17.100000000000001" customHeight="1">
      <c r="O1144" s="12">
        <f t="shared" si="54"/>
        <v>94.25</v>
      </c>
      <c r="P1144" s="13">
        <v>1131</v>
      </c>
      <c r="Q1144" s="22"/>
      <c r="R1144" s="19"/>
      <c r="S1144" s="22"/>
      <c r="T1144" s="19"/>
      <c r="U1144" s="24">
        <v>4.565443731386698E-2</v>
      </c>
      <c r="V1144" s="24">
        <f t="shared" si="55"/>
        <v>4.3001446228819074E-2</v>
      </c>
      <c r="W1144" s="106">
        <v>4.3001449999999997</v>
      </c>
      <c r="X1144" s="106">
        <v>4.3000999999999998E-2</v>
      </c>
      <c r="Y1144" s="34">
        <f t="shared" si="53"/>
        <v>-4.4622881907596668E-7</v>
      </c>
    </row>
    <row r="1145" spans="15:25" ht="17.100000000000001" customHeight="1">
      <c r="O1145" s="12">
        <f t="shared" si="54"/>
        <v>94.333333333333329</v>
      </c>
      <c r="P1145" s="13">
        <v>1132</v>
      </c>
      <c r="Q1145" s="22"/>
      <c r="R1145" s="19"/>
      <c r="S1145" s="22"/>
      <c r="T1145" s="19"/>
      <c r="U1145" s="24">
        <v>4.5652090706678417E-2</v>
      </c>
      <c r="V1145" s="24">
        <f t="shared" si="55"/>
        <v>4.3001431414259716E-2</v>
      </c>
      <c r="W1145" s="106">
        <v>4.3001430000000003</v>
      </c>
      <c r="X1145" s="106">
        <v>4.3000999999999998E-2</v>
      </c>
      <c r="Y1145" s="34">
        <f t="shared" si="53"/>
        <v>-4.3141425971893188E-7</v>
      </c>
    </row>
    <row r="1146" spans="15:25" ht="17.100000000000001" customHeight="1">
      <c r="O1146" s="12">
        <f t="shared" si="54"/>
        <v>94.416666666666671</v>
      </c>
      <c r="P1146" s="13">
        <v>1133</v>
      </c>
      <c r="Q1146" s="22"/>
      <c r="R1146" s="19"/>
      <c r="S1146" s="22"/>
      <c r="T1146" s="19"/>
      <c r="U1146" s="24">
        <v>4.5649748233923315E-2</v>
      </c>
      <c r="V1146" s="24">
        <f t="shared" si="55"/>
        <v>4.3001416751620392E-2</v>
      </c>
      <c r="W1146" s="106">
        <v>4.3001420000000001</v>
      </c>
      <c r="X1146" s="106">
        <v>4.3000999999999998E-2</v>
      </c>
      <c r="Y1146" s="34">
        <f t="shared" si="53"/>
        <v>-4.1675162039400693E-7</v>
      </c>
    </row>
    <row r="1147" spans="15:25" ht="17.100000000000001" customHeight="1">
      <c r="O1147" s="12">
        <f t="shared" si="54"/>
        <v>94.5</v>
      </c>
      <c r="P1147" s="13">
        <v>1134</v>
      </c>
      <c r="Q1147" s="22"/>
      <c r="R1147" s="19"/>
      <c r="S1147" s="22"/>
      <c r="T1147" s="19"/>
      <c r="U1147" s="24">
        <v>4.5647409884784329E-2</v>
      </c>
      <c r="V1147" s="24">
        <f t="shared" si="55"/>
        <v>4.3001402239375874E-2</v>
      </c>
      <c r="W1147" s="106">
        <v>4.3001399999999999</v>
      </c>
      <c r="X1147" s="106">
        <v>4.3000999999999998E-2</v>
      </c>
      <c r="Y1147" s="34">
        <f t="shared" si="53"/>
        <v>-4.0223937587680059E-7</v>
      </c>
    </row>
    <row r="1148" spans="15:25" ht="17.100000000000001" customHeight="1">
      <c r="O1148" s="12">
        <f t="shared" si="54"/>
        <v>94.583333333333329</v>
      </c>
      <c r="P1148" s="13">
        <v>1135</v>
      </c>
      <c r="Q1148" s="22"/>
      <c r="R1148" s="19"/>
      <c r="S1148" s="22"/>
      <c r="T1148" s="19"/>
      <c r="U1148" s="24">
        <v>4.5645075648481193E-2</v>
      </c>
      <c r="V1148" s="24">
        <f t="shared" si="55"/>
        <v>4.300138787559038E-2</v>
      </c>
      <c r="W1148" s="106">
        <v>4.3001389999999997</v>
      </c>
      <c r="X1148" s="106">
        <v>4.3000999999999998E-2</v>
      </c>
      <c r="Y1148" s="34">
        <f t="shared" si="53"/>
        <v>-3.8787559038244712E-7</v>
      </c>
    </row>
    <row r="1149" spans="15:25" ht="17.100000000000001" customHeight="1">
      <c r="O1149" s="12">
        <f t="shared" si="54"/>
        <v>94.666666666666671</v>
      </c>
      <c r="P1149" s="13">
        <v>1136</v>
      </c>
      <c r="Q1149" s="22"/>
      <c r="R1149" s="19"/>
      <c r="S1149" s="22"/>
      <c r="T1149" s="19"/>
      <c r="U1149" s="24">
        <v>4.5642745514269834E-2</v>
      </c>
      <c r="V1149" s="24">
        <f t="shared" si="55"/>
        <v>4.3001373659266484E-2</v>
      </c>
      <c r="W1149" s="106">
        <v>4.3001370000000003</v>
      </c>
      <c r="X1149" s="106">
        <v>4.3000999999999998E-2</v>
      </c>
      <c r="Y1149" s="34">
        <f t="shared" si="53"/>
        <v>-3.7365926648658121E-7</v>
      </c>
    </row>
    <row r="1150" spans="15:25" ht="17.100000000000001" customHeight="1">
      <c r="O1150" s="12">
        <f t="shared" si="54"/>
        <v>94.75</v>
      </c>
      <c r="P1150" s="13">
        <v>1137</v>
      </c>
      <c r="Q1150" s="22"/>
      <c r="R1150" s="19"/>
      <c r="S1150" s="22"/>
      <c r="T1150" s="19"/>
      <c r="U1150" s="24">
        <v>4.5640419471443261E-2</v>
      </c>
      <c r="V1150" s="24">
        <f t="shared" si="55"/>
        <v>4.3001359588109578E-2</v>
      </c>
      <c r="W1150" s="106">
        <v>4.3001360000000002</v>
      </c>
      <c r="X1150" s="106">
        <v>4.3000999999999998E-2</v>
      </c>
      <c r="Y1150" s="34">
        <f t="shared" si="53"/>
        <v>-3.5958810958025555E-7</v>
      </c>
    </row>
    <row r="1151" spans="15:25" ht="17.100000000000001" customHeight="1">
      <c r="O1151" s="12">
        <f t="shared" si="54"/>
        <v>94.833333333333329</v>
      </c>
      <c r="P1151" s="13">
        <v>1138</v>
      </c>
      <c r="Q1151" s="22"/>
      <c r="R1151" s="19"/>
      <c r="S1151" s="22"/>
      <c r="T1151" s="19"/>
      <c r="U1151" s="24">
        <v>4.5638097509330011E-2</v>
      </c>
      <c r="V1151" s="24">
        <f t="shared" si="55"/>
        <v>4.3001345661342949E-2</v>
      </c>
      <c r="W1151" s="106">
        <v>4.300135</v>
      </c>
      <c r="X1151" s="106">
        <v>4.3000999999999998E-2</v>
      </c>
      <c r="Y1151" s="34">
        <f t="shared" si="53"/>
        <v>-3.4566134295144213E-7</v>
      </c>
    </row>
    <row r="1152" spans="15:25" ht="17.100000000000001" customHeight="1">
      <c r="O1152" s="12">
        <f t="shared" si="54"/>
        <v>94.916666666666671</v>
      </c>
      <c r="P1152" s="13">
        <v>1139</v>
      </c>
      <c r="Q1152" s="22"/>
      <c r="R1152" s="19"/>
      <c r="S1152" s="22"/>
      <c r="T1152" s="19"/>
      <c r="U1152" s="24">
        <v>4.563577961729548E-2</v>
      </c>
      <c r="V1152" s="24">
        <f t="shared" si="55"/>
        <v>4.3001331877281501E-2</v>
      </c>
      <c r="W1152" s="106">
        <v>4.3001329999999998</v>
      </c>
      <c r="X1152" s="106">
        <v>4.3000999999999998E-2</v>
      </c>
      <c r="Y1152" s="34">
        <f t="shared" si="53"/>
        <v>-3.3187728150363416E-7</v>
      </c>
    </row>
    <row r="1153" spans="15:25" ht="17.100000000000001" customHeight="1">
      <c r="O1153" s="12">
        <f t="shared" si="54"/>
        <v>95</v>
      </c>
      <c r="P1153" s="13">
        <v>1140</v>
      </c>
      <c r="Q1153" s="22"/>
      <c r="R1153" s="19"/>
      <c r="S1153" s="22"/>
      <c r="T1153" s="19"/>
      <c r="U1153" s="24">
        <v>4.5633465784741034E-2</v>
      </c>
      <c r="V1153" s="24">
        <f t="shared" si="55"/>
        <v>4.3001318234612951E-2</v>
      </c>
      <c r="W1153" s="106">
        <v>4.3001319999999996</v>
      </c>
      <c r="X1153" s="106">
        <v>4.3000999999999998E-2</v>
      </c>
      <c r="Y1153" s="34">
        <f t="shared" si="53"/>
        <v>-3.1823461295321653E-7</v>
      </c>
    </row>
    <row r="1154" spans="15:25" ht="17.100000000000001" customHeight="1">
      <c r="O1154" s="12">
        <f t="shared" si="54"/>
        <v>95.083333333333329</v>
      </c>
      <c r="P1154" s="13">
        <v>1141</v>
      </c>
      <c r="Q1154" s="22"/>
      <c r="R1154" s="19"/>
      <c r="S1154" s="22"/>
      <c r="T1154" s="19"/>
      <c r="U1154" s="24">
        <v>4.5631156001104012E-2</v>
      </c>
      <c r="V1154" s="24">
        <f t="shared" si="55"/>
        <v>4.300130473119812E-2</v>
      </c>
      <c r="W1154" s="106">
        <v>4.3001300000000002</v>
      </c>
      <c r="X1154" s="106">
        <v>4.3000999999999998E-2</v>
      </c>
      <c r="Y1154" s="34">
        <f t="shared" si="53"/>
        <v>-3.0473119812246541E-7</v>
      </c>
    </row>
    <row r="1155" spans="15:25" ht="17.100000000000001" customHeight="1">
      <c r="O1155" s="12">
        <f t="shared" si="54"/>
        <v>95.166666666666671</v>
      </c>
      <c r="P1155" s="13">
        <v>1142</v>
      </c>
      <c r="Q1155" s="22"/>
      <c r="R1155" s="19"/>
      <c r="S1155" s="22"/>
      <c r="T1155" s="19"/>
      <c r="U1155" s="24">
        <v>4.5628850255857056E-2</v>
      </c>
      <c r="V1155" s="24">
        <f t="shared" si="55"/>
        <v>4.300129136637465E-2</v>
      </c>
      <c r="W1155" s="106">
        <v>4.3001290000000001</v>
      </c>
      <c r="X1155" s="106">
        <v>4.3000999999999998E-2</v>
      </c>
      <c r="Y1155" s="34">
        <f t="shared" si="53"/>
        <v>-2.9136637465232429E-7</v>
      </c>
    </row>
    <row r="1156" spans="15:25" ht="17.100000000000001" customHeight="1">
      <c r="O1156" s="12">
        <f t="shared" si="54"/>
        <v>95.25</v>
      </c>
      <c r="P1156" s="13">
        <v>1143</v>
      </c>
      <c r="Q1156" s="22"/>
      <c r="R1156" s="19"/>
      <c r="S1156" s="22"/>
      <c r="T1156" s="19"/>
      <c r="U1156" s="24">
        <v>4.5626548538508782E-2</v>
      </c>
      <c r="V1156" s="24">
        <f t="shared" si="55"/>
        <v>4.3001278138121046E-2</v>
      </c>
      <c r="W1156" s="106">
        <v>4.300128</v>
      </c>
      <c r="X1156" s="106">
        <v>4.3000999999999998E-2</v>
      </c>
      <c r="Y1156" s="34">
        <f t="shared" si="53"/>
        <v>-2.7813812104870994E-7</v>
      </c>
    </row>
    <row r="1157" spans="15:25" ht="17.100000000000001" customHeight="1">
      <c r="O1157" s="12">
        <f t="shared" si="54"/>
        <v>95.333333333333329</v>
      </c>
      <c r="P1157" s="13">
        <v>1144</v>
      </c>
      <c r="Q1157" s="22"/>
      <c r="R1157" s="19"/>
      <c r="S1157" s="22"/>
      <c r="T1157" s="19"/>
      <c r="U1157" s="24">
        <v>4.5624250838603109E-2</v>
      </c>
      <c r="V1157" s="24">
        <f t="shared" si="55"/>
        <v>4.3001265045966131E-2</v>
      </c>
      <c r="W1157" s="106">
        <v>4.3001269999999998</v>
      </c>
      <c r="X1157" s="106">
        <v>4.3000999999999998E-2</v>
      </c>
      <c r="Y1157" s="34">
        <f t="shared" si="53"/>
        <v>-2.6504596613297071E-7</v>
      </c>
    </row>
    <row r="1158" spans="15:25" ht="17.100000000000001" customHeight="1">
      <c r="O1158" s="12">
        <f t="shared" si="54"/>
        <v>95.416666666666671</v>
      </c>
      <c r="P1158" s="13">
        <v>1145</v>
      </c>
      <c r="Q1158" s="22"/>
      <c r="R1158" s="19"/>
      <c r="S1158" s="22"/>
      <c r="T1158" s="19"/>
      <c r="U1158" s="24">
        <v>4.5621957145719927E-2</v>
      </c>
      <c r="V1158" s="24">
        <f t="shared" si="55"/>
        <v>4.3001252087261577E-2</v>
      </c>
      <c r="W1158" s="106">
        <v>4.3001250000000004</v>
      </c>
      <c r="X1158" s="106">
        <v>4.3000999999999998E-2</v>
      </c>
      <c r="Y1158" s="34">
        <f t="shared" si="53"/>
        <v>-2.5208726157910366E-7</v>
      </c>
    </row>
    <row r="1159" spans="15:25" ht="17.100000000000001" customHeight="1">
      <c r="O1159" s="12">
        <f t="shared" si="54"/>
        <v>95.5</v>
      </c>
      <c r="P1159" s="13">
        <v>1146</v>
      </c>
      <c r="Q1159" s="22"/>
      <c r="R1159" s="19"/>
      <c r="S1159" s="22"/>
      <c r="T1159" s="19"/>
      <c r="U1159" s="24">
        <v>4.5619667449473322E-2</v>
      </c>
      <c r="V1159" s="24">
        <f t="shared" si="55"/>
        <v>4.3001239261911239E-2</v>
      </c>
      <c r="W1159" s="106">
        <v>4.3001240000000003</v>
      </c>
      <c r="X1159" s="106">
        <v>4.3000999999999998E-2</v>
      </c>
      <c r="Y1159" s="34">
        <f t="shared" si="53"/>
        <v>-2.3926191124179486E-7</v>
      </c>
    </row>
    <row r="1160" spans="15:25" ht="17.100000000000001" customHeight="1">
      <c r="O1160" s="12">
        <f t="shared" si="54"/>
        <v>95.583333333333329</v>
      </c>
      <c r="P1160" s="13">
        <v>1147</v>
      </c>
      <c r="Q1160" s="22"/>
      <c r="R1160" s="19"/>
      <c r="S1160" s="22"/>
      <c r="T1160" s="19"/>
      <c r="U1160" s="24">
        <v>4.5617381739513574E-2</v>
      </c>
      <c r="V1160" s="24">
        <f t="shared" si="55"/>
        <v>4.3001226567666251E-2</v>
      </c>
      <c r="W1160" s="106">
        <v>4.3001230000000001</v>
      </c>
      <c r="X1160" s="106">
        <v>4.3000999999999998E-2</v>
      </c>
      <c r="Y1160" s="34">
        <f t="shared" si="53"/>
        <v>-2.2656766625328562E-7</v>
      </c>
    </row>
    <row r="1161" spans="15:25" ht="17.100000000000001" customHeight="1">
      <c r="O1161" s="12">
        <f t="shared" si="54"/>
        <v>95.666666666666671</v>
      </c>
      <c r="P1161" s="13">
        <v>1148</v>
      </c>
      <c r="Q1161" s="22"/>
      <c r="R1161" s="19"/>
      <c r="S1161" s="22"/>
      <c r="T1161" s="19"/>
      <c r="U1161" s="24">
        <v>4.5615100005524933E-2</v>
      </c>
      <c r="V1161" s="24">
        <f t="shared" si="55"/>
        <v>4.3001214003316912E-2</v>
      </c>
      <c r="W1161" s="106">
        <v>4.3001209999999999</v>
      </c>
      <c r="X1161" s="106">
        <v>4.3000999999999998E-2</v>
      </c>
      <c r="Y1161" s="34">
        <f t="shared" si="53"/>
        <v>-2.1400331691456831E-7</v>
      </c>
    </row>
    <row r="1162" spans="15:25" ht="17.100000000000001" customHeight="1">
      <c r="O1162" s="12">
        <f t="shared" si="54"/>
        <v>95.75</v>
      </c>
      <c r="P1162" s="13">
        <v>1149</v>
      </c>
      <c r="Q1162" s="22"/>
      <c r="R1162" s="19"/>
      <c r="S1162" s="22"/>
      <c r="T1162" s="19"/>
      <c r="U1162" s="24">
        <v>4.5612822237226736E-2</v>
      </c>
      <c r="V1162" s="24">
        <f t="shared" si="55"/>
        <v>4.3001201568055869E-2</v>
      </c>
      <c r="W1162" s="106">
        <v>4.3001199999999997</v>
      </c>
      <c r="X1162" s="106">
        <v>4.3000999999999998E-2</v>
      </c>
      <c r="Y1162" s="34">
        <f t="shared" si="53"/>
        <v>-2.0156805587145943E-7</v>
      </c>
    </row>
    <row r="1163" spans="15:25" ht="17.100000000000001" customHeight="1">
      <c r="O1163" s="12">
        <f t="shared" si="54"/>
        <v>95.833333333333329</v>
      </c>
      <c r="P1163" s="13">
        <v>1150</v>
      </c>
      <c r="Q1163" s="22"/>
      <c r="R1163" s="19"/>
      <c r="S1163" s="22"/>
      <c r="T1163" s="19"/>
      <c r="U1163" s="24">
        <v>4.5610548424373398E-2</v>
      </c>
      <c r="V1163" s="24">
        <f t="shared" si="55"/>
        <v>4.3001189259711525E-2</v>
      </c>
      <c r="W1163" s="106">
        <v>4.3001189999999996</v>
      </c>
      <c r="X1163" s="106">
        <v>4.3000999999999998E-2</v>
      </c>
      <c r="Y1163" s="34">
        <f t="shared" si="53"/>
        <v>-1.8925971152772281E-7</v>
      </c>
    </row>
    <row r="1164" spans="15:25" ht="17.100000000000001" customHeight="1">
      <c r="O1164" s="12">
        <f t="shared" si="54"/>
        <v>95.916666666666671</v>
      </c>
      <c r="P1164" s="13">
        <v>1151</v>
      </c>
      <c r="Q1164" s="22"/>
      <c r="R1164" s="19"/>
      <c r="S1164" s="22"/>
      <c r="T1164" s="19"/>
      <c r="U1164" s="24">
        <v>4.5608278556752868E-2</v>
      </c>
      <c r="V1164" s="24">
        <f t="shared" si="55"/>
        <v>4.3001177077545139E-2</v>
      </c>
      <c r="W1164" s="106">
        <v>4.3001180000000003</v>
      </c>
      <c r="X1164" s="106">
        <v>4.3000999999999998E-2</v>
      </c>
      <c r="Y1164" s="34">
        <f t="shared" si="53"/>
        <v>-1.7707754514095786E-7</v>
      </c>
    </row>
    <row r="1165" spans="15:25" ht="17.100000000000001" customHeight="1">
      <c r="O1165" s="12">
        <f t="shared" si="54"/>
        <v>96</v>
      </c>
      <c r="P1165" s="13">
        <v>1152</v>
      </c>
      <c r="Q1165" s="22"/>
      <c r="R1165" s="19"/>
      <c r="S1165" s="22"/>
      <c r="T1165" s="19"/>
      <c r="U1165" s="24">
        <v>4.5606012624188397E-2</v>
      </c>
      <c r="V1165" s="24">
        <f t="shared" si="55"/>
        <v>4.3001165020319254E-2</v>
      </c>
      <c r="W1165" s="106">
        <v>4.3001170000000002</v>
      </c>
      <c r="X1165" s="106">
        <v>4.3000999999999998E-2</v>
      </c>
      <c r="Y1165" s="34">
        <f t="shared" ref="Y1165:Y1211" si="56">X1165-V1165</f>
        <v>-1.6502031925658134E-7</v>
      </c>
    </row>
    <row r="1166" spans="15:25" ht="17.100000000000001" customHeight="1">
      <c r="O1166" s="12">
        <f t="shared" ref="O1166:O1214" si="57">P1166/12</f>
        <v>96.083333333333329</v>
      </c>
      <c r="P1166" s="13">
        <v>1153</v>
      </c>
      <c r="Q1166" s="22"/>
      <c r="R1166" s="19"/>
      <c r="S1166" s="22"/>
      <c r="T1166" s="19"/>
      <c r="U1166" s="24">
        <v>4.5603750616536987E-2</v>
      </c>
      <c r="V1166" s="24">
        <f t="shared" ref="V1166:V1229" si="58">(1+U1167)^P1167/(1+U1166)^P1166-1</f>
        <v>4.3001153086685173E-2</v>
      </c>
      <c r="W1166" s="106">
        <v>4.3001149999999999</v>
      </c>
      <c r="X1166" s="106">
        <v>4.3000999999999998E-2</v>
      </c>
      <c r="Y1166" s="34">
        <f t="shared" si="56"/>
        <v>-1.5308668517566293E-7</v>
      </c>
    </row>
    <row r="1167" spans="15:25" ht="17.100000000000001" customHeight="1">
      <c r="O1167" s="12">
        <f t="shared" si="57"/>
        <v>96.166666666666671</v>
      </c>
      <c r="P1167" s="13">
        <v>1154</v>
      </c>
      <c r="Q1167" s="22"/>
      <c r="R1167" s="19"/>
      <c r="S1167" s="22"/>
      <c r="T1167" s="19"/>
      <c r="U1167" s="24">
        <v>4.5601492523690057E-2</v>
      </c>
      <c r="V1167" s="24">
        <f t="shared" si="58"/>
        <v>4.300114127496224E-2</v>
      </c>
      <c r="W1167" s="106">
        <v>4.3001139999999998</v>
      </c>
      <c r="X1167" s="106">
        <v>4.3000999999999998E-2</v>
      </c>
      <c r="Y1167" s="34">
        <f t="shared" si="56"/>
        <v>-1.4127496224258795E-7</v>
      </c>
    </row>
    <row r="1168" spans="15:25" ht="17.100000000000001" customHeight="1">
      <c r="O1168" s="12">
        <f t="shared" si="57"/>
        <v>96.25</v>
      </c>
      <c r="P1168" s="13">
        <v>1155</v>
      </c>
      <c r="Q1168" s="22"/>
      <c r="R1168" s="19"/>
      <c r="S1168" s="22"/>
      <c r="T1168" s="19"/>
      <c r="U1168" s="24">
        <v>4.5599238335572556E-2</v>
      </c>
      <c r="V1168" s="24">
        <f t="shared" si="58"/>
        <v>4.3001129584553377E-2</v>
      </c>
      <c r="W1168" s="106">
        <v>4.3001129999999996</v>
      </c>
      <c r="X1168" s="106">
        <v>4.3000999999999998E-2</v>
      </c>
      <c r="Y1168" s="34">
        <f t="shared" si="56"/>
        <v>-1.2958455337941377E-7</v>
      </c>
    </row>
    <row r="1169" spans="15:25" ht="17.100000000000001" customHeight="1">
      <c r="O1169" s="12">
        <f t="shared" si="57"/>
        <v>96.333333333333329</v>
      </c>
      <c r="P1169" s="13">
        <v>1156</v>
      </c>
      <c r="Q1169" s="22"/>
      <c r="R1169" s="19"/>
      <c r="S1169" s="22"/>
      <c r="T1169" s="19"/>
      <c r="U1169" s="24">
        <v>4.5596988042143627E-2</v>
      </c>
      <c r="V1169" s="24">
        <f t="shared" si="58"/>
        <v>4.3001118013911599E-2</v>
      </c>
      <c r="W1169" s="106">
        <v>4.3001120000000004</v>
      </c>
      <c r="X1169" s="106">
        <v>4.3000999999999998E-2</v>
      </c>
      <c r="Y1169" s="34">
        <f t="shared" si="56"/>
        <v>-1.1801391160137786E-7</v>
      </c>
    </row>
    <row r="1170" spans="15:25" ht="17.100000000000001" customHeight="1">
      <c r="O1170" s="12">
        <f t="shared" si="57"/>
        <v>96.416666666666671</v>
      </c>
      <c r="P1170" s="13">
        <v>1157</v>
      </c>
      <c r="Q1170" s="22"/>
      <c r="R1170" s="19"/>
      <c r="S1170" s="22"/>
      <c r="T1170" s="19"/>
      <c r="U1170" s="24">
        <v>4.5594741633395941E-2</v>
      </c>
      <c r="V1170" s="24">
        <f t="shared" si="58"/>
        <v>4.3001106561409319E-2</v>
      </c>
      <c r="W1170" s="106">
        <v>4.3001110000000002</v>
      </c>
      <c r="X1170" s="106">
        <v>4.3000999999999998E-2</v>
      </c>
      <c r="Y1170" s="34">
        <f t="shared" si="56"/>
        <v>-1.0656140932152613E-7</v>
      </c>
    </row>
    <row r="1171" spans="15:25" ht="17.100000000000001" customHeight="1">
      <c r="O1171" s="12">
        <f t="shared" si="57"/>
        <v>96.5</v>
      </c>
      <c r="P1171" s="13">
        <v>1158</v>
      </c>
      <c r="Q1171" s="22"/>
      <c r="R1171" s="19"/>
      <c r="S1171" s="22"/>
      <c r="T1171" s="19"/>
      <c r="U1171" s="24">
        <v>4.5592499099355477E-2</v>
      </c>
      <c r="V1171" s="24">
        <f t="shared" si="58"/>
        <v>4.3001095226646191E-2</v>
      </c>
      <c r="W1171" s="106">
        <v>4.3001100000000001</v>
      </c>
      <c r="X1171" s="106">
        <v>4.3000999999999998E-2</v>
      </c>
      <c r="Y1171" s="34">
        <f t="shared" si="56"/>
        <v>-9.5226646193435904E-8</v>
      </c>
    </row>
    <row r="1172" spans="15:25" ht="17.100000000000001" customHeight="1">
      <c r="O1172" s="12">
        <f t="shared" si="57"/>
        <v>96.583333333333329</v>
      </c>
      <c r="P1172" s="13">
        <v>1159</v>
      </c>
      <c r="Q1172" s="22"/>
      <c r="R1172" s="19"/>
      <c r="S1172" s="22"/>
      <c r="T1172" s="19"/>
      <c r="U1172" s="24">
        <v>4.5590260430082186E-2</v>
      </c>
      <c r="V1172" s="24">
        <f t="shared" si="58"/>
        <v>4.300108400765601E-2</v>
      </c>
      <c r="W1172" s="106">
        <v>4.3001079999999998</v>
      </c>
      <c r="X1172" s="106">
        <v>4.3000999999999998E-2</v>
      </c>
      <c r="Y1172" s="34">
        <f t="shared" si="56"/>
        <v>-8.400765601213056E-8</v>
      </c>
    </row>
    <row r="1173" spans="15:25" ht="17.100000000000001" customHeight="1">
      <c r="O1173" s="12">
        <f t="shared" si="57"/>
        <v>96.666666666666671</v>
      </c>
      <c r="P1173" s="13">
        <v>1160</v>
      </c>
      <c r="Q1173" s="22"/>
      <c r="R1173" s="19"/>
      <c r="S1173" s="22"/>
      <c r="T1173" s="19"/>
      <c r="U1173" s="24">
        <v>4.5588025615668659E-2</v>
      </c>
      <c r="V1173" s="24">
        <f t="shared" si="58"/>
        <v>4.3001072903598558E-2</v>
      </c>
      <c r="W1173" s="106">
        <v>4.3001069999999997</v>
      </c>
      <c r="X1173" s="106">
        <v>4.3000999999999998E-2</v>
      </c>
      <c r="Y1173" s="34">
        <f t="shared" si="56"/>
        <v>-7.2903598560825067E-8</v>
      </c>
    </row>
    <row r="1174" spans="15:25" ht="17.100000000000001" customHeight="1">
      <c r="O1174" s="12">
        <f t="shared" si="57"/>
        <v>96.75</v>
      </c>
      <c r="P1174" s="13">
        <v>1161</v>
      </c>
      <c r="Q1174" s="22"/>
      <c r="R1174" s="19"/>
      <c r="S1174" s="22"/>
      <c r="T1174" s="19"/>
      <c r="U1174" s="24">
        <v>4.5585794646241018E-2</v>
      </c>
      <c r="V1174" s="24">
        <f t="shared" si="58"/>
        <v>4.3001061913443328E-2</v>
      </c>
      <c r="W1174" s="106">
        <v>4.3001060000000004</v>
      </c>
      <c r="X1174" s="106">
        <v>4.3000999999999998E-2</v>
      </c>
      <c r="Y1174" s="34">
        <f t="shared" si="56"/>
        <v>-6.1913443330507967E-8</v>
      </c>
    </row>
    <row r="1175" spans="15:25" ht="17.100000000000001" customHeight="1">
      <c r="O1175" s="12">
        <f t="shared" si="57"/>
        <v>96.833333333333329</v>
      </c>
      <c r="P1175" s="13">
        <v>1162</v>
      </c>
      <c r="Q1175" s="22"/>
      <c r="R1175" s="19"/>
      <c r="S1175" s="22"/>
      <c r="T1175" s="19"/>
      <c r="U1175" s="24">
        <v>4.5583567511958467E-2</v>
      </c>
      <c r="V1175" s="24">
        <f t="shared" si="58"/>
        <v>4.3001051036060112E-2</v>
      </c>
      <c r="W1175" s="106">
        <v>4.3001050000000003</v>
      </c>
      <c r="X1175" s="106">
        <v>4.3000999999999998E-2</v>
      </c>
      <c r="Y1175" s="34">
        <f t="shared" si="56"/>
        <v>-5.1036060114140192E-8</v>
      </c>
    </row>
    <row r="1176" spans="15:25" ht="17.100000000000001" customHeight="1">
      <c r="O1176" s="12">
        <f t="shared" si="57"/>
        <v>96.916666666666671</v>
      </c>
      <c r="P1176" s="13">
        <v>1163</v>
      </c>
      <c r="Q1176" s="22"/>
      <c r="R1176" s="19"/>
      <c r="S1176" s="22"/>
      <c r="T1176" s="19"/>
      <c r="U1176" s="24">
        <v>4.5581344203013074E-2</v>
      </c>
      <c r="V1176" s="24">
        <f t="shared" si="58"/>
        <v>4.3001040269705859E-2</v>
      </c>
      <c r="W1176" s="106">
        <v>4.3001040000000001</v>
      </c>
      <c r="X1176" s="106">
        <v>4.3000999999999998E-2</v>
      </c>
      <c r="Y1176" s="34">
        <f t="shared" si="56"/>
        <v>-4.026970586157308E-8</v>
      </c>
    </row>
    <row r="1177" spans="15:25" ht="17.100000000000001" customHeight="1">
      <c r="O1177" s="12">
        <f t="shared" si="57"/>
        <v>97</v>
      </c>
      <c r="P1177" s="13">
        <v>1164</v>
      </c>
      <c r="Q1177" s="22"/>
      <c r="R1177" s="19"/>
      <c r="S1177" s="22"/>
      <c r="T1177" s="19"/>
      <c r="U1177" s="24">
        <v>4.5579124709629326E-2</v>
      </c>
      <c r="V1177" s="24">
        <f t="shared" si="58"/>
        <v>4.3001029613684016E-2</v>
      </c>
      <c r="W1177" s="106">
        <v>4.300103</v>
      </c>
      <c r="X1177" s="106">
        <v>4.3000999999999998E-2</v>
      </c>
      <c r="Y1177" s="34">
        <f t="shared" si="56"/>
        <v>-2.9613684018880981E-8</v>
      </c>
    </row>
    <row r="1178" spans="15:25" ht="17.100000000000001" customHeight="1">
      <c r="O1178" s="12">
        <f t="shared" si="57"/>
        <v>97.083333333333329</v>
      </c>
      <c r="P1178" s="13">
        <v>1165</v>
      </c>
      <c r="Q1178" s="22"/>
      <c r="R1178" s="19"/>
      <c r="S1178" s="22"/>
      <c r="T1178" s="19"/>
      <c r="U1178" s="24">
        <v>4.5576909022064571E-2</v>
      </c>
      <c r="V1178" s="24">
        <f t="shared" si="58"/>
        <v>4.3001019067148372E-2</v>
      </c>
      <c r="W1178" s="106">
        <v>4.3001019999999999</v>
      </c>
      <c r="X1178" s="106">
        <v>4.3000999999999998E-2</v>
      </c>
      <c r="Y1178" s="34">
        <f t="shared" si="56"/>
        <v>-1.9067148374074527E-8</v>
      </c>
    </row>
    <row r="1179" spans="15:25" ht="17.100000000000001" customHeight="1">
      <c r="O1179" s="12">
        <f t="shared" si="57"/>
        <v>97.166666666666671</v>
      </c>
      <c r="P1179" s="13">
        <v>1166</v>
      </c>
      <c r="Q1179" s="22"/>
      <c r="R1179" s="19"/>
      <c r="S1179" s="22"/>
      <c r="T1179" s="19"/>
      <c r="U1179" s="24">
        <v>4.5574697130608799E-2</v>
      </c>
      <c r="V1179" s="24">
        <f t="shared" si="58"/>
        <v>4.3001008628562154E-2</v>
      </c>
      <c r="W1179" s="106">
        <v>4.3001009999999997</v>
      </c>
      <c r="X1179" s="106">
        <v>4.3000999999999998E-2</v>
      </c>
      <c r="Y1179" s="34">
        <f t="shared" si="56"/>
        <v>-8.6285621564430315E-9</v>
      </c>
    </row>
    <row r="1180" spans="15:25" ht="17.100000000000001" customHeight="1">
      <c r="O1180" s="12">
        <f t="shared" si="57"/>
        <v>97.25</v>
      </c>
      <c r="P1180" s="13">
        <v>1167</v>
      </c>
      <c r="Q1180" s="22"/>
      <c r="R1180" s="19"/>
      <c r="S1180" s="22"/>
      <c r="T1180" s="19"/>
      <c r="U1180" s="24">
        <v>4.5572489025584195E-2</v>
      </c>
      <c r="V1180" s="24">
        <f t="shared" si="58"/>
        <v>4.300099829646209E-2</v>
      </c>
      <c r="W1180" s="106">
        <v>4.3000999999999996</v>
      </c>
      <c r="X1180" s="106">
        <v>4.3000999999999998E-2</v>
      </c>
      <c r="Y1180" s="34">
        <f t="shared" si="56"/>
        <v>1.7035379079599622E-9</v>
      </c>
    </row>
    <row r="1181" spans="15:25" ht="17.100000000000001" customHeight="1">
      <c r="O1181" s="12">
        <f t="shared" si="57"/>
        <v>97.333333333333329</v>
      </c>
      <c r="P1181" s="13">
        <v>1168</v>
      </c>
      <c r="Q1181" s="22"/>
      <c r="R1181" s="19"/>
      <c r="S1181" s="22"/>
      <c r="T1181" s="19"/>
      <c r="U1181" s="24">
        <v>4.557028469734492E-2</v>
      </c>
      <c r="V1181" s="24">
        <f t="shared" si="58"/>
        <v>4.3000988070460044E-2</v>
      </c>
      <c r="W1181" s="106">
        <v>4.3000990000000003</v>
      </c>
      <c r="X1181" s="106">
        <v>4.3000999999999998E-2</v>
      </c>
      <c r="Y1181" s="34">
        <f t="shared" si="56"/>
        <v>1.1929539953103863E-8</v>
      </c>
    </row>
    <row r="1182" spans="15:25" ht="17.100000000000001" customHeight="1">
      <c r="O1182" s="12">
        <f t="shared" si="57"/>
        <v>97.416666666666671</v>
      </c>
      <c r="P1182" s="13">
        <v>1169</v>
      </c>
      <c r="Q1182" s="22"/>
      <c r="R1182" s="19"/>
      <c r="S1182" s="22"/>
      <c r="T1182" s="19"/>
      <c r="U1182" s="24">
        <v>4.5568084136277553E-2</v>
      </c>
      <c r="V1182" s="24">
        <f t="shared" si="58"/>
        <v>4.3000977949229746E-2</v>
      </c>
      <c r="W1182" s="106">
        <v>4.3000980000000002</v>
      </c>
      <c r="X1182" s="106">
        <v>4.3000999999999998E-2</v>
      </c>
      <c r="Y1182" s="34">
        <f t="shared" si="56"/>
        <v>2.2050770251413887E-8</v>
      </c>
    </row>
    <row r="1183" spans="15:25" ht="17.100000000000001" customHeight="1">
      <c r="O1183" s="12">
        <f t="shared" si="57"/>
        <v>97.5</v>
      </c>
      <c r="P1183" s="13">
        <v>1170</v>
      </c>
      <c r="Q1183" s="22"/>
      <c r="R1183" s="19"/>
      <c r="S1183" s="22"/>
      <c r="T1183" s="19"/>
      <c r="U1183" s="24">
        <v>4.5565887332800648E-2</v>
      </c>
      <c r="V1183" s="24">
        <f t="shared" si="58"/>
        <v>4.3000967931760448E-2</v>
      </c>
      <c r="W1183" s="106">
        <v>4.3000970000000001</v>
      </c>
      <c r="X1183" s="106">
        <v>4.3000999999999998E-2</v>
      </c>
      <c r="Y1183" s="34">
        <f t="shared" si="56"/>
        <v>3.2068239549931654E-8</v>
      </c>
    </row>
    <row r="1184" spans="15:25" ht="17.100000000000001" customHeight="1">
      <c r="O1184" s="12">
        <f t="shared" si="57"/>
        <v>97.583333333333329</v>
      </c>
      <c r="P1184" s="13">
        <v>1171</v>
      </c>
      <c r="Q1184" s="22"/>
      <c r="R1184" s="19"/>
      <c r="S1184" s="22"/>
      <c r="T1184" s="19"/>
      <c r="U1184" s="24">
        <v>4.556369427736473E-2</v>
      </c>
      <c r="V1184" s="24">
        <f t="shared" si="58"/>
        <v>4.300095801726278E-2</v>
      </c>
      <c r="W1184" s="106">
        <v>4.3000959999999999</v>
      </c>
      <c r="X1184" s="106">
        <v>4.3000999999999998E-2</v>
      </c>
      <c r="Y1184" s="34">
        <f t="shared" si="56"/>
        <v>4.1982737217227672E-8</v>
      </c>
    </row>
    <row r="1185" spans="15:25" ht="17.100000000000001" customHeight="1">
      <c r="O1185" s="12">
        <f t="shared" si="57"/>
        <v>97.666666666666671</v>
      </c>
      <c r="P1185" s="13">
        <v>1172</v>
      </c>
      <c r="Q1185" s="22"/>
      <c r="R1185" s="19"/>
      <c r="S1185" s="22"/>
      <c r="T1185" s="19"/>
      <c r="U1185" s="24">
        <v>4.5561504960452082E-2</v>
      </c>
      <c r="V1185" s="24">
        <f t="shared" si="58"/>
        <v>4.3000948203441247E-2</v>
      </c>
      <c r="W1185" s="106">
        <v>4.3000949999999998</v>
      </c>
      <c r="X1185" s="106">
        <v>4.3000999999999998E-2</v>
      </c>
      <c r="Y1185" s="34">
        <f t="shared" si="56"/>
        <v>5.1796558750427657E-8</v>
      </c>
    </row>
    <row r="1186" spans="15:25" ht="17.100000000000001" customHeight="1">
      <c r="O1186" s="12">
        <f t="shared" si="57"/>
        <v>97.75</v>
      </c>
      <c r="P1186" s="13">
        <v>1173</v>
      </c>
      <c r="Q1186" s="22"/>
      <c r="R1186" s="19"/>
      <c r="S1186" s="22"/>
      <c r="T1186" s="19"/>
      <c r="U1186" s="24">
        <v>4.5559319372575624E-2</v>
      </c>
      <c r="V1186" s="24">
        <f t="shared" si="58"/>
        <v>4.3000938490700635E-2</v>
      </c>
      <c r="W1186" s="106">
        <v>4.3000939999999996</v>
      </c>
      <c r="X1186" s="106">
        <v>4.3000999999999998E-2</v>
      </c>
      <c r="Y1186" s="34">
        <f t="shared" si="56"/>
        <v>6.1509299362216829E-8</v>
      </c>
    </row>
    <row r="1187" spans="15:25" ht="17.100000000000001" customHeight="1">
      <c r="O1187" s="12">
        <f t="shared" si="57"/>
        <v>97.833333333333329</v>
      </c>
      <c r="P1187" s="13">
        <v>1174</v>
      </c>
      <c r="Q1187" s="22"/>
      <c r="R1187" s="19"/>
      <c r="S1187" s="22"/>
      <c r="T1187" s="19"/>
      <c r="U1187" s="24">
        <v>4.5557137504281142E-2</v>
      </c>
      <c r="V1187" s="24">
        <f t="shared" si="58"/>
        <v>4.3000928877164224E-2</v>
      </c>
      <c r="W1187" s="106">
        <v>4.3000930000000004</v>
      </c>
      <c r="X1187" s="106">
        <v>4.3000999999999998E-2</v>
      </c>
      <c r="Y1187" s="34">
        <f t="shared" si="56"/>
        <v>7.1122835773596016E-8</v>
      </c>
    </row>
    <row r="1188" spans="15:25" ht="17.100000000000001" customHeight="1">
      <c r="O1188" s="12">
        <f t="shared" si="57"/>
        <v>97.916666666666671</v>
      </c>
      <c r="P1188" s="13">
        <v>1175</v>
      </c>
      <c r="Q1188" s="22"/>
      <c r="R1188" s="19"/>
      <c r="S1188" s="22"/>
      <c r="T1188" s="19"/>
      <c r="U1188" s="24">
        <v>4.5554959346144619E-2</v>
      </c>
      <c r="V1188" s="24">
        <f t="shared" si="58"/>
        <v>4.3000919362338186E-2</v>
      </c>
      <c r="W1188" s="106">
        <v>4.3000920000000002</v>
      </c>
      <c r="X1188" s="106">
        <v>4.3000999999999998E-2</v>
      </c>
      <c r="Y1188" s="34">
        <f t="shared" si="56"/>
        <v>8.063766181176657E-8</v>
      </c>
    </row>
    <row r="1189" spans="15:25" ht="17.100000000000001" customHeight="1">
      <c r="O1189" s="12">
        <f t="shared" si="57"/>
        <v>98</v>
      </c>
      <c r="P1189" s="13">
        <v>1176</v>
      </c>
      <c r="Q1189" s="22"/>
      <c r="R1189" s="19"/>
      <c r="S1189" s="22"/>
      <c r="T1189" s="19"/>
      <c r="U1189" s="24">
        <v>4.5552784888774234E-2</v>
      </c>
      <c r="V1189" s="24">
        <f t="shared" si="58"/>
        <v>4.3000909945181576E-2</v>
      </c>
      <c r="W1189" s="106">
        <v>4.3000910000000001</v>
      </c>
      <c r="X1189" s="106">
        <v>4.3000999999999998E-2</v>
      </c>
      <c r="Y1189" s="34">
        <f t="shared" si="56"/>
        <v>9.005481842183638E-8</v>
      </c>
    </row>
    <row r="1190" spans="15:25" ht="17.100000000000001" customHeight="1">
      <c r="O1190" s="12">
        <f t="shared" si="57"/>
        <v>98.083333333333329</v>
      </c>
      <c r="P1190" s="13">
        <v>1177</v>
      </c>
      <c r="Q1190" s="22"/>
      <c r="R1190" s="19"/>
      <c r="S1190" s="22"/>
      <c r="T1190" s="19"/>
      <c r="U1190" s="24">
        <v>4.5550614122808808E-2</v>
      </c>
      <c r="V1190" s="24">
        <f t="shared" si="58"/>
        <v>4.3000900623851868E-2</v>
      </c>
      <c r="W1190" s="106">
        <v>4.30009</v>
      </c>
      <c r="X1190" s="106">
        <v>4.3000999999999998E-2</v>
      </c>
      <c r="Y1190" s="34">
        <f t="shared" si="56"/>
        <v>9.9376148129937114E-8</v>
      </c>
    </row>
    <row r="1191" spans="15:25" ht="17.100000000000001" customHeight="1">
      <c r="O1191" s="12">
        <f t="shared" si="57"/>
        <v>98.166666666666671</v>
      </c>
      <c r="P1191" s="13">
        <v>1178</v>
      </c>
      <c r="Q1191" s="22"/>
      <c r="R1191" s="19"/>
      <c r="S1191" s="22"/>
      <c r="T1191" s="19"/>
      <c r="U1191" s="24">
        <v>4.5548447038917583E-2</v>
      </c>
      <c r="V1191" s="24">
        <f t="shared" si="58"/>
        <v>4.3000891398771834E-2</v>
      </c>
      <c r="W1191" s="106">
        <v>4.3000889999999998</v>
      </c>
      <c r="X1191" s="106">
        <v>4.3000999999999998E-2</v>
      </c>
      <c r="Y1191" s="34">
        <f t="shared" si="56"/>
        <v>1.0860122816314099E-7</v>
      </c>
    </row>
    <row r="1192" spans="15:25" ht="17.100000000000001" customHeight="1">
      <c r="O1192" s="12">
        <f t="shared" si="57"/>
        <v>98.25</v>
      </c>
      <c r="P1192" s="13">
        <v>1179</v>
      </c>
      <c r="Q1192" s="22"/>
      <c r="R1192" s="19"/>
      <c r="S1192" s="22"/>
      <c r="T1192" s="19"/>
      <c r="U1192" s="24">
        <v>4.5546283627801998E-2</v>
      </c>
      <c r="V1192" s="24">
        <f t="shared" si="58"/>
        <v>4.3000882267493434E-2</v>
      </c>
      <c r="W1192" s="106">
        <v>4.3000879999999997</v>
      </c>
      <c r="X1192" s="106">
        <v>4.3000999999999998E-2</v>
      </c>
      <c r="Y1192" s="34">
        <f t="shared" si="56"/>
        <v>1.1773250656321732E-7</v>
      </c>
    </row>
    <row r="1193" spans="15:25" ht="17.100000000000001" customHeight="1">
      <c r="O1193" s="12">
        <f t="shared" si="57"/>
        <v>98.333333333333329</v>
      </c>
      <c r="P1193" s="13">
        <v>1180</v>
      </c>
      <c r="Q1193" s="22"/>
      <c r="R1193" s="19"/>
      <c r="S1193" s="22"/>
      <c r="T1193" s="19"/>
      <c r="U1193" s="24">
        <v>4.5544123880192799E-2</v>
      </c>
      <c r="V1193" s="24">
        <f t="shared" si="58"/>
        <v>4.3000873230311987E-2</v>
      </c>
      <c r="W1193" s="106">
        <v>4.3000870000000004</v>
      </c>
      <c r="X1193" s="106">
        <v>4.3000999999999998E-2</v>
      </c>
      <c r="Y1193" s="34">
        <f t="shared" si="56"/>
        <v>1.2676968801084154E-7</v>
      </c>
    </row>
    <row r="1194" spans="15:25" ht="17.100000000000001" customHeight="1">
      <c r="O1194" s="12">
        <f t="shared" si="57"/>
        <v>98.416666666666671</v>
      </c>
      <c r="P1194" s="13">
        <v>1181</v>
      </c>
      <c r="Q1194" s="22"/>
      <c r="R1194" s="19"/>
      <c r="S1194" s="22"/>
      <c r="T1194" s="19"/>
      <c r="U1194" s="24">
        <v>4.5541967786852267E-2</v>
      </c>
      <c r="V1194" s="24">
        <f t="shared" si="58"/>
        <v>4.3000864285222207E-2</v>
      </c>
      <c r="W1194" s="106">
        <v>4.3000860000000003</v>
      </c>
      <c r="X1194" s="106">
        <v>4.3000999999999998E-2</v>
      </c>
      <c r="Y1194" s="34">
        <f t="shared" si="56"/>
        <v>1.3571477779084073E-7</v>
      </c>
    </row>
    <row r="1195" spans="15:25" ht="17.100000000000001" customHeight="1">
      <c r="O1195" s="12">
        <f t="shared" si="57"/>
        <v>98.5</v>
      </c>
      <c r="P1195" s="13">
        <v>1182</v>
      </c>
      <c r="Q1195" s="22"/>
      <c r="R1195" s="19"/>
      <c r="S1195" s="22"/>
      <c r="T1195" s="19"/>
      <c r="U1195" s="24">
        <v>4.5539815338572653E-2</v>
      </c>
      <c r="V1195" s="24">
        <f t="shared" si="58"/>
        <v>4.3000855432107077E-2</v>
      </c>
      <c r="W1195" s="106">
        <v>4.3000860000000003</v>
      </c>
      <c r="X1195" s="106">
        <v>4.3000999999999998E-2</v>
      </c>
      <c r="Y1195" s="34">
        <f t="shared" si="56"/>
        <v>1.445678929207217E-7</v>
      </c>
    </row>
    <row r="1196" spans="15:25" ht="17.100000000000001" customHeight="1">
      <c r="O1196" s="12">
        <f t="shared" si="57"/>
        <v>98.583333333333329</v>
      </c>
      <c r="P1196" s="13">
        <v>1183</v>
      </c>
      <c r="Q1196" s="22"/>
      <c r="R1196" s="19"/>
      <c r="S1196" s="22"/>
      <c r="T1196" s="19"/>
      <c r="U1196" s="24">
        <v>4.5537666526177079E-2</v>
      </c>
      <c r="V1196" s="24">
        <f t="shared" si="58"/>
        <v>4.300084666958548E-2</v>
      </c>
      <c r="W1196" s="106">
        <v>4.3000850000000002</v>
      </c>
      <c r="X1196" s="106">
        <v>4.3000999999999998E-2</v>
      </c>
      <c r="Y1196" s="34">
        <f t="shared" si="56"/>
        <v>1.5333041451792706E-7</v>
      </c>
    </row>
    <row r="1197" spans="15:25" ht="17.100000000000001" customHeight="1">
      <c r="O1197" s="12">
        <f t="shared" si="57"/>
        <v>98.666666666666671</v>
      </c>
      <c r="P1197" s="13">
        <v>1184</v>
      </c>
      <c r="Q1197" s="22"/>
      <c r="R1197" s="19"/>
      <c r="S1197" s="22"/>
      <c r="T1197" s="19"/>
      <c r="U1197" s="24">
        <v>4.5535521340518414E-2</v>
      </c>
      <c r="V1197" s="24">
        <f t="shared" si="58"/>
        <v>4.300083799673815E-2</v>
      </c>
      <c r="W1197" s="106">
        <v>4.300084</v>
      </c>
      <c r="X1197" s="106">
        <v>4.3000999999999998E-2</v>
      </c>
      <c r="Y1197" s="34">
        <f t="shared" si="56"/>
        <v>1.6200326184712122E-7</v>
      </c>
    </row>
    <row r="1198" spans="15:25" ht="17.100000000000001" customHeight="1">
      <c r="O1198" s="12">
        <f t="shared" si="57"/>
        <v>98.75</v>
      </c>
      <c r="P1198" s="13">
        <v>1185</v>
      </c>
      <c r="Q1198" s="22"/>
      <c r="R1198" s="19"/>
      <c r="S1198" s="22"/>
      <c r="T1198" s="19"/>
      <c r="U1198" s="24">
        <v>4.5533379772479954E-2</v>
      </c>
      <c r="V1198" s="24">
        <f t="shared" si="58"/>
        <v>4.30008294126345E-2</v>
      </c>
      <c r="W1198" s="106">
        <v>4.3000829999999999</v>
      </c>
      <c r="X1198" s="106">
        <v>4.3000999999999998E-2</v>
      </c>
      <c r="Y1198" s="34">
        <f t="shared" si="56"/>
        <v>1.705873654972434E-7</v>
      </c>
    </row>
    <row r="1199" spans="15:25" ht="17.100000000000001" customHeight="1">
      <c r="O1199" s="12">
        <f t="shared" si="57"/>
        <v>98.833333333333329</v>
      </c>
      <c r="P1199" s="13">
        <v>1186</v>
      </c>
      <c r="Q1199" s="22"/>
      <c r="R1199" s="19"/>
      <c r="S1199" s="22"/>
      <c r="T1199" s="19"/>
      <c r="U1199" s="24">
        <v>4.5531241812974743E-2</v>
      </c>
      <c r="V1199" s="24">
        <f t="shared" si="58"/>
        <v>4.3000820917089344E-2</v>
      </c>
      <c r="W1199" s="106">
        <v>4.3000819999999997</v>
      </c>
      <c r="X1199" s="106">
        <v>4.3000999999999998E-2</v>
      </c>
      <c r="Y1199" s="34">
        <f t="shared" si="56"/>
        <v>1.7908291065349413E-7</v>
      </c>
    </row>
    <row r="1200" spans="15:25" ht="17.100000000000001" customHeight="1">
      <c r="O1200" s="12">
        <f t="shared" si="57"/>
        <v>98.916666666666671</v>
      </c>
      <c r="P1200" s="13">
        <v>1187</v>
      </c>
      <c r="Q1200" s="22"/>
      <c r="R1200" s="19"/>
      <c r="S1200" s="22"/>
      <c r="T1200" s="19"/>
      <c r="U1200" s="24">
        <v>4.5529107452946471E-2</v>
      </c>
      <c r="V1200" s="24">
        <f t="shared" si="58"/>
        <v>4.3000812507630437E-2</v>
      </c>
      <c r="W1200" s="106">
        <v>4.3000809999999996</v>
      </c>
      <c r="X1200" s="106">
        <v>4.3000999999999998E-2</v>
      </c>
      <c r="Y1200" s="34">
        <f t="shared" si="56"/>
        <v>1.8749236956050463E-7</v>
      </c>
    </row>
    <row r="1201" spans="15:25" ht="17.100000000000001" customHeight="1">
      <c r="O1201" s="12">
        <f t="shared" si="57"/>
        <v>99</v>
      </c>
      <c r="P1201" s="13">
        <v>1188</v>
      </c>
      <c r="Q1201" s="22"/>
      <c r="R1201" s="19"/>
      <c r="S1201" s="22"/>
      <c r="T1201" s="19"/>
      <c r="U1201" s="24">
        <v>4.5526976683367248E-2</v>
      </c>
      <c r="V1201" s="24">
        <f t="shared" si="58"/>
        <v>4.3000804184797792E-2</v>
      </c>
      <c r="W1201" s="106">
        <v>4.3000800000000003</v>
      </c>
      <c r="X1201" s="106">
        <v>4.3000999999999998E-2</v>
      </c>
      <c r="Y1201" s="34">
        <f t="shared" si="56"/>
        <v>1.9581520220579574E-7</v>
      </c>
    </row>
    <row r="1202" spans="15:25" ht="17.100000000000001" customHeight="1">
      <c r="O1202" s="12">
        <f t="shared" si="57"/>
        <v>99.083333333333329</v>
      </c>
      <c r="P1202" s="13">
        <v>1189</v>
      </c>
      <c r="Q1202" s="22"/>
      <c r="R1202" s="19"/>
      <c r="S1202" s="22"/>
      <c r="T1202" s="19"/>
      <c r="U1202" s="24">
        <v>4.5524849495239827E-2</v>
      </c>
      <c r="V1202" s="24">
        <f t="shared" si="58"/>
        <v>4.3000795947159665E-2</v>
      </c>
      <c r="W1202" s="106">
        <v>4.3000800000000003</v>
      </c>
      <c r="X1202" s="106">
        <v>4.3000999999999998E-2</v>
      </c>
      <c r="Y1202" s="34">
        <f t="shared" si="56"/>
        <v>2.0405284033297999E-7</v>
      </c>
    </row>
    <row r="1203" spans="15:25" ht="17.100000000000001" customHeight="1">
      <c r="O1203" s="12">
        <f t="shared" si="57"/>
        <v>99.166666666666671</v>
      </c>
      <c r="P1203" s="13">
        <v>1190</v>
      </c>
      <c r="Q1203" s="22"/>
      <c r="R1203" s="19"/>
      <c r="S1203" s="22"/>
      <c r="T1203" s="19"/>
      <c r="U1203" s="24">
        <v>4.5522725879596493E-2</v>
      </c>
      <c r="V1203" s="24">
        <f t="shared" si="58"/>
        <v>4.3000787794049922E-2</v>
      </c>
      <c r="W1203" s="106">
        <v>4.3000790000000002</v>
      </c>
      <c r="X1203" s="106">
        <v>4.3000999999999998E-2</v>
      </c>
      <c r="Y1203" s="34">
        <f t="shared" si="56"/>
        <v>2.1220595007587217E-7</v>
      </c>
    </row>
    <row r="1204" spans="15:25" ht="17.100000000000001" customHeight="1">
      <c r="O1204" s="12">
        <f t="shared" si="57"/>
        <v>99.25</v>
      </c>
      <c r="P1204" s="13">
        <v>1191</v>
      </c>
      <c r="Q1204" s="22"/>
      <c r="R1204" s="19"/>
      <c r="S1204" s="22"/>
      <c r="T1204" s="19"/>
      <c r="U1204" s="24">
        <v>4.5520605827498617E-2</v>
      </c>
      <c r="V1204" s="24">
        <f t="shared" si="58"/>
        <v>4.3000779724325255E-2</v>
      </c>
      <c r="W1204" s="106">
        <v>4.3000780000000001</v>
      </c>
      <c r="X1204" s="106">
        <v>4.3000999999999998E-2</v>
      </c>
      <c r="Y1204" s="34">
        <f t="shared" si="56"/>
        <v>2.2027567474214305E-7</v>
      </c>
    </row>
    <row r="1205" spans="15:25" ht="17.100000000000001" customHeight="1">
      <c r="O1205" s="12">
        <f t="shared" si="57"/>
        <v>99.333333333333329</v>
      </c>
      <c r="P1205" s="13">
        <v>1192</v>
      </c>
      <c r="Q1205" s="22"/>
      <c r="R1205" s="19"/>
      <c r="S1205" s="22"/>
      <c r="T1205" s="19"/>
      <c r="U1205" s="24">
        <v>4.5518489330037104E-2</v>
      </c>
      <c r="V1205" s="24">
        <f t="shared" si="58"/>
        <v>4.3000771737151444E-2</v>
      </c>
      <c r="W1205" s="106">
        <v>4.3000769999999999</v>
      </c>
      <c r="X1205" s="106">
        <v>4.3000999999999998E-2</v>
      </c>
      <c r="Y1205" s="34">
        <f t="shared" si="56"/>
        <v>2.2826284855337331E-7</v>
      </c>
    </row>
    <row r="1206" spans="15:25" ht="17.100000000000001" customHeight="1">
      <c r="O1206" s="12">
        <f t="shared" si="57"/>
        <v>99.416666666666671</v>
      </c>
      <c r="P1206" s="13">
        <v>1193</v>
      </c>
      <c r="Q1206" s="22"/>
      <c r="R1206" s="19"/>
      <c r="S1206" s="22"/>
      <c r="T1206" s="19"/>
      <c r="U1206" s="24">
        <v>4.5516376378331724E-2</v>
      </c>
      <c r="V1206" s="24">
        <f t="shared" si="58"/>
        <v>4.3000763832106381E-2</v>
      </c>
      <c r="W1206" s="106">
        <v>4.3000759999999998</v>
      </c>
      <c r="X1206" s="106">
        <v>4.3000999999999998E-2</v>
      </c>
      <c r="Y1206" s="34">
        <f t="shared" si="56"/>
        <v>2.3616789361635693E-7</v>
      </c>
    </row>
    <row r="1207" spans="15:25" ht="17.100000000000001" customHeight="1">
      <c r="O1207" s="12">
        <f t="shared" si="57"/>
        <v>99.5</v>
      </c>
      <c r="P1207" s="13">
        <v>1194</v>
      </c>
      <c r="Q1207" s="22"/>
      <c r="R1207" s="19"/>
      <c r="S1207" s="22"/>
      <c r="T1207" s="19"/>
      <c r="U1207" s="24">
        <v>4.551426696353178E-2</v>
      </c>
      <c r="V1207" s="24">
        <f t="shared" si="58"/>
        <v>4.3000756007625984E-2</v>
      </c>
      <c r="W1207" s="106">
        <v>4.3000759999999998</v>
      </c>
      <c r="X1207" s="106">
        <v>4.3000999999999998E-2</v>
      </c>
      <c r="Y1207" s="34">
        <f t="shared" si="56"/>
        <v>2.4399237401329099E-7</v>
      </c>
    </row>
    <row r="1208" spans="15:25" ht="17.100000000000001" customHeight="1">
      <c r="O1208" s="12">
        <f t="shared" si="57"/>
        <v>99.583333333333329</v>
      </c>
      <c r="P1208" s="13">
        <v>1195</v>
      </c>
      <c r="Q1208" s="22"/>
      <c r="R1208" s="19"/>
      <c r="S1208" s="22"/>
      <c r="T1208" s="19"/>
      <c r="U1208" s="24">
        <v>4.5512161076814994E-2</v>
      </c>
      <c r="V1208" s="24">
        <f t="shared" si="58"/>
        <v>4.3000748263865685E-2</v>
      </c>
      <c r="W1208" s="106">
        <v>4.3000749999999996</v>
      </c>
      <c r="X1208" s="106">
        <v>4.3000999999999998E-2</v>
      </c>
      <c r="Y1208" s="34">
        <f t="shared" si="56"/>
        <v>2.5173613431295205E-7</v>
      </c>
    </row>
    <row r="1209" spans="15:25" ht="17.100000000000001" customHeight="1">
      <c r="O1209" s="12">
        <f t="shared" si="57"/>
        <v>99.666666666666671</v>
      </c>
      <c r="P1209" s="13">
        <v>1196</v>
      </c>
      <c r="Q1209" s="22"/>
      <c r="R1209" s="19"/>
      <c r="S1209" s="22"/>
      <c r="T1209" s="19"/>
      <c r="U1209" s="24">
        <v>4.5510058709388623E-2</v>
      </c>
      <c r="V1209" s="24">
        <f t="shared" si="58"/>
        <v>4.3000740598957643E-2</v>
      </c>
      <c r="W1209" s="106">
        <v>4.3000740000000004</v>
      </c>
      <c r="X1209" s="106">
        <v>4.3000999999999998E-2</v>
      </c>
      <c r="Y1209" s="34">
        <f t="shared" si="56"/>
        <v>2.5940104235455674E-7</v>
      </c>
    </row>
    <row r="1210" spans="15:25" ht="17.100000000000001" customHeight="1">
      <c r="O1210" s="12">
        <f t="shared" si="57"/>
        <v>99.75</v>
      </c>
      <c r="P1210" s="13">
        <v>1197</v>
      </c>
      <c r="Q1210" s="22"/>
      <c r="R1210" s="19"/>
      <c r="S1210" s="22"/>
      <c r="T1210" s="19"/>
      <c r="U1210" s="24">
        <v>4.55079598524879E-2</v>
      </c>
      <c r="V1210" s="24">
        <f t="shared" si="58"/>
        <v>4.300073301230789E-2</v>
      </c>
      <c r="W1210" s="106">
        <v>4.3000730000000003</v>
      </c>
      <c r="X1210" s="106">
        <v>4.3000999999999998E-2</v>
      </c>
      <c r="Y1210" s="34">
        <f t="shared" si="56"/>
        <v>2.6698769210742324E-7</v>
      </c>
    </row>
    <row r="1211" spans="15:25" ht="17.100000000000001" customHeight="1">
      <c r="O1211" s="12">
        <f t="shared" si="57"/>
        <v>99.833333333333329</v>
      </c>
      <c r="P1211" s="13">
        <v>1198</v>
      </c>
      <c r="Q1211" s="22"/>
      <c r="R1211" s="19"/>
      <c r="S1211" s="22"/>
      <c r="T1211" s="19"/>
      <c r="U1211" s="24">
        <v>4.5505864497376924E-2</v>
      </c>
      <c r="V1211" s="24">
        <f t="shared" si="58"/>
        <v>4.3000725504114046E-2</v>
      </c>
      <c r="W1211" s="106">
        <v>4.3000730000000003</v>
      </c>
      <c r="X1211" s="106">
        <v>4.3000999999999998E-2</v>
      </c>
      <c r="Y1211" s="34">
        <f t="shared" si="56"/>
        <v>2.7449588595185315E-7</v>
      </c>
    </row>
    <row r="1212" spans="15:25" ht="17.100000000000001" customHeight="1">
      <c r="O1212" s="12">
        <f t="shared" si="57"/>
        <v>99.916666666666671</v>
      </c>
      <c r="P1212" s="13">
        <v>1199</v>
      </c>
      <c r="Q1212" s="22"/>
      <c r="R1212" s="19"/>
      <c r="S1212" s="22"/>
      <c r="T1212" s="19"/>
      <c r="U1212" s="24">
        <v>4.5503772635348883E-2</v>
      </c>
      <c r="V1212" s="24">
        <f t="shared" si="58"/>
        <v>4.3000718072328858E-2</v>
      </c>
      <c r="W1212" s="106">
        <v>4.3000720000000001</v>
      </c>
      <c r="X1212" s="106">
        <v>4.3000999999999998E-2</v>
      </c>
      <c r="Y1212" s="34">
        <f>X1212-V1212</f>
        <v>2.8192767113910389E-7</v>
      </c>
    </row>
    <row r="1213" spans="15:25" ht="17.100000000000001" customHeight="1">
      <c r="O1213" s="12">
        <f t="shared" si="57"/>
        <v>100</v>
      </c>
      <c r="P1213" s="13">
        <v>1200</v>
      </c>
      <c r="Q1213" s="22"/>
      <c r="R1213" s="19"/>
      <c r="S1213" s="22"/>
      <c r="T1213" s="19"/>
      <c r="U1213" s="24">
        <v>4.5501684257724495E-2</v>
      </c>
      <c r="V1213" s="24">
        <f t="shared" si="58"/>
        <v>4.3000710716862622E-2</v>
      </c>
      <c r="W1213" s="23"/>
      <c r="X1213" s="34"/>
    </row>
    <row r="1214" spans="15:25" ht="17.100000000000001" customHeight="1">
      <c r="O1214" s="12">
        <f t="shared" si="57"/>
        <v>100.08333333333333</v>
      </c>
      <c r="P1214" s="13">
        <v>1201</v>
      </c>
      <c r="Q1214" s="26"/>
      <c r="R1214" s="20"/>
      <c r="S1214" s="26"/>
      <c r="T1214" s="20"/>
      <c r="U1214" s="27">
        <v>4.5499599355853348E-2</v>
      </c>
      <c r="V1214" s="27"/>
      <c r="W1214" s="28"/>
      <c r="X1214" s="34"/>
    </row>
  </sheetData>
  <mergeCells count="41">
    <mergeCell ref="K3:M3"/>
    <mergeCell ref="K4:M4"/>
    <mergeCell ref="K5:M5"/>
    <mergeCell ref="V11:W11"/>
    <mergeCell ref="U6:W6"/>
    <mergeCell ref="U7:W7"/>
    <mergeCell ref="U8:W8"/>
    <mergeCell ref="U9:W9"/>
    <mergeCell ref="U10:W10"/>
    <mergeCell ref="O8:P8"/>
    <mergeCell ref="O9:P9"/>
    <mergeCell ref="O11:P11"/>
    <mergeCell ref="O10:P10"/>
    <mergeCell ref="S11:T11"/>
    <mergeCell ref="S10:T10"/>
    <mergeCell ref="S9:T9"/>
    <mergeCell ref="S8:T8"/>
    <mergeCell ref="D1:H1"/>
    <mergeCell ref="E3:H3"/>
    <mergeCell ref="E4:H4"/>
    <mergeCell ref="E5:H5"/>
    <mergeCell ref="O7:P7"/>
    <mergeCell ref="J1:M1"/>
    <mergeCell ref="O1:W1"/>
    <mergeCell ref="O3:P3"/>
    <mergeCell ref="O4:P4"/>
    <mergeCell ref="O5:P5"/>
    <mergeCell ref="O6:P6"/>
    <mergeCell ref="U3:W3"/>
    <mergeCell ref="U4:W4"/>
    <mergeCell ref="U5:W5"/>
    <mergeCell ref="E6:H6"/>
    <mergeCell ref="K6:M6"/>
    <mergeCell ref="S6:T6"/>
    <mergeCell ref="S5:T5"/>
    <mergeCell ref="S4:T4"/>
    <mergeCell ref="S3:T3"/>
    <mergeCell ref="Q5:R11"/>
    <mergeCell ref="Q4:R4"/>
    <mergeCell ref="Q3:R3"/>
    <mergeCell ref="S7:T7"/>
  </mergeCells>
  <phoneticPr fontId="2" type="noConversion"/>
  <pageMargins left="0.25" right="0.25" top="0.75" bottom="0.75" header="0.3" footer="0.3"/>
  <pageSetup paperSize="9" scale="41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원화 무위험 금리기간구조</vt:lpstr>
    </vt:vector>
  </TitlesOfParts>
  <Company>한국금융감독원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FSS_15U590</dc:creator>
  <cp:lastModifiedBy>Windows 사용자</cp:lastModifiedBy>
  <cp:lastPrinted>2026-02-04T04:36:09Z</cp:lastPrinted>
  <dcterms:created xsi:type="dcterms:W3CDTF">2021-08-24T04:22:45Z</dcterms:created>
  <dcterms:modified xsi:type="dcterms:W3CDTF">2026-08-22T05:45:52Z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soo_Trace_ID">
    <vt:lpwstr>eyAibm9kZUNvdW50IjogNjgsICJub2RlMSIgOiB7ImRzZCI6IjAwMDAwMDAwMDAwMDAwMDAiLCJsb2dUaW1lIjoiMjAyNi0wMS0wOFQwNzozODozNVoiLCJwSUQiOjIwNDgsInRyYWNlSWQiOiI5QzdDMDgzQjQ0OEI0NjREQTUxNEZEMzdDM0UwNjM1RSIsInVzZXJDb2RlIjoiMjI0MDE5MyJ9LCJub2RlMiIgOiB7ImRzZCI6IjAxMDAwMDA</vt:lpwstr>
  </property>
</Properties>
</file>