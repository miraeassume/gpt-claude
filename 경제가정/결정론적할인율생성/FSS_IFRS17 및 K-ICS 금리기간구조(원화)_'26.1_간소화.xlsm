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MALIFE\Desktop\work\gpt-claude\경제가정\결정론적할인율생성\"/>
    </mc:Choice>
  </mc:AlternateContent>
  <bookViews>
    <workbookView xWindow="28680" yWindow="-120" windowWidth="29040" windowHeight="15840"/>
  </bookViews>
  <sheets>
    <sheet name="원화 무위험 금리기간구조" sheetId="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3" l="1"/>
  <c r="U7" i="3" l="1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U4" i="3"/>
  <c r="L8" i="3" l="1"/>
  <c r="L21" i="3"/>
  <c r="L24" i="3"/>
  <c r="L20" i="3"/>
  <c r="L23" i="3"/>
  <c r="L17" i="3"/>
  <c r="L16" i="3"/>
  <c r="L22" i="3"/>
  <c r="L10" i="3"/>
  <c r="L13" i="3"/>
  <c r="L14" i="3"/>
  <c r="L18" i="3"/>
  <c r="L9" i="3"/>
  <c r="L12" i="3"/>
  <c r="L15" i="3"/>
  <c r="L19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F8" i="3" a="1"/>
  <c r="U9" i="3"/>
  <c r="F15" i="3" l="1"/>
  <c r="F10" i="3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G8" i="3" l="1"/>
  <c r="G9" i="3"/>
  <c r="G17" i="3"/>
  <c r="G21" i="3"/>
  <c r="G18" i="3"/>
  <c r="G22" i="3"/>
  <c r="G16" i="3"/>
  <c r="G14" i="3"/>
  <c r="G12" i="3"/>
  <c r="G23" i="3"/>
  <c r="G19" i="3"/>
  <c r="G20" i="3"/>
  <c r="G11" i="3"/>
  <c r="G10" i="3"/>
  <c r="G13" i="3"/>
  <c r="G15" i="3"/>
  <c r="U13" i="3" a="1"/>
  <c r="U623" i="3" l="1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V15" i="3" l="1"/>
  <c r="V788" i="3"/>
  <c r="V1142" i="3"/>
  <c r="V882" i="3"/>
  <c r="V963" i="3"/>
  <c r="V1015" i="3"/>
  <c r="V195" i="3"/>
  <c r="V742" i="3"/>
  <c r="V180" i="3"/>
  <c r="V1018" i="3"/>
  <c r="V845" i="3"/>
  <c r="V939" i="3"/>
  <c r="V696" i="3"/>
  <c r="V363" i="3"/>
  <c r="V826" i="3"/>
  <c r="V418" i="3"/>
  <c r="V1034" i="3"/>
  <c r="V46" i="3"/>
  <c r="V685" i="3"/>
  <c r="V993" i="3"/>
  <c r="V246" i="3"/>
  <c r="V471" i="3"/>
  <c r="V133" i="3"/>
  <c r="V461" i="3"/>
  <c r="V380" i="3"/>
  <c r="V1095" i="3"/>
  <c r="V478" i="3"/>
  <c r="V553" i="3"/>
  <c r="V213" i="3"/>
  <c r="V94" i="3"/>
  <c r="V918" i="3"/>
  <c r="V629" i="3"/>
  <c r="V325" i="3"/>
  <c r="V1041" i="3"/>
  <c r="V525" i="3"/>
  <c r="V1143" i="3"/>
  <c r="V312" i="3"/>
  <c r="V1097" i="3"/>
  <c r="V796" i="3"/>
  <c r="V239" i="3"/>
  <c r="V242" i="3"/>
  <c r="V945" i="3"/>
  <c r="V562" i="3"/>
  <c r="V198" i="3"/>
  <c r="V66" i="3"/>
  <c r="V732" i="3"/>
  <c r="V966" i="3"/>
  <c r="V95" i="3"/>
  <c r="V62" i="3"/>
  <c r="V595" i="3"/>
  <c r="V490" i="3"/>
  <c r="V903" i="3"/>
  <c r="V1126" i="3"/>
  <c r="V1167" i="3"/>
  <c r="V894" i="3"/>
  <c r="V948" i="3"/>
  <c r="V262" i="3"/>
  <c r="V190" i="3"/>
  <c r="V959" i="3"/>
  <c r="V234" i="3"/>
  <c r="V141" i="3"/>
  <c r="V814" i="3"/>
  <c r="V598" i="3"/>
  <c r="V515" i="3"/>
  <c r="V98" i="3"/>
  <c r="V1049" i="3"/>
  <c r="V1092" i="3"/>
  <c r="V1055" i="3"/>
  <c r="V113" i="3"/>
  <c r="V856" i="3"/>
  <c r="V931" i="3"/>
  <c r="V498" i="3"/>
  <c r="V815" i="3"/>
  <c r="V466" i="3"/>
  <c r="V504" i="3"/>
  <c r="V864" i="3"/>
  <c r="V854" i="3"/>
  <c r="V241" i="3"/>
  <c r="V973" i="3"/>
  <c r="V513" i="3"/>
  <c r="V436" i="3"/>
  <c r="V1185" i="3"/>
  <c r="V1151" i="3"/>
  <c r="V105" i="3"/>
  <c r="V783" i="3"/>
  <c r="V476" i="3"/>
  <c r="V654" i="3"/>
  <c r="V495" i="3"/>
  <c r="V810" i="3"/>
  <c r="V1155" i="3"/>
  <c r="V552" i="3"/>
  <c r="V759" i="3"/>
  <c r="V813" i="3"/>
  <c r="V1039" i="3"/>
  <c r="V704" i="3"/>
  <c r="V691" i="3"/>
  <c r="V842" i="3"/>
  <c r="V420" i="3"/>
  <c r="V111" i="3"/>
  <c r="V171" i="3"/>
  <c r="V1131" i="3"/>
  <c r="V828" i="3"/>
  <c r="V1127" i="3"/>
  <c r="V319" i="3"/>
  <c r="V439" i="3"/>
  <c r="V348" i="3"/>
  <c r="V697" i="3"/>
  <c r="V1047" i="3"/>
  <c r="V793" i="3"/>
  <c r="V1085" i="3"/>
  <c r="V560" i="3"/>
  <c r="V1189" i="3"/>
  <c r="V891" i="3"/>
  <c r="V909" i="3"/>
  <c r="V1132" i="3"/>
  <c r="V622" i="3"/>
  <c r="V121" i="3"/>
  <c r="V142" i="3"/>
  <c r="V132" i="3"/>
  <c r="V393" i="3"/>
  <c r="V1122" i="3"/>
  <c r="V875" i="3"/>
  <c r="V1205" i="3"/>
  <c r="V620" i="3"/>
  <c r="V1074" i="3"/>
  <c r="V1057" i="3"/>
  <c r="V806" i="3"/>
  <c r="V716" i="3"/>
  <c r="V329" i="3"/>
  <c r="V265" i="3"/>
  <c r="V734" i="3"/>
  <c r="V700" i="3"/>
  <c r="V878" i="3"/>
  <c r="V447" i="3"/>
  <c r="V510" i="3"/>
  <c r="V45" i="3"/>
  <c r="V698" i="3"/>
  <c r="V1121" i="3"/>
  <c r="V170" i="3"/>
  <c r="V812" i="3"/>
  <c r="V1109" i="3"/>
  <c r="V1066" i="3"/>
  <c r="V1010" i="3"/>
  <c r="V1063" i="3"/>
  <c r="V829" i="3"/>
  <c r="V1004" i="3"/>
  <c r="V956" i="3"/>
  <c r="V735" i="3"/>
  <c r="V594" i="3"/>
  <c r="V80" i="3"/>
  <c r="V1009" i="3"/>
  <c r="V900" i="3"/>
  <c r="V419" i="3"/>
  <c r="V577" i="3"/>
  <c r="V777" i="3"/>
  <c r="V369" i="3"/>
  <c r="V915" i="3"/>
  <c r="V250" i="3"/>
  <c r="V772" i="3"/>
  <c r="V1179" i="3"/>
  <c r="V277" i="3"/>
  <c r="V317" i="3"/>
  <c r="V643" i="3"/>
  <c r="V621" i="3"/>
  <c r="V437" i="3"/>
  <c r="V166" i="3"/>
  <c r="V374" i="3"/>
  <c r="V69" i="3"/>
  <c r="V301" i="3"/>
  <c r="V377" i="3"/>
  <c r="V804" i="3"/>
  <c r="V1166" i="3"/>
  <c r="V100" i="3"/>
  <c r="V867" i="3"/>
  <c r="V999" i="3"/>
  <c r="V263" i="3"/>
  <c r="V820" i="3"/>
  <c r="V1014" i="3"/>
  <c r="V91" i="3"/>
  <c r="V576" i="3"/>
  <c r="V549" i="3"/>
  <c r="V120" i="3"/>
  <c r="V217" i="3"/>
  <c r="V29" i="3"/>
  <c r="V229" i="3"/>
  <c r="V110" i="3"/>
  <c r="V164" i="3"/>
  <c r="V1110" i="3"/>
  <c r="V448" i="3"/>
  <c r="V224" i="3"/>
  <c r="V152" i="3"/>
  <c r="V304" i="3"/>
  <c r="V1111" i="3"/>
  <c r="V1163" i="3"/>
  <c r="V853" i="3"/>
  <c r="V258" i="3"/>
  <c r="V1134" i="3"/>
  <c r="V1119" i="3"/>
  <c r="V619" i="3"/>
  <c r="V663" i="3"/>
  <c r="V469" i="3"/>
  <c r="V408" i="3"/>
  <c r="V890" i="3"/>
  <c r="V631" i="3"/>
  <c r="V637" i="3"/>
  <c r="V602" i="3"/>
  <c r="V176" i="3"/>
  <c r="V261" i="3"/>
  <c r="V253" i="3"/>
  <c r="V984" i="3"/>
  <c r="V1139" i="3"/>
  <c r="V449" i="3"/>
  <c r="V843" i="3"/>
  <c r="V249" i="3"/>
  <c r="V991" i="3"/>
  <c r="V968" i="3"/>
  <c r="V291" i="3"/>
  <c r="V157" i="3"/>
  <c r="V370" i="3"/>
  <c r="V827" i="3"/>
  <c r="V1096" i="3"/>
  <c r="V610" i="3"/>
  <c r="V584" i="3"/>
  <c r="V603" i="3"/>
  <c r="V726" i="3"/>
  <c r="V546" i="3"/>
  <c r="V1068" i="3"/>
  <c r="V920" i="3"/>
  <c r="V911" i="3"/>
  <c r="V755" i="3"/>
  <c r="V717" i="3"/>
  <c r="V248" i="3"/>
  <c r="V567" i="3"/>
  <c r="V360" i="3"/>
  <c r="V757" i="3"/>
  <c r="V446" i="3"/>
  <c r="V710" i="3"/>
  <c r="V356" i="3"/>
  <c r="V292" i="3"/>
  <c r="V508" i="3"/>
  <c r="V850" i="3"/>
  <c r="V611" i="3"/>
  <c r="V707" i="3"/>
  <c r="V650" i="3"/>
  <c r="V409" i="3"/>
  <c r="V808" i="3"/>
  <c r="V849" i="3"/>
  <c r="V128" i="3"/>
  <c r="V502" i="3"/>
  <c r="V284" i="3"/>
  <c r="V305" i="3"/>
  <c r="V605" i="3"/>
  <c r="V39" i="3"/>
  <c r="V638" i="3"/>
  <c r="V89" i="3"/>
  <c r="V908" i="3"/>
  <c r="V482" i="3"/>
  <c r="V838" i="3"/>
  <c r="V971" i="3"/>
  <c r="V516" i="3"/>
  <c r="V635" i="3"/>
  <c r="V1172" i="3"/>
  <c r="V1200" i="3"/>
  <c r="V1056" i="3"/>
  <c r="V634" i="3"/>
  <c r="V355" i="3"/>
  <c r="V295" i="3"/>
  <c r="V215" i="3"/>
  <c r="V646" i="3"/>
  <c r="V585" i="3"/>
  <c r="V389" i="3"/>
  <c r="V641" i="3"/>
  <c r="V543" i="3"/>
  <c r="V519" i="3"/>
  <c r="V1011" i="3"/>
  <c r="V203" i="3"/>
  <c r="V868" i="3"/>
  <c r="V1091" i="3"/>
  <c r="V59" i="3"/>
  <c r="V126" i="3"/>
  <c r="V648" i="3"/>
  <c r="V699" i="3"/>
  <c r="V644" i="3"/>
  <c r="V924" i="3"/>
  <c r="V158" i="3"/>
  <c r="V256" i="3"/>
  <c r="V801" i="3"/>
  <c r="V20" i="3"/>
  <c r="V694" i="3"/>
  <c r="V403" i="3"/>
  <c r="V432" i="3"/>
  <c r="V858" i="3"/>
  <c r="V60" i="3"/>
  <c r="V834" i="3"/>
  <c r="V366" i="3"/>
  <c r="V361" i="3"/>
  <c r="V119" i="3"/>
  <c r="V299" i="3"/>
  <c r="V1168" i="3"/>
  <c r="V983" i="3"/>
  <c r="V857" i="3"/>
  <c r="V582" i="3"/>
  <c r="V805" i="3"/>
  <c r="V537" i="3"/>
  <c r="V998" i="3"/>
  <c r="V1050" i="3"/>
  <c r="V830" i="3"/>
  <c r="V189" i="3"/>
  <c r="V1147" i="3"/>
  <c r="V695" i="3"/>
  <c r="V746" i="3"/>
  <c r="V884" i="3"/>
  <c r="V1012" i="3"/>
  <c r="V404" i="3"/>
  <c r="V597" i="3"/>
  <c r="V386" i="3"/>
  <c r="V1101" i="3"/>
  <c r="V922" i="3"/>
  <c r="V1080" i="3"/>
  <c r="V781" i="3"/>
  <c r="V161" i="3"/>
  <c r="V311" i="3"/>
  <c r="V264" i="3"/>
  <c r="V505" i="3"/>
  <c r="V153" i="3"/>
  <c r="V869" i="3"/>
  <c r="V73" i="3"/>
  <c r="V463" i="3"/>
  <c r="V334" i="3"/>
  <c r="V254" i="3"/>
  <c r="V90" i="3"/>
  <c r="V589" i="3"/>
  <c r="V33" i="3"/>
  <c r="V202" i="3"/>
  <c r="V767" i="3"/>
  <c r="V1006" i="3"/>
  <c r="V1016" i="3"/>
  <c r="V1211" i="3"/>
  <c r="V1046" i="3"/>
  <c r="V658" i="3"/>
  <c r="V720" i="3"/>
  <c r="V30" i="3"/>
  <c r="V123" i="3"/>
  <c r="V731" i="3"/>
  <c r="V1090" i="3"/>
  <c r="V1033" i="3"/>
  <c r="V526" i="3"/>
  <c r="V728" i="3"/>
  <c r="V259" i="3"/>
  <c r="V1197" i="3"/>
  <c r="V575" i="3"/>
  <c r="V861" i="3"/>
  <c r="V666" i="3"/>
  <c r="V421" i="3"/>
  <c r="V413" i="3"/>
  <c r="V208" i="3"/>
  <c r="V271" i="3"/>
  <c r="V1079" i="3"/>
  <c r="V276" i="3"/>
  <c r="V573" i="3"/>
  <c r="V55" i="3"/>
  <c r="V275" i="3"/>
  <c r="V1098" i="3"/>
  <c r="V67" i="3"/>
  <c r="V257" i="3"/>
  <c r="V645" i="3"/>
  <c r="V416" i="3"/>
  <c r="V965" i="3"/>
  <c r="V659" i="3"/>
  <c r="V114" i="3"/>
  <c r="V154" i="3"/>
  <c r="V1160" i="3"/>
  <c r="V563" i="3"/>
  <c r="V346" i="3"/>
  <c r="V1044" i="3"/>
  <c r="V1020" i="3"/>
  <c r="V178" i="3"/>
  <c r="V97" i="3"/>
  <c r="V197" i="3"/>
  <c r="V209" i="3"/>
  <c r="V740" i="3"/>
  <c r="V341" i="3"/>
  <c r="V524" i="3"/>
  <c r="V937" i="3"/>
  <c r="V512" i="3"/>
  <c r="V150" i="3"/>
  <c r="V1116" i="3"/>
  <c r="V1130" i="3"/>
  <c r="V514" i="3"/>
  <c r="V954" i="3"/>
  <c r="V331" i="3"/>
  <c r="V210" i="3"/>
  <c r="V108" i="3"/>
  <c r="V174" i="3"/>
  <c r="V1188" i="3"/>
  <c r="V43" i="3"/>
  <c r="V1094" i="3"/>
  <c r="V628" i="3"/>
  <c r="V422" i="3"/>
  <c r="V336" i="3"/>
  <c r="V692" i="3"/>
  <c r="V677" i="3"/>
  <c r="V606" i="3"/>
  <c r="V520" i="3"/>
  <c r="V1103" i="3"/>
  <c r="V797" i="3"/>
  <c r="V926" i="3"/>
  <c r="V1213" i="3"/>
  <c r="V1038" i="3"/>
  <c r="V116" i="3"/>
  <c r="V914" i="3"/>
  <c r="V1086" i="3"/>
  <c r="V118" i="3"/>
  <c r="V642" i="3"/>
  <c r="V400" i="3"/>
  <c r="V460" i="3"/>
  <c r="V455" i="3"/>
  <c r="V873" i="3"/>
  <c r="V780" i="3"/>
  <c r="V503" i="3"/>
  <c r="V417" i="3"/>
  <c r="V227" i="3"/>
  <c r="V770" i="3"/>
  <c r="V687" i="3"/>
  <c r="V737" i="3"/>
  <c r="V260" i="3"/>
  <c r="V528" i="3"/>
  <c r="V322" i="3"/>
  <c r="V574" i="3"/>
  <c r="V769" i="3"/>
  <c r="V1093" i="3"/>
  <c r="V207" i="3"/>
  <c r="V354" i="3"/>
  <c r="V883" i="3"/>
  <c r="V733" i="3"/>
  <c r="V607" i="3"/>
  <c r="V456" i="3"/>
  <c r="V278" i="3"/>
  <c r="V414" i="3"/>
  <c r="V964" i="3"/>
  <c r="V65" i="3"/>
  <c r="V1180" i="3"/>
  <c r="V1190" i="3"/>
  <c r="V693" i="3"/>
  <c r="V468" i="3"/>
  <c r="V44" i="3"/>
  <c r="V122" i="3"/>
  <c r="V679" i="3"/>
  <c r="V462" i="3"/>
  <c r="V647" i="3"/>
  <c r="V729" i="3"/>
  <c r="V1202" i="3"/>
  <c r="V730" i="3"/>
  <c r="V228" i="3"/>
  <c r="V529" i="3"/>
  <c r="V676" i="3"/>
  <c r="V431" i="3"/>
  <c r="V318" i="3"/>
  <c r="V1173" i="3"/>
  <c r="V457" i="3"/>
  <c r="V702" i="3"/>
  <c r="V724" i="3"/>
  <c r="V951" i="3"/>
  <c r="V599" i="3"/>
  <c r="V1159" i="3"/>
  <c r="V738" i="3"/>
  <c r="V847" i="3"/>
  <c r="V1194" i="3"/>
  <c r="V441" i="3"/>
  <c r="V1117" i="3"/>
  <c r="V938" i="3"/>
  <c r="V996" i="3"/>
  <c r="V384" i="3"/>
  <c r="V860" i="3"/>
  <c r="V337" i="3"/>
  <c r="V623" i="3"/>
  <c r="V107" i="3"/>
  <c r="V443" i="3"/>
  <c r="V764" i="3"/>
  <c r="V1008" i="3"/>
  <c r="V444" i="3"/>
  <c r="V970" i="3"/>
  <c r="V773" i="3"/>
  <c r="V429" i="3"/>
  <c r="V1083" i="3"/>
  <c r="V630" i="3"/>
  <c r="V435" i="3"/>
  <c r="V542" i="3"/>
  <c r="V899" i="3"/>
  <c r="V779" i="3"/>
  <c r="V1048" i="3"/>
  <c r="V995" i="3"/>
  <c r="V186" i="3"/>
  <c r="V288" i="3"/>
  <c r="V586" i="3"/>
  <c r="V906" i="3"/>
  <c r="V871" i="3"/>
  <c r="V840" i="3"/>
  <c r="V588" i="3"/>
  <c r="V1199" i="3"/>
  <c r="V944" i="3"/>
  <c r="V130" i="3"/>
  <c r="V917" i="3"/>
  <c r="V1071" i="3"/>
  <c r="V1176" i="3"/>
  <c r="V927" i="3"/>
  <c r="V85" i="3"/>
  <c r="V391" i="3"/>
  <c r="V232" i="3"/>
  <c r="V989" i="3"/>
  <c r="V803" i="3"/>
  <c r="V1025" i="3"/>
  <c r="V792" i="3"/>
  <c r="V761" i="3"/>
  <c r="V362" i="3"/>
  <c r="V352" i="3"/>
  <c r="V225" i="3"/>
  <c r="V541" i="3"/>
  <c r="V1089" i="3"/>
  <c r="V1208" i="3"/>
  <c r="V96" i="3"/>
  <c r="V109" i="3"/>
  <c r="V749" i="3"/>
  <c r="V955" i="3"/>
  <c r="V521" i="3"/>
  <c r="V741" i="3"/>
  <c r="V972" i="3"/>
  <c r="V1140" i="3"/>
  <c r="V146" i="3"/>
  <c r="V235" i="3"/>
  <c r="V92" i="3"/>
  <c r="V1125" i="3"/>
  <c r="V506" i="3"/>
  <c r="V255" i="3"/>
  <c r="V531" i="3"/>
  <c r="V910" i="3"/>
  <c r="V134" i="3"/>
  <c r="V1058" i="3"/>
  <c r="V1073" i="3"/>
  <c r="V268" i="3"/>
  <c r="V1104" i="3"/>
  <c r="V22" i="3"/>
  <c r="V453" i="3"/>
  <c r="V181" i="3"/>
  <c r="V958" i="3"/>
  <c r="V63" i="3"/>
  <c r="V532" i="3"/>
  <c r="V1051" i="3"/>
  <c r="V200" i="3"/>
  <c r="V929" i="3"/>
  <c r="V211" i="3"/>
  <c r="V986" i="3"/>
  <c r="V136" i="3"/>
  <c r="V320" i="3"/>
  <c r="V866" i="3"/>
  <c r="V751" i="3"/>
  <c r="V489" i="3"/>
  <c r="V243" i="3"/>
  <c r="V309" i="3"/>
  <c r="V240" i="3"/>
  <c r="V401" i="3"/>
  <c r="V885" i="3"/>
  <c r="V323" i="3"/>
  <c r="V493" i="3"/>
  <c r="V581" i="3"/>
  <c r="V1021" i="3"/>
  <c r="V270" i="3"/>
  <c r="V1153" i="3"/>
  <c r="V172" i="3"/>
  <c r="V551" i="3"/>
  <c r="V978" i="3"/>
  <c r="V1001" i="3"/>
  <c r="V539" i="3"/>
  <c r="V82" i="3"/>
  <c r="V452" i="3"/>
  <c r="V347" i="3"/>
  <c r="V344" i="3"/>
  <c r="V395" i="3"/>
  <c r="V266" i="3"/>
  <c r="V206" i="3"/>
  <c r="V941" i="3"/>
  <c r="V1032" i="3"/>
  <c r="V1077" i="3"/>
  <c r="V252" i="3"/>
  <c r="V381" i="3"/>
  <c r="V35" i="3"/>
  <c r="V714" i="3"/>
  <c r="V143" i="3"/>
  <c r="V1209" i="3"/>
  <c r="V534" i="3"/>
  <c r="V17" i="3"/>
  <c r="V664" i="3"/>
  <c r="V1146" i="3"/>
  <c r="V470" i="3"/>
  <c r="V655" i="3"/>
  <c r="V632" i="3"/>
  <c r="V23" i="3"/>
  <c r="V194" i="3"/>
  <c r="V950" i="3"/>
  <c r="V52" i="3"/>
  <c r="V681" i="3"/>
  <c r="V557" i="3"/>
  <c r="V79" i="3"/>
  <c r="V1030" i="3"/>
  <c r="V365" i="3"/>
  <c r="V358" i="3"/>
  <c r="V273" i="3"/>
  <c r="V753" i="3"/>
  <c r="V327" i="3"/>
  <c r="V83" i="3"/>
  <c r="V907" i="3"/>
  <c r="V841" i="3"/>
  <c r="V382" i="3"/>
  <c r="V754" i="3"/>
  <c r="V872" i="3"/>
  <c r="V193" i="3"/>
  <c r="V604" i="3"/>
  <c r="V326" i="3"/>
  <c r="V715" i="3"/>
  <c r="V823" i="3"/>
  <c r="V1045" i="3"/>
  <c r="V690" i="3"/>
  <c r="V877" i="3"/>
  <c r="V949" i="3"/>
  <c r="V285" i="3"/>
  <c r="V778" i="3"/>
  <c r="V53" i="3"/>
  <c r="V587" i="3"/>
  <c r="V289" i="3"/>
  <c r="V233" i="3"/>
  <c r="V410" i="3"/>
  <c r="V665" i="3"/>
  <c r="V306" i="3"/>
  <c r="V977" i="3"/>
  <c r="V501" i="3"/>
  <c r="V129" i="3"/>
  <c r="V633" i="3"/>
  <c r="V364" i="3"/>
  <c r="V283" i="3"/>
  <c r="V1031" i="3"/>
  <c r="V131" i="3"/>
  <c r="V990" i="3"/>
  <c r="V807" i="3"/>
  <c r="V1000" i="3"/>
  <c r="V1013" i="3"/>
  <c r="V343" i="3"/>
  <c r="V1198" i="3"/>
  <c r="V921" i="3"/>
  <c r="V1026" i="3"/>
  <c r="V1108" i="3"/>
  <c r="V1186" i="3"/>
  <c r="V756" i="3"/>
  <c r="V247" i="3"/>
  <c r="V56" i="3"/>
  <c r="V612" i="3"/>
  <c r="V686" i="3"/>
  <c r="V651" i="3"/>
  <c r="V912" i="3"/>
  <c r="V790" i="3"/>
  <c r="V162" i="3"/>
  <c r="V887" i="3"/>
  <c r="V762" i="3"/>
  <c r="V472" i="3"/>
  <c r="V684" i="3"/>
  <c r="V50" i="3"/>
  <c r="V1148" i="3"/>
  <c r="V350" i="3"/>
  <c r="V313" i="3"/>
  <c r="V86" i="3"/>
  <c r="V425" i="3"/>
  <c r="V1170" i="3"/>
  <c r="V934" i="3"/>
  <c r="V1036" i="3"/>
  <c r="V405" i="3"/>
  <c r="V433" i="3"/>
  <c r="V617" i="3"/>
  <c r="V427" i="3"/>
  <c r="V14" i="3"/>
  <c r="V671" i="3"/>
  <c r="V415" i="3"/>
  <c r="V353" i="3"/>
  <c r="V540" i="3"/>
  <c r="V349" i="3"/>
  <c r="V1175" i="3"/>
  <c r="V992" i="3"/>
  <c r="V487" i="3"/>
  <c r="V1183" i="3"/>
  <c r="V943" i="3"/>
  <c r="V76" i="3"/>
  <c r="V855" i="3"/>
  <c r="V1075" i="3"/>
  <c r="V302" i="3"/>
  <c r="V1164" i="3"/>
  <c r="V1023" i="3"/>
  <c r="V625" i="3"/>
  <c r="V300" i="3"/>
  <c r="V179" i="3"/>
  <c r="V40" i="3"/>
  <c r="V1141" i="3"/>
  <c r="V101" i="3"/>
  <c r="V809" i="3"/>
  <c r="V766" i="3"/>
  <c r="V1203" i="3"/>
  <c r="V1154" i="3"/>
  <c r="V204" i="3"/>
  <c r="V199" i="3"/>
  <c r="V372" i="3"/>
  <c r="V373" i="3"/>
  <c r="V57" i="3"/>
  <c r="V477" i="3"/>
  <c r="V904" i="3"/>
  <c r="V846" i="3"/>
  <c r="V745" i="3"/>
  <c r="V839" i="3"/>
  <c r="V1210" i="3"/>
  <c r="V18" i="3"/>
  <c r="V330" i="3"/>
  <c r="V149" i="3"/>
  <c r="V719" i="3"/>
  <c r="V479" i="3"/>
  <c r="V802" i="3"/>
  <c r="V544" i="3"/>
  <c r="V36" i="3"/>
  <c r="V527" i="3"/>
  <c r="V511" i="3"/>
  <c r="V798" i="3"/>
  <c r="V727" i="3"/>
  <c r="V226" i="3"/>
  <c r="V102" i="3"/>
  <c r="V135" i="3"/>
  <c r="V399" i="3"/>
  <c r="V440" i="3"/>
  <c r="V84" i="3"/>
  <c r="V771" i="3"/>
  <c r="V1043" i="3"/>
  <c r="V492" i="3"/>
  <c r="V411" i="3"/>
  <c r="V426" i="3"/>
  <c r="V483" i="3"/>
  <c r="V378" i="3"/>
  <c r="V188" i="3"/>
  <c r="V451" i="3"/>
  <c r="V967" i="3"/>
  <c r="V328" i="3"/>
  <c r="V1206" i="3"/>
  <c r="V561" i="3"/>
  <c r="V530" i="3"/>
  <c r="V673" i="3"/>
  <c r="V497" i="3"/>
  <c r="V307" i="3"/>
  <c r="V465" i="3"/>
  <c r="V758" i="3"/>
  <c r="V1081" i="3"/>
  <c r="V591" i="3"/>
  <c r="V568" i="3"/>
  <c r="V124" i="3"/>
  <c r="V191" i="3"/>
  <c r="V660" i="3"/>
  <c r="V165" i="3"/>
  <c r="V159" i="3"/>
  <c r="V68" i="3"/>
  <c r="V548" i="3"/>
  <c r="V473" i="3"/>
  <c r="V865" i="3"/>
  <c r="V583" i="3"/>
  <c r="V290" i="3"/>
  <c r="V214" i="3"/>
  <c r="V760" i="3"/>
  <c r="V412" i="3"/>
  <c r="V981" i="3"/>
  <c r="V982" i="3"/>
  <c r="V816" i="3"/>
  <c r="V817" i="3"/>
  <c r="V1181" i="3"/>
  <c r="V1182" i="3"/>
  <c r="V1123" i="3"/>
  <c r="V1124" i="3"/>
  <c r="V147" i="3"/>
  <c r="V148" i="3"/>
  <c r="V296" i="3"/>
  <c r="V297" i="3"/>
  <c r="V667" i="3"/>
  <c r="V668" i="3"/>
  <c r="V244" i="3"/>
  <c r="V245" i="3"/>
  <c r="V280" i="3"/>
  <c r="V279" i="3"/>
  <c r="V979" i="3"/>
  <c r="V980" i="3"/>
  <c r="V832" i="3"/>
  <c r="V833" i="3"/>
  <c r="V744" i="3"/>
  <c r="V743" i="3"/>
  <c r="V1105" i="3"/>
  <c r="V626" i="3"/>
  <c r="V627" i="3"/>
  <c r="V888" i="3"/>
  <c r="V1027" i="3"/>
  <c r="V1028" i="3"/>
  <c r="V818" i="3"/>
  <c r="V819" i="3"/>
  <c r="V1149" i="3"/>
  <c r="V608" i="3"/>
  <c r="V609" i="3"/>
  <c r="V661" i="3"/>
  <c r="V662" i="3"/>
  <c r="V71" i="3"/>
  <c r="V70" i="3"/>
  <c r="V895" i="3"/>
  <c r="V896" i="3"/>
  <c r="V1061" i="3"/>
  <c r="V1062" i="3"/>
  <c r="V800" i="3"/>
  <c r="V799" i="3"/>
  <c r="V536" i="3"/>
  <c r="V535" i="3"/>
  <c r="V1177" i="3"/>
  <c r="V1178" i="3"/>
  <c r="V1128" i="3"/>
  <c r="V1129" i="3"/>
  <c r="V930" i="3"/>
  <c r="V1053" i="3"/>
  <c r="V1054" i="3"/>
  <c r="V794" i="3"/>
  <c r="V795" i="3"/>
  <c r="V721" i="3"/>
  <c r="V722" i="3"/>
  <c r="V811" i="3"/>
  <c r="V571" i="3"/>
  <c r="V572" i="3"/>
  <c r="V708" i="3"/>
  <c r="V709" i="3"/>
  <c r="V77" i="3"/>
  <c r="V78" i="3"/>
  <c r="V932" i="3"/>
  <c r="V640" i="3"/>
  <c r="V639" i="3"/>
  <c r="V475" i="3"/>
  <c r="V474" i="3"/>
  <c r="V219" i="3"/>
  <c r="V218" i="3"/>
  <c r="V220" i="3"/>
  <c r="V221" i="3"/>
  <c r="V880" i="3"/>
  <c r="V881" i="3"/>
  <c r="V711" i="3"/>
  <c r="V375" i="3"/>
  <c r="V486" i="3"/>
  <c r="V485" i="3"/>
  <c r="V1059" i="3"/>
  <c r="V1165" i="3"/>
  <c r="V41" i="3"/>
  <c r="V42" i="3"/>
  <c r="V167" i="3"/>
  <c r="V168" i="3"/>
  <c r="V652" i="3"/>
  <c r="V653" i="3"/>
  <c r="V902" i="3"/>
  <c r="V901" i="3"/>
  <c r="V387" i="3"/>
  <c r="V388" i="3"/>
  <c r="V1099" i="3"/>
  <c r="V1100" i="3"/>
  <c r="V236" i="3"/>
  <c r="V237" i="3"/>
  <c r="V230" i="3"/>
  <c r="V231" i="3"/>
  <c r="V144" i="3"/>
  <c r="V145" i="3"/>
  <c r="V339" i="3"/>
  <c r="V338" i="3"/>
  <c r="V137" i="3"/>
  <c r="V138" i="3"/>
  <c r="V367" i="3"/>
  <c r="V368" i="3"/>
  <c r="V303" i="3"/>
  <c r="V600" i="3"/>
  <c r="V1060" i="3"/>
  <c r="V26" i="3"/>
  <c r="V27" i="3"/>
  <c r="V1192" i="3"/>
  <c r="V1191" i="3"/>
  <c r="V748" i="3"/>
  <c r="V747" i="3"/>
  <c r="V1135" i="3"/>
  <c r="V1136" i="3"/>
  <c r="V1002" i="3"/>
  <c r="V1003" i="3"/>
  <c r="V836" i="3"/>
  <c r="V837" i="3"/>
  <c r="V1145" i="3"/>
  <c r="V1144" i="3"/>
  <c r="V974" i="3"/>
  <c r="V975" i="3"/>
  <c r="V222" i="3"/>
  <c r="V223" i="3"/>
  <c r="V1107" i="3"/>
  <c r="V1106" i="3"/>
  <c r="V321" i="3"/>
  <c r="V1022" i="3"/>
  <c r="V238" i="3"/>
  <c r="V624" i="3"/>
  <c r="V458" i="3"/>
  <c r="V1195" i="3"/>
  <c r="V494" i="3"/>
  <c r="V481" i="3"/>
  <c r="V480" i="3"/>
  <c r="V1065" i="3"/>
  <c r="V1064" i="3"/>
  <c r="V156" i="3"/>
  <c r="V155" i="3"/>
  <c r="V281" i="3"/>
  <c r="V282" i="3"/>
  <c r="V592" i="3"/>
  <c r="V593" i="3"/>
  <c r="V104" i="3"/>
  <c r="V103" i="3"/>
  <c r="V1137" i="3"/>
  <c r="V1138" i="3"/>
  <c r="V898" i="3"/>
  <c r="V897" i="3"/>
  <c r="V688" i="3"/>
  <c r="V689" i="3"/>
  <c r="V87" i="3"/>
  <c r="V464" i="3"/>
  <c r="V488" i="3"/>
  <c r="V942" i="3"/>
  <c r="V454" i="3"/>
  <c r="V351" i="3"/>
  <c r="V1069" i="3"/>
  <c r="V1070" i="3"/>
  <c r="V613" i="3"/>
  <c r="V614" i="3"/>
  <c r="V565" i="3"/>
  <c r="V566" i="3"/>
  <c r="V517" i="3"/>
  <c r="V518" i="3"/>
  <c r="V24" i="3"/>
  <c r="V25" i="3"/>
  <c r="V862" i="3"/>
  <c r="V863" i="3"/>
  <c r="V1072" i="3"/>
  <c r="V64" i="3"/>
  <c r="V1171" i="3"/>
  <c r="V442" i="3"/>
  <c r="V298" i="3"/>
  <c r="V683" i="3"/>
  <c r="V274" i="3"/>
  <c r="V870" i="3"/>
  <c r="V785" i="3"/>
  <c r="V786" i="3"/>
  <c r="V615" i="3"/>
  <c r="V616" i="3"/>
  <c r="V1087" i="3"/>
  <c r="V1088" i="3"/>
  <c r="V656" i="3"/>
  <c r="V657" i="3"/>
  <c r="V961" i="3"/>
  <c r="V962" i="3"/>
  <c r="V423" i="3"/>
  <c r="V424" i="3"/>
  <c r="V558" i="3"/>
  <c r="V559" i="3"/>
  <c r="V428" i="3"/>
  <c r="V1174" i="3"/>
  <c r="V674" i="3"/>
  <c r="V675" i="3"/>
  <c r="V61" i="3"/>
  <c r="V21" i="3"/>
  <c r="V54" i="3"/>
  <c r="V357" i="3"/>
  <c r="V936" i="3"/>
  <c r="V935" i="3"/>
  <c r="V946" i="3"/>
  <c r="V947" i="3"/>
  <c r="V712" i="3"/>
  <c r="V713" i="3"/>
  <c r="V48" i="3"/>
  <c r="V49" i="3"/>
  <c r="V500" i="3"/>
  <c r="V499" i="3"/>
  <c r="V1157" i="3"/>
  <c r="V1156" i="3"/>
  <c r="V824" i="3"/>
  <c r="V825" i="3"/>
  <c r="V987" i="3"/>
  <c r="V988" i="3"/>
  <c r="V397" i="3"/>
  <c r="V398" i="3"/>
  <c r="V952" i="3"/>
  <c r="V892" i="3"/>
  <c r="V893" i="3"/>
  <c r="V32" i="3"/>
  <c r="V31" i="3"/>
  <c r="V293" i="3"/>
  <c r="V269" i="3"/>
  <c r="V333" i="3"/>
  <c r="V774" i="3"/>
  <c r="V1007" i="3"/>
  <c r="V522" i="3"/>
  <c r="V523" i="3"/>
  <c r="V182" i="3"/>
  <c r="V183" i="3"/>
  <c r="V578" i="3"/>
  <c r="V579" i="3"/>
  <c r="V37" i="3"/>
  <c r="V38" i="3"/>
  <c r="V1113" i="3"/>
  <c r="V1114" i="3"/>
  <c r="V286" i="3"/>
  <c r="V287" i="3"/>
  <c r="V985" i="3"/>
  <c r="V554" i="3"/>
  <c r="V314" i="3"/>
  <c r="V75" i="3"/>
  <c r="V1169" i="3"/>
  <c r="V672" i="3"/>
  <c r="V765" i="3"/>
  <c r="V1161" i="3"/>
  <c r="V406" i="3"/>
  <c r="V16" i="3"/>
  <c r="V569" i="3"/>
  <c r="V570" i="3"/>
  <c r="V994" i="3"/>
  <c r="V187" i="3"/>
  <c r="V997" i="3"/>
  <c r="V831" i="3"/>
  <c r="V787" i="3"/>
  <c r="V933" i="3"/>
  <c r="V953" i="3"/>
  <c r="V752" i="3"/>
  <c r="V791" i="3"/>
  <c r="V848" i="3"/>
  <c r="V1035" i="3"/>
  <c r="V267" i="3"/>
  <c r="V205" i="3"/>
  <c r="V789" i="3"/>
  <c r="V547" i="3"/>
  <c r="V1076" i="3"/>
  <c r="V34" i="3"/>
  <c r="V251" i="3"/>
  <c r="V886" i="3"/>
  <c r="V822" i="3"/>
  <c r="V88" i="3"/>
  <c r="V491" i="3"/>
  <c r="V1029" i="3"/>
  <c r="V1150" i="3"/>
  <c r="V272" i="3"/>
  <c r="V332" i="3"/>
  <c r="V1133" i="3"/>
  <c r="V703" i="3"/>
  <c r="V58" i="3"/>
  <c r="V1052" i="3"/>
  <c r="V768" i="3"/>
  <c r="V601" i="3"/>
  <c r="V928" i="3"/>
  <c r="V736" i="3"/>
  <c r="V940" i="3"/>
  <c r="V430" i="3"/>
  <c r="V723" i="3"/>
  <c r="V335" i="3"/>
  <c r="V874" i="3"/>
  <c r="V81" i="3"/>
  <c r="V394" i="3"/>
  <c r="V392" i="3"/>
  <c r="V564" i="3"/>
  <c r="V216" i="3"/>
  <c r="V184" i="3"/>
  <c r="V402" i="3"/>
  <c r="V28" i="3"/>
  <c r="V169" i="3"/>
  <c r="V538" i="3"/>
  <c r="V1204" i="3"/>
  <c r="V680" i="3"/>
  <c r="V379" i="3"/>
  <c r="V509" i="3"/>
  <c r="V163" i="3"/>
  <c r="V308" i="3"/>
  <c r="V1212" i="3"/>
  <c r="V106" i="3"/>
  <c r="V1115" i="3"/>
  <c r="V925" i="3"/>
  <c r="V201" i="3"/>
  <c r="V315" i="3"/>
  <c r="V851" i="3"/>
  <c r="V434" i="3"/>
  <c r="V763" i="3"/>
  <c r="V1207" i="3"/>
  <c r="V913" i="3"/>
  <c r="V1084" i="3"/>
  <c r="V140" i="3"/>
  <c r="V459" i="3"/>
  <c r="V701" i="3"/>
  <c r="V1201" i="3"/>
  <c r="V784" i="3"/>
  <c r="V383" i="3"/>
  <c r="V173" i="3"/>
  <c r="V294" i="3"/>
  <c r="V212" i="3"/>
  <c r="V396" i="3"/>
  <c r="V390" i="3"/>
  <c r="V324" i="3"/>
  <c r="V467" i="3"/>
  <c r="V407" i="3"/>
  <c r="V580" i="3"/>
  <c r="V533" i="3"/>
  <c r="V450" i="3"/>
  <c r="V1037" i="3"/>
  <c r="V555" i="3"/>
  <c r="V1082" i="3"/>
  <c r="V1196" i="3"/>
  <c r="V969" i="3"/>
  <c r="V960" i="3"/>
  <c r="V775" i="3"/>
  <c r="V1193" i="3"/>
  <c r="V776" i="3"/>
  <c r="V905" i="3"/>
  <c r="V371" i="3"/>
  <c r="V115" i="3"/>
  <c r="V345" i="3"/>
  <c r="V112" i="3"/>
  <c r="V1019" i="3"/>
  <c r="V177" i="3"/>
  <c r="V678" i="3"/>
  <c r="V196" i="3"/>
  <c r="V51" i="3"/>
  <c r="V117" i="3"/>
  <c r="V47" i="3"/>
  <c r="V1078" i="3"/>
  <c r="V556" i="3"/>
  <c r="V550" i="3"/>
  <c r="V340" i="3"/>
  <c r="V185" i="3"/>
  <c r="V859" i="3"/>
  <c r="V316" i="3"/>
  <c r="V192" i="3"/>
  <c r="V93" i="3"/>
  <c r="V445" i="3"/>
  <c r="V1040" i="3"/>
  <c r="V835" i="3"/>
  <c r="V725" i="3"/>
  <c r="V957" i="3"/>
  <c r="V1184" i="3"/>
  <c r="V879" i="3"/>
  <c r="V1152" i="3"/>
  <c r="V1162" i="3"/>
  <c r="V919" i="3"/>
  <c r="V1112" i="3"/>
  <c r="V782" i="3"/>
  <c r="V636" i="3"/>
  <c r="V876" i="3"/>
  <c r="V852" i="3"/>
  <c r="V739" i="3"/>
  <c r="V705" i="3"/>
  <c r="V1158" i="3"/>
  <c r="V1118" i="3"/>
  <c r="V706" i="3"/>
  <c r="V139" i="3"/>
  <c r="V618" i="3"/>
  <c r="V127" i="3"/>
  <c r="V889" i="3"/>
  <c r="V376" i="3"/>
  <c r="V545" i="3"/>
  <c r="V669" i="3"/>
  <c r="V844" i="3"/>
  <c r="V507" i="3"/>
  <c r="V151" i="3"/>
  <c r="V670" i="3"/>
  <c r="V1042" i="3"/>
  <c r="V682" i="3"/>
  <c r="V175" i="3"/>
  <c r="V359" i="3"/>
  <c r="V1102" i="3"/>
  <c r="V438" i="3"/>
  <c r="V74" i="3"/>
  <c r="V1120" i="3"/>
  <c r="V484" i="3"/>
  <c r="V1067" i="3"/>
  <c r="V916" i="3"/>
  <c r="V976" i="3"/>
  <c r="V590" i="3"/>
  <c r="V1187" i="3"/>
  <c r="V1005" i="3"/>
  <c r="V750" i="3"/>
  <c r="V1024" i="3"/>
  <c r="V496" i="3"/>
  <c r="V99" i="3"/>
  <c r="V718" i="3"/>
  <c r="V821" i="3"/>
  <c r="V160" i="3"/>
  <c r="V385" i="3"/>
  <c r="V596" i="3"/>
  <c r="V125" i="3"/>
  <c r="V649" i="3"/>
  <c r="V923" i="3"/>
  <c r="V72" i="3"/>
  <c r="V19" i="3"/>
  <c r="V310" i="3"/>
  <c r="V1017" i="3"/>
  <c r="V342" i="3"/>
  <c r="U10" i="3" l="1"/>
</calcChain>
</file>

<file path=xl/sharedStrings.xml><?xml version="1.0" encoding="utf-8"?>
<sst xmlns="http://schemas.openxmlformats.org/spreadsheetml/2006/main" count="40" uniqueCount="35">
  <si>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</si>
  <si>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</si>
  <si>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</si>
  <si>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</si>
  <si>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</si>
  <si>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</si>
  <si>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</si>
  <si>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</si>
  <si>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</si>
  <si>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</si>
  <si>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</si>
  <si>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</si>
  <si>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</si>
  <si>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</si>
  <si>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</si>
  <si>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</si>
  <si>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</si>
  <si>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</si>
  <si>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</si>
  <si>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</si>
  <si>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</si>
  <si>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</si>
  <si>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</si>
  <si>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</si>
  <si>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</si>
  <si>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-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</si>
  <si>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</si>
  <si>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</si>
  <si>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</si>
  <si>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</si>
  <si>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</si>
  <si>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</si>
  <si>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</si>
  <si>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최종관찰만기 단계적 확대(1단계 ,23년)</t>
    <phoneticPr fontId="2" type="noConversion"/>
  </si>
  <si>
    <t>YTM → Spot 변환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</si>
</sst>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0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9" fontId="8" fillId="7" borderId="11" xfId="4" applyNumberFormat="1" applyFont="1" applyFill="1" applyBorder="1" applyAlignment="1">
      <alignment horizontal="center" vertical="center"/>
    </xf>
  </cellXfs>
  <cellStyles count="10">
    <cellStyle name="IAIS.FT_RCode" xfId="3"/>
    <cellStyle name="IAIS_FT.Caption 2" xfId="4"/>
    <cellStyle name="계산" xfId="1" builtinId="22"/>
    <cellStyle name="메모" xfId="6" builtinId="10"/>
    <cellStyle name="백분율" xfId="5" builtinId="5"/>
    <cellStyle name="보통 2" xfId="9"/>
    <cellStyle name="쉼표 [0] 2" xfId="8"/>
    <cellStyle name="표준" xfId="0" builtinId="0"/>
    <cellStyle name="표준 2" xfId="2"/>
    <cellStyle name="표준 3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A1214"/>
  <sheetViews>
    <sheetView tabSelected="1" zoomScale="70" zoomScaleNormal="70" workbookViewId="0">
      <selection activeCell="P12" sqref="P12"/>
    </sheetView>
  </sheetViews>
  <sheetFormatPr defaultRowHeight="17.100000000000001" customHeight="1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0" bestFit="1" customWidth="1"/>
    <col min="11" max="11" width="10.25" style="40" customWidth="1"/>
    <col min="12" max="12" width="11.75" style="40" customWidth="1"/>
    <col min="13" max="13" width="11.625" style="40" customWidth="1"/>
    <col min="14" max="14" width="4.125" style="2" customWidth="1"/>
    <col min="15" max="15" width="8.5" style="2" customWidth="1"/>
    <col min="16" max="16" width="8.5" customWidth="1"/>
    <col min="17" max="18" width="17.5" hidden="1" customWidth="1"/>
    <col min="19" max="19" width="19.125" style="21" hidden="1" customWidth="1"/>
    <col min="20" max="20" width="17.25" style="21" hidden="1" customWidth="1"/>
    <col min="21" max="22" width="15.75" style="21" customWidth="1"/>
    <col min="23" max="23" width="15.75" style="1" customWidth="1"/>
    <col min="24" max="24" width="10.25" customWidth="1"/>
  </cols>
  <sheetData>
    <row r="1" spans="1:26" ht="17.100000000000001" customHeight="1">
      <c r="A1" s="34"/>
      <c r="B1" t="s">
        <v>18</v>
      </c>
      <c r="D1" s="84" t="s">
        <v>26</v>
      </c>
      <c r="E1" s="85"/>
      <c r="F1" s="85"/>
      <c r="G1" s="85"/>
      <c r="H1" s="85"/>
      <c r="J1" s="53" t="s">
        <v>33</v>
      </c>
      <c r="K1" s="53"/>
      <c r="L1" s="53"/>
      <c r="M1" s="53"/>
      <c r="O1" s="50" t="s">
        <v>12</v>
      </c>
      <c r="P1" s="51"/>
      <c r="Q1" s="51"/>
      <c r="R1" s="51"/>
      <c r="S1" s="51"/>
      <c r="T1" s="51"/>
      <c r="U1" s="51"/>
      <c r="V1" s="51"/>
      <c r="W1" s="51"/>
    </row>
    <row r="2" spans="1:26" ht="17.100000000000001" customHeight="1">
      <c r="E2" s="1"/>
      <c r="N2" s="37"/>
    </row>
    <row r="3" spans="1:26" ht="17.100000000000001" customHeight="1">
      <c r="D3" s="14"/>
      <c r="E3" s="86" t="s">
        <v>9</v>
      </c>
      <c r="F3" s="89"/>
      <c r="G3" s="89"/>
      <c r="H3" s="57"/>
      <c r="J3" s="46"/>
      <c r="K3" s="52" t="s">
        <v>34</v>
      </c>
      <c r="L3" s="52"/>
      <c r="M3" s="52"/>
      <c r="N3" s="38"/>
      <c r="O3" s="54"/>
      <c r="P3" s="54"/>
      <c r="Q3" s="93" t="s">
        <v>24</v>
      </c>
      <c r="R3" s="94"/>
      <c r="S3" s="86" t="s">
        <v>19</v>
      </c>
      <c r="T3" s="57"/>
      <c r="U3" s="57" t="s">
        <v>20</v>
      </c>
      <c r="V3" s="58"/>
      <c r="W3" s="58"/>
    </row>
    <row r="4" spans="1:26" s="1" customFormat="1" ht="17.100000000000001" customHeight="1">
      <c r="D4" s="4" t="s">
        <v>0</v>
      </c>
      <c r="E4" s="90">
        <v>46234</v>
      </c>
      <c r="F4" s="91"/>
      <c r="G4" s="91"/>
      <c r="H4" s="92"/>
      <c r="I4" s="3"/>
      <c r="J4" s="47" t="s">
        <v>27</v>
      </c>
      <c r="K4" s="68">
        <f>E4</f>
        <v>46234</v>
      </c>
      <c r="L4" s="69"/>
      <c r="M4" s="70"/>
      <c r="N4" s="39"/>
      <c r="O4" s="55" t="s">
        <v>0</v>
      </c>
      <c r="P4" s="55"/>
      <c r="Q4" s="87"/>
      <c r="R4" s="60"/>
      <c r="S4" s="87"/>
      <c r="T4" s="60"/>
      <c r="U4" s="59">
        <f>E4</f>
        <v>46234</v>
      </c>
      <c r="V4" s="59"/>
      <c r="W4" s="60"/>
      <c r="Z4" s="36"/>
    </row>
    <row r="5" spans="1:26" s="1" customFormat="1" ht="17.100000000000001" customHeight="1">
      <c r="D5" s="5" t="s">
        <v>6</v>
      </c>
      <c r="E5" s="63">
        <v>0.1</v>
      </c>
      <c r="F5" s="64"/>
      <c r="G5" s="64"/>
      <c r="H5" s="65"/>
      <c r="I5" s="3"/>
      <c r="J5" s="47" t="s">
        <v>28</v>
      </c>
      <c r="K5" s="66">
        <v>0.1</v>
      </c>
      <c r="L5" s="66"/>
      <c r="M5" s="67"/>
      <c r="N5" s="39"/>
      <c r="O5" s="55" t="s">
        <v>2</v>
      </c>
      <c r="P5" s="55"/>
      <c r="Q5" s="95" t="s">
        <v>25</v>
      </c>
      <c r="R5" s="96"/>
      <c r="S5" s="88"/>
      <c r="T5" s="61"/>
      <c r="U5" s="61">
        <v>23</v>
      </c>
      <c r="V5" s="62"/>
      <c r="W5" s="62"/>
      <c r="Z5" s="36"/>
    </row>
    <row r="6" spans="1:26" ht="17.100000000000001" customHeight="1">
      <c r="D6" s="5" t="s">
        <v>7</v>
      </c>
      <c r="E6" s="63">
        <v>2</v>
      </c>
      <c r="F6" s="64"/>
      <c r="G6" s="64"/>
      <c r="H6" s="65"/>
      <c r="J6" s="47" t="s">
        <v>29</v>
      </c>
      <c r="K6" s="66">
        <v>2</v>
      </c>
      <c r="L6" s="66"/>
      <c r="M6" s="67"/>
      <c r="N6" s="37"/>
      <c r="O6" s="56" t="s">
        <v>3</v>
      </c>
      <c r="P6" s="56"/>
      <c r="Q6" s="97"/>
      <c r="R6" s="98"/>
      <c r="S6" s="88"/>
      <c r="T6" s="61"/>
      <c r="U6" s="61">
        <v>60</v>
      </c>
      <c r="V6" s="62"/>
      <c r="W6" s="62"/>
      <c r="Z6" s="36"/>
    </row>
    <row r="7" spans="1:26" ht="17.100000000000001" customHeight="1">
      <c r="D7" s="5" t="s">
        <v>10</v>
      </c>
      <c r="E7" s="6" t="s">
        <v>15</v>
      </c>
      <c r="F7" s="6" t="s">
        <v>16</v>
      </c>
      <c r="G7" s="6" t="s">
        <v>17</v>
      </c>
      <c r="H7" s="6"/>
      <c r="J7" s="47" t="s">
        <v>30</v>
      </c>
      <c r="K7" s="47" t="s">
        <v>31</v>
      </c>
      <c r="L7" s="47" t="s">
        <v>32</v>
      </c>
      <c r="M7" s="47"/>
      <c r="N7" s="37"/>
      <c r="O7" s="56" t="s">
        <v>4</v>
      </c>
      <c r="P7" s="56"/>
      <c r="Q7" s="97"/>
      <c r="R7" s="98"/>
      <c r="S7" s="81"/>
      <c r="T7" s="73"/>
      <c r="U7" s="73">
        <f>S7</f>
        <v>0</v>
      </c>
      <c r="V7" s="74"/>
      <c r="W7" s="74"/>
      <c r="Z7" s="36"/>
    </row>
    <row r="8" spans="1:26" ht="17.100000000000001" customHeight="1">
      <c r="D8" s="7">
        <v>0.25</v>
      </c>
      <c r="E8" s="33">
        <v>2.8309999999999998E-2</v>
      </c>
      <c r="F8" s="19">
        <f t="array" ref="F8:F23">SmithWilsonYTM(E23,E5,D8:D23,E8:E23,E6,D8:D23)</f>
        <v>2.8210288184647447E-2</v>
      </c>
      <c r="G8" s="19">
        <f>LN(EXP(F8)+$V$11)</f>
        <v>3.2227051551456873E-2</v>
      </c>
      <c r="H8" s="19"/>
      <c r="J8" s="41">
        <v>0.25</v>
      </c>
      <c r="K8" s="48">
        <f t="array" ref="K8:K24">SmithWilsonYTM(E23,E5,D8:D23,E8:E23,E6,J8:J24)</f>
        <v>2.8210288184647447E-2</v>
      </c>
      <c r="L8" s="48">
        <f>LN(EXP(K8)+$V$11)</f>
        <v>3.2227051551456873E-2</v>
      </c>
      <c r="M8" s="48"/>
      <c r="N8" s="37"/>
      <c r="O8" s="56" t="s">
        <v>1</v>
      </c>
      <c r="P8" s="56"/>
      <c r="Q8" s="97"/>
      <c r="R8" s="98"/>
      <c r="S8" s="101"/>
      <c r="T8" s="75"/>
      <c r="U8" s="75">
        <v>1</v>
      </c>
      <c r="V8" s="76"/>
      <c r="W8" s="76"/>
      <c r="Z8" s="36"/>
    </row>
    <row r="9" spans="1:26" ht="17.100000000000001" customHeight="1">
      <c r="D9" s="8">
        <v>0.5</v>
      </c>
      <c r="E9" s="9">
        <v>3.0929999999999999E-2</v>
      </c>
      <c r="F9" s="19">
        <v>3.0693271327882382E-2</v>
      </c>
      <c r="G9" s="19">
        <f>LN(EXP(F9)+$V$11)</f>
        <v>3.4700093440491048E-2</v>
      </c>
      <c r="H9" s="19"/>
      <c r="J9" s="41">
        <v>0.5</v>
      </c>
      <c r="K9" s="48">
        <v>3.0693271327882382E-2</v>
      </c>
      <c r="L9" s="48">
        <f>LN(EXP(K9)+$V$11)</f>
        <v>3.4700093440491048E-2</v>
      </c>
      <c r="M9" s="48"/>
      <c r="O9" s="82" t="s">
        <v>11</v>
      </c>
      <c r="P9" s="83"/>
      <c r="Q9" s="97"/>
      <c r="R9" s="98"/>
      <c r="S9" s="102"/>
      <c r="T9" s="77"/>
      <c r="U9" s="77">
        <f>SmithWilson_ALPHA_UB_LB(U7,$J8:$J22,$L8:$L22,U6,U8*0.0001)</f>
        <v>0.17453479417302042</v>
      </c>
      <c r="V9" s="78"/>
      <c r="W9" s="78"/>
      <c r="Z9" s="36"/>
    </row>
    <row r="10" spans="1:26" ht="17.100000000000001" customHeight="1">
      <c r="D10" s="8">
        <v>0.75</v>
      </c>
      <c r="E10" s="9">
        <v>3.3159999999999995E-2</v>
      </c>
      <c r="F10" s="19">
        <v>3.2780979693500051E-2</v>
      </c>
      <c r="G10" s="19">
        <f>LN(EXP(F10)+$V$11)</f>
        <v>3.6779462140003098E-2</v>
      </c>
      <c r="H10" s="19"/>
      <c r="J10" s="41">
        <v>0.75</v>
      </c>
      <c r="K10" s="48">
        <v>3.2780979693500051E-2</v>
      </c>
      <c r="L10" s="48">
        <f>LN(EXP(K10)+$V$11)</f>
        <v>3.6779462140003098E-2</v>
      </c>
      <c r="M10" s="48"/>
      <c r="O10" s="82" t="s">
        <v>21</v>
      </c>
      <c r="P10" s="83"/>
      <c r="Q10" s="97"/>
      <c r="R10" s="98"/>
      <c r="S10" s="104"/>
      <c r="T10" s="105"/>
      <c r="U10" s="79" t="str">
        <f>IF(ROUND(ABS((VLOOKUP($U$6*12-1,$P$13:$V$1213,7,0)+VLOOKUP($U$6*12,$P$13:$V$1213,7,0))/2-$U$7),4)&lt;=0.0001,"PASS","FAIL")</f>
        <v>PASS</v>
      </c>
      <c r="V10" s="79"/>
      <c r="W10" s="80"/>
      <c r="Z10" s="36"/>
    </row>
    <row r="11" spans="1:26" ht="17.100000000000001" customHeight="1">
      <c r="D11" s="8">
        <v>1</v>
      </c>
      <c r="E11" s="9">
        <v>3.3939999999999998E-2</v>
      </c>
      <c r="F11" s="19">
        <v>3.3680387420272906E-2</v>
      </c>
      <c r="G11" s="19">
        <f>LN(EXP(F11)+$V$11)</f>
        <v>3.767528238810515E-2</v>
      </c>
      <c r="H11" s="19"/>
      <c r="J11" s="41">
        <v>1</v>
      </c>
      <c r="K11" s="48">
        <v>3.3680387420272906E-2</v>
      </c>
      <c r="L11" s="48">
        <f>LN(EXP(K11)+$V$11)</f>
        <v>3.767528238810515E-2</v>
      </c>
      <c r="M11" s="48"/>
      <c r="O11" s="82" t="s">
        <v>22</v>
      </c>
      <c r="P11" s="83"/>
      <c r="Q11" s="99"/>
      <c r="R11" s="100"/>
      <c r="S11" s="103"/>
      <c r="T11" s="106"/>
      <c r="U11" s="15" t="s">
        <v>23</v>
      </c>
      <c r="V11" s="71">
        <v>4.1399999999999996E-3</v>
      </c>
      <c r="W11" s="72"/>
      <c r="Z11" s="36"/>
    </row>
    <row r="12" spans="1:26" ht="17.100000000000001" customHeight="1">
      <c r="D12" s="8">
        <v>1.5</v>
      </c>
      <c r="E12" s="9">
        <v>3.5349999999999999E-2</v>
      </c>
      <c r="F12" s="19">
        <v>3.5083372756459605E-2</v>
      </c>
      <c r="G12" s="19">
        <f>LN(EXP(F12)+$V$11)</f>
        <v>3.9072678032002879E-2</v>
      </c>
      <c r="H12" s="19"/>
      <c r="J12" s="41">
        <v>1.5</v>
      </c>
      <c r="K12" s="48">
        <v>3.5083372756459605E-2</v>
      </c>
      <c r="L12" s="48">
        <f>LN(EXP(K12)+$V$11)</f>
        <v>3.9072678032002879E-2</v>
      </c>
      <c r="M12" s="48"/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/>
      <c r="Z12" s="36"/>
    </row>
    <row r="13" spans="1:26" ht="17.100000000000001" customHeight="1">
      <c r="D13" s="8">
        <v>2</v>
      </c>
      <c r="E13" s="9">
        <v>3.6549999999999999E-2</v>
      </c>
      <c r="F13" s="19">
        <v>3.6285513486840955E-2</v>
      </c>
      <c r="G13" s="19">
        <f>LN(EXP(F13)+$V$11)</f>
        <v>4.0270035473309977E-2</v>
      </c>
      <c r="H13" s="19"/>
      <c r="J13" s="41">
        <v>2</v>
      </c>
      <c r="K13" s="48">
        <v>3.6285513486840955E-2</v>
      </c>
      <c r="L13" s="48">
        <f>LN(EXP(K13)+$V$11)</f>
        <v>4.0270035473309977E-2</v>
      </c>
      <c r="M13" s="48"/>
      <c r="O13" s="12">
        <v>0</v>
      </c>
      <c r="P13" s="13">
        <v>0</v>
      </c>
      <c r="Q13" s="31"/>
      <c r="R13" s="30"/>
      <c r="S13" s="22"/>
      <c r="T13" s="23"/>
      <c r="U13" s="24">
        <f t="array" ref="U13:U1214">Cont2Discrete(SmithWilson(U7,U9,J8:J22,L8:L22,O13:O1214))</f>
        <v>3.1610561855696773E-2</v>
      </c>
      <c r="V13" s="25">
        <f>U14</f>
        <v>3.1764468994634809E-2</v>
      </c>
      <c r="W13" s="26"/>
      <c r="X13" s="35"/>
      <c r="Z13" s="36"/>
    </row>
    <row r="14" spans="1:26" ht="17.100000000000001" customHeight="1">
      <c r="D14" s="8">
        <v>2.5</v>
      </c>
      <c r="E14" s="9">
        <v>3.7000000000000005E-2</v>
      </c>
      <c r="F14" s="19">
        <v>3.6731648001538539E-2</v>
      </c>
      <c r="G14" s="19">
        <f>LN(EXP(F14)+$V$11)</f>
        <v>4.0714396286144976E-2</v>
      </c>
      <c r="H14" s="19"/>
      <c r="J14" s="41">
        <v>2.5</v>
      </c>
      <c r="K14" s="48">
        <v>3.6731648001538539E-2</v>
      </c>
      <c r="L14" s="48">
        <f>LN(EXP(K14)+$V$11)</f>
        <v>4.0714396286144976E-2</v>
      </c>
      <c r="M14" s="48"/>
      <c r="O14" s="12">
        <f t="shared" ref="O14:O77" si="0">P14/12</f>
        <v>8.3333333333333329E-2</v>
      </c>
      <c r="P14" s="13">
        <v>1</v>
      </c>
      <c r="Q14" s="22"/>
      <c r="R14" s="19"/>
      <c r="S14" s="22"/>
      <c r="T14" s="19"/>
      <c r="U14" s="24">
        <v>3.1764468994634809E-2</v>
      </c>
      <c r="V14" s="24">
        <f>(1+U15)^P15/(1+U14)^P14-1</f>
        <v>3.2524118735027807E-2</v>
      </c>
      <c r="W14" s="23"/>
      <c r="X14" s="35"/>
      <c r="Z14" s="36"/>
    </row>
    <row r="15" spans="1:26" ht="17.100000000000001" customHeight="1">
      <c r="D15" s="8">
        <v>3</v>
      </c>
      <c r="E15" s="9">
        <v>3.7599999999999995E-2</v>
      </c>
      <c r="F15" s="19">
        <v>3.7338478872435223E-2</v>
      </c>
      <c r="G15" s="19">
        <f>LN(EXP(F15)+$V$11)</f>
        <v>4.1318815837707662E-2</v>
      </c>
      <c r="H15" s="19"/>
      <c r="J15" s="41">
        <v>3</v>
      </c>
      <c r="K15" s="48">
        <v>3.7338478872435223E-2</v>
      </c>
      <c r="L15" s="48">
        <f>LN(EXP(K15)+$V$11)</f>
        <v>4.1318815837707662E-2</v>
      </c>
      <c r="M15" s="48"/>
      <c r="O15" s="12">
        <f t="shared" si="0"/>
        <v>0.16666666666666666</v>
      </c>
      <c r="P15" s="13">
        <v>2</v>
      </c>
      <c r="Q15" s="22"/>
      <c r="R15" s="19"/>
      <c r="S15" s="22"/>
      <c r="T15" s="19"/>
      <c r="U15" s="24">
        <v>3.2144223977831121E-2</v>
      </c>
      <c r="V15" s="24">
        <f>(1+U16)^P16/(1+U15)^P15-1</f>
        <v>3.3968525669175076E-2</v>
      </c>
      <c r="W15" s="23"/>
      <c r="X15" s="35"/>
      <c r="Z15" s="36"/>
    </row>
    <row r="16" spans="1:26" ht="17.100000000000001" customHeight="1">
      <c r="D16" s="8">
        <v>4</v>
      </c>
      <c r="E16" s="9">
        <v>3.9050000000000001E-2</v>
      </c>
      <c r="F16" s="19">
        <v>3.883043639872813E-2</v>
      </c>
      <c r="G16" s="19">
        <f>LN(EXP(F16)+$V$11)</f>
        <v>4.280485107469667E-2</v>
      </c>
      <c r="H16" s="19"/>
      <c r="J16" s="41">
        <v>4</v>
      </c>
      <c r="K16" s="48">
        <v>3.883043639872813E-2</v>
      </c>
      <c r="L16" s="48">
        <f>LN(EXP(K16)+$V$11)</f>
        <v>4.280485107469667E-2</v>
      </c>
      <c r="M16" s="48"/>
      <c r="O16" s="12">
        <f t="shared" si="0"/>
        <v>0.25</v>
      </c>
      <c r="P16" s="13">
        <v>3</v>
      </c>
      <c r="Q16" s="22"/>
      <c r="R16" s="19"/>
      <c r="S16" s="22"/>
      <c r="T16" s="19"/>
      <c r="U16" s="24">
        <v>3.2751966623012052E-2</v>
      </c>
      <c r="V16" s="24">
        <f>(1+U17)^P17/(1+U16)^P16-1</f>
        <v>3.5962929523086107E-2</v>
      </c>
      <c r="W16" s="23"/>
      <c r="X16" s="35"/>
      <c r="Z16" s="36"/>
    </row>
    <row r="17" spans="2:27" ht="17.100000000000001" customHeight="1">
      <c r="D17" s="8">
        <v>5</v>
      </c>
      <c r="E17" s="9">
        <v>4.0199999999999993E-2</v>
      </c>
      <c r="F17" s="19">
        <v>4.0026865661954028E-2</v>
      </c>
      <c r="G17" s="19">
        <f>LN(EXP(F17)+$V$11)</f>
        <v>4.3996537495325096E-2</v>
      </c>
      <c r="H17" s="19"/>
      <c r="J17" s="41">
        <v>5</v>
      </c>
      <c r="K17" s="48">
        <v>4.0026865661954028E-2</v>
      </c>
      <c r="L17" s="48">
        <f>LN(EXP(K17)+$V$11)</f>
        <v>4.3996537495325096E-2</v>
      </c>
      <c r="M17" s="48"/>
      <c r="O17" s="12">
        <f t="shared" si="0"/>
        <v>0.33333333333333331</v>
      </c>
      <c r="P17" s="13">
        <v>4</v>
      </c>
      <c r="Q17" s="22"/>
      <c r="R17" s="19"/>
      <c r="S17" s="22"/>
      <c r="T17" s="19"/>
      <c r="U17" s="24">
        <v>3.3553773106593576E-2</v>
      </c>
      <c r="V17" s="24">
        <f>(1+U18)^P18/(1+U17)^P17-1</f>
        <v>3.7931380540546566E-2</v>
      </c>
      <c r="W17" s="23"/>
      <c r="X17" s="35"/>
      <c r="Z17" s="36"/>
    </row>
    <row r="18" spans="2:27" ht="17.100000000000001" customHeight="1">
      <c r="D18" s="8">
        <v>7</v>
      </c>
      <c r="E18" s="9">
        <v>4.1489999999999999E-2</v>
      </c>
      <c r="F18" s="19">
        <v>4.1374608371262958E-2</v>
      </c>
      <c r="G18" s="19">
        <f>LN(EXP(F18)+$V$11)</f>
        <v>4.5338944295666476E-2</v>
      </c>
      <c r="H18" s="19"/>
      <c r="J18" s="41">
        <v>7</v>
      </c>
      <c r="K18" s="48">
        <v>4.1374608371262958E-2</v>
      </c>
      <c r="L18" s="48">
        <f>LN(EXP(K18)+$V$11)</f>
        <v>4.5338944295666476E-2</v>
      </c>
      <c r="M18" s="48"/>
      <c r="O18" s="12">
        <f t="shared" si="0"/>
        <v>0.41666666666666669</v>
      </c>
      <c r="P18" s="13">
        <v>5</v>
      </c>
      <c r="Q18" s="22"/>
      <c r="R18" s="19"/>
      <c r="S18" s="22"/>
      <c r="T18" s="19"/>
      <c r="U18" s="24">
        <v>3.4427815046499832E-2</v>
      </c>
      <c r="V18" s="24">
        <f>(1+U19)^P19/(1+U18)^P18-1</f>
        <v>3.9727198828614529E-2</v>
      </c>
      <c r="W18" s="23"/>
      <c r="X18" s="35"/>
      <c r="Z18" s="36"/>
    </row>
    <row r="19" spans="2:27" ht="17.100000000000001" customHeight="1">
      <c r="D19" s="8">
        <v>10</v>
      </c>
      <c r="E19" s="9">
        <v>4.2619999999999998E-2</v>
      </c>
      <c r="F19" s="19">
        <v>4.2585465498520804E-2</v>
      </c>
      <c r="G19" s="19">
        <f>LN(EXP(F19)+$V$11)</f>
        <v>4.6545013568665028E-2</v>
      </c>
      <c r="H19" s="19"/>
      <c r="J19" s="41">
        <v>10</v>
      </c>
      <c r="K19" s="48">
        <v>4.2585465498520804E-2</v>
      </c>
      <c r="L19" s="48">
        <f>LN(EXP(K19)+$V$11)</f>
        <v>4.6545013568665028E-2</v>
      </c>
      <c r="M19" s="48"/>
      <c r="O19" s="12">
        <f t="shared" si="0"/>
        <v>0.5</v>
      </c>
      <c r="P19" s="13">
        <v>6</v>
      </c>
      <c r="Q19" s="22"/>
      <c r="R19" s="19"/>
      <c r="S19" s="22"/>
      <c r="T19" s="19"/>
      <c r="U19" s="24">
        <v>3.5309166225011124E-2</v>
      </c>
      <c r="V19" s="24">
        <f>(1+U20)^P20/(1+U19)^P19-1</f>
        <v>4.1244198489608586E-2</v>
      </c>
      <c r="W19" s="23"/>
      <c r="X19" s="35"/>
      <c r="Z19" s="36"/>
    </row>
    <row r="20" spans="2:27" ht="17.100000000000001" customHeight="1">
      <c r="D20" s="8">
        <v>15</v>
      </c>
      <c r="E20" s="9">
        <v>4.3840000000000004E-2</v>
      </c>
      <c r="F20" s="19">
        <v>4.3980721053584589E-2</v>
      </c>
      <c r="G20" s="19">
        <f>LN(EXP(F20)+$V$11)</f>
        <v>4.7934759294803814E-2</v>
      </c>
      <c r="H20" s="19"/>
      <c r="J20" s="41">
        <v>15</v>
      </c>
      <c r="K20" s="48">
        <v>4.3980721053584589E-2</v>
      </c>
      <c r="L20" s="48">
        <f>LN(EXP(K20)+$V$11)</f>
        <v>4.7934759294803814E-2</v>
      </c>
      <c r="M20" s="48"/>
      <c r="O20" s="12">
        <f t="shared" si="0"/>
        <v>0.58333333333333337</v>
      </c>
      <c r="P20" s="13">
        <v>7</v>
      </c>
      <c r="Q20" s="22"/>
      <c r="R20" s="19"/>
      <c r="S20" s="22"/>
      <c r="T20" s="19"/>
      <c r="U20" s="24">
        <v>3.6154952281615582E-2</v>
      </c>
      <c r="V20" s="24">
        <f>(1+U21)^P21/(1+U20)^P20-1</f>
        <v>4.2060104305732482E-2</v>
      </c>
      <c r="W20" s="23"/>
      <c r="X20" s="35"/>
    </row>
    <row r="21" spans="2:27" ht="17.100000000000001" customHeight="1">
      <c r="D21" s="8">
        <v>20</v>
      </c>
      <c r="E21" s="9">
        <v>4.4699999999999997E-2</v>
      </c>
      <c r="F21" s="19">
        <v>4.5059956108158654E-2</v>
      </c>
      <c r="G21" s="19">
        <f>LN(EXP(F21)+$V$11)</f>
        <v>4.9009737726495667E-2</v>
      </c>
      <c r="H21" s="19"/>
      <c r="J21" s="41">
        <v>20</v>
      </c>
      <c r="K21" s="48">
        <v>4.5059956108158654E-2</v>
      </c>
      <c r="L21" s="48">
        <f>LN(EXP(K21)+$V$11)</f>
        <v>4.9009737726495667E-2</v>
      </c>
      <c r="M21" s="48"/>
      <c r="O21" s="12">
        <f t="shared" si="0"/>
        <v>0.66666666666666663</v>
      </c>
      <c r="P21" s="13">
        <v>8</v>
      </c>
      <c r="Q21" s="22"/>
      <c r="R21" s="19"/>
      <c r="S21" s="22"/>
      <c r="T21" s="19"/>
      <c r="U21" s="24">
        <v>3.6891262357107601E-2</v>
      </c>
      <c r="V21" s="24">
        <f>(1+U22)^P22/(1+U21)^P21-1</f>
        <v>4.2059071756302746E-2</v>
      </c>
      <c r="W21" s="23"/>
      <c r="X21" s="35"/>
    </row>
    <row r="22" spans="2:27" ht="17.100000000000001" customHeight="1">
      <c r="D22" s="8">
        <v>30</v>
      </c>
      <c r="E22" s="9">
        <v>4.5080000000000002E-2</v>
      </c>
      <c r="F22" s="19">
        <v>4.5337327542609676E-2</v>
      </c>
      <c r="G22" s="19">
        <f>LN(EXP(F22)+$V$11)</f>
        <v>4.9286015916139077E-2</v>
      </c>
      <c r="H22" s="19"/>
      <c r="J22" s="45">
        <v>23</v>
      </c>
      <c r="K22" s="48">
        <v>4.5421078152358609E-2</v>
      </c>
      <c r="L22" s="48">
        <f>LN(EXP(K22)+$V$11)</f>
        <v>4.9369436486662192E-2</v>
      </c>
      <c r="M22" s="48"/>
      <c r="O22" s="12">
        <f t="shared" si="0"/>
        <v>0.75</v>
      </c>
      <c r="P22" s="13">
        <v>9</v>
      </c>
      <c r="Q22" s="22"/>
      <c r="R22" s="19"/>
      <c r="S22" s="22"/>
      <c r="T22" s="19"/>
      <c r="U22" s="24">
        <v>3.7464195473270179E-2</v>
      </c>
      <c r="V22" s="24">
        <f>(1+U23)^P23/(1+U22)^P22-1</f>
        <v>4.1440675471577482E-2</v>
      </c>
      <c r="W22" s="23"/>
      <c r="X22" s="35"/>
    </row>
    <row r="23" spans="2:27" ht="17.100000000000001" customHeight="1">
      <c r="D23" s="8">
        <v>50</v>
      </c>
      <c r="E23" s="9">
        <v>4.4089999999999997E-2</v>
      </c>
      <c r="F23" s="19">
        <v>4.2782520716525926E-2</v>
      </c>
      <c r="G23" s="19">
        <f>LN(EXP(F23)+$V$11)</f>
        <v>4.6741290156159153E-2</v>
      </c>
      <c r="H23" s="19"/>
      <c r="J23" s="45">
        <v>30</v>
      </c>
      <c r="K23" s="48">
        <v>4.5337327542609676E-2</v>
      </c>
      <c r="L23" s="48">
        <f>LN(EXP(K23)+$V$11)</f>
        <v>4.9286015916139077E-2</v>
      </c>
      <c r="M23" s="48"/>
      <c r="O23" s="12">
        <f t="shared" si="0"/>
        <v>0.83333333333333337</v>
      </c>
      <c r="P23" s="13">
        <v>10</v>
      </c>
      <c r="Q23" s="22"/>
      <c r="R23" s="19"/>
      <c r="S23" s="22"/>
      <c r="T23" s="19"/>
      <c r="U23" s="24">
        <v>3.7861159271004974E-2</v>
      </c>
      <c r="V23" s="24">
        <f>(1+U24)^P24/(1+U23)^P23-1</f>
        <v>4.1043153872667437E-2</v>
      </c>
      <c r="W23" s="23"/>
      <c r="X23" s="35"/>
      <c r="AA23" s="32"/>
    </row>
    <row r="24" spans="2:27" ht="17.100000000000001" customHeight="1">
      <c r="D24" s="8"/>
      <c r="E24" s="9"/>
      <c r="F24" s="19"/>
      <c r="G24" s="19"/>
      <c r="H24" s="19"/>
      <c r="J24" s="45">
        <v>50</v>
      </c>
      <c r="K24" s="48">
        <v>4.2782520716525926E-2</v>
      </c>
      <c r="L24" s="48">
        <f>LN(EXP(K24)+$V$11)</f>
        <v>4.6741290156159153E-2</v>
      </c>
      <c r="M24" s="48"/>
      <c r="O24" s="12">
        <f t="shared" si="0"/>
        <v>0.91666666666666663</v>
      </c>
      <c r="P24" s="13">
        <v>11</v>
      </c>
      <c r="Q24" s="22"/>
      <c r="R24" s="19"/>
      <c r="S24" s="22"/>
      <c r="T24" s="19"/>
      <c r="U24" s="24">
        <v>3.8150029163094734E-2</v>
      </c>
      <c r="V24" s="24">
        <f>(1+U25)^P25/(1+U24)^P24-1</f>
        <v>4.1081385757508748E-2</v>
      </c>
      <c r="W24" s="23"/>
      <c r="X24" s="35"/>
    </row>
    <row r="25" spans="2:27" ht="17.100000000000001" customHeight="1">
      <c r="D25" s="8"/>
      <c r="E25" s="9"/>
      <c r="F25" s="19"/>
      <c r="G25" s="19"/>
      <c r="H25" s="19"/>
      <c r="J25" s="43"/>
      <c r="K25" s="43"/>
      <c r="L25" s="43"/>
      <c r="M25" s="43"/>
      <c r="O25" s="12">
        <f t="shared" si="0"/>
        <v>1</v>
      </c>
      <c r="P25" s="13">
        <v>12</v>
      </c>
      <c r="Q25" s="22"/>
      <c r="R25" s="19"/>
      <c r="S25" s="22"/>
      <c r="T25" s="19"/>
      <c r="U25" s="24">
        <v>3.8393993309938867E-2</v>
      </c>
      <c r="V25" s="24">
        <f>(1+U26)^P26/(1+U25)^P25-1</f>
        <v>4.1488806535237677E-2</v>
      </c>
      <c r="W25" s="23"/>
      <c r="X25" s="35"/>
    </row>
    <row r="26" spans="2:27" ht="17.100000000000001" customHeight="1">
      <c r="D26" s="10"/>
      <c r="E26" s="11"/>
      <c r="F26" s="20"/>
      <c r="G26" s="20"/>
      <c r="H26" s="20"/>
      <c r="I26" s="49"/>
      <c r="J26" s="44"/>
      <c r="K26" s="44"/>
      <c r="L26" s="44"/>
      <c r="M26" s="42"/>
      <c r="O26" s="12">
        <f t="shared" si="0"/>
        <v>1.0833333333333333</v>
      </c>
      <c r="P26" s="13">
        <v>13</v>
      </c>
      <c r="Q26" s="22"/>
      <c r="R26" s="19"/>
      <c r="S26" s="22"/>
      <c r="T26" s="19"/>
      <c r="U26" s="24">
        <v>3.8631729020194516E-2</v>
      </c>
      <c r="V26" s="24">
        <f>(1+U27)^P27/(1+U26)^P26-1</f>
        <v>4.1979811145809398E-2</v>
      </c>
      <c r="W26" s="23"/>
      <c r="X26" s="35"/>
    </row>
    <row r="27" spans="2:27" ht="17.100000000000001" customHeight="1">
      <c r="O27" s="12">
        <f t="shared" si="0"/>
        <v>1.1666666666666667</v>
      </c>
      <c r="P27" s="13">
        <v>14</v>
      </c>
      <c r="Q27" s="22"/>
      <c r="R27" s="19"/>
      <c r="S27" s="22"/>
      <c r="T27" s="19"/>
      <c r="U27" s="24">
        <v>3.8870520561824495E-2</v>
      </c>
      <c r="V27" s="24">
        <f>(1+U28)^P28/(1+U27)^P27-1</f>
        <v>4.2482699702035109E-2</v>
      </c>
      <c r="W27" s="23"/>
      <c r="X27" s="35"/>
    </row>
    <row r="28" spans="2:27" ht="17.100000000000001" customHeight="1">
      <c r="B28" s="40"/>
      <c r="C28" s="40"/>
      <c r="D28" s="40"/>
      <c r="E28" s="40"/>
      <c r="F28" s="40"/>
      <c r="G28" s="40"/>
      <c r="H28" s="40"/>
      <c r="I28" s="40"/>
      <c r="O28" s="12">
        <f t="shared" si="0"/>
        <v>1.25</v>
      </c>
      <c r="P28" s="13">
        <v>15</v>
      </c>
      <c r="Q28" s="22"/>
      <c r="R28" s="19"/>
      <c r="S28" s="22"/>
      <c r="T28" s="19"/>
      <c r="U28" s="24">
        <v>3.9110942633531431E-2</v>
      </c>
      <c r="V28" s="24">
        <f>(1+U29)^P29/(1+U28)^P28-1</f>
        <v>4.2997753363210656E-2</v>
      </c>
      <c r="W28" s="23"/>
      <c r="X28" s="35"/>
    </row>
    <row r="29" spans="2:27" ht="17.100000000000001" customHeight="1">
      <c r="B29" s="40"/>
      <c r="C29" s="40"/>
      <c r="D29" s="40"/>
      <c r="E29" s="40"/>
      <c r="F29" s="40"/>
      <c r="G29" s="40"/>
      <c r="H29" s="40"/>
      <c r="I29" s="40"/>
      <c r="O29" s="12">
        <f t="shared" si="0"/>
        <v>1.3333333333333333</v>
      </c>
      <c r="P29" s="13">
        <v>16</v>
      </c>
      <c r="Q29" s="22"/>
      <c r="R29" s="19"/>
      <c r="S29" s="22"/>
      <c r="T29" s="19"/>
      <c r="U29" s="24">
        <v>3.9353443392494691E-2</v>
      </c>
      <c r="V29" s="24">
        <f>(1+U30)^P30/(1+U29)^P29-1</f>
        <v>4.3525262948564514E-2</v>
      </c>
      <c r="W29" s="23"/>
      <c r="X29" s="35"/>
    </row>
    <row r="30" spans="2:27" ht="17.100000000000001" customHeight="1">
      <c r="B30" s="40"/>
      <c r="C30" s="40"/>
      <c r="D30" s="40"/>
      <c r="E30" s="40"/>
      <c r="F30" s="40"/>
      <c r="G30" s="40"/>
      <c r="H30" s="40"/>
      <c r="I30" s="40"/>
      <c r="O30" s="12">
        <f t="shared" si="0"/>
        <v>1.4166666666666667</v>
      </c>
      <c r="P30" s="13">
        <v>17</v>
      </c>
      <c r="Q30" s="22"/>
      <c r="R30" s="19"/>
      <c r="S30" s="22"/>
      <c r="T30" s="19"/>
      <c r="U30" s="24">
        <v>3.9598382210989103E-2</v>
      </c>
      <c r="V30" s="24">
        <f>(1+U31)^P31/(1+U30)^P30-1</f>
        <v>4.4065529333343179E-2</v>
      </c>
      <c r="W30" s="23"/>
      <c r="X30" s="35"/>
    </row>
    <row r="31" spans="2:27" ht="17.100000000000001" customHeight="1">
      <c r="B31" s="40"/>
      <c r="C31" s="40"/>
      <c r="D31" s="40"/>
      <c r="E31" s="40"/>
      <c r="F31" s="40"/>
      <c r="G31" s="40"/>
      <c r="H31" s="40"/>
      <c r="I31" s="40"/>
      <c r="O31" s="12">
        <f t="shared" si="0"/>
        <v>1.5</v>
      </c>
      <c r="P31" s="13">
        <v>18</v>
      </c>
      <c r="Q31" s="22"/>
      <c r="R31" s="19"/>
      <c r="S31" s="22"/>
      <c r="T31" s="19"/>
      <c r="U31" s="24">
        <v>3.9846054868798442E-2</v>
      </c>
      <c r="V31" s="24">
        <f>(1+U32)^P32/(1+U31)^P31-1</f>
        <v>4.458499785480674E-2</v>
      </c>
      <c r="W31" s="23"/>
      <c r="X31" s="35"/>
    </row>
    <row r="32" spans="2:27" ht="17.100000000000001" customHeight="1">
      <c r="B32" s="40"/>
      <c r="C32" s="40"/>
      <c r="D32" s="40"/>
      <c r="E32" s="40"/>
      <c r="F32" s="40"/>
      <c r="G32" s="40"/>
      <c r="H32" s="40"/>
      <c r="I32" s="40"/>
      <c r="O32" s="12">
        <f t="shared" si="0"/>
        <v>1.5833333333333333</v>
      </c>
      <c r="P32" s="13">
        <v>19</v>
      </c>
      <c r="Q32" s="22"/>
      <c r="R32" s="19"/>
      <c r="S32" s="22"/>
      <c r="T32" s="19"/>
      <c r="U32" s="24">
        <v>4.0094936078219456E-2</v>
      </c>
      <c r="V32" s="24">
        <f>(1+U33)^P33/(1+U32)^P32-1</f>
        <v>4.4947415173662186E-2</v>
      </c>
      <c r="W32" s="23"/>
      <c r="X32" s="35"/>
    </row>
    <row r="33" spans="2:24" ht="17.100000000000001" customHeight="1">
      <c r="B33" s="40"/>
      <c r="C33" s="40"/>
      <c r="D33" s="40"/>
      <c r="E33" s="40"/>
      <c r="F33" s="40"/>
      <c r="G33" s="40"/>
      <c r="H33" s="40"/>
      <c r="I33" s="40"/>
      <c r="O33" s="12">
        <f t="shared" si="0"/>
        <v>1.6666666666666667</v>
      </c>
      <c r="P33" s="13">
        <v>20</v>
      </c>
      <c r="Q33" s="22"/>
      <c r="R33" s="19"/>
      <c r="S33" s="22"/>
      <c r="T33" s="19"/>
      <c r="U33" s="24">
        <v>4.0337023985216103E-2</v>
      </c>
      <c r="V33" s="24">
        <f>(1+U34)^P34/(1+U33)^P33-1</f>
        <v>4.5116219714948169E-2</v>
      </c>
      <c r="W33" s="23"/>
      <c r="X33" s="35"/>
    </row>
    <row r="34" spans="2:24" ht="17.100000000000001" customHeight="1">
      <c r="B34" s="40"/>
      <c r="C34" s="40"/>
      <c r="D34" s="40"/>
      <c r="E34" s="40"/>
      <c r="F34" s="40"/>
      <c r="G34" s="40"/>
      <c r="H34" s="40"/>
      <c r="I34" s="40"/>
      <c r="O34" s="12">
        <f t="shared" si="0"/>
        <v>1.75</v>
      </c>
      <c r="P34" s="13">
        <v>21</v>
      </c>
      <c r="Q34" s="22"/>
      <c r="R34" s="19"/>
      <c r="S34" s="22"/>
      <c r="T34" s="19"/>
      <c r="U34" s="24">
        <v>4.0564108369371077E-2</v>
      </c>
      <c r="V34" s="24">
        <f>(1+U35)^P35/(1+U34)^P34-1</f>
        <v>4.5088450860754747E-2</v>
      </c>
      <c r="W34" s="23"/>
      <c r="X34" s="35"/>
    </row>
    <row r="35" spans="2:24" ht="17.100000000000001" customHeight="1">
      <c r="B35" s="40"/>
      <c r="C35" s="40"/>
      <c r="D35" s="40"/>
      <c r="E35" s="40"/>
      <c r="F35" s="40"/>
      <c r="G35" s="40"/>
      <c r="H35" s="40"/>
      <c r="I35" s="40"/>
      <c r="O35" s="12">
        <f t="shared" si="0"/>
        <v>1.8333333333333333</v>
      </c>
      <c r="P35" s="13">
        <v>22</v>
      </c>
      <c r="Q35" s="22"/>
      <c r="R35" s="19"/>
      <c r="S35" s="22"/>
      <c r="T35" s="19"/>
      <c r="U35" s="24">
        <v>4.0769334743551822E-2</v>
      </c>
      <c r="V35" s="24">
        <f>(1+U36)^P36/(1+U35)^P35-1</f>
        <v>4.4861178704460603E-2</v>
      </c>
      <c r="W35" s="23"/>
      <c r="X35" s="35"/>
    </row>
    <row r="36" spans="2:24" ht="17.100000000000001" customHeight="1">
      <c r="B36" s="40"/>
      <c r="C36" s="40"/>
      <c r="D36" s="40"/>
      <c r="E36" s="40"/>
      <c r="F36" s="40"/>
      <c r="G36" s="40"/>
      <c r="H36" s="40"/>
      <c r="I36" s="40"/>
      <c r="O36" s="12">
        <f t="shared" si="0"/>
        <v>1.9166666666666667</v>
      </c>
      <c r="P36" s="13">
        <v>23</v>
      </c>
      <c r="Q36" s="22"/>
      <c r="R36" s="19"/>
      <c r="S36" s="22"/>
      <c r="T36" s="19"/>
      <c r="U36" s="24">
        <v>4.0946907339068472E-2</v>
      </c>
      <c r="V36" s="24">
        <f>(1+U37)^P37/(1+U36)^P36-1</f>
        <v>4.4431539865655179E-2</v>
      </c>
      <c r="W36" s="23"/>
      <c r="X36" s="35"/>
    </row>
    <row r="37" spans="2:24" ht="17.100000000000001" customHeight="1">
      <c r="B37" s="40"/>
      <c r="C37" s="40"/>
      <c r="D37" s="40"/>
      <c r="E37" s="40"/>
      <c r="F37" s="40"/>
      <c r="G37" s="40"/>
      <c r="H37" s="40"/>
      <c r="I37" s="40"/>
      <c r="O37" s="12">
        <f t="shared" si="0"/>
        <v>2</v>
      </c>
      <c r="P37" s="13">
        <v>24</v>
      </c>
      <c r="Q37" s="22"/>
      <c r="R37" s="19"/>
      <c r="S37" s="22"/>
      <c r="T37" s="19"/>
      <c r="U37" s="24">
        <v>4.1091867973364948E-2</v>
      </c>
      <c r="V37" s="24">
        <f>(1+U38)^P38/(1+U37)^P37-1</f>
        <v>4.386307783129384E-2</v>
      </c>
      <c r="W37" s="23"/>
      <c r="X37" s="35"/>
    </row>
    <row r="38" spans="2:24" ht="17.100000000000001" customHeight="1">
      <c r="B38" s="40"/>
      <c r="C38" s="40"/>
      <c r="D38" s="40"/>
      <c r="E38" s="40"/>
      <c r="F38" s="40"/>
      <c r="G38" s="40"/>
      <c r="H38" s="40"/>
      <c r="I38" s="40"/>
      <c r="O38" s="12">
        <f t="shared" si="0"/>
        <v>2.0833333333333335</v>
      </c>
      <c r="P38" s="13">
        <v>25</v>
      </c>
      <c r="Q38" s="22"/>
      <c r="R38" s="19"/>
      <c r="S38" s="22"/>
      <c r="T38" s="19"/>
      <c r="U38" s="24">
        <v>4.1202574984884999E-2</v>
      </c>
      <c r="V38" s="24">
        <f>(1+U39)^P39/(1+U38)^P38-1</f>
        <v>4.3419989825402405E-2</v>
      </c>
      <c r="W38" s="23"/>
      <c r="X38" s="35"/>
    </row>
    <row r="39" spans="2:24" ht="17.100000000000001" customHeight="1">
      <c r="B39" s="40"/>
      <c r="C39" s="40"/>
      <c r="D39" s="40"/>
      <c r="E39" s="40"/>
      <c r="F39" s="40"/>
      <c r="G39" s="40"/>
      <c r="H39" s="40"/>
      <c r="I39" s="40"/>
      <c r="O39" s="12">
        <f t="shared" si="0"/>
        <v>2.1666666666666665</v>
      </c>
      <c r="P39" s="13">
        <v>26</v>
      </c>
      <c r="Q39" s="22"/>
      <c r="R39" s="19"/>
      <c r="S39" s="22"/>
      <c r="T39" s="19"/>
      <c r="U39" s="24">
        <v>4.1287772970800551E-2</v>
      </c>
      <c r="V39" s="24">
        <f>(1+U40)^P40/(1+U39)^P39-1</f>
        <v>4.317059439477422E-2</v>
      </c>
      <c r="W39" s="23"/>
      <c r="X39" s="35"/>
    </row>
    <row r="40" spans="2:24" ht="17.100000000000001" customHeight="1">
      <c r="B40" s="40"/>
      <c r="C40" s="40"/>
      <c r="D40" s="40"/>
      <c r="E40" s="40"/>
      <c r="F40" s="40"/>
      <c r="G40" s="40"/>
      <c r="H40" s="40"/>
      <c r="I40" s="40"/>
      <c r="O40" s="12">
        <f t="shared" si="0"/>
        <v>2.25</v>
      </c>
      <c r="P40" s="13">
        <v>27</v>
      </c>
      <c r="Q40" s="22"/>
      <c r="R40" s="19"/>
      <c r="S40" s="22"/>
      <c r="T40" s="19"/>
      <c r="U40" s="24">
        <v>4.1357446458914815E-2</v>
      </c>
      <c r="V40" s="24">
        <f>(1+U41)^P41/(1+U40)^P40-1</f>
        <v>4.3117458505971928E-2</v>
      </c>
      <c r="W40" s="23"/>
      <c r="X40" s="35"/>
    </row>
    <row r="41" spans="2:24" ht="17.100000000000001" customHeight="1">
      <c r="B41" s="40"/>
      <c r="C41" s="40"/>
      <c r="D41" s="40"/>
      <c r="E41" s="40"/>
      <c r="F41" s="40"/>
      <c r="G41" s="40"/>
      <c r="H41" s="40"/>
      <c r="I41" s="40"/>
      <c r="O41" s="12">
        <f t="shared" si="0"/>
        <v>2.3333333333333335</v>
      </c>
      <c r="P41" s="13">
        <v>28</v>
      </c>
      <c r="Q41" s="22"/>
      <c r="R41" s="19"/>
      <c r="S41" s="22"/>
      <c r="T41" s="19"/>
      <c r="U41" s="24">
        <v>4.1420252867504948E-2</v>
      </c>
      <c r="V41" s="24">
        <f>(1+U42)^P42/(1+U41)^P41-1</f>
        <v>4.3263300172634356E-2</v>
      </c>
      <c r="W41" s="23"/>
      <c r="X41" s="35"/>
    </row>
    <row r="42" spans="2:24" ht="17.100000000000001" customHeight="1">
      <c r="B42" s="40"/>
      <c r="C42" s="40"/>
      <c r="D42" s="40"/>
      <c r="E42" s="40"/>
      <c r="F42" s="40"/>
      <c r="G42" s="40"/>
      <c r="H42" s="40"/>
      <c r="I42" s="40"/>
      <c r="O42" s="12">
        <f t="shared" si="0"/>
        <v>2.4166666666666665</v>
      </c>
      <c r="P42" s="13">
        <v>29</v>
      </c>
      <c r="Q42" s="22"/>
      <c r="R42" s="19"/>
      <c r="S42" s="22"/>
      <c r="T42" s="19"/>
      <c r="U42" s="24">
        <v>4.1483751988335094E-2</v>
      </c>
      <c r="V42" s="24">
        <f>(1+U43)^P43/(1+U42)^P42-1</f>
        <v>4.3611025709668905E-2</v>
      </c>
      <c r="W42" s="23"/>
      <c r="X42" s="35"/>
    </row>
    <row r="43" spans="2:24" ht="17.100000000000001" customHeight="1">
      <c r="B43" s="40"/>
      <c r="C43" s="40"/>
      <c r="D43" s="40"/>
      <c r="E43" s="40"/>
      <c r="F43" s="40"/>
      <c r="G43" s="40"/>
      <c r="H43" s="40"/>
      <c r="I43" s="40"/>
      <c r="O43" s="12">
        <f t="shared" si="0"/>
        <v>2.5</v>
      </c>
      <c r="P43" s="13">
        <v>30</v>
      </c>
      <c r="Q43" s="22"/>
      <c r="R43" s="19"/>
      <c r="S43" s="22"/>
      <c r="T43" s="19"/>
      <c r="U43" s="24">
        <v>4.1554591202473956E-2</v>
      </c>
      <c r="V43" s="24">
        <f>(1+U44)^P44/(1+U43)^P43-1</f>
        <v>4.4124503498086609E-2</v>
      </c>
      <c r="W43" s="23"/>
      <c r="X43" s="35"/>
    </row>
    <row r="44" spans="2:24" ht="17.100000000000001" customHeight="1">
      <c r="B44" s="40"/>
      <c r="C44" s="40"/>
      <c r="D44" s="40"/>
      <c r="E44" s="40"/>
      <c r="F44" s="40"/>
      <c r="G44" s="40"/>
      <c r="H44" s="40"/>
      <c r="I44" s="40"/>
      <c r="O44" s="12">
        <f t="shared" si="0"/>
        <v>2.5833333333333335</v>
      </c>
      <c r="P44" s="13">
        <v>31</v>
      </c>
      <c r="Q44" s="22"/>
      <c r="R44" s="19"/>
      <c r="S44" s="22"/>
      <c r="T44" s="19"/>
      <c r="U44" s="24">
        <v>4.1637392784693139E-2</v>
      </c>
      <c r="V44" s="24">
        <f>(1+U45)^P45/(1+U44)^P44-1</f>
        <v>4.4648745637501097E-2</v>
      </c>
      <c r="W44" s="23"/>
      <c r="X44" s="35"/>
    </row>
    <row r="45" spans="2:24" ht="17.100000000000001" customHeight="1">
      <c r="B45" s="40"/>
      <c r="C45" s="40"/>
      <c r="D45" s="40"/>
      <c r="E45" s="40"/>
      <c r="F45" s="40"/>
      <c r="G45" s="40"/>
      <c r="H45" s="40"/>
      <c r="I45" s="40"/>
      <c r="O45" s="12">
        <f t="shared" si="0"/>
        <v>2.6666666666666665</v>
      </c>
      <c r="P45" s="13">
        <v>32</v>
      </c>
      <c r="Q45" s="22"/>
      <c r="R45" s="19"/>
      <c r="S45" s="22"/>
      <c r="T45" s="19"/>
      <c r="U45" s="24">
        <v>4.1731366034162498E-2</v>
      </c>
      <c r="V45" s="24">
        <f>(1+U46)^P46/(1+U45)^P45-1</f>
        <v>4.5144432619584007E-2</v>
      </c>
      <c r="W45" s="23"/>
      <c r="X45" s="35"/>
    </row>
    <row r="46" spans="2:24" ht="17.100000000000001" customHeight="1">
      <c r="B46" s="40"/>
      <c r="C46" s="40"/>
      <c r="D46" s="40"/>
      <c r="E46" s="40"/>
      <c r="F46" s="40"/>
      <c r="G46" s="40"/>
      <c r="H46" s="40"/>
      <c r="I46" s="40"/>
      <c r="O46" s="12">
        <f t="shared" si="0"/>
        <v>2.75</v>
      </c>
      <c r="P46" s="13">
        <v>33</v>
      </c>
      <c r="Q46" s="22"/>
      <c r="R46" s="19"/>
      <c r="S46" s="22"/>
      <c r="T46" s="19"/>
      <c r="U46" s="24">
        <v>4.1834628351309355E-2</v>
      </c>
      <c r="V46" s="24">
        <f>(1+U47)^P47/(1+U46)^P46-1</f>
        <v>4.561118972002709E-2</v>
      </c>
      <c r="W46" s="23"/>
      <c r="X46" s="35"/>
    </row>
    <row r="47" spans="2:24" ht="17.100000000000001" customHeight="1">
      <c r="B47" s="40"/>
      <c r="C47" s="40"/>
      <c r="D47" s="40"/>
      <c r="E47" s="40"/>
      <c r="F47" s="40"/>
      <c r="G47" s="40"/>
      <c r="H47" s="40"/>
      <c r="I47" s="40"/>
      <c r="O47" s="12">
        <f t="shared" si="0"/>
        <v>2.8333333333333335</v>
      </c>
      <c r="P47" s="13">
        <v>34</v>
      </c>
      <c r="Q47" s="22"/>
      <c r="R47" s="19"/>
      <c r="S47" s="22"/>
      <c r="T47" s="19"/>
      <c r="U47" s="24">
        <v>4.1945508751556337E-2</v>
      </c>
      <c r="V47" s="24">
        <f>(1+U48)^P48/(1+U47)^P47-1</f>
        <v>4.6048622461662525E-2</v>
      </c>
      <c r="W47" s="23"/>
      <c r="X47" s="35"/>
    </row>
    <row r="48" spans="2:24" ht="17.100000000000001" customHeight="1">
      <c r="B48" s="40"/>
      <c r="C48" s="40"/>
      <c r="D48" s="40"/>
      <c r="E48" s="40"/>
      <c r="F48" s="40"/>
      <c r="G48" s="40"/>
      <c r="H48" s="40"/>
      <c r="I48" s="40"/>
      <c r="O48" s="12">
        <f t="shared" si="0"/>
        <v>2.9166666666666665</v>
      </c>
      <c r="P48" s="13">
        <v>35</v>
      </c>
      <c r="Q48" s="22"/>
      <c r="R48" s="19"/>
      <c r="S48" s="22"/>
      <c r="T48" s="19"/>
      <c r="U48" s="24">
        <v>4.2062516919786797E-2</v>
      </c>
      <c r="V48" s="24">
        <f>(1+U49)^P49/(1+U48)^P48-1</f>
        <v>4.6456316983478407E-2</v>
      </c>
      <c r="W48" s="23"/>
      <c r="X48" s="35"/>
    </row>
    <row r="49" spans="2:24" ht="17.100000000000001" customHeight="1">
      <c r="B49" s="40"/>
      <c r="C49" s="40"/>
      <c r="D49" s="40"/>
      <c r="E49" s="40"/>
      <c r="F49" s="40"/>
      <c r="G49" s="40"/>
      <c r="H49" s="40"/>
      <c r="I49" s="40"/>
      <c r="O49" s="12">
        <f t="shared" si="0"/>
        <v>3</v>
      </c>
      <c r="P49" s="13">
        <v>36</v>
      </c>
      <c r="Q49" s="22"/>
      <c r="R49" s="19"/>
      <c r="S49" s="22"/>
      <c r="T49" s="19"/>
      <c r="U49" s="24">
        <v>4.2184317451674058E-2</v>
      </c>
      <c r="V49" s="24">
        <f>(1+U50)^P50/(1+U49)^P49-1</f>
        <v>4.6835480000038343E-2</v>
      </c>
      <c r="W49" s="23"/>
      <c r="X49" s="35"/>
    </row>
    <row r="50" spans="2:24" ht="17.100000000000001" customHeight="1">
      <c r="B50" s="40"/>
      <c r="C50" s="40"/>
      <c r="D50" s="40"/>
      <c r="E50" s="40"/>
      <c r="F50" s="40"/>
      <c r="G50" s="40"/>
      <c r="H50" s="40"/>
      <c r="I50" s="40"/>
      <c r="O50" s="12">
        <f t="shared" si="0"/>
        <v>3.0833333333333335</v>
      </c>
      <c r="P50" s="13">
        <v>37</v>
      </c>
      <c r="Q50" s="22"/>
      <c r="R50" s="19"/>
      <c r="S50" s="22"/>
      <c r="T50" s="19"/>
      <c r="U50" s="24">
        <v>4.230975241832291E-2</v>
      </c>
      <c r="V50" s="24">
        <f>(1+U51)^P51/(1+U50)^P50-1</f>
        <v>4.7192273140788332E-2</v>
      </c>
      <c r="W50" s="23"/>
      <c r="X50" s="35"/>
    </row>
    <row r="51" spans="2:24" ht="17.100000000000001" customHeight="1">
      <c r="B51" s="40"/>
      <c r="C51" s="40"/>
      <c r="D51" s="40"/>
      <c r="E51" s="40"/>
      <c r="F51" s="40"/>
      <c r="G51" s="40"/>
      <c r="H51" s="40"/>
      <c r="I51" s="40"/>
      <c r="O51" s="12">
        <f t="shared" si="0"/>
        <v>3.1666666666666665</v>
      </c>
      <c r="P51" s="13">
        <v>38</v>
      </c>
      <c r="Q51" s="22"/>
      <c r="R51" s="19"/>
      <c r="S51" s="22"/>
      <c r="T51" s="19"/>
      <c r="U51" s="24">
        <v>4.2437947686551736E-2</v>
      </c>
      <c r="V51" s="24">
        <f>(1+U52)^P52/(1+U51)^P51-1</f>
        <v>4.7528017950186019E-2</v>
      </c>
      <c r="W51" s="23"/>
      <c r="X51" s="35"/>
    </row>
    <row r="52" spans="2:24" ht="17.100000000000001" customHeight="1">
      <c r="B52" s="40"/>
      <c r="C52" s="40"/>
      <c r="D52" s="40"/>
      <c r="E52" s="40"/>
      <c r="F52" s="40"/>
      <c r="G52" s="40"/>
      <c r="H52" s="40"/>
      <c r="I52" s="40"/>
      <c r="O52" s="12">
        <f t="shared" si="0"/>
        <v>3.25</v>
      </c>
      <c r="P52" s="13">
        <v>39</v>
      </c>
      <c r="Q52" s="22"/>
      <c r="R52" s="19"/>
      <c r="S52" s="22"/>
      <c r="T52" s="19"/>
      <c r="U52" s="24">
        <v>4.256815283129578E-2</v>
      </c>
      <c r="V52" s="24">
        <f>(1+U53)^P53/(1+U52)^P52-1</f>
        <v>4.7842396467926651E-2</v>
      </c>
      <c r="W52" s="23"/>
      <c r="X52" s="35"/>
    </row>
    <row r="53" spans="2:24" ht="17.100000000000001" customHeight="1">
      <c r="B53" s="40"/>
      <c r="C53" s="40"/>
      <c r="D53" s="40"/>
      <c r="E53" s="40"/>
      <c r="F53" s="40"/>
      <c r="G53" s="40"/>
      <c r="H53" s="40"/>
      <c r="I53" s="40"/>
      <c r="O53" s="12">
        <f t="shared" si="0"/>
        <v>3.3333333333333335</v>
      </c>
      <c r="P53" s="13">
        <v>40</v>
      </c>
      <c r="Q53" s="22"/>
      <c r="R53" s="19"/>
      <c r="S53" s="22"/>
      <c r="T53" s="19"/>
      <c r="U53" s="24">
        <v>4.2699684816128514E-2</v>
      </c>
      <c r="V53" s="24">
        <f>(1+U54)^P54/(1+U53)^P53-1</f>
        <v>4.8135077941837467E-2</v>
      </c>
      <c r="W53" s="23"/>
      <c r="X53" s="35"/>
    </row>
    <row r="54" spans="2:24" ht="17.100000000000001" customHeight="1">
      <c r="B54" s="40"/>
      <c r="C54" s="40"/>
      <c r="D54" s="40"/>
      <c r="E54" s="40"/>
      <c r="F54" s="40"/>
      <c r="G54" s="40"/>
      <c r="H54" s="40"/>
      <c r="I54" s="40"/>
      <c r="O54" s="12">
        <f t="shared" si="0"/>
        <v>3.4166666666666665</v>
      </c>
      <c r="P54" s="13">
        <v>41</v>
      </c>
      <c r="Q54" s="22"/>
      <c r="R54" s="19"/>
      <c r="S54" s="22"/>
      <c r="T54" s="19"/>
      <c r="U54" s="24">
        <v>4.2831919428103493E-2</v>
      </c>
      <c r="V54" s="24">
        <f>(1+U55)^P55/(1+U54)^P54-1</f>
        <v>4.8405718988385971E-2</v>
      </c>
      <c r="W54" s="23"/>
      <c r="X54" s="35"/>
    </row>
    <row r="55" spans="2:24" ht="17.100000000000001" customHeight="1">
      <c r="B55" s="40"/>
      <c r="C55" s="40"/>
      <c r="D55" s="40"/>
      <c r="E55" s="40"/>
      <c r="F55" s="40"/>
      <c r="G55" s="40"/>
      <c r="H55" s="40"/>
      <c r="I55" s="40"/>
      <c r="O55" s="12">
        <f t="shared" si="0"/>
        <v>3.5</v>
      </c>
      <c r="P55" s="13">
        <v>42</v>
      </c>
      <c r="Q55" s="22"/>
      <c r="R55" s="19"/>
      <c r="S55" s="22"/>
      <c r="T55" s="19"/>
      <c r="U55" s="24">
        <v>4.2964283942344084E-2</v>
      </c>
      <c r="V55" s="24">
        <f>(1+U56)^P56/(1+U55)^P55-1</f>
        <v>4.8653963769436759E-2</v>
      </c>
      <c r="W55" s="23"/>
      <c r="X55" s="35"/>
    </row>
    <row r="56" spans="2:24" ht="17.100000000000001" customHeight="1">
      <c r="O56" s="12">
        <f t="shared" si="0"/>
        <v>3.5833333333333335</v>
      </c>
      <c r="P56" s="13">
        <v>43</v>
      </c>
      <c r="Q56" s="22"/>
      <c r="R56" s="19"/>
      <c r="S56" s="22"/>
      <c r="T56" s="19"/>
      <c r="U56" s="24">
        <v>4.309625081597912E-2</v>
      </c>
      <c r="V56" s="24">
        <f>(1+U57)^P57/(1+U56)^P56-1</f>
        <v>4.8879444187099885E-2</v>
      </c>
      <c r="W56" s="23"/>
      <c r="X56" s="35"/>
    </row>
    <row r="57" spans="2:24" ht="17.100000000000001" customHeight="1">
      <c r="O57" s="12">
        <f t="shared" si="0"/>
        <v>3.6666666666666665</v>
      </c>
      <c r="P57" s="13">
        <v>44</v>
      </c>
      <c r="Q57" s="22"/>
      <c r="R57" s="19"/>
      <c r="S57" s="22"/>
      <c r="T57" s="19"/>
      <c r="U57" s="24">
        <v>4.3227332247592454E-2</v>
      </c>
      <c r="V57" s="24">
        <f>(1+U58)^P58/(1+U57)^P57-1</f>
        <v>4.9081780097930183E-2</v>
      </c>
      <c r="W57" s="23"/>
      <c r="X57" s="35"/>
    </row>
    <row r="58" spans="2:24" ht="17.100000000000001" customHeight="1">
      <c r="O58" s="12">
        <f t="shared" si="0"/>
        <v>3.75</v>
      </c>
      <c r="P58" s="13">
        <v>45</v>
      </c>
      <c r="Q58" s="22"/>
      <c r="R58" s="19"/>
      <c r="S58" s="22"/>
      <c r="T58" s="19"/>
      <c r="U58" s="24">
        <v>4.3357075467578499E-2</v>
      </c>
      <c r="V58" s="24">
        <f>(1+U59)^P59/(1+U58)^P58-1</f>
        <v>4.9260579548199068E-2</v>
      </c>
      <c r="W58" s="23"/>
      <c r="X58" s="35"/>
    </row>
    <row r="59" spans="2:24" ht="17.100000000000001" customHeight="1">
      <c r="O59" s="12">
        <f t="shared" si="0"/>
        <v>3.8333333333333335</v>
      </c>
      <c r="P59" s="13">
        <v>46</v>
      </c>
      <c r="Q59" s="22"/>
      <c r="R59" s="19"/>
      <c r="S59" s="22"/>
      <c r="T59" s="19"/>
      <c r="U59" s="24">
        <v>4.3485058648297326E-2</v>
      </c>
      <c r="V59" s="24">
        <f>(1+U60)^P60/(1+U59)^P59-1</f>
        <v>4.9415439032099995E-2</v>
      </c>
      <c r="W59" s="23"/>
      <c r="X59" s="35"/>
    </row>
    <row r="60" spans="2:24" ht="17.100000000000001" customHeight="1">
      <c r="O60" s="12">
        <f t="shared" si="0"/>
        <v>3.9166666666666665</v>
      </c>
      <c r="P60" s="13">
        <v>47</v>
      </c>
      <c r="Q60" s="22"/>
      <c r="R60" s="19"/>
      <c r="S60" s="22"/>
      <c r="T60" s="19"/>
      <c r="U60" s="24">
        <v>4.3610887341918314E-2</v>
      </c>
      <c r="V60" s="24">
        <f>(1+U61)^P61/(1+U60)^P60-1</f>
        <v>4.9545943774220724E-2</v>
      </c>
      <c r="W60" s="23"/>
      <c r="X60" s="35"/>
    </row>
    <row r="61" spans="2:24" ht="17.100000000000001" customHeight="1">
      <c r="O61" s="12">
        <f t="shared" si="0"/>
        <v>4</v>
      </c>
      <c r="P61" s="13">
        <v>48</v>
      </c>
      <c r="Q61" s="22"/>
      <c r="R61" s="19"/>
      <c r="S61" s="22"/>
      <c r="T61" s="19"/>
      <c r="U61" s="24">
        <v>4.3734191369255937E-2</v>
      </c>
      <c r="V61" s="24">
        <f>(1+U62)^P62/(1+U61)^P61-1</f>
        <v>4.9654103286015383E-2</v>
      </c>
      <c r="W61" s="23"/>
      <c r="X61" s="35"/>
    </row>
    <row r="62" spans="2:24" ht="17.100000000000001" customHeight="1">
      <c r="O62" s="12">
        <f t="shared" si="0"/>
        <v>4.083333333333333</v>
      </c>
      <c r="P62" s="13">
        <v>49</v>
      </c>
      <c r="Q62" s="22"/>
      <c r="R62" s="19"/>
      <c r="S62" s="22"/>
      <c r="T62" s="19"/>
      <c r="U62" s="24">
        <v>4.3854671519889532E-2</v>
      </c>
      <c r="V62" s="24">
        <f>(1+U63)^P63/(1+U62)^P62-1</f>
        <v>4.9749303221561014E-2</v>
      </c>
      <c r="W62" s="23"/>
      <c r="X62" s="35"/>
    </row>
    <row r="63" spans="2:24" ht="17.100000000000001" customHeight="1">
      <c r="O63" s="12">
        <f t="shared" si="0"/>
        <v>4.166666666666667</v>
      </c>
      <c r="P63" s="13">
        <v>50</v>
      </c>
      <c r="Q63" s="22"/>
      <c r="R63" s="19"/>
      <c r="S63" s="22"/>
      <c r="T63" s="19"/>
      <c r="U63" s="24">
        <v>4.3972239153034609E-2</v>
      </c>
      <c r="V63" s="24">
        <f>(1+U64)^P64/(1+U63)^P63-1</f>
        <v>4.9833756660909279E-2</v>
      </c>
      <c r="W63" s="23"/>
      <c r="X63" s="35"/>
    </row>
    <row r="64" spans="2:24" ht="17.100000000000001" customHeight="1">
      <c r="O64" s="12">
        <f t="shared" si="0"/>
        <v>4.25</v>
      </c>
      <c r="P64" s="13">
        <v>51</v>
      </c>
      <c r="Q64" s="22"/>
      <c r="R64" s="19"/>
      <c r="S64" s="22"/>
      <c r="T64" s="19"/>
      <c r="U64" s="24">
        <v>4.4086855713358908E-2</v>
      </c>
      <c r="V64" s="24">
        <f>(1+U65)^P65/(1+U64)^P64-1</f>
        <v>4.9907256091374474E-2</v>
      </c>
      <c r="W64" s="23"/>
      <c r="X64" s="35"/>
    </row>
    <row r="65" spans="15:24" ht="17.100000000000001" customHeight="1">
      <c r="O65" s="12">
        <f t="shared" si="0"/>
        <v>4.333333333333333</v>
      </c>
      <c r="P65" s="13">
        <v>52</v>
      </c>
      <c r="Q65" s="22"/>
      <c r="R65" s="19"/>
      <c r="S65" s="22"/>
      <c r="T65" s="19"/>
      <c r="U65" s="24">
        <v>4.4198481624717623E-2</v>
      </c>
      <c r="V65" s="24">
        <f>(1+U66)^P66/(1+U65)^P65-1</f>
        <v>4.9969588851774382E-2</v>
      </c>
      <c r="W65" s="23"/>
      <c r="X65" s="35"/>
    </row>
    <row r="66" spans="15:24" ht="17.100000000000001" customHeight="1">
      <c r="O66" s="12">
        <f t="shared" si="0"/>
        <v>4.416666666666667</v>
      </c>
      <c r="P66" s="13">
        <v>53</v>
      </c>
      <c r="Q66" s="22"/>
      <c r="R66" s="19"/>
      <c r="S66" s="22"/>
      <c r="T66" s="19"/>
      <c r="U66" s="24">
        <v>4.4307076285902802E-2</v>
      </c>
      <c r="V66" s="24">
        <f>(1+U67)^P67/(1+U66)^P66-1</f>
        <v>5.002053714629473E-2</v>
      </c>
      <c r="W66" s="23"/>
      <c r="X66" s="35"/>
    </row>
    <row r="67" spans="15:24" ht="17.100000000000001" customHeight="1">
      <c r="O67" s="12">
        <f t="shared" si="0"/>
        <v>4.5</v>
      </c>
      <c r="P67" s="13">
        <v>54</v>
      </c>
      <c r="Q67" s="22"/>
      <c r="R67" s="19"/>
      <c r="S67" s="22"/>
      <c r="T67" s="19"/>
      <c r="U67" s="24">
        <v>4.4412598066862818E-2</v>
      </c>
      <c r="V67" s="24">
        <f>(1+U68)^P68/(1+U67)^P67-1</f>
        <v>5.0059878063931196E-2</v>
      </c>
      <c r="W67" s="23"/>
      <c r="X67" s="35"/>
    </row>
    <row r="68" spans="15:24" ht="17.100000000000001" customHeight="1">
      <c r="O68" s="12">
        <f t="shared" si="0"/>
        <v>4.583333333333333</v>
      </c>
      <c r="P68" s="13">
        <v>55</v>
      </c>
      <c r="Q68" s="22"/>
      <c r="R68" s="19"/>
      <c r="S68" s="22"/>
      <c r="T68" s="19"/>
      <c r="U68" s="24">
        <v>4.4515004305417438E-2</v>
      </c>
      <c r="V68" s="24">
        <f>(1+U69)^P69/(1+U68)^P68-1</f>
        <v>5.0087383604196178E-2</v>
      </c>
      <c r="W68" s="23"/>
      <c r="X68" s="35"/>
    </row>
    <row r="69" spans="15:24" ht="17.100000000000001" customHeight="1">
      <c r="O69" s="12">
        <f t="shared" si="0"/>
        <v>4.666666666666667</v>
      </c>
      <c r="P69" s="13">
        <v>56</v>
      </c>
      <c r="Q69" s="22"/>
      <c r="R69" s="19"/>
      <c r="S69" s="22"/>
      <c r="T69" s="19"/>
      <c r="U69" s="24">
        <v>4.4614251304504693E-2</v>
      </c>
      <c r="V69" s="24">
        <f>(1+U70)^P70/(1+U69)^P69-1</f>
        <v>5.0102820709197138E-2</v>
      </c>
      <c r="W69" s="23"/>
      <c r="X69" s="35"/>
    </row>
    <row r="70" spans="15:24" ht="17.100000000000001" customHeight="1">
      <c r="O70" s="12">
        <f t="shared" si="0"/>
        <v>4.75</v>
      </c>
      <c r="P70" s="13">
        <v>57</v>
      </c>
      <c r="Q70" s="22"/>
      <c r="R70" s="19"/>
      <c r="S70" s="22"/>
      <c r="T70" s="19"/>
      <c r="U70" s="24">
        <v>4.4710294329990186E-2</v>
      </c>
      <c r="V70" s="24">
        <f>(1+U71)^P71/(1+U70)^P70-1</f>
        <v>5.01059513024118E-2</v>
      </c>
      <c r="W70" s="23"/>
      <c r="X70" s="35"/>
    </row>
    <row r="71" spans="15:24" ht="17.100000000000001" customHeight="1">
      <c r="O71" s="12">
        <f t="shared" si="0"/>
        <v>4.833333333333333</v>
      </c>
      <c r="P71" s="13">
        <v>58</v>
      </c>
      <c r="Q71" s="22"/>
      <c r="R71" s="19"/>
      <c r="S71" s="22"/>
      <c r="T71" s="19"/>
      <c r="U71" s="24">
        <v>4.4803087609072145E-2</v>
      </c>
      <c r="V71" s="24">
        <f>(1+U72)^P72/(1+U71)^P71-1</f>
        <v>5.0096532335182964E-2</v>
      </c>
      <c r="W71" s="23"/>
      <c r="X71" s="35"/>
    </row>
    <row r="72" spans="15:24" ht="17.100000000000001" customHeight="1">
      <c r="O72" s="12">
        <f t="shared" si="0"/>
        <v>4.916666666666667</v>
      </c>
      <c r="P72" s="13">
        <v>59</v>
      </c>
      <c r="Q72" s="22"/>
      <c r="R72" s="19"/>
      <c r="S72" s="22"/>
      <c r="T72" s="19"/>
      <c r="U72" s="24">
        <v>4.4892584329325969E-2</v>
      </c>
      <c r="V72" s="24">
        <f>(1+U73)^P73/(1+U72)^P72-1</f>
        <v>5.0074315840531458E-2</v>
      </c>
      <c r="W72" s="23"/>
      <c r="X72" s="35"/>
    </row>
    <row r="73" spans="15:24" ht="17.100000000000001" customHeight="1">
      <c r="O73" s="12">
        <f t="shared" si="0"/>
        <v>5</v>
      </c>
      <c r="P73" s="13">
        <v>60</v>
      </c>
      <c r="Q73" s="22"/>
      <c r="R73" s="19"/>
      <c r="S73" s="22"/>
      <c r="T73" s="19"/>
      <c r="U73" s="24">
        <v>4.4978736638421557E-2</v>
      </c>
      <c r="V73" s="24">
        <f>(1+U74)^P74/(1+U73)^P73-1</f>
        <v>5.0041713057625614E-2</v>
      </c>
      <c r="W73" s="23"/>
      <c r="X73" s="35"/>
    </row>
    <row r="74" spans="15:24" ht="17.100000000000001" customHeight="1">
      <c r="O74" s="12">
        <f t="shared" si="0"/>
        <v>5.083333333333333</v>
      </c>
      <c r="P74" s="13">
        <v>61</v>
      </c>
      <c r="Q74" s="22"/>
      <c r="R74" s="19"/>
      <c r="S74" s="22"/>
      <c r="T74" s="19"/>
      <c r="U74" s="24">
        <v>4.5061539110629267E-2</v>
      </c>
      <c r="V74" s="24">
        <f>(1+U75)^P75/(1+U74)^P74-1</f>
        <v>5.0009209412087641E-2</v>
      </c>
      <c r="W74" s="23"/>
      <c r="X74" s="35"/>
    </row>
    <row r="75" spans="15:24" ht="17.100000000000001" customHeight="1">
      <c r="O75" s="12">
        <f t="shared" si="0"/>
        <v>5.166666666666667</v>
      </c>
      <c r="P75" s="13">
        <v>62</v>
      </c>
      <c r="Q75" s="22"/>
      <c r="R75" s="19"/>
      <c r="S75" s="22"/>
      <c r="T75" s="19"/>
      <c r="U75" s="24">
        <v>4.5141154968556529E-2</v>
      </c>
      <c r="V75" s="24">
        <f>(1+U76)^P76/(1+U75)^P75-1</f>
        <v>4.9979447742966698E-2</v>
      </c>
      <c r="W75" s="23"/>
      <c r="X75" s="35"/>
    </row>
    <row r="76" spans="15:24" ht="17.100000000000001" customHeight="1">
      <c r="O76" s="12">
        <f t="shared" si="0"/>
        <v>5.25</v>
      </c>
      <c r="P76" s="13">
        <v>63</v>
      </c>
      <c r="Q76" s="22"/>
      <c r="R76" s="19"/>
      <c r="S76" s="22"/>
      <c r="T76" s="19"/>
      <c r="U76" s="24">
        <v>4.5217778860010771E-2</v>
      </c>
      <c r="V76" s="24">
        <f>(1+U77)^P77/(1+U76)^P76-1</f>
        <v>4.9952428652432657E-2</v>
      </c>
      <c r="W76" s="23"/>
      <c r="X76" s="35"/>
    </row>
    <row r="77" spans="15:24" ht="17.100000000000001" customHeight="1">
      <c r="O77" s="12">
        <f t="shared" si="0"/>
        <v>5.333333333333333</v>
      </c>
      <c r="P77" s="13">
        <v>64</v>
      </c>
      <c r="Q77" s="22"/>
      <c r="R77" s="19"/>
      <c r="S77" s="22"/>
      <c r="T77" s="19"/>
      <c r="U77" s="24">
        <v>4.5291593318003365E-2</v>
      </c>
      <c r="V77" s="24">
        <f>(1+U78)^P78/(1+U77)^P77-1</f>
        <v>4.9928153064670466E-2</v>
      </c>
      <c r="W77" s="23"/>
      <c r="X77" s="35"/>
    </row>
    <row r="78" spans="15:24" ht="17.100000000000001" customHeight="1">
      <c r="O78" s="12">
        <f t="shared" ref="O78:O141" si="1">P78/12</f>
        <v>5.416666666666667</v>
      </c>
      <c r="P78" s="13">
        <v>65</v>
      </c>
      <c r="Q78" s="22"/>
      <c r="R78" s="19"/>
      <c r="S78" s="22"/>
      <c r="T78" s="19"/>
      <c r="U78" s="24">
        <v>4.5362769694241578E-2</v>
      </c>
      <c r="V78" s="24">
        <f>(1+U79)^P79/(1+U78)^P78-1</f>
        <v>4.9906622233671483E-2</v>
      </c>
      <c r="W78" s="23"/>
      <c r="X78" s="35"/>
    </row>
    <row r="79" spans="15:24" ht="17.100000000000001" customHeight="1">
      <c r="O79" s="12">
        <f t="shared" si="1"/>
        <v>5.5</v>
      </c>
      <c r="P79" s="13">
        <v>66</v>
      </c>
      <c r="Q79" s="22"/>
      <c r="R79" s="19"/>
      <c r="S79" s="22"/>
      <c r="T79" s="19"/>
      <c r="U79" s="24">
        <v>4.5431469008162972E-2</v>
      </c>
      <c r="V79" s="24">
        <f>(1+U80)^P80/(1+U79)^P79-1</f>
        <v>4.9887837751203534E-2</v>
      </c>
      <c r="W79" s="23"/>
      <c r="X79" s="35"/>
    </row>
    <row r="80" spans="15:24" ht="17.100000000000001" customHeight="1">
      <c r="O80" s="12">
        <f t="shared" si="1"/>
        <v>5.583333333333333</v>
      </c>
      <c r="P80" s="13">
        <v>67</v>
      </c>
      <c r="Q80" s="22"/>
      <c r="R80" s="19"/>
      <c r="S80" s="22"/>
      <c r="T80" s="19"/>
      <c r="U80" s="24">
        <v>4.5497842720310544E-2</v>
      </c>
      <c r="V80" s="24">
        <f>(1+U81)^P81/(1+U80)^P80-1</f>
        <v>4.9871801554886463E-2</v>
      </c>
      <c r="W80" s="23"/>
      <c r="X80" s="35"/>
    </row>
    <row r="81" spans="15:24" ht="17.100000000000001" customHeight="1">
      <c r="O81" s="12">
        <f t="shared" si="1"/>
        <v>5.666666666666667</v>
      </c>
      <c r="P81" s="13">
        <v>68</v>
      </c>
      <c r="Q81" s="22"/>
      <c r="R81" s="19"/>
      <c r="S81" s="22"/>
      <c r="T81" s="19"/>
      <c r="U81" s="24">
        <v>4.5562033437809957E-2</v>
      </c>
      <c r="V81" s="24">
        <f>(1+U82)^P82/(1+U81)^P81-1</f>
        <v>4.9858515936365144E-2</v>
      </c>
      <c r="W81" s="23"/>
      <c r="X81" s="35"/>
    </row>
    <row r="82" spans="15:24" ht="17.100000000000001" customHeight="1">
      <c r="O82" s="12">
        <f t="shared" si="1"/>
        <v>5.75</v>
      </c>
      <c r="P82" s="13">
        <v>69</v>
      </c>
      <c r="Q82" s="22"/>
      <c r="R82" s="19"/>
      <c r="S82" s="22"/>
      <c r="T82" s="19"/>
      <c r="U82" s="24">
        <v>4.5624175558819369E-2</v>
      </c>
      <c r="V82" s="24">
        <f>(1+U83)^P83/(1+U82)^P82-1</f>
        <v>4.9847983549403674E-2</v>
      </c>
      <c r="W82" s="23"/>
      <c r="X82" s="35"/>
    </row>
    <row r="83" spans="15:24" ht="17.100000000000001" customHeight="1">
      <c r="O83" s="12">
        <f t="shared" si="1"/>
        <v>5.833333333333333</v>
      </c>
      <c r="P83" s="13">
        <v>70</v>
      </c>
      <c r="Q83" s="22"/>
      <c r="R83" s="19"/>
      <c r="S83" s="22"/>
      <c r="T83" s="19"/>
      <c r="U83" s="24">
        <v>4.5684395862030769E-2</v>
      </c>
      <c r="V83" s="24">
        <f>(1+U84)^P84/(1+U83)^P83-1</f>
        <v>4.9840207418488935E-2</v>
      </c>
      <c r="W83" s="23"/>
      <c r="X83" s="35"/>
    </row>
    <row r="84" spans="15:24" ht="17.100000000000001" customHeight="1">
      <c r="O84" s="12">
        <f t="shared" si="1"/>
        <v>5.916666666666667</v>
      </c>
      <c r="P84" s="13">
        <v>71</v>
      </c>
      <c r="Q84" s="22"/>
      <c r="R84" s="19"/>
      <c r="S84" s="22"/>
      <c r="T84" s="19"/>
      <c r="U84" s="24">
        <v>4.5742814046632274E-2</v>
      </c>
      <c r="V84" s="24">
        <f>(1+U85)^P85/(1+U84)^P84-1</f>
        <v>4.983519094709199E-2</v>
      </c>
      <c r="W84" s="23"/>
      <c r="X84" s="35"/>
    </row>
    <row r="85" spans="15:24" ht="17.100000000000001" customHeight="1">
      <c r="O85" s="12">
        <f t="shared" si="1"/>
        <v>6</v>
      </c>
      <c r="P85" s="13">
        <v>72</v>
      </c>
      <c r="Q85" s="22"/>
      <c r="R85" s="19"/>
      <c r="S85" s="22"/>
      <c r="T85" s="19"/>
      <c r="U85" s="24">
        <v>4.579954322752644E-2</v>
      </c>
      <c r="V85" s="24">
        <f>(1+U86)^P86/(1+U85)^P85-1</f>
        <v>4.9832937926355347E-2</v>
      </c>
      <c r="W85" s="23"/>
      <c r="X85" s="35"/>
    </row>
    <row r="86" spans="15:24" ht="17.100000000000001" customHeight="1">
      <c r="O86" s="12">
        <f t="shared" si="1"/>
        <v>6.083333333333333</v>
      </c>
      <c r="P86" s="13">
        <v>73</v>
      </c>
      <c r="Q86" s="22"/>
      <c r="R86" s="19"/>
      <c r="S86" s="22"/>
      <c r="T86" s="19"/>
      <c r="U86" s="24">
        <v>4.5854690390088493E-2</v>
      </c>
      <c r="V86" s="24">
        <f>(1+U87)^P87/(1+U86)^P86-1</f>
        <v>4.9833452543849965E-2</v>
      </c>
      <c r="W86" s="23"/>
      <c r="X86" s="35"/>
    </row>
    <row r="87" spans="15:24" ht="17.100000000000001" customHeight="1">
      <c r="O87" s="12">
        <f t="shared" si="1"/>
        <v>6.166666666666667</v>
      </c>
      <c r="P87" s="13">
        <v>74</v>
      </c>
      <c r="Q87" s="22"/>
      <c r="R87" s="19"/>
      <c r="S87" s="22"/>
      <c r="T87" s="19"/>
      <c r="U87" s="24">
        <v>4.5908356808280315E-2</v>
      </c>
      <c r="V87" s="24">
        <f>(1+U88)^P88/(1+U87)^P87-1</f>
        <v>4.9836739392353335E-2</v>
      </c>
      <c r="W87" s="23"/>
      <c r="X87" s="35"/>
    </row>
    <row r="88" spans="15:24" ht="17.100000000000001" customHeight="1">
      <c r="O88" s="12">
        <f t="shared" si="1"/>
        <v>6.25</v>
      </c>
      <c r="P88" s="13">
        <v>75</v>
      </c>
      <c r="Q88" s="22"/>
      <c r="R88" s="19"/>
      <c r="S88" s="22"/>
      <c r="T88" s="19"/>
      <c r="U88" s="24">
        <v>4.5960638429531242E-2</v>
      </c>
      <c r="V88" s="24">
        <f>(1+U89)^P89/(1+U88)^P88-1</f>
        <v>4.9842803478745479E-2</v>
      </c>
      <c r="W88" s="23"/>
      <c r="X88" s="35"/>
    </row>
    <row r="89" spans="15:24" ht="17.100000000000001" customHeight="1">
      <c r="O89" s="12">
        <f t="shared" si="1"/>
        <v>6.333333333333333</v>
      </c>
      <c r="P89" s="13">
        <v>76</v>
      </c>
      <c r="Q89" s="22"/>
      <c r="R89" s="19"/>
      <c r="S89" s="22"/>
      <c r="T89" s="19"/>
      <c r="U89" s="24">
        <v>4.6011626229437219E-2</v>
      </c>
      <c r="V89" s="24">
        <f>(1+U90)^P90/(1+U89)^P89-1</f>
        <v>4.985165023345739E-2</v>
      </c>
      <c r="W89" s="23"/>
      <c r="X89" s="35"/>
    </row>
    <row r="90" spans="15:24" ht="17.100000000000001" customHeight="1">
      <c r="O90" s="12">
        <f t="shared" si="1"/>
        <v>6.416666666666667</v>
      </c>
      <c r="P90" s="13">
        <v>77</v>
      </c>
      <c r="Q90" s="22"/>
      <c r="R90" s="19"/>
      <c r="S90" s="22"/>
      <c r="T90" s="19"/>
      <c r="U90" s="24">
        <v>4.6061406539023242E-2</v>
      </c>
      <c r="V90" s="24">
        <f>(1+U91)^P91/(1+U90)^P90-1</f>
        <v>4.9863285519526013E-2</v>
      </c>
      <c r="W90" s="23"/>
      <c r="X90" s="35"/>
    </row>
    <row r="91" spans="15:24" ht="17.100000000000001" customHeight="1">
      <c r="O91" s="12">
        <f t="shared" si="1"/>
        <v>6.5</v>
      </c>
      <c r="P91" s="13">
        <v>78</v>
      </c>
      <c r="Q91" s="22"/>
      <c r="R91" s="19"/>
      <c r="S91" s="22"/>
      <c r="T91" s="19"/>
      <c r="U91" s="24">
        <v>4.6110061347017117E-2</v>
      </c>
      <c r="V91" s="24">
        <f>(1+U92)^P92/(1+U91)^P91-1</f>
        <v>4.9877715641967413E-2</v>
      </c>
      <c r="W91" s="23"/>
      <c r="X91" s="35"/>
    </row>
    <row r="92" spans="15:24" ht="17.100000000000001" customHeight="1">
      <c r="O92" s="12">
        <f t="shared" si="1"/>
        <v>6.583333333333333</v>
      </c>
      <c r="P92" s="13">
        <v>79</v>
      </c>
      <c r="Q92" s="22"/>
      <c r="R92" s="19"/>
      <c r="S92" s="22"/>
      <c r="T92" s="19"/>
      <c r="U92" s="24">
        <v>4.6157668579348554E-2</v>
      </c>
      <c r="V92" s="24">
        <f>(1+U93)^P93/(1+U92)^P92-1</f>
        <v>4.9894947357618458E-2</v>
      </c>
      <c r="W92" s="23"/>
      <c r="X92" s="35"/>
    </row>
    <row r="93" spans="15:24" ht="17.100000000000001" customHeight="1">
      <c r="O93" s="12">
        <f t="shared" si="1"/>
        <v>6.666666666666667</v>
      </c>
      <c r="P93" s="13">
        <v>80</v>
      </c>
      <c r="Q93" s="22"/>
      <c r="R93" s="19"/>
      <c r="S93" s="22"/>
      <c r="T93" s="19"/>
      <c r="U93" s="24">
        <v>4.6204302357863547E-2</v>
      </c>
      <c r="V93" s="24">
        <f>(1+U94)^P94/(1+U93)^P93-1</f>
        <v>4.9914987884872808E-2</v>
      </c>
      <c r="W93" s="23"/>
      <c r="X93" s="35"/>
    </row>
    <row r="94" spans="15:24" ht="17.100000000000001" customHeight="1">
      <c r="O94" s="12">
        <f t="shared" si="1"/>
        <v>6.75</v>
      </c>
      <c r="P94" s="13">
        <v>81</v>
      </c>
      <c r="Q94" s="22"/>
      <c r="R94" s="19"/>
      <c r="S94" s="22"/>
      <c r="T94" s="19"/>
      <c r="U94" s="24">
        <v>4.6250033240046839E-2</v>
      </c>
      <c r="V94" s="24">
        <f>(1+U95)^P95/(1+U94)^P94-1</f>
        <v>4.9937844913475304E-2</v>
      </c>
      <c r="W94" s="23"/>
      <c r="X94" s="35"/>
    </row>
    <row r="95" spans="15:24" ht="17.100000000000001" customHeight="1">
      <c r="O95" s="12">
        <f t="shared" si="1"/>
        <v>6.833333333333333</v>
      </c>
      <c r="P95" s="13">
        <v>82</v>
      </c>
      <c r="Q95" s="22"/>
      <c r="R95" s="19"/>
      <c r="S95" s="22"/>
      <c r="T95" s="19"/>
      <c r="U95" s="24">
        <v>4.6294928441367622E-2</v>
      </c>
      <c r="V95" s="24">
        <f>(1+U96)^P96/(1+U95)^P95-1</f>
        <v>4.9963526614873466E-2</v>
      </c>
      <c r="W95" s="23"/>
      <c r="X95" s="35"/>
    </row>
    <row r="96" spans="15:24" ht="17.100000000000001" customHeight="1">
      <c r="O96" s="12">
        <f t="shared" si="1"/>
        <v>6.916666666666667</v>
      </c>
      <c r="P96" s="13">
        <v>83</v>
      </c>
      <c r="Q96" s="22"/>
      <c r="R96" s="19"/>
      <c r="S96" s="22"/>
      <c r="T96" s="19"/>
      <c r="U96" s="24">
        <v>4.6339052041718176E-2</v>
      </c>
      <c r="V96" s="24">
        <f>(1+U97)^P97/(1+U96)^P96-1</f>
        <v>4.999204165255966E-2</v>
      </c>
      <c r="W96" s="23"/>
      <c r="X96" s="35"/>
    </row>
    <row r="97" spans="15:24" ht="17.100000000000001" customHeight="1">
      <c r="O97" s="12">
        <f t="shared" si="1"/>
        <v>7</v>
      </c>
      <c r="P97" s="13">
        <v>84</v>
      </c>
      <c r="Q97" s="22"/>
      <c r="R97" s="19"/>
      <c r="S97" s="22"/>
      <c r="T97" s="19"/>
      <c r="U97" s="24">
        <v>4.6382465177265297E-2</v>
      </c>
      <c r="V97" s="24">
        <f>(1+U98)^P98/(1+U97)^P97-1</f>
        <v>5.0022994080946237E-2</v>
      </c>
      <c r="W97" s="23"/>
      <c r="X97" s="35"/>
    </row>
    <row r="98" spans="15:24" ht="17.100000000000001" customHeight="1">
      <c r="O98" s="12">
        <f t="shared" si="1"/>
        <v>7.083333333333333</v>
      </c>
      <c r="P98" s="13">
        <v>85</v>
      </c>
      <c r="Q98" s="22"/>
      <c r="R98" s="19"/>
      <c r="S98" s="22"/>
      <c r="T98" s="19"/>
      <c r="U98" s="24">
        <v>4.6425221469228894E-2</v>
      </c>
      <c r="V98" s="24">
        <f>(1+U99)^P99/(1+U98)^P98-1</f>
        <v>5.0054759722048203E-2</v>
      </c>
      <c r="W98" s="23"/>
      <c r="X98" s="35"/>
    </row>
    <row r="99" spans="15:24" ht="17.100000000000001" customHeight="1">
      <c r="O99" s="12">
        <f t="shared" si="1"/>
        <v>7.166666666666667</v>
      </c>
      <c r="P99" s="13">
        <v>86</v>
      </c>
      <c r="Q99" s="22"/>
      <c r="R99" s="19"/>
      <c r="S99" s="22"/>
      <c r="T99" s="19"/>
      <c r="U99" s="24">
        <v>4.6467353226930852E-2</v>
      </c>
      <c r="V99" s="24">
        <f>(1+U100)^P100/(1+U99)^P99-1</f>
        <v>5.0086906353385086E-2</v>
      </c>
      <c r="W99" s="23"/>
      <c r="X99" s="35"/>
    </row>
    <row r="100" spans="15:24" ht="17.100000000000001" customHeight="1">
      <c r="O100" s="12">
        <f t="shared" si="1"/>
        <v>7.25</v>
      </c>
      <c r="P100" s="13">
        <v>87</v>
      </c>
      <c r="Q100" s="22"/>
      <c r="R100" s="19"/>
      <c r="S100" s="22"/>
      <c r="T100" s="19"/>
      <c r="U100" s="24">
        <v>4.6508886324822862E-2</v>
      </c>
      <c r="V100" s="24">
        <f>(1+U101)^P101/(1+U100)^P100-1</f>
        <v>5.011940306951268E-2</v>
      </c>
      <c r="W100" s="23"/>
      <c r="X100" s="35"/>
    </row>
    <row r="101" spans="15:24" ht="17.100000000000001" customHeight="1">
      <c r="O101" s="12">
        <f t="shared" si="1"/>
        <v>7.333333333333333</v>
      </c>
      <c r="P101" s="13">
        <v>88</v>
      </c>
      <c r="Q101" s="22"/>
      <c r="R101" s="19"/>
      <c r="S101" s="22"/>
      <c r="T101" s="19"/>
      <c r="U101" s="24">
        <v>4.6549845112541233E-2</v>
      </c>
      <c r="V101" s="24">
        <f>(1+U102)^P102/(1+U101)^P101-1</f>
        <v>5.0152218450553843E-2</v>
      </c>
      <c r="W101" s="23"/>
      <c r="X101" s="35"/>
    </row>
    <row r="102" spans="15:24" ht="17.100000000000001" customHeight="1">
      <c r="O102" s="12">
        <f t="shared" si="1"/>
        <v>7.416666666666667</v>
      </c>
      <c r="P102" s="13">
        <v>89</v>
      </c>
      <c r="Q102" s="22"/>
      <c r="R102" s="19"/>
      <c r="S102" s="22"/>
      <c r="T102" s="19"/>
      <c r="U102" s="24">
        <v>4.6590252494702167E-2</v>
      </c>
      <c r="V102" s="24">
        <f>(1+U103)^P103/(1+U102)^P102-1</f>
        <v>5.0185320548042256E-2</v>
      </c>
      <c r="W102" s="23"/>
      <c r="X102" s="35"/>
    </row>
    <row r="103" spans="15:24" ht="17.100000000000001" customHeight="1">
      <c r="O103" s="12">
        <f t="shared" si="1"/>
        <v>7.5</v>
      </c>
      <c r="P103" s="13">
        <v>90</v>
      </c>
      <c r="Q103" s="22"/>
      <c r="R103" s="19"/>
      <c r="S103" s="22"/>
      <c r="T103" s="19"/>
      <c r="U103" s="24">
        <v>4.6630130005230086E-2</v>
      </c>
      <c r="V103" s="24">
        <f>(1+U104)^P104/(1+U103)^P103-1</f>
        <v>5.0218676870996903E-2</v>
      </c>
      <c r="W103" s="23"/>
      <c r="X103" s="35"/>
    </row>
    <row r="104" spans="15:24" ht="17.100000000000001" customHeight="1">
      <c r="O104" s="12">
        <f t="shared" si="1"/>
        <v>7.583333333333333</v>
      </c>
      <c r="P104" s="13">
        <v>91</v>
      </c>
      <c r="Q104" s="22"/>
      <c r="R104" s="19"/>
      <c r="S104" s="22"/>
      <c r="T104" s="19"/>
      <c r="U104" s="24">
        <v>4.6669497876639765E-2</v>
      </c>
      <c r="V104" s="24">
        <f>(1+U105)^P105/(1+U104)^P104-1</f>
        <v>5.0252254371592864E-2</v>
      </c>
      <c r="W104" s="23"/>
      <c r="X104" s="35"/>
    </row>
    <row r="105" spans="15:24" ht="17.100000000000001" customHeight="1">
      <c r="O105" s="12">
        <f t="shared" si="1"/>
        <v>7.666666666666667</v>
      </c>
      <c r="P105" s="13">
        <v>92</v>
      </c>
      <c r="Q105" s="22"/>
      <c r="R105" s="19"/>
      <c r="S105" s="22"/>
      <c r="T105" s="19"/>
      <c r="U105" s="24">
        <v>4.6708375104653088E-2</v>
      </c>
      <c r="V105" s="24">
        <f>(1+U106)^P106/(1+U105)^P105-1</f>
        <v>5.0286019430309858E-2</v>
      </c>
      <c r="W105" s="23"/>
      <c r="X105" s="35"/>
    </row>
    <row r="106" spans="15:24" ht="17.100000000000001" customHeight="1">
      <c r="O106" s="12">
        <f t="shared" si="1"/>
        <v>7.75</v>
      </c>
      <c r="P106" s="13">
        <v>93</v>
      </c>
      <c r="Q106" s="22"/>
      <c r="R106" s="19"/>
      <c r="S106" s="22"/>
      <c r="T106" s="19"/>
      <c r="U106" s="24">
        <v>4.6746779508493486E-2</v>
      </c>
      <c r="V106" s="24">
        <f>(1+U107)^P107/(1+U106)^P106-1</f>
        <v>5.0319937841347695E-2</v>
      </c>
      <c r="W106" s="23"/>
      <c r="X106" s="35"/>
    </row>
    <row r="107" spans="15:24" ht="17.100000000000001" customHeight="1">
      <c r="O107" s="12">
        <f t="shared" si="1"/>
        <v>7.833333333333333</v>
      </c>
      <c r="P107" s="13">
        <v>94</v>
      </c>
      <c r="Q107" s="22"/>
      <c r="R107" s="19"/>
      <c r="S107" s="22"/>
      <c r="T107" s="19"/>
      <c r="U107" s="24">
        <v>4.6784727787183344E-2</v>
      </c>
      <c r="V107" s="24">
        <f>(1+U108)^P108/(1+U107)^P107-1</f>
        <v>5.0353974797150869E-2</v>
      </c>
      <c r="W107" s="23"/>
      <c r="X107" s="35"/>
    </row>
    <row r="108" spans="15:24" ht="17.100000000000001" customHeight="1">
      <c r="O108" s="12">
        <f t="shared" si="1"/>
        <v>7.916666666666667</v>
      </c>
      <c r="P108" s="13">
        <v>95</v>
      </c>
      <c r="Q108" s="22"/>
      <c r="R108" s="19"/>
      <c r="S108" s="22"/>
      <c r="T108" s="19"/>
      <c r="U108" s="24">
        <v>4.6822235572128834E-2</v>
      </c>
      <c r="V108" s="24">
        <f>(1+U109)^P109/(1+U108)^P108-1</f>
        <v>5.0388094873024203E-2</v>
      </c>
      <c r="W108" s="23"/>
      <c r="X108" s="35"/>
    </row>
    <row r="109" spans="15:24" ht="17.100000000000001" customHeight="1">
      <c r="O109" s="12">
        <f t="shared" si="1"/>
        <v>8</v>
      </c>
      <c r="P109" s="13">
        <v>96</v>
      </c>
      <c r="Q109" s="22"/>
      <c r="R109" s="19"/>
      <c r="S109" s="22"/>
      <c r="T109" s="19"/>
      <c r="U109" s="24">
        <v>4.6859317476263707E-2</v>
      </c>
      <c r="V109" s="24">
        <f>(1+U110)^P110/(1+U109)^P109-1</f>
        <v>5.0422262011355024E-2</v>
      </c>
      <c r="W109" s="23"/>
      <c r="X109" s="35"/>
    </row>
    <row r="110" spans="15:24" ht="17.100000000000001" customHeight="1">
      <c r="O110" s="12">
        <f t="shared" si="1"/>
        <v>8.0833333333333339</v>
      </c>
      <c r="P110" s="13">
        <v>97</v>
      </c>
      <c r="Q110" s="22"/>
      <c r="R110" s="19"/>
      <c r="S110" s="22"/>
      <c r="T110" s="19"/>
      <c r="U110" s="24">
        <v>4.6895987139995432E-2</v>
      </c>
      <c r="V110" s="24">
        <f>(1+U111)^P111/(1+U110)^P110-1</f>
        <v>5.0456439505673911E-2</v>
      </c>
      <c r="W110" s="23"/>
      <c r="X110" s="35"/>
    </row>
    <row r="111" spans="15:24" ht="17.100000000000001" customHeight="1">
      <c r="O111" s="12">
        <f t="shared" si="1"/>
        <v>8.1666666666666661</v>
      </c>
      <c r="P111" s="13">
        <v>98</v>
      </c>
      <c r="Q111" s="22"/>
      <c r="R111" s="19"/>
      <c r="S111" s="22"/>
      <c r="T111" s="19"/>
      <c r="U111" s="24">
        <v>4.6932257274179712E-2</v>
      </c>
      <c r="V111" s="24">
        <f>(1+U112)^P112/(1+U111)^P111-1</f>
        <v>5.0490589984038658E-2</v>
      </c>
      <c r="W111" s="23"/>
      <c r="X111" s="35"/>
    </row>
    <row r="112" spans="15:24" ht="17.100000000000001" customHeight="1">
      <c r="O112" s="12">
        <f t="shared" si="1"/>
        <v>8.25</v>
      </c>
      <c r="P112" s="13">
        <v>99</v>
      </c>
      <c r="Q112" s="22"/>
      <c r="R112" s="19"/>
      <c r="S112" s="22"/>
      <c r="T112" s="19"/>
      <c r="U112" s="24">
        <v>4.6968139700327427E-2</v>
      </c>
      <c r="V112" s="24">
        <f>(1+U113)^P113/(1+U112)^P112-1</f>
        <v>5.0524675392675356E-2</v>
      </c>
      <c r="W112" s="23"/>
      <c r="X112" s="35"/>
    </row>
    <row r="113" spans="15:24" ht="17.100000000000001" customHeight="1">
      <c r="O113" s="12">
        <f t="shared" si="1"/>
        <v>8.3333333333333339</v>
      </c>
      <c r="P113" s="13">
        <v>100</v>
      </c>
      <c r="Q113" s="22"/>
      <c r="R113" s="19"/>
      <c r="S113" s="22"/>
      <c r="T113" s="19"/>
      <c r="U113" s="24">
        <v>4.7003645388239201E-2</v>
      </c>
      <c r="V113" s="24">
        <f>(1+U114)^P114/(1+U113)^P113-1</f>
        <v>5.0558656979011518E-2</v>
      </c>
      <c r="W113" s="23"/>
      <c r="X113" s="35"/>
    </row>
    <row r="114" spans="15:24" ht="17.100000000000001" customHeight="1">
      <c r="O114" s="12">
        <f t="shared" si="1"/>
        <v>8.4166666666666661</v>
      </c>
      <c r="P114" s="13">
        <v>101</v>
      </c>
      <c r="Q114" s="22"/>
      <c r="R114" s="19"/>
      <c r="S114" s="22"/>
      <c r="T114" s="19"/>
      <c r="U114" s="24">
        <v>4.7038784491238994E-2</v>
      </c>
      <c r="V114" s="24">
        <f>(1+U115)^P115/(1+U114)^P114-1</f>
        <v>5.0592495274269345E-2</v>
      </c>
      <c r="W114" s="23"/>
      <c r="X114" s="35"/>
    </row>
    <row r="115" spans="15:24" ht="17.100000000000001" customHeight="1">
      <c r="O115" s="12">
        <f t="shared" si="1"/>
        <v>8.5</v>
      </c>
      <c r="P115" s="13">
        <v>102</v>
      </c>
      <c r="Q115" s="22"/>
      <c r="R115" s="19"/>
      <c r="S115" s="22"/>
      <c r="T115" s="19"/>
      <c r="U115" s="24">
        <v>4.7073566379168819E-2</v>
      </c>
      <c r="V115" s="24">
        <f>(1+U116)^P116/(1+U115)^P115-1</f>
        <v>5.0626150076119369E-2</v>
      </c>
      <c r="W115" s="23"/>
      <c r="X115" s="35"/>
    </row>
    <row r="116" spans="15:24" ht="17.100000000000001" customHeight="1">
      <c r="O116" s="12">
        <f t="shared" si="1"/>
        <v>8.5833333333333339</v>
      </c>
      <c r="P116" s="13">
        <v>103</v>
      </c>
      <c r="Q116" s="22"/>
      <c r="R116" s="19"/>
      <c r="S116" s="22"/>
      <c r="T116" s="19"/>
      <c r="U116" s="24">
        <v>4.7107999669294465E-2</v>
      </c>
      <c r="V116" s="24">
        <f>(1+U117)^P117/(1+U116)^P116-1</f>
        <v>5.065958043079366E-2</v>
      </c>
      <c r="W116" s="23"/>
      <c r="X116" s="35"/>
    </row>
    <row r="117" spans="15:24" ht="17.100000000000001" customHeight="1">
      <c r="O117" s="12">
        <f t="shared" si="1"/>
        <v>8.6666666666666661</v>
      </c>
      <c r="P117" s="13">
        <v>104</v>
      </c>
      <c r="Q117" s="22"/>
      <c r="R117" s="19"/>
      <c r="S117" s="22"/>
      <c r="T117" s="19"/>
      <c r="U117" s="24">
        <v>4.7142092255259449E-2</v>
      </c>
      <c r="V117" s="24">
        <f>(1+U118)^P118/(1+U117)^P117-1</f>
        <v>5.0692744615097318E-2</v>
      </c>
      <c r="W117" s="23"/>
      <c r="X117" s="35"/>
    </row>
    <row r="118" spans="15:24" ht="17.100000000000001" customHeight="1">
      <c r="O118" s="12">
        <f t="shared" si="1"/>
        <v>8.75</v>
      </c>
      <c r="P118" s="13">
        <v>105</v>
      </c>
      <c r="Q118" s="22"/>
      <c r="R118" s="19"/>
      <c r="S118" s="22"/>
      <c r="T118" s="19"/>
      <c r="U118" s="24">
        <v>4.7175851334214647E-2</v>
      </c>
      <c r="V118" s="24">
        <f>(1+U119)^P119/(1+U118)^P118-1</f>
        <v>5.0725600117753178E-2</v>
      </c>
      <c r="W118" s="23"/>
      <c r="X118" s="35"/>
    </row>
    <row r="119" spans="15:24" ht="17.100000000000001" customHeight="1">
      <c r="O119" s="12">
        <f t="shared" si="1"/>
        <v>8.8333333333333339</v>
      </c>
      <c r="P119" s="13">
        <v>106</v>
      </c>
      <c r="Q119" s="22"/>
      <c r="R119" s="19"/>
      <c r="S119" s="22"/>
      <c r="T119" s="19"/>
      <c r="U119" s="24">
        <v>4.7209283432239069E-2</v>
      </c>
      <c r="V119" s="24">
        <f>(1+U120)^P120/(1+U119)^P119-1</f>
        <v>5.0758103620965001E-2</v>
      </c>
      <c r="W119" s="23"/>
      <c r="X119" s="35"/>
    </row>
    <row r="120" spans="15:24" ht="17.100000000000001" customHeight="1">
      <c r="O120" s="12">
        <f t="shared" si="1"/>
        <v>8.9166666666666661</v>
      </c>
      <c r="P120" s="13">
        <v>107</v>
      </c>
      <c r="Q120" s="22"/>
      <c r="R120" s="19"/>
      <c r="S120" s="22"/>
      <c r="T120" s="19"/>
      <c r="U120" s="24">
        <v>4.7242394428163248E-2</v>
      </c>
      <c r="V120" s="24">
        <f>(1+U121)^P121/(1+U120)^P120-1</f>
        <v>5.0790210981179307E-2</v>
      </c>
      <c r="W120" s="23"/>
      <c r="X120" s="35"/>
    </row>
    <row r="121" spans="15:24" ht="17.100000000000001" customHeight="1">
      <c r="O121" s="12">
        <f t="shared" si="1"/>
        <v>9</v>
      </c>
      <c r="P121" s="13">
        <v>108</v>
      </c>
      <c r="Q121" s="22"/>
      <c r="R121" s="19"/>
      <c r="S121" s="22"/>
      <c r="T121" s="19"/>
      <c r="U121" s="24">
        <v>4.7275189575893384E-2</v>
      </c>
      <c r="V121" s="24">
        <f>(1+U122)^P122/(1+U121)^P121-1</f>
        <v>5.0821877210063704E-2</v>
      </c>
      <c r="W121" s="23"/>
      <c r="X121" s="35"/>
    </row>
    <row r="122" spans="15:24" ht="17.100000000000001" customHeight="1">
      <c r="O122" s="12">
        <f t="shared" si="1"/>
        <v>9.0833333333333339</v>
      </c>
      <c r="P122" s="13">
        <v>109</v>
      </c>
      <c r="Q122" s="22"/>
      <c r="R122" s="19"/>
      <c r="S122" s="22"/>
      <c r="T122" s="19"/>
      <c r="U122" s="24">
        <v>4.7307673525332161E-2</v>
      </c>
      <c r="V122" s="24">
        <f>(1+U123)^P123/(1+U122)^P122-1</f>
        <v>5.0853056454535306E-2</v>
      </c>
      <c r="W122" s="23"/>
      <c r="X122" s="35"/>
    </row>
    <row r="123" spans="15:24" ht="17.100000000000001" customHeight="1">
      <c r="O123" s="12">
        <f t="shared" si="1"/>
        <v>9.1666666666666661</v>
      </c>
      <c r="P123" s="13">
        <v>110</v>
      </c>
      <c r="Q123" s="22"/>
      <c r="R123" s="19"/>
      <c r="S123" s="22"/>
      <c r="T123" s="19"/>
      <c r="U123" s="24">
        <v>4.7339850341978407E-2</v>
      </c>
      <c r="V123" s="24">
        <f>(1+U124)^P124/(1+U123)^P123-1</f>
        <v>5.0883701977160412E-2</v>
      </c>
      <c r="W123" s="23"/>
      <c r="X123" s="35"/>
    </row>
    <row r="124" spans="15:24" ht="17.100000000000001" customHeight="1">
      <c r="O124" s="12">
        <f t="shared" si="1"/>
        <v>9.25</v>
      </c>
      <c r="P124" s="13">
        <v>111</v>
      </c>
      <c r="Q124" s="22"/>
      <c r="R124" s="19"/>
      <c r="S124" s="22"/>
      <c r="T124" s="19"/>
      <c r="U124" s="24">
        <v>4.7371723525291065E-2</v>
      </c>
      <c r="V124" s="24">
        <f>(1+U125)^P125/(1+U124)^P124-1</f>
        <v>5.0913766135855409E-2</v>
      </c>
      <c r="W124" s="23"/>
      <c r="X124" s="35"/>
    </row>
    <row r="125" spans="15:24" ht="17.100000000000001" customHeight="1">
      <c r="O125" s="12">
        <f t="shared" si="1"/>
        <v>9.3333333333333339</v>
      </c>
      <c r="P125" s="13">
        <v>112</v>
      </c>
      <c r="Q125" s="22"/>
      <c r="R125" s="19"/>
      <c r="S125" s="22"/>
      <c r="T125" s="19"/>
      <c r="U125" s="24">
        <v>4.7403296025887887E-2</v>
      </c>
      <c r="V125" s="24">
        <f>(1+U126)^P126/(1+U125)^P125-1</f>
        <v>5.0943200363337882E-2</v>
      </c>
      <c r="W125" s="23"/>
      <c r="X125" s="35"/>
    </row>
    <row r="126" spans="15:24" ht="17.100000000000001" customHeight="1">
      <c r="O126" s="12">
        <f t="shared" si="1"/>
        <v>9.4166666666666661</v>
      </c>
      <c r="P126" s="13">
        <v>113</v>
      </c>
      <c r="Q126" s="22"/>
      <c r="R126" s="19"/>
      <c r="S126" s="22"/>
      <c r="T126" s="19"/>
      <c r="U126" s="24">
        <v>4.7434570261649878E-2</v>
      </c>
      <c r="V126" s="24">
        <f>(1+U127)^P127/(1+U126)^P126-1</f>
        <v>5.0971955146549508E-2</v>
      </c>
      <c r="W126" s="23"/>
      <c r="X126" s="35"/>
    </row>
    <row r="127" spans="15:24" ht="17.100000000000001" customHeight="1">
      <c r="O127" s="12">
        <f t="shared" si="1"/>
        <v>9.5</v>
      </c>
      <c r="P127" s="13">
        <v>114</v>
      </c>
      <c r="Q127" s="22"/>
      <c r="R127" s="19"/>
      <c r="S127" s="22"/>
      <c r="T127" s="19"/>
      <c r="U127" s="24">
        <v>4.7465548132796798E-2</v>
      </c>
      <c r="V127" s="24">
        <f>(1+U128)^P128/(1+U127)^P127-1</f>
        <v>5.0999980005240531E-2</v>
      </c>
      <c r="W127" s="23"/>
      <c r="X127" s="35"/>
    </row>
    <row r="128" spans="15:24" ht="17.100000000000001" customHeight="1">
      <c r="O128" s="12">
        <f t="shared" si="1"/>
        <v>9.5833333333333339</v>
      </c>
      <c r="P128" s="13">
        <v>115</v>
      </c>
      <c r="Q128" s="22"/>
      <c r="R128" s="19"/>
      <c r="S128" s="22"/>
      <c r="T128" s="19"/>
      <c r="U128" s="24">
        <v>4.7496231035989656E-2</v>
      </c>
      <c r="V128" s="24">
        <f>(1+U129)^P129/(1+U128)^P128-1</f>
        <v>5.1027223471026728E-2</v>
      </c>
      <c r="W128" s="23"/>
      <c r="X128" s="35"/>
    </row>
    <row r="129" spans="15:24" ht="17.100000000000001" customHeight="1">
      <c r="O129" s="12">
        <f t="shared" si="1"/>
        <v>9.6666666666666661</v>
      </c>
      <c r="P129" s="13">
        <v>116</v>
      </c>
      <c r="Q129" s="22"/>
      <c r="R129" s="19"/>
      <c r="S129" s="22"/>
      <c r="T129" s="19"/>
      <c r="U129" s="24">
        <v>4.7526619877522158E-2</v>
      </c>
      <c r="V129" s="24">
        <f>(1+U130)^P130/(1+U129)^P129-1</f>
        <v>5.105363306539723E-2</v>
      </c>
      <c r="W129" s="23"/>
      <c r="X129" s="35"/>
    </row>
    <row r="130" spans="15:24" ht="17.100000000000001" customHeight="1">
      <c r="O130" s="12">
        <f t="shared" si="1"/>
        <v>9.75</v>
      </c>
      <c r="P130" s="13">
        <v>117</v>
      </c>
      <c r="Q130" s="22"/>
      <c r="R130" s="19"/>
      <c r="S130" s="22"/>
      <c r="T130" s="19"/>
      <c r="U130" s="24">
        <v>4.7556715085647072E-2</v>
      </c>
      <c r="V130" s="24">
        <f>(1+U131)^P131/(1+U130)^P130-1</f>
        <v>5.1079155278083821E-2</v>
      </c>
      <c r="W130" s="23"/>
      <c r="X130" s="35"/>
    </row>
    <row r="131" spans="15:24" ht="17.100000000000001" customHeight="1">
      <c r="O131" s="12">
        <f t="shared" si="1"/>
        <v>9.8333333333333339</v>
      </c>
      <c r="P131" s="13">
        <v>118</v>
      </c>
      <c r="Q131" s="22"/>
      <c r="R131" s="19"/>
      <c r="S131" s="22"/>
      <c r="T131" s="19"/>
      <c r="U131" s="24">
        <v>4.7586516622091013E-2</v>
      </c>
      <c r="V131" s="24">
        <f>(1+U132)^P132/(1+U131)^P131-1</f>
        <v>5.1103735544572926E-2</v>
      </c>
      <c r="W131" s="23"/>
      <c r="X131" s="35"/>
    </row>
    <row r="132" spans="15:24" ht="17.100000000000001" customHeight="1">
      <c r="O132" s="12">
        <f t="shared" si="1"/>
        <v>9.9166666666666661</v>
      </c>
      <c r="P132" s="13">
        <v>119</v>
      </c>
      <c r="Q132" s="22"/>
      <c r="R132" s="19"/>
      <c r="S132" s="22"/>
      <c r="T132" s="19"/>
      <c r="U132" s="24">
        <v>4.7616023992798073E-2</v>
      </c>
      <c r="V132" s="24">
        <f>(1+U133)^P133/(1+U132)^P132-1</f>
        <v>5.1127318224013063E-2</v>
      </c>
      <c r="W132" s="23"/>
      <c r="X132" s="35"/>
    </row>
    <row r="133" spans="15:24" ht="17.100000000000001" customHeight="1">
      <c r="O133" s="12">
        <f t="shared" si="1"/>
        <v>10</v>
      </c>
      <c r="P133" s="13">
        <v>120</v>
      </c>
      <c r="Q133" s="22"/>
      <c r="R133" s="19"/>
      <c r="S133" s="22"/>
      <c r="T133" s="19"/>
      <c r="U133" s="24">
        <v>4.7645236257950252E-2</v>
      </c>
      <c r="V133" s="24">
        <f>(1+U134)^P134/(1+U133)^P133-1</f>
        <v>5.1150165944913617E-2</v>
      </c>
      <c r="W133" s="23"/>
      <c r="X133" s="35"/>
    </row>
    <row r="134" spans="15:24" ht="17.100000000000001" customHeight="1">
      <c r="O134" s="12">
        <f t="shared" si="1"/>
        <v>10.083333333333334</v>
      </c>
      <c r="P134" s="13">
        <v>121</v>
      </c>
      <c r="Q134" s="22"/>
      <c r="R134" s="19"/>
      <c r="S134" s="22"/>
      <c r="T134" s="19"/>
      <c r="U134" s="24">
        <v>4.7674154671981883E-2</v>
      </c>
      <c r="V134" s="24">
        <f>(1+U135)^P135/(1+U134)^P134-1</f>
        <v>5.1173509097092174E-2</v>
      </c>
      <c r="W134" s="23"/>
      <c r="X134" s="35"/>
    </row>
    <row r="135" spans="15:24" ht="17.100000000000001" customHeight="1">
      <c r="O135" s="12">
        <f t="shared" si="1"/>
        <v>10.166666666666666</v>
      </c>
      <c r="P135" s="13">
        <v>122</v>
      </c>
      <c r="Q135" s="22"/>
      <c r="R135" s="19"/>
      <c r="S135" s="22"/>
      <c r="T135" s="19"/>
      <c r="U135" s="24">
        <v>4.7702790500036674E-2</v>
      </c>
      <c r="V135" s="24">
        <f>(1+U136)^P136/(1+U135)^P135-1</f>
        <v>5.1197638014315539E-2</v>
      </c>
      <c r="W135" s="23"/>
      <c r="X135" s="35"/>
    </row>
    <row r="136" spans="15:24" ht="17.100000000000001" customHeight="1">
      <c r="O136" s="12">
        <f t="shared" si="1"/>
        <v>10.25</v>
      </c>
      <c r="P136" s="13">
        <v>123</v>
      </c>
      <c r="Q136" s="22"/>
      <c r="R136" s="19"/>
      <c r="S136" s="22"/>
      <c r="T136" s="19"/>
      <c r="U136" s="24">
        <v>4.7731156993965129E-2</v>
      </c>
      <c r="V136" s="24">
        <f>(1+U137)^P137/(1+U136)^P136-1</f>
        <v>5.1222525930919582E-2</v>
      </c>
      <c r="W136" s="23"/>
      <c r="X136" s="35"/>
    </row>
    <row r="137" spans="15:24" ht="17.100000000000001" customHeight="1">
      <c r="O137" s="12">
        <f t="shared" si="1"/>
        <v>10.333333333333334</v>
      </c>
      <c r="P137" s="13">
        <v>124</v>
      </c>
      <c r="Q137" s="22"/>
      <c r="R137" s="19"/>
      <c r="S137" s="22"/>
      <c r="T137" s="19"/>
      <c r="U137" s="24">
        <v>4.7759266763454544E-2</v>
      </c>
      <c r="V137" s="24">
        <f>(1+U138)^P138/(1+U137)^P137-1</f>
        <v>5.1248145688378877E-2</v>
      </c>
      <c r="W137" s="23"/>
      <c r="X137" s="35"/>
    </row>
    <row r="138" spans="15:24" ht="17.100000000000001" customHeight="1">
      <c r="O138" s="12">
        <f t="shared" si="1"/>
        <v>10.416666666666666</v>
      </c>
      <c r="P138" s="13">
        <v>125</v>
      </c>
      <c r="Q138" s="22"/>
      <c r="R138" s="19"/>
      <c r="S138" s="22"/>
      <c r="T138" s="19"/>
      <c r="U138" s="24">
        <v>4.7787131798538551E-2</v>
      </c>
      <c r="V138" s="24">
        <f>(1+U139)^P139/(1+U138)^P138-1</f>
        <v>5.1274469724456706E-2</v>
      </c>
      <c r="W138" s="23"/>
      <c r="X138" s="35"/>
    </row>
    <row r="139" spans="15:24" ht="17.100000000000001" customHeight="1">
      <c r="O139" s="12">
        <f t="shared" si="1"/>
        <v>10.5</v>
      </c>
      <c r="P139" s="13">
        <v>126</v>
      </c>
      <c r="Q139" s="22"/>
      <c r="R139" s="19"/>
      <c r="S139" s="22"/>
      <c r="T139" s="19"/>
      <c r="U139" s="24">
        <v>4.7814763490950929E-2</v>
      </c>
      <c r="V139" s="24">
        <f>(1+U140)^P140/(1+U139)^P139-1</f>
        <v>5.130147006099528E-2</v>
      </c>
      <c r="W139" s="23"/>
      <c r="X139" s="35"/>
    </row>
    <row r="140" spans="15:24" ht="17.100000000000001" customHeight="1">
      <c r="O140" s="12">
        <f t="shared" si="1"/>
        <v>10.583333333333334</v>
      </c>
      <c r="P140" s="13">
        <v>127</v>
      </c>
      <c r="Q140" s="22"/>
      <c r="R140" s="19"/>
      <c r="S140" s="22"/>
      <c r="T140" s="19"/>
      <c r="U140" s="24">
        <v>4.7842172654379622E-2</v>
      </c>
      <c r="V140" s="24">
        <f>(1+U141)^P141/(1+U140)^P140-1</f>
        <v>5.1329118292497755E-2</v>
      </c>
      <c r="W140" s="23"/>
      <c r="X140" s="35"/>
    </row>
    <row r="141" spans="15:24" ht="17.100000000000001" customHeight="1">
      <c r="O141" s="12">
        <f t="shared" si="1"/>
        <v>10.666666666666666</v>
      </c>
      <c r="P141" s="13">
        <v>128</v>
      </c>
      <c r="Q141" s="22"/>
      <c r="R141" s="19"/>
      <c r="S141" s="22"/>
      <c r="T141" s="19"/>
      <c r="U141" s="24">
        <v>4.7869369543684481E-2</v>
      </c>
      <c r="V141" s="24">
        <f>(1+U142)^P142/(1+U141)^P141-1</f>
        <v>5.1357385573443715E-2</v>
      </c>
      <c r="W141" s="23"/>
      <c r="X141" s="35"/>
    </row>
    <row r="142" spans="15:24" ht="17.100000000000001" customHeight="1">
      <c r="O142" s="12">
        <f t="shared" ref="O142:O205" si="2">P142/12</f>
        <v>10.75</v>
      </c>
      <c r="P142" s="13">
        <v>129</v>
      </c>
      <c r="Q142" s="22"/>
      <c r="R142" s="19"/>
      <c r="S142" s="22"/>
      <c r="T142" s="19"/>
      <c r="U142" s="24">
        <v>4.7896363873126901E-2</v>
      </c>
      <c r="V142" s="24">
        <f>(1+U143)^P143/(1+U142)^P142-1</f>
        <v>5.1386242606201504E-2</v>
      </c>
      <c r="W142" s="23"/>
      <c r="X142" s="35"/>
    </row>
    <row r="143" spans="15:24" ht="17.100000000000001" customHeight="1">
      <c r="O143" s="12">
        <f t="shared" si="2"/>
        <v>10.833333333333334</v>
      </c>
      <c r="P143" s="13">
        <v>130</v>
      </c>
      <c r="Q143" s="22"/>
      <c r="R143" s="19"/>
      <c r="S143" s="22"/>
      <c r="T143" s="19"/>
      <c r="U143" s="24">
        <v>4.7923164833667764E-2</v>
      </c>
      <c r="V143" s="24">
        <f>(1+U144)^P144/(1+U143)^P143-1</f>
        <v>5.1415659628183175E-2</v>
      </c>
      <c r="W143" s="23"/>
      <c r="X143" s="35"/>
    </row>
    <row r="144" spans="15:24" ht="17.100000000000001" customHeight="1">
      <c r="O144" s="12">
        <f t="shared" si="2"/>
        <v>10.916666666666666</v>
      </c>
      <c r="P144" s="13">
        <v>131</v>
      </c>
      <c r="Q144" s="22"/>
      <c r="R144" s="19"/>
      <c r="S144" s="22"/>
      <c r="T144" s="19"/>
      <c r="U144" s="24">
        <v>4.7949781109378753E-2</v>
      </c>
      <c r="V144" s="24">
        <f>(1+U145)^P145/(1+U144)^P144-1</f>
        <v>5.1445606398649701E-2</v>
      </c>
      <c r="W144" s="23"/>
      <c r="X144" s="35"/>
    </row>
    <row r="145" spans="15:24" ht="17.100000000000001" customHeight="1">
      <c r="O145" s="12">
        <f t="shared" si="2"/>
        <v>11</v>
      </c>
      <c r="P145" s="13">
        <v>132</v>
      </c>
      <c r="Q145" s="22"/>
      <c r="R145" s="19"/>
      <c r="S145" s="22"/>
      <c r="T145" s="19"/>
      <c r="U145" s="24">
        <v>4.7976220893009902E-2</v>
      </c>
      <c r="V145" s="24">
        <f>(1+U146)^P146/(1+U145)^P145-1</f>
        <v>5.1476052185645216E-2</v>
      </c>
      <c r="W145" s="23"/>
      <c r="X145" s="35"/>
    </row>
    <row r="146" spans="15:24" ht="17.100000000000001" customHeight="1">
      <c r="O146" s="12">
        <f t="shared" si="2"/>
        <v>11.083333333333334</v>
      </c>
      <c r="P146" s="13">
        <v>133</v>
      </c>
      <c r="Q146" s="22"/>
      <c r="R146" s="19"/>
      <c r="S146" s="22"/>
      <c r="T146" s="19"/>
      <c r="U146" s="24">
        <v>4.8002491900759336E-2</v>
      </c>
      <c r="V146" s="24">
        <f>(1+U147)^P147/(1+U146)^P146-1</f>
        <v>5.1506965752589284E-2</v>
      </c>
      <c r="W146" s="23"/>
      <c r="X146" s="35"/>
    </row>
    <row r="147" spans="15:24" ht="17.100000000000001" customHeight="1">
      <c r="O147" s="12">
        <f t="shared" si="2"/>
        <v>11.166666666666666</v>
      </c>
      <c r="P147" s="13">
        <v>134</v>
      </c>
      <c r="Q147" s="22"/>
      <c r="R147" s="19"/>
      <c r="S147" s="22"/>
      <c r="T147" s="19"/>
      <c r="U147" s="24">
        <v>4.8028601386285175E-2</v>
      </c>
      <c r="V147" s="24">
        <f>(1+U148)^P148/(1+U147)^P147-1</f>
        <v>5.1538315343895968E-2</v>
      </c>
      <c r="W147" s="23"/>
      <c r="X147" s="35"/>
    </row>
    <row r="148" spans="15:24" ht="17.100000000000001" customHeight="1">
      <c r="O148" s="12">
        <f t="shared" si="2"/>
        <v>11.25</v>
      </c>
      <c r="P148" s="13">
        <v>135</v>
      </c>
      <c r="Q148" s="22"/>
      <c r="R148" s="19"/>
      <c r="S148" s="22"/>
      <c r="T148" s="19"/>
      <c r="U148" s="24">
        <v>4.8054556153989125E-2</v>
      </c>
      <c r="V148" s="24">
        <f>(1+U149)^P149/(1+U148)^P148-1</f>
        <v>5.1570068671485947E-2</v>
      </c>
      <c r="W148" s="23"/>
      <c r="X148" s="35"/>
    </row>
    <row r="149" spans="15:24" ht="17.100000000000001" customHeight="1">
      <c r="O149" s="12">
        <f t="shared" si="2"/>
        <v>11.333333333333334</v>
      </c>
      <c r="P149" s="13">
        <v>136</v>
      </c>
      <c r="Q149" s="22"/>
      <c r="R149" s="19"/>
      <c r="S149" s="22"/>
      <c r="T149" s="19"/>
      <c r="U149" s="24">
        <v>4.8080362571618851E-2</v>
      </c>
      <c r="V149" s="24">
        <f>(1+U150)^P150/(1+U149)^P149-1</f>
        <v>5.160219289989465E-2</v>
      </c>
      <c r="W149" s="23"/>
      <c r="X149" s="35"/>
    </row>
    <row r="150" spans="15:24" ht="17.100000000000001" customHeight="1">
      <c r="O150" s="12">
        <f t="shared" si="2"/>
        <v>11.416666666666666</v>
      </c>
      <c r="P150" s="13">
        <v>137</v>
      </c>
      <c r="Q150" s="22"/>
      <c r="R150" s="19"/>
      <c r="S150" s="22"/>
      <c r="T150" s="19"/>
      <c r="U150" s="24">
        <v>4.8106026582210193E-2</v>
      </c>
      <c r="V150" s="24">
        <f>(1+U151)^P151/(1+U150)^P150-1</f>
        <v>5.1634654631756094E-2</v>
      </c>
      <c r="W150" s="23"/>
      <c r="X150" s="35"/>
    </row>
    <row r="151" spans="15:24" ht="17.100000000000001" customHeight="1">
      <c r="O151" s="12">
        <f t="shared" si="2"/>
        <v>11.5</v>
      </c>
      <c r="P151" s="13">
        <v>138</v>
      </c>
      <c r="Q151" s="22"/>
      <c r="R151" s="19"/>
      <c r="S151" s="22"/>
      <c r="T151" s="19"/>
      <c r="U151" s="24">
        <v>4.8131553715408781E-2</v>
      </c>
      <c r="V151" s="24">
        <f>(1+U152)^P152/(1+U151)^P151-1</f>
        <v>5.1667419892966748E-2</v>
      </c>
      <c r="W151" s="23"/>
      <c r="X151" s="35"/>
    </row>
    <row r="152" spans="15:24" ht="17.100000000000001" customHeight="1">
      <c r="O152" s="12">
        <f t="shared" si="2"/>
        <v>11.583333333333334</v>
      </c>
      <c r="P152" s="13">
        <v>139</v>
      </c>
      <c r="Q152" s="22"/>
      <c r="R152" s="19"/>
      <c r="S152" s="22"/>
      <c r="T152" s="19"/>
      <c r="U152" s="24">
        <v>4.8156949098196566E-2</v>
      </c>
      <c r="V152" s="24">
        <f>(1+U153)^P153/(1+U152)^P152-1</f>
        <v>5.1700454116928363E-2</v>
      </c>
      <c r="W152" s="23"/>
      <c r="X152" s="35"/>
    </row>
    <row r="153" spans="15:24" ht="17.100000000000001" customHeight="1">
      <c r="O153" s="12">
        <f t="shared" si="2"/>
        <v>11.666666666666666</v>
      </c>
      <c r="P153" s="13">
        <v>140</v>
      </c>
      <c r="Q153" s="22"/>
      <c r="R153" s="19"/>
      <c r="S153" s="22"/>
      <c r="T153" s="19"/>
      <c r="U153" s="24">
        <v>4.8182217465049693E-2</v>
      </c>
      <c r="V153" s="24">
        <f>(1+U154)^P154/(1+U153)^P153-1</f>
        <v>5.1733722129504223E-2</v>
      </c>
      <c r="W153" s="23"/>
      <c r="X153" s="35"/>
    </row>
    <row r="154" spans="15:24" ht="17.100000000000001" customHeight="1">
      <c r="O154" s="12">
        <f t="shared" si="2"/>
        <v>11.75</v>
      </c>
      <c r="P154" s="13">
        <v>141</v>
      </c>
      <c r="Q154" s="22"/>
      <c r="R154" s="19"/>
      <c r="S154" s="22"/>
      <c r="T154" s="19"/>
      <c r="U154" s="24">
        <v>4.8207363167557027E-2</v>
      </c>
      <c r="V154" s="24">
        <f>(1+U155)^P155/(1+U154)^P154-1</f>
        <v>5.1767188132657793E-2</v>
      </c>
      <c r="W154" s="23"/>
      <c r="X154" s="35"/>
    </row>
    <row r="155" spans="15:24" ht="17.100000000000001" customHeight="1">
      <c r="O155" s="12">
        <f t="shared" si="2"/>
        <v>11.833333333333334</v>
      </c>
      <c r="P155" s="13">
        <v>142</v>
      </c>
      <c r="Q155" s="22"/>
      <c r="R155" s="19"/>
      <c r="S155" s="22"/>
      <c r="T155" s="19"/>
      <c r="U155" s="24">
        <v>4.8232390183521323E-2</v>
      </c>
      <c r="V155" s="24">
        <f>(1+U156)^P156/(1+U155)^P155-1</f>
        <v>5.1800815688506363E-2</v>
      </c>
      <c r="W155" s="23"/>
      <c r="X155" s="35"/>
    </row>
    <row r="156" spans="15:24" ht="17.100000000000001" customHeight="1">
      <c r="O156" s="12">
        <f t="shared" si="2"/>
        <v>11.916666666666666</v>
      </c>
      <c r="P156" s="13">
        <v>143</v>
      </c>
      <c r="Q156" s="22"/>
      <c r="R156" s="19"/>
      <c r="S156" s="22"/>
      <c r="T156" s="19"/>
      <c r="U156" s="24">
        <v>4.8257302125566115E-2</v>
      </c>
      <c r="V156" s="24">
        <f>(1+U157)^P157/(1+U156)^P156-1</f>
        <v>5.1834567702671475E-2</v>
      </c>
      <c r="W156" s="23"/>
      <c r="X156" s="35"/>
    </row>
    <row r="157" spans="15:24" ht="17.100000000000001" customHeight="1">
      <c r="O157" s="12">
        <f t="shared" si="2"/>
        <v>12</v>
      </c>
      <c r="P157" s="13">
        <v>144</v>
      </c>
      <c r="Q157" s="22"/>
      <c r="R157" s="19"/>
      <c r="S157" s="22"/>
      <c r="T157" s="19"/>
      <c r="U157" s="24">
        <v>4.828210224927143E-2</v>
      </c>
      <c r="V157" s="24">
        <f>(1+U158)^P158/(1+U157)^P157-1</f>
        <v>5.1868406407654666E-2</v>
      </c>
      <c r="W157" s="23"/>
      <c r="X157" s="35"/>
    </row>
    <row r="158" spans="15:24" ht="17.100000000000001" customHeight="1">
      <c r="O158" s="12">
        <f t="shared" si="2"/>
        <v>12.083333333333334</v>
      </c>
      <c r="P158" s="13">
        <v>145</v>
      </c>
      <c r="Q158" s="22"/>
      <c r="R158" s="19"/>
      <c r="S158" s="22"/>
      <c r="T158" s="19"/>
      <c r="U158" s="24">
        <v>4.8306793460858977E-2</v>
      </c>
      <c r="V158" s="24">
        <f>(1+U159)^P159/(1+U158)^P158-1</f>
        <v>5.1902293345292838E-2</v>
      </c>
      <c r="W158" s="23"/>
      <c r="X158" s="35"/>
    </row>
    <row r="159" spans="15:24" ht="17.100000000000001" customHeight="1">
      <c r="O159" s="12">
        <f t="shared" si="2"/>
        <v>12.166666666666666</v>
      </c>
      <c r="P159" s="13">
        <v>146</v>
      </c>
      <c r="Q159" s="22"/>
      <c r="R159" s="19"/>
      <c r="S159" s="22"/>
      <c r="T159" s="19"/>
      <c r="U159" s="24">
        <v>4.833137832444212E-2</v>
      </c>
      <c r="V159" s="24">
        <f>(1+U160)^P160/(1+U159)^P159-1</f>
        <v>5.1936189349640172E-2</v>
      </c>
      <c r="W159" s="23"/>
      <c r="X159" s="35"/>
    </row>
    <row r="160" spans="15:24" ht="17.100000000000001" customHeight="1">
      <c r="O160" s="12">
        <f t="shared" si="2"/>
        <v>12.25</v>
      </c>
      <c r="P160" s="13">
        <v>147</v>
      </c>
      <c r="Q160" s="22"/>
      <c r="R160" s="19"/>
      <c r="S160" s="22"/>
      <c r="T160" s="19"/>
      <c r="U160" s="24">
        <v>4.835585906886597E-2</v>
      </c>
      <c r="V160" s="24">
        <f>(1+U161)^P161/(1+U160)^P160-1</f>
        <v>5.1970054529245635E-2</v>
      </c>
      <c r="W160" s="23"/>
      <c r="X160" s="35"/>
    </row>
    <row r="161" spans="15:24" ht="17.100000000000001" customHeight="1">
      <c r="O161" s="12">
        <f t="shared" si="2"/>
        <v>12.333333333333334</v>
      </c>
      <c r="P161" s="13">
        <v>148</v>
      </c>
      <c r="Q161" s="22"/>
      <c r="R161" s="19"/>
      <c r="S161" s="22"/>
      <c r="T161" s="19"/>
      <c r="U161" s="24">
        <v>4.8380237594149778E-2</v>
      </c>
      <c r="V161" s="24">
        <f>(1+U162)^P162/(1+U161)^P161-1</f>
        <v>5.2003848248628026E-2</v>
      </c>
      <c r="W161" s="23"/>
      <c r="X161" s="35"/>
    </row>
    <row r="162" spans="15:24" ht="17.100000000000001" customHeight="1">
      <c r="O162" s="12">
        <f t="shared" si="2"/>
        <v>12.416666666666666</v>
      </c>
      <c r="P162" s="13">
        <v>149</v>
      </c>
      <c r="Q162" s="22"/>
      <c r="R162" s="19"/>
      <c r="S162" s="22"/>
      <c r="T162" s="19"/>
      <c r="U162" s="24">
        <v>4.8404515477547649E-2</v>
      </c>
      <c r="V162" s="24">
        <f>(1+U163)^P163/(1+U162)^P162-1</f>
        <v>5.2037529110270819E-2</v>
      </c>
      <c r="W162" s="23"/>
      <c r="X162" s="35"/>
    </row>
    <row r="163" spans="15:24" ht="17.100000000000001" customHeight="1">
      <c r="O163" s="12">
        <f t="shared" si="2"/>
        <v>12.5</v>
      </c>
      <c r="P163" s="13">
        <v>150</v>
      </c>
      <c r="Q163" s="22"/>
      <c r="R163" s="19"/>
      <c r="S163" s="22"/>
      <c r="T163" s="19"/>
      <c r="U163" s="24">
        <v>4.8428693979247539E-2</v>
      </c>
      <c r="V163" s="24">
        <f>(1+U164)^P164/(1+U163)^P163-1</f>
        <v>5.2071054935690864E-2</v>
      </c>
      <c r="W163" s="23"/>
      <c r="X163" s="35"/>
    </row>
    <row r="164" spans="15:24" ht="17.100000000000001" customHeight="1">
      <c r="O164" s="12">
        <f t="shared" si="2"/>
        <v>12.583333333333334</v>
      </c>
      <c r="P164" s="13">
        <v>151</v>
      </c>
      <c r="Q164" s="22"/>
      <c r="R164" s="19"/>
      <c r="S164" s="22"/>
      <c r="T164" s="19"/>
      <c r="U164" s="24">
        <v>4.8452774047718306E-2</v>
      </c>
      <c r="V164" s="24">
        <f>(1+U165)^P165/(1+U164)^P164-1</f>
        <v>5.2104382746476885E-2</v>
      </c>
      <c r="W164" s="23"/>
      <c r="X164" s="35"/>
    </row>
    <row r="165" spans="15:24" ht="17.100000000000001" customHeight="1">
      <c r="O165" s="12">
        <f t="shared" si="2"/>
        <v>12.666666666666666</v>
      </c>
      <c r="P165" s="13">
        <v>152</v>
      </c>
      <c r="Q165" s="22"/>
      <c r="R165" s="19"/>
      <c r="S165" s="22"/>
      <c r="T165" s="19"/>
      <c r="U165" s="24">
        <v>4.8476756324722814E-2</v>
      </c>
      <c r="V165" s="24">
        <f>(1+U166)^P166/(1+U165)^P165-1</f>
        <v>5.2137468744618776E-2</v>
      </c>
      <c r="W165" s="23"/>
      <c r="X165" s="35"/>
    </row>
    <row r="166" spans="15:24" ht="17.100000000000001" customHeight="1">
      <c r="O166" s="12">
        <f t="shared" si="2"/>
        <v>12.75</v>
      </c>
      <c r="P166" s="13">
        <v>153</v>
      </c>
      <c r="Q166" s="22"/>
      <c r="R166" s="19"/>
      <c r="S166" s="22"/>
      <c r="T166" s="19"/>
      <c r="U166" s="24">
        <v>4.8500641150004853E-2</v>
      </c>
      <c r="V166" s="24">
        <f>(1+U167)^P167/(1+U166)^P166-1</f>
        <v>5.2170268293200817E-2</v>
      </c>
      <c r="W166" s="23"/>
      <c r="X166" s="35"/>
    </row>
    <row r="167" spans="15:24" ht="17.100000000000001" customHeight="1">
      <c r="O167" s="12">
        <f t="shared" si="2"/>
        <v>12.833333333333334</v>
      </c>
      <c r="P167" s="13">
        <v>154</v>
      </c>
      <c r="Q167" s="22"/>
      <c r="R167" s="19"/>
      <c r="S167" s="22"/>
      <c r="T167" s="19"/>
      <c r="U167" s="24">
        <v>4.8524428565669853E-2</v>
      </c>
      <c r="V167" s="24">
        <f>(1+U168)^P168/(1+U167)^P167-1</f>
        <v>5.2202735896001773E-2</v>
      </c>
      <c r="W167" s="23"/>
      <c r="X167" s="35"/>
    </row>
    <row r="168" spans="15:24" ht="17.100000000000001" customHeight="1">
      <c r="O168" s="12">
        <f t="shared" si="2"/>
        <v>12.916666666666666</v>
      </c>
      <c r="P168" s="13">
        <v>155</v>
      </c>
      <c r="Q168" s="22"/>
      <c r="R168" s="19"/>
      <c r="S168" s="22"/>
      <c r="T168" s="19"/>
      <c r="U168" s="24">
        <v>4.8548118320263844E-2</v>
      </c>
      <c r="V168" s="24">
        <f>(1+U169)^P169/(1+U168)^P168-1</f>
        <v>5.2234825177317479E-2</v>
      </c>
      <c r="W168" s="23"/>
      <c r="X168" s="35"/>
    </row>
    <row r="169" spans="15:24" ht="17.100000000000001" customHeight="1">
      <c r="O169" s="12">
        <f t="shared" si="2"/>
        <v>13</v>
      </c>
      <c r="P169" s="13">
        <v>156</v>
      </c>
      <c r="Q169" s="22"/>
      <c r="R169" s="19"/>
      <c r="S169" s="22"/>
      <c r="T169" s="19"/>
      <c r="U169" s="24">
        <v>4.8571709872566426E-2</v>
      </c>
      <c r="V169" s="24">
        <f>(1+U170)^P170/(1+U169)^P169-1</f>
        <v>5.2266488861063998E-2</v>
      </c>
      <c r="W169" s="23"/>
      <c r="X169" s="35"/>
    </row>
    <row r="170" spans="15:24" ht="17.100000000000001" customHeight="1">
      <c r="O170" s="12">
        <f t="shared" si="2"/>
        <v>13.083333333333334</v>
      </c>
      <c r="P170" s="13">
        <v>157</v>
      </c>
      <c r="Q170" s="22"/>
      <c r="R170" s="19"/>
      <c r="S170" s="22"/>
      <c r="T170" s="19"/>
      <c r="U170" s="24">
        <v>4.8595202395105952E-2</v>
      </c>
      <c r="V170" s="24">
        <f>(1+U171)^P171/(1+U170)^P170-1</f>
        <v>5.229767875011726E-2</v>
      </c>
      <c r="W170" s="23"/>
      <c r="X170" s="35"/>
    </row>
    <row r="171" spans="15:24" ht="17.100000000000001" customHeight="1">
      <c r="O171" s="12">
        <f t="shared" si="2"/>
        <v>13.166666666666666</v>
      </c>
      <c r="P171" s="13">
        <v>158</v>
      </c>
      <c r="Q171" s="22"/>
      <c r="R171" s="19"/>
      <c r="S171" s="22"/>
      <c r="T171" s="19"/>
      <c r="U171" s="24">
        <v>4.8618594777409818E-2</v>
      </c>
      <c r="V171" s="24">
        <f>(1+U172)^P172/(1+U171)^P171-1</f>
        <v>5.232834570449274E-2</v>
      </c>
      <c r="W171" s="23"/>
      <c r="X171" s="35"/>
    </row>
    <row r="172" spans="15:24" ht="17.100000000000001" customHeight="1">
      <c r="O172" s="12">
        <f t="shared" si="2"/>
        <v>13.25</v>
      </c>
      <c r="P172" s="13">
        <v>159</v>
      </c>
      <c r="Q172" s="22"/>
      <c r="R172" s="19"/>
      <c r="S172" s="22"/>
      <c r="T172" s="19"/>
      <c r="U172" s="24">
        <v>4.8641885628994963E-2</v>
      </c>
      <c r="V172" s="24">
        <f>(1+U173)^P173/(1+U172)^P172-1</f>
        <v>5.2358439620101782E-2</v>
      </c>
      <c r="W172" s="23"/>
      <c r="X172" s="35"/>
    </row>
    <row r="173" spans="15:24" ht="17.100000000000001" customHeight="1">
      <c r="O173" s="12">
        <f t="shared" si="2"/>
        <v>13.333333333333334</v>
      </c>
      <c r="P173" s="13">
        <v>160</v>
      </c>
      <c r="Q173" s="22"/>
      <c r="R173" s="19"/>
      <c r="S173" s="22"/>
      <c r="T173" s="19"/>
      <c r="U173" s="24">
        <v>4.8665073282112781E-2</v>
      </c>
      <c r="V173" s="24">
        <f>(1+U174)^P174/(1+U173)^P173-1</f>
        <v>5.2387909406314659E-2</v>
      </c>
      <c r="W173" s="23"/>
      <c r="X173" s="35"/>
    </row>
    <row r="174" spans="15:24" ht="17.100000000000001" customHeight="1">
      <c r="O174" s="12">
        <f t="shared" si="2"/>
        <v>13.416666666666666</v>
      </c>
      <c r="P174" s="13">
        <v>161</v>
      </c>
      <c r="Q174" s="22"/>
      <c r="R174" s="19"/>
      <c r="S174" s="22"/>
      <c r="T174" s="19"/>
      <c r="U174" s="24">
        <v>4.868815579425223E-2</v>
      </c>
      <c r="V174" s="24">
        <f>(1+U175)^P175/(1+U174)^P174-1</f>
        <v>5.2416702964160677E-2</v>
      </c>
      <c r="W174" s="23"/>
      <c r="X174" s="35"/>
    </row>
    <row r="175" spans="15:24" ht="17.100000000000001" customHeight="1">
      <c r="O175" s="12">
        <f t="shared" si="2"/>
        <v>13.5</v>
      </c>
      <c r="P175" s="13">
        <v>162</v>
      </c>
      <c r="Q175" s="22"/>
      <c r="R175" s="19"/>
      <c r="S175" s="22"/>
      <c r="T175" s="19"/>
      <c r="U175" s="24">
        <v>4.8711130950414239E-2</v>
      </c>
      <c r="V175" s="24">
        <f>(1+U176)^P176/(1+U175)^P175-1</f>
        <v>5.244476716317914E-2</v>
      </c>
      <c r="W175" s="23"/>
      <c r="X175" s="35"/>
    </row>
    <row r="176" spans="15:24" ht="17.100000000000001" customHeight="1">
      <c r="O176" s="12">
        <f t="shared" si="2"/>
        <v>13.583333333333334</v>
      </c>
      <c r="P176" s="13">
        <v>163</v>
      </c>
      <c r="Q176" s="22"/>
      <c r="R176" s="19"/>
      <c r="S176" s="22"/>
      <c r="T176" s="19"/>
      <c r="U176" s="24">
        <v>4.8733996265160062E-2</v>
      </c>
      <c r="V176" s="24">
        <f>(1+U177)^P177/(1+U176)^P176-1</f>
        <v>5.2472047818850731E-2</v>
      </c>
      <c r="W176" s="23"/>
      <c r="X176" s="35"/>
    </row>
    <row r="177" spans="15:24" ht="17.100000000000001" customHeight="1">
      <c r="O177" s="12">
        <f t="shared" si="2"/>
        <v>13.666666666666666</v>
      </c>
      <c r="P177" s="13">
        <v>164</v>
      </c>
      <c r="Q177" s="22"/>
      <c r="R177" s="19"/>
      <c r="S177" s="22"/>
      <c r="T177" s="19"/>
      <c r="U177" s="24">
        <v>4.8756748984445375E-2</v>
      </c>
      <c r="V177" s="24">
        <f>(1+U178)^P178/(1+U177)^P177-1</f>
        <v>5.2498489669247084E-2</v>
      </c>
      <c r="W177" s="23"/>
      <c r="X177" s="35"/>
    </row>
    <row r="178" spans="15:24" ht="17.100000000000001" customHeight="1">
      <c r="O178" s="12">
        <f t="shared" si="2"/>
        <v>13.75</v>
      </c>
      <c r="P178" s="13">
        <v>165</v>
      </c>
      <c r="Q178" s="22"/>
      <c r="R178" s="19"/>
      <c r="S178" s="22"/>
      <c r="T178" s="19"/>
      <c r="U178" s="24">
        <v>4.8779386087245857E-2</v>
      </c>
      <c r="V178" s="24">
        <f>(1+U179)^P179/(1+U178)^P178-1</f>
        <v>5.2524036351316861E-2</v>
      </c>
      <c r="W178" s="23"/>
      <c r="X178" s="35"/>
    </row>
    <row r="179" spans="15:24" ht="17.100000000000001" customHeight="1">
      <c r="O179" s="12">
        <f t="shared" si="2"/>
        <v>13.833333333333334</v>
      </c>
      <c r="P179" s="13">
        <v>166</v>
      </c>
      <c r="Q179" s="22"/>
      <c r="R179" s="19"/>
      <c r="S179" s="22"/>
      <c r="T179" s="19"/>
      <c r="U179" s="24">
        <v>4.8801904286978504E-2</v>
      </c>
      <c r="V179" s="24">
        <f>(1+U180)^P180/(1+U179)^P179-1</f>
        <v>5.2548630377271532E-2</v>
      </c>
      <c r="W179" s="23"/>
      <c r="X179" s="35"/>
    </row>
    <row r="180" spans="15:24" ht="17.100000000000001" customHeight="1">
      <c r="O180" s="12">
        <f t="shared" si="2"/>
        <v>13.916666666666666</v>
      </c>
      <c r="P180" s="13">
        <v>167</v>
      </c>
      <c r="Q180" s="22"/>
      <c r="R180" s="19"/>
      <c r="S180" s="22"/>
      <c r="T180" s="19"/>
      <c r="U180" s="24">
        <v>4.8824300032729973E-2</v>
      </c>
      <c r="V180" s="24">
        <f>(1+U181)^P181/(1+U180)^P180-1</f>
        <v>5.2572213110306798E-2</v>
      </c>
      <c r="W180" s="23"/>
      <c r="X180" s="35"/>
    </row>
    <row r="181" spans="15:24" ht="17.100000000000001" customHeight="1">
      <c r="O181" s="12">
        <f t="shared" si="2"/>
        <v>14</v>
      </c>
      <c r="P181" s="13">
        <v>168</v>
      </c>
      <c r="Q181" s="22"/>
      <c r="R181" s="19"/>
      <c r="S181" s="22"/>
      <c r="T181" s="19"/>
      <c r="U181" s="24">
        <v>4.8846569510293758E-2</v>
      </c>
      <c r="V181" s="24">
        <f>(1+U182)^P182/(1+U181)^P181-1</f>
        <v>5.2594724740198995E-2</v>
      </c>
      <c r="W181" s="23"/>
      <c r="X181" s="35"/>
    </row>
    <row r="182" spans="15:24" ht="17.100000000000001" customHeight="1">
      <c r="O182" s="12">
        <f t="shared" si="2"/>
        <v>14.083333333333334</v>
      </c>
      <c r="P182" s="13">
        <v>169</v>
      </c>
      <c r="Q182" s="22"/>
      <c r="R182" s="19"/>
      <c r="S182" s="22"/>
      <c r="T182" s="19"/>
      <c r="U182" s="24">
        <v>4.8868708643024839E-2</v>
      </c>
      <c r="V182" s="24">
        <f>(1+U183)^P183/(1+U182)^P182-1</f>
        <v>5.261610425852381E-2</v>
      </c>
      <c r="W182" s="23"/>
      <c r="X182" s="35"/>
    </row>
    <row r="183" spans="15:24" ht="17.100000000000001" customHeight="1">
      <c r="O183" s="12">
        <f t="shared" si="2"/>
        <v>14.166666666666666</v>
      </c>
      <c r="P183" s="13">
        <v>170</v>
      </c>
      <c r="Q183" s="22"/>
      <c r="R183" s="19"/>
      <c r="S183" s="22"/>
      <c r="T183" s="19"/>
      <c r="U183" s="24">
        <v>4.8890713092515359E-2</v>
      </c>
      <c r="V183" s="24">
        <f>(1+U184)^P184/(1+U183)^P183-1</f>
        <v>5.2636289433810601E-2</v>
      </c>
      <c r="W183" s="23"/>
      <c r="X183" s="35"/>
    </row>
    <row r="184" spans="15:24" ht="17.100000000000001" customHeight="1">
      <c r="O184" s="12">
        <f t="shared" si="2"/>
        <v>14.25</v>
      </c>
      <c r="P184" s="13">
        <v>171</v>
      </c>
      <c r="Q184" s="22"/>
      <c r="R184" s="19"/>
      <c r="S184" s="22"/>
      <c r="T184" s="19"/>
      <c r="U184" s="24">
        <v>4.8912578259099782E-2</v>
      </c>
      <c r="V184" s="24">
        <f>(1+U185)^P185/(1+U184)^P184-1</f>
        <v>5.2655216786151149E-2</v>
      </c>
      <c r="W184" s="23"/>
      <c r="X184" s="35"/>
    </row>
    <row r="185" spans="15:24" ht="17.100000000000001" customHeight="1">
      <c r="O185" s="12">
        <f t="shared" si="2"/>
        <v>14.333333333333334</v>
      </c>
      <c r="P185" s="13">
        <v>172</v>
      </c>
      <c r="Q185" s="22"/>
      <c r="R185" s="19"/>
      <c r="S185" s="22"/>
      <c r="T185" s="19"/>
      <c r="U185" s="24">
        <v>4.8934299282191063E-2</v>
      </c>
      <c r="V185" s="24">
        <f>(1+U186)^P186/(1+U185)^P185-1</f>
        <v>5.2672821561956518E-2</v>
      </c>
      <c r="W185" s="23"/>
      <c r="X185" s="35"/>
    </row>
    <row r="186" spans="15:24" ht="17.100000000000001" customHeight="1">
      <c r="O186" s="12">
        <f t="shared" si="2"/>
        <v>14.416666666666666</v>
      </c>
      <c r="P186" s="13">
        <v>173</v>
      </c>
      <c r="Q186" s="22"/>
      <c r="R186" s="19"/>
      <c r="S186" s="22"/>
      <c r="T186" s="19"/>
      <c r="U186" s="24">
        <v>4.8955871040456511E-2</v>
      </c>
      <c r="V186" s="24">
        <f>(1+U187)^P187/(1+U186)^P186-1</f>
        <v>5.2689037707948083E-2</v>
      </c>
      <c r="W186" s="23"/>
      <c r="X186" s="35"/>
    </row>
    <row r="187" spans="15:24" ht="17.100000000000001" customHeight="1">
      <c r="O187" s="12">
        <f t="shared" si="2"/>
        <v>14.5</v>
      </c>
      <c r="P187" s="13">
        <v>174</v>
      </c>
      <c r="Q187" s="22"/>
      <c r="R187" s="19"/>
      <c r="S187" s="22"/>
      <c r="T187" s="19"/>
      <c r="U187" s="24">
        <v>4.897728815183533E-2</v>
      </c>
      <c r="V187" s="24">
        <f>(1+U188)^P188/(1+U187)^P187-1</f>
        <v>5.2703797845319089E-2</v>
      </c>
      <c r="W187" s="23"/>
      <c r="X187" s="35"/>
    </row>
    <row r="188" spans="15:24" ht="17.100000000000001" customHeight="1">
      <c r="O188" s="12">
        <f t="shared" si="2"/>
        <v>14.583333333333334</v>
      </c>
      <c r="P188" s="13">
        <v>175</v>
      </c>
      <c r="Q188" s="22"/>
      <c r="R188" s="19"/>
      <c r="S188" s="22"/>
      <c r="T188" s="19"/>
      <c r="U188" s="24">
        <v>4.8998544973403613E-2</v>
      </c>
      <c r="V188" s="24">
        <f>(1+U189)^P189/(1+U188)^P188-1</f>
        <v>5.2717033243429912E-2</v>
      </c>
      <c r="W188" s="23"/>
      <c r="X188" s="35"/>
    </row>
    <row r="189" spans="15:24" ht="17.100000000000001" customHeight="1">
      <c r="O189" s="12">
        <f t="shared" si="2"/>
        <v>14.666666666666666</v>
      </c>
      <c r="P189" s="13">
        <v>176</v>
      </c>
      <c r="Q189" s="22"/>
      <c r="R189" s="19"/>
      <c r="S189" s="22"/>
      <c r="T189" s="19"/>
      <c r="U189" s="24">
        <v>4.901963560109146E-2</v>
      </c>
      <c r="V189" s="24">
        <f>(1+U190)^P190/(1+U189)^P189-1</f>
        <v>5.2728673793863923E-2</v>
      </c>
      <c r="W189" s="23"/>
      <c r="X189" s="35"/>
    </row>
    <row r="190" spans="15:24" ht="17.100000000000001" customHeight="1">
      <c r="O190" s="12">
        <f t="shared" si="2"/>
        <v>14.75</v>
      </c>
      <c r="P190" s="13">
        <v>177</v>
      </c>
      <c r="Q190" s="22"/>
      <c r="R190" s="19"/>
      <c r="S190" s="22"/>
      <c r="T190" s="19"/>
      <c r="U190" s="24">
        <v>4.9040553869257986E-2</v>
      </c>
      <c r="V190" s="24">
        <f>(1+U191)^P191/(1+U190)^P190-1</f>
        <v>5.2738647983265663E-2</v>
      </c>
      <c r="W190" s="23"/>
      <c r="X190" s="35"/>
    </row>
    <row r="191" spans="15:24" ht="17.100000000000001" customHeight="1">
      <c r="O191" s="12">
        <f t="shared" si="2"/>
        <v>14.833333333333334</v>
      </c>
      <c r="P191" s="13">
        <v>178</v>
      </c>
      <c r="Q191" s="22"/>
      <c r="R191" s="19"/>
      <c r="S191" s="22"/>
      <c r="T191" s="19"/>
      <c r="U191" s="24">
        <v>4.9061293350124213E-2</v>
      </c>
      <c r="V191" s="24">
        <f>(1+U192)^P192/(1+U191)^P191-1</f>
        <v>5.2746882866983258E-2</v>
      </c>
      <c r="W191" s="23"/>
      <c r="X191" s="35"/>
    </row>
    <row r="192" spans="15:24" ht="17.100000000000001" customHeight="1">
      <c r="O192" s="12">
        <f t="shared" si="2"/>
        <v>14.916666666666666</v>
      </c>
      <c r="P192" s="13">
        <v>179</v>
      </c>
      <c r="Q192" s="22"/>
      <c r="R192" s="19"/>
      <c r="S192" s="22"/>
      <c r="T192" s="19"/>
      <c r="U192" s="24">
        <v>4.9081847353073194E-2</v>
      </c>
      <c r="V192" s="24">
        <f>(1+U193)^P193/(1+U192)^P192-1</f>
        <v>5.2753304042213678E-2</v>
      </c>
      <c r="W192" s="23"/>
      <c r="X192" s="35"/>
    </row>
    <row r="193" spans="15:24" ht="17.100000000000001" customHeight="1">
      <c r="O193" s="12">
        <f t="shared" si="2"/>
        <v>15</v>
      </c>
      <c r="P193" s="13">
        <v>180</v>
      </c>
      <c r="Q193" s="22"/>
      <c r="R193" s="19"/>
      <c r="S193" s="22"/>
      <c r="T193" s="19"/>
      <c r="U193" s="24">
        <v>4.9102208923818003E-2</v>
      </c>
      <c r="V193" s="24">
        <f>(1+U194)^P194/(1+U193)^P193-1</f>
        <v>5.2758414409332488E-2</v>
      </c>
      <c r="W193" s="23"/>
      <c r="X193" s="35"/>
    </row>
    <row r="194" spans="15:24" ht="17.100000000000001" customHeight="1">
      <c r="O194" s="12">
        <f t="shared" si="2"/>
        <v>15.083333333333334</v>
      </c>
      <c r="P194" s="13">
        <v>181</v>
      </c>
      <c r="Q194" s="22"/>
      <c r="R194" s="19"/>
      <c r="S194" s="22"/>
      <c r="T194" s="19"/>
      <c r="U194" s="24">
        <v>4.9122374030126315E-2</v>
      </c>
      <c r="V194" s="24">
        <f>(1+U195)^P195/(1+U194)^P194-1</f>
        <v>5.2764471769025434E-2</v>
      </c>
      <c r="W194" s="23"/>
      <c r="X194" s="35"/>
    </row>
    <row r="195" spans="15:24" ht="17.100000000000001" customHeight="1">
      <c r="O195" s="12">
        <f t="shared" si="2"/>
        <v>15.166666666666666</v>
      </c>
      <c r="P195" s="13">
        <v>182</v>
      </c>
      <c r="Q195" s="22"/>
      <c r="R195" s="19"/>
      <c r="S195" s="22"/>
      <c r="T195" s="19"/>
      <c r="U195" s="24">
        <v>4.9142351090874614E-2</v>
      </c>
      <c r="V195" s="24">
        <f>(1+U196)^P196/(1+U195)^P195-1</f>
        <v>5.2772031721485924E-2</v>
      </c>
      <c r="W195" s="23"/>
      <c r="X195" s="35"/>
    </row>
    <row r="196" spans="15:24" ht="17.100000000000001" customHeight="1">
      <c r="O196" s="12">
        <f t="shared" si="2"/>
        <v>15.25</v>
      </c>
      <c r="P196" s="13">
        <v>183</v>
      </c>
      <c r="Q196" s="22"/>
      <c r="R196" s="19"/>
      <c r="S196" s="22"/>
      <c r="T196" s="19"/>
      <c r="U196" s="24">
        <v>4.916215136698332E-2</v>
      </c>
      <c r="V196" s="24">
        <f>(1+U197)^P197/(1+U196)^P196-1</f>
        <v>5.2781075860385718E-2</v>
      </c>
      <c r="W196" s="23"/>
      <c r="X196" s="35"/>
    </row>
    <row r="197" spans="15:24" ht="17.100000000000001" customHeight="1">
      <c r="O197" s="12">
        <f t="shared" si="2"/>
        <v>15.333333333333334</v>
      </c>
      <c r="P197" s="13">
        <v>184</v>
      </c>
      <c r="Q197" s="22"/>
      <c r="R197" s="19"/>
      <c r="S197" s="22"/>
      <c r="T197" s="19"/>
      <c r="U197" s="24">
        <v>4.9181785775407771E-2</v>
      </c>
      <c r="V197" s="24">
        <f>(1+U198)^P198/(1+U197)^P197-1</f>
        <v>5.2791585614626602E-2</v>
      </c>
      <c r="W197" s="23"/>
      <c r="X197" s="35"/>
    </row>
    <row r="198" spans="15:24" ht="17.100000000000001" customHeight="1">
      <c r="O198" s="12">
        <f t="shared" si="2"/>
        <v>15.416666666666666</v>
      </c>
      <c r="P198" s="13">
        <v>185</v>
      </c>
      <c r="Q198" s="22"/>
      <c r="R198" s="19"/>
      <c r="S198" s="22"/>
      <c r="T198" s="19"/>
      <c r="U198" s="24">
        <v>4.920126489749288E-2</v>
      </c>
      <c r="V198" s="24">
        <f>(1+U199)^P199/(1+U198)^P198-1</f>
        <v>5.2803542243321289E-2</v>
      </c>
      <c r="W198" s="23"/>
      <c r="X198" s="35"/>
    </row>
    <row r="199" spans="15:24" ht="17.100000000000001" customHeight="1">
      <c r="O199" s="12">
        <f t="shared" si="2"/>
        <v>15.5</v>
      </c>
      <c r="P199" s="13">
        <v>186</v>
      </c>
      <c r="Q199" s="22"/>
      <c r="R199" s="19"/>
      <c r="S199" s="22"/>
      <c r="T199" s="19"/>
      <c r="U199" s="24">
        <v>4.9220598987031128E-2</v>
      </c>
      <c r="V199" s="24">
        <f>(1+U200)^P200/(1+U199)^P199-1</f>
        <v>5.2816926828670896E-2</v>
      </c>
      <c r="W199" s="23"/>
      <c r="X199" s="35"/>
    </row>
    <row r="200" spans="15:24" ht="17.100000000000001" customHeight="1">
      <c r="O200" s="12">
        <f t="shared" si="2"/>
        <v>15.583333333333334</v>
      </c>
      <c r="P200" s="13">
        <v>187</v>
      </c>
      <c r="Q200" s="22"/>
      <c r="R200" s="19"/>
      <c r="S200" s="22"/>
      <c r="T200" s="19"/>
      <c r="U200" s="24">
        <v>4.9239797978029687E-2</v>
      </c>
      <c r="V200" s="24">
        <f>(1+U201)^P201/(1+U200)^P200-1</f>
        <v>5.2831720270096971E-2</v>
      </c>
      <c r="W200" s="23"/>
      <c r="X200" s="35"/>
    </row>
    <row r="201" spans="15:24" ht="17.100000000000001" customHeight="1">
      <c r="O201" s="12">
        <f t="shared" si="2"/>
        <v>15.666666666666666</v>
      </c>
      <c r="P201" s="13">
        <v>188</v>
      </c>
      <c r="Q201" s="22"/>
      <c r="R201" s="19"/>
      <c r="S201" s="22"/>
      <c r="T201" s="19"/>
      <c r="U201" s="24">
        <v>4.9258871492198431E-2</v>
      </c>
      <c r="V201" s="24">
        <f>(1+U202)^P202/(1+U201)^P201-1</f>
        <v>5.2847903277680741E-2</v>
      </c>
      <c r="W201" s="23"/>
      <c r="X201" s="35"/>
    </row>
    <row r="202" spans="15:24" ht="17.100000000000001" customHeight="1">
      <c r="O202" s="12">
        <f t="shared" si="2"/>
        <v>15.75</v>
      </c>
      <c r="P202" s="13">
        <v>189</v>
      </c>
      <c r="Q202" s="22"/>
      <c r="R202" s="19"/>
      <c r="S202" s="22"/>
      <c r="T202" s="19"/>
      <c r="U202" s="24">
        <v>4.9277828846170157E-2</v>
      </c>
      <c r="V202" s="24">
        <f>(1+U203)^P203/(1+U202)^P202-1</f>
        <v>5.286545636532658E-2</v>
      </c>
      <c r="W202" s="23"/>
      <c r="X202" s="35"/>
    </row>
    <row r="203" spans="15:24" ht="17.100000000000001" customHeight="1">
      <c r="O203" s="12">
        <f t="shared" si="2"/>
        <v>15.833333333333334</v>
      </c>
      <c r="P203" s="13">
        <v>190</v>
      </c>
      <c r="Q203" s="22"/>
      <c r="R203" s="19"/>
      <c r="S203" s="22"/>
      <c r="T203" s="19"/>
      <c r="U203" s="24">
        <v>4.9296679058457471E-2</v>
      </c>
      <c r="V203" s="24">
        <f>(1+U204)^P204/(1+U203)^P203-1</f>
        <v>5.2884359844056261E-2</v>
      </c>
      <c r="W203" s="23"/>
      <c r="X203" s="35"/>
    </row>
    <row r="204" spans="15:24" ht="17.100000000000001" customHeight="1">
      <c r="O204" s="12">
        <f t="shared" si="2"/>
        <v>15.916666666666666</v>
      </c>
      <c r="P204" s="13">
        <v>191</v>
      </c>
      <c r="Q204" s="22"/>
      <c r="R204" s="19"/>
      <c r="S204" s="22"/>
      <c r="T204" s="19"/>
      <c r="U204" s="24">
        <v>4.9315430856159859E-2</v>
      </c>
      <c r="V204" s="24">
        <f>(1+U205)^P205/(1+U204)^P204-1</f>
        <v>5.2904593814450784E-2</v>
      </c>
      <c r="W204" s="23"/>
      <c r="X204" s="35"/>
    </row>
    <row r="205" spans="15:24" ht="17.100000000000001" customHeight="1">
      <c r="O205" s="12">
        <f t="shared" si="2"/>
        <v>16</v>
      </c>
      <c r="P205" s="13">
        <v>192</v>
      </c>
      <c r="Q205" s="22"/>
      <c r="R205" s="19"/>
      <c r="S205" s="22"/>
      <c r="T205" s="19"/>
      <c r="U205" s="24">
        <v>4.9334092681423192E-2</v>
      </c>
      <c r="V205" s="24">
        <f>(1+U206)^P206/(1+U205)^P205-1</f>
        <v>5.2926138159658853E-2</v>
      </c>
      <c r="W205" s="23"/>
      <c r="X205" s="35"/>
    </row>
    <row r="206" spans="15:24" ht="17.100000000000001" customHeight="1">
      <c r="O206" s="12">
        <f t="shared" ref="O206:O269" si="3">P206/12</f>
        <v>16.083333333333332</v>
      </c>
      <c r="P206" s="13">
        <v>193</v>
      </c>
      <c r="Q206" s="22"/>
      <c r="R206" s="19"/>
      <c r="S206" s="22"/>
      <c r="T206" s="19"/>
      <c r="U206" s="24">
        <v>4.9352672697664746E-2</v>
      </c>
      <c r="V206" s="24">
        <f>(1+U207)^P207/(1+U206)^P206-1</f>
        <v>5.2948972537801842E-2</v>
      </c>
      <c r="W206" s="23"/>
      <c r="X206" s="35"/>
    </row>
    <row r="207" spans="15:24" ht="17.100000000000001" customHeight="1">
      <c r="O207" s="12">
        <f t="shared" si="3"/>
        <v>16.166666666666668</v>
      </c>
      <c r="P207" s="13">
        <v>194</v>
      </c>
      <c r="Q207" s="22"/>
      <c r="R207" s="19"/>
      <c r="S207" s="22"/>
      <c r="T207" s="19"/>
      <c r="U207" s="24">
        <v>4.9371178795568849E-2</v>
      </c>
      <c r="V207" s="24">
        <f>(1+U208)^P208/(1+U207)^P207-1</f>
        <v>5.2973076374092321E-2</v>
      </c>
      <c r="W207" s="23"/>
      <c r="X207" s="35"/>
    </row>
    <row r="208" spans="15:24" ht="17.100000000000001" customHeight="1">
      <c r="O208" s="12">
        <f t="shared" si="3"/>
        <v>16.25</v>
      </c>
      <c r="P208" s="13">
        <v>195</v>
      </c>
      <c r="Q208" s="22"/>
      <c r="R208" s="19"/>
      <c r="S208" s="22"/>
      <c r="T208" s="19"/>
      <c r="U208" s="24">
        <v>4.9389618598859597E-2</v>
      </c>
      <c r="V208" s="24">
        <f>(1+U209)^P209/(1+U208)^P208-1</f>
        <v>5.2998428852641055E-2</v>
      </c>
      <c r="W208" s="23"/>
      <c r="X208" s="35"/>
    </row>
    <row r="209" spans="15:24" ht="17.100000000000001" customHeight="1">
      <c r="O209" s="12">
        <f t="shared" si="3"/>
        <v>16.333333333333332</v>
      </c>
      <c r="P209" s="13">
        <v>196</v>
      </c>
      <c r="Q209" s="22"/>
      <c r="R209" s="19"/>
      <c r="S209" s="22"/>
      <c r="T209" s="19"/>
      <c r="U209" s="24">
        <v>4.94079994698573E-2</v>
      </c>
      <c r="V209" s="24">
        <f>(1+U210)^P210/(1+U209)^P209-1</f>
        <v>5.3025008908876181E-2</v>
      </c>
      <c r="W209" s="23"/>
      <c r="X209" s="35"/>
    </row>
    <row r="210" spans="15:24" ht="17.100000000000001" customHeight="1">
      <c r="O210" s="12">
        <f t="shared" si="3"/>
        <v>16.416666666666668</v>
      </c>
      <c r="P210" s="13">
        <v>197</v>
      </c>
      <c r="Q210" s="22"/>
      <c r="R210" s="19"/>
      <c r="S210" s="22"/>
      <c r="T210" s="19"/>
      <c r="U210" s="24">
        <v>4.942632851482931E-2</v>
      </c>
      <c r="V210" s="24">
        <f>(1+U211)^P211/(1+U210)^P210-1</f>
        <v>5.3052795220412063E-2</v>
      </c>
      <c r="W210" s="23"/>
      <c r="X210" s="35"/>
    </row>
    <row r="211" spans="15:24" ht="17.100000000000001" customHeight="1">
      <c r="O211" s="12">
        <f t="shared" si="3"/>
        <v>16.5</v>
      </c>
      <c r="P211" s="13">
        <v>198</v>
      </c>
      <c r="Q211" s="22"/>
      <c r="R211" s="19"/>
      <c r="S211" s="22"/>
      <c r="T211" s="19"/>
      <c r="U211" s="24">
        <v>4.9444612589133907E-2</v>
      </c>
      <c r="V211" s="24">
        <f>(1+U212)^P212/(1+U211)^P211-1</f>
        <v>5.3081766198806779E-2</v>
      </c>
      <c r="W211" s="23"/>
      <c r="X211" s="35"/>
    </row>
    <row r="212" spans="15:24" ht="17.100000000000001" customHeight="1">
      <c r="O212" s="12">
        <f t="shared" si="3"/>
        <v>16.583333333333332</v>
      </c>
      <c r="P212" s="13">
        <v>199</v>
      </c>
      <c r="Q212" s="22"/>
      <c r="R212" s="19"/>
      <c r="S212" s="22"/>
      <c r="T212" s="19"/>
      <c r="U212" s="24">
        <v>4.9462858302170787E-2</v>
      </c>
      <c r="V212" s="24">
        <f>(1+U213)^P213/(1+U212)^P212-1</f>
        <v>5.3111899980379018E-2</v>
      </c>
      <c r="W212" s="23"/>
      <c r="X212" s="35"/>
    </row>
    <row r="213" spans="15:24" ht="17.100000000000001" customHeight="1">
      <c r="O213" s="12">
        <f t="shared" si="3"/>
        <v>16.666666666666668</v>
      </c>
      <c r="P213" s="13">
        <v>200</v>
      </c>
      <c r="Q213" s="22"/>
      <c r="R213" s="19"/>
      <c r="S213" s="22"/>
      <c r="T213" s="19"/>
      <c r="U213" s="24">
        <v>4.9481072022138139E-2</v>
      </c>
      <c r="V213" s="24">
        <f>(1+U214)^P214/(1+U213)^P213-1</f>
        <v>5.3143174417321859E-2</v>
      </c>
      <c r="W213" s="23"/>
      <c r="X213" s="35"/>
    </row>
    <row r="214" spans="15:24" ht="17.100000000000001" customHeight="1">
      <c r="O214" s="12">
        <f t="shared" si="3"/>
        <v>16.75</v>
      </c>
      <c r="P214" s="13">
        <v>201</v>
      </c>
      <c r="Q214" s="22"/>
      <c r="R214" s="19"/>
      <c r="S214" s="22"/>
      <c r="T214" s="19"/>
      <c r="U214" s="24">
        <v>4.9499259880605662E-2</v>
      </c>
      <c r="V214" s="24">
        <f>(1+U215)^P215/(1+U214)^P214-1</f>
        <v>5.3175567068264096E-2</v>
      </c>
      <c r="W214" s="23"/>
      <c r="X214" s="35"/>
    </row>
    <row r="215" spans="15:24" ht="17.100000000000001" customHeight="1">
      <c r="O215" s="12">
        <f t="shared" si="3"/>
        <v>16.833333333333332</v>
      </c>
      <c r="P215" s="13">
        <v>202</v>
      </c>
      <c r="Q215" s="22"/>
      <c r="R215" s="19"/>
      <c r="S215" s="22"/>
      <c r="T215" s="19"/>
      <c r="U215" s="24">
        <v>4.9517427776906819E-2</v>
      </c>
      <c r="V215" s="24">
        <f>(1+U216)^P216/(1+U215)^P215-1</f>
        <v>5.3209055188417453E-2</v>
      </c>
      <c r="W215" s="23"/>
      <c r="X215" s="35"/>
    </row>
    <row r="216" spans="15:24" ht="17.100000000000001" customHeight="1">
      <c r="O216" s="12">
        <f t="shared" si="3"/>
        <v>16.916666666666668</v>
      </c>
      <c r="P216" s="13">
        <v>203</v>
      </c>
      <c r="Q216" s="22"/>
      <c r="R216" s="19"/>
      <c r="S216" s="22"/>
      <c r="T216" s="19"/>
      <c r="U216" s="24">
        <v>4.9535581382354588E-2</v>
      </c>
      <c r="V216" s="24">
        <f>(1+U217)^P217/(1+U216)^P216-1</f>
        <v>5.3243615720159898E-2</v>
      </c>
      <c r="W216" s="23"/>
      <c r="X216" s="35"/>
    </row>
    <row r="217" spans="15:24" ht="17.100000000000001" customHeight="1">
      <c r="O217" s="12">
        <f t="shared" si="3"/>
        <v>17</v>
      </c>
      <c r="P217" s="13">
        <v>204</v>
      </c>
      <c r="Q217" s="22"/>
      <c r="R217" s="19"/>
      <c r="S217" s="22"/>
      <c r="T217" s="19"/>
      <c r="U217" s="24">
        <v>4.9553726144288657E-2</v>
      </c>
      <c r="V217" s="24">
        <f>(1+U218)^P218/(1+U217)^P217-1</f>
        <v>5.3279225282266029E-2</v>
      </c>
      <c r="W217" s="23"/>
      <c r="X217" s="35"/>
    </row>
    <row r="218" spans="15:24" ht="17.100000000000001" customHeight="1">
      <c r="O218" s="12">
        <f t="shared" si="3"/>
        <v>17.083333333333332</v>
      </c>
      <c r="P218" s="13">
        <v>205</v>
      </c>
      <c r="Q218" s="22"/>
      <c r="R218" s="19"/>
      <c r="S218" s="22"/>
      <c r="T218" s="19"/>
      <c r="U218" s="24">
        <v>4.9571867289953886E-2</v>
      </c>
      <c r="V218" s="24">
        <f>(1+U219)^P219/(1+U218)^P218-1</f>
        <v>5.3315860160185746E-2</v>
      </c>
      <c r="W218" s="23"/>
      <c r="X218" s="35"/>
    </row>
    <row r="219" spans="15:24" ht="17.100000000000001" customHeight="1">
      <c r="O219" s="12">
        <f t="shared" si="3"/>
        <v>17.166666666666668</v>
      </c>
      <c r="P219" s="13">
        <v>206</v>
      </c>
      <c r="Q219" s="22"/>
      <c r="R219" s="19"/>
      <c r="S219" s="22"/>
      <c r="T219" s="19"/>
      <c r="U219" s="24">
        <v>4.9590009830219328E-2</v>
      </c>
      <c r="V219" s="24">
        <f>(1+U220)^P220/(1+U219)^P219-1</f>
        <v>5.3353496294946678E-2</v>
      </c>
      <c r="W219" s="23"/>
      <c r="X219" s="35"/>
    </row>
    <row r="220" spans="15:24" ht="17.100000000000001" customHeight="1">
      <c r="O220" s="12">
        <f t="shared" si="3"/>
        <v>17.25</v>
      </c>
      <c r="P220" s="13">
        <v>207</v>
      </c>
      <c r="Q220" s="22"/>
      <c r="R220" s="19"/>
      <c r="S220" s="22"/>
      <c r="T220" s="19"/>
      <c r="U220" s="24">
        <v>4.9608158563138494E-2</v>
      </c>
      <c r="V220" s="24">
        <f>(1+U221)^P221/(1+U220)^P220-1</f>
        <v>5.3392109272377697E-2</v>
      </c>
      <c r="W220" s="23"/>
      <c r="X220" s="35"/>
    </row>
    <row r="221" spans="15:24" ht="17.100000000000001" customHeight="1">
      <c r="O221" s="12">
        <f t="shared" si="3"/>
        <v>17.333333333333332</v>
      </c>
      <c r="P221" s="13">
        <v>208</v>
      </c>
      <c r="Q221" s="22"/>
      <c r="R221" s="19"/>
      <c r="S221" s="22"/>
      <c r="T221" s="19"/>
      <c r="U221" s="24">
        <v>4.9626318077356402E-2</v>
      </c>
      <c r="V221" s="24">
        <f>(1+U222)^P222/(1+U221)^P221-1</f>
        <v>5.3431674312249822E-2</v>
      </c>
      <c r="W221" s="23"/>
      <c r="X221" s="35"/>
    </row>
    <row r="222" spans="15:24" ht="17.100000000000001" customHeight="1">
      <c r="O222" s="12">
        <f t="shared" si="3"/>
        <v>17.416666666666668</v>
      </c>
      <c r="P222" s="13">
        <v>209</v>
      </c>
      <c r="Q222" s="22"/>
      <c r="R222" s="19"/>
      <c r="S222" s="22"/>
      <c r="T222" s="19"/>
      <c r="U222" s="24">
        <v>4.9644492755367642E-2</v>
      </c>
      <c r="V222" s="24">
        <f>(1+U223)^P223/(1+U222)^P222-1</f>
        <v>5.3472166255950304E-2</v>
      </c>
      <c r="W222" s="23"/>
      <c r="X222" s="35"/>
    </row>
    <row r="223" spans="15:24" ht="17.100000000000001" customHeight="1">
      <c r="O223" s="12">
        <f t="shared" si="3"/>
        <v>17.5</v>
      </c>
      <c r="P223" s="13">
        <v>210</v>
      </c>
      <c r="Q223" s="22"/>
      <c r="R223" s="19"/>
      <c r="S223" s="22"/>
      <c r="T223" s="19"/>
      <c r="U223" s="24">
        <v>4.966268677662633E-2</v>
      </c>
      <c r="V223" s="24">
        <f>(1+U224)^P224/(1+U223)^P223-1</f>
        <v>5.3513559555870893E-2</v>
      </c>
      <c r="W223" s="23"/>
      <c r="X223" s="35"/>
    </row>
    <row r="224" spans="15:24" ht="17.100000000000001" customHeight="1">
      <c r="O224" s="12">
        <f t="shared" si="3"/>
        <v>17.583333333333332</v>
      </c>
      <c r="P224" s="13">
        <v>211</v>
      </c>
      <c r="Q224" s="22"/>
      <c r="R224" s="19"/>
      <c r="S224" s="22"/>
      <c r="T224" s="19"/>
      <c r="U224" s="24">
        <v>4.9680904120516178E-2</v>
      </c>
      <c r="V224" s="24">
        <f>(1+U225)^P225/(1+U224)^P224-1</f>
        <v>5.3555828262332072E-2</v>
      </c>
      <c r="W224" s="23"/>
      <c r="X224" s="35"/>
    </row>
    <row r="225" spans="15:24" ht="17.100000000000001" customHeight="1">
      <c r="O225" s="12">
        <f t="shared" si="3"/>
        <v>17.666666666666668</v>
      </c>
      <c r="P225" s="13">
        <v>212</v>
      </c>
      <c r="Q225" s="22"/>
      <c r="R225" s="19"/>
      <c r="S225" s="22"/>
      <c r="T225" s="19"/>
      <c r="U225" s="24">
        <v>4.9699148569178897E-2</v>
      </c>
      <c r="V225" s="24">
        <f>(1+U226)^P226/(1+U225)^P225-1</f>
        <v>5.3598946012318738E-2</v>
      </c>
      <c r="W225" s="23"/>
      <c r="X225" s="35"/>
    </row>
    <row r="226" spans="15:24" ht="17.100000000000001" customHeight="1">
      <c r="O226" s="12">
        <f t="shared" si="3"/>
        <v>17.75</v>
      </c>
      <c r="P226" s="13">
        <v>213</v>
      </c>
      <c r="Q226" s="22"/>
      <c r="R226" s="19"/>
      <c r="S226" s="22"/>
      <c r="T226" s="19"/>
      <c r="U226" s="24">
        <v>4.9717423710209596E-2</v>
      </c>
      <c r="V226" s="24">
        <f>(1+U227)^P227/(1+U226)^P226-1</f>
        <v>5.3642886015794256E-2</v>
      </c>
      <c r="W226" s="23"/>
      <c r="X226" s="35"/>
    </row>
    <row r="227" spans="15:24" ht="17.100000000000001" customHeight="1">
      <c r="O227" s="12">
        <f t="shared" si="3"/>
        <v>17.833333333333332</v>
      </c>
      <c r="P227" s="13">
        <v>214</v>
      </c>
      <c r="Q227" s="22"/>
      <c r="R227" s="19"/>
      <c r="S227" s="22"/>
      <c r="T227" s="19"/>
      <c r="U227" s="24">
        <v>4.9735732939215405E-2</v>
      </c>
      <c r="V227" s="24">
        <f>(1+U228)^P228/(1+U227)^P227-1</f>
        <v>5.3687621043672529E-2</v>
      </c>
      <c r="W227" s="23"/>
      <c r="X227" s="35"/>
    </row>
    <row r="228" spans="15:24" ht="17.100000000000001" customHeight="1">
      <c r="O228" s="12">
        <f t="shared" si="3"/>
        <v>17.916666666666668</v>
      </c>
      <c r="P228" s="13">
        <v>215</v>
      </c>
      <c r="Q228" s="22"/>
      <c r="R228" s="19"/>
      <c r="S228" s="22"/>
      <c r="T228" s="19"/>
      <c r="U228" s="24">
        <v>4.9754079462247525E-2</v>
      </c>
      <c r="V228" s="24">
        <f>(1+U229)^P229/(1+U228)^P228-1</f>
        <v>5.3733123414062334E-2</v>
      </c>
      <c r="W228" s="23"/>
      <c r="X228" s="35"/>
    </row>
    <row r="229" spans="15:24" ht="17.100000000000001" customHeight="1">
      <c r="O229" s="12">
        <f t="shared" si="3"/>
        <v>18</v>
      </c>
      <c r="P229" s="13">
        <v>216</v>
      </c>
      <c r="Q229" s="22"/>
      <c r="R229" s="19"/>
      <c r="S229" s="22"/>
      <c r="T229" s="19"/>
      <c r="U229" s="24">
        <v>4.9772466298104057E-2</v>
      </c>
      <c r="V229" s="24">
        <f>(1+U230)^P230/(1+U229)^P229-1</f>
        <v>5.3779364979138489E-2</v>
      </c>
      <c r="W229" s="23"/>
      <c r="X229" s="35"/>
    </row>
    <row r="230" spans="15:24" ht="17.100000000000001" customHeight="1">
      <c r="O230" s="12">
        <f t="shared" si="3"/>
        <v>18.083333333333332</v>
      </c>
      <c r="P230" s="13">
        <v>217</v>
      </c>
      <c r="Q230" s="22"/>
      <c r="R230" s="19"/>
      <c r="S230" s="22"/>
      <c r="T230" s="19"/>
      <c r="U230" s="24">
        <v>4.9790896280509367E-2</v>
      </c>
      <c r="V230" s="24">
        <f>(1+U231)^P231/(1+U230)^P230-1</f>
        <v>5.3826317111111299E-2</v>
      </c>
      <c r="W230" s="23"/>
      <c r="X230" s="35"/>
    </row>
    <row r="231" spans="15:24" ht="17.100000000000001" customHeight="1">
      <c r="O231" s="12">
        <f t="shared" si="3"/>
        <v>18.166666666666668</v>
      </c>
      <c r="P231" s="13">
        <v>218</v>
      </c>
      <c r="Q231" s="22"/>
      <c r="R231" s="19"/>
      <c r="S231" s="22"/>
      <c r="T231" s="19"/>
      <c r="U231" s="24">
        <v>4.9809372060171109E-2</v>
      </c>
      <c r="V231" s="24">
        <f>(1+U232)^P232/(1+U231)^P231-1</f>
        <v>5.3873950687955974E-2</v>
      </c>
      <c r="W231" s="23"/>
      <c r="X231" s="35"/>
    </row>
    <row r="232" spans="15:24" ht="17.100000000000001" customHeight="1">
      <c r="O232" s="12">
        <f t="shared" si="3"/>
        <v>18.25</v>
      </c>
      <c r="P232" s="13">
        <v>219</v>
      </c>
      <c r="Q232" s="22"/>
      <c r="R232" s="19"/>
      <c r="S232" s="22"/>
      <c r="T232" s="19"/>
      <c r="U232" s="24">
        <v>4.9827896106717118E-2</v>
      </c>
      <c r="V232" s="24">
        <f>(1+U233)^P233/(1+U232)^P232-1</f>
        <v>5.3922236079238406E-2</v>
      </c>
      <c r="W232" s="23"/>
      <c r="X232" s="35"/>
    </row>
    <row r="233" spans="15:24" ht="17.100000000000001" customHeight="1">
      <c r="O233" s="12">
        <f t="shared" si="3"/>
        <v>18.333333333333332</v>
      </c>
      <c r="P233" s="13">
        <v>220</v>
      </c>
      <c r="Q233" s="22"/>
      <c r="R233" s="19"/>
      <c r="S233" s="22"/>
      <c r="T233" s="19"/>
      <c r="U233" s="24">
        <v>4.9846470710515733E-2</v>
      </c>
      <c r="V233" s="24">
        <f>(1+U234)^P234/(1+U233)^P233-1</f>
        <v>5.3971143131256838E-2</v>
      </c>
      <c r="W233" s="23"/>
      <c r="X233" s="35"/>
    </row>
    <row r="234" spans="15:24" ht="17.100000000000001" customHeight="1">
      <c r="O234" s="12">
        <f t="shared" si="3"/>
        <v>18.416666666666668</v>
      </c>
      <c r="P234" s="13">
        <v>221</v>
      </c>
      <c r="Q234" s="22"/>
      <c r="R234" s="19"/>
      <c r="S234" s="22"/>
      <c r="T234" s="19"/>
      <c r="U234" s="24">
        <v>4.9865097984381546E-2</v>
      </c>
      <c r="V234" s="24">
        <f>(1+U235)^P235/(1+U234)^P234-1</f>
        <v>5.4020641151734772E-2</v>
      </c>
      <c r="W234" s="23"/>
      <c r="X234" s="35"/>
    </row>
    <row r="235" spans="15:24" ht="17.100000000000001" customHeight="1">
      <c r="O235" s="12">
        <f t="shared" si="3"/>
        <v>18.5</v>
      </c>
      <c r="P235" s="13">
        <v>222</v>
      </c>
      <c r="Q235" s="22"/>
      <c r="R235" s="19"/>
      <c r="S235" s="22"/>
      <c r="T235" s="19"/>
      <c r="U235" s="24">
        <v>4.9883779865167011E-2</v>
      </c>
      <c r="V235" s="24">
        <f>(1+U236)^P236/(1+U235)^P235-1</f>
        <v>5.4070698894519875E-2</v>
      </c>
      <c r="W235" s="23"/>
      <c r="X235" s="35"/>
    </row>
    <row r="236" spans="15:24" ht="17.100000000000001" customHeight="1">
      <c r="O236" s="12">
        <f t="shared" si="3"/>
        <v>18.583333333333332</v>
      </c>
      <c r="P236" s="13">
        <v>223</v>
      </c>
      <c r="Q236" s="22"/>
      <c r="R236" s="19"/>
      <c r="S236" s="22"/>
      <c r="T236" s="19"/>
      <c r="U236" s="24">
        <v>4.9902518115244376E-2</v>
      </c>
      <c r="V236" s="24">
        <f>(1+U237)^P237/(1+U236)^P236-1</f>
        <v>5.4121284543557691E-2</v>
      </c>
      <c r="W236" s="23"/>
      <c r="X236" s="35"/>
    </row>
    <row r="237" spans="15:24" ht="17.100000000000001" customHeight="1">
      <c r="O237" s="12">
        <f t="shared" si="3"/>
        <v>18.666666666666668</v>
      </c>
      <c r="P237" s="13">
        <v>224</v>
      </c>
      <c r="Q237" s="22"/>
      <c r="R237" s="19"/>
      <c r="S237" s="22"/>
      <c r="T237" s="19"/>
      <c r="U237" s="24">
        <v>4.9921314323877031E-2</v>
      </c>
      <c r="V237" s="24">
        <f>(1+U238)^P238/(1+U237)^P237-1</f>
        <v>5.4172365697349401E-2</v>
      </c>
      <c r="W237" s="23"/>
      <c r="X237" s="35"/>
    </row>
    <row r="238" spans="15:24" ht="17.100000000000001" customHeight="1">
      <c r="O238" s="12">
        <f t="shared" si="3"/>
        <v>18.75</v>
      </c>
      <c r="P238" s="13">
        <v>225</v>
      </c>
      <c r="Q238" s="22"/>
      <c r="R238" s="19"/>
      <c r="S238" s="22"/>
      <c r="T238" s="19"/>
      <c r="U238" s="24">
        <v>4.9940169908486709E-2</v>
      </c>
      <c r="V238" s="24">
        <f>(1+U239)^P239/(1+U238)^P238-1</f>
        <v>5.4223909351472699E-2</v>
      </c>
      <c r="W238" s="23"/>
      <c r="X238" s="35"/>
    </row>
    <row r="239" spans="15:24" ht="17.100000000000001" customHeight="1">
      <c r="O239" s="12">
        <f t="shared" si="3"/>
        <v>18.833333333333332</v>
      </c>
      <c r="P239" s="13">
        <v>226</v>
      </c>
      <c r="Q239" s="22"/>
      <c r="R239" s="19"/>
      <c r="S239" s="22"/>
      <c r="T239" s="19"/>
      <c r="U239" s="24">
        <v>4.9959086115811013E-2</v>
      </c>
      <c r="V239" s="24">
        <f>(1+U240)^P240/(1+U239)^P239-1</f>
        <v>5.4275881882639432E-2</v>
      </c>
      <c r="W239" s="23"/>
      <c r="X239" s="35"/>
    </row>
    <row r="240" spans="15:24" ht="17.100000000000001" customHeight="1">
      <c r="O240" s="12">
        <f t="shared" si="3"/>
        <v>18.916666666666668</v>
      </c>
      <c r="P240" s="13">
        <v>227</v>
      </c>
      <c r="Q240" s="22"/>
      <c r="R240" s="19"/>
      <c r="S240" s="22"/>
      <c r="T240" s="19"/>
      <c r="U240" s="24">
        <v>4.9978064022961677E-2</v>
      </c>
      <c r="V240" s="24">
        <f>(1+U241)^P241/(1+U240)^P240-1</f>
        <v>5.4328249030822562E-2</v>
      </c>
      <c r="W240" s="23"/>
      <c r="X240" s="35"/>
    </row>
    <row r="241" spans="15:24" ht="17.100000000000001" customHeight="1">
      <c r="O241" s="12">
        <f t="shared" si="3"/>
        <v>19</v>
      </c>
      <c r="P241" s="13">
        <v>228</v>
      </c>
      <c r="Q241" s="22"/>
      <c r="R241" s="19"/>
      <c r="S241" s="22"/>
      <c r="T241" s="19"/>
      <c r="U241" s="24">
        <v>4.9997104538376913E-2</v>
      </c>
      <c r="V241" s="24">
        <f>(1+U242)^P242/(1+U241)^P241-1</f>
        <v>5.438097588224311E-2</v>
      </c>
      <c r="W241" s="23"/>
      <c r="X241" s="35"/>
    </row>
    <row r="242" spans="15:24" ht="17.100000000000001" customHeight="1">
      <c r="O242" s="12">
        <f t="shared" si="3"/>
        <v>19.083333333333332</v>
      </c>
      <c r="P242" s="13">
        <v>229</v>
      </c>
      <c r="Q242" s="22"/>
      <c r="R242" s="19"/>
      <c r="S242" s="22"/>
      <c r="T242" s="19"/>
      <c r="U242" s="24">
        <v>5.0016208402676066E-2</v>
      </c>
      <c r="V242" s="24">
        <f>(1+U243)^P243/(1+U242)^P242-1</f>
        <v>5.4434026850625816E-2</v>
      </c>
      <c r="W242" s="23"/>
      <c r="X242" s="35"/>
    </row>
    <row r="243" spans="15:24" ht="17.100000000000001" customHeight="1">
      <c r="O243" s="12">
        <f t="shared" si="3"/>
        <v>19.166666666666668</v>
      </c>
      <c r="P243" s="13">
        <v>230</v>
      </c>
      <c r="Q243" s="22"/>
      <c r="R243" s="19"/>
      <c r="S243" s="22"/>
      <c r="T243" s="19"/>
      <c r="U243" s="24">
        <v>5.0035376189412561E-2</v>
      </c>
      <c r="V243" s="24">
        <f>(1+U244)^P244/(1+U243)^P243-1</f>
        <v>5.4487365659701359E-2</v>
      </c>
      <c r="W243" s="23"/>
      <c r="X243" s="35"/>
    </row>
    <row r="244" spans="15:24" ht="17.100000000000001" customHeight="1">
      <c r="O244" s="12">
        <f t="shared" si="3"/>
        <v>19.25</v>
      </c>
      <c r="P244" s="13">
        <v>231</v>
      </c>
      <c r="Q244" s="22"/>
      <c r="R244" s="19"/>
      <c r="S244" s="22"/>
      <c r="T244" s="19"/>
      <c r="U244" s="24">
        <v>5.0054608305730497E-2</v>
      </c>
      <c r="V244" s="24">
        <f>(1+U245)^P245/(1+U244)^P244-1</f>
        <v>5.4540955324009932E-2</v>
      </c>
      <c r="W244" s="23"/>
      <c r="X244" s="35"/>
    </row>
    <row r="245" spans="15:24" ht="17.100000000000001" customHeight="1">
      <c r="O245" s="12">
        <f t="shared" si="3"/>
        <v>19.333333333333332</v>
      </c>
      <c r="P245" s="13">
        <v>232</v>
      </c>
      <c r="Q245" s="22"/>
      <c r="R245" s="19"/>
      <c r="S245" s="22"/>
      <c r="T245" s="19"/>
      <c r="U245" s="24">
        <v>5.0073904992924856E-2</v>
      </c>
      <c r="V245" s="24">
        <f>(1+U246)^P246/(1+U245)^P245-1</f>
        <v>5.4594758129685506E-2</v>
      </c>
      <c r="W245" s="23"/>
      <c r="X245" s="35"/>
    </row>
    <row r="246" spans="15:24" ht="17.100000000000001" customHeight="1">
      <c r="O246" s="12">
        <f t="shared" si="3"/>
        <v>19.416666666666668</v>
      </c>
      <c r="P246" s="13">
        <v>233</v>
      </c>
      <c r="Q246" s="22"/>
      <c r="R246" s="19"/>
      <c r="S246" s="22"/>
      <c r="T246" s="19"/>
      <c r="U246" s="24">
        <v>5.0093266326904473E-2</v>
      </c>
      <c r="V246" s="24">
        <f>(1+U247)^P247/(1+U246)^P246-1</f>
        <v>5.4648735615249411E-2</v>
      </c>
      <c r="W246" s="23"/>
      <c r="X246" s="35"/>
    </row>
    <row r="247" spans="15:24" ht="17.100000000000001" customHeight="1">
      <c r="O247" s="12">
        <f t="shared" si="3"/>
        <v>19.5</v>
      </c>
      <c r="P247" s="13">
        <v>234</v>
      </c>
      <c r="Q247" s="22"/>
      <c r="R247" s="19"/>
      <c r="S247" s="22"/>
      <c r="T247" s="19"/>
      <c r="U247" s="24">
        <v>5.0112692218562405E-2</v>
      </c>
      <c r="V247" s="24">
        <f>(1+U248)^P248/(1+U247)^P247-1</f>
        <v>5.4702848551861694E-2</v>
      </c>
      <c r="W247" s="23"/>
      <c r="X247" s="35"/>
    </row>
    <row r="248" spans="15:24" ht="17.100000000000001" customHeight="1">
      <c r="O248" s="12">
        <f t="shared" si="3"/>
        <v>19.583333333333332</v>
      </c>
      <c r="P248" s="13">
        <v>235</v>
      </c>
      <c r="Q248" s="22"/>
      <c r="R248" s="19"/>
      <c r="S248" s="22"/>
      <c r="T248" s="19"/>
      <c r="U248" s="24">
        <v>5.0132182414053927E-2</v>
      </c>
      <c r="V248" s="24">
        <f>(1+U249)^P249/(1+U248)^P248-1</f>
        <v>5.4757056922327019E-2</v>
      </c>
      <c r="W248" s="23"/>
      <c r="X248" s="35"/>
    </row>
    <row r="249" spans="15:24" ht="17.100000000000001" customHeight="1">
      <c r="O249" s="12">
        <f t="shared" si="3"/>
        <v>19.666666666666668</v>
      </c>
      <c r="P249" s="13">
        <v>236</v>
      </c>
      <c r="Q249" s="22"/>
      <c r="R249" s="19"/>
      <c r="S249" s="22"/>
      <c r="T249" s="19"/>
      <c r="U249" s="24">
        <v>5.0151736494979282E-2</v>
      </c>
      <c r="V249" s="24">
        <f>(1+U250)^P250/(1+U249)^P249-1</f>
        <v>5.4811319901080235E-2</v>
      </c>
      <c r="W249" s="23"/>
      <c r="X249" s="35"/>
    </row>
    <row r="250" spans="15:24" ht="17.100000000000001" customHeight="1">
      <c r="O250" s="12">
        <f t="shared" si="3"/>
        <v>19.75</v>
      </c>
      <c r="P250" s="13">
        <v>237</v>
      </c>
      <c r="Q250" s="22"/>
      <c r="R250" s="19"/>
      <c r="S250" s="22"/>
      <c r="T250" s="19"/>
      <c r="U250" s="24">
        <v>5.0171353878478264E-2</v>
      </c>
      <c r="V250" s="24">
        <f>(1+U251)^P251/(1+U250)^P250-1</f>
        <v>5.486559583294226E-2</v>
      </c>
      <c r="W250" s="23"/>
      <c r="X250" s="35"/>
    </row>
    <row r="251" spans="15:24" ht="17.100000000000001" customHeight="1">
      <c r="O251" s="12">
        <f t="shared" si="3"/>
        <v>19.833333333333332</v>
      </c>
      <c r="P251" s="13">
        <v>238</v>
      </c>
      <c r="Q251" s="22"/>
      <c r="R251" s="19"/>
      <c r="S251" s="22"/>
      <c r="T251" s="19"/>
      <c r="U251" s="24">
        <v>5.0191033817234221E-2</v>
      </c>
      <c r="V251" s="24">
        <f>(1+U252)^P252/(1+U251)^P251-1</f>
        <v>5.4919842211245351E-2</v>
      </c>
      <c r="W251" s="23"/>
      <c r="X251" s="35"/>
    </row>
    <row r="252" spans="15:24" ht="17.100000000000001" customHeight="1">
      <c r="O252" s="12">
        <f t="shared" si="3"/>
        <v>19.916666666666668</v>
      </c>
      <c r="P252" s="13">
        <v>239</v>
      </c>
      <c r="Q252" s="22"/>
      <c r="R252" s="19"/>
      <c r="S252" s="22"/>
      <c r="T252" s="19"/>
      <c r="U252" s="24">
        <v>5.0210775399386787E-2</v>
      </c>
      <c r="V252" s="24">
        <f>(1+U253)^P253/(1+U252)^P252-1</f>
        <v>5.4974015656537034E-2</v>
      </c>
      <c r="W252" s="23"/>
      <c r="X252" s="35"/>
    </row>
    <row r="253" spans="15:24" ht="17.100000000000001" customHeight="1">
      <c r="O253" s="12">
        <f t="shared" si="3"/>
        <v>20</v>
      </c>
      <c r="P253" s="13">
        <v>240</v>
      </c>
      <c r="Q253" s="22"/>
      <c r="R253" s="19"/>
      <c r="S253" s="22"/>
      <c r="T253" s="19"/>
      <c r="U253" s="24">
        <v>5.0230577548358912E-2</v>
      </c>
      <c r="V253" s="24">
        <f>(1+U254)^P254/(1+U253)^P253-1</f>
        <v>5.5026303900726825E-2</v>
      </c>
      <c r="W253" s="23"/>
      <c r="X253" s="35"/>
    </row>
    <row r="254" spans="15:24" ht="17.100000000000001" customHeight="1">
      <c r="O254" s="12">
        <f t="shared" si="3"/>
        <v>20.083333333333332</v>
      </c>
      <c r="P254" s="13">
        <v>241</v>
      </c>
      <c r="Q254" s="22"/>
      <c r="R254" s="19"/>
      <c r="S254" s="22"/>
      <c r="T254" s="19"/>
      <c r="U254" s="24">
        <v>5.0250431719739197E-2</v>
      </c>
      <c r="V254" s="24">
        <f>(1+U255)^P255/(1+U254)^P254-1</f>
        <v>5.5069525424212395E-2</v>
      </c>
      <c r="W254" s="23"/>
      <c r="X254" s="35"/>
    </row>
    <row r="255" spans="15:24" ht="17.100000000000001" customHeight="1">
      <c r="O255" s="12">
        <f t="shared" si="3"/>
        <v>20.166666666666668</v>
      </c>
      <c r="P255" s="13">
        <v>242</v>
      </c>
      <c r="Q255" s="22"/>
      <c r="R255" s="19"/>
      <c r="S255" s="22"/>
      <c r="T255" s="19"/>
      <c r="U255" s="24">
        <v>5.0270299970307519E-2</v>
      </c>
      <c r="V255" s="24">
        <f>(1+U256)^P256/(1+U255)^P255-1</f>
        <v>5.5101687315128656E-2</v>
      </c>
      <c r="W255" s="23"/>
      <c r="X255" s="35"/>
    </row>
    <row r="256" spans="15:24" ht="17.100000000000001" customHeight="1">
      <c r="O256" s="12">
        <f t="shared" si="3"/>
        <v>20.25</v>
      </c>
      <c r="P256" s="13">
        <v>243</v>
      </c>
      <c r="Q256" s="22"/>
      <c r="R256" s="19"/>
      <c r="S256" s="22"/>
      <c r="T256" s="19"/>
      <c r="U256" s="24">
        <v>5.0290136819305165E-2</v>
      </c>
      <c r="V256" s="24">
        <f>(1+U257)^P257/(1+U256)^P256-1</f>
        <v>5.5122543435143001E-2</v>
      </c>
      <c r="W256" s="23"/>
      <c r="X256" s="35"/>
    </row>
    <row r="257" spans="15:24" ht="17.100000000000001" customHeight="1">
      <c r="O257" s="12">
        <f t="shared" si="3"/>
        <v>20.333333333333332</v>
      </c>
      <c r="P257" s="13">
        <v>244</v>
      </c>
      <c r="Q257" s="22"/>
      <c r="R257" s="19"/>
      <c r="S257" s="22"/>
      <c r="T257" s="19"/>
      <c r="U257" s="24">
        <v>5.0309896528116571E-2</v>
      </c>
      <c r="V257" s="24">
        <f>(1+U258)^P258/(1+U257)^P257-1</f>
        <v>5.5131842234256823E-2</v>
      </c>
      <c r="W257" s="23"/>
      <c r="X257" s="35"/>
    </row>
    <row r="258" spans="15:24" ht="17.100000000000001" customHeight="1">
      <c r="O258" s="12">
        <f t="shared" si="3"/>
        <v>20.416666666666668</v>
      </c>
      <c r="P258" s="13">
        <v>245</v>
      </c>
      <c r="Q258" s="22"/>
      <c r="R258" s="19"/>
      <c r="S258" s="22"/>
      <c r="T258" s="19"/>
      <c r="U258" s="24">
        <v>5.0329533082096978E-2</v>
      </c>
      <c r="V258" s="24">
        <f>(1+U259)^P259/(1+U258)^P258-1</f>
        <v>5.5129326769934428E-2</v>
      </c>
      <c r="W258" s="23"/>
      <c r="X258" s="35"/>
    </row>
    <row r="259" spans="15:24" ht="17.100000000000001" customHeight="1">
      <c r="O259" s="12">
        <f t="shared" si="3"/>
        <v>20.5</v>
      </c>
      <c r="P259" s="13">
        <v>246</v>
      </c>
      <c r="Q259" s="22"/>
      <c r="R259" s="19"/>
      <c r="S259" s="22"/>
      <c r="T259" s="19"/>
      <c r="U259" s="24">
        <v>5.0349000172830838E-2</v>
      </c>
      <c r="V259" s="24">
        <f>(1+U260)^P260/(1+U259)^P259-1</f>
        <v>5.5114734733362036E-2</v>
      </c>
      <c r="W259" s="23"/>
      <c r="X259" s="35"/>
    </row>
    <row r="260" spans="15:24" ht="17.100000000000001" customHeight="1">
      <c r="O260" s="12">
        <f t="shared" si="3"/>
        <v>20.583333333333332</v>
      </c>
      <c r="P260" s="13">
        <v>247</v>
      </c>
      <c r="Q260" s="22"/>
      <c r="R260" s="19"/>
      <c r="S260" s="22"/>
      <c r="T260" s="19"/>
      <c r="U260" s="24">
        <v>5.0368251180832324E-2</v>
      </c>
      <c r="V260" s="24">
        <f>(1+U261)^P261/(1+U260)^P260-1</f>
        <v>5.5087798483653527E-2</v>
      </c>
      <c r="W260" s="23"/>
      <c r="X260" s="35"/>
    </row>
    <row r="261" spans="15:24" ht="17.100000000000001" customHeight="1">
      <c r="O261" s="12">
        <f t="shared" si="3"/>
        <v>20.666666666666668</v>
      </c>
      <c r="P261" s="13">
        <v>248</v>
      </c>
      <c r="Q261" s="22"/>
      <c r="R261" s="19"/>
      <c r="S261" s="22"/>
      <c r="T261" s="19"/>
      <c r="U261" s="24">
        <v>5.0387239158703245E-2</v>
      </c>
      <c r="V261" s="24">
        <f>(1+U262)^P262/(1+U261)^P261-1</f>
        <v>5.5048245090090875E-2</v>
      </c>
      <c r="W261" s="23"/>
      <c r="X261" s="35"/>
    </row>
    <row r="262" spans="15:24" ht="17.100000000000001" customHeight="1">
      <c r="O262" s="12">
        <f t="shared" si="3"/>
        <v>20.75</v>
      </c>
      <c r="P262" s="13">
        <v>249</v>
      </c>
      <c r="Q262" s="22"/>
      <c r="R262" s="19"/>
      <c r="S262" s="22"/>
      <c r="T262" s="19"/>
      <c r="U262" s="24">
        <v>5.0405916814760587E-2</v>
      </c>
      <c r="V262" s="24">
        <f>(1+U263)^P263/(1+U262)^P262-1</f>
        <v>5.4995796384008866E-2</v>
      </c>
      <c r="W262" s="23"/>
      <c r="X262" s="35"/>
    </row>
    <row r="263" spans="15:24" ht="17.100000000000001" customHeight="1">
      <c r="O263" s="12">
        <f t="shared" si="3"/>
        <v>20.833333333333332</v>
      </c>
      <c r="P263" s="13">
        <v>250</v>
      </c>
      <c r="Q263" s="22"/>
      <c r="R263" s="19"/>
      <c r="S263" s="22"/>
      <c r="T263" s="19"/>
      <c r="U263" s="24">
        <v>5.0424236497155217E-2</v>
      </c>
      <c r="V263" s="24">
        <f>(1+U264)^P264/(1+U263)^P263-1</f>
        <v>5.4930169019899555E-2</v>
      </c>
      <c r="W263" s="23"/>
      <c r="X263" s="35"/>
    </row>
    <row r="264" spans="15:24" ht="17.100000000000001" customHeight="1">
      <c r="O264" s="12">
        <f t="shared" si="3"/>
        <v>20.916666666666668</v>
      </c>
      <c r="P264" s="13">
        <v>251</v>
      </c>
      <c r="Q264" s="22"/>
      <c r="R264" s="19"/>
      <c r="S264" s="22"/>
      <c r="T264" s="19"/>
      <c r="U264" s="24">
        <v>5.0442150178497513E-2</v>
      </c>
      <c r="V264" s="24">
        <f>(1+U265)^P265/(1+U264)^P264-1</f>
        <v>5.4851074546011569E-2</v>
      </c>
      <c r="W264" s="23"/>
      <c r="X264" s="35"/>
    </row>
    <row r="265" spans="15:24" ht="17.100000000000001" customHeight="1">
      <c r="O265" s="12">
        <f t="shared" si="3"/>
        <v>21</v>
      </c>
      <c r="P265" s="13">
        <v>252</v>
      </c>
      <c r="Q265" s="22"/>
      <c r="R265" s="19"/>
      <c r="S265" s="22"/>
      <c r="T265" s="19"/>
      <c r="U265" s="24">
        <v>5.0459609441009246E-2</v>
      </c>
      <c r="V265" s="24">
        <f>(1+U266)^P266/(1+U265)^P265-1</f>
        <v>5.4758219486504833E-2</v>
      </c>
      <c r="W265" s="23"/>
      <c r="X265" s="35"/>
    </row>
    <row r="266" spans="15:24" ht="17.100000000000001" customHeight="1">
      <c r="O266" s="12">
        <f t="shared" si="3"/>
        <v>21.083333333333332</v>
      </c>
      <c r="P266" s="13">
        <v>253</v>
      </c>
      <c r="Q266" s="22"/>
      <c r="R266" s="19"/>
      <c r="S266" s="22"/>
      <c r="T266" s="19"/>
      <c r="U266" s="24">
        <v>5.0476565462225009E-2</v>
      </c>
      <c r="V266" s="24">
        <f>(1+U267)^P267/(1+U266)^P266-1</f>
        <v>5.4651305433596642E-2</v>
      </c>
      <c r="W266" s="23"/>
      <c r="X266" s="35"/>
    </row>
    <row r="267" spans="15:24" ht="17.100000000000001" customHeight="1">
      <c r="O267" s="12">
        <f t="shared" si="3"/>
        <v>21.166666666666668</v>
      </c>
      <c r="P267" s="13">
        <v>254</v>
      </c>
      <c r="Q267" s="22"/>
      <c r="R267" s="19"/>
      <c r="S267" s="22"/>
      <c r="T267" s="19"/>
      <c r="U267" s="24">
        <v>5.0492969001264543E-2</v>
      </c>
      <c r="V267" s="24">
        <f>(1+U268)^P268/(1+U267)^P267-1</f>
        <v>5.4530029152624726E-2</v>
      </c>
      <c r="W267" s="23"/>
      <c r="X267" s="35"/>
    </row>
    <row r="268" spans="15:24" ht="17.100000000000001" customHeight="1">
      <c r="O268" s="12">
        <f t="shared" si="3"/>
        <v>21.25</v>
      </c>
      <c r="P268" s="13">
        <v>255</v>
      </c>
      <c r="Q268" s="22"/>
      <c r="R268" s="19"/>
      <c r="S268" s="22"/>
      <c r="T268" s="19"/>
      <c r="U268" s="24">
        <v>5.0508770385701451E-2</v>
      </c>
      <c r="V268" s="24">
        <f>(1+U269)^P269/(1+U268)^P268-1</f>
        <v>5.4394082698498103E-2</v>
      </c>
      <c r="W268" s="23"/>
      <c r="X268" s="35"/>
    </row>
    <row r="269" spans="15:24" ht="17.100000000000001" customHeight="1">
      <c r="O269" s="12">
        <f t="shared" si="3"/>
        <v>21.333333333333332</v>
      </c>
      <c r="P269" s="13">
        <v>256</v>
      </c>
      <c r="Q269" s="22"/>
      <c r="R269" s="19"/>
      <c r="S269" s="22"/>
      <c r="T269" s="19"/>
      <c r="U269" s="24">
        <v>5.0523919499053216E-2</v>
      </c>
      <c r="V269" s="24">
        <f>(1+U270)^P270/(1+U269)^P269-1</f>
        <v>5.4243153545475042E-2</v>
      </c>
      <c r="W269" s="23"/>
      <c r="X269" s="35"/>
    </row>
    <row r="270" spans="15:24" ht="17.100000000000001" customHeight="1">
      <c r="O270" s="12">
        <f t="shared" ref="O270:O333" si="4">P270/12</f>
        <v>21.416666666666668</v>
      </c>
      <c r="P270" s="13">
        <v>257</v>
      </c>
      <c r="Q270" s="22"/>
      <c r="R270" s="19"/>
      <c r="S270" s="22"/>
      <c r="T270" s="19"/>
      <c r="U270" s="24">
        <v>5.0538365768920457E-2</v>
      </c>
      <c r="V270" s="24">
        <f>(1+U271)^P271/(1+U270)^P270-1</f>
        <v>5.4076924730519726E-2</v>
      </c>
      <c r="W270" s="23"/>
      <c r="X270" s="35"/>
    </row>
    <row r="271" spans="15:24" ht="17.100000000000001" customHeight="1">
      <c r="O271" s="12">
        <f t="shared" si="4"/>
        <v>21.5</v>
      </c>
      <c r="P271" s="13">
        <v>258</v>
      </c>
      <c r="Q271" s="22"/>
      <c r="R271" s="19"/>
      <c r="S271" s="22"/>
      <c r="T271" s="19"/>
      <c r="U271" s="24">
        <v>5.0552058155804769E-2</v>
      </c>
      <c r="V271" s="24">
        <f>(1+U272)^P272/(1+U271)^P271-1</f>
        <v>5.3895075011085813E-2</v>
      </c>
      <c r="W271" s="23"/>
      <c r="X271" s="35"/>
    </row>
    <row r="272" spans="15:24" ht="17.100000000000001" customHeight="1">
      <c r="O272" s="12">
        <f t="shared" si="4"/>
        <v>21.583333333333332</v>
      </c>
      <c r="P272" s="13">
        <v>259</v>
      </c>
      <c r="Q272" s="22"/>
      <c r="R272" s="19"/>
      <c r="S272" s="22"/>
      <c r="T272" s="19"/>
      <c r="U272" s="24">
        <v>5.0564945142635542E-2</v>
      </c>
      <c r="V272" s="24">
        <f>(1+U273)^P273/(1+U272)^P272-1</f>
        <v>5.3697279036515333E-2</v>
      </c>
      <c r="W272" s="23"/>
      <c r="X272" s="35"/>
    </row>
    <row r="273" spans="15:24" ht="17.100000000000001" customHeight="1">
      <c r="O273" s="12">
        <f t="shared" si="4"/>
        <v>21.666666666666668</v>
      </c>
      <c r="P273" s="13">
        <v>260</v>
      </c>
      <c r="Q273" s="22"/>
      <c r="R273" s="19"/>
      <c r="S273" s="22"/>
      <c r="T273" s="19"/>
      <c r="U273" s="24">
        <v>5.057697472503575E-2</v>
      </c>
      <c r="V273" s="24">
        <f>(1+U274)^P274/(1+U273)^P273-1</f>
        <v>5.3483207536758615E-2</v>
      </c>
      <c r="W273" s="23"/>
      <c r="X273" s="35"/>
    </row>
    <row r="274" spans="15:24" ht="17.100000000000001" customHeight="1">
      <c r="O274" s="12">
        <f t="shared" si="4"/>
        <v>21.75</v>
      </c>
      <c r="P274" s="13">
        <v>261</v>
      </c>
      <c r="Q274" s="22"/>
      <c r="R274" s="19"/>
      <c r="S274" s="22"/>
      <c r="T274" s="19"/>
      <c r="U274" s="24">
        <v>5.0588094402364447E-2</v>
      </c>
      <c r="V274" s="24">
        <f>(1+U275)^P275/(1+U274)^P274-1</f>
        <v>5.3252527525101456E-2</v>
      </c>
      <c r="W274" s="23"/>
      <c r="X274" s="35"/>
    </row>
    <row r="275" spans="15:24" ht="17.100000000000001" customHeight="1">
      <c r="O275" s="12">
        <f t="shared" si="4"/>
        <v>21.833333333333332</v>
      </c>
      <c r="P275" s="13">
        <v>262</v>
      </c>
      <c r="Q275" s="22"/>
      <c r="R275" s="19"/>
      <c r="S275" s="22"/>
      <c r="T275" s="19"/>
      <c r="U275" s="24">
        <v>5.0598251169565511E-2</v>
      </c>
      <c r="V275" s="24">
        <f>(1+U276)^P276/(1+U275)^P275-1</f>
        <v>5.3004902519214747E-2</v>
      </c>
      <c r="W275" s="23"/>
      <c r="X275" s="35"/>
    </row>
    <row r="276" spans="15:24" ht="17.100000000000001" customHeight="1">
      <c r="O276" s="12">
        <f t="shared" si="4"/>
        <v>21.916666666666668</v>
      </c>
      <c r="P276" s="13">
        <v>263</v>
      </c>
      <c r="Q276" s="22"/>
      <c r="R276" s="19"/>
      <c r="S276" s="22"/>
      <c r="T276" s="19"/>
      <c r="U276" s="24">
        <v>5.0607391509863708E-2</v>
      </c>
      <c r="V276" s="24">
        <f>(1+U277)^P277/(1+U276)^P276-1</f>
        <v>5.2739992779086808E-2</v>
      </c>
      <c r="W276" s="23"/>
      <c r="X276" s="35"/>
    </row>
    <row r="277" spans="15:24" ht="17.100000000000001" customHeight="1">
      <c r="O277" s="12">
        <f t="shared" si="4"/>
        <v>22</v>
      </c>
      <c r="P277" s="13">
        <v>264</v>
      </c>
      <c r="Q277" s="22"/>
      <c r="R277" s="19"/>
      <c r="S277" s="22"/>
      <c r="T277" s="19"/>
      <c r="U277" s="24">
        <v>5.061546138834605E-2</v>
      </c>
      <c r="V277" s="24">
        <f>(1+U278)^P278/(1+U277)^P277-1</f>
        <v>5.2457455561491617E-2</v>
      </c>
      <c r="W277" s="23"/>
      <c r="X277" s="35"/>
    </row>
    <row r="278" spans="15:24" ht="17.100000000000001" customHeight="1">
      <c r="O278" s="12">
        <f t="shared" si="4"/>
        <v>22.083333333333332</v>
      </c>
      <c r="P278" s="13">
        <v>265</v>
      </c>
      <c r="Q278" s="22"/>
      <c r="R278" s="19"/>
      <c r="S278" s="22"/>
      <c r="T278" s="19"/>
      <c r="U278" s="24">
        <v>5.0622406246460416E-2</v>
      </c>
      <c r="V278" s="24">
        <f>(1+U279)^P279/(1+U278)^P278-1</f>
        <v>5.2156945395729126E-2</v>
      </c>
      <c r="W278" s="23"/>
      <c r="X278" s="35"/>
    </row>
    <row r="279" spans="15:24" ht="17.100000000000001" customHeight="1">
      <c r="O279" s="12">
        <f t="shared" si="4"/>
        <v>22.166666666666668</v>
      </c>
      <c r="P279" s="13">
        <v>266</v>
      </c>
      <c r="Q279" s="22"/>
      <c r="R279" s="19"/>
      <c r="S279" s="22"/>
      <c r="T279" s="19"/>
      <c r="U279" s="24">
        <v>5.0628170997483846E-2</v>
      </c>
      <c r="V279" s="24">
        <f>(1+U280)^P280/(1+U279)^P279-1</f>
        <v>5.1838114375422073E-2</v>
      </c>
      <c r="W279" s="23"/>
      <c r="X279" s="35"/>
    </row>
    <row r="280" spans="15:24" ht="17.100000000000001" customHeight="1">
      <c r="O280" s="12">
        <f t="shared" si="4"/>
        <v>22.25</v>
      </c>
      <c r="P280" s="13">
        <v>267</v>
      </c>
      <c r="Q280" s="22"/>
      <c r="R280" s="19"/>
      <c r="S280" s="22"/>
      <c r="T280" s="19"/>
      <c r="U280" s="24">
        <v>5.0632700022990917E-2</v>
      </c>
      <c r="V280" s="24">
        <f>(1+U281)^P281/(1+U280)^P280-1</f>
        <v>5.1500612473026175E-2</v>
      </c>
      <c r="W280" s="23"/>
      <c r="X280" s="35"/>
    </row>
    <row r="281" spans="15:24" ht="17.100000000000001" customHeight="1">
      <c r="O281" s="12">
        <f t="shared" si="4"/>
        <v>22.333333333333332</v>
      </c>
      <c r="P281" s="13">
        <v>268</v>
      </c>
      <c r="Q281" s="22"/>
      <c r="R281" s="19"/>
      <c r="S281" s="22"/>
      <c r="T281" s="19"/>
      <c r="U281" s="24">
        <v>5.0635937170374845E-2</v>
      </c>
      <c r="V281" s="24">
        <f>(1+U282)^P282/(1+U281)^P281-1</f>
        <v>5.1144087871848543E-2</v>
      </c>
      <c r="W281" s="23"/>
      <c r="X281" s="35"/>
    </row>
    <row r="282" spans="15:24" ht="17.100000000000001" customHeight="1">
      <c r="O282" s="12">
        <f t="shared" si="4"/>
        <v>22.416666666666668</v>
      </c>
      <c r="P282" s="13">
        <v>269</v>
      </c>
      <c r="Q282" s="22"/>
      <c r="R282" s="19"/>
      <c r="S282" s="22"/>
      <c r="T282" s="19"/>
      <c r="U282" s="24">
        <v>5.0637825751458809E-2</v>
      </c>
      <c r="V282" s="24">
        <f>(1+U283)^P283/(1+U282)^P282-1</f>
        <v>5.0768187321124758E-2</v>
      </c>
      <c r="W282" s="23"/>
      <c r="X282" s="35"/>
    </row>
    <row r="283" spans="15:24" ht="17.100000000000001" customHeight="1">
      <c r="O283" s="12">
        <f t="shared" si="4"/>
        <v>22.5</v>
      </c>
      <c r="P283" s="13">
        <v>270</v>
      </c>
      <c r="Q283" s="22"/>
      <c r="R283" s="19"/>
      <c r="S283" s="22"/>
      <c r="T283" s="19"/>
      <c r="U283" s="24">
        <v>5.0638308542246824E-2</v>
      </c>
      <c r="V283" s="24">
        <f>(1+U284)^P284/(1+U283)^P283-1</f>
        <v>5.0372556510933197E-2</v>
      </c>
      <c r="W283" s="23"/>
      <c r="X283" s="35"/>
    </row>
    <row r="284" spans="15:24" ht="17.100000000000001" customHeight="1">
      <c r="O284" s="12">
        <f t="shared" si="4"/>
        <v>22.583333333333332</v>
      </c>
      <c r="P284" s="13">
        <v>271</v>
      </c>
      <c r="Q284" s="22"/>
      <c r="R284" s="19"/>
      <c r="S284" s="22"/>
      <c r="T284" s="19"/>
      <c r="U284" s="24">
        <v>5.063732778385921E-2</v>
      </c>
      <c r="V284" s="24">
        <f>(1+U285)^P285/(1+U284)^P284-1</f>
        <v>4.9956840469888242E-2</v>
      </c>
      <c r="W284" s="23"/>
      <c r="X284" s="35"/>
    </row>
    <row r="285" spans="15:24" ht="17.100000000000001" customHeight="1">
      <c r="O285" s="12">
        <f t="shared" si="4"/>
        <v>22.666666666666668</v>
      </c>
      <c r="P285" s="13">
        <v>272</v>
      </c>
      <c r="Q285" s="22"/>
      <c r="R285" s="19"/>
      <c r="S285" s="22"/>
      <c r="T285" s="19"/>
      <c r="U285" s="24">
        <v>5.0634825184701526E-2</v>
      </c>
      <c r="V285" s="24">
        <f>(1+U286)^P286/(1+U285)^P285-1</f>
        <v>4.952068398437226E-2</v>
      </c>
      <c r="W285" s="23"/>
      <c r="X285" s="35"/>
    </row>
    <row r="286" spans="15:24" ht="17.100000000000001" customHeight="1">
      <c r="O286" s="12">
        <f t="shared" si="4"/>
        <v>22.75</v>
      </c>
      <c r="P286" s="13">
        <v>273</v>
      </c>
      <c r="Q286" s="22"/>
      <c r="R286" s="19"/>
      <c r="S286" s="22"/>
      <c r="T286" s="19"/>
      <c r="U286" s="24">
        <v>5.0630741923913147E-2</v>
      </c>
      <c r="V286" s="24">
        <f>(1+U287)^P287/(1+U286)^P286-1</f>
        <v>4.9063732041085384E-2</v>
      </c>
      <c r="W286" s="23"/>
      <c r="X286" s="35"/>
    </row>
    <row r="287" spans="15:24" ht="17.100000000000001" customHeight="1">
      <c r="O287" s="12">
        <f t="shared" si="4"/>
        <v>22.833333333333332</v>
      </c>
      <c r="P287" s="13">
        <v>274</v>
      </c>
      <c r="Q287" s="22"/>
      <c r="R287" s="19"/>
      <c r="S287" s="22"/>
      <c r="T287" s="19"/>
      <c r="U287" s="24">
        <v>5.0625018656146548E-2</v>
      </c>
      <c r="V287" s="24">
        <f>(1+U288)^P288/(1+U287)^P287-1</f>
        <v>4.8585630291857695E-2</v>
      </c>
      <c r="W287" s="23"/>
      <c r="X287" s="35"/>
    </row>
    <row r="288" spans="15:24" ht="17.100000000000001" customHeight="1">
      <c r="O288" s="12">
        <f t="shared" si="4"/>
        <v>22.916666666666668</v>
      </c>
      <c r="P288" s="13">
        <v>275</v>
      </c>
      <c r="Q288" s="22"/>
      <c r="R288" s="19"/>
      <c r="S288" s="22"/>
      <c r="T288" s="19"/>
      <c r="U288" s="24">
        <v>5.0617595517725489E-2</v>
      </c>
      <c r="V288" s="24">
        <f>(1+U289)^P289/(1+U288)^P288-1</f>
        <v>4.8086025542778632E-2</v>
      </c>
      <c r="W288" s="23"/>
      <c r="X288" s="35"/>
    </row>
    <row r="289" spans="15:24" ht="17.100000000000001" customHeight="1">
      <c r="O289" s="12">
        <f t="shared" si="4"/>
        <v>23</v>
      </c>
      <c r="P289" s="13">
        <v>276</v>
      </c>
      <c r="Q289" s="22"/>
      <c r="R289" s="19"/>
      <c r="S289" s="22"/>
      <c r="T289" s="19"/>
      <c r="U289" s="24">
        <v>5.0608412134234282E-2</v>
      </c>
      <c r="V289" s="24">
        <f>(1+U290)^P290/(1+U289)^P289-1</f>
        <v>4.7568884083953877E-2</v>
      </c>
      <c r="W289" s="23"/>
      <c r="X289" s="35"/>
    </row>
    <row r="290" spans="15:24" ht="17.100000000000001" customHeight="1">
      <c r="O290" s="12">
        <f t="shared" si="4"/>
        <v>23.083333333333332</v>
      </c>
      <c r="P290" s="13">
        <v>277</v>
      </c>
      <c r="Q290" s="22"/>
      <c r="R290" s="19"/>
      <c r="S290" s="22"/>
      <c r="T290" s="19"/>
      <c r="U290" s="24">
        <v>5.0597423262472851E-2</v>
      </c>
      <c r="V290" s="24">
        <f>(1+U291)^P291/(1+U290)^P290-1</f>
        <v>4.7051246146092796E-2</v>
      </c>
      <c r="W290" s="23"/>
      <c r="X290" s="35"/>
    </row>
    <row r="291" spans="15:24" ht="17.100000000000001" customHeight="1">
      <c r="O291" s="12">
        <f t="shared" si="4"/>
        <v>23.166666666666668</v>
      </c>
      <c r="P291" s="13">
        <v>278</v>
      </c>
      <c r="Q291" s="22"/>
      <c r="R291" s="19"/>
      <c r="S291" s="22"/>
      <c r="T291" s="19"/>
      <c r="U291" s="24">
        <v>5.0584645730515465E-2</v>
      </c>
      <c r="V291" s="24">
        <f>(1+U292)^P292/(1+U291)^P291-1</f>
        <v>4.6537411234326864E-2</v>
      </c>
      <c r="W291" s="23"/>
      <c r="X291" s="35"/>
    </row>
    <row r="292" spans="15:24" ht="17.100000000000001" customHeight="1">
      <c r="O292" s="12">
        <f t="shared" si="4"/>
        <v>23.25</v>
      </c>
      <c r="P292" s="13">
        <v>279</v>
      </c>
      <c r="Q292" s="22"/>
      <c r="R292" s="19"/>
      <c r="S292" s="22"/>
      <c r="T292" s="19"/>
      <c r="U292" s="24">
        <v>5.0570111600636292E-2</v>
      </c>
      <c r="V292" s="24">
        <f>(1+U293)^P293/(1+U292)^P292-1</f>
        <v>4.6027391401686213E-2</v>
      </c>
      <c r="W292" s="23"/>
      <c r="X292" s="35"/>
    </row>
    <row r="293" spans="15:24" ht="17.100000000000001" customHeight="1">
      <c r="O293" s="12">
        <f t="shared" si="4"/>
        <v>23.333333333333332</v>
      </c>
      <c r="P293" s="13">
        <v>280</v>
      </c>
      <c r="Q293" s="22"/>
      <c r="R293" s="19"/>
      <c r="S293" s="22"/>
      <c r="T293" s="19"/>
      <c r="U293" s="24">
        <v>5.0553852547583711E-2</v>
      </c>
      <c r="V293" s="24">
        <f>(1+U294)^P294/(1+U293)^P293-1</f>
        <v>4.5521197720026718E-2</v>
      </c>
      <c r="W293" s="23"/>
      <c r="X293" s="35"/>
    </row>
    <row r="294" spans="15:24" ht="17.100000000000001" customHeight="1">
      <c r="O294" s="12">
        <f t="shared" si="4"/>
        <v>23.416666666666668</v>
      </c>
      <c r="P294" s="13">
        <v>281</v>
      </c>
      <c r="Q294" s="22"/>
      <c r="R294" s="19"/>
      <c r="S294" s="22"/>
      <c r="T294" s="19"/>
      <c r="U294" s="24">
        <v>5.0535899861569478E-2</v>
      </c>
      <c r="V294" s="24">
        <f>(1+U295)^P295/(1+U294)^P294-1</f>
        <v>4.5018840291010109E-2</v>
      </c>
      <c r="W294" s="23"/>
      <c r="X294" s="35"/>
    </row>
    <row r="295" spans="15:24" ht="17.100000000000001" customHeight="1">
      <c r="O295" s="12">
        <f t="shared" si="4"/>
        <v>23.5</v>
      </c>
      <c r="P295" s="13">
        <v>282</v>
      </c>
      <c r="Q295" s="22"/>
      <c r="R295" s="19"/>
      <c r="S295" s="22"/>
      <c r="T295" s="19"/>
      <c r="U295" s="24">
        <v>5.0516284451232796E-2</v>
      </c>
      <c r="V295" s="24">
        <f>(1+U296)^P296/(1+U295)^P295-1</f>
        <v>4.4520328256320019E-2</v>
      </c>
      <c r="W295" s="23"/>
      <c r="X295" s="35"/>
    </row>
    <row r="296" spans="15:24" ht="17.100000000000001" customHeight="1">
      <c r="O296" s="12">
        <f t="shared" si="4"/>
        <v>23.583333333333332</v>
      </c>
      <c r="P296" s="13">
        <v>283</v>
      </c>
      <c r="Q296" s="22"/>
      <c r="R296" s="19"/>
      <c r="S296" s="22"/>
      <c r="T296" s="19"/>
      <c r="U296" s="24">
        <v>5.0495036846574637E-2</v>
      </c>
      <c r="V296" s="24">
        <f>(1+U297)^P297/(1+U296)^P296-1</f>
        <v>4.4025669809715673E-2</v>
      </c>
      <c r="W296" s="23"/>
      <c r="X296" s="35"/>
    </row>
    <row r="297" spans="15:24" ht="17.100000000000001" customHeight="1">
      <c r="O297" s="12">
        <f t="shared" si="4"/>
        <v>23.666666666666668</v>
      </c>
      <c r="P297" s="13">
        <v>284</v>
      </c>
      <c r="Q297" s="22"/>
      <c r="R297" s="19"/>
      <c r="S297" s="22"/>
      <c r="T297" s="19"/>
      <c r="U297" s="24">
        <v>5.0472187201871854E-2</v>
      </c>
      <c r="V297" s="24">
        <f>(1+U298)^P298/(1+U297)^P297-1</f>
        <v>4.353487220798602E-2</v>
      </c>
      <c r="W297" s="23"/>
      <c r="X297" s="35"/>
    </row>
    <row r="298" spans="15:24" ht="17.100000000000001" customHeight="1">
      <c r="O298" s="12">
        <f t="shared" si="4"/>
        <v>23.75</v>
      </c>
      <c r="P298" s="13">
        <v>285</v>
      </c>
      <c r="Q298" s="22"/>
      <c r="R298" s="19"/>
      <c r="S298" s="22"/>
      <c r="T298" s="19"/>
      <c r="U298" s="24">
        <v>5.0447765298565983E-2</v>
      </c>
      <c r="V298" s="24">
        <f>(1+U299)^P299/(1+U298)^P298-1</f>
        <v>4.3047941783325827E-2</v>
      </c>
      <c r="W298" s="23"/>
      <c r="X298" s="35"/>
    </row>
    <row r="299" spans="15:24" ht="17.100000000000001" customHeight="1">
      <c r="O299" s="12">
        <f t="shared" si="4"/>
        <v>23.833333333333332</v>
      </c>
      <c r="P299" s="13">
        <v>286</v>
      </c>
      <c r="Q299" s="22"/>
      <c r="R299" s="19"/>
      <c r="S299" s="22"/>
      <c r="T299" s="19"/>
      <c r="U299" s="24">
        <v>5.0421800548134499E-2</v>
      </c>
      <c r="V299" s="24">
        <f>(1+U300)^P300/(1+U299)^P299-1</f>
        <v>4.2564883955161337E-2</v>
      </c>
      <c r="W299" s="23"/>
      <c r="X299" s="35"/>
    </row>
    <row r="300" spans="15:24" ht="17.100000000000001" customHeight="1">
      <c r="O300" s="12">
        <f t="shared" si="4"/>
        <v>23.916666666666668</v>
      </c>
      <c r="P300" s="13">
        <v>287</v>
      </c>
      <c r="Q300" s="22"/>
      <c r="R300" s="19"/>
      <c r="S300" s="22"/>
      <c r="T300" s="19"/>
      <c r="U300" s="24">
        <v>5.0394321994941649E-2</v>
      </c>
      <c r="V300" s="24">
        <f>(1+U301)^P301/(1+U300)^P300-1</f>
        <v>4.208570324287142E-2</v>
      </c>
      <c r="W300" s="23"/>
      <c r="X300" s="35"/>
    </row>
    <row r="301" spans="15:24" ht="17.100000000000001" customHeight="1">
      <c r="O301" s="12">
        <f t="shared" si="4"/>
        <v>24</v>
      </c>
      <c r="P301" s="13">
        <v>288</v>
      </c>
      <c r="Q301" s="22"/>
      <c r="R301" s="19"/>
      <c r="S301" s="22"/>
      <c r="T301" s="19"/>
      <c r="U301" s="24">
        <v>5.0365358319073739E-2</v>
      </c>
      <c r="V301" s="24">
        <f>(1+U302)^P302/(1+U301)^P301-1</f>
        <v>4.1610403278495633E-2</v>
      </c>
      <c r="W301" s="23"/>
      <c r="X301" s="35"/>
    </row>
    <row r="302" spans="15:24" ht="17.100000000000001" customHeight="1">
      <c r="O302" s="12">
        <f t="shared" si="4"/>
        <v>24.083333333333332</v>
      </c>
      <c r="P302" s="13">
        <v>289</v>
      </c>
      <c r="Q302" s="22"/>
      <c r="R302" s="19"/>
      <c r="S302" s="22"/>
      <c r="T302" s="19"/>
      <c r="U302" s="24">
        <v>5.0334937839158655E-2</v>
      </c>
      <c r="V302" s="24">
        <f>(1+U303)^P303/(1+U302)^P302-1</f>
        <v>4.1138986819583945E-2</v>
      </c>
      <c r="W302" s="23"/>
      <c r="X302" s="35"/>
    </row>
    <row r="303" spans="15:24" ht="17.100000000000001" customHeight="1">
      <c r="O303" s="12">
        <f t="shared" si="4"/>
        <v>24.166666666666668</v>
      </c>
      <c r="P303" s="13">
        <v>290</v>
      </c>
      <c r="Q303" s="22"/>
      <c r="R303" s="19"/>
      <c r="S303" s="22"/>
      <c r="T303" s="19"/>
      <c r="U303" s="24">
        <v>5.0303088515171845E-2</v>
      </c>
      <c r="V303" s="24">
        <f>(1+U304)^P304/(1+U303)^P303-1</f>
        <v>4.0671455762510744E-2</v>
      </c>
      <c r="W303" s="23"/>
      <c r="X303" s="35"/>
    </row>
    <row r="304" spans="15:24" ht="17.100000000000001" customHeight="1">
      <c r="O304" s="12">
        <f t="shared" si="4"/>
        <v>24.25</v>
      </c>
      <c r="P304" s="13">
        <v>291</v>
      </c>
      <c r="Q304" s="22"/>
      <c r="R304" s="19"/>
      <c r="S304" s="22"/>
      <c r="T304" s="19"/>
      <c r="U304" s="24">
        <v>5.0269837951228968E-2</v>
      </c>
      <c r="V304" s="24">
        <f>(1+U305)^P305/(1+U304)^P304-1</f>
        <v>4.0207811155843487E-2</v>
      </c>
      <c r="W304" s="23"/>
      <c r="X304" s="35"/>
    </row>
    <row r="305" spans="15:24" ht="17.100000000000001" customHeight="1">
      <c r="O305" s="12">
        <f t="shared" si="4"/>
        <v>24.333333333333332</v>
      </c>
      <c r="P305" s="13">
        <v>292</v>
      </c>
      <c r="Q305" s="22"/>
      <c r="R305" s="19"/>
      <c r="S305" s="22"/>
      <c r="T305" s="19"/>
      <c r="U305" s="24">
        <v>5.0235213398368117E-2</v>
      </c>
      <c r="V305" s="24">
        <f>(1+U306)^P306/(1+U305)^P305-1</f>
        <v>3.9748053214395673E-2</v>
      </c>
      <c r="W305" s="23"/>
      <c r="X305" s="35"/>
    </row>
    <row r="306" spans="15:24" ht="17.100000000000001" customHeight="1">
      <c r="O306" s="12">
        <f t="shared" si="4"/>
        <v>24.416666666666668</v>
      </c>
      <c r="P306" s="13">
        <v>293</v>
      </c>
      <c r="Q306" s="22"/>
      <c r="R306" s="19"/>
      <c r="S306" s="22"/>
      <c r="T306" s="19"/>
      <c r="U306" s="24">
        <v>5.0199241757323376E-2</v>
      </c>
      <c r="V306" s="24">
        <f>(1+U307)^P307/(1+U306)^P306-1</f>
        <v>3.9292181331912257E-2</v>
      </c>
      <c r="W306" s="23"/>
      <c r="X306" s="35"/>
    </row>
    <row r="307" spans="15:24" ht="17.100000000000001" customHeight="1">
      <c r="O307" s="12">
        <f t="shared" si="4"/>
        <v>24.5</v>
      </c>
      <c r="P307" s="13">
        <v>294</v>
      </c>
      <c r="Q307" s="22"/>
      <c r="R307" s="19"/>
      <c r="S307" s="22"/>
      <c r="T307" s="19"/>
      <c r="U307" s="24">
        <v>5.0161949581284393E-2</v>
      </c>
      <c r="V307" s="24">
        <f>(1+U308)^P308/(1+U307)^P307-1</f>
        <v>3.8840194096491754E-2</v>
      </c>
      <c r="W307" s="23"/>
      <c r="X307" s="35"/>
    </row>
    <row r="308" spans="15:24" ht="17.100000000000001" customHeight="1">
      <c r="O308" s="12">
        <f t="shared" si="4"/>
        <v>24.583333333333332</v>
      </c>
      <c r="P308" s="13">
        <v>295</v>
      </c>
      <c r="Q308" s="22"/>
      <c r="R308" s="19"/>
      <c r="S308" s="22"/>
      <c r="T308" s="19"/>
      <c r="U308" s="24">
        <v>5.0123363078654393E-2</v>
      </c>
      <c r="V308" s="24">
        <f>(1+U309)^P309/(1+U308)^P308-1</f>
        <v>3.8392089303854737E-2</v>
      </c>
      <c r="W308" s="23"/>
      <c r="X308" s="35"/>
    </row>
    <row r="309" spans="15:24" ht="17.100000000000001" customHeight="1">
      <c r="O309" s="12">
        <f t="shared" si="4"/>
        <v>24.666666666666668</v>
      </c>
      <c r="P309" s="13">
        <v>296</v>
      </c>
      <c r="Q309" s="22"/>
      <c r="R309" s="19"/>
      <c r="S309" s="22"/>
      <c r="T309" s="19"/>
      <c r="U309" s="24">
        <v>5.0083508115796649E-2</v>
      </c>
      <c r="V309" s="24">
        <f>(1+U310)^P310/(1+U309)^P309-1</f>
        <v>3.794786397162575E-2</v>
      </c>
      <c r="W309" s="23"/>
      <c r="X309" s="35"/>
    </row>
    <row r="310" spans="15:24" ht="17.100000000000001" customHeight="1">
      <c r="O310" s="12">
        <f t="shared" si="4"/>
        <v>24.75</v>
      </c>
      <c r="P310" s="13">
        <v>297</v>
      </c>
      <c r="Q310" s="22"/>
      <c r="R310" s="19"/>
      <c r="S310" s="22"/>
      <c r="T310" s="19"/>
      <c r="U310" s="24">
        <v>5.0042410219775846E-2</v>
      </c>
      <c r="V310" s="24">
        <f>(1+U311)^P311/(1+U310)^P310-1</f>
        <v>3.750751435405375E-2</v>
      </c>
      <c r="W310" s="23"/>
      <c r="X310" s="35"/>
    </row>
    <row r="311" spans="15:24" ht="17.100000000000001" customHeight="1">
      <c r="O311" s="12">
        <f t="shared" si="4"/>
        <v>24.833333333333332</v>
      </c>
      <c r="P311" s="13">
        <v>298</v>
      </c>
      <c r="Q311" s="22"/>
      <c r="R311" s="19"/>
      <c r="S311" s="22"/>
      <c r="T311" s="19"/>
      <c r="U311" s="24">
        <v>5.0000094581094556E-2</v>
      </c>
      <c r="V311" s="24">
        <f>(1+U312)^P312/(1+U311)^P311-1</f>
        <v>3.7071035956599552E-2</v>
      </c>
      <c r="W311" s="23"/>
      <c r="X311" s="35"/>
    </row>
    <row r="312" spans="15:24" ht="17.100000000000001" customHeight="1">
      <c r="O312" s="12">
        <f t="shared" si="4"/>
        <v>24.916666666666668</v>
      </c>
      <c r="P312" s="13">
        <v>299</v>
      </c>
      <c r="Q312" s="22"/>
      <c r="R312" s="19"/>
      <c r="S312" s="22"/>
      <c r="T312" s="19"/>
      <c r="U312" s="24">
        <v>4.9956586056424834E-2</v>
      </c>
      <c r="V312" s="24">
        <f>(1+U313)^P313/(1+U312)^P312-1</f>
        <v>3.6638423550121813E-2</v>
      </c>
      <c r="W312" s="23"/>
      <c r="X312" s="35"/>
    </row>
    <row r="313" spans="15:24" ht="17.100000000000001" customHeight="1">
      <c r="O313" s="12">
        <f t="shared" si="4"/>
        <v>25</v>
      </c>
      <c r="P313" s="13">
        <v>300</v>
      </c>
      <c r="Q313" s="22"/>
      <c r="R313" s="19"/>
      <c r="S313" s="22"/>
      <c r="T313" s="19"/>
      <c r="U313" s="24">
        <v>4.9911909171334479E-2</v>
      </c>
      <c r="V313" s="24">
        <f>(1+U314)^P314/(1+U313)^P313-1</f>
        <v>3.6209671185839065E-2</v>
      </c>
      <c r="W313" s="23"/>
      <c r="X313" s="35"/>
    </row>
    <row r="314" spans="15:24" ht="17.100000000000001" customHeight="1">
      <c r="O314" s="12">
        <f t="shared" si="4"/>
        <v>25.083333333333332</v>
      </c>
      <c r="P314" s="13">
        <v>301</v>
      </c>
      <c r="Q314" s="22"/>
      <c r="R314" s="19"/>
      <c r="S314" s="22"/>
      <c r="T314" s="19"/>
      <c r="U314" s="24">
        <v>4.986608812301041E-2</v>
      </c>
      <c r="V314" s="24">
        <f>(1+U315)^P315/(1+U314)^P314-1</f>
        <v>3.5784772210272875E-2</v>
      </c>
      <c r="W314" s="23"/>
      <c r="X314" s="35"/>
    </row>
    <row r="315" spans="15:24" ht="17.100000000000001" customHeight="1">
      <c r="O315" s="12">
        <f t="shared" si="4"/>
        <v>25.166666666666668</v>
      </c>
      <c r="P315" s="13">
        <v>302</v>
      </c>
      <c r="Q315" s="22"/>
      <c r="R315" s="19"/>
      <c r="S315" s="22"/>
      <c r="T315" s="19"/>
      <c r="U315" s="24">
        <v>4.9819146782979828E-2</v>
      </c>
      <c r="V315" s="24">
        <f>(1+U316)^P316/(1+U315)^P315-1</f>
        <v>3.5363719280002703E-2</v>
      </c>
      <c r="W315" s="23"/>
      <c r="X315" s="35"/>
    </row>
    <row r="316" spans="15:24" ht="17.100000000000001" customHeight="1">
      <c r="O316" s="12">
        <f t="shared" si="4"/>
        <v>25.25</v>
      </c>
      <c r="P316" s="13">
        <v>303</v>
      </c>
      <c r="Q316" s="22"/>
      <c r="R316" s="19"/>
      <c r="S316" s="22"/>
      <c r="T316" s="19"/>
      <c r="U316" s="24">
        <v>4.9771108699827593E-2</v>
      </c>
      <c r="V316" s="24">
        <f>(1+U317)^P317/(1+U316)^P316-1</f>
        <v>3.4946504376199172E-2</v>
      </c>
      <c r="W316" s="23"/>
      <c r="X316" s="35"/>
    </row>
    <row r="317" spans="15:24" ht="17.100000000000001" customHeight="1">
      <c r="O317" s="12">
        <f t="shared" si="4"/>
        <v>25.333333333333332</v>
      </c>
      <c r="P317" s="13">
        <v>304</v>
      </c>
      <c r="Q317" s="22"/>
      <c r="R317" s="19"/>
      <c r="S317" s="22"/>
      <c r="T317" s="19"/>
      <c r="U317" s="24">
        <v>4.972199710191072E-2</v>
      </c>
      <c r="V317" s="24">
        <f>(1+U318)^P318/(1+U317)^P317-1</f>
        <v>3.4533118820156972E-2</v>
      </c>
      <c r="W317" s="23"/>
      <c r="X317" s="35"/>
    </row>
    <row r="318" spans="15:24" ht="17.100000000000001" customHeight="1">
      <c r="O318" s="12">
        <f t="shared" si="4"/>
        <v>25.416666666666668</v>
      </c>
      <c r="P318" s="13">
        <v>305</v>
      </c>
      <c r="Q318" s="22"/>
      <c r="R318" s="19"/>
      <c r="S318" s="22"/>
      <c r="T318" s="19"/>
      <c r="U318" s="24">
        <v>4.9671834900072875E-2</v>
      </c>
      <c r="V318" s="24">
        <f>(1+U319)^P319/(1+U318)^P318-1</f>
        <v>3.4123553287968234E-2</v>
      </c>
      <c r="W318" s="23"/>
      <c r="X318" s="35"/>
    </row>
    <row r="319" spans="15:24" ht="17.100000000000001" customHeight="1">
      <c r="O319" s="12">
        <f t="shared" si="4"/>
        <v>25.5</v>
      </c>
      <c r="P319" s="13">
        <v>306</v>
      </c>
      <c r="Q319" s="22"/>
      <c r="R319" s="19"/>
      <c r="S319" s="22"/>
      <c r="T319" s="19"/>
      <c r="U319" s="24">
        <v>4.9620644690355986E-2</v>
      </c>
      <c r="V319" s="24">
        <f>(1+U320)^P320/(1+U319)^P319-1</f>
        <v>3.3717797825164375E-2</v>
      </c>
      <c r="W319" s="23"/>
      <c r="X319" s="35"/>
    </row>
    <row r="320" spans="15:24" ht="17.100000000000001" customHeight="1">
      <c r="O320" s="12">
        <f t="shared" si="4"/>
        <v>25.583333333333332</v>
      </c>
      <c r="P320" s="13">
        <v>307</v>
      </c>
      <c r="Q320" s="22"/>
      <c r="R320" s="19"/>
      <c r="S320" s="22"/>
      <c r="T320" s="19"/>
      <c r="U320" s="24">
        <v>4.9568448756709405E-2</v>
      </c>
      <c r="V320" s="24">
        <f>(1+U321)^P321/(1+U320)^P320-1</f>
        <v>3.3315841862276541E-2</v>
      </c>
      <c r="W320" s="23"/>
      <c r="X320" s="35"/>
    </row>
    <row r="321" spans="15:24" ht="17.100000000000001" customHeight="1">
      <c r="O321" s="12">
        <f t="shared" si="4"/>
        <v>25.666666666666668</v>
      </c>
      <c r="P321" s="13">
        <v>308</v>
      </c>
      <c r="Q321" s="22"/>
      <c r="R321" s="19"/>
      <c r="S321" s="22"/>
      <c r="T321" s="19"/>
      <c r="U321" s="24">
        <v>4.9515269073699741E-2</v>
      </c>
      <c r="V321" s="24">
        <f>(1+U322)^P322/(1+U321)^P321-1</f>
        <v>3.2917674229376193E-2</v>
      </c>
      <c r="W321" s="23"/>
      <c r="X321" s="35"/>
    </row>
    <row r="322" spans="15:24" ht="17.100000000000001" customHeight="1">
      <c r="O322" s="12">
        <f t="shared" si="4"/>
        <v>25.75</v>
      </c>
      <c r="P322" s="13">
        <v>309</v>
      </c>
      <c r="Q322" s="22"/>
      <c r="R322" s="19"/>
      <c r="S322" s="22"/>
      <c r="T322" s="19"/>
      <c r="U322" s="24">
        <v>4.9461127309218034E-2</v>
      </c>
      <c r="V322" s="24">
        <f>(1+U323)^P323/(1+U322)^P322-1</f>
        <v>3.2523283171447703E-2</v>
      </c>
      <c r="W322" s="23"/>
      <c r="X322" s="35"/>
    </row>
    <row r="323" spans="15:24" ht="17.100000000000001" customHeight="1">
      <c r="O323" s="12">
        <f t="shared" si="4"/>
        <v>25.833333333333332</v>
      </c>
      <c r="P323" s="13">
        <v>310</v>
      </c>
      <c r="Q323" s="22"/>
      <c r="R323" s="19"/>
      <c r="S323" s="22"/>
      <c r="T323" s="19"/>
      <c r="U323" s="24">
        <v>4.9406044827187579E-2</v>
      </c>
      <c r="V323" s="24">
        <f>(1+U324)^P324/(1+U323)^P323-1</f>
        <v>3.2132656362727996E-2</v>
      </c>
      <c r="W323" s="23"/>
      <c r="X323" s="35"/>
    </row>
    <row r="324" spans="15:24" ht="17.100000000000001" customHeight="1">
      <c r="O324" s="12">
        <f t="shared" si="4"/>
        <v>25.916666666666668</v>
      </c>
      <c r="P324" s="13">
        <v>311</v>
      </c>
      <c r="Q324" s="22"/>
      <c r="R324" s="19"/>
      <c r="S324" s="22"/>
      <c r="T324" s="19"/>
      <c r="U324" s="24">
        <v>4.9350042690268214E-2</v>
      </c>
      <c r="V324" s="24">
        <f>(1+U325)^P325/(1+U324)^P324-1</f>
        <v>3.1745780921971667E-2</v>
      </c>
      <c r="W324" s="23"/>
      <c r="X324" s="35"/>
    </row>
    <row r="325" spans="15:24" ht="17.100000000000001" customHeight="1">
      <c r="O325" s="12">
        <f t="shared" si="4"/>
        <v>26</v>
      </c>
      <c r="P325" s="13">
        <v>312</v>
      </c>
      <c r="Q325" s="22"/>
      <c r="R325" s="19"/>
      <c r="S325" s="22"/>
      <c r="T325" s="19"/>
      <c r="U325" s="24">
        <v>4.9293141662561935E-2</v>
      </c>
      <c r="V325" s="24">
        <f>(1+U326)^P326/(1+U325)^P325-1</f>
        <v>3.1362643427290449E-2</v>
      </c>
      <c r="W325" s="23"/>
      <c r="X325" s="35"/>
    </row>
    <row r="326" spans="15:24" ht="17.100000000000001" customHeight="1">
      <c r="O326" s="12">
        <f t="shared" si="4"/>
        <v>26.083333333333332</v>
      </c>
      <c r="P326" s="13">
        <v>313</v>
      </c>
      <c r="Q326" s="22"/>
      <c r="R326" s="19"/>
      <c r="S326" s="22"/>
      <c r="T326" s="19"/>
      <c r="U326" s="24">
        <v>4.923536221231628E-2</v>
      </c>
      <c r="V326" s="24">
        <f>(1+U327)^P327/(1+U326)^P326-1</f>
        <v>3.0983229930830136E-2</v>
      </c>
      <c r="W326" s="23"/>
      <c r="X326" s="35"/>
    </row>
    <row r="327" spans="15:24" ht="17.100000000000001" customHeight="1">
      <c r="O327" s="12">
        <f t="shared" si="4"/>
        <v>26.166666666666668</v>
      </c>
      <c r="P327" s="13">
        <v>314</v>
      </c>
      <c r="Q327" s="22"/>
      <c r="R327" s="19"/>
      <c r="S327" s="22"/>
      <c r="T327" s="19"/>
      <c r="U327" s="24">
        <v>4.9176724514627068E-2</v>
      </c>
      <c r="V327" s="24">
        <f>(1+U328)^P328/(1+U327)^P327-1</f>
        <v>3.0607525973141758E-2</v>
      </c>
      <c r="W327" s="23"/>
      <c r="X327" s="35"/>
    </row>
    <row r="328" spans="15:24" ht="17.100000000000001" customHeight="1">
      <c r="O328" s="12">
        <f t="shared" si="4"/>
        <v>26.25</v>
      </c>
      <c r="P328" s="13">
        <v>315</v>
      </c>
      <c r="Q328" s="22"/>
      <c r="R328" s="19"/>
      <c r="S328" s="22"/>
      <c r="T328" s="19"/>
      <c r="U328" s="24">
        <v>4.9117248454139117E-2</v>
      </c>
      <c r="V328" s="24">
        <f>(1+U329)^P329/(1+U328)^P328-1</f>
        <v>3.0235516598619228E-2</v>
      </c>
      <c r="W328" s="23"/>
      <c r="X328" s="35"/>
    </row>
    <row r="329" spans="15:24" ht="17.100000000000001" customHeight="1">
      <c r="O329" s="12">
        <f t="shared" si="4"/>
        <v>26.333333333333332</v>
      </c>
      <c r="P329" s="13">
        <v>316</v>
      </c>
      <c r="Q329" s="22"/>
      <c r="R329" s="19"/>
      <c r="S329" s="22"/>
      <c r="T329" s="19"/>
      <c r="U329" s="24">
        <v>4.9056953627747424E-2</v>
      </c>
      <c r="V329" s="24">
        <f>(1+U330)^P330/(1+U329)^P329-1</f>
        <v>2.986718636924901E-2</v>
      </c>
      <c r="W329" s="23"/>
      <c r="X329" s="35"/>
    </row>
    <row r="330" spans="15:24" ht="17.100000000000001" customHeight="1">
      <c r="O330" s="12">
        <f t="shared" si="4"/>
        <v>26.416666666666668</v>
      </c>
      <c r="P330" s="13">
        <v>317</v>
      </c>
      <c r="Q330" s="22"/>
      <c r="R330" s="19"/>
      <c r="S330" s="22"/>
      <c r="T330" s="19"/>
      <c r="U330" s="24">
        <v>4.8995859347295223E-2</v>
      </c>
      <c r="V330" s="24">
        <f>(1+U331)^P331/(1+U330)^P330-1</f>
        <v>2.9502519379427161E-2</v>
      </c>
      <c r="W330" s="23"/>
      <c r="X330" s="35"/>
    </row>
    <row r="331" spans="15:24" ht="17.100000000000001" customHeight="1">
      <c r="O331" s="12">
        <f t="shared" si="4"/>
        <v>26.5</v>
      </c>
      <c r="P331" s="13">
        <v>318</v>
      </c>
      <c r="Q331" s="22"/>
      <c r="R331" s="19"/>
      <c r="S331" s="22"/>
      <c r="T331" s="19"/>
      <c r="U331" s="24">
        <v>4.8933984642271167E-2</v>
      </c>
      <c r="V331" s="24">
        <f>(1+U332)^P332/(1+U331)^P331-1</f>
        <v>2.9141499270299631E-2</v>
      </c>
      <c r="W331" s="23"/>
      <c r="X331" s="35"/>
    </row>
    <row r="332" spans="15:24" ht="17.100000000000001" customHeight="1">
      <c r="O332" s="12">
        <f t="shared" si="4"/>
        <v>26.583333333333332</v>
      </c>
      <c r="P332" s="13">
        <v>319</v>
      </c>
      <c r="Q332" s="22"/>
      <c r="R332" s="19"/>
      <c r="S332" s="22"/>
      <c r="T332" s="19"/>
      <c r="U332" s="24">
        <v>4.8871348262504499E-2</v>
      </c>
      <c r="V332" s="24">
        <f>(1+U333)^P333/(1+U332)^P332-1</f>
        <v>2.8784109243811251E-2</v>
      </c>
      <c r="W332" s="23"/>
      <c r="X332" s="35"/>
    </row>
    <row r="333" spans="15:24" ht="17.100000000000001" customHeight="1">
      <c r="O333" s="12">
        <f t="shared" si="4"/>
        <v>26.666666666666668</v>
      </c>
      <c r="P333" s="13">
        <v>320</v>
      </c>
      <c r="Q333" s="22"/>
      <c r="R333" s="19"/>
      <c r="S333" s="22"/>
      <c r="T333" s="19"/>
      <c r="U333" s="24">
        <v>4.880796868085846E-2</v>
      </c>
      <c r="V333" s="24">
        <f>(1+U334)^P334/(1+U333)^P333-1</f>
        <v>2.8430332077162834E-2</v>
      </c>
      <c r="W333" s="23"/>
      <c r="X333" s="35"/>
    </row>
    <row r="334" spans="15:24" ht="17.100000000000001" customHeight="1">
      <c r="O334" s="12">
        <f t="shared" ref="O334:O397" si="5">P334/12</f>
        <v>26.75</v>
      </c>
      <c r="P334" s="13">
        <v>321</v>
      </c>
      <c r="Q334" s="22"/>
      <c r="R334" s="19"/>
      <c r="S334" s="22"/>
      <c r="T334" s="19"/>
      <c r="U334" s="24">
        <v>4.8743864095921019E-2</v>
      </c>
      <c r="V334" s="24">
        <f>(1+U335)^P335/(1+U334)^P334-1</f>
        <v>2.8080150136637894E-2</v>
      </c>
      <c r="W334" s="23"/>
      <c r="X334" s="35"/>
    </row>
    <row r="335" spans="15:24" ht="17.100000000000001" customHeight="1">
      <c r="O335" s="12">
        <f t="shared" si="5"/>
        <v>26.833333333333332</v>
      </c>
      <c r="P335" s="13">
        <v>322</v>
      </c>
      <c r="Q335" s="22"/>
      <c r="R335" s="19"/>
      <c r="S335" s="22"/>
      <c r="T335" s="19"/>
      <c r="U335" s="24">
        <v>4.8679052434693837E-2</v>
      </c>
      <c r="V335" s="24">
        <f>(1+U336)^P336/(1+U335)^P335-1</f>
        <v>2.7733545391228409E-2</v>
      </c>
      <c r="W335" s="23"/>
      <c r="X335" s="35"/>
    </row>
    <row r="336" spans="15:24" ht="17.100000000000001" customHeight="1">
      <c r="O336" s="12">
        <f t="shared" si="5"/>
        <v>26.916666666666668</v>
      </c>
      <c r="P336" s="13">
        <v>323</v>
      </c>
      <c r="Q336" s="22"/>
      <c r="R336" s="19"/>
      <c r="S336" s="22"/>
      <c r="T336" s="19"/>
      <c r="U336" s="24">
        <v>4.8613551355276785E-2</v>
      </c>
      <c r="V336" s="24">
        <f>(1+U337)^P337/(1+U336)^P336-1</f>
        <v>2.7390499427069281E-2</v>
      </c>
      <c r="W336" s="23"/>
      <c r="X336" s="35"/>
    </row>
    <row r="337" spans="15:24" ht="17.100000000000001" customHeight="1">
      <c r="O337" s="12">
        <f t="shared" si="5"/>
        <v>27</v>
      </c>
      <c r="P337" s="13">
        <v>324</v>
      </c>
      <c r="Q337" s="22"/>
      <c r="R337" s="19"/>
      <c r="S337" s="22"/>
      <c r="T337" s="19"/>
      <c r="U337" s="24">
        <v>4.854737824955202E-2</v>
      </c>
      <c r="V337" s="24">
        <f>(1+U338)^P338/(1+U337)^P337-1</f>
        <v>2.7050993460070671E-2</v>
      </c>
      <c r="W337" s="23"/>
      <c r="X337" s="35"/>
    </row>
    <row r="338" spans="15:24" ht="17.100000000000001" customHeight="1">
      <c r="O338" s="12">
        <f t="shared" si="5"/>
        <v>27.083333333333332</v>
      </c>
      <c r="P338" s="13">
        <v>325</v>
      </c>
      <c r="Q338" s="22"/>
      <c r="R338" s="19"/>
      <c r="S338" s="22"/>
      <c r="T338" s="19"/>
      <c r="U338" s="24">
        <v>4.8480550245860954E-2</v>
      </c>
      <c r="V338" s="24">
        <f>(1+U339)^P339/(1+U338)^P338-1</f>
        <v>2.6715008350403524E-2</v>
      </c>
      <c r="W338" s="23"/>
      <c r="X338" s="35"/>
    </row>
    <row r="339" spans="15:24" ht="17.100000000000001" customHeight="1">
      <c r="O339" s="12">
        <f t="shared" si="5"/>
        <v>27.166666666666668</v>
      </c>
      <c r="P339" s="13">
        <v>326</v>
      </c>
      <c r="Q339" s="22"/>
      <c r="R339" s="19"/>
      <c r="S339" s="22"/>
      <c r="T339" s="19"/>
      <c r="U339" s="24">
        <v>4.8413084211681445E-2</v>
      </c>
      <c r="V339" s="24">
        <f>(1+U340)^P340/(1+U339)^P339-1</f>
        <v>2.6382524615194747E-2</v>
      </c>
      <c r="W339" s="23"/>
      <c r="X339" s="35"/>
    </row>
    <row r="340" spans="15:24" ht="17.100000000000001" customHeight="1">
      <c r="O340" s="12">
        <f t="shared" si="5"/>
        <v>27.25</v>
      </c>
      <c r="P340" s="13">
        <v>327</v>
      </c>
      <c r="Q340" s="22"/>
      <c r="R340" s="19"/>
      <c r="S340" s="22"/>
      <c r="T340" s="19"/>
      <c r="U340" s="24">
        <v>4.8344996756298331E-2</v>
      </c>
      <c r="V340" s="24">
        <f>(1+U341)^P341/(1+U340)^P340-1</f>
        <v>2.6053522441881194E-2</v>
      </c>
      <c r="W340" s="23"/>
      <c r="X340" s="35"/>
    </row>
    <row r="341" spans="15:24" ht="17.100000000000001" customHeight="1">
      <c r="O341" s="12">
        <f t="shared" si="5"/>
        <v>27.333333333333332</v>
      </c>
      <c r="P341" s="13">
        <v>328</v>
      </c>
      <c r="Q341" s="22"/>
      <c r="R341" s="19"/>
      <c r="S341" s="22"/>
      <c r="T341" s="19"/>
      <c r="U341" s="24">
        <v>4.827630423347018E-2</v>
      </c>
      <c r="V341" s="24">
        <f>(1+U342)^P342/(1+U341)^P341-1</f>
        <v>2.5727981700881752E-2</v>
      </c>
      <c r="W341" s="23"/>
      <c r="X341" s="35"/>
    </row>
    <row r="342" spans="15:24" ht="17.100000000000001" customHeight="1">
      <c r="O342" s="12">
        <f t="shared" si="5"/>
        <v>27.416666666666668</v>
      </c>
      <c r="P342" s="13">
        <v>329</v>
      </c>
      <c r="Q342" s="22"/>
      <c r="R342" s="19"/>
      <c r="S342" s="22"/>
      <c r="T342" s="19"/>
      <c r="U342" s="24">
        <v>4.82070227440905E-2</v>
      </c>
      <c r="V342" s="24">
        <f>(1+U343)^P343/(1+U342)^P342-1</f>
        <v>2.5405881959369214E-2</v>
      </c>
      <c r="W342" s="23"/>
      <c r="X342" s="35"/>
    </row>
    <row r="343" spans="15:24" ht="17.100000000000001" customHeight="1">
      <c r="O343" s="12">
        <f t="shared" si="5"/>
        <v>27.5</v>
      </c>
      <c r="P343" s="13">
        <v>330</v>
      </c>
      <c r="Q343" s="22"/>
      <c r="R343" s="19"/>
      <c r="S343" s="22"/>
      <c r="T343" s="19"/>
      <c r="U343" s="24">
        <v>4.813716813884672E-2</v>
      </c>
      <c r="V343" s="24">
        <f>(1+U344)^P344/(1+U343)^P343-1</f>
        <v>2.5087202492431793E-2</v>
      </c>
      <c r="W343" s="23"/>
      <c r="X343" s="35"/>
    </row>
    <row r="344" spans="15:24" ht="17.100000000000001" customHeight="1">
      <c r="O344" s="12">
        <f t="shared" si="5"/>
        <v>27.583333333333332</v>
      </c>
      <c r="P344" s="13">
        <v>331</v>
      </c>
      <c r="Q344" s="22"/>
      <c r="R344" s="19"/>
      <c r="S344" s="22"/>
      <c r="T344" s="19"/>
      <c r="U344" s="24">
        <v>4.8066756020868517E-2</v>
      </c>
      <c r="V344" s="24">
        <f>(1+U345)^P345/(1+U344)^P344-1</f>
        <v>2.4771922297413207E-2</v>
      </c>
      <c r="W344" s="23"/>
      <c r="X344" s="35"/>
    </row>
    <row r="345" spans="15:24" ht="17.100000000000001" customHeight="1">
      <c r="O345" s="12">
        <f t="shared" si="5"/>
        <v>27.666666666666668</v>
      </c>
      <c r="P345" s="13">
        <v>332</v>
      </c>
      <c r="Q345" s="22"/>
      <c r="R345" s="19"/>
      <c r="S345" s="22"/>
      <c r="T345" s="19"/>
      <c r="U345" s="24">
        <v>4.7995801748376143E-2</v>
      </c>
      <c r="V345" s="24">
        <f>(1+U346)^P346/(1+U345)^P345-1</f>
        <v>2.4460020104593472E-2</v>
      </c>
      <c r="W345" s="23"/>
      <c r="X345" s="35"/>
    </row>
    <row r="346" spans="15:24" ht="17.100000000000001" customHeight="1">
      <c r="O346" s="12">
        <f t="shared" si="5"/>
        <v>27.75</v>
      </c>
      <c r="P346" s="13">
        <v>333</v>
      </c>
      <c r="Q346" s="22"/>
      <c r="R346" s="19"/>
      <c r="S346" s="22"/>
      <c r="T346" s="19"/>
      <c r="U346" s="24">
        <v>4.7924320437317647E-2</v>
      </c>
      <c r="V346" s="24">
        <f>(1+U347)^P347/(1+U346)^P346-1</f>
        <v>2.4151474390395E-2</v>
      </c>
      <c r="W346" s="23"/>
      <c r="X346" s="35"/>
    </row>
    <row r="347" spans="15:24" ht="17.100000000000001" customHeight="1">
      <c r="O347" s="12">
        <f t="shared" si="5"/>
        <v>27.833333333333332</v>
      </c>
      <c r="P347" s="13">
        <v>334</v>
      </c>
      <c r="Q347" s="22"/>
      <c r="R347" s="19"/>
      <c r="S347" s="22"/>
      <c r="T347" s="19"/>
      <c r="U347" s="24">
        <v>4.7852326964002101E-2</v>
      </c>
      <c r="V347" s="24">
        <f>(1+U348)^P348/(1+U347)^P347-1</f>
        <v>2.384626338887208E-2</v>
      </c>
      <c r="W347" s="23"/>
      <c r="X347" s="35"/>
    </row>
    <row r="348" spans="15:24" ht="17.100000000000001" customHeight="1">
      <c r="O348" s="12">
        <f t="shared" si="5"/>
        <v>27.916666666666668</v>
      </c>
      <c r="P348" s="13">
        <v>335</v>
      </c>
      <c r="Q348" s="22"/>
      <c r="R348" s="19"/>
      <c r="S348" s="22"/>
      <c r="T348" s="19"/>
      <c r="U348" s="24">
        <v>4.7779835967724615E-2</v>
      </c>
      <c r="V348" s="24">
        <f>(1+U349)^P349/(1+U348)^P348-1</f>
        <v>2.3544365103622011E-2</v>
      </c>
      <c r="W348" s="23"/>
      <c r="X348" s="35"/>
    </row>
    <row r="349" spans="15:24" ht="17.100000000000001" customHeight="1">
      <c r="O349" s="12">
        <f t="shared" si="5"/>
        <v>28</v>
      </c>
      <c r="P349" s="13">
        <v>336</v>
      </c>
      <c r="Q349" s="22"/>
      <c r="R349" s="19"/>
      <c r="S349" s="22"/>
      <c r="T349" s="19"/>
      <c r="U349" s="24">
        <v>4.7706861853384464E-2</v>
      </c>
      <c r="V349" s="24">
        <f>(1+U350)^P350/(1+U349)^P349-1</f>
        <v>2.3245757319446669E-2</v>
      </c>
      <c r="W349" s="23"/>
      <c r="X349" s="35"/>
    </row>
    <row r="350" spans="15:24" ht="17.100000000000001" customHeight="1">
      <c r="O350" s="12">
        <f t="shared" si="5"/>
        <v>28.083333333333332</v>
      </c>
      <c r="P350" s="13">
        <v>337</v>
      </c>
      <c r="Q350" s="22"/>
      <c r="R350" s="19"/>
      <c r="S350" s="22"/>
      <c r="T350" s="19"/>
      <c r="U350" s="24">
        <v>4.7633418794094773E-2</v>
      </c>
      <c r="V350" s="24">
        <f>(1+U351)^P351/(1+U350)^P350-1</f>
        <v>2.2950417613621044E-2</v>
      </c>
      <c r="W350" s="23"/>
      <c r="X350" s="35"/>
    </row>
    <row r="351" spans="15:24" ht="17.100000000000001" customHeight="1">
      <c r="O351" s="12">
        <f t="shared" si="5"/>
        <v>28.166666666666668</v>
      </c>
      <c r="P351" s="13">
        <v>338</v>
      </c>
      <c r="Q351" s="22"/>
      <c r="R351" s="19"/>
      <c r="S351" s="22"/>
      <c r="T351" s="19"/>
      <c r="U351" s="24">
        <v>4.7559520733784444E-2</v>
      </c>
      <c r="V351" s="24">
        <f>(1+U352)^P352/(1+U351)^P351-1</f>
        <v>2.265832336760254E-2</v>
      </c>
      <c r="W351" s="23"/>
      <c r="X351" s="35"/>
    </row>
    <row r="352" spans="15:24" ht="17.100000000000001" customHeight="1">
      <c r="O352" s="12">
        <f t="shared" si="5"/>
        <v>28.25</v>
      </c>
      <c r="P352" s="13">
        <v>339</v>
      </c>
      <c r="Q352" s="22"/>
      <c r="R352" s="19"/>
      <c r="S352" s="22"/>
      <c r="T352" s="19"/>
      <c r="U352" s="24">
        <v>4.7485181389792075E-2</v>
      </c>
      <c r="V352" s="24">
        <f>(1+U353)^P353/(1+U352)^P352-1</f>
        <v>2.2369451777327409E-2</v>
      </c>
      <c r="W352" s="23"/>
      <c r="X352" s="35"/>
    </row>
    <row r="353" spans="15:24" ht="17.100000000000001" customHeight="1">
      <c r="O353" s="12">
        <f t="shared" si="5"/>
        <v>28.333333333333332</v>
      </c>
      <c r="P353" s="13">
        <v>340</v>
      </c>
      <c r="Q353" s="22"/>
      <c r="R353" s="19"/>
      <c r="S353" s="22"/>
      <c r="T353" s="19"/>
      <c r="U353" s="24">
        <v>4.7410414255449229E-2</v>
      </c>
      <c r="V353" s="24">
        <f>(1+U354)^P354/(1+U353)^P353-1</f>
        <v>2.2083779864445097E-2</v>
      </c>
      <c r="W353" s="23"/>
      <c r="X353" s="35"/>
    </row>
    <row r="354" spans="15:24" ht="17.100000000000001" customHeight="1">
      <c r="O354" s="12">
        <f t="shared" si="5"/>
        <v>28.416666666666668</v>
      </c>
      <c r="P354" s="13">
        <v>341</v>
      </c>
      <c r="Q354" s="22"/>
      <c r="R354" s="19"/>
      <c r="S354" s="22"/>
      <c r="T354" s="19"/>
      <c r="U354" s="24">
        <v>4.7335232602654598E-2</v>
      </c>
      <c r="V354" s="24">
        <f>(1+U355)^P355/(1+U354)^P354-1</f>
        <v>2.180128448708385E-2</v>
      </c>
      <c r="W354" s="23"/>
      <c r="X354" s="35"/>
    </row>
    <row r="355" spans="15:24" ht="17.100000000000001" customHeight="1">
      <c r="O355" s="12">
        <f t="shared" si="5"/>
        <v>28.5</v>
      </c>
      <c r="P355" s="13">
        <v>342</v>
      </c>
      <c r="Q355" s="22"/>
      <c r="R355" s="19"/>
      <c r="S355" s="22"/>
      <c r="T355" s="19"/>
      <c r="U355" s="24">
        <v>4.7259649484440169E-2</v>
      </c>
      <c r="V355" s="24">
        <f>(1+U356)^P356/(1+U355)^P355-1</f>
        <v>2.1521942350347656E-2</v>
      </c>
      <c r="W355" s="23"/>
      <c r="X355" s="35"/>
    </row>
    <row r="356" spans="15:24" ht="17.100000000000001" customHeight="1">
      <c r="O356" s="12">
        <f t="shared" si="5"/>
        <v>28.583333333333332</v>
      </c>
      <c r="P356" s="13">
        <v>343</v>
      </c>
      <c r="Q356" s="22"/>
      <c r="R356" s="19"/>
      <c r="S356" s="22"/>
      <c r="T356" s="19"/>
      <c r="U356" s="24">
        <v>4.7183677737525409E-2</v>
      </c>
      <c r="V356" s="24">
        <f>(1+U357)^P357/(1+U356)^P356-1</f>
        <v>2.1245730016042241E-2</v>
      </c>
      <c r="W356" s="23"/>
      <c r="X356" s="35"/>
    </row>
    <row r="357" spans="15:24" ht="17.100000000000001" customHeight="1">
      <c r="O357" s="12">
        <f t="shared" si="5"/>
        <v>28.666666666666668</v>
      </c>
      <c r="P357" s="13">
        <v>344</v>
      </c>
      <c r="Q357" s="22"/>
      <c r="R357" s="19"/>
      <c r="S357" s="22"/>
      <c r="T357" s="19"/>
      <c r="U357" s="24">
        <v>4.7107329984860558E-2</v>
      </c>
      <c r="V357" s="24">
        <f>(1+U358)^P358/(1+U357)^P357-1</f>
        <v>2.0972623913404487E-2</v>
      </c>
      <c r="W357" s="23"/>
      <c r="X357" s="35"/>
    </row>
    <row r="358" spans="15:24" ht="17.100000000000001" customHeight="1">
      <c r="O358" s="12">
        <f t="shared" si="5"/>
        <v>28.75</v>
      </c>
      <c r="P358" s="13">
        <v>345</v>
      </c>
      <c r="Q358" s="22"/>
      <c r="R358" s="19"/>
      <c r="S358" s="22"/>
      <c r="T358" s="19"/>
      <c r="U358" s="24">
        <v>4.7030618638161048E-2</v>
      </c>
      <c r="V358" s="24">
        <f>(1+U359)^P359/(1+U358)^P358-1</f>
        <v>2.0702600348549316E-2</v>
      </c>
      <c r="W358" s="23"/>
      <c r="X358" s="35"/>
    </row>
    <row r="359" spans="15:24" ht="17.100000000000001" customHeight="1">
      <c r="O359" s="12">
        <f t="shared" si="5"/>
        <v>28.833333333333332</v>
      </c>
      <c r="P359" s="13">
        <v>346</v>
      </c>
      <c r="Q359" s="22"/>
      <c r="R359" s="19"/>
      <c r="S359" s="22"/>
      <c r="T359" s="19"/>
      <c r="U359" s="24">
        <v>4.6953555900428157E-2</v>
      </c>
      <c r="V359" s="24">
        <f>(1+U360)^P360/(1+U359)^P359-1</f>
        <v>2.0435635514463701E-2</v>
      </c>
      <c r="W359" s="23"/>
      <c r="X359" s="35"/>
    </row>
    <row r="360" spans="15:24" ht="17.100000000000001" customHeight="1">
      <c r="O360" s="12">
        <f t="shared" si="5"/>
        <v>28.916666666666668</v>
      </c>
      <c r="P360" s="13">
        <v>347</v>
      </c>
      <c r="Q360" s="22"/>
      <c r="R360" s="19"/>
      <c r="S360" s="22"/>
      <c r="T360" s="19"/>
      <c r="U360" s="24">
        <v>4.6876153768459883E-2</v>
      </c>
      <c r="V360" s="24">
        <f>(1+U361)^P361/(1+U360)^P360-1</f>
        <v>2.0171705500044546E-2</v>
      </c>
      <c r="W360" s="23"/>
      <c r="X360" s="35"/>
    </row>
    <row r="361" spans="15:24" ht="17.100000000000001" customHeight="1">
      <c r="O361" s="12">
        <f t="shared" si="5"/>
        <v>29</v>
      </c>
      <c r="P361" s="13">
        <v>348</v>
      </c>
      <c r="Q361" s="22"/>
      <c r="R361" s="19"/>
      <c r="S361" s="22"/>
      <c r="T361" s="19"/>
      <c r="U361" s="24">
        <v>4.6798424035348729E-2</v>
      </c>
      <c r="V361" s="24">
        <f>(1+U362)^P362/(1+U361)^P361-1</f>
        <v>1.9910786299883521E-2</v>
      </c>
      <c r="W361" s="23"/>
      <c r="X361" s="35"/>
    </row>
    <row r="362" spans="15:24" ht="17.100000000000001" customHeight="1">
      <c r="O362" s="12">
        <f t="shared" si="5"/>
        <v>29.083333333333332</v>
      </c>
      <c r="P362" s="13">
        <v>349</v>
      </c>
      <c r="Q362" s="22"/>
      <c r="R362" s="19"/>
      <c r="S362" s="22"/>
      <c r="T362" s="19"/>
      <c r="U362" s="24">
        <v>4.6720378292967046E-2</v>
      </c>
      <c r="V362" s="24">
        <f>(1+U363)^P363/(1+U362)^P362-1</f>
        <v>1.9652853822876626E-2</v>
      </c>
      <c r="W362" s="23"/>
      <c r="X362" s="35"/>
    </row>
    <row r="363" spans="15:24" ht="17.100000000000001" customHeight="1">
      <c r="O363" s="12">
        <f t="shared" si="5"/>
        <v>29.166666666666668</v>
      </c>
      <c r="P363" s="13">
        <v>350</v>
      </c>
      <c r="Q363" s="22"/>
      <c r="R363" s="19"/>
      <c r="S363" s="22"/>
      <c r="T363" s="19"/>
      <c r="U363" s="24">
        <v>4.6642027934440389E-2</v>
      </c>
      <c r="V363" s="24">
        <f>(1+U364)^P364/(1+U363)^P363-1</f>
        <v>1.9397883901481672E-2</v>
      </c>
      <c r="W363" s="23"/>
      <c r="X363" s="35"/>
    </row>
    <row r="364" spans="15:24" ht="17.100000000000001" customHeight="1">
      <c r="O364" s="12">
        <f t="shared" si="5"/>
        <v>29.25</v>
      </c>
      <c r="P364" s="13">
        <v>351</v>
      </c>
      <c r="Q364" s="22"/>
      <c r="R364" s="19"/>
      <c r="S364" s="22"/>
      <c r="T364" s="19"/>
      <c r="U364" s="24">
        <v>4.6563384156606658E-2</v>
      </c>
      <c r="V364" s="24">
        <f>(1+U365)^P365/(1+U364)^P364-1</f>
        <v>1.9145852300203492E-2</v>
      </c>
      <c r="W364" s="23"/>
      <c r="X364" s="35"/>
    </row>
    <row r="365" spans="15:24" ht="17.100000000000001" customHeight="1">
      <c r="O365" s="12">
        <f t="shared" si="5"/>
        <v>29.333333333333332</v>
      </c>
      <c r="P365" s="13">
        <v>352</v>
      </c>
      <c r="Q365" s="22"/>
      <c r="R365" s="19"/>
      <c r="S365" s="22"/>
      <c r="T365" s="19"/>
      <c r="U365" s="24">
        <v>4.6484457962462811E-2</v>
      </c>
      <c r="V365" s="24">
        <f>(1+U366)^P366/(1+U365)^P365-1</f>
        <v>1.8896734724330289E-2</v>
      </c>
      <c r="W365" s="23"/>
      <c r="X365" s="35"/>
    </row>
    <row r="366" spans="15:24" ht="17.100000000000001" customHeight="1">
      <c r="O366" s="12">
        <f t="shared" si="5"/>
        <v>29.416666666666668</v>
      </c>
      <c r="P366" s="13">
        <v>353</v>
      </c>
      <c r="Q366" s="22"/>
      <c r="R366" s="19"/>
      <c r="S366" s="22"/>
      <c r="T366" s="19"/>
      <c r="U366" s="24">
        <v>4.640526016359825E-2</v>
      </c>
      <c r="V366" s="24">
        <f>(1+U367)^P367/(1+U366)^P366-1</f>
        <v>1.8650506827633695E-2</v>
      </c>
      <c r="W366" s="23"/>
      <c r="X366" s="35"/>
    </row>
    <row r="367" spans="15:24" ht="17.100000000000001" customHeight="1">
      <c r="O367" s="12">
        <f t="shared" si="5"/>
        <v>29.5</v>
      </c>
      <c r="P367" s="13">
        <v>354</v>
      </c>
      <c r="Q367" s="22"/>
      <c r="R367" s="19"/>
      <c r="S367" s="22"/>
      <c r="T367" s="19"/>
      <c r="U367" s="24">
        <v>4.6325801382611331E-2</v>
      </c>
      <c r="V367" s="24">
        <f>(1+U368)^P368/(1+U367)^P367-1</f>
        <v>1.8407144221300298E-2</v>
      </c>
      <c r="W367" s="23"/>
      <c r="X367" s="35"/>
    </row>
    <row r="368" spans="15:24" ht="17.100000000000001" customHeight="1">
      <c r="O368" s="12">
        <f t="shared" si="5"/>
        <v>29.583333333333332</v>
      </c>
      <c r="P368" s="13">
        <v>355</v>
      </c>
      <c r="Q368" s="22"/>
      <c r="R368" s="19"/>
      <c r="S368" s="22"/>
      <c r="T368" s="19"/>
      <c r="U368" s="24">
        <v>4.6246092055515442E-2</v>
      </c>
      <c r="V368" s="24">
        <f>(1+U369)^P369/(1+U368)^P368-1</f>
        <v>1.8166622481037953E-2</v>
      </c>
      <c r="W368" s="23"/>
      <c r="X368" s="35"/>
    </row>
    <row r="369" spans="15:24" ht="17.100000000000001" customHeight="1">
      <c r="O369" s="12">
        <f t="shared" si="5"/>
        <v>29.666666666666668</v>
      </c>
      <c r="P369" s="13">
        <v>356</v>
      </c>
      <c r="Q369" s="22"/>
      <c r="R369" s="19"/>
      <c r="S369" s="22"/>
      <c r="T369" s="19"/>
      <c r="U369" s="24">
        <v>4.6166142434126867E-2</v>
      </c>
      <c r="V369" s="24">
        <f>(1+U370)^P370/(1+U369)^P369-1</f>
        <v>1.7928917155830337E-2</v>
      </c>
      <c r="W369" s="23"/>
      <c r="X369" s="35"/>
    </row>
    <row r="370" spans="15:24" ht="17.100000000000001" customHeight="1">
      <c r="O370" s="12">
        <f t="shared" si="5"/>
        <v>29.75</v>
      </c>
      <c r="P370" s="13">
        <v>357</v>
      </c>
      <c r="Q370" s="22"/>
      <c r="R370" s="19"/>
      <c r="S370" s="22"/>
      <c r="T370" s="19"/>
      <c r="U370" s="24">
        <v>4.6085962588441109E-2</v>
      </c>
      <c r="V370" s="24">
        <f>(1+U371)^P371/(1+U370)^P370-1</f>
        <v>1.7694003773967903E-2</v>
      </c>
      <c r="W370" s="23"/>
      <c r="X370" s="35"/>
    </row>
    <row r="371" spans="15:24" ht="17.100000000000001" customHeight="1">
      <c r="O371" s="12">
        <f t="shared" si="5"/>
        <v>29.833333333333332</v>
      </c>
      <c r="P371" s="13">
        <v>358</v>
      </c>
      <c r="Q371" s="22"/>
      <c r="R371" s="19"/>
      <c r="S371" s="22"/>
      <c r="T371" s="19"/>
      <c r="U371" s="24">
        <v>4.6005562408989897E-2</v>
      </c>
      <c r="V371" s="24">
        <f>(1+U372)^P372/(1+U371)^P371-1</f>
        <v>1.7461857851773344E-2</v>
      </c>
      <c r="W371" s="23"/>
      <c r="X371" s="35"/>
    </row>
    <row r="372" spans="15:24" ht="17.100000000000001" customHeight="1">
      <c r="O372" s="12">
        <f t="shared" si="5"/>
        <v>29.916666666666668</v>
      </c>
      <c r="P372" s="13">
        <v>359</v>
      </c>
      <c r="Q372" s="22"/>
      <c r="R372" s="19"/>
      <c r="S372" s="22"/>
      <c r="T372" s="19"/>
      <c r="U372" s="24">
        <v>4.5924951609186193E-2</v>
      </c>
      <c r="V372" s="24">
        <f>(1+U373)^P373/(1+U372)^P372-1</f>
        <v>1.7232454900305783E-2</v>
      </c>
      <c r="W372" s="23"/>
      <c r="X372" s="35"/>
    </row>
    <row r="373" spans="15:24" ht="17.100000000000001" customHeight="1">
      <c r="O373" s="12">
        <f t="shared" si="5"/>
        <v>30</v>
      </c>
      <c r="P373" s="13">
        <v>360</v>
      </c>
      <c r="Q373" s="22"/>
      <c r="R373" s="19"/>
      <c r="S373" s="22"/>
      <c r="T373" s="19"/>
      <c r="U373" s="24">
        <v>4.5844139727652111E-2</v>
      </c>
      <c r="V373" s="24">
        <f>(1+U374)^P374/(1+U373)^P373-1</f>
        <v>1.7005770431687273E-2</v>
      </c>
      <c r="W373" s="23"/>
      <c r="X373" s="35"/>
    </row>
    <row r="374" spans="15:24" ht="17.100000000000001" customHeight="1">
      <c r="O374" s="12">
        <f t="shared" si="5"/>
        <v>30.083333333333332</v>
      </c>
      <c r="P374" s="13">
        <v>361</v>
      </c>
      <c r="Q374" s="22"/>
      <c r="R374" s="19"/>
      <c r="S374" s="22"/>
      <c r="T374" s="19"/>
      <c r="U374" s="24">
        <v>4.5763136130529736E-2</v>
      </c>
      <c r="V374" s="24">
        <f>(1+U375)^P375/(1+U374)^P374-1</f>
        <v>1.6781779967359967E-2</v>
      </c>
      <c r="W374" s="23"/>
      <c r="X374" s="35"/>
    </row>
    <row r="375" spans="15:24" ht="17.100000000000001" customHeight="1">
      <c r="O375" s="12">
        <f t="shared" si="5"/>
        <v>30.166666666666668</v>
      </c>
      <c r="P375" s="13">
        <v>362</v>
      </c>
      <c r="Q375" s="22"/>
      <c r="R375" s="19"/>
      <c r="S375" s="22"/>
      <c r="T375" s="19"/>
      <c r="U375" s="24">
        <v>4.5681950013778394E-2</v>
      </c>
      <c r="V375" s="24">
        <f>(1+U376)^P376/(1+U375)^P375-1</f>
        <v>1.6560459042573417E-2</v>
      </c>
      <c r="W375" s="23"/>
      <c r="X375" s="35"/>
    </row>
    <row r="376" spans="15:24" ht="17.100000000000001" customHeight="1">
      <c r="O376" s="12">
        <f t="shared" si="5"/>
        <v>30.25</v>
      </c>
      <c r="P376" s="13">
        <v>363</v>
      </c>
      <c r="Q376" s="22"/>
      <c r="R376" s="19"/>
      <c r="S376" s="22"/>
      <c r="T376" s="19"/>
      <c r="U376" s="24">
        <v>4.5600590405450836E-2</v>
      </c>
      <c r="V376" s="24">
        <f>(1+U377)^P377/(1+U376)^P376-1</f>
        <v>1.6341783214979921E-2</v>
      </c>
      <c r="W376" s="23"/>
      <c r="X376" s="35"/>
    </row>
    <row r="377" spans="15:24" ht="17.100000000000001" customHeight="1">
      <c r="O377" s="12">
        <f t="shared" si="5"/>
        <v>30.333333333333332</v>
      </c>
      <c r="P377" s="13">
        <v>364</v>
      </c>
      <c r="Q377" s="22"/>
      <c r="R377" s="19"/>
      <c r="S377" s="22"/>
      <c r="T377" s="19"/>
      <c r="U377" s="24">
        <v>4.5519066167958311E-2</v>
      </c>
      <c r="V377" s="24">
        <f>(1+U378)^P378/(1+U377)^P377-1</f>
        <v>1.6125728069469769E-2</v>
      </c>
      <c r="W377" s="23"/>
      <c r="X377" s="35"/>
    </row>
    <row r="378" spans="15:24" ht="17.100000000000001" customHeight="1">
      <c r="O378" s="12">
        <f t="shared" si="5"/>
        <v>30.416666666666668</v>
      </c>
      <c r="P378" s="13">
        <v>365</v>
      </c>
      <c r="Q378" s="22"/>
      <c r="R378" s="19"/>
      <c r="S378" s="22"/>
      <c r="T378" s="19"/>
      <c r="U378" s="24">
        <v>4.5437386000314106E-2</v>
      </c>
      <c r="V378" s="24">
        <f>(1+U379)^P379/(1+U378)^P378-1</f>
        <v>1.5912269224649167E-2</v>
      </c>
      <c r="W378" s="23"/>
      <c r="X378" s="35"/>
    </row>
    <row r="379" spans="15:24" ht="17.100000000000001" customHeight="1">
      <c r="O379" s="12">
        <f t="shared" si="5"/>
        <v>30.5</v>
      </c>
      <c r="P379" s="13">
        <v>366</v>
      </c>
      <c r="Q379" s="22"/>
      <c r="R379" s="19"/>
      <c r="S379" s="22"/>
      <c r="T379" s="19"/>
      <c r="U379" s="24">
        <v>4.5355558440361987E-2</v>
      </c>
      <c r="V379" s="24">
        <f>(1+U380)^P380/(1+U379)^P379-1</f>
        <v>1.5701382338651593E-2</v>
      </c>
      <c r="W379" s="23"/>
      <c r="X379" s="35"/>
    </row>
    <row r="380" spans="15:24" ht="17.100000000000001" customHeight="1">
      <c r="O380" s="12">
        <f t="shared" si="5"/>
        <v>30.583333333333332</v>
      </c>
      <c r="P380" s="13">
        <v>367</v>
      </c>
      <c r="Q380" s="22"/>
      <c r="R380" s="19"/>
      <c r="S380" s="22"/>
      <c r="T380" s="19"/>
      <c r="U380" s="24">
        <v>4.5273591866986429E-2</v>
      </c>
      <c r="V380" s="24">
        <f>(1+U381)^P381/(1+U380)^P380-1</f>
        <v>1.5493043115273997E-2</v>
      </c>
      <c r="W380" s="23"/>
      <c r="X380" s="35"/>
    </row>
    <row r="381" spans="15:24" ht="17.100000000000001" customHeight="1">
      <c r="O381" s="12">
        <f t="shared" si="5"/>
        <v>30.666666666666668</v>
      </c>
      <c r="P381" s="13">
        <v>368</v>
      </c>
      <c r="Q381" s="22"/>
      <c r="R381" s="19"/>
      <c r="S381" s="22"/>
      <c r="T381" s="19"/>
      <c r="U381" s="24">
        <v>4.5191494502306861E-2</v>
      </c>
      <c r="V381" s="24">
        <f>(1+U382)^P382/(1+U381)^P381-1</f>
        <v>1.5287227308700801E-2</v>
      </c>
      <c r="W381" s="23"/>
      <c r="X381" s="35"/>
    </row>
    <row r="382" spans="15:24" ht="17.100000000000001" customHeight="1">
      <c r="O382" s="12">
        <f t="shared" si="5"/>
        <v>30.75</v>
      </c>
      <c r="P382" s="13">
        <v>369</v>
      </c>
      <c r="Q382" s="22"/>
      <c r="R382" s="19"/>
      <c r="S382" s="22"/>
      <c r="T382" s="19"/>
      <c r="U382" s="24">
        <v>4.5109274413851486E-2</v>
      </c>
      <c r="V382" s="24">
        <f>(1+U383)^P383/(1+U382)^P382-1</f>
        <v>1.5083910729361882E-2</v>
      </c>
      <c r="W382" s="23"/>
      <c r="X382" s="35"/>
    </row>
    <row r="383" spans="15:24" ht="17.100000000000001" customHeight="1">
      <c r="O383" s="12">
        <f t="shared" si="5"/>
        <v>30.833333333333332</v>
      </c>
      <c r="P383" s="13">
        <v>370</v>
      </c>
      <c r="Q383" s="22"/>
      <c r="R383" s="19"/>
      <c r="S383" s="22"/>
      <c r="T383" s="19"/>
      <c r="U383" s="24">
        <v>4.5026939516714659E-2</v>
      </c>
      <c r="V383" s="24">
        <f>(1+U384)^P384/(1+U383)^P383-1</f>
        <v>1.488306924992866E-2</v>
      </c>
      <c r="W383" s="23"/>
      <c r="X383" s="35"/>
    </row>
    <row r="384" spans="15:24" ht="17.100000000000001" customHeight="1">
      <c r="O384" s="12">
        <f t="shared" si="5"/>
        <v>30.916666666666668</v>
      </c>
      <c r="P384" s="13">
        <v>371</v>
      </c>
      <c r="Q384" s="22"/>
      <c r="R384" s="19"/>
      <c r="S384" s="22"/>
      <c r="T384" s="19"/>
      <c r="U384" s="24">
        <v>4.4944497575698739E-2</v>
      </c>
      <c r="V384" s="24">
        <f>(1+U385)^P385/(1+U384)^P384-1</f>
        <v>1.4684678808005058E-2</v>
      </c>
      <c r="W384" s="23"/>
      <c r="X384" s="35"/>
    </row>
    <row r="385" spans="15:24" ht="17.100000000000001" customHeight="1">
      <c r="O385" s="12">
        <f t="shared" si="5"/>
        <v>31</v>
      </c>
      <c r="P385" s="13">
        <v>372</v>
      </c>
      <c r="Q385" s="22"/>
      <c r="R385" s="19"/>
      <c r="S385" s="22"/>
      <c r="T385" s="19"/>
      <c r="U385" s="24">
        <v>4.4861956207430609E-2</v>
      </c>
      <c r="V385" s="24">
        <f>(1+U386)^P386/(1+U385)^P385-1</f>
        <v>1.4488715414207265E-2</v>
      </c>
      <c r="W385" s="23"/>
      <c r="X385" s="35"/>
    </row>
    <row r="386" spans="15:24" ht="17.100000000000001" customHeight="1">
      <c r="O386" s="12">
        <f t="shared" si="5"/>
        <v>31.083333333333332</v>
      </c>
      <c r="P386" s="13">
        <v>373</v>
      </c>
      <c r="Q386" s="22"/>
      <c r="R386" s="19"/>
      <c r="S386" s="22"/>
      <c r="T386" s="19"/>
      <c r="U386" s="24">
        <v>4.4779322882468664E-2</v>
      </c>
      <c r="V386" s="24">
        <f>(1+U387)^P387/(1+U386)^P386-1</f>
        <v>1.4295155153959405E-2</v>
      </c>
      <c r="W386" s="23"/>
      <c r="X386" s="35"/>
    </row>
    <row r="387" spans="15:24" ht="17.100000000000001" customHeight="1">
      <c r="O387" s="12">
        <f t="shared" si="5"/>
        <v>31.166666666666668</v>
      </c>
      <c r="P387" s="13">
        <v>374</v>
      </c>
      <c r="Q387" s="22"/>
      <c r="R387" s="19"/>
      <c r="S387" s="22"/>
      <c r="T387" s="19"/>
      <c r="U387" s="24">
        <v>4.4696604927384254E-2</v>
      </c>
      <c r="V387" s="24">
        <f>(1+U388)^P388/(1+U387)^P387-1</f>
        <v>1.4103974193855118E-2</v>
      </c>
      <c r="W387" s="23"/>
      <c r="X387" s="35"/>
    </row>
    <row r="388" spans="15:24" ht="17.100000000000001" customHeight="1">
      <c r="O388" s="12">
        <f t="shared" si="5"/>
        <v>31.25</v>
      </c>
      <c r="P388" s="13">
        <v>375</v>
      </c>
      <c r="Q388" s="22"/>
      <c r="R388" s="19"/>
      <c r="S388" s="22"/>
      <c r="T388" s="19"/>
      <c r="U388" s="24">
        <v>4.4613809526827808E-2</v>
      </c>
      <c r="V388" s="24">
        <f>(1+U389)^P389/(1+U388)^P388-1</f>
        <v>1.3915148785428766E-2</v>
      </c>
      <c r="W388" s="23"/>
      <c r="X388" s="35"/>
    </row>
    <row r="389" spans="15:24" ht="17.100000000000001" customHeight="1">
      <c r="O389" s="12">
        <f t="shared" si="5"/>
        <v>31.333333333333332</v>
      </c>
      <c r="P389" s="13">
        <v>376</v>
      </c>
      <c r="Q389" s="22"/>
      <c r="R389" s="19"/>
      <c r="S389" s="22"/>
      <c r="T389" s="19"/>
      <c r="U389" s="24">
        <v>4.4530943725575867E-2</v>
      </c>
      <c r="V389" s="24">
        <f>(1+U390)^P390/(1+U389)^P389-1</f>
        <v>1.3728655269703793E-2</v>
      </c>
      <c r="W389" s="23"/>
      <c r="X389" s="35"/>
    </row>
    <row r="390" spans="15:24" ht="17.100000000000001" customHeight="1">
      <c r="O390" s="12">
        <f t="shared" si="5"/>
        <v>31.416666666666668</v>
      </c>
      <c r="P390" s="13">
        <v>377</v>
      </c>
      <c r="Q390" s="22"/>
      <c r="R390" s="19"/>
      <c r="S390" s="22"/>
      <c r="T390" s="19"/>
      <c r="U390" s="24">
        <v>4.4448014430559235E-2</v>
      </c>
      <c r="V390" s="24">
        <f>(1+U391)^P391/(1+U390)^P390-1</f>
        <v>1.3544470080518289E-2</v>
      </c>
      <c r="W390" s="23"/>
      <c r="X390" s="35"/>
    </row>
    <row r="391" spans="15:24" ht="17.100000000000001" customHeight="1">
      <c r="O391" s="12">
        <f t="shared" si="5"/>
        <v>31.5</v>
      </c>
      <c r="P391" s="13">
        <v>378</v>
      </c>
      <c r="Q391" s="22"/>
      <c r="R391" s="19"/>
      <c r="S391" s="22"/>
      <c r="T391" s="19"/>
      <c r="U391" s="24">
        <v>4.4365028412870489E-2</v>
      </c>
      <c r="V391" s="24">
        <f>(1+U392)^P392/(1+U391)^P391-1</f>
        <v>1.3362569749589825E-2</v>
      </c>
      <c r="W391" s="23"/>
      <c r="X391" s="35"/>
    </row>
    <row r="392" spans="15:24" ht="17.100000000000001" customHeight="1">
      <c r="O392" s="12">
        <f t="shared" si="5"/>
        <v>31.583333333333332</v>
      </c>
      <c r="P392" s="13">
        <v>379</v>
      </c>
      <c r="Q392" s="22"/>
      <c r="R392" s="19"/>
      <c r="S392" s="22"/>
      <c r="T392" s="19"/>
      <c r="U392" s="24">
        <v>4.4281992309755047E-2</v>
      </c>
      <c r="V392" s="24">
        <f>(1+U393)^P393/(1+U392)^P392-1</f>
        <v>1.318293090959255E-2</v>
      </c>
      <c r="W392" s="23"/>
      <c r="X392" s="35"/>
    </row>
    <row r="393" spans="15:24" ht="17.100000000000001" customHeight="1">
      <c r="O393" s="12">
        <f t="shared" si="5"/>
        <v>31.666666666666668</v>
      </c>
      <c r="P393" s="13">
        <v>380</v>
      </c>
      <c r="Q393" s="22"/>
      <c r="R393" s="19"/>
      <c r="S393" s="22"/>
      <c r="T393" s="19"/>
      <c r="U393" s="24">
        <v>4.4198912626581821E-2</v>
      </c>
      <c r="V393" s="24">
        <f>(1+U394)^P394/(1+U393)^P393-1</f>
        <v>1.300553029799234E-2</v>
      </c>
      <c r="W393" s="23"/>
      <c r="X393" s="35"/>
    </row>
    <row r="394" spans="15:24" ht="17.100000000000001" customHeight="1">
      <c r="O394" s="12">
        <f t="shared" si="5"/>
        <v>31.75</v>
      </c>
      <c r="P394" s="13">
        <v>381</v>
      </c>
      <c r="Q394" s="22"/>
      <c r="R394" s="19"/>
      <c r="S394" s="22"/>
      <c r="T394" s="19"/>
      <c r="U394" s="24">
        <v>4.4115795738793873E-2</v>
      </c>
      <c r="V394" s="24">
        <f>(1+U395)^P395/(1+U394)^P394-1</f>
        <v>1.2830344760714318E-2</v>
      </c>
      <c r="W394" s="23"/>
      <c r="X394" s="35"/>
    </row>
    <row r="395" spans="15:24" ht="17.100000000000001" customHeight="1">
      <c r="O395" s="12">
        <f t="shared" si="5"/>
        <v>31.833333333333332</v>
      </c>
      <c r="P395" s="13">
        <v>382</v>
      </c>
      <c r="Q395" s="22"/>
      <c r="R395" s="19"/>
      <c r="S395" s="22"/>
      <c r="T395" s="19"/>
      <c r="U395" s="24">
        <v>4.4032647893841981E-2</v>
      </c>
      <c r="V395" s="24">
        <f>(1+U396)^P396/(1+U395)^P395-1</f>
        <v>1.2657351255157989E-2</v>
      </c>
      <c r="W395" s="23"/>
      <c r="X395" s="35"/>
    </row>
    <row r="396" spans="15:24" ht="17.100000000000001" customHeight="1">
      <c r="O396" s="12">
        <f t="shared" si="5"/>
        <v>31.916666666666668</v>
      </c>
      <c r="P396" s="13">
        <v>383</v>
      </c>
      <c r="Q396" s="22"/>
      <c r="R396" s="19"/>
      <c r="S396" s="22"/>
      <c r="T396" s="19"/>
      <c r="U396" s="24">
        <v>4.3949475213096001E-2</v>
      </c>
      <c r="V396" s="24">
        <f>(1+U397)^P397/(1+U396)^P396-1</f>
        <v>1.2486526854225577E-2</v>
      </c>
      <c r="W396" s="23"/>
      <c r="X396" s="35"/>
    </row>
    <row r="397" spans="15:24" ht="17.100000000000001" customHeight="1">
      <c r="O397" s="12">
        <f t="shared" si="5"/>
        <v>32</v>
      </c>
      <c r="P397" s="13">
        <v>384</v>
      </c>
      <c r="Q397" s="22"/>
      <c r="R397" s="19"/>
      <c r="S397" s="22"/>
      <c r="T397" s="19"/>
      <c r="U397" s="24">
        <v>4.3866283693740238E-2</v>
      </c>
      <c r="V397" s="24">
        <f>(1+U398)^P398/(1+U397)^P397-1</f>
        <v>1.2317848748359728E-2</v>
      </c>
      <c r="W397" s="23"/>
      <c r="X397" s="35"/>
    </row>
    <row r="398" spans="15:24" ht="17.100000000000001" customHeight="1">
      <c r="O398" s="12">
        <f t="shared" ref="O398:O461" si="6">P398/12</f>
        <v>32.083333333333336</v>
      </c>
      <c r="P398" s="13">
        <v>385</v>
      </c>
      <c r="Q398" s="22"/>
      <c r="R398" s="19"/>
      <c r="S398" s="22"/>
      <c r="T398" s="19"/>
      <c r="U398" s="24">
        <v>4.3783079210645948E-2</v>
      </c>
      <c r="V398" s="24">
        <f>(1+U399)^P399/(1+U398)^P398-1</f>
        <v>1.2151294249355127E-2</v>
      </c>
      <c r="W398" s="23"/>
      <c r="X398" s="35"/>
    </row>
    <row r="399" spans="15:24" ht="17.100000000000001" customHeight="1">
      <c r="O399" s="12">
        <f t="shared" si="6"/>
        <v>32.166666666666664</v>
      </c>
      <c r="P399" s="13">
        <v>386</v>
      </c>
      <c r="Q399" s="22"/>
      <c r="R399" s="19"/>
      <c r="S399" s="22"/>
      <c r="T399" s="19"/>
      <c r="U399" s="24">
        <v>4.3699867518226965E-2</v>
      </c>
      <c r="V399" s="24">
        <f>(1+U400)^P400/(1+U399)^P399-1</f>
        <v>1.198684079306922E-2</v>
      </c>
      <c r="W399" s="23"/>
      <c r="X399" s="35"/>
    </row>
    <row r="400" spans="15:24" ht="17.100000000000001" customHeight="1">
      <c r="O400" s="12">
        <f t="shared" si="6"/>
        <v>32.25</v>
      </c>
      <c r="P400" s="13">
        <v>387</v>
      </c>
      <c r="Q400" s="22"/>
      <c r="R400" s="19"/>
      <c r="S400" s="22"/>
      <c r="T400" s="19"/>
      <c r="U400" s="24">
        <v>4.36166542522749E-2</v>
      </c>
      <c r="V400" s="24">
        <f>(1+U401)^P401/(1+U400)^P400-1</f>
        <v>1.1824465942200213E-2</v>
      </c>
      <c r="W400" s="23"/>
      <c r="X400" s="35"/>
    </row>
    <row r="401" spans="15:24" ht="17.100000000000001" customHeight="1">
      <c r="O401" s="12">
        <f t="shared" si="6"/>
        <v>32.333333333333336</v>
      </c>
      <c r="P401" s="13">
        <v>388</v>
      </c>
      <c r="Q401" s="22"/>
      <c r="R401" s="19"/>
      <c r="S401" s="22"/>
      <c r="T401" s="19"/>
      <c r="U401" s="24">
        <v>4.3533444931775689E-2</v>
      </c>
      <c r="V401" s="24">
        <f>(1+U402)^P402/(1+U401)^P401-1</f>
        <v>1.1664147388373181E-2</v>
      </c>
      <c r="W401" s="23"/>
      <c r="X401" s="35"/>
    </row>
    <row r="402" spans="15:24" ht="17.100000000000001" customHeight="1">
      <c r="O402" s="12">
        <f t="shared" si="6"/>
        <v>32.416666666666664</v>
      </c>
      <c r="P402" s="13">
        <v>389</v>
      </c>
      <c r="Q402" s="22"/>
      <c r="R402" s="19"/>
      <c r="S402" s="22"/>
      <c r="T402" s="19"/>
      <c r="U402" s="24">
        <v>4.3450244960704154E-2</v>
      </c>
      <c r="V402" s="24">
        <f>(1+U403)^P403/(1+U402)^P402-1</f>
        <v>1.1505862955470736E-2</v>
      </c>
      <c r="W402" s="23"/>
      <c r="X402" s="35"/>
    </row>
    <row r="403" spans="15:24" ht="17.100000000000001" customHeight="1">
      <c r="O403" s="12">
        <f t="shared" si="6"/>
        <v>32.5</v>
      </c>
      <c r="P403" s="13">
        <v>390</v>
      </c>
      <c r="Q403" s="22"/>
      <c r="R403" s="19"/>
      <c r="S403" s="22"/>
      <c r="T403" s="19"/>
      <c r="U403" s="24">
        <v>4.3367059629803029E-2</v>
      </c>
      <c r="V403" s="24">
        <f>(1+U404)^P404/(1+U403)^P403-1</f>
        <v>1.1349590601021697E-2</v>
      </c>
      <c r="W403" s="23"/>
      <c r="X403" s="35"/>
    </row>
    <row r="404" spans="15:24" ht="17.100000000000001" customHeight="1">
      <c r="O404" s="12">
        <f t="shared" si="6"/>
        <v>32.583333333333336</v>
      </c>
      <c r="P404" s="13">
        <v>391</v>
      </c>
      <c r="Q404" s="22"/>
      <c r="R404" s="19"/>
      <c r="S404" s="22"/>
      <c r="T404" s="19"/>
      <c r="U404" s="24">
        <v>4.3283894118337773E-2</v>
      </c>
      <c r="V404" s="24">
        <f>(1+U405)^P405/(1+U404)^P404-1</f>
        <v>1.1195308420071548E-2</v>
      </c>
      <c r="W404" s="23"/>
      <c r="X404" s="35"/>
    </row>
    <row r="405" spans="15:24" ht="17.100000000000001" customHeight="1">
      <c r="O405" s="12">
        <f t="shared" si="6"/>
        <v>32.666666666666664</v>
      </c>
      <c r="P405" s="13">
        <v>392</v>
      </c>
      <c r="Q405" s="22"/>
      <c r="R405" s="19"/>
      <c r="S405" s="22"/>
      <c r="T405" s="19"/>
      <c r="U405" s="24">
        <v>4.3200753495838073E-2</v>
      </c>
      <c r="V405" s="24">
        <f>(1+U406)^P406/(1+U405)^P405-1</f>
        <v>1.1042994645226623E-2</v>
      </c>
      <c r="W405" s="23"/>
      <c r="X405" s="35"/>
    </row>
    <row r="406" spans="15:24" ht="17.100000000000001" customHeight="1">
      <c r="O406" s="12">
        <f t="shared" si="6"/>
        <v>32.75</v>
      </c>
      <c r="P406" s="13">
        <v>393</v>
      </c>
      <c r="Q406" s="22"/>
      <c r="R406" s="19"/>
      <c r="S406" s="22"/>
      <c r="T406" s="19"/>
      <c r="U406" s="24">
        <v>4.3117642723813132E-2</v>
      </c>
      <c r="V406" s="24">
        <f>(1+U407)^P407/(1+U406)^P406-1</f>
        <v>1.0892627650381126E-2</v>
      </c>
      <c r="W406" s="23"/>
      <c r="X406" s="35"/>
    </row>
    <row r="407" spans="15:24" ht="17.100000000000001" customHeight="1">
      <c r="O407" s="12">
        <f t="shared" si="6"/>
        <v>32.833333333333336</v>
      </c>
      <c r="P407" s="13">
        <v>394</v>
      </c>
      <c r="Q407" s="22"/>
      <c r="R407" s="19"/>
      <c r="S407" s="22"/>
      <c r="T407" s="19"/>
      <c r="U407" s="24">
        <v>4.3034566657452089E-2</v>
      </c>
      <c r="V407" s="24">
        <f>(1+U408)^P408/(1+U407)^P407-1</f>
        <v>1.0744185952026086E-2</v>
      </c>
      <c r="W407" s="23"/>
      <c r="X407" s="35"/>
    </row>
    <row r="408" spans="15:24" ht="17.100000000000001" customHeight="1">
      <c r="O408" s="12">
        <f t="shared" si="6"/>
        <v>32.916666666666664</v>
      </c>
      <c r="P408" s="13">
        <v>395</v>
      </c>
      <c r="Q408" s="22"/>
      <c r="R408" s="19"/>
      <c r="S408" s="22"/>
      <c r="T408" s="19"/>
      <c r="U408" s="24">
        <v>4.2951530047304232E-2</v>
      </c>
      <c r="V408" s="24">
        <f>(1+U409)^P409/(1+U408)^P408-1</f>
        <v>1.0597648211028821E-2</v>
      </c>
      <c r="W408" s="23"/>
      <c r="X408" s="35"/>
    </row>
    <row r="409" spans="15:24" ht="17.100000000000001" customHeight="1">
      <c r="O409" s="12">
        <f t="shared" si="6"/>
        <v>33</v>
      </c>
      <c r="P409" s="13">
        <v>396</v>
      </c>
      <c r="Q409" s="22"/>
      <c r="R409" s="19"/>
      <c r="S409" s="22"/>
      <c r="T409" s="19"/>
      <c r="U409" s="24">
        <v>4.2868537540938556E-2</v>
      </c>
      <c r="V409" s="24">
        <f>(1+U410)^P410/(1+U409)^P409-1</f>
        <v>1.0452993234190799E-2</v>
      </c>
      <c r="W409" s="23"/>
      <c r="X409" s="35"/>
    </row>
    <row r="410" spans="15:24" ht="17.100000000000001" customHeight="1">
      <c r="O410" s="12">
        <f t="shared" si="6"/>
        <v>33.083333333333336</v>
      </c>
      <c r="P410" s="13">
        <v>397</v>
      </c>
      <c r="Q410" s="22"/>
      <c r="R410" s="19"/>
      <c r="S410" s="22"/>
      <c r="T410" s="19"/>
      <c r="U410" s="24">
        <v>4.2785593684584677E-2</v>
      </c>
      <c r="V410" s="24">
        <f>(1+U411)^P411/(1+U410)^P410-1</f>
        <v>1.0310199977006551E-2</v>
      </c>
      <c r="W410" s="23"/>
      <c r="X410" s="35"/>
    </row>
    <row r="411" spans="15:24" ht="17.100000000000001" customHeight="1">
      <c r="O411" s="12">
        <f t="shared" si="6"/>
        <v>33.166666666666664</v>
      </c>
      <c r="P411" s="13">
        <v>398</v>
      </c>
      <c r="Q411" s="22"/>
      <c r="R411" s="19"/>
      <c r="S411" s="22"/>
      <c r="T411" s="19"/>
      <c r="U411" s="24">
        <v>4.2702702924756197E-2</v>
      </c>
      <c r="V411" s="24">
        <f>(1+U412)^P412/(1+U411)^P411-1</f>
        <v>1.0169247543177828E-2</v>
      </c>
      <c r="W411" s="23"/>
      <c r="X411" s="35"/>
    </row>
    <row r="412" spans="15:24" ht="17.100000000000001" customHeight="1">
      <c r="O412" s="12">
        <f t="shared" si="6"/>
        <v>33.25</v>
      </c>
      <c r="P412" s="13">
        <v>399</v>
      </c>
      <c r="Q412" s="22"/>
      <c r="R412" s="19"/>
      <c r="S412" s="22"/>
      <c r="T412" s="19"/>
      <c r="U412" s="24">
        <v>4.2619869609851202E-2</v>
      </c>
      <c r="V412" s="24">
        <f>(1+U413)^P413/(1+U412)^P412-1</f>
        <v>1.0030115188280453E-2</v>
      </c>
      <c r="W412" s="23"/>
      <c r="X412" s="35"/>
    </row>
    <row r="413" spans="15:24" ht="17.100000000000001" customHeight="1">
      <c r="O413" s="12">
        <f t="shared" si="6"/>
        <v>33.333333333333336</v>
      </c>
      <c r="P413" s="13">
        <v>400</v>
      </c>
      <c r="Q413" s="22"/>
      <c r="R413" s="19"/>
      <c r="S413" s="22"/>
      <c r="T413" s="19"/>
      <c r="U413" s="24">
        <v>4.253709799173766E-2</v>
      </c>
      <c r="V413" s="24">
        <f>(1+U414)^P414/(1+U413)^P413-1</f>
        <v>9.8927823191206077E-3</v>
      </c>
      <c r="W413" s="23"/>
      <c r="X413" s="35"/>
    </row>
    <row r="414" spans="15:24" ht="17.100000000000001" customHeight="1">
      <c r="O414" s="12">
        <f t="shared" si="6"/>
        <v>33.416666666666664</v>
      </c>
      <c r="P414" s="13">
        <v>401</v>
      </c>
      <c r="Q414" s="22"/>
      <c r="R414" s="19"/>
      <c r="S414" s="22"/>
      <c r="T414" s="19"/>
      <c r="U414" s="24">
        <v>4.2454392227316173E-2</v>
      </c>
      <c r="V414" s="24">
        <f>(1+U415)^P415/(1+U414)^P414-1</f>
        <v>9.7572284968256984E-3</v>
      </c>
      <c r="W414" s="23"/>
      <c r="X414" s="35"/>
    </row>
    <row r="415" spans="15:24" ht="17.100000000000001" customHeight="1">
      <c r="O415" s="12">
        <f t="shared" si="6"/>
        <v>33.5</v>
      </c>
      <c r="P415" s="13">
        <v>402</v>
      </c>
      <c r="Q415" s="22"/>
      <c r="R415" s="19"/>
      <c r="S415" s="22"/>
      <c r="T415" s="19"/>
      <c r="U415" s="24">
        <v>4.2371756380067183E-2</v>
      </c>
      <c r="V415" s="24">
        <f>(1+U416)^P416/(1+U415)^P415-1</f>
        <v>9.6234334363858309E-3</v>
      </c>
      <c r="W415" s="23"/>
      <c r="X415" s="35"/>
    </row>
    <row r="416" spans="15:24" ht="17.100000000000001" customHeight="1">
      <c r="O416" s="12">
        <f t="shared" si="6"/>
        <v>33.583333333333336</v>
      </c>
      <c r="P416" s="13">
        <v>403</v>
      </c>
      <c r="Q416" s="22"/>
      <c r="R416" s="19"/>
      <c r="S416" s="22"/>
      <c r="T416" s="19"/>
      <c r="U416" s="24">
        <v>4.2289194421575971E-2</v>
      </c>
      <c r="V416" s="24">
        <f>(1+U417)^P417/(1+U416)^P416-1</f>
        <v>9.4913770087350358E-3</v>
      </c>
      <c r="W416" s="23"/>
      <c r="X416" s="35"/>
    </row>
    <row r="417" spans="15:24" ht="17.100000000000001" customHeight="1">
      <c r="O417" s="12">
        <f t="shared" si="6"/>
        <v>33.666666666666664</v>
      </c>
      <c r="P417" s="13">
        <v>404</v>
      </c>
      <c r="Q417" s="22"/>
      <c r="R417" s="19"/>
      <c r="S417" s="22"/>
      <c r="T417" s="19"/>
      <c r="U417" s="24">
        <v>4.2206710233041012E-2</v>
      </c>
      <c r="V417" s="24">
        <f>(1+U418)^P418/(1+U417)^P417-1</f>
        <v>9.361039241678526E-3</v>
      </c>
      <c r="W417" s="23"/>
      <c r="X417" s="35"/>
    </row>
    <row r="418" spans="15:24" ht="17.100000000000001" customHeight="1">
      <c r="O418" s="12">
        <f t="shared" si="6"/>
        <v>33.75</v>
      </c>
      <c r="P418" s="13">
        <v>405</v>
      </c>
      <c r="Q418" s="22"/>
      <c r="R418" s="19"/>
      <c r="S418" s="22"/>
      <c r="T418" s="19"/>
      <c r="U418" s="24">
        <v>4.2124307606763223E-2</v>
      </c>
      <c r="V418" s="24">
        <f>(1+U419)^P419/(1+U418)^P418-1</f>
        <v>9.2324003202104432E-3</v>
      </c>
      <c r="W418" s="23"/>
      <c r="X418" s="35"/>
    </row>
    <row r="419" spans="15:24" ht="17.100000000000001" customHeight="1">
      <c r="O419" s="12">
        <f t="shared" si="6"/>
        <v>33.833333333333336</v>
      </c>
      <c r="P419" s="13">
        <v>406</v>
      </c>
      <c r="Q419" s="22"/>
      <c r="R419" s="19"/>
      <c r="S419" s="22"/>
      <c r="T419" s="19"/>
      <c r="U419" s="24">
        <v>4.2041990247615457E-2</v>
      </c>
      <c r="V419" s="24">
        <f>(1+U420)^P420/(1+U419)^P419-1</f>
        <v>9.1054405878483458E-3</v>
      </c>
      <c r="W419" s="23"/>
      <c r="X419" s="35"/>
    </row>
    <row r="420" spans="15:24" ht="17.100000000000001" customHeight="1">
      <c r="O420" s="12">
        <f t="shared" si="6"/>
        <v>33.916666666666664</v>
      </c>
      <c r="P420" s="13">
        <v>407</v>
      </c>
      <c r="Q420" s="22"/>
      <c r="R420" s="19"/>
      <c r="S420" s="22"/>
      <c r="T420" s="19"/>
      <c r="U420" s="24">
        <v>4.1959761774494453E-2</v>
      </c>
      <c r="V420" s="24">
        <f>(1+U421)^P421/(1+U420)^P420-1</f>
        <v>8.9801405476399587E-3</v>
      </c>
      <c r="W420" s="23"/>
      <c r="X420" s="35"/>
    </row>
    <row r="421" spans="15:24" ht="17.100000000000001" customHeight="1">
      <c r="O421" s="12">
        <f t="shared" si="6"/>
        <v>34</v>
      </c>
      <c r="P421" s="13">
        <v>408</v>
      </c>
      <c r="Q421" s="22"/>
      <c r="R421" s="19"/>
      <c r="S421" s="22"/>
      <c r="T421" s="19"/>
      <c r="U421" s="24">
        <v>4.1877625721754352E-2</v>
      </c>
      <c r="V421" s="24">
        <f>(1+U422)^P422/(1+U421)^P421-1</f>
        <v>8.8564808618727398E-3</v>
      </c>
      <c r="W421" s="23"/>
      <c r="X421" s="35"/>
    </row>
    <row r="422" spans="15:24" ht="17.100000000000001" customHeight="1">
      <c r="O422" s="12">
        <f t="shared" si="6"/>
        <v>34.083333333333336</v>
      </c>
      <c r="P422" s="13">
        <v>409</v>
      </c>
      <c r="Q422" s="22"/>
      <c r="R422" s="19"/>
      <c r="S422" s="22"/>
      <c r="T422" s="19"/>
      <c r="U422" s="24">
        <v>4.1795585540620683E-2</v>
      </c>
      <c r="V422" s="24">
        <f>(1+U423)^P423/(1+U422)^P422-1</f>
        <v>8.7344423539683635E-3</v>
      </c>
      <c r="W422" s="23"/>
      <c r="X422" s="35"/>
    </row>
    <row r="423" spans="15:24" ht="17.100000000000001" customHeight="1">
      <c r="O423" s="12">
        <f t="shared" si="6"/>
        <v>34.166666666666664</v>
      </c>
      <c r="P423" s="13">
        <v>410</v>
      </c>
      <c r="Q423" s="22"/>
      <c r="R423" s="19"/>
      <c r="S423" s="22"/>
      <c r="T423" s="19"/>
      <c r="U423" s="24">
        <v>4.1713644600588351E-2</v>
      </c>
      <c r="V423" s="24">
        <f>(1+U424)^P424/(1+U423)^P423-1</f>
        <v>8.6140060076942415E-3</v>
      </c>
      <c r="W423" s="23"/>
      <c r="X423" s="35"/>
    </row>
    <row r="424" spans="15:24" ht="17.100000000000001" customHeight="1">
      <c r="O424" s="12">
        <f t="shared" si="6"/>
        <v>34.25</v>
      </c>
      <c r="P424" s="13">
        <v>411</v>
      </c>
      <c r="Q424" s="22"/>
      <c r="R424" s="19"/>
      <c r="S424" s="22"/>
      <c r="T424" s="19"/>
      <c r="U424" s="24">
        <v>4.1631806190797871E-2</v>
      </c>
      <c r="V424" s="24">
        <f>(1+U425)^P425/(1+U424)^P424-1</f>
        <v>8.4951529691108529E-3</v>
      </c>
      <c r="W424" s="23"/>
      <c r="X424" s="35"/>
    </row>
    <row r="425" spans="15:24" ht="17.100000000000001" customHeight="1">
      <c r="O425" s="12">
        <f t="shared" si="6"/>
        <v>34.333333333333336</v>
      </c>
      <c r="P425" s="13">
        <v>412</v>
      </c>
      <c r="Q425" s="22"/>
      <c r="R425" s="19"/>
      <c r="S425" s="22"/>
      <c r="T425" s="19"/>
      <c r="U425" s="24">
        <v>4.1550073521398501E-2</v>
      </c>
      <c r="V425" s="24">
        <f>(1+U426)^P426/(1+U425)^P425-1</f>
        <v>8.3778645452259326E-3</v>
      </c>
      <c r="W425" s="23"/>
      <c r="X425" s="35"/>
    </row>
    <row r="426" spans="15:24" ht="17.100000000000001" customHeight="1">
      <c r="O426" s="12">
        <f t="shared" si="6"/>
        <v>34.416666666666664</v>
      </c>
      <c r="P426" s="13">
        <v>413</v>
      </c>
      <c r="Q426" s="22"/>
      <c r="R426" s="19"/>
      <c r="S426" s="22"/>
      <c r="T426" s="19"/>
      <c r="U426" s="24">
        <v>4.1468449724887391E-2</v>
      </c>
      <c r="V426" s="24">
        <f>(1+U427)^P427/(1+U426)^P426-1</f>
        <v>8.2621222063556932E-3</v>
      </c>
      <c r="W426" s="23"/>
      <c r="X426" s="35"/>
    </row>
    <row r="427" spans="15:24" ht="17.100000000000001" customHeight="1">
      <c r="O427" s="12">
        <f t="shared" si="6"/>
        <v>34.5</v>
      </c>
      <c r="P427" s="13">
        <v>414</v>
      </c>
      <c r="Q427" s="22"/>
      <c r="R427" s="19"/>
      <c r="S427" s="22"/>
      <c r="T427" s="19"/>
      <c r="U427" s="24">
        <v>4.1386937857437411E-2</v>
      </c>
      <c r="V427" s="24">
        <f>(1+U428)^P428/(1+U427)^P427-1</f>
        <v>8.1479075841088822E-3</v>
      </c>
      <c r="W427" s="23"/>
      <c r="X427" s="35"/>
    </row>
    <row r="428" spans="15:24" ht="17.100000000000001" customHeight="1">
      <c r="O428" s="12">
        <f t="shared" si="6"/>
        <v>34.583333333333336</v>
      </c>
      <c r="P428" s="13">
        <v>415</v>
      </c>
      <c r="Q428" s="22"/>
      <c r="R428" s="19"/>
      <c r="S428" s="22"/>
      <c r="T428" s="19"/>
      <c r="U428" s="24">
        <v>4.1305540900200999E-2</v>
      </c>
      <c r="V428" s="24">
        <f>(1+U429)^P429/(1+U428)^P428-1</f>
        <v>8.0352024739522854E-3</v>
      </c>
      <c r="W428" s="23"/>
      <c r="X428" s="35"/>
    </row>
    <row r="429" spans="15:24" ht="17.100000000000001" customHeight="1">
      <c r="O429" s="12">
        <f t="shared" si="6"/>
        <v>34.666666666666664</v>
      </c>
      <c r="P429" s="13">
        <v>416</v>
      </c>
      <c r="Q429" s="22"/>
      <c r="R429" s="19"/>
      <c r="S429" s="22"/>
      <c r="T429" s="19"/>
      <c r="U429" s="24">
        <v>4.1224261760601788E-2</v>
      </c>
      <c r="V429" s="24">
        <f>(1+U430)^P430/(1+U429)^P429-1</f>
        <v>7.9239888335198572E-3</v>
      </c>
      <c r="W429" s="23"/>
      <c r="X429" s="35"/>
    </row>
    <row r="430" spans="15:24" ht="17.100000000000001" customHeight="1">
      <c r="O430" s="12">
        <f t="shared" si="6"/>
        <v>34.75</v>
      </c>
      <c r="P430" s="13">
        <v>417</v>
      </c>
      <c r="Q430" s="22"/>
      <c r="R430" s="19"/>
      <c r="S430" s="22"/>
      <c r="T430" s="19"/>
      <c r="U430" s="24">
        <v>4.1143103273605153E-2</v>
      </c>
      <c r="V430" s="24">
        <f>(1+U431)^P431/(1+U430)^P430-1</f>
        <v>7.8142487835846097E-3</v>
      </c>
      <c r="W430" s="23"/>
      <c r="X430" s="35"/>
    </row>
    <row r="431" spans="15:24" ht="17.100000000000001" customHeight="1">
      <c r="O431" s="12">
        <f t="shared" si="6"/>
        <v>34.833333333333336</v>
      </c>
      <c r="P431" s="13">
        <v>418</v>
      </c>
      <c r="Q431" s="22"/>
      <c r="R431" s="19"/>
      <c r="S431" s="22"/>
      <c r="T431" s="19"/>
      <c r="U431" s="24">
        <v>4.1062068202972979E-2</v>
      </c>
      <c r="V431" s="24">
        <f>(1+U432)^P432/(1+U431)^P431-1</f>
        <v>7.705964608162974E-3</v>
      </c>
      <c r="W431" s="23"/>
      <c r="X431" s="35"/>
    </row>
    <row r="432" spans="15:24" ht="17.100000000000001" customHeight="1">
      <c r="O432" s="12">
        <f t="shared" si="6"/>
        <v>34.916666666666664</v>
      </c>
      <c r="P432" s="13">
        <v>419</v>
      </c>
      <c r="Q432" s="22"/>
      <c r="R432" s="19"/>
      <c r="S432" s="22"/>
      <c r="T432" s="19"/>
      <c r="U432" s="24">
        <v>4.0981159242501342E-2</v>
      </c>
      <c r="V432" s="24">
        <f>(1+U433)^P433/(1+U432)^P432-1</f>
        <v>7.5991187540798144E-3</v>
      </c>
      <c r="W432" s="23"/>
      <c r="X432" s="35"/>
    </row>
    <row r="433" spans="15:24" ht="17.100000000000001" customHeight="1">
      <c r="O433" s="12">
        <f t="shared" si="6"/>
        <v>35</v>
      </c>
      <c r="P433" s="13">
        <v>420</v>
      </c>
      <c r="Q433" s="22"/>
      <c r="R433" s="19"/>
      <c r="S433" s="22"/>
      <c r="T433" s="19"/>
      <c r="U433" s="24">
        <v>4.090037901724064E-2</v>
      </c>
      <c r="V433" s="24">
        <f>(1+U434)^P434/(1+U433)^P433-1</f>
        <v>7.4936938309364542E-3</v>
      </c>
      <c r="W433" s="23"/>
      <c r="X433" s="35"/>
    </row>
    <row r="434" spans="15:24" ht="17.100000000000001" customHeight="1">
      <c r="O434" s="12">
        <f t="shared" si="6"/>
        <v>35.083333333333336</v>
      </c>
      <c r="P434" s="13">
        <v>421</v>
      </c>
      <c r="Q434" s="22"/>
      <c r="R434" s="19"/>
      <c r="S434" s="22"/>
      <c r="T434" s="19"/>
      <c r="U434" s="24">
        <v>4.0819730084698191E-2</v>
      </c>
      <c r="V434" s="24">
        <f>(1+U435)^P435/(1+U434)^P434-1</f>
        <v>7.3896726118591882E-3</v>
      </c>
      <c r="W434" s="23"/>
      <c r="X434" s="35"/>
    </row>
    <row r="435" spans="15:24" ht="17.100000000000001" customHeight="1">
      <c r="O435" s="12">
        <f t="shared" si="6"/>
        <v>35.166666666666664</v>
      </c>
      <c r="P435" s="13">
        <v>422</v>
      </c>
      <c r="Q435" s="22"/>
      <c r="R435" s="19"/>
      <c r="S435" s="22"/>
      <c r="T435" s="19"/>
      <c r="U435" s="24">
        <v>4.0739214936026613E-2</v>
      </c>
      <c r="V435" s="24">
        <f>(1+U436)^P436/(1+U435)^P435-1</f>
        <v>7.2870380317280325E-3</v>
      </c>
      <c r="W435" s="23"/>
      <c r="X435" s="35"/>
    </row>
    <row r="436" spans="15:24" ht="17.100000000000001" customHeight="1">
      <c r="O436" s="12">
        <f t="shared" si="6"/>
        <v>35.25</v>
      </c>
      <c r="P436" s="13">
        <v>423</v>
      </c>
      <c r="Q436" s="22"/>
      <c r="R436" s="19"/>
      <c r="S436" s="22"/>
      <c r="T436" s="19"/>
      <c r="U436" s="24">
        <v>4.0658835997191778E-2</v>
      </c>
      <c r="V436" s="24">
        <f>(1+U437)^P437/(1+U436)^P436-1</f>
        <v>7.1857731886022513E-3</v>
      </c>
      <c r="W436" s="23"/>
      <c r="X436" s="35"/>
    </row>
    <row r="437" spans="15:24" ht="17.100000000000001" customHeight="1">
      <c r="O437" s="12">
        <f t="shared" si="6"/>
        <v>35.333333333333336</v>
      </c>
      <c r="P437" s="13">
        <v>424</v>
      </c>
      <c r="Q437" s="22"/>
      <c r="R437" s="19"/>
      <c r="S437" s="22"/>
      <c r="T437" s="19"/>
      <c r="U437" s="24">
        <v>4.0578595630127445E-2</v>
      </c>
      <c r="V437" s="24">
        <f>(1+U438)^P438/(1+U437)^P437-1</f>
        <v>7.0858613423767647E-3</v>
      </c>
      <c r="W437" s="23"/>
      <c r="X437" s="35"/>
    </row>
    <row r="438" spans="15:24" ht="17.100000000000001" customHeight="1">
      <c r="O438" s="12">
        <f t="shared" si="6"/>
        <v>35.416666666666664</v>
      </c>
      <c r="P438" s="13">
        <v>425</v>
      </c>
      <c r="Q438" s="22"/>
      <c r="R438" s="19"/>
      <c r="S438" s="22"/>
      <c r="T438" s="19"/>
      <c r="U438" s="24">
        <v>4.0498496133871908E-2</v>
      </c>
      <c r="V438" s="24">
        <f>(1+U439)^P439/(1+U438)^P438-1</f>
        <v>6.9872859149895383E-3</v>
      </c>
      <c r="W438" s="23"/>
      <c r="X438" s="35"/>
    </row>
    <row r="439" spans="15:24" ht="17.100000000000001" customHeight="1">
      <c r="O439" s="12">
        <f t="shared" si="6"/>
        <v>35.5</v>
      </c>
      <c r="P439" s="13">
        <v>426</v>
      </c>
      <c r="Q439" s="22"/>
      <c r="R439" s="19"/>
      <c r="S439" s="22"/>
      <c r="T439" s="19"/>
      <c r="U439" s="24">
        <v>4.0418539745688875E-2</v>
      </c>
      <c r="V439" s="24">
        <f>(1+U440)^P440/(1+U439)^P439-1</f>
        <v>6.8900304899370823E-3</v>
      </c>
      <c r="W439" s="23"/>
      <c r="X439" s="35"/>
    </row>
    <row r="440" spans="15:24" ht="17.100000000000001" customHeight="1">
      <c r="O440" s="12">
        <f t="shared" si="6"/>
        <v>35.583333333333336</v>
      </c>
      <c r="P440" s="13">
        <v>427</v>
      </c>
      <c r="Q440" s="22"/>
      <c r="R440" s="19"/>
      <c r="S440" s="22"/>
      <c r="T440" s="19"/>
      <c r="U440" s="24">
        <v>4.0338728642172805E-2</v>
      </c>
      <c r="V440" s="24">
        <f>(1+U441)^P441/(1+U440)^P440-1</f>
        <v>6.7940788118583395E-3</v>
      </c>
      <c r="W440" s="23"/>
      <c r="X440" s="35"/>
    </row>
    <row r="441" spans="15:24" ht="17.100000000000001" customHeight="1">
      <c r="O441" s="12">
        <f t="shared" si="6"/>
        <v>35.666666666666664</v>
      </c>
      <c r="P441" s="13">
        <v>428</v>
      </c>
      <c r="Q441" s="22"/>
      <c r="R441" s="19"/>
      <c r="S441" s="22"/>
      <c r="T441" s="19"/>
      <c r="U441" s="24">
        <v>4.0259064940336708E-2</v>
      </c>
      <c r="V441" s="24">
        <f>(1+U442)^P442/(1+U441)^P441-1</f>
        <v>6.6994147864214426E-3</v>
      </c>
      <c r="W441" s="23"/>
      <c r="X441" s="35"/>
    </row>
    <row r="442" spans="15:24" ht="17.100000000000001" customHeight="1">
      <c r="O442" s="12">
        <f t="shared" si="6"/>
        <v>35.75</v>
      </c>
      <c r="P442" s="13">
        <v>429</v>
      </c>
      <c r="Q442" s="22"/>
      <c r="R442" s="19"/>
      <c r="S442" s="22"/>
      <c r="T442" s="19"/>
      <c r="U442" s="24">
        <v>4.0179550698686839E-2</v>
      </c>
      <c r="V442" s="24">
        <f>(1+U443)^P443/(1+U442)^P442-1</f>
        <v>6.6060224789683542E-3</v>
      </c>
      <c r="W442" s="23"/>
      <c r="X442" s="35"/>
    </row>
    <row r="443" spans="15:24" ht="17.100000000000001" customHeight="1">
      <c r="O443" s="12">
        <f t="shared" si="6"/>
        <v>35.833333333333336</v>
      </c>
      <c r="P443" s="13">
        <v>430</v>
      </c>
      <c r="Q443" s="22"/>
      <c r="R443" s="19"/>
      <c r="S443" s="22"/>
      <c r="T443" s="19"/>
      <c r="U443" s="24">
        <v>4.0100187918278296E-2</v>
      </c>
      <c r="V443" s="24">
        <f>(1+U444)^P444/(1+U443)^P443-1</f>
        <v>6.5138861153783978E-3</v>
      </c>
      <c r="W443" s="23"/>
      <c r="X443" s="35"/>
    </row>
    <row r="444" spans="15:24" ht="17.100000000000001" customHeight="1">
      <c r="O444" s="12">
        <f t="shared" si="6"/>
        <v>35.916666666666664</v>
      </c>
      <c r="P444" s="13">
        <v>431</v>
      </c>
      <c r="Q444" s="22"/>
      <c r="R444" s="19"/>
      <c r="S444" s="22"/>
      <c r="T444" s="19"/>
      <c r="U444" s="24">
        <v>4.0020978543758634E-2</v>
      </c>
      <c r="V444" s="24">
        <f>(1+U445)^P445/(1+U444)^P444-1</f>
        <v>6.4229900805388151E-3</v>
      </c>
      <c r="W444" s="23"/>
      <c r="X444" s="35"/>
    </row>
    <row r="445" spans="15:24" ht="17.100000000000001" customHeight="1">
      <c r="O445" s="12">
        <f t="shared" si="6"/>
        <v>36</v>
      </c>
      <c r="P445" s="13">
        <v>432</v>
      </c>
      <c r="Q445" s="22"/>
      <c r="R445" s="19"/>
      <c r="S445" s="22"/>
      <c r="T445" s="19"/>
      <c r="U445" s="24">
        <v>3.9941924464394152E-2</v>
      </c>
      <c r="V445" s="24">
        <f>(1+U446)^P446/(1+U445)^P445-1</f>
        <v>6.3333189176661975E-3</v>
      </c>
      <c r="W445" s="23"/>
      <c r="X445" s="35"/>
    </row>
    <row r="446" spans="15:24" ht="17.100000000000001" customHeight="1">
      <c r="O446" s="12">
        <f t="shared" si="6"/>
        <v>36.083333333333336</v>
      </c>
      <c r="P446" s="13">
        <v>433</v>
      </c>
      <c r="Q446" s="22"/>
      <c r="R446" s="19"/>
      <c r="S446" s="22"/>
      <c r="T446" s="19"/>
      <c r="U446" s="24">
        <v>3.986302751508064E-2</v>
      </c>
      <c r="V446" s="24">
        <f>(1+U447)^P447/(1+U446)^P446-1</f>
        <v>6.2448573287647857E-3</v>
      </c>
      <c r="W446" s="23"/>
      <c r="X446" s="35"/>
    </row>
    <row r="447" spans="15:24" ht="17.100000000000001" customHeight="1">
      <c r="O447" s="12">
        <f t="shared" si="6"/>
        <v>36.166666666666664</v>
      </c>
      <c r="P447" s="13">
        <v>434</v>
      </c>
      <c r="Q447" s="22"/>
      <c r="R447" s="19"/>
      <c r="S447" s="22"/>
      <c r="T447" s="19"/>
      <c r="U447" s="24">
        <v>3.978428947734125E-2</v>
      </c>
      <c r="V447" s="24">
        <f>(1+U448)^P448/(1+U447)^P447-1</f>
        <v>6.1575901727448645E-3</v>
      </c>
      <c r="W447" s="23"/>
      <c r="X447" s="35"/>
    </row>
    <row r="448" spans="15:24" ht="17.100000000000001" customHeight="1">
      <c r="O448" s="12">
        <f t="shared" si="6"/>
        <v>36.25</v>
      </c>
      <c r="P448" s="13">
        <v>435</v>
      </c>
      <c r="Q448" s="22"/>
      <c r="R448" s="19"/>
      <c r="S448" s="22"/>
      <c r="T448" s="19"/>
      <c r="U448" s="24">
        <v>3.9705712080306821E-2</v>
      </c>
      <c r="V448" s="24">
        <f>(1+U449)^P449/(1+U448)^P448-1</f>
        <v>6.0715024658064554E-3</v>
      </c>
      <c r="W448" s="23"/>
      <c r="X448" s="35"/>
    </row>
    <row r="449" spans="15:24" ht="17.100000000000001" customHeight="1">
      <c r="O449" s="12">
        <f t="shared" si="6"/>
        <v>36.333333333333336</v>
      </c>
      <c r="P449" s="13">
        <v>436</v>
      </c>
      <c r="Q449" s="22"/>
      <c r="R449" s="19"/>
      <c r="S449" s="22"/>
      <c r="T449" s="19"/>
      <c r="U449" s="24">
        <v>3.9627297001684214E-2</v>
      </c>
      <c r="V449" s="24">
        <f>(1+U450)^P450/(1+U449)^P449-1</f>
        <v>5.9865793797897471E-3</v>
      </c>
      <c r="W449" s="23"/>
      <c r="X449" s="35"/>
    </row>
    <row r="450" spans="15:24" ht="17.100000000000001" customHeight="1">
      <c r="O450" s="12">
        <f t="shared" si="6"/>
        <v>36.416666666666664</v>
      </c>
      <c r="P450" s="13">
        <v>437</v>
      </c>
      <c r="Q450" s="22"/>
      <c r="R450" s="19"/>
      <c r="S450" s="22"/>
      <c r="T450" s="19"/>
      <c r="U450" s="24">
        <v>3.9549045868707333E-2</v>
      </c>
      <c r="V450" s="24">
        <f>(1+U451)^P451/(1+U450)^P450-1</f>
        <v>5.902806242448877E-3</v>
      </c>
      <c r="W450" s="23"/>
      <c r="X450" s="35"/>
    </row>
    <row r="451" spans="15:24" ht="17.100000000000001" customHeight="1">
      <c r="O451" s="12">
        <f t="shared" si="6"/>
        <v>36.5</v>
      </c>
      <c r="P451" s="13">
        <v>438</v>
      </c>
      <c r="Q451" s="22"/>
      <c r="R451" s="19"/>
      <c r="S451" s="22"/>
      <c r="T451" s="19"/>
      <c r="U451" s="24">
        <v>3.9470960259076371E-2</v>
      </c>
      <c r="V451" s="24">
        <f>(1+U452)^P452/(1+U451)^P451-1</f>
        <v>5.8201685360734778E-3</v>
      </c>
      <c r="W451" s="23"/>
      <c r="X451" s="35"/>
    </row>
    <row r="452" spans="15:24" ht="17.100000000000001" customHeight="1">
      <c r="O452" s="12">
        <f t="shared" si="6"/>
        <v>36.583333333333336</v>
      </c>
      <c r="P452" s="13">
        <v>439</v>
      </c>
      <c r="Q452" s="22"/>
      <c r="R452" s="19"/>
      <c r="S452" s="22"/>
      <c r="T452" s="19"/>
      <c r="U452" s="24">
        <v>3.9393041701881071E-2</v>
      </c>
      <c r="V452" s="24">
        <f>(1+U453)^P453/(1+U452)^P452-1</f>
        <v>5.7386518965620859E-3</v>
      </c>
      <c r="W452" s="23"/>
      <c r="X452" s="35"/>
    </row>
    <row r="453" spans="15:24" ht="17.100000000000001" customHeight="1">
      <c r="O453" s="12">
        <f t="shared" si="6"/>
        <v>36.666666666666664</v>
      </c>
      <c r="P453" s="13">
        <v>440</v>
      </c>
      <c r="Q453" s="22"/>
      <c r="R453" s="19"/>
      <c r="S453" s="22"/>
      <c r="T453" s="19"/>
      <c r="U453" s="24">
        <v>3.9315291678510222E-2</v>
      </c>
      <c r="V453" s="24">
        <f>(1+U454)^P454/(1+U453)^P453-1</f>
        <v>5.65824211327981E-3</v>
      </c>
      <c r="W453" s="23"/>
      <c r="X453" s="35"/>
    </row>
    <row r="454" spans="15:24" ht="17.100000000000001" customHeight="1">
      <c r="O454" s="12">
        <f t="shared" si="6"/>
        <v>36.75</v>
      </c>
      <c r="P454" s="13">
        <v>441</v>
      </c>
      <c r="Q454" s="22"/>
      <c r="R454" s="19"/>
      <c r="S454" s="22"/>
      <c r="T454" s="19"/>
      <c r="U454" s="24">
        <v>3.9237711623547611E-2</v>
      </c>
      <c r="V454" s="24">
        <f>(1+U455)^P455/(1+U454)^P454-1</f>
        <v>5.5789251276949781E-3</v>
      </c>
      <c r="W454" s="23"/>
      <c r="X454" s="35"/>
    </row>
    <row r="455" spans="15:24" ht="17.100000000000001" customHeight="1">
      <c r="O455" s="12">
        <f t="shared" si="6"/>
        <v>36.833333333333336</v>
      </c>
      <c r="P455" s="13">
        <v>442</v>
      </c>
      <c r="Q455" s="22"/>
      <c r="R455" s="19"/>
      <c r="S455" s="22"/>
      <c r="T455" s="19"/>
      <c r="U455" s="24">
        <v>3.91603029256542E-2</v>
      </c>
      <c r="V455" s="24">
        <f>(1+U456)^P456/(1+U455)^P455-1</f>
        <v>5.5006870330498447E-3</v>
      </c>
      <c r="W455" s="23"/>
      <c r="X455" s="35"/>
    </row>
    <row r="456" spans="15:24" ht="17.100000000000001" customHeight="1">
      <c r="O456" s="12">
        <f t="shared" si="6"/>
        <v>36.916666666666664</v>
      </c>
      <c r="P456" s="13">
        <v>443</v>
      </c>
      <c r="Q456" s="22"/>
      <c r="R456" s="19"/>
      <c r="S456" s="22"/>
      <c r="T456" s="19"/>
      <c r="U456" s="24">
        <v>3.908306692843655E-2</v>
      </c>
      <c r="V456" s="24">
        <f>(1+U457)^P457/(1+U456)^P456-1</f>
        <v>5.4235140728458031E-3</v>
      </c>
      <c r="W456" s="23"/>
      <c r="X456" s="35"/>
    </row>
    <row r="457" spans="15:24" ht="17.100000000000001" customHeight="1">
      <c r="O457" s="12">
        <f t="shared" si="6"/>
        <v>37</v>
      </c>
      <c r="P457" s="13">
        <v>444</v>
      </c>
      <c r="Q457" s="22"/>
      <c r="R457" s="19"/>
      <c r="S457" s="22"/>
      <c r="T457" s="19"/>
      <c r="U457" s="24">
        <v>3.9006004931301241E-2</v>
      </c>
      <c r="V457" s="24">
        <f>(1+U458)^P458/(1+U457)^P457-1</f>
        <v>5.3473926403946326E-3</v>
      </c>
      <c r="W457" s="23"/>
      <c r="X457" s="35"/>
    </row>
    <row r="458" spans="15:24" ht="17.100000000000001" customHeight="1">
      <c r="O458" s="12">
        <f t="shared" si="6"/>
        <v>37.083333333333336</v>
      </c>
      <c r="P458" s="13">
        <v>445</v>
      </c>
      <c r="Q458" s="22"/>
      <c r="R458" s="19"/>
      <c r="S458" s="22"/>
      <c r="T458" s="19"/>
      <c r="U458" s="24">
        <v>3.8929118190297096E-2</v>
      </c>
      <c r="V458" s="24">
        <f>(1+U459)^P459/(1+U458)^P458-1</f>
        <v>5.2723092781077341E-3</v>
      </c>
      <c r="W458" s="23"/>
      <c r="X458" s="35"/>
    </row>
    <row r="459" spans="15:24" ht="17.100000000000001" customHeight="1">
      <c r="O459" s="12">
        <f t="shared" si="6"/>
        <v>37.166666666666664</v>
      </c>
      <c r="P459" s="13">
        <v>446</v>
      </c>
      <c r="Q459" s="22"/>
      <c r="R459" s="19"/>
      <c r="S459" s="22"/>
      <c r="T459" s="19"/>
      <c r="U459" s="24">
        <v>3.8852407918943177E-2</v>
      </c>
      <c r="V459" s="24">
        <f>(1+U460)^P460/(1+U459)^P459-1</f>
        <v>5.1982506761842906E-3</v>
      </c>
      <c r="W459" s="23"/>
      <c r="X459" s="35"/>
    </row>
    <row r="460" spans="15:24" ht="17.100000000000001" customHeight="1">
      <c r="O460" s="12">
        <f t="shared" si="6"/>
        <v>37.25</v>
      </c>
      <c r="P460" s="13">
        <v>447</v>
      </c>
      <c r="Q460" s="22"/>
      <c r="R460" s="19"/>
      <c r="S460" s="22"/>
      <c r="T460" s="19"/>
      <c r="U460" s="24">
        <v>3.8775875289045025E-2</v>
      </c>
      <c r="V460" s="24">
        <f>(1+U461)^P461/(1+U460)^P460-1</f>
        <v>5.1252036713571592E-3</v>
      </c>
      <c r="W460" s="23"/>
      <c r="X460" s="35"/>
    </row>
    <row r="461" spans="15:24" ht="17.100000000000001" customHeight="1">
      <c r="O461" s="12">
        <f t="shared" si="6"/>
        <v>37.333333333333336</v>
      </c>
      <c r="P461" s="13">
        <v>448</v>
      </c>
      <c r="Q461" s="22"/>
      <c r="R461" s="19"/>
      <c r="S461" s="22"/>
      <c r="T461" s="19"/>
      <c r="U461" s="24">
        <v>3.8699521431495576E-2</v>
      </c>
      <c r="V461" s="24">
        <f>(1+U462)^P462/(1+U461)^P461-1</f>
        <v>5.0531552472050656E-3</v>
      </c>
      <c r="W461" s="23"/>
      <c r="X461" s="35"/>
    </row>
    <row r="462" spans="15:24" ht="17.100000000000001" customHeight="1">
      <c r="O462" s="12">
        <f t="shared" ref="O462:O525" si="7">P462/12</f>
        <v>37.416666666666664</v>
      </c>
      <c r="P462" s="13">
        <v>449</v>
      </c>
      <c r="Q462" s="22"/>
      <c r="R462" s="19"/>
      <c r="S462" s="22"/>
      <c r="T462" s="19"/>
      <c r="U462" s="24">
        <v>3.8623347437066968E-2</v>
      </c>
      <c r="V462" s="24">
        <f>(1+U463)^P463/(1+U462)^P462-1</f>
        <v>4.9820925321384379E-3</v>
      </c>
      <c r="W462" s="23"/>
      <c r="X462" s="35"/>
    </row>
    <row r="463" spans="15:24" ht="17.100000000000001" customHeight="1">
      <c r="O463" s="12">
        <f t="shared" si="7"/>
        <v>37.5</v>
      </c>
      <c r="P463" s="13">
        <v>450</v>
      </c>
      <c r="Q463" s="22"/>
      <c r="R463" s="19"/>
      <c r="S463" s="22"/>
      <c r="T463" s="19"/>
      <c r="U463" s="24">
        <v>3.8547354357187702E-2</v>
      </c>
      <c r="V463" s="24">
        <f>(1+U464)^P464/(1+U463)^P463-1</f>
        <v>4.9120027978926117E-3</v>
      </c>
      <c r="W463" s="23"/>
      <c r="X463" s="35"/>
    </row>
    <row r="464" spans="15:24" ht="17.100000000000001" customHeight="1">
      <c r="O464" s="12">
        <f t="shared" si="7"/>
        <v>37.583333333333336</v>
      </c>
      <c r="P464" s="13">
        <v>451</v>
      </c>
      <c r="Q464" s="22"/>
      <c r="R464" s="19"/>
      <c r="S464" s="22"/>
      <c r="T464" s="19"/>
      <c r="U464" s="24">
        <v>3.8471543204705583E-2</v>
      </c>
      <c r="V464" s="24">
        <f>(1+U465)^P465/(1+U464)^P464-1</f>
        <v>4.8428734607619539E-3</v>
      </c>
      <c r="W464" s="23"/>
      <c r="X464" s="35"/>
    </row>
    <row r="465" spans="15:24" ht="17.100000000000001" customHeight="1">
      <c r="O465" s="12">
        <f t="shared" si="7"/>
        <v>37.666666666666664</v>
      </c>
      <c r="P465" s="13">
        <v>452</v>
      </c>
      <c r="Q465" s="22"/>
      <c r="R465" s="19"/>
      <c r="S465" s="22"/>
      <c r="T465" s="19"/>
      <c r="U465" s="24">
        <v>3.8395914954643784E-2</v>
      </c>
      <c r="V465" s="24">
        <f>(1+U466)^P466/(1+U465)^P465-1</f>
        <v>4.7746920779130342E-3</v>
      </c>
      <c r="W465" s="23"/>
      <c r="X465" s="35"/>
    </row>
    <row r="466" spans="15:24" ht="17.100000000000001" customHeight="1">
      <c r="O466" s="12">
        <f t="shared" si="7"/>
        <v>37.75</v>
      </c>
      <c r="P466" s="13">
        <v>453</v>
      </c>
      <c r="Q466" s="22"/>
      <c r="R466" s="19"/>
      <c r="S466" s="22"/>
      <c r="T466" s="19"/>
      <c r="U466" s="24">
        <v>3.8320470544938701E-2</v>
      </c>
      <c r="V466" s="24">
        <f>(1+U467)^P467/(1+U466)^P466-1</f>
        <v>4.7074463482474904E-3</v>
      </c>
      <c r="W466" s="23"/>
      <c r="X466" s="35"/>
    </row>
    <row r="467" spans="15:24" ht="17.100000000000001" customHeight="1">
      <c r="O467" s="12">
        <f t="shared" si="7"/>
        <v>37.833333333333336</v>
      </c>
      <c r="P467" s="13">
        <v>454</v>
      </c>
      <c r="Q467" s="22"/>
      <c r="R467" s="19"/>
      <c r="S467" s="22"/>
      <c r="T467" s="19"/>
      <c r="U467" s="24">
        <v>3.8245210877170477E-2</v>
      </c>
      <c r="V467" s="24">
        <f>(1+U468)^P468/(1+U467)^P467-1</f>
        <v>4.6411241104302725E-3</v>
      </c>
      <c r="W467" s="23"/>
      <c r="X467" s="35"/>
    </row>
    <row r="468" spans="15:24" ht="17.100000000000001" customHeight="1">
      <c r="O468" s="12">
        <f t="shared" si="7"/>
        <v>37.916666666666664</v>
      </c>
      <c r="P468" s="13">
        <v>455</v>
      </c>
      <c r="Q468" s="22"/>
      <c r="R468" s="19"/>
      <c r="S468" s="22"/>
      <c r="T468" s="19"/>
      <c r="U468" s="24">
        <v>3.8170136817278877E-2</v>
      </c>
      <c r="V468" s="24">
        <f>(1+U469)^P469/(1+U468)^P468-1</f>
        <v>4.575713342410026E-3</v>
      </c>
      <c r="W468" s="23"/>
      <c r="X468" s="35"/>
    </row>
    <row r="469" spans="15:24" ht="17.100000000000001" customHeight="1">
      <c r="O469" s="12">
        <f t="shared" si="7"/>
        <v>38</v>
      </c>
      <c r="P469" s="13">
        <v>456</v>
      </c>
      <c r="Q469" s="22"/>
      <c r="R469" s="19"/>
      <c r="S469" s="22"/>
      <c r="T469" s="19"/>
      <c r="U469" s="24">
        <v>3.8095249196269609E-2</v>
      </c>
      <c r="V469" s="24">
        <f>(1+U470)^P470/(1+U469)^P469-1</f>
        <v>4.5112021602602415E-3</v>
      </c>
      <c r="W469" s="23"/>
      <c r="X469" s="35"/>
    </row>
    <row r="470" spans="15:24" ht="17.100000000000001" customHeight="1">
      <c r="O470" s="12">
        <f t="shared" si="7"/>
        <v>38.083333333333336</v>
      </c>
      <c r="P470" s="13">
        <v>457</v>
      </c>
      <c r="Q470" s="22"/>
      <c r="R470" s="19"/>
      <c r="S470" s="22"/>
      <c r="T470" s="19"/>
      <c r="U470" s="24">
        <v>3.8020548810907995E-2</v>
      </c>
      <c r="V470" s="24">
        <f>(1+U471)^P471/(1+U470)^P470-1</f>
        <v>4.4475788163260699E-3</v>
      </c>
      <c r="W470" s="23"/>
      <c r="X470" s="35"/>
    </row>
    <row r="471" spans="15:24" ht="17.100000000000001" customHeight="1">
      <c r="O471" s="12">
        <f t="shared" si="7"/>
        <v>38.166666666666664</v>
      </c>
      <c r="P471" s="13">
        <v>458</v>
      </c>
      <c r="Q471" s="22"/>
      <c r="R471" s="19"/>
      <c r="S471" s="22"/>
      <c r="T471" s="19"/>
      <c r="U471" s="24">
        <v>3.7946036424400864E-2</v>
      </c>
      <c r="V471" s="24">
        <f>(1+U472)^P472/(1+U471)^P471-1</f>
        <v>4.3848316996153436E-3</v>
      </c>
      <c r="W471" s="23"/>
      <c r="X471" s="35"/>
    </row>
    <row r="472" spans="15:24" ht="17.100000000000001" customHeight="1">
      <c r="O472" s="12">
        <f t="shared" si="7"/>
        <v>38.25</v>
      </c>
      <c r="P472" s="13">
        <v>459</v>
      </c>
      <c r="Q472" s="22"/>
      <c r="R472" s="19"/>
      <c r="S472" s="22"/>
      <c r="T472" s="19"/>
      <c r="U472" s="24">
        <v>3.7871712767068688E-2</v>
      </c>
      <c r="V472" s="24">
        <f>(1+U473)^P473/(1+U472)^P472-1</f>
        <v>4.3229493334335789E-3</v>
      </c>
      <c r="W472" s="23"/>
      <c r="X472" s="35"/>
    </row>
    <row r="473" spans="15:24" ht="17.100000000000001" customHeight="1">
      <c r="O473" s="12">
        <f t="shared" si="7"/>
        <v>38.333333333333336</v>
      </c>
      <c r="P473" s="13">
        <v>460</v>
      </c>
      <c r="Q473" s="22"/>
      <c r="R473" s="19"/>
      <c r="S473" s="22"/>
      <c r="T473" s="19"/>
      <c r="U473" s="24">
        <v>3.7797578537005938E-2</v>
      </c>
      <c r="V473" s="24">
        <f>(1+U474)^P474/(1+U473)^P473-1</f>
        <v>4.2619203748097689E-3</v>
      </c>
      <c r="W473" s="23"/>
      <c r="X473" s="35"/>
    </row>
    <row r="474" spans="15:24" ht="17.100000000000001" customHeight="1">
      <c r="O474" s="12">
        <f t="shared" si="7"/>
        <v>38.416666666666664</v>
      </c>
      <c r="P474" s="13">
        <v>461</v>
      </c>
      <c r="Q474" s="22"/>
      <c r="R474" s="19"/>
      <c r="S474" s="22"/>
      <c r="T474" s="19"/>
      <c r="U474" s="24">
        <v>3.7723634400729456E-2</v>
      </c>
      <c r="V474" s="24">
        <f>(1+U475)^P475/(1+U474)^P474-1</f>
        <v>4.2017336140844908E-3</v>
      </c>
      <c r="W474" s="23"/>
      <c r="X474" s="35"/>
    </row>
    <row r="475" spans="15:24" ht="17.100000000000001" customHeight="1">
      <c r="O475" s="12">
        <f t="shared" si="7"/>
        <v>38.5</v>
      </c>
      <c r="P475" s="13">
        <v>462</v>
      </c>
      <c r="Q475" s="22"/>
      <c r="R475" s="19"/>
      <c r="S475" s="22"/>
      <c r="T475" s="19"/>
      <c r="U475" s="24">
        <v>3.7649880993819274E-2</v>
      </c>
      <c r="V475" s="24">
        <f>(1+U476)^P476/(1+U475)^P475-1</f>
        <v>4.1423779721165843E-3</v>
      </c>
      <c r="W475" s="23"/>
      <c r="X475" s="35"/>
    </row>
    <row r="476" spans="15:24" ht="17.100000000000001" customHeight="1">
      <c r="O476" s="12">
        <f t="shared" si="7"/>
        <v>38.583333333333336</v>
      </c>
      <c r="P476" s="13">
        <v>463</v>
      </c>
      <c r="Q476" s="22"/>
      <c r="R476" s="19"/>
      <c r="S476" s="22"/>
      <c r="T476" s="19"/>
      <c r="U476" s="24">
        <v>3.7576318921544782E-2</v>
      </c>
      <c r="V476" s="24">
        <f>(1+U477)^P477/(1+U476)^P476-1</f>
        <v>4.0838425011535673E-3</v>
      </c>
      <c r="W476" s="23"/>
      <c r="X476" s="35"/>
    </row>
    <row r="477" spans="15:24" ht="17.100000000000001" customHeight="1">
      <c r="O477" s="12">
        <f t="shared" si="7"/>
        <v>38.666666666666664</v>
      </c>
      <c r="P477" s="13">
        <v>464</v>
      </c>
      <c r="Q477" s="22"/>
      <c r="R477" s="19"/>
      <c r="S477" s="22"/>
      <c r="T477" s="19"/>
      <c r="U477" s="24">
        <v>3.7502948759483345E-2</v>
      </c>
      <c r="V477" s="24">
        <f>(1+U478)^P478/(1+U477)^P477-1</f>
        <v>4.0261163821162516E-3</v>
      </c>
      <c r="W477" s="23"/>
      <c r="X477" s="35"/>
    </row>
    <row r="478" spans="15:24" ht="17.100000000000001" customHeight="1">
      <c r="O478" s="12">
        <f t="shared" si="7"/>
        <v>38.75</v>
      </c>
      <c r="P478" s="13">
        <v>465</v>
      </c>
      <c r="Q478" s="22"/>
      <c r="R478" s="19"/>
      <c r="S478" s="22"/>
      <c r="T478" s="19"/>
      <c r="U478" s="24">
        <v>3.742977105412737E-2</v>
      </c>
      <c r="V478" s="24">
        <f>(1+U479)^P479/(1+U478)^P478-1</f>
        <v>3.9691889244632961E-3</v>
      </c>
      <c r="W478" s="23"/>
      <c r="X478" s="35"/>
    </row>
    <row r="479" spans="15:24" ht="17.100000000000001" customHeight="1">
      <c r="O479" s="12">
        <f t="shared" si="7"/>
        <v>38.833333333333336</v>
      </c>
      <c r="P479" s="13">
        <v>466</v>
      </c>
      <c r="Q479" s="22"/>
      <c r="R479" s="19"/>
      <c r="S479" s="22"/>
      <c r="T479" s="19"/>
      <c r="U479" s="24">
        <v>3.7356786323481384E-2</v>
      </c>
      <c r="V479" s="24">
        <f>(1+U480)^P480/(1+U479)^P479-1</f>
        <v>3.913049564937765E-3</v>
      </c>
      <c r="W479" s="23"/>
      <c r="X479" s="35"/>
    </row>
    <row r="480" spans="15:24" ht="17.100000000000001" customHeight="1">
      <c r="O480" s="12">
        <f t="shared" si="7"/>
        <v>38.916666666666664</v>
      </c>
      <c r="P480" s="13">
        <v>467</v>
      </c>
      <c r="Q480" s="22"/>
      <c r="R480" s="19"/>
      <c r="S480" s="22"/>
      <c r="T480" s="19"/>
      <c r="U480" s="24">
        <v>3.7283995057649788E-2</v>
      </c>
      <c r="V480" s="24">
        <f>(1+U481)^P481/(1+U480)^P480-1</f>
        <v>3.8576878662133218E-3</v>
      </c>
      <c r="W480" s="23"/>
      <c r="X480" s="35"/>
    </row>
    <row r="481" spans="15:24" ht="17.100000000000001" customHeight="1">
      <c r="O481" s="12">
        <f t="shared" si="7"/>
        <v>39</v>
      </c>
      <c r="P481" s="13">
        <v>468</v>
      </c>
      <c r="Q481" s="22"/>
      <c r="R481" s="19"/>
      <c r="S481" s="22"/>
      <c r="T481" s="19"/>
      <c r="U481" s="24">
        <v>3.7211397719413508E-2</v>
      </c>
      <c r="V481" s="24">
        <f>(1+U482)^P482/(1+U481)^P481-1</f>
        <v>3.8030935157591372E-3</v>
      </c>
      <c r="W481" s="23"/>
      <c r="X481" s="35"/>
    </row>
    <row r="482" spans="15:24" ht="17.100000000000001" customHeight="1">
      <c r="O482" s="12">
        <f t="shared" si="7"/>
        <v>39.083333333333336</v>
      </c>
      <c r="P482" s="13">
        <v>469</v>
      </c>
      <c r="Q482" s="22"/>
      <c r="R482" s="19"/>
      <c r="S482" s="22"/>
      <c r="T482" s="19"/>
      <c r="U482" s="24">
        <v>3.713899474479776E-2</v>
      </c>
      <c r="V482" s="24">
        <f>(1+U483)^P483/(1+U482)^P482-1</f>
        <v>3.7492563249916788E-3</v>
      </c>
      <c r="W482" s="23"/>
      <c r="X482" s="35"/>
    </row>
    <row r="483" spans="15:24" ht="17.100000000000001" customHeight="1">
      <c r="O483" s="12">
        <f t="shared" si="7"/>
        <v>39.166666666666664</v>
      </c>
      <c r="P483" s="13">
        <v>470</v>
      </c>
      <c r="Q483" s="22"/>
      <c r="R483" s="19"/>
      <c r="S483" s="22"/>
      <c r="T483" s="19"/>
      <c r="U483" s="24">
        <v>3.7066786543629826E-2</v>
      </c>
      <c r="V483" s="24">
        <f>(1+U484)^P484/(1+U483)^P483-1</f>
        <v>3.6961662277119611E-3</v>
      </c>
      <c r="W483" s="23"/>
      <c r="X483" s="35"/>
    </row>
    <row r="484" spans="15:24" ht="17.100000000000001" customHeight="1">
      <c r="O484" s="12">
        <f t="shared" si="7"/>
        <v>39.25</v>
      </c>
      <c r="P484" s="13">
        <v>471</v>
      </c>
      <c r="Q484" s="22"/>
      <c r="R484" s="19"/>
      <c r="S484" s="22"/>
      <c r="T484" s="19"/>
      <c r="U484" s="24">
        <v>3.6994773500086842E-2</v>
      </c>
      <c r="V484" s="24">
        <f>(1+U485)^P485/(1+U484)^P484-1</f>
        <v>3.6438132800244993E-3</v>
      </c>
      <c r="W484" s="23"/>
      <c r="X484" s="35"/>
    </row>
    <row r="485" spans="15:24" ht="17.100000000000001" customHeight="1">
      <c r="O485" s="12">
        <f t="shared" si="7"/>
        <v>39.333333333333336</v>
      </c>
      <c r="P485" s="13">
        <v>472</v>
      </c>
      <c r="Q485" s="22"/>
      <c r="R485" s="19"/>
      <c r="S485" s="22"/>
      <c r="T485" s="19"/>
      <c r="U485" s="24">
        <v>3.6922955973236471E-2</v>
      </c>
      <c r="V485" s="24">
        <f>(1+U486)^P486/(1+U485)^P485-1</f>
        <v>3.5921876575839562E-3</v>
      </c>
      <c r="W485" s="23"/>
      <c r="X485" s="35"/>
    </row>
    <row r="486" spans="15:24" ht="17.100000000000001" customHeight="1">
      <c r="O486" s="12">
        <f t="shared" si="7"/>
        <v>39.416666666666664</v>
      </c>
      <c r="P486" s="13">
        <v>473</v>
      </c>
      <c r="Q486" s="22"/>
      <c r="R486" s="19"/>
      <c r="S486" s="22"/>
      <c r="T486" s="19"/>
      <c r="U486" s="24">
        <v>3.6851334297564931E-2</v>
      </c>
      <c r="V486" s="24">
        <f>(1+U487)^P487/(1+U486)^P486-1</f>
        <v>3.5412796561515858E-3</v>
      </c>
      <c r="W486" s="23"/>
      <c r="X486" s="35"/>
    </row>
    <row r="487" spans="15:24" ht="17.100000000000001" customHeight="1">
      <c r="O487" s="12">
        <f t="shared" si="7"/>
        <v>39.5</v>
      </c>
      <c r="P487" s="13">
        <v>474</v>
      </c>
      <c r="Q487" s="22"/>
      <c r="R487" s="19"/>
      <c r="S487" s="22"/>
      <c r="T487" s="19"/>
      <c r="U487" s="24">
        <v>3.6779908783499016E-2</v>
      </c>
      <c r="V487" s="24">
        <f>(1+U488)^P488/(1+U487)^P487-1</f>
        <v>3.4910796889038309E-3</v>
      </c>
      <c r="W487" s="23"/>
      <c r="X487" s="35"/>
    </row>
    <row r="488" spans="15:24" ht="17.100000000000001" customHeight="1">
      <c r="O488" s="12">
        <f t="shared" si="7"/>
        <v>39.583333333333336</v>
      </c>
      <c r="P488" s="13">
        <v>475</v>
      </c>
      <c r="Q488" s="22"/>
      <c r="R488" s="19"/>
      <c r="S488" s="22"/>
      <c r="T488" s="19"/>
      <c r="U488" s="24">
        <v>3.6708679717916359E-2</v>
      </c>
      <c r="V488" s="24">
        <f>(1+U489)^P489/(1+U488)^P488-1</f>
        <v>3.4415782871763945E-3</v>
      </c>
      <c r="W488" s="23"/>
      <c r="X488" s="35"/>
    </row>
    <row r="489" spans="15:24" ht="17.100000000000001" customHeight="1">
      <c r="O489" s="12">
        <f t="shared" si="7"/>
        <v>39.666666666666664</v>
      </c>
      <c r="P489" s="13">
        <v>476</v>
      </c>
      <c r="Q489" s="22"/>
      <c r="R489" s="19"/>
      <c r="S489" s="22"/>
      <c r="T489" s="19"/>
      <c r="U489" s="24">
        <v>3.6637647364650583E-2</v>
      </c>
      <c r="V489" s="24">
        <f>(1+U490)^P490/(1+U489)^P489-1</f>
        <v>3.3927660972843388E-3</v>
      </c>
      <c r="W489" s="23"/>
      <c r="X489" s="35"/>
    </row>
    <row r="490" spans="15:24" ht="17.100000000000001" customHeight="1">
      <c r="O490" s="12">
        <f t="shared" si="7"/>
        <v>39.75</v>
      </c>
      <c r="P490" s="13">
        <v>477</v>
      </c>
      <c r="Q490" s="22"/>
      <c r="R490" s="19"/>
      <c r="S490" s="22"/>
      <c r="T490" s="19"/>
      <c r="U490" s="24">
        <v>3.6566811964983348E-2</v>
      </c>
      <c r="V490" s="24">
        <f>(1+U491)^P491/(1+U490)^P490-1</f>
        <v>3.3446338806515374E-3</v>
      </c>
      <c r="W490" s="23"/>
      <c r="X490" s="35"/>
    </row>
    <row r="491" spans="15:24" ht="17.100000000000001" customHeight="1">
      <c r="O491" s="12">
        <f t="shared" si="7"/>
        <v>39.833333333333336</v>
      </c>
      <c r="P491" s="13">
        <v>478</v>
      </c>
      <c r="Q491" s="22"/>
      <c r="R491" s="19"/>
      <c r="S491" s="22"/>
      <c r="T491" s="19"/>
      <c r="U491" s="24">
        <v>3.6496173738130855E-2</v>
      </c>
      <c r="V491" s="24">
        <f>(1+U492)^P492/(1+U491)^P491-1</f>
        <v>3.2971725133177365E-3</v>
      </c>
      <c r="W491" s="23"/>
      <c r="X491" s="35"/>
    </row>
    <row r="492" spans="15:24" ht="17.100000000000001" customHeight="1">
      <c r="O492" s="12">
        <f t="shared" si="7"/>
        <v>39.916666666666664</v>
      </c>
      <c r="P492" s="13">
        <v>479</v>
      </c>
      <c r="Q492" s="22"/>
      <c r="R492" s="19"/>
      <c r="S492" s="22"/>
      <c r="T492" s="19"/>
      <c r="U492" s="24">
        <v>3.642573288172235E-2</v>
      </c>
      <c r="V492" s="24">
        <f>(1+U493)^P493/(1+U492)^P492-1</f>
        <v>3.2503729824879812E-3</v>
      </c>
      <c r="W492" s="23"/>
      <c r="X492" s="35"/>
    </row>
    <row r="493" spans="15:24" ht="17.100000000000001" customHeight="1">
      <c r="O493" s="12">
        <f t="shared" si="7"/>
        <v>40</v>
      </c>
      <c r="P493" s="13">
        <v>480</v>
      </c>
      <c r="Q493" s="22"/>
      <c r="R493" s="19"/>
      <c r="S493" s="22"/>
      <c r="T493" s="19"/>
      <c r="U493" s="24">
        <v>3.635548957226642E-2</v>
      </c>
      <c r="V493" s="24">
        <f>(1+U494)^P494/(1+U493)^P493-1</f>
        <v>3.2042263880838195E-3</v>
      </c>
      <c r="W493" s="23"/>
      <c r="X493" s="35"/>
    </row>
    <row r="494" spans="15:24" ht="17.100000000000001" customHeight="1">
      <c r="O494" s="12">
        <f t="shared" si="7"/>
        <v>40.083333333333336</v>
      </c>
      <c r="P494" s="13">
        <v>481</v>
      </c>
      <c r="Q494" s="22"/>
      <c r="R494" s="19"/>
      <c r="S494" s="22"/>
      <c r="T494" s="19"/>
      <c r="U494" s="24">
        <v>3.6285443965613728E-2</v>
      </c>
      <c r="V494" s="24">
        <f>(1+U495)^P495/(1+U494)^P494-1</f>
        <v>3.1587239398742639E-3</v>
      </c>
      <c r="W494" s="23"/>
      <c r="X494" s="35"/>
    </row>
    <row r="495" spans="15:24" ht="17.100000000000001" customHeight="1">
      <c r="O495" s="12">
        <f t="shared" si="7"/>
        <v>40.166666666666664</v>
      </c>
      <c r="P495" s="13">
        <v>482</v>
      </c>
      <c r="Q495" s="22"/>
      <c r="R495" s="19"/>
      <c r="S495" s="22"/>
      <c r="T495" s="19"/>
      <c r="U495" s="24">
        <v>3.6215596197408884E-2</v>
      </c>
      <c r="V495" s="24">
        <f>(1+U496)^P496/(1+U495)^P495-1</f>
        <v>3.1138569570829944E-3</v>
      </c>
      <c r="W495" s="23"/>
      <c r="X495" s="35"/>
    </row>
    <row r="496" spans="15:24" ht="17.100000000000001" customHeight="1">
      <c r="O496" s="12">
        <f t="shared" si="7"/>
        <v>40.25</v>
      </c>
      <c r="P496" s="13">
        <v>483</v>
      </c>
      <c r="Q496" s="22"/>
      <c r="R496" s="19"/>
      <c r="S496" s="22"/>
      <c r="T496" s="19"/>
      <c r="U496" s="24">
        <v>3.6145946383534966E-2</v>
      </c>
      <c r="V496" s="24">
        <f>(1+U497)^P497/(1+U496)^P496-1</f>
        <v>3.0696168672796897E-3</v>
      </c>
      <c r="W496" s="23"/>
      <c r="X496" s="35"/>
    </row>
    <row r="497" spans="15:24" ht="17.100000000000001" customHeight="1">
      <c r="O497" s="12">
        <f t="shared" si="7"/>
        <v>40.333333333333336</v>
      </c>
      <c r="P497" s="13">
        <v>484</v>
      </c>
      <c r="Q497" s="22"/>
      <c r="R497" s="19"/>
      <c r="S497" s="22"/>
      <c r="T497" s="19"/>
      <c r="U497" s="24">
        <v>3.6076494620550958E-2</v>
      </c>
      <c r="V497" s="24">
        <f>(1+U498)^P498/(1+U497)^P497-1</f>
        <v>3.025995204863241E-3</v>
      </c>
      <c r="W497" s="23"/>
      <c r="X497" s="35"/>
    </row>
    <row r="498" spans="15:24" ht="17.100000000000001" customHeight="1">
      <c r="O498" s="12">
        <f t="shared" si="7"/>
        <v>40.416666666666664</v>
      </c>
      <c r="P498" s="13">
        <v>485</v>
      </c>
      <c r="Q498" s="22"/>
      <c r="R498" s="19"/>
      <c r="S498" s="22"/>
      <c r="T498" s="19"/>
      <c r="U498" s="24">
        <v>3.6007240986119848E-2</v>
      </c>
      <c r="V498" s="24">
        <f>(1+U499)^P499/(1+U498)^P498-1</f>
        <v>2.9829836106498586E-3</v>
      </c>
      <c r="W498" s="23"/>
      <c r="X498" s="35"/>
    </row>
    <row r="499" spans="15:24" ht="17.100000000000001" customHeight="1">
      <c r="O499" s="12">
        <f t="shared" si="7"/>
        <v>40.5</v>
      </c>
      <c r="P499" s="13">
        <v>486</v>
      </c>
      <c r="Q499" s="22"/>
      <c r="R499" s="19"/>
      <c r="S499" s="22"/>
      <c r="T499" s="19"/>
      <c r="U499" s="24">
        <v>3.5938185539431622E-2</v>
      </c>
      <c r="V499" s="24">
        <f>(1+U500)^P500/(1+U499)^P499-1</f>
        <v>2.9405738299563833E-3</v>
      </c>
      <c r="W499" s="23"/>
      <c r="X499" s="35"/>
    </row>
    <row r="500" spans="15:24" ht="17.100000000000001" customHeight="1">
      <c r="O500" s="12">
        <f t="shared" si="7"/>
        <v>40.583333333333336</v>
      </c>
      <c r="P500" s="13">
        <v>487</v>
      </c>
      <c r="Q500" s="22"/>
      <c r="R500" s="19"/>
      <c r="S500" s="22"/>
      <c r="T500" s="19"/>
      <c r="U500" s="24">
        <v>3.5869328321615379E-2</v>
      </c>
      <c r="V500" s="24">
        <f>(1+U501)^P501/(1+U500)^P500-1</f>
        <v>2.8987577121930563E-3</v>
      </c>
      <c r="W500" s="23"/>
      <c r="X500" s="35"/>
    </row>
    <row r="501" spans="15:24" ht="17.100000000000001" customHeight="1">
      <c r="O501" s="12">
        <f t="shared" si="7"/>
        <v>40.666666666666664</v>
      </c>
      <c r="P501" s="13">
        <v>488</v>
      </c>
      <c r="Q501" s="22"/>
      <c r="R501" s="19"/>
      <c r="S501" s="22"/>
      <c r="T501" s="19"/>
      <c r="U501" s="24">
        <v>3.5800669356147452E-2</v>
      </c>
      <c r="V501" s="24">
        <f>(1+U502)^P502/(1+U501)^P501-1</f>
        <v>2.8575272094435444E-3</v>
      </c>
      <c r="W501" s="23"/>
      <c r="X501" s="35"/>
    </row>
    <row r="502" spans="15:24" ht="17.100000000000001" customHeight="1">
      <c r="O502" s="12">
        <f t="shared" si="7"/>
        <v>40.75</v>
      </c>
      <c r="P502" s="13">
        <v>489</v>
      </c>
      <c r="Q502" s="22"/>
      <c r="R502" s="19"/>
      <c r="S502" s="22"/>
      <c r="T502" s="19"/>
      <c r="U502" s="24">
        <v>3.5732208649249975E-2</v>
      </c>
      <c r="V502" s="24">
        <f>(1+U503)^P503/(1+U502)^P502-1</f>
        <v>2.816874375426881E-3</v>
      </c>
      <c r="W502" s="23"/>
      <c r="X502" s="35"/>
    </row>
    <row r="503" spans="15:24" ht="17.100000000000001" customHeight="1">
      <c r="O503" s="12">
        <f t="shared" si="7"/>
        <v>40.833333333333336</v>
      </c>
      <c r="P503" s="13">
        <v>490</v>
      </c>
      <c r="Q503" s="22"/>
      <c r="R503" s="19"/>
      <c r="S503" s="22"/>
      <c r="T503" s="19"/>
      <c r="U503" s="24">
        <v>3.5663946190283236E-2</v>
      </c>
      <c r="V503" s="24">
        <f>(1+U504)^P504/(1+U503)^P503-1</f>
        <v>2.7767913646685738E-3</v>
      </c>
      <c r="W503" s="23"/>
      <c r="X503" s="35"/>
    </row>
    <row r="504" spans="15:24" ht="17.100000000000001" customHeight="1">
      <c r="O504" s="12">
        <f t="shared" si="7"/>
        <v>40.916666666666664</v>
      </c>
      <c r="P504" s="13">
        <v>491</v>
      </c>
      <c r="Q504" s="22"/>
      <c r="R504" s="19"/>
      <c r="S504" s="22"/>
      <c r="T504" s="19"/>
      <c r="U504" s="24">
        <v>3.5595881952131148E-2</v>
      </c>
      <c r="V504" s="24">
        <f>(1+U505)^P505/(1+U504)^P504-1</f>
        <v>2.7372704313246565E-3</v>
      </c>
      <c r="W504" s="23"/>
      <c r="X504" s="35"/>
    </row>
    <row r="505" spans="15:24" ht="17.100000000000001" customHeight="1">
      <c r="O505" s="12">
        <f t="shared" si="7"/>
        <v>41</v>
      </c>
      <c r="P505" s="13">
        <v>492</v>
      </c>
      <c r="Q505" s="22"/>
      <c r="R505" s="19"/>
      <c r="S505" s="22"/>
      <c r="T505" s="19"/>
      <c r="U505" s="24">
        <v>3.5528015891579834E-2</v>
      </c>
      <c r="V505" s="24">
        <f>(1+U506)^P506/(1+U505)^P505-1</f>
        <v>2.6983039273760223E-3</v>
      </c>
      <c r="W505" s="23"/>
      <c r="X505" s="35"/>
    </row>
    <row r="506" spans="15:24" ht="17.100000000000001" customHeight="1">
      <c r="O506" s="12">
        <f t="shared" si="7"/>
        <v>41.083333333333336</v>
      </c>
      <c r="P506" s="13">
        <v>493</v>
      </c>
      <c r="Q506" s="22"/>
      <c r="R506" s="19"/>
      <c r="S506" s="22"/>
      <c r="T506" s="19"/>
      <c r="U506" s="24">
        <v>3.5460347949687332E-2</v>
      </c>
      <c r="V506" s="24">
        <f>(1+U507)^P507/(1+U506)^P506-1</f>
        <v>2.6598843031517827E-3</v>
      </c>
      <c r="W506" s="23"/>
      <c r="X506" s="35"/>
    </row>
    <row r="507" spans="15:24" ht="17.100000000000001" customHeight="1">
      <c r="O507" s="12">
        <f t="shared" si="7"/>
        <v>41.166666666666664</v>
      </c>
      <c r="P507" s="13">
        <v>494</v>
      </c>
      <c r="Q507" s="22"/>
      <c r="R507" s="19"/>
      <c r="S507" s="22"/>
      <c r="T507" s="19"/>
      <c r="U507" s="24">
        <v>3.5392878052150634E-2</v>
      </c>
      <c r="V507" s="24">
        <f>(1+U508)^P508/(1+U507)^P507-1</f>
        <v>2.6220041043036879E-3</v>
      </c>
      <c r="W507" s="23"/>
      <c r="X507" s="35"/>
    </row>
    <row r="508" spans="15:24" ht="17.100000000000001" customHeight="1">
      <c r="O508" s="12">
        <f t="shared" si="7"/>
        <v>41.25</v>
      </c>
      <c r="P508" s="13">
        <v>495</v>
      </c>
      <c r="Q508" s="22"/>
      <c r="R508" s="19"/>
      <c r="S508" s="22"/>
      <c r="T508" s="19"/>
      <c r="U508" s="24">
        <v>3.53256061096614E-2</v>
      </c>
      <c r="V508" s="24">
        <f>(1+U509)^P509/(1+U508)^P508-1</f>
        <v>2.5846559728761598E-3</v>
      </c>
      <c r="W508" s="23"/>
      <c r="X508" s="35"/>
    </row>
    <row r="509" spans="15:24" ht="17.100000000000001" customHeight="1">
      <c r="O509" s="12">
        <f t="shared" si="7"/>
        <v>41.333333333333336</v>
      </c>
      <c r="P509" s="13">
        <v>496</v>
      </c>
      <c r="Q509" s="22"/>
      <c r="R509" s="19"/>
      <c r="S509" s="22"/>
      <c r="T509" s="19"/>
      <c r="U509" s="24">
        <v>3.5258532018259681E-2</v>
      </c>
      <c r="V509" s="24">
        <f>(1+U510)^P510/(1+U509)^P509-1</f>
        <v>2.5478326445051991E-3</v>
      </c>
      <c r="W509" s="23"/>
      <c r="X509" s="35"/>
    </row>
    <row r="510" spans="15:24" ht="17.100000000000001" customHeight="1">
      <c r="O510" s="12">
        <f t="shared" si="7"/>
        <v>41.416666666666664</v>
      </c>
      <c r="P510" s="13">
        <v>497</v>
      </c>
      <c r="Q510" s="22"/>
      <c r="R510" s="19"/>
      <c r="S510" s="22"/>
      <c r="T510" s="19"/>
      <c r="U510" s="24">
        <v>3.5191655659677856E-2</v>
      </c>
      <c r="V510" s="24">
        <f>(1+U511)^P511/(1+U510)^P510-1</f>
        <v>2.5115269479663027E-3</v>
      </c>
      <c r="W510" s="23"/>
      <c r="X510" s="35"/>
    </row>
    <row r="511" spans="15:24" ht="17.100000000000001" customHeight="1">
      <c r="O511" s="12">
        <f t="shared" si="7"/>
        <v>41.5</v>
      </c>
      <c r="P511" s="13">
        <v>498</v>
      </c>
      <c r="Q511" s="22"/>
      <c r="R511" s="19"/>
      <c r="S511" s="22"/>
      <c r="T511" s="19"/>
      <c r="U511" s="24">
        <v>3.5124976901678817E-2</v>
      </c>
      <c r="V511" s="24">
        <f>(1+U512)^P512/(1+U511)^P511-1</f>
        <v>2.4757318054764443E-3</v>
      </c>
      <c r="W511" s="23"/>
      <c r="X511" s="35"/>
    </row>
    <row r="512" spans="15:24" ht="17.100000000000001" customHeight="1">
      <c r="O512" s="12">
        <f t="shared" si="7"/>
        <v>41.583333333333336</v>
      </c>
      <c r="P512" s="13">
        <v>499</v>
      </c>
      <c r="Q512" s="22"/>
      <c r="R512" s="19"/>
      <c r="S512" s="22"/>
      <c r="T512" s="19"/>
      <c r="U512" s="24">
        <v>3.5058495598391692E-2</v>
      </c>
      <c r="V512" s="24">
        <f>(1+U513)^P513/(1+U512)^P512-1</f>
        <v>2.4404402284352589E-3</v>
      </c>
      <c r="W512" s="23"/>
      <c r="X512" s="35"/>
    </row>
    <row r="513" spans="15:24" ht="17.100000000000001" customHeight="1">
      <c r="O513" s="12">
        <f t="shared" si="7"/>
        <v>41.666666666666664</v>
      </c>
      <c r="P513" s="13">
        <v>500</v>
      </c>
      <c r="Q513" s="22"/>
      <c r="R513" s="19"/>
      <c r="S513" s="22"/>
      <c r="T513" s="19"/>
      <c r="U513" s="24">
        <v>3.4992211590634037E-2</v>
      </c>
      <c r="V513" s="24">
        <f>(1+U514)^P514/(1+U513)^P513-1</f>
        <v>2.4056453202065953E-3</v>
      </c>
      <c r="W513" s="23"/>
      <c r="X513" s="35"/>
    </row>
    <row r="514" spans="15:24" ht="17.100000000000001" customHeight="1">
      <c r="O514" s="12">
        <f t="shared" si="7"/>
        <v>41.75</v>
      </c>
      <c r="P514" s="13">
        <v>501</v>
      </c>
      <c r="Q514" s="22"/>
      <c r="R514" s="19"/>
      <c r="S514" s="22"/>
      <c r="T514" s="19"/>
      <c r="U514" s="24">
        <v>3.4926124706235795E-2</v>
      </c>
      <c r="V514" s="24">
        <f>(1+U515)^P515/(1+U514)^P514-1</f>
        <v>2.3713402723846144E-3</v>
      </c>
      <c r="W514" s="23"/>
      <c r="X514" s="35"/>
    </row>
    <row r="515" spans="15:24" ht="17.100000000000001" customHeight="1">
      <c r="O515" s="12">
        <f t="shared" si="7"/>
        <v>41.833333333333336</v>
      </c>
      <c r="P515" s="13">
        <v>502</v>
      </c>
      <c r="Q515" s="22"/>
      <c r="R515" s="19"/>
      <c r="S515" s="22"/>
      <c r="T515" s="19"/>
      <c r="U515" s="24">
        <v>3.4860234760352382E-2</v>
      </c>
      <c r="V515" s="24">
        <f>(1+U516)^P516/(1+U515)^P515-1</f>
        <v>2.337518365370439E-3</v>
      </c>
      <c r="W515" s="23"/>
      <c r="X515" s="35"/>
    </row>
    <row r="516" spans="15:24" ht="17.100000000000001" customHeight="1">
      <c r="O516" s="12">
        <f t="shared" si="7"/>
        <v>41.916666666666664</v>
      </c>
      <c r="P516" s="13">
        <v>503</v>
      </c>
      <c r="Q516" s="22"/>
      <c r="R516" s="19"/>
      <c r="S516" s="22"/>
      <c r="T516" s="19"/>
      <c r="U516" s="24">
        <v>3.4794541555774217E-2</v>
      </c>
      <c r="V516" s="24">
        <f>(1+U517)^P517/(1+U516)^P516-1</f>
        <v>2.3041729658928034E-3</v>
      </c>
      <c r="W516" s="23"/>
      <c r="X516" s="35"/>
    </row>
    <row r="517" spans="15:24" ht="17.100000000000001" customHeight="1">
      <c r="O517" s="12">
        <f t="shared" si="7"/>
        <v>42</v>
      </c>
      <c r="P517" s="13">
        <v>504</v>
      </c>
      <c r="Q517" s="22"/>
      <c r="R517" s="19"/>
      <c r="S517" s="22"/>
      <c r="T517" s="19"/>
      <c r="U517" s="24">
        <v>3.4729044883228699E-2</v>
      </c>
      <c r="V517" s="24">
        <f>(1+U518)^P518/(1+U517)^P517-1</f>
        <v>2.27129752762667E-3</v>
      </c>
      <c r="W517" s="23"/>
      <c r="X517" s="35"/>
    </row>
    <row r="518" spans="15:24" ht="17.100000000000001" customHeight="1">
      <c r="O518" s="12">
        <f t="shared" si="7"/>
        <v>42.083333333333336</v>
      </c>
      <c r="P518" s="13">
        <v>505</v>
      </c>
      <c r="Q518" s="22"/>
      <c r="R518" s="19"/>
      <c r="S518" s="22"/>
      <c r="T518" s="19"/>
      <c r="U518" s="24">
        <v>3.4663744521679085E-2</v>
      </c>
      <c r="V518" s="24">
        <f>(1+U519)^P519/(1+U518)^P518-1</f>
        <v>2.2388855891628534E-3</v>
      </c>
      <c r="W518" s="23"/>
      <c r="X518" s="35"/>
    </row>
    <row r="519" spans="15:24" ht="17.100000000000001" customHeight="1">
      <c r="O519" s="12">
        <f t="shared" si="7"/>
        <v>42.166666666666664</v>
      </c>
      <c r="P519" s="13">
        <v>506</v>
      </c>
      <c r="Q519" s="22"/>
      <c r="R519" s="19"/>
      <c r="S519" s="22"/>
      <c r="T519" s="19"/>
      <c r="U519" s="24">
        <v>3.4598640238615141E-2</v>
      </c>
      <c r="V519" s="24">
        <f>(1+U520)^P520/(1+U519)^P519-1</f>
        <v>2.2069307735108623E-3</v>
      </c>
      <c r="W519" s="23"/>
      <c r="X519" s="35"/>
    </row>
    <row r="520" spans="15:24" ht="17.100000000000001" customHeight="1">
      <c r="O520" s="12">
        <f t="shared" si="7"/>
        <v>42.25</v>
      </c>
      <c r="P520" s="13">
        <v>507</v>
      </c>
      <c r="Q520" s="22"/>
      <c r="R520" s="19"/>
      <c r="S520" s="22"/>
      <c r="T520" s="19"/>
      <c r="U520" s="24">
        <v>3.4533731790340916E-2</v>
      </c>
      <c r="V520" s="24">
        <f>(1+U521)^P521/(1+U520)^P520-1</f>
        <v>2.1754267867273303E-3</v>
      </c>
      <c r="W520" s="23"/>
      <c r="X520" s="35"/>
    </row>
    <row r="521" spans="15:24" ht="17.100000000000001" customHeight="1">
      <c r="O521" s="12">
        <f t="shared" si="7"/>
        <v>42.333333333333336</v>
      </c>
      <c r="P521" s="13">
        <v>508</v>
      </c>
      <c r="Q521" s="22"/>
      <c r="R521" s="19"/>
      <c r="S521" s="22"/>
      <c r="T521" s="19"/>
      <c r="U521" s="24">
        <v>3.4469018922254513E-2</v>
      </c>
      <c r="V521" s="24">
        <f>(1+U522)^P522/(1+U521)^P521-1</f>
        <v>2.144367417092452E-3</v>
      </c>
      <c r="W521" s="23"/>
      <c r="X521" s="35"/>
    </row>
    <row r="522" spans="15:24" ht="17.100000000000001" customHeight="1">
      <c r="O522" s="12">
        <f t="shared" si="7"/>
        <v>42.416666666666664</v>
      </c>
      <c r="P522" s="13">
        <v>509</v>
      </c>
      <c r="Q522" s="22"/>
      <c r="R522" s="19"/>
      <c r="S522" s="22"/>
      <c r="T522" s="19"/>
      <c r="U522" s="24">
        <v>3.440450136912454E-2</v>
      </c>
      <c r="V522" s="24">
        <f>(1+U523)^P523/(1+U522)^P522-1</f>
        <v>2.1137465345679729E-3</v>
      </c>
      <c r="W522" s="23"/>
      <c r="X522" s="35"/>
    </row>
    <row r="523" spans="15:24" ht="17.100000000000001" customHeight="1">
      <c r="O523" s="12">
        <f t="shared" si="7"/>
        <v>42.5</v>
      </c>
      <c r="P523" s="13">
        <v>510</v>
      </c>
      <c r="Q523" s="22"/>
      <c r="R523" s="19"/>
      <c r="S523" s="22"/>
      <c r="T523" s="19"/>
      <c r="U523" s="24">
        <v>3.4340178855360781E-2</v>
      </c>
      <c r="V523" s="24">
        <f>(1+U524)^P524/(1+U523)^P523-1</f>
        <v>2.0835580893496797E-3</v>
      </c>
      <c r="W523" s="23"/>
      <c r="X523" s="35"/>
    </row>
    <row r="524" spans="15:24" ht="17.100000000000001" customHeight="1">
      <c r="O524" s="12">
        <f t="shared" si="7"/>
        <v>42.583333333333336</v>
      </c>
      <c r="P524" s="13">
        <v>511</v>
      </c>
      <c r="Q524" s="22"/>
      <c r="R524" s="19"/>
      <c r="S524" s="22"/>
      <c r="T524" s="19"/>
      <c r="U524" s="24">
        <v>3.4276051095279758E-2</v>
      </c>
      <c r="V524" s="24">
        <f>(1+U525)^P525/(1+U524)^P524-1</f>
        <v>2.0537961112754299E-3</v>
      </c>
      <c r="W524" s="23"/>
      <c r="X524" s="35"/>
    </row>
    <row r="525" spans="15:24" ht="17.100000000000001" customHeight="1">
      <c r="O525" s="12">
        <f t="shared" si="7"/>
        <v>42.666666666666664</v>
      </c>
      <c r="P525" s="13">
        <v>512</v>
      </c>
      <c r="Q525" s="22"/>
      <c r="R525" s="19"/>
      <c r="S525" s="22"/>
      <c r="T525" s="19"/>
      <c r="U525" s="24">
        <v>3.4212117793365193E-2</v>
      </c>
      <c r="V525" s="24">
        <f>(1+U526)^P526/(1+U525)^P525-1</f>
        <v>2.0244547083094755E-3</v>
      </c>
      <c r="W525" s="23"/>
      <c r="X525" s="35"/>
    </row>
    <row r="526" spans="15:24" ht="17.100000000000001" customHeight="1">
      <c r="O526" s="12">
        <f t="shared" ref="O526:O589" si="8">P526/12</f>
        <v>42.75</v>
      </c>
      <c r="P526" s="13">
        <v>513</v>
      </c>
      <c r="Q526" s="22"/>
      <c r="R526" s="19"/>
      <c r="S526" s="22"/>
      <c r="T526" s="19"/>
      <c r="U526" s="24">
        <v>3.4148378644523358E-2</v>
      </c>
      <c r="V526" s="24">
        <f>(1+U527)^P527/(1+U526)^P526-1</f>
        <v>1.995528066465635E-3</v>
      </c>
      <c r="W526" s="23"/>
      <c r="X526" s="35"/>
    </row>
    <row r="527" spans="15:24" ht="17.100000000000001" customHeight="1">
      <c r="O527" s="12">
        <f t="shared" si="8"/>
        <v>42.833333333333336</v>
      </c>
      <c r="P527" s="13">
        <v>514</v>
      </c>
      <c r="Q527" s="22"/>
      <c r="R527" s="19"/>
      <c r="S527" s="22"/>
      <c r="T527" s="19"/>
      <c r="U527" s="24">
        <v>3.4084833334333986E-2</v>
      </c>
      <c r="V527" s="24">
        <f>(1+U528)^P528/(1+U527)^P527-1</f>
        <v>1.967010448564066E-3</v>
      </c>
      <c r="W527" s="23"/>
      <c r="X527" s="35"/>
    </row>
    <row r="528" spans="15:24" ht="17.100000000000001" customHeight="1">
      <c r="O528" s="12">
        <f t="shared" si="8"/>
        <v>42.916666666666664</v>
      </c>
      <c r="P528" s="13">
        <v>515</v>
      </c>
      <c r="Q528" s="22"/>
      <c r="R528" s="19"/>
      <c r="S528" s="22"/>
      <c r="T528" s="19"/>
      <c r="U528" s="24">
        <v>3.4021481539296738E-2</v>
      </c>
      <c r="V528" s="24">
        <f>(1+U529)^P529/(1+U528)^P528-1</f>
        <v>1.9388961925348447E-3</v>
      </c>
      <c r="W528" s="23"/>
      <c r="X528" s="35"/>
    </row>
    <row r="529" spans="15:24" ht="17.100000000000001" customHeight="1">
      <c r="O529" s="12">
        <f t="shared" si="8"/>
        <v>43</v>
      </c>
      <c r="P529" s="13">
        <v>516</v>
      </c>
      <c r="Q529" s="22"/>
      <c r="R529" s="19"/>
      <c r="S529" s="22"/>
      <c r="T529" s="19"/>
      <c r="U529" s="24">
        <v>3.3958322927071238E-2</v>
      </c>
      <c r="V529" s="24">
        <f>(1+U530)^P530/(1+U529)^P529-1</f>
        <v>1.9111797120447971E-3</v>
      </c>
      <c r="W529" s="23"/>
      <c r="X529" s="35"/>
    </row>
    <row r="530" spans="15:24" ht="17.100000000000001" customHeight="1">
      <c r="O530" s="12">
        <f t="shared" si="8"/>
        <v>43.083333333333336</v>
      </c>
      <c r="P530" s="13">
        <v>517</v>
      </c>
      <c r="Q530" s="22"/>
      <c r="R530" s="19"/>
      <c r="S530" s="22"/>
      <c r="T530" s="19"/>
      <c r="U530" s="24">
        <v>3.38953571567151E-2</v>
      </c>
      <c r="V530" s="24">
        <f>(1+U531)^P531/(1+U530)^P530-1</f>
        <v>1.8838554940499019E-3</v>
      </c>
      <c r="W530" s="23"/>
      <c r="X530" s="35"/>
    </row>
    <row r="531" spans="15:24" ht="17.100000000000001" customHeight="1">
      <c r="O531" s="12">
        <f t="shared" si="8"/>
        <v>43.166666666666664</v>
      </c>
      <c r="P531" s="13">
        <v>518</v>
      </c>
      <c r="Q531" s="22"/>
      <c r="R531" s="19"/>
      <c r="S531" s="22"/>
      <c r="T531" s="19"/>
      <c r="U531" s="24">
        <v>3.3832583878914857E-2</v>
      </c>
      <c r="V531" s="24">
        <f>(1+U532)^P532/(1+U531)^P531-1</f>
        <v>1.856918099425009E-3</v>
      </c>
      <c r="W531" s="23"/>
      <c r="X531" s="35"/>
    </row>
    <row r="532" spans="15:24" ht="17.100000000000001" customHeight="1">
      <c r="O532" s="12">
        <f t="shared" si="8"/>
        <v>43.25</v>
      </c>
      <c r="P532" s="13">
        <v>519</v>
      </c>
      <c r="Q532" s="22"/>
      <c r="R532" s="19"/>
      <c r="S532" s="22"/>
      <c r="T532" s="19"/>
      <c r="U532" s="24">
        <v>3.3770002736214888E-2</v>
      </c>
      <c r="V532" s="24">
        <f>(1+U533)^P533/(1+U532)^P532-1</f>
        <v>1.8303621604720544E-3</v>
      </c>
      <c r="W532" s="23"/>
      <c r="X532" s="35"/>
    </row>
    <row r="533" spans="15:24" ht="17.100000000000001" customHeight="1">
      <c r="O533" s="12">
        <f t="shared" si="8"/>
        <v>43.333333333333336</v>
      </c>
      <c r="P533" s="13">
        <v>520</v>
      </c>
      <c r="Q533" s="22"/>
      <c r="R533" s="19"/>
      <c r="S533" s="22"/>
      <c r="T533" s="19"/>
      <c r="U533" s="24">
        <v>3.3707613363239464E-2</v>
      </c>
      <c r="V533" s="24">
        <f>(1+U534)^P534/(1+U533)^P533-1</f>
        <v>1.8041823811507651E-3</v>
      </c>
      <c r="W533" s="23"/>
      <c r="X533" s="35"/>
    </row>
    <row r="534" spans="15:24" ht="17.100000000000001" customHeight="1">
      <c r="O534" s="12">
        <f t="shared" si="8"/>
        <v>43.416666666666664</v>
      </c>
      <c r="P534" s="13">
        <v>521</v>
      </c>
      <c r="Q534" s="22"/>
      <c r="R534" s="19"/>
      <c r="S534" s="22"/>
      <c r="T534" s="19"/>
      <c r="U534" s="24">
        <v>3.3645415386911903E-2</v>
      </c>
      <c r="V534" s="24">
        <f>(1+U535)^P535/(1+U534)^P534-1</f>
        <v>1.7783735366414533E-3</v>
      </c>
      <c r="W534" s="23"/>
      <c r="X534" s="35"/>
    </row>
    <row r="535" spans="15:24" ht="17.100000000000001" customHeight="1">
      <c r="O535" s="12">
        <f t="shared" si="8"/>
        <v>43.5</v>
      </c>
      <c r="P535" s="13">
        <v>522</v>
      </c>
      <c r="Q535" s="22"/>
      <c r="R535" s="19"/>
      <c r="S535" s="22"/>
      <c r="T535" s="19"/>
      <c r="U535" s="24">
        <v>3.3583408426670625E-2</v>
      </c>
      <c r="V535" s="24">
        <f>(1+U536)^P536/(1+U535)^P535-1</f>
        <v>1.7529304703836068E-3</v>
      </c>
      <c r="W535" s="23"/>
      <c r="X535" s="35"/>
    </row>
    <row r="536" spans="15:24" ht="17.100000000000001" customHeight="1">
      <c r="O536" s="12">
        <f t="shared" si="8"/>
        <v>43.583333333333336</v>
      </c>
      <c r="P536" s="13">
        <v>523</v>
      </c>
      <c r="Q536" s="22"/>
      <c r="R536" s="19"/>
      <c r="S536" s="22"/>
      <c r="T536" s="19"/>
      <c r="U536" s="24">
        <v>3.3521592094677422E-2</v>
      </c>
      <c r="V536" s="24">
        <f>(1+U537)^P537/(1+U536)^P536-1</f>
        <v>1.7278480961540055E-3</v>
      </c>
      <c r="W536" s="23"/>
      <c r="X536" s="35"/>
    </row>
    <row r="537" spans="15:24" ht="17.100000000000001" customHeight="1">
      <c r="O537" s="12">
        <f t="shared" si="8"/>
        <v>43.666666666666664</v>
      </c>
      <c r="P537" s="13">
        <v>524</v>
      </c>
      <c r="Q537" s="22"/>
      <c r="R537" s="19"/>
      <c r="S537" s="22"/>
      <c r="T537" s="19"/>
      <c r="U537" s="24">
        <v>3.3459965996026408E-2</v>
      </c>
      <c r="V537" s="24">
        <f>(1+U538)^P538/(1+U537)^P537-1</f>
        <v>1.7031213944549428E-3</v>
      </c>
      <c r="W537" s="23"/>
      <c r="X537" s="35"/>
    </row>
    <row r="538" spans="15:24" ht="17.100000000000001" customHeight="1">
      <c r="O538" s="12">
        <f t="shared" si="8"/>
        <v>43.75</v>
      </c>
      <c r="P538" s="13">
        <v>525</v>
      </c>
      <c r="Q538" s="22"/>
      <c r="R538" s="19"/>
      <c r="S538" s="22"/>
      <c r="T538" s="19"/>
      <c r="U538" s="24">
        <v>3.3398529728944082E-2</v>
      </c>
      <c r="V538" s="24">
        <f>(1+U539)^P539/(1+U538)^P538-1</f>
        <v>1.6787454140470004E-3</v>
      </c>
      <c r="W538" s="23"/>
      <c r="X538" s="35"/>
    </row>
    <row r="539" spans="15:24" ht="17.100000000000001" customHeight="1">
      <c r="O539" s="12">
        <f t="shared" si="8"/>
        <v>43.833333333333336</v>
      </c>
      <c r="P539" s="13">
        <v>526</v>
      </c>
      <c r="Q539" s="22"/>
      <c r="R539" s="19"/>
      <c r="S539" s="22"/>
      <c r="T539" s="19"/>
      <c r="U539" s="24">
        <v>3.3337282884990049E-2</v>
      </c>
      <c r="V539" s="24">
        <f>(1+U540)^P540/(1+U539)^P539-1</f>
        <v>1.6547152687615974E-3</v>
      </c>
      <c r="W539" s="23"/>
      <c r="X539" s="35"/>
    </row>
    <row r="540" spans="15:24" ht="17.100000000000001" customHeight="1">
      <c r="O540" s="12">
        <f t="shared" si="8"/>
        <v>43.916666666666664</v>
      </c>
      <c r="P540" s="13">
        <v>527</v>
      </c>
      <c r="Q540" s="22"/>
      <c r="R540" s="19"/>
      <c r="S540" s="22"/>
      <c r="T540" s="19"/>
      <c r="U540" s="24">
        <v>3.3276225049249097E-2</v>
      </c>
      <c r="V540" s="24">
        <f>(1+U541)^P541/(1+U540)^P540-1</f>
        <v>1.6310261391996317E-3</v>
      </c>
      <c r="W540" s="23"/>
      <c r="X540" s="35"/>
    </row>
    <row r="541" spans="15:24" ht="17.100000000000001" customHeight="1">
      <c r="O541" s="12">
        <f t="shared" si="8"/>
        <v>44</v>
      </c>
      <c r="P541" s="13">
        <v>528</v>
      </c>
      <c r="Q541" s="22"/>
      <c r="R541" s="19"/>
      <c r="S541" s="22"/>
      <c r="T541" s="19"/>
      <c r="U541" s="24">
        <v>3.3215355800524593E-2</v>
      </c>
      <c r="V541" s="24">
        <f>(1+U542)^P542/(1+U541)^P541-1</f>
        <v>1.6076732700427421E-3</v>
      </c>
      <c r="W541" s="23"/>
      <c r="X541" s="35"/>
    </row>
    <row r="542" spans="15:24" ht="17.100000000000001" customHeight="1">
      <c r="O542" s="12">
        <f t="shared" si="8"/>
        <v>44.083333333333336</v>
      </c>
      <c r="P542" s="13">
        <v>529</v>
      </c>
      <c r="Q542" s="22"/>
      <c r="R542" s="19"/>
      <c r="S542" s="22"/>
      <c r="T542" s="19"/>
      <c r="U542" s="24">
        <v>3.3154674711523668E-2</v>
      </c>
      <c r="V542" s="24">
        <f>(1+U543)^P543/(1+U542)^P542-1</f>
        <v>1.5846519697240158E-3</v>
      </c>
      <c r="W542" s="23"/>
      <c r="X542" s="35"/>
    </row>
    <row r="543" spans="15:24" ht="17.100000000000001" customHeight="1">
      <c r="O543" s="12">
        <f t="shared" si="8"/>
        <v>44.166666666666664</v>
      </c>
      <c r="P543" s="13">
        <v>530</v>
      </c>
      <c r="Q543" s="22"/>
      <c r="R543" s="19"/>
      <c r="S543" s="22"/>
      <c r="T543" s="19"/>
      <c r="U543" s="24">
        <v>3.3094181349041074E-2</v>
      </c>
      <c r="V543" s="24">
        <f>(1+U544)^P544/(1+U543)^P543-1</f>
        <v>1.5619576103853561E-3</v>
      </c>
      <c r="W543" s="23"/>
      <c r="X543" s="35"/>
    </row>
    <row r="544" spans="15:24" ht="17.100000000000001" customHeight="1">
      <c r="O544" s="12">
        <f t="shared" si="8"/>
        <v>44.25</v>
      </c>
      <c r="P544" s="13">
        <v>531</v>
      </c>
      <c r="Q544" s="22"/>
      <c r="R544" s="19"/>
      <c r="S544" s="22"/>
      <c r="T544" s="19"/>
      <c r="U544" s="24">
        <v>3.3033875274139035E-2</v>
      </c>
      <c r="V544" s="24">
        <f>(1+U545)^P545/(1+U544)^P544-1</f>
        <v>1.5395856260174146E-3</v>
      </c>
      <c r="W544" s="23"/>
      <c r="X544" s="35"/>
    </row>
    <row r="545" spans="15:24" ht="17.100000000000001" customHeight="1">
      <c r="O545" s="12">
        <f t="shared" si="8"/>
        <v>44.333333333333336</v>
      </c>
      <c r="P545" s="13">
        <v>532</v>
      </c>
      <c r="Q545" s="22"/>
      <c r="R545" s="19"/>
      <c r="S545" s="22"/>
      <c r="T545" s="19"/>
      <c r="U545" s="24">
        <v>3.297375604232311E-2</v>
      </c>
      <c r="V545" s="24">
        <f>(1+U546)^P546/(1+U545)^P545-1</f>
        <v>1.5175315121407351E-3</v>
      </c>
      <c r="W545" s="23"/>
      <c r="X545" s="35"/>
    </row>
    <row r="546" spans="15:24" ht="17.100000000000001" customHeight="1">
      <c r="O546" s="12">
        <f t="shared" si="8"/>
        <v>44.416666666666664</v>
      </c>
      <c r="P546" s="13">
        <v>533</v>
      </c>
      <c r="Q546" s="22"/>
      <c r="R546" s="19"/>
      <c r="S546" s="22"/>
      <c r="T546" s="19"/>
      <c r="U546" s="24">
        <v>3.291382320371472E-2</v>
      </c>
      <c r="V546" s="24">
        <f>(1+U547)^P547/(1+U546)^P546-1</f>
        <v>1.4957908255390784E-3</v>
      </c>
      <c r="W546" s="23"/>
      <c r="X546" s="35"/>
    </row>
    <row r="547" spans="15:24" ht="17.100000000000001" customHeight="1">
      <c r="O547" s="12">
        <f t="shared" si="8"/>
        <v>44.5</v>
      </c>
      <c r="P547" s="13">
        <v>534</v>
      </c>
      <c r="Q547" s="22"/>
      <c r="R547" s="19"/>
      <c r="S547" s="22"/>
      <c r="T547" s="19"/>
      <c r="U547" s="24">
        <v>3.2854076303220792E-2</v>
      </c>
      <c r="V547" s="24">
        <f>(1+U548)^P548/(1+U547)^P547-1</f>
        <v>1.4743591828705327E-3</v>
      </c>
      <c r="W547" s="23"/>
      <c r="X547" s="35"/>
    </row>
    <row r="548" spans="15:24" ht="17.100000000000001" customHeight="1">
      <c r="O548" s="12">
        <f t="shared" si="8"/>
        <v>44.583333333333336</v>
      </c>
      <c r="P548" s="13">
        <v>535</v>
      </c>
      <c r="Q548" s="22"/>
      <c r="R548" s="19"/>
      <c r="S548" s="22"/>
      <c r="T548" s="19"/>
      <c r="U548" s="24">
        <v>3.2794514880699399E-2</v>
      </c>
      <c r="V548" s="24">
        <f>(1+U549)^P549/(1+U548)^P548-1</f>
        <v>1.4532322594282832E-3</v>
      </c>
      <c r="W548" s="23"/>
      <c r="X548" s="35"/>
    </row>
    <row r="549" spans="15:24" ht="17.100000000000001" customHeight="1">
      <c r="O549" s="12">
        <f t="shared" si="8"/>
        <v>44.666666666666664</v>
      </c>
      <c r="P549" s="13">
        <v>536</v>
      </c>
      <c r="Q549" s="22"/>
      <c r="R549" s="19"/>
      <c r="S549" s="22"/>
      <c r="T549" s="19"/>
      <c r="U549" s="24">
        <v>3.2735138471121195E-2</v>
      </c>
      <c r="V549" s="24">
        <f>(1+U550)^P550/(1+U549)^P549-1</f>
        <v>1.4324057902197485E-3</v>
      </c>
      <c r="W549" s="23"/>
      <c r="X549" s="35"/>
    </row>
    <row r="550" spans="15:24" ht="17.100000000000001" customHeight="1">
      <c r="O550" s="12">
        <f t="shared" si="8"/>
        <v>44.75</v>
      </c>
      <c r="P550" s="13">
        <v>537</v>
      </c>
      <c r="Q550" s="22"/>
      <c r="R550" s="19"/>
      <c r="S550" s="22"/>
      <c r="T550" s="19"/>
      <c r="U550" s="24">
        <v>3.2675946604730388E-2</v>
      </c>
      <c r="V550" s="24">
        <f>(1+U551)^P551/(1+U550)^P550-1</f>
        <v>1.4118755668879324E-3</v>
      </c>
      <c r="W550" s="23"/>
      <c r="X550" s="35"/>
    </row>
    <row r="551" spans="15:24" ht="17.100000000000001" customHeight="1">
      <c r="O551" s="12">
        <f t="shared" si="8"/>
        <v>44.833333333333336</v>
      </c>
      <c r="P551" s="13">
        <v>538</v>
      </c>
      <c r="Q551" s="22"/>
      <c r="R551" s="19"/>
      <c r="S551" s="22"/>
      <c r="T551" s="19"/>
      <c r="U551" s="24">
        <v>3.261693880719907E-2</v>
      </c>
      <c r="V551" s="24">
        <f>(1+U552)^P552/(1+U551)^P551-1</f>
        <v>1.3916374392202169E-3</v>
      </c>
      <c r="W551" s="23"/>
      <c r="X551" s="35"/>
    </row>
    <row r="552" spans="15:24" ht="17.100000000000001" customHeight="1">
      <c r="O552" s="12">
        <f t="shared" si="8"/>
        <v>44.916666666666664</v>
      </c>
      <c r="P552" s="13">
        <v>539</v>
      </c>
      <c r="Q552" s="22"/>
      <c r="R552" s="19"/>
      <c r="S552" s="22"/>
      <c r="T552" s="19"/>
      <c r="U552" s="24">
        <v>3.2558114599781529E-2</v>
      </c>
      <c r="V552" s="24">
        <f>(1+U553)^P553/(1+U552)^P552-1</f>
        <v>1.3716873124109963E-3</v>
      </c>
      <c r="W552" s="23"/>
      <c r="X552" s="35"/>
    </row>
    <row r="553" spans="15:24" ht="17.100000000000001" customHeight="1">
      <c r="O553" s="12">
        <f t="shared" si="8"/>
        <v>45</v>
      </c>
      <c r="P553" s="13">
        <v>540</v>
      </c>
      <c r="Q553" s="22"/>
      <c r="R553" s="19"/>
      <c r="S553" s="22"/>
      <c r="T553" s="19"/>
      <c r="U553" s="24">
        <v>3.2499473499462583E-2</v>
      </c>
      <c r="V553" s="24">
        <f>(1+U554)^P554/(1+U553)^P553-1</f>
        <v>1.3520211479101096E-3</v>
      </c>
      <c r="W553" s="23"/>
      <c r="X553" s="35"/>
    </row>
    <row r="554" spans="15:24" ht="17.100000000000001" customHeight="1">
      <c r="O554" s="12">
        <f t="shared" si="8"/>
        <v>45.083333333333336</v>
      </c>
      <c r="P554" s="13">
        <v>541</v>
      </c>
      <c r="Q554" s="22"/>
      <c r="R554" s="19"/>
      <c r="S554" s="22"/>
      <c r="T554" s="19"/>
      <c r="U554" s="24">
        <v>3.2441015019105235E-2</v>
      </c>
      <c r="V554" s="24">
        <f>(1+U555)^P555/(1+U554)^P554-1</f>
        <v>1.3326349619116051E-3</v>
      </c>
      <c r="W554" s="23"/>
      <c r="X554" s="35"/>
    </row>
    <row r="555" spans="15:24" ht="17.100000000000001" customHeight="1">
      <c r="O555" s="12">
        <f t="shared" si="8"/>
        <v>45.166666666666664</v>
      </c>
      <c r="P555" s="13">
        <v>542</v>
      </c>
      <c r="Q555" s="22"/>
      <c r="R555" s="19"/>
      <c r="S555" s="22"/>
      <c r="T555" s="19"/>
      <c r="U555" s="24">
        <v>3.2382738667593891E-2</v>
      </c>
      <c r="V555" s="24">
        <f>(1+U556)^P556/(1+U555)^P555-1</f>
        <v>1.3135248249742659E-3</v>
      </c>
      <c r="W555" s="23"/>
      <c r="X555" s="35"/>
    </row>
    <row r="556" spans="15:24" ht="17.100000000000001" customHeight="1">
      <c r="O556" s="12">
        <f t="shared" si="8"/>
        <v>45.25</v>
      </c>
      <c r="P556" s="13">
        <v>543</v>
      </c>
      <c r="Q556" s="22"/>
      <c r="R556" s="19"/>
      <c r="S556" s="22"/>
      <c r="T556" s="19"/>
      <c r="U556" s="24">
        <v>3.2324643949975806E-2</v>
      </c>
      <c r="V556" s="24">
        <f>(1+U557)^P557/(1+U556)^P556-1</f>
        <v>1.2946868607046635E-3</v>
      </c>
      <c r="W556" s="23"/>
      <c r="X556" s="35"/>
    </row>
    <row r="557" spans="15:24" ht="17.100000000000001" customHeight="1">
      <c r="O557" s="12">
        <f t="shared" si="8"/>
        <v>45.333333333333336</v>
      </c>
      <c r="P557" s="13">
        <v>544</v>
      </c>
      <c r="Q557" s="22"/>
      <c r="R557" s="19"/>
      <c r="S557" s="22"/>
      <c r="T557" s="19"/>
      <c r="U557" s="24">
        <v>3.2266730367597418E-2</v>
      </c>
      <c r="V557" s="24">
        <f>(1+U558)^P558/(1+U557)^P557-1</f>
        <v>1.2761172464221815E-3</v>
      </c>
      <c r="W557" s="23"/>
      <c r="X557" s="35"/>
    </row>
    <row r="558" spans="15:24" ht="17.100000000000001" customHeight="1">
      <c r="O558" s="12">
        <f t="shared" si="8"/>
        <v>45.416666666666664</v>
      </c>
      <c r="P558" s="13">
        <v>545</v>
      </c>
      <c r="Q558" s="22"/>
      <c r="R558" s="19"/>
      <c r="S558" s="22"/>
      <c r="T558" s="19"/>
      <c r="U558" s="24">
        <v>3.2208997418241569E-2</v>
      </c>
      <c r="V558" s="24">
        <f>(1+U559)^P559/(1+U558)^P558-1</f>
        <v>1.2578122106075007E-3</v>
      </c>
      <c r="W558" s="23"/>
      <c r="X558" s="35"/>
    </row>
    <row r="559" spans="15:24" ht="17.100000000000001" customHeight="1">
      <c r="O559" s="12">
        <f t="shared" si="8"/>
        <v>45.5</v>
      </c>
      <c r="P559" s="13">
        <v>546</v>
      </c>
      <c r="Q559" s="22"/>
      <c r="R559" s="19"/>
      <c r="S559" s="22"/>
      <c r="T559" s="19"/>
      <c r="U559" s="24">
        <v>3.2151444596257406E-2</v>
      </c>
      <c r="V559" s="24">
        <f>(1+U560)^P560/(1+U559)^P559-1</f>
        <v>1.2397680344107265E-3</v>
      </c>
      <c r="W559" s="23"/>
      <c r="X559" s="35"/>
    </row>
    <row r="560" spans="15:24" ht="17.100000000000001" customHeight="1">
      <c r="O560" s="12">
        <f t="shared" si="8"/>
        <v>45.583333333333336</v>
      </c>
      <c r="P560" s="13">
        <v>547</v>
      </c>
      <c r="Q560" s="22"/>
      <c r="R560" s="19"/>
      <c r="S560" s="22"/>
      <c r="T560" s="19"/>
      <c r="U560" s="24">
        <v>3.2094071392692491E-2</v>
      </c>
      <c r="V560" s="24">
        <f>(1+U561)^P561/(1+U560)^P560-1</f>
        <v>1.2219810488629523E-3</v>
      </c>
      <c r="W560" s="23"/>
      <c r="X560" s="35"/>
    </row>
    <row r="561" spans="15:24" ht="17.100000000000001" customHeight="1">
      <c r="O561" s="12">
        <f t="shared" si="8"/>
        <v>45.666666666666664</v>
      </c>
      <c r="P561" s="13">
        <v>548</v>
      </c>
      <c r="Q561" s="22"/>
      <c r="R561" s="19"/>
      <c r="S561" s="22"/>
      <c r="T561" s="19"/>
      <c r="U561" s="24">
        <v>3.2036877295417376E-2</v>
      </c>
      <c r="V561" s="24">
        <f>(1+U562)^P562/(1+U561)^P561-1</f>
        <v>1.2044476357748746E-3</v>
      </c>
      <c r="W561" s="23"/>
      <c r="X561" s="35"/>
    </row>
    <row r="562" spans="15:24" ht="17.100000000000001" customHeight="1">
      <c r="O562" s="12">
        <f t="shared" si="8"/>
        <v>45.75</v>
      </c>
      <c r="P562" s="13">
        <v>549</v>
      </c>
      <c r="Q562" s="22"/>
      <c r="R562" s="19"/>
      <c r="S562" s="22"/>
      <c r="T562" s="19"/>
      <c r="U562" s="24">
        <v>3.1979861789251052E-2</v>
      </c>
      <c r="V562" s="24">
        <f>(1+U563)^P563/(1+U562)^P562-1</f>
        <v>1.1871642259571047E-3</v>
      </c>
      <c r="W562" s="23"/>
      <c r="X562" s="35"/>
    </row>
    <row r="563" spans="15:24" ht="17.100000000000001" customHeight="1">
      <c r="O563" s="12">
        <f t="shared" si="8"/>
        <v>45.833333333333336</v>
      </c>
      <c r="P563" s="13">
        <v>550</v>
      </c>
      <c r="Q563" s="22"/>
      <c r="R563" s="19"/>
      <c r="S563" s="22"/>
      <c r="T563" s="19"/>
      <c r="U563" s="24">
        <v>3.1923024356081964E-2</v>
      </c>
      <c r="V563" s="24">
        <f>(1+U564)^P564/(1+U563)^P563-1</f>
        <v>1.1701273000517265E-3</v>
      </c>
      <c r="W563" s="23"/>
      <c r="X563" s="35"/>
    </row>
    <row r="564" spans="15:24" ht="17.100000000000001" customHeight="1">
      <c r="O564" s="12">
        <f t="shared" si="8"/>
        <v>45.916666666666664</v>
      </c>
      <c r="P564" s="13">
        <v>551</v>
      </c>
      <c r="Q564" s="22"/>
      <c r="R564" s="19"/>
      <c r="S564" s="22"/>
      <c r="T564" s="19"/>
      <c r="U564" s="24">
        <v>3.186636447498814E-2</v>
      </c>
      <c r="V564" s="24">
        <f>(1+U565)^P565/(1+U564)^P564-1</f>
        <v>1.1533333857660644E-3</v>
      </c>
      <c r="W564" s="23"/>
      <c r="X564" s="35"/>
    </row>
    <row r="565" spans="15:24" ht="17.100000000000001" customHeight="1">
      <c r="O565" s="12">
        <f t="shared" si="8"/>
        <v>46</v>
      </c>
      <c r="P565" s="13">
        <v>552</v>
      </c>
      <c r="Q565" s="22"/>
      <c r="R565" s="19"/>
      <c r="S565" s="22"/>
      <c r="T565" s="19"/>
      <c r="U565" s="24">
        <v>3.1809881622351988E-2</v>
      </c>
      <c r="V565" s="24">
        <f>(1+U566)^P566/(1+U565)^P565-1</f>
        <v>1.1367790597560656E-3</v>
      </c>
      <c r="W565" s="23"/>
      <c r="X565" s="35"/>
    </row>
    <row r="566" spans="15:24" ht="17.100000000000001" customHeight="1">
      <c r="O566" s="12">
        <f t="shared" si="8"/>
        <v>46.083333333333336</v>
      </c>
      <c r="P566" s="13">
        <v>553</v>
      </c>
      <c r="Q566" s="22"/>
      <c r="R566" s="19"/>
      <c r="S566" s="22"/>
      <c r="T566" s="19"/>
      <c r="U566" s="24">
        <v>3.175357527197642E-2</v>
      </c>
      <c r="V566" s="24">
        <f>(1+U567)^P567/(1+U566)^P566-1</f>
        <v>1.1204609446584524E-3</v>
      </c>
      <c r="W566" s="23"/>
      <c r="X566" s="35"/>
    </row>
    <row r="567" spans="15:24" ht="17.100000000000001" customHeight="1">
      <c r="O567" s="12">
        <f t="shared" si="8"/>
        <v>46.166666666666664</v>
      </c>
      <c r="P567" s="13">
        <v>554</v>
      </c>
      <c r="Q567" s="22"/>
      <c r="R567" s="19"/>
      <c r="S567" s="22"/>
      <c r="T567" s="19"/>
      <c r="U567" s="24">
        <v>3.1697444895195215E-2</v>
      </c>
      <c r="V567" s="24">
        <f>(1+U568)^P568/(1+U567)^P567-1</f>
        <v>1.1043757100805962E-3</v>
      </c>
      <c r="W567" s="23"/>
      <c r="X567" s="35"/>
    </row>
    <row r="568" spans="15:24" ht="17.100000000000001" customHeight="1">
      <c r="O568" s="12">
        <f t="shared" si="8"/>
        <v>46.25</v>
      </c>
      <c r="P568" s="13">
        <v>555</v>
      </c>
      <c r="Q568" s="22"/>
      <c r="R568" s="19"/>
      <c r="S568" s="22"/>
      <c r="T568" s="19"/>
      <c r="U568" s="24">
        <v>3.1641489960982705E-2</v>
      </c>
      <c r="V568" s="24">
        <f>(1+U569)^P569/(1+U568)^P568-1</f>
        <v>1.088520071139687E-3</v>
      </c>
      <c r="W568" s="23"/>
      <c r="X568" s="35"/>
    </row>
    <row r="569" spans="15:24" ht="17.100000000000001" customHeight="1">
      <c r="O569" s="12">
        <f t="shared" si="8"/>
        <v>46.333333333333336</v>
      </c>
      <c r="P569" s="13">
        <v>556</v>
      </c>
      <c r="Q569" s="22"/>
      <c r="R569" s="19"/>
      <c r="S569" s="22"/>
      <c r="T569" s="19"/>
      <c r="U569" s="24">
        <v>3.1585709936060802E-2</v>
      </c>
      <c r="V569" s="24">
        <f>(1+U570)^P570/(1+U569)^P569-1</f>
        <v>1.072890788634151E-3</v>
      </c>
      <c r="W569" s="23"/>
      <c r="X569" s="35"/>
    </row>
    <row r="570" spans="15:24" ht="17.100000000000001" customHeight="1">
      <c r="O570" s="12">
        <f t="shared" si="8"/>
        <v>46.416666666666664</v>
      </c>
      <c r="P570" s="13">
        <v>557</v>
      </c>
      <c r="Q570" s="22"/>
      <c r="R570" s="19"/>
      <c r="S570" s="22"/>
      <c r="T570" s="19"/>
      <c r="U570" s="24">
        <v>3.1530104285004468E-2</v>
      </c>
      <c r="V570" s="24">
        <f>(1+U571)^P571/(1+U570)^P570-1</f>
        <v>1.0574846678319538E-3</v>
      </c>
      <c r="W570" s="23"/>
      <c r="X570" s="35"/>
    </row>
    <row r="571" spans="15:24" ht="17.100000000000001" customHeight="1">
      <c r="O571" s="12">
        <f t="shared" si="8"/>
        <v>46.5</v>
      </c>
      <c r="P571" s="13">
        <v>558</v>
      </c>
      <c r="Q571" s="22"/>
      <c r="R571" s="19"/>
      <c r="S571" s="22"/>
      <c r="T571" s="19"/>
      <c r="U571" s="24">
        <v>3.1474672470343412E-2</v>
      </c>
      <c r="V571" s="24">
        <f>(1+U572)^P572/(1+U571)^P571-1</f>
        <v>1.0422985573388388E-3</v>
      </c>
      <c r="W571" s="23"/>
      <c r="X571" s="35"/>
    </row>
    <row r="572" spans="15:24" ht="17.100000000000001" customHeight="1">
      <c r="O572" s="12">
        <f t="shared" si="8"/>
        <v>46.583333333333336</v>
      </c>
      <c r="P572" s="13">
        <v>559</v>
      </c>
      <c r="Q572" s="22"/>
      <c r="R572" s="19"/>
      <c r="S572" s="22"/>
      <c r="T572" s="19"/>
      <c r="U572" s="24">
        <v>3.1419413952662234E-2</v>
      </c>
      <c r="V572" s="24">
        <f>(1+U573)^P573/(1+U572)^P572-1</f>
        <v>1.0273293503701986E-3</v>
      </c>
      <c r="W572" s="23"/>
      <c r="X572" s="35"/>
    </row>
    <row r="573" spans="15:24" ht="17.100000000000001" customHeight="1">
      <c r="O573" s="12">
        <f t="shared" si="8"/>
        <v>46.666666666666664</v>
      </c>
      <c r="P573" s="13">
        <v>560</v>
      </c>
      <c r="Q573" s="22"/>
      <c r="R573" s="19"/>
      <c r="S573" s="22"/>
      <c r="T573" s="19"/>
      <c r="U573" s="24">
        <v>3.1364328190699453E-2</v>
      </c>
      <c r="V573" s="24">
        <f>(1+U574)^P574/(1+U573)^P573-1</f>
        <v>1.0125739824202729E-3</v>
      </c>
      <c r="W573" s="23"/>
      <c r="X573" s="35"/>
    </row>
    <row r="574" spans="15:24" ht="17.100000000000001" customHeight="1">
      <c r="O574" s="12">
        <f t="shared" si="8"/>
        <v>46.75</v>
      </c>
      <c r="P574" s="13">
        <v>561</v>
      </c>
      <c r="Q574" s="22"/>
      <c r="R574" s="19"/>
      <c r="S574" s="22"/>
      <c r="T574" s="19"/>
      <c r="U574" s="24">
        <v>3.1309414641443212E-2</v>
      </c>
      <c r="V574" s="24">
        <f>(1+U575)^P575/(1+U574)^P574-1</f>
        <v>9.9802943113669329E-4</v>
      </c>
      <c r="W574" s="23"/>
      <c r="X574" s="35"/>
    </row>
    <row r="575" spans="15:24" ht="17.100000000000001" customHeight="1">
      <c r="O575" s="12">
        <f t="shared" si="8"/>
        <v>46.833333333333336</v>
      </c>
      <c r="P575" s="13">
        <v>562</v>
      </c>
      <c r="Q575" s="22"/>
      <c r="R575" s="19"/>
      <c r="S575" s="22"/>
      <c r="T575" s="19"/>
      <c r="U575" s="24">
        <v>3.1254672760224977E-2</v>
      </c>
      <c r="V575" s="24">
        <f>(1+U576)^P576/(1+U575)^P575-1</f>
        <v>9.8369271641329803E-4</v>
      </c>
      <c r="W575" s="23"/>
      <c r="X575" s="35"/>
    </row>
    <row r="576" spans="15:24" ht="17.100000000000001" customHeight="1">
      <c r="O576" s="12">
        <f t="shared" si="8"/>
        <v>46.916666666666664</v>
      </c>
      <c r="P576" s="13">
        <v>563</v>
      </c>
      <c r="Q576" s="22"/>
      <c r="R576" s="19"/>
      <c r="S576" s="22"/>
      <c r="T576" s="19"/>
      <c r="U576" s="24">
        <v>3.1200102000811691E-2</v>
      </c>
      <c r="V576" s="24">
        <f>(1+U577)^P577/(1+U576)^P576-1</f>
        <v>9.6956089924193911E-4</v>
      </c>
      <c r="W576" s="23"/>
      <c r="X576" s="35"/>
    </row>
    <row r="577" spans="15:24" ht="17.100000000000001" customHeight="1">
      <c r="O577" s="12">
        <f t="shared" si="8"/>
        <v>47</v>
      </c>
      <c r="P577" s="13">
        <v>564</v>
      </c>
      <c r="Q577" s="22"/>
      <c r="R577" s="19"/>
      <c r="S577" s="22"/>
      <c r="T577" s="19"/>
      <c r="U577" s="24">
        <v>3.1145701815495919E-2</v>
      </c>
      <c r="V577" s="24">
        <f>(1+U578)^P578/(1+U577)^P577-1</f>
        <v>9.5563108093732474E-4</v>
      </c>
      <c r="W577" s="23"/>
      <c r="X577" s="35"/>
    </row>
    <row r="578" spans="15:24" ht="17.100000000000001" customHeight="1">
      <c r="O578" s="12">
        <f t="shared" si="8"/>
        <v>47.083333333333336</v>
      </c>
      <c r="P578" s="13">
        <v>565</v>
      </c>
      <c r="Q578" s="22"/>
      <c r="R578" s="19"/>
      <c r="S578" s="22"/>
      <c r="T578" s="19"/>
      <c r="U578" s="24">
        <v>3.1091471655183556E-2</v>
      </c>
      <c r="V578" s="24">
        <f>(1+U579)^P579/(1+U578)^P578-1</f>
        <v>9.4190040370967232E-4</v>
      </c>
      <c r="W578" s="23"/>
      <c r="X578" s="35"/>
    </row>
    <row r="579" spans="15:24" ht="17.100000000000001" customHeight="1">
      <c r="O579" s="12">
        <f t="shared" si="8"/>
        <v>47.166666666666664</v>
      </c>
      <c r="P579" s="13">
        <v>566</v>
      </c>
      <c r="Q579" s="22"/>
      <c r="R579" s="19"/>
      <c r="S579" s="22"/>
      <c r="T579" s="19"/>
      <c r="U579" s="24">
        <v>3.1037410969479984E-2</v>
      </c>
      <c r="V579" s="24">
        <f>(1+U580)^P580/(1+U579)^P579-1</f>
        <v>9.283660481296252E-4</v>
      </c>
      <c r="W579" s="23"/>
      <c r="X579" s="35"/>
    </row>
    <row r="580" spans="15:24" ht="17.100000000000001" customHeight="1">
      <c r="O580" s="12">
        <f t="shared" si="8"/>
        <v>47.25</v>
      </c>
      <c r="P580" s="13">
        <v>567</v>
      </c>
      <c r="Q580" s="22"/>
      <c r="R580" s="19"/>
      <c r="S580" s="22"/>
      <c r="T580" s="19"/>
      <c r="U580" s="24">
        <v>3.0983519206773558E-2</v>
      </c>
      <c r="V580" s="24">
        <f>(1+U581)^P581/(1+U580)^P580-1</f>
        <v>9.1502523548236958E-4</v>
      </c>
      <c r="W580" s="23"/>
      <c r="X580" s="35"/>
    </row>
    <row r="581" spans="15:24" ht="17.100000000000001" customHeight="1">
      <c r="O581" s="12">
        <f t="shared" si="8"/>
        <v>47.333333333333336</v>
      </c>
      <c r="P581" s="13">
        <v>568</v>
      </c>
      <c r="Q581" s="22"/>
      <c r="R581" s="19"/>
      <c r="S581" s="22"/>
      <c r="T581" s="19"/>
      <c r="U581" s="24">
        <v>3.0929795814319538E-2</v>
      </c>
      <c r="V581" s="24">
        <f>(1+U582)^P582/(1+U581)^P581-1</f>
        <v>9.0187522446649737E-4</v>
      </c>
      <c r="W581" s="23"/>
      <c r="X581" s="35"/>
    </row>
    <row r="582" spans="15:24" ht="17.100000000000001" customHeight="1">
      <c r="O582" s="12">
        <f t="shared" si="8"/>
        <v>47.416666666666664</v>
      </c>
      <c r="P582" s="13">
        <v>569</v>
      </c>
      <c r="Q582" s="22"/>
      <c r="R582" s="19"/>
      <c r="S582" s="22"/>
      <c r="T582" s="19"/>
      <c r="U582" s="24">
        <v>3.0876240238319141E-2</v>
      </c>
      <c r="V582" s="24">
        <f>(1+U583)^P583/(1+U582)^P582-1</f>
        <v>8.8891331178242439E-4</v>
      </c>
      <c r="W582" s="23"/>
      <c r="X582" s="35"/>
    </row>
    <row r="583" spans="15:24" ht="17.100000000000001" customHeight="1">
      <c r="O583" s="12">
        <f t="shared" si="8"/>
        <v>47.5</v>
      </c>
      <c r="P583" s="13">
        <v>570</v>
      </c>
      <c r="Q583" s="22"/>
      <c r="R583" s="19"/>
      <c r="S583" s="22"/>
      <c r="T583" s="19"/>
      <c r="U583" s="24">
        <v>3.0822851923997918E-2</v>
      </c>
      <c r="V583" s="24">
        <f>(1+U584)^P584/(1+U583)^P583-1</f>
        <v>8.7613683262910413E-4</v>
      </c>
      <c r="W583" s="23"/>
      <c r="X583" s="35"/>
    </row>
    <row r="584" spans="15:24" ht="17.100000000000001" customHeight="1">
      <c r="O584" s="12">
        <f t="shared" si="8"/>
        <v>47.583333333333336</v>
      </c>
      <c r="P584" s="13">
        <v>571</v>
      </c>
      <c r="Q584" s="22"/>
      <c r="R584" s="19"/>
      <c r="S584" s="22"/>
      <c r="T584" s="19"/>
      <c r="U584" s="24">
        <v>3.076963031568436E-2</v>
      </c>
      <c r="V584" s="24">
        <f>(1+U585)^P585/(1+U584)^P584-1</f>
        <v>8.6354315846226548E-4</v>
      </c>
      <c r="W584" s="23"/>
      <c r="X584" s="35"/>
    </row>
    <row r="585" spans="15:24" ht="17.100000000000001" customHeight="1">
      <c r="O585" s="12">
        <f t="shared" si="8"/>
        <v>47.666666666666664</v>
      </c>
      <c r="P585" s="13">
        <v>572</v>
      </c>
      <c r="Q585" s="22"/>
      <c r="R585" s="19"/>
      <c r="S585" s="22"/>
      <c r="T585" s="19"/>
      <c r="U585" s="24">
        <v>3.0716574856883838E-2</v>
      </c>
      <c r="V585" s="24">
        <f>(1+U586)^P586/(1+U585)^P585-1</f>
        <v>8.5112969715450681E-4</v>
      </c>
      <c r="W585" s="23"/>
      <c r="X585" s="35"/>
    </row>
    <row r="586" spans="15:24" ht="17.100000000000001" customHeight="1">
      <c r="O586" s="12">
        <f t="shared" si="8"/>
        <v>47.75</v>
      </c>
      <c r="P586" s="13">
        <v>573</v>
      </c>
      <c r="Q586" s="22"/>
      <c r="R586" s="19"/>
      <c r="S586" s="22"/>
      <c r="T586" s="19"/>
      <c r="U586" s="24">
        <v>3.0663684990351658E-2</v>
      </c>
      <c r="V586" s="24">
        <f>(1+U587)^P587/(1+U586)^P586-1</f>
        <v>8.38893893731818E-4</v>
      </c>
      <c r="W586" s="23"/>
      <c r="X586" s="35"/>
    </row>
    <row r="587" spans="15:24" ht="17.100000000000001" customHeight="1">
      <c r="O587" s="12">
        <f t="shared" si="8"/>
        <v>47.833333333333336</v>
      </c>
      <c r="P587" s="13">
        <v>574</v>
      </c>
      <c r="Q587" s="22"/>
      <c r="R587" s="19"/>
      <c r="S587" s="22"/>
      <c r="T587" s="19"/>
      <c r="U587" s="24">
        <v>3.0610960158166778E-2</v>
      </c>
      <c r="V587" s="24">
        <f>(1+U588)^P588/(1+U587)^P587-1</f>
        <v>8.2683322740151333E-4</v>
      </c>
      <c r="W587" s="23"/>
      <c r="X587" s="35"/>
    </row>
    <row r="588" spans="15:24" ht="17.100000000000001" customHeight="1">
      <c r="O588" s="12">
        <f t="shared" si="8"/>
        <v>47.916666666666664</v>
      </c>
      <c r="P588" s="13">
        <v>575</v>
      </c>
      <c r="Q588" s="22"/>
      <c r="R588" s="19"/>
      <c r="S588" s="22"/>
      <c r="T588" s="19"/>
      <c r="U588" s="24">
        <v>3.0558399801799974E-2</v>
      </c>
      <c r="V588" s="24">
        <f>(1+U589)^P589/(1+U588)^P588-1</f>
        <v>8.1494521337321935E-4</v>
      </c>
      <c r="W588" s="23"/>
      <c r="X588" s="35"/>
    </row>
    <row r="589" spans="15:24" ht="17.100000000000001" customHeight="1">
      <c r="O589" s="12">
        <f t="shared" si="8"/>
        <v>48</v>
      </c>
      <c r="P589" s="13">
        <v>576</v>
      </c>
      <c r="Q589" s="22"/>
      <c r="R589" s="19"/>
      <c r="S589" s="22"/>
      <c r="T589" s="19"/>
      <c r="U589" s="24">
        <v>3.0506003362183565E-2</v>
      </c>
      <c r="V589" s="24">
        <f>(1+U590)^P590/(1+U589)^P589-1</f>
        <v>8.0322740144200822E-4</v>
      </c>
      <c r="W589" s="23"/>
      <c r="X589" s="35"/>
    </row>
    <row r="590" spans="15:24" ht="17.100000000000001" customHeight="1">
      <c r="O590" s="12">
        <f t="shared" ref="O590:O653" si="9">P590/12</f>
        <v>48.083333333333336</v>
      </c>
      <c r="P590" s="13">
        <v>577</v>
      </c>
      <c r="Q590" s="22"/>
      <c r="R590" s="19"/>
      <c r="S590" s="22"/>
      <c r="T590" s="19"/>
      <c r="U590" s="24">
        <v>3.0453770279778469E-2</v>
      </c>
      <c r="V590" s="24">
        <f>(1+U591)^P591/(1+U590)^P590-1</f>
        <v>7.9167737513130554E-4</v>
      </c>
      <c r="W590" s="23"/>
      <c r="X590" s="35"/>
    </row>
    <row r="591" spans="15:24" ht="17.100000000000001" customHeight="1">
      <c r="O591" s="12">
        <f t="shared" si="9"/>
        <v>48.166666666666664</v>
      </c>
      <c r="P591" s="13">
        <v>578</v>
      </c>
      <c r="Q591" s="22"/>
      <c r="R591" s="19"/>
      <c r="S591" s="22"/>
      <c r="T591" s="19"/>
      <c r="U591" s="24">
        <v>3.0401699994639264E-2</v>
      </c>
      <c r="V591" s="24">
        <f>(1+U592)^P592/(1+U591)^P591-1</f>
        <v>7.8029275210744764E-4</v>
      </c>
      <c r="W591" s="23"/>
      <c r="X591" s="35"/>
    </row>
    <row r="592" spans="15:24" ht="17.100000000000001" customHeight="1">
      <c r="O592" s="12">
        <f t="shared" si="9"/>
        <v>48.25</v>
      </c>
      <c r="P592" s="13">
        <v>579</v>
      </c>
      <c r="Q592" s="22"/>
      <c r="R592" s="19"/>
      <c r="S592" s="22"/>
      <c r="T592" s="19"/>
      <c r="U592" s="24">
        <v>3.0349791946478355E-2</v>
      </c>
      <c r="V592" s="24">
        <f>(1+U593)^P593/(1+U592)^P592-1</f>
        <v>7.6907118304148092E-4</v>
      </c>
      <c r="W592" s="23"/>
      <c r="X592" s="35"/>
    </row>
    <row r="593" spans="15:24" ht="17.100000000000001" customHeight="1">
      <c r="O593" s="12">
        <f t="shared" si="9"/>
        <v>48.333333333333336</v>
      </c>
      <c r="P593" s="13">
        <v>580</v>
      </c>
      <c r="Q593" s="22"/>
      <c r="R593" s="19"/>
      <c r="S593" s="22"/>
      <c r="T593" s="19"/>
      <c r="U593" s="24">
        <v>3.0298045574728594E-2</v>
      </c>
      <c r="V593" s="24">
        <f>(1+U594)^P594/(1+U593)^P593-1</f>
        <v>7.5801035158584718E-4</v>
      </c>
      <c r="W593" s="23"/>
      <c r="X593" s="35"/>
    </row>
    <row r="594" spans="15:24" ht="17.100000000000001" customHeight="1">
      <c r="O594" s="12">
        <f t="shared" si="9"/>
        <v>48.416666666666664</v>
      </c>
      <c r="P594" s="13">
        <v>581</v>
      </c>
      <c r="Q594" s="22"/>
      <c r="R594" s="19"/>
      <c r="S594" s="22"/>
      <c r="T594" s="19"/>
      <c r="U594" s="24">
        <v>3.024646031860434E-2</v>
      </c>
      <c r="V594" s="24">
        <f>(1+U595)^P595/(1+U594)^P594-1</f>
        <v>7.471079735794639E-4</v>
      </c>
      <c r="W594" s="23"/>
      <c r="X594" s="35"/>
    </row>
    <row r="595" spans="15:24" ht="17.100000000000001" customHeight="1">
      <c r="O595" s="12">
        <f t="shared" si="9"/>
        <v>48.5</v>
      </c>
      <c r="P595" s="13">
        <v>582</v>
      </c>
      <c r="Q595" s="22"/>
      <c r="R595" s="19"/>
      <c r="S595" s="22"/>
      <c r="T595" s="19"/>
      <c r="U595" s="24">
        <v>3.0195035617160748E-2</v>
      </c>
      <c r="V595" s="24">
        <f>(1+U596)^P596/(1+U595)^P595-1</f>
        <v>7.3636179717206929E-4</v>
      </c>
      <c r="W595" s="23"/>
      <c r="X595" s="35"/>
    </row>
    <row r="596" spans="15:24" ht="17.100000000000001" customHeight="1">
      <c r="O596" s="12">
        <f t="shared" si="9"/>
        <v>48.583333333333336</v>
      </c>
      <c r="P596" s="13">
        <v>583</v>
      </c>
      <c r="Q596" s="22"/>
      <c r="R596" s="19"/>
      <c r="S596" s="22"/>
      <c r="T596" s="19"/>
      <c r="U596" s="24">
        <v>3.0143770909352829E-2</v>
      </c>
      <c r="V596" s="24">
        <f>(1+U597)^P597/(1+U596)^P596-1</f>
        <v>7.2576960126591317E-4</v>
      </c>
      <c r="W596" s="23"/>
      <c r="X596" s="35"/>
    </row>
    <row r="597" spans="15:24" ht="17.100000000000001" customHeight="1">
      <c r="O597" s="12">
        <f t="shared" si="9"/>
        <v>48.666666666666664</v>
      </c>
      <c r="P597" s="13">
        <v>584</v>
      </c>
      <c r="Q597" s="22"/>
      <c r="R597" s="19"/>
      <c r="S597" s="22"/>
      <c r="T597" s="19"/>
      <c r="U597" s="24">
        <v>3.0092665634090965E-2</v>
      </c>
      <c r="V597" s="24">
        <f>(1+U598)^P598/(1+U597)^P597-1</f>
        <v>7.1532919683114926E-4</v>
      </c>
      <c r="W597" s="23"/>
      <c r="X597" s="35"/>
    </row>
    <row r="598" spans="15:24" ht="17.100000000000001" customHeight="1">
      <c r="O598" s="12">
        <f t="shared" si="9"/>
        <v>48.75</v>
      </c>
      <c r="P598" s="13">
        <v>585</v>
      </c>
      <c r="Q598" s="22"/>
      <c r="R598" s="19"/>
      <c r="S598" s="22"/>
      <c r="T598" s="19"/>
      <c r="U598" s="24">
        <v>3.0041719230298192E-2</v>
      </c>
      <c r="V598" s="24">
        <f>(1+U599)^P599/(1+U598)^P598-1</f>
        <v>7.0503842455638122E-4</v>
      </c>
      <c r="W598" s="23"/>
      <c r="X598" s="35"/>
    </row>
    <row r="599" spans="15:24" ht="17.100000000000001" customHeight="1">
      <c r="O599" s="12">
        <f t="shared" si="9"/>
        <v>48.833333333333336</v>
      </c>
      <c r="P599" s="13">
        <v>586</v>
      </c>
      <c r="Q599" s="22"/>
      <c r="R599" s="19"/>
      <c r="S599" s="22"/>
      <c r="T599" s="19"/>
      <c r="U599" s="24">
        <v>2.9990931136962606E-2</v>
      </c>
      <c r="V599" s="24">
        <f>(1+U600)^P600/(1+U599)^P599-1</f>
        <v>6.9489515607945584E-4</v>
      </c>
      <c r="W599" s="23"/>
      <c r="X599" s="35"/>
    </row>
    <row r="600" spans="15:24" ht="17.100000000000001" customHeight="1">
      <c r="O600" s="12">
        <f t="shared" si="9"/>
        <v>48.916666666666664</v>
      </c>
      <c r="P600" s="13">
        <v>587</v>
      </c>
      <c r="Q600" s="22"/>
      <c r="R600" s="19"/>
      <c r="S600" s="22"/>
      <c r="T600" s="19"/>
      <c r="U600" s="24">
        <v>2.9940300793191543E-2</v>
      </c>
      <c r="V600" s="24">
        <f>(1+U601)^P601/(1+U600)^P600-1</f>
        <v>6.8489729231302476E-4</v>
      </c>
      <c r="W600" s="23"/>
      <c r="X600" s="35"/>
    </row>
    <row r="601" spans="15:24" ht="17.100000000000001" customHeight="1">
      <c r="O601" s="12">
        <f t="shared" si="9"/>
        <v>49</v>
      </c>
      <c r="P601" s="13">
        <v>588</v>
      </c>
      <c r="Q601" s="22"/>
      <c r="R601" s="19"/>
      <c r="S601" s="22"/>
      <c r="T601" s="19"/>
      <c r="U601" s="24">
        <v>2.9889827638262423E-2</v>
      </c>
      <c r="V601" s="24">
        <f>(1+U602)^P602/(1+U601)^P601-1</f>
        <v>6.7504276415819575E-4</v>
      </c>
      <c r="W601" s="23"/>
      <c r="X601" s="35"/>
    </row>
    <row r="602" spans="15:24" ht="17.100000000000001" customHeight="1">
      <c r="O602" s="12">
        <f t="shared" si="9"/>
        <v>49.083333333333336</v>
      </c>
      <c r="P602" s="13">
        <v>589</v>
      </c>
      <c r="Q602" s="22"/>
      <c r="R602" s="19"/>
      <c r="S602" s="22"/>
      <c r="T602" s="19"/>
      <c r="U602" s="24">
        <v>2.9839511111673822E-2</v>
      </c>
      <c r="V602" s="24">
        <f>(1+U603)^P603/(1+U602)^P602-1</f>
        <v>6.6532953098752401E-4</v>
      </c>
      <c r="W602" s="23"/>
      <c r="X602" s="35"/>
    </row>
    <row r="603" spans="15:24" ht="17.100000000000001" customHeight="1">
      <c r="O603" s="12">
        <f t="shared" si="9"/>
        <v>49.166666666666664</v>
      </c>
      <c r="P603" s="13">
        <v>590</v>
      </c>
      <c r="Q603" s="22"/>
      <c r="R603" s="19"/>
      <c r="S603" s="22"/>
      <c r="T603" s="19"/>
      <c r="U603" s="24">
        <v>2.9789350653194102E-2</v>
      </c>
      <c r="V603" s="24">
        <f>(1+U604)^P604/(1+U603)^P603-1</f>
        <v>6.557555810897675E-4</v>
      </c>
      <c r="W603" s="23"/>
      <c r="X603" s="35"/>
    </row>
    <row r="604" spans="15:24" ht="17.100000000000001" customHeight="1">
      <c r="O604" s="12">
        <f t="shared" si="9"/>
        <v>49.25</v>
      </c>
      <c r="P604" s="13">
        <v>591</v>
      </c>
      <c r="Q604" s="22"/>
      <c r="R604" s="19"/>
      <c r="S604" s="22"/>
      <c r="T604" s="19"/>
      <c r="U604" s="24">
        <v>2.973934570290937E-2</v>
      </c>
      <c r="V604" s="24">
        <f>(1+U605)^P605/(1+U604)^P604-1</f>
        <v>6.4631893108790806E-4</v>
      </c>
      <c r="W604" s="23"/>
      <c r="X604" s="35"/>
    </row>
    <row r="605" spans="15:24" ht="17.100000000000001" customHeight="1">
      <c r="O605" s="12">
        <f t="shared" si="9"/>
        <v>49.333333333333336</v>
      </c>
      <c r="P605" s="13">
        <v>592</v>
      </c>
      <c r="Q605" s="22"/>
      <c r="R605" s="19"/>
      <c r="S605" s="22"/>
      <c r="T605" s="19"/>
      <c r="U605" s="24">
        <v>2.9689495701270774E-2</v>
      </c>
      <c r="V605" s="24">
        <f>(1+U606)^P606/(1+U605)^P605-1</f>
        <v>6.3701762506296333E-4</v>
      </c>
      <c r="W605" s="23"/>
      <c r="X605" s="35"/>
    </row>
    <row r="606" spans="15:24" ht="17.100000000000001" customHeight="1">
      <c r="O606" s="12">
        <f t="shared" si="9"/>
        <v>49.416666666666664</v>
      </c>
      <c r="P606" s="13">
        <v>593</v>
      </c>
      <c r="Q606" s="22"/>
      <c r="R606" s="19"/>
      <c r="S606" s="22"/>
      <c r="T606" s="19"/>
      <c r="U606" s="24">
        <v>2.9639800089139356E-2</v>
      </c>
      <c r="V606" s="24">
        <f>(1+U607)^P607/(1+U606)^P606-1</f>
        <v>6.27849735132191E-4</v>
      </c>
      <c r="W606" s="23"/>
      <c r="X606" s="35"/>
    </row>
    <row r="607" spans="15:24" ht="17.100000000000001" customHeight="1">
      <c r="O607" s="12">
        <f t="shared" si="9"/>
        <v>49.5</v>
      </c>
      <c r="P607" s="13">
        <v>594</v>
      </c>
      <c r="Q607" s="22"/>
      <c r="R607" s="19"/>
      <c r="S607" s="22"/>
      <c r="T607" s="19"/>
      <c r="U607" s="24">
        <v>2.9590258307831574E-2</v>
      </c>
      <c r="V607" s="24">
        <f>(1+U608)^P608/(1+U607)^P607-1</f>
        <v>6.1881335995250808E-4</v>
      </c>
      <c r="W607" s="23"/>
      <c r="X607" s="35"/>
    </row>
    <row r="608" spans="15:24" ht="17.100000000000001" customHeight="1">
      <c r="O608" s="12">
        <f t="shared" si="9"/>
        <v>49.583333333333336</v>
      </c>
      <c r="P608" s="13">
        <v>595</v>
      </c>
      <c r="Q608" s="22"/>
      <c r="R608" s="19"/>
      <c r="S608" s="22"/>
      <c r="T608" s="19"/>
      <c r="U608" s="24">
        <v>2.9540869799161484E-2</v>
      </c>
      <c r="V608" s="24">
        <f>(1+U609)^P609/(1+U608)^P608-1</f>
        <v>6.099066254530161E-4</v>
      </c>
      <c r="W608" s="23"/>
      <c r="X608" s="35"/>
    </row>
    <row r="609" spans="15:24" ht="17.100000000000001" customHeight="1">
      <c r="O609" s="12">
        <f t="shared" si="9"/>
        <v>49.666666666666664</v>
      </c>
      <c r="P609" s="13">
        <v>596</v>
      </c>
      <c r="Q609" s="22"/>
      <c r="R609" s="19"/>
      <c r="S609" s="22"/>
      <c r="T609" s="19"/>
      <c r="U609" s="24">
        <v>2.9491634005484268E-2</v>
      </c>
      <c r="V609" s="24">
        <f>(1+U610)^P610/(1+U609)^P609-1</f>
        <v>6.0112768323472565E-4</v>
      </c>
      <c r="W609" s="23"/>
      <c r="X609" s="35"/>
    </row>
    <row r="610" spans="15:24" ht="17.100000000000001" customHeight="1">
      <c r="O610" s="12">
        <f t="shared" si="9"/>
        <v>49.75</v>
      </c>
      <c r="P610" s="13">
        <v>597</v>
      </c>
      <c r="Q610" s="22"/>
      <c r="R610" s="19"/>
      <c r="S610" s="22"/>
      <c r="T610" s="19"/>
      <c r="U610" s="24">
        <v>2.9442550369736198E-2</v>
      </c>
      <c r="V610" s="24">
        <f>(1+U611)^P611/(1+U610)^P610-1</f>
        <v>5.9247471172119148E-4</v>
      </c>
      <c r="W610" s="23"/>
      <c r="X610" s="35"/>
    </row>
    <row r="611" spans="15:24" ht="17.100000000000001" customHeight="1">
      <c r="O611" s="12">
        <f t="shared" si="9"/>
        <v>49.833333333333336</v>
      </c>
      <c r="P611" s="13">
        <v>598</v>
      </c>
      <c r="Q611" s="22"/>
      <c r="R611" s="19"/>
      <c r="S611" s="22"/>
      <c r="T611" s="19"/>
      <c r="U611" s="24">
        <v>2.9393618335476157E-2</v>
      </c>
      <c r="V611" s="24">
        <f>(1+U612)^P612/(1+U611)^P611-1</f>
        <v>5.8394591430444009E-4</v>
      </c>
      <c r="W611" s="23"/>
      <c r="X611" s="35"/>
    </row>
    <row r="612" spans="15:24" ht="17.100000000000001" customHeight="1">
      <c r="O612" s="12">
        <f t="shared" si="9"/>
        <v>49.916666666666664</v>
      </c>
      <c r="P612" s="13">
        <v>599</v>
      </c>
      <c r="Q612" s="22"/>
      <c r="R612" s="19"/>
      <c r="S612" s="22"/>
      <c r="T612" s="19"/>
      <c r="U612" s="24">
        <v>2.9344837346923835E-2</v>
      </c>
      <c r="V612" s="24">
        <f>(1+U613)^P613/(1+U612)^P612-1</f>
        <v>5.7553952006195175E-4</v>
      </c>
      <c r="W612" s="23"/>
      <c r="X612" s="35"/>
    </row>
    <row r="613" spans="15:24" ht="17.100000000000001" customHeight="1">
      <c r="O613" s="12">
        <f t="shared" si="9"/>
        <v>50</v>
      </c>
      <c r="P613" s="13">
        <v>600</v>
      </c>
      <c r="Q613" s="22"/>
      <c r="R613" s="19"/>
      <c r="S613" s="22"/>
      <c r="T613" s="19"/>
      <c r="U613" s="24">
        <v>2.9296206848998363E-2</v>
      </c>
      <c r="V613" s="24">
        <f>(1+U614)^P614/(1+U613)^P613-1</f>
        <v>5.672537828045332E-4</v>
      </c>
      <c r="W613" s="23"/>
      <c r="X613" s="35"/>
    </row>
    <row r="614" spans="15:24" ht="17.100000000000001" customHeight="1">
      <c r="O614" s="12">
        <f t="shared" si="9"/>
        <v>50.083333333333336</v>
      </c>
      <c r="P614" s="13">
        <v>601</v>
      </c>
      <c r="Q614" s="22"/>
      <c r="R614" s="19"/>
      <c r="S614" s="22"/>
      <c r="T614" s="19"/>
      <c r="U614" s="24">
        <v>2.9247726287355169E-2</v>
      </c>
      <c r="V614" s="24">
        <f>(1+U615)^P615/(1+U614)^P614-1</f>
        <v>5.5908698117113076E-4</v>
      </c>
      <c r="W614" s="23"/>
      <c r="X614" s="35"/>
    </row>
    <row r="615" spans="15:24" ht="17.100000000000001" customHeight="1">
      <c r="O615" s="12">
        <f t="shared" si="9"/>
        <v>50.166666666666664</v>
      </c>
      <c r="P615" s="13">
        <v>602</v>
      </c>
      <c r="Q615" s="22"/>
      <c r="R615" s="19"/>
      <c r="S615" s="22"/>
      <c r="T615" s="19"/>
      <c r="U615" s="24">
        <v>2.9199395108422621E-2</v>
      </c>
      <c r="V615" s="24">
        <f>(1+U616)^P616/(1+U615)^P615-1</f>
        <v>5.5103741763895542E-4</v>
      </c>
      <c r="W615" s="23"/>
      <c r="X615" s="35"/>
    </row>
    <row r="616" spans="15:24" ht="17.100000000000001" customHeight="1">
      <c r="O616" s="12">
        <f t="shared" si="9"/>
        <v>50.25</v>
      </c>
      <c r="P616" s="13">
        <v>603</v>
      </c>
      <c r="Q616" s="22"/>
      <c r="R616" s="19"/>
      <c r="S616" s="22"/>
      <c r="T616" s="19"/>
      <c r="U616" s="24">
        <v>2.915121275943644E-2</v>
      </c>
      <c r="V616" s="24">
        <f>(1+U617)^P617/(1+U616)^P616-1</f>
        <v>5.4310341929997286E-4</v>
      </c>
      <c r="W616" s="23"/>
      <c r="X616" s="35"/>
    </row>
    <row r="617" spans="15:24" ht="17.100000000000001" customHeight="1">
      <c r="O617" s="12">
        <f t="shared" si="9"/>
        <v>50.333333333333336</v>
      </c>
      <c r="P617" s="13">
        <v>604</v>
      </c>
      <c r="Q617" s="22"/>
      <c r="R617" s="19"/>
      <c r="S617" s="22"/>
      <c r="T617" s="19"/>
      <c r="U617" s="24">
        <v>2.9103178688475451E-2</v>
      </c>
      <c r="V617" s="24">
        <f>(1+U618)^P618/(1+U617)^P617-1</f>
        <v>5.3528333622865354E-4</v>
      </c>
      <c r="W617" s="23"/>
      <c r="X617" s="35"/>
    </row>
    <row r="618" spans="15:24" ht="17.100000000000001" customHeight="1">
      <c r="O618" s="12">
        <f t="shared" si="9"/>
        <v>50.416666666666664</v>
      </c>
      <c r="P618" s="13">
        <v>605</v>
      </c>
      <c r="Q618" s="22"/>
      <c r="R618" s="19"/>
      <c r="S618" s="22"/>
      <c r="T618" s="19"/>
      <c r="U618" s="24">
        <v>2.9055292344493777E-2</v>
      </c>
      <c r="V618" s="24">
        <f>(1+U619)^P619/(1+U618)^P618-1</f>
        <v>5.2757554210880464E-4</v>
      </c>
      <c r="W618" s="23"/>
      <c r="X618" s="35"/>
    </row>
    <row r="619" spans="15:24" ht="17.100000000000001" customHeight="1">
      <c r="O619" s="12">
        <f t="shared" si="9"/>
        <v>50.5</v>
      </c>
      <c r="P619" s="13">
        <v>606</v>
      </c>
      <c r="Q619" s="22"/>
      <c r="R619" s="19"/>
      <c r="S619" s="22"/>
      <c r="T619" s="19"/>
      <c r="U619" s="24">
        <v>2.9007553177353707E-2</v>
      </c>
      <c r="V619" s="24">
        <f>(1+U620)^P620/(1+U619)^P619-1</f>
        <v>5.1997843340867433E-4</v>
      </c>
      <c r="W619" s="23"/>
      <c r="X619" s="35"/>
    </row>
    <row r="620" spans="15:24" ht="17.100000000000001" customHeight="1">
      <c r="O620" s="12">
        <f t="shared" si="9"/>
        <v>50.583333333333336</v>
      </c>
      <c r="P620" s="13">
        <v>607</v>
      </c>
      <c r="Q620" s="22"/>
      <c r="R620" s="19"/>
      <c r="S620" s="22"/>
      <c r="T620" s="19"/>
      <c r="U620" s="24">
        <v>2.8959960637857662E-2</v>
      </c>
      <c r="V620" s="24">
        <f>(1+U621)^P621/(1+U620)^P620-1</f>
        <v>5.1249042922663079E-4</v>
      </c>
      <c r="W620" s="23"/>
      <c r="X620" s="35"/>
    </row>
    <row r="621" spans="15:24" ht="17.100000000000001" customHeight="1">
      <c r="O621" s="12">
        <f t="shared" si="9"/>
        <v>50.666666666666664</v>
      </c>
      <c r="P621" s="13">
        <v>608</v>
      </c>
      <c r="Q621" s="22"/>
      <c r="R621" s="19"/>
      <c r="S621" s="22"/>
      <c r="T621" s="19"/>
      <c r="U621" s="24">
        <v>2.8912514177778403E-2</v>
      </c>
      <c r="V621" s="24">
        <f>(1+U622)^P622/(1+U621)^P621-1</f>
        <v>5.0510997137265257E-4</v>
      </c>
      <c r="W621" s="23"/>
      <c r="X621" s="35"/>
    </row>
    <row r="622" spans="15:24" ht="17.100000000000001" customHeight="1">
      <c r="O622" s="12">
        <f t="shared" si="9"/>
        <v>50.75</v>
      </c>
      <c r="P622" s="13">
        <v>609</v>
      </c>
      <c r="Q622" s="22"/>
      <c r="R622" s="19"/>
      <c r="S622" s="22"/>
      <c r="T622" s="19"/>
      <c r="U622" s="24">
        <v>2.8865213249889665E-2</v>
      </c>
      <c r="V622" s="24">
        <f>(1+U623)^P623/(1+U622)^P622-1</f>
        <v>4.97835523125989E-4</v>
      </c>
      <c r="W622" s="23"/>
      <c r="X622" s="35"/>
    </row>
    <row r="623" spans="15:24" ht="17.100000000000001" customHeight="1">
      <c r="O623" s="12">
        <f t="shared" si="9"/>
        <v>50.833333333333336</v>
      </c>
      <c r="P623" s="13">
        <v>610</v>
      </c>
      <c r="Q623" s="22"/>
      <c r="R623" s="19"/>
      <c r="S623" s="22"/>
      <c r="T623" s="19"/>
      <c r="U623" s="24">
        <v>2.8818057307995026E-2</v>
      </c>
      <c r="V623" s="24">
        <f>(1+U624)^P624/(1+U623)^P623-1</f>
        <v>4.9066556993127008E-4</v>
      </c>
      <c r="W623" s="23"/>
      <c r="X623" s="35"/>
    </row>
    <row r="624" spans="15:24" ht="17.100000000000001" customHeight="1">
      <c r="O624" s="12">
        <f t="shared" si="9"/>
        <v>50.916666666666664</v>
      </c>
      <c r="P624" s="13">
        <v>611</v>
      </c>
      <c r="Q624" s="22"/>
      <c r="R624" s="19"/>
      <c r="S624" s="22"/>
      <c r="T624" s="19"/>
      <c r="U624" s="24">
        <v>2.8771045806956108E-2</v>
      </c>
      <c r="V624" s="24">
        <f>(1+U625)^P625/(1+U624)^P624-1</f>
        <v>4.8359861815883143E-4</v>
      </c>
      <c r="W624" s="23"/>
      <c r="X624" s="35"/>
    </row>
    <row r="625" spans="15:24" ht="17.100000000000001" customHeight="1">
      <c r="O625" s="12">
        <f t="shared" si="9"/>
        <v>51</v>
      </c>
      <c r="P625" s="13">
        <v>612</v>
      </c>
      <c r="Q625" s="22"/>
      <c r="R625" s="19"/>
      <c r="S625" s="22"/>
      <c r="T625" s="19"/>
      <c r="U625" s="24">
        <v>2.8724178202719886E-2</v>
      </c>
      <c r="V625" s="24">
        <f>(1+U626)^P626/(1+U625)^P625-1</f>
        <v>4.7663319616808586E-4</v>
      </c>
      <c r="W625" s="23"/>
      <c r="X625" s="35"/>
    </row>
    <row r="626" spans="15:24" ht="17.100000000000001" customHeight="1">
      <c r="O626" s="12">
        <f t="shared" si="9"/>
        <v>51.083333333333336</v>
      </c>
      <c r="P626" s="13">
        <v>613</v>
      </c>
      <c r="Q626" s="22"/>
      <c r="R626" s="19"/>
      <c r="S626" s="22"/>
      <c r="T626" s="19"/>
      <c r="U626" s="24">
        <v>2.8677453952346665E-2</v>
      </c>
      <c r="V626" s="24">
        <f>(1+U627)^P627/(1+U626)^P626-1</f>
        <v>4.697678520328985E-4</v>
      </c>
      <c r="W626" s="23"/>
      <c r="X626" s="35"/>
    </row>
    <row r="627" spans="15:24" ht="17.100000000000001" customHeight="1">
      <c r="O627" s="12">
        <f t="shared" si="9"/>
        <v>51.166666666666664</v>
      </c>
      <c r="P627" s="13">
        <v>614</v>
      </c>
      <c r="Q627" s="22"/>
      <c r="R627" s="19"/>
      <c r="S627" s="22"/>
      <c r="T627" s="19"/>
      <c r="U627" s="24">
        <v>2.8630872514034289E-2</v>
      </c>
      <c r="V627" s="24">
        <f>(1+U628)^P628/(1+U627)^P627-1</f>
        <v>4.6300115504349648E-4</v>
      </c>
      <c r="W627" s="23"/>
      <c r="X627" s="35"/>
    </row>
    <row r="628" spans="15:24" ht="17.100000000000001" customHeight="1">
      <c r="O628" s="12">
        <f t="shared" si="9"/>
        <v>51.25</v>
      </c>
      <c r="P628" s="13">
        <v>615</v>
      </c>
      <c r="Q628" s="22"/>
      <c r="R628" s="19"/>
      <c r="S628" s="22"/>
      <c r="T628" s="19"/>
      <c r="U628" s="24">
        <v>2.8584433347144556E-2</v>
      </c>
      <c r="V628" s="24">
        <f>(1+U629)^P629/(1+U628)^P628-1</f>
        <v>4.5633169471659407E-4</v>
      </c>
      <c r="W628" s="23"/>
      <c r="X628" s="35"/>
    </row>
    <row r="629" spans="15:24" ht="17.100000000000001" customHeight="1">
      <c r="O629" s="12">
        <f t="shared" si="9"/>
        <v>51.333333333333336</v>
      </c>
      <c r="P629" s="13">
        <v>616</v>
      </c>
      <c r="Q629" s="22"/>
      <c r="R629" s="19"/>
      <c r="S629" s="22"/>
      <c r="T629" s="19"/>
      <c r="U629" s="24">
        <v>2.8538135912227647E-2</v>
      </c>
      <c r="V629" s="24">
        <f>(1+U630)^P630/(1+U629)^P629-1</f>
        <v>4.4975808051206378E-4</v>
      </c>
      <c r="W629" s="23"/>
      <c r="X629" s="35"/>
    </row>
    <row r="630" spans="15:24" ht="17.100000000000001" customHeight="1">
      <c r="O630" s="12">
        <f t="shared" si="9"/>
        <v>51.416666666666664</v>
      </c>
      <c r="P630" s="13">
        <v>617</v>
      </c>
      <c r="Q630" s="22"/>
      <c r="R630" s="19"/>
      <c r="S630" s="22"/>
      <c r="T630" s="19"/>
      <c r="U630" s="24">
        <v>2.8491979671045886E-2</v>
      </c>
      <c r="V630" s="24">
        <f>(1+U631)^P631/(1+U630)^P630-1</f>
        <v>4.4327894135665069E-4</v>
      </c>
      <c r="W630" s="23"/>
      <c r="X630" s="35"/>
    </row>
    <row r="631" spans="15:24" ht="17.100000000000001" customHeight="1">
      <c r="O631" s="12">
        <f t="shared" si="9"/>
        <v>51.5</v>
      </c>
      <c r="P631" s="13">
        <v>618</v>
      </c>
      <c r="Q631" s="22"/>
      <c r="R631" s="19"/>
      <c r="S631" s="22"/>
      <c r="T631" s="19"/>
      <c r="U631" s="24">
        <v>2.8445964086596609E-2</v>
      </c>
      <c r="V631" s="24">
        <f>(1+U632)^P632/(1+U631)^P631-1</f>
        <v>4.3689292583248829E-4</v>
      </c>
      <c r="W631" s="23"/>
      <c r="X631" s="35"/>
    </row>
    <row r="632" spans="15:24" ht="17.100000000000001" customHeight="1">
      <c r="O632" s="12">
        <f t="shared" si="9"/>
        <v>51.583333333333336</v>
      </c>
      <c r="P632" s="13">
        <v>619</v>
      </c>
      <c r="Q632" s="22"/>
      <c r="R632" s="19"/>
      <c r="S632" s="22"/>
      <c r="T632" s="19"/>
      <c r="U632" s="24">
        <v>2.8400088623134812E-2</v>
      </c>
      <c r="V632" s="24">
        <f>(1+U633)^P633/(1+U632)^P632-1</f>
        <v>4.3059870166062275E-4</v>
      </c>
      <c r="W632" s="23"/>
      <c r="X632" s="35"/>
    </row>
    <row r="633" spans="15:24" ht="17.100000000000001" customHeight="1">
      <c r="O633" s="12">
        <f t="shared" si="9"/>
        <v>51.666666666666664</v>
      </c>
      <c r="P633" s="13">
        <v>620</v>
      </c>
      <c r="Q633" s="22"/>
      <c r="R633" s="19"/>
      <c r="S633" s="22"/>
      <c r="T633" s="19"/>
      <c r="U633" s="24">
        <v>2.8354352746194911E-2</v>
      </c>
      <c r="V633" s="24">
        <f>(1+U634)^P634/(1+U633)^P633-1</f>
        <v>4.2439495529755789E-4</v>
      </c>
      <c r="W633" s="23"/>
      <c r="X633" s="35"/>
    </row>
    <row r="634" spans="15:24" ht="17.100000000000001" customHeight="1">
      <c r="O634" s="12">
        <f t="shared" si="9"/>
        <v>51.75</v>
      </c>
      <c r="P634" s="13">
        <v>621</v>
      </c>
      <c r="Q634" s="22"/>
      <c r="R634" s="19"/>
      <c r="S634" s="22"/>
      <c r="T634" s="19"/>
      <c r="U634" s="24">
        <v>2.8308755922611839E-2</v>
      </c>
      <c r="V634" s="24">
        <f>(1+U635)^P635/(1+U634)^P634-1</f>
        <v>4.182803918086897E-4</v>
      </c>
      <c r="W634" s="23"/>
      <c r="X634" s="35"/>
    </row>
    <row r="635" spans="15:24" ht="17.100000000000001" customHeight="1">
      <c r="O635" s="12">
        <f t="shared" si="9"/>
        <v>51.833333333333336</v>
      </c>
      <c r="P635" s="13">
        <v>622</v>
      </c>
      <c r="Q635" s="22"/>
      <c r="R635" s="19"/>
      <c r="S635" s="22"/>
      <c r="T635" s="19"/>
      <c r="U635" s="24">
        <v>2.8263297620541028E-2</v>
      </c>
      <c r="V635" s="24">
        <f>(1+U636)^P636/(1+U635)^P635-1</f>
        <v>4.1225373481812433E-4</v>
      </c>
      <c r="W635" s="23"/>
      <c r="X635" s="35"/>
    </row>
    <row r="636" spans="15:24" ht="17.100000000000001" customHeight="1">
      <c r="O636" s="12">
        <f t="shared" si="9"/>
        <v>51.916666666666664</v>
      </c>
      <c r="P636" s="13">
        <v>623</v>
      </c>
      <c r="Q636" s="22"/>
      <c r="R636" s="19"/>
      <c r="S636" s="22"/>
      <c r="T636" s="19"/>
      <c r="U636" s="24">
        <v>2.8217977309479059E-2</v>
      </c>
      <c r="V636" s="24">
        <f>(1+U637)^P637/(1+U636)^P636-1</f>
        <v>4.0631372640165253E-4</v>
      </c>
      <c r="W636" s="23"/>
      <c r="X636" s="35"/>
    </row>
    <row r="637" spans="15:24" ht="17.100000000000001" customHeight="1">
      <c r="O637" s="12">
        <f t="shared" si="9"/>
        <v>52</v>
      </c>
      <c r="P637" s="13">
        <v>624</v>
      </c>
      <c r="Q637" s="22"/>
      <c r="R637" s="19"/>
      <c r="S637" s="22"/>
      <c r="T637" s="19"/>
      <c r="U637" s="24">
        <v>2.8172794460282979E-2</v>
      </c>
      <c r="V637" s="24">
        <f>(1+U638)^P638/(1+U637)^P637-1</f>
        <v>4.0045912544139917E-4</v>
      </c>
      <c r="W637" s="23"/>
      <c r="X637" s="35"/>
    </row>
    <row r="638" spans="15:24" ht="17.100000000000001" customHeight="1">
      <c r="O638" s="12">
        <f t="shared" si="9"/>
        <v>52.083333333333336</v>
      </c>
      <c r="P638" s="13">
        <v>625</v>
      </c>
      <c r="Q638" s="22"/>
      <c r="R638" s="19"/>
      <c r="S638" s="22"/>
      <c r="T638" s="19"/>
      <c r="U638" s="24">
        <v>2.8127748545187403E-2</v>
      </c>
      <c r="V638" s="24">
        <f>(1+U639)^P639/(1+U638)^P638-1</f>
        <v>3.9468870942727108E-4</v>
      </c>
      <c r="W638" s="23"/>
      <c r="X638" s="35"/>
    </row>
    <row r="639" spans="15:24" ht="17.100000000000001" customHeight="1">
      <c r="O639" s="12">
        <f t="shared" si="9"/>
        <v>52.166666666666664</v>
      </c>
      <c r="P639" s="13">
        <v>626</v>
      </c>
      <c r="Q639" s="22"/>
      <c r="R639" s="19"/>
      <c r="S639" s="22"/>
      <c r="T639" s="19"/>
      <c r="U639" s="24">
        <v>2.808283903782427E-2</v>
      </c>
      <c r="V639" s="24">
        <f>(1+U640)^P640/(1+U639)^P639-1</f>
        <v>3.8900127251340066E-4</v>
      </c>
      <c r="W639" s="23"/>
      <c r="X639" s="35"/>
    </row>
    <row r="640" spans="15:24" ht="17.100000000000001" customHeight="1">
      <c r="O640" s="12">
        <f t="shared" si="9"/>
        <v>52.25</v>
      </c>
      <c r="P640" s="13">
        <v>627</v>
      </c>
      <c r="Q640" s="22"/>
      <c r="R640" s="19"/>
      <c r="S640" s="22"/>
      <c r="T640" s="19"/>
      <c r="U640" s="24">
        <v>2.8038065413238833E-2</v>
      </c>
      <c r="V640" s="24">
        <f>(1+U641)^P641/(1+U640)^P640-1</f>
        <v>3.8339562676914518E-4</v>
      </c>
      <c r="W640" s="23"/>
      <c r="X640" s="35"/>
    </row>
    <row r="641" spans="15:24" ht="17.100000000000001" customHeight="1">
      <c r="O641" s="12">
        <f t="shared" si="9"/>
        <v>52.333333333333336</v>
      </c>
      <c r="P641" s="13">
        <v>628</v>
      </c>
      <c r="Q641" s="22"/>
      <c r="R641" s="19"/>
      <c r="S641" s="22"/>
      <c r="T641" s="19"/>
      <c r="U641" s="24">
        <v>2.799342714790809E-2</v>
      </c>
      <c r="V641" s="24">
        <f>(1+U642)^P642/(1+U641)^P641-1</f>
        <v>3.7787060019423002E-4</v>
      </c>
      <c r="W641" s="23"/>
      <c r="X641" s="35"/>
    </row>
    <row r="642" spans="15:24" ht="17.100000000000001" customHeight="1">
      <c r="O642" s="12">
        <f t="shared" si="9"/>
        <v>52.416666666666664</v>
      </c>
      <c r="P642" s="13">
        <v>629</v>
      </c>
      <c r="Q642" s="22"/>
      <c r="R642" s="19"/>
      <c r="S642" s="22"/>
      <c r="T642" s="19"/>
      <c r="U642" s="24">
        <v>2.7948923719755436E-2</v>
      </c>
      <c r="V642" s="24">
        <f>(1+U643)^P643/(1+U642)^P642-1</f>
        <v>3.7242503818446515E-4</v>
      </c>
      <c r="W642" s="23"/>
      <c r="X642" s="35"/>
    </row>
    <row r="643" spans="15:24" ht="17.100000000000001" customHeight="1">
      <c r="O643" s="12">
        <f t="shared" si="9"/>
        <v>52.5</v>
      </c>
      <c r="P643" s="13">
        <v>630</v>
      </c>
      <c r="Q643" s="22"/>
      <c r="R643" s="19"/>
      <c r="S643" s="22"/>
      <c r="T643" s="19"/>
      <c r="U643" s="24">
        <v>2.7904554608167542E-2</v>
      </c>
      <c r="V643" s="24">
        <f>(1+U644)^P644/(1+U643)^P643-1</f>
        <v>3.6705780233114993E-4</v>
      </c>
      <c r="W643" s="23"/>
      <c r="X643" s="35"/>
    </row>
    <row r="644" spans="15:24" ht="17.100000000000001" customHeight="1">
      <c r="O644" s="12">
        <f t="shared" si="9"/>
        <v>52.583333333333336</v>
      </c>
      <c r="P644" s="13">
        <v>631</v>
      </c>
      <c r="Q644" s="22"/>
      <c r="R644" s="19"/>
      <c r="S644" s="22"/>
      <c r="T644" s="19"/>
      <c r="U644" s="24">
        <v>2.7860319294009228E-2</v>
      </c>
      <c r="V644" s="24">
        <f>(1+U645)^P645/(1+U644)^P644-1</f>
        <v>3.6176777007801419E-4</v>
      </c>
      <c r="W644" s="23"/>
      <c r="X644" s="35"/>
    </row>
    <row r="645" spans="15:24" ht="17.100000000000001" customHeight="1">
      <c r="O645" s="12">
        <f t="shared" si="9"/>
        <v>52.666666666666664</v>
      </c>
      <c r="P645" s="13">
        <v>632</v>
      </c>
      <c r="Q645" s="22"/>
      <c r="R645" s="19"/>
      <c r="S645" s="22"/>
      <c r="T645" s="19"/>
      <c r="U645" s="24">
        <v>2.7816217259637899E-2</v>
      </c>
      <c r="V645" s="24">
        <f>(1+U646)^P646/(1+U645)^P645-1</f>
        <v>3.5655383529875628E-4</v>
      </c>
      <c r="W645" s="23"/>
      <c r="X645" s="35"/>
    </row>
    <row r="646" spans="15:24" ht="17.100000000000001" customHeight="1">
      <c r="O646" s="12">
        <f t="shared" si="9"/>
        <v>52.75</v>
      </c>
      <c r="P646" s="13">
        <v>633</v>
      </c>
      <c r="Q646" s="22"/>
      <c r="R646" s="19"/>
      <c r="S646" s="22"/>
      <c r="T646" s="19"/>
      <c r="U646" s="24">
        <v>2.7772247988918197E-2</v>
      </c>
      <c r="V646" s="24">
        <f>(1+U647)^P647/(1+U646)^P646-1</f>
        <v>3.5141490735424163E-4</v>
      </c>
      <c r="W646" s="23"/>
      <c r="X646" s="35"/>
    </row>
    <row r="647" spans="15:24" ht="17.100000000000001" customHeight="1">
      <c r="O647" s="12">
        <f t="shared" si="9"/>
        <v>52.833333333333336</v>
      </c>
      <c r="P647" s="13">
        <v>634</v>
      </c>
      <c r="Q647" s="22"/>
      <c r="R647" s="19"/>
      <c r="S647" s="22"/>
      <c r="T647" s="19"/>
      <c r="U647" s="24">
        <v>2.7728410967235328E-2</v>
      </c>
      <c r="V647" s="24">
        <f>(1+U648)^P648/(1+U647)^P647-1</f>
        <v>3.4634991113957625E-4</v>
      </c>
      <c r="W647" s="23"/>
      <c r="X647" s="35"/>
    </row>
    <row r="648" spans="15:24" ht="17.100000000000001" customHeight="1">
      <c r="O648" s="12">
        <f t="shared" si="9"/>
        <v>52.916666666666664</v>
      </c>
      <c r="P648" s="13">
        <v>635</v>
      </c>
      <c r="Q648" s="22"/>
      <c r="R648" s="19"/>
      <c r="S648" s="22"/>
      <c r="T648" s="19"/>
      <c r="U648" s="24">
        <v>2.7684705681508381E-2</v>
      </c>
      <c r="V648" s="24">
        <f>(1+U649)^P649/(1+U648)^P648-1</f>
        <v>3.4135778712918174E-4</v>
      </c>
      <c r="W648" s="23"/>
      <c r="X648" s="35"/>
    </row>
    <row r="649" spans="15:24" ht="17.100000000000001" customHeight="1">
      <c r="O649" s="12">
        <f t="shared" si="9"/>
        <v>53</v>
      </c>
      <c r="P649" s="13">
        <v>636</v>
      </c>
      <c r="Q649" s="22"/>
      <c r="R649" s="19"/>
      <c r="S649" s="22"/>
      <c r="T649" s="19"/>
      <c r="U649" s="24">
        <v>2.764113162020343E-2</v>
      </c>
      <c r="V649" s="24">
        <f>(1+U650)^P650/(1+U649)^P649-1</f>
        <v>3.3643749019707236E-4</v>
      </c>
      <c r="W649" s="23"/>
      <c r="X649" s="35"/>
    </row>
    <row r="650" spans="15:24" ht="17.100000000000001" customHeight="1">
      <c r="O650" s="12">
        <f t="shared" si="9"/>
        <v>53.083333333333336</v>
      </c>
      <c r="P650" s="13">
        <v>637</v>
      </c>
      <c r="Q650" s="22"/>
      <c r="R650" s="19"/>
      <c r="S650" s="22"/>
      <c r="T650" s="19"/>
      <c r="U650" s="24">
        <v>2.7597688273344856E-2</v>
      </c>
      <c r="V650" s="24">
        <f>(1+U651)^P651/(1+U650)^P650-1</f>
        <v>3.3158799084564983E-4</v>
      </c>
      <c r="W650" s="23"/>
      <c r="X650" s="35"/>
    </row>
    <row r="651" spans="15:24" ht="17.100000000000001" customHeight="1">
      <c r="O651" s="12">
        <f t="shared" si="9"/>
        <v>53.166666666666664</v>
      </c>
      <c r="P651" s="13">
        <v>638</v>
      </c>
      <c r="Q651" s="22"/>
      <c r="R651" s="19"/>
      <c r="S651" s="22"/>
      <c r="T651" s="19"/>
      <c r="U651" s="24">
        <v>2.7554375132527786E-2</v>
      </c>
      <c r="V651" s="24">
        <f>(1+U652)^P652/(1+U651)^P651-1</f>
        <v>3.2680827382658428E-4</v>
      </c>
      <c r="W651" s="23"/>
      <c r="X651" s="35"/>
    </row>
    <row r="652" spans="15:24" ht="17.100000000000001" customHeight="1">
      <c r="O652" s="12">
        <f t="shared" si="9"/>
        <v>53.25</v>
      </c>
      <c r="P652" s="13">
        <v>639</v>
      </c>
      <c r="Q652" s="22"/>
      <c r="R652" s="19"/>
      <c r="S652" s="22"/>
      <c r="T652" s="19"/>
      <c r="U652" s="24">
        <v>2.7511191690929637E-2</v>
      </c>
      <c r="V652" s="24">
        <f>(1+U653)^P653/(1+U652)^P652-1</f>
        <v>3.2209733815924402E-4</v>
      </c>
      <c r="W652" s="23"/>
      <c r="X652" s="35"/>
    </row>
    <row r="653" spans="15:24" ht="17.100000000000001" customHeight="1">
      <c r="O653" s="12">
        <f t="shared" si="9"/>
        <v>53.333333333333336</v>
      </c>
      <c r="P653" s="13">
        <v>640</v>
      </c>
      <c r="Q653" s="22"/>
      <c r="R653" s="19"/>
      <c r="S653" s="22"/>
      <c r="T653" s="19"/>
      <c r="U653" s="24">
        <v>2.7468137443319884E-2</v>
      </c>
      <c r="V653" s="24">
        <f>(1+U654)^P654/(1+U653)^P653-1</f>
        <v>3.1745419777617911E-4</v>
      </c>
      <c r="W653" s="23"/>
      <c r="X653" s="35"/>
    </row>
    <row r="654" spans="15:24" ht="17.100000000000001" customHeight="1">
      <c r="O654" s="12">
        <f t="shared" ref="O654:O717" si="10">P654/12</f>
        <v>53.416666666666664</v>
      </c>
      <c r="P654" s="13">
        <v>641</v>
      </c>
      <c r="Q654" s="22"/>
      <c r="R654" s="19"/>
      <c r="S654" s="22"/>
      <c r="T654" s="19"/>
      <c r="U654" s="24">
        <v>2.7425211886072054E-2</v>
      </c>
      <c r="V654" s="24">
        <f>(1+U655)^P655/(1+U654)^P654-1</f>
        <v>3.1287788007738904E-4</v>
      </c>
      <c r="W654" s="23"/>
      <c r="X654" s="35"/>
    </row>
    <row r="655" spans="15:24" ht="17.100000000000001" customHeight="1">
      <c r="O655" s="12">
        <f t="shared" si="10"/>
        <v>53.5</v>
      </c>
      <c r="P655" s="13">
        <v>642</v>
      </c>
      <c r="Q655" s="22"/>
      <c r="R655" s="19"/>
      <c r="S655" s="22"/>
      <c r="T655" s="19"/>
      <c r="U655" s="24">
        <v>2.7382414517172826E-2</v>
      </c>
      <c r="V655" s="24">
        <f>(1+U656)^P656/(1+U655)^P655-1</f>
        <v>3.0836742655027116E-4</v>
      </c>
      <c r="W655" s="23"/>
      <c r="X655" s="35"/>
    </row>
    <row r="656" spans="15:24" ht="17.100000000000001" customHeight="1">
      <c r="O656" s="12">
        <f t="shared" si="10"/>
        <v>53.583333333333336</v>
      </c>
      <c r="P656" s="13">
        <v>643</v>
      </c>
      <c r="Q656" s="22"/>
      <c r="R656" s="19"/>
      <c r="S656" s="22"/>
      <c r="T656" s="19"/>
      <c r="U656" s="24">
        <v>2.7339744836231361E-2</v>
      </c>
      <c r="V656" s="24">
        <f>(1+U657)^P657/(1+U656)^P656-1</f>
        <v>3.039218923410747E-4</v>
      </c>
      <c r="W656" s="23"/>
      <c r="X656" s="35"/>
    </row>
    <row r="657" spans="15:24" ht="17.100000000000001" customHeight="1">
      <c r="O657" s="12">
        <f t="shared" si="10"/>
        <v>53.666666666666664</v>
      </c>
      <c r="P657" s="13">
        <v>644</v>
      </c>
      <c r="Q657" s="22"/>
      <c r="R657" s="19"/>
      <c r="S657" s="22"/>
      <c r="T657" s="19"/>
      <c r="U657" s="24">
        <v>2.7297202344489735E-2</v>
      </c>
      <c r="V657" s="24">
        <f>(1+U658)^P658/(1+U657)^P657-1</f>
        <v>2.9954034581125555E-4</v>
      </c>
      <c r="W657" s="23"/>
      <c r="X657" s="35"/>
    </row>
    <row r="658" spans="15:24" ht="17.100000000000001" customHeight="1">
      <c r="O658" s="12">
        <f t="shared" si="10"/>
        <v>53.75</v>
      </c>
      <c r="P658" s="13">
        <v>645</v>
      </c>
      <c r="Q658" s="22"/>
      <c r="R658" s="19"/>
      <c r="S658" s="22"/>
      <c r="T658" s="19"/>
      <c r="U658" s="24">
        <v>2.7254786544830045E-2</v>
      </c>
      <c r="V658" s="24">
        <f>(1+U659)^P659/(1+U658)^P658-1</f>
        <v>2.952218690455144E-4</v>
      </c>
      <c r="W658" s="23"/>
      <c r="X658" s="35"/>
    </row>
    <row r="659" spans="15:24" ht="17.100000000000001" customHeight="1">
      <c r="O659" s="12">
        <f t="shared" si="10"/>
        <v>53.833333333333336</v>
      </c>
      <c r="P659" s="13">
        <v>646</v>
      </c>
      <c r="Q659" s="22"/>
      <c r="R659" s="19"/>
      <c r="S659" s="22"/>
      <c r="T659" s="19"/>
      <c r="U659" s="24">
        <v>2.7212496941784403E-2</v>
      </c>
      <c r="V659" s="24">
        <f>(1+U660)^P660/(1+U659)^P659-1</f>
        <v>2.9096555715768524E-4</v>
      </c>
      <c r="W659" s="23"/>
      <c r="X659" s="35"/>
    </row>
    <row r="660" spans="15:24" ht="17.100000000000001" customHeight="1">
      <c r="O660" s="12">
        <f t="shared" si="10"/>
        <v>53.916666666666664</v>
      </c>
      <c r="P660" s="13">
        <v>647</v>
      </c>
      <c r="Q660" s="22"/>
      <c r="R660" s="19"/>
      <c r="S660" s="22"/>
      <c r="T660" s="19"/>
      <c r="U660" s="24">
        <v>2.7170333041542705E-2</v>
      </c>
      <c r="V660" s="24">
        <f>(1+U661)^P661/(1+U660)^P660-1</f>
        <v>2.8677051737946435E-4</v>
      </c>
      <c r="W660" s="23"/>
      <c r="X660" s="35"/>
    </row>
    <row r="661" spans="15:24" ht="17.100000000000001" customHeight="1">
      <c r="O661" s="12">
        <f t="shared" si="10"/>
        <v>54</v>
      </c>
      <c r="P661" s="13">
        <v>648</v>
      </c>
      <c r="Q661" s="22"/>
      <c r="R661" s="19"/>
      <c r="S661" s="22"/>
      <c r="T661" s="19"/>
      <c r="U661" s="24">
        <v>2.7128294351958848E-2</v>
      </c>
      <c r="V661" s="24">
        <f>(1+U662)^P662/(1+U661)^P661-1</f>
        <v>2.826358708332144E-4</v>
      </c>
      <c r="W661" s="23"/>
      <c r="X661" s="35"/>
    </row>
    <row r="662" spans="15:24" ht="17.100000000000001" customHeight="1">
      <c r="O662" s="12">
        <f t="shared" si="10"/>
        <v>54.083333333333336</v>
      </c>
      <c r="P662" s="13">
        <v>649</v>
      </c>
      <c r="Q662" s="22"/>
      <c r="R662" s="19"/>
      <c r="S662" s="22"/>
      <c r="T662" s="19"/>
      <c r="U662" s="24">
        <v>2.708638038256006E-2</v>
      </c>
      <c r="V662" s="24">
        <f>(1+U663)^P663/(1+U662)^P662-1</f>
        <v>2.7856075057708374E-4</v>
      </c>
      <c r="W662" s="23"/>
      <c r="X662" s="35"/>
    </row>
    <row r="663" spans="15:24" ht="17.100000000000001" customHeight="1">
      <c r="O663" s="12">
        <f t="shared" si="10"/>
        <v>54.166666666666664</v>
      </c>
      <c r="P663" s="13">
        <v>650</v>
      </c>
      <c r="Q663" s="22"/>
      <c r="R663" s="19"/>
      <c r="S663" s="22"/>
      <c r="T663" s="19"/>
      <c r="U663" s="24">
        <v>2.7044590644552668E-2</v>
      </c>
      <c r="V663" s="24">
        <f>(1+U664)^P664/(1+U663)^P663-1</f>
        <v>2.7454430205486879E-4</v>
      </c>
      <c r="W663" s="23"/>
      <c r="X663" s="35"/>
    </row>
    <row r="664" spans="15:24" ht="17.100000000000001" customHeight="1">
      <c r="O664" s="12">
        <f t="shared" si="10"/>
        <v>54.25</v>
      </c>
      <c r="P664" s="13">
        <v>651</v>
      </c>
      <c r="Q664" s="22"/>
      <c r="R664" s="19"/>
      <c r="S664" s="22"/>
      <c r="T664" s="19"/>
      <c r="U664" s="24">
        <v>2.700292465082943E-2</v>
      </c>
      <c r="V664" s="24">
        <f>(1+U665)^P665/(1+U664)^P664-1</f>
        <v>2.7058568285553974E-4</v>
      </c>
      <c r="W664" s="23"/>
      <c r="X664" s="35"/>
    </row>
    <row r="665" spans="15:24" ht="17.100000000000001" customHeight="1">
      <c r="O665" s="12">
        <f t="shared" si="10"/>
        <v>54.333333333333336</v>
      </c>
      <c r="P665" s="13">
        <v>652</v>
      </c>
      <c r="Q665" s="22"/>
      <c r="R665" s="19"/>
      <c r="S665" s="22"/>
      <c r="T665" s="19"/>
      <c r="U665" s="24">
        <v>2.6961381915974858E-2</v>
      </c>
      <c r="V665" s="24">
        <f>(1+U666)^P666/(1+U665)^P665-1</f>
        <v>2.6668406259910959E-4</v>
      </c>
      <c r="W665" s="23"/>
      <c r="X665" s="35"/>
    </row>
    <row r="666" spans="15:24" ht="17.100000000000001" customHeight="1">
      <c r="O666" s="12">
        <f t="shared" si="10"/>
        <v>54.416666666666664</v>
      </c>
      <c r="P666" s="13">
        <v>653</v>
      </c>
      <c r="Q666" s="22"/>
      <c r="R666" s="19"/>
      <c r="S666" s="22"/>
      <c r="T666" s="19"/>
      <c r="U666" s="24">
        <v>2.6919961956271665E-2</v>
      </c>
      <c r="V666" s="24">
        <f>(1+U667)^P667/(1+U666)^P666-1</f>
        <v>2.6283862317910689E-4</v>
      </c>
      <c r="W666" s="23"/>
      <c r="X666" s="35"/>
    </row>
    <row r="667" spans="15:24" ht="17.100000000000001" customHeight="1">
      <c r="O667" s="12">
        <f t="shared" si="10"/>
        <v>54.5</v>
      </c>
      <c r="P667" s="13">
        <v>654</v>
      </c>
      <c r="Q667" s="22"/>
      <c r="R667" s="19"/>
      <c r="S667" s="22"/>
      <c r="T667" s="19"/>
      <c r="U667" s="24">
        <v>2.6878664289706755E-2</v>
      </c>
      <c r="V667" s="24">
        <f>(1+U668)^P668/(1+U667)^P667-1</f>
        <v>2.5904855774161462E-4</v>
      </c>
      <c r="W667" s="23"/>
      <c r="X667" s="35"/>
    </row>
    <row r="668" spans="15:24" ht="17.100000000000001" customHeight="1">
      <c r="O668" s="12">
        <f t="shared" si="10"/>
        <v>54.583333333333336</v>
      </c>
      <c r="P668" s="13">
        <v>655</v>
      </c>
      <c r="Q668" s="22"/>
      <c r="R668" s="19"/>
      <c r="S668" s="22"/>
      <c r="T668" s="19"/>
      <c r="U668" s="24">
        <v>2.6837488435976331E-2</v>
      </c>
      <c r="V668" s="24">
        <f>(1+U669)^P669/(1+U668)^P668-1</f>
        <v>2.5531307082182764E-4</v>
      </c>
      <c r="W668" s="23"/>
      <c r="X668" s="35"/>
    </row>
    <row r="669" spans="15:24" ht="17.100000000000001" customHeight="1">
      <c r="O669" s="12">
        <f t="shared" si="10"/>
        <v>54.666666666666664</v>
      </c>
      <c r="P669" s="13">
        <v>656</v>
      </c>
      <c r="Q669" s="22"/>
      <c r="R669" s="19"/>
      <c r="S669" s="22"/>
      <c r="T669" s="19"/>
      <c r="U669" s="24">
        <v>2.6796433916490336E-2</v>
      </c>
      <c r="V669" s="24">
        <f>(1+U670)^P670/(1+U669)^P669-1</f>
        <v>2.5163137886585751E-4</v>
      </c>
      <c r="W669" s="23"/>
      <c r="X669" s="35"/>
    </row>
    <row r="670" spans="15:24" ht="17.100000000000001" customHeight="1">
      <c r="O670" s="12">
        <f t="shared" si="10"/>
        <v>54.75</v>
      </c>
      <c r="P670" s="13">
        <v>657</v>
      </c>
      <c r="Q670" s="22"/>
      <c r="R670" s="19"/>
      <c r="S670" s="22"/>
      <c r="T670" s="19"/>
      <c r="U670" s="24">
        <v>2.6755500254377784E-2</v>
      </c>
      <c r="V670" s="24">
        <f>(1+U671)^P671/(1+U670)^P670-1</f>
        <v>2.4800270901770283E-4</v>
      </c>
      <c r="W670" s="23"/>
      <c r="X670" s="35"/>
    </row>
    <row r="671" spans="15:24" ht="17.100000000000001" customHeight="1">
      <c r="O671" s="12">
        <f t="shared" si="10"/>
        <v>54.833333333333336</v>
      </c>
      <c r="P671" s="13">
        <v>658</v>
      </c>
      <c r="Q671" s="22"/>
      <c r="R671" s="19"/>
      <c r="S671" s="22"/>
      <c r="T671" s="19"/>
      <c r="U671" s="24">
        <v>2.6714686974490975E-2</v>
      </c>
      <c r="V671" s="24">
        <f>(1+U672)^P672/(1+U671)^P671-1</f>
        <v>2.4442629975585106E-4</v>
      </c>
      <c r="W671" s="23"/>
      <c r="X671" s="35"/>
    </row>
    <row r="672" spans="15:24" ht="17.100000000000001" customHeight="1">
      <c r="O672" s="12">
        <f t="shared" si="10"/>
        <v>54.916666666666664</v>
      </c>
      <c r="P672" s="13">
        <v>659</v>
      </c>
      <c r="Q672" s="22"/>
      <c r="R672" s="19"/>
      <c r="S672" s="22"/>
      <c r="T672" s="19"/>
      <c r="U672" s="24">
        <v>2.6673993603409496E-2</v>
      </c>
      <c r="V672" s="24">
        <f>(1+U673)^P673/(1+U672)^P672-1</f>
        <v>2.409014004118859E-4</v>
      </c>
      <c r="W672" s="23"/>
      <c r="X672" s="35"/>
    </row>
    <row r="673" spans="15:24" ht="17.100000000000001" customHeight="1">
      <c r="O673" s="12">
        <f t="shared" si="10"/>
        <v>55</v>
      </c>
      <c r="P673" s="13">
        <v>660</v>
      </c>
      <c r="Q673" s="22"/>
      <c r="R673" s="19"/>
      <c r="S673" s="22"/>
      <c r="T673" s="19"/>
      <c r="U673" s="24">
        <v>2.6633419669444214E-2</v>
      </c>
      <c r="V673" s="24">
        <f>(1+U674)^P674/(1+U673)^P673-1</f>
        <v>2.3742727040887424E-4</v>
      </c>
      <c r="W673" s="23"/>
      <c r="X673" s="35"/>
    </row>
    <row r="674" spans="15:24" ht="17.100000000000001" customHeight="1">
      <c r="O674" s="12">
        <f t="shared" si="10"/>
        <v>55.083333333333336</v>
      </c>
      <c r="P674" s="13">
        <v>661</v>
      </c>
      <c r="Q674" s="22"/>
      <c r="R674" s="19"/>
      <c r="S674" s="22"/>
      <c r="T674" s="19"/>
      <c r="U674" s="24">
        <v>2.6592964702640165E-2</v>
      </c>
      <c r="V674" s="24">
        <f>(1+U675)^P675/(1+U674)^P674-1</f>
        <v>2.340031813299337E-4</v>
      </c>
      <c r="W674" s="23"/>
      <c r="X674" s="35"/>
    </row>
    <row r="675" spans="15:24" ht="17.100000000000001" customHeight="1">
      <c r="O675" s="12">
        <f t="shared" si="10"/>
        <v>55.166666666666664</v>
      </c>
      <c r="P675" s="13">
        <v>662</v>
      </c>
      <c r="Q675" s="22"/>
      <c r="R675" s="19"/>
      <c r="S675" s="22"/>
      <c r="T675" s="19"/>
      <c r="U675" s="24">
        <v>2.6552628234781439E-2</v>
      </c>
      <c r="V675" s="24">
        <f>(1+U676)^P676/(1+U675)^P675-1</f>
        <v>2.3062841310483861E-4</v>
      </c>
      <c r="W675" s="23"/>
      <c r="X675" s="35"/>
    </row>
    <row r="676" spans="15:24" ht="17.100000000000001" customHeight="1">
      <c r="O676" s="12">
        <f t="shared" si="10"/>
        <v>55.25</v>
      </c>
      <c r="P676" s="13">
        <v>663</v>
      </c>
      <c r="Q676" s="22"/>
      <c r="R676" s="19"/>
      <c r="S676" s="22"/>
      <c r="T676" s="19"/>
      <c r="U676" s="24">
        <v>2.6512409799391845E-2</v>
      </c>
      <c r="V676" s="24">
        <f>(1+U677)^P677/(1+U676)^P676-1</f>
        <v>2.2730225776390611E-4</v>
      </c>
      <c r="W676" s="23"/>
      <c r="X676" s="35"/>
    </row>
    <row r="677" spans="15:24" ht="17.100000000000001" customHeight="1">
      <c r="O677" s="12">
        <f t="shared" si="10"/>
        <v>55.333333333333336</v>
      </c>
      <c r="P677" s="13">
        <v>664</v>
      </c>
      <c r="Q677" s="22"/>
      <c r="R677" s="19"/>
      <c r="S677" s="22"/>
      <c r="T677" s="19"/>
      <c r="U677" s="24">
        <v>2.6472308931740018E-2</v>
      </c>
      <c r="V677" s="24">
        <f>(1+U678)^P678/(1+U677)^P677-1</f>
        <v>2.2402401615972956E-4</v>
      </c>
      <c r="W677" s="23"/>
      <c r="X677" s="35"/>
    </row>
    <row r="678" spans="15:24" ht="17.100000000000001" customHeight="1">
      <c r="O678" s="12">
        <f t="shared" si="10"/>
        <v>55.416666666666664</v>
      </c>
      <c r="P678" s="13">
        <v>665</v>
      </c>
      <c r="Q678" s="22"/>
      <c r="R678" s="19"/>
      <c r="S678" s="22"/>
      <c r="T678" s="19"/>
      <c r="U678" s="24">
        <v>2.6432325168840087E-2</v>
      </c>
      <c r="V678" s="24">
        <f>(1+U679)^P679/(1+U678)^P678-1</f>
        <v>2.2079300044408612E-4</v>
      </c>
      <c r="W678" s="23"/>
      <c r="X678" s="35"/>
    </row>
    <row r="679" spans="15:24" ht="17.100000000000001" customHeight="1">
      <c r="O679" s="12">
        <f t="shared" si="10"/>
        <v>55.5</v>
      </c>
      <c r="P679" s="13">
        <v>666</v>
      </c>
      <c r="Q679" s="22"/>
      <c r="R679" s="19"/>
      <c r="S679" s="22"/>
      <c r="T679" s="19"/>
      <c r="U679" s="24">
        <v>2.6392458049455447E-2</v>
      </c>
      <c r="V679" s="24">
        <f>(1+U680)^P680/(1+U679)^P679-1</f>
        <v>2.1760853095442734E-4</v>
      </c>
      <c r="W679" s="23"/>
      <c r="X679" s="35"/>
    </row>
    <row r="680" spans="15:24" ht="17.100000000000001" customHeight="1">
      <c r="O680" s="12">
        <f t="shared" si="10"/>
        <v>55.583333333333336</v>
      </c>
      <c r="P680" s="13">
        <v>667</v>
      </c>
      <c r="Q680" s="22"/>
      <c r="R680" s="19"/>
      <c r="S680" s="22"/>
      <c r="T680" s="19"/>
      <c r="U680" s="24">
        <v>2.6352707114099205E-2</v>
      </c>
      <c r="V680" s="24">
        <f>(1+U681)^P681/(1+U680)^P680-1</f>
        <v>2.1446993909979284E-4</v>
      </c>
      <c r="W680" s="23"/>
      <c r="X680" s="35"/>
    </row>
    <row r="681" spans="15:24" ht="17.100000000000001" customHeight="1">
      <c r="O681" s="12">
        <f t="shared" si="10"/>
        <v>55.666666666666664</v>
      </c>
      <c r="P681" s="13">
        <v>668</v>
      </c>
      <c r="Q681" s="22"/>
      <c r="R681" s="19"/>
      <c r="S681" s="22"/>
      <c r="T681" s="19"/>
      <c r="U681" s="24">
        <v>2.6313071905037067E-2</v>
      </c>
      <c r="V681" s="24">
        <f>(1+U682)^P682/(1+U681)^P681-1</f>
        <v>2.1137656576319941E-4</v>
      </c>
      <c r="W681" s="23"/>
      <c r="X681" s="35"/>
    </row>
    <row r="682" spans="15:24" ht="17.100000000000001" customHeight="1">
      <c r="O682" s="12">
        <f t="shared" si="10"/>
        <v>55.75</v>
      </c>
      <c r="P682" s="13">
        <v>669</v>
      </c>
      <c r="Q682" s="22"/>
      <c r="R682" s="19"/>
      <c r="S682" s="22"/>
      <c r="T682" s="19"/>
      <c r="U682" s="24">
        <v>2.627355196628911E-2</v>
      </c>
      <c r="V682" s="24">
        <f>(1+U683)^P683/(1+U682)^P682-1</f>
        <v>2.0832776019052979E-4</v>
      </c>
      <c r="W682" s="23"/>
      <c r="X682" s="35"/>
    </row>
    <row r="683" spans="15:24" ht="17.100000000000001" customHeight="1">
      <c r="O683" s="12">
        <f t="shared" si="10"/>
        <v>55.833333333333336</v>
      </c>
      <c r="P683" s="13">
        <v>670</v>
      </c>
      <c r="Q683" s="22"/>
      <c r="R683" s="19"/>
      <c r="S683" s="22"/>
      <c r="T683" s="19"/>
      <c r="U683" s="24">
        <v>2.6234146843629569E-2</v>
      </c>
      <c r="V683" s="24">
        <f>(1+U684)^P684/(1+U683)^P683-1</f>
        <v>2.0532288217345318E-4</v>
      </c>
      <c r="W683" s="23"/>
      <c r="X683" s="35"/>
    </row>
    <row r="684" spans="15:24" ht="17.100000000000001" customHeight="1">
      <c r="O684" s="12">
        <f t="shared" si="10"/>
        <v>55.916666666666664</v>
      </c>
      <c r="P684" s="13">
        <v>671</v>
      </c>
      <c r="Q684" s="22"/>
      <c r="R684" s="19"/>
      <c r="S684" s="22"/>
      <c r="T684" s="19"/>
      <c r="U684" s="24">
        <v>2.6194856084589713E-2</v>
      </c>
      <c r="V684" s="24">
        <f>(1+U685)^P685/(1+U684)^P684-1</f>
        <v>2.0236129998951746E-4</v>
      </c>
      <c r="W684" s="23"/>
      <c r="X684" s="35"/>
    </row>
    <row r="685" spans="15:24" ht="17.100000000000001" customHeight="1">
      <c r="O685" s="12">
        <f t="shared" si="10"/>
        <v>56</v>
      </c>
      <c r="P685" s="13">
        <v>672</v>
      </c>
      <c r="Q685" s="22"/>
      <c r="R685" s="19"/>
      <c r="S685" s="22"/>
      <c r="T685" s="19"/>
      <c r="U685" s="24">
        <v>2.615567923845763E-2</v>
      </c>
      <c r="V685" s="24">
        <f>(1+U686)^P686/(1+U685)^P685-1</f>
        <v>1.9944239094704663E-4</v>
      </c>
      <c r="W685" s="23"/>
      <c r="X685" s="35"/>
    </row>
    <row r="686" spans="15:24" ht="17.100000000000001" customHeight="1">
      <c r="O686" s="12">
        <f t="shared" si="10"/>
        <v>56.083333333333336</v>
      </c>
      <c r="P686" s="13">
        <v>673</v>
      </c>
      <c r="Q686" s="22"/>
      <c r="R686" s="19"/>
      <c r="S686" s="22"/>
      <c r="T686" s="19"/>
      <c r="U686" s="24">
        <v>2.6116615856279335E-2</v>
      </c>
      <c r="V686" s="24">
        <f>(1+U687)^P687/(1+U686)^P686-1</f>
        <v>1.9656554211389121E-4</v>
      </c>
      <c r="W686" s="23"/>
      <c r="X686" s="35"/>
    </row>
    <row r="687" spans="15:24" ht="17.100000000000001" customHeight="1">
      <c r="O687" s="12">
        <f t="shared" si="10"/>
        <v>56.166666666666664</v>
      </c>
      <c r="P687" s="13">
        <v>674</v>
      </c>
      <c r="Q687" s="22"/>
      <c r="R687" s="19"/>
      <c r="S687" s="22"/>
      <c r="T687" s="19"/>
      <c r="U687" s="24">
        <v>2.6077665490859658E-2</v>
      </c>
      <c r="V687" s="24">
        <f>(1+U688)^P688/(1+U687)^P687-1</f>
        <v>1.9373014762003038E-4</v>
      </c>
      <c r="W687" s="23"/>
      <c r="X687" s="35"/>
    </row>
    <row r="688" spans="15:24" ht="17.100000000000001" customHeight="1">
      <c r="O688" s="12">
        <f t="shared" si="10"/>
        <v>56.25</v>
      </c>
      <c r="P688" s="13">
        <v>675</v>
      </c>
      <c r="Q688" s="22"/>
      <c r="R688" s="19"/>
      <c r="S688" s="22"/>
      <c r="T688" s="19"/>
      <c r="U688" s="24">
        <v>2.6038827696760691E-2</v>
      </c>
      <c r="V688" s="24">
        <f>(1+U689)^P689/(1+U688)^P688-1</f>
        <v>1.9093561222360833E-4</v>
      </c>
      <c r="W688" s="23"/>
      <c r="X688" s="35"/>
    </row>
    <row r="689" spans="15:24" ht="17.100000000000001" customHeight="1">
      <c r="O689" s="12">
        <f t="shared" si="10"/>
        <v>56.333333333333336</v>
      </c>
      <c r="P689" s="13">
        <v>676</v>
      </c>
      <c r="Q689" s="22"/>
      <c r="R689" s="19"/>
      <c r="S689" s="22"/>
      <c r="T689" s="19"/>
      <c r="U689" s="24">
        <v>2.6000102030304673E-2</v>
      </c>
      <c r="V689" s="24">
        <f>(1+U690)^P690/(1+U689)^P689-1</f>
        <v>1.881813479389649E-4</v>
      </c>
      <c r="W689" s="23"/>
      <c r="X689" s="35"/>
    </row>
    <row r="690" spans="15:24" ht="17.100000000000001" customHeight="1">
      <c r="O690" s="12">
        <f t="shared" si="10"/>
        <v>56.416666666666664</v>
      </c>
      <c r="P690" s="13">
        <v>677</v>
      </c>
      <c r="Q690" s="22"/>
      <c r="R690" s="19"/>
      <c r="S690" s="22"/>
      <c r="T690" s="19"/>
      <c r="U690" s="24">
        <v>2.5961488049571768E-2</v>
      </c>
      <c r="V690" s="24">
        <f>(1+U691)^P691/(1+U690)^P690-1</f>
        <v>1.8546677563358038E-4</v>
      </c>
      <c r="W690" s="23"/>
      <c r="X690" s="35"/>
    </row>
    <row r="691" spans="15:24" ht="17.100000000000001" customHeight="1">
      <c r="O691" s="12">
        <f t="shared" si="10"/>
        <v>56.5</v>
      </c>
      <c r="P691" s="13">
        <v>678</v>
      </c>
      <c r="Q691" s="22"/>
      <c r="R691" s="19"/>
      <c r="S691" s="22"/>
      <c r="T691" s="19"/>
      <c r="U691" s="24">
        <v>2.5922985314400515E-2</v>
      </c>
      <c r="V691" s="24">
        <f>(1+U692)^P692/(1+U691)^P691-1</f>
        <v>1.8279132414544819E-4</v>
      </c>
      <c r="W691" s="23"/>
      <c r="X691" s="35"/>
    </row>
    <row r="692" spans="15:24" ht="17.100000000000001" customHeight="1">
      <c r="O692" s="12">
        <f t="shared" si="10"/>
        <v>56.583333333333336</v>
      </c>
      <c r="P692" s="13">
        <v>679</v>
      </c>
      <c r="Q692" s="22"/>
      <c r="R692" s="19"/>
      <c r="S692" s="22"/>
      <c r="T692" s="19"/>
      <c r="U692" s="24">
        <v>2.5884593386386934E-2</v>
      </c>
      <c r="V692" s="24">
        <f>(1+U693)^P693/(1+U692)^P692-1</f>
        <v>1.8015443126428998E-4</v>
      </c>
      <c r="W692" s="23"/>
      <c r="X692" s="35"/>
    </row>
    <row r="693" spans="15:24" ht="17.100000000000001" customHeight="1">
      <c r="O693" s="12">
        <f t="shared" si="10"/>
        <v>56.666666666666664</v>
      </c>
      <c r="P693" s="13">
        <v>680</v>
      </c>
      <c r="Q693" s="22"/>
      <c r="R693" s="19"/>
      <c r="S693" s="22"/>
      <c r="T693" s="19"/>
      <c r="U693" s="24">
        <v>2.5846311828884971E-2</v>
      </c>
      <c r="V693" s="24">
        <f>(1+U694)^P694/(1+U693)^P693-1</f>
        <v>1.7755554192100398E-4</v>
      </c>
      <c r="W693" s="23"/>
      <c r="X693" s="35"/>
    </row>
    <row r="694" spans="15:24" ht="17.100000000000001" customHeight="1">
      <c r="O694" s="12">
        <f t="shared" si="10"/>
        <v>56.75</v>
      </c>
      <c r="P694" s="13">
        <v>681</v>
      </c>
      <c r="Q694" s="22"/>
      <c r="R694" s="19"/>
      <c r="S694" s="22"/>
      <c r="T694" s="19"/>
      <c r="U694" s="24">
        <v>2.5808140207004282E-2</v>
      </c>
      <c r="V694" s="24">
        <f>(1+U695)^P695/(1+U694)^P694-1</f>
        <v>1.7499410947863225E-4</v>
      </c>
      <c r="W694" s="23"/>
      <c r="X694" s="35"/>
    </row>
    <row r="695" spans="15:24" ht="17.100000000000001" customHeight="1">
      <c r="O695" s="12">
        <f t="shared" si="10"/>
        <v>56.833333333333336</v>
      </c>
      <c r="P695" s="13">
        <v>682</v>
      </c>
      <c r="Q695" s="22"/>
      <c r="R695" s="19"/>
      <c r="S695" s="22"/>
      <c r="T695" s="19"/>
      <c r="U695" s="24">
        <v>2.5770078087610226E-2</v>
      </c>
      <c r="V695" s="24">
        <f>(1+U696)^P696/(1+U695)^P695-1</f>
        <v>1.7246959543726348E-4</v>
      </c>
      <c r="W695" s="23"/>
      <c r="X695" s="35"/>
    </row>
    <row r="696" spans="15:24" ht="17.100000000000001" customHeight="1">
      <c r="O696" s="12">
        <f t="shared" si="10"/>
        <v>56.916666666666664</v>
      </c>
      <c r="P696" s="13">
        <v>683</v>
      </c>
      <c r="Q696" s="22"/>
      <c r="R696" s="19"/>
      <c r="S696" s="22"/>
      <c r="T696" s="19"/>
      <c r="U696" s="24">
        <v>2.573212503932254E-2</v>
      </c>
      <c r="V696" s="24">
        <f>(1+U697)^P697/(1+U696)^P696-1</f>
        <v>1.6998146795010882E-4</v>
      </c>
      <c r="W696" s="23"/>
      <c r="X696" s="35"/>
    </row>
    <row r="697" spans="15:24" ht="17.100000000000001" customHeight="1">
      <c r="O697" s="12">
        <f t="shared" si="10"/>
        <v>57</v>
      </c>
      <c r="P697" s="13">
        <v>684</v>
      </c>
      <c r="Q697" s="22"/>
      <c r="R697" s="19"/>
      <c r="S697" s="22"/>
      <c r="T697" s="19"/>
      <c r="U697" s="24">
        <v>2.5694280632513333E-2</v>
      </c>
      <c r="V697" s="24">
        <f>(1+U698)^P698/(1+U697)^P697-1</f>
        <v>1.6752920408791283E-4</v>
      </c>
      <c r="W697" s="23"/>
      <c r="X697" s="35"/>
    </row>
    <row r="698" spans="15:24" ht="17.100000000000001" customHeight="1">
      <c r="O698" s="12">
        <f t="shared" si="10"/>
        <v>57.083333333333336</v>
      </c>
      <c r="P698" s="13">
        <v>685</v>
      </c>
      <c r="Q698" s="22"/>
      <c r="R698" s="19"/>
      <c r="S698" s="22"/>
      <c r="T698" s="19"/>
      <c r="U698" s="24">
        <v>2.5656544439306872E-2</v>
      </c>
      <c r="V698" s="24">
        <f>(1+U699)^P699/(1+U698)^P698-1</f>
        <v>1.6511228765914154E-4</v>
      </c>
      <c r="W698" s="23"/>
      <c r="X698" s="35"/>
    </row>
    <row r="699" spans="15:24" ht="17.100000000000001" customHeight="1">
      <c r="O699" s="12">
        <f t="shared" si="10"/>
        <v>57.166666666666664</v>
      </c>
      <c r="P699" s="13">
        <v>686</v>
      </c>
      <c r="Q699" s="22"/>
      <c r="R699" s="19"/>
      <c r="S699" s="22"/>
      <c r="T699" s="19"/>
      <c r="U699" s="24">
        <v>2.5618916033576911E-2</v>
      </c>
      <c r="V699" s="24">
        <f>(1+U700)^P700/(1+U699)^P699-1</f>
        <v>1.6273020981771857E-4</v>
      </c>
      <c r="W699" s="23"/>
      <c r="X699" s="35"/>
    </row>
    <row r="700" spans="15:24" ht="17.100000000000001" customHeight="1">
      <c r="O700" s="12">
        <f t="shared" si="10"/>
        <v>57.25</v>
      </c>
      <c r="P700" s="13">
        <v>687</v>
      </c>
      <c r="Q700" s="22"/>
      <c r="R700" s="19"/>
      <c r="S700" s="22"/>
      <c r="T700" s="19"/>
      <c r="U700" s="24">
        <v>2.5581394990945361E-2</v>
      </c>
      <c r="V700" s="24">
        <f>(1+U701)^P701/(1+U700)^P700-1</f>
        <v>1.603824696827516E-4</v>
      </c>
      <c r="W700" s="23"/>
      <c r="X700" s="35"/>
    </row>
    <row r="701" spans="15:24" ht="17.100000000000001" customHeight="1">
      <c r="O701" s="12">
        <f t="shared" si="10"/>
        <v>57.333333333333336</v>
      </c>
      <c r="P701" s="13">
        <v>688</v>
      </c>
      <c r="Q701" s="22"/>
      <c r="R701" s="19"/>
      <c r="S701" s="22"/>
      <c r="T701" s="19"/>
      <c r="U701" s="24">
        <v>2.5543980888780737E-2</v>
      </c>
      <c r="V701" s="24">
        <f>(1+U702)^P702/(1+U701)^P701-1</f>
        <v>1.5806857248445993E-4</v>
      </c>
      <c r="W701" s="23"/>
      <c r="X701" s="35"/>
    </row>
    <row r="702" spans="15:24" ht="17.100000000000001" customHeight="1">
      <c r="O702" s="12">
        <f t="shared" si="10"/>
        <v>57.416666666666664</v>
      </c>
      <c r="P702" s="13">
        <v>689</v>
      </c>
      <c r="Q702" s="22"/>
      <c r="R702" s="19"/>
      <c r="S702" s="22"/>
      <c r="T702" s="19"/>
      <c r="U702" s="24">
        <v>2.5506673306195049E-2</v>
      </c>
      <c r="V702" s="24">
        <f>(1+U703)^P703/(1+U702)^P702-1</f>
        <v>1.55788031732218E-4</v>
      </c>
      <c r="W702" s="23"/>
      <c r="X702" s="35"/>
    </row>
    <row r="703" spans="15:24" ht="17.100000000000001" customHeight="1">
      <c r="O703" s="12">
        <f t="shared" si="10"/>
        <v>57.5</v>
      </c>
      <c r="P703" s="13">
        <v>690</v>
      </c>
      <c r="Q703" s="22"/>
      <c r="R703" s="19"/>
      <c r="S703" s="22"/>
      <c r="T703" s="19"/>
      <c r="U703" s="24">
        <v>2.5469471824042689E-2</v>
      </c>
      <c r="V703" s="24">
        <f>(1+U704)^P704/(1+U703)^P703-1</f>
        <v>1.5354036699477547E-4</v>
      </c>
      <c r="W703" s="23"/>
      <c r="X703" s="35"/>
    </row>
    <row r="704" spans="15:24" ht="17.100000000000001" customHeight="1">
      <c r="O704" s="12">
        <f t="shared" si="10"/>
        <v>57.583333333333336</v>
      </c>
      <c r="P704" s="13">
        <v>691</v>
      </c>
      <c r="Q704" s="22"/>
      <c r="R704" s="19"/>
      <c r="S704" s="22"/>
      <c r="T704" s="19"/>
      <c r="U704" s="24">
        <v>2.5432376024917769E-2</v>
      </c>
      <c r="V704" s="24">
        <f>(1+U705)^P705/(1+U704)^P704-1</f>
        <v>1.5132510534021648E-4</v>
      </c>
      <c r="W704" s="23"/>
      <c r="X704" s="35"/>
    </row>
    <row r="705" spans="15:24" ht="17.100000000000001" customHeight="1">
      <c r="O705" s="12">
        <f t="shared" si="10"/>
        <v>57.666666666666664</v>
      </c>
      <c r="P705" s="13">
        <v>692</v>
      </c>
      <c r="Q705" s="22"/>
      <c r="R705" s="19"/>
      <c r="S705" s="22"/>
      <c r="T705" s="19"/>
      <c r="U705" s="24">
        <v>2.5395385493151901E-2</v>
      </c>
      <c r="V705" s="24">
        <f>(1+U706)^P706/(1+U705)^P705-1</f>
        <v>1.4914178041425252E-4</v>
      </c>
      <c r="W705" s="23"/>
      <c r="X705" s="35"/>
    </row>
    <row r="706" spans="15:24" ht="17.100000000000001" customHeight="1">
      <c r="O706" s="12">
        <f t="shared" si="10"/>
        <v>57.75</v>
      </c>
      <c r="P706" s="13">
        <v>693</v>
      </c>
      <c r="Q706" s="22"/>
      <c r="R706" s="19"/>
      <c r="S706" s="22"/>
      <c r="T706" s="19"/>
      <c r="U706" s="24">
        <v>2.5358499814811086E-2</v>
      </c>
      <c r="V706" s="24">
        <f>(1+U707)^P707/(1+U706)^P706-1</f>
        <v>1.4698993196571308E-4</v>
      </c>
      <c r="W706" s="23"/>
      <c r="X706" s="35"/>
    </row>
    <row r="707" spans="15:24" ht="17.100000000000001" customHeight="1">
      <c r="O707" s="12">
        <f t="shared" si="10"/>
        <v>57.833333333333336</v>
      </c>
      <c r="P707" s="13">
        <v>694</v>
      </c>
      <c r="Q707" s="22"/>
      <c r="R707" s="19"/>
      <c r="S707" s="22"/>
      <c r="T707" s="19"/>
      <c r="U707" s="24">
        <v>2.5321718577693053E-2</v>
      </c>
      <c r="V707" s="24">
        <f>(1+U708)^P708/(1+U707)^P707-1</f>
        <v>1.4486910759936578E-4</v>
      </c>
      <c r="W707" s="23"/>
      <c r="X707" s="35"/>
    </row>
    <row r="708" spans="15:24" ht="17.100000000000001" customHeight="1">
      <c r="O708" s="12">
        <f t="shared" si="10"/>
        <v>57.916666666666664</v>
      </c>
      <c r="P708" s="13">
        <v>695</v>
      </c>
      <c r="Q708" s="22"/>
      <c r="R708" s="19"/>
      <c r="S708" s="22"/>
      <c r="T708" s="19"/>
      <c r="U708" s="24">
        <v>2.5285041371325478E-2</v>
      </c>
      <c r="V708" s="24">
        <f>(1+U709)^P709/(1+U708)^P708-1</f>
        <v>1.4277886022395769E-4</v>
      </c>
      <c r="W708" s="23"/>
      <c r="X708" s="35"/>
    </row>
    <row r="709" spans="15:24" ht="17.100000000000001" customHeight="1">
      <c r="O709" s="12">
        <f t="shared" si="10"/>
        <v>58</v>
      </c>
      <c r="P709" s="13">
        <v>696</v>
      </c>
      <c r="Q709" s="22"/>
      <c r="R709" s="19"/>
      <c r="S709" s="22"/>
      <c r="T709" s="19"/>
      <c r="U709" s="24">
        <v>2.524846778696177E-2</v>
      </c>
      <c r="V709" s="24">
        <f>(1+U710)^P710/(1+U709)^P709-1</f>
        <v>1.4071874991805622E-4</v>
      </c>
      <c r="W709" s="23"/>
      <c r="X709" s="35"/>
    </row>
    <row r="710" spans="15:24" ht="17.100000000000001" customHeight="1">
      <c r="O710" s="12">
        <f t="shared" si="10"/>
        <v>58.083333333333336</v>
      </c>
      <c r="P710" s="13">
        <v>697</v>
      </c>
      <c r="Q710" s="22"/>
      <c r="R710" s="19"/>
      <c r="S710" s="22"/>
      <c r="T710" s="19"/>
      <c r="U710" s="24">
        <v>2.5211997417578846E-2</v>
      </c>
      <c r="V710" s="24">
        <f>(1+U711)^P711/(1+U710)^P710-1</f>
        <v>1.3868834268482289E-4</v>
      </c>
      <c r="W710" s="23"/>
      <c r="X710" s="35"/>
    </row>
    <row r="711" spans="15:24" ht="17.100000000000001" customHeight="1">
      <c r="O711" s="12">
        <f t="shared" si="10"/>
        <v>58.166666666666664</v>
      </c>
      <c r="P711" s="13">
        <v>698</v>
      </c>
      <c r="Q711" s="22"/>
      <c r="R711" s="19"/>
      <c r="S711" s="22"/>
      <c r="T711" s="19"/>
      <c r="U711" s="24">
        <v>2.5175629857873805E-2</v>
      </c>
      <c r="V711" s="24">
        <f>(1+U712)^P712/(1+U711)^P711-1</f>
        <v>1.3668721099180381E-4</v>
      </c>
      <c r="W711" s="23"/>
      <c r="X711" s="35"/>
    </row>
    <row r="712" spans="15:24" ht="17.100000000000001" customHeight="1">
      <c r="O712" s="12">
        <f t="shared" si="10"/>
        <v>58.25</v>
      </c>
      <c r="P712" s="13">
        <v>699</v>
      </c>
      <c r="Q712" s="22"/>
      <c r="R712" s="19"/>
      <c r="S712" s="22"/>
      <c r="T712" s="19"/>
      <c r="U712" s="24">
        <v>2.5139364704260592E-2</v>
      </c>
      <c r="V712" s="24">
        <f>(1+U713)^P713/(1+U712)^P712-1</f>
        <v>1.3471493309058502E-4</v>
      </c>
      <c r="W712" s="23"/>
      <c r="X712" s="35"/>
    </row>
    <row r="713" spans="15:24" ht="17.100000000000001" customHeight="1">
      <c r="O713" s="12">
        <f t="shared" si="10"/>
        <v>58.333333333333336</v>
      </c>
      <c r="P713" s="13">
        <v>700</v>
      </c>
      <c r="Q713" s="22"/>
      <c r="R713" s="19"/>
      <c r="S713" s="22"/>
      <c r="T713" s="19"/>
      <c r="U713" s="24">
        <v>2.510320155486645E-2</v>
      </c>
      <c r="V713" s="24">
        <f>(1+U714)^P714/(1+U713)^P713-1</f>
        <v>1.3277109371934159E-4</v>
      </c>
      <c r="W713" s="23"/>
      <c r="X713" s="35"/>
    </row>
    <row r="714" spans="15:24" ht="17.100000000000001" customHeight="1">
      <c r="O714" s="12">
        <f t="shared" si="10"/>
        <v>58.416666666666664</v>
      </c>
      <c r="P714" s="13">
        <v>701</v>
      </c>
      <c r="Q714" s="22"/>
      <c r="R714" s="19"/>
      <c r="S714" s="22"/>
      <c r="T714" s="19"/>
      <c r="U714" s="24">
        <v>2.5067140009529032E-2</v>
      </c>
      <c r="V714" s="24">
        <f>(1+U715)^P715/(1+U714)^P714-1</f>
        <v>1.3085528330925023E-4</v>
      </c>
      <c r="W714" s="23"/>
      <c r="X714" s="35"/>
    </row>
    <row r="715" spans="15:24" ht="17.100000000000001" customHeight="1">
      <c r="O715" s="12">
        <f t="shared" si="10"/>
        <v>58.5</v>
      </c>
      <c r="P715" s="13">
        <v>702</v>
      </c>
      <c r="Q715" s="22"/>
      <c r="R715" s="19"/>
      <c r="S715" s="22"/>
      <c r="T715" s="19"/>
      <c r="U715" s="24">
        <v>2.5031179669792403E-2</v>
      </c>
      <c r="V715" s="24">
        <f>(1+U716)^P716/(1+U715)^P715-1</f>
        <v>1.2896709833065678E-4</v>
      </c>
      <c r="W715" s="23"/>
      <c r="X715" s="35"/>
    </row>
    <row r="716" spans="15:24" ht="17.100000000000001" customHeight="1">
      <c r="O716" s="12">
        <f t="shared" si="10"/>
        <v>58.583333333333336</v>
      </c>
      <c r="P716" s="13">
        <v>703</v>
      </c>
      <c r="Q716" s="22"/>
      <c r="R716" s="19"/>
      <c r="S716" s="22"/>
      <c r="T716" s="19"/>
      <c r="U716" s="24">
        <v>2.4995320138903487E-2</v>
      </c>
      <c r="V716" s="24">
        <f>(1+U717)^P717/(1+U716)^P716-1</f>
        <v>1.2710614089628258E-4</v>
      </c>
      <c r="W716" s="23"/>
      <c r="X716" s="35"/>
    </row>
    <row r="717" spans="15:24" ht="17.100000000000001" customHeight="1">
      <c r="O717" s="12">
        <f t="shared" si="10"/>
        <v>58.666666666666664</v>
      </c>
      <c r="P717" s="13">
        <v>704</v>
      </c>
      <c r="Q717" s="22"/>
      <c r="R717" s="19"/>
      <c r="S717" s="22"/>
      <c r="T717" s="19"/>
      <c r="U717" s="24">
        <v>2.4959561021808518E-2</v>
      </c>
      <c r="V717" s="24">
        <f>(1+U718)^P718/(1+U717)^P717-1</f>
        <v>1.2527201894418916E-4</v>
      </c>
      <c r="W717" s="23"/>
      <c r="X717" s="35"/>
    </row>
    <row r="718" spans="15:24" ht="17.100000000000001" customHeight="1">
      <c r="O718" s="12">
        <f t="shared" ref="O718:O781" si="11">P718/12</f>
        <v>58.75</v>
      </c>
      <c r="P718" s="13">
        <v>705</v>
      </c>
      <c r="Q718" s="22"/>
      <c r="R718" s="19"/>
      <c r="S718" s="22"/>
      <c r="T718" s="19"/>
      <c r="U718" s="24">
        <v>2.4923901925149039E-2</v>
      </c>
      <c r="V718" s="24">
        <f>(1+U719)^P719/(1+U718)^P718-1</f>
        <v>1.2346434605658985E-4</v>
      </c>
      <c r="W718" s="23"/>
      <c r="X718" s="35"/>
    </row>
    <row r="719" spans="15:24" ht="17.100000000000001" customHeight="1">
      <c r="O719" s="12">
        <f t="shared" si="11"/>
        <v>58.833333333333336</v>
      </c>
      <c r="P719" s="13">
        <v>706</v>
      </c>
      <c r="Q719" s="22"/>
      <c r="R719" s="19"/>
      <c r="S719" s="22"/>
      <c r="T719" s="19"/>
      <c r="U719" s="24">
        <v>2.4888342457257906E-2</v>
      </c>
      <c r="V719" s="24">
        <f>(1+U720)^P720/(1+U719)^P719-1</f>
        <v>1.2168274100221588E-4</v>
      </c>
      <c r="W719" s="23"/>
      <c r="X719" s="35"/>
    </row>
    <row r="720" spans="15:24" ht="17.100000000000001" customHeight="1">
      <c r="O720" s="12">
        <f t="shared" si="11"/>
        <v>58.916666666666664</v>
      </c>
      <c r="P720" s="13">
        <v>707</v>
      </c>
      <c r="Q720" s="22"/>
      <c r="R720" s="19"/>
      <c r="S720" s="22"/>
      <c r="T720" s="19"/>
      <c r="U720" s="24">
        <v>2.4852882228155293E-2</v>
      </c>
      <c r="V720" s="24">
        <f>(1+U721)^P721/(1+U720)^P720-1</f>
        <v>1.199268289486799E-4</v>
      </c>
      <c r="W720" s="23"/>
      <c r="X720" s="35"/>
    </row>
    <row r="721" spans="15:24" ht="17.100000000000001" customHeight="1">
      <c r="O721" s="12">
        <f t="shared" si="11"/>
        <v>59</v>
      </c>
      <c r="P721" s="13">
        <v>708</v>
      </c>
      <c r="Q721" s="22"/>
      <c r="R721" s="19"/>
      <c r="S721" s="22"/>
      <c r="T721" s="19"/>
      <c r="U721" s="24">
        <v>2.481752084954536E-2</v>
      </c>
      <c r="V721" s="24">
        <f>(1+U722)^P722/(1+U721)^P721-1</f>
        <v>1.1819623939746116E-4</v>
      </c>
      <c r="W721" s="23"/>
      <c r="X721" s="35"/>
    </row>
    <row r="722" spans="15:24" ht="17.100000000000001" customHeight="1">
      <c r="O722" s="12">
        <f t="shared" si="11"/>
        <v>59.083333333333336</v>
      </c>
      <c r="P722" s="13">
        <v>709</v>
      </c>
      <c r="Q722" s="22"/>
      <c r="R722" s="19"/>
      <c r="S722" s="22"/>
      <c r="T722" s="19"/>
      <c r="U722" s="24">
        <v>2.4782257934810925E-2</v>
      </c>
      <c r="V722" s="24">
        <f>(1+U723)^P723/(1+U722)^P722-1</f>
        <v>1.1649060721818927E-4</v>
      </c>
      <c r="W722" s="23"/>
      <c r="X722" s="35"/>
    </row>
    <row r="723" spans="15:24" ht="17.100000000000001" customHeight="1">
      <c r="O723" s="12">
        <f t="shared" si="11"/>
        <v>59.166666666666664</v>
      </c>
      <c r="P723" s="13">
        <v>710</v>
      </c>
      <c r="Q723" s="22"/>
      <c r="R723" s="19"/>
      <c r="S723" s="22"/>
      <c r="T723" s="19"/>
      <c r="U723" s="24">
        <v>2.4747093099009465E-2</v>
      </c>
      <c r="V723" s="24">
        <f>(1+U724)^P724/(1+U723)^P723-1</f>
        <v>1.1480957398002367E-4</v>
      </c>
      <c r="W723" s="23"/>
      <c r="X723" s="35"/>
    </row>
    <row r="724" spans="15:24" ht="17.100000000000001" customHeight="1">
      <c r="O724" s="12">
        <f t="shared" si="11"/>
        <v>59.25</v>
      </c>
      <c r="P724" s="13">
        <v>711</v>
      </c>
      <c r="Q724" s="22"/>
      <c r="R724" s="19"/>
      <c r="S724" s="22"/>
      <c r="T724" s="19"/>
      <c r="U724" s="24">
        <v>2.471202595887001E-2</v>
      </c>
      <c r="V724" s="24">
        <f>(1+U725)^P725/(1+U724)^P724-1</f>
        <v>1.1315278442980414E-4</v>
      </c>
      <c r="W724" s="23"/>
      <c r="X724" s="35"/>
    </row>
    <row r="725" spans="15:24" ht="17.100000000000001" customHeight="1">
      <c r="O725" s="12">
        <f t="shared" si="11"/>
        <v>59.333333333333336</v>
      </c>
      <c r="P725" s="13">
        <v>712</v>
      </c>
      <c r="Q725" s="22"/>
      <c r="R725" s="19"/>
      <c r="S725" s="22"/>
      <c r="T725" s="19"/>
      <c r="U725" s="24">
        <v>2.4677056132787367E-2</v>
      </c>
      <c r="V725" s="24">
        <f>(1+U726)^P726/(1+U725)^P725-1</f>
        <v>1.1151988973745475E-4</v>
      </c>
      <c r="W725" s="23"/>
      <c r="X725" s="35"/>
    </row>
    <row r="726" spans="15:24" ht="17.100000000000001" customHeight="1">
      <c r="O726" s="12">
        <f t="shared" si="11"/>
        <v>59.416666666666664</v>
      </c>
      <c r="P726" s="13">
        <v>713</v>
      </c>
      <c r="Q726" s="22"/>
      <c r="R726" s="19"/>
      <c r="S726" s="22"/>
      <c r="T726" s="19"/>
      <c r="U726" s="24">
        <v>2.4642183240818127E-2</v>
      </c>
      <c r="V726" s="24">
        <f>(1+U727)^P727/(1+U726)^P726-1</f>
        <v>1.0991054573872283E-4</v>
      </c>
      <c r="W726" s="23"/>
      <c r="X726" s="35"/>
    </row>
    <row r="727" spans="15:24" ht="17.100000000000001" customHeight="1">
      <c r="O727" s="12">
        <f t="shared" si="11"/>
        <v>59.5</v>
      </c>
      <c r="P727" s="13">
        <v>714</v>
      </c>
      <c r="Q727" s="22"/>
      <c r="R727" s="19"/>
      <c r="S727" s="22"/>
      <c r="T727" s="19"/>
      <c r="U727" s="24">
        <v>2.4607406904676443E-2</v>
      </c>
      <c r="V727" s="24">
        <f>(1+U728)^P728/(1+U727)^P727-1</f>
        <v>1.0832441271912963E-4</v>
      </c>
      <c r="W727" s="23"/>
      <c r="X727" s="35"/>
    </row>
    <row r="728" spans="15:24" ht="17.100000000000001" customHeight="1">
      <c r="O728" s="12">
        <f t="shared" si="11"/>
        <v>59.583333333333336</v>
      </c>
      <c r="P728" s="13">
        <v>715</v>
      </c>
      <c r="Q728" s="22"/>
      <c r="R728" s="19"/>
      <c r="S728" s="22"/>
      <c r="T728" s="19"/>
      <c r="U728" s="24">
        <v>2.4572726747728924E-2</v>
      </c>
      <c r="V728" s="24">
        <f>(1+U729)^P729/(1+U728)^P728-1</f>
        <v>1.0676115675600784E-4</v>
      </c>
      <c r="W728" s="23"/>
      <c r="X728" s="35"/>
    </row>
    <row r="729" spans="15:24" ht="17.100000000000001" customHeight="1">
      <c r="O729" s="12">
        <f t="shared" si="11"/>
        <v>59.666666666666664</v>
      </c>
      <c r="P729" s="13">
        <v>716</v>
      </c>
      <c r="Q729" s="22"/>
      <c r="R729" s="19"/>
      <c r="S729" s="22"/>
      <c r="T729" s="19"/>
      <c r="U729" s="24">
        <v>2.4538142394990414E-2</v>
      </c>
      <c r="V729" s="24">
        <f>(1+U730)^P730/(1+U729)^P729-1</f>
        <v>1.0522044823213506E-4</v>
      </c>
      <c r="W729" s="23"/>
      <c r="X729" s="35"/>
    </row>
    <row r="730" spans="15:24" ht="17.100000000000001" customHeight="1">
      <c r="O730" s="12">
        <f t="shared" si="11"/>
        <v>59.75</v>
      </c>
      <c r="P730" s="13">
        <v>717</v>
      </c>
      <c r="Q730" s="22"/>
      <c r="R730" s="19"/>
      <c r="S730" s="22"/>
      <c r="T730" s="19"/>
      <c r="U730" s="24">
        <v>2.4503653473119558E-2</v>
      </c>
      <c r="V730" s="24">
        <f>(1+U731)^P731/(1+U730)^P730-1</f>
        <v>1.0370196198650206E-4</v>
      </c>
      <c r="W730" s="23"/>
      <c r="X730" s="35"/>
    </row>
    <row r="731" spans="15:24" ht="17.100000000000001" customHeight="1">
      <c r="O731" s="12">
        <f t="shared" si="11"/>
        <v>59.833333333333336</v>
      </c>
      <c r="P731" s="13">
        <v>718</v>
      </c>
      <c r="Q731" s="22"/>
      <c r="R731" s="19"/>
      <c r="S731" s="22"/>
      <c r="T731" s="19"/>
      <c r="U731" s="24">
        <v>2.4469259610412797E-2</v>
      </c>
      <c r="V731" s="24">
        <f>(1+U732)^P732/(1+U731)^P731-1</f>
        <v>1.0220537829996879E-4</v>
      </c>
      <c r="W731" s="23"/>
      <c r="X731" s="35"/>
    </row>
    <row r="732" spans="15:24" ht="17.100000000000001" customHeight="1">
      <c r="O732" s="12">
        <f t="shared" si="11"/>
        <v>59.916666666666664</v>
      </c>
      <c r="P732" s="13">
        <v>719</v>
      </c>
      <c r="Q732" s="22"/>
      <c r="R732" s="19"/>
      <c r="S732" s="22"/>
      <c r="T732" s="19"/>
      <c r="U732" s="24">
        <v>2.4434960436801267E-2</v>
      </c>
      <c r="V732" s="24">
        <f>(1+U733)^P733/(1+U732)^P732-1</f>
        <v>1.0073038085378627E-4</v>
      </c>
      <c r="W732" s="23"/>
      <c r="X732" s="35"/>
    </row>
    <row r="733" spans="15:24" ht="17.100000000000001" customHeight="1">
      <c r="O733" s="12">
        <f t="shared" si="11"/>
        <v>60</v>
      </c>
      <c r="P733" s="13">
        <v>720</v>
      </c>
      <c r="Q733" s="22"/>
      <c r="R733" s="19"/>
      <c r="S733" s="22"/>
      <c r="T733" s="19"/>
      <c r="U733" s="24">
        <v>2.4400755583843914E-2</v>
      </c>
      <c r="V733" s="24">
        <f>(1+U734)^P734/(1+U733)^P733-1</f>
        <v>9.9276659329738948E-5</v>
      </c>
      <c r="W733" s="23"/>
      <c r="X733" s="35"/>
    </row>
    <row r="734" spans="15:24" ht="17.100000000000001" customHeight="1">
      <c r="O734" s="12">
        <f t="shared" si="11"/>
        <v>60.083333333333336</v>
      </c>
      <c r="P734" s="13">
        <v>721</v>
      </c>
      <c r="Q734" s="22"/>
      <c r="R734" s="19"/>
      <c r="S734" s="22"/>
      <c r="T734" s="19"/>
      <c r="U734" s="24">
        <v>2.4366644684724825E-2</v>
      </c>
      <c r="V734" s="24">
        <f>(1+U735)^P735/(1+U734)^P734-1</f>
        <v>9.784390705913637E-5</v>
      </c>
      <c r="W734" s="23"/>
      <c r="X734" s="35"/>
    </row>
    <row r="735" spans="15:24" ht="17.100000000000001" customHeight="1">
      <c r="O735" s="12">
        <f t="shared" si="11"/>
        <v>60.166666666666664</v>
      </c>
      <c r="P735" s="13">
        <v>722</v>
      </c>
      <c r="Q735" s="22"/>
      <c r="R735" s="19"/>
      <c r="S735" s="22"/>
      <c r="T735" s="19"/>
      <c r="U735" s="24">
        <v>2.4332627374246574E-2</v>
      </c>
      <c r="V735" s="24">
        <f>(1+U736)^P736/(1+U735)^P735-1</f>
        <v>9.6431821246412142E-5</v>
      </c>
      <c r="W735" s="23"/>
      <c r="X735" s="35"/>
    </row>
    <row r="736" spans="15:24" ht="17.100000000000001" customHeight="1">
      <c r="O736" s="12">
        <f t="shared" si="11"/>
        <v>60.25</v>
      </c>
      <c r="P736" s="13">
        <v>723</v>
      </c>
      <c r="Q736" s="22"/>
      <c r="R736" s="19"/>
      <c r="S736" s="22"/>
      <c r="T736" s="19"/>
      <c r="U736" s="24">
        <v>2.4298703288825108E-2</v>
      </c>
      <c r="V736" s="24">
        <f>(1+U737)^P737/(1+U736)^P736-1</f>
        <v>9.5040105033694644E-5</v>
      </c>
      <c r="W736" s="23"/>
      <c r="X736" s="35"/>
    </row>
    <row r="737" spans="15:24" ht="17.100000000000001" customHeight="1">
      <c r="O737" s="12">
        <f t="shared" si="11"/>
        <v>60.333333333333336</v>
      </c>
      <c r="P737" s="13">
        <v>724</v>
      </c>
      <c r="Q737" s="22"/>
      <c r="R737" s="19"/>
      <c r="S737" s="22"/>
      <c r="T737" s="19"/>
      <c r="U737" s="24">
        <v>2.4264872066486642E-2</v>
      </c>
      <c r="V737" s="24">
        <f>(1+U738)^P738/(1+U737)^P737-1</f>
        <v>9.3668464173024546E-5</v>
      </c>
      <c r="W737" s="23"/>
      <c r="X737" s="35"/>
    </row>
    <row r="738" spans="15:24" ht="17.100000000000001" customHeight="1">
      <c r="O738" s="12">
        <f t="shared" si="11"/>
        <v>60.416666666666664</v>
      </c>
      <c r="P738" s="13">
        <v>725</v>
      </c>
      <c r="Q738" s="22"/>
      <c r="R738" s="19"/>
      <c r="S738" s="22"/>
      <c r="T738" s="19"/>
      <c r="U738" s="24">
        <v>2.423113334685989E-2</v>
      </c>
      <c r="V738" s="24">
        <f>(1+U739)^P739/(1+U738)^P738-1</f>
        <v>9.2316609658693594E-5</v>
      </c>
      <c r="W738" s="23"/>
      <c r="X738" s="35"/>
    </row>
    <row r="739" spans="15:24" ht="17.100000000000001" customHeight="1">
      <c r="O739" s="12">
        <f t="shared" si="11"/>
        <v>60.5</v>
      </c>
      <c r="P739" s="13">
        <v>726</v>
      </c>
      <c r="Q739" s="22"/>
      <c r="R739" s="19"/>
      <c r="S739" s="22"/>
      <c r="T739" s="19"/>
      <c r="U739" s="24">
        <v>2.4197486771172727E-2</v>
      </c>
      <c r="V739" s="24">
        <f>(1+U740)^P740/(1+U739)^P739-1</f>
        <v>9.0984256220671966E-5</v>
      </c>
      <c r="W739" s="23"/>
      <c r="X739" s="35"/>
    </row>
    <row r="740" spans="15:24" ht="17.100000000000001" customHeight="1">
      <c r="O740" s="12">
        <f t="shared" si="11"/>
        <v>60.583333333333336</v>
      </c>
      <c r="P740" s="13">
        <v>727</v>
      </c>
      <c r="Q740" s="22"/>
      <c r="R740" s="19"/>
      <c r="S740" s="22"/>
      <c r="T740" s="19"/>
      <c r="U740" s="24">
        <v>2.4163931982246201E-2</v>
      </c>
      <c r="V740" s="24">
        <f>(1+U741)^P741/(1+U740)^P740-1</f>
        <v>8.9671122813994586E-5</v>
      </c>
      <c r="W740" s="23"/>
      <c r="X740" s="35"/>
    </row>
    <row r="741" spans="15:24" ht="17.100000000000001" customHeight="1">
      <c r="O741" s="12">
        <f t="shared" si="11"/>
        <v>60.666666666666664</v>
      </c>
      <c r="P741" s="13">
        <v>728</v>
      </c>
      <c r="Q741" s="22"/>
      <c r="R741" s="19"/>
      <c r="S741" s="22"/>
      <c r="T741" s="19"/>
      <c r="U741" s="24">
        <v>2.4130468624489421E-2</v>
      </c>
      <c r="V741" s="24">
        <f>(1+U742)^P742/(1+U741)^P741-1</f>
        <v>8.8376932548372977E-5</v>
      </c>
      <c r="W741" s="23"/>
      <c r="X741" s="35"/>
    </row>
    <row r="742" spans="15:24" ht="17.100000000000001" customHeight="1">
      <c r="O742" s="12">
        <f t="shared" si="11"/>
        <v>60.75</v>
      </c>
      <c r="P742" s="13">
        <v>729</v>
      </c>
      <c r="Q742" s="22"/>
      <c r="R742" s="19"/>
      <c r="S742" s="22"/>
      <c r="T742" s="19"/>
      <c r="U742" s="24">
        <v>2.4097096343894675E-2</v>
      </c>
      <c r="V742" s="24">
        <f>(1+U743)^P743/(1+U742)^P742-1</f>
        <v>8.7101412303614012E-5</v>
      </c>
      <c r="W742" s="23"/>
      <c r="X742" s="35"/>
    </row>
    <row r="743" spans="15:24" ht="17.100000000000001" customHeight="1">
      <c r="O743" s="12">
        <f t="shared" si="11"/>
        <v>60.833333333333336</v>
      </c>
      <c r="P743" s="13">
        <v>730</v>
      </c>
      <c r="Q743" s="22"/>
      <c r="R743" s="19"/>
      <c r="S743" s="22"/>
      <c r="T743" s="19"/>
      <c r="U743" s="24">
        <v>2.4063814788031213E-2</v>
      </c>
      <c r="V743" s="24">
        <f>(1+U744)^P744/(1+U743)^P743-1</f>
        <v>8.5844293243875214E-5</v>
      </c>
      <c r="W743" s="23"/>
      <c r="X743" s="35"/>
    </row>
    <row r="744" spans="15:24" ht="17.100000000000001" customHeight="1">
      <c r="O744" s="12">
        <f t="shared" si="11"/>
        <v>60.916666666666664</v>
      </c>
      <c r="P744" s="13">
        <v>731</v>
      </c>
      <c r="Q744" s="22"/>
      <c r="R744" s="19"/>
      <c r="S744" s="22"/>
      <c r="T744" s="19"/>
      <c r="U744" s="24">
        <v>2.4030623606041024E-2</v>
      </c>
      <c r="V744" s="24">
        <f>(1+U745)^P745/(1+U744)^P744-1</f>
        <v>8.4605309623730918E-5</v>
      </c>
      <c r="W744" s="23"/>
      <c r="X744" s="35"/>
    </row>
    <row r="745" spans="15:24" ht="17.100000000000001" customHeight="1">
      <c r="O745" s="12">
        <f t="shared" si="11"/>
        <v>61</v>
      </c>
      <c r="P745" s="13">
        <v>732</v>
      </c>
      <c r="Q745" s="22"/>
      <c r="R745" s="19"/>
      <c r="S745" s="22"/>
      <c r="T745" s="19"/>
      <c r="U745" s="24">
        <v>2.3997522448631958E-2</v>
      </c>
      <c r="V745" s="24">
        <f>(1+U746)^P746/(1+U745)^P745-1</f>
        <v>8.3384200517899743E-5</v>
      </c>
      <c r="W745" s="23"/>
      <c r="X745" s="35"/>
    </row>
    <row r="746" spans="15:24" ht="17.100000000000001" customHeight="1">
      <c r="O746" s="12">
        <f t="shared" si="11"/>
        <v>61.083333333333336</v>
      </c>
      <c r="P746" s="13">
        <v>733</v>
      </c>
      <c r="Q746" s="22"/>
      <c r="R746" s="19"/>
      <c r="S746" s="22"/>
      <c r="T746" s="19"/>
      <c r="U746" s="24">
        <v>2.3964510968073949E-2</v>
      </c>
      <c r="V746" s="24">
        <f>(1+U747)^P747/(1+U746)^P746-1</f>
        <v>8.2180708111501133E-5</v>
      </c>
      <c r="W746" s="23"/>
      <c r="X746" s="35"/>
    </row>
    <row r="747" spans="15:24" ht="17.100000000000001" customHeight="1">
      <c r="O747" s="12">
        <f t="shared" si="11"/>
        <v>61.166666666666664</v>
      </c>
      <c r="P747" s="13">
        <v>734</v>
      </c>
      <c r="Q747" s="22"/>
      <c r="R747" s="19"/>
      <c r="S747" s="22"/>
      <c r="T747" s="19"/>
      <c r="U747" s="24">
        <v>2.3931588818192129E-2</v>
      </c>
      <c r="V747" s="24">
        <f>(1+U748)^P748/(1+U747)^P747-1</f>
        <v>8.0994578376181181E-5</v>
      </c>
      <c r="W747" s="23"/>
      <c r="X747" s="35"/>
    </row>
    <row r="748" spans="15:24" ht="17.100000000000001" customHeight="1">
      <c r="O748" s="12">
        <f t="shared" si="11"/>
        <v>61.25</v>
      </c>
      <c r="P748" s="13">
        <v>735</v>
      </c>
      <c r="Q748" s="22"/>
      <c r="R748" s="19"/>
      <c r="S748" s="22"/>
      <c r="T748" s="19"/>
      <c r="U748" s="24">
        <v>2.3898755654362169E-2</v>
      </c>
      <c r="V748" s="24">
        <f>(1+U749)^P749/(1+U748)^P748-1</f>
        <v>7.9825561289492697E-5</v>
      </c>
      <c r="W748" s="23"/>
      <c r="X748" s="35"/>
    </row>
    <row r="749" spans="15:24" ht="17.100000000000001" customHeight="1">
      <c r="O749" s="12">
        <f t="shared" si="11"/>
        <v>61.333333333333336</v>
      </c>
      <c r="P749" s="13">
        <v>736</v>
      </c>
      <c r="Q749" s="22"/>
      <c r="R749" s="19"/>
      <c r="S749" s="22"/>
      <c r="T749" s="19"/>
      <c r="U749" s="24">
        <v>2.3866011133504506E-2</v>
      </c>
      <c r="V749" s="24">
        <f>(1+U750)^P750/(1+U749)^P749-1</f>
        <v>7.8673409728446941E-5</v>
      </c>
      <c r="W749" s="23"/>
      <c r="X749" s="35"/>
    </row>
    <row r="750" spans="15:24" ht="17.100000000000001" customHeight="1">
      <c r="O750" s="12">
        <f t="shared" si="11"/>
        <v>61.416666666666664</v>
      </c>
      <c r="P750" s="13">
        <v>737</v>
      </c>
      <c r="Q750" s="22"/>
      <c r="R750" s="19"/>
      <c r="S750" s="22"/>
      <c r="T750" s="19"/>
      <c r="U750" s="24">
        <v>2.3833354914078564E-2</v>
      </c>
      <c r="V750" s="24">
        <f>(1+U751)^P751/(1+U750)^P750-1</f>
        <v>7.7537881092215599E-5</v>
      </c>
      <c r="W750" s="23"/>
      <c r="X750" s="35"/>
    </row>
    <row r="751" spans="15:24" ht="17.100000000000001" customHeight="1">
      <c r="O751" s="12">
        <f t="shared" si="11"/>
        <v>61.5</v>
      </c>
      <c r="P751" s="13">
        <v>738</v>
      </c>
      <c r="Q751" s="22"/>
      <c r="R751" s="19"/>
      <c r="S751" s="22"/>
      <c r="T751" s="19"/>
      <c r="U751" s="24">
        <v>2.3800786656077655E-2</v>
      </c>
      <c r="V751" s="24">
        <f>(1+U752)^P752/(1+U751)^P751-1</f>
        <v>7.6418735311278851E-5</v>
      </c>
      <c r="W751" s="23"/>
      <c r="X751" s="35"/>
    </row>
    <row r="752" spans="15:24" ht="17.100000000000001" customHeight="1">
      <c r="O752" s="12">
        <f t="shared" si="11"/>
        <v>61.583333333333336</v>
      </c>
      <c r="P752" s="13">
        <v>739</v>
      </c>
      <c r="Q752" s="22"/>
      <c r="R752" s="19"/>
      <c r="S752" s="22"/>
      <c r="T752" s="19"/>
      <c r="U752" s="24">
        <v>2.3768306021022756E-2</v>
      </c>
      <c r="V752" s="24">
        <f>(1+U753)^P753/(1+U752)^P752-1</f>
        <v>7.5315736770331654E-5</v>
      </c>
      <c r="W752" s="23"/>
      <c r="X752" s="35"/>
    </row>
    <row r="753" spans="15:24" ht="17.100000000000001" customHeight="1">
      <c r="O753" s="12">
        <f t="shared" si="11"/>
        <v>61.666666666666664</v>
      </c>
      <c r="P753" s="13">
        <v>740</v>
      </c>
      <c r="Q753" s="22"/>
      <c r="R753" s="19"/>
      <c r="S753" s="22"/>
      <c r="T753" s="19"/>
      <c r="U753" s="24">
        <v>2.3735912671957848E-2</v>
      </c>
      <c r="V753" s="24">
        <f>(1+U754)^P754/(1+U753)^P753-1</f>
        <v>7.4228651865126949E-5</v>
      </c>
      <c r="W753" s="23"/>
      <c r="X753" s="35"/>
    </row>
    <row r="754" spans="15:24" ht="17.100000000000001" customHeight="1">
      <c r="O754" s="12">
        <f t="shared" si="11"/>
        <v>61.75</v>
      </c>
      <c r="P754" s="13">
        <v>741</v>
      </c>
      <c r="Q754" s="22"/>
      <c r="R754" s="19"/>
      <c r="S754" s="22"/>
      <c r="T754" s="19"/>
      <c r="U754" s="24">
        <v>2.370360627344259E-2</v>
      </c>
      <c r="V754" s="24">
        <f>(1+U755)^P755/(1+U754)^P754-1</f>
        <v>7.3157251660793676E-5</v>
      </c>
      <c r="W754" s="23"/>
      <c r="X754" s="35"/>
    </row>
    <row r="755" spans="15:24" ht="17.100000000000001" customHeight="1">
      <c r="O755" s="12">
        <f t="shared" si="11"/>
        <v>61.833333333333336</v>
      </c>
      <c r="P755" s="13">
        <v>742</v>
      </c>
      <c r="Q755" s="22"/>
      <c r="R755" s="19"/>
      <c r="S755" s="22"/>
      <c r="T755" s="19"/>
      <c r="U755" s="24">
        <v>2.3671386491548319E-2</v>
      </c>
      <c r="V755" s="24">
        <f>(1+U756)^P756/(1+U755)^P755-1</f>
        <v>7.2101310293337662E-5</v>
      </c>
      <c r="W755" s="23"/>
      <c r="X755" s="35"/>
    </row>
    <row r="756" spans="15:24" ht="17.100000000000001" customHeight="1">
      <c r="O756" s="12">
        <f t="shared" si="11"/>
        <v>61.916666666666664</v>
      </c>
      <c r="P756" s="13">
        <v>743</v>
      </c>
      <c r="Q756" s="22"/>
      <c r="R756" s="19"/>
      <c r="S756" s="22"/>
      <c r="T756" s="19"/>
      <c r="U756" s="24">
        <v>2.3639252993851834E-2</v>
      </c>
      <c r="V756" s="24">
        <f>(1+U757)^P757/(1+U756)^P756-1</f>
        <v>7.1060604413197836E-5</v>
      </c>
      <c r="W756" s="23"/>
      <c r="X756" s="35"/>
    </row>
    <row r="757" spans="15:24" ht="17.100000000000001" customHeight="1">
      <c r="O757" s="12">
        <f t="shared" si="11"/>
        <v>62</v>
      </c>
      <c r="P757" s="13">
        <v>744</v>
      </c>
      <c r="Q757" s="22"/>
      <c r="R757" s="19"/>
      <c r="S757" s="22"/>
      <c r="T757" s="19"/>
      <c r="U757" s="24">
        <v>2.3607205449429181E-2</v>
      </c>
      <c r="V757" s="24">
        <f>(1+U758)^P758/(1+U757)^P757-1</f>
        <v>7.003491438206666E-5</v>
      </c>
      <c r="W757" s="23"/>
      <c r="X757" s="35"/>
    </row>
    <row r="758" spans="15:24" ht="17.100000000000001" customHeight="1">
      <c r="O758" s="12">
        <f t="shared" si="11"/>
        <v>62.083333333333336</v>
      </c>
      <c r="P758" s="13">
        <v>745</v>
      </c>
      <c r="Q758" s="22"/>
      <c r="R758" s="19"/>
      <c r="S758" s="22"/>
      <c r="T758" s="19"/>
      <c r="U758" s="24">
        <v>2.3575243528850098E-2</v>
      </c>
      <c r="V758" s="24">
        <f>(1+U759)^P759/(1+U758)^P758-1</f>
        <v>6.9024023982455773E-5</v>
      </c>
      <c r="W758" s="23"/>
      <c r="X758" s="35"/>
    </row>
    <row r="759" spans="15:24" ht="17.100000000000001" customHeight="1">
      <c r="O759" s="12">
        <f t="shared" si="11"/>
        <v>62.166666666666664</v>
      </c>
      <c r="P759" s="13">
        <v>746</v>
      </c>
      <c r="Q759" s="22"/>
      <c r="R759" s="19"/>
      <c r="S759" s="22"/>
      <c r="T759" s="19"/>
      <c r="U759" s="24">
        <v>2.3543366904172913E-2</v>
      </c>
      <c r="V759" s="24">
        <f>(1+U760)^P760/(1+U759)^P759-1</f>
        <v>6.8027719540619813E-5</v>
      </c>
      <c r="W759" s="23"/>
      <c r="X759" s="35"/>
    </row>
    <row r="760" spans="15:24" ht="17.100000000000001" customHeight="1">
      <c r="O760" s="12">
        <f t="shared" si="11"/>
        <v>62.25</v>
      </c>
      <c r="P760" s="13">
        <v>747</v>
      </c>
      <c r="Q760" s="22"/>
      <c r="R760" s="19"/>
      <c r="S760" s="22"/>
      <c r="T760" s="19"/>
      <c r="U760" s="24">
        <v>2.3511575248937877E-2</v>
      </c>
      <c r="V760" s="24">
        <f>(1+U761)^P761/(1+U760)^P760-1</f>
        <v>6.7045791041220326E-5</v>
      </c>
      <c r="W760" s="23"/>
      <c r="X760" s="35"/>
    </row>
    <row r="761" spans="15:24" ht="17.100000000000001" customHeight="1">
      <c r="O761" s="12">
        <f t="shared" si="11"/>
        <v>62.333333333333336</v>
      </c>
      <c r="P761" s="13">
        <v>748</v>
      </c>
      <c r="Q761" s="22"/>
      <c r="R761" s="19"/>
      <c r="S761" s="22"/>
      <c r="T761" s="19"/>
      <c r="U761" s="24">
        <v>2.347986823816206E-2</v>
      </c>
      <c r="V761" s="24">
        <f>(1+U762)^P762/(1+U761)^P761-1</f>
        <v>6.607803084279773E-5</v>
      </c>
      <c r="W761" s="23"/>
      <c r="X761" s="35"/>
    </row>
    <row r="762" spans="15:24" ht="17.100000000000001" customHeight="1">
      <c r="O762" s="12">
        <f t="shared" si="11"/>
        <v>62.416666666666664</v>
      </c>
      <c r="P762" s="13">
        <v>749</v>
      </c>
      <c r="Q762" s="22"/>
      <c r="R762" s="19"/>
      <c r="S762" s="22"/>
      <c r="T762" s="19"/>
      <c r="U762" s="24">
        <v>2.3448245548332913E-2</v>
      </c>
      <c r="V762" s="24">
        <f>(1+U763)^P763/(1+U762)^P762-1</f>
        <v>6.5124235134828012E-5</v>
      </c>
      <c r="W762" s="23"/>
      <c r="X762" s="35"/>
    </row>
    <row r="763" spans="15:24" ht="17.100000000000001" customHeight="1">
      <c r="O763" s="12">
        <f t="shared" si="11"/>
        <v>62.5</v>
      </c>
      <c r="P763" s="13">
        <v>750</v>
      </c>
      <c r="Q763" s="22"/>
      <c r="R763" s="19"/>
      <c r="S763" s="22"/>
      <c r="T763" s="19"/>
      <c r="U763" s="24">
        <v>2.341670685740338E-2</v>
      </c>
      <c r="V763" s="24">
        <f>(1+U764)^P764/(1+U763)^P763-1</f>
        <v>6.4184202035910687E-5</v>
      </c>
      <c r="W763" s="23"/>
      <c r="X763" s="35"/>
    </row>
    <row r="764" spans="15:24" ht="17.100000000000001" customHeight="1">
      <c r="O764" s="12">
        <f t="shared" si="11"/>
        <v>62.583333333333336</v>
      </c>
      <c r="P764" s="13">
        <v>751</v>
      </c>
      <c r="Q764" s="22"/>
      <c r="R764" s="19"/>
      <c r="S764" s="22"/>
      <c r="T764" s="19"/>
      <c r="U764" s="24">
        <v>2.3385251844785016E-2</v>
      </c>
      <c r="V764" s="24">
        <f>(1+U765)^P765/(1+U764)^P764-1</f>
        <v>6.3257733347255041E-5</v>
      </c>
      <c r="W764" s="23"/>
      <c r="X764" s="35"/>
    </row>
    <row r="765" spans="15:24" ht="17.100000000000001" customHeight="1">
      <c r="O765" s="12">
        <f t="shared" si="11"/>
        <v>62.666666666666664</v>
      </c>
      <c r="P765" s="13">
        <v>752</v>
      </c>
      <c r="Q765" s="22"/>
      <c r="R765" s="19"/>
      <c r="S765" s="22"/>
      <c r="T765" s="19"/>
      <c r="U765" s="24">
        <v>2.3353880191342657E-2</v>
      </c>
      <c r="V765" s="24">
        <f>(1+U766)^P766/(1+U765)^P765-1</f>
        <v>6.2344633303235142E-5</v>
      </c>
      <c r="W765" s="23"/>
      <c r="X765" s="35"/>
    </row>
    <row r="766" spans="15:24" ht="17.100000000000001" customHeight="1">
      <c r="O766" s="12">
        <f t="shared" si="11"/>
        <v>62.75</v>
      </c>
      <c r="P766" s="13">
        <v>753</v>
      </c>
      <c r="Q766" s="22"/>
      <c r="R766" s="19"/>
      <c r="S766" s="22"/>
      <c r="T766" s="19"/>
      <c r="U766" s="24">
        <v>2.3322591579388652E-2</v>
      </c>
      <c r="V766" s="24">
        <f>(1+U767)^P767/(1+U766)^P766-1</f>
        <v>6.1444709592795022E-5</v>
      </c>
      <c r="W766" s="23"/>
      <c r="X766" s="35"/>
    </row>
    <row r="767" spans="15:24" ht="17.100000000000001" customHeight="1">
      <c r="O767" s="12">
        <f t="shared" si="11"/>
        <v>62.833333333333336</v>
      </c>
      <c r="P767" s="13">
        <v>754</v>
      </c>
      <c r="Q767" s="22"/>
      <c r="R767" s="19"/>
      <c r="S767" s="22"/>
      <c r="T767" s="19"/>
      <c r="U767" s="24">
        <v>2.3291385692677302E-2</v>
      </c>
      <c r="V767" s="24">
        <f>(1+U768)^P768/(1+U767)^P767-1</f>
        <v>6.0557771570213248E-5</v>
      </c>
      <c r="W767" s="23"/>
      <c r="X767" s="35"/>
    </row>
    <row r="768" spans="15:24" ht="17.100000000000001" customHeight="1">
      <c r="O768" s="12">
        <f t="shared" si="11"/>
        <v>62.916666666666664</v>
      </c>
      <c r="P768" s="13">
        <v>755</v>
      </c>
      <c r="Q768" s="22"/>
      <c r="R768" s="19"/>
      <c r="S768" s="22"/>
      <c r="T768" s="19"/>
      <c r="U768" s="24">
        <v>2.3260262216397765E-2</v>
      </c>
      <c r="V768" s="24">
        <f>(1+U769)^P769/(1+U768)^P768-1</f>
        <v>5.9683632446905222E-5</v>
      </c>
      <c r="W768" s="23"/>
      <c r="X768" s="35"/>
    </row>
    <row r="769" spans="15:24" ht="17.100000000000001" customHeight="1">
      <c r="O769" s="12">
        <f t="shared" si="11"/>
        <v>63</v>
      </c>
      <c r="P769" s="13">
        <v>756</v>
      </c>
      <c r="Q769" s="22"/>
      <c r="R769" s="19"/>
      <c r="S769" s="22"/>
      <c r="T769" s="19"/>
      <c r="U769" s="24">
        <v>2.3229220837169828E-2</v>
      </c>
      <c r="V769" s="24">
        <f>(1+U770)^P770/(1+U769)^P769-1</f>
        <v>5.882210723995307E-5</v>
      </c>
      <c r="W769" s="23"/>
      <c r="X769" s="35"/>
    </row>
    <row r="770" spans="15:24" ht="17.100000000000001" customHeight="1">
      <c r="O770" s="12">
        <f t="shared" si="11"/>
        <v>63.083333333333336</v>
      </c>
      <c r="P770" s="13">
        <v>757</v>
      </c>
      <c r="Q770" s="22"/>
      <c r="R770" s="19"/>
      <c r="S770" s="22"/>
      <c r="T770" s="19"/>
      <c r="U770" s="24">
        <v>2.3198261243036589E-2</v>
      </c>
      <c r="V770" s="24">
        <f>(1+U771)^P771/(1+U770)^P770-1</f>
        <v>5.7973014525369848E-5</v>
      </c>
      <c r="W770" s="23"/>
      <c r="X770" s="35"/>
    </row>
    <row r="771" spans="15:24" ht="17.100000000000001" customHeight="1">
      <c r="O771" s="12">
        <f t="shared" si="11"/>
        <v>63.166666666666664</v>
      </c>
      <c r="P771" s="13">
        <v>758</v>
      </c>
      <c r="Q771" s="22"/>
      <c r="R771" s="19"/>
      <c r="S771" s="22"/>
      <c r="T771" s="19"/>
      <c r="U771" s="24">
        <v>2.3167383123459784E-2</v>
      </c>
      <c r="V771" s="24">
        <f>(1+U772)^P772/(1+U771)^P771-1</f>
        <v>5.7136174556937647E-5</v>
      </c>
      <c r="W771" s="23"/>
      <c r="X771" s="35"/>
    </row>
    <row r="772" spans="15:24" ht="17.100000000000001" customHeight="1">
      <c r="O772" s="12">
        <f t="shared" si="11"/>
        <v>63.25</v>
      </c>
      <c r="P772" s="13">
        <v>759</v>
      </c>
      <c r="Q772" s="22"/>
      <c r="R772" s="19"/>
      <c r="S772" s="22"/>
      <c r="T772" s="19"/>
      <c r="U772" s="24">
        <v>2.3136586169312912E-2</v>
      </c>
      <c r="V772" s="24">
        <f>(1+U773)^P773/(1+U772)^P772-1</f>
        <v>5.6311410962850417E-5</v>
      </c>
      <c r="W772" s="23"/>
      <c r="X772" s="35"/>
    </row>
    <row r="773" spans="15:24" ht="17.100000000000001" customHeight="1">
      <c r="O773" s="12">
        <f t="shared" si="11"/>
        <v>63.333333333333336</v>
      </c>
      <c r="P773" s="13">
        <v>760</v>
      </c>
      <c r="Q773" s="22"/>
      <c r="R773" s="19"/>
      <c r="S773" s="22"/>
      <c r="T773" s="19"/>
      <c r="U773" s="24">
        <v>2.31058700728759E-2</v>
      </c>
      <c r="V773" s="24">
        <f>(1+U774)^P774/(1+U773)^P773-1</f>
        <v>5.549854929332021E-5</v>
      </c>
      <c r="W773" s="23"/>
      <c r="X773" s="35"/>
    </row>
    <row r="774" spans="15:24" ht="17.100000000000001" customHeight="1">
      <c r="O774" s="12">
        <f t="shared" si="11"/>
        <v>63.416666666666664</v>
      </c>
      <c r="P774" s="13">
        <v>761</v>
      </c>
      <c r="Q774" s="22"/>
      <c r="R774" s="19"/>
      <c r="S774" s="22"/>
      <c r="T774" s="19"/>
      <c r="U774" s="24">
        <v>2.3075234527828892E-2</v>
      </c>
      <c r="V774" s="24">
        <f>(1+U775)^P775/(1+U774)^P774-1</f>
        <v>5.4697417897209277E-5</v>
      </c>
      <c r="W774" s="23"/>
      <c r="X774" s="35"/>
    </row>
    <row r="775" spans="15:24" ht="17.100000000000001" customHeight="1">
      <c r="O775" s="12">
        <f t="shared" si="11"/>
        <v>63.5</v>
      </c>
      <c r="P775" s="13">
        <v>762</v>
      </c>
      <c r="Q775" s="22"/>
      <c r="R775" s="19"/>
      <c r="S775" s="22"/>
      <c r="T775" s="19"/>
      <c r="U775" s="24">
        <v>2.3044679229246468E-2</v>
      </c>
      <c r="V775" s="24">
        <f>(1+U776)^P776/(1+U775)^P775-1</f>
        <v>5.3907847968659439E-5</v>
      </c>
      <c r="W775" s="23"/>
      <c r="X775" s="35"/>
    </row>
    <row r="776" spans="15:24" ht="17.100000000000001" customHeight="1">
      <c r="O776" s="12">
        <f t="shared" si="11"/>
        <v>63.583333333333336</v>
      </c>
      <c r="P776" s="13">
        <v>763</v>
      </c>
      <c r="Q776" s="22"/>
      <c r="R776" s="19"/>
      <c r="S776" s="22"/>
      <c r="T776" s="19"/>
      <c r="U776" s="24">
        <v>2.301420387359232E-2</v>
      </c>
      <c r="V776" s="24">
        <f>(1+U777)^P777/(1+U776)^P776-1</f>
        <v>5.3129672314078391E-5</v>
      </c>
      <c r="W776" s="23"/>
      <c r="X776" s="35"/>
    </row>
    <row r="777" spans="15:24" ht="17.100000000000001" customHeight="1">
      <c r="O777" s="12">
        <f t="shared" si="11"/>
        <v>63.666666666666664</v>
      </c>
      <c r="P777" s="13">
        <v>764</v>
      </c>
      <c r="Q777" s="22"/>
      <c r="R777" s="19"/>
      <c r="S777" s="22"/>
      <c r="T777" s="19"/>
      <c r="U777" s="24">
        <v>2.2983808158712149E-2</v>
      </c>
      <c r="V777" s="24">
        <f>(1+U778)^P778/(1+U777)^P777-1</f>
        <v>5.2362727019694688E-5</v>
      </c>
      <c r="W777" s="23"/>
      <c r="X777" s="35"/>
    </row>
    <row r="778" spans="15:24" ht="17.100000000000001" customHeight="1">
      <c r="O778" s="12">
        <f t="shared" si="11"/>
        <v>63.75</v>
      </c>
      <c r="P778" s="13">
        <v>765</v>
      </c>
      <c r="Q778" s="22"/>
      <c r="R778" s="19"/>
      <c r="S778" s="22"/>
      <c r="T778" s="19"/>
      <c r="U778" s="24">
        <v>2.2953491783829216E-2</v>
      </c>
      <c r="V778" s="24">
        <f>(1+U779)^P779/(1+U778)^P778-1</f>
        <v>5.1606849604368676E-5</v>
      </c>
      <c r="W778" s="23"/>
      <c r="X778" s="35"/>
    </row>
    <row r="779" spans="15:24" ht="17.100000000000001" customHeight="1">
      <c r="O779" s="12">
        <f t="shared" si="11"/>
        <v>63.833333333333336</v>
      </c>
      <c r="P779" s="13">
        <v>766</v>
      </c>
      <c r="Q779" s="22"/>
      <c r="R779" s="19"/>
      <c r="S779" s="22"/>
      <c r="T779" s="19"/>
      <c r="U779" s="24">
        <v>2.2923254449536579E-2</v>
      </c>
      <c r="V779" s="24">
        <f>(1+U780)^P780/(1+U779)^P779-1</f>
        <v>5.0861880579899932E-5</v>
      </c>
      <c r="W779" s="23"/>
      <c r="X779" s="35"/>
    </row>
    <row r="780" spans="15:24" ht="17.100000000000001" customHeight="1">
      <c r="O780" s="12">
        <f t="shared" si="11"/>
        <v>63.916666666666664</v>
      </c>
      <c r="P780" s="13">
        <v>767</v>
      </c>
      <c r="Q780" s="22"/>
      <c r="R780" s="19"/>
      <c r="S780" s="22"/>
      <c r="T780" s="19"/>
      <c r="U780" s="24">
        <v>2.2893095857792867E-2</v>
      </c>
      <c r="V780" s="24">
        <f>(1+U781)^P781/(1+U780)^P780-1</f>
        <v>5.0127663210774998E-5</v>
      </c>
      <c r="W780" s="23"/>
      <c r="X780" s="35"/>
    </row>
    <row r="781" spans="15:24" ht="17.100000000000001" customHeight="1">
      <c r="O781" s="12">
        <f t="shared" si="11"/>
        <v>64</v>
      </c>
      <c r="P781" s="13">
        <v>768</v>
      </c>
      <c r="Q781" s="22"/>
      <c r="R781" s="19"/>
      <c r="S781" s="22"/>
      <c r="T781" s="19"/>
      <c r="U781" s="24">
        <v>2.286301571191629E-2</v>
      </c>
      <c r="V781" s="24">
        <f>(1+U782)^P782/(1+U781)^P781-1</f>
        <v>4.9404041547740363E-5</v>
      </c>
      <c r="W781" s="23"/>
      <c r="X781" s="35"/>
    </row>
    <row r="782" spans="15:24" ht="17.100000000000001" customHeight="1">
      <c r="O782" s="12">
        <f t="shared" ref="O782:O845" si="12">P782/12</f>
        <v>64.083333333333329</v>
      </c>
      <c r="P782" s="13">
        <v>769</v>
      </c>
      <c r="Q782" s="22"/>
      <c r="R782" s="19"/>
      <c r="S782" s="22"/>
      <c r="T782" s="19"/>
      <c r="U782" s="24">
        <v>2.2833013716577311E-2</v>
      </c>
      <c r="V782" s="24">
        <f>(1+U783)^P783/(1+U782)^P782-1</f>
        <v>4.8690863067024637E-5</v>
      </c>
      <c r="W782" s="23"/>
      <c r="X782" s="35"/>
    </row>
    <row r="783" spans="15:24" ht="17.100000000000001" customHeight="1">
      <c r="O783" s="12">
        <f t="shared" si="12"/>
        <v>64.166666666666671</v>
      </c>
      <c r="P783" s="13">
        <v>770</v>
      </c>
      <c r="Q783" s="22"/>
      <c r="R783" s="19"/>
      <c r="S783" s="22"/>
      <c r="T783" s="19"/>
      <c r="U783" s="24">
        <v>2.2803089577793978E-2</v>
      </c>
      <c r="V783" s="24">
        <f>(1+U784)^P784/(1+U783)^P783-1</f>
        <v>4.7987977276564564E-5</v>
      </c>
      <c r="W783" s="23"/>
      <c r="X783" s="35"/>
    </row>
    <row r="784" spans="15:24" ht="17.100000000000001" customHeight="1">
      <c r="O784" s="12">
        <f t="shared" si="12"/>
        <v>64.25</v>
      </c>
      <c r="P784" s="13">
        <v>771</v>
      </c>
      <c r="Q784" s="22"/>
      <c r="R784" s="19"/>
      <c r="S784" s="22"/>
      <c r="T784" s="19"/>
      <c r="U784" s="24">
        <v>2.2773243002925714E-2</v>
      </c>
      <c r="V784" s="24">
        <f>(1+U785)^P785/(1+U784)^P784-1</f>
        <v>4.7295235562794247E-5</v>
      </c>
      <c r="W784" s="23"/>
      <c r="X784" s="35"/>
    </row>
    <row r="785" spans="15:24" ht="17.100000000000001" customHeight="1">
      <c r="O785" s="12">
        <f t="shared" si="12"/>
        <v>64.333333333333329</v>
      </c>
      <c r="P785" s="13">
        <v>772</v>
      </c>
      <c r="Q785" s="22"/>
      <c r="R785" s="19"/>
      <c r="S785" s="22"/>
      <c r="T785" s="19"/>
      <c r="U785" s="24">
        <v>2.274347370066776E-2</v>
      </c>
      <c r="V785" s="24">
        <f>(1+U786)^P786/(1+U785)^P785-1</f>
        <v>4.6612491943376355E-5</v>
      </c>
      <c r="W785" s="23"/>
      <c r="X785" s="35"/>
    </row>
    <row r="786" spans="15:24" ht="17.100000000000001" customHeight="1">
      <c r="O786" s="12">
        <f t="shared" si="12"/>
        <v>64.416666666666671</v>
      </c>
      <c r="P786" s="13">
        <v>773</v>
      </c>
      <c r="Q786" s="22"/>
      <c r="R786" s="19"/>
      <c r="S786" s="22"/>
      <c r="T786" s="19"/>
      <c r="U786" s="24">
        <v>2.271378138104474E-2</v>
      </c>
      <c r="V786" s="24">
        <f>(1+U787)^P787/(1+U786)^P786-1</f>
        <v>4.593960143939313E-5</v>
      </c>
      <c r="W786" s="23"/>
      <c r="X786" s="35"/>
    </row>
    <row r="787" spans="15:24" ht="17.100000000000001" customHeight="1">
      <c r="O787" s="12">
        <f t="shared" si="12"/>
        <v>64.5</v>
      </c>
      <c r="P787" s="13">
        <v>774</v>
      </c>
      <c r="Q787" s="22"/>
      <c r="R787" s="19"/>
      <c r="S787" s="22"/>
      <c r="T787" s="19"/>
      <c r="U787" s="24">
        <v>2.2684165755404662E-2</v>
      </c>
      <c r="V787" s="24">
        <f>(1+U788)^P788/(1+U787)^P787-1</f>
        <v>4.5276422738105282E-5</v>
      </c>
      <c r="W787" s="23"/>
      <c r="X787" s="35"/>
    </row>
    <row r="788" spans="15:24" ht="17.100000000000001" customHeight="1">
      <c r="O788" s="12">
        <f t="shared" si="12"/>
        <v>64.583333333333329</v>
      </c>
      <c r="P788" s="13">
        <v>775</v>
      </c>
      <c r="Q788" s="22"/>
      <c r="R788" s="19"/>
      <c r="S788" s="22"/>
      <c r="T788" s="19"/>
      <c r="U788" s="24">
        <v>2.2654626536414035E-2</v>
      </c>
      <c r="V788" s="24">
        <f>(1+U789)^P789/(1+U788)^P788-1</f>
        <v>4.4622815120076709E-5</v>
      </c>
      <c r="W788" s="23"/>
      <c r="X788" s="35"/>
    </row>
    <row r="789" spans="15:24" ht="17.100000000000001" customHeight="1">
      <c r="O789" s="12">
        <f t="shared" si="12"/>
        <v>64.666666666666671</v>
      </c>
      <c r="P789" s="13">
        <v>776</v>
      </c>
      <c r="Q789" s="22"/>
      <c r="R789" s="19"/>
      <c r="S789" s="22"/>
      <c r="T789" s="19"/>
      <c r="U789" s="24">
        <v>2.2625163438050766E-2</v>
      </c>
      <c r="V789" s="24">
        <f>(1+U790)^P790/(1+U789)^P789-1</f>
        <v>4.3978640873687525E-5</v>
      </c>
      <c r="W789" s="23"/>
      <c r="X789" s="35"/>
    </row>
    <row r="790" spans="15:24" ht="17.100000000000001" customHeight="1">
      <c r="O790" s="12">
        <f t="shared" si="12"/>
        <v>64.75</v>
      </c>
      <c r="P790" s="13">
        <v>777</v>
      </c>
      <c r="Q790" s="22"/>
      <c r="R790" s="19"/>
      <c r="S790" s="22"/>
      <c r="T790" s="19"/>
      <c r="U790" s="24">
        <v>2.2595776175599269E-2</v>
      </c>
      <c r="V790" s="24">
        <f>(1+U791)^P791/(1+U790)^P790-1</f>
        <v>4.3343763829417625E-5</v>
      </c>
      <c r="W790" s="23"/>
      <c r="X790" s="35"/>
    </row>
    <row r="791" spans="15:24" ht="17.100000000000001" customHeight="1">
      <c r="O791" s="12">
        <f t="shared" si="12"/>
        <v>64.833333333333329</v>
      </c>
      <c r="P791" s="13">
        <v>778</v>
      </c>
      <c r="Q791" s="22"/>
      <c r="R791" s="19"/>
      <c r="S791" s="22"/>
      <c r="T791" s="19"/>
      <c r="U791" s="24">
        <v>2.2566464465644032E-2</v>
      </c>
      <c r="V791" s="24">
        <f>(1+U792)^P792/(1+U791)^P791-1</f>
        <v>4.2718049880097198E-5</v>
      </c>
      <c r="W791" s="23"/>
      <c r="X791" s="35"/>
    </row>
    <row r="792" spans="15:24" ht="17.100000000000001" customHeight="1">
      <c r="O792" s="12">
        <f t="shared" si="12"/>
        <v>64.916666666666671</v>
      </c>
      <c r="P792" s="13">
        <v>779</v>
      </c>
      <c r="Q792" s="22"/>
      <c r="R792" s="19"/>
      <c r="S792" s="22"/>
      <c r="T792" s="19"/>
      <c r="U792" s="24">
        <v>2.2537228026064282E-2</v>
      </c>
      <c r="V792" s="24">
        <f>(1+U793)^P793/(1+U792)^P792-1</f>
        <v>4.2101366795499473E-5</v>
      </c>
      <c r="W792" s="23"/>
      <c r="X792" s="35"/>
    </row>
    <row r="793" spans="15:24" ht="17.100000000000001" customHeight="1">
      <c r="O793" s="12">
        <f t="shared" si="12"/>
        <v>65</v>
      </c>
      <c r="P793" s="13">
        <v>780</v>
      </c>
      <c r="Q793" s="22"/>
      <c r="R793" s="19"/>
      <c r="S793" s="22"/>
      <c r="T793" s="19"/>
      <c r="U793" s="24">
        <v>2.2508066576027552E-2</v>
      </c>
      <c r="V793" s="24">
        <f>(1+U794)^P794/(1+U793)^P793-1</f>
        <v>4.1493583942342482E-5</v>
      </c>
      <c r="W793" s="23"/>
      <c r="X793" s="35"/>
    </row>
    <row r="794" spans="15:24" ht="17.100000000000001" customHeight="1">
      <c r="O794" s="12">
        <f t="shared" si="12"/>
        <v>65.083333333333329</v>
      </c>
      <c r="P794" s="13">
        <v>781</v>
      </c>
      <c r="Q794" s="22"/>
      <c r="R794" s="19"/>
      <c r="S794" s="22"/>
      <c r="T794" s="19"/>
      <c r="U794" s="24">
        <v>2.2478979835983903E-2</v>
      </c>
      <c r="V794" s="24">
        <f>(1+U795)^P795/(1+U794)^P794-1</f>
        <v>4.0894573958505376E-5</v>
      </c>
      <c r="W794" s="23"/>
      <c r="X794" s="35"/>
    </row>
    <row r="795" spans="15:24" ht="17.100000000000001" customHeight="1">
      <c r="O795" s="12">
        <f t="shared" si="12"/>
        <v>65.166666666666671</v>
      </c>
      <c r="P795" s="13">
        <v>782</v>
      </c>
      <c r="Q795" s="22"/>
      <c r="R795" s="19"/>
      <c r="S795" s="22"/>
      <c r="T795" s="19"/>
      <c r="U795" s="24">
        <v>2.2449967527661263E-2</v>
      </c>
      <c r="V795" s="24">
        <f>(1+U796)^P796/(1+U795)^P795-1</f>
        <v>4.0304208970720623E-5</v>
      </c>
      <c r="W795" s="23"/>
      <c r="X795" s="35"/>
    </row>
    <row r="796" spans="15:24" ht="17.100000000000001" customHeight="1">
      <c r="O796" s="12">
        <f t="shared" si="12"/>
        <v>65.25</v>
      </c>
      <c r="P796" s="13">
        <v>783</v>
      </c>
      <c r="Q796" s="22"/>
      <c r="R796" s="19"/>
      <c r="S796" s="22"/>
      <c r="T796" s="19"/>
      <c r="U796" s="24">
        <v>2.2421029374057433E-2</v>
      </c>
      <c r="V796" s="24">
        <f>(1+U797)^P797/(1+U796)^P796-1</f>
        <v>3.972236514626637E-5</v>
      </c>
      <c r="W796" s="23"/>
      <c r="X796" s="35"/>
    </row>
    <row r="797" spans="15:24" ht="17.100000000000001" customHeight="1">
      <c r="O797" s="12">
        <f t="shared" si="12"/>
        <v>65.333333333333329</v>
      </c>
      <c r="P797" s="13">
        <v>784</v>
      </c>
      <c r="Q797" s="22"/>
      <c r="R797" s="19"/>
      <c r="S797" s="22"/>
      <c r="T797" s="19"/>
      <c r="U797" s="24">
        <v>2.2392165099436534E-2</v>
      </c>
      <c r="V797" s="24">
        <f>(1+U798)^P798/(1+U797)^P797-1</f>
        <v>3.9148919142917293E-5</v>
      </c>
      <c r="W797" s="23"/>
      <c r="X797" s="35"/>
    </row>
    <row r="798" spans="15:24" ht="17.100000000000001" customHeight="1">
      <c r="O798" s="12">
        <f t="shared" si="12"/>
        <v>65.416666666666671</v>
      </c>
      <c r="P798" s="13">
        <v>785</v>
      </c>
      <c r="Q798" s="22"/>
      <c r="R798" s="19"/>
      <c r="S798" s="22"/>
      <c r="T798" s="19"/>
      <c r="U798" s="24">
        <v>2.2363374429321681E-2</v>
      </c>
      <c r="V798" s="24">
        <f>(1+U799)^P799/(1+U798)^P798-1</f>
        <v>3.8583750056497834E-5</v>
      </c>
      <c r="W798" s="23"/>
      <c r="X798" s="35"/>
    </row>
    <row r="799" spans="15:24" ht="17.100000000000001" customHeight="1">
      <c r="O799" s="12">
        <f t="shared" si="12"/>
        <v>65.5</v>
      </c>
      <c r="P799" s="13">
        <v>786</v>
      </c>
      <c r="Q799" s="22"/>
      <c r="R799" s="19"/>
      <c r="S799" s="22"/>
      <c r="T799" s="19"/>
      <c r="U799" s="24">
        <v>2.2334657090490317E-2</v>
      </c>
      <c r="V799" s="24">
        <f>(1+U800)^P800/(1+U799)^P799-1</f>
        <v>3.8026738560903439E-5</v>
      </c>
      <c r="W799" s="23"/>
      <c r="X799" s="35"/>
    </row>
    <row r="800" spans="15:24" ht="17.100000000000001" customHeight="1">
      <c r="O800" s="12">
        <f t="shared" si="12"/>
        <v>65.583333333333329</v>
      </c>
      <c r="P800" s="13">
        <v>787</v>
      </c>
      <c r="Q800" s="22"/>
      <c r="R800" s="19"/>
      <c r="S800" s="22"/>
      <c r="T800" s="19"/>
      <c r="U800" s="24">
        <v>2.2306012810967557E-2</v>
      </c>
      <c r="V800" s="24">
        <f>(1+U801)^P801/(1+U800)^P800-1</f>
        <v>3.7477766126059464E-5</v>
      </c>
      <c r="W800" s="23"/>
      <c r="X800" s="35"/>
    </row>
    <row r="801" spans="15:24" ht="17.100000000000001" customHeight="1">
      <c r="O801" s="12">
        <f t="shared" si="12"/>
        <v>65.666666666666671</v>
      </c>
      <c r="P801" s="13">
        <v>788</v>
      </c>
      <c r="Q801" s="22"/>
      <c r="R801" s="19"/>
      <c r="S801" s="22"/>
      <c r="T801" s="19"/>
      <c r="U801" s="24">
        <v>2.2277441320020186E-2</v>
      </c>
      <c r="V801" s="24">
        <f>(1+U802)^P802/(1+U801)^P801-1</f>
        <v>3.6936717999092039E-5</v>
      </c>
      <c r="W801" s="23"/>
      <c r="X801" s="35"/>
    </row>
    <row r="802" spans="15:24" ht="17.100000000000001" customHeight="1">
      <c r="O802" s="12">
        <f t="shared" si="12"/>
        <v>65.75</v>
      </c>
      <c r="P802" s="13">
        <v>789</v>
      </c>
      <c r="Q802" s="22"/>
      <c r="R802" s="19"/>
      <c r="S802" s="22"/>
      <c r="T802" s="19"/>
      <c r="U802" s="24">
        <v>2.2248942348152667E-2</v>
      </c>
      <c r="V802" s="24">
        <f>(1+U803)^P803/(1+U802)^P802-1</f>
        <v>3.6403479024116336E-5</v>
      </c>
      <c r="W802" s="23"/>
      <c r="X802" s="35"/>
    </row>
    <row r="803" spans="15:24" ht="17.100000000000001" customHeight="1">
      <c r="O803" s="12">
        <f t="shared" si="12"/>
        <v>65.833333333333329</v>
      </c>
      <c r="P803" s="13">
        <v>790</v>
      </c>
      <c r="Q803" s="22"/>
      <c r="R803" s="19"/>
      <c r="S803" s="22"/>
      <c r="T803" s="19"/>
      <c r="U803" s="24">
        <v>2.2220515627099369E-2</v>
      </c>
      <c r="V803" s="24">
        <f>(1+U804)^P804/(1+U803)^P803-1</f>
        <v>3.5877936542139111E-5</v>
      </c>
      <c r="W803" s="23"/>
      <c r="X803" s="35"/>
    </row>
    <row r="804" spans="15:24" ht="17.100000000000001" customHeight="1">
      <c r="O804" s="12">
        <f t="shared" si="12"/>
        <v>65.916666666666671</v>
      </c>
      <c r="P804" s="13">
        <v>791</v>
      </c>
      <c r="Q804" s="22"/>
      <c r="R804" s="19"/>
      <c r="S804" s="22"/>
      <c r="T804" s="19"/>
      <c r="U804" s="24">
        <v>2.2192160889819679E-2</v>
      </c>
      <c r="V804" s="24">
        <f>(1+U805)^P805/(1+U804)^P804-1</f>
        <v>3.5359980062432683E-5</v>
      </c>
      <c r="W804" s="23"/>
      <c r="X804" s="35"/>
    </row>
    <row r="805" spans="15:24" ht="17.100000000000001" customHeight="1">
      <c r="O805" s="12">
        <f t="shared" si="12"/>
        <v>66</v>
      </c>
      <c r="P805" s="13">
        <v>792</v>
      </c>
      <c r="Q805" s="22"/>
      <c r="R805" s="19"/>
      <c r="S805" s="22"/>
      <c r="T805" s="19"/>
      <c r="U805" s="24">
        <v>2.2163877870493121E-2</v>
      </c>
      <c r="V805" s="24">
        <f>(1+U806)^P806/(1+U805)^P805-1</f>
        <v>3.4849499391809147E-5</v>
      </c>
      <c r="W805" s="23"/>
      <c r="X805" s="35"/>
    </row>
    <row r="806" spans="15:24" ht="17.100000000000001" customHeight="1">
      <c r="O806" s="12">
        <f t="shared" si="12"/>
        <v>66.083333333333329</v>
      </c>
      <c r="P806" s="13">
        <v>793</v>
      </c>
      <c r="Q806" s="22"/>
      <c r="R806" s="19"/>
      <c r="S806" s="22"/>
      <c r="T806" s="19"/>
      <c r="U806" s="24">
        <v>2.2135666304511803E-2</v>
      </c>
      <c r="V806" s="24">
        <f>(1+U807)^P807/(1+U806)^P806-1</f>
        <v>3.4346387290273839E-5</v>
      </c>
      <c r="W806" s="23"/>
      <c r="X806" s="35"/>
    </row>
    <row r="807" spans="15:24" ht="17.100000000000001" customHeight="1">
      <c r="O807" s="12">
        <f t="shared" si="12"/>
        <v>66.166666666666671</v>
      </c>
      <c r="P807" s="13">
        <v>794</v>
      </c>
      <c r="Q807" s="22"/>
      <c r="R807" s="19"/>
      <c r="S807" s="22"/>
      <c r="T807" s="19"/>
      <c r="U807" s="24">
        <v>2.2107525928476646E-2</v>
      </c>
      <c r="V807" s="24">
        <f>(1+U808)^P808/(1+U807)^P807-1</f>
        <v>3.3850537077828591E-5</v>
      </c>
      <c r="W807" s="23"/>
      <c r="X807" s="35"/>
    </row>
    <row r="808" spans="15:24" ht="17.100000000000001" customHeight="1">
      <c r="O808" s="12">
        <f t="shared" si="12"/>
        <v>66.25</v>
      </c>
      <c r="P808" s="13">
        <v>795</v>
      </c>
      <c r="Q808" s="22"/>
      <c r="R808" s="19"/>
      <c r="S808" s="22"/>
      <c r="T808" s="19"/>
      <c r="U808" s="24">
        <v>2.2079456480190496E-2</v>
      </c>
      <c r="V808" s="24">
        <f>(1+U809)^P809/(1+U808)^P808-1</f>
        <v>3.3361844331114554E-5</v>
      </c>
      <c r="W808" s="23"/>
      <c r="X808" s="35"/>
    </row>
    <row r="809" spans="15:24" ht="17.100000000000001" customHeight="1">
      <c r="O809" s="12">
        <f t="shared" si="12"/>
        <v>66.333333333333329</v>
      </c>
      <c r="P809" s="13">
        <v>796</v>
      </c>
      <c r="Q809" s="22"/>
      <c r="R809" s="19"/>
      <c r="S809" s="22"/>
      <c r="T809" s="19"/>
      <c r="U809" s="24">
        <v>2.2051457698653021E-2</v>
      </c>
      <c r="V809" s="24">
        <f>(1+U810)^P810/(1+U809)^P809-1</f>
        <v>3.2880205218077663E-5</v>
      </c>
      <c r="W809" s="23"/>
      <c r="X809" s="35"/>
    </row>
    <row r="810" spans="15:24" ht="17.100000000000001" customHeight="1">
      <c r="O810" s="12">
        <f t="shared" si="12"/>
        <v>66.416666666666671</v>
      </c>
      <c r="P810" s="13">
        <v>797</v>
      </c>
      <c r="Q810" s="22"/>
      <c r="R810" s="19"/>
      <c r="S810" s="22"/>
      <c r="T810" s="19"/>
      <c r="U810" s="24">
        <v>2.2023529324054492E-2</v>
      </c>
      <c r="V810" s="24">
        <f>(1+U811)^P811/(1+U810)^P810-1</f>
        <v>3.2405518464395655E-5</v>
      </c>
      <c r="W810" s="23"/>
      <c r="X810" s="35"/>
    </row>
    <row r="811" spans="15:24" ht="17.100000000000001" customHeight="1">
      <c r="O811" s="12">
        <f t="shared" si="12"/>
        <v>66.5</v>
      </c>
      <c r="P811" s="13">
        <v>798</v>
      </c>
      <c r="Q811" s="22"/>
      <c r="R811" s="19"/>
      <c r="S811" s="22"/>
      <c r="T811" s="19"/>
      <c r="U811" s="24">
        <v>2.1995671097771119E-2</v>
      </c>
      <c r="V811" s="24">
        <f>(1+U812)^P812/(1+U811)^P811-1</f>
        <v>3.193768316656076E-5</v>
      </c>
      <c r="W811" s="23"/>
      <c r="X811" s="35"/>
    </row>
    <row r="812" spans="15:24" ht="17.100000000000001" customHeight="1">
      <c r="O812" s="12">
        <f t="shared" si="12"/>
        <v>66.583333333333329</v>
      </c>
      <c r="P812" s="13">
        <v>799</v>
      </c>
      <c r="Q812" s="22"/>
      <c r="R812" s="19"/>
      <c r="S812" s="22"/>
      <c r="T812" s="19"/>
      <c r="U812" s="24">
        <v>2.1967882762358171E-2</v>
      </c>
      <c r="V812" s="24">
        <f>(1+U813)^P813/(1+U812)^P812-1</f>
        <v>3.147660137758912E-5</v>
      </c>
      <c r="W812" s="23"/>
      <c r="X812" s="35"/>
    </row>
    <row r="813" spans="15:24" ht="17.100000000000001" customHeight="1">
      <c r="O813" s="12">
        <f t="shared" si="12"/>
        <v>66.666666666666671</v>
      </c>
      <c r="P813" s="13">
        <v>800</v>
      </c>
      <c r="Q813" s="22"/>
      <c r="R813" s="19"/>
      <c r="S813" s="22"/>
      <c r="T813" s="19"/>
      <c r="U813" s="24">
        <v>2.1940164061546197E-2</v>
      </c>
      <c r="V813" s="24">
        <f>(1+U814)^P814/(1+U813)^P813-1</f>
        <v>3.1022174754147258E-5</v>
      </c>
      <c r="W813" s="23"/>
      <c r="X813" s="35"/>
    </row>
    <row r="814" spans="15:24" ht="17.100000000000001" customHeight="1">
      <c r="O814" s="12">
        <f t="shared" si="12"/>
        <v>66.75</v>
      </c>
      <c r="P814" s="13">
        <v>801</v>
      </c>
      <c r="Q814" s="22"/>
      <c r="R814" s="19"/>
      <c r="S814" s="22"/>
      <c r="T814" s="19"/>
      <c r="U814" s="24">
        <v>2.1912514740233258E-2</v>
      </c>
      <c r="V814" s="24">
        <f>(1+U815)^P815/(1+U814)^P814-1</f>
        <v>3.0574307753772345E-5</v>
      </c>
      <c r="W814" s="23"/>
      <c r="X814" s="35"/>
    </row>
    <row r="815" spans="15:24" ht="17.100000000000001" customHeight="1">
      <c r="O815" s="12">
        <f t="shared" si="12"/>
        <v>66.833333333333329</v>
      </c>
      <c r="P815" s="13">
        <v>802</v>
      </c>
      <c r="Q815" s="22"/>
      <c r="R815" s="19"/>
      <c r="S815" s="22"/>
      <c r="T815" s="19"/>
      <c r="U815" s="24">
        <v>2.1884934544480927E-2</v>
      </c>
      <c r="V815" s="24">
        <f>(1+U816)^P816/(1+U815)^P815-1</f>
        <v>3.013290566866722E-5</v>
      </c>
      <c r="W815" s="23"/>
      <c r="X815" s="35"/>
    </row>
    <row r="816" spans="15:24" ht="17.100000000000001" customHeight="1">
      <c r="O816" s="12">
        <f t="shared" si="12"/>
        <v>66.916666666666671</v>
      </c>
      <c r="P816" s="13">
        <v>803</v>
      </c>
      <c r="Q816" s="22"/>
      <c r="R816" s="19"/>
      <c r="S816" s="22"/>
      <c r="T816" s="19"/>
      <c r="U816" s="24">
        <v>2.1857423221508521E-2</v>
      </c>
      <c r="V816" s="24">
        <f>(1+U817)^P817/(1+U816)^P816-1</f>
        <v>2.9697874978529271E-5</v>
      </c>
      <c r="W816" s="23"/>
      <c r="X816" s="35"/>
    </row>
    <row r="817" spans="15:24" ht="17.100000000000001" customHeight="1">
      <c r="O817" s="12">
        <f t="shared" si="12"/>
        <v>67</v>
      </c>
      <c r="P817" s="13">
        <v>804</v>
      </c>
      <c r="Q817" s="22"/>
      <c r="R817" s="19"/>
      <c r="S817" s="22"/>
      <c r="T817" s="19"/>
      <c r="U817" s="24">
        <v>2.1829980519686876E-2</v>
      </c>
      <c r="V817" s="24">
        <f>(1+U818)^P818/(1+U817)^P817-1</f>
        <v>2.926912379463964E-5</v>
      </c>
      <c r="W817" s="23"/>
      <c r="X817" s="35"/>
    </row>
    <row r="818" spans="15:24" ht="17.100000000000001" customHeight="1">
      <c r="O818" s="12">
        <f t="shared" si="12"/>
        <v>67.083333333333329</v>
      </c>
      <c r="P818" s="13">
        <v>805</v>
      </c>
      <c r="Q818" s="22"/>
      <c r="R818" s="19"/>
      <c r="S818" s="22"/>
      <c r="T818" s="19"/>
      <c r="U818" s="24">
        <v>2.1802606188533247E-2</v>
      </c>
      <c r="V818" s="24">
        <f>(1+U819)^P819/(1+U818)^P818-1</f>
        <v>2.884656201129765E-5</v>
      </c>
      <c r="W818" s="23"/>
      <c r="X818" s="35"/>
    </row>
    <row r="819" spans="15:24" ht="17.100000000000001" customHeight="1">
      <c r="O819" s="12">
        <f t="shared" si="12"/>
        <v>67.166666666666671</v>
      </c>
      <c r="P819" s="13">
        <v>806</v>
      </c>
      <c r="Q819" s="22"/>
      <c r="R819" s="19"/>
      <c r="S819" s="22"/>
      <c r="T819" s="19"/>
      <c r="U819" s="24">
        <v>2.1775299978706641E-2</v>
      </c>
      <c r="V819" s="24">
        <f>(1+U820)^P820/(1+U819)^P819-1</f>
        <v>2.8430099359821881E-5</v>
      </c>
      <c r="W819" s="23"/>
      <c r="X819" s="35"/>
    </row>
    <row r="820" spans="15:24" ht="17.100000000000001" customHeight="1">
      <c r="O820" s="12">
        <f t="shared" si="12"/>
        <v>67.25</v>
      </c>
      <c r="P820" s="13">
        <v>807</v>
      </c>
      <c r="Q820" s="22"/>
      <c r="R820" s="19"/>
      <c r="S820" s="22"/>
      <c r="T820" s="19"/>
      <c r="U820" s="24">
        <v>2.1748061642000494E-2</v>
      </c>
      <c r="V820" s="24">
        <f>(1+U821)^P821/(1+U820)^P820-1</f>
        <v>2.8019648703025979E-5</v>
      </c>
      <c r="W820" s="23"/>
      <c r="X820" s="35"/>
    </row>
    <row r="821" spans="15:24" ht="17.100000000000001" customHeight="1">
      <c r="O821" s="12">
        <f t="shared" si="12"/>
        <v>67.333333333333329</v>
      </c>
      <c r="P821" s="13">
        <v>808</v>
      </c>
      <c r="Q821" s="22"/>
      <c r="R821" s="19"/>
      <c r="S821" s="22"/>
      <c r="T821" s="19"/>
      <c r="U821" s="24">
        <v>2.1720890931338888E-2</v>
      </c>
      <c r="V821" s="24">
        <f>(1+U822)^P822/(1+U821)^P821-1</f>
        <v>2.7615123149526966E-5</v>
      </c>
      <c r="W821" s="23"/>
      <c r="X821" s="35"/>
    </row>
    <row r="822" spans="15:24" ht="17.100000000000001" customHeight="1">
      <c r="O822" s="12">
        <f t="shared" si="12"/>
        <v>67.416666666666671</v>
      </c>
      <c r="P822" s="13">
        <v>809</v>
      </c>
      <c r="Q822" s="22"/>
      <c r="R822" s="19"/>
      <c r="S822" s="22"/>
      <c r="T822" s="19"/>
      <c r="U822" s="24">
        <v>2.1693787600770786E-2</v>
      </c>
      <c r="V822" s="24">
        <f>(1+U823)^P823/(1+U822)^P822-1</f>
        <v>2.7216436437216274E-5</v>
      </c>
      <c r="W822" s="23"/>
      <c r="X822" s="35"/>
    </row>
    <row r="823" spans="15:24" ht="17.100000000000001" customHeight="1">
      <c r="O823" s="12">
        <f t="shared" si="12"/>
        <v>67.5</v>
      </c>
      <c r="P823" s="13">
        <v>810</v>
      </c>
      <c r="Q823" s="22"/>
      <c r="R823" s="19"/>
      <c r="S823" s="22"/>
      <c r="T823" s="19"/>
      <c r="U823" s="24">
        <v>2.1666751405463147E-2</v>
      </c>
      <c r="V823" s="24">
        <f>(1+U824)^P824/(1+U823)^P823-1</f>
        <v>2.6823505121509328E-5</v>
      </c>
      <c r="W823" s="23"/>
      <c r="X823" s="35"/>
    </row>
    <row r="824" spans="15:24" ht="17.100000000000001" customHeight="1">
      <c r="O824" s="12">
        <f t="shared" si="12"/>
        <v>67.583333333333329</v>
      </c>
      <c r="P824" s="13">
        <v>811</v>
      </c>
      <c r="Q824" s="22"/>
      <c r="R824" s="19"/>
      <c r="S824" s="22"/>
      <c r="T824" s="19"/>
      <c r="U824" s="24">
        <v>2.1639782101697813E-2</v>
      </c>
      <c r="V824" s="24">
        <f>(1+U825)^P825/(1+U824)^P824-1</f>
        <v>2.6436246033156863E-5</v>
      </c>
      <c r="W824" s="23"/>
      <c r="X824" s="35"/>
    </row>
    <row r="825" spans="15:24" ht="17.100000000000001" customHeight="1">
      <c r="O825" s="12">
        <f t="shared" si="12"/>
        <v>67.666666666666671</v>
      </c>
      <c r="P825" s="13">
        <v>812</v>
      </c>
      <c r="Q825" s="22"/>
      <c r="R825" s="19"/>
      <c r="S825" s="22"/>
      <c r="T825" s="19"/>
      <c r="U825" s="24">
        <v>2.161287944686463E-2</v>
      </c>
      <c r="V825" s="24">
        <f>(1+U826)^P826/(1+U825)^P825-1</f>
        <v>2.6054577086043196E-5</v>
      </c>
      <c r="W825" s="23"/>
      <c r="X825" s="35"/>
    </row>
    <row r="826" spans="15:24" ht="17.100000000000001" customHeight="1">
      <c r="O826" s="12">
        <f t="shared" si="12"/>
        <v>67.75</v>
      </c>
      <c r="P826" s="13">
        <v>813</v>
      </c>
      <c r="Q826" s="22"/>
      <c r="R826" s="19"/>
      <c r="S826" s="22"/>
      <c r="T826" s="19"/>
      <c r="U826" s="24">
        <v>2.1586043199456117E-2</v>
      </c>
      <c r="V826" s="24">
        <f>(1+U827)^P827/(1+U826)^P826-1</f>
        <v>2.5678417541863396E-5</v>
      </c>
      <c r="W826" s="23"/>
      <c r="X826" s="35"/>
    </row>
    <row r="827" spans="15:24" ht="17.100000000000001" customHeight="1">
      <c r="O827" s="12">
        <f t="shared" si="12"/>
        <v>67.833333333333329</v>
      </c>
      <c r="P827" s="13">
        <v>814</v>
      </c>
      <c r="Q827" s="22"/>
      <c r="R827" s="19"/>
      <c r="S827" s="22"/>
      <c r="T827" s="19"/>
      <c r="U827" s="24">
        <v>2.1559273119062805E-2</v>
      </c>
      <c r="V827" s="24">
        <f>(1+U828)^P828/(1+U827)^P827-1</f>
        <v>2.5307687907982768E-5</v>
      </c>
      <c r="W827" s="23"/>
      <c r="X827" s="35"/>
    </row>
    <row r="828" spans="15:24" ht="17.100000000000001" customHeight="1">
      <c r="O828" s="12">
        <f t="shared" si="12"/>
        <v>67.916666666666671</v>
      </c>
      <c r="P828" s="13">
        <v>815</v>
      </c>
      <c r="Q828" s="22"/>
      <c r="R828" s="19"/>
      <c r="S828" s="22"/>
      <c r="T828" s="19"/>
      <c r="U828" s="24">
        <v>2.1532568966367016E-2</v>
      </c>
      <c r="V828" s="24">
        <f>(1+U829)^P829/(1+U828)^P828-1</f>
        <v>2.4942310460129846E-5</v>
      </c>
      <c r="W828" s="23"/>
      <c r="X828" s="35"/>
    </row>
    <row r="829" spans="15:24" ht="17.100000000000001" customHeight="1">
      <c r="O829" s="12">
        <f t="shared" si="12"/>
        <v>68</v>
      </c>
      <c r="P829" s="13">
        <v>816</v>
      </c>
      <c r="Q829" s="22"/>
      <c r="R829" s="19"/>
      <c r="S829" s="22"/>
      <c r="T829" s="19"/>
      <c r="U829" s="24">
        <v>2.150593050313887E-2</v>
      </c>
      <c r="V829" s="24">
        <f>(1+U830)^P830/(1+U829)^P829-1</f>
        <v>2.4582207031054182E-5</v>
      </c>
      <c r="W829" s="23"/>
      <c r="X829" s="35"/>
    </row>
    <row r="830" spans="15:24" ht="17.100000000000001" customHeight="1">
      <c r="O830" s="12">
        <f t="shared" si="12"/>
        <v>68.083333333333329</v>
      </c>
      <c r="P830" s="13">
        <v>817</v>
      </c>
      <c r="Q830" s="22"/>
      <c r="R830" s="19"/>
      <c r="S830" s="22"/>
      <c r="T830" s="19"/>
      <c r="U830" s="24">
        <v>2.1479357492229401E-2</v>
      </c>
      <c r="V830" s="24">
        <f>(1+U831)^P831/(1+U830)^P830-1</f>
        <v>2.4227302054091737E-5</v>
      </c>
      <c r="W830" s="23"/>
      <c r="X830" s="35"/>
    </row>
    <row r="831" spans="15:24" ht="17.100000000000001" customHeight="1">
      <c r="O831" s="12">
        <f t="shared" si="12"/>
        <v>68.166666666666671</v>
      </c>
      <c r="P831" s="13">
        <v>818</v>
      </c>
      <c r="Q831" s="22"/>
      <c r="R831" s="19"/>
      <c r="S831" s="22"/>
      <c r="T831" s="19"/>
      <c r="U831" s="24">
        <v>2.1452849697566334E-2</v>
      </c>
      <c r="V831" s="24">
        <f>(1+U832)^P832/(1+U831)^P831-1</f>
        <v>2.38775203051933E-5</v>
      </c>
      <c r="W831" s="23"/>
      <c r="X831" s="35"/>
    </row>
    <row r="832" spans="15:24" ht="17.100000000000001" customHeight="1">
      <c r="O832" s="12">
        <f t="shared" si="12"/>
        <v>68.25</v>
      </c>
      <c r="P832" s="13">
        <v>819</v>
      </c>
      <c r="Q832" s="22"/>
      <c r="R832" s="19"/>
      <c r="S832" s="22"/>
      <c r="T832" s="19"/>
      <c r="U832" s="24">
        <v>2.1426406884148319E-2</v>
      </c>
      <c r="V832" s="24">
        <f>(1+U833)^P833/(1+U832)^P832-1</f>
        <v>2.3532787944535727E-5</v>
      </c>
      <c r="W832" s="23"/>
      <c r="X832" s="35"/>
    </row>
    <row r="833" spans="15:24" ht="17.100000000000001" customHeight="1">
      <c r="O833" s="12">
        <f t="shared" si="12"/>
        <v>68.333333333333329</v>
      </c>
      <c r="P833" s="13">
        <v>820</v>
      </c>
      <c r="Q833" s="22"/>
      <c r="R833" s="19"/>
      <c r="S833" s="22"/>
      <c r="T833" s="19"/>
      <c r="U833" s="24">
        <v>2.140002881804004E-2</v>
      </c>
      <c r="V833" s="24">
        <f>(1+U834)^P834/(1+U833)^P833-1</f>
        <v>2.319303198761169E-5</v>
      </c>
      <c r="W833" s="23"/>
      <c r="X833" s="35"/>
    </row>
    <row r="834" spans="15:24" ht="17.100000000000001" customHeight="1">
      <c r="O834" s="12">
        <f t="shared" si="12"/>
        <v>68.416666666666671</v>
      </c>
      <c r="P834" s="13">
        <v>821</v>
      </c>
      <c r="Q834" s="22"/>
      <c r="R834" s="19"/>
      <c r="S834" s="22"/>
      <c r="T834" s="19"/>
      <c r="U834" s="24">
        <v>2.1373715266366888E-2</v>
      </c>
      <c r="V834" s="24">
        <f>(1+U835)^P835/(1+U834)^P834-1</f>
        <v>2.2858180769302905E-5</v>
      </c>
      <c r="W834" s="23"/>
      <c r="X834" s="35"/>
    </row>
    <row r="835" spans="15:24" ht="17.100000000000001" customHeight="1">
      <c r="O835" s="12">
        <f t="shared" si="12"/>
        <v>68.5</v>
      </c>
      <c r="P835" s="13">
        <v>822</v>
      </c>
      <c r="Q835" s="22"/>
      <c r="R835" s="19"/>
      <c r="S835" s="22"/>
      <c r="T835" s="19"/>
      <c r="U835" s="24">
        <v>2.1347465997309634E-2</v>
      </c>
      <c r="V835" s="24">
        <f>(1+U836)^P836/(1+U835)^P835-1</f>
        <v>2.2528163428736647E-5</v>
      </c>
      <c r="W835" s="23"/>
      <c r="X835" s="35"/>
    </row>
    <row r="836" spans="15:24" ht="17.100000000000001" customHeight="1">
      <c r="O836" s="12">
        <f t="shared" si="12"/>
        <v>68.583333333333329</v>
      </c>
      <c r="P836" s="13">
        <v>823</v>
      </c>
      <c r="Q836" s="22"/>
      <c r="R836" s="19"/>
      <c r="S836" s="22"/>
      <c r="T836" s="19"/>
      <c r="U836" s="24">
        <v>2.1321280780099316E-2</v>
      </c>
      <c r="V836" s="24">
        <f>(1+U837)^P837/(1+U836)^P836-1</f>
        <v>2.2202910302526746E-5</v>
      </c>
      <c r="W836" s="23"/>
      <c r="X836" s="35"/>
    </row>
    <row r="837" spans="15:24" ht="17.100000000000001" customHeight="1">
      <c r="O837" s="12">
        <f t="shared" si="12"/>
        <v>68.666666666666671</v>
      </c>
      <c r="P837" s="13">
        <v>824</v>
      </c>
      <c r="Q837" s="22"/>
      <c r="R837" s="19"/>
      <c r="S837" s="22"/>
      <c r="T837" s="19"/>
      <c r="U837" s="24">
        <v>2.1295159385012141E-2</v>
      </c>
      <c r="V837" s="24">
        <f>(1+U838)^P838/(1+U837)^P837-1</f>
        <v>2.1882352200464084E-5</v>
      </c>
      <c r="W837" s="23"/>
      <c r="X837" s="35"/>
    </row>
    <row r="838" spans="15:24" ht="17.100000000000001" customHeight="1">
      <c r="O838" s="12">
        <f t="shared" si="12"/>
        <v>68.75</v>
      </c>
      <c r="P838" s="13">
        <v>825</v>
      </c>
      <c r="Q838" s="22"/>
      <c r="R838" s="19"/>
      <c r="S838" s="22"/>
      <c r="T838" s="19"/>
      <c r="U838" s="24">
        <v>2.1269101583363925E-2</v>
      </c>
      <c r="V838" s="24">
        <f>(1+U839)^P839/(1+U838)^P838-1</f>
        <v>2.1566422036212174E-5</v>
      </c>
      <c r="W838" s="23"/>
      <c r="X838" s="35"/>
    </row>
    <row r="839" spans="15:24" ht="17.100000000000001" customHeight="1">
      <c r="O839" s="12">
        <f t="shared" si="12"/>
        <v>68.833333333333329</v>
      </c>
      <c r="P839" s="13">
        <v>826</v>
      </c>
      <c r="Q839" s="22"/>
      <c r="R839" s="19"/>
      <c r="S839" s="22"/>
      <c r="T839" s="19"/>
      <c r="U839" s="24">
        <v>2.124310714750588E-2</v>
      </c>
      <c r="V839" s="24">
        <f>(1+U840)^P840/(1+U839)^P839-1</f>
        <v>2.1255052351953907E-5</v>
      </c>
      <c r="W839" s="23"/>
      <c r="X839" s="35"/>
    </row>
    <row r="840" spans="15:24" ht="17.100000000000001" customHeight="1">
      <c r="O840" s="12">
        <f t="shared" si="12"/>
        <v>68.916666666666671</v>
      </c>
      <c r="P840" s="13">
        <v>827</v>
      </c>
      <c r="Q840" s="22"/>
      <c r="R840" s="19"/>
      <c r="S840" s="22"/>
      <c r="T840" s="19"/>
      <c r="U840" s="24">
        <v>2.1217175850818393E-2</v>
      </c>
      <c r="V840" s="24">
        <f>(1+U841)^P841/(1+U840)^P840-1</f>
        <v>2.0948178055313349E-5</v>
      </c>
      <c r="W840" s="23"/>
      <c r="X840" s="35"/>
    </row>
    <row r="841" spans="15:24" ht="17.100000000000001" customHeight="1">
      <c r="O841" s="12">
        <f t="shared" si="12"/>
        <v>69</v>
      </c>
      <c r="P841" s="13">
        <v>828</v>
      </c>
      <c r="Q841" s="22"/>
      <c r="R841" s="19"/>
      <c r="S841" s="22"/>
      <c r="T841" s="19"/>
      <c r="U841" s="24">
        <v>2.1191307467707032E-2</v>
      </c>
      <c r="V841" s="24">
        <f>(1+U842)^P842/(1+U841)^P841-1</f>
        <v>2.0645733319391013E-5</v>
      </c>
      <c r="W841" s="23"/>
      <c r="X841" s="35"/>
    </row>
    <row r="842" spans="15:24" ht="17.100000000000001" customHeight="1">
      <c r="O842" s="12">
        <f t="shared" si="12"/>
        <v>69.083333333333329</v>
      </c>
      <c r="P842" s="13">
        <v>829</v>
      </c>
      <c r="Q842" s="22"/>
      <c r="R842" s="19"/>
      <c r="S842" s="22"/>
      <c r="T842" s="19"/>
      <c r="U842" s="24">
        <v>2.1165501773596107E-2</v>
      </c>
      <c r="V842" s="24">
        <f>(1+U843)^P843/(1+U842)^P842-1</f>
        <v>2.0347654925201297E-5</v>
      </c>
      <c r="W842" s="23"/>
      <c r="X842" s="35"/>
    </row>
    <row r="843" spans="15:24" ht="17.100000000000001" customHeight="1">
      <c r="O843" s="12">
        <f t="shared" si="12"/>
        <v>69.166666666666671</v>
      </c>
      <c r="P843" s="13">
        <v>830</v>
      </c>
      <c r="Q843" s="22"/>
      <c r="R843" s="19"/>
      <c r="S843" s="22"/>
      <c r="T843" s="19"/>
      <c r="U843" s="24">
        <v>2.1139758544925336E-2</v>
      </c>
      <c r="V843" s="24">
        <f>(1+U844)^P844/(1+U843)^P843-1</f>
        <v>2.0053880029680116E-5</v>
      </c>
      <c r="W843" s="23"/>
      <c r="X843" s="35"/>
    </row>
    <row r="844" spans="15:24" ht="17.100000000000001" customHeight="1">
      <c r="O844" s="12">
        <f t="shared" si="12"/>
        <v>69.25</v>
      </c>
      <c r="P844" s="13">
        <v>831</v>
      </c>
      <c r="Q844" s="22"/>
      <c r="R844" s="19"/>
      <c r="S844" s="22"/>
      <c r="T844" s="19"/>
      <c r="U844" s="24">
        <v>2.1114077559143629E-2</v>
      </c>
      <c r="V844" s="24">
        <f>(1+U845)^P845/(1+U844)^P844-1</f>
        <v>1.9764345912998138E-5</v>
      </c>
      <c r="W844" s="23"/>
      <c r="X844" s="35"/>
    </row>
    <row r="845" spans="15:24" ht="17.100000000000001" customHeight="1">
      <c r="O845" s="12">
        <f t="shared" si="12"/>
        <v>69.333333333333329</v>
      </c>
      <c r="P845" s="13">
        <v>832</v>
      </c>
      <c r="Q845" s="22"/>
      <c r="R845" s="19"/>
      <c r="S845" s="22"/>
      <c r="T845" s="19"/>
      <c r="U845" s="24">
        <v>2.1088458594704207E-2</v>
      </c>
      <c r="V845" s="24">
        <f>(1+U846)^P846/(1+U845)^P845-1</f>
        <v>1.9478991236443477E-5</v>
      </c>
      <c r="W845" s="23"/>
      <c r="X845" s="35"/>
    </row>
    <row r="846" spans="15:24" ht="17.100000000000001" customHeight="1">
      <c r="O846" s="12">
        <f t="shared" ref="O846:O909" si="13">P846/12</f>
        <v>69.416666666666671</v>
      </c>
      <c r="P846" s="13">
        <v>833</v>
      </c>
      <c r="Q846" s="22"/>
      <c r="R846" s="19"/>
      <c r="S846" s="22"/>
      <c r="T846" s="19"/>
      <c r="U846" s="24">
        <v>2.1062901431059489E-2</v>
      </c>
      <c r="V846" s="24">
        <f>(1+U847)^P847/(1+U846)^P846-1</f>
        <v>1.9197756560007662E-5</v>
      </c>
      <c r="W846" s="23"/>
      <c r="X846" s="35"/>
    </row>
    <row r="847" spans="15:24" ht="17.100000000000001" customHeight="1">
      <c r="O847" s="12">
        <f t="shared" si="13"/>
        <v>69.5</v>
      </c>
      <c r="P847" s="13">
        <v>834</v>
      </c>
      <c r="Q847" s="22"/>
      <c r="R847" s="19"/>
      <c r="S847" s="22"/>
      <c r="T847" s="19"/>
      <c r="U847" s="24">
        <v>2.103740584865732E-2</v>
      </c>
      <c r="V847" s="24">
        <f>(1+U848)^P848/(1+U847)^P847-1</f>
        <v>1.8920581752901455E-5</v>
      </c>
      <c r="W847" s="23"/>
      <c r="X847" s="35"/>
    </row>
    <row r="848" spans="15:24" ht="17.100000000000001" customHeight="1">
      <c r="O848" s="12">
        <f t="shared" si="13"/>
        <v>69.583333333333329</v>
      </c>
      <c r="P848" s="13">
        <v>835</v>
      </c>
      <c r="Q848" s="22"/>
      <c r="R848" s="19"/>
      <c r="S848" s="22"/>
      <c r="T848" s="19"/>
      <c r="U848" s="24">
        <v>2.1011971628934534E-2</v>
      </c>
      <c r="V848" s="24">
        <f>(1+U849)^P849/(1+U848)^P848-1</f>
        <v>1.8647408267069565E-5</v>
      </c>
      <c r="W848" s="23"/>
      <c r="X848" s="35"/>
    </row>
    <row r="849" spans="15:24" ht="17.100000000000001" customHeight="1">
      <c r="O849" s="12">
        <f t="shared" si="13"/>
        <v>69.666666666666671</v>
      </c>
      <c r="P849" s="13">
        <v>836</v>
      </c>
      <c r="Q849" s="22"/>
      <c r="R849" s="19"/>
      <c r="S849" s="22"/>
      <c r="T849" s="19"/>
      <c r="U849" s="24">
        <v>2.0986598554312508E-2</v>
      </c>
      <c r="V849" s="24">
        <f>(1+U850)^P850/(1+U849)^P849-1</f>
        <v>1.8378178585853888E-5</v>
      </c>
      <c r="W849" s="23"/>
      <c r="X849" s="35"/>
    </row>
    <row r="850" spans="15:24" ht="17.100000000000001" customHeight="1">
      <c r="O850" s="12">
        <f t="shared" si="13"/>
        <v>69.75</v>
      </c>
      <c r="P850" s="13">
        <v>837</v>
      </c>
      <c r="Q850" s="22"/>
      <c r="R850" s="19"/>
      <c r="S850" s="22"/>
      <c r="T850" s="19"/>
      <c r="U850" s="24">
        <v>2.0961286408192725E-2</v>
      </c>
      <c r="V850" s="24">
        <f>(1+U851)^P851/(1+U850)^P850-1</f>
        <v>1.8112835601380439E-5</v>
      </c>
      <c r="W850" s="23"/>
      <c r="X850" s="35"/>
    </row>
    <row r="851" spans="15:24" ht="17.100000000000001" customHeight="1">
      <c r="O851" s="12">
        <f t="shared" si="13"/>
        <v>69.833333333333329</v>
      </c>
      <c r="P851" s="13">
        <v>838</v>
      </c>
      <c r="Q851" s="22"/>
      <c r="R851" s="19"/>
      <c r="S851" s="22"/>
      <c r="T851" s="19"/>
      <c r="U851" s="24">
        <v>2.0936034974951445E-2</v>
      </c>
      <c r="V851" s="24">
        <f>(1+U852)^P852/(1+U851)^P851-1</f>
        <v>1.7851323277806586E-5</v>
      </c>
      <c r="W851" s="23"/>
      <c r="X851" s="35"/>
    </row>
    <row r="852" spans="15:24" ht="17.100000000000001" customHeight="1">
      <c r="O852" s="12">
        <f t="shared" si="13"/>
        <v>69.916666666666671</v>
      </c>
      <c r="P852" s="13">
        <v>839</v>
      </c>
      <c r="Q852" s="22"/>
      <c r="R852" s="19"/>
      <c r="S852" s="22"/>
      <c r="T852" s="19"/>
      <c r="U852" s="24">
        <v>2.0910844039934817E-2</v>
      </c>
      <c r="V852" s="24">
        <f>(1+U853)^P853/(1+U852)^P852-1</f>
        <v>1.7593586378428228E-5</v>
      </c>
      <c r="W852" s="23"/>
      <c r="X852" s="35"/>
    </row>
    <row r="853" spans="15:24" ht="17.100000000000001" customHeight="1">
      <c r="O853" s="12">
        <f t="shared" si="13"/>
        <v>70</v>
      </c>
      <c r="P853" s="13">
        <v>840</v>
      </c>
      <c r="Q853" s="22"/>
      <c r="R853" s="19"/>
      <c r="S853" s="22"/>
      <c r="T853" s="19"/>
      <c r="U853" s="24">
        <v>2.0885713389454219E-2</v>
      </c>
      <c r="V853" s="24">
        <f>(1+U854)^P854/(1+U853)^P853-1</f>
        <v>1.7339569968299884E-5</v>
      </c>
      <c r="W853" s="23"/>
      <c r="X853" s="35"/>
    </row>
    <row r="854" spans="15:24" ht="17.100000000000001" customHeight="1">
      <c r="O854" s="12">
        <f t="shared" si="13"/>
        <v>70.083333333333329</v>
      </c>
      <c r="P854" s="13">
        <v>841</v>
      </c>
      <c r="Q854" s="22"/>
      <c r="R854" s="19"/>
      <c r="S854" s="22"/>
      <c r="T854" s="19"/>
      <c r="U854" s="24">
        <v>2.0860642810781149E-2</v>
      </c>
      <c r="V854" s="24">
        <f>(1+U855)^P855/(1+U854)^P854-1</f>
        <v>1.7089221335364613E-5</v>
      </c>
      <c r="W854" s="23"/>
      <c r="X854" s="35"/>
    </row>
    <row r="855" spans="15:24" ht="17.100000000000001" customHeight="1">
      <c r="O855" s="12">
        <f t="shared" si="13"/>
        <v>70.166666666666671</v>
      </c>
      <c r="P855" s="13">
        <v>842</v>
      </c>
      <c r="Q855" s="22"/>
      <c r="R855" s="19"/>
      <c r="S855" s="22"/>
      <c r="T855" s="19"/>
      <c r="U855" s="24">
        <v>2.0835632092143452E-2</v>
      </c>
      <c r="V855" s="24">
        <f>(1+U856)^P856/(1+U855)^P855-1</f>
        <v>1.6842486312951266E-5</v>
      </c>
      <c r="W855" s="23"/>
      <c r="X855" s="35"/>
    </row>
    <row r="856" spans="15:24" ht="17.100000000000001" customHeight="1">
      <c r="O856" s="12">
        <f t="shared" si="13"/>
        <v>70.25</v>
      </c>
      <c r="P856" s="13">
        <v>843</v>
      </c>
      <c r="Q856" s="22"/>
      <c r="R856" s="19"/>
      <c r="S856" s="22"/>
      <c r="T856" s="19"/>
      <c r="U856" s="24">
        <v>2.0810681022718436E-2</v>
      </c>
      <c r="V856" s="24">
        <f>(1+U857)^P857/(1+U856)^P856-1</f>
        <v>1.6599313902743162E-5</v>
      </c>
      <c r="W856" s="23"/>
      <c r="X856" s="35"/>
    </row>
    <row r="857" spans="15:24" ht="17.100000000000001" customHeight="1">
      <c r="O857" s="12">
        <f t="shared" si="13"/>
        <v>70.333333333333329</v>
      </c>
      <c r="P857" s="13">
        <v>844</v>
      </c>
      <c r="Q857" s="22"/>
      <c r="R857" s="19"/>
      <c r="S857" s="22"/>
      <c r="T857" s="19"/>
      <c r="U857" s="24">
        <v>2.0785789392630871E-2</v>
      </c>
      <c r="V857" s="24">
        <f>(1+U858)^P858/(1+U857)^P857-1</f>
        <v>1.6359651531239194E-5</v>
      </c>
      <c r="W857" s="23"/>
      <c r="X857" s="35"/>
    </row>
    <row r="858" spans="15:24" ht="17.100000000000001" customHeight="1">
      <c r="O858" s="12">
        <f t="shared" si="13"/>
        <v>70.416666666666671</v>
      </c>
      <c r="P858" s="13">
        <v>845</v>
      </c>
      <c r="Q858" s="22"/>
      <c r="R858" s="19"/>
      <c r="S858" s="22"/>
      <c r="T858" s="19"/>
      <c r="U858" s="24">
        <v>2.0760956992945223E-2</v>
      </c>
      <c r="V858" s="24">
        <f>(1+U859)^P859/(1+U858)^P858-1</f>
        <v>1.6123449614768859E-5</v>
      </c>
      <c r="W858" s="23"/>
      <c r="X858" s="35"/>
    </row>
    <row r="859" spans="15:24" ht="17.100000000000001" customHeight="1">
      <c r="O859" s="12">
        <f t="shared" si="13"/>
        <v>70.5</v>
      </c>
      <c r="P859" s="13">
        <v>846</v>
      </c>
      <c r="Q859" s="22"/>
      <c r="R859" s="19"/>
      <c r="S859" s="22"/>
      <c r="T859" s="19"/>
      <c r="U859" s="24">
        <v>2.0736183615663872E-2</v>
      </c>
      <c r="V859" s="24">
        <f>(1+U860)^P860/(1+U859)^P859-1</f>
        <v>1.5890657729888957E-5</v>
      </c>
      <c r="W859" s="23"/>
      <c r="X859" s="35"/>
    </row>
    <row r="860" spans="15:24" ht="17.100000000000001" customHeight="1">
      <c r="O860" s="12">
        <f t="shared" si="13"/>
        <v>70.583333333333329</v>
      </c>
      <c r="P860" s="13">
        <v>847</v>
      </c>
      <c r="Q860" s="22"/>
      <c r="R860" s="19"/>
      <c r="S860" s="22"/>
      <c r="T860" s="19"/>
      <c r="U860" s="24">
        <v>2.0711469053720455E-2</v>
      </c>
      <c r="V860" s="24">
        <f>(1+U861)^P861/(1+U860)^P860-1</f>
        <v>1.5661226238972148E-5</v>
      </c>
      <c r="W860" s="23"/>
      <c r="X860" s="35"/>
    </row>
    <row r="861" spans="15:24" ht="17.100000000000001" customHeight="1">
      <c r="O861" s="12">
        <f t="shared" si="13"/>
        <v>70.666666666666671</v>
      </c>
      <c r="P861" s="13">
        <v>848</v>
      </c>
      <c r="Q861" s="22"/>
      <c r="R861" s="19"/>
      <c r="S861" s="22"/>
      <c r="T861" s="19"/>
      <c r="U861" s="24">
        <v>2.0686813100975421E-2</v>
      </c>
      <c r="V861" s="24">
        <f>(1+U862)^P862/(1+U861)^P861-1</f>
        <v>1.5435107389771829E-5</v>
      </c>
      <c r="W861" s="23"/>
      <c r="X861" s="35"/>
    </row>
    <row r="862" spans="15:24" ht="17.100000000000001" customHeight="1">
      <c r="O862" s="12">
        <f t="shared" si="13"/>
        <v>70.75</v>
      </c>
      <c r="P862" s="13">
        <v>849</v>
      </c>
      <c r="Q862" s="22"/>
      <c r="R862" s="19"/>
      <c r="S862" s="22"/>
      <c r="T862" s="19"/>
      <c r="U862" s="24">
        <v>2.0662215552212482E-2</v>
      </c>
      <c r="V862" s="24">
        <f>(1+U863)^P863/(1+U862)^P862-1</f>
        <v>1.5212252808094462E-5</v>
      </c>
      <c r="W862" s="23"/>
      <c r="X862" s="35"/>
    </row>
    <row r="863" spans="15:24" ht="17.100000000000001" customHeight="1">
      <c r="O863" s="12">
        <f t="shared" si="13"/>
        <v>70.833333333333329</v>
      </c>
      <c r="P863" s="13">
        <v>850</v>
      </c>
      <c r="Q863" s="22"/>
      <c r="R863" s="19"/>
      <c r="S863" s="22"/>
      <c r="T863" s="19"/>
      <c r="U863" s="24">
        <v>2.0637676203132393E-2</v>
      </c>
      <c r="V863" s="24">
        <f>(1+U864)^P864/(1+U863)^P863-1</f>
        <v>1.4992615812170484E-5</v>
      </c>
      <c r="W863" s="23"/>
      <c r="X863" s="35"/>
    </row>
    <row r="864" spans="15:24" ht="17.100000000000001" customHeight="1">
      <c r="O864" s="12">
        <f t="shared" si="13"/>
        <v>70.916666666666671</v>
      </c>
      <c r="P864" s="13">
        <v>851</v>
      </c>
      <c r="Q864" s="22"/>
      <c r="R864" s="19"/>
      <c r="S864" s="22"/>
      <c r="T864" s="19"/>
      <c r="U864" s="24">
        <v>2.0613194850350069E-2</v>
      </c>
      <c r="V864" s="24">
        <f>(1+U865)^P865/(1+U864)^P864-1</f>
        <v>1.4776149359185808E-5</v>
      </c>
      <c r="W864" s="23"/>
      <c r="X864" s="35"/>
    </row>
    <row r="865" spans="15:24" ht="17.100000000000001" customHeight="1">
      <c r="O865" s="12">
        <f t="shared" si="13"/>
        <v>71</v>
      </c>
      <c r="P865" s="13">
        <v>852</v>
      </c>
      <c r="Q865" s="22"/>
      <c r="R865" s="19"/>
      <c r="S865" s="22"/>
      <c r="T865" s="19"/>
      <c r="U865" s="24">
        <v>2.0588771291388142E-2</v>
      </c>
      <c r="V865" s="24">
        <f>(1+U866)^P866/(1+U865)^P865-1</f>
        <v>1.4562808582807563E-5</v>
      </c>
      <c r="W865" s="23"/>
      <c r="X865" s="35"/>
    </row>
    <row r="866" spans="15:24" ht="17.100000000000001" customHeight="1">
      <c r="O866" s="12">
        <f t="shared" si="13"/>
        <v>71.083333333333329</v>
      </c>
      <c r="P866" s="13">
        <v>853</v>
      </c>
      <c r="Q866" s="22"/>
      <c r="R866" s="19"/>
      <c r="S866" s="22"/>
      <c r="T866" s="19"/>
      <c r="U866" s="24">
        <v>2.0564405324674295E-2</v>
      </c>
      <c r="V866" s="24">
        <f>(1+U867)^P867/(1+U866)^P866-1</f>
        <v>1.435254734438729E-5</v>
      </c>
      <c r="W866" s="23"/>
      <c r="X866" s="35"/>
    </row>
    <row r="867" spans="15:24" ht="17.100000000000001" customHeight="1">
      <c r="O867" s="12">
        <f t="shared" si="13"/>
        <v>71.166666666666671</v>
      </c>
      <c r="P867" s="13">
        <v>854</v>
      </c>
      <c r="Q867" s="22"/>
      <c r="R867" s="19"/>
      <c r="S867" s="22"/>
      <c r="T867" s="19"/>
      <c r="U867" s="24">
        <v>2.0540096749534831E-2</v>
      </c>
      <c r="V867" s="24">
        <f>(1+U868)^P868/(1+U867)^P867-1</f>
        <v>1.4145321776570796E-5</v>
      </c>
      <c r="W867" s="23"/>
      <c r="X867" s="35"/>
    </row>
    <row r="868" spans="15:24" ht="17.100000000000001" customHeight="1">
      <c r="O868" s="12">
        <f t="shared" si="13"/>
        <v>71.25</v>
      </c>
      <c r="P868" s="13">
        <v>855</v>
      </c>
      <c r="Q868" s="22"/>
      <c r="R868" s="19"/>
      <c r="S868" s="22"/>
      <c r="T868" s="19"/>
      <c r="U868" s="24">
        <v>2.0515845366191554E-2</v>
      </c>
      <c r="V868" s="24">
        <f>(1+U869)^P869/(1+U868)^P868-1</f>
        <v>1.3941088237823251E-5</v>
      </c>
      <c r="W868" s="23"/>
      <c r="X868" s="35"/>
    </row>
    <row r="869" spans="15:24" ht="17.100000000000001" customHeight="1">
      <c r="O869" s="12">
        <f t="shared" si="13"/>
        <v>71.333333333333329</v>
      </c>
      <c r="P869" s="13">
        <v>856</v>
      </c>
      <c r="Q869" s="22"/>
      <c r="R869" s="19"/>
      <c r="S869" s="22"/>
      <c r="T869" s="19"/>
      <c r="U869" s="24">
        <v>2.0491650975756892E-2</v>
      </c>
      <c r="V869" s="24">
        <f>(1+U870)^P870/(1+U869)^P869-1</f>
        <v>1.3739802929846334E-5</v>
      </c>
      <c r="W869" s="23"/>
      <c r="X869" s="35"/>
    </row>
    <row r="870" spans="15:24" ht="17.100000000000001" customHeight="1">
      <c r="O870" s="12">
        <f t="shared" si="13"/>
        <v>71.416666666666671</v>
      </c>
      <c r="P870" s="13">
        <v>857</v>
      </c>
      <c r="Q870" s="22"/>
      <c r="R870" s="19"/>
      <c r="S870" s="22"/>
      <c r="T870" s="19"/>
      <c r="U870" s="24">
        <v>2.0467513380228786E-2</v>
      </c>
      <c r="V870" s="24">
        <f>(1+U871)^P871/(1+U870)^P870-1</f>
        <v>1.3541423842466926E-5</v>
      </c>
      <c r="W870" s="23"/>
      <c r="X870" s="35"/>
    </row>
    <row r="871" spans="15:24" ht="17.100000000000001" customHeight="1">
      <c r="O871" s="12">
        <f t="shared" si="13"/>
        <v>71.5</v>
      </c>
      <c r="P871" s="13">
        <v>858</v>
      </c>
      <c r="Q871" s="22"/>
      <c r="R871" s="19"/>
      <c r="S871" s="22"/>
      <c r="T871" s="19"/>
      <c r="U871" s="24">
        <v>2.0443432382487137E-2</v>
      </c>
      <c r="V871" s="24">
        <f>(1+U872)^P872/(1+U871)^P871-1</f>
        <v>1.3345908777218085E-5</v>
      </c>
      <c r="W871" s="23"/>
      <c r="X871" s="35"/>
    </row>
    <row r="872" spans="15:24" ht="17.100000000000001" customHeight="1">
      <c r="O872" s="12">
        <f t="shared" si="13"/>
        <v>71.583333333333329</v>
      </c>
      <c r="P872" s="13">
        <v>859</v>
      </c>
      <c r="Q872" s="22"/>
      <c r="R872" s="19"/>
      <c r="S872" s="22"/>
      <c r="T872" s="19"/>
      <c r="U872" s="24">
        <v>2.0419407786288923E-2</v>
      </c>
      <c r="V872" s="24">
        <f>(1+U873)^P873/(1+U872)^P872-1</f>
        <v>1.3153216222638875E-5</v>
      </c>
      <c r="W872" s="23"/>
      <c r="X872" s="35"/>
    </row>
    <row r="873" spans="15:24" ht="17.100000000000001" customHeight="1">
      <c r="O873" s="12">
        <f t="shared" si="13"/>
        <v>71.666666666666671</v>
      </c>
      <c r="P873" s="13">
        <v>860</v>
      </c>
      <c r="Q873" s="22"/>
      <c r="R873" s="19"/>
      <c r="S873" s="22"/>
      <c r="T873" s="19"/>
      <c r="U873" s="24">
        <v>2.0395439396263093E-2</v>
      </c>
      <c r="V873" s="24">
        <f>(1+U874)^P874/(1+U873)^P873-1</f>
        <v>1.2963306028401789E-5</v>
      </c>
      <c r="W873" s="23"/>
      <c r="X873" s="35"/>
    </row>
    <row r="874" spans="15:24" ht="17.100000000000001" customHeight="1">
      <c r="O874" s="12">
        <f t="shared" si="13"/>
        <v>71.75</v>
      </c>
      <c r="P874" s="13">
        <v>861</v>
      </c>
      <c r="Q874" s="22"/>
      <c r="R874" s="19"/>
      <c r="S874" s="22"/>
      <c r="T874" s="19"/>
      <c r="U874" s="24">
        <v>2.037152701790812E-2</v>
      </c>
      <c r="V874" s="24">
        <f>(1+U875)^P875/(1+U874)^P874-1</f>
        <v>1.2776137399361787E-5</v>
      </c>
      <c r="W874" s="23"/>
      <c r="X874" s="35"/>
    </row>
    <row r="875" spans="15:24" ht="17.100000000000001" customHeight="1">
      <c r="O875" s="12">
        <f t="shared" si="13"/>
        <v>71.833333333333329</v>
      </c>
      <c r="P875" s="13">
        <v>862</v>
      </c>
      <c r="Q875" s="22"/>
      <c r="R875" s="19"/>
      <c r="S875" s="22"/>
      <c r="T875" s="19"/>
      <c r="U875" s="24">
        <v>2.0347670457585121E-2</v>
      </c>
      <c r="V875" s="24">
        <f>(1+U876)^P876/(1+U875)^P875-1</f>
        <v>1.2591670891737294E-5</v>
      </c>
      <c r="W875" s="23"/>
      <c r="X875" s="35"/>
    </row>
    <row r="876" spans="15:24" ht="17.100000000000001" customHeight="1">
      <c r="O876" s="12">
        <f t="shared" si="13"/>
        <v>71.916666666666671</v>
      </c>
      <c r="P876" s="13">
        <v>863</v>
      </c>
      <c r="Q876" s="22"/>
      <c r="R876" s="19"/>
      <c r="S876" s="22"/>
      <c r="T876" s="19"/>
      <c r="U876" s="24">
        <v>2.0323869522515192E-2</v>
      </c>
      <c r="V876" s="24">
        <f>(1+U877)^P877/(1+U876)^P876-1</f>
        <v>1.2409867646390182E-5</v>
      </c>
      <c r="W876" s="23"/>
      <c r="X876" s="35"/>
    </row>
    <row r="877" spans="15:24" ht="17.100000000000001" customHeight="1">
      <c r="O877" s="12">
        <f t="shared" si="13"/>
        <v>72</v>
      </c>
      <c r="P877" s="13">
        <v>864</v>
      </c>
      <c r="Q877" s="22"/>
      <c r="R877" s="19"/>
      <c r="S877" s="22"/>
      <c r="T877" s="19"/>
      <c r="U877" s="24">
        <v>2.0300124020774524E-2</v>
      </c>
      <c r="V877" s="24">
        <f>(1+U878)^P878/(1+U877)^P877-1</f>
        <v>1.2230689322212385E-5</v>
      </c>
      <c r="W877" s="23"/>
      <c r="X877" s="35"/>
    </row>
    <row r="878" spans="15:24" ht="17.100000000000001" customHeight="1">
      <c r="O878" s="12">
        <f t="shared" si="13"/>
        <v>72.083333333333329</v>
      </c>
      <c r="P878" s="13">
        <v>865</v>
      </c>
      <c r="Q878" s="22"/>
      <c r="R878" s="19"/>
      <c r="S878" s="22"/>
      <c r="T878" s="19"/>
      <c r="U878" s="24">
        <v>2.0276433761290402E-2</v>
      </c>
      <c r="V878" s="24">
        <f>(1+U879)^P879/(1+U878)^P878-1</f>
        <v>1.2054097810354492E-5</v>
      </c>
      <c r="W878" s="23"/>
      <c r="X878" s="35"/>
    </row>
    <row r="879" spans="15:24" ht="17.100000000000001" customHeight="1">
      <c r="O879" s="12">
        <f t="shared" si="13"/>
        <v>72.166666666666671</v>
      </c>
      <c r="P879" s="13">
        <v>866</v>
      </c>
      <c r="Q879" s="22"/>
      <c r="R879" s="19"/>
      <c r="S879" s="22"/>
      <c r="T879" s="19"/>
      <c r="U879" s="24">
        <v>2.0252798553836326E-2</v>
      </c>
      <c r="V879" s="24">
        <f>(1+U880)^P880/(1+U879)^P879-1</f>
        <v>1.1880055974300419E-5</v>
      </c>
      <c r="W879" s="23"/>
      <c r="X879" s="35"/>
    </row>
    <row r="880" spans="15:24" ht="17.100000000000001" customHeight="1">
      <c r="O880" s="12">
        <f t="shared" si="13"/>
        <v>72.25</v>
      </c>
      <c r="P880" s="13">
        <v>867</v>
      </c>
      <c r="Q880" s="22"/>
      <c r="R880" s="19"/>
      <c r="S880" s="22"/>
      <c r="T880" s="19"/>
      <c r="U880" s="24">
        <v>2.0229218209028232E-2</v>
      </c>
      <c r="V880" s="24">
        <f>(1+U881)^P881/(1+U880)^P880-1</f>
        <v>1.17085265347594E-5</v>
      </c>
      <c r="W880" s="23"/>
      <c r="X880" s="35"/>
    </row>
    <row r="881" spans="15:24" ht="17.100000000000001" customHeight="1">
      <c r="O881" s="12">
        <f t="shared" si="13"/>
        <v>72.333333333333329</v>
      </c>
      <c r="P881" s="13">
        <v>868</v>
      </c>
      <c r="Q881" s="22"/>
      <c r="R881" s="19"/>
      <c r="S881" s="22"/>
      <c r="T881" s="19"/>
      <c r="U881" s="24">
        <v>2.0205692538319608E-2</v>
      </c>
      <c r="V881" s="24">
        <f>(1+U882)^P882/(1+U881)^P881-1</f>
        <v>1.1539473869337513E-5</v>
      </c>
      <c r="W881" s="23"/>
      <c r="X881" s="35"/>
    </row>
    <row r="882" spans="15:24" ht="17.100000000000001" customHeight="1">
      <c r="O882" s="12">
        <f t="shared" si="13"/>
        <v>72.416666666666671</v>
      </c>
      <c r="P882" s="13">
        <v>869</v>
      </c>
      <c r="Q882" s="22"/>
      <c r="R882" s="19"/>
      <c r="S882" s="22"/>
      <c r="T882" s="19"/>
      <c r="U882" s="24">
        <v>2.0182221353998386E-2</v>
      </c>
      <c r="V882" s="24">
        <f>(1+U883)^P883/(1+U882)^P882-1</f>
        <v>1.1372861689284974E-5</v>
      </c>
      <c r="W882" s="23"/>
      <c r="X882" s="35"/>
    </row>
    <row r="883" spans="15:24" ht="17.100000000000001" customHeight="1">
      <c r="O883" s="12">
        <f t="shared" si="13"/>
        <v>72.5</v>
      </c>
      <c r="P883" s="13">
        <v>870</v>
      </c>
      <c r="Q883" s="22"/>
      <c r="R883" s="19"/>
      <c r="S883" s="22"/>
      <c r="T883" s="19"/>
      <c r="U883" s="24">
        <v>2.0158804469181169E-2</v>
      </c>
      <c r="V883" s="24">
        <f>(1+U884)^P884/(1+U883)^P883-1</f>
        <v>1.1208655202876727E-5</v>
      </c>
      <c r="W883" s="23"/>
      <c r="X883" s="35"/>
    </row>
    <row r="884" spans="15:24" ht="17.100000000000001" customHeight="1">
      <c r="O884" s="12">
        <f t="shared" si="13"/>
        <v>72.583333333333329</v>
      </c>
      <c r="P884" s="13">
        <v>871</v>
      </c>
      <c r="Q884" s="22"/>
      <c r="R884" s="19"/>
      <c r="S884" s="22"/>
      <c r="T884" s="19"/>
      <c r="U884" s="24">
        <v>2.0135441697810563E-2</v>
      </c>
      <c r="V884" s="24">
        <f>(1+U885)^P885/(1+U884)^P884-1</f>
        <v>1.1046819299087574E-5</v>
      </c>
      <c r="W884" s="23"/>
      <c r="X884" s="35"/>
    </row>
    <row r="885" spans="15:24" ht="17.100000000000001" customHeight="1">
      <c r="O885" s="12">
        <f t="shared" si="13"/>
        <v>72.666666666666671</v>
      </c>
      <c r="P885" s="13">
        <v>872</v>
      </c>
      <c r="Q885" s="22"/>
      <c r="R885" s="19"/>
      <c r="S885" s="22"/>
      <c r="T885" s="19"/>
      <c r="U885" s="24">
        <v>2.0112132854650078E-2</v>
      </c>
      <c r="V885" s="24">
        <f>(1+U886)^P886/(1+U885)^P885-1</f>
        <v>1.0887319982666455E-5</v>
      </c>
      <c r="W885" s="23"/>
      <c r="X885" s="35"/>
    </row>
    <row r="886" spans="15:24" ht="17.100000000000001" customHeight="1">
      <c r="O886" s="12">
        <f t="shared" si="13"/>
        <v>72.75</v>
      </c>
      <c r="P886" s="13">
        <v>873</v>
      </c>
      <c r="Q886" s="22"/>
      <c r="R886" s="19"/>
      <c r="S886" s="22"/>
      <c r="T886" s="19"/>
      <c r="U886" s="24">
        <v>2.0088877755280121E-2</v>
      </c>
      <c r="V886" s="24">
        <f>(1+U887)^P887/(1+U886)^P886-1</f>
        <v>1.0730123360946919E-5</v>
      </c>
      <c r="W886" s="23"/>
      <c r="X886" s="35"/>
    </row>
    <row r="887" spans="15:24" ht="17.100000000000001" customHeight="1">
      <c r="O887" s="12">
        <f t="shared" si="13"/>
        <v>72.833333333333329</v>
      </c>
      <c r="P887" s="13">
        <v>874</v>
      </c>
      <c r="Q887" s="22"/>
      <c r="R887" s="19"/>
      <c r="S887" s="22"/>
      <c r="T887" s="19"/>
      <c r="U887" s="24">
        <v>2.0065676216093786E-2</v>
      </c>
      <c r="V887" s="24">
        <f>(1+U888)^P888/(1+U887)^P887-1</f>
        <v>1.057519664371398E-5</v>
      </c>
      <c r="W887" s="23"/>
      <c r="X887" s="35"/>
    </row>
    <row r="888" spans="15:24" ht="17.100000000000001" customHeight="1">
      <c r="O888" s="12">
        <f t="shared" si="13"/>
        <v>72.916666666666671</v>
      </c>
      <c r="P888" s="13">
        <v>875</v>
      </c>
      <c r="Q888" s="22"/>
      <c r="R888" s="19"/>
      <c r="S888" s="22"/>
      <c r="T888" s="19"/>
      <c r="U888" s="24">
        <v>2.0042528054293518E-2</v>
      </c>
      <c r="V888" s="24">
        <f>(1+U889)^P889/(1+U888)^P888-1</f>
        <v>1.0422506319107683E-5</v>
      </c>
      <c r="W888" s="23"/>
      <c r="X888" s="35"/>
    </row>
    <row r="889" spans="15:24" ht="17.100000000000001" customHeight="1">
      <c r="O889" s="12">
        <f t="shared" si="13"/>
        <v>73</v>
      </c>
      <c r="P889" s="13">
        <v>876</v>
      </c>
      <c r="Q889" s="22"/>
      <c r="R889" s="19"/>
      <c r="S889" s="22"/>
      <c r="T889" s="19"/>
      <c r="U889" s="24">
        <v>2.0019433087885563E-2</v>
      </c>
      <c r="V889" s="24">
        <f>(1+U890)^P890/(1+U889)^P889-1</f>
        <v>1.0272020672497106E-5</v>
      </c>
      <c r="W889" s="23"/>
      <c r="X889" s="35"/>
    </row>
    <row r="890" spans="15:24" ht="17.100000000000001" customHeight="1">
      <c r="O890" s="12">
        <f t="shared" si="13"/>
        <v>73.083333333333329</v>
      </c>
      <c r="P890" s="13">
        <v>877</v>
      </c>
      <c r="Q890" s="22"/>
      <c r="R890" s="19"/>
      <c r="S890" s="22"/>
      <c r="T890" s="19"/>
      <c r="U890" s="24">
        <v>1.9996391135677083E-2</v>
      </c>
      <c r="V890" s="24">
        <f>(1+U891)^P891/(1+U890)^P890-1</f>
        <v>1.0123707802955906E-5</v>
      </c>
      <c r="W890" s="23"/>
      <c r="X890" s="35"/>
    </row>
    <row r="891" spans="15:24" ht="17.100000000000001" customHeight="1">
      <c r="O891" s="12">
        <f t="shared" si="13"/>
        <v>73.166666666666671</v>
      </c>
      <c r="P891" s="13">
        <v>878</v>
      </c>
      <c r="Q891" s="22"/>
      <c r="R891" s="19"/>
      <c r="S891" s="22"/>
      <c r="T891" s="19"/>
      <c r="U891" s="24">
        <v>1.9973402017271935E-2</v>
      </c>
      <c r="V891" s="24">
        <f>(1+U892)^P892/(1+U891)^P891-1</f>
        <v>9.9775359854170631E-6</v>
      </c>
      <c r="W891" s="23"/>
      <c r="X891" s="35"/>
    </row>
    <row r="892" spans="15:24" ht="17.100000000000001" customHeight="1">
      <c r="O892" s="12">
        <f t="shared" si="13"/>
        <v>73.25</v>
      </c>
      <c r="P892" s="13">
        <v>879</v>
      </c>
      <c r="Q892" s="22"/>
      <c r="R892" s="19"/>
      <c r="S892" s="22"/>
      <c r="T892" s="19"/>
      <c r="U892" s="24">
        <v>1.9950465553065788E-2</v>
      </c>
      <c r="V892" s="24">
        <f>(1+U893)^P893/(1+U892)^P892-1</f>
        <v>9.8334748139805583E-6</v>
      </c>
      <c r="W892" s="23"/>
      <c r="X892" s="35"/>
    </row>
    <row r="893" spans="15:24" ht="17.100000000000001" customHeight="1">
      <c r="O893" s="12">
        <f t="shared" si="13"/>
        <v>73.333333333333329</v>
      </c>
      <c r="P893" s="13">
        <v>880</v>
      </c>
      <c r="Q893" s="22"/>
      <c r="R893" s="19"/>
      <c r="S893" s="22"/>
      <c r="T893" s="19"/>
      <c r="U893" s="24">
        <v>1.9927581564243457E-2</v>
      </c>
      <c r="V893" s="24">
        <f>(1+U894)^P894/(1+U893)^P893-1</f>
        <v>9.6914933820357874E-6</v>
      </c>
      <c r="W893" s="23"/>
      <c r="X893" s="35"/>
    </row>
    <row r="894" spans="15:24" ht="17.100000000000001" customHeight="1">
      <c r="O894" s="12">
        <f t="shared" si="13"/>
        <v>73.416666666666671</v>
      </c>
      <c r="P894" s="13">
        <v>881</v>
      </c>
      <c r="Q894" s="22"/>
      <c r="R894" s="19"/>
      <c r="S894" s="22"/>
      <c r="T894" s="19"/>
      <c r="U894" s="24">
        <v>1.9904749872773575E-2</v>
      </c>
      <c r="V894" s="24">
        <f>(1+U895)^P895/(1+U894)^P894-1</f>
        <v>9.5515619693564702E-6</v>
      </c>
      <c r="W894" s="23"/>
      <c r="X894" s="35"/>
    </row>
    <row r="895" spans="15:24" ht="17.100000000000001" customHeight="1">
      <c r="O895" s="12">
        <f t="shared" si="13"/>
        <v>73.5</v>
      </c>
      <c r="P895" s="13">
        <v>882</v>
      </c>
      <c r="Q895" s="22"/>
      <c r="R895" s="19"/>
      <c r="S895" s="22"/>
      <c r="T895" s="19"/>
      <c r="U895" s="24">
        <v>1.9881970301405483E-2</v>
      </c>
      <c r="V895" s="24">
        <f>(1+U896)^P896/(1+U895)^P895-1</f>
        <v>9.4136507908793021E-6</v>
      </c>
      <c r="W895" s="23"/>
      <c r="X895" s="35"/>
    </row>
    <row r="896" spans="15:24" ht="17.100000000000001" customHeight="1">
      <c r="O896" s="12">
        <f t="shared" si="13"/>
        <v>73.583333333333329</v>
      </c>
      <c r="P896" s="13">
        <v>883</v>
      </c>
      <c r="Q896" s="22"/>
      <c r="R896" s="19"/>
      <c r="S896" s="22"/>
      <c r="T896" s="19"/>
      <c r="U896" s="24">
        <v>1.9859242673665012E-2</v>
      </c>
      <c r="V896" s="24">
        <f>(1+U897)^P897/(1+U896)^P896-1</f>
        <v>9.2777307856284352E-6</v>
      </c>
      <c r="W896" s="23"/>
      <c r="X896" s="35"/>
    </row>
    <row r="897" spans="15:24" ht="17.100000000000001" customHeight="1">
      <c r="O897" s="12">
        <f t="shared" si="13"/>
        <v>73.666666666666671</v>
      </c>
      <c r="P897" s="13">
        <v>884</v>
      </c>
      <c r="Q897" s="22"/>
      <c r="R897" s="19"/>
      <c r="S897" s="22"/>
      <c r="T897" s="19"/>
      <c r="U897" s="24">
        <v>1.9836566813850487E-2</v>
      </c>
      <c r="V897" s="24">
        <f>(1+U898)^P898/(1+U897)^P897-1</f>
        <v>9.1437733722443681E-6</v>
      </c>
      <c r="W897" s="23"/>
      <c r="X897" s="35"/>
    </row>
    <row r="898" spans="15:24" ht="17.100000000000001" customHeight="1">
      <c r="O898" s="12">
        <f t="shared" si="13"/>
        <v>73.75</v>
      </c>
      <c r="P898" s="13">
        <v>885</v>
      </c>
      <c r="Q898" s="22"/>
      <c r="R898" s="19"/>
      <c r="S898" s="22"/>
      <c r="T898" s="19"/>
      <c r="U898" s="24">
        <v>1.9813942547028951E-2</v>
      </c>
      <c r="V898" s="24">
        <f>(1+U899)^P899/(1+U898)^P898-1</f>
        <v>9.0117498832142928E-6</v>
      </c>
      <c r="W898" s="23"/>
      <c r="X898" s="35"/>
    </row>
    <row r="899" spans="15:24" ht="17.100000000000001" customHeight="1">
      <c r="O899" s="12">
        <f t="shared" si="13"/>
        <v>73.833333333333329</v>
      </c>
      <c r="P899" s="13">
        <v>886</v>
      </c>
      <c r="Q899" s="22"/>
      <c r="R899" s="19"/>
      <c r="S899" s="22"/>
      <c r="T899" s="19"/>
      <c r="U899" s="24">
        <v>1.9791369699031947E-2</v>
      </c>
      <c r="V899" s="24">
        <f>(1+U900)^P900/(1+U899)^P899-1</f>
        <v>8.8816324683715919E-6</v>
      </c>
      <c r="W899" s="23"/>
      <c r="X899" s="35"/>
    </row>
    <row r="900" spans="15:24" ht="17.100000000000001" customHeight="1">
      <c r="O900" s="12">
        <f t="shared" si="13"/>
        <v>73.916666666666671</v>
      </c>
      <c r="P900" s="13">
        <v>887</v>
      </c>
      <c r="Q900" s="22"/>
      <c r="R900" s="19"/>
      <c r="S900" s="22"/>
      <c r="T900" s="19"/>
      <c r="U900" s="24">
        <v>1.9768848096451963E-2</v>
      </c>
      <c r="V900" s="24">
        <f>(1+U901)^P901/(1+U900)^P900-1</f>
        <v>8.7533935868577828E-6</v>
      </c>
      <c r="W900" s="23"/>
      <c r="X900" s="35"/>
    </row>
    <row r="901" spans="15:24" ht="17.100000000000001" customHeight="1">
      <c r="O901" s="12">
        <f t="shared" si="13"/>
        <v>74</v>
      </c>
      <c r="P901" s="13">
        <v>888</v>
      </c>
      <c r="Q901" s="22"/>
      <c r="R901" s="19"/>
      <c r="S901" s="22"/>
      <c r="T901" s="19"/>
      <c r="U901" s="24">
        <v>1.974637756663844E-2</v>
      </c>
      <c r="V901" s="24">
        <f>(1+U902)^P902/(1+U901)^P901-1</f>
        <v>8.6270065691174125E-6</v>
      </c>
      <c r="W901" s="23"/>
      <c r="X901" s="35"/>
    </row>
    <row r="902" spans="15:24" ht="17.100000000000001" customHeight="1">
      <c r="O902" s="12">
        <f t="shared" si="13"/>
        <v>74.083333333333329</v>
      </c>
      <c r="P902" s="13">
        <v>889</v>
      </c>
      <c r="Q902" s="22"/>
      <c r="R902" s="19"/>
      <c r="S902" s="22"/>
      <c r="T902" s="19"/>
      <c r="U902" s="24">
        <v>1.9723957937694214E-2</v>
      </c>
      <c r="V902" s="24">
        <f>(1+U903)^P903/(1+U902)^P902-1</f>
        <v>8.5024439464564949E-6</v>
      </c>
      <c r="W902" s="23"/>
      <c r="X902" s="35"/>
    </row>
    <row r="903" spans="15:24" ht="17.100000000000001" customHeight="1">
      <c r="O903" s="12">
        <f t="shared" si="13"/>
        <v>74.166666666666671</v>
      </c>
      <c r="P903" s="13">
        <v>890</v>
      </c>
      <c r="Q903" s="22"/>
      <c r="R903" s="19"/>
      <c r="S903" s="22"/>
      <c r="T903" s="19"/>
      <c r="U903" s="24">
        <v>1.9701589038470857E-2</v>
      </c>
      <c r="V903" s="24">
        <f>(1+U904)^P904/(1+U903)^P903-1</f>
        <v>8.3796801024771383E-6</v>
      </c>
      <c r="W903" s="23"/>
      <c r="X903" s="35"/>
    </row>
    <row r="904" spans="15:24" ht="17.100000000000001" customHeight="1">
      <c r="O904" s="12">
        <f t="shared" si="13"/>
        <v>74.25</v>
      </c>
      <c r="P904" s="13">
        <v>891</v>
      </c>
      <c r="Q904" s="22"/>
      <c r="R904" s="19"/>
      <c r="S904" s="22"/>
      <c r="T904" s="19"/>
      <c r="U904" s="24">
        <v>1.9679270698566231E-2</v>
      </c>
      <c r="V904" s="24">
        <f>(1+U905)^P905/(1+U904)^P904-1</f>
        <v>8.2586884424529217E-6</v>
      </c>
      <c r="W904" s="23"/>
      <c r="X904" s="35"/>
    </row>
    <row r="905" spans="15:24" ht="17.100000000000001" customHeight="1">
      <c r="O905" s="12">
        <f t="shared" si="13"/>
        <v>74.333333333333329</v>
      </c>
      <c r="P905" s="13">
        <v>892</v>
      </c>
      <c r="Q905" s="22"/>
      <c r="R905" s="19"/>
      <c r="S905" s="22"/>
      <c r="T905" s="19"/>
      <c r="U905" s="24">
        <v>1.9657002748319163E-2</v>
      </c>
      <c r="V905" s="24">
        <f>(1+U906)^P906/(1+U905)^P905-1</f>
        <v>8.1394437394521901E-6</v>
      </c>
      <c r="W905" s="23"/>
      <c r="X905" s="35"/>
    </row>
    <row r="906" spans="15:24" ht="17.100000000000001" customHeight="1">
      <c r="O906" s="12">
        <f t="shared" si="13"/>
        <v>74.416666666666671</v>
      </c>
      <c r="P906" s="13">
        <v>893</v>
      </c>
      <c r="Q906" s="22"/>
      <c r="R906" s="19"/>
      <c r="S906" s="22"/>
      <c r="T906" s="19"/>
      <c r="U906" s="24">
        <v>1.9634785018806999E-2</v>
      </c>
      <c r="V906" s="24">
        <f>(1+U907)^P907/(1+U906)^P906-1</f>
        <v>8.021921043654956E-6</v>
      </c>
      <c r="W906" s="23"/>
      <c r="X906" s="35"/>
    </row>
    <row r="907" spans="15:24" ht="17.100000000000001" customHeight="1">
      <c r="O907" s="12">
        <f t="shared" si="13"/>
        <v>74.5</v>
      </c>
      <c r="P907" s="13">
        <v>894</v>
      </c>
      <c r="Q907" s="22"/>
      <c r="R907" s="19"/>
      <c r="S907" s="22"/>
      <c r="T907" s="19"/>
      <c r="U907" s="24">
        <v>1.9612617341841387E-2</v>
      </c>
      <c r="V907" s="24">
        <f>(1+U908)^P908/(1+U907)^P907-1</f>
        <v>7.9060947093534395E-6</v>
      </c>
      <c r="W907" s="23"/>
      <c r="X907" s="35"/>
    </row>
    <row r="908" spans="15:24" ht="17.100000000000001" customHeight="1">
      <c r="O908" s="12">
        <f t="shared" si="13"/>
        <v>74.583333333333329</v>
      </c>
      <c r="P908" s="13">
        <v>895</v>
      </c>
      <c r="Q908" s="22"/>
      <c r="R908" s="19"/>
      <c r="S908" s="22"/>
      <c r="T908" s="19"/>
      <c r="U908" s="24">
        <v>1.9590499549963614E-2</v>
      </c>
      <c r="V908" s="24">
        <f>(1+U909)^P909/(1+U908)^P908-1</f>
        <v>7.7919408791871092E-6</v>
      </c>
      <c r="W908" s="23"/>
      <c r="X908" s="35"/>
    </row>
    <row r="909" spans="15:24" ht="17.100000000000001" customHeight="1">
      <c r="O909" s="12">
        <f t="shared" si="13"/>
        <v>74.666666666666671</v>
      </c>
      <c r="P909" s="13">
        <v>896</v>
      </c>
      <c r="Q909" s="22"/>
      <c r="R909" s="19"/>
      <c r="S909" s="22"/>
      <c r="T909" s="19"/>
      <c r="U909" s="24">
        <v>1.9568431476442827E-2</v>
      </c>
      <c r="V909" s="24">
        <f>(1+U910)^P910/(1+U909)^P909-1</f>
        <v>7.6794350309938864E-6</v>
      </c>
      <c r="W909" s="23"/>
      <c r="X909" s="35"/>
    </row>
    <row r="910" spans="15:24" ht="17.100000000000001" customHeight="1">
      <c r="O910" s="12">
        <f t="shared" ref="O910:O973" si="14">P910/12</f>
        <v>74.75</v>
      </c>
      <c r="P910" s="13">
        <v>897</v>
      </c>
      <c r="Q910" s="22"/>
      <c r="R910" s="19"/>
      <c r="S910" s="22"/>
      <c r="T910" s="19"/>
      <c r="U910" s="24">
        <v>1.9546412955270487E-2</v>
      </c>
      <c r="V910" s="24">
        <f>(1+U911)^P911/(1+U910)^P910-1</f>
        <v>7.5685538778458294E-6</v>
      </c>
      <c r="W910" s="23"/>
      <c r="X910" s="35"/>
    </row>
    <row r="911" spans="15:24" ht="17.100000000000001" customHeight="1">
      <c r="O911" s="12">
        <f t="shared" si="14"/>
        <v>74.833333333333329</v>
      </c>
      <c r="P911" s="13">
        <v>898</v>
      </c>
      <c r="Q911" s="22"/>
      <c r="R911" s="19"/>
      <c r="S911" s="22"/>
      <c r="T911" s="19"/>
      <c r="U911" s="24">
        <v>1.9524443821158144E-2</v>
      </c>
      <c r="V911" s="24">
        <f>(1+U912)^P912/(1+U911)^P911-1</f>
        <v>7.4592734666811822E-6</v>
      </c>
      <c r="W911" s="23"/>
      <c r="X911" s="35"/>
    </row>
    <row r="912" spans="15:24" ht="17.100000000000001" customHeight="1">
      <c r="O912" s="12">
        <f t="shared" si="14"/>
        <v>74.916666666666671</v>
      </c>
      <c r="P912" s="13">
        <v>899</v>
      </c>
      <c r="Q912" s="22"/>
      <c r="R912" s="19"/>
      <c r="S912" s="22"/>
      <c r="T912" s="19"/>
      <c r="U912" s="24">
        <v>1.9502523909532776E-2</v>
      </c>
      <c r="V912" s="24">
        <f>(1+U913)^P913/(1+U912)^P912-1</f>
        <v>7.351570870284263E-6</v>
      </c>
      <c r="W912" s="23"/>
      <c r="X912" s="35"/>
    </row>
    <row r="913" spans="15:24" ht="17.100000000000001" customHeight="1">
      <c r="O913" s="12">
        <f t="shared" si="14"/>
        <v>75</v>
      </c>
      <c r="P913" s="13">
        <v>900</v>
      </c>
      <c r="Q913" s="22"/>
      <c r="R913" s="19"/>
      <c r="S913" s="22"/>
      <c r="T913" s="19"/>
      <c r="U913" s="24">
        <v>1.9480653056533459E-2</v>
      </c>
      <c r="V913" s="24">
        <f>(1+U914)^P914/(1+U913)^P913-1</f>
        <v>7.2454233379648514E-6</v>
      </c>
      <c r="W913" s="23"/>
      <c r="X913" s="35"/>
    </row>
    <row r="914" spans="15:24" ht="17.100000000000001" customHeight="1">
      <c r="O914" s="12">
        <f t="shared" si="14"/>
        <v>75.083333333333329</v>
      </c>
      <c r="P914" s="13">
        <v>901</v>
      </c>
      <c r="Q914" s="22"/>
      <c r="R914" s="19"/>
      <c r="S914" s="22"/>
      <c r="T914" s="19"/>
      <c r="U914" s="24">
        <v>1.9458831099008034E-2</v>
      </c>
      <c r="V914" s="24">
        <f>(1+U915)^P915/(1+U914)^P914-1</f>
        <v>7.1408082888968494E-6</v>
      </c>
      <c r="W914" s="23"/>
      <c r="X914" s="35"/>
    </row>
    <row r="915" spans="15:24" ht="17.100000000000001" customHeight="1">
      <c r="O915" s="12">
        <f t="shared" si="14"/>
        <v>75.166666666666671</v>
      </c>
      <c r="P915" s="13">
        <v>902</v>
      </c>
      <c r="Q915" s="22"/>
      <c r="R915" s="19"/>
      <c r="S915" s="22"/>
      <c r="T915" s="19"/>
      <c r="U915" s="24">
        <v>1.9437057874509112E-2</v>
      </c>
      <c r="V915" s="24">
        <f>(1+U916)^P916/(1+U915)^P915-1</f>
        <v>7.0377038092761524E-6</v>
      </c>
      <c r="W915" s="23"/>
      <c r="X915" s="35"/>
    </row>
    <row r="916" spans="15:24" ht="17.100000000000001" customHeight="1">
      <c r="O916" s="12">
        <f t="shared" si="14"/>
        <v>75.25</v>
      </c>
      <c r="P916" s="13">
        <v>903</v>
      </c>
      <c r="Q916" s="22"/>
      <c r="R916" s="19"/>
      <c r="S916" s="22"/>
      <c r="T916" s="19"/>
      <c r="U916" s="24">
        <v>1.9415333221290965E-2</v>
      </c>
      <c r="V916" s="24">
        <f>(1+U917)^P917/(1+U916)^P916-1</f>
        <v>6.9360879979551981E-6</v>
      </c>
      <c r="W916" s="23"/>
      <c r="X916" s="35"/>
    </row>
    <row r="917" spans="15:24" ht="17.100000000000001" customHeight="1">
      <c r="O917" s="12">
        <f t="shared" si="14"/>
        <v>75.333333333333329</v>
      </c>
      <c r="P917" s="13">
        <v>904</v>
      </c>
      <c r="Q917" s="22"/>
      <c r="R917" s="19"/>
      <c r="S917" s="22"/>
      <c r="T917" s="19"/>
      <c r="U917" s="24">
        <v>1.9393656978305529E-2</v>
      </c>
      <c r="V917" s="24">
        <f>(1+U918)^P918/(1+U917)^P917-1</f>
        <v>6.8359394358452619E-6</v>
      </c>
      <c r="W917" s="23"/>
      <c r="X917" s="35"/>
    </row>
    <row r="918" spans="15:24" ht="17.100000000000001" customHeight="1">
      <c r="O918" s="12">
        <f t="shared" si="14"/>
        <v>75.416666666666671</v>
      </c>
      <c r="P918" s="13">
        <v>905</v>
      </c>
      <c r="Q918" s="22"/>
      <c r="R918" s="19"/>
      <c r="S918" s="22"/>
      <c r="T918" s="19"/>
      <c r="U918" s="24">
        <v>1.9372028985199075E-2</v>
      </c>
      <c r="V918" s="24">
        <f>(1+U919)^P919/(1+U918)^P918-1</f>
        <v>6.7372364129791862E-6</v>
      </c>
      <c r="W918" s="23"/>
      <c r="X918" s="35"/>
    </row>
    <row r="919" spans="15:24" ht="17.100000000000001" customHeight="1">
      <c r="O919" s="12">
        <f t="shared" si="14"/>
        <v>75.5</v>
      </c>
      <c r="P919" s="13">
        <v>906</v>
      </c>
      <c r="Q919" s="22"/>
      <c r="R919" s="19"/>
      <c r="S919" s="22"/>
      <c r="T919" s="19"/>
      <c r="U919" s="24">
        <v>1.935044908230843E-2</v>
      </c>
      <c r="V919" s="24">
        <f>(1+U920)^P920/(1+U919)^P919-1</f>
        <v>6.6399588836141277E-6</v>
      </c>
      <c r="W919" s="23"/>
      <c r="X919" s="35"/>
    </row>
    <row r="920" spans="15:24" ht="17.100000000000001" customHeight="1">
      <c r="O920" s="12">
        <f t="shared" si="14"/>
        <v>75.583333333333329</v>
      </c>
      <c r="P920" s="13">
        <v>907</v>
      </c>
      <c r="Q920" s="22"/>
      <c r="R920" s="19"/>
      <c r="S920" s="22"/>
      <c r="T920" s="19"/>
      <c r="U920" s="24">
        <v>1.9328917110658095E-2</v>
      </c>
      <c r="V920" s="24">
        <f>(1+U921)^P921/(1+U920)^P920-1</f>
        <v>6.5440856105158929E-6</v>
      </c>
      <c r="W920" s="23"/>
      <c r="X920" s="35"/>
    </row>
    <row r="921" spans="15:24" ht="17.100000000000001" customHeight="1">
      <c r="O921" s="12">
        <f t="shared" si="14"/>
        <v>75.666666666666671</v>
      </c>
      <c r="P921" s="13">
        <v>908</v>
      </c>
      <c r="Q921" s="22"/>
      <c r="R921" s="19"/>
      <c r="S921" s="22"/>
      <c r="T921" s="19"/>
      <c r="U921" s="24">
        <v>1.9307432911956024E-2</v>
      </c>
      <c r="V921" s="24">
        <f>(1+U922)^P922/(1+U921)^P921-1</f>
        <v>6.449597007351926E-6</v>
      </c>
      <c r="W921" s="23"/>
      <c r="X921" s="35"/>
    </row>
    <row r="922" spans="15:24" ht="17.100000000000001" customHeight="1">
      <c r="O922" s="12">
        <f t="shared" si="14"/>
        <v>75.75</v>
      </c>
      <c r="P922" s="13">
        <v>909</v>
      </c>
      <c r="Q922" s="22"/>
      <c r="R922" s="19"/>
      <c r="S922" s="22"/>
      <c r="T922" s="19"/>
      <c r="U922" s="24">
        <v>1.9285996328591182E-2</v>
      </c>
      <c r="V922" s="24">
        <f>(1+U923)^P923/(1+U922)^P922-1</f>
        <v>6.3564723142839341E-6</v>
      </c>
      <c r="W922" s="23"/>
      <c r="X922" s="35"/>
    </row>
    <row r="923" spans="15:24" ht="17.100000000000001" customHeight="1">
      <c r="O923" s="12">
        <f t="shared" si="14"/>
        <v>75.833333333333329</v>
      </c>
      <c r="P923" s="13">
        <v>910</v>
      </c>
      <c r="Q923" s="22"/>
      <c r="R923" s="19"/>
      <c r="S923" s="22"/>
      <c r="T923" s="19"/>
      <c r="U923" s="24">
        <v>1.9264607203628437E-2</v>
      </c>
      <c r="V923" s="24">
        <f>(1+U924)^P924/(1+U923)^P923-1</f>
        <v>6.2646924317011354E-6</v>
      </c>
      <c r="W923" s="23"/>
      <c r="X923" s="35"/>
    </row>
    <row r="924" spans="15:24" ht="17.100000000000001" customHeight="1">
      <c r="O924" s="12">
        <f t="shared" si="14"/>
        <v>75.916666666666671</v>
      </c>
      <c r="P924" s="13">
        <v>911</v>
      </c>
      <c r="Q924" s="22"/>
      <c r="R924" s="19"/>
      <c r="S924" s="22"/>
      <c r="T924" s="19"/>
      <c r="U924" s="24">
        <v>1.9243265380807006E-2</v>
      </c>
      <c r="V924" s="24">
        <f>(1+U925)^P925/(1+U924)^P924-1</f>
        <v>6.1742372419182345E-6</v>
      </c>
      <c r="W924" s="23"/>
      <c r="X924" s="35"/>
    </row>
    <row r="925" spans="15:24" ht="17.100000000000001" customHeight="1">
      <c r="O925" s="12">
        <f t="shared" si="14"/>
        <v>76</v>
      </c>
      <c r="P925" s="13">
        <v>912</v>
      </c>
      <c r="Q925" s="22"/>
      <c r="R925" s="19"/>
      <c r="S925" s="22"/>
      <c r="T925" s="19"/>
      <c r="U925" s="24">
        <v>1.9221970704535352E-2</v>
      </c>
      <c r="V925" s="24">
        <f>(1+U926)^P926/(1+U925)^P925-1</f>
        <v>6.0850885563734636E-6</v>
      </c>
      <c r="W925" s="23"/>
      <c r="X925" s="35"/>
    </row>
    <row r="926" spans="15:24" ht="17.100000000000001" customHeight="1">
      <c r="O926" s="12">
        <f t="shared" si="14"/>
        <v>76.083333333333329</v>
      </c>
      <c r="P926" s="13">
        <v>913</v>
      </c>
      <c r="Q926" s="22"/>
      <c r="R926" s="19"/>
      <c r="S926" s="22"/>
      <c r="T926" s="19"/>
      <c r="U926" s="24">
        <v>1.9200723019889399E-2</v>
      </c>
      <c r="V926" s="24">
        <f>(1+U927)^P927/(1+U926)^P926-1</f>
        <v>5.9972269275121448E-6</v>
      </c>
      <c r="W926" s="23"/>
      <c r="X926" s="35"/>
    </row>
    <row r="927" spans="15:24" ht="17.100000000000001" customHeight="1">
      <c r="O927" s="12">
        <f t="shared" si="14"/>
        <v>76.166666666666671</v>
      </c>
      <c r="P927" s="13">
        <v>914</v>
      </c>
      <c r="Q927" s="22"/>
      <c r="R927" s="19"/>
      <c r="S927" s="22"/>
      <c r="T927" s="19"/>
      <c r="U927" s="24">
        <v>1.9179522172608099E-2</v>
      </c>
      <c r="V927" s="24">
        <f>(1+U928)^P928/(1+U927)^P927-1</f>
        <v>5.9106337142456056E-6</v>
      </c>
      <c r="W927" s="23"/>
      <c r="X927" s="35"/>
    </row>
    <row r="928" spans="15:24" ht="17.100000000000001" customHeight="1">
      <c r="O928" s="12">
        <f t="shared" si="14"/>
        <v>76.25</v>
      </c>
      <c r="P928" s="13">
        <v>915</v>
      </c>
      <c r="Q928" s="22"/>
      <c r="R928" s="19"/>
      <c r="S928" s="22"/>
      <c r="T928" s="19"/>
      <c r="U928" s="24">
        <v>1.9158368009090099E-2</v>
      </c>
      <c r="V928" s="24">
        <f>(1+U929)^P929/(1+U928)^P928-1</f>
        <v>5.8252907928491027E-6</v>
      </c>
      <c r="W928" s="23"/>
      <c r="X928" s="35"/>
    </row>
    <row r="929" spans="15:24" ht="17.100000000000001" customHeight="1">
      <c r="O929" s="12">
        <f t="shared" si="14"/>
        <v>76.333333333333329</v>
      </c>
      <c r="P929" s="13">
        <v>916</v>
      </c>
      <c r="Q929" s="22"/>
      <c r="R929" s="19"/>
      <c r="S929" s="22"/>
      <c r="T929" s="19"/>
      <c r="U929" s="24">
        <v>1.9137260376390852E-2</v>
      </c>
      <c r="V929" s="24">
        <f>(1+U930)^P930/(1+U929)^P929-1</f>
        <v>5.7411803113804893E-6</v>
      </c>
      <c r="W929" s="23"/>
      <c r="X929" s="35"/>
    </row>
    <row r="930" spans="15:24" ht="17.100000000000001" customHeight="1">
      <c r="O930" s="12">
        <f t="shared" si="14"/>
        <v>76.416666666666671</v>
      </c>
      <c r="P930" s="13">
        <v>917</v>
      </c>
      <c r="Q930" s="22"/>
      <c r="R930" s="19"/>
      <c r="S930" s="22"/>
      <c r="T930" s="19"/>
      <c r="U930" s="24">
        <v>1.9116199122219291E-2</v>
      </c>
      <c r="V930" s="24">
        <f>(1+U931)^P931/(1+U930)^P930-1</f>
        <v>5.6582840599617157E-6</v>
      </c>
      <c r="W930" s="23"/>
      <c r="X930" s="35"/>
    </row>
    <row r="931" spans="15:24" ht="17.100000000000001" customHeight="1">
      <c r="O931" s="12">
        <f t="shared" si="14"/>
        <v>76.5</v>
      </c>
      <c r="P931" s="13">
        <v>918</v>
      </c>
      <c r="Q931" s="22"/>
      <c r="R931" s="19"/>
      <c r="S931" s="22"/>
      <c r="T931" s="19"/>
      <c r="U931" s="24">
        <v>1.9095184094934048E-2</v>
      </c>
      <c r="V931" s="24">
        <f>(1+U932)^P932/(1+U931)^P931-1</f>
        <v>5.5765846940225572E-6</v>
      </c>
      <c r="W931" s="23"/>
      <c r="X931" s="35"/>
    </row>
    <row r="932" spans="15:24" ht="17.100000000000001" customHeight="1">
      <c r="O932" s="12">
        <f t="shared" si="14"/>
        <v>76.583333333333329</v>
      </c>
      <c r="P932" s="13">
        <v>919</v>
      </c>
      <c r="Q932" s="22"/>
      <c r="R932" s="19"/>
      <c r="S932" s="22"/>
      <c r="T932" s="19"/>
      <c r="U932" s="24">
        <v>1.9074215143540574E-2</v>
      </c>
      <c r="V932" s="24">
        <f>(1+U933)^P933/(1+U932)^P932-1</f>
        <v>5.4960650974766878E-6</v>
      </c>
      <c r="W932" s="23"/>
      <c r="X932" s="35"/>
    </row>
    <row r="933" spans="15:24" ht="17.100000000000001" customHeight="1">
      <c r="O933" s="12">
        <f t="shared" si="14"/>
        <v>76.666666666666671</v>
      </c>
      <c r="P933" s="13">
        <v>920</v>
      </c>
      <c r="Q933" s="22"/>
      <c r="R933" s="19"/>
      <c r="S933" s="22"/>
      <c r="T933" s="19"/>
      <c r="U933" s="24">
        <v>1.9053292117687803E-2</v>
      </c>
      <c r="V933" s="24">
        <f>(1+U934)^P934/(1+U933)^P933-1</f>
        <v>5.4167080620892705E-6</v>
      </c>
      <c r="W933" s="23"/>
      <c r="X933" s="35"/>
    </row>
    <row r="934" spans="15:24" ht="17.100000000000001" customHeight="1">
      <c r="O934" s="12">
        <f t="shared" si="14"/>
        <v>76.75</v>
      </c>
      <c r="P934" s="13">
        <v>921</v>
      </c>
      <c r="Q934" s="22"/>
      <c r="R934" s="19"/>
      <c r="S934" s="22"/>
      <c r="T934" s="19"/>
      <c r="U934" s="24">
        <v>1.9032414867665048E-2</v>
      </c>
      <c r="V934" s="24">
        <f>(1+U935)^P935/(1+U934)^P934-1</f>
        <v>5.3384966742786588E-6</v>
      </c>
      <c r="W934" s="23"/>
      <c r="X934" s="35"/>
    </row>
    <row r="935" spans="15:24" ht="17.100000000000001" customHeight="1">
      <c r="O935" s="12">
        <f t="shared" si="14"/>
        <v>76.833333333333329</v>
      </c>
      <c r="P935" s="13">
        <v>922</v>
      </c>
      <c r="Q935" s="22"/>
      <c r="R935" s="19"/>
      <c r="S935" s="22"/>
      <c r="T935" s="19"/>
      <c r="U935" s="24">
        <v>1.9011583244398E-2</v>
      </c>
      <c r="V935" s="24">
        <f>(1+U936)^P936/(1+U935)^P935-1</f>
        <v>5.261414459667435E-6</v>
      </c>
      <c r="W935" s="23"/>
      <c r="X935" s="35"/>
    </row>
    <row r="936" spans="15:24" ht="17.100000000000001" customHeight="1">
      <c r="O936" s="12">
        <f t="shared" si="14"/>
        <v>76.916666666666671</v>
      </c>
      <c r="P936" s="13">
        <v>923</v>
      </c>
      <c r="Q936" s="22"/>
      <c r="R936" s="19"/>
      <c r="S936" s="22"/>
      <c r="T936" s="19"/>
      <c r="U936" s="24">
        <v>1.899079709944651E-2</v>
      </c>
      <c r="V936" s="24">
        <f>(1+U937)^P937/(1+U936)^P936-1</f>
        <v>5.1854454787836346E-6</v>
      </c>
      <c r="W936" s="23"/>
      <c r="X936" s="35"/>
    </row>
    <row r="937" spans="15:24" ht="17.100000000000001" customHeight="1">
      <c r="O937" s="12">
        <f t="shared" si="14"/>
        <v>77</v>
      </c>
      <c r="P937" s="13">
        <v>924</v>
      </c>
      <c r="Q937" s="22"/>
      <c r="R937" s="19"/>
      <c r="S937" s="22"/>
      <c r="T937" s="19"/>
      <c r="U937" s="24">
        <v>1.8970056285001258E-2</v>
      </c>
      <c r="V937" s="24">
        <f>(1+U938)^P938/(1+U937)^P937-1</f>
        <v>5.1105731899703244E-6</v>
      </c>
      <c r="W937" s="23"/>
      <c r="X937" s="35"/>
    </row>
    <row r="938" spans="15:24" ht="17.100000000000001" customHeight="1">
      <c r="O938" s="12">
        <f t="shared" si="14"/>
        <v>77.083333333333329</v>
      </c>
      <c r="P938" s="13">
        <v>925</v>
      </c>
      <c r="Q938" s="22"/>
      <c r="R938" s="19"/>
      <c r="S938" s="22"/>
      <c r="T938" s="19"/>
      <c r="U938" s="24">
        <v>1.8949360653879754E-2</v>
      </c>
      <c r="V938" s="24">
        <f>(1+U939)^P939/(1+U938)^P938-1</f>
        <v>5.0367823039021431E-6</v>
      </c>
      <c r="W938" s="23"/>
      <c r="X938" s="35"/>
    </row>
    <row r="939" spans="15:24" ht="17.100000000000001" customHeight="1">
      <c r="O939" s="12">
        <f t="shared" si="14"/>
        <v>77.166666666666671</v>
      </c>
      <c r="P939" s="13">
        <v>926</v>
      </c>
      <c r="Q939" s="22"/>
      <c r="R939" s="19"/>
      <c r="S939" s="22"/>
      <c r="T939" s="19"/>
      <c r="U939" s="24">
        <v>1.8928710059524345E-2</v>
      </c>
      <c r="V939" s="24">
        <f>(1+U940)^P940/(1+U939)^P939-1</f>
        <v>4.9640561148311946E-6</v>
      </c>
      <c r="W939" s="23"/>
      <c r="X939" s="35"/>
    </row>
    <row r="940" spans="15:24" ht="17.100000000000001" customHeight="1">
      <c r="O940" s="12">
        <f t="shared" si="14"/>
        <v>77.25</v>
      </c>
      <c r="P940" s="13">
        <v>927</v>
      </c>
      <c r="Q940" s="22"/>
      <c r="R940" s="19"/>
      <c r="S940" s="22"/>
      <c r="T940" s="19"/>
      <c r="U940" s="24">
        <v>1.8908104355997324E-2</v>
      </c>
      <c r="V940" s="24">
        <f>(1+U941)^P941/(1+U940)^P940-1</f>
        <v>4.8923807387524221E-6</v>
      </c>
      <c r="W940" s="23"/>
      <c r="X940" s="35"/>
    </row>
    <row r="941" spans="15:24" ht="17.100000000000001" customHeight="1">
      <c r="O941" s="12">
        <f t="shared" si="14"/>
        <v>77.333333333333329</v>
      </c>
      <c r="P941" s="13">
        <v>928</v>
      </c>
      <c r="Q941" s="22"/>
      <c r="R941" s="19"/>
      <c r="S941" s="22"/>
      <c r="T941" s="19"/>
      <c r="U941" s="24">
        <v>1.8887543397980489E-2</v>
      </c>
      <c r="V941" s="24">
        <f>(1+U942)^P942/(1+U941)^P941-1</f>
        <v>4.821739802318703E-6</v>
      </c>
      <c r="W941" s="23"/>
      <c r="X941" s="35"/>
    </row>
    <row r="942" spans="15:24" ht="17.100000000000001" customHeight="1">
      <c r="O942" s="12">
        <f t="shared" si="14"/>
        <v>77.416666666666671</v>
      </c>
      <c r="P942" s="13">
        <v>929</v>
      </c>
      <c r="Q942" s="22"/>
      <c r="R942" s="19"/>
      <c r="S942" s="22"/>
      <c r="T942" s="19"/>
      <c r="U942" s="24">
        <v>1.8867027040768924E-2</v>
      </c>
      <c r="V942" s="24">
        <f>(1+U943)^P943/(1+U942)^P942-1</f>
        <v>4.7521189621146931E-6</v>
      </c>
      <c r="W942" s="23"/>
      <c r="X942" s="35"/>
    </row>
    <row r="943" spans="15:24" ht="17.100000000000001" customHeight="1">
      <c r="O943" s="12">
        <f t="shared" si="14"/>
        <v>77.5</v>
      </c>
      <c r="P943" s="13">
        <v>930</v>
      </c>
      <c r="Q943" s="22"/>
      <c r="R943" s="19"/>
      <c r="S943" s="22"/>
      <c r="T943" s="19"/>
      <c r="U943" s="24">
        <v>1.884655514027056E-2</v>
      </c>
      <c r="V943" s="24">
        <f>(1+U944)^P944/(1+U943)^P943-1</f>
        <v>4.6835033016279226E-6</v>
      </c>
      <c r="W943" s="23"/>
      <c r="X943" s="35"/>
    </row>
    <row r="944" spans="15:24" ht="17.100000000000001" customHeight="1">
      <c r="O944" s="12">
        <f t="shared" si="14"/>
        <v>77.583333333333329</v>
      </c>
      <c r="P944" s="13">
        <v>931</v>
      </c>
      <c r="Q944" s="22"/>
      <c r="R944" s="19"/>
      <c r="S944" s="22"/>
      <c r="T944" s="19"/>
      <c r="U944" s="24">
        <v>1.8826127553001504E-2</v>
      </c>
      <c r="V944" s="24">
        <f>(1+U945)^P945/(1+U944)^P944-1</f>
        <v>4.615878528735351E-6</v>
      </c>
      <c r="W944" s="23"/>
      <c r="X944" s="35"/>
    </row>
    <row r="945" spans="15:24" ht="17.100000000000001" customHeight="1">
      <c r="O945" s="12">
        <f t="shared" si="14"/>
        <v>77.666666666666671</v>
      </c>
      <c r="P945" s="13">
        <v>932</v>
      </c>
      <c r="Q945" s="22"/>
      <c r="R945" s="19"/>
      <c r="S945" s="22"/>
      <c r="T945" s="19"/>
      <c r="U945" s="24">
        <v>1.8805744136083602E-2</v>
      </c>
      <c r="V945" s="24">
        <f>(1+U946)^P946/(1+U945)^P945-1</f>
        <v>4.5492299702853956E-6</v>
      </c>
      <c r="W945" s="23"/>
      <c r="X945" s="35"/>
    </row>
    <row r="946" spans="15:24" ht="17.100000000000001" customHeight="1">
      <c r="O946" s="12">
        <f t="shared" si="14"/>
        <v>77.75</v>
      </c>
      <c r="P946" s="13">
        <v>933</v>
      </c>
      <c r="Q946" s="22"/>
      <c r="R946" s="19"/>
      <c r="S946" s="22"/>
      <c r="T946" s="19"/>
      <c r="U946" s="24">
        <v>1.8785404747241108E-2</v>
      </c>
      <c r="V946" s="24">
        <f>(1+U947)^P947/(1+U946)^P946-1</f>
        <v>4.483543770694709E-6</v>
      </c>
      <c r="W946" s="23"/>
      <c r="X946" s="35"/>
    </row>
    <row r="947" spans="15:24" ht="17.100000000000001" customHeight="1">
      <c r="O947" s="12">
        <f t="shared" si="14"/>
        <v>77.833333333333329</v>
      </c>
      <c r="P947" s="13">
        <v>934</v>
      </c>
      <c r="Q947" s="22"/>
      <c r="R947" s="19"/>
      <c r="S947" s="22"/>
      <c r="T947" s="19"/>
      <c r="U947" s="24">
        <v>1.8765109244797795E-2</v>
      </c>
      <c r="V947" s="24">
        <f>(1+U948)^P948/(1+U947)^P947-1</f>
        <v>4.4188060628336245E-6</v>
      </c>
      <c r="W947" s="23"/>
      <c r="X947" s="35"/>
    </row>
    <row r="948" spans="15:24" ht="17.100000000000001" customHeight="1">
      <c r="O948" s="12">
        <f t="shared" si="14"/>
        <v>77.916666666666671</v>
      </c>
      <c r="P948" s="13">
        <v>935</v>
      </c>
      <c r="Q948" s="22"/>
      <c r="R948" s="19"/>
      <c r="S948" s="22"/>
      <c r="T948" s="19"/>
      <c r="U948" s="24">
        <v>1.8744857487674071E-2</v>
      </c>
      <c r="V948" s="24">
        <f>(1+U949)^P949/(1+U948)^P948-1</f>
        <v>4.3550030344174928E-6</v>
      </c>
      <c r="W948" s="23"/>
      <c r="X948" s="35"/>
    </row>
    <row r="949" spans="15:24" ht="17.100000000000001" customHeight="1">
      <c r="O949" s="12">
        <f t="shared" si="14"/>
        <v>78</v>
      </c>
      <c r="P949" s="13">
        <v>936</v>
      </c>
      <c r="Q949" s="22"/>
      <c r="R949" s="19"/>
      <c r="S949" s="22"/>
      <c r="T949" s="19"/>
      <c r="U949" s="24">
        <v>1.8724649335383869E-2</v>
      </c>
      <c r="V949" s="24">
        <f>(1+U950)^P950/(1+U949)^P949-1</f>
        <v>4.2921211560464911E-6</v>
      </c>
      <c r="W949" s="23"/>
      <c r="X949" s="35"/>
    </row>
    <row r="950" spans="15:24" ht="17.100000000000001" customHeight="1">
      <c r="O950" s="12">
        <f t="shared" si="14"/>
        <v>78.083333333333329</v>
      </c>
      <c r="P950" s="13">
        <v>937</v>
      </c>
      <c r="Q950" s="22"/>
      <c r="R950" s="19"/>
      <c r="S950" s="22"/>
      <c r="T950" s="19"/>
      <c r="U950" s="24">
        <v>1.8704484648031316E-2</v>
      </c>
      <c r="V950" s="24">
        <f>(1+U951)^P951/(1+U950)^P950-1</f>
        <v>4.2301475369210806E-6</v>
      </c>
      <c r="W950" s="23"/>
      <c r="X950" s="35"/>
    </row>
    <row r="951" spans="15:24" ht="17.100000000000001" customHeight="1">
      <c r="O951" s="12">
        <f t="shared" si="14"/>
        <v>78.166666666666671</v>
      </c>
      <c r="P951" s="13">
        <v>938</v>
      </c>
      <c r="Q951" s="22"/>
      <c r="R951" s="19"/>
      <c r="S951" s="22"/>
      <c r="T951" s="19"/>
      <c r="U951" s="24">
        <v>1.8684363286308736E-2</v>
      </c>
      <c r="V951" s="24">
        <f>(1+U952)^P952/(1+U951)^P951-1</f>
        <v>4.1690681444883637E-6</v>
      </c>
      <c r="W951" s="23"/>
      <c r="X951" s="35"/>
    </row>
    <row r="952" spans="15:24" ht="17.100000000000001" customHeight="1">
      <c r="O952" s="12">
        <f t="shared" si="14"/>
        <v>78.25</v>
      </c>
      <c r="P952" s="13">
        <v>939</v>
      </c>
      <c r="Q952" s="22"/>
      <c r="R952" s="19"/>
      <c r="S952" s="22"/>
      <c r="T952" s="19"/>
      <c r="U952" s="24">
        <v>1.8664285111492207E-2</v>
      </c>
      <c r="V952" s="24">
        <f>(1+U953)^P953/(1+U952)^P952-1</f>
        <v>4.1088712310344278E-6</v>
      </c>
      <c r="W952" s="23"/>
      <c r="X952" s="35"/>
    </row>
    <row r="953" spans="15:24" ht="17.100000000000001" customHeight="1">
      <c r="O953" s="12">
        <f t="shared" si="14"/>
        <v>78.333333333333329</v>
      </c>
      <c r="P953" s="13">
        <v>940</v>
      </c>
      <c r="Q953" s="22"/>
      <c r="R953" s="19"/>
      <c r="S953" s="22"/>
      <c r="T953" s="19"/>
      <c r="U953" s="24">
        <v>1.8644249985440453E-2</v>
      </c>
      <c r="V953" s="24">
        <f>(1+U954)^P954/(1+U953)^P953-1</f>
        <v>4.049543034456704E-6</v>
      </c>
      <c r="W953" s="23"/>
      <c r="X953" s="35"/>
    </row>
    <row r="954" spans="15:24" ht="17.100000000000001" customHeight="1">
      <c r="O954" s="12">
        <f t="shared" si="14"/>
        <v>78.416666666666671</v>
      </c>
      <c r="P954" s="13">
        <v>941</v>
      </c>
      <c r="Q954" s="22"/>
      <c r="R954" s="19"/>
      <c r="S954" s="22"/>
      <c r="T954" s="19"/>
      <c r="U954" s="24">
        <v>1.8624257770589958E-2</v>
      </c>
      <c r="V954" s="24">
        <f>(1+U955)^P955/(1+U954)^P954-1</f>
        <v>3.9910717928304251E-6</v>
      </c>
      <c r="W954" s="23"/>
      <c r="X954" s="35"/>
    </row>
    <row r="955" spans="15:24" ht="17.100000000000001" customHeight="1">
      <c r="O955" s="12">
        <f t="shared" si="14"/>
        <v>78.5</v>
      </c>
      <c r="P955" s="13">
        <v>942</v>
      </c>
      <c r="Q955" s="22"/>
      <c r="R955" s="19"/>
      <c r="S955" s="22"/>
      <c r="T955" s="19"/>
      <c r="U955" s="24">
        <v>1.8604308329954078E-2</v>
      </c>
      <c r="V955" s="24">
        <f>(1+U956)^P956/(1+U955)^P955-1</f>
        <v>3.9334446235717024E-6</v>
      </c>
      <c r="W955" s="23"/>
      <c r="X955" s="35"/>
    </row>
    <row r="956" spans="15:24" ht="17.100000000000001" customHeight="1">
      <c r="O956" s="12">
        <f t="shared" si="14"/>
        <v>78.583333333333329</v>
      </c>
      <c r="P956" s="13">
        <v>943</v>
      </c>
      <c r="Q956" s="22"/>
      <c r="R956" s="19"/>
      <c r="S956" s="22"/>
      <c r="T956" s="19"/>
      <c r="U956" s="24">
        <v>1.8584401527118377E-2</v>
      </c>
      <c r="V956" s="24">
        <f>(1+U957)^P957/(1+U956)^P956-1</f>
        <v>3.8766496748277035E-6</v>
      </c>
      <c r="W956" s="23"/>
      <c r="X956" s="35"/>
    </row>
    <row r="957" spans="15:24" ht="17.100000000000001" customHeight="1">
      <c r="O957" s="12">
        <f t="shared" si="14"/>
        <v>78.666666666666671</v>
      </c>
      <c r="P957" s="13">
        <v>944</v>
      </c>
      <c r="Q957" s="22"/>
      <c r="R957" s="19"/>
      <c r="S957" s="22"/>
      <c r="T957" s="19"/>
      <c r="U957" s="24">
        <v>1.8564537226239075E-2</v>
      </c>
      <c r="V957" s="24">
        <f>(1+U958)^P958/(1+U957)^P957-1</f>
        <v>3.8206745609503656E-6</v>
      </c>
      <c r="W957" s="23"/>
      <c r="X957" s="35"/>
    </row>
    <row r="958" spans="15:24" ht="17.100000000000001" customHeight="1">
      <c r="O958" s="12">
        <f t="shared" si="14"/>
        <v>78.75</v>
      </c>
      <c r="P958" s="13">
        <v>945</v>
      </c>
      <c r="Q958" s="22"/>
      <c r="R958" s="19"/>
      <c r="S958" s="22"/>
      <c r="T958" s="19"/>
      <c r="U958" s="24">
        <v>1.8544715292039049E-2</v>
      </c>
      <c r="V958" s="24">
        <f>(1+U959)^P959/(1+U958)^P958-1</f>
        <v>3.765507851749561E-6</v>
      </c>
      <c r="W958" s="23"/>
      <c r="X958" s="35"/>
    </row>
    <row r="959" spans="15:24" ht="17.100000000000001" customHeight="1">
      <c r="O959" s="12">
        <f t="shared" si="14"/>
        <v>78.833333333333329</v>
      </c>
      <c r="P959" s="13">
        <v>946</v>
      </c>
      <c r="Q959" s="22"/>
      <c r="R959" s="19"/>
      <c r="S959" s="22"/>
      <c r="T959" s="19"/>
      <c r="U959" s="24">
        <v>1.852493558980628E-2</v>
      </c>
      <c r="V959" s="24">
        <f>(1+U960)^P960/(1+U959)^P959-1</f>
        <v>3.7111373472065168E-6</v>
      </c>
      <c r="W959" s="23"/>
      <c r="X959" s="35"/>
    </row>
    <row r="960" spans="15:24" ht="17.100000000000001" customHeight="1">
      <c r="O960" s="12">
        <f t="shared" si="14"/>
        <v>78.916666666666671</v>
      </c>
      <c r="P960" s="13">
        <v>947</v>
      </c>
      <c r="Q960" s="22"/>
      <c r="R960" s="19"/>
      <c r="S960" s="22"/>
      <c r="T960" s="19"/>
      <c r="U960" s="24">
        <v>1.8505197985389632E-2</v>
      </c>
      <c r="V960" s="24">
        <f>(1+U961)^P961/(1+U960)^P960-1</f>
        <v>3.6575524720028341E-6</v>
      </c>
      <c r="W960" s="23"/>
      <c r="X960" s="35"/>
    </row>
    <row r="961" spans="15:24" ht="17.100000000000001" customHeight="1">
      <c r="O961" s="12">
        <f t="shared" si="14"/>
        <v>79</v>
      </c>
      <c r="P961" s="13">
        <v>948</v>
      </c>
      <c r="Q961" s="22"/>
      <c r="R961" s="19"/>
      <c r="S961" s="22"/>
      <c r="T961" s="19"/>
      <c r="U961" s="24">
        <v>1.8485502345197746E-2</v>
      </c>
      <c r="V961" s="24">
        <f>(1+U962)^P962/(1+U961)^P961-1</f>
        <v>3.6047407752093363E-6</v>
      </c>
      <c r="W961" s="23"/>
      <c r="X961" s="35"/>
    </row>
    <row r="962" spans="15:24" ht="17.100000000000001" customHeight="1">
      <c r="O962" s="12">
        <f t="shared" si="14"/>
        <v>79.083333333333329</v>
      </c>
      <c r="P962" s="13">
        <v>949</v>
      </c>
      <c r="Q962" s="22"/>
      <c r="R962" s="19"/>
      <c r="S962" s="22"/>
      <c r="T962" s="19"/>
      <c r="U962" s="24">
        <v>1.8465848536194152E-2</v>
      </c>
      <c r="V962" s="24">
        <f>(1+U963)^P963/(1+U962)^P962-1</f>
        <v>3.5526917465666941E-6</v>
      </c>
      <c r="W962" s="23"/>
      <c r="X962" s="35"/>
    </row>
    <row r="963" spans="15:24" ht="17.100000000000001" customHeight="1">
      <c r="O963" s="12">
        <f t="shared" si="14"/>
        <v>79.166666666666671</v>
      </c>
      <c r="P963" s="13">
        <v>950</v>
      </c>
      <c r="Q963" s="22"/>
      <c r="R963" s="19"/>
      <c r="S963" s="22"/>
      <c r="T963" s="19"/>
      <c r="U963" s="24">
        <v>1.8446236425896156E-2</v>
      </c>
      <c r="V963" s="24">
        <f>(1+U964)^P964/(1+U963)^P963-1</f>
        <v>3.5013943937567404E-6</v>
      </c>
      <c r="W963" s="23"/>
      <c r="X963" s="35"/>
    </row>
    <row r="964" spans="15:24" ht="17.100000000000001" customHeight="1">
      <c r="O964" s="12">
        <f t="shared" si="14"/>
        <v>79.25</v>
      </c>
      <c r="P964" s="13">
        <v>951</v>
      </c>
      <c r="Q964" s="22"/>
      <c r="R964" s="19"/>
      <c r="S964" s="22"/>
      <c r="T964" s="19"/>
      <c r="U964" s="24">
        <v>1.842666588237174E-2</v>
      </c>
      <c r="V964" s="24">
        <f>(1+U965)^P965/(1+U964)^P964-1</f>
        <v>3.4508373647490487E-6</v>
      </c>
      <c r="W964" s="23"/>
      <c r="X964" s="35"/>
    </row>
    <row r="965" spans="15:24" ht="17.100000000000001" customHeight="1">
      <c r="O965" s="12">
        <f t="shared" si="14"/>
        <v>79.333333333333329</v>
      </c>
      <c r="P965" s="13">
        <v>952</v>
      </c>
      <c r="Q965" s="22"/>
      <c r="R965" s="19"/>
      <c r="S965" s="22"/>
      <c r="T965" s="19"/>
      <c r="U965" s="24">
        <v>1.8407136774235999E-2</v>
      </c>
      <c r="V965" s="24">
        <f>(1+U966)^P966/(1+U965)^P965-1</f>
        <v>3.4010108658222293E-6</v>
      </c>
      <c r="W965" s="23"/>
      <c r="X965" s="35"/>
    </row>
    <row r="966" spans="15:24" ht="17.100000000000001" customHeight="1">
      <c r="O966" s="12">
        <f t="shared" si="14"/>
        <v>79.416666666666671</v>
      </c>
      <c r="P966" s="13">
        <v>953</v>
      </c>
      <c r="Q966" s="22"/>
      <c r="R966" s="19"/>
      <c r="S966" s="22"/>
      <c r="T966" s="19"/>
      <c r="U966" s="24">
        <v>1.8387648970649817E-2</v>
      </c>
      <c r="V966" s="24">
        <f>(1+U967)^P967/(1+U966)^P966-1</f>
        <v>3.351903471671136E-6</v>
      </c>
      <c r="W966" s="23"/>
      <c r="X966" s="35"/>
    </row>
    <row r="967" spans="15:24" ht="17.100000000000001" customHeight="1">
      <c r="O967" s="12">
        <f t="shared" si="14"/>
        <v>79.5</v>
      </c>
      <c r="P967" s="13">
        <v>954</v>
      </c>
      <c r="Q967" s="22"/>
      <c r="R967" s="19"/>
      <c r="S967" s="22"/>
      <c r="T967" s="19"/>
      <c r="U967" s="24">
        <v>1.8368202341315643E-2</v>
      </c>
      <c r="V967" s="24">
        <f>(1+U968)^P968/(1+U967)^P967-1</f>
        <v>3.3035050341911898E-6</v>
      </c>
      <c r="W967" s="23"/>
      <c r="X967" s="35"/>
    </row>
    <row r="968" spans="15:24" ht="17.100000000000001" customHeight="1">
      <c r="O968" s="12">
        <f t="shared" si="14"/>
        <v>79.583333333333329</v>
      </c>
      <c r="P968" s="13">
        <v>955</v>
      </c>
      <c r="Q968" s="22"/>
      <c r="R968" s="19"/>
      <c r="S968" s="22"/>
      <c r="T968" s="19"/>
      <c r="U968" s="24">
        <v>1.8348796756475716E-2</v>
      </c>
      <c r="V968" s="24">
        <f>(1+U969)^P969/(1+U968)^P968-1</f>
        <v>3.2558055846898526E-6</v>
      </c>
      <c r="W968" s="23"/>
      <c r="X968" s="35"/>
    </row>
    <row r="969" spans="15:24" ht="17.100000000000001" customHeight="1">
      <c r="O969" s="12">
        <f t="shared" si="14"/>
        <v>79.666666666666671</v>
      </c>
      <c r="P969" s="13">
        <v>956</v>
      </c>
      <c r="Q969" s="22"/>
      <c r="R969" s="19"/>
      <c r="S969" s="22"/>
      <c r="T969" s="19"/>
      <c r="U969" s="24">
        <v>1.8329432086909181E-2</v>
      </c>
      <c r="V969" s="24">
        <f>(1+U970)^P970/(1+U969)^P969-1</f>
        <v>3.2087946679748569E-6</v>
      </c>
      <c r="W969" s="23"/>
      <c r="X969" s="35"/>
    </row>
    <row r="970" spans="15:24" ht="17.100000000000001" customHeight="1">
      <c r="O970" s="12">
        <f t="shared" si="14"/>
        <v>79.75</v>
      </c>
      <c r="P970" s="13">
        <v>957</v>
      </c>
      <c r="Q970" s="22"/>
      <c r="R970" s="19"/>
      <c r="S970" s="22"/>
      <c r="T970" s="19"/>
      <c r="U970" s="24">
        <v>1.8310108203929198E-2</v>
      </c>
      <c r="V970" s="24">
        <f>(1+U971)^P971/(1+U970)^P970-1</f>
        <v>3.1624628296089696E-6</v>
      </c>
      <c r="W970" s="23"/>
      <c r="X970" s="35"/>
    </row>
    <row r="971" spans="15:24" ht="17.100000000000001" customHeight="1">
      <c r="O971" s="12">
        <f t="shared" si="14"/>
        <v>79.833333333333329</v>
      </c>
      <c r="P971" s="13">
        <v>958</v>
      </c>
      <c r="Q971" s="22"/>
      <c r="R971" s="19"/>
      <c r="S971" s="22"/>
      <c r="T971" s="19"/>
      <c r="U971" s="24">
        <v>1.8290824979381171E-2</v>
      </c>
      <c r="V971" s="24">
        <f>(1+U972)^P972/(1+U971)^P971-1</f>
        <v>3.1167995411252036E-6</v>
      </c>
      <c r="W971" s="23"/>
      <c r="X971" s="35"/>
    </row>
    <row r="972" spans="15:24" ht="17.100000000000001" customHeight="1">
      <c r="O972" s="12">
        <f t="shared" si="14"/>
        <v>79.916666666666671</v>
      </c>
      <c r="P972" s="13">
        <v>959</v>
      </c>
      <c r="Q972" s="22"/>
      <c r="R972" s="19"/>
      <c r="S972" s="22"/>
      <c r="T972" s="19"/>
      <c r="U972" s="24">
        <v>1.8271582285638299E-2</v>
      </c>
      <c r="V972" s="24">
        <f>(1+U973)^P973/(1+U972)^P972-1</f>
        <v>3.0717962868909154E-6</v>
      </c>
      <c r="W972" s="23"/>
      <c r="X972" s="35"/>
    </row>
    <row r="973" spans="15:24" ht="17.100000000000001" customHeight="1">
      <c r="O973" s="12">
        <f t="shared" si="14"/>
        <v>80</v>
      </c>
      <c r="P973" s="13">
        <v>960</v>
      </c>
      <c r="Q973" s="22"/>
      <c r="R973" s="19"/>
      <c r="S973" s="22"/>
      <c r="T973" s="19"/>
      <c r="U973" s="24">
        <v>1.8252379995601364E-2</v>
      </c>
      <c r="V973" s="24">
        <f>(1+U974)^P974/(1+U973)^P973-1</f>
        <v>3.0274421829457054E-6</v>
      </c>
      <c r="W973" s="23"/>
      <c r="X973" s="35"/>
    </row>
    <row r="974" spans="15:24" ht="17.100000000000001" customHeight="1">
      <c r="O974" s="12">
        <f t="shared" ref="O974:O1037" si="15">P974/12</f>
        <v>80.083333333333329</v>
      </c>
      <c r="P974" s="13">
        <v>961</v>
      </c>
      <c r="Q974" s="22"/>
      <c r="R974" s="19"/>
      <c r="S974" s="22"/>
      <c r="T974" s="19"/>
      <c r="U974" s="24">
        <v>1.8233217982693617E-2</v>
      </c>
      <c r="V974" s="24">
        <f>(1+U975)^P975/(1+U974)^P974-1</f>
        <v>2.9837287041090121E-6</v>
      </c>
      <c r="W974" s="23"/>
      <c r="X974" s="35"/>
    </row>
    <row r="975" spans="15:24" ht="17.100000000000001" customHeight="1">
      <c r="O975" s="12">
        <f t="shared" si="15"/>
        <v>80.166666666666671</v>
      </c>
      <c r="P975" s="13">
        <v>962</v>
      </c>
      <c r="Q975" s="22"/>
      <c r="R975" s="19"/>
      <c r="S975" s="22"/>
      <c r="T975" s="19"/>
      <c r="U975" s="24">
        <v>1.8214096120859891E-2</v>
      </c>
      <c r="V975" s="24">
        <f>(1+U976)^P976/(1+U975)^P975-1</f>
        <v>2.9406462287440149E-6</v>
      </c>
      <c r="W975" s="23"/>
      <c r="X975" s="35"/>
    </row>
    <row r="976" spans="15:24" ht="17.100000000000001" customHeight="1">
      <c r="O976" s="12">
        <f t="shared" si="15"/>
        <v>80.25</v>
      </c>
      <c r="P976" s="13">
        <v>963</v>
      </c>
      <c r="Q976" s="22"/>
      <c r="R976" s="19"/>
      <c r="S976" s="22"/>
      <c r="T976" s="19"/>
      <c r="U976" s="24">
        <v>1.8195014284563493E-2</v>
      </c>
      <c r="V976" s="24">
        <f>(1+U977)^P977/(1+U976)^P976-1</f>
        <v>2.8981862749688503E-6</v>
      </c>
      <c r="W976" s="23"/>
      <c r="X976" s="35"/>
    </row>
    <row r="977" spans="15:24" ht="17.100000000000001" customHeight="1">
      <c r="O977" s="12">
        <f t="shared" si="15"/>
        <v>80.333333333333329</v>
      </c>
      <c r="P977" s="13">
        <v>964</v>
      </c>
      <c r="Q977" s="22"/>
      <c r="R977" s="19"/>
      <c r="S977" s="22"/>
      <c r="T977" s="19"/>
      <c r="U977" s="24">
        <v>1.8175972348783986E-2</v>
      </c>
      <c r="V977" s="24">
        <f>(1+U978)^P978/(1+U977)^P977-1</f>
        <v>2.8563389316005328E-6</v>
      </c>
      <c r="W977" s="23"/>
      <c r="X977" s="35"/>
    </row>
    <row r="978" spans="15:24" ht="17.100000000000001" customHeight="1">
      <c r="O978" s="12">
        <f t="shared" si="15"/>
        <v>80.416666666666671</v>
      </c>
      <c r="P978" s="13">
        <v>965</v>
      </c>
      <c r="Q978" s="22"/>
      <c r="R978" s="19"/>
      <c r="S978" s="22"/>
      <c r="T978" s="19"/>
      <c r="U978" s="24">
        <v>1.8156970189013411E-2</v>
      </c>
      <c r="V978" s="24">
        <f>(1+U979)^P979/(1+U978)^P978-1</f>
        <v>2.8150959989758917E-6</v>
      </c>
      <c r="W978" s="23"/>
      <c r="X978" s="35"/>
    </row>
    <row r="979" spans="15:24" ht="17.100000000000001" customHeight="1">
      <c r="O979" s="12">
        <f t="shared" si="15"/>
        <v>80.5</v>
      </c>
      <c r="P979" s="13">
        <v>966</v>
      </c>
      <c r="Q979" s="22"/>
      <c r="R979" s="19"/>
      <c r="S979" s="22"/>
      <c r="T979" s="19"/>
      <c r="U979" s="24">
        <v>1.8138007681255397E-2</v>
      </c>
      <c r="V979" s="24">
        <f>(1+U980)^P980/(1+U979)^P979-1</f>
        <v>2.7744484429881311E-6</v>
      </c>
      <c r="W979" s="23"/>
      <c r="X979" s="35"/>
    </row>
    <row r="980" spans="15:24" ht="17.100000000000001" customHeight="1">
      <c r="O980" s="12">
        <f t="shared" si="15"/>
        <v>80.583333333333329</v>
      </c>
      <c r="P980" s="13">
        <v>967</v>
      </c>
      <c r="Q980" s="22"/>
      <c r="R980" s="19"/>
      <c r="S980" s="22"/>
      <c r="T980" s="19"/>
      <c r="U980" s="24">
        <v>1.8119084702021393E-2</v>
      </c>
      <c r="V980" s="24">
        <f>(1+U981)^P981/(1+U980)^P980-1</f>
        <v>2.7343881867647468E-6</v>
      </c>
      <c r="W980" s="23"/>
      <c r="X980" s="35"/>
    </row>
    <row r="981" spans="15:24" ht="17.100000000000001" customHeight="1">
      <c r="O981" s="12">
        <f t="shared" si="15"/>
        <v>80.666666666666671</v>
      </c>
      <c r="P981" s="13">
        <v>968</v>
      </c>
      <c r="Q981" s="22"/>
      <c r="R981" s="19"/>
      <c r="S981" s="22"/>
      <c r="T981" s="19"/>
      <c r="U981" s="24">
        <v>1.8100201128329108E-2</v>
      </c>
      <c r="V981" s="24">
        <f>(1+U982)^P982/(1+U981)^P981-1</f>
        <v>2.694905824052185E-6</v>
      </c>
      <c r="W981" s="23"/>
      <c r="X981" s="35"/>
    </row>
    <row r="982" spans="15:24" ht="17.100000000000001" customHeight="1">
      <c r="O982" s="12">
        <f t="shared" si="15"/>
        <v>80.75</v>
      </c>
      <c r="P982" s="13">
        <v>969</v>
      </c>
      <c r="Q982" s="22"/>
      <c r="R982" s="19"/>
      <c r="S982" s="22"/>
      <c r="T982" s="19"/>
      <c r="U982" s="24">
        <v>1.8081356837698737E-2</v>
      </c>
      <c r="V982" s="24">
        <f>(1+U983)^P983/(1+U982)^P982-1</f>
        <v>2.6559939907411234E-6</v>
      </c>
      <c r="W982" s="23"/>
      <c r="X982" s="35"/>
    </row>
    <row r="983" spans="15:24" ht="17.100000000000001" customHeight="1">
      <c r="O983" s="12">
        <f t="shared" si="15"/>
        <v>80.833333333333329</v>
      </c>
      <c r="P983" s="13">
        <v>970</v>
      </c>
      <c r="Q983" s="22"/>
      <c r="R983" s="19"/>
      <c r="S983" s="22"/>
      <c r="T983" s="19"/>
      <c r="U983" s="24">
        <v>1.8062551708152075E-2</v>
      </c>
      <c r="V983" s="24">
        <f>(1+U984)^P984/(1+U983)^P983-1</f>
        <v>2.6176435703462175E-6</v>
      </c>
      <c r="W983" s="23"/>
      <c r="X983" s="35"/>
    </row>
    <row r="984" spans="15:24" ht="17.100000000000001" customHeight="1">
      <c r="O984" s="12">
        <f t="shared" si="15"/>
        <v>80.916666666666671</v>
      </c>
      <c r="P984" s="13">
        <v>971</v>
      </c>
      <c r="Q984" s="22"/>
      <c r="R984" s="19"/>
      <c r="S984" s="22"/>
      <c r="T984" s="19"/>
      <c r="U984" s="24">
        <v>1.8043785618208519E-2</v>
      </c>
      <c r="V984" s="24">
        <f>(1+U985)^P985/(1+U984)^P984-1</f>
        <v>2.5798473339833095E-6</v>
      </c>
      <c r="W984" s="23"/>
      <c r="X984" s="35"/>
    </row>
    <row r="985" spans="15:24" ht="17.100000000000001" customHeight="1">
      <c r="O985" s="12">
        <f t="shared" si="15"/>
        <v>81</v>
      </c>
      <c r="P985" s="13">
        <v>972</v>
      </c>
      <c r="Q985" s="22"/>
      <c r="R985" s="19"/>
      <c r="S985" s="22"/>
      <c r="T985" s="19"/>
      <c r="U985" s="24">
        <v>1.8025058446883957E-2</v>
      </c>
      <c r="V985" s="24">
        <f>(1+U986)^P986/(1+U985)^P985-1</f>
        <v>2.5425967600245514E-6</v>
      </c>
      <c r="W985" s="23"/>
      <c r="X985" s="35"/>
    </row>
    <row r="986" spans="15:24" ht="17.100000000000001" customHeight="1">
      <c r="O986" s="12">
        <f t="shared" si="15"/>
        <v>81.083333333333329</v>
      </c>
      <c r="P986" s="13">
        <v>973</v>
      </c>
      <c r="Q986" s="22"/>
      <c r="R986" s="19"/>
      <c r="S986" s="22"/>
      <c r="T986" s="19"/>
      <c r="U986" s="24">
        <v>1.8006370073687217E-2</v>
      </c>
      <c r="V986" s="24">
        <f>(1+U987)^P987/(1+U986)^P986-1</f>
        <v>2.5058835995128703E-6</v>
      </c>
      <c r="W986" s="23"/>
      <c r="X986" s="35"/>
    </row>
    <row r="987" spans="15:24" ht="17.100000000000001" customHeight="1">
      <c r="O987" s="12">
        <f t="shared" si="15"/>
        <v>81.166666666666671</v>
      </c>
      <c r="P987" s="13">
        <v>974</v>
      </c>
      <c r="Q987" s="22"/>
      <c r="R987" s="19"/>
      <c r="S987" s="22"/>
      <c r="T987" s="19"/>
      <c r="U987" s="24">
        <v>1.7987720378617844E-2</v>
      </c>
      <c r="V987" s="24">
        <f>(1+U988)^P988/(1+U987)^P987-1</f>
        <v>2.469701050333839E-6</v>
      </c>
      <c r="W987" s="23"/>
      <c r="X987" s="35"/>
    </row>
    <row r="988" spans="15:24" ht="17.100000000000001" customHeight="1">
      <c r="O988" s="12">
        <f t="shared" si="15"/>
        <v>81.25</v>
      </c>
      <c r="P988" s="13">
        <v>975</v>
      </c>
      <c r="Q988" s="22"/>
      <c r="R988" s="19"/>
      <c r="S988" s="22"/>
      <c r="T988" s="19"/>
      <c r="U988" s="24">
        <v>1.7969109242164771E-2</v>
      </c>
      <c r="V988" s="24">
        <f>(1+U989)^P989/(1+U988)^P988-1</f>
        <v>2.4340406272749249E-6</v>
      </c>
      <c r="W988" s="23"/>
      <c r="X988" s="35"/>
    </row>
    <row r="989" spans="15:24" ht="17.100000000000001" customHeight="1">
      <c r="O989" s="12">
        <f t="shared" si="15"/>
        <v>81.333333333333329</v>
      </c>
      <c r="P989" s="13">
        <v>976</v>
      </c>
      <c r="Q989" s="22"/>
      <c r="R989" s="19"/>
      <c r="S989" s="22"/>
      <c r="T989" s="19"/>
      <c r="U989" s="24">
        <v>1.7950536545302098E-2</v>
      </c>
      <c r="V989" s="24">
        <f>(1+U990)^P990/(1+U989)^P989-1</f>
        <v>2.3988952675413344E-6</v>
      </c>
      <c r="W989" s="23"/>
      <c r="X989" s="35"/>
    </row>
    <row r="990" spans="15:24" ht="17.100000000000001" customHeight="1">
      <c r="O990" s="12">
        <f t="shared" si="15"/>
        <v>81.416666666666671</v>
      </c>
      <c r="P990" s="13">
        <v>977</v>
      </c>
      <c r="Q990" s="22"/>
      <c r="R990" s="19"/>
      <c r="S990" s="22"/>
      <c r="T990" s="19"/>
      <c r="U990" s="24">
        <v>1.7932002169488426E-2</v>
      </c>
      <c r="V990" s="24">
        <f>(1+U991)^P991/(1+U990)^P990-1</f>
        <v>2.3642572479776192E-6</v>
      </c>
      <c r="W990" s="23"/>
      <c r="X990" s="35"/>
    </row>
    <row r="991" spans="15:24" ht="17.100000000000001" customHeight="1">
      <c r="O991" s="12">
        <f t="shared" si="15"/>
        <v>81.5</v>
      </c>
      <c r="P991" s="13">
        <v>978</v>
      </c>
      <c r="Q991" s="22"/>
      <c r="R991" s="19"/>
      <c r="S991" s="22"/>
      <c r="T991" s="19"/>
      <c r="U991" s="24">
        <v>1.7913505996663082E-2</v>
      </c>
      <c r="V991" s="24">
        <f>(1+U992)^P992/(1+U991)^P991-1</f>
        <v>2.3301193790015162E-6</v>
      </c>
      <c r="W991" s="23"/>
      <c r="X991" s="35"/>
    </row>
    <row r="992" spans="15:24" ht="17.100000000000001" customHeight="1">
      <c r="O992" s="12">
        <f t="shared" si="15"/>
        <v>81.583333333333329</v>
      </c>
      <c r="P992" s="13">
        <v>979</v>
      </c>
      <c r="Q992" s="22"/>
      <c r="R992" s="19"/>
      <c r="S992" s="22"/>
      <c r="T992" s="19"/>
      <c r="U992" s="24">
        <v>1.7895047909244788E-2</v>
      </c>
      <c r="V992" s="24">
        <f>(1+U993)^P993/(1+U992)^P992-1</f>
        <v>2.296474700180795E-6</v>
      </c>
      <c r="W992" s="23"/>
      <c r="X992" s="35"/>
    </row>
    <row r="993" spans="15:24" ht="17.100000000000001" customHeight="1">
      <c r="O993" s="12">
        <f t="shared" si="15"/>
        <v>81.666666666666671</v>
      </c>
      <c r="P993" s="13">
        <v>980</v>
      </c>
      <c r="Q993" s="22"/>
      <c r="R993" s="19"/>
      <c r="S993" s="22"/>
      <c r="T993" s="19"/>
      <c r="U993" s="24">
        <v>1.7876627790128996E-2</v>
      </c>
      <c r="V993" s="24">
        <f>(1+U994)^P994/(1+U993)^P993-1</f>
        <v>2.263315521000564E-6</v>
      </c>
      <c r="W993" s="23"/>
      <c r="X993" s="35"/>
    </row>
    <row r="994" spans="15:24" ht="17.100000000000001" customHeight="1">
      <c r="O994" s="12">
        <f t="shared" si="15"/>
        <v>81.75</v>
      </c>
      <c r="P994" s="13">
        <v>981</v>
      </c>
      <c r="Q994" s="22"/>
      <c r="R994" s="19"/>
      <c r="S994" s="22"/>
      <c r="T994" s="19"/>
      <c r="U994" s="24">
        <v>1.7858245522685001E-2</v>
      </c>
      <c r="V994" s="24">
        <f>(1+U995)^P995/(1+U994)^P994-1</f>
        <v>2.2306352298606669E-6</v>
      </c>
      <c r="W994" s="23"/>
      <c r="X994" s="35"/>
    </row>
    <row r="995" spans="15:24" ht="17.100000000000001" customHeight="1">
      <c r="O995" s="12">
        <f t="shared" si="15"/>
        <v>81.833333333333329</v>
      </c>
      <c r="P995" s="13">
        <v>982</v>
      </c>
      <c r="Q995" s="22"/>
      <c r="R995" s="19"/>
      <c r="S995" s="22"/>
      <c r="T995" s="19"/>
      <c r="U995" s="24">
        <v>1.7839900990754387E-2</v>
      </c>
      <c r="V995" s="24">
        <f>(1+U996)^P996/(1+U995)^P995-1</f>
        <v>2.1984266305175026E-6</v>
      </c>
      <c r="W995" s="23"/>
      <c r="X995" s="35"/>
    </row>
    <row r="996" spans="15:24" ht="17.100000000000001" customHeight="1">
      <c r="O996" s="12">
        <f t="shared" si="15"/>
        <v>81.916666666666671</v>
      </c>
      <c r="P996" s="13">
        <v>983</v>
      </c>
      <c r="Q996" s="22"/>
      <c r="R996" s="19"/>
      <c r="S996" s="22"/>
      <c r="T996" s="19"/>
      <c r="U996" s="24">
        <v>1.7821594078647918E-2</v>
      </c>
      <c r="V996" s="24">
        <f>(1+U997)^P997/(1+U996)^P996-1</f>
        <v>2.166683205295783E-6</v>
      </c>
      <c r="W996" s="23"/>
      <c r="X996" s="35"/>
    </row>
    <row r="997" spans="15:24" ht="17.100000000000001" customHeight="1">
      <c r="O997" s="12">
        <f t="shared" si="15"/>
        <v>82</v>
      </c>
      <c r="P997" s="13">
        <v>984</v>
      </c>
      <c r="Q997" s="22"/>
      <c r="R997" s="19"/>
      <c r="S997" s="22"/>
      <c r="T997" s="19"/>
      <c r="U997" s="24">
        <v>1.7803324671144427E-2</v>
      </c>
      <c r="V997" s="24">
        <f>(1+U998)^P998/(1+U997)^P997-1</f>
        <v>2.1353981844995928E-6</v>
      </c>
      <c r="W997" s="23"/>
      <c r="X997" s="35"/>
    </row>
    <row r="998" spans="15:24" ht="17.100000000000001" customHeight="1">
      <c r="O998" s="12">
        <f t="shared" si="15"/>
        <v>82.083333333333329</v>
      </c>
      <c r="P998" s="13">
        <v>985</v>
      </c>
      <c r="Q998" s="22"/>
      <c r="R998" s="19"/>
      <c r="S998" s="22"/>
      <c r="T998" s="19"/>
      <c r="U998" s="24">
        <v>1.7785092653487267E-2</v>
      </c>
      <c r="V998" s="24">
        <f>(1+U999)^P999/(1+U998)^P998-1</f>
        <v>2.1045651801276932E-6</v>
      </c>
      <c r="W998" s="23"/>
      <c r="X998" s="35"/>
    </row>
    <row r="999" spans="15:24" ht="17.100000000000001" customHeight="1">
      <c r="O999" s="12">
        <f t="shared" si="15"/>
        <v>82.166666666666671</v>
      </c>
      <c r="P999" s="13">
        <v>986</v>
      </c>
      <c r="Q999" s="22"/>
      <c r="R999" s="19"/>
      <c r="S999" s="22"/>
      <c r="T999" s="19"/>
      <c r="U999" s="24">
        <v>1.7766897911382973E-2</v>
      </c>
      <c r="V999" s="24">
        <f>(1+U1000)^P1000/(1+U999)^P999-1</f>
        <v>2.0741765309750804E-6</v>
      </c>
      <c r="W999" s="23"/>
      <c r="X999" s="35"/>
    </row>
    <row r="1000" spans="15:24" ht="17.100000000000001" customHeight="1">
      <c r="O1000" s="12">
        <f t="shared" si="15"/>
        <v>82.25</v>
      </c>
      <c r="P1000" s="13">
        <v>987</v>
      </c>
      <c r="Q1000" s="22"/>
      <c r="R1000" s="19"/>
      <c r="S1000" s="22"/>
      <c r="T1000" s="19"/>
      <c r="U1000" s="24">
        <v>1.7748740330997714E-2</v>
      </c>
      <c r="V1000" s="24">
        <f>(1+U1001)^P1001/(1+U1000)^P1000-1</f>
        <v>2.044227524589104E-6</v>
      </c>
      <c r="W1000" s="23"/>
      <c r="X1000" s="35"/>
    </row>
    <row r="1001" spans="15:24" ht="17.100000000000001" customHeight="1">
      <c r="O1001" s="12">
        <f t="shared" si="15"/>
        <v>82.333333333333329</v>
      </c>
      <c r="P1001" s="13">
        <v>988</v>
      </c>
      <c r="Q1001" s="22"/>
      <c r="R1001" s="19"/>
      <c r="S1001" s="22"/>
      <c r="T1001" s="19"/>
      <c r="U1001" s="24">
        <v>1.773061979895707E-2</v>
      </c>
      <c r="V1001" s="24">
        <f>(1+U1002)^P1002/(1+U1001)^P1001-1</f>
        <v>2.0147106312151664E-6</v>
      </c>
      <c r="W1001" s="23"/>
      <c r="X1001" s="35"/>
    </row>
    <row r="1002" spans="15:24" ht="17.100000000000001" customHeight="1">
      <c r="O1002" s="12">
        <f t="shared" si="15"/>
        <v>82.416666666666671</v>
      </c>
      <c r="P1002" s="13">
        <v>989</v>
      </c>
      <c r="Q1002" s="22"/>
      <c r="R1002" s="19"/>
      <c r="S1002" s="22"/>
      <c r="T1002" s="19"/>
      <c r="U1002" s="24">
        <v>1.7712536202341811E-2</v>
      </c>
      <c r="V1002" s="24">
        <f>(1+U1003)^P1003/(1+U1002)^P1002-1</f>
        <v>1.9856197766010553E-6</v>
      </c>
      <c r="W1002" s="23"/>
      <c r="X1002" s="35"/>
    </row>
    <row r="1003" spans="15:24" ht="17.100000000000001" customHeight="1">
      <c r="O1003" s="12">
        <f t="shared" si="15"/>
        <v>82.5</v>
      </c>
      <c r="P1003" s="13">
        <v>990</v>
      </c>
      <c r="Q1003" s="22"/>
      <c r="R1003" s="19"/>
      <c r="S1003" s="22"/>
      <c r="T1003" s="19"/>
      <c r="U1003" s="24">
        <v>1.7694489428686788E-2</v>
      </c>
      <c r="V1003" s="24">
        <f>(1+U1004)^P1004/(1+U1003)^P1003-1</f>
        <v>1.9569491476190137E-6</v>
      </c>
      <c r="W1003" s="23"/>
      <c r="X1003" s="35"/>
    </row>
    <row r="1004" spans="15:24" ht="17.100000000000001" customHeight="1">
      <c r="O1004" s="12">
        <f t="shared" si="15"/>
        <v>82.583333333333329</v>
      </c>
      <c r="P1004" s="13">
        <v>991</v>
      </c>
      <c r="Q1004" s="22"/>
      <c r="R1004" s="19"/>
      <c r="S1004" s="22"/>
      <c r="T1004" s="19"/>
      <c r="U1004" s="24">
        <v>1.767647936597827E-2</v>
      </c>
      <c r="V1004" s="24">
        <f>(1+U1005)^P1005/(1+U1004)^P1004-1</f>
        <v>1.9286925521111442E-6</v>
      </c>
      <c r="W1004" s="23"/>
      <c r="X1004" s="35"/>
    </row>
    <row r="1005" spans="15:24" ht="17.100000000000001" customHeight="1">
      <c r="O1005" s="12">
        <f t="shared" si="15"/>
        <v>82.666666666666671</v>
      </c>
      <c r="P1005" s="13">
        <v>992</v>
      </c>
      <c r="Q1005" s="22"/>
      <c r="R1005" s="19"/>
      <c r="S1005" s="22"/>
      <c r="T1005" s="19"/>
      <c r="U1005" s="24">
        <v>1.7658505902652166E-2</v>
      </c>
      <c r="V1005" s="24">
        <f>(1+U1006)^P1006/(1+U1005)^P1005-1</f>
        <v>1.9008436116241256E-6</v>
      </c>
      <c r="W1005" s="23"/>
      <c r="X1005" s="35"/>
    </row>
    <row r="1006" spans="15:24" ht="17.100000000000001" customHeight="1">
      <c r="O1006" s="12">
        <f t="shared" si="15"/>
        <v>82.75</v>
      </c>
      <c r="P1006" s="13">
        <v>993</v>
      </c>
      <c r="Q1006" s="22"/>
      <c r="R1006" s="19"/>
      <c r="S1006" s="22"/>
      <c r="T1006" s="19"/>
      <c r="U1006" s="24">
        <v>1.7640568927590916E-2</v>
      </c>
      <c r="V1006" s="24">
        <f>(1+U1007)^P1007/(1+U1006)^P1006-1</f>
        <v>1.8733972941831212E-6</v>
      </c>
      <c r="W1006" s="23"/>
      <c r="X1006" s="35"/>
    </row>
    <row r="1007" spans="15:24" ht="17.100000000000001" customHeight="1">
      <c r="O1007" s="12">
        <f t="shared" si="15"/>
        <v>82.833333333333329</v>
      </c>
      <c r="P1007" s="13">
        <v>994</v>
      </c>
      <c r="Q1007" s="22"/>
      <c r="R1007" s="19"/>
      <c r="S1007" s="22"/>
      <c r="T1007" s="19"/>
      <c r="U1007" s="24">
        <v>1.7622668330123048E-2</v>
      </c>
      <c r="V1007" s="24">
        <f>(1+U1008)^P1008/(1+U1007)^P1007-1</f>
        <v>1.8463468804963412E-6</v>
      </c>
      <c r="W1007" s="23"/>
      <c r="X1007" s="35"/>
    </row>
    <row r="1008" spans="15:24" ht="17.100000000000001" customHeight="1">
      <c r="O1008" s="12">
        <f t="shared" si="15"/>
        <v>82.916666666666671</v>
      </c>
      <c r="P1008" s="13">
        <v>995</v>
      </c>
      <c r="Q1008" s="22"/>
      <c r="R1008" s="19"/>
      <c r="S1008" s="22"/>
      <c r="T1008" s="19"/>
      <c r="U1008" s="24">
        <v>1.7604804000018737E-2</v>
      </c>
      <c r="V1008" s="24">
        <f>(1+U1009)^P1009/(1+U1008)^P1008-1</f>
        <v>1.8196871227615929E-6</v>
      </c>
      <c r="W1008" s="23"/>
      <c r="X1008" s="35"/>
    </row>
    <row r="1009" spans="15:24" ht="17.100000000000001" customHeight="1">
      <c r="O1009" s="12">
        <f t="shared" si="15"/>
        <v>83</v>
      </c>
      <c r="P1009" s="13">
        <v>996</v>
      </c>
      <c r="Q1009" s="22"/>
      <c r="R1009" s="19"/>
      <c r="S1009" s="22"/>
      <c r="T1009" s="19"/>
      <c r="U1009" s="24">
        <v>1.758697582748936E-2</v>
      </c>
      <c r="V1009" s="24">
        <f>(1+U1010)^P1010/(1+U1009)^P1009-1</f>
        <v>1.7934124258989215E-6</v>
      </c>
      <c r="W1009" s="23"/>
      <c r="X1009" s="35"/>
    </row>
    <row r="1010" spans="15:24" ht="17.100000000000001" customHeight="1">
      <c r="O1010" s="12">
        <f t="shared" si="15"/>
        <v>83.083333333333329</v>
      </c>
      <c r="P1010" s="13">
        <v>997</v>
      </c>
      <c r="Q1010" s="22"/>
      <c r="R1010" s="19"/>
      <c r="S1010" s="22"/>
      <c r="T1010" s="19"/>
      <c r="U1010" s="24">
        <v>1.7569183703185054E-2</v>
      </c>
      <c r="V1010" s="24">
        <f>(1+U1011)^P1011/(1+U1010)^P1010-1</f>
        <v>1.7675170325137657E-6</v>
      </c>
      <c r="W1010" s="23"/>
      <c r="X1010" s="35"/>
    </row>
    <row r="1011" spans="15:24" ht="17.100000000000001" customHeight="1">
      <c r="O1011" s="12">
        <f t="shared" si="15"/>
        <v>83.166666666666671</v>
      </c>
      <c r="P1011" s="13">
        <v>998</v>
      </c>
      <c r="Q1011" s="22"/>
      <c r="R1011" s="19"/>
      <c r="S1011" s="22"/>
      <c r="T1011" s="19"/>
      <c r="U1011" s="24">
        <v>1.7551427518191831E-2</v>
      </c>
      <c r="V1011" s="24">
        <f>(1+U1012)^P1012/(1+U1011)^P1011-1</f>
        <v>1.7419954472241983E-6</v>
      </c>
      <c r="W1011" s="23"/>
      <c r="X1011" s="35"/>
    </row>
    <row r="1012" spans="15:24" ht="17.100000000000001" customHeight="1">
      <c r="O1012" s="12">
        <f t="shared" si="15"/>
        <v>83.25</v>
      </c>
      <c r="P1012" s="13">
        <v>999</v>
      </c>
      <c r="Q1012" s="22"/>
      <c r="R1012" s="19"/>
      <c r="S1012" s="22"/>
      <c r="T1012" s="19"/>
      <c r="U1012" s="24">
        <v>1.7533707164030243E-2</v>
      </c>
      <c r="V1012" s="24">
        <f>(1+U1013)^P1013/(1+U1012)^P1012-1</f>
        <v>1.7168424522040482E-6</v>
      </c>
      <c r="W1012" s="23"/>
      <c r="X1012" s="35"/>
    </row>
    <row r="1013" spans="15:24" ht="17.100000000000001" customHeight="1">
      <c r="O1013" s="12">
        <f t="shared" si="15"/>
        <v>83.333333333333329</v>
      </c>
      <c r="P1013" s="13">
        <v>1000</v>
      </c>
      <c r="Q1013" s="22"/>
      <c r="R1013" s="19"/>
      <c r="S1013" s="22"/>
      <c r="T1013" s="19"/>
      <c r="U1013" s="24">
        <v>1.7516022532652942E-2</v>
      </c>
      <c r="V1013" s="24">
        <f>(1+U1014)^P1014/(1+U1013)^P1013-1</f>
        <v>1.692052632451535E-6</v>
      </c>
      <c r="W1013" s="23"/>
      <c r="X1013" s="35"/>
    </row>
    <row r="1014" spans="15:24" ht="17.100000000000001" customHeight="1">
      <c r="O1014" s="12">
        <f t="shared" si="15"/>
        <v>83.416666666666671</v>
      </c>
      <c r="P1014" s="13">
        <v>1001</v>
      </c>
      <c r="Q1014" s="22"/>
      <c r="R1014" s="19"/>
      <c r="S1014" s="22"/>
      <c r="T1014" s="19"/>
      <c r="U1014" s="24">
        <v>1.7498373516442678E-2</v>
      </c>
      <c r="V1014" s="24">
        <f>(1+U1015)^P1015/(1+U1014)^P1014-1</f>
        <v>1.6676211163080268E-6</v>
      </c>
      <c r="W1014" s="23"/>
      <c r="X1014" s="35"/>
    </row>
    <row r="1015" spans="15:24" ht="17.100000000000001" customHeight="1">
      <c r="O1015" s="12">
        <f t="shared" si="15"/>
        <v>83.5</v>
      </c>
      <c r="P1015" s="13">
        <v>1002</v>
      </c>
      <c r="Q1015" s="22"/>
      <c r="R1015" s="19"/>
      <c r="S1015" s="22"/>
      <c r="T1015" s="19"/>
      <c r="U1015" s="24">
        <v>1.7480760008210305E-2</v>
      </c>
      <c r="V1015" s="24">
        <f>(1+U1016)^P1016/(1+U1015)^P1015-1</f>
        <v>1.6435416771987121E-6</v>
      </c>
      <c r="W1015" s="23"/>
      <c r="X1015" s="35"/>
    </row>
    <row r="1016" spans="15:24" ht="17.100000000000001" customHeight="1">
      <c r="O1016" s="12">
        <f t="shared" si="15"/>
        <v>83.583333333333329</v>
      </c>
      <c r="P1016" s="13">
        <v>1003</v>
      </c>
      <c r="Q1016" s="22"/>
      <c r="R1016" s="19"/>
      <c r="S1016" s="22"/>
      <c r="T1016" s="19"/>
      <c r="U1016" s="24">
        <v>1.7463181901192115E-2</v>
      </c>
      <c r="V1016" s="24">
        <f>(1+U1017)^P1017/(1+U1016)^P1016-1</f>
        <v>1.6198103105491413E-6</v>
      </c>
      <c r="W1016" s="23"/>
      <c r="X1016" s="35"/>
    </row>
    <row r="1017" spans="15:24" ht="17.100000000000001" customHeight="1">
      <c r="O1017" s="12">
        <f t="shared" si="15"/>
        <v>83.666666666666671</v>
      </c>
      <c r="P1017" s="13">
        <v>1004</v>
      </c>
      <c r="Q1017" s="22"/>
      <c r="R1017" s="19"/>
      <c r="S1017" s="22"/>
      <c r="T1017" s="19"/>
      <c r="U1017" s="24">
        <v>1.7445639089048504E-2</v>
      </c>
      <c r="V1017" s="24">
        <f>(1+U1018)^P1018/(1+U1017)^P1017-1</f>
        <v>1.596421877803067E-6</v>
      </c>
      <c r="W1017" s="23"/>
      <c r="X1017" s="35"/>
    </row>
    <row r="1018" spans="15:24" ht="17.100000000000001" customHeight="1">
      <c r="O1018" s="12">
        <f t="shared" si="15"/>
        <v>83.75</v>
      </c>
      <c r="P1018" s="13">
        <v>1005</v>
      </c>
      <c r="Q1018" s="22"/>
      <c r="R1018" s="19"/>
      <c r="S1018" s="22"/>
      <c r="T1018" s="19"/>
      <c r="U1018" s="24">
        <v>1.7428131465862196E-2</v>
      </c>
      <c r="V1018" s="24">
        <f>(1+U1019)^P1019/(1+U1018)^P1018-1</f>
        <v>1.5733705749365612E-6</v>
      </c>
      <c r="W1018" s="23"/>
      <c r="X1018" s="35"/>
    </row>
    <row r="1019" spans="15:24" ht="17.100000000000001" customHeight="1">
      <c r="O1019" s="12">
        <f t="shared" si="15"/>
        <v>83.833333333333329</v>
      </c>
      <c r="P1019" s="13">
        <v>1006</v>
      </c>
      <c r="Q1019" s="22"/>
      <c r="R1019" s="19"/>
      <c r="S1019" s="22"/>
      <c r="T1019" s="19"/>
      <c r="U1019" s="24">
        <v>1.741065892613447E-2</v>
      </c>
      <c r="V1019" s="24">
        <f>(1+U1020)^P1020/(1+U1019)^P1019-1</f>
        <v>1.550652224846516E-6</v>
      </c>
      <c r="W1019" s="23"/>
      <c r="X1019" s="35"/>
    </row>
    <row r="1020" spans="15:24" ht="17.100000000000001" customHeight="1">
      <c r="O1020" s="12">
        <f t="shared" si="15"/>
        <v>83.916666666666671</v>
      </c>
      <c r="P1020" s="13">
        <v>1007</v>
      </c>
      <c r="Q1020" s="22"/>
      <c r="R1020" s="19"/>
      <c r="S1020" s="22"/>
      <c r="T1020" s="19"/>
      <c r="U1020" s="24">
        <v>1.7393221364785161E-2</v>
      </c>
      <c r="V1020" s="24">
        <f>(1+U1021)^P1021/(1+U1020)^P1020-1</f>
        <v>1.528262443928341E-6</v>
      </c>
      <c r="W1020" s="23"/>
      <c r="X1020" s="35"/>
    </row>
    <row r="1021" spans="15:24" ht="17.100000000000001" customHeight="1">
      <c r="O1021" s="12">
        <f t="shared" si="15"/>
        <v>84</v>
      </c>
      <c r="P1021" s="13">
        <v>1008</v>
      </c>
      <c r="Q1021" s="22"/>
      <c r="R1021" s="19"/>
      <c r="S1021" s="22"/>
      <c r="T1021" s="19"/>
      <c r="U1021" s="24">
        <v>1.737581867714999E-2</v>
      </c>
      <c r="V1021" s="24">
        <f>(1+U1022)^P1022/(1+U1021)^P1021-1</f>
        <v>1.506195346667738E-6</v>
      </c>
      <c r="W1021" s="23"/>
      <c r="X1021" s="35"/>
    </row>
    <row r="1022" spans="15:24" ht="17.100000000000001" customHeight="1">
      <c r="O1022" s="12">
        <f t="shared" si="15"/>
        <v>84.083333333333329</v>
      </c>
      <c r="P1022" s="13">
        <v>1009</v>
      </c>
      <c r="Q1022" s="22"/>
      <c r="R1022" s="19"/>
      <c r="S1022" s="22"/>
      <c r="T1022" s="19"/>
      <c r="U1022" s="24">
        <v>1.7358450758977462E-2</v>
      </c>
      <c r="V1022" s="24">
        <f>(1+U1023)^P1023/(1+U1022)^P1022-1</f>
        <v>1.4844470541675037E-6</v>
      </c>
      <c r="W1022" s="23"/>
      <c r="X1022" s="35"/>
    </row>
    <row r="1023" spans="15:24" ht="17.100000000000001" customHeight="1">
      <c r="O1023" s="12">
        <f t="shared" si="15"/>
        <v>84.166666666666671</v>
      </c>
      <c r="P1023" s="13">
        <v>1010</v>
      </c>
      <c r="Q1023" s="22"/>
      <c r="R1023" s="19"/>
      <c r="S1023" s="22"/>
      <c r="T1023" s="19"/>
      <c r="U1023" s="24">
        <v>1.7341117506428416E-2</v>
      </c>
      <c r="V1023" s="24">
        <f>(1+U1024)^P1024/(1+U1023)^P1023-1</f>
        <v>1.4630129732129404E-6</v>
      </c>
      <c r="W1023" s="23"/>
      <c r="X1023" s="35"/>
    </row>
    <row r="1024" spans="15:24" ht="17.100000000000001" customHeight="1">
      <c r="O1024" s="12">
        <f t="shared" si="15"/>
        <v>84.25</v>
      </c>
      <c r="P1024" s="13">
        <v>1011</v>
      </c>
      <c r="Q1024" s="22"/>
      <c r="R1024" s="19"/>
      <c r="S1024" s="22"/>
      <c r="T1024" s="19"/>
      <c r="U1024" s="24">
        <v>1.7323818816073588E-2</v>
      </c>
      <c r="V1024" s="24">
        <f>(1+U1025)^P1025/(1+U1024)^P1024-1</f>
        <v>1.4418883518274583E-6</v>
      </c>
      <c r="W1024" s="23"/>
      <c r="X1024" s="35"/>
    </row>
    <row r="1025" spans="15:24" ht="17.100000000000001" customHeight="1">
      <c r="O1025" s="12">
        <f t="shared" si="15"/>
        <v>84.333333333333329</v>
      </c>
      <c r="P1025" s="13">
        <v>1012</v>
      </c>
      <c r="Q1025" s="22"/>
      <c r="R1025" s="19"/>
      <c r="S1025" s="22"/>
      <c r="T1025" s="19"/>
      <c r="U1025" s="24">
        <v>1.7306554584890943E-2</v>
      </c>
      <c r="V1025" s="24">
        <f>(1+U1026)^P1026/(1+U1025)^P1025-1</f>
        <v>1.4210684471382962E-6</v>
      </c>
      <c r="W1025" s="23"/>
      <c r="X1025" s="35"/>
    </row>
    <row r="1026" spans="15:24" ht="17.100000000000001" customHeight="1">
      <c r="O1026" s="12">
        <f t="shared" si="15"/>
        <v>84.416666666666671</v>
      </c>
      <c r="P1026" s="13">
        <v>1013</v>
      </c>
      <c r="Q1026" s="22"/>
      <c r="R1026" s="19"/>
      <c r="S1026" s="22"/>
      <c r="T1026" s="19"/>
      <c r="U1026" s="24">
        <v>1.728932471026412E-2</v>
      </c>
      <c r="V1026" s="24">
        <f>(1+U1027)^P1027/(1+U1026)^P1026-1</f>
        <v>1.4005493351731957E-6</v>
      </c>
      <c r="W1026" s="23"/>
      <c r="X1026" s="35"/>
    </row>
    <row r="1027" spans="15:24" ht="17.100000000000001" customHeight="1">
      <c r="O1027" s="12">
        <f t="shared" si="15"/>
        <v>84.5</v>
      </c>
      <c r="P1027" s="13">
        <v>1014</v>
      </c>
      <c r="Q1027" s="22"/>
      <c r="R1027" s="19"/>
      <c r="S1027" s="22"/>
      <c r="T1027" s="19"/>
      <c r="U1027" s="24">
        <v>1.7272129089981103E-2</v>
      </c>
      <c r="V1027" s="24">
        <f>(1+U1028)^P1028/(1+U1027)^P1027-1</f>
        <v>1.3803266414313953E-6</v>
      </c>
      <c r="W1027" s="23"/>
      <c r="X1027" s="35"/>
    </row>
    <row r="1028" spans="15:24" ht="17.100000000000001" customHeight="1">
      <c r="O1028" s="12">
        <f t="shared" si="15"/>
        <v>84.583333333333329</v>
      </c>
      <c r="P1028" s="13">
        <v>1015</v>
      </c>
      <c r="Q1028" s="22"/>
      <c r="R1028" s="19"/>
      <c r="S1028" s="22"/>
      <c r="T1028" s="19"/>
      <c r="U1028" s="24">
        <v>1.7254967622231554E-2</v>
      </c>
      <c r="V1028" s="24">
        <f>(1+U1029)^P1029/(1+U1028)^P1028-1</f>
        <v>1.3603957687013946E-6</v>
      </c>
      <c r="W1028" s="23"/>
      <c r="X1028" s="35"/>
    </row>
    <row r="1029" spans="15:24" ht="17.100000000000001" customHeight="1">
      <c r="O1029" s="12">
        <f t="shared" si="15"/>
        <v>84.666666666666671</v>
      </c>
      <c r="P1029" s="13">
        <v>1016</v>
      </c>
      <c r="Q1029" s="22"/>
      <c r="R1029" s="19"/>
      <c r="S1029" s="22"/>
      <c r="T1029" s="19"/>
      <c r="U1029" s="24">
        <v>1.7237840205604815E-2</v>
      </c>
      <c r="V1029" s="24">
        <f>(1+U1030)^P1030/(1+U1029)^P1029-1</f>
        <v>1.3407526140429837E-6</v>
      </c>
      <c r="W1029" s="23"/>
      <c r="X1029" s="35"/>
    </row>
    <row r="1030" spans="15:24" ht="17.100000000000001" customHeight="1">
      <c r="O1030" s="12">
        <f t="shared" si="15"/>
        <v>84.75</v>
      </c>
      <c r="P1030" s="13">
        <v>1017</v>
      </c>
      <c r="Q1030" s="22"/>
      <c r="R1030" s="19"/>
      <c r="S1030" s="22"/>
      <c r="T1030" s="19"/>
      <c r="U1030" s="24">
        <v>1.7220746739088355E-2</v>
      </c>
      <c r="V1030" s="24">
        <f>(1+U1031)^P1031/(1+U1030)^P1030-1</f>
        <v>1.3213934273448302E-6</v>
      </c>
      <c r="W1030" s="23"/>
      <c r="X1030" s="35"/>
    </row>
    <row r="1031" spans="15:24" ht="17.100000000000001" customHeight="1">
      <c r="O1031" s="12">
        <f t="shared" si="15"/>
        <v>84.833333333333329</v>
      </c>
      <c r="P1031" s="13">
        <v>1018</v>
      </c>
      <c r="Q1031" s="22"/>
      <c r="R1031" s="19"/>
      <c r="S1031" s="22"/>
      <c r="T1031" s="19"/>
      <c r="U1031" s="24">
        <v>1.7203687122066214E-2</v>
      </c>
      <c r="V1031" s="24">
        <f>(1+U1032)^P1032/(1+U1031)^P1031-1</f>
        <v>1.3023133975664791E-6</v>
      </c>
      <c r="W1031" s="23"/>
      <c r="X1031" s="35"/>
    </row>
    <row r="1032" spans="15:24" ht="17.100000000000001" customHeight="1">
      <c r="O1032" s="12">
        <f t="shared" si="15"/>
        <v>84.916666666666671</v>
      </c>
      <c r="P1032" s="13">
        <v>1019</v>
      </c>
      <c r="Q1032" s="22"/>
      <c r="R1032" s="19"/>
      <c r="S1032" s="22"/>
      <c r="T1032" s="19"/>
      <c r="U1032" s="24">
        <v>1.7186661254315894E-2</v>
      </c>
      <c r="V1032" s="24">
        <f>(1+U1033)^P1033/(1+U1032)^P1032-1</f>
        <v>1.2835092046969976E-6</v>
      </c>
      <c r="W1032" s="23"/>
      <c r="X1032" s="35"/>
    </row>
    <row r="1033" spans="15:24" ht="17.100000000000001" customHeight="1">
      <c r="O1033" s="12">
        <f t="shared" si="15"/>
        <v>85</v>
      </c>
      <c r="P1033" s="13">
        <v>1020</v>
      </c>
      <c r="Q1033" s="22"/>
      <c r="R1033" s="19"/>
      <c r="S1033" s="22"/>
      <c r="T1033" s="19"/>
      <c r="U1033" s="24">
        <v>1.7169669036007917E-2</v>
      </c>
      <c r="V1033" s="24">
        <f>(1+U1034)^P1034/(1+U1033)^P1033-1</f>
        <v>1.2649762968219846E-6</v>
      </c>
      <c r="W1033" s="23"/>
      <c r="X1033" s="35"/>
    </row>
    <row r="1034" spans="15:24" ht="17.100000000000001" customHeight="1">
      <c r="O1034" s="12">
        <f t="shared" si="15"/>
        <v>85.083333333333329</v>
      </c>
      <c r="P1034" s="13">
        <v>1021</v>
      </c>
      <c r="Q1034" s="22"/>
      <c r="R1034" s="19"/>
      <c r="S1034" s="22"/>
      <c r="T1034" s="19"/>
      <c r="U1034" s="24">
        <v>1.7152710367702495E-2</v>
      </c>
      <c r="V1034" s="24">
        <f>(1+U1035)^P1035/(1+U1034)^P1034-1</f>
        <v>1.2467109751224115E-6</v>
      </c>
      <c r="W1034" s="23"/>
      <c r="X1034" s="35"/>
    </row>
    <row r="1035" spans="15:24" ht="17.100000000000001" customHeight="1">
      <c r="O1035" s="12">
        <f t="shared" si="15"/>
        <v>85.166666666666671</v>
      </c>
      <c r="P1035" s="13">
        <v>1022</v>
      </c>
      <c r="Q1035" s="22"/>
      <c r="R1035" s="19"/>
      <c r="S1035" s="22"/>
      <c r="T1035" s="19"/>
      <c r="U1035" s="24">
        <v>1.7135785150349081E-2</v>
      </c>
      <c r="V1035" s="24">
        <f>(1+U1036)^P1036/(1+U1035)^P1035-1</f>
        <v>1.2287094448559799E-6</v>
      </c>
      <c r="W1035" s="23"/>
      <c r="X1035" s="35"/>
    </row>
    <row r="1036" spans="15:24" ht="17.100000000000001" customHeight="1">
      <c r="O1036" s="12">
        <f t="shared" si="15"/>
        <v>85.25</v>
      </c>
      <c r="P1036" s="13">
        <v>1023</v>
      </c>
      <c r="Q1036" s="22"/>
      <c r="R1036" s="19"/>
      <c r="S1036" s="22"/>
      <c r="T1036" s="19"/>
      <c r="U1036" s="24">
        <v>1.7118893285283487E-2</v>
      </c>
      <c r="V1036" s="24">
        <f>(1+U1037)^P1037/(1+U1036)^P1036-1</f>
        <v>1.2109678566574189E-6</v>
      </c>
      <c r="W1036" s="23"/>
      <c r="X1036" s="35"/>
    </row>
    <row r="1037" spans="15:24" ht="17.100000000000001" customHeight="1">
      <c r="O1037" s="12">
        <f t="shared" si="15"/>
        <v>85.333333333333329</v>
      </c>
      <c r="P1037" s="13">
        <v>1024</v>
      </c>
      <c r="Q1037" s="22"/>
      <c r="R1037" s="19"/>
      <c r="S1037" s="22"/>
      <c r="T1037" s="19"/>
      <c r="U1037" s="24">
        <v>1.7102034674226552E-2</v>
      </c>
      <c r="V1037" s="24">
        <f>(1+U1038)^P1038/(1+U1037)^P1037-1</f>
        <v>1.1934824324377757E-6</v>
      </c>
      <c r="W1037" s="23"/>
      <c r="X1037" s="35"/>
    </row>
    <row r="1038" spans="15:24" ht="17.100000000000001" customHeight="1">
      <c r="O1038" s="12">
        <f t="shared" ref="O1038:O1101" si="16">P1038/12</f>
        <v>85.416666666666671</v>
      </c>
      <c r="P1038" s="13">
        <v>1025</v>
      </c>
      <c r="Q1038" s="22"/>
      <c r="R1038" s="19"/>
      <c r="S1038" s="22"/>
      <c r="T1038" s="19"/>
      <c r="U1038" s="24">
        <v>1.7085209219281916E-2</v>
      </c>
      <c r="V1038" s="24">
        <f>(1+U1039)^P1039/(1+U1038)^P1038-1</f>
        <v>1.1762494660505496E-6</v>
      </c>
      <c r="W1038" s="23"/>
      <c r="X1038" s="35"/>
    </row>
    <row r="1039" spans="15:24" ht="17.100000000000001" customHeight="1">
      <c r="O1039" s="12">
        <f t="shared" si="16"/>
        <v>85.5</v>
      </c>
      <c r="P1039" s="13">
        <v>1026</v>
      </c>
      <c r="Q1039" s="22"/>
      <c r="R1039" s="19"/>
      <c r="S1039" s="22"/>
      <c r="T1039" s="19"/>
      <c r="U1039" s="24">
        <v>1.7068416822934696E-2</v>
      </c>
      <c r="V1039" s="24">
        <f>(1+U1040)^P1040/(1+U1039)^P1039-1</f>
        <v>1.1592654431957783E-6</v>
      </c>
      <c r="W1039" s="23"/>
      <c r="X1039" s="35"/>
    </row>
    <row r="1040" spans="15:24" ht="17.100000000000001" customHeight="1">
      <c r="O1040" s="12">
        <f t="shared" si="16"/>
        <v>85.583333333333329</v>
      </c>
      <c r="P1040" s="13">
        <v>1027</v>
      </c>
      <c r="Q1040" s="22"/>
      <c r="R1040" s="19"/>
      <c r="S1040" s="22"/>
      <c r="T1040" s="19"/>
      <c r="U1040" s="24">
        <v>1.7051657388049257E-2</v>
      </c>
      <c r="V1040" s="24">
        <f>(1+U1041)^P1041/(1+U1040)^P1040-1</f>
        <v>1.1425264432318727E-6</v>
      </c>
      <c r="W1040" s="23"/>
      <c r="X1040" s="35"/>
    </row>
    <row r="1041" spans="15:24" ht="17.100000000000001" customHeight="1">
      <c r="O1041" s="12">
        <f t="shared" si="16"/>
        <v>85.666666666666671</v>
      </c>
      <c r="P1041" s="13">
        <v>1028</v>
      </c>
      <c r="Q1041" s="22"/>
      <c r="R1041" s="19"/>
      <c r="S1041" s="22"/>
      <c r="T1041" s="19"/>
      <c r="U1041" s="24">
        <v>1.7034930817867444E-2</v>
      </c>
      <c r="V1041" s="24">
        <f>(1+U1042)^P1042/(1+U1041)^P1041-1</f>
        <v>1.1260291450376769E-6</v>
      </c>
      <c r="W1041" s="23"/>
      <c r="X1041" s="35"/>
    </row>
    <row r="1042" spans="15:24" ht="17.100000000000001" customHeight="1">
      <c r="O1042" s="12">
        <f t="shared" si="16"/>
        <v>85.75</v>
      </c>
      <c r="P1042" s="13">
        <v>1029</v>
      </c>
      <c r="Q1042" s="22"/>
      <c r="R1042" s="19"/>
      <c r="S1042" s="22"/>
      <c r="T1042" s="19"/>
      <c r="U1042" s="24">
        <v>1.7018237016007021E-2</v>
      </c>
      <c r="V1042" s="24">
        <f>(1+U1043)^P1043/(1+U1042)^P1042-1</f>
        <v>1.1097703531692815E-6</v>
      </c>
      <c r="W1042" s="23"/>
      <c r="X1042" s="35"/>
    </row>
    <row r="1043" spans="15:24" ht="17.100000000000001" customHeight="1">
      <c r="O1043" s="12">
        <f t="shared" si="16"/>
        <v>85.833333333333329</v>
      </c>
      <c r="P1043" s="13">
        <v>1030</v>
      </c>
      <c r="Q1043" s="22"/>
      <c r="R1043" s="19"/>
      <c r="S1043" s="22"/>
      <c r="T1043" s="19"/>
      <c r="U1043" s="24">
        <v>1.7001575886459674E-2</v>
      </c>
      <c r="V1043" s="24">
        <f>(1+U1044)^P1044/(1+U1043)^P1043-1</f>
        <v>1.0937460714899316E-6</v>
      </c>
      <c r="W1043" s="23"/>
      <c r="X1043" s="35"/>
    </row>
    <row r="1044" spans="15:24" ht="17.100000000000001" customHeight="1">
      <c r="O1044" s="12">
        <f t="shared" si="16"/>
        <v>85.916666666666671</v>
      </c>
      <c r="P1044" s="13">
        <v>1031</v>
      </c>
      <c r="Q1044" s="22"/>
      <c r="R1044" s="19"/>
      <c r="S1044" s="22"/>
      <c r="T1044" s="19"/>
      <c r="U1044" s="24">
        <v>1.698494733358924E-2</v>
      </c>
      <c r="V1044" s="24">
        <f>(1+U1045)^P1045/(1+U1044)^P1044-1</f>
        <v>1.0779531947058274E-6</v>
      </c>
      <c r="W1044" s="23"/>
      <c r="X1044" s="35"/>
    </row>
    <row r="1045" spans="15:24" ht="17.100000000000001" customHeight="1">
      <c r="O1045" s="12">
        <f t="shared" si="16"/>
        <v>86</v>
      </c>
      <c r="P1045" s="13">
        <v>1032</v>
      </c>
      <c r="Q1045" s="22"/>
      <c r="R1045" s="19"/>
      <c r="S1045" s="22"/>
      <c r="T1045" s="19"/>
      <c r="U1045" s="24">
        <v>1.6968351262130144E-2</v>
      </c>
      <c r="V1045" s="24">
        <f>(1+U1046)^P1046/(1+U1045)^P1045-1</f>
        <v>1.0623885513538767E-6</v>
      </c>
      <c r="W1045" s="23"/>
      <c r="X1045" s="35"/>
    </row>
    <row r="1046" spans="15:24" ht="17.100000000000001" customHeight="1">
      <c r="O1046" s="12">
        <f t="shared" si="16"/>
        <v>86.083333333333329</v>
      </c>
      <c r="P1046" s="13">
        <v>1033</v>
      </c>
      <c r="Q1046" s="22"/>
      <c r="R1046" s="19"/>
      <c r="S1046" s="22"/>
      <c r="T1046" s="19"/>
      <c r="U1046" s="24">
        <v>1.6951787577185407E-2</v>
      </c>
      <c r="V1046" s="24">
        <f>(1+U1047)^P1047/(1+U1046)^P1046-1</f>
        <v>1.0470481510704843E-6</v>
      </c>
      <c r="W1046" s="23"/>
      <c r="X1046" s="35"/>
    </row>
    <row r="1047" spans="15:24" ht="17.100000000000001" customHeight="1">
      <c r="O1047" s="12">
        <f t="shared" si="16"/>
        <v>86.166666666666671</v>
      </c>
      <c r="P1047" s="13">
        <v>1034</v>
      </c>
      <c r="Q1047" s="22"/>
      <c r="R1047" s="19"/>
      <c r="S1047" s="22"/>
      <c r="T1047" s="19"/>
      <c r="U1047" s="24">
        <v>1.6935256184224645E-2</v>
      </c>
      <c r="V1047" s="24">
        <f>(1+U1048)^P1048/(1+U1047)^P1047-1</f>
        <v>1.0319297842897868E-6</v>
      </c>
      <c r="W1047" s="23"/>
      <c r="X1047" s="35"/>
    </row>
    <row r="1048" spans="15:24" ht="17.100000000000001" customHeight="1">
      <c r="O1048" s="12">
        <f t="shared" si="16"/>
        <v>86.25</v>
      </c>
      <c r="P1048" s="13">
        <v>1035</v>
      </c>
      <c r="Q1048" s="22"/>
      <c r="R1048" s="19"/>
      <c r="S1048" s="22"/>
      <c r="T1048" s="19"/>
      <c r="U1048" s="24">
        <v>1.6918756989083406E-2</v>
      </c>
      <c r="V1048" s="24">
        <f>(1+U1049)^P1049/(1+U1048)^P1048-1</f>
        <v>1.0170296720346528E-6</v>
      </c>
      <c r="W1048" s="23"/>
      <c r="X1048" s="35"/>
    </row>
    <row r="1049" spans="15:24" ht="17.100000000000001" customHeight="1">
      <c r="O1049" s="12">
        <f t="shared" si="16"/>
        <v>86.333333333333329</v>
      </c>
      <c r="P1049" s="13">
        <v>1036</v>
      </c>
      <c r="Q1049" s="22"/>
      <c r="R1049" s="19"/>
      <c r="S1049" s="22"/>
      <c r="T1049" s="19"/>
      <c r="U1049" s="24">
        <v>1.6902289897960054E-2</v>
      </c>
      <c r="V1049" s="24">
        <f>(1+U1050)^P1050/(1+U1049)^P1049-1</f>
        <v>1.0023442207351962E-6</v>
      </c>
      <c r="W1049" s="23"/>
      <c r="X1049" s="35"/>
    </row>
    <row r="1050" spans="15:24" ht="17.100000000000001" customHeight="1">
      <c r="O1050" s="12">
        <f t="shared" si="16"/>
        <v>86.416666666666671</v>
      </c>
      <c r="P1050" s="13">
        <v>1037</v>
      </c>
      <c r="Q1050" s="22"/>
      <c r="R1050" s="19"/>
      <c r="S1050" s="22"/>
      <c r="T1050" s="19"/>
      <c r="U1050" s="24">
        <v>1.6885854817414669E-2</v>
      </c>
      <c r="V1050" s="24">
        <f>(1+U1051)^P1051/(1+U1050)^P1050-1</f>
        <v>9.8787138202993674E-7</v>
      </c>
      <c r="W1050" s="23"/>
      <c r="X1050" s="35"/>
    </row>
    <row r="1051" spans="15:24" ht="17.100000000000001" customHeight="1">
      <c r="O1051" s="12">
        <f t="shared" si="16"/>
        <v>86.5</v>
      </c>
      <c r="P1051" s="13">
        <v>1038</v>
      </c>
      <c r="Q1051" s="22"/>
      <c r="R1051" s="19"/>
      <c r="S1051" s="22"/>
      <c r="T1051" s="19"/>
      <c r="U1051" s="24">
        <v>1.6869451654367928E-2</v>
      </c>
      <c r="V1051" s="24">
        <f>(1+U1052)^P1052/(1+U1051)^P1051-1</f>
        <v>9.7360724726769377E-7</v>
      </c>
      <c r="W1051" s="23"/>
      <c r="X1051" s="35"/>
    </row>
    <row r="1052" spans="15:24" ht="17.100000000000001" customHeight="1">
      <c r="O1052" s="12">
        <f t="shared" si="16"/>
        <v>86.583333333333329</v>
      </c>
      <c r="P1052" s="13">
        <v>1039</v>
      </c>
      <c r="Q1052" s="22"/>
      <c r="R1052" s="19"/>
      <c r="S1052" s="22"/>
      <c r="T1052" s="19"/>
      <c r="U1052" s="24">
        <v>1.6853080316098223E-2</v>
      </c>
      <c r="V1052" s="24">
        <f>(1+U1053)^P1053/(1+U1052)^P1052-1</f>
        <v>9.5954902445960499E-7</v>
      </c>
      <c r="W1052" s="23"/>
      <c r="X1052" s="35"/>
    </row>
    <row r="1053" spans="15:24" ht="17.100000000000001" customHeight="1">
      <c r="O1053" s="12">
        <f t="shared" si="16"/>
        <v>86.666666666666671</v>
      </c>
      <c r="P1053" s="13">
        <v>1040</v>
      </c>
      <c r="Q1053" s="22"/>
      <c r="R1053" s="19"/>
      <c r="S1053" s="22"/>
      <c r="T1053" s="19"/>
      <c r="U1053" s="24">
        <v>1.6836740710240772E-2</v>
      </c>
      <c r="V1053" s="24">
        <f>(1+U1054)^P1054/(1+U1053)^P1053-1</f>
        <v>9.4569396424937224E-7</v>
      </c>
      <c r="W1053" s="23"/>
      <c r="X1053" s="35"/>
    </row>
    <row r="1054" spans="15:24" ht="17.100000000000001" customHeight="1">
      <c r="O1054" s="12">
        <f t="shared" si="16"/>
        <v>86.75</v>
      </c>
      <c r="P1054" s="13">
        <v>1041</v>
      </c>
      <c r="Q1054" s="22"/>
      <c r="R1054" s="19"/>
      <c r="S1054" s="22"/>
      <c r="T1054" s="19"/>
      <c r="U1054" s="24">
        <v>1.6820432744786062E-2</v>
      </c>
      <c r="V1054" s="24">
        <f>(1+U1055)^P1055/(1+U1054)^P1054-1</f>
        <v>9.320388740796659E-7</v>
      </c>
      <c r="W1054" s="23"/>
      <c r="X1054" s="35"/>
    </row>
    <row r="1055" spans="15:24" ht="17.100000000000001" customHeight="1">
      <c r="O1055" s="12">
        <f t="shared" si="16"/>
        <v>86.833333333333329</v>
      </c>
      <c r="P1055" s="13">
        <v>1042</v>
      </c>
      <c r="Q1055" s="22"/>
      <c r="R1055" s="19"/>
      <c r="S1055" s="22"/>
      <c r="T1055" s="19"/>
      <c r="U1055" s="24">
        <v>1.6804156328077191E-2</v>
      </c>
      <c r="V1055" s="24">
        <f>(1+U1056)^P1056/(1+U1055)^P1055-1</f>
        <v>9.1858086848084497E-7</v>
      </c>
      <c r="W1055" s="23"/>
      <c r="X1055" s="35"/>
    </row>
    <row r="1056" spans="15:24" ht="17.100000000000001" customHeight="1">
      <c r="O1056" s="12">
        <f t="shared" si="16"/>
        <v>86.916666666666671</v>
      </c>
      <c r="P1056" s="13">
        <v>1043</v>
      </c>
      <c r="Q1056" s="22"/>
      <c r="R1056" s="19"/>
      <c r="S1056" s="22"/>
      <c r="T1056" s="19"/>
      <c r="U1056" s="24">
        <v>1.6787911368809416E-2</v>
      </c>
      <c r="V1056" s="24">
        <f>(1+U1057)^P1057/(1+U1056)^P1056-1</f>
        <v>9.053173755102506E-7</v>
      </c>
      <c r="W1056" s="23"/>
      <c r="X1056" s="35"/>
    </row>
    <row r="1057" spans="15:24" ht="17.100000000000001" customHeight="1">
      <c r="O1057" s="12">
        <f t="shared" si="16"/>
        <v>87</v>
      </c>
      <c r="P1057" s="13">
        <v>1044</v>
      </c>
      <c r="Q1057" s="22"/>
      <c r="R1057" s="19"/>
      <c r="S1057" s="22"/>
      <c r="T1057" s="19"/>
      <c r="U1057" s="24">
        <v>1.6771697776027716E-2</v>
      </c>
      <c r="V1057" s="24">
        <f>(1+U1058)^P1058/(1+U1057)^P1057-1</f>
        <v>8.9224515908981061E-7</v>
      </c>
      <c r="W1057" s="23"/>
      <c r="X1057" s="35"/>
    </row>
    <row r="1058" spans="15:24" ht="17.100000000000001" customHeight="1">
      <c r="O1058" s="12">
        <f t="shared" si="16"/>
        <v>87.083333333333329</v>
      </c>
      <c r="P1058" s="13">
        <v>1045</v>
      </c>
      <c r="Q1058" s="22"/>
      <c r="R1058" s="19"/>
      <c r="S1058" s="22"/>
      <c r="T1058" s="19"/>
      <c r="U1058" s="24">
        <v>1.6755515459125236E-2</v>
      </c>
      <c r="V1058" s="24">
        <f>(1+U1059)^P1059/(1+U1058)^P1058-1</f>
        <v>8.7936175785507942E-7</v>
      </c>
      <c r="W1058" s="23"/>
      <c r="X1058" s="35"/>
    </row>
    <row r="1059" spans="15:24" ht="17.100000000000001" customHeight="1">
      <c r="O1059" s="12">
        <f t="shared" si="16"/>
        <v>87.166666666666671</v>
      </c>
      <c r="P1059" s="13">
        <v>1046</v>
      </c>
      <c r="Q1059" s="22"/>
      <c r="R1059" s="19"/>
      <c r="S1059" s="22"/>
      <c r="T1059" s="19"/>
      <c r="U1059" s="24">
        <v>1.6739364327841955E-2</v>
      </c>
      <c r="V1059" s="24">
        <f>(1+U1060)^P1060/(1+U1059)^P1059-1</f>
        <v>8.666644708554827E-7</v>
      </c>
      <c r="W1059" s="23"/>
      <c r="X1059" s="35"/>
    </row>
    <row r="1060" spans="15:24" ht="17.100000000000001" customHeight="1">
      <c r="O1060" s="12">
        <f t="shared" si="16"/>
        <v>87.25</v>
      </c>
      <c r="P1060" s="13">
        <v>1047</v>
      </c>
      <c r="Q1060" s="22"/>
      <c r="R1060" s="19"/>
      <c r="S1060" s="22"/>
      <c r="T1060" s="19"/>
      <c r="U1060" s="24">
        <v>1.6723244292262907E-2</v>
      </c>
      <c r="V1060" s="24">
        <f>(1+U1061)^P1061/(1+U1060)^P1060-1</f>
        <v>8.5415073503014582E-7</v>
      </c>
      <c r="W1060" s="23"/>
      <c r="X1060" s="35"/>
    </row>
    <row r="1061" spans="15:24" ht="17.100000000000001" customHeight="1">
      <c r="O1061" s="12">
        <f t="shared" si="16"/>
        <v>87.333333333333329</v>
      </c>
      <c r="P1061" s="13">
        <v>1048</v>
      </c>
      <c r="Q1061" s="22"/>
      <c r="R1061" s="19"/>
      <c r="S1061" s="22"/>
      <c r="T1061" s="19"/>
      <c r="U1061" s="24">
        <v>1.6707155262816631E-2</v>
      </c>
      <c r="V1061" s="24">
        <f>(1+U1062)^P1062/(1+U1061)^P1061-1</f>
        <v>8.418172197099949E-7</v>
      </c>
      <c r="W1061" s="23"/>
      <c r="X1061" s="35"/>
    </row>
    <row r="1062" spans="15:24" ht="17.100000000000001" customHeight="1">
      <c r="O1062" s="12">
        <f t="shared" si="16"/>
        <v>87.416666666666671</v>
      </c>
      <c r="P1062" s="13">
        <v>1049</v>
      </c>
      <c r="Q1062" s="22"/>
      <c r="R1062" s="19"/>
      <c r="S1062" s="22"/>
      <c r="T1062" s="19"/>
      <c r="U1062" s="24">
        <v>1.6691097150272949E-2</v>
      </c>
      <c r="V1062" s="24">
        <f>(1+U1063)^P1063/(1+U1062)^P1062-1</f>
        <v>8.2966213943436173E-7</v>
      </c>
      <c r="W1062" s="23"/>
      <c r="X1062" s="35"/>
    </row>
    <row r="1063" spans="15:24" ht="17.100000000000001" customHeight="1">
      <c r="O1063" s="12">
        <f t="shared" si="16"/>
        <v>87.5</v>
      </c>
      <c r="P1063" s="13">
        <v>1050</v>
      </c>
      <c r="Q1063" s="22"/>
      <c r="R1063" s="19"/>
      <c r="S1063" s="22"/>
      <c r="T1063" s="19"/>
      <c r="U1063" s="24">
        <v>1.6675069865742298E-2</v>
      </c>
      <c r="V1063" s="24">
        <f>(1+U1064)^P1064/(1+U1063)^P1063-1</f>
        <v>8.1768213955335511E-7</v>
      </c>
      <c r="W1063" s="23"/>
      <c r="X1063" s="35"/>
    </row>
    <row r="1064" spans="15:24" ht="17.100000000000001" customHeight="1">
      <c r="O1064" s="12">
        <f t="shared" si="16"/>
        <v>87.583333333333329</v>
      </c>
      <c r="P1064" s="13">
        <v>1051</v>
      </c>
      <c r="Q1064" s="22"/>
      <c r="R1064" s="19"/>
      <c r="S1064" s="22"/>
      <c r="T1064" s="19"/>
      <c r="U1064" s="24">
        <v>1.6659073320673512E-2</v>
      </c>
      <c r="V1064" s="24">
        <f>(1+U1065)^P1065/(1+U1064)^P1064-1</f>
        <v>8.0587594730729961E-7</v>
      </c>
      <c r="W1064" s="23"/>
      <c r="X1064" s="35"/>
    </row>
    <row r="1065" spans="15:24" ht="17.100000000000001" customHeight="1">
      <c r="O1065" s="12">
        <f t="shared" si="16"/>
        <v>87.666666666666671</v>
      </c>
      <c r="P1065" s="13">
        <v>1052</v>
      </c>
      <c r="Q1065" s="22"/>
      <c r="R1065" s="19"/>
      <c r="S1065" s="22"/>
      <c r="T1065" s="19"/>
      <c r="U1065" s="24">
        <v>1.6643107426852932E-2</v>
      </c>
      <c r="V1065" s="24">
        <f>(1+U1066)^P1066/(1+U1065)^P1065-1</f>
        <v>7.9423923526888984E-7</v>
      </c>
      <c r="W1065" s="23"/>
      <c r="X1065" s="35"/>
    </row>
    <row r="1066" spans="15:24" ht="17.100000000000001" customHeight="1">
      <c r="O1066" s="12">
        <f t="shared" si="16"/>
        <v>87.75</v>
      </c>
      <c r="P1066" s="13">
        <v>1053</v>
      </c>
      <c r="Q1066" s="22"/>
      <c r="R1066" s="19"/>
      <c r="S1066" s="22"/>
      <c r="T1066" s="19"/>
      <c r="U1066" s="24">
        <v>1.6627172096401299E-2</v>
      </c>
      <c r="V1066" s="24">
        <f>(1+U1067)^P1067/(1+U1066)^P1066-1</f>
        <v>7.8277125625803023E-7</v>
      </c>
      <c r="W1066" s="23"/>
      <c r="X1066" s="35"/>
    </row>
    <row r="1067" spans="15:24" ht="17.100000000000001" customHeight="1">
      <c r="O1067" s="12">
        <f t="shared" si="16"/>
        <v>87.833333333333329</v>
      </c>
      <c r="P1067" s="13">
        <v>1054</v>
      </c>
      <c r="Q1067" s="22"/>
      <c r="R1067" s="19"/>
      <c r="S1067" s="22"/>
      <c r="T1067" s="19"/>
      <c r="U1067" s="24">
        <v>1.6611267241774419E-2</v>
      </c>
      <c r="V1067" s="24">
        <f>(1+U1068)^P1068/(1+U1067)^P1067-1</f>
        <v>7.7146855459453434E-7</v>
      </c>
      <c r="W1067" s="23"/>
      <c r="X1067" s="35"/>
    </row>
    <row r="1068" spans="15:24" ht="17.100000000000001" customHeight="1">
      <c r="O1068" s="12">
        <f t="shared" si="16"/>
        <v>87.916666666666671</v>
      </c>
      <c r="P1068" s="13">
        <v>1055</v>
      </c>
      <c r="Q1068" s="22"/>
      <c r="R1068" s="19"/>
      <c r="S1068" s="22"/>
      <c r="T1068" s="19"/>
      <c r="U1068" s="24">
        <v>1.6595392775759388E-2</v>
      </c>
      <c r="V1068" s="24">
        <f>(1+U1069)^P1069/(1+U1068)^P1068-1</f>
        <v>7.6032928197911076E-7</v>
      </c>
      <c r="W1068" s="23"/>
      <c r="X1068" s="35"/>
    </row>
    <row r="1069" spans="15:24" ht="17.100000000000001" customHeight="1">
      <c r="O1069" s="12">
        <f t="shared" si="16"/>
        <v>88</v>
      </c>
      <c r="P1069" s="13">
        <v>1056</v>
      </c>
      <c r="Q1069" s="22"/>
      <c r="R1069" s="19"/>
      <c r="S1069" s="22"/>
      <c r="T1069" s="19"/>
      <c r="U1069" s="24">
        <v>1.6579548611474815E-2</v>
      </c>
      <c r="V1069" s="24">
        <f>(1+U1070)^P1070/(1+U1069)^P1069-1</f>
        <v>7.4935049343416438E-7</v>
      </c>
      <c r="W1069" s="23"/>
      <c r="X1069" s="35"/>
    </row>
    <row r="1070" spans="15:24" ht="17.100000000000001" customHeight="1">
      <c r="O1070" s="12">
        <f t="shared" si="16"/>
        <v>88.083333333333329</v>
      </c>
      <c r="P1070" s="13">
        <v>1057</v>
      </c>
      <c r="Q1070" s="22"/>
      <c r="R1070" s="19"/>
      <c r="S1070" s="22"/>
      <c r="T1070" s="19"/>
      <c r="U1070" s="24">
        <v>1.6563734662367713E-2</v>
      </c>
      <c r="V1070" s="24">
        <f>(1+U1071)^P1071/(1+U1070)^P1070-1</f>
        <v>7.3853050652772367E-7</v>
      </c>
      <c r="W1070" s="23"/>
      <c r="X1070" s="35"/>
    </row>
    <row r="1071" spans="15:24" ht="17.100000000000001" customHeight="1">
      <c r="O1071" s="12">
        <f t="shared" si="16"/>
        <v>88.166666666666671</v>
      </c>
      <c r="P1071" s="13">
        <v>1058</v>
      </c>
      <c r="Q1071" s="22"/>
      <c r="R1071" s="19"/>
      <c r="S1071" s="22"/>
      <c r="T1071" s="19"/>
      <c r="U1071" s="24">
        <v>1.6547950842213499E-2</v>
      </c>
      <c r="V1071" s="24">
        <f>(1+U1072)^P1072/(1+U1071)^P1071-1</f>
        <v>7.2786657678847178E-7</v>
      </c>
      <c r="W1071" s="23"/>
      <c r="X1071" s="35"/>
    </row>
    <row r="1072" spans="15:24" ht="17.100000000000001" customHeight="1">
      <c r="O1072" s="12">
        <f t="shared" si="16"/>
        <v>88.25</v>
      </c>
      <c r="P1072" s="13">
        <v>1059</v>
      </c>
      <c r="Q1072" s="22"/>
      <c r="R1072" s="19"/>
      <c r="S1072" s="22"/>
      <c r="T1072" s="19"/>
      <c r="U1072" s="24">
        <v>1.653219706511333E-2</v>
      </c>
      <c r="V1072" s="24">
        <f>(1+U1073)^P1073/(1+U1072)^P1072-1</f>
        <v>7.1735690587715339E-7</v>
      </c>
      <c r="W1072" s="23"/>
      <c r="X1072" s="35"/>
    </row>
    <row r="1073" spans="15:24" ht="17.100000000000001" customHeight="1">
      <c r="O1073" s="12">
        <f t="shared" si="16"/>
        <v>88.333333333333329</v>
      </c>
      <c r="P1073" s="13">
        <v>1060</v>
      </c>
      <c r="Q1073" s="22"/>
      <c r="R1073" s="19"/>
      <c r="S1073" s="22"/>
      <c r="T1073" s="19"/>
      <c r="U1073" s="24">
        <v>1.6516473245493213E-2</v>
      </c>
      <c r="V1073" s="24">
        <f>(1+U1074)^P1074/(1+U1073)^P1073-1</f>
        <v>7.0699877308122439E-7</v>
      </c>
      <c r="W1073" s="23"/>
      <c r="X1073" s="35"/>
    </row>
    <row r="1074" spans="15:24" ht="17.100000000000001" customHeight="1">
      <c r="O1074" s="12">
        <f t="shared" si="16"/>
        <v>88.416666666666671</v>
      </c>
      <c r="P1074" s="13">
        <v>1061</v>
      </c>
      <c r="Q1074" s="22"/>
      <c r="R1074" s="19"/>
      <c r="S1074" s="22"/>
      <c r="T1074" s="19"/>
      <c r="U1074" s="24">
        <v>1.6500779298102008E-2</v>
      </c>
      <c r="V1074" s="24">
        <f>(1+U1075)^P1075/(1+U1074)^P1074-1</f>
        <v>6.9679025349600465E-7</v>
      </c>
      <c r="W1074" s="23"/>
      <c r="X1074" s="35"/>
    </row>
    <row r="1075" spans="15:24" ht="17.100000000000001" customHeight="1">
      <c r="O1075" s="12">
        <f t="shared" si="16"/>
        <v>88.5</v>
      </c>
      <c r="P1075" s="13">
        <v>1062</v>
      </c>
      <c r="Q1075" s="22"/>
      <c r="R1075" s="19"/>
      <c r="S1075" s="22"/>
      <c r="T1075" s="19"/>
      <c r="U1075" s="24">
        <v>1.648511513801032E-2</v>
      </c>
      <c r="V1075" s="24">
        <f>(1+U1076)^P1076/(1+U1075)^P1075-1</f>
        <v>6.8672899788957409E-7</v>
      </c>
      <c r="W1075" s="23"/>
      <c r="X1075" s="35"/>
    </row>
    <row r="1076" spans="15:24" ht="17.100000000000001" customHeight="1">
      <c r="O1076" s="12">
        <f t="shared" si="16"/>
        <v>88.583333333333329</v>
      </c>
      <c r="P1076" s="13">
        <v>1063</v>
      </c>
      <c r="Q1076" s="22"/>
      <c r="R1076" s="19"/>
      <c r="S1076" s="22"/>
      <c r="T1076" s="19"/>
      <c r="U1076" s="24">
        <v>1.6469480680608717E-2</v>
      </c>
      <c r="V1076" s="24">
        <f>(1+U1077)^P1077/(1+U1076)^P1076-1</f>
        <v>6.768132618795164E-7</v>
      </c>
      <c r="W1076" s="23"/>
      <c r="X1076" s="35"/>
    </row>
    <row r="1077" spans="15:24" ht="17.100000000000001" customHeight="1">
      <c r="O1077" s="12">
        <f t="shared" si="16"/>
        <v>88.666666666666671</v>
      </c>
      <c r="P1077" s="13">
        <v>1064</v>
      </c>
      <c r="Q1077" s="22"/>
      <c r="R1077" s="19"/>
      <c r="S1077" s="22"/>
      <c r="T1077" s="19"/>
      <c r="U1077" s="24">
        <v>1.6453875841606846E-2</v>
      </c>
      <c r="V1077" s="24">
        <f>(1+U1078)^P1078/(1+U1077)^P1077-1</f>
        <v>6.6704047996246629E-7</v>
      </c>
      <c r="W1077" s="23"/>
      <c r="X1077" s="35"/>
    </row>
    <row r="1078" spans="15:24" ht="17.100000000000001" customHeight="1">
      <c r="O1078" s="12">
        <f t="shared" si="16"/>
        <v>88.75</v>
      </c>
      <c r="P1078" s="13">
        <v>1065</v>
      </c>
      <c r="Q1078" s="22"/>
      <c r="R1078" s="19"/>
      <c r="S1078" s="22"/>
      <c r="T1078" s="19"/>
      <c r="U1078" s="24">
        <v>1.643830053703077E-2</v>
      </c>
      <c r="V1078" s="24">
        <f>(1+U1079)^P1079/(1+U1078)^P1078-1</f>
        <v>6.5740899746202786E-7</v>
      </c>
      <c r="W1078" s="23"/>
      <c r="X1078" s="35"/>
    </row>
    <row r="1079" spans="15:24" ht="17.100000000000001" customHeight="1">
      <c r="O1079" s="12">
        <f t="shared" si="16"/>
        <v>88.833333333333329</v>
      </c>
      <c r="P1079" s="13">
        <v>1066</v>
      </c>
      <c r="Q1079" s="22"/>
      <c r="R1079" s="19"/>
      <c r="S1079" s="22"/>
      <c r="T1079" s="19"/>
      <c r="U1079" s="24">
        <v>1.6422754683222962E-2</v>
      </c>
      <c r="V1079" s="24">
        <f>(1+U1080)^P1080/(1+U1079)^P1079-1</f>
        <v>6.4791654064144666E-7</v>
      </c>
      <c r="W1079" s="23"/>
      <c r="X1079" s="35"/>
    </row>
    <row r="1080" spans="15:24" ht="17.100000000000001" customHeight="1">
      <c r="O1080" s="12">
        <f t="shared" si="16"/>
        <v>88.916666666666671</v>
      </c>
      <c r="P1080" s="13">
        <v>1067</v>
      </c>
      <c r="Q1080" s="22"/>
      <c r="R1080" s="19"/>
      <c r="S1080" s="22"/>
      <c r="T1080" s="19"/>
      <c r="U1080" s="24">
        <v>1.6407238196839646E-2</v>
      </c>
      <c r="V1080" s="24">
        <f>(1+U1081)^P1081/(1+U1080)^P1080-1</f>
        <v>6.3856093968084338E-7</v>
      </c>
      <c r="W1080" s="23"/>
      <c r="X1080" s="35"/>
    </row>
    <row r="1081" spans="15:24" ht="17.100000000000001" customHeight="1">
      <c r="O1081" s="12">
        <f t="shared" si="16"/>
        <v>89</v>
      </c>
      <c r="P1081" s="13">
        <v>1068</v>
      </c>
      <c r="Q1081" s="22"/>
      <c r="R1081" s="19"/>
      <c r="S1081" s="22"/>
      <c r="T1081" s="19"/>
      <c r="U1081" s="24">
        <v>1.6391750994849685E-2</v>
      </c>
      <c r="V1081" s="24">
        <f>(1+U1082)^P1082/(1+U1081)^P1081-1</f>
        <v>6.2934074196441259E-7</v>
      </c>
      <c r="W1081" s="23"/>
      <c r="X1081" s="35"/>
    </row>
    <row r="1082" spans="15:24" ht="17.100000000000001" customHeight="1">
      <c r="O1082" s="12">
        <f t="shared" si="16"/>
        <v>89.083333333333329</v>
      </c>
      <c r="P1082" s="13">
        <v>1069</v>
      </c>
      <c r="Q1082" s="22"/>
      <c r="R1082" s="19"/>
      <c r="S1082" s="22"/>
      <c r="T1082" s="19"/>
      <c r="U1082" s="24">
        <v>1.6376292994533914E-2</v>
      </c>
      <c r="V1082" s="24">
        <f>(1+U1083)^P1083/(1+U1082)^P1082-1</f>
        <v>6.2025360647588457E-7</v>
      </c>
      <c r="W1082" s="23"/>
      <c r="X1082" s="35"/>
    </row>
    <row r="1083" spans="15:24" ht="17.100000000000001" customHeight="1">
      <c r="O1083" s="12">
        <f t="shared" si="16"/>
        <v>89.166666666666671</v>
      </c>
      <c r="P1083" s="13">
        <v>1070</v>
      </c>
      <c r="Q1083" s="22"/>
      <c r="R1083" s="19"/>
      <c r="S1083" s="22"/>
      <c r="T1083" s="19"/>
      <c r="U1083" s="24">
        <v>1.6360864113482476E-2</v>
      </c>
      <c r="V1083" s="24">
        <f>(1+U1084)^P1084/(1+U1083)^P1083-1</f>
        <v>6.1129743111898449E-7</v>
      </c>
      <c r="W1083" s="23"/>
      <c r="X1083" s="35"/>
    </row>
    <row r="1084" spans="15:24" ht="17.100000000000001" customHeight="1">
      <c r="O1084" s="12">
        <f t="shared" si="16"/>
        <v>89.25</v>
      </c>
      <c r="P1084" s="13">
        <v>1071</v>
      </c>
      <c r="Q1084" s="22"/>
      <c r="R1084" s="19"/>
      <c r="S1084" s="22"/>
      <c r="T1084" s="19"/>
      <c r="U1084" s="24">
        <v>1.6345464269593935E-2</v>
      </c>
      <c r="V1084" s="24">
        <f>(1+U1085)^P1085/(1+U1084)^P1084-1</f>
        <v>6.0247064315177568E-7</v>
      </c>
      <c r="W1084" s="23"/>
      <c r="X1084" s="35"/>
    </row>
    <row r="1085" spans="15:24" ht="17.100000000000001" customHeight="1">
      <c r="O1085" s="12">
        <f t="shared" si="16"/>
        <v>89.333333333333329</v>
      </c>
      <c r="P1085" s="13">
        <v>1072</v>
      </c>
      <c r="Q1085" s="22"/>
      <c r="R1085" s="19"/>
      <c r="S1085" s="22"/>
      <c r="T1085" s="19"/>
      <c r="U1085" s="24">
        <v>1.633009338107394E-2</v>
      </c>
      <c r="V1085" s="24">
        <f>(1+U1086)^P1086/(1+U1085)^P1085-1</f>
        <v>5.9377177463737496E-7</v>
      </c>
      <c r="W1085" s="23"/>
      <c r="X1085" s="35"/>
    </row>
    <row r="1086" spans="15:24" ht="17.100000000000001" customHeight="1">
      <c r="O1086" s="12">
        <f t="shared" si="16"/>
        <v>89.416666666666671</v>
      </c>
      <c r="P1086" s="13">
        <v>1073</v>
      </c>
      <c r="Q1086" s="22"/>
      <c r="R1086" s="19"/>
      <c r="S1086" s="22"/>
      <c r="T1086" s="19"/>
      <c r="U1086" s="24">
        <v>1.6314751366434344E-2</v>
      </c>
      <c r="V1086" s="24">
        <f>(1+U1087)^P1087/(1+U1086)^P1086-1</f>
        <v>5.8519783041610651E-7</v>
      </c>
      <c r="W1086" s="23"/>
      <c r="X1086" s="35"/>
    </row>
    <row r="1087" spans="15:24" ht="17.100000000000001" customHeight="1">
      <c r="O1087" s="12">
        <f t="shared" si="16"/>
        <v>89.5</v>
      </c>
      <c r="P1087" s="13">
        <v>1074</v>
      </c>
      <c r="Q1087" s="22"/>
      <c r="R1087" s="19"/>
      <c r="S1087" s="22"/>
      <c r="T1087" s="19"/>
      <c r="U1087" s="24">
        <v>1.6299438144490086E-2</v>
      </c>
      <c r="V1087" s="24">
        <f>(1+U1088)^P1088/(1+U1087)^P1087-1</f>
        <v>5.7674814257779872E-7</v>
      </c>
      <c r="W1087" s="23"/>
      <c r="X1087" s="35"/>
    </row>
    <row r="1088" spans="15:24" ht="17.100000000000001" customHeight="1">
      <c r="O1088" s="12">
        <f t="shared" si="16"/>
        <v>89.583333333333329</v>
      </c>
      <c r="P1088" s="13">
        <v>1075</v>
      </c>
      <c r="Q1088" s="22"/>
      <c r="R1088" s="19"/>
      <c r="S1088" s="22"/>
      <c r="T1088" s="19"/>
      <c r="U1088" s="24">
        <v>1.6284153634359866E-2</v>
      </c>
      <c r="V1088" s="24">
        <f>(1+U1089)^P1089/(1+U1088)^P1088-1</f>
        <v>5.6842032836179612E-7</v>
      </c>
      <c r="W1088" s="23"/>
      <c r="X1088" s="35"/>
    </row>
    <row r="1089" spans="15:24" ht="17.100000000000001" customHeight="1">
      <c r="O1089" s="12">
        <f t="shared" si="16"/>
        <v>89.666666666666671</v>
      </c>
      <c r="P1089" s="13">
        <v>1076</v>
      </c>
      <c r="Q1089" s="22"/>
      <c r="R1089" s="19"/>
      <c r="S1089" s="22"/>
      <c r="T1089" s="19"/>
      <c r="U1089" s="24">
        <v>1.6268897755463252E-2</v>
      </c>
      <c r="V1089" s="24">
        <f>(1+U1090)^P1090/(1+U1089)^P1089-1</f>
        <v>5.6021289718266587E-7</v>
      </c>
      <c r="W1089" s="23"/>
      <c r="X1089" s="35"/>
    </row>
    <row r="1090" spans="15:24" ht="17.100000000000001" customHeight="1">
      <c r="O1090" s="12">
        <f t="shared" si="16"/>
        <v>89.75</v>
      </c>
      <c r="P1090" s="13">
        <v>1077</v>
      </c>
      <c r="Q1090" s="22"/>
      <c r="R1090" s="19"/>
      <c r="S1090" s="22"/>
      <c r="T1090" s="19"/>
      <c r="U1090" s="24">
        <v>1.6253670427520017E-2</v>
      </c>
      <c r="V1090" s="24">
        <f>(1+U1091)^P1091/(1+U1090)^P1090-1</f>
        <v>5.5212359884038165E-7</v>
      </c>
      <c r="W1090" s="23"/>
      <c r="X1090" s="35"/>
    </row>
    <row r="1091" spans="15:24" ht="17.100000000000001" customHeight="1">
      <c r="O1091" s="12">
        <f t="shared" si="16"/>
        <v>89.833333333333329</v>
      </c>
      <c r="P1091" s="13">
        <v>1078</v>
      </c>
      <c r="Q1091" s="22"/>
      <c r="R1091" s="19"/>
      <c r="S1091" s="22"/>
      <c r="T1091" s="19"/>
      <c r="U1091" s="24">
        <v>1.6238471570548363E-2</v>
      </c>
      <c r="V1091" s="24">
        <f>(1+U1092)^P1092/(1+U1091)^P1091-1</f>
        <v>5.4415140260388739E-7</v>
      </c>
      <c r="W1091" s="23"/>
      <c r="X1091" s="35"/>
    </row>
    <row r="1092" spans="15:24" ht="17.100000000000001" customHeight="1">
      <c r="O1092" s="12">
        <f t="shared" si="16"/>
        <v>89.916666666666671</v>
      </c>
      <c r="P1092" s="13">
        <v>1079</v>
      </c>
      <c r="Q1092" s="22"/>
      <c r="R1092" s="19"/>
      <c r="S1092" s="22"/>
      <c r="T1092" s="19"/>
      <c r="U1092" s="24">
        <v>1.622330110486403E-2</v>
      </c>
      <c r="V1092" s="24">
        <f>(1+U1093)^P1093/(1+U1092)^P1092-1</f>
        <v>5.3629427076984371E-7</v>
      </c>
      <c r="W1092" s="23"/>
      <c r="X1092" s="35"/>
    </row>
    <row r="1093" spans="15:24" ht="17.100000000000001" customHeight="1">
      <c r="O1093" s="12">
        <f t="shared" si="16"/>
        <v>90</v>
      </c>
      <c r="P1093" s="13">
        <v>1080</v>
      </c>
      <c r="Q1093" s="22"/>
      <c r="R1093" s="19"/>
      <c r="S1093" s="22"/>
      <c r="T1093" s="19"/>
      <c r="U1093" s="24">
        <v>1.6208158951078522E-2</v>
      </c>
      <c r="V1093" s="24">
        <f>(1+U1094)^P1094/(1+U1093)^P1093-1</f>
        <v>5.28550382128401E-7</v>
      </c>
      <c r="W1093" s="23"/>
      <c r="X1093" s="35"/>
    </row>
    <row r="1094" spans="15:24" ht="17.100000000000001" customHeight="1">
      <c r="O1094" s="12">
        <f t="shared" si="16"/>
        <v>90.083333333333329</v>
      </c>
      <c r="P1094" s="13">
        <v>1081</v>
      </c>
      <c r="Q1094" s="22"/>
      <c r="R1094" s="19"/>
      <c r="S1094" s="22"/>
      <c r="T1094" s="19"/>
      <c r="U1094" s="24">
        <v>1.6193045030097775E-2</v>
      </c>
      <c r="V1094" s="24">
        <f>(1+U1095)^P1095/(1+U1094)^P1094-1</f>
        <v>5.2091877389415231E-7</v>
      </c>
      <c r="W1094" s="23"/>
      <c r="X1094" s="35"/>
    </row>
    <row r="1095" spans="15:24" ht="17.100000000000001" customHeight="1">
      <c r="O1095" s="12">
        <f t="shared" si="16"/>
        <v>90.166666666666671</v>
      </c>
      <c r="P1095" s="13">
        <v>1082</v>
      </c>
      <c r="Q1095" s="22"/>
      <c r="R1095" s="19"/>
      <c r="S1095" s="22"/>
      <c r="T1095" s="19"/>
      <c r="U1095" s="24">
        <v>1.6177959263121267E-2</v>
      </c>
      <c r="V1095" s="24">
        <f>(1+U1096)^P1096/(1+U1095)^P1095-1</f>
        <v>5.133970635284868E-7</v>
      </c>
      <c r="W1095" s="23"/>
      <c r="X1095" s="35"/>
    </row>
    <row r="1096" spans="15:24" ht="17.100000000000001" customHeight="1">
      <c r="O1096" s="12">
        <f t="shared" si="16"/>
        <v>90.25</v>
      </c>
      <c r="P1096" s="13">
        <v>1083</v>
      </c>
      <c r="Q1096" s="22"/>
      <c r="R1096" s="19"/>
      <c r="S1096" s="22"/>
      <c r="T1096" s="19"/>
      <c r="U1096" s="24">
        <v>1.616290157164002E-2</v>
      </c>
      <c r="V1096" s="24">
        <f>(1+U1097)^P1097/(1+U1096)^P1096-1</f>
        <v>5.0598390366474177E-7</v>
      </c>
      <c r="W1096" s="23"/>
      <c r="X1096" s="35"/>
    </row>
    <row r="1097" spans="15:24" ht="17.100000000000001" customHeight="1">
      <c r="O1097" s="12">
        <f t="shared" si="16"/>
        <v>90.333333333333329</v>
      </c>
      <c r="P1097" s="13">
        <v>1084</v>
      </c>
      <c r="Q1097" s="22"/>
      <c r="R1097" s="19"/>
      <c r="S1097" s="22"/>
      <c r="T1097" s="19"/>
      <c r="U1097" s="24">
        <v>1.6147871877435493E-2</v>
      </c>
      <c r="V1097" s="24">
        <f>(1+U1098)^P1098/(1+U1097)^P1097-1</f>
        <v>4.9867784435164708E-7</v>
      </c>
      <c r="W1097" s="23"/>
      <c r="X1097" s="35"/>
    </row>
    <row r="1098" spans="15:24" ht="17.100000000000001" customHeight="1">
      <c r="O1098" s="12">
        <f t="shared" si="16"/>
        <v>90.416666666666671</v>
      </c>
      <c r="P1098" s="13">
        <v>1085</v>
      </c>
      <c r="Q1098" s="22"/>
      <c r="R1098" s="19"/>
      <c r="S1098" s="22"/>
      <c r="T1098" s="19"/>
      <c r="U1098" s="24">
        <v>1.6132870102578467E-2</v>
      </c>
      <c r="V1098" s="24">
        <f>(1+U1099)^P1099/(1+U1098)^P1098-1</f>
        <v>4.9147752489986374E-7</v>
      </c>
      <c r="W1098" s="23"/>
      <c r="X1098" s="35"/>
    </row>
    <row r="1099" spans="15:24" ht="17.100000000000001" customHeight="1">
      <c r="O1099" s="12">
        <f t="shared" si="16"/>
        <v>90.5</v>
      </c>
      <c r="P1099" s="13">
        <v>1086</v>
      </c>
      <c r="Q1099" s="22"/>
      <c r="R1099" s="19"/>
      <c r="S1099" s="22"/>
      <c r="T1099" s="19"/>
      <c r="U1099" s="24">
        <v>1.6117896169427937E-2</v>
      </c>
      <c r="V1099" s="24">
        <f>(1+U1100)^P1100/(1+U1099)^P1099-1</f>
        <v>4.8438071864609356E-7</v>
      </c>
      <c r="W1099" s="23"/>
      <c r="X1099" s="35"/>
    </row>
    <row r="1100" spans="15:24" ht="17.100000000000001" customHeight="1">
      <c r="O1100" s="12">
        <f t="shared" si="16"/>
        <v>90.583333333333329</v>
      </c>
      <c r="P1100" s="13">
        <v>1087</v>
      </c>
      <c r="Q1100" s="22"/>
      <c r="R1100" s="19"/>
      <c r="S1100" s="22"/>
      <c r="T1100" s="19"/>
      <c r="U1100" s="24">
        <v>1.6102950000628669E-2</v>
      </c>
      <c r="V1100" s="24">
        <f>(1+U1101)^P1101/(1+U1100)^P1100-1</f>
        <v>4.7738655473139602E-7</v>
      </c>
      <c r="W1100" s="23"/>
      <c r="X1100" s="35"/>
    </row>
    <row r="1101" spans="15:24" ht="17.100000000000001" customHeight="1">
      <c r="O1101" s="12">
        <f t="shared" si="16"/>
        <v>90.666666666666671</v>
      </c>
      <c r="P1101" s="13">
        <v>1088</v>
      </c>
      <c r="Q1101" s="22"/>
      <c r="R1101" s="19"/>
      <c r="S1101" s="22"/>
      <c r="T1101" s="19"/>
      <c r="U1101" s="24">
        <v>1.6088031519111201E-2</v>
      </c>
      <c r="V1101" s="24">
        <f>(1+U1102)^P1102/(1+U1101)^P1101-1</f>
        <v>4.7049356832751243E-7</v>
      </c>
      <c r="W1101" s="23"/>
      <c r="X1101" s="35"/>
    </row>
    <row r="1102" spans="15:24" ht="17.100000000000001" customHeight="1">
      <c r="O1102" s="12">
        <f t="shared" ref="O1102:O1165" si="17">P1102/12</f>
        <v>90.75</v>
      </c>
      <c r="P1102" s="13">
        <v>1089</v>
      </c>
      <c r="Q1102" s="22"/>
      <c r="R1102" s="19"/>
      <c r="S1102" s="22"/>
      <c r="T1102" s="19"/>
      <c r="U1102" s="24">
        <v>1.6073140648090067E-2</v>
      </c>
      <c r="V1102" s="24">
        <f>(1+U1103)^P1103/(1+U1102)^P1102-1</f>
        <v>4.6370012452001674E-7</v>
      </c>
      <c r="W1102" s="23"/>
      <c r="X1102" s="35"/>
    </row>
    <row r="1103" spans="15:24" ht="17.100000000000001" customHeight="1">
      <c r="O1103" s="12">
        <f t="shared" si="17"/>
        <v>90.833333333333329</v>
      </c>
      <c r="P1103" s="13">
        <v>1090</v>
      </c>
      <c r="Q1103" s="22"/>
      <c r="R1103" s="19"/>
      <c r="S1103" s="22"/>
      <c r="T1103" s="19"/>
      <c r="U1103" s="24">
        <v>1.6058277311062463E-2</v>
      </c>
      <c r="V1103" s="24">
        <f>(1+U1104)^P1104/(1+U1103)^P1103-1</f>
        <v>4.5700450179708696E-7</v>
      </c>
      <c r="W1103" s="23"/>
      <c r="X1103" s="35"/>
    </row>
    <row r="1104" spans="15:24" ht="17.100000000000001" customHeight="1">
      <c r="O1104" s="12">
        <f t="shared" si="17"/>
        <v>90.916666666666671</v>
      </c>
      <c r="P1104" s="13">
        <v>1091</v>
      </c>
      <c r="Q1104" s="22"/>
      <c r="R1104" s="19"/>
      <c r="S1104" s="22"/>
      <c r="T1104" s="19"/>
      <c r="U1104" s="24">
        <v>1.6043441431806471E-2</v>
      </c>
      <c r="V1104" s="24">
        <f>(1+U1105)^P1105/(1+U1104)^P1104-1</f>
        <v>4.5040558616094017E-7</v>
      </c>
      <c r="W1104" s="23"/>
      <c r="X1104" s="35"/>
    </row>
    <row r="1105" spans="15:24" ht="17.100000000000001" customHeight="1">
      <c r="O1105" s="12">
        <f t="shared" si="17"/>
        <v>91</v>
      </c>
      <c r="P1105" s="13">
        <v>1092</v>
      </c>
      <c r="Q1105" s="22"/>
      <c r="R1105" s="19"/>
      <c r="S1105" s="22"/>
      <c r="T1105" s="19"/>
      <c r="U1105" s="24">
        <v>1.6028632934380616E-2</v>
      </c>
      <c r="V1105" s="24">
        <f>(1+U1106)^P1106/(1+U1105)^P1105-1</f>
        <v>4.4390220543810699E-7</v>
      </c>
      <c r="W1105" s="23"/>
      <c r="X1105" s="35"/>
    </row>
    <row r="1106" spans="15:24" ht="17.100000000000001" customHeight="1">
      <c r="O1106" s="12">
        <f t="shared" si="17"/>
        <v>91.083333333333329</v>
      </c>
      <c r="P1106" s="13">
        <v>1093</v>
      </c>
      <c r="Q1106" s="22"/>
      <c r="R1106" s="19"/>
      <c r="S1106" s="22"/>
      <c r="T1106" s="19"/>
      <c r="U1106" s="24">
        <v>1.6013851743122531E-2</v>
      </c>
      <c r="V1106" s="24">
        <f>(1+U1107)^P1107/(1+U1106)^P1106-1</f>
        <v>4.374925335337565E-7</v>
      </c>
      <c r="W1106" s="23"/>
      <c r="X1106" s="35"/>
    </row>
    <row r="1107" spans="15:24" ht="17.100000000000001" customHeight="1">
      <c r="O1107" s="12">
        <f t="shared" si="17"/>
        <v>91.166666666666671</v>
      </c>
      <c r="P1107" s="13">
        <v>1094</v>
      </c>
      <c r="Q1107" s="22"/>
      <c r="R1107" s="19"/>
      <c r="S1107" s="22"/>
      <c r="T1107" s="19"/>
      <c r="U1107" s="24">
        <v>1.5999097782646743E-2</v>
      </c>
      <c r="V1107" s="24">
        <f>(1+U1108)^P1108/(1+U1107)^P1107-1</f>
        <v>4.3117538095494012E-7</v>
      </c>
      <c r="W1107" s="23"/>
      <c r="X1107" s="35"/>
    </row>
    <row r="1108" spans="15:24" ht="17.100000000000001" customHeight="1">
      <c r="O1108" s="12">
        <f t="shared" si="17"/>
        <v>91.25</v>
      </c>
      <c r="P1108" s="13">
        <v>1095</v>
      </c>
      <c r="Q1108" s="22"/>
      <c r="R1108" s="19"/>
      <c r="S1108" s="22"/>
      <c r="T1108" s="19"/>
      <c r="U1108" s="24">
        <v>1.5984370977844442E-2</v>
      </c>
      <c r="V1108" s="24">
        <f>(1+U1109)^P1109/(1+U1108)^P1108-1</f>
        <v>4.2494957486205465E-7</v>
      </c>
      <c r="W1108" s="23"/>
      <c r="X1108" s="35"/>
    </row>
    <row r="1109" spans="15:24" ht="17.100000000000001" customHeight="1">
      <c r="O1109" s="12">
        <f t="shared" si="17"/>
        <v>91.333333333333329</v>
      </c>
      <c r="P1109" s="13">
        <v>1096</v>
      </c>
      <c r="Q1109" s="22"/>
      <c r="R1109" s="19"/>
      <c r="S1109" s="22"/>
      <c r="T1109" s="19"/>
      <c r="U1109" s="24">
        <v>1.5969671253881934E-2</v>
      </c>
      <c r="V1109" s="24">
        <f>(1+U1110)^P1110/(1+U1109)^P1109-1</f>
        <v>4.1881368040286304E-7</v>
      </c>
      <c r="W1109" s="23"/>
      <c r="X1109" s="35"/>
    </row>
    <row r="1110" spans="15:24" ht="17.100000000000001" customHeight="1">
      <c r="O1110" s="12">
        <f t="shared" si="17"/>
        <v>91.416666666666671</v>
      </c>
      <c r="P1110" s="13">
        <v>1097</v>
      </c>
      <c r="Q1110" s="22"/>
      <c r="R1110" s="19"/>
      <c r="S1110" s="22"/>
      <c r="T1110" s="19"/>
      <c r="U1110" s="24">
        <v>1.5954998536199305E-2</v>
      </c>
      <c r="V1110" s="24">
        <f>(1+U1111)^P1111/(1+U1110)^P1110-1</f>
        <v>4.1276627049668946E-7</v>
      </c>
      <c r="W1110" s="23"/>
      <c r="X1110" s="35"/>
    </row>
    <row r="1111" spans="15:24" ht="17.100000000000001" customHeight="1">
      <c r="O1111" s="12">
        <f t="shared" si="17"/>
        <v>91.5</v>
      </c>
      <c r="P1111" s="13">
        <v>1098</v>
      </c>
      <c r="Q1111" s="22"/>
      <c r="R1111" s="19"/>
      <c r="S1111" s="22"/>
      <c r="T1111" s="19"/>
      <c r="U1111" s="24">
        <v>1.5940352750508868E-2</v>
      </c>
      <c r="V1111" s="24">
        <f>(1+U1112)^P1112/(1+U1111)^P1111-1</f>
        <v>4.0680612678478667E-7</v>
      </c>
      <c r="W1111" s="23"/>
      <c r="X1111" s="35"/>
    </row>
    <row r="1112" spans="15:24" ht="17.100000000000001" customHeight="1">
      <c r="O1112" s="12">
        <f t="shared" si="17"/>
        <v>91.583333333333329</v>
      </c>
      <c r="P1112" s="13">
        <v>1099</v>
      </c>
      <c r="Q1112" s="22"/>
      <c r="R1112" s="19"/>
      <c r="S1112" s="22"/>
      <c r="T1112" s="19"/>
      <c r="U1112" s="24">
        <v>1.5925733822794497E-2</v>
      </c>
      <c r="V1112" s="24">
        <f>(1+U1113)^P1113/(1+U1112)^P1112-1</f>
        <v>4.0093217057446395E-7</v>
      </c>
      <c r="W1112" s="23"/>
      <c r="X1112" s="35"/>
    </row>
    <row r="1113" spans="15:24" ht="17.100000000000001" customHeight="1">
      <c r="O1113" s="12">
        <f t="shared" si="17"/>
        <v>91.666666666666671</v>
      </c>
      <c r="P1113" s="13">
        <v>1100</v>
      </c>
      <c r="Q1113" s="22"/>
      <c r="R1113" s="19"/>
      <c r="S1113" s="22"/>
      <c r="T1113" s="19"/>
      <c r="U1113" s="24">
        <v>1.5911141679310292E-2</v>
      </c>
      <c r="V1113" s="24">
        <f>(1+U1114)^P1114/(1+U1113)^P1113-1</f>
        <v>3.9514306582333347E-7</v>
      </c>
      <c r="W1113" s="23"/>
      <c r="X1113" s="35"/>
    </row>
    <row r="1114" spans="15:24" ht="17.100000000000001" customHeight="1">
      <c r="O1114" s="12">
        <f t="shared" si="17"/>
        <v>91.75</v>
      </c>
      <c r="P1114" s="13">
        <v>1101</v>
      </c>
      <c r="Q1114" s="22"/>
      <c r="R1114" s="19"/>
      <c r="S1114" s="22"/>
      <c r="T1114" s="19"/>
      <c r="U1114" s="24">
        <v>1.5896576246579031E-2</v>
      </c>
      <c r="V1114" s="24">
        <f>(1+U1115)^P1115/(1+U1114)^P1114-1</f>
        <v>3.8943756730525081E-7</v>
      </c>
      <c r="W1114" s="23"/>
      <c r="X1114" s="35"/>
    </row>
    <row r="1115" spans="15:24" ht="17.100000000000001" customHeight="1">
      <c r="O1115" s="12">
        <f t="shared" si="17"/>
        <v>91.833333333333329</v>
      </c>
      <c r="P1115" s="13">
        <v>1102</v>
      </c>
      <c r="Q1115" s="22"/>
      <c r="R1115" s="19"/>
      <c r="S1115" s="22"/>
      <c r="T1115" s="19"/>
      <c r="U1115" s="24">
        <v>1.5882037451391273E-2</v>
      </c>
      <c r="V1115" s="24">
        <f>(1+U1116)^P1116/(1+U1115)^P1115-1</f>
        <v>3.8381428657530137E-7</v>
      </c>
      <c r="W1115" s="23"/>
      <c r="X1115" s="35"/>
    </row>
    <row r="1116" spans="15:24" ht="17.100000000000001" customHeight="1">
      <c r="O1116" s="12">
        <f t="shared" si="17"/>
        <v>91.916666666666671</v>
      </c>
      <c r="P1116" s="13">
        <v>1103</v>
      </c>
      <c r="Q1116" s="22"/>
      <c r="R1116" s="19"/>
      <c r="S1116" s="22"/>
      <c r="T1116" s="19"/>
      <c r="U1116" s="24">
        <v>1.5867525220803813E-2</v>
      </c>
      <c r="V1116" s="24">
        <f>(1+U1117)^P1117/(1+U1116)^P1116-1</f>
        <v>3.7827224064201914E-7</v>
      </c>
      <c r="W1116" s="23"/>
      <c r="X1116" s="35"/>
    </row>
    <row r="1117" spans="15:24" ht="17.100000000000001" customHeight="1">
      <c r="O1117" s="12">
        <f t="shared" si="17"/>
        <v>92</v>
      </c>
      <c r="P1117" s="13">
        <v>1104</v>
      </c>
      <c r="Q1117" s="22"/>
      <c r="R1117" s="19"/>
      <c r="S1117" s="22"/>
      <c r="T1117" s="19"/>
      <c r="U1117" s="24">
        <v>1.5853039482139009E-2</v>
      </c>
      <c r="V1117" s="24">
        <f>(1+U1118)^P1118/(1+U1117)^P1117-1</f>
        <v>3.7281033371527883E-7</v>
      </c>
      <c r="W1117" s="23"/>
      <c r="X1117" s="35"/>
    </row>
    <row r="1118" spans="15:24" ht="17.100000000000001" customHeight="1">
      <c r="O1118" s="12">
        <f t="shared" si="17"/>
        <v>92.083333333333329</v>
      </c>
      <c r="P1118" s="13">
        <v>1105</v>
      </c>
      <c r="Q1118" s="22"/>
      <c r="R1118" s="19"/>
      <c r="S1118" s="22"/>
      <c r="T1118" s="19"/>
      <c r="U1118" s="24">
        <v>1.5838580162983007E-2</v>
      </c>
      <c r="V1118" s="24">
        <f>(1+U1119)^P1119/(1+U1118)^P1118-1</f>
        <v>3.6742728148908554E-7</v>
      </c>
      <c r="W1118" s="23"/>
      <c r="X1118" s="35"/>
    </row>
    <row r="1119" spans="15:24" ht="17.100000000000001" customHeight="1">
      <c r="O1119" s="12">
        <f t="shared" si="17"/>
        <v>92.166666666666671</v>
      </c>
      <c r="P1119" s="13">
        <v>1106</v>
      </c>
      <c r="Q1119" s="22"/>
      <c r="R1119" s="19"/>
      <c r="S1119" s="22"/>
      <c r="T1119" s="19"/>
      <c r="U1119" s="24">
        <v>1.5824147191185078E-2</v>
      </c>
      <c r="V1119" s="24">
        <f>(1+U1120)^P1120/(1+U1119)^P1119-1</f>
        <v>3.6212170440030889E-7</v>
      </c>
      <c r="W1119" s="23"/>
      <c r="X1119" s="35"/>
    </row>
    <row r="1120" spans="15:24" ht="17.100000000000001" customHeight="1">
      <c r="O1120" s="12">
        <f t="shared" si="17"/>
        <v>92.25</v>
      </c>
      <c r="P1120" s="13">
        <v>1107</v>
      </c>
      <c r="Q1120" s="22"/>
      <c r="R1120" s="19"/>
      <c r="S1120" s="22"/>
      <c r="T1120" s="19"/>
      <c r="U1120" s="24">
        <v>1.580974049485584E-2</v>
      </c>
      <c r="V1120" s="24">
        <f>(1+U1121)^P1121/(1+U1120)^P1120-1</f>
        <v>3.5689297495089534E-7</v>
      </c>
      <c r="W1120" s="23"/>
      <c r="X1120" s="35"/>
    </row>
    <row r="1121" spans="15:24" ht="17.100000000000001" customHeight="1">
      <c r="O1121" s="12">
        <f t="shared" si="17"/>
        <v>92.333333333333329</v>
      </c>
      <c r="P1121" s="13">
        <v>1108</v>
      </c>
      <c r="Q1121" s="22"/>
      <c r="R1121" s="19"/>
      <c r="S1121" s="22"/>
      <c r="T1121" s="19"/>
      <c r="U1121" s="24">
        <v>1.5795360002366809E-2</v>
      </c>
      <c r="V1121" s="24">
        <f>(1+U1122)^P1122/(1+U1121)^P1121-1</f>
        <v>3.5173986856484873E-7</v>
      </c>
      <c r="W1121" s="23"/>
      <c r="X1121" s="35"/>
    </row>
    <row r="1122" spans="15:24" ht="17.100000000000001" customHeight="1">
      <c r="O1122" s="12">
        <f t="shared" si="17"/>
        <v>92.416666666666671</v>
      </c>
      <c r="P1122" s="13">
        <v>1109</v>
      </c>
      <c r="Q1122" s="22"/>
      <c r="R1122" s="19"/>
      <c r="S1122" s="22"/>
      <c r="T1122" s="19"/>
      <c r="U1122" s="24">
        <v>1.5781005642348855E-2</v>
      </c>
      <c r="V1122" s="24">
        <f>(1+U1123)^P1123/(1+U1122)^P1122-1</f>
        <v>3.4666092862956077E-7</v>
      </c>
      <c r="W1122" s="23"/>
      <c r="X1122" s="35"/>
    </row>
    <row r="1123" spans="15:24" ht="17.100000000000001" customHeight="1">
      <c r="O1123" s="12">
        <f t="shared" si="17"/>
        <v>92.5</v>
      </c>
      <c r="P1123" s="13">
        <v>1110</v>
      </c>
      <c r="Q1123" s="22"/>
      <c r="R1123" s="19"/>
      <c r="S1123" s="22"/>
      <c r="T1123" s="19"/>
      <c r="U1123" s="24">
        <v>1.5766677343690638E-2</v>
      </c>
      <c r="V1123" s="24">
        <f>(1+U1124)^P1124/(1+U1123)^P1123-1</f>
        <v>3.416553686630408E-7</v>
      </c>
      <c r="W1123" s="23"/>
      <c r="X1123" s="35"/>
    </row>
    <row r="1124" spans="15:24" ht="17.100000000000001" customHeight="1">
      <c r="O1124" s="12">
        <f t="shared" si="17"/>
        <v>92.583333333333329</v>
      </c>
      <c r="P1124" s="13">
        <v>1111</v>
      </c>
      <c r="Q1124" s="22"/>
      <c r="R1124" s="19"/>
      <c r="S1124" s="22"/>
      <c r="T1124" s="19"/>
      <c r="U1124" s="24">
        <v>1.5752375035538169E-2</v>
      </c>
      <c r="V1124" s="24">
        <f>(1+U1125)^P1125/(1+U1124)^P1124-1</f>
        <v>3.3672201094070431E-7</v>
      </c>
      <c r="W1124" s="23"/>
      <c r="X1124" s="35"/>
    </row>
    <row r="1125" spans="15:24" ht="17.100000000000001" customHeight="1">
      <c r="O1125" s="12">
        <f t="shared" si="17"/>
        <v>92.666666666666671</v>
      </c>
      <c r="P1125" s="13">
        <v>1112</v>
      </c>
      <c r="Q1125" s="22"/>
      <c r="R1125" s="19"/>
      <c r="S1125" s="22"/>
      <c r="T1125" s="19"/>
      <c r="U1125" s="24">
        <v>1.5738098647293253E-2</v>
      </c>
      <c r="V1125" s="24">
        <f>(1+U1126)^P1126/(1+U1125)^P1125-1</f>
        <v>3.3186008230323694E-7</v>
      </c>
      <c r="W1125" s="23"/>
      <c r="X1125" s="35"/>
    </row>
    <row r="1126" spans="15:24" ht="17.100000000000001" customHeight="1">
      <c r="O1126" s="12">
        <f t="shared" si="17"/>
        <v>92.75</v>
      </c>
      <c r="P1126" s="13">
        <v>1113</v>
      </c>
      <c r="Q1126" s="22"/>
      <c r="R1126" s="19"/>
      <c r="S1126" s="22"/>
      <c r="T1126" s="19"/>
      <c r="U1126" s="24">
        <v>1.5723848108612382E-2</v>
      </c>
      <c r="V1126" s="24">
        <f>(1+U1127)^P1127/(1+U1126)^P1126-1</f>
        <v>3.2706832331363955E-7</v>
      </c>
      <c r="W1126" s="23"/>
      <c r="X1126" s="35"/>
    </row>
    <row r="1127" spans="15:24" ht="17.100000000000001" customHeight="1">
      <c r="O1127" s="12">
        <f t="shared" si="17"/>
        <v>92.833333333333329</v>
      </c>
      <c r="P1127" s="13">
        <v>1114</v>
      </c>
      <c r="Q1127" s="22"/>
      <c r="R1127" s="19"/>
      <c r="S1127" s="22"/>
      <c r="T1127" s="19"/>
      <c r="U1127" s="24">
        <v>1.5709623349405843E-2</v>
      </c>
      <c r="V1127" s="24">
        <f>(1+U1128)^P1128/(1+U1127)^P1127-1</f>
        <v>3.2234543767550861E-7</v>
      </c>
      <c r="W1127" s="23"/>
      <c r="X1127" s="35"/>
    </row>
    <row r="1128" spans="15:24" ht="17.100000000000001" customHeight="1">
      <c r="O1128" s="12">
        <f t="shared" si="17"/>
        <v>92.916666666666671</v>
      </c>
      <c r="P1128" s="13">
        <v>1115</v>
      </c>
      <c r="Q1128" s="22"/>
      <c r="R1128" s="19"/>
      <c r="S1128" s="22"/>
      <c r="T1128" s="19"/>
      <c r="U1128" s="24">
        <v>1.5695424299835947E-2</v>
      </c>
      <c r="V1128" s="24">
        <f>(1+U1129)^P1129/(1+U1128)^P1128-1</f>
        <v>3.1769136277226551E-7</v>
      </c>
      <c r="W1128" s="23"/>
      <c r="X1128" s="35"/>
    </row>
    <row r="1129" spans="15:24" ht="17.100000000000001" customHeight="1">
      <c r="O1129" s="12">
        <f t="shared" si="17"/>
        <v>93</v>
      </c>
      <c r="P1129" s="13">
        <v>1116</v>
      </c>
      <c r="Q1129" s="22"/>
      <c r="R1129" s="19"/>
      <c r="S1129" s="22"/>
      <c r="T1129" s="19"/>
      <c r="U1129" s="24">
        <v>1.5681250890317244E-2</v>
      </c>
      <c r="V1129" s="24">
        <f>(1+U1130)^P1130/(1+U1129)^P1129-1</f>
        <v>3.1310372072823611E-7</v>
      </c>
      <c r="W1129" s="23"/>
      <c r="X1129" s="35"/>
    </row>
    <row r="1130" spans="15:24" ht="17.100000000000001" customHeight="1">
      <c r="O1130" s="12">
        <f t="shared" si="17"/>
        <v>93.083333333333329</v>
      </c>
      <c r="P1130" s="13">
        <v>1117</v>
      </c>
      <c r="Q1130" s="22"/>
      <c r="R1130" s="19"/>
      <c r="S1130" s="22"/>
      <c r="T1130" s="19"/>
      <c r="U1130" s="24">
        <v>1.5667103051513198E-2</v>
      </c>
      <c r="V1130" s="24">
        <f>(1+U1131)^P1131/(1+U1130)^P1130-1</f>
        <v>3.0858293653679425E-7</v>
      </c>
      <c r="W1130" s="23"/>
      <c r="X1130" s="35"/>
    </row>
    <row r="1131" spans="15:24" ht="17.100000000000001" customHeight="1">
      <c r="O1131" s="12">
        <f t="shared" si="17"/>
        <v>93.166666666666671</v>
      </c>
      <c r="P1131" s="13">
        <v>1118</v>
      </c>
      <c r="Q1131" s="22"/>
      <c r="R1131" s="19"/>
      <c r="S1131" s="22"/>
      <c r="T1131" s="19"/>
      <c r="U1131" s="24">
        <v>1.5652980714337517E-2</v>
      </c>
      <c r="V1131" s="24">
        <f>(1+U1132)^P1132/(1+U1131)^P1131-1</f>
        <v>3.041273772819153E-7</v>
      </c>
      <c r="W1131" s="23"/>
      <c r="X1131" s="35"/>
    </row>
    <row r="1132" spans="15:24" ht="17.100000000000001" customHeight="1">
      <c r="O1132" s="12">
        <f t="shared" si="17"/>
        <v>93.25</v>
      </c>
      <c r="P1132" s="13">
        <v>1119</v>
      </c>
      <c r="Q1132" s="22"/>
      <c r="R1132" s="19"/>
      <c r="S1132" s="22"/>
      <c r="T1132" s="19"/>
      <c r="U1132" s="24">
        <v>1.5638883809951487E-2</v>
      </c>
      <c r="V1132" s="24">
        <f>(1+U1133)^P1133/(1+U1132)^P1132-1</f>
        <v>2.9973595561116895E-7</v>
      </c>
      <c r="W1132" s="23"/>
      <c r="X1132" s="35"/>
    </row>
    <row r="1133" spans="15:24" ht="17.100000000000001" customHeight="1">
      <c r="O1133" s="12">
        <f t="shared" si="17"/>
        <v>93.333333333333329</v>
      </c>
      <c r="P1133" s="13">
        <v>1120</v>
      </c>
      <c r="Q1133" s="22"/>
      <c r="R1133" s="19"/>
      <c r="S1133" s="22"/>
      <c r="T1133" s="19"/>
      <c r="U1133" s="24">
        <v>1.5624812269763089E-2</v>
      </c>
      <c r="V1133" s="24">
        <f>(1+U1134)^P1134/(1+U1133)^P1133-1</f>
        <v>2.9540792612081646E-7</v>
      </c>
      <c r="W1133" s="23"/>
      <c r="X1133" s="35"/>
    </row>
    <row r="1134" spans="15:24" ht="17.100000000000001" customHeight="1">
      <c r="O1134" s="12">
        <f t="shared" si="17"/>
        <v>93.416666666666671</v>
      </c>
      <c r="P1134" s="13">
        <v>1121</v>
      </c>
      <c r="Q1134" s="22"/>
      <c r="R1134" s="19"/>
      <c r="S1134" s="22"/>
      <c r="T1134" s="19"/>
      <c r="U1134" s="24">
        <v>1.5610766025426326E-2</v>
      </c>
      <c r="V1134" s="24">
        <f>(1+U1135)^P1135/(1+U1134)^P1134-1</f>
        <v>2.9114226274273847E-7</v>
      </c>
      <c r="W1134" s="23"/>
      <c r="X1134" s="35"/>
    </row>
    <row r="1135" spans="15:24" ht="17.100000000000001" customHeight="1">
      <c r="O1135" s="12">
        <f t="shared" si="17"/>
        <v>93.5</v>
      </c>
      <c r="P1135" s="13">
        <v>1122</v>
      </c>
      <c r="Q1135" s="22"/>
      <c r="R1135" s="19"/>
      <c r="S1135" s="22"/>
      <c r="T1135" s="19"/>
      <c r="U1135" s="24">
        <v>1.5596745008839674E-2</v>
      </c>
      <c r="V1135" s="24">
        <f>(1+U1136)^P1136/(1+U1135)^P1135-1</f>
        <v>2.8693865372630967E-7</v>
      </c>
      <c r="W1135" s="23"/>
      <c r="X1135" s="35"/>
    </row>
    <row r="1136" spans="15:24" ht="17.100000000000001" customHeight="1">
      <c r="O1136" s="12">
        <f t="shared" si="17"/>
        <v>93.583333333333329</v>
      </c>
      <c r="P1136" s="13">
        <v>1123</v>
      </c>
      <c r="Q1136" s="22"/>
      <c r="R1136" s="19"/>
      <c r="S1136" s="22"/>
      <c r="T1136" s="19"/>
      <c r="U1136" s="24">
        <v>1.5582749152145858E-2</v>
      </c>
      <c r="V1136" s="24">
        <f>(1+U1137)^P1137/(1+U1136)^P1136-1</f>
        <v>2.8279511954387715E-7</v>
      </c>
      <c r="W1136" s="23"/>
      <c r="X1136" s="35"/>
    </row>
    <row r="1137" spans="15:24" ht="17.100000000000001" customHeight="1">
      <c r="O1137" s="12">
        <f t="shared" si="17"/>
        <v>93.666666666666671</v>
      </c>
      <c r="P1137" s="13">
        <v>1124</v>
      </c>
      <c r="Q1137" s="22"/>
      <c r="R1137" s="19"/>
      <c r="S1137" s="22"/>
      <c r="T1137" s="19"/>
      <c r="U1137" s="24">
        <v>1.5568778387729187E-2</v>
      </c>
      <c r="V1137" s="24">
        <f>(1+U1138)^P1138/(1+U1137)^P1137-1</f>
        <v>2.7871218177821788E-7</v>
      </c>
      <c r="W1137" s="23"/>
      <c r="X1137" s="35"/>
    </row>
    <row r="1138" spans="15:24" ht="17.100000000000001" customHeight="1">
      <c r="O1138" s="12">
        <f t="shared" si="17"/>
        <v>93.75</v>
      </c>
      <c r="P1138" s="13">
        <v>1125</v>
      </c>
      <c r="Q1138" s="22"/>
      <c r="R1138" s="19"/>
      <c r="S1138" s="22"/>
      <c r="T1138" s="19"/>
      <c r="U1138" s="24">
        <v>1.5554832648216443E-2</v>
      </c>
      <c r="V1138" s="24">
        <f>(1+U1139)^P1139/(1+U1138)^P1138-1</f>
        <v>2.7468737262559273E-7</v>
      </c>
      <c r="W1138" s="23"/>
      <c r="X1138" s="35"/>
    </row>
    <row r="1139" spans="15:24" ht="17.100000000000001" customHeight="1">
      <c r="O1139" s="12">
        <f t="shared" si="17"/>
        <v>93.833333333333329</v>
      </c>
      <c r="P1139" s="13">
        <v>1126</v>
      </c>
      <c r="Q1139" s="22"/>
      <c r="R1139" s="19"/>
      <c r="S1139" s="22"/>
      <c r="T1139" s="19"/>
      <c r="U1139" s="24">
        <v>1.5540911866473772E-2</v>
      </c>
      <c r="V1139" s="24">
        <f>(1+U1140)^P1140/(1+U1139)^P1139-1</f>
        <v>2.7072130515115589E-7</v>
      </c>
      <c r="W1139" s="23"/>
      <c r="X1139" s="35"/>
    </row>
    <row r="1140" spans="15:24" ht="17.100000000000001" customHeight="1">
      <c r="O1140" s="12">
        <f t="shared" si="17"/>
        <v>93.916666666666671</v>
      </c>
      <c r="P1140" s="13">
        <v>1127</v>
      </c>
      <c r="Q1140" s="22"/>
      <c r="R1140" s="19"/>
      <c r="S1140" s="22"/>
      <c r="T1140" s="19"/>
      <c r="U1140" s="24">
        <v>1.5527015975607572E-2</v>
      </c>
      <c r="V1140" s="24">
        <f>(1+U1141)^P1141/(1+U1140)^P1140-1</f>
        <v>2.6681218945334706E-7</v>
      </c>
      <c r="W1140" s="23"/>
      <c r="X1140" s="35"/>
    </row>
    <row r="1141" spans="15:24" ht="17.100000000000001" customHeight="1">
      <c r="O1141" s="12">
        <f t="shared" si="17"/>
        <v>94</v>
      </c>
      <c r="P1141" s="13">
        <v>1128</v>
      </c>
      <c r="Q1141" s="22"/>
      <c r="R1141" s="19"/>
      <c r="S1141" s="22"/>
      <c r="T1141" s="19"/>
      <c r="U1141" s="24">
        <v>1.5513144908961829E-2</v>
      </c>
      <c r="V1141" s="24">
        <f>(1+U1142)^P1142/(1+U1141)^P1141-1</f>
        <v>2.6295974642209785E-7</v>
      </c>
      <c r="W1141" s="23"/>
      <c r="X1141" s="35"/>
    </row>
    <row r="1142" spans="15:24" ht="17.100000000000001" customHeight="1">
      <c r="O1142" s="12">
        <f t="shared" si="17"/>
        <v>94.083333333333329</v>
      </c>
      <c r="P1142" s="13">
        <v>1129</v>
      </c>
      <c r="Q1142" s="22"/>
      <c r="R1142" s="19"/>
      <c r="S1142" s="22"/>
      <c r="T1142" s="19"/>
      <c r="U1142" s="24">
        <v>1.5499298600118339E-2</v>
      </c>
      <c r="V1142" s="24">
        <f>(1+U1143)^P1143/(1+U1142)^P1142-1</f>
        <v>2.591628958104053E-7</v>
      </c>
      <c r="W1142" s="23"/>
      <c r="X1142" s="35"/>
    </row>
    <row r="1143" spans="15:24" ht="17.100000000000001" customHeight="1">
      <c r="O1143" s="12">
        <f t="shared" si="17"/>
        <v>94.166666666666671</v>
      </c>
      <c r="P1143" s="13">
        <v>1130</v>
      </c>
      <c r="Q1143" s="22"/>
      <c r="R1143" s="19"/>
      <c r="S1143" s="22"/>
      <c r="T1143" s="19"/>
      <c r="U1143" s="24">
        <v>1.5485476982894708E-2</v>
      </c>
      <c r="V1143" s="24">
        <f>(1+U1144)^P1144/(1+U1143)^P1143-1</f>
        <v>2.5542057913163774E-7</v>
      </c>
      <c r="W1143" s="23"/>
      <c r="X1143" s="35"/>
    </row>
    <row r="1144" spans="15:24" ht="17.100000000000001" customHeight="1">
      <c r="O1144" s="12">
        <f t="shared" si="17"/>
        <v>94.25</v>
      </c>
      <c r="P1144" s="13">
        <v>1131</v>
      </c>
      <c r="Q1144" s="22"/>
      <c r="R1144" s="19"/>
      <c r="S1144" s="22"/>
      <c r="T1144" s="19"/>
      <c r="U1144" s="24">
        <v>1.5471679991343468E-2</v>
      </c>
      <c r="V1144" s="24">
        <f>(1+U1145)^P1145/(1+U1144)^P1144-1</f>
        <v>2.5173259032840178E-7</v>
      </c>
      <c r="W1144" s="23"/>
      <c r="X1144" s="35"/>
    </row>
    <row r="1145" spans="15:24" ht="17.100000000000001" customHeight="1">
      <c r="O1145" s="12">
        <f t="shared" si="17"/>
        <v>94.333333333333329</v>
      </c>
      <c r="P1145" s="13">
        <v>1132</v>
      </c>
      <c r="Q1145" s="22"/>
      <c r="R1145" s="19"/>
      <c r="S1145" s="22"/>
      <c r="T1145" s="19"/>
      <c r="U1145" s="24">
        <v>1.5457907559751627E-2</v>
      </c>
      <c r="V1145" s="24">
        <f>(1+U1146)^P1146/(1+U1145)^P1145-1</f>
        <v>2.4809749499254963E-7</v>
      </c>
      <c r="W1145" s="23"/>
      <c r="X1145" s="35"/>
    </row>
    <row r="1146" spans="15:24" ht="17.100000000000001" customHeight="1">
      <c r="O1146" s="12">
        <f t="shared" si="17"/>
        <v>94.416666666666671</v>
      </c>
      <c r="P1146" s="13">
        <v>1133</v>
      </c>
      <c r="Q1146" s="22"/>
      <c r="R1146" s="19"/>
      <c r="S1146" s="22"/>
      <c r="T1146" s="19"/>
      <c r="U1146" s="24">
        <v>1.544415962263912E-2</v>
      </c>
      <c r="V1146" s="24">
        <f>(1+U1147)^P1147/(1+U1146)^P1146-1</f>
        <v>2.4451538882530599E-7</v>
      </c>
      <c r="W1146" s="23"/>
      <c r="X1146" s="35"/>
    </row>
    <row r="1147" spans="15:24" ht="17.100000000000001" customHeight="1">
      <c r="O1147" s="12">
        <f t="shared" si="17"/>
        <v>94.5</v>
      </c>
      <c r="P1147" s="13">
        <v>1134</v>
      </c>
      <c r="Q1147" s="22"/>
      <c r="R1147" s="19"/>
      <c r="S1147" s="22"/>
      <c r="T1147" s="19"/>
      <c r="U1147" s="24">
        <v>1.5430436114758139E-2</v>
      </c>
      <c r="V1147" s="24">
        <f>(1+U1148)^P1148/(1+U1147)^P1147-1</f>
        <v>2.4098455719823164E-7</v>
      </c>
      <c r="W1147" s="23"/>
      <c r="X1147" s="35"/>
    </row>
    <row r="1148" spans="15:24" ht="17.100000000000001" customHeight="1">
      <c r="O1148" s="12">
        <f t="shared" si="17"/>
        <v>94.583333333333329</v>
      </c>
      <c r="P1148" s="13">
        <v>1135</v>
      </c>
      <c r="Q1148" s="22"/>
      <c r="R1148" s="19"/>
      <c r="S1148" s="22"/>
      <c r="T1148" s="19"/>
      <c r="U1148" s="24">
        <v>1.541673697109136E-2</v>
      </c>
      <c r="V1148" s="24">
        <f>(1+U1149)^P1149/(1+U1148)^P1148-1</f>
        <v>2.3750512379017152E-7</v>
      </c>
      <c r="W1148" s="23"/>
      <c r="X1148" s="35"/>
    </row>
    <row r="1149" spans="15:24" ht="17.100000000000001" customHeight="1">
      <c r="O1149" s="12">
        <f t="shared" si="17"/>
        <v>94.666666666666671</v>
      </c>
      <c r="P1149" s="13">
        <v>1136</v>
      </c>
      <c r="Q1149" s="22"/>
      <c r="R1149" s="19"/>
      <c r="S1149" s="22"/>
      <c r="T1149" s="19"/>
      <c r="U1149" s="24">
        <v>1.5403062126852163E-2</v>
      </c>
      <c r="V1149" s="24">
        <f>(1+U1150)^P1150/(1+U1149)^P1149-1</f>
        <v>2.340756350971418E-7</v>
      </c>
      <c r="W1149" s="23"/>
      <c r="X1149" s="35"/>
    </row>
    <row r="1150" spans="15:24" ht="17.100000000000001" customHeight="1">
      <c r="O1150" s="12">
        <f t="shared" si="17"/>
        <v>94.75</v>
      </c>
      <c r="P1150" s="13">
        <v>1137</v>
      </c>
      <c r="Q1150" s="22"/>
      <c r="R1150" s="19"/>
      <c r="S1150" s="22"/>
      <c r="T1150" s="19"/>
      <c r="U1150" s="24">
        <v>1.538941151748241E-2</v>
      </c>
      <c r="V1150" s="24">
        <f>(1+U1151)^P1151/(1+U1150)^P1150-1</f>
        <v>2.3069567522959744E-7</v>
      </c>
      <c r="W1150" s="23"/>
      <c r="X1150" s="35"/>
    </row>
    <row r="1151" spans="15:24" ht="17.100000000000001" customHeight="1">
      <c r="O1151" s="12">
        <f t="shared" si="17"/>
        <v>94.833333333333329</v>
      </c>
      <c r="P1151" s="13">
        <v>1138</v>
      </c>
      <c r="Q1151" s="22"/>
      <c r="R1151" s="19"/>
      <c r="S1151" s="22"/>
      <c r="T1151" s="19"/>
      <c r="U1151" s="24">
        <v>1.5375785078652005E-2</v>
      </c>
      <c r="V1151" s="24">
        <f>(1+U1152)^P1152/(1+U1151)^P1151-1</f>
        <v>2.2736471549933412E-7</v>
      </c>
      <c r="W1151" s="23"/>
      <c r="X1151" s="35"/>
    </row>
    <row r="1152" spans="15:24" ht="17.100000000000001" customHeight="1">
      <c r="O1152" s="12">
        <f t="shared" si="17"/>
        <v>94.916666666666671</v>
      </c>
      <c r="P1152" s="13">
        <v>1139</v>
      </c>
      <c r="Q1152" s="22"/>
      <c r="R1152" s="19"/>
      <c r="S1152" s="22"/>
      <c r="T1152" s="19"/>
      <c r="U1152" s="24">
        <v>1.5362182746258002E-2</v>
      </c>
      <c r="V1152" s="24">
        <f>(1+U1153)^P1153/(1+U1152)^P1152-1</f>
        <v>2.2408182376310037E-7</v>
      </c>
      <c r="W1152" s="23"/>
      <c r="X1152" s="35"/>
    </row>
    <row r="1153" spans="15:24" ht="17.100000000000001" customHeight="1">
      <c r="O1153" s="12">
        <f t="shared" si="17"/>
        <v>95</v>
      </c>
      <c r="P1153" s="13">
        <v>1140</v>
      </c>
      <c r="Q1153" s="22"/>
      <c r="R1153" s="19"/>
      <c r="S1153" s="22"/>
      <c r="T1153" s="19"/>
      <c r="U1153" s="24">
        <v>1.534860445642372E-2</v>
      </c>
      <c r="V1153" s="24">
        <f>(1+U1154)^P1154/(1+U1153)^P1153-1</f>
        <v>2.2084606410288643E-7</v>
      </c>
      <c r="W1153" s="23"/>
      <c r="X1153" s="35"/>
    </row>
    <row r="1154" spans="15:24" ht="17.100000000000001" customHeight="1">
      <c r="O1154" s="12">
        <f t="shared" si="17"/>
        <v>95.083333333333329</v>
      </c>
      <c r="P1154" s="13">
        <v>1141</v>
      </c>
      <c r="Q1154" s="22"/>
      <c r="R1154" s="19"/>
      <c r="S1154" s="22"/>
      <c r="T1154" s="19"/>
      <c r="U1154" s="24">
        <v>1.533505014549652E-2</v>
      </c>
      <c r="V1154" s="24">
        <f>(1+U1155)^P1155/(1+U1154)^P1154-1</f>
        <v>2.1765722379996078E-7</v>
      </c>
      <c r="W1154" s="23"/>
      <c r="X1154" s="35"/>
    </row>
    <row r="1155" spans="15:24" ht="17.100000000000001" customHeight="1">
      <c r="O1155" s="12">
        <f t="shared" si="17"/>
        <v>95.166666666666671</v>
      </c>
      <c r="P1155" s="13">
        <v>1142</v>
      </c>
      <c r="Q1155" s="22"/>
      <c r="R1155" s="19"/>
      <c r="S1155" s="22"/>
      <c r="T1155" s="19"/>
      <c r="U1155" s="24">
        <v>1.5321519750048918E-2</v>
      </c>
      <c r="V1155" s="24">
        <f>(1+U1156)^P1156/(1+U1155)^P1155-1</f>
        <v>2.1451443910081025E-7</v>
      </c>
      <c r="W1155" s="23"/>
      <c r="X1155" s="35"/>
    </row>
    <row r="1156" spans="15:24" ht="17.100000000000001" customHeight="1">
      <c r="O1156" s="12">
        <f t="shared" si="17"/>
        <v>95.25</v>
      </c>
      <c r="P1156" s="13">
        <v>1143</v>
      </c>
      <c r="Q1156" s="22"/>
      <c r="R1156" s="19"/>
      <c r="S1156" s="22"/>
      <c r="T1156" s="19"/>
      <c r="U1156" s="24">
        <v>1.5308013206875914E-2</v>
      </c>
      <c r="V1156" s="24">
        <f>(1+U1157)^P1157/(1+U1156)^P1156-1</f>
        <v>2.1141705408567191E-7</v>
      </c>
      <c r="W1156" s="23"/>
      <c r="X1156" s="35"/>
    </row>
    <row r="1157" spans="15:24" ht="17.100000000000001" customHeight="1">
      <c r="O1157" s="12">
        <f t="shared" si="17"/>
        <v>95.333333333333329</v>
      </c>
      <c r="P1157" s="13">
        <v>1144</v>
      </c>
      <c r="Q1157" s="22"/>
      <c r="R1157" s="19"/>
      <c r="S1157" s="22"/>
      <c r="T1157" s="19"/>
      <c r="U1157" s="24">
        <v>1.5294530452994559E-2</v>
      </c>
      <c r="V1157" s="24">
        <f>(1+U1158)^P1158/(1+U1157)^P1157-1</f>
        <v>2.083641832406613E-7</v>
      </c>
      <c r="W1157" s="23"/>
      <c r="X1157" s="35"/>
    </row>
    <row r="1158" spans="15:24" ht="17.100000000000001" customHeight="1">
      <c r="O1158" s="12">
        <f t="shared" si="17"/>
        <v>95.416666666666671</v>
      </c>
      <c r="P1158" s="13">
        <v>1145</v>
      </c>
      <c r="Q1158" s="22"/>
      <c r="R1158" s="19"/>
      <c r="S1158" s="22"/>
      <c r="T1158" s="19"/>
      <c r="U1158" s="24">
        <v>1.5281071425643056E-2</v>
      </c>
      <c r="V1158" s="24">
        <f>(1+U1159)^P1159/(1+U1158)^P1158-1</f>
        <v>2.0535577283098405E-7</v>
      </c>
      <c r="W1158" s="23"/>
      <c r="X1158" s="35"/>
    </row>
    <row r="1159" spans="15:24" ht="17.100000000000001" customHeight="1">
      <c r="O1159" s="12">
        <f t="shared" si="17"/>
        <v>95.5</v>
      </c>
      <c r="P1159" s="13">
        <v>1146</v>
      </c>
      <c r="Q1159" s="22"/>
      <c r="R1159" s="19"/>
      <c r="S1159" s="22"/>
      <c r="T1159" s="19"/>
      <c r="U1159" s="24">
        <v>1.5267636062280099E-2</v>
      </c>
      <c r="V1159" s="24">
        <f>(1+U1160)^P1160/(1+U1159)^P1159-1</f>
        <v>2.0239042242131688E-7</v>
      </c>
      <c r="W1159" s="23"/>
      <c r="X1159" s="35"/>
    </row>
    <row r="1160" spans="15:24" ht="17.100000000000001" customHeight="1">
      <c r="O1160" s="12">
        <f t="shared" si="17"/>
        <v>95.583333333333329</v>
      </c>
      <c r="P1160" s="13">
        <v>1147</v>
      </c>
      <c r="Q1160" s="22"/>
      <c r="R1160" s="19"/>
      <c r="S1160" s="22"/>
      <c r="T1160" s="19"/>
      <c r="U1160" s="24">
        <v>1.5254224300582875E-2</v>
      </c>
      <c r="V1160" s="24">
        <f>(1+U1161)^P1161/(1+U1160)^P1160-1</f>
        <v>1.9946819818095207E-7</v>
      </c>
      <c r="W1160" s="23"/>
      <c r="X1160" s="35"/>
    </row>
    <row r="1161" spans="15:24" ht="17.100000000000001" customHeight="1">
      <c r="O1161" s="12">
        <f t="shared" si="17"/>
        <v>95.666666666666671</v>
      </c>
      <c r="P1161" s="13">
        <v>1148</v>
      </c>
      <c r="Q1161" s="22"/>
      <c r="R1161" s="19"/>
      <c r="S1161" s="22"/>
      <c r="T1161" s="19"/>
      <c r="U1161" s="24">
        <v>1.5240836078447506E-2</v>
      </c>
      <c r="V1161" s="24">
        <f>(1+U1162)^P1162/(1+U1161)^P1161-1</f>
        <v>1.9658778138698096E-7</v>
      </c>
      <c r="W1161" s="23"/>
      <c r="X1161" s="35"/>
    </row>
    <row r="1162" spans="15:24" ht="17.100000000000001" customHeight="1">
      <c r="O1162" s="12">
        <f t="shared" si="17"/>
        <v>95.75</v>
      </c>
      <c r="P1162" s="13">
        <v>1149</v>
      </c>
      <c r="Q1162" s="22"/>
      <c r="R1162" s="19"/>
      <c r="S1162" s="22"/>
      <c r="T1162" s="19"/>
      <c r="U1162" s="24">
        <v>1.5227471333986831E-2</v>
      </c>
      <c r="V1162" s="24">
        <f>(1+U1163)^P1163/(1+U1162)^P1162-1</f>
        <v>1.9374941007122004E-7</v>
      </c>
      <c r="W1162" s="23"/>
      <c r="X1162" s="35"/>
    </row>
    <row r="1163" spans="15:24" ht="17.100000000000001" customHeight="1">
      <c r="O1163" s="12">
        <f t="shared" si="17"/>
        <v>95.833333333333329</v>
      </c>
      <c r="P1163" s="13">
        <v>1150</v>
      </c>
      <c r="Q1163" s="22"/>
      <c r="R1163" s="19"/>
      <c r="S1163" s="22"/>
      <c r="T1163" s="19"/>
      <c r="U1163" s="24">
        <v>1.5214130005530624E-2</v>
      </c>
      <c r="V1163" s="24">
        <f>(1+U1164)^P1164/(1+U1163)^P1163-1</f>
        <v>1.909517677312067E-7</v>
      </c>
      <c r="W1163" s="23"/>
      <c r="X1163" s="35"/>
    </row>
    <row r="1164" spans="15:24" ht="17.100000000000001" customHeight="1">
      <c r="O1164" s="12">
        <f t="shared" si="17"/>
        <v>95.916666666666671</v>
      </c>
      <c r="P1164" s="13">
        <v>1151</v>
      </c>
      <c r="Q1164" s="22"/>
      <c r="R1164" s="19"/>
      <c r="S1164" s="22"/>
      <c r="T1164" s="19"/>
      <c r="U1164" s="24">
        <v>1.5200812031623379E-2</v>
      </c>
      <c r="V1164" s="24">
        <f>(1+U1165)^P1165/(1+U1164)^P1164-1</f>
        <v>1.881944871051644E-7</v>
      </c>
      <c r="W1164" s="23"/>
      <c r="X1164" s="35"/>
    </row>
    <row r="1165" spans="15:24" ht="17.100000000000001" customHeight="1">
      <c r="O1165" s="12">
        <f t="shared" si="17"/>
        <v>96</v>
      </c>
      <c r="P1165" s="13">
        <v>1152</v>
      </c>
      <c r="Q1165" s="22"/>
      <c r="R1165" s="19"/>
      <c r="S1165" s="22"/>
      <c r="T1165" s="19"/>
      <c r="U1165" s="24">
        <v>1.5187517351024526E-2</v>
      </c>
      <c r="V1165" s="24">
        <f>(1+U1166)^P1166/(1+U1165)^P1165-1</f>
        <v>1.8547697089310589E-7</v>
      </c>
      <c r="W1165" s="23"/>
      <c r="X1165" s="35"/>
    </row>
    <row r="1166" spans="15:24" ht="17.100000000000001" customHeight="1">
      <c r="O1166" s="12">
        <f t="shared" ref="O1166:O1214" si="18">P1166/12</f>
        <v>96.083333333333329</v>
      </c>
      <c r="P1166" s="13">
        <v>1153</v>
      </c>
      <c r="Q1166" s="22"/>
      <c r="R1166" s="19"/>
      <c r="S1166" s="22"/>
      <c r="T1166" s="19"/>
      <c r="U1166" s="24">
        <v>1.5174245902706662E-2</v>
      </c>
      <c r="V1166" s="24">
        <f>(1+U1167)^P1167/(1+U1166)^P1166-1</f>
        <v>1.8279915137142666E-7</v>
      </c>
      <c r="W1166" s="23"/>
      <c r="X1166" s="35"/>
    </row>
    <row r="1167" spans="15:24" ht="17.100000000000001" customHeight="1">
      <c r="O1167" s="12">
        <f t="shared" si="18"/>
        <v>96.166666666666671</v>
      </c>
      <c r="P1167" s="13">
        <v>1154</v>
      </c>
      <c r="Q1167" s="22"/>
      <c r="R1167" s="19"/>
      <c r="S1167" s="22"/>
      <c r="T1167" s="19"/>
      <c r="U1167" s="24">
        <v>1.5160997625855765E-2</v>
      </c>
      <c r="V1167" s="24">
        <f>(1+U1168)^P1168/(1+U1167)^P1167-1</f>
        <v>1.8015926972481111E-7</v>
      </c>
      <c r="W1167" s="23"/>
      <c r="X1167" s="35"/>
    </row>
    <row r="1168" spans="15:24" ht="17.100000000000001" customHeight="1">
      <c r="O1168" s="12">
        <f t="shared" si="18"/>
        <v>96.25</v>
      </c>
      <c r="P1168" s="13">
        <v>1155</v>
      </c>
      <c r="Q1168" s="22"/>
      <c r="R1168" s="19"/>
      <c r="S1168" s="22"/>
      <c r="T1168" s="19"/>
      <c r="U1168" s="24">
        <v>1.5147772459868314E-2</v>
      </c>
      <c r="V1168" s="24">
        <f>(1+U1169)^P1169/(1+U1168)^P1168-1</f>
        <v>1.7755828363164028E-7</v>
      </c>
      <c r="W1168" s="23"/>
      <c r="X1168" s="35"/>
    </row>
    <row r="1169" spans="15:24" ht="17.100000000000001" customHeight="1">
      <c r="O1169" s="12">
        <f t="shared" si="18"/>
        <v>96.333333333333329</v>
      </c>
      <c r="P1169" s="13">
        <v>1156</v>
      </c>
      <c r="Q1169" s="22"/>
      <c r="R1169" s="19"/>
      <c r="S1169" s="22"/>
      <c r="T1169" s="19"/>
      <c r="U1169" s="24">
        <v>1.5134570344352838E-2</v>
      </c>
      <c r="V1169" s="24">
        <f>(1+U1170)^P1170/(1+U1169)^P1169-1</f>
        <v>1.7499429172396219E-7</v>
      </c>
      <c r="W1169" s="23"/>
      <c r="X1169" s="35"/>
    </row>
    <row r="1170" spans="15:24" ht="17.100000000000001" customHeight="1">
      <c r="O1170" s="12">
        <f t="shared" si="18"/>
        <v>96.416666666666671</v>
      </c>
      <c r="P1170" s="13">
        <v>1157</v>
      </c>
      <c r="Q1170" s="22"/>
      <c r="R1170" s="19"/>
      <c r="S1170" s="22"/>
      <c r="T1170" s="19"/>
      <c r="U1170" s="24">
        <v>1.512139121912659E-2</v>
      </c>
      <c r="V1170" s="24">
        <f>(1+U1171)^P1171/(1+U1170)^P1170-1</f>
        <v>1.7246739147935841E-7</v>
      </c>
      <c r="W1170" s="23"/>
      <c r="X1170" s="35"/>
    </row>
    <row r="1171" spans="15:24" ht="17.100000000000001" customHeight="1">
      <c r="O1171" s="12">
        <f t="shared" si="18"/>
        <v>96.5</v>
      </c>
      <c r="P1171" s="13">
        <v>1158</v>
      </c>
      <c r="Q1171" s="22"/>
      <c r="R1171" s="19"/>
      <c r="S1171" s="22"/>
      <c r="T1171" s="19"/>
      <c r="U1171" s="24">
        <v>1.5108235024216432E-2</v>
      </c>
      <c r="V1171" s="24">
        <f>(1+U1172)^P1172/(1+U1171)^P1171-1</f>
        <v>1.6997708596200312E-7</v>
      </c>
      <c r="W1171" s="23"/>
      <c r="X1171" s="35"/>
    </row>
    <row r="1172" spans="15:24" ht="17.100000000000001" customHeight="1">
      <c r="O1172" s="12">
        <f t="shared" si="18"/>
        <v>96.583333333333329</v>
      </c>
      <c r="P1172" s="13">
        <v>1159</v>
      </c>
      <c r="Q1172" s="22"/>
      <c r="R1172" s="19"/>
      <c r="S1172" s="22"/>
      <c r="T1172" s="19"/>
      <c r="U1172" s="24">
        <v>1.5095101699857061E-2</v>
      </c>
      <c r="V1172" s="24">
        <f>(1+U1173)^P1173/(1+U1172)^P1172-1</f>
        <v>1.67522919536367E-7</v>
      </c>
      <c r="W1172" s="23"/>
      <c r="X1172" s="35"/>
    </row>
    <row r="1173" spans="15:24" ht="17.100000000000001" customHeight="1">
      <c r="O1173" s="12">
        <f t="shared" si="18"/>
        <v>96.666666666666671</v>
      </c>
      <c r="P1173" s="13">
        <v>1160</v>
      </c>
      <c r="Q1173" s="22"/>
      <c r="R1173" s="19"/>
      <c r="S1173" s="22"/>
      <c r="T1173" s="19"/>
      <c r="U1173" s="24">
        <v>1.5081991186490784E-2</v>
      </c>
      <c r="V1173" s="24">
        <f>(1+U1174)^P1174/(1+U1173)^P1173-1</f>
        <v>1.6510380529410895E-7</v>
      </c>
      <c r="W1173" s="23"/>
      <c r="X1173" s="35"/>
    </row>
    <row r="1174" spans="15:24" ht="17.100000000000001" customHeight="1">
      <c r="O1174" s="12">
        <f t="shared" si="18"/>
        <v>96.75</v>
      </c>
      <c r="P1174" s="13">
        <v>1161</v>
      </c>
      <c r="Q1174" s="22"/>
      <c r="R1174" s="19"/>
      <c r="S1174" s="22"/>
      <c r="T1174" s="19"/>
      <c r="U1174" s="24">
        <v>1.5068903424765301E-2</v>
      </c>
      <c r="V1174" s="24">
        <f>(1+U1175)^P1175/(1+U1174)^P1174-1</f>
        <v>1.6271998415362532E-7</v>
      </c>
      <c r="W1174" s="23"/>
      <c r="X1174" s="35"/>
    </row>
    <row r="1175" spans="15:24" ht="17.100000000000001" customHeight="1">
      <c r="O1175" s="12">
        <f t="shared" si="18"/>
        <v>96.833333333333329</v>
      </c>
      <c r="P1175" s="13">
        <v>1162</v>
      </c>
      <c r="Q1175" s="22"/>
      <c r="R1175" s="19"/>
      <c r="S1175" s="22"/>
      <c r="T1175" s="19"/>
      <c r="U1175" s="24">
        <v>1.505583835553459E-2</v>
      </c>
      <c r="V1175" s="24">
        <f>(1+U1176)^P1176/(1+U1175)^P1175-1</f>
        <v>1.6037051264738977E-7</v>
      </c>
      <c r="W1175" s="23"/>
      <c r="X1175" s="35"/>
    </row>
    <row r="1176" spans="15:24" ht="17.100000000000001" customHeight="1">
      <c r="O1176" s="12">
        <f t="shared" si="18"/>
        <v>96.916666666666671</v>
      </c>
      <c r="P1176" s="13">
        <v>1163</v>
      </c>
      <c r="Q1176" s="22"/>
      <c r="R1176" s="19"/>
      <c r="S1176" s="22"/>
      <c r="T1176" s="19"/>
      <c r="U1176" s="24">
        <v>1.5042795919856689E-2</v>
      </c>
      <c r="V1176" s="24">
        <f>(1+U1177)^P1177/(1+U1176)^P1176-1</f>
        <v>1.5805470132690402E-7</v>
      </c>
      <c r="W1176" s="23"/>
      <c r="X1176" s="35"/>
    </row>
    <row r="1177" spans="15:24" ht="17.100000000000001" customHeight="1">
      <c r="O1177" s="12">
        <f t="shared" si="18"/>
        <v>97</v>
      </c>
      <c r="P1177" s="13">
        <v>1164</v>
      </c>
      <c r="Q1177" s="22"/>
      <c r="R1177" s="19"/>
      <c r="S1177" s="22"/>
      <c r="T1177" s="19"/>
      <c r="U1177" s="24">
        <v>1.5029776058993027E-2</v>
      </c>
      <c r="V1177" s="24">
        <f>(1+U1178)^P1178/(1+U1177)^P1177-1</f>
        <v>1.5577250134235499E-7</v>
      </c>
      <c r="W1177" s="23"/>
      <c r="X1177" s="35"/>
    </row>
    <row r="1178" spans="15:24" ht="17.100000000000001" customHeight="1">
      <c r="O1178" s="12">
        <f t="shared" si="18"/>
        <v>97.083333333333329</v>
      </c>
      <c r="P1178" s="13">
        <v>1165</v>
      </c>
      <c r="Q1178" s="22"/>
      <c r="R1178" s="19"/>
      <c r="S1178" s="22"/>
      <c r="T1178" s="19"/>
      <c r="U1178" s="24">
        <v>1.5016778714408208E-2</v>
      </c>
      <c r="V1178" s="24">
        <f>(1+U1179)^P1179/(1+U1178)^P1178-1</f>
        <v>1.5352316862227156E-7</v>
      </c>
      <c r="W1178" s="23"/>
      <c r="X1178" s="35"/>
    </row>
    <row r="1179" spans="15:24" ht="17.100000000000001" customHeight="1">
      <c r="O1179" s="12">
        <f t="shared" si="18"/>
        <v>97.166666666666671</v>
      </c>
      <c r="P1179" s="13">
        <v>1166</v>
      </c>
      <c r="Q1179" s="22"/>
      <c r="R1179" s="19"/>
      <c r="S1179" s="22"/>
      <c r="T1179" s="19"/>
      <c r="U1179" s="24">
        <v>1.5003803827768447E-2</v>
      </c>
      <c r="V1179" s="24">
        <f>(1+U1180)^P1180/(1+U1179)^P1179-1</f>
        <v>1.5130670116825229E-7</v>
      </c>
      <c r="W1179" s="23"/>
      <c r="X1179" s="35"/>
    </row>
    <row r="1180" spans="15:24" ht="17.100000000000001" customHeight="1">
      <c r="O1180" s="12">
        <f t="shared" si="18"/>
        <v>97.25</v>
      </c>
      <c r="P1180" s="13">
        <v>1167</v>
      </c>
      <c r="Q1180" s="22"/>
      <c r="R1180" s="19"/>
      <c r="S1180" s="22"/>
      <c r="T1180" s="19"/>
      <c r="U1180" s="24">
        <v>1.4990851340941358E-2</v>
      </c>
      <c r="V1180" s="24">
        <f>(1+U1181)^P1181/(1+U1180)^P1180-1</f>
        <v>1.4912171253378403E-7</v>
      </c>
      <c r="W1180" s="23"/>
      <c r="X1180" s="35"/>
    </row>
    <row r="1181" spans="15:24" ht="17.100000000000001" customHeight="1">
      <c r="O1181" s="12">
        <f t="shared" si="18"/>
        <v>97.333333333333329</v>
      </c>
      <c r="P1181" s="13">
        <v>1168</v>
      </c>
      <c r="Q1181" s="22"/>
      <c r="R1181" s="19"/>
      <c r="S1181" s="22"/>
      <c r="T1181" s="19"/>
      <c r="U1181" s="24">
        <v>1.497792119599417E-2</v>
      </c>
      <c r="V1181" s="24">
        <f>(1+U1182)^P1182/(1+U1181)^P1181-1</f>
        <v>1.4696862016272405E-7</v>
      </c>
      <c r="W1181" s="23"/>
      <c r="X1181" s="35"/>
    </row>
    <row r="1182" spans="15:24" ht="17.100000000000001" customHeight="1">
      <c r="O1182" s="12">
        <f t="shared" si="18"/>
        <v>97.416666666666671</v>
      </c>
      <c r="P1182" s="13">
        <v>1169</v>
      </c>
      <c r="Q1182" s="22"/>
      <c r="R1182" s="19"/>
      <c r="S1182" s="22"/>
      <c r="T1182" s="19"/>
      <c r="U1182" s="24">
        <v>1.4965013335193733E-2</v>
      </c>
      <c r="V1182" s="24">
        <f>(1+U1183)^P1183/(1+U1182)^P1182-1</f>
        <v>1.4484644794698909E-7</v>
      </c>
      <c r="W1182" s="23"/>
      <c r="X1182" s="35"/>
    </row>
    <row r="1183" spans="15:24" ht="17.100000000000001" customHeight="1">
      <c r="O1183" s="12">
        <f t="shared" si="18"/>
        <v>97.5</v>
      </c>
      <c r="P1183" s="13">
        <v>1170</v>
      </c>
      <c r="Q1183" s="22"/>
      <c r="R1183" s="19"/>
      <c r="S1183" s="22"/>
      <c r="T1183" s="19"/>
      <c r="U1183" s="24">
        <v>1.495212770100518E-2</v>
      </c>
      <c r="V1183" s="24">
        <f>(1+U1184)^P1184/(1+U1183)^P1183-1</f>
        <v>1.4275484194747889E-7</v>
      </c>
      <c r="W1183" s="23"/>
      <c r="X1183" s="35"/>
    </row>
    <row r="1184" spans="15:24" ht="17.100000000000001" customHeight="1">
      <c r="O1184" s="12">
        <f t="shared" si="18"/>
        <v>97.583333333333329</v>
      </c>
      <c r="P1184" s="13">
        <v>1171</v>
      </c>
      <c r="Q1184" s="22"/>
      <c r="R1184" s="19"/>
      <c r="S1184" s="22"/>
      <c r="T1184" s="19"/>
      <c r="U1184" s="24">
        <v>1.4939264236091265E-2</v>
      </c>
      <c r="V1184" s="24">
        <f>(1+U1185)^P1185/(1+U1184)^P1184-1</f>
        <v>1.406937086834148E-7</v>
      </c>
      <c r="W1184" s="23"/>
      <c r="X1184" s="35"/>
    </row>
    <row r="1185" spans="15:24" ht="17.100000000000001" customHeight="1">
      <c r="O1185" s="12">
        <f t="shared" si="18"/>
        <v>97.666666666666671</v>
      </c>
      <c r="P1185" s="13">
        <v>1172</v>
      </c>
      <c r="Q1185" s="22"/>
      <c r="R1185" s="19"/>
      <c r="S1185" s="22"/>
      <c r="T1185" s="19"/>
      <c r="U1185" s="24">
        <v>1.4926422883311696E-2</v>
      </c>
      <c r="V1185" s="24">
        <f>(1+U1186)^P1186/(1+U1185)^P1185-1</f>
        <v>1.3866227543957166E-7</v>
      </c>
      <c r="W1185" s="23"/>
      <c r="X1185" s="35"/>
    </row>
    <row r="1186" spans="15:24" ht="17.100000000000001" customHeight="1">
      <c r="O1186" s="12">
        <f t="shared" si="18"/>
        <v>97.75</v>
      </c>
      <c r="P1186" s="13">
        <v>1173</v>
      </c>
      <c r="Q1186" s="22"/>
      <c r="R1186" s="19"/>
      <c r="S1186" s="22"/>
      <c r="T1186" s="19"/>
      <c r="U1186" s="24">
        <v>1.4913603585722024E-2</v>
      </c>
      <c r="V1186" s="24">
        <f>(1+U1187)^P1187/(1+U1186)^P1186-1</f>
        <v>1.3665974862853147E-7</v>
      </c>
      <c r="W1186" s="23"/>
      <c r="X1186" s="35"/>
    </row>
    <row r="1187" spans="15:24" ht="17.100000000000001" customHeight="1">
      <c r="O1187" s="12">
        <f t="shared" si="18"/>
        <v>97.833333333333329</v>
      </c>
      <c r="P1187" s="13">
        <v>1174</v>
      </c>
      <c r="Q1187" s="22"/>
      <c r="R1187" s="19"/>
      <c r="S1187" s="22"/>
      <c r="T1187" s="19"/>
      <c r="U1187" s="24">
        <v>1.490080628657231E-2</v>
      </c>
      <c r="V1187" s="24">
        <f>(1+U1188)^P1188/(1+U1187)^P1187-1</f>
        <v>1.3468683501827172E-7</v>
      </c>
      <c r="W1187" s="23"/>
      <c r="X1187" s="35"/>
    </row>
    <row r="1188" spans="15:24" ht="17.100000000000001" customHeight="1">
      <c r="O1188" s="12">
        <f t="shared" si="18"/>
        <v>97.916666666666671</v>
      </c>
      <c r="P1188" s="13">
        <v>1175</v>
      </c>
      <c r="Q1188" s="22"/>
      <c r="R1188" s="19"/>
      <c r="S1188" s="22"/>
      <c r="T1188" s="19"/>
      <c r="U1188" s="24">
        <v>1.4888030929308016E-2</v>
      </c>
      <c r="V1188" s="24">
        <f>(1+U1189)^P1189/(1+U1188)^P1188-1</f>
        <v>1.3274186305700653E-7</v>
      </c>
      <c r="W1188" s="23"/>
      <c r="X1188" s="35"/>
    </row>
    <row r="1189" spans="15:24" ht="17.100000000000001" customHeight="1">
      <c r="O1189" s="12">
        <f t="shared" si="18"/>
        <v>98</v>
      </c>
      <c r="P1189" s="13">
        <v>1176</v>
      </c>
      <c r="Q1189" s="22"/>
      <c r="R1189" s="19"/>
      <c r="S1189" s="22"/>
      <c r="T1189" s="19"/>
      <c r="U1189" s="24">
        <v>1.4875277457566671E-2</v>
      </c>
      <c r="V1189" s="24">
        <f>(1+U1190)^P1190/(1+U1189)^P1189-1</f>
        <v>1.3082510696982297E-7</v>
      </c>
      <c r="W1189" s="23"/>
      <c r="X1189" s="35"/>
    </row>
    <row r="1190" spans="15:24" ht="17.100000000000001" customHeight="1">
      <c r="O1190" s="12">
        <f t="shared" si="18"/>
        <v>98.083333333333329</v>
      </c>
      <c r="P1190" s="13">
        <v>1177</v>
      </c>
      <c r="Q1190" s="22"/>
      <c r="R1190" s="19"/>
      <c r="S1190" s="22"/>
      <c r="T1190" s="19"/>
      <c r="U1190" s="24">
        <v>1.4862545815179429E-2</v>
      </c>
      <c r="V1190" s="24">
        <f>(1+U1191)^P1191/(1+U1190)^P1190-1</f>
        <v>1.2893634115940245E-7</v>
      </c>
      <c r="W1190" s="23"/>
      <c r="X1190" s="35"/>
    </row>
    <row r="1191" spans="15:24" ht="17.100000000000001" customHeight="1">
      <c r="O1191" s="12">
        <f t="shared" si="18"/>
        <v>98.166666666666671</v>
      </c>
      <c r="P1191" s="13">
        <v>1178</v>
      </c>
      <c r="Q1191" s="22"/>
      <c r="R1191" s="19"/>
      <c r="S1191" s="22"/>
      <c r="T1191" s="19"/>
      <c r="U1191" s="24">
        <v>1.4849835946168843E-2</v>
      </c>
      <c r="V1191" s="24">
        <f>(1+U1192)^P1192/(1+U1191)^P1191-1</f>
        <v>1.2707443808324115E-7</v>
      </c>
      <c r="W1191" s="23"/>
      <c r="X1191" s="35"/>
    </row>
    <row r="1192" spans="15:24" ht="17.100000000000001" customHeight="1">
      <c r="O1192" s="12">
        <f t="shared" si="18"/>
        <v>98.25</v>
      </c>
      <c r="P1192" s="13">
        <v>1179</v>
      </c>
      <c r="Q1192" s="22"/>
      <c r="R1192" s="19"/>
      <c r="S1192" s="22"/>
      <c r="T1192" s="19"/>
      <c r="U1192" s="24">
        <v>1.4837147794748429E-2</v>
      </c>
      <c r="V1192" s="24">
        <f>(1+U1193)^P1193/(1+U1192)^P1192-1</f>
        <v>1.2523969861177875E-7</v>
      </c>
      <c r="W1192" s="23"/>
      <c r="X1192" s="35"/>
    </row>
    <row r="1193" spans="15:24" ht="17.100000000000001" customHeight="1">
      <c r="O1193" s="12">
        <f t="shared" si="18"/>
        <v>98.333333333333329</v>
      </c>
      <c r="P1193" s="13">
        <v>1180</v>
      </c>
      <c r="Q1193" s="22"/>
      <c r="R1193" s="19"/>
      <c r="S1193" s="22"/>
      <c r="T1193" s="19"/>
      <c r="U1193" s="24">
        <v>1.4824481305321768E-2</v>
      </c>
      <c r="V1193" s="24">
        <f>(1+U1194)^P1194/(1+U1193)^P1193-1</f>
        <v>1.2343117639090906E-7</v>
      </c>
      <c r="W1193" s="23"/>
      <c r="X1193" s="35"/>
    </row>
    <row r="1194" spans="15:24" ht="17.100000000000001" customHeight="1">
      <c r="O1194" s="12">
        <f t="shared" si="18"/>
        <v>98.416666666666671</v>
      </c>
      <c r="P1194" s="13">
        <v>1181</v>
      </c>
      <c r="Q1194" s="22"/>
      <c r="R1194" s="19"/>
      <c r="S1194" s="22"/>
      <c r="T1194" s="19"/>
      <c r="U1194" s="24">
        <v>1.481183642248185E-2</v>
      </c>
      <c r="V1194" s="24">
        <f>(1+U1195)^P1195/(1+U1194)^P1194-1</f>
        <v>1.2164891560750846E-7</v>
      </c>
      <c r="W1194" s="23"/>
      <c r="X1194" s="35"/>
    </row>
    <row r="1195" spans="15:24" ht="17.100000000000001" customHeight="1">
      <c r="O1195" s="12">
        <f t="shared" si="18"/>
        <v>98.5</v>
      </c>
      <c r="P1195" s="13">
        <v>1182</v>
      </c>
      <c r="Q1195" s="22"/>
      <c r="R1195" s="19"/>
      <c r="S1195" s="22"/>
      <c r="T1195" s="19"/>
      <c r="U1195" s="24">
        <v>1.4799213091010399E-2</v>
      </c>
      <c r="V1195" s="24">
        <f>(1+U1196)^P1196/(1+U1195)^P1195-1</f>
        <v>1.1989230608300261E-7</v>
      </c>
      <c r="W1195" s="23"/>
      <c r="X1195" s="35"/>
    </row>
    <row r="1196" spans="15:24" ht="17.100000000000001" customHeight="1">
      <c r="O1196" s="12">
        <f t="shared" si="18"/>
        <v>98.583333333333329</v>
      </c>
      <c r="P1196" s="13">
        <v>1183</v>
      </c>
      <c r="Q1196" s="22"/>
      <c r="R1196" s="19"/>
      <c r="S1196" s="22"/>
      <c r="T1196" s="19"/>
      <c r="U1196" s="24">
        <v>1.4786611255876547E-2</v>
      </c>
      <c r="V1196" s="24">
        <f>(1+U1197)^P1197/(1+U1196)^P1196-1</f>
        <v>1.1816121303631633E-7</v>
      </c>
      <c r="W1196" s="23"/>
      <c r="X1196" s="35"/>
    </row>
    <row r="1197" spans="15:24" ht="17.100000000000001" customHeight="1">
      <c r="O1197" s="12">
        <f t="shared" si="18"/>
        <v>98.666666666666671</v>
      </c>
      <c r="P1197" s="13">
        <v>1184</v>
      </c>
      <c r="Q1197" s="22"/>
      <c r="R1197" s="19"/>
      <c r="S1197" s="22"/>
      <c r="T1197" s="19"/>
      <c r="U1197" s="24">
        <v>1.4774030862236609E-2</v>
      </c>
      <c r="V1197" s="24">
        <f>(1+U1198)^P1198/(1+U1197)^P1197-1</f>
        <v>1.1645542685734256E-7</v>
      </c>
      <c r="W1197" s="23"/>
      <c r="X1197" s="35"/>
    </row>
    <row r="1198" spans="15:24" ht="17.100000000000001" customHeight="1">
      <c r="O1198" s="12">
        <f t="shared" si="18"/>
        <v>98.75</v>
      </c>
      <c r="P1198" s="13">
        <v>1185</v>
      </c>
      <c r="Q1198" s="22"/>
      <c r="R1198" s="19"/>
      <c r="S1198" s="22"/>
      <c r="T1198" s="19"/>
      <c r="U1198" s="24">
        <v>1.4761471855433417E-2</v>
      </c>
      <c r="V1198" s="24">
        <f>(1+U1199)^P1199/(1+U1198)^P1198-1</f>
        <v>1.1477334704856901E-7</v>
      </c>
      <c r="W1198" s="23"/>
      <c r="X1198" s="35"/>
    </row>
    <row r="1199" spans="15:24" ht="17.100000000000001" customHeight="1">
      <c r="O1199" s="12">
        <f t="shared" si="18"/>
        <v>98.833333333333329</v>
      </c>
      <c r="P1199" s="13">
        <v>1186</v>
      </c>
      <c r="Q1199" s="22"/>
      <c r="R1199" s="19"/>
      <c r="S1199" s="22"/>
      <c r="T1199" s="19"/>
      <c r="U1199" s="24">
        <v>1.47489341809941E-2</v>
      </c>
      <c r="V1199" s="24">
        <f>(1+U1200)^P1200/(1+U1199)^P1199-1</f>
        <v>1.1311625769394595E-7</v>
      </c>
      <c r="W1199" s="23"/>
      <c r="X1199" s="35"/>
    </row>
    <row r="1200" spans="15:24" ht="17.100000000000001" customHeight="1">
      <c r="O1200" s="12">
        <f t="shared" si="18"/>
        <v>98.916666666666671</v>
      </c>
      <c r="P1200" s="13">
        <v>1187</v>
      </c>
      <c r="Q1200" s="22"/>
      <c r="R1200" s="19"/>
      <c r="S1200" s="22"/>
      <c r="T1200" s="19"/>
      <c r="U1200" s="24">
        <v>1.4736417784631417E-2</v>
      </c>
      <c r="V1200" s="24">
        <f>(1+U1201)^P1201/(1+U1200)^P1200-1</f>
        <v>1.1148328571408683E-7</v>
      </c>
      <c r="W1200" s="23"/>
      <c r="X1200" s="35"/>
    </row>
    <row r="1201" spans="15:24" ht="17.100000000000001" customHeight="1">
      <c r="O1201" s="12">
        <f t="shared" si="18"/>
        <v>99</v>
      </c>
      <c r="P1201" s="13">
        <v>1188</v>
      </c>
      <c r="Q1201" s="22"/>
      <c r="R1201" s="19"/>
      <c r="S1201" s="22"/>
      <c r="T1201" s="19"/>
      <c r="U1201" s="24">
        <v>1.4723922612241758E-2</v>
      </c>
      <c r="V1201" s="24">
        <f>(1+U1202)^P1202/(1+U1201)^P1201-1</f>
        <v>1.0987300691489565E-7</v>
      </c>
      <c r="W1201" s="23"/>
      <c r="X1201" s="35"/>
    </row>
    <row r="1202" spans="15:24" ht="17.100000000000001" customHeight="1">
      <c r="O1202" s="12">
        <f t="shared" si="18"/>
        <v>99.083333333333329</v>
      </c>
      <c r="P1202" s="13">
        <v>1189</v>
      </c>
      <c r="Q1202" s="22"/>
      <c r="R1202" s="19"/>
      <c r="S1202" s="22"/>
      <c r="T1202" s="19"/>
      <c r="U1202" s="24">
        <v>1.471144860990381E-2</v>
      </c>
      <c r="V1202" s="24">
        <f>(1+U1203)^P1203/(1+U1202)^P1202-1</f>
        <v>1.0828671337392848E-7</v>
      </c>
      <c r="W1202" s="23"/>
      <c r="X1202" s="35"/>
    </row>
    <row r="1203" spans="15:24" ht="17.100000000000001" customHeight="1">
      <c r="O1203" s="12">
        <f t="shared" si="18"/>
        <v>99.166666666666671</v>
      </c>
      <c r="P1203" s="13">
        <v>1190</v>
      </c>
      <c r="Q1203" s="22"/>
      <c r="R1203" s="19"/>
      <c r="S1203" s="22"/>
      <c r="T1203" s="19"/>
      <c r="U1203" s="24">
        <v>1.4698995723879671E-2</v>
      </c>
      <c r="V1203" s="24">
        <f>(1+U1204)^P1204/(1+U1203)^P1203-1</f>
        <v>1.0672326555827283E-7</v>
      </c>
      <c r="W1203" s="23"/>
      <c r="X1203" s="35"/>
    </row>
    <row r="1204" spans="15:24" ht="17.100000000000001" customHeight="1">
      <c r="O1204" s="12">
        <f t="shared" si="18"/>
        <v>99.25</v>
      </c>
      <c r="P1204" s="13">
        <v>1191</v>
      </c>
      <c r="Q1204" s="22"/>
      <c r="R1204" s="19"/>
      <c r="S1204" s="22"/>
      <c r="T1204" s="19"/>
      <c r="U1204" s="24">
        <v>1.4686563900612182E-2</v>
      </c>
      <c r="V1204" s="24">
        <f>(1+U1205)^P1205/(1+U1204)^P1204-1</f>
        <v>1.0518208104492999E-7</v>
      </c>
      <c r="W1204" s="23"/>
      <c r="X1204" s="35"/>
    </row>
    <row r="1205" spans="15:24" ht="17.100000000000001" customHeight="1">
      <c r="O1205" s="12">
        <f t="shared" si="18"/>
        <v>99.333333333333329</v>
      </c>
      <c r="P1205" s="13">
        <v>1192</v>
      </c>
      <c r="Q1205" s="22"/>
      <c r="R1205" s="19"/>
      <c r="S1205" s="22"/>
      <c r="T1205" s="19"/>
      <c r="U1205" s="24">
        <v>1.4674153086724928E-2</v>
      </c>
      <c r="V1205" s="24">
        <f>(1+U1206)^P1206/(1+U1205)^P1205-1</f>
        <v>1.0366357794389103E-7</v>
      </c>
      <c r="W1205" s="23"/>
      <c r="X1205" s="35"/>
    </row>
    <row r="1206" spans="15:24" ht="17.100000000000001" customHeight="1">
      <c r="O1206" s="12">
        <f t="shared" si="18"/>
        <v>99.416666666666671</v>
      </c>
      <c r="P1206" s="13">
        <v>1193</v>
      </c>
      <c r="Q1206" s="22"/>
      <c r="R1206" s="19"/>
      <c r="S1206" s="22"/>
      <c r="T1206" s="19"/>
      <c r="U1206" s="24">
        <v>1.4661763229022018E-2</v>
      </c>
      <c r="V1206" s="24">
        <f>(1+U1207)^P1207/(1+U1206)^P1206-1</f>
        <v>1.0216642354343719E-7</v>
      </c>
      <c r="W1206" s="23"/>
      <c r="X1206" s="35"/>
    </row>
    <row r="1207" spans="15:24" ht="17.100000000000001" customHeight="1">
      <c r="O1207" s="12">
        <f t="shared" si="18"/>
        <v>99.5</v>
      </c>
      <c r="P1207" s="13">
        <v>1194</v>
      </c>
      <c r="Q1207" s="22"/>
      <c r="R1207" s="19"/>
      <c r="S1207" s="22"/>
      <c r="T1207" s="19"/>
      <c r="U1207" s="24">
        <v>1.4649394274486083E-2</v>
      </c>
      <c r="V1207" s="24">
        <f>(1+U1208)^P1208/(1+U1207)^P1207-1</f>
        <v>1.0069158795644739E-7</v>
      </c>
      <c r="W1207" s="23"/>
      <c r="X1207" s="35"/>
    </row>
    <row r="1208" spans="15:24" ht="17.100000000000001" customHeight="1">
      <c r="O1208" s="12">
        <f t="shared" si="18"/>
        <v>99.583333333333329</v>
      </c>
      <c r="P1208" s="13">
        <v>1195</v>
      </c>
      <c r="Q1208" s="22"/>
      <c r="R1208" s="19"/>
      <c r="S1208" s="22"/>
      <c r="T1208" s="19"/>
      <c r="U1208" s="24">
        <v>1.4637046170278945E-2</v>
      </c>
      <c r="V1208" s="24">
        <f>(1+U1209)^P1209/(1+U1208)^P1208-1</f>
        <v>9.9237317030542727E-8</v>
      </c>
      <c r="W1208" s="23"/>
      <c r="X1208" s="35"/>
    </row>
    <row r="1209" spans="15:24" ht="17.100000000000001" customHeight="1">
      <c r="O1209" s="12">
        <f t="shared" si="18"/>
        <v>99.666666666666671</v>
      </c>
      <c r="P1209" s="13">
        <v>1196</v>
      </c>
      <c r="Q1209" s="22"/>
      <c r="R1209" s="19"/>
      <c r="S1209" s="22"/>
      <c r="T1209" s="19"/>
      <c r="U1209" s="24">
        <v>1.4624718863739394E-2</v>
      </c>
      <c r="V1209" s="24">
        <f>(1+U1210)^P1210/(1+U1209)^P1209-1</f>
        <v>9.7804516929755891E-8</v>
      </c>
      <c r="W1209" s="23"/>
      <c r="X1209" s="35"/>
    </row>
    <row r="1210" spans="15:24" ht="17.100000000000001" customHeight="1">
      <c r="O1210" s="12">
        <f t="shared" si="18"/>
        <v>99.75</v>
      </c>
      <c r="P1210" s="13">
        <v>1197</v>
      </c>
      <c r="Q1210" s="22"/>
      <c r="R1210" s="19"/>
      <c r="S1210" s="22"/>
      <c r="T1210" s="19"/>
      <c r="U1210" s="24">
        <v>1.4612412302383859E-2</v>
      </c>
      <c r="V1210" s="24">
        <f>(1+U1211)^P1211/(1+U1210)^P1210-1</f>
        <v>9.639251374871094E-8</v>
      </c>
      <c r="W1210" s="23"/>
      <c r="X1210" s="35"/>
    </row>
    <row r="1211" spans="15:24" ht="17.100000000000001" customHeight="1">
      <c r="O1211" s="12">
        <f t="shared" si="18"/>
        <v>99.833333333333329</v>
      </c>
      <c r="P1211" s="13">
        <v>1198</v>
      </c>
      <c r="Q1211" s="22"/>
      <c r="R1211" s="19"/>
      <c r="S1211" s="22"/>
      <c r="T1211" s="19"/>
      <c r="U1211" s="24">
        <v>1.4600126433904848E-2</v>
      </c>
      <c r="V1211" s="24">
        <f>(1+U1212)^P1212/(1+U1211)^P1211-1</f>
        <v>9.5000530331290634E-8</v>
      </c>
      <c r="W1211" s="23"/>
      <c r="X1211" s="35"/>
    </row>
    <row r="1212" spans="15:24" ht="17.100000000000001" customHeight="1">
      <c r="O1212" s="12">
        <f t="shared" si="18"/>
        <v>99.916666666666671</v>
      </c>
      <c r="P1212" s="13">
        <v>1199</v>
      </c>
      <c r="Q1212" s="22"/>
      <c r="R1212" s="19"/>
      <c r="S1212" s="22"/>
      <c r="T1212" s="19"/>
      <c r="U1212" s="24">
        <v>1.4587861206170061E-2</v>
      </c>
      <c r="V1212" s="24">
        <f>(1+U1213)^P1213/(1+U1212)^P1212-1</f>
        <v>9.3628552688684863E-8</v>
      </c>
      <c r="W1212" s="23"/>
      <c r="X1212" s="35"/>
    </row>
    <row r="1213" spans="15:24" ht="17.100000000000001" customHeight="1">
      <c r="O1213" s="12">
        <f t="shared" si="18"/>
        <v>100</v>
      </c>
      <c r="P1213" s="13">
        <v>1200</v>
      </c>
      <c r="Q1213" s="22"/>
      <c r="R1213" s="19"/>
      <c r="S1213" s="22"/>
      <c r="T1213" s="19"/>
      <c r="U1213" s="24">
        <v>1.4575616567222172E-2</v>
      </c>
      <c r="V1213" s="24">
        <f>(1+U1214)^P1214/(1+U1213)^P1213-1</f>
        <v>9.2276898566723276E-8</v>
      </c>
      <c r="W1213" s="23"/>
      <c r="X1213" s="35"/>
    </row>
    <row r="1214" spans="15:24" ht="17.100000000000001" customHeight="1">
      <c r="O1214" s="12">
        <f t="shared" si="18"/>
        <v>100.08333333333333</v>
      </c>
      <c r="P1214" s="13">
        <v>1201</v>
      </c>
      <c r="Q1214" s="27"/>
      <c r="R1214" s="20"/>
      <c r="S1214" s="27"/>
      <c r="T1214" s="20"/>
      <c r="U1214" s="28">
        <v>1.4563392465278158E-2</v>
      </c>
      <c r="V1214" s="28"/>
      <c r="W1214" s="29"/>
      <c r="X1214" s="35"/>
    </row>
  </sheetData>
  <mergeCells count="41">
    <mergeCell ref="S6:T6"/>
    <mergeCell ref="S5:T5"/>
    <mergeCell ref="S4:T4"/>
    <mergeCell ref="S3:T3"/>
    <mergeCell ref="Q5:R11"/>
    <mergeCell ref="Q4:R4"/>
    <mergeCell ref="Q3:R3"/>
    <mergeCell ref="D1:H1"/>
    <mergeCell ref="E3:H3"/>
    <mergeCell ref="E4:H4"/>
    <mergeCell ref="E5:H5"/>
    <mergeCell ref="O7:P7"/>
    <mergeCell ref="S7:T7"/>
    <mergeCell ref="O8:P8"/>
    <mergeCell ref="O9:P9"/>
    <mergeCell ref="O11:P11"/>
    <mergeCell ref="O10:P10"/>
    <mergeCell ref="S11:T11"/>
    <mergeCell ref="S10:T10"/>
    <mergeCell ref="S9:T9"/>
    <mergeCell ref="S8:T8"/>
    <mergeCell ref="V11:W11"/>
    <mergeCell ref="U6:W6"/>
    <mergeCell ref="U7:W7"/>
    <mergeCell ref="U8:W8"/>
    <mergeCell ref="U9:W9"/>
    <mergeCell ref="U10:W10"/>
    <mergeCell ref="J1:M1"/>
    <mergeCell ref="O1:W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</mergeCells>
  <phoneticPr fontId="2" type="noConversion"/>
  <pageMargins left="0.25" right="0.25" top="0.75" bottom="0.75" header="0.3" footer="0.3"/>
  <pageSetup paperSize="9" scale="41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Windows 사용자</cp:lastModifiedBy>
  <cp:lastPrinted>2026-02-04T04:36:09Z</cp:lastPrinted>
  <dcterms:created xsi:type="dcterms:W3CDTF">2021-08-24T04:22:45Z</dcterms:created>
  <dcterms:modified xsi:type="dcterms:W3CDTF">2026-08-13T04:45:18Z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soo_Trace_ID">
    <vt:lpwstr>eyAibm9kZUNvdW50IjogNjgsICJub2RlMSIgOiB7ImRzZCI6IjAwMDAwMDAwMDAwMDAwMDAiLCJsb2dUaW1lIjoiMjAyNi0wMS0wOFQwNzozODozNVoiLCJwSUQiOjIwNDgsInRyYWNlSWQiOiI5QzdDMDgzQjQ0OEI0NjREQTUxNEZEMzdDM0UwNjM1RSIsInVzZXJDb2RlIjoiMjI0MDE5MyJ9LCJub2RlMiIgOiB7ImRzZCI6IjAxMDAwMDA</vt:lpwstr>
  </property>
</Properties>
</file>