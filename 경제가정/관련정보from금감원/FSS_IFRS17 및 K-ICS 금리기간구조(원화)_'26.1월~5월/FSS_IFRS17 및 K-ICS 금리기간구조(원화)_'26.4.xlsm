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SS_NT551XED\Desktop\업무용\할인율\할인율 산출\26.04\공시파일\"/>
    </mc:Choice>
  </mc:AlternateContent>
  <xr:revisionPtr revIDLastSave="0" documentId="13_ncr:1_{86D37D72-FD4A-4A0E-8D06-9BF8DAF60A6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원화 무위험 금리기간구조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3" l="1"/>
  <c r="X7" i="3" l="1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F8" i="3" a="1"/>
  <c r="Q13" i="3" a="1"/>
  <c r="X9" i="3"/>
  <c r="U9" i="3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Q85" i="3"/>
  <c r="Q149" i="3"/>
  <c r="Q213" i="3"/>
  <c r="Q277" i="3"/>
  <c r="Q341" i="3"/>
  <c r="Q405" i="3"/>
  <c r="Q469" i="3"/>
  <c r="Q533" i="3"/>
  <c r="Q597" i="3"/>
  <c r="Q661" i="3"/>
  <c r="Q46" i="3"/>
  <c r="Q110" i="3"/>
  <c r="Q174" i="3"/>
  <c r="Q238" i="3"/>
  <c r="Q302" i="3"/>
  <c r="Q366" i="3"/>
  <c r="Q430" i="3"/>
  <c r="Q494" i="3"/>
  <c r="Q558" i="3"/>
  <c r="Q622" i="3"/>
  <c r="Q686" i="3"/>
  <c r="Q71" i="3"/>
  <c r="Q135" i="3"/>
  <c r="Q199" i="3"/>
  <c r="Q263" i="3"/>
  <c r="Q327" i="3"/>
  <c r="Q391" i="3"/>
  <c r="Q455" i="3"/>
  <c r="Q519" i="3"/>
  <c r="Q583" i="3"/>
  <c r="Q647" i="3"/>
  <c r="Q33" i="3"/>
  <c r="Q97" i="3"/>
  <c r="Q161" i="3"/>
  <c r="Q225" i="3"/>
  <c r="Q289" i="3"/>
  <c r="Q353" i="3"/>
  <c r="Q417" i="3"/>
  <c r="Q481" i="3"/>
  <c r="Q545" i="3"/>
  <c r="Q609" i="3"/>
  <c r="Q18" i="3"/>
  <c r="Q82" i="3"/>
  <c r="Q146" i="3"/>
  <c r="Q210" i="3"/>
  <c r="Q274" i="3"/>
  <c r="Q338" i="3"/>
  <c r="Q402" i="3"/>
  <c r="Q466" i="3"/>
  <c r="Q530" i="3"/>
  <c r="Q594" i="3"/>
  <c r="Q658" i="3"/>
  <c r="Q99" i="3"/>
  <c r="Q268" i="3"/>
  <c r="Q440" i="3"/>
  <c r="Q611" i="3"/>
  <c r="Q722" i="3"/>
  <c r="Q786" i="3"/>
  <c r="Q850" i="3"/>
  <c r="Q914" i="3"/>
  <c r="Q978" i="3"/>
  <c r="Q1042" i="3"/>
  <c r="Q144" i="3"/>
  <c r="Q315" i="3"/>
  <c r="Q484" i="3"/>
  <c r="Q656" i="3"/>
  <c r="Q739" i="3"/>
  <c r="Q803" i="3"/>
  <c r="Q867" i="3"/>
  <c r="Q931" i="3"/>
  <c r="Q995" i="3"/>
  <c r="Q1059" i="3"/>
  <c r="Q1123" i="3"/>
  <c r="Q1187" i="3"/>
  <c r="Q1012" i="3"/>
  <c r="Q1108" i="3"/>
  <c r="Q168" i="3"/>
  <c r="Q339" i="3"/>
  <c r="Q508" i="3"/>
  <c r="Q676" i="3"/>
  <c r="Q29" i="3"/>
  <c r="Q93" i="3"/>
  <c r="Q157" i="3"/>
  <c r="Q221" i="3"/>
  <c r="Q285" i="3"/>
  <c r="Q349" i="3"/>
  <c r="Q413" i="3"/>
  <c r="Q477" i="3"/>
  <c r="Q541" i="3"/>
  <c r="Q605" i="3"/>
  <c r="Q669" i="3"/>
  <c r="Q54" i="3"/>
  <c r="Q118" i="3"/>
  <c r="Q182" i="3"/>
  <c r="Q246" i="3"/>
  <c r="Q310" i="3"/>
  <c r="Q374" i="3"/>
  <c r="Q438" i="3"/>
  <c r="Q502" i="3"/>
  <c r="Q566" i="3"/>
  <c r="Q630" i="3"/>
  <c r="Q15" i="3"/>
  <c r="Q79" i="3"/>
  <c r="Q143" i="3"/>
  <c r="Q207" i="3"/>
  <c r="Q271" i="3"/>
  <c r="Q335" i="3"/>
  <c r="Q399" i="3"/>
  <c r="Q463" i="3"/>
  <c r="Q527" i="3"/>
  <c r="Q591" i="3"/>
  <c r="Q655" i="3"/>
  <c r="Q41" i="3"/>
  <c r="Q105" i="3"/>
  <c r="Q169" i="3"/>
  <c r="Q233" i="3"/>
  <c r="Q297" i="3"/>
  <c r="Q361" i="3"/>
  <c r="Q425" i="3"/>
  <c r="Q489" i="3"/>
  <c r="Q553" i="3"/>
  <c r="Q617" i="3"/>
  <c r="Q26" i="3"/>
  <c r="Q90" i="3"/>
  <c r="Q154" i="3"/>
  <c r="Q218" i="3"/>
  <c r="Q282" i="3"/>
  <c r="Q346" i="3"/>
  <c r="Q410" i="3"/>
  <c r="Q474" i="3"/>
  <c r="Q538" i="3"/>
  <c r="Q602" i="3"/>
  <c r="Q666" i="3"/>
  <c r="Q120" i="3"/>
  <c r="Q291" i="3"/>
  <c r="Q460" i="3"/>
  <c r="Q632" i="3"/>
  <c r="Q730" i="3"/>
  <c r="Q794" i="3"/>
  <c r="Q858" i="3"/>
  <c r="Q922" i="3"/>
  <c r="Q986" i="3"/>
  <c r="Q1050" i="3"/>
  <c r="Q164" i="3"/>
  <c r="Q336" i="3"/>
  <c r="Q507" i="3"/>
  <c r="Q675" i="3"/>
  <c r="Q747" i="3"/>
  <c r="Q811" i="3"/>
  <c r="Q875" i="3"/>
  <c r="Q939" i="3"/>
  <c r="Q1003" i="3"/>
  <c r="Q1067" i="3"/>
  <c r="Q1131" i="3"/>
  <c r="Q1195" i="3"/>
  <c r="Q1028" i="3"/>
  <c r="Q19" i="3"/>
  <c r="Q188" i="3"/>
  <c r="Q360" i="3"/>
  <c r="Q531" i="3"/>
  <c r="Q692" i="3"/>
  <c r="Q756" i="3"/>
  <c r="Q820" i="3"/>
  <c r="Q884" i="3"/>
  <c r="Q956" i="3"/>
  <c r="Q37" i="3"/>
  <c r="Q101" i="3"/>
  <c r="Q165" i="3"/>
  <c r="Q229" i="3"/>
  <c r="Q293" i="3"/>
  <c r="Q357" i="3"/>
  <c r="Q421" i="3"/>
  <c r="Q485" i="3"/>
  <c r="Q549" i="3"/>
  <c r="Q613" i="3"/>
  <c r="Q677" i="3"/>
  <c r="Q62" i="3"/>
  <c r="Q126" i="3"/>
  <c r="Q190" i="3"/>
  <c r="Q254" i="3"/>
  <c r="Q318" i="3"/>
  <c r="Q382" i="3"/>
  <c r="Q446" i="3"/>
  <c r="Q510" i="3"/>
  <c r="Q574" i="3"/>
  <c r="Q638" i="3"/>
  <c r="Q23" i="3"/>
  <c r="Q87" i="3"/>
  <c r="Q151" i="3"/>
  <c r="Q215" i="3"/>
  <c r="Q279" i="3"/>
  <c r="Q343" i="3"/>
  <c r="Q407" i="3"/>
  <c r="Q471" i="3"/>
  <c r="Q535" i="3"/>
  <c r="Q599" i="3"/>
  <c r="Q663" i="3"/>
  <c r="Q49" i="3"/>
  <c r="Q113" i="3"/>
  <c r="Q177" i="3"/>
  <c r="Q241" i="3"/>
  <c r="Q305" i="3"/>
  <c r="Q369" i="3"/>
  <c r="Q433" i="3"/>
  <c r="Q497" i="3"/>
  <c r="Q561" i="3"/>
  <c r="Q625" i="3"/>
  <c r="Q34" i="3"/>
  <c r="Q98" i="3"/>
  <c r="Q162" i="3"/>
  <c r="Q226" i="3"/>
  <c r="Q290" i="3"/>
  <c r="Q354" i="3"/>
  <c r="Q418" i="3"/>
  <c r="Q482" i="3"/>
  <c r="Q546" i="3"/>
  <c r="Q610" i="3"/>
  <c r="Q674" i="3"/>
  <c r="Q140" i="3"/>
  <c r="Q312" i="3"/>
  <c r="Q483" i="3"/>
  <c r="Q652" i="3"/>
  <c r="Q738" i="3"/>
  <c r="Q802" i="3"/>
  <c r="Q866" i="3"/>
  <c r="Q930" i="3"/>
  <c r="Q994" i="3"/>
  <c r="Q16" i="3"/>
  <c r="Q187" i="3"/>
  <c r="Q356" i="3"/>
  <c r="Q528" i="3"/>
  <c r="Q691" i="3"/>
  <c r="Q755" i="3"/>
  <c r="Q819" i="3"/>
  <c r="Q883" i="3"/>
  <c r="Q947" i="3"/>
  <c r="Q1011" i="3"/>
  <c r="Q1075" i="3"/>
  <c r="Q1139" i="3"/>
  <c r="Q1203" i="3"/>
  <c r="Q1036" i="3"/>
  <c r="Q40" i="3"/>
  <c r="Q211" i="3"/>
  <c r="Q380" i="3"/>
  <c r="Q552" i="3"/>
  <c r="Q700" i="3"/>
  <c r="Q764" i="3"/>
  <c r="Q828" i="3"/>
  <c r="Q45" i="3"/>
  <c r="Q109" i="3"/>
  <c r="Q173" i="3"/>
  <c r="Q237" i="3"/>
  <c r="Q301" i="3"/>
  <c r="Q365" i="3"/>
  <c r="Q429" i="3"/>
  <c r="Q493" i="3"/>
  <c r="Q557" i="3"/>
  <c r="Q621" i="3"/>
  <c r="Q685" i="3"/>
  <c r="Q70" i="3"/>
  <c r="Q134" i="3"/>
  <c r="Q198" i="3"/>
  <c r="Q262" i="3"/>
  <c r="Q326" i="3"/>
  <c r="Q390" i="3"/>
  <c r="Q454" i="3"/>
  <c r="Q518" i="3"/>
  <c r="Q582" i="3"/>
  <c r="Q646" i="3"/>
  <c r="Q31" i="3"/>
  <c r="Q95" i="3"/>
  <c r="Q159" i="3"/>
  <c r="Q223" i="3"/>
  <c r="Q287" i="3"/>
  <c r="Q351" i="3"/>
  <c r="Q415" i="3"/>
  <c r="Q479" i="3"/>
  <c r="Q543" i="3"/>
  <c r="Q607" i="3"/>
  <c r="Q671" i="3"/>
  <c r="Q57" i="3"/>
  <c r="Q121" i="3"/>
  <c r="Q185" i="3"/>
  <c r="Q249" i="3"/>
  <c r="Q313" i="3"/>
  <c r="Q377" i="3"/>
  <c r="Q441" i="3"/>
  <c r="Q505" i="3"/>
  <c r="Q569" i="3"/>
  <c r="Q633" i="3"/>
  <c r="Q42" i="3"/>
  <c r="Q106" i="3"/>
  <c r="Q170" i="3"/>
  <c r="Q234" i="3"/>
  <c r="Q298" i="3"/>
  <c r="Q362" i="3"/>
  <c r="Q426" i="3"/>
  <c r="Q490" i="3"/>
  <c r="Q554" i="3"/>
  <c r="Q618" i="3"/>
  <c r="Q682" i="3"/>
  <c r="Q163" i="3"/>
  <c r="Q332" i="3"/>
  <c r="Q504" i="3"/>
  <c r="Q673" i="3"/>
  <c r="Q746" i="3"/>
  <c r="Q810" i="3"/>
  <c r="Q874" i="3"/>
  <c r="Q938" i="3"/>
  <c r="Q1002" i="3"/>
  <c r="Q36" i="3"/>
  <c r="Q208" i="3"/>
  <c r="Q379" i="3"/>
  <c r="Q548" i="3"/>
  <c r="Q699" i="3"/>
  <c r="Q763" i="3"/>
  <c r="Q827" i="3"/>
  <c r="Q891" i="3"/>
  <c r="Q955" i="3"/>
  <c r="Q1019" i="3"/>
  <c r="Q1083" i="3"/>
  <c r="Q1147" i="3"/>
  <c r="Q1211" i="3"/>
  <c r="Q1052" i="3"/>
  <c r="Q60" i="3"/>
  <c r="Q232" i="3"/>
  <c r="Q403" i="3"/>
  <c r="Q572" i="3"/>
  <c r="Q708" i="3"/>
  <c r="Q772" i="3"/>
  <c r="Q836" i="3"/>
  <c r="Q900" i="3"/>
  <c r="Q980" i="3"/>
  <c r="Q53" i="3"/>
  <c r="Q117" i="3"/>
  <c r="Q181" i="3"/>
  <c r="Q245" i="3"/>
  <c r="Q309" i="3"/>
  <c r="Q373" i="3"/>
  <c r="Q437" i="3"/>
  <c r="Q501" i="3"/>
  <c r="Q565" i="3"/>
  <c r="Q629" i="3"/>
  <c r="Q14" i="3"/>
  <c r="R13" i="3" s="1"/>
  <c r="Q78" i="3"/>
  <c r="Q142" i="3"/>
  <c r="Q206" i="3"/>
  <c r="Q270" i="3"/>
  <c r="Q334" i="3"/>
  <c r="Q398" i="3"/>
  <c r="Q462" i="3"/>
  <c r="Q526" i="3"/>
  <c r="Q590" i="3"/>
  <c r="Q654" i="3"/>
  <c r="Q39" i="3"/>
  <c r="Q103" i="3"/>
  <c r="Q167" i="3"/>
  <c r="Q231" i="3"/>
  <c r="Q295" i="3"/>
  <c r="Q359" i="3"/>
  <c r="Q423" i="3"/>
  <c r="Q487" i="3"/>
  <c r="Q551" i="3"/>
  <c r="Q615" i="3"/>
  <c r="Q679" i="3"/>
  <c r="Q65" i="3"/>
  <c r="Q129" i="3"/>
  <c r="Q193" i="3"/>
  <c r="Q257" i="3"/>
  <c r="Q321" i="3"/>
  <c r="Q385" i="3"/>
  <c r="Q449" i="3"/>
  <c r="Q513" i="3"/>
  <c r="Q577" i="3"/>
  <c r="Q641" i="3"/>
  <c r="Q50" i="3"/>
  <c r="Q114" i="3"/>
  <c r="Q178" i="3"/>
  <c r="Q242" i="3"/>
  <c r="Q306" i="3"/>
  <c r="Q370" i="3"/>
  <c r="Q434" i="3"/>
  <c r="Q498" i="3"/>
  <c r="Q562" i="3"/>
  <c r="Q626" i="3"/>
  <c r="Q690" i="3"/>
  <c r="Q184" i="3"/>
  <c r="Q355" i="3"/>
  <c r="Q524" i="3"/>
  <c r="Q689" i="3"/>
  <c r="Q754" i="3"/>
  <c r="Q818" i="3"/>
  <c r="Q882" i="3"/>
  <c r="Q946" i="3"/>
  <c r="Q1010" i="3"/>
  <c r="Q59" i="3"/>
  <c r="Q228" i="3"/>
  <c r="Q400" i="3"/>
  <c r="Q571" i="3"/>
  <c r="Q707" i="3"/>
  <c r="Q771" i="3"/>
  <c r="Q835" i="3"/>
  <c r="Q899" i="3"/>
  <c r="Q963" i="3"/>
  <c r="Q1027" i="3"/>
  <c r="Q1091" i="3"/>
  <c r="Q1155" i="3"/>
  <c r="Q916" i="3"/>
  <c r="Q1060" i="3"/>
  <c r="Q83" i="3"/>
  <c r="Q252" i="3"/>
  <c r="Q424" i="3"/>
  <c r="Q595" i="3"/>
  <c r="Q716" i="3"/>
  <c r="Q780" i="3"/>
  <c r="Q844" i="3"/>
  <c r="Q908" i="3"/>
  <c r="Q996" i="3"/>
  <c r="Q61" i="3"/>
  <c r="Q125" i="3"/>
  <c r="Q189" i="3"/>
  <c r="Q253" i="3"/>
  <c r="Q317" i="3"/>
  <c r="Q381" i="3"/>
  <c r="Q445" i="3"/>
  <c r="Q509" i="3"/>
  <c r="Q573" i="3"/>
  <c r="Q637" i="3"/>
  <c r="Q22" i="3"/>
  <c r="Q86" i="3"/>
  <c r="Q150" i="3"/>
  <c r="Q214" i="3"/>
  <c r="Q278" i="3"/>
  <c r="Q342" i="3"/>
  <c r="Q406" i="3"/>
  <c r="Q470" i="3"/>
  <c r="Q534" i="3"/>
  <c r="Q598" i="3"/>
  <c r="Q662" i="3"/>
  <c r="Q47" i="3"/>
  <c r="Q111" i="3"/>
  <c r="Q175" i="3"/>
  <c r="Q239" i="3"/>
  <c r="Q303" i="3"/>
  <c r="Q367" i="3"/>
  <c r="Q431" i="3"/>
  <c r="Q495" i="3"/>
  <c r="Q559" i="3"/>
  <c r="Q623" i="3"/>
  <c r="Q687" i="3"/>
  <c r="Q73" i="3"/>
  <c r="Q137" i="3"/>
  <c r="Q201" i="3"/>
  <c r="Q265" i="3"/>
  <c r="Q329" i="3"/>
  <c r="Q393" i="3"/>
  <c r="Q457" i="3"/>
  <c r="Q521" i="3"/>
  <c r="Q585" i="3"/>
  <c r="Q649" i="3"/>
  <c r="Q58" i="3"/>
  <c r="Q122" i="3"/>
  <c r="Q186" i="3"/>
  <c r="Q250" i="3"/>
  <c r="Q314" i="3"/>
  <c r="Q378" i="3"/>
  <c r="Q442" i="3"/>
  <c r="Q506" i="3"/>
  <c r="Q570" i="3"/>
  <c r="Q634" i="3"/>
  <c r="Q35" i="3"/>
  <c r="Q204" i="3"/>
  <c r="Q376" i="3"/>
  <c r="Q547" i="3"/>
  <c r="Q698" i="3"/>
  <c r="Q762" i="3"/>
  <c r="Q826" i="3"/>
  <c r="Q890" i="3"/>
  <c r="Q954" i="3"/>
  <c r="Q1018" i="3"/>
  <c r="Q80" i="3"/>
  <c r="Q251" i="3"/>
  <c r="Q420" i="3"/>
  <c r="Q592" i="3"/>
  <c r="Q715" i="3"/>
  <c r="Q779" i="3"/>
  <c r="Q843" i="3"/>
  <c r="Q907" i="3"/>
  <c r="Q971" i="3"/>
  <c r="Q1035" i="3"/>
  <c r="Q1099" i="3"/>
  <c r="Q1163" i="3"/>
  <c r="Q972" i="3"/>
  <c r="Q1076" i="3"/>
  <c r="Q104" i="3"/>
  <c r="Q275" i="3"/>
  <c r="Q444" i="3"/>
  <c r="Q616" i="3"/>
  <c r="Q724" i="3"/>
  <c r="Q788" i="3"/>
  <c r="Q852" i="3"/>
  <c r="Q69" i="3"/>
  <c r="Q133" i="3"/>
  <c r="Q197" i="3"/>
  <c r="Q261" i="3"/>
  <c r="Q325" i="3"/>
  <c r="Q389" i="3"/>
  <c r="Q453" i="3"/>
  <c r="Q517" i="3"/>
  <c r="Q581" i="3"/>
  <c r="Q645" i="3"/>
  <c r="Q30" i="3"/>
  <c r="Q94" i="3"/>
  <c r="Q158" i="3"/>
  <c r="Q222" i="3"/>
  <c r="Q286" i="3"/>
  <c r="Q350" i="3"/>
  <c r="Q414" i="3"/>
  <c r="Q478" i="3"/>
  <c r="Q542" i="3"/>
  <c r="Q606" i="3"/>
  <c r="Q670" i="3"/>
  <c r="Q55" i="3"/>
  <c r="Q119" i="3"/>
  <c r="Q183" i="3"/>
  <c r="Q247" i="3"/>
  <c r="Q311" i="3"/>
  <c r="Q375" i="3"/>
  <c r="Q439" i="3"/>
  <c r="Q503" i="3"/>
  <c r="Q567" i="3"/>
  <c r="Q631" i="3"/>
  <c r="Q17" i="3"/>
  <c r="Q81" i="3"/>
  <c r="Q145" i="3"/>
  <c r="Q209" i="3"/>
  <c r="Q273" i="3"/>
  <c r="Q337" i="3"/>
  <c r="Q401" i="3"/>
  <c r="Q465" i="3"/>
  <c r="Q529" i="3"/>
  <c r="Q593" i="3"/>
  <c r="Q657" i="3"/>
  <c r="Q66" i="3"/>
  <c r="Q130" i="3"/>
  <c r="Q194" i="3"/>
  <c r="Q258" i="3"/>
  <c r="Q322" i="3"/>
  <c r="Q386" i="3"/>
  <c r="Q450" i="3"/>
  <c r="Q514" i="3"/>
  <c r="Q578" i="3"/>
  <c r="Q642" i="3"/>
  <c r="Q56" i="3"/>
  <c r="Q227" i="3"/>
  <c r="Q396" i="3"/>
  <c r="Q568" i="3"/>
  <c r="Q706" i="3"/>
  <c r="Q770" i="3"/>
  <c r="Q834" i="3"/>
  <c r="Q898" i="3"/>
  <c r="Q962" i="3"/>
  <c r="Q1026" i="3"/>
  <c r="Q100" i="3"/>
  <c r="Q272" i="3"/>
  <c r="Q443" i="3"/>
  <c r="Q612" i="3"/>
  <c r="Q723" i="3"/>
  <c r="Q787" i="3"/>
  <c r="Q851" i="3"/>
  <c r="Q915" i="3"/>
  <c r="Q979" i="3"/>
  <c r="Q1043" i="3"/>
  <c r="Q1107" i="3"/>
  <c r="Q1171" i="3"/>
  <c r="Q988" i="3"/>
  <c r="Q1084" i="3"/>
  <c r="Q124" i="3"/>
  <c r="Q296" i="3"/>
  <c r="Q467" i="3"/>
  <c r="Q636" i="3"/>
  <c r="Q732" i="3"/>
  <c r="Q796" i="3"/>
  <c r="Q860" i="3"/>
  <c r="Q932" i="3"/>
  <c r="Q1044" i="3"/>
  <c r="Q269" i="3"/>
  <c r="Q102" i="3"/>
  <c r="Q614" i="3"/>
  <c r="Q447" i="3"/>
  <c r="Q281" i="3"/>
  <c r="Q138" i="3"/>
  <c r="Q650" i="3"/>
  <c r="Q906" i="3"/>
  <c r="Q795" i="3"/>
  <c r="Q1092" i="3"/>
  <c r="Q812" i="3"/>
  <c r="Q1020" i="3"/>
  <c r="Q128" i="3"/>
  <c r="Q299" i="3"/>
  <c r="Q468" i="3"/>
  <c r="Q640" i="3"/>
  <c r="Q733" i="3"/>
  <c r="Q797" i="3"/>
  <c r="Q861" i="3"/>
  <c r="Q925" i="3"/>
  <c r="Q989" i="3"/>
  <c r="Q1053" i="3"/>
  <c r="Q1117" i="3"/>
  <c r="Q1181" i="3"/>
  <c r="Q172" i="3"/>
  <c r="Q344" i="3"/>
  <c r="Q515" i="3"/>
  <c r="Q681" i="3"/>
  <c r="Q750" i="3"/>
  <c r="Q814" i="3"/>
  <c r="Q878" i="3"/>
  <c r="Q942" i="3"/>
  <c r="Q1006" i="3"/>
  <c r="Q1070" i="3"/>
  <c r="Q68" i="3"/>
  <c r="Q240" i="3"/>
  <c r="Q411" i="3"/>
  <c r="Q580" i="3"/>
  <c r="Q711" i="3"/>
  <c r="Q775" i="3"/>
  <c r="Q839" i="3"/>
  <c r="Q903" i="3"/>
  <c r="Q967" i="3"/>
  <c r="Q1031" i="3"/>
  <c r="Q371" i="3"/>
  <c r="Q824" i="3"/>
  <c r="Q1066" i="3"/>
  <c r="Q1168" i="3"/>
  <c r="Q1191" i="3"/>
  <c r="Q785" i="3"/>
  <c r="Q372" i="3"/>
  <c r="Q825" i="3"/>
  <c r="Q1071" i="3"/>
  <c r="Q1169" i="3"/>
  <c r="Q1182" i="3"/>
  <c r="Q352" i="3"/>
  <c r="Q136" i="3"/>
  <c r="Q736" i="3"/>
  <c r="Q992" i="3"/>
  <c r="Q1040" i="3"/>
  <c r="Q139" i="3"/>
  <c r="Q737" i="3"/>
  <c r="Q993" i="3"/>
  <c r="Q1140" i="3"/>
  <c r="Q1164" i="3"/>
  <c r="Q913" i="3"/>
  <c r="Q412" i="3"/>
  <c r="Q840" i="3"/>
  <c r="Q1074" i="3"/>
  <c r="Q1174" i="3"/>
  <c r="Q92" i="3"/>
  <c r="Q721" i="3"/>
  <c r="Q416" i="3"/>
  <c r="Q841" i="3"/>
  <c r="Q1079" i="3"/>
  <c r="Q264" i="3"/>
  <c r="Q881" i="3"/>
  <c r="Q13" i="3"/>
  <c r="Q525" i="3"/>
  <c r="Q358" i="3"/>
  <c r="Q191" i="3"/>
  <c r="Q25" i="3"/>
  <c r="Q537" i="3"/>
  <c r="Q394" i="3"/>
  <c r="Q588" i="3"/>
  <c r="Q292" i="3"/>
  <c r="Q1051" i="3"/>
  <c r="Q659" i="3"/>
  <c r="Q924" i="3"/>
  <c r="Q43" i="3"/>
  <c r="Q212" i="3"/>
  <c r="Q384" i="3"/>
  <c r="Q555" i="3"/>
  <c r="Q701" i="3"/>
  <c r="Q765" i="3"/>
  <c r="Q829" i="3"/>
  <c r="Q893" i="3"/>
  <c r="Q957" i="3"/>
  <c r="Q1021" i="3"/>
  <c r="Q1085" i="3"/>
  <c r="Q1149" i="3"/>
  <c r="Q88" i="3"/>
  <c r="Q259" i="3"/>
  <c r="Q428" i="3"/>
  <c r="Q600" i="3"/>
  <c r="Q718" i="3"/>
  <c r="Q782" i="3"/>
  <c r="Q846" i="3"/>
  <c r="Q910" i="3"/>
  <c r="Q974" i="3"/>
  <c r="Q1038" i="3"/>
  <c r="Q1102" i="3"/>
  <c r="Q155" i="3"/>
  <c r="Q324" i="3"/>
  <c r="Q496" i="3"/>
  <c r="Q667" i="3"/>
  <c r="Q743" i="3"/>
  <c r="Q807" i="3"/>
  <c r="Q871" i="3"/>
  <c r="Q935" i="3"/>
  <c r="Q999" i="3"/>
  <c r="Q28" i="3"/>
  <c r="Q696" i="3"/>
  <c r="Q952" i="3"/>
  <c r="Q1126" i="3"/>
  <c r="Q1207" i="3"/>
  <c r="Q1008" i="3"/>
  <c r="Q32" i="3"/>
  <c r="Q697" i="3"/>
  <c r="Q953" i="3"/>
  <c r="Q1127" i="3"/>
  <c r="Q1208" i="3"/>
  <c r="Q912" i="3"/>
  <c r="Q1081" i="3"/>
  <c r="Q476" i="3"/>
  <c r="Q864" i="3"/>
  <c r="Q1118" i="3"/>
  <c r="Q849" i="3"/>
  <c r="Q480" i="3"/>
  <c r="Q865" i="3"/>
  <c r="Q1089" i="3"/>
  <c r="Q1183" i="3"/>
  <c r="Q1096" i="3"/>
  <c r="Q72" i="3"/>
  <c r="Q712" i="3"/>
  <c r="Q968" i="3"/>
  <c r="Q1130" i="3"/>
  <c r="Q1212" i="3"/>
  <c r="Q1112" i="3"/>
  <c r="Q75" i="3"/>
  <c r="Q713" i="3"/>
  <c r="Q969" i="3"/>
  <c r="Q1143" i="3"/>
  <c r="Q1080" i="3"/>
  <c r="Q397" i="3"/>
  <c r="Q422" i="3"/>
  <c r="Q383" i="3"/>
  <c r="Q409" i="3"/>
  <c r="Q458" i="3"/>
  <c r="Q842" i="3"/>
  <c r="Q923" i="3"/>
  <c r="Q740" i="3"/>
  <c r="Q964" i="3"/>
  <c r="Q171" i="3"/>
  <c r="Q404" i="3"/>
  <c r="Q619" i="3"/>
  <c r="Q749" i="3"/>
  <c r="Q837" i="3"/>
  <c r="Q917" i="3"/>
  <c r="Q1005" i="3"/>
  <c r="Q1093" i="3"/>
  <c r="Q1173" i="3"/>
  <c r="Q216" i="3"/>
  <c r="Q451" i="3"/>
  <c r="Q664" i="3"/>
  <c r="Q766" i="3"/>
  <c r="Q854" i="3"/>
  <c r="Q934" i="3"/>
  <c r="Q1022" i="3"/>
  <c r="Q1110" i="3"/>
  <c r="Q219" i="3"/>
  <c r="Q452" i="3"/>
  <c r="Q683" i="3"/>
  <c r="Q767" i="3"/>
  <c r="Q855" i="3"/>
  <c r="Q943" i="3"/>
  <c r="Q1023" i="3"/>
  <c r="Q540" i="3"/>
  <c r="Q984" i="3"/>
  <c r="Q1158" i="3"/>
  <c r="Q752" i="3"/>
  <c r="Q116" i="3"/>
  <c r="Q793" i="3"/>
  <c r="Q1103" i="3"/>
  <c r="Q1104" i="3"/>
  <c r="Q1186" i="3"/>
  <c r="R1186" i="3" s="1"/>
  <c r="Q307" i="3"/>
  <c r="Q896" i="3"/>
  <c r="Q520" i="3"/>
  <c r="Q308" i="3"/>
  <c r="Q897" i="3"/>
  <c r="Q1129" i="3"/>
  <c r="Q179" i="3"/>
  <c r="Q156" i="3"/>
  <c r="Q808" i="3"/>
  <c r="Q1106" i="3"/>
  <c r="Q1132" i="3"/>
  <c r="Q96" i="3"/>
  <c r="Q587" i="3"/>
  <c r="Q1001" i="3"/>
  <c r="Q1213" i="3"/>
  <c r="Q1188" i="3"/>
  <c r="Q77" i="3"/>
  <c r="Q38" i="3"/>
  <c r="Q63" i="3"/>
  <c r="Q89" i="3"/>
  <c r="Q74" i="3"/>
  <c r="Q248" i="3"/>
  <c r="Q464" i="3"/>
  <c r="Q1004" i="3"/>
  <c r="Q876" i="3"/>
  <c r="Q64" i="3"/>
  <c r="Q276" i="3"/>
  <c r="Q512" i="3"/>
  <c r="Q709" i="3"/>
  <c r="Q789" i="3"/>
  <c r="R788" i="3" s="1"/>
  <c r="Q877" i="3"/>
  <c r="Q965" i="3"/>
  <c r="Q1045" i="3"/>
  <c r="Q1133" i="3"/>
  <c r="Q108" i="3"/>
  <c r="Q323" i="3"/>
  <c r="Q556" i="3"/>
  <c r="Q726" i="3"/>
  <c r="Q806" i="3"/>
  <c r="Q894" i="3"/>
  <c r="Q982" i="3"/>
  <c r="Q1062" i="3"/>
  <c r="Q112" i="3"/>
  <c r="Q347" i="3"/>
  <c r="Q560" i="3"/>
  <c r="Q727" i="3"/>
  <c r="Q815" i="3"/>
  <c r="Q895" i="3"/>
  <c r="Q983" i="3"/>
  <c r="Q115" i="3"/>
  <c r="Q792" i="3"/>
  <c r="Q1098" i="3"/>
  <c r="Q1088" i="3"/>
  <c r="Q267" i="3"/>
  <c r="Q544" i="3"/>
  <c r="Q985" i="3"/>
  <c r="R985" i="3" s="1"/>
  <c r="Q1159" i="3"/>
  <c r="Q348" i="3"/>
  <c r="Q1145" i="3"/>
  <c r="Q704" i="3"/>
  <c r="Q1056" i="3"/>
  <c r="Q1041" i="3"/>
  <c r="Q705" i="3"/>
  <c r="Q1057" i="3"/>
  <c r="Q1192" i="3"/>
  <c r="Q753" i="3"/>
  <c r="Q584" i="3"/>
  <c r="Q1000" i="3"/>
  <c r="Q1162" i="3"/>
  <c r="Q784" i="3"/>
  <c r="Q160" i="3"/>
  <c r="Q809" i="3"/>
  <c r="Q1111" i="3"/>
  <c r="Q1176" i="3"/>
  <c r="Q205" i="3"/>
  <c r="Q486" i="3"/>
  <c r="Q639" i="3"/>
  <c r="Q266" i="3"/>
  <c r="Q970" i="3"/>
  <c r="Q1179" i="3"/>
  <c r="Q940" i="3"/>
  <c r="Q192" i="3"/>
  <c r="Q491" i="3"/>
  <c r="Q725" i="3"/>
  <c r="Q845" i="3"/>
  <c r="Q949" i="3"/>
  <c r="Q1069" i="3"/>
  <c r="Q24" i="3"/>
  <c r="Q300" i="3"/>
  <c r="Q620" i="3"/>
  <c r="Q774" i="3"/>
  <c r="Q886" i="3"/>
  <c r="Q998" i="3"/>
  <c r="Q27" i="3"/>
  <c r="Q304" i="3"/>
  <c r="Q624" i="3"/>
  <c r="Q783" i="3"/>
  <c r="Q887" i="3"/>
  <c r="Q1007" i="3"/>
  <c r="Q627" i="3"/>
  <c r="Q1082" i="3"/>
  <c r="Q1170" i="3"/>
  <c r="Q203" i="3"/>
  <c r="Q921" i="3"/>
  <c r="Q1190" i="3"/>
  <c r="Q608" i="3"/>
  <c r="Q648" i="3"/>
  <c r="Q1150" i="3"/>
  <c r="Q395" i="3"/>
  <c r="Q1025" i="3"/>
  <c r="Q1210" i="3"/>
  <c r="Q243" i="3"/>
  <c r="Q936" i="3"/>
  <c r="Q1193" i="3"/>
  <c r="Q977" i="3"/>
  <c r="Q777" i="3"/>
  <c r="Q1153" i="3"/>
  <c r="Q333" i="3"/>
  <c r="Q461" i="3"/>
  <c r="Q678" i="3"/>
  <c r="Q217" i="3"/>
  <c r="R216" i="3" s="1"/>
  <c r="Q522" i="3"/>
  <c r="Q123" i="3"/>
  <c r="Q316" i="3"/>
  <c r="Q1068" i="3"/>
  <c r="Q256" i="3"/>
  <c r="Q576" i="3"/>
  <c r="Q757" i="3"/>
  <c r="Q869" i="3"/>
  <c r="Q981" i="3"/>
  <c r="Q1101" i="3"/>
  <c r="Q67" i="3"/>
  <c r="Q387" i="3"/>
  <c r="Q694" i="3"/>
  <c r="Q798" i="3"/>
  <c r="Q918" i="3"/>
  <c r="Q1030" i="3"/>
  <c r="Q91" i="3"/>
  <c r="Q388" i="3"/>
  <c r="Q695" i="3"/>
  <c r="Q799" i="3"/>
  <c r="Q919" i="3"/>
  <c r="Q1039" i="3"/>
  <c r="Q760" i="3"/>
  <c r="Q1136" i="3"/>
  <c r="Q848" i="3"/>
  <c r="Q459" i="3"/>
  <c r="Q1049" i="3"/>
  <c r="Q1128" i="3"/>
  <c r="Q945" i="3"/>
  <c r="Q800" i="3"/>
  <c r="Q1144" i="3"/>
  <c r="Q651" i="3"/>
  <c r="Q1105" i="3"/>
  <c r="Q880" i="3"/>
  <c r="Q499" i="3"/>
  <c r="Q1058" i="3"/>
  <c r="Q1175" i="3"/>
  <c r="Q1167" i="3"/>
  <c r="Q905" i="3"/>
  <c r="Q684" i="3"/>
  <c r="Q589" i="3"/>
  <c r="Q127" i="3"/>
  <c r="Q345" i="3"/>
  <c r="Q586" i="3"/>
  <c r="Q635" i="3"/>
  <c r="Q488" i="3"/>
  <c r="Q1100" i="3"/>
  <c r="Q320" i="3"/>
  <c r="Q596" i="3"/>
  <c r="Q773" i="3"/>
  <c r="Q885" i="3"/>
  <c r="Q997" i="3"/>
  <c r="Q1109" i="3"/>
  <c r="Q131" i="3"/>
  <c r="Q408" i="3"/>
  <c r="Q702" i="3"/>
  <c r="Q822" i="3"/>
  <c r="Q926" i="3"/>
  <c r="Q1046" i="3"/>
  <c r="Q132" i="3"/>
  <c r="Q432" i="3"/>
  <c r="Q703" i="3"/>
  <c r="Q823" i="3"/>
  <c r="Q927" i="3"/>
  <c r="Q1047" i="3"/>
  <c r="Q856" i="3"/>
  <c r="Q1146" i="3"/>
  <c r="Q1134" i="3"/>
  <c r="Q628" i="3"/>
  <c r="Q1087" i="3"/>
  <c r="Q1160" i="3"/>
  <c r="Q1197" i="3"/>
  <c r="Q832" i="3"/>
  <c r="Q1214" i="3"/>
  <c r="Q769" i="3"/>
  <c r="Q1119" i="3"/>
  <c r="Q1166" i="3"/>
  <c r="Q668" i="3"/>
  <c r="Q1090" i="3"/>
  <c r="Q1204" i="3"/>
  <c r="Q244" i="3"/>
  <c r="Q937" i="3"/>
  <c r="Q816" i="3"/>
  <c r="Q653" i="3"/>
  <c r="Q255" i="3"/>
  <c r="Q473" i="3"/>
  <c r="Q76" i="3"/>
  <c r="Q731" i="3"/>
  <c r="Q748" i="3"/>
  <c r="Q20" i="3"/>
  <c r="Q340" i="3"/>
  <c r="Q660" i="3"/>
  <c r="Q781" i="3"/>
  <c r="Q901" i="3"/>
  <c r="Q1013" i="3"/>
  <c r="Q1125" i="3"/>
  <c r="Q152" i="3"/>
  <c r="Q472" i="3"/>
  <c r="Q710" i="3"/>
  <c r="Q830" i="3"/>
  <c r="Q950" i="3"/>
  <c r="Q1054" i="3"/>
  <c r="Q176" i="3"/>
  <c r="Q475" i="3"/>
  <c r="Q719" i="3"/>
  <c r="Q831" i="3"/>
  <c r="Q951" i="3"/>
  <c r="Q1055" i="3"/>
  <c r="Q888" i="3"/>
  <c r="Q1178" i="3"/>
  <c r="Q1196" i="3"/>
  <c r="Q729" i="3"/>
  <c r="Q1116" i="3"/>
  <c r="Q1200" i="3"/>
  <c r="Q51" i="3"/>
  <c r="Q928" i="3"/>
  <c r="Q523" i="3"/>
  <c r="Q801" i="3"/>
  <c r="Q1151" i="3"/>
  <c r="Q436" i="3"/>
  <c r="Q744" i="3"/>
  <c r="Q1120" i="3"/>
  <c r="Q604" i="3"/>
  <c r="Q331" i="3"/>
  <c r="Q1033" i="3"/>
  <c r="Q944" i="3"/>
  <c r="Q230" i="3"/>
  <c r="Q511" i="3"/>
  <c r="Q665" i="3"/>
  <c r="Q714" i="3"/>
  <c r="Q987" i="3"/>
  <c r="Q868" i="3"/>
  <c r="Q107" i="3"/>
  <c r="Q427" i="3"/>
  <c r="Q693" i="3"/>
  <c r="Q813" i="3"/>
  <c r="Q933" i="3"/>
  <c r="Q1037" i="3"/>
  <c r="Q1157" i="3"/>
  <c r="Q236" i="3"/>
  <c r="Q536" i="3"/>
  <c r="Q742" i="3"/>
  <c r="Q862" i="3"/>
  <c r="Q966" i="3"/>
  <c r="Q1086" i="3"/>
  <c r="Q260" i="3"/>
  <c r="Q539" i="3"/>
  <c r="Q751" i="3"/>
  <c r="Q863" i="3"/>
  <c r="Q975" i="3"/>
  <c r="Q284" i="3"/>
  <c r="Q1016" i="3"/>
  <c r="Q1198" i="3"/>
  <c r="Q1124" i="3"/>
  <c r="R1123" i="3" s="1"/>
  <c r="Q857" i="3"/>
  <c r="Q1148" i="3"/>
  <c r="Q1064" i="3"/>
  <c r="Q392" i="3"/>
  <c r="Q1024" i="3"/>
  <c r="Q52" i="3"/>
  <c r="Q929" i="3"/>
  <c r="Q1172" i="3"/>
  <c r="Q1135" i="3"/>
  <c r="Q872" i="3"/>
  <c r="Q1152" i="3"/>
  <c r="Q1154" i="3"/>
  <c r="Q672" i="3"/>
  <c r="Q1095" i="3"/>
  <c r="Q688" i="3"/>
  <c r="Q141" i="3"/>
  <c r="Q294" i="3"/>
  <c r="Q575" i="3"/>
  <c r="Q202" i="3"/>
  <c r="Q778" i="3"/>
  <c r="Q1115" i="3"/>
  <c r="Q892" i="3"/>
  <c r="Q148" i="3"/>
  <c r="Q448" i="3"/>
  <c r="Q717" i="3"/>
  <c r="Q821" i="3"/>
  <c r="Q941" i="3"/>
  <c r="Q1061" i="3"/>
  <c r="Q1165" i="3"/>
  <c r="Q280" i="3"/>
  <c r="Q579" i="3"/>
  <c r="Q758" i="3"/>
  <c r="Q870" i="3"/>
  <c r="Q990" i="3"/>
  <c r="Q1094" i="3"/>
  <c r="Q283" i="3"/>
  <c r="Q603" i="3"/>
  <c r="Q759" i="3"/>
  <c r="Q879" i="3"/>
  <c r="Q991" i="3"/>
  <c r="Q456" i="3"/>
  <c r="Q1048" i="3"/>
  <c r="Q1138" i="3"/>
  <c r="Q1177" i="3"/>
  <c r="Q889" i="3"/>
  <c r="Q1180" i="3"/>
  <c r="Q1122" i="3"/>
  <c r="Q563" i="3"/>
  <c r="Q1072" i="3"/>
  <c r="Q224" i="3"/>
  <c r="Q961" i="3"/>
  <c r="Q1201" i="3"/>
  <c r="Q1206" i="3"/>
  <c r="Q904" i="3"/>
  <c r="Q1184" i="3"/>
  <c r="Q1205" i="3"/>
  <c r="Q745" i="3"/>
  <c r="Q1121" i="3"/>
  <c r="Q1113" i="3"/>
  <c r="Q153" i="3"/>
  <c r="Q948" i="3"/>
  <c r="Q853" i="3"/>
  <c r="Q364" i="3"/>
  <c r="Q1014" i="3"/>
  <c r="Q791" i="3"/>
  <c r="Q1114" i="3"/>
  <c r="Q1199" i="3"/>
  <c r="Q564" i="3"/>
  <c r="Q1032" i="3"/>
  <c r="Q1185" i="3"/>
  <c r="Q601" i="3"/>
  <c r="Q84" i="3"/>
  <c r="Q909" i="3"/>
  <c r="Q492" i="3"/>
  <c r="Q1078" i="3"/>
  <c r="Q847" i="3"/>
  <c r="Q1189" i="3"/>
  <c r="Q720" i="3"/>
  <c r="Q833" i="3"/>
  <c r="Q1142" i="3"/>
  <c r="Q180" i="3"/>
  <c r="Q1034" i="3"/>
  <c r="Q532" i="3"/>
  <c r="Q1077" i="3"/>
  <c r="Q790" i="3"/>
  <c r="Q368" i="3"/>
  <c r="Q1015" i="3"/>
  <c r="Q288" i="3"/>
  <c r="Q768" i="3"/>
  <c r="Q1194" i="3"/>
  <c r="Q1097" i="3"/>
  <c r="Q166" i="3"/>
  <c r="Q859" i="3"/>
  <c r="Q680" i="3"/>
  <c r="Q1141" i="3"/>
  <c r="Q838" i="3"/>
  <c r="Q516" i="3"/>
  <c r="Q200" i="3"/>
  <c r="Q761" i="3"/>
  <c r="Q960" i="3"/>
  <c r="Q1065" i="3"/>
  <c r="Q500" i="3"/>
  <c r="Q319" i="3"/>
  <c r="Q805" i="3"/>
  <c r="Q958" i="3"/>
  <c r="Q920" i="3"/>
  <c r="Q1156" i="3"/>
  <c r="Q1063" i="3"/>
  <c r="Q330" i="3"/>
  <c r="Q973" i="3"/>
  <c r="Q419" i="3"/>
  <c r="Q1029" i="3"/>
  <c r="Q196" i="3"/>
  <c r="Q1009" i="3"/>
  <c r="Q1161" i="3"/>
  <c r="Q147" i="3"/>
  <c r="Q44" i="3"/>
  <c r="Q644" i="3"/>
  <c r="Q1017" i="3"/>
  <c r="Q328" i="3"/>
  <c r="Q804" i="3"/>
  <c r="Q195" i="3"/>
  <c r="Q735" i="3"/>
  <c r="Q1137" i="3"/>
  <c r="Q776" i="3"/>
  <c r="Q235" i="3"/>
  <c r="Q643" i="3"/>
  <c r="Q363" i="3"/>
  <c r="Q734" i="3"/>
  <c r="Q959" i="3"/>
  <c r="Q220" i="3"/>
  <c r="Q976" i="3"/>
  <c r="Q550" i="3"/>
  <c r="Q741" i="3"/>
  <c r="Q902" i="3"/>
  <c r="Q728" i="3"/>
  <c r="Q1209" i="3"/>
  <c r="Q873" i="3"/>
  <c r="Q911" i="3"/>
  <c r="Q435" i="3"/>
  <c r="Q817" i="3"/>
  <c r="Q1073" i="3"/>
  <c r="Q1202" i="3"/>
  <c r="R1202" i="3" s="1"/>
  <c r="Q48" i="3"/>
  <c r="R1105" i="3" l="1"/>
  <c r="G8" i="3"/>
  <c r="H8" i="3"/>
  <c r="R479" i="3"/>
  <c r="R885" i="3"/>
  <c r="R619" i="3"/>
  <c r="R785" i="3"/>
  <c r="R776" i="3"/>
  <c r="R121" i="3"/>
  <c r="R343" i="3"/>
  <c r="R176" i="3"/>
  <c r="R1187" i="3"/>
  <c r="R616" i="3"/>
  <c r="R1075" i="3"/>
  <c r="R1059" i="3"/>
  <c r="R546" i="3"/>
  <c r="R504" i="3"/>
  <c r="R368" i="3"/>
  <c r="R800" i="3"/>
  <c r="R490" i="3"/>
  <c r="R1083" i="3"/>
  <c r="R578" i="3"/>
  <c r="R208" i="3"/>
  <c r="R872" i="3"/>
  <c r="R279" i="3"/>
  <c r="R1118" i="3"/>
  <c r="R403" i="3"/>
  <c r="R144" i="3"/>
  <c r="R671" i="3"/>
  <c r="R83" i="3"/>
  <c r="R510" i="3"/>
  <c r="R832" i="3"/>
  <c r="R949" i="3"/>
  <c r="R1108" i="3"/>
  <c r="R854" i="3"/>
  <c r="R549" i="3"/>
  <c r="R939" i="3"/>
  <c r="R440" i="3"/>
  <c r="R1021" i="3"/>
  <c r="R811" i="3"/>
  <c r="R240" i="3"/>
  <c r="R88" i="3"/>
  <c r="R837" i="3"/>
  <c r="R520" i="3"/>
  <c r="R93" i="3"/>
  <c r="R305" i="3"/>
  <c r="R270" i="3"/>
  <c r="R572" i="3"/>
  <c r="R610" i="3"/>
  <c r="R691" i="3"/>
  <c r="R40" i="3"/>
  <c r="R541" i="3"/>
  <c r="R223" i="3"/>
  <c r="R390" i="3"/>
  <c r="R908" i="3"/>
  <c r="R205" i="3"/>
  <c r="R915" i="3"/>
  <c r="R642" i="3"/>
  <c r="R374" i="3"/>
  <c r="R177" i="3"/>
  <c r="R859" i="3"/>
  <c r="R677" i="3"/>
  <c r="R1003" i="3"/>
  <c r="R408" i="3"/>
  <c r="R196" i="3"/>
  <c r="R180" i="3"/>
  <c r="R346" i="3"/>
  <c r="R1116" i="3"/>
  <c r="R790" i="3"/>
  <c r="R864" i="3"/>
  <c r="R1080" i="3"/>
  <c r="R744" i="3"/>
  <c r="R525" i="3"/>
  <c r="R363" i="3"/>
  <c r="R1141" i="3"/>
  <c r="R712" i="3"/>
  <c r="R1181" i="3"/>
  <c r="R771" i="3"/>
  <c r="R907" i="3"/>
  <c r="R664" i="3"/>
  <c r="R748" i="3"/>
  <c r="R1144" i="3"/>
  <c r="R1173" i="3"/>
  <c r="R1207" i="3"/>
  <c r="R1019" i="3"/>
  <c r="R450" i="3"/>
  <c r="R430" i="3"/>
  <c r="R597" i="3"/>
  <c r="R85" i="3"/>
  <c r="R198" i="3"/>
  <c r="R726" i="3"/>
  <c r="R74" i="3"/>
  <c r="R1168" i="3"/>
  <c r="R250" i="3"/>
  <c r="R736" i="3"/>
  <c r="R649" i="3"/>
  <c r="R896" i="3"/>
  <c r="R456" i="3"/>
  <c r="R444" i="3"/>
  <c r="R423" i="3"/>
  <c r="R1013" i="3"/>
  <c r="R1084" i="3"/>
  <c r="R80" i="3"/>
  <c r="R700" i="3"/>
  <c r="R561" i="3"/>
  <c r="R14" i="3"/>
  <c r="R378" i="3"/>
  <c r="R925" i="3"/>
  <c r="R418" i="3"/>
  <c r="R274" i="3"/>
  <c r="R894" i="3"/>
  <c r="R530" i="3"/>
  <c r="R856" i="3"/>
  <c r="R1145" i="3"/>
  <c r="R765" i="3"/>
  <c r="R326" i="3"/>
  <c r="R122" i="3"/>
  <c r="R1007" i="3"/>
  <c r="R931" i="3"/>
  <c r="R260" i="3"/>
  <c r="R589" i="3"/>
  <c r="R1096" i="3"/>
  <c r="R256" i="3"/>
  <c r="R1120" i="3"/>
  <c r="R1048" i="3"/>
  <c r="R1147" i="3"/>
  <c r="R653" i="3"/>
  <c r="R792" i="3"/>
  <c r="R723" i="3"/>
  <c r="R745" i="3"/>
  <c r="R56" i="3"/>
  <c r="R29" i="3"/>
  <c r="R49" i="3"/>
  <c r="R680" i="3"/>
  <c r="R720" i="3"/>
  <c r="R904" i="3"/>
  <c r="R1180" i="3"/>
  <c r="R891" i="3"/>
  <c r="R52" i="3"/>
  <c r="R1015" i="3"/>
  <c r="R729" i="3"/>
  <c r="R731" i="3"/>
  <c r="R1204" i="3"/>
  <c r="R701" i="3"/>
  <c r="R320" i="3"/>
  <c r="R650" i="3"/>
  <c r="R1135" i="3"/>
  <c r="R1029" i="3"/>
  <c r="R936" i="3"/>
  <c r="R981" i="3"/>
  <c r="R1044" i="3"/>
  <c r="R875" i="3"/>
  <c r="R808" i="3"/>
  <c r="R984" i="3"/>
  <c r="R218" i="3"/>
  <c r="R215" i="3"/>
  <c r="R382" i="3"/>
  <c r="R1149" i="3"/>
  <c r="R881" i="3"/>
  <c r="R138" i="3"/>
  <c r="R410" i="3"/>
  <c r="R795" i="3"/>
  <c r="R1171" i="3"/>
  <c r="R656" i="3"/>
  <c r="R477" i="3"/>
  <c r="R103" i="3"/>
  <c r="R661" i="3"/>
  <c r="R149" i="3"/>
  <c r="R753" i="3"/>
  <c r="R607" i="3"/>
  <c r="R262" i="3"/>
  <c r="R359" i="3"/>
  <c r="R688" i="3"/>
  <c r="R1062" i="3"/>
  <c r="R152" i="3"/>
  <c r="R1176" i="3"/>
  <c r="R392" i="3"/>
  <c r="R426" i="3"/>
  <c r="R130" i="3"/>
  <c r="R304" i="3"/>
  <c r="R704" i="3"/>
  <c r="R544" i="3"/>
  <c r="R806" i="3"/>
  <c r="R1104" i="3"/>
  <c r="R860" i="3"/>
  <c r="R568" i="3"/>
  <c r="R533" i="3"/>
  <c r="R768" i="3"/>
  <c r="R328" i="3"/>
  <c r="R316" i="3"/>
  <c r="R779" i="3"/>
  <c r="R498" i="3"/>
  <c r="R640" i="3"/>
  <c r="R116" i="3"/>
  <c r="R95" i="3"/>
  <c r="R764" i="3"/>
  <c r="R1139" i="3"/>
  <c r="R624" i="3"/>
  <c r="R113" i="3"/>
  <c r="R1049" i="3"/>
  <c r="R246" i="3"/>
  <c r="R413" i="3"/>
  <c r="R508" i="3"/>
  <c r="R995" i="3"/>
  <c r="R376" i="3"/>
  <c r="R272" i="3"/>
  <c r="R552" i="3"/>
  <c r="R483" i="3"/>
  <c r="R362" i="3"/>
  <c r="R634" i="3"/>
  <c r="R1102" i="3"/>
  <c r="R934" i="3"/>
  <c r="R787" i="3"/>
  <c r="R506" i="3"/>
  <c r="R637" i="3"/>
  <c r="R48" i="3"/>
  <c r="R1213" i="3"/>
  <c r="R1043" i="3"/>
  <c r="R851" i="3"/>
  <c r="R1160" i="3"/>
  <c r="R1032" i="3"/>
  <c r="R888" i="3"/>
  <c r="R968" i="3"/>
  <c r="R962" i="3"/>
  <c r="R355" i="3"/>
  <c r="R1052" i="3"/>
  <c r="R70" i="3"/>
  <c r="R454" i="3"/>
  <c r="R817" i="3"/>
  <c r="R816" i="3"/>
  <c r="R264" i="3"/>
  <c r="R230" i="3"/>
  <c r="R231" i="3"/>
  <c r="H9" i="3"/>
  <c r="G9" i="3"/>
  <c r="H17" i="3"/>
  <c r="G17" i="3"/>
  <c r="R1125" i="3"/>
  <c r="H21" i="3"/>
  <c r="G21" i="3"/>
  <c r="H18" i="3"/>
  <c r="G18" i="3"/>
  <c r="R693" i="3"/>
  <c r="R1024" i="3"/>
  <c r="R1004" i="3"/>
  <c r="R24" i="3"/>
  <c r="R761" i="3"/>
  <c r="H22" i="3"/>
  <c r="G22" i="3"/>
  <c r="R564" i="3"/>
  <c r="R778" i="3"/>
  <c r="R397" i="3"/>
  <c r="R68" i="3"/>
  <c r="R349" i="3"/>
  <c r="R715" i="3"/>
  <c r="R188" i="3"/>
  <c r="G16" i="3"/>
  <c r="H16" i="3"/>
  <c r="G14" i="3"/>
  <c r="H14" i="3"/>
  <c r="R920" i="3"/>
  <c r="R330" i="3"/>
  <c r="R394" i="3"/>
  <c r="R1056" i="3"/>
  <c r="R560" i="3"/>
  <c r="R917" i="3"/>
  <c r="R400" i="3"/>
  <c r="R405" i="3"/>
  <c r="R252" i="3"/>
  <c r="R699" i="3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R280" i="3"/>
  <c r="R644" i="3"/>
  <c r="R112" i="3"/>
  <c r="R1045" i="3"/>
  <c r="R282" i="3"/>
  <c r="R742" i="3"/>
  <c r="R461" i="3"/>
  <c r="R876" i="3"/>
  <c r="R514" i="3"/>
  <c r="R613" i="3"/>
  <c r="R606" i="3"/>
  <c r="R1155" i="3"/>
  <c r="R1094" i="3"/>
  <c r="R780" i="3"/>
  <c r="R628" i="3"/>
  <c r="R740" i="3"/>
  <c r="R953" i="3"/>
  <c r="R912" i="3"/>
  <c r="R796" i="3"/>
  <c r="R452" i="3"/>
  <c r="R424" i="3"/>
  <c r="R615" i="3"/>
  <c r="R763" i="3"/>
  <c r="R132" i="3"/>
  <c r="R1088" i="3"/>
  <c r="R600" i="3"/>
  <c r="R1190" i="3"/>
  <c r="R733" i="3"/>
  <c r="R295" i="3"/>
  <c r="R441" i="3"/>
  <c r="R584" i="3"/>
  <c r="R72" i="3"/>
  <c r="R1211" i="3"/>
  <c r="R351" i="3"/>
  <c r="R157" i="3"/>
  <c r="R557" i="3"/>
  <c r="R1137" i="3"/>
  <c r="R960" i="3"/>
  <c r="R464" i="3"/>
  <c r="R697" i="3"/>
  <c r="R899" i="3"/>
  <c r="R1009" i="3"/>
  <c r="R184" i="3"/>
  <c r="R23" i="3"/>
  <c r="R538" i="3"/>
  <c r="R46" i="3"/>
  <c r="R213" i="3"/>
  <c r="R344" i="3"/>
  <c r="R1148" i="3"/>
  <c r="R1054" i="3"/>
  <c r="R1068" i="3"/>
  <c r="R372" i="3"/>
  <c r="R227" i="3"/>
  <c r="R1113" i="3"/>
  <c r="R535" i="3"/>
  <c r="R26" i="3"/>
  <c r="R739" i="3"/>
  <c r="R849" i="3"/>
  <c r="R42" i="3"/>
  <c r="R1163" i="3"/>
  <c r="R732" i="3"/>
  <c r="R202" i="3"/>
  <c r="R682" i="3"/>
  <c r="R170" i="3"/>
  <c r="R902" i="3"/>
  <c r="R448" i="3"/>
  <c r="R1051" i="3"/>
  <c r="R415" i="3"/>
  <c r="R380" i="3"/>
  <c r="R398" i="3"/>
  <c r="R565" i="3"/>
  <c r="R621" i="3"/>
  <c r="R784" i="3"/>
  <c r="R248" i="3"/>
  <c r="R747" i="3"/>
  <c r="R602" i="3"/>
  <c r="R90" i="3"/>
  <c r="R1107" i="3"/>
  <c r="R277" i="3"/>
  <c r="R848" i="3"/>
  <c r="R1112" i="3"/>
  <c r="R921" i="3"/>
  <c r="R285" i="3"/>
  <c r="R99" i="3"/>
  <c r="R812" i="3"/>
  <c r="R1093" i="3"/>
  <c r="R536" i="3"/>
  <c r="R1078" i="3"/>
  <c r="R386" i="3"/>
  <c r="R516" i="3"/>
  <c r="R852" i="3"/>
  <c r="R972" i="3"/>
  <c r="R825" i="3"/>
  <c r="R570" i="3"/>
  <c r="R58" i="3"/>
  <c r="R200" i="3"/>
  <c r="R594" i="3"/>
  <c r="R679" i="3"/>
  <c r="R334" i="3"/>
  <c r="R979" i="3"/>
  <c r="R60" i="3"/>
  <c r="R312" i="3"/>
  <c r="R134" i="3"/>
  <c r="R1011" i="3"/>
  <c r="R956" i="3"/>
  <c r="R18" i="3"/>
  <c r="R666" i="3"/>
  <c r="R154" i="3"/>
  <c r="R629" i="3"/>
  <c r="R118" i="3"/>
  <c r="R518" i="3"/>
  <c r="R174" i="3"/>
  <c r="R341" i="3"/>
  <c r="R805" i="3"/>
  <c r="R543" i="3"/>
  <c r="R515" i="3"/>
  <c r="R721" i="3"/>
  <c r="R1162" i="3"/>
  <c r="R1041" i="3"/>
  <c r="R868" i="3"/>
  <c r="R432" i="3"/>
  <c r="R458" i="3"/>
  <c r="R803" i="3"/>
  <c r="R1132" i="3"/>
  <c r="R1072" i="3"/>
  <c r="R645" i="3"/>
  <c r="R1067" i="3"/>
  <c r="R487" i="3"/>
  <c r="R324" i="3"/>
  <c r="R718" i="3"/>
  <c r="R1169" i="3"/>
  <c r="R760" i="3"/>
  <c r="R755" i="3"/>
  <c r="R469" i="3"/>
  <c r="R120" i="3"/>
  <c r="R658" i="3"/>
  <c r="R632" i="3"/>
  <c r="R1158" i="3"/>
  <c r="R417" i="3"/>
  <c r="R998" i="3"/>
  <c r="R976" i="3"/>
  <c r="R234" i="3"/>
  <c r="R1027" i="3"/>
  <c r="R1110" i="3"/>
  <c r="R924" i="3"/>
  <c r="R916" i="3"/>
  <c r="R636" i="3"/>
  <c r="R965" i="3"/>
  <c r="R611" i="3"/>
  <c r="R1026" i="3"/>
  <c r="R1115" i="3"/>
  <c r="R599" i="3"/>
  <c r="R87" i="3"/>
  <c r="R254" i="3"/>
  <c r="R269" i="3"/>
  <c r="R436" i="3"/>
  <c r="R928" i="3"/>
  <c r="R1064" i="3"/>
  <c r="R1081" i="3"/>
  <c r="R728" i="3"/>
  <c r="R287" i="3"/>
  <c r="R124" i="3"/>
  <c r="R797" i="3"/>
  <c r="R433" i="3"/>
  <c r="R862" i="3"/>
  <c r="R940" i="3"/>
  <c r="R709" i="3"/>
  <c r="R1035" i="3"/>
  <c r="R974" i="3"/>
  <c r="R1099" i="3"/>
  <c r="R1177" i="3"/>
  <c r="R1000" i="3"/>
  <c r="R526" i="3"/>
  <c r="R592" i="3"/>
  <c r="R724" i="3"/>
  <c r="R462" i="3"/>
  <c r="R947" i="3"/>
  <c r="R64" i="3"/>
  <c r="R31" i="3"/>
  <c r="R266" i="3"/>
  <c r="R987" i="3"/>
  <c r="R167" i="3"/>
  <c r="R159" i="3"/>
  <c r="R466" i="3"/>
  <c r="R471" i="3"/>
  <c r="R126" i="3"/>
  <c r="R141" i="3"/>
  <c r="R308" i="3"/>
  <c r="R586" i="3"/>
  <c r="R161" i="3"/>
  <c r="R339" i="3"/>
  <c r="R38" i="3"/>
  <c r="R1194" i="3"/>
  <c r="R706" i="3"/>
  <c r="R830" i="3"/>
  <c r="R971" i="3"/>
  <c r="R977" i="3"/>
  <c r="R1085" i="3"/>
  <c r="R879" i="3"/>
  <c r="R773" i="3"/>
  <c r="R1184" i="3"/>
  <c r="R1091" i="3"/>
  <c r="R1192" i="3"/>
  <c r="R1157" i="3"/>
  <c r="R106" i="3"/>
  <c r="R1172" i="3"/>
  <c r="R827" i="3"/>
  <c r="R695" i="3"/>
  <c r="R206" i="3"/>
  <c r="R883" i="3"/>
  <c r="R291" i="3"/>
  <c r="R194" i="3"/>
  <c r="R580" i="3"/>
  <c r="R528" i="3"/>
  <c r="R923" i="3"/>
  <c r="R582" i="3"/>
  <c r="R407" i="3"/>
  <c r="R62" i="3"/>
  <c r="R77" i="3"/>
  <c r="R244" i="3"/>
  <c r="R438" i="3"/>
  <c r="R238" i="3"/>
  <c r="R486" i="3"/>
  <c r="R789" i="3"/>
  <c r="R824" i="3"/>
  <c r="R950" i="3"/>
  <c r="R1109" i="3"/>
  <c r="R1006" i="3"/>
  <c r="R190" i="3"/>
  <c r="R988" i="3"/>
  <c r="R1174" i="3"/>
  <c r="R992" i="3"/>
  <c r="R842" i="3"/>
  <c r="R821" i="3"/>
  <c r="R21" i="3"/>
  <c r="R982" i="3"/>
  <c r="R844" i="3"/>
  <c r="R793" i="3"/>
  <c r="R1040" i="3"/>
  <c r="R472" i="3"/>
  <c r="R168" i="3"/>
  <c r="R958" i="3"/>
  <c r="R943" i="3"/>
  <c r="R1038" i="3"/>
  <c r="R522" i="3"/>
  <c r="R1131" i="3"/>
  <c r="R496" i="3"/>
  <c r="R210" i="3"/>
  <c r="R233" i="3"/>
  <c r="R354" i="3"/>
  <c r="R609" i="3"/>
  <c r="R587" i="3"/>
  <c r="R1152" i="3"/>
  <c r="R1030" i="3"/>
  <c r="R751" i="3"/>
  <c r="R298" i="3"/>
  <c r="R819" i="3"/>
  <c r="R422" i="3"/>
  <c r="R710" i="3"/>
  <c r="R941" i="3"/>
  <c r="R185" i="3"/>
  <c r="R573" i="3"/>
  <c r="R1201" i="3"/>
  <c r="R314" i="3"/>
  <c r="R136" i="3"/>
  <c r="R221" i="3"/>
  <c r="R1077" i="3"/>
  <c r="R242" i="3"/>
  <c r="R446" i="3"/>
  <c r="R512" i="3"/>
  <c r="R481" i="3"/>
  <c r="R310" i="3"/>
  <c r="R147" i="3"/>
  <c r="R402" i="3"/>
  <c r="R110" i="3"/>
  <c r="R17" i="3"/>
  <c r="R358" i="3"/>
  <c r="R352" i="3"/>
  <c r="R840" i="3"/>
  <c r="R1001" i="3"/>
  <c r="R980" i="3"/>
  <c r="R892" i="3"/>
  <c r="R834" i="3"/>
  <c r="R685" i="3"/>
  <c r="R1034" i="3"/>
  <c r="R551" i="3"/>
  <c r="R388" i="3"/>
  <c r="R1179" i="3"/>
  <c r="R663" i="3"/>
  <c r="R151" i="3"/>
  <c r="R318" i="3"/>
  <c r="R333" i="3"/>
  <c r="R500" i="3"/>
  <c r="R674" i="3"/>
  <c r="R846" i="3"/>
  <c r="R1100" i="3"/>
  <c r="R861" i="3"/>
  <c r="R474" i="3"/>
  <c r="R142" i="3"/>
  <c r="R948" i="3"/>
  <c r="R467" i="3"/>
  <c r="R322" i="3"/>
  <c r="R166" i="3"/>
  <c r="R384" i="3"/>
  <c r="R449" i="3"/>
  <c r="R627" i="3"/>
  <c r="R336" i="3"/>
  <c r="R1197" i="3"/>
  <c r="R867" i="3"/>
  <c r="R1128" i="3"/>
  <c r="R162" i="3"/>
  <c r="R813" i="3"/>
  <c r="R759" i="3"/>
  <c r="R1016" i="3"/>
  <c r="R646" i="3"/>
  <c r="R955" i="3"/>
  <c r="R39" i="3"/>
  <c r="R555" i="3"/>
  <c r="R901" i="3"/>
  <c r="R54" i="3"/>
  <c r="R66" i="3"/>
  <c r="R366" i="3"/>
  <c r="R1195" i="3"/>
  <c r="R1153" i="3"/>
  <c r="R869" i="3"/>
  <c r="R843" i="3"/>
  <c r="R838" i="3"/>
  <c r="R1198" i="3"/>
  <c r="R1129" i="3"/>
  <c r="R996" i="3"/>
  <c r="R1022" i="3"/>
  <c r="R1142" i="3"/>
  <c r="R1089" i="3"/>
  <c r="R873" i="3"/>
  <c r="R918" i="3"/>
  <c r="R833" i="3"/>
  <c r="R1200" i="3"/>
  <c r="R1150" i="3"/>
  <c r="R296" i="3"/>
  <c r="R945" i="3"/>
  <c r="R841" i="3"/>
  <c r="R951" i="3"/>
  <c r="R299" i="3"/>
  <c r="R547" i="3"/>
  <c r="R1166" i="3"/>
  <c r="R913" i="3"/>
  <c r="R757" i="3"/>
  <c r="R1196" i="3"/>
  <c r="R1028" i="3"/>
  <c r="R672" i="3"/>
  <c r="R313" i="3"/>
  <c r="R758" i="3"/>
  <c r="R750" i="3"/>
  <c r="R845" i="3"/>
  <c r="R1033" i="3"/>
  <c r="R820" i="3"/>
  <c r="R683" i="3"/>
  <c r="R562" i="3"/>
  <c r="R675" i="3"/>
  <c r="R954" i="3"/>
  <c r="R1127" i="3"/>
  <c r="R297" i="3"/>
  <c r="R638" i="3"/>
  <c r="R475" i="3"/>
  <c r="R818" i="3"/>
  <c r="R991" i="3"/>
  <c r="R673" i="3"/>
  <c r="R335" i="3"/>
  <c r="R502" i="3"/>
  <c r="R517" i="3"/>
  <c r="R684" i="3"/>
  <c r="R172" i="3"/>
  <c r="R1130" i="3"/>
  <c r="R480" i="3"/>
  <c r="R791" i="3"/>
  <c r="R473" i="3"/>
  <c r="R647" i="3"/>
  <c r="R135" i="3"/>
  <c r="R302" i="3"/>
  <c r="R317" i="3"/>
  <c r="R484" i="3"/>
  <c r="R651" i="3"/>
  <c r="R139" i="3"/>
  <c r="R866" i="3"/>
  <c r="R1039" i="3"/>
  <c r="R114" i="3"/>
  <c r="R209" i="3"/>
  <c r="R383" i="3"/>
  <c r="R550" i="3"/>
  <c r="R53" i="3"/>
  <c r="R220" i="3"/>
  <c r="R387" i="3"/>
  <c r="R1178" i="3"/>
  <c r="R626" i="3"/>
  <c r="R839" i="3"/>
  <c r="R521" i="3"/>
  <c r="R16" i="3"/>
  <c r="R183" i="3"/>
  <c r="R350" i="3"/>
  <c r="R365" i="3"/>
  <c r="R532" i="3"/>
  <c r="R20" i="3"/>
  <c r="R187" i="3"/>
  <c r="R978" i="3"/>
  <c r="R1151" i="3"/>
  <c r="R554" i="3"/>
  <c r="R321" i="3"/>
  <c r="R495" i="3"/>
  <c r="R662" i="3"/>
  <c r="R150" i="3"/>
  <c r="R165" i="3"/>
  <c r="R332" i="3"/>
  <c r="R499" i="3"/>
  <c r="R989" i="3"/>
  <c r="R1086" i="3"/>
  <c r="R766" i="3"/>
  <c r="R997" i="3"/>
  <c r="R801" i="3"/>
  <c r="R713" i="3"/>
  <c r="R43" i="3"/>
  <c r="R1133" i="3"/>
  <c r="R964" i="3"/>
  <c r="R57" i="3"/>
  <c r="R1025" i="3"/>
  <c r="R717" i="3"/>
  <c r="R905" i="3"/>
  <c r="R756" i="3"/>
  <c r="R1079" i="3"/>
  <c r="R590" i="3"/>
  <c r="R427" i="3"/>
  <c r="R1071" i="3"/>
  <c r="R419" i="3"/>
  <c r="R890" i="3"/>
  <c r="R1063" i="3"/>
  <c r="R574" i="3"/>
  <c r="R411" i="3"/>
  <c r="R754" i="3"/>
  <c r="R927" i="3"/>
  <c r="R97" i="3"/>
  <c r="R271" i="3"/>
  <c r="R453" i="3"/>
  <c r="R620" i="3"/>
  <c r="R108" i="3"/>
  <c r="R275" i="3"/>
  <c r="R1066" i="3"/>
  <c r="R224" i="3"/>
  <c r="R727" i="3"/>
  <c r="R409" i="3"/>
  <c r="R583" i="3"/>
  <c r="R71" i="3"/>
  <c r="R253" i="3"/>
  <c r="R420" i="3"/>
  <c r="R75" i="3"/>
  <c r="R802" i="3"/>
  <c r="R975" i="3"/>
  <c r="R657" i="3"/>
  <c r="R145" i="3"/>
  <c r="R319" i="3"/>
  <c r="R501" i="3"/>
  <c r="R668" i="3"/>
  <c r="R156" i="3"/>
  <c r="R323" i="3"/>
  <c r="R1114" i="3"/>
  <c r="R416" i="3"/>
  <c r="R775" i="3"/>
  <c r="R457" i="3"/>
  <c r="R631" i="3"/>
  <c r="R119" i="3"/>
  <c r="R286" i="3"/>
  <c r="R301" i="3"/>
  <c r="R468" i="3"/>
  <c r="R635" i="3"/>
  <c r="R123" i="3"/>
  <c r="R914" i="3"/>
  <c r="R1087" i="3"/>
  <c r="R306" i="3"/>
  <c r="R257" i="3"/>
  <c r="R431" i="3"/>
  <c r="R598" i="3"/>
  <c r="R86" i="3"/>
  <c r="R101" i="3"/>
  <c r="R268" i="3"/>
  <c r="R435" i="3"/>
  <c r="R1164" i="3"/>
  <c r="R893" i="3"/>
  <c r="R107" i="3"/>
  <c r="R734" i="3"/>
  <c r="R741" i="3"/>
  <c r="R933" i="3"/>
  <c r="R633" i="3"/>
  <c r="R910" i="3"/>
  <c r="R1005" i="3"/>
  <c r="R1189" i="3"/>
  <c r="R952" i="3"/>
  <c r="R900" i="3"/>
  <c r="R970" i="3"/>
  <c r="R865" i="3"/>
  <c r="R1210" i="3"/>
  <c r="R777" i="3"/>
  <c r="R692" i="3"/>
  <c r="R823" i="3"/>
  <c r="R171" i="3"/>
  <c r="R815" i="3"/>
  <c r="R163" i="3"/>
  <c r="R826" i="3"/>
  <c r="R999" i="3"/>
  <c r="R681" i="3"/>
  <c r="R169" i="3"/>
  <c r="R347" i="3"/>
  <c r="R98" i="3"/>
  <c r="R690" i="3"/>
  <c r="R863" i="3"/>
  <c r="R545" i="3"/>
  <c r="R33" i="3"/>
  <c r="R207" i="3"/>
  <c r="R389" i="3"/>
  <c r="R556" i="3"/>
  <c r="R44" i="3"/>
  <c r="R211" i="3"/>
  <c r="R1002" i="3"/>
  <c r="R1175" i="3"/>
  <c r="R618" i="3"/>
  <c r="R345" i="3"/>
  <c r="R519" i="3"/>
  <c r="R686" i="3"/>
  <c r="R189" i="3"/>
  <c r="R356" i="3"/>
  <c r="R523" i="3"/>
  <c r="R290" i="3"/>
  <c r="R738" i="3"/>
  <c r="R911" i="3"/>
  <c r="R593" i="3"/>
  <c r="R81" i="3"/>
  <c r="R255" i="3"/>
  <c r="R437" i="3"/>
  <c r="R604" i="3"/>
  <c r="R92" i="3"/>
  <c r="R259" i="3"/>
  <c r="R1050" i="3"/>
  <c r="R160" i="3"/>
  <c r="R711" i="3"/>
  <c r="R393" i="3"/>
  <c r="R567" i="3"/>
  <c r="R55" i="3"/>
  <c r="R222" i="3"/>
  <c r="R237" i="3"/>
  <c r="R404" i="3"/>
  <c r="R571" i="3"/>
  <c r="R59" i="3"/>
  <c r="R850" i="3"/>
  <c r="R1023" i="3"/>
  <c r="R50" i="3"/>
  <c r="R193" i="3"/>
  <c r="R367" i="3"/>
  <c r="R534" i="3"/>
  <c r="R22" i="3"/>
  <c r="R37" i="3"/>
  <c r="R204" i="3"/>
  <c r="R371" i="3"/>
  <c r="R1060" i="3"/>
  <c r="R1199" i="3"/>
  <c r="R1036" i="3"/>
  <c r="R1098" i="3"/>
  <c r="R1193" i="3"/>
  <c r="R1046" i="3"/>
  <c r="R1124" i="3"/>
  <c r="R944" i="3"/>
  <c r="R1191" i="3"/>
  <c r="R1057" i="3"/>
  <c r="R1212" i="3"/>
  <c r="R377" i="3"/>
  <c r="R360" i="3"/>
  <c r="R625" i="3"/>
  <c r="R782" i="3"/>
  <c r="R877" i="3"/>
  <c r="R1065" i="3"/>
  <c r="R836" i="3"/>
  <c r="R714" i="3"/>
  <c r="R1136" i="3"/>
  <c r="R737" i="3"/>
  <c r="R1061" i="3"/>
  <c r="R581" i="3"/>
  <c r="R1140" i="3"/>
  <c r="R78" i="3"/>
  <c r="R488" i="3"/>
  <c r="R762" i="3"/>
  <c r="R935" i="3"/>
  <c r="R617" i="3"/>
  <c r="R105" i="3"/>
  <c r="R283" i="3"/>
  <c r="R1138" i="3"/>
  <c r="R799" i="3"/>
  <c r="R655" i="3"/>
  <c r="R143" i="3"/>
  <c r="R325" i="3"/>
  <c r="R492" i="3"/>
  <c r="R659" i="3"/>
  <c r="R938" i="3"/>
  <c r="R1111" i="3"/>
  <c r="R281" i="3"/>
  <c r="R455" i="3"/>
  <c r="R622" i="3"/>
  <c r="R125" i="3"/>
  <c r="R292" i="3"/>
  <c r="R459" i="3"/>
  <c r="R34" i="3"/>
  <c r="R648" i="3"/>
  <c r="R847" i="3"/>
  <c r="R529" i="3"/>
  <c r="R191" i="3"/>
  <c r="R373" i="3"/>
  <c r="R540" i="3"/>
  <c r="R28" i="3"/>
  <c r="R195" i="3"/>
  <c r="R986" i="3"/>
  <c r="R1159" i="3"/>
  <c r="R576" i="3"/>
  <c r="R329" i="3"/>
  <c r="R503" i="3"/>
  <c r="R670" i="3"/>
  <c r="R158" i="3"/>
  <c r="R173" i="3"/>
  <c r="R340" i="3"/>
  <c r="R507" i="3"/>
  <c r="R482" i="3"/>
  <c r="R786" i="3"/>
  <c r="R959" i="3"/>
  <c r="R641" i="3"/>
  <c r="R129" i="3"/>
  <c r="R303" i="3"/>
  <c r="R470" i="3"/>
  <c r="R485" i="3"/>
  <c r="R652" i="3"/>
  <c r="R140" i="3"/>
  <c r="R307" i="3"/>
  <c r="R1121" i="3"/>
  <c r="R889" i="3"/>
  <c r="R1208" i="3"/>
  <c r="R990" i="3"/>
  <c r="R926" i="3"/>
  <c r="R870" i="3"/>
  <c r="R957" i="3"/>
  <c r="R1126" i="3"/>
  <c r="R857" i="3"/>
  <c r="R932" i="3"/>
  <c r="R1017" i="3"/>
  <c r="R1020" i="3"/>
  <c r="R1090" i="3"/>
  <c r="R1070" i="3"/>
  <c r="R1165" i="3"/>
  <c r="R104" i="3"/>
  <c r="R369" i="3"/>
  <c r="R1073" i="3"/>
  <c r="R749" i="3"/>
  <c r="R937" i="3"/>
  <c r="R696" i="3"/>
  <c r="R772" i="3"/>
  <c r="R1143" i="3"/>
  <c r="R654" i="3"/>
  <c r="R491" i="3"/>
  <c r="R1008" i="3"/>
  <c r="R442" i="3"/>
  <c r="R1185" i="3"/>
  <c r="R853" i="3"/>
  <c r="R1076" i="3"/>
  <c r="R505" i="3"/>
  <c r="R232" i="3"/>
  <c r="R497" i="3"/>
  <c r="R698" i="3"/>
  <c r="R871" i="3"/>
  <c r="R553" i="3"/>
  <c r="R41" i="3"/>
  <c r="R219" i="3"/>
  <c r="R1074" i="3"/>
  <c r="R735" i="3"/>
  <c r="R591" i="3"/>
  <c r="R79" i="3"/>
  <c r="R261" i="3"/>
  <c r="R428" i="3"/>
  <c r="R595" i="3"/>
  <c r="R874" i="3"/>
  <c r="R1047" i="3"/>
  <c r="R146" i="3"/>
  <c r="R217" i="3"/>
  <c r="R391" i="3"/>
  <c r="R558" i="3"/>
  <c r="R61" i="3"/>
  <c r="R228" i="3"/>
  <c r="R395" i="3"/>
  <c r="R1122" i="3"/>
  <c r="R783" i="3"/>
  <c r="R465" i="3"/>
  <c r="R639" i="3"/>
  <c r="R127" i="3"/>
  <c r="R294" i="3"/>
  <c r="R309" i="3"/>
  <c r="R476" i="3"/>
  <c r="R643" i="3"/>
  <c r="R131" i="3"/>
  <c r="R922" i="3"/>
  <c r="R1095" i="3"/>
  <c r="R338" i="3"/>
  <c r="R265" i="3"/>
  <c r="R439" i="3"/>
  <c r="R94" i="3"/>
  <c r="R109" i="3"/>
  <c r="R276" i="3"/>
  <c r="R443" i="3"/>
  <c r="R226" i="3"/>
  <c r="R722" i="3"/>
  <c r="R895" i="3"/>
  <c r="R577" i="3"/>
  <c r="R65" i="3"/>
  <c r="R239" i="3"/>
  <c r="R406" i="3"/>
  <c r="R421" i="3"/>
  <c r="R588" i="3"/>
  <c r="R76" i="3"/>
  <c r="R243" i="3"/>
  <c r="R993" i="3"/>
  <c r="R1117" i="3"/>
  <c r="R798" i="3"/>
  <c r="R963" i="3"/>
  <c r="R804" i="3"/>
  <c r="R966" i="3"/>
  <c r="R961" i="3"/>
  <c r="R1069" i="3"/>
  <c r="R828" i="3"/>
  <c r="R689" i="3"/>
  <c r="R1209" i="3"/>
  <c r="R186" i="3"/>
  <c r="R942" i="3"/>
  <c r="R1037" i="3"/>
  <c r="R1205" i="3"/>
  <c r="R897" i="3"/>
  <c r="R809" i="3"/>
  <c r="R708" i="3"/>
  <c r="R887" i="3"/>
  <c r="R235" i="3"/>
  <c r="R880" i="3"/>
  <c r="R1134" i="3"/>
  <c r="R1206" i="3"/>
  <c r="R725" i="3"/>
  <c r="R1012" i="3"/>
  <c r="R249" i="3"/>
  <c r="R608" i="3"/>
  <c r="R241" i="3"/>
  <c r="R1146" i="3"/>
  <c r="R807" i="3"/>
  <c r="R489" i="3"/>
  <c r="R667" i="3"/>
  <c r="R155" i="3"/>
  <c r="R1010" i="3"/>
  <c r="R1183" i="3"/>
  <c r="R353" i="3"/>
  <c r="R527" i="3"/>
  <c r="R15" i="3"/>
  <c r="R182" i="3"/>
  <c r="R197" i="3"/>
  <c r="R364" i="3"/>
  <c r="R531" i="3"/>
  <c r="R19" i="3"/>
  <c r="R810" i="3"/>
  <c r="R983" i="3"/>
  <c r="R665" i="3"/>
  <c r="R153" i="3"/>
  <c r="R327" i="3"/>
  <c r="R494" i="3"/>
  <c r="R509" i="3"/>
  <c r="R676" i="3"/>
  <c r="R164" i="3"/>
  <c r="R331" i="3"/>
  <c r="R1058" i="3"/>
  <c r="R192" i="3"/>
  <c r="R719" i="3"/>
  <c r="R401" i="3"/>
  <c r="R575" i="3"/>
  <c r="R63" i="3"/>
  <c r="R245" i="3"/>
  <c r="R412" i="3"/>
  <c r="R579" i="3"/>
  <c r="R67" i="3"/>
  <c r="R858" i="3"/>
  <c r="R1031" i="3"/>
  <c r="R82" i="3"/>
  <c r="R201" i="3"/>
  <c r="R375" i="3"/>
  <c r="R542" i="3"/>
  <c r="R30" i="3"/>
  <c r="R45" i="3"/>
  <c r="R212" i="3"/>
  <c r="R379" i="3"/>
  <c r="R1170" i="3"/>
  <c r="R605" i="3"/>
  <c r="R831" i="3"/>
  <c r="R513" i="3"/>
  <c r="R687" i="3"/>
  <c r="R175" i="3"/>
  <c r="R342" i="3"/>
  <c r="R357" i="3"/>
  <c r="R524" i="3"/>
  <c r="R179" i="3"/>
  <c r="R929" i="3"/>
  <c r="R1053" i="3"/>
  <c r="R822" i="3"/>
  <c r="R814" i="3"/>
  <c r="R909" i="3"/>
  <c r="R1097" i="3"/>
  <c r="R769" i="3"/>
  <c r="R1156" i="3"/>
  <c r="R1014" i="3"/>
  <c r="R752" i="3"/>
  <c r="R1101" i="3"/>
  <c r="R1154" i="3"/>
  <c r="R1082" i="3"/>
  <c r="R288" i="3"/>
  <c r="R743" i="3"/>
  <c r="R425" i="3"/>
  <c r="R603" i="3"/>
  <c r="R91" i="3"/>
  <c r="R946" i="3"/>
  <c r="R1119" i="3"/>
  <c r="R434" i="3"/>
  <c r="R289" i="3"/>
  <c r="R463" i="3"/>
  <c r="R630" i="3"/>
  <c r="R133" i="3"/>
  <c r="R300" i="3"/>
  <c r="R746" i="3"/>
  <c r="R919" i="3"/>
  <c r="R601" i="3"/>
  <c r="R89" i="3"/>
  <c r="R263" i="3"/>
  <c r="R445" i="3"/>
  <c r="R612" i="3"/>
  <c r="R100" i="3"/>
  <c r="R267" i="3"/>
  <c r="R994" i="3"/>
  <c r="R1167" i="3"/>
  <c r="R337" i="3"/>
  <c r="R511" i="3"/>
  <c r="R678" i="3"/>
  <c r="R181" i="3"/>
  <c r="R348" i="3"/>
  <c r="R794" i="3"/>
  <c r="R967" i="3"/>
  <c r="R137" i="3"/>
  <c r="R311" i="3"/>
  <c r="R478" i="3"/>
  <c r="R493" i="3"/>
  <c r="R660" i="3"/>
  <c r="R148" i="3"/>
  <c r="R315" i="3"/>
  <c r="R1106" i="3"/>
  <c r="R767" i="3"/>
  <c r="R623" i="3"/>
  <c r="R111" i="3"/>
  <c r="R278" i="3"/>
  <c r="R293" i="3"/>
  <c r="R460" i="3"/>
  <c r="R115" i="3"/>
  <c r="R835" i="3"/>
  <c r="R707" i="3"/>
  <c r="R1203" i="3"/>
  <c r="R702" i="3"/>
  <c r="R1182" i="3"/>
  <c r="R774" i="3"/>
  <c r="R705" i="3"/>
  <c r="R829" i="3"/>
  <c r="R1188" i="3"/>
  <c r="R716" i="3"/>
  <c r="R694" i="3"/>
  <c r="R781" i="3"/>
  <c r="R969" i="3"/>
  <c r="R96" i="3"/>
  <c r="R770" i="3"/>
  <c r="R1092" i="3"/>
  <c r="R569" i="3"/>
  <c r="R886" i="3"/>
  <c r="R878" i="3"/>
  <c r="R973" i="3"/>
  <c r="R1161" i="3"/>
  <c r="R884" i="3"/>
  <c r="R906" i="3"/>
  <c r="R898" i="3"/>
  <c r="R1018" i="3"/>
  <c r="R32" i="3"/>
  <c r="R361" i="3"/>
  <c r="R539" i="3"/>
  <c r="R27" i="3"/>
  <c r="R882" i="3"/>
  <c r="R1055" i="3"/>
  <c r="R178" i="3"/>
  <c r="R225" i="3"/>
  <c r="R399" i="3"/>
  <c r="R566" i="3"/>
  <c r="R69" i="3"/>
  <c r="R236" i="3"/>
  <c r="R669" i="3"/>
  <c r="R855" i="3"/>
  <c r="R537" i="3"/>
  <c r="R25" i="3"/>
  <c r="R199" i="3"/>
  <c r="R381" i="3"/>
  <c r="R548" i="3"/>
  <c r="R36" i="3"/>
  <c r="R203" i="3"/>
  <c r="R930" i="3"/>
  <c r="R1103" i="3"/>
  <c r="R370" i="3"/>
  <c r="R273" i="3"/>
  <c r="R447" i="3"/>
  <c r="R614" i="3"/>
  <c r="R102" i="3"/>
  <c r="R117" i="3"/>
  <c r="R284" i="3"/>
  <c r="R451" i="3"/>
  <c r="R258" i="3"/>
  <c r="R730" i="3"/>
  <c r="R903" i="3"/>
  <c r="R585" i="3"/>
  <c r="R73" i="3"/>
  <c r="R247" i="3"/>
  <c r="R414" i="3"/>
  <c r="R429" i="3"/>
  <c r="R596" i="3"/>
  <c r="R84" i="3"/>
  <c r="R251" i="3"/>
  <c r="R1042" i="3"/>
  <c r="R128" i="3"/>
  <c r="R703" i="3"/>
  <c r="R385" i="3"/>
  <c r="R559" i="3"/>
  <c r="R47" i="3"/>
  <c r="R214" i="3"/>
  <c r="R229" i="3"/>
  <c r="R396" i="3"/>
  <c r="R563" i="3"/>
  <c r="R51" i="3"/>
  <c r="S13" i="3" a="1"/>
  <c r="S204" i="3" l="1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T798" i="3" s="1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T864" i="3" s="1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T501" i="3" s="1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U13" i="3" a="1"/>
  <c r="X13" i="3" a="1"/>
  <c r="T1133" i="3" l="1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417" i="3"/>
  <c r="Z418" i="3" s="1"/>
  <c r="Y113" i="3"/>
  <c r="Z114" i="3" s="1"/>
  <c r="Y1213" i="3"/>
  <c r="Y1021" i="3" l="1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W16" i="3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U10" i="3" l="1"/>
  <c r="X10" i="3"/>
  <c r="W733" i="3"/>
  <c r="Z733" i="3"/>
  <c r="W734" i="3"/>
</calcChain>
</file>

<file path=xl/sharedStrings.xml><?xml version="1.0" encoding="utf-8"?>
<sst xmlns="http://schemas.openxmlformats.org/spreadsheetml/2006/main" count="76" uniqueCount="64">
  <si>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</si>
  <si>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</si>
  <si>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</si>
  <si>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</si>
  <si>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</si>
  <si>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</si>
  <si>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</si>
  <si>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</si>
  <si>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</si>
  <si>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</si>
  <si>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</si>
  <si>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</si>
  <si>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</si>
  <si>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</si>
  <si>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</si>
  <si>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</si>
  <si>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</si>
  <si>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</si>
  <si>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</si>
  <si>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</si>
  <si>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</si>
  <si>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</si>
  <si>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</si>
  <si>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</si>
  <si>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</si>
  <si>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</si>
  <si>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</si>
  <si>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</si>
  <si>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</si>
  <si>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</si>
  <si>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</si>
  <si>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</si>
  <si>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</si>
  <si>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</si>
  <si>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</si>
  <si>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</si>
  <si>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</si>
  <si>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</si>
  <si>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</si>
  <si>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</si>
  <si>
    <t>유동성프리미엄 산출자료</t>
    <phoneticPr fontId="2" type="noConversion"/>
  </si>
  <si>
    <t>구분</t>
    <phoneticPr fontId="2" type="noConversion"/>
  </si>
  <si>
    <t>특수채</t>
    <phoneticPr fontId="2" type="noConversion"/>
  </si>
  <si>
    <t>금융채</t>
    <phoneticPr fontId="2" type="noConversion"/>
  </si>
  <si>
    <t>외화채</t>
    <phoneticPr fontId="2" type="noConversion"/>
  </si>
  <si>
    <t>개인대출</t>
    <phoneticPr fontId="2" type="noConversion"/>
  </si>
  <si>
    <t>계</t>
    <phoneticPr fontId="2" type="noConversion"/>
  </si>
  <si>
    <t>회사채 등</t>
    <phoneticPr fontId="2" type="noConversion"/>
  </si>
  <si>
    <t>위험스프레드
(A, bp)</t>
    <phoneticPr fontId="2" type="noConversion"/>
  </si>
  <si>
    <t>신용스프레드
(B, bp)</t>
    <phoneticPr fontId="2" type="noConversion"/>
  </si>
  <si>
    <t>자산별LP
(C=A-B, bp)</t>
    <phoneticPr fontId="2" type="noConversion"/>
  </si>
  <si>
    <t>장기선도금리 산출자료</t>
    <phoneticPr fontId="2" type="noConversion"/>
  </si>
  <si>
    <t>기대인플레이션</t>
    <phoneticPr fontId="2" type="noConversion"/>
  </si>
  <si>
    <t>장기선도
기준금리</t>
    <phoneticPr fontId="2" type="noConversion"/>
  </si>
  <si>
    <t>적용년도
(전년도 산출)</t>
    <phoneticPr fontId="2" type="noConversion"/>
  </si>
  <si>
    <t>△ 0.15%</t>
    <phoneticPr fontId="2" type="noConversion"/>
  </si>
  <si>
    <t>전년도 대비 조정</t>
    <phoneticPr fontId="2" type="noConversion"/>
  </si>
  <si>
    <t>△ 0.25%</t>
    <phoneticPr fontId="2" type="noConversion"/>
  </si>
  <si>
    <t>장기선도금리
(LTFR)</t>
    <phoneticPr fontId="2" type="noConversion"/>
  </si>
  <si>
    <t>자산비중
(D)</t>
    <phoneticPr fontId="2" type="noConversion"/>
  </si>
  <si>
    <t>가중평균
(C * D, bp)</t>
    <phoneticPr fontId="2" type="noConversion"/>
  </si>
  <si>
    <t>실질이자율 
장기평균</t>
    <phoneticPr fontId="2" type="noConversion"/>
  </si>
  <si>
    <t>※ 실질이자율 = { 명목이자율(=CD금리(91일물)) - 물가상승률 } / ( 1 + 물가상승률 )</t>
    <phoneticPr fontId="2" type="noConversion"/>
  </si>
  <si>
    <t>※ 실질이자율의 장기평균 : 각 연도별 국내 무위험 지표금리(CD91일물)에 
물가상승률을 차감조정한 값을 지수평활법을 통해 가중평균하여 산출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</si>
</sst>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22" x14ac:knownFonts="1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  <font>
      <sz val="10"/>
      <color theme="0" tint="-4.9989318521683403E-2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lightUp"/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9" fillId="0" borderId="12" xfId="0" applyFont="1" applyBorder="1">
      <alignment vertical="center"/>
    </xf>
    <xf numFmtId="179" fontId="8" fillId="0" borderId="2" xfId="0" applyNumberFormat="1" applyFont="1" applyFill="1" applyBorder="1" applyAlignment="1">
      <alignment horizontal="center" vertical="center"/>
    </xf>
    <xf numFmtId="10" fontId="8" fillId="0" borderId="2" xfId="5" applyNumberFormat="1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182" fontId="8" fillId="0" borderId="2" xfId="0" applyNumberFormat="1" applyFont="1" applyBorder="1" applyAlignment="1">
      <alignment horizontal="center" vertical="center"/>
    </xf>
    <xf numFmtId="182" fontId="19" fillId="15" borderId="2" xfId="0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10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0" fontId="19" fillId="15" borderId="2" xfId="0" applyNumberFormat="1" applyFont="1" applyFill="1" applyBorder="1" applyAlignment="1">
      <alignment horizontal="center" vertic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0" fontId="0" fillId="0" borderId="1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shrinkToFit="1"/>
    </xf>
    <xf numFmtId="0" fontId="7" fillId="12" borderId="8" xfId="0" applyFont="1" applyFill="1" applyBorder="1" applyAlignment="1">
      <alignment horizontal="center" vertical="center" shrinkToFit="1"/>
    </xf>
    <xf numFmtId="0" fontId="21" fillId="0" borderId="3" xfId="0" applyFont="1" applyBorder="1" applyAlignment="1">
      <alignment horizontal="center" vertical="center"/>
    </xf>
  </cellXfs>
  <cellStyles count="10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보통 2" xfId="9" xr:uid="{588A7036-7D8B-4214-ABFE-C628FC0D4DD9}"/>
    <cellStyle name="쉼표 [0] 2" xfId="8" xr:uid="{9EC669DA-D8B4-4B23-9141-3FD1B6D54B07}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44824</xdr:colOff>
      <xdr:row>34</xdr:row>
      <xdr:rowOff>10886</xdr:rowOff>
    </xdr:from>
    <xdr:to>
      <xdr:col>9</xdr:col>
      <xdr:colOff>33618</xdr:colOff>
      <xdr:row>35</xdr:row>
      <xdr:rowOff>5443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E6BD73B6-1D11-46B2-9829-CD1760562123}"/>
            </a:ext>
          </a:extLst>
        </xdr:cNvPr>
        <xdr:cNvSpPr/>
      </xdr:nvSpPr>
      <xdr:spPr>
        <a:xfrm>
          <a:off x="6264089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11206</xdr:colOff>
      <xdr:row>46</xdr:row>
      <xdr:rowOff>10886</xdr:rowOff>
    </xdr:from>
    <xdr:to>
      <xdr:col>9</xdr:col>
      <xdr:colOff>0</xdr:colOff>
      <xdr:row>47</xdr:row>
      <xdr:rowOff>5443</xdr:rowOff>
    </xdr:to>
    <xdr:sp macro="" textlink="">
      <xdr:nvSpPr>
        <xdr:cNvPr id="3" name="화살표: 오른쪽 2">
          <a:extLst>
            <a:ext uri="{FF2B5EF4-FFF2-40B4-BE49-F238E27FC236}">
              <a16:creationId xmlns:a16="http://schemas.microsoft.com/office/drawing/2014/main" id="{694B77D4-2214-4CDD-8389-019EF8E95A65}"/>
            </a:ext>
          </a:extLst>
        </xdr:cNvPr>
        <xdr:cNvSpPr/>
      </xdr:nvSpPr>
      <xdr:spPr>
        <a:xfrm>
          <a:off x="6230471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1214"/>
  <sheetViews>
    <sheetView tabSelected="1" zoomScale="85" zoomScaleNormal="85" workbookViewId="0">
      <selection activeCell="E17" sqref="E17"/>
    </sheetView>
  </sheetViews>
  <sheetFormatPr defaultRowHeight="16.5" x14ac:dyDescent="0.3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1" bestFit="1" customWidth="1"/>
    <col min="11" max="11" width="10.25" style="41" customWidth="1"/>
    <col min="12" max="12" width="11.75" style="41" customWidth="1"/>
    <col min="13" max="13" width="11.625" style="41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6" width="15.75" customWidth="1"/>
    <col min="27" max="27" width="10.25" customWidth="1"/>
  </cols>
  <sheetData>
    <row r="1" spans="1:29" ht="16.899999999999999" customHeight="1" x14ac:dyDescent="0.25">
      <c r="A1" s="35"/>
      <c r="B1" t="s">
        <v>18</v>
      </c>
      <c r="D1" s="78" t="s">
        <v>30</v>
      </c>
      <c r="E1" s="79"/>
      <c r="F1" s="79"/>
      <c r="G1" s="79"/>
      <c r="H1" s="79"/>
      <c r="J1" s="110" t="s">
        <v>38</v>
      </c>
      <c r="K1" s="110"/>
      <c r="L1" s="110"/>
      <c r="M1" s="110"/>
      <c r="O1" s="111" t="s">
        <v>12</v>
      </c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9" ht="13.9" customHeight="1" x14ac:dyDescent="0.3">
      <c r="E2" s="1"/>
      <c r="N2" s="38"/>
    </row>
    <row r="3" spans="1:29" ht="17.45" customHeight="1" x14ac:dyDescent="0.3">
      <c r="D3" s="14"/>
      <c r="E3" s="80" t="s">
        <v>9</v>
      </c>
      <c r="F3" s="83"/>
      <c r="G3" s="83"/>
      <c r="H3" s="70"/>
      <c r="J3" s="47"/>
      <c r="K3" s="117" t="s">
        <v>39</v>
      </c>
      <c r="L3" s="117"/>
      <c r="M3" s="117"/>
      <c r="N3" s="39"/>
      <c r="O3" s="113"/>
      <c r="P3" s="113"/>
      <c r="Q3" s="90" t="s">
        <v>24</v>
      </c>
      <c r="R3" s="91"/>
      <c r="S3" s="80" t="s">
        <v>19</v>
      </c>
      <c r="T3" s="70"/>
      <c r="U3" s="70" t="s">
        <v>20</v>
      </c>
      <c r="V3" s="71"/>
      <c r="W3" s="71"/>
      <c r="X3" s="70" t="s">
        <v>27</v>
      </c>
      <c r="Y3" s="71"/>
      <c r="Z3" s="71"/>
    </row>
    <row r="4" spans="1:29" s="1" customFormat="1" ht="13.9" customHeight="1" x14ac:dyDescent="0.25">
      <c r="D4" s="4" t="s">
        <v>0</v>
      </c>
      <c r="E4" s="84">
        <v>46142</v>
      </c>
      <c r="F4" s="85"/>
      <c r="G4" s="85"/>
      <c r="H4" s="86"/>
      <c r="I4" s="3"/>
      <c r="J4" s="48" t="s">
        <v>31</v>
      </c>
      <c r="K4" s="118">
        <f>E4</f>
        <v>46142</v>
      </c>
      <c r="L4" s="119"/>
      <c r="M4" s="120"/>
      <c r="N4" s="40"/>
      <c r="O4" s="114" t="s">
        <v>0</v>
      </c>
      <c r="P4" s="114"/>
      <c r="Q4" s="81">
        <f>E4</f>
        <v>46142</v>
      </c>
      <c r="R4" s="73"/>
      <c r="S4" s="81">
        <f>E4</f>
        <v>46142</v>
      </c>
      <c r="T4" s="73"/>
      <c r="U4" s="72">
        <f>E4</f>
        <v>46142</v>
      </c>
      <c r="V4" s="72"/>
      <c r="W4" s="73"/>
      <c r="X4" s="72">
        <f>E4</f>
        <v>46142</v>
      </c>
      <c r="Y4" s="72"/>
      <c r="Z4" s="73"/>
      <c r="AC4" s="37"/>
    </row>
    <row r="5" spans="1:29" s="1" customFormat="1" ht="13.9" customHeight="1" x14ac:dyDescent="0.25">
      <c r="D5" s="5" t="s">
        <v>6</v>
      </c>
      <c r="E5" s="87">
        <v>0.1</v>
      </c>
      <c r="F5" s="88"/>
      <c r="G5" s="88"/>
      <c r="H5" s="89"/>
      <c r="I5" s="3"/>
      <c r="J5" s="48" t="s">
        <v>32</v>
      </c>
      <c r="K5" s="115">
        <v>0.1</v>
      </c>
      <c r="L5" s="115"/>
      <c r="M5" s="116"/>
      <c r="N5" s="40"/>
      <c r="O5" s="114" t="s">
        <v>2</v>
      </c>
      <c r="P5" s="114"/>
      <c r="Q5" s="92" t="s">
        <v>26</v>
      </c>
      <c r="R5" s="93"/>
      <c r="S5" s="82">
        <v>23</v>
      </c>
      <c r="T5" s="74"/>
      <c r="U5" s="74">
        <v>23</v>
      </c>
      <c r="V5" s="75"/>
      <c r="W5" s="75"/>
      <c r="X5" s="74">
        <v>23</v>
      </c>
      <c r="Y5" s="75"/>
      <c r="Z5" s="75"/>
      <c r="AC5" s="37"/>
    </row>
    <row r="6" spans="1:29" ht="13.9" customHeight="1" x14ac:dyDescent="0.25">
      <c r="D6" s="5" t="s">
        <v>7</v>
      </c>
      <c r="E6" s="87">
        <v>2</v>
      </c>
      <c r="F6" s="88"/>
      <c r="G6" s="88"/>
      <c r="H6" s="89"/>
      <c r="J6" s="48" t="s">
        <v>33</v>
      </c>
      <c r="K6" s="115">
        <v>2</v>
      </c>
      <c r="L6" s="115"/>
      <c r="M6" s="116"/>
      <c r="N6" s="38"/>
      <c r="O6" s="98" t="s">
        <v>3</v>
      </c>
      <c r="P6" s="98"/>
      <c r="Q6" s="94"/>
      <c r="R6" s="95"/>
      <c r="S6" s="82">
        <v>60</v>
      </c>
      <c r="T6" s="74"/>
      <c r="U6" s="74">
        <v>60</v>
      </c>
      <c r="V6" s="75"/>
      <c r="W6" s="75"/>
      <c r="X6" s="74">
        <v>60</v>
      </c>
      <c r="Y6" s="75"/>
      <c r="Z6" s="75"/>
      <c r="AC6" s="37"/>
    </row>
    <row r="7" spans="1:29" ht="13.9" customHeight="1" x14ac:dyDescent="0.25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8" t="s">
        <v>34</v>
      </c>
      <c r="K7" s="48" t="s">
        <v>35</v>
      </c>
      <c r="L7" s="48" t="s">
        <v>36</v>
      </c>
      <c r="M7" s="48" t="s">
        <v>37</v>
      </c>
      <c r="N7" s="38"/>
      <c r="O7" s="98" t="s">
        <v>4</v>
      </c>
      <c r="P7" s="98"/>
      <c r="Q7" s="94"/>
      <c r="R7" s="95"/>
      <c r="S7" s="104">
        <v>4.2999999999999997E-2</v>
      </c>
      <c r="T7" s="76"/>
      <c r="U7" s="76">
        <f>S7</f>
        <v>4.2999999999999997E-2</v>
      </c>
      <c r="V7" s="77"/>
      <c r="W7" s="77"/>
      <c r="X7" s="76">
        <f>S7</f>
        <v>4.2999999999999997E-2</v>
      </c>
      <c r="Y7" s="77"/>
      <c r="Z7" s="77"/>
      <c r="AC7" s="37"/>
    </row>
    <row r="8" spans="1:29" ht="13.9" customHeight="1" x14ac:dyDescent="0.25">
      <c r="D8" s="7">
        <v>0.25</v>
      </c>
      <c r="E8" s="34">
        <v>2.622E-2</v>
      </c>
      <c r="F8" s="19">
        <f t="array" ref="F8:F23">SmithWilsonYTM(E23,E5,D8:D23,E8:E23,E6,D8:D23)</f>
        <v>2.6134437653911546E-2</v>
      </c>
      <c r="G8" s="19">
        <f>LN(EXP(F8)+$V$11)</f>
        <v>3.0363271402315688E-2</v>
      </c>
      <c r="H8" s="19">
        <f>LN(EXP(F8)+$Y$11)</f>
        <v>2.9518934085520657E-2</v>
      </c>
      <c r="J8" s="42">
        <v>0.25</v>
      </c>
      <c r="K8" s="49">
        <f t="array" ref="K8:K24">SmithWilsonYTM(E23,E5,D8:D23,E8:E23,E6,J8:J24)</f>
        <v>2.6134437653911546E-2</v>
      </c>
      <c r="L8" s="49">
        <f>LN(EXP(K8)+$V$11)</f>
        <v>3.0363271402315688E-2</v>
      </c>
      <c r="M8" s="49">
        <f>LN(EXP(K8)+$Y$11)</f>
        <v>2.9518934085520657E-2</v>
      </c>
      <c r="N8" s="38"/>
      <c r="O8" s="98" t="s">
        <v>1</v>
      </c>
      <c r="P8" s="98"/>
      <c r="Q8" s="94"/>
      <c r="R8" s="95"/>
      <c r="S8" s="99">
        <v>1</v>
      </c>
      <c r="T8" s="62"/>
      <c r="U8" s="62">
        <v>1</v>
      </c>
      <c r="V8" s="63"/>
      <c r="W8" s="63"/>
      <c r="X8" s="62">
        <v>1</v>
      </c>
      <c r="Y8" s="63"/>
      <c r="Z8" s="63"/>
      <c r="AC8" s="37"/>
    </row>
    <row r="9" spans="1:29" ht="13.9" customHeight="1" x14ac:dyDescent="0.25">
      <c r="D9" s="8">
        <v>0.5</v>
      </c>
      <c r="E9" s="9">
        <v>2.7019999999999999E-2</v>
      </c>
      <c r="F9" s="19">
        <v>2.6839107318922417E-2</v>
      </c>
      <c r="G9" s="19">
        <f t="shared" ref="G9:G23" si="0">LN(EXP(F9)+$V$11)</f>
        <v>3.106496847146166E-2</v>
      </c>
      <c r="H9" s="19">
        <f t="shared" ref="H9:H23" si="1">LN(EXP(F9)+$Y$11)</f>
        <v>3.0221223665797884E-2</v>
      </c>
      <c r="J9" s="42">
        <v>0.5</v>
      </c>
      <c r="K9" s="49">
        <v>2.6839107318922417E-2</v>
      </c>
      <c r="L9" s="49">
        <f>LN(EXP(K9)+$V$11)</f>
        <v>3.106496847146166E-2</v>
      </c>
      <c r="M9" s="49">
        <f t="shared" ref="M9:M24" si="2">LN(EXP(K9)+$Y$11)</f>
        <v>3.0221223665797884E-2</v>
      </c>
      <c r="O9" s="105" t="s">
        <v>11</v>
      </c>
      <c r="P9" s="106"/>
      <c r="Q9" s="94"/>
      <c r="R9" s="95"/>
      <c r="S9" s="100">
        <f>SmithWilson_ALPHA_UB_LB(S7,J8:J22,K8:K22,S6,S8*0.0001)</f>
        <v>0.1093101290106557</v>
      </c>
      <c r="T9" s="64"/>
      <c r="U9" s="64">
        <f>SmithWilson_ALPHA_UB_LB(U7,$J8:$J22,$L8:$L22,U6,U8*0.0001)</f>
        <v>8.1731512141499457E-2</v>
      </c>
      <c r="V9" s="65"/>
      <c r="W9" s="65"/>
      <c r="X9" s="64">
        <f>SmithWilson_ALPHA_UB_LB(X7,$J8:$J22,$M8:$M22,X6,X8*0.0001)</f>
        <v>9.0157160592090196E-2</v>
      </c>
      <c r="Y9" s="65"/>
      <c r="Z9" s="65"/>
      <c r="AC9" s="37"/>
    </row>
    <row r="10" spans="1:29" ht="13.9" customHeight="1" x14ac:dyDescent="0.25">
      <c r="D10" s="8">
        <v>0.75</v>
      </c>
      <c r="E10" s="9">
        <v>2.81E-2</v>
      </c>
      <c r="F10" s="19">
        <v>2.781673835031262E-2</v>
      </c>
      <c r="G10" s="19">
        <f t="shared" si="0"/>
        <v>3.2038478892843857E-2</v>
      </c>
      <c r="H10" s="19">
        <f t="shared" si="1"/>
        <v>3.1195555427968234E-2</v>
      </c>
      <c r="J10" s="42">
        <v>0.75</v>
      </c>
      <c r="K10" s="49">
        <v>2.781673835031262E-2</v>
      </c>
      <c r="L10" s="49">
        <f t="shared" ref="L10:L24" si="3">LN(EXP(K10)+$V$11)</f>
        <v>3.2038478892843857E-2</v>
      </c>
      <c r="M10" s="49">
        <f t="shared" si="2"/>
        <v>3.1195555427968234E-2</v>
      </c>
      <c r="O10" s="105" t="s">
        <v>21</v>
      </c>
      <c r="P10" s="106"/>
      <c r="Q10" s="94"/>
      <c r="R10" s="95"/>
      <c r="S10" s="102" t="str">
        <f>IF(ROUND(ABS((VLOOKUP($S$6*12-1,$P$13:$T$1213,5,0)+VLOOKUP($S$6*12,$P$13:$T$1213,5,0))/2-$S$7),4)&lt;=0.0001,"PASS","FAIL")</f>
        <v>PASS</v>
      </c>
      <c r="T10" s="103"/>
      <c r="U10" s="66" t="str">
        <f>IF(ROUND(ABS((VLOOKUP($U$6*12-1,$P$13:$V$1213,7,0)+VLOOKUP($U$6*12,$P$13:$V$1213,7,0))/2-$U$7),4)&lt;=0.0001,"PASS","FAIL")</f>
        <v>PASS</v>
      </c>
      <c r="V10" s="66"/>
      <c r="W10" s="67"/>
      <c r="X10" s="66" t="str">
        <f>IF(ROUND(ABS((VLOOKUP($X$6*12-1,$P$13:$Y$1213,10,0)+VLOOKUP($X$6*12,$P$13:$Y$1213,10,0))/2-$X$7),4)&lt;=0.0001,"PASS","FAIL")</f>
        <v>PASS</v>
      </c>
      <c r="Y10" s="66"/>
      <c r="Z10" s="67"/>
      <c r="AC10" s="37"/>
    </row>
    <row r="11" spans="1:29" ht="13.9" customHeight="1" x14ac:dyDescent="0.25">
      <c r="D11" s="8">
        <v>1</v>
      </c>
      <c r="E11" s="9">
        <v>3.0200000000000001E-2</v>
      </c>
      <c r="F11" s="19">
        <v>2.9997948859199732E-2</v>
      </c>
      <c r="G11" s="19">
        <f t="shared" si="0"/>
        <v>3.4210510279791814E-2</v>
      </c>
      <c r="H11" s="19">
        <f t="shared" si="1"/>
        <v>3.3369416453580165E-2</v>
      </c>
      <c r="J11" s="42">
        <v>1</v>
      </c>
      <c r="K11" s="49">
        <v>2.9997948859199732E-2</v>
      </c>
      <c r="L11" s="49">
        <f t="shared" si="3"/>
        <v>3.4210510279791814E-2</v>
      </c>
      <c r="M11" s="49">
        <f t="shared" si="2"/>
        <v>3.3369416453580165E-2</v>
      </c>
      <c r="O11" s="105" t="s">
        <v>22</v>
      </c>
      <c r="P11" s="106"/>
      <c r="Q11" s="96"/>
      <c r="R11" s="97"/>
      <c r="S11" s="101">
        <v>0</v>
      </c>
      <c r="T11" s="89"/>
      <c r="U11" s="15" t="s">
        <v>23</v>
      </c>
      <c r="V11" s="68">
        <v>4.3499999999999997E-3</v>
      </c>
      <c r="W11" s="69"/>
      <c r="X11" s="32" t="s">
        <v>28</v>
      </c>
      <c r="Y11" s="68">
        <v>3.48E-3</v>
      </c>
      <c r="Z11" s="69"/>
      <c r="AC11" s="37"/>
    </row>
    <row r="12" spans="1:29" ht="13.9" customHeight="1" x14ac:dyDescent="0.25">
      <c r="D12" s="8">
        <v>1.5</v>
      </c>
      <c r="E12" s="9">
        <v>3.2680000000000001E-2</v>
      </c>
      <c r="F12" s="19">
        <v>3.2473165537439043E-2</v>
      </c>
      <c r="G12" s="19">
        <f t="shared" si="0"/>
        <v>3.6675334699916851E-2</v>
      </c>
      <c r="H12" s="19">
        <f t="shared" si="1"/>
        <v>3.5836312338313255E-2</v>
      </c>
      <c r="J12" s="42">
        <v>1.5</v>
      </c>
      <c r="K12" s="49">
        <v>3.2473165537439043E-2</v>
      </c>
      <c r="L12" s="49">
        <f t="shared" si="3"/>
        <v>3.6675334699916851E-2</v>
      </c>
      <c r="M12" s="49">
        <f t="shared" si="2"/>
        <v>3.5836312338313255E-2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 t="s">
        <v>25</v>
      </c>
      <c r="X12" s="32" t="s">
        <v>13</v>
      </c>
      <c r="Y12" s="6" t="s">
        <v>5</v>
      </c>
      <c r="Z12" s="17" t="s">
        <v>25</v>
      </c>
      <c r="AC12" s="37"/>
    </row>
    <row r="13" spans="1:29" ht="13.9" customHeight="1" x14ac:dyDescent="0.25">
      <c r="D13" s="8">
        <v>2</v>
      </c>
      <c r="E13" s="9">
        <v>3.4849999999999999E-2</v>
      </c>
      <c r="F13" s="19">
        <v>3.4652322905115128E-2</v>
      </c>
      <c r="G13" s="19">
        <f t="shared" si="0"/>
        <v>3.8845364000460535E-2</v>
      </c>
      <c r="H13" s="19">
        <f t="shared" si="1"/>
        <v>3.8008161129439388E-2</v>
      </c>
      <c r="J13" s="42">
        <v>2</v>
      </c>
      <c r="K13" s="49">
        <v>3.4652322905115128E-2</v>
      </c>
      <c r="L13" s="49">
        <f t="shared" si="3"/>
        <v>3.8845364000460535E-2</v>
      </c>
      <c r="M13" s="49">
        <f t="shared" si="2"/>
        <v>3.8008161129439388E-2</v>
      </c>
      <c r="O13" s="12">
        <v>0</v>
      </c>
      <c r="P13" s="13">
        <v>0</v>
      </c>
      <c r="Q13" s="31">
        <f t="array" ref="Q13:Q1214">Cont2Discrete(SmithWilsonYTM(E23,E5,D8:D23,E8:E23,E6,O13:O1214))</f>
        <v>2.6114794749664938E-2</v>
      </c>
      <c r="R13" s="30">
        <f>Q14</f>
        <v>2.6158237315825561E-2</v>
      </c>
      <c r="S13" s="22">
        <f t="array" ref="S13:S1214">Cont2Discrete(SmithWilson(S7,S9,J8:J22,K8:K22,O13:O1214))</f>
        <v>2.610193604016553E-2</v>
      </c>
      <c r="T13" s="23">
        <f>S14</f>
        <v>2.6151523880528549E-2</v>
      </c>
      <c r="U13" s="24">
        <f t="array" ref="U13:U1214">Cont2Discrete(SmithWilson(U7,U9,J8:J22,L8:L22,O13:O1214))</f>
        <v>3.0461281880637792E-2</v>
      </c>
      <c r="V13" s="25">
        <f>U14</f>
        <v>3.0506387413022473E-2</v>
      </c>
      <c r="W13" s="26"/>
      <c r="X13" s="24">
        <f t="array" ref="X13:X1214">Cont2Discrete(SmithWilson(X7,X9,J8:J22,M8:M22,O13:O1214))</f>
        <v>2.9589620852481513E-2</v>
      </c>
      <c r="Y13" s="25">
        <f>X14</f>
        <v>2.9635520708128027E-2</v>
      </c>
      <c r="Z13" s="26"/>
      <c r="AA13" s="36"/>
      <c r="AC13" s="37"/>
    </row>
    <row r="14" spans="1:29" ht="13.9" customHeight="1" x14ac:dyDescent="0.25">
      <c r="D14" s="8">
        <v>2.5</v>
      </c>
      <c r="E14" s="9">
        <v>3.5299999999999998E-2</v>
      </c>
      <c r="F14" s="19">
        <v>3.5091102869578381E-2</v>
      </c>
      <c r="G14" s="19">
        <f t="shared" si="0"/>
        <v>3.9282308395390951E-2</v>
      </c>
      <c r="H14" s="19">
        <f t="shared" si="1"/>
        <v>3.8445471408635204E-2</v>
      </c>
      <c r="J14" s="42">
        <v>2.5</v>
      </c>
      <c r="K14" s="49">
        <v>3.5091102869578381E-2</v>
      </c>
      <c r="L14" s="49">
        <f t="shared" si="3"/>
        <v>3.9282308395390951E-2</v>
      </c>
      <c r="M14" s="49">
        <f t="shared" si="2"/>
        <v>3.8445471408635204E-2</v>
      </c>
      <c r="O14" s="12">
        <f t="shared" ref="O14:O77" si="4">P14/12</f>
        <v>8.3333333333333329E-2</v>
      </c>
      <c r="P14" s="13">
        <v>1</v>
      </c>
      <c r="Q14" s="22">
        <v>2.6158237315825561E-2</v>
      </c>
      <c r="R14" s="19">
        <f t="shared" ref="R14:R77" si="5">(1+Q15)^P15/(1+Q14)^P14-1</f>
        <v>2.6401115009876408E-2</v>
      </c>
      <c r="S14" s="22">
        <v>2.6151523880528549E-2</v>
      </c>
      <c r="T14" s="19">
        <f t="shared" ref="T14:T77" si="6">(1+S15)^P15/(1+S14)^P14-1</f>
        <v>2.6403051200053929E-2</v>
      </c>
      <c r="U14" s="24">
        <v>3.0506387413022473E-2</v>
      </c>
      <c r="V14" s="24">
        <f t="shared" ref="V14:V77" si="7">(1+U15)^P15/(1+U14)^P14-1</f>
        <v>3.0751635445545711E-2</v>
      </c>
      <c r="W14" s="23">
        <f>(1+V13)^(1/12)-1</f>
        <v>2.5073314186698781E-3</v>
      </c>
      <c r="X14" s="24">
        <v>2.9635520708128027E-2</v>
      </c>
      <c r="Y14" s="24">
        <f>(1+X15)^P15/(1+X14)^P14-1</f>
        <v>2.9881884357244592E-2</v>
      </c>
      <c r="Z14" s="23">
        <f>(1+Y13)^(1/12)-1</f>
        <v>2.4367036340133819E-3</v>
      </c>
      <c r="AA14" s="36"/>
      <c r="AC14" s="37"/>
    </row>
    <row r="15" spans="1:29" ht="13.9" customHeight="1" x14ac:dyDescent="0.25">
      <c r="D15" s="8">
        <v>3</v>
      </c>
      <c r="E15" s="9">
        <v>3.5920000000000001E-2</v>
      </c>
      <c r="F15" s="19">
        <v>3.5713371534120193E-2</v>
      </c>
      <c r="G15" s="19">
        <f t="shared" si="0"/>
        <v>3.9901975268093866E-2</v>
      </c>
      <c r="H15" s="19">
        <f t="shared" si="1"/>
        <v>3.9065656897696553E-2</v>
      </c>
      <c r="J15" s="42">
        <v>3</v>
      </c>
      <c r="K15" s="49">
        <v>3.5713371534120193E-2</v>
      </c>
      <c r="L15" s="49">
        <f t="shared" si="3"/>
        <v>3.9901975268093866E-2</v>
      </c>
      <c r="M15" s="49">
        <f t="shared" si="2"/>
        <v>3.9065656897696553E-2</v>
      </c>
      <c r="O15" s="12">
        <f t="shared" si="4"/>
        <v>0.16666666666666666</v>
      </c>
      <c r="P15" s="13">
        <v>2</v>
      </c>
      <c r="Q15" s="22">
        <v>2.6279668977970516E-2</v>
      </c>
      <c r="R15" s="19">
        <f t="shared" si="5"/>
        <v>2.6877587977588213E-2</v>
      </c>
      <c r="S15" s="22">
        <v>2.6277279834528766E-2</v>
      </c>
      <c r="T15" s="19">
        <f t="shared" si="6"/>
        <v>2.6882369064996636E-2</v>
      </c>
      <c r="U15" s="24">
        <v>3.0629004134394622E-2</v>
      </c>
      <c r="V15" s="24">
        <f>(1+U16)^P16/(1+U15)^P15-1</f>
        <v>3.1228917947481394E-2</v>
      </c>
      <c r="W15" s="23">
        <f>(1+V14)^(1/12)-1</f>
        <v>2.527211300017207E-3</v>
      </c>
      <c r="X15" s="24">
        <v>2.9758695165056359E-2</v>
      </c>
      <c r="Y15" s="24">
        <f t="shared" ref="Y15:Y78" si="8">(1+X16)^P16/(1+X15)^P15-1</f>
        <v>3.0359536344718885E-2</v>
      </c>
      <c r="Z15" s="23">
        <f t="shared" ref="Z15:Z78" si="9">(1+Y14)^(1/12)-1</f>
        <v>2.4566894186088817E-3</v>
      </c>
      <c r="AA15" s="36"/>
      <c r="AC15" s="37"/>
    </row>
    <row r="16" spans="1:29" ht="13.9" customHeight="1" x14ac:dyDescent="0.25">
      <c r="D16" s="8">
        <v>4</v>
      </c>
      <c r="E16" s="9">
        <v>3.7499999999999999E-2</v>
      </c>
      <c r="F16" s="19">
        <v>3.7331422002615841E-2</v>
      </c>
      <c r="G16" s="19">
        <f t="shared" si="0"/>
        <v>4.1513267984236352E-2</v>
      </c>
      <c r="H16" s="19">
        <f t="shared" si="1"/>
        <v>4.0678296644756744E-2</v>
      </c>
      <c r="J16" s="42">
        <v>4</v>
      </c>
      <c r="K16" s="49">
        <v>3.7331422002615841E-2</v>
      </c>
      <c r="L16" s="49">
        <f t="shared" si="3"/>
        <v>4.1513267984236352E-2</v>
      </c>
      <c r="M16" s="49">
        <f t="shared" si="2"/>
        <v>4.0678296644756744E-2</v>
      </c>
      <c r="O16" s="12">
        <f t="shared" si="4"/>
        <v>0.25</v>
      </c>
      <c r="P16" s="13">
        <v>3</v>
      </c>
      <c r="Q16" s="22">
        <v>2.6478936617861715E-2</v>
      </c>
      <c r="R16" s="19">
        <f t="shared" si="5"/>
        <v>2.751160040683609E-2</v>
      </c>
      <c r="S16" s="22">
        <v>2.6478936617848392E-2</v>
      </c>
      <c r="T16" s="19">
        <f t="shared" si="6"/>
        <v>2.7514130984755081E-2</v>
      </c>
      <c r="U16" s="24">
        <v>3.0828936617865121E-2</v>
      </c>
      <c r="V16" s="24">
        <f t="shared" si="7"/>
        <v>3.1862333524132813E-2</v>
      </c>
      <c r="W16" s="23">
        <f t="shared" ref="W16:W78" si="10">(1+V15)^(1/12)-1</f>
        <v>2.5658875404495074E-3</v>
      </c>
      <c r="X16" s="24">
        <v>2.9958936617854981E-2</v>
      </c>
      <c r="Y16" s="24">
        <f t="shared" si="8"/>
        <v>3.0992664484123411E-2</v>
      </c>
      <c r="Z16" s="23">
        <f t="shared" si="9"/>
        <v>2.4954255496403288E-3</v>
      </c>
      <c r="AA16" s="36"/>
      <c r="AC16" s="37"/>
    </row>
    <row r="17" spans="4:30" ht="13.9" customHeight="1" x14ac:dyDescent="0.25">
      <c r="D17" s="8">
        <v>5</v>
      </c>
      <c r="E17" s="9">
        <v>3.7749999999999999E-2</v>
      </c>
      <c r="F17" s="19">
        <v>3.7560444877938325E-2</v>
      </c>
      <c r="G17" s="19">
        <f t="shared" si="0"/>
        <v>4.1741335229914814E-2</v>
      </c>
      <c r="H17" s="19">
        <f t="shared" si="1"/>
        <v>4.0906554377831653E-2</v>
      </c>
      <c r="J17" s="42">
        <v>5</v>
      </c>
      <c r="K17" s="49">
        <v>3.7560444877938325E-2</v>
      </c>
      <c r="L17" s="49">
        <f t="shared" si="3"/>
        <v>4.1741335229914814E-2</v>
      </c>
      <c r="M17" s="49">
        <f t="shared" si="2"/>
        <v>4.0906554377831653E-2</v>
      </c>
      <c r="O17" s="12">
        <f t="shared" si="4"/>
        <v>0.33333333333333331</v>
      </c>
      <c r="P17" s="13">
        <v>4</v>
      </c>
      <c r="Q17" s="22">
        <v>2.6737005226668442E-2</v>
      </c>
      <c r="R17" s="19">
        <f t="shared" si="5"/>
        <v>2.8000243769212396E-2</v>
      </c>
      <c r="S17" s="22">
        <v>2.6737637393631886E-2</v>
      </c>
      <c r="T17" s="19">
        <f t="shared" si="6"/>
        <v>2.7999927409777525E-2</v>
      </c>
      <c r="U17" s="24">
        <v>3.1087188778881947E-2</v>
      </c>
      <c r="V17" s="24">
        <f t="shared" si="7"/>
        <v>3.2350169625937175E-2</v>
      </c>
      <c r="W17" s="23">
        <f t="shared" si="10"/>
        <v>2.6171905804244222E-3</v>
      </c>
      <c r="X17" s="24">
        <v>3.0217271374711752E-2</v>
      </c>
      <c r="Y17" s="24">
        <f t="shared" si="8"/>
        <v>3.148013001461325E-2</v>
      </c>
      <c r="Z17" s="23">
        <f t="shared" si="9"/>
        <v>2.5467449642289086E-3</v>
      </c>
      <c r="AA17" s="36"/>
      <c r="AC17" s="37"/>
    </row>
    <row r="18" spans="4:30" ht="13.9" customHeight="1" x14ac:dyDescent="0.25">
      <c r="D18" s="8">
        <v>7</v>
      </c>
      <c r="E18" s="9">
        <v>3.8510000000000003E-2</v>
      </c>
      <c r="F18" s="19">
        <v>3.834500108144865E-2</v>
      </c>
      <c r="G18" s="19">
        <f t="shared" si="0"/>
        <v>4.2522619415730906E-2</v>
      </c>
      <c r="H18" s="19">
        <f t="shared" si="1"/>
        <v>4.168849078199445E-2</v>
      </c>
      <c r="J18" s="42">
        <v>7</v>
      </c>
      <c r="K18" s="49">
        <v>3.834500108144865E-2</v>
      </c>
      <c r="L18" s="49">
        <f t="shared" si="3"/>
        <v>4.2522619415730906E-2</v>
      </c>
      <c r="M18" s="49">
        <f t="shared" si="2"/>
        <v>4.168849078199445E-2</v>
      </c>
      <c r="O18" s="12">
        <f t="shared" si="4"/>
        <v>0.41666666666666669</v>
      </c>
      <c r="P18" s="13">
        <v>5</v>
      </c>
      <c r="Q18" s="22">
        <v>2.6989528689563169E-2</v>
      </c>
      <c r="R18" s="19">
        <f t="shared" si="5"/>
        <v>2.8268139932323688E-2</v>
      </c>
      <c r="S18" s="22">
        <v>2.6989971337768814E-2</v>
      </c>
      <c r="T18" s="19">
        <f t="shared" si="6"/>
        <v>2.8265923938579629E-2</v>
      </c>
      <c r="U18" s="24">
        <v>3.1339661276943209E-2</v>
      </c>
      <c r="V18" s="24">
        <f t="shared" si="7"/>
        <v>3.2617473377565043E-2</v>
      </c>
      <c r="W18" s="23">
        <f t="shared" si="10"/>
        <v>2.6566828406306975E-3</v>
      </c>
      <c r="X18" s="24">
        <v>3.046971935093401E-2</v>
      </c>
      <c r="Y18" s="24">
        <f t="shared" si="8"/>
        <v>3.1747183204203111E-2</v>
      </c>
      <c r="Z18" s="23">
        <f t="shared" si="9"/>
        <v>2.5862377369252343E-3</v>
      </c>
      <c r="AA18" s="36"/>
      <c r="AC18" s="37"/>
    </row>
    <row r="19" spans="4:30" ht="13.9" customHeight="1" x14ac:dyDescent="0.25">
      <c r="D19" s="8">
        <v>10</v>
      </c>
      <c r="E19" s="9">
        <v>3.9149999999999997E-2</v>
      </c>
      <c r="F19" s="19">
        <v>3.9005885865325392E-2</v>
      </c>
      <c r="G19" s="19">
        <f t="shared" si="0"/>
        <v>4.3180749940669172E-2</v>
      </c>
      <c r="H19" s="19">
        <f t="shared" si="1"/>
        <v>4.2347170320633995E-2</v>
      </c>
      <c r="J19" s="42">
        <v>10</v>
      </c>
      <c r="K19" s="49">
        <v>3.9005885865325392E-2</v>
      </c>
      <c r="L19" s="49">
        <f t="shared" si="3"/>
        <v>4.3180749940669172E-2</v>
      </c>
      <c r="M19" s="49">
        <f t="shared" si="2"/>
        <v>4.2347170320633995E-2</v>
      </c>
      <c r="O19" s="12">
        <f t="shared" si="4"/>
        <v>0.5</v>
      </c>
      <c r="P19" s="13">
        <v>6</v>
      </c>
      <c r="Q19" s="22">
        <v>2.7202520099991911E-2</v>
      </c>
      <c r="R19" s="19">
        <f t="shared" si="5"/>
        <v>2.8554633463944157E-2</v>
      </c>
      <c r="S19" s="22">
        <v>2.7202520099979255E-2</v>
      </c>
      <c r="T19" s="19">
        <f t="shared" si="6"/>
        <v>2.8552230105455267E-2</v>
      </c>
      <c r="U19" s="24">
        <v>3.1552520099995096E-2</v>
      </c>
      <c r="V19" s="24">
        <f t="shared" si="7"/>
        <v>3.290385634636328E-2</v>
      </c>
      <c r="W19" s="23">
        <f t="shared" si="10"/>
        <v>2.6783148814097935E-3</v>
      </c>
      <c r="X19" s="24">
        <v>3.0682520099985622E-2</v>
      </c>
      <c r="Y19" s="24">
        <f t="shared" si="8"/>
        <v>3.2033540646729586E-2</v>
      </c>
      <c r="Z19" s="23">
        <f t="shared" si="9"/>
        <v>2.6078662103021788E-3</v>
      </c>
      <c r="AA19" s="36"/>
      <c r="AC19" s="37"/>
    </row>
    <row r="20" spans="4:30" ht="13.9" customHeight="1" x14ac:dyDescent="0.25">
      <c r="D20" s="8">
        <v>15</v>
      </c>
      <c r="E20" s="9">
        <v>3.8890000000000001E-2</v>
      </c>
      <c r="F20" s="19">
        <v>3.8602160276790934E-2</v>
      </c>
      <c r="G20" s="19">
        <f t="shared" si="0"/>
        <v>4.2778706676277208E-2</v>
      </c>
      <c r="H20" s="19">
        <f t="shared" si="1"/>
        <v>4.194479171398801E-2</v>
      </c>
      <c r="J20" s="42">
        <v>15</v>
      </c>
      <c r="K20" s="49">
        <v>3.8602160276790934E-2</v>
      </c>
      <c r="L20" s="49">
        <f t="shared" si="3"/>
        <v>4.2778706676277208E-2</v>
      </c>
      <c r="M20" s="49">
        <f t="shared" si="2"/>
        <v>4.194479171398801E-2</v>
      </c>
      <c r="O20" s="12">
        <f t="shared" si="4"/>
        <v>0.58333333333333337</v>
      </c>
      <c r="P20" s="13">
        <v>7</v>
      </c>
      <c r="Q20" s="22">
        <v>2.7395570273615277E-2</v>
      </c>
      <c r="R20" s="19">
        <f t="shared" si="5"/>
        <v>2.981553603778897E-2</v>
      </c>
      <c r="S20" s="22">
        <v>2.7395227323235405E-2</v>
      </c>
      <c r="T20" s="19">
        <f t="shared" si="6"/>
        <v>2.9815372685688457E-2</v>
      </c>
      <c r="U20" s="24">
        <v>3.1745459840123225E-2</v>
      </c>
      <c r="V20" s="24">
        <f t="shared" si="7"/>
        <v>3.4165461947342823E-2</v>
      </c>
      <c r="W20" s="23">
        <f t="shared" si="10"/>
        <v>2.7014852474944728E-3</v>
      </c>
      <c r="X20" s="24">
        <v>3.0875414699445658E-2</v>
      </c>
      <c r="Y20" s="24">
        <f t="shared" si="8"/>
        <v>3.3295441725597952E-2</v>
      </c>
      <c r="Z20" s="23">
        <f t="shared" si="9"/>
        <v>2.6310524224411047E-3</v>
      </c>
      <c r="AA20" s="36"/>
    </row>
    <row r="21" spans="4:30" ht="13.9" customHeight="1" x14ac:dyDescent="0.25">
      <c r="D21" s="8">
        <v>20</v>
      </c>
      <c r="E21" s="9">
        <v>3.8650000000000004E-2</v>
      </c>
      <c r="F21" s="19">
        <v>3.8256726836984153E-2</v>
      </c>
      <c r="G21" s="19">
        <f t="shared" si="0"/>
        <v>4.2434713194312614E-2</v>
      </c>
      <c r="H21" s="19">
        <f t="shared" si="1"/>
        <v>4.1600511201663012E-2</v>
      </c>
      <c r="J21" s="42">
        <v>20</v>
      </c>
      <c r="K21" s="49">
        <v>3.8256726836984153E-2</v>
      </c>
      <c r="L21" s="49">
        <f t="shared" si="3"/>
        <v>4.2434713194312614E-2</v>
      </c>
      <c r="M21" s="49">
        <f t="shared" si="2"/>
        <v>4.1600511201663012E-2</v>
      </c>
      <c r="O21" s="12">
        <f t="shared" si="4"/>
        <v>0.66666666666666663</v>
      </c>
      <c r="P21" s="13">
        <v>8</v>
      </c>
      <c r="Q21" s="22">
        <v>2.76977547292796E-2</v>
      </c>
      <c r="R21" s="19">
        <f t="shared" si="5"/>
        <v>3.2292191212557331E-2</v>
      </c>
      <c r="S21" s="22">
        <v>2.7697434182411884E-2</v>
      </c>
      <c r="T21" s="19">
        <f t="shared" si="6"/>
        <v>3.2294767055317974E-2</v>
      </c>
      <c r="U21" s="24">
        <v>3.2047650139753081E-2</v>
      </c>
      <c r="V21" s="24">
        <f t="shared" si="7"/>
        <v>3.6642993240337596E-2</v>
      </c>
      <c r="W21" s="23">
        <f t="shared" si="10"/>
        <v>2.8034878184939327E-3</v>
      </c>
      <c r="X21" s="24">
        <v>3.117760784633572E-2</v>
      </c>
      <c r="Y21" s="24">
        <f t="shared" si="8"/>
        <v>3.5773340755395955E-2</v>
      </c>
      <c r="Z21" s="23">
        <f t="shared" si="9"/>
        <v>2.7331576880982311E-3</v>
      </c>
      <c r="AA21" s="36"/>
    </row>
    <row r="22" spans="4:30" ht="13.9" customHeight="1" x14ac:dyDescent="0.25">
      <c r="D22" s="8">
        <v>30</v>
      </c>
      <c r="E22" s="9">
        <v>3.7850000000000002E-2</v>
      </c>
      <c r="F22" s="19">
        <v>3.7031912327507174E-2</v>
      </c>
      <c r="G22" s="19">
        <f t="shared" si="0"/>
        <v>4.1215008383631874E-2</v>
      </c>
      <c r="H22" s="19">
        <f t="shared" si="1"/>
        <v>4.0379787864745942E-2</v>
      </c>
      <c r="J22" s="46">
        <v>23</v>
      </c>
      <c r="K22" s="49">
        <v>3.7962778417120979E-2</v>
      </c>
      <c r="L22" s="49">
        <f t="shared" si="3"/>
        <v>4.2141990504378779E-2</v>
      </c>
      <c r="M22" s="49">
        <f t="shared" si="2"/>
        <v>4.130754418420958E-2</v>
      </c>
      <c r="O22" s="12">
        <f t="shared" si="4"/>
        <v>0.75</v>
      </c>
      <c r="P22" s="13">
        <v>9</v>
      </c>
      <c r="Q22" s="22">
        <v>2.8207236199959906E-2</v>
      </c>
      <c r="R22" s="19">
        <f t="shared" si="5"/>
        <v>3.5536212761954067E-2</v>
      </c>
      <c r="S22" s="22">
        <v>2.8207236199946806E-2</v>
      </c>
      <c r="T22" s="19">
        <f t="shared" si="6"/>
        <v>3.553937908433924E-2</v>
      </c>
      <c r="U22" s="24">
        <v>3.2557236199963313E-2</v>
      </c>
      <c r="V22" s="24">
        <f t="shared" si="7"/>
        <v>3.988714623256584E-2</v>
      </c>
      <c r="W22" s="23">
        <f t="shared" si="10"/>
        <v>3.003468162857903E-3</v>
      </c>
      <c r="X22" s="24">
        <v>3.1687236199953839E-2</v>
      </c>
      <c r="Y22" s="24">
        <f t="shared" si="8"/>
        <v>3.9017590256872126E-2</v>
      </c>
      <c r="Z22" s="23">
        <f t="shared" si="9"/>
        <v>2.9333218644223003E-3</v>
      </c>
      <c r="AA22" s="36"/>
    </row>
    <row r="23" spans="4:30" ht="13.9" customHeight="1" x14ac:dyDescent="0.25">
      <c r="D23" s="8">
        <v>50</v>
      </c>
      <c r="E23" s="9">
        <v>3.6560000000000002E-2</v>
      </c>
      <c r="F23" s="19">
        <v>3.4873256134420084E-2</v>
      </c>
      <c r="G23" s="19">
        <f t="shared" si="0"/>
        <v>3.9065372888808444E-2</v>
      </c>
      <c r="H23" s="19">
        <f t="shared" si="1"/>
        <v>3.8228354266698947E-2</v>
      </c>
      <c r="J23" s="46">
        <v>30</v>
      </c>
      <c r="K23" s="49">
        <v>3.7031912327507174E-2</v>
      </c>
      <c r="L23" s="49">
        <f t="shared" si="3"/>
        <v>4.1215008383631874E-2</v>
      </c>
      <c r="M23" s="49">
        <f t="shared" si="2"/>
        <v>4.0379787864745942E-2</v>
      </c>
      <c r="O23" s="12">
        <f t="shared" si="4"/>
        <v>0.83333333333333337</v>
      </c>
      <c r="P23" s="13">
        <v>10</v>
      </c>
      <c r="Q23" s="22">
        <v>2.8937793598638351E-2</v>
      </c>
      <c r="R23" s="19">
        <f t="shared" si="5"/>
        <v>3.7724542868031952E-2</v>
      </c>
      <c r="S23" s="22">
        <v>2.8938108212857028E-2</v>
      </c>
      <c r="T23" s="19">
        <f t="shared" si="6"/>
        <v>3.7724850570020285E-2</v>
      </c>
      <c r="U23" s="24">
        <v>3.3287896168417763E-2</v>
      </c>
      <c r="V23" s="24">
        <f t="shared" si="7"/>
        <v>4.2074506420120894E-2</v>
      </c>
      <c r="W23" s="23">
        <f t="shared" si="10"/>
        <v>3.2646669574492027E-3</v>
      </c>
      <c r="X23" s="24">
        <v>3.2417938331893881E-2</v>
      </c>
      <c r="Y23" s="24">
        <f t="shared" si="8"/>
        <v>4.1204575653376985E-2</v>
      </c>
      <c r="Z23" s="23">
        <f t="shared" si="9"/>
        <v>3.1947291344103235E-3</v>
      </c>
      <c r="AA23" s="36"/>
      <c r="AD23" s="33"/>
    </row>
    <row r="24" spans="4:30" ht="13.9" customHeight="1" x14ac:dyDescent="0.25">
      <c r="D24" s="8"/>
      <c r="E24" s="9"/>
      <c r="F24" s="19"/>
      <c r="G24" s="19"/>
      <c r="H24" s="19"/>
      <c r="J24" s="46">
        <v>50</v>
      </c>
      <c r="K24" s="49">
        <v>3.4873256134420084E-2</v>
      </c>
      <c r="L24" s="49">
        <f t="shared" si="3"/>
        <v>3.9065372888808444E-2</v>
      </c>
      <c r="M24" s="49">
        <f t="shared" si="2"/>
        <v>3.8228354266698947E-2</v>
      </c>
      <c r="O24" s="12">
        <f t="shared" si="4"/>
        <v>0.91666666666666663</v>
      </c>
      <c r="P24" s="13">
        <v>11</v>
      </c>
      <c r="Q24" s="22">
        <v>2.9733505088127998E-2</v>
      </c>
      <c r="R24" s="19">
        <f t="shared" si="5"/>
        <v>3.8393691842852684E-2</v>
      </c>
      <c r="S24" s="22">
        <v>2.973381907973871E-2</v>
      </c>
      <c r="T24" s="19">
        <f t="shared" si="6"/>
        <v>3.8390208893546385E-2</v>
      </c>
      <c r="U24" s="24">
        <v>3.4083608030171186E-2</v>
      </c>
      <c r="V24" s="24">
        <f t="shared" si="7"/>
        <v>4.2742409998883124E-2</v>
      </c>
      <c r="W24" s="23">
        <f t="shared" si="10"/>
        <v>3.4403581650790382E-3</v>
      </c>
      <c r="X24" s="24">
        <v>3.3213650061910682E-2</v>
      </c>
      <c r="Y24" s="24">
        <f t="shared" si="8"/>
        <v>4.1871971672329256E-2</v>
      </c>
      <c r="Z24" s="23">
        <f t="shared" si="9"/>
        <v>3.3705248813395983E-3</v>
      </c>
      <c r="AA24" s="36"/>
    </row>
    <row r="25" spans="4:30" ht="13.9" customHeight="1" x14ac:dyDescent="0.25">
      <c r="D25" s="8"/>
      <c r="E25" s="9"/>
      <c r="F25" s="19"/>
      <c r="G25" s="19"/>
      <c r="H25" s="19"/>
      <c r="J25" s="44"/>
      <c r="K25" s="44"/>
      <c r="L25" s="44"/>
      <c r="M25" s="44"/>
      <c r="O25" s="12">
        <f t="shared" si="4"/>
        <v>1</v>
      </c>
      <c r="P25" s="13">
        <v>12</v>
      </c>
      <c r="Q25" s="22">
        <v>3.0452420348347164E-2</v>
      </c>
      <c r="R25" s="19">
        <f t="shared" si="5"/>
        <v>3.7862702214950694E-2</v>
      </c>
      <c r="S25" s="22">
        <v>3.0452420348333398E-2</v>
      </c>
      <c r="T25" s="19">
        <f t="shared" si="6"/>
        <v>3.7857361603089945E-2</v>
      </c>
      <c r="U25" s="24">
        <v>3.4802420348350793E-2</v>
      </c>
      <c r="V25" s="24">
        <f t="shared" si="7"/>
        <v>4.2210818716031495E-2</v>
      </c>
      <c r="W25" s="23">
        <f t="shared" si="10"/>
        <v>3.4939375558893371E-3</v>
      </c>
      <c r="X25" s="24">
        <v>3.3932420348341763E-2</v>
      </c>
      <c r="Y25" s="24">
        <f t="shared" si="8"/>
        <v>4.1340130610410641E-2</v>
      </c>
      <c r="Z25" s="23">
        <f t="shared" si="9"/>
        <v>3.424104557106844E-3</v>
      </c>
      <c r="AA25" s="36"/>
    </row>
    <row r="26" spans="4:30" ht="13.9" customHeight="1" x14ac:dyDescent="0.25">
      <c r="D26" s="10"/>
      <c r="E26" s="11"/>
      <c r="F26" s="20"/>
      <c r="G26" s="20"/>
      <c r="H26" s="20"/>
      <c r="I26" s="50"/>
      <c r="J26" s="45"/>
      <c r="K26" s="45"/>
      <c r="L26" s="45"/>
      <c r="M26" s="43"/>
      <c r="O26" s="12">
        <f t="shared" si="4"/>
        <v>1.0833333333333333</v>
      </c>
      <c r="P26" s="13">
        <v>13</v>
      </c>
      <c r="Q26" s="22">
        <v>3.1020558771930329E-2</v>
      </c>
      <c r="R26" s="19">
        <f t="shared" si="5"/>
        <v>3.7421358541537719E-2</v>
      </c>
      <c r="S26" s="22">
        <v>3.1020150662971036E-2</v>
      </c>
      <c r="T26" s="19">
        <f t="shared" si="6"/>
        <v>3.7416708085687977E-2</v>
      </c>
      <c r="U26" s="24">
        <v>3.5370422718976613E-2</v>
      </c>
      <c r="V26" s="24">
        <f t="shared" si="7"/>
        <v>4.1769708132097572E-2</v>
      </c>
      <c r="W26" s="23">
        <f t="shared" si="10"/>
        <v>3.4512957274686062E-3</v>
      </c>
      <c r="X26" s="24">
        <v>3.450036856541705E-2</v>
      </c>
      <c r="Y26" s="24">
        <f t="shared" si="8"/>
        <v>4.0899111766653728E-2</v>
      </c>
      <c r="Z26" s="23">
        <f t="shared" si="9"/>
        <v>3.3814100087141696E-3</v>
      </c>
      <c r="AA26" s="36"/>
    </row>
    <row r="27" spans="4:30" ht="13.9" customHeight="1" x14ac:dyDescent="0.3">
      <c r="O27" s="12">
        <f t="shared" si="4"/>
        <v>1.1666666666666667</v>
      </c>
      <c r="P27" s="13">
        <v>14</v>
      </c>
      <c r="Q27" s="22">
        <v>3.1476446163999583E-2</v>
      </c>
      <c r="R27" s="19">
        <f t="shared" si="5"/>
        <v>3.7391868916421434E-2</v>
      </c>
      <c r="S27" s="22">
        <v>3.1475736765648188E-2</v>
      </c>
      <c r="T27" s="19">
        <f t="shared" si="6"/>
        <v>3.7389629785087086E-2</v>
      </c>
      <c r="U27" s="24">
        <v>3.5826208052656794E-2</v>
      </c>
      <c r="V27" s="24">
        <f t="shared" si="7"/>
        <v>4.1741026994495112E-2</v>
      </c>
      <c r="W27" s="23">
        <f t="shared" si="10"/>
        <v>3.4158967093851356E-3</v>
      </c>
      <c r="X27" s="24">
        <v>3.4956114296358143E-2</v>
      </c>
      <c r="Y27" s="24">
        <f t="shared" si="8"/>
        <v>4.0870749714269516E-2</v>
      </c>
      <c r="Z27" s="23">
        <f t="shared" si="9"/>
        <v>3.3459912236006861E-3</v>
      </c>
      <c r="AA27" s="36"/>
    </row>
    <row r="28" spans="4:30" ht="13.9" customHeight="1" x14ac:dyDescent="0.3">
      <c r="O28" s="12">
        <f t="shared" si="4"/>
        <v>1.25</v>
      </c>
      <c r="P28" s="13">
        <v>15</v>
      </c>
      <c r="Q28" s="22">
        <v>3.1869756139188965E-2</v>
      </c>
      <c r="R28" s="19">
        <f t="shared" si="5"/>
        <v>3.7774322116447268E-2</v>
      </c>
      <c r="S28" s="22">
        <v>3.1868945300707274E-2</v>
      </c>
      <c r="T28" s="19">
        <f t="shared" si="6"/>
        <v>3.7775364599667238E-2</v>
      </c>
      <c r="U28" s="24">
        <v>3.6219482386757207E-2</v>
      </c>
      <c r="V28" s="24">
        <f t="shared" si="7"/>
        <v>4.2124589562641868E-2</v>
      </c>
      <c r="W28" s="23">
        <f t="shared" si="10"/>
        <v>3.413594579306567E-3</v>
      </c>
      <c r="X28" s="24">
        <v>3.5349375583499487E-2</v>
      </c>
      <c r="Y28" s="24">
        <f t="shared" si="8"/>
        <v>4.1254743757769941E-2</v>
      </c>
      <c r="Z28" s="23">
        <f t="shared" si="9"/>
        <v>3.3437129603000049E-3</v>
      </c>
      <c r="AA28" s="36"/>
    </row>
    <row r="29" spans="4:30" ht="13.9" customHeight="1" x14ac:dyDescent="0.25">
      <c r="D29" s="111" t="s">
        <v>40</v>
      </c>
      <c r="E29" s="112"/>
      <c r="F29" s="112"/>
      <c r="G29" s="112"/>
      <c r="H29" s="112"/>
      <c r="I29" s="112"/>
      <c r="J29" s="112"/>
      <c r="O29" s="12">
        <f t="shared" si="4"/>
        <v>1.3333333333333333</v>
      </c>
      <c r="P29" s="13">
        <v>16</v>
      </c>
      <c r="Q29" s="22">
        <v>3.2237805298760192E-2</v>
      </c>
      <c r="R29" s="19">
        <f t="shared" si="5"/>
        <v>3.8569384933907269E-2</v>
      </c>
      <c r="S29" s="22">
        <v>3.2237109674049913E-2</v>
      </c>
      <c r="T29" s="19">
        <f t="shared" si="6"/>
        <v>3.8573737315527268E-2</v>
      </c>
      <c r="U29" s="24">
        <v>3.658756931618723E-2</v>
      </c>
      <c r="V29" s="24">
        <f t="shared" si="7"/>
        <v>4.2920777186187253E-2</v>
      </c>
      <c r="W29" s="23">
        <f t="shared" si="10"/>
        <v>3.4443769387824119E-3</v>
      </c>
      <c r="X29" s="24">
        <v>3.5717477916111573E-2</v>
      </c>
      <c r="Y29" s="24">
        <f t="shared" si="8"/>
        <v>4.2051365292979037E-2</v>
      </c>
      <c r="Z29" s="23">
        <f t="shared" si="9"/>
        <v>3.3745535553399986E-3</v>
      </c>
      <c r="AA29" s="36"/>
    </row>
    <row r="30" spans="4:30" ht="13.9" customHeight="1" x14ac:dyDescent="0.3">
      <c r="O30" s="12">
        <f t="shared" si="4"/>
        <v>1.4166666666666667</v>
      </c>
      <c r="P30" s="13">
        <v>17</v>
      </c>
      <c r="Q30" s="22">
        <v>3.2609180337926702E-2</v>
      </c>
      <c r="R30" s="19">
        <f t="shared" si="5"/>
        <v>3.9778440880028132E-2</v>
      </c>
      <c r="S30" s="22">
        <v>3.2608779949264033E-2</v>
      </c>
      <c r="T30" s="19">
        <f t="shared" si="6"/>
        <v>3.9785294768302615E-2</v>
      </c>
      <c r="U30" s="24">
        <v>3.6959044062186086E-2</v>
      </c>
      <c r="V30" s="24">
        <f t="shared" si="7"/>
        <v>4.4130675225806826E-2</v>
      </c>
      <c r="W30" s="23">
        <f t="shared" si="10"/>
        <v>3.5082408934141718E-3</v>
      </c>
      <c r="X30" s="24">
        <v>3.6088991511656676E-2</v>
      </c>
      <c r="Y30" s="24">
        <f t="shared" si="8"/>
        <v>4.3261594388307012E-2</v>
      </c>
      <c r="Z30" s="23">
        <f t="shared" si="9"/>
        <v>3.4385012139437343E-3</v>
      </c>
      <c r="AA30" s="36"/>
    </row>
    <row r="31" spans="4:30" ht="13.9" customHeight="1" x14ac:dyDescent="0.3">
      <c r="D31" s="117" t="s">
        <v>41</v>
      </c>
      <c r="E31" s="121" t="s">
        <v>48</v>
      </c>
      <c r="F31" s="121" t="s">
        <v>49</v>
      </c>
      <c r="G31" s="121" t="s">
        <v>50</v>
      </c>
      <c r="H31" s="121" t="s">
        <v>59</v>
      </c>
      <c r="I31" s="123"/>
      <c r="J31" s="121" t="s">
        <v>60</v>
      </c>
      <c r="O31" s="12">
        <f t="shared" si="4"/>
        <v>1.5</v>
      </c>
      <c r="P31" s="13">
        <v>18</v>
      </c>
      <c r="Q31" s="22">
        <v>3.3006172606577344E-2</v>
      </c>
      <c r="R31" s="19">
        <f t="shared" si="5"/>
        <v>4.1241510739637999E-2</v>
      </c>
      <c r="S31" s="22">
        <v>3.3006172606564688E-2</v>
      </c>
      <c r="T31" s="19">
        <f t="shared" si="6"/>
        <v>4.12490695657588E-2</v>
      </c>
      <c r="U31" s="24">
        <v>3.7356172606580529E-2</v>
      </c>
      <c r="V31" s="24">
        <f t="shared" si="7"/>
        <v>4.5593960577162473E-2</v>
      </c>
      <c r="W31" s="23">
        <f t="shared" si="10"/>
        <v>3.6052039594005603E-3</v>
      </c>
      <c r="X31" s="24">
        <v>3.6486172606571499E-2</v>
      </c>
      <c r="Y31" s="24">
        <f t="shared" si="8"/>
        <v>4.4724980397703229E-2</v>
      </c>
      <c r="Z31" s="23">
        <f t="shared" si="9"/>
        <v>3.5355649291661795E-3</v>
      </c>
      <c r="AA31" s="36"/>
    </row>
    <row r="32" spans="4:30" ht="13.9" customHeight="1" x14ac:dyDescent="0.3">
      <c r="D32" s="117"/>
      <c r="E32" s="117"/>
      <c r="F32" s="117"/>
      <c r="G32" s="117"/>
      <c r="H32" s="117"/>
      <c r="I32" s="123"/>
      <c r="J32" s="117"/>
      <c r="O32" s="12">
        <f t="shared" si="4"/>
        <v>1.5833333333333333</v>
      </c>
      <c r="P32" s="13">
        <v>19</v>
      </c>
      <c r="Q32" s="22">
        <v>3.3437983077912126E-2</v>
      </c>
      <c r="R32" s="19">
        <f t="shared" si="5"/>
        <v>4.2310586992014176E-2</v>
      </c>
      <c r="S32" s="22">
        <v>3.3438377927958784E-2</v>
      </c>
      <c r="T32" s="19">
        <f t="shared" si="6"/>
        <v>4.231627242958802E-2</v>
      </c>
      <c r="U32" s="24">
        <v>3.7788117847688873E-2</v>
      </c>
      <c r="V32" s="24">
        <f t="shared" si="7"/>
        <v>4.6662403537303332E-2</v>
      </c>
      <c r="W32" s="23">
        <f t="shared" si="10"/>
        <v>3.7223363561580403E-3</v>
      </c>
      <c r="X32" s="24">
        <v>3.6918169766436471E-2</v>
      </c>
      <c r="Y32" s="24">
        <f t="shared" si="8"/>
        <v>4.5793176847854999E-2</v>
      </c>
      <c r="Z32" s="23">
        <f t="shared" si="9"/>
        <v>3.652794763434386E-3</v>
      </c>
      <c r="AA32" s="36"/>
    </row>
    <row r="33" spans="4:27" ht="13.9" customHeight="1" x14ac:dyDescent="0.3">
      <c r="D33" s="57" t="s">
        <v>42</v>
      </c>
      <c r="E33" s="55">
        <v>21.794879999999999</v>
      </c>
      <c r="F33" s="55">
        <v>5.8305999999999996</v>
      </c>
      <c r="G33" s="55">
        <v>15.964279999999999</v>
      </c>
      <c r="H33" s="54">
        <v>9.3520000000000006E-2</v>
      </c>
      <c r="I33" s="123"/>
      <c r="J33" s="55">
        <v>1.4929794655999999</v>
      </c>
      <c r="O33" s="12">
        <f t="shared" si="4"/>
        <v>1.6666666666666667</v>
      </c>
      <c r="P33" s="13">
        <v>20</v>
      </c>
      <c r="Q33" s="22">
        <v>3.3879814128045638E-2</v>
      </c>
      <c r="R33" s="19">
        <f t="shared" si="5"/>
        <v>4.2821525447727327E-2</v>
      </c>
      <c r="S33" s="22">
        <v>3.3880471367863541E-2</v>
      </c>
      <c r="T33" s="19">
        <f t="shared" si="6"/>
        <v>4.2823602427460639E-2</v>
      </c>
      <c r="U33" s="24">
        <v>3.8230039809134864E-2</v>
      </c>
      <c r="V33" s="24">
        <f t="shared" si="7"/>
        <v>4.7172129981627897E-2</v>
      </c>
      <c r="W33" s="23">
        <f t="shared" si="10"/>
        <v>3.8077677126633347E-3</v>
      </c>
      <c r="X33" s="24">
        <v>3.7360126011219741E-2</v>
      </c>
      <c r="Y33" s="24">
        <f t="shared" si="8"/>
        <v>4.6302424593672731E-2</v>
      </c>
      <c r="Z33" s="23">
        <f t="shared" si="9"/>
        <v>3.7382715063232208E-3</v>
      </c>
      <c r="AA33" s="36"/>
    </row>
    <row r="34" spans="4:27" ht="13.9" customHeight="1" x14ac:dyDescent="0.3">
      <c r="D34" s="57" t="s">
        <v>43</v>
      </c>
      <c r="E34" s="55">
        <v>57.238729999999997</v>
      </c>
      <c r="F34" s="55">
        <v>5.8305999999999996</v>
      </c>
      <c r="G34" s="55">
        <v>51.40813</v>
      </c>
      <c r="H34" s="54">
        <v>1.2959999999999999E-2</v>
      </c>
      <c r="I34" s="123"/>
      <c r="J34" s="55">
        <v>0.66624936479999997</v>
      </c>
      <c r="O34" s="12">
        <f t="shared" si="4"/>
        <v>1.75</v>
      </c>
      <c r="P34" s="13">
        <v>21</v>
      </c>
      <c r="Q34" s="22">
        <v>3.4303866104299363E-2</v>
      </c>
      <c r="R34" s="19">
        <f t="shared" si="5"/>
        <v>4.2772549310680974E-2</v>
      </c>
      <c r="S34" s="22">
        <v>3.4304590399634849E-2</v>
      </c>
      <c r="T34" s="19">
        <f t="shared" si="6"/>
        <v>4.2770447438105208E-2</v>
      </c>
      <c r="U34" s="24">
        <v>3.8654116945185946E-2</v>
      </c>
      <c r="V34" s="24">
        <f t="shared" si="7"/>
        <v>4.7121733623169071E-2</v>
      </c>
      <c r="W34" s="23">
        <f t="shared" si="10"/>
        <v>3.8484966357925643E-3</v>
      </c>
      <c r="X34" s="24">
        <v>3.7784211542517987E-2</v>
      </c>
      <c r="Y34" s="24">
        <f t="shared" si="8"/>
        <v>4.6251477225069726E-2</v>
      </c>
      <c r="Z34" s="23">
        <f t="shared" si="9"/>
        <v>3.7789931819596223E-3</v>
      </c>
      <c r="AA34" s="36"/>
    </row>
    <row r="35" spans="4:27" ht="13.9" customHeight="1" x14ac:dyDescent="0.3">
      <c r="D35" s="57" t="s">
        <v>47</v>
      </c>
      <c r="E35" s="55">
        <v>161.13076000000001</v>
      </c>
      <c r="F35" s="55">
        <v>5.8305999999999996</v>
      </c>
      <c r="G35" s="55">
        <v>155.30016000000001</v>
      </c>
      <c r="H35" s="54">
        <v>0.15468000000000001</v>
      </c>
      <c r="I35" s="123"/>
      <c r="J35" s="55">
        <v>24.021828748800004</v>
      </c>
      <c r="O35" s="12">
        <f t="shared" si="4"/>
        <v>1.8333333333333333</v>
      </c>
      <c r="P35" s="13">
        <v>22</v>
      </c>
      <c r="Q35" s="22">
        <v>3.4687309950230283E-2</v>
      </c>
      <c r="R35" s="19">
        <f t="shared" si="5"/>
        <v>4.2162639306561944E-2</v>
      </c>
      <c r="S35" s="22">
        <v>3.4687906780308753E-2</v>
      </c>
      <c r="T35" s="19">
        <f t="shared" si="6"/>
        <v>4.2156950874924215E-2</v>
      </c>
      <c r="U35" s="24">
        <v>3.9037518920815417E-2</v>
      </c>
      <c r="V35" s="24">
        <f t="shared" si="7"/>
        <v>4.6510577518705576E-2</v>
      </c>
      <c r="W35" s="23">
        <f t="shared" si="10"/>
        <v>3.8444706004052698E-3</v>
      </c>
      <c r="X35" s="24">
        <v>3.8167596444968144E-2</v>
      </c>
      <c r="Y35" s="24">
        <f t="shared" si="8"/>
        <v>4.5639853485001325E-2</v>
      </c>
      <c r="Z35" s="23">
        <f t="shared" si="9"/>
        <v>3.7749200256624871E-3</v>
      </c>
      <c r="AA35" s="36"/>
    </row>
    <row r="36" spans="4:27" ht="13.9" customHeight="1" x14ac:dyDescent="0.3">
      <c r="D36" s="57" t="s">
        <v>44</v>
      </c>
      <c r="E36" s="55">
        <v>82.380570000000006</v>
      </c>
      <c r="F36" s="55">
        <v>5.8305999999999996</v>
      </c>
      <c r="G36" s="55">
        <v>76.549970000000002</v>
      </c>
      <c r="H36" s="54">
        <v>8.4330000000000002E-2</v>
      </c>
      <c r="I36" s="123"/>
      <c r="J36" s="55">
        <v>6.4554589701000005</v>
      </c>
      <c r="O36" s="12">
        <f t="shared" si="4"/>
        <v>1.9166666666666667</v>
      </c>
      <c r="P36" s="13">
        <v>23</v>
      </c>
      <c r="Q36" s="22">
        <v>3.5011206510655812E-2</v>
      </c>
      <c r="R36" s="19">
        <f t="shared" si="5"/>
        <v>4.0991790049879073E-2</v>
      </c>
      <c r="S36" s="22">
        <v>3.501153194356732E-2</v>
      </c>
      <c r="T36" s="19">
        <f t="shared" si="6"/>
        <v>4.0984261870849803E-2</v>
      </c>
      <c r="U36" s="24">
        <v>3.9361322085152306E-2</v>
      </c>
      <c r="V36" s="24">
        <f t="shared" si="7"/>
        <v>4.5339047380917208E-2</v>
      </c>
      <c r="W36" s="23">
        <f t="shared" si="10"/>
        <v>3.7956327691068825E-3</v>
      </c>
      <c r="X36" s="24">
        <v>3.8491364069432432E-2</v>
      </c>
      <c r="Y36" s="24">
        <f t="shared" si="8"/>
        <v>4.4468089957829138E-2</v>
      </c>
      <c r="Z36" s="23">
        <f t="shared" si="9"/>
        <v>3.726007539856413E-3</v>
      </c>
      <c r="AA36" s="36"/>
    </row>
    <row r="37" spans="4:27" ht="13.9" customHeight="1" x14ac:dyDescent="0.3">
      <c r="D37" s="57" t="s">
        <v>45</v>
      </c>
      <c r="E37" s="58"/>
      <c r="F37" s="58"/>
      <c r="G37" s="53">
        <v>221.2</v>
      </c>
      <c r="H37" s="54">
        <v>4.8770000000000001E-2</v>
      </c>
      <c r="I37" s="123"/>
      <c r="J37" s="55">
        <v>10.787924</v>
      </c>
      <c r="O37" s="12">
        <f t="shared" si="4"/>
        <v>2</v>
      </c>
      <c r="P37" s="13">
        <v>24</v>
      </c>
      <c r="Q37" s="22">
        <v>3.5259710133134003E-2</v>
      </c>
      <c r="R37" s="19">
        <f t="shared" si="5"/>
        <v>3.9424113557902096E-2</v>
      </c>
      <c r="S37" s="22">
        <v>3.5259710133121569E-2</v>
      </c>
      <c r="T37" s="19">
        <f t="shared" si="6"/>
        <v>3.9417323680605687E-2</v>
      </c>
      <c r="U37" s="24">
        <v>3.960971013313741E-2</v>
      </c>
      <c r="V37" s="24">
        <f t="shared" si="7"/>
        <v>4.3771549970381241E-2</v>
      </c>
      <c r="W37" s="23">
        <f t="shared" si="10"/>
        <v>3.7019419939448017E-3</v>
      </c>
      <c r="X37" s="24">
        <v>3.8739710133129046E-2</v>
      </c>
      <c r="Y37" s="24">
        <f t="shared" si="8"/>
        <v>4.2900700119145929E-2</v>
      </c>
      <c r="Z37" s="23">
        <f t="shared" si="9"/>
        <v>3.6322265218020622E-3</v>
      </c>
      <c r="AA37" s="36"/>
    </row>
    <row r="38" spans="4:27" ht="13.9" customHeight="1" x14ac:dyDescent="0.3">
      <c r="D38" s="57" t="s">
        <v>46</v>
      </c>
      <c r="E38" s="58"/>
      <c r="F38" s="58"/>
      <c r="G38" s="58"/>
      <c r="H38" s="58"/>
      <c r="I38" s="123"/>
      <c r="J38" s="56">
        <v>43.5</v>
      </c>
      <c r="O38" s="12">
        <f t="shared" si="4"/>
        <v>2.0833333333333335</v>
      </c>
      <c r="P38" s="13">
        <v>25</v>
      </c>
      <c r="Q38" s="22">
        <v>3.54259654821798E-2</v>
      </c>
      <c r="R38" s="19">
        <f t="shared" si="5"/>
        <v>3.8111928580409682E-2</v>
      </c>
      <c r="S38" s="22">
        <v>3.5425694930919072E-2</v>
      </c>
      <c r="T38" s="19">
        <f t="shared" si="6"/>
        <v>3.8107679156771379E-2</v>
      </c>
      <c r="U38" s="24">
        <v>3.9775864670111627E-2</v>
      </c>
      <c r="V38" s="24">
        <f t="shared" si="7"/>
        <v>4.2460183649795757E-2</v>
      </c>
      <c r="W38" s="23">
        <f t="shared" si="10"/>
        <v>3.5764338691504083E-3</v>
      </c>
      <c r="X38" s="24">
        <v>3.8905830539753161E-2</v>
      </c>
      <c r="Y38" s="24">
        <f t="shared" si="8"/>
        <v>4.1589677745238918E-2</v>
      </c>
      <c r="Z38" s="23">
        <f t="shared" si="9"/>
        <v>3.5066310172184867E-3</v>
      </c>
      <c r="AA38" s="36"/>
    </row>
    <row r="39" spans="4:27" ht="13.9" customHeight="1" x14ac:dyDescent="0.3">
      <c r="O39" s="12">
        <f t="shared" si="4"/>
        <v>2.1666666666666665</v>
      </c>
      <c r="P39" s="13">
        <v>26</v>
      </c>
      <c r="Q39" s="22">
        <v>3.5529143135183627E-2</v>
      </c>
      <c r="R39" s="19">
        <f t="shared" si="5"/>
        <v>3.7217313003463426E-2</v>
      </c>
      <c r="S39" s="22">
        <v>3.5528719930797203E-2</v>
      </c>
      <c r="T39" s="19">
        <f t="shared" si="6"/>
        <v>3.7216384461678409E-2</v>
      </c>
      <c r="U39" s="24">
        <v>3.9878979781584167E-2</v>
      </c>
      <c r="V39" s="24">
        <f t="shared" si="7"/>
        <v>4.1566732224218805E-2</v>
      </c>
      <c r="W39" s="23">
        <f t="shared" si="10"/>
        <v>3.4713011272908822E-3</v>
      </c>
      <c r="X39" s="24">
        <v>3.9008927444075026E-2</v>
      </c>
      <c r="Y39" s="24">
        <f t="shared" si="8"/>
        <v>4.069666035760644E-2</v>
      </c>
      <c r="Z39" s="23">
        <f t="shared" si="9"/>
        <v>3.4014453659687582E-3</v>
      </c>
      <c r="AA39" s="36"/>
    </row>
    <row r="40" spans="4:27" ht="13.9" customHeight="1" x14ac:dyDescent="0.3">
      <c r="O40" s="12">
        <f t="shared" si="4"/>
        <v>2.25</v>
      </c>
      <c r="P40" s="13">
        <v>27</v>
      </c>
      <c r="Q40" s="22">
        <v>3.5591618919529333E-2</v>
      </c>
      <c r="R40" s="19">
        <f t="shared" si="5"/>
        <v>3.6739481712005695E-2</v>
      </c>
      <c r="S40" s="22">
        <v>3.559117702825354E-2</v>
      </c>
      <c r="T40" s="19">
        <f t="shared" si="6"/>
        <v>3.6741784287168677E-2</v>
      </c>
      <c r="U40" s="24">
        <v>3.9941440334705813E-2</v>
      </c>
      <c r="V40" s="24">
        <f t="shared" si="7"/>
        <v>4.1090155920755489E-2</v>
      </c>
      <c r="W40" s="23">
        <f t="shared" si="10"/>
        <v>3.399603325710876E-3</v>
      </c>
      <c r="X40" s="24">
        <v>3.9071387234207888E-2</v>
      </c>
      <c r="Y40" s="24">
        <f t="shared" si="8"/>
        <v>4.0220482757854503E-2</v>
      </c>
      <c r="Z40" s="23">
        <f t="shared" si="9"/>
        <v>3.3297274860446535E-3</v>
      </c>
      <c r="AA40" s="36"/>
    </row>
    <row r="41" spans="4:27" ht="13.9" customHeight="1" x14ac:dyDescent="0.25">
      <c r="D41" s="111" t="s">
        <v>51</v>
      </c>
      <c r="E41" s="112"/>
      <c r="F41" s="112"/>
      <c r="G41" s="112"/>
      <c r="H41" s="112"/>
      <c r="I41" s="112"/>
      <c r="J41" s="112"/>
      <c r="O41" s="12">
        <f t="shared" si="4"/>
        <v>2.3333333333333335</v>
      </c>
      <c r="P41" s="13">
        <v>28</v>
      </c>
      <c r="Q41" s="22">
        <v>3.5632592126824347E-2</v>
      </c>
      <c r="R41" s="19">
        <f t="shared" si="5"/>
        <v>3.667795090389836E-2</v>
      </c>
      <c r="S41" s="22">
        <v>3.563224814742405E-2</v>
      </c>
      <c r="T41" s="19">
        <f t="shared" si="6"/>
        <v>3.6682534281011314E-2</v>
      </c>
      <c r="U41" s="24">
        <v>3.998244405802498E-2</v>
      </c>
      <c r="V41" s="24">
        <f t="shared" si="7"/>
        <v>4.1029706818391354E-2</v>
      </c>
      <c r="W41" s="23">
        <f t="shared" si="10"/>
        <v>3.3613359114457175E-3</v>
      </c>
      <c r="X41" s="24">
        <v>3.9112404494006325E-2</v>
      </c>
      <c r="Y41" s="24">
        <f t="shared" si="8"/>
        <v>4.0160276484264346E-2</v>
      </c>
      <c r="Z41" s="23">
        <f t="shared" si="9"/>
        <v>3.2914627845996858E-3</v>
      </c>
      <c r="AA41" s="36"/>
    </row>
    <row r="42" spans="4:27" ht="13.9" customHeight="1" x14ac:dyDescent="0.3">
      <c r="O42" s="12">
        <f t="shared" si="4"/>
        <v>2.4166666666666665</v>
      </c>
      <c r="P42" s="13">
        <v>29</v>
      </c>
      <c r="Q42" s="22">
        <v>3.5668621427453306E-2</v>
      </c>
      <c r="R42" s="19">
        <f t="shared" si="5"/>
        <v>3.7032676936289644E-2</v>
      </c>
      <c r="S42" s="22">
        <v>3.5668447191076424E-2</v>
      </c>
      <c r="T42" s="19">
        <f t="shared" si="6"/>
        <v>3.7037736458609416E-2</v>
      </c>
      <c r="U42" s="24">
        <v>4.0018539022909305E-2</v>
      </c>
      <c r="V42" s="24">
        <f t="shared" si="7"/>
        <v>4.1385066175013918E-2</v>
      </c>
      <c r="W42" s="23">
        <f t="shared" si="10"/>
        <v>3.3564809119437378E-3</v>
      </c>
      <c r="X42" s="24">
        <v>3.9148520431709688E-2</v>
      </c>
      <c r="Y42" s="24">
        <f t="shared" si="8"/>
        <v>4.051560675494037E-2</v>
      </c>
      <c r="Z42" s="23">
        <f t="shared" si="9"/>
        <v>3.2866235827395673E-3</v>
      </c>
      <c r="AA42" s="36"/>
    </row>
    <row r="43" spans="4:27" ht="13.9" customHeight="1" x14ac:dyDescent="0.3">
      <c r="D43" s="121" t="s">
        <v>54</v>
      </c>
      <c r="E43" s="121" t="s">
        <v>61</v>
      </c>
      <c r="F43" s="124" t="s">
        <v>52</v>
      </c>
      <c r="G43" s="121" t="s">
        <v>53</v>
      </c>
      <c r="H43" s="121" t="s">
        <v>56</v>
      </c>
      <c r="I43" s="123"/>
      <c r="J43" s="121" t="s">
        <v>58</v>
      </c>
      <c r="O43" s="12">
        <f t="shared" si="4"/>
        <v>2.5</v>
      </c>
      <c r="P43" s="13">
        <v>30</v>
      </c>
      <c r="Q43" s="22">
        <v>3.5714061024700872E-2</v>
      </c>
      <c r="R43" s="19">
        <f t="shared" si="5"/>
        <v>3.7732519573109524E-2</v>
      </c>
      <c r="S43" s="22">
        <v>3.5714061024688215E-2</v>
      </c>
      <c r="T43" s="19">
        <f t="shared" si="6"/>
        <v>3.7735991334825636E-2</v>
      </c>
      <c r="U43" s="24">
        <v>4.0064061024704056E-2</v>
      </c>
      <c r="V43" s="24">
        <f t="shared" si="7"/>
        <v>4.2084904469154472E-2</v>
      </c>
      <c r="W43" s="23">
        <f t="shared" si="10"/>
        <v>3.3850180692265308E-3</v>
      </c>
      <c r="X43" s="24">
        <v>3.919406102469547E-2</v>
      </c>
      <c r="Y43" s="24">
        <f t="shared" si="8"/>
        <v>4.1215129791612348E-2</v>
      </c>
      <c r="Z43" s="23">
        <f t="shared" si="9"/>
        <v>3.3151802637170213E-3</v>
      </c>
      <c r="AA43" s="36"/>
    </row>
    <row r="44" spans="4:27" ht="13.9" customHeight="1" x14ac:dyDescent="0.3">
      <c r="D44" s="122"/>
      <c r="E44" s="122"/>
      <c r="F44" s="125"/>
      <c r="G44" s="122"/>
      <c r="H44" s="122"/>
      <c r="I44" s="123"/>
      <c r="J44" s="122"/>
      <c r="O44" s="12">
        <f t="shared" si="4"/>
        <v>2.5833333333333335</v>
      </c>
      <c r="P44" s="13">
        <v>31</v>
      </c>
      <c r="Q44" s="22">
        <v>3.5779111269250929E-2</v>
      </c>
      <c r="R44" s="19">
        <f t="shared" si="5"/>
        <v>3.8491453217893934E-2</v>
      </c>
      <c r="S44" s="22">
        <v>3.5779223050558917E-2</v>
      </c>
      <c r="T44" s="19">
        <f t="shared" si="6"/>
        <v>3.8493089575709183E-2</v>
      </c>
      <c r="U44" s="24">
        <v>4.0129188313235753E-2</v>
      </c>
      <c r="V44" s="24">
        <f t="shared" si="7"/>
        <v>4.2843389006016697E-2</v>
      </c>
      <c r="W44" s="23">
        <f t="shared" si="10"/>
        <v>3.4411925403456944E-3</v>
      </c>
      <c r="X44" s="24">
        <v>3.9259195516861967E-2</v>
      </c>
      <c r="Y44" s="24">
        <f t="shared" si="8"/>
        <v>4.1973334874918944E-2</v>
      </c>
      <c r="Z44" s="23">
        <f t="shared" si="9"/>
        <v>3.371372430280406E-3</v>
      </c>
      <c r="AA44" s="36"/>
    </row>
    <row r="45" spans="4:27" ht="13.9" customHeight="1" x14ac:dyDescent="0.3">
      <c r="D45" s="51">
        <v>2021</v>
      </c>
      <c r="E45" s="52">
        <v>2.6499999999999999E-2</v>
      </c>
      <c r="F45" s="59">
        <v>0.02</v>
      </c>
      <c r="G45" s="59">
        <v>4.65E-2</v>
      </c>
      <c r="H45" s="60" t="s">
        <v>26</v>
      </c>
      <c r="I45" s="123"/>
      <c r="J45" s="59">
        <v>4.9500000000000002E-2</v>
      </c>
      <c r="O45" s="12">
        <f t="shared" si="4"/>
        <v>2.6666666666666665</v>
      </c>
      <c r="P45" s="13">
        <v>32</v>
      </c>
      <c r="Q45" s="22">
        <v>3.586376462840235E-2</v>
      </c>
      <c r="R45" s="19">
        <f t="shared" si="5"/>
        <v>3.9238021262036904E-2</v>
      </c>
      <c r="S45" s="22">
        <v>3.5863923932153208E-2</v>
      </c>
      <c r="T45" s="19">
        <f t="shared" si="6"/>
        <v>3.9238129637491515E-2</v>
      </c>
      <c r="U45" s="24">
        <v>4.0213900059830943E-2</v>
      </c>
      <c r="V45" s="24">
        <f t="shared" si="7"/>
        <v>4.3589127533599559E-2</v>
      </c>
      <c r="W45" s="23">
        <f t="shared" si="10"/>
        <v>3.5020353790893299E-3</v>
      </c>
      <c r="X45" s="24">
        <v>3.9343905262143597E-2</v>
      </c>
      <c r="Y45" s="24">
        <f t="shared" si="8"/>
        <v>4.2718929050673315E-2</v>
      </c>
      <c r="Z45" s="23">
        <f t="shared" si="9"/>
        <v>3.432239413442062E-3</v>
      </c>
      <c r="AA45" s="36"/>
    </row>
    <row r="46" spans="4:27" ht="13.9" customHeight="1" x14ac:dyDescent="0.3">
      <c r="D46" s="51">
        <v>2022</v>
      </c>
      <c r="E46" s="52">
        <v>2.5999999999999999E-2</v>
      </c>
      <c r="F46" s="59">
        <v>0.02</v>
      </c>
      <c r="G46" s="59">
        <v>4.5999999999999999E-2</v>
      </c>
      <c r="H46" s="60" t="s">
        <v>26</v>
      </c>
      <c r="I46" s="123"/>
      <c r="J46" s="59">
        <v>4.9500000000000002E-2</v>
      </c>
      <c r="O46" s="12">
        <f t="shared" si="4"/>
        <v>2.75</v>
      </c>
      <c r="P46" s="13">
        <v>33</v>
      </c>
      <c r="Q46" s="22">
        <v>3.5965853683952442E-2</v>
      </c>
      <c r="R46" s="19">
        <f t="shared" si="5"/>
        <v>3.997237275571508E-2</v>
      </c>
      <c r="S46" s="22">
        <v>3.5966011449305446E-2</v>
      </c>
      <c r="T46" s="19">
        <f t="shared" si="6"/>
        <v>3.9971296383307875E-2</v>
      </c>
      <c r="U46" s="24">
        <v>4.0316019114994273E-2</v>
      </c>
      <c r="V46" s="24">
        <f t="shared" si="7"/>
        <v>4.4322259081053694E-2</v>
      </c>
      <c r="W46" s="23">
        <f t="shared" si="10"/>
        <v>3.5618162447896839E-3</v>
      </c>
      <c r="X46" s="24">
        <v>3.9446018030284025E-2</v>
      </c>
      <c r="Y46" s="24">
        <f t="shared" si="8"/>
        <v>4.3452062816572656E-2</v>
      </c>
      <c r="Z46" s="23">
        <f t="shared" si="9"/>
        <v>3.4920544420169453E-3</v>
      </c>
      <c r="AA46" s="36"/>
    </row>
    <row r="47" spans="4:27" ht="13.9" customHeight="1" x14ac:dyDescent="0.3">
      <c r="D47" s="51">
        <v>2023</v>
      </c>
      <c r="E47" s="52">
        <v>2.4500000000000001E-2</v>
      </c>
      <c r="F47" s="59">
        <v>0.02</v>
      </c>
      <c r="G47" s="59">
        <v>4.4499999999999998E-2</v>
      </c>
      <c r="H47" s="60" t="s">
        <v>55</v>
      </c>
      <c r="I47" s="123"/>
      <c r="J47" s="59">
        <v>4.8000000000000001E-2</v>
      </c>
      <c r="O47" s="12">
        <f t="shared" si="4"/>
        <v>2.8333333333333335</v>
      </c>
      <c r="P47" s="13">
        <v>34</v>
      </c>
      <c r="Q47" s="22">
        <v>3.6083471876073414E-2</v>
      </c>
      <c r="R47" s="19">
        <f t="shared" si="5"/>
        <v>4.0694649232845936E-2</v>
      </c>
      <c r="S47" s="22">
        <v>3.6083593479004028E-2</v>
      </c>
      <c r="T47" s="19">
        <f t="shared" si="6"/>
        <v>4.0692767245662731E-2</v>
      </c>
      <c r="U47" s="24">
        <v>4.0433630048839708E-2</v>
      </c>
      <c r="V47" s="24">
        <f t="shared" si="7"/>
        <v>4.5042915235462333E-2</v>
      </c>
      <c r="W47" s="23">
        <f t="shared" si="10"/>
        <v>3.6205483339666333E-3</v>
      </c>
      <c r="X47" s="24">
        <v>3.956362306155814E-2</v>
      </c>
      <c r="Y47" s="24">
        <f t="shared" si="8"/>
        <v>4.4172879201361148E-2</v>
      </c>
      <c r="Z47" s="23">
        <f t="shared" si="9"/>
        <v>3.5508316218066938E-3</v>
      </c>
      <c r="AA47" s="36"/>
    </row>
    <row r="48" spans="4:27" ht="13.9" customHeight="1" x14ac:dyDescent="0.3">
      <c r="D48" s="51">
        <v>2024</v>
      </c>
      <c r="E48" s="52">
        <v>2.1999999999999999E-2</v>
      </c>
      <c r="F48" s="59">
        <v>0.02</v>
      </c>
      <c r="G48" s="59">
        <v>4.1999999999999996E-2</v>
      </c>
      <c r="H48" s="60" t="s">
        <v>57</v>
      </c>
      <c r="I48" s="123"/>
      <c r="J48" s="59">
        <v>4.5499999999999999E-2</v>
      </c>
      <c r="O48" s="12">
        <f t="shared" si="4"/>
        <v>2.9166666666666665</v>
      </c>
      <c r="P48" s="13">
        <v>35</v>
      </c>
      <c r="Q48" s="22">
        <v>3.6214935829606887E-2</v>
      </c>
      <c r="R48" s="19">
        <f t="shared" si="5"/>
        <v>4.1404984904565012E-2</v>
      </c>
      <c r="S48" s="22">
        <v>3.6215000433500899E-2</v>
      </c>
      <c r="T48" s="19">
        <f t="shared" si="6"/>
        <v>4.1402712445111067E-2</v>
      </c>
      <c r="U48" s="24">
        <v>4.0565041355930864E-2</v>
      </c>
      <c r="V48" s="24">
        <f t="shared" si="7"/>
        <v>4.5751220333176468E-2</v>
      </c>
      <c r="W48" s="23">
        <f t="shared" si="10"/>
        <v>3.6782441795479848E-3</v>
      </c>
      <c r="X48" s="24">
        <v>3.9695033306516025E-2</v>
      </c>
      <c r="Y48" s="24">
        <f t="shared" si="8"/>
        <v>4.4881513964047715E-2</v>
      </c>
      <c r="Z48" s="23">
        <f t="shared" si="9"/>
        <v>3.6085843907516235E-3</v>
      </c>
      <c r="AA48" s="36"/>
    </row>
    <row r="49" spans="4:27" ht="13.9" customHeight="1" x14ac:dyDescent="0.3">
      <c r="D49" s="51">
        <v>2025</v>
      </c>
      <c r="E49" s="52">
        <v>2.1500000000000002E-2</v>
      </c>
      <c r="F49" s="59">
        <v>0.02</v>
      </c>
      <c r="G49" s="59">
        <v>4.1500000000000002E-2</v>
      </c>
      <c r="H49" s="60" t="s">
        <v>57</v>
      </c>
      <c r="I49" s="123"/>
      <c r="J49" s="59">
        <v>4.2999999999999997E-2</v>
      </c>
      <c r="O49" s="12">
        <f t="shared" si="4"/>
        <v>3</v>
      </c>
      <c r="P49" s="13">
        <v>36</v>
      </c>
      <c r="Q49" s="22">
        <v>3.6358753995615833E-2</v>
      </c>
      <c r="R49" s="19">
        <f t="shared" si="5"/>
        <v>4.2085701287278177E-2</v>
      </c>
      <c r="S49" s="22">
        <v>3.6358753995603399E-2</v>
      </c>
      <c r="T49" s="19">
        <f t="shared" si="6"/>
        <v>4.2083354120060479E-2</v>
      </c>
      <c r="U49" s="24">
        <v>4.0708753995618574E-2</v>
      </c>
      <c r="V49" s="24">
        <f t="shared" si="7"/>
        <v>4.6429704821884243E-2</v>
      </c>
      <c r="W49" s="23">
        <f t="shared" si="10"/>
        <v>3.734915669588057E-3</v>
      </c>
      <c r="X49" s="24">
        <v>3.9838753995611098E-2</v>
      </c>
      <c r="Y49" s="24">
        <f t="shared" si="8"/>
        <v>4.5560436016623074E-2</v>
      </c>
      <c r="Z49" s="23">
        <f t="shared" si="9"/>
        <v>3.665325538390718E-3</v>
      </c>
      <c r="AA49" s="36"/>
    </row>
    <row r="50" spans="4:27" ht="13.9" customHeight="1" x14ac:dyDescent="0.3">
      <c r="D50" s="51">
        <v>2026</v>
      </c>
      <c r="E50" s="52">
        <v>2.1999999999999999E-2</v>
      </c>
      <c r="F50" s="59">
        <v>0.02</v>
      </c>
      <c r="G50" s="59">
        <v>4.1999999999999996E-2</v>
      </c>
      <c r="H50" s="60" t="s">
        <v>26</v>
      </c>
      <c r="I50" s="126"/>
      <c r="J50" s="61">
        <v>4.2999999999999997E-2</v>
      </c>
      <c r="O50" s="12">
        <f t="shared" si="4"/>
        <v>3.0833333333333335</v>
      </c>
      <c r="P50" s="13">
        <v>37</v>
      </c>
      <c r="Q50" s="22">
        <v>3.6513121753622313E-2</v>
      </c>
      <c r="R50" s="19">
        <f t="shared" si="5"/>
        <v>4.2665548545231857E-2</v>
      </c>
      <c r="S50" s="22">
        <v>3.6513058655819997E-2</v>
      </c>
      <c r="T50" s="19">
        <f t="shared" si="6"/>
        <v>4.2663009378139938E-2</v>
      </c>
      <c r="U50" s="24">
        <v>4.0862962276321024E-2</v>
      </c>
      <c r="V50" s="24">
        <f t="shared" si="7"/>
        <v>4.7008010869037609E-2</v>
      </c>
      <c r="W50" s="23">
        <f t="shared" si="10"/>
        <v>3.7891682273962779E-3</v>
      </c>
      <c r="X50" s="24">
        <v>3.9992981589634935E-2</v>
      </c>
      <c r="Y50" s="24">
        <f t="shared" si="8"/>
        <v>4.613901609466331E-2</v>
      </c>
      <c r="Z50" s="23">
        <f t="shared" si="9"/>
        <v>3.7196544797954978E-3</v>
      </c>
      <c r="AA50" s="36"/>
    </row>
    <row r="51" spans="4:27" ht="13.9" customHeight="1" x14ac:dyDescent="0.3">
      <c r="D51" s="107" t="s">
        <v>62</v>
      </c>
      <c r="E51" s="107"/>
      <c r="F51" s="107"/>
      <c r="G51" s="107"/>
      <c r="H51" s="107"/>
      <c r="I51" s="107"/>
      <c r="J51" s="107"/>
      <c r="O51" s="12">
        <f t="shared" si="4"/>
        <v>3.1666666666666665</v>
      </c>
      <c r="P51" s="13">
        <v>38</v>
      </c>
      <c r="Q51" s="22">
        <v>3.6674561673605943E-2</v>
      </c>
      <c r="R51" s="19">
        <f t="shared" si="5"/>
        <v>4.3126448188248956E-2</v>
      </c>
      <c r="S51" s="22">
        <v>3.667443379037949E-2</v>
      </c>
      <c r="T51" s="19">
        <f t="shared" si="6"/>
        <v>4.3123700479869465E-2</v>
      </c>
      <c r="U51" s="24">
        <v>4.1024211083619866E-2</v>
      </c>
      <c r="V51" s="24">
        <f t="shared" si="7"/>
        <v>4.7468343568179971E-2</v>
      </c>
      <c r="W51" s="23">
        <f t="shared" si="10"/>
        <v>3.8353849295593712E-3</v>
      </c>
      <c r="X51" s="24">
        <v>4.0154255807768546E-2</v>
      </c>
      <c r="Y51" s="24">
        <f t="shared" si="8"/>
        <v>4.6599422025340953E-2</v>
      </c>
      <c r="Z51" s="23">
        <f t="shared" si="9"/>
        <v>3.7659283040694103E-3</v>
      </c>
      <c r="AA51" s="36"/>
    </row>
    <row r="52" spans="4:27" ht="13.9" customHeight="1" x14ac:dyDescent="0.3">
      <c r="D52" s="108"/>
      <c r="E52" s="108"/>
      <c r="F52" s="108"/>
      <c r="G52" s="108"/>
      <c r="H52" s="108"/>
      <c r="I52" s="108"/>
      <c r="J52" s="108"/>
      <c r="O52" s="12">
        <f t="shared" si="4"/>
        <v>3.25</v>
      </c>
      <c r="P52" s="13">
        <v>39</v>
      </c>
      <c r="Q52" s="22">
        <v>3.6839495108667464E-2</v>
      </c>
      <c r="R52" s="19">
        <f t="shared" si="5"/>
        <v>4.3468082907897498E-2</v>
      </c>
      <c r="S52" s="22">
        <v>3.6839300455159707E-2</v>
      </c>
      <c r="T52" s="19">
        <f t="shared" si="6"/>
        <v>4.3465363845453409E-2</v>
      </c>
      <c r="U52" s="24">
        <v>4.1188948968790218E-2</v>
      </c>
      <c r="V52" s="24">
        <f t="shared" si="7"/>
        <v>4.7810459781118197E-2</v>
      </c>
      <c r="W52" s="23">
        <f t="shared" si="10"/>
        <v>3.8721567876176533E-3</v>
      </c>
      <c r="X52" s="24">
        <v>4.0319019626478436E-2</v>
      </c>
      <c r="Y52" s="24">
        <f t="shared" si="8"/>
        <v>4.6941447636980715E-2</v>
      </c>
      <c r="Z52" s="23">
        <f t="shared" si="9"/>
        <v>3.8027340078761185E-3</v>
      </c>
      <c r="AA52" s="36"/>
    </row>
    <row r="53" spans="4:27" ht="13.9" customHeight="1" x14ac:dyDescent="0.3">
      <c r="D53" s="109" t="s">
        <v>63</v>
      </c>
      <c r="E53" s="109"/>
      <c r="F53" s="109"/>
      <c r="G53" s="109"/>
      <c r="H53" s="109"/>
      <c r="I53" s="109"/>
      <c r="J53" s="109"/>
      <c r="O53" s="12">
        <f t="shared" si="4"/>
        <v>3.3333333333333335</v>
      </c>
      <c r="P53" s="13">
        <v>40</v>
      </c>
      <c r="Q53" s="22">
        <v>3.7004695497041551E-2</v>
      </c>
      <c r="R53" s="19">
        <f t="shared" si="5"/>
        <v>4.3690129157747837E-2</v>
      </c>
      <c r="S53" s="22">
        <v>3.7004438124053962E-2</v>
      </c>
      <c r="T53" s="19">
        <f t="shared" si="6"/>
        <v>4.3687928663701525E-2</v>
      </c>
      <c r="U53" s="24">
        <v>4.1353975662762332E-2</v>
      </c>
      <c r="V53" s="24">
        <f t="shared" si="7"/>
        <v>4.8034112823920339E-2</v>
      </c>
      <c r="W53" s="23">
        <f t="shared" si="10"/>
        <v>3.8994757945340908E-3</v>
      </c>
      <c r="X53" s="24">
        <v>4.0484068683398267E-2</v>
      </c>
      <c r="Y53" s="24">
        <f t="shared" si="8"/>
        <v>4.7164882181807366E-2</v>
      </c>
      <c r="Z53" s="23">
        <f t="shared" si="9"/>
        <v>3.8300665625199404E-3</v>
      </c>
      <c r="AA53" s="36"/>
    </row>
    <row r="54" spans="4:27" ht="13.9" customHeight="1" x14ac:dyDescent="0.3">
      <c r="D54" s="109"/>
      <c r="E54" s="109"/>
      <c r="F54" s="109"/>
      <c r="G54" s="109"/>
      <c r="H54" s="109"/>
      <c r="I54" s="109"/>
      <c r="J54" s="109"/>
      <c r="O54" s="12">
        <f t="shared" si="4"/>
        <v>3.4166666666666665</v>
      </c>
      <c r="P54" s="13">
        <v>41</v>
      </c>
      <c r="Q54" s="22">
        <v>3.7167244229895147E-2</v>
      </c>
      <c r="R54" s="19">
        <f t="shared" si="5"/>
        <v>4.3792268688526592E-2</v>
      </c>
      <c r="S54" s="22">
        <v>3.7166939759741391E-2</v>
      </c>
      <c r="T54" s="19">
        <f t="shared" si="6"/>
        <v>4.379132819697662E-2</v>
      </c>
      <c r="U54" s="24">
        <v>4.1516398140091448E-2</v>
      </c>
      <c r="V54" s="24">
        <f t="shared" si="7"/>
        <v>4.8139063710366248E-2</v>
      </c>
      <c r="W54" s="23">
        <f t="shared" si="10"/>
        <v>3.9173307421183079E-3</v>
      </c>
      <c r="X54" s="24">
        <v>4.0646507131398613E-2</v>
      </c>
      <c r="Y54" s="24">
        <f t="shared" si="8"/>
        <v>4.7269521588096941E-2</v>
      </c>
      <c r="Z54" s="23">
        <f t="shared" si="9"/>
        <v>3.8479176386514435E-3</v>
      </c>
      <c r="AA54" s="36"/>
    </row>
    <row r="55" spans="4:27" ht="13.9" customHeight="1" x14ac:dyDescent="0.3">
      <c r="D55" s="109"/>
      <c r="E55" s="109"/>
      <c r="F55" s="109"/>
      <c r="G55" s="109"/>
      <c r="H55" s="109"/>
      <c r="I55" s="109"/>
      <c r="J55" s="109"/>
      <c r="O55" s="12">
        <f t="shared" si="4"/>
        <v>3.5</v>
      </c>
      <c r="P55" s="13">
        <v>42</v>
      </c>
      <c r="Q55" s="22">
        <v>3.7324493175016737E-2</v>
      </c>
      <c r="R55" s="19">
        <f t="shared" si="5"/>
        <v>4.3774570312974381E-2</v>
      </c>
      <c r="S55" s="22">
        <v>3.7324173655183479E-2</v>
      </c>
      <c r="T55" s="19">
        <f t="shared" si="6"/>
        <v>4.3775511123352429E-2</v>
      </c>
      <c r="U55" s="24">
        <v>4.1673593304210943E-2</v>
      </c>
      <c r="V55" s="24">
        <f t="shared" si="7"/>
        <v>4.8125092483952248E-2</v>
      </c>
      <c r="W55" s="23">
        <f t="shared" si="10"/>
        <v>3.9257081076475853E-3</v>
      </c>
      <c r="X55" s="24">
        <v>4.0803710145369543E-2</v>
      </c>
      <c r="Y55" s="24">
        <f t="shared" si="8"/>
        <v>4.7255179792114355E-2</v>
      </c>
      <c r="Z55" s="23">
        <f t="shared" si="9"/>
        <v>3.8562764973593122E-3</v>
      </c>
      <c r="AA55" s="36"/>
    </row>
    <row r="56" spans="4:27" ht="13.9" customHeight="1" x14ac:dyDescent="0.3">
      <c r="O56" s="12">
        <f t="shared" si="4"/>
        <v>3.5833333333333335</v>
      </c>
      <c r="P56" s="13">
        <v>43</v>
      </c>
      <c r="Q56" s="22">
        <v>3.747404131697496E-2</v>
      </c>
      <c r="R56" s="19">
        <f t="shared" si="5"/>
        <v>4.3638243253450781E-2</v>
      </c>
      <c r="S56" s="22">
        <v>3.7473750930066441E-2</v>
      </c>
      <c r="T56" s="19">
        <f t="shared" si="6"/>
        <v>4.3640452902765414E-2</v>
      </c>
      <c r="U56" s="24">
        <v>4.1823176204448087E-2</v>
      </c>
      <c r="V56" s="24">
        <f t="shared" si="7"/>
        <v>4.7992009628170962E-2</v>
      </c>
      <c r="W56" s="23">
        <f t="shared" si="10"/>
        <v>3.924592943993277E-3</v>
      </c>
      <c r="X56" s="24">
        <v>4.095329198671771E-2</v>
      </c>
      <c r="Y56" s="24">
        <f t="shared" si="8"/>
        <v>4.7121700136385503E-2</v>
      </c>
      <c r="Z56" s="23">
        <f t="shared" si="9"/>
        <v>3.8551308839345211E-3</v>
      </c>
      <c r="AA56" s="36"/>
    </row>
    <row r="57" spans="4:27" ht="13.9" customHeight="1" x14ac:dyDescent="0.3">
      <c r="O57" s="12">
        <f t="shared" si="4"/>
        <v>3.6666666666666665</v>
      </c>
      <c r="P57" s="13">
        <v>44</v>
      </c>
      <c r="Q57" s="22">
        <v>3.7613731668133754E-2</v>
      </c>
      <c r="R57" s="19">
        <f t="shared" si="5"/>
        <v>4.3383428547384417E-2</v>
      </c>
      <c r="S57" s="22">
        <v>3.7613497772057469E-2</v>
      </c>
      <c r="T57" s="19">
        <f t="shared" si="6"/>
        <v>4.3386167153734778E-2</v>
      </c>
      <c r="U57" s="24">
        <v>4.1962972896087525E-2</v>
      </c>
      <c r="V57" s="24">
        <f t="shared" si="7"/>
        <v>4.7739667532554764E-2</v>
      </c>
      <c r="W57" s="23">
        <f t="shared" si="10"/>
        <v>3.9139697743730828E-3</v>
      </c>
      <c r="X57" s="24">
        <v>4.1093078732334476E-2</v>
      </c>
      <c r="Y57" s="24">
        <f t="shared" si="8"/>
        <v>4.686896681801711E-2</v>
      </c>
      <c r="Z57" s="23">
        <f t="shared" si="9"/>
        <v>3.8444679251732339E-3</v>
      </c>
      <c r="AA57" s="36"/>
    </row>
    <row r="58" spans="4:27" ht="13.9" customHeight="1" x14ac:dyDescent="0.3">
      <c r="O58" s="12">
        <f t="shared" si="4"/>
        <v>3.75</v>
      </c>
      <c r="P58" s="13">
        <v>45</v>
      </c>
      <c r="Q58" s="22">
        <v>3.7741599874522747E-2</v>
      </c>
      <c r="R58" s="19">
        <f t="shared" si="5"/>
        <v>4.3009947996649256E-2</v>
      </c>
      <c r="S58" s="22">
        <v>3.7741431676707515E-2</v>
      </c>
      <c r="T58" s="19">
        <f t="shared" si="6"/>
        <v>4.3012717015250557E-2</v>
      </c>
      <c r="U58" s="24">
        <v>4.209099721462839E-2</v>
      </c>
      <c r="V58" s="24">
        <f t="shared" si="7"/>
        <v>4.7367971994835001E-2</v>
      </c>
      <c r="W58" s="23">
        <f t="shared" si="10"/>
        <v>3.8938234918877157E-3</v>
      </c>
      <c r="X58" s="24">
        <v>4.1221084935617158E-2</v>
      </c>
      <c r="Y58" s="24">
        <f t="shared" si="8"/>
        <v>4.6496916360363461E-2</v>
      </c>
      <c r="Z58" s="23">
        <f t="shared" si="9"/>
        <v>3.8242750308892237E-3</v>
      </c>
      <c r="AA58" s="36"/>
    </row>
    <row r="59" spans="4:27" ht="13.9" customHeight="1" x14ac:dyDescent="0.3">
      <c r="O59" s="12">
        <f t="shared" si="4"/>
        <v>3.8333333333333335</v>
      </c>
      <c r="P59" s="13">
        <v>46</v>
      </c>
      <c r="Q59" s="22">
        <v>3.7855845732009952E-2</v>
      </c>
      <c r="R59" s="19">
        <f t="shared" si="5"/>
        <v>4.2517685377934766E-2</v>
      </c>
      <c r="S59" s="22">
        <v>3.7855741071060711E-2</v>
      </c>
      <c r="T59" s="19">
        <f t="shared" si="6"/>
        <v>4.2520226465932565E-2</v>
      </c>
      <c r="U59" s="24">
        <v>4.2205430863647697E-2</v>
      </c>
      <c r="V59" s="24">
        <f t="shared" si="7"/>
        <v>4.6876893726291335E-2</v>
      </c>
      <c r="W59" s="23">
        <f t="shared" si="10"/>
        <v>3.8641402642560774E-3</v>
      </c>
      <c r="X59" s="24">
        <v>4.1335493615872521E-2</v>
      </c>
      <c r="Y59" s="24">
        <f t="shared" si="8"/>
        <v>4.6005549081175934E-2</v>
      </c>
      <c r="Z59" s="23">
        <f t="shared" si="9"/>
        <v>3.7945407994839364E-3</v>
      </c>
      <c r="AA59" s="36"/>
    </row>
    <row r="60" spans="4:27" ht="13.9" customHeight="1" x14ac:dyDescent="0.3">
      <c r="O60" s="12">
        <f t="shared" si="4"/>
        <v>3.9166666666666665</v>
      </c>
      <c r="P60" s="13">
        <v>47</v>
      </c>
      <c r="Q60" s="22">
        <v>3.7954816426639892E-2</v>
      </c>
      <c r="R60" s="19">
        <f t="shared" si="5"/>
        <v>4.190659796527707E-2</v>
      </c>
      <c r="S60" s="22">
        <v>3.7954767811750001E-2</v>
      </c>
      <c r="T60" s="19">
        <f t="shared" si="6"/>
        <v>4.1908891566339257E-2</v>
      </c>
      <c r="U60" s="24">
        <v>4.2304606318802396E-2</v>
      </c>
      <c r="V60" s="24">
        <f t="shared" si="7"/>
        <v>4.6266479819813799E-2</v>
      </c>
      <c r="W60" s="23">
        <f t="shared" si="10"/>
        <v>3.8249084431234426E-3</v>
      </c>
      <c r="X60" s="24">
        <v>4.1434639076218582E-2</v>
      </c>
      <c r="Y60" s="24">
        <f t="shared" si="8"/>
        <v>4.5394940516260585E-2</v>
      </c>
      <c r="Z60" s="23">
        <f t="shared" si="9"/>
        <v>3.7552559274329766E-3</v>
      </c>
      <c r="AA60" s="36"/>
    </row>
    <row r="61" spans="4:27" ht="13.9" customHeight="1" x14ac:dyDescent="0.3">
      <c r="O61" s="12">
        <f t="shared" si="4"/>
        <v>4</v>
      </c>
      <c r="P61" s="13">
        <v>48</v>
      </c>
      <c r="Q61" s="22">
        <v>3.8036992133902991E-2</v>
      </c>
      <c r="R61" s="19">
        <f t="shared" si="5"/>
        <v>4.1210745187080455E-2</v>
      </c>
      <c r="S61" s="22">
        <v>3.8036992133890779E-2</v>
      </c>
      <c r="T61" s="19">
        <f t="shared" si="6"/>
        <v>4.1212980473647631E-2</v>
      </c>
      <c r="U61" s="24">
        <v>4.2386992133905954E-2</v>
      </c>
      <c r="V61" s="24">
        <f t="shared" si="7"/>
        <v>4.5570847681572157E-2</v>
      </c>
      <c r="W61" s="23">
        <f t="shared" si="10"/>
        <v>3.7761194767260697E-3</v>
      </c>
      <c r="X61" s="24">
        <v>4.1516992133898922E-2</v>
      </c>
      <c r="Y61" s="24">
        <f t="shared" si="8"/>
        <v>4.4699239191061668E-2</v>
      </c>
      <c r="Z61" s="23">
        <f t="shared" si="9"/>
        <v>3.7064141214215862E-3</v>
      </c>
      <c r="AA61" s="36"/>
    </row>
    <row r="62" spans="4:27" ht="13.9" customHeight="1" x14ac:dyDescent="0.3">
      <c r="O62" s="12">
        <f t="shared" si="4"/>
        <v>4.083333333333333</v>
      </c>
      <c r="P62" s="13">
        <v>49</v>
      </c>
      <c r="Q62" s="22">
        <v>3.8101665803913498E-2</v>
      </c>
      <c r="R62" s="19">
        <f t="shared" si="5"/>
        <v>4.0566251314467783E-2</v>
      </c>
      <c r="S62" s="22">
        <v>3.8101711285730255E-2</v>
      </c>
      <c r="T62" s="19">
        <f t="shared" si="6"/>
        <v>4.0568599615845358E-2</v>
      </c>
      <c r="U62" s="24">
        <v>4.2451871766373328E-2</v>
      </c>
      <c r="V62" s="24">
        <f t="shared" si="7"/>
        <v>4.4926032570099306E-2</v>
      </c>
      <c r="W62" s="23">
        <f t="shared" si="10"/>
        <v>3.720487393950922E-3</v>
      </c>
      <c r="X62" s="24">
        <v>4.1581838957136075E-2</v>
      </c>
      <c r="Y62" s="24">
        <f t="shared" si="8"/>
        <v>4.4054503257840327E-2</v>
      </c>
      <c r="Z62" s="23">
        <f t="shared" si="9"/>
        <v>3.6507339718199194E-3</v>
      </c>
      <c r="AA62" s="36"/>
    </row>
    <row r="63" spans="4:27" ht="13.9" customHeight="1" x14ac:dyDescent="0.3">
      <c r="O63" s="12">
        <f t="shared" si="4"/>
        <v>4.166666666666667</v>
      </c>
      <c r="P63" s="13">
        <v>50</v>
      </c>
      <c r="Q63" s="22">
        <v>3.815090026166712E-2</v>
      </c>
      <c r="R63" s="19">
        <f t="shared" si="5"/>
        <v>4.0007145978819381E-2</v>
      </c>
      <c r="S63" s="22">
        <v>3.8150991692922132E-2</v>
      </c>
      <c r="T63" s="19">
        <f t="shared" si="6"/>
        <v>4.0009600823245561E-2</v>
      </c>
      <c r="U63" s="24">
        <v>4.2501297525007198E-2</v>
      </c>
      <c r="V63" s="24">
        <f t="shared" si="7"/>
        <v>4.4365999255845612E-2</v>
      </c>
      <c r="W63" s="23">
        <f t="shared" si="10"/>
        <v>3.6688890133016461E-3</v>
      </c>
      <c r="X63" s="24">
        <v>4.1631234807279593E-2</v>
      </c>
      <c r="Y63" s="24">
        <f t="shared" si="8"/>
        <v>4.3494675857882026E-2</v>
      </c>
      <c r="Z63" s="23">
        <f t="shared" si="9"/>
        <v>3.5991024610049216E-3</v>
      </c>
      <c r="AA63" s="36"/>
    </row>
    <row r="64" spans="4:27" ht="13.9" customHeight="1" x14ac:dyDescent="0.3">
      <c r="O64" s="12">
        <f t="shared" si="4"/>
        <v>4.25</v>
      </c>
      <c r="P64" s="13">
        <v>51</v>
      </c>
      <c r="Q64" s="22">
        <v>3.8187265372691126E-2</v>
      </c>
      <c r="R64" s="19">
        <f t="shared" si="5"/>
        <v>3.9533430717897389E-2</v>
      </c>
      <c r="S64" s="22">
        <v>3.8187403064240621E-2</v>
      </c>
      <c r="T64" s="19">
        <f t="shared" si="6"/>
        <v>3.9535802590490832E-2</v>
      </c>
      <c r="U64" s="24">
        <v>4.253782828344943E-2</v>
      </c>
      <c r="V64" s="24">
        <f t="shared" si="7"/>
        <v>4.3890705834473742E-2</v>
      </c>
      <c r="W64" s="23">
        <f t="shared" si="10"/>
        <v>3.6240512194616326E-3</v>
      </c>
      <c r="X64" s="24">
        <v>4.1667740863079228E-2</v>
      </c>
      <c r="Y64" s="24">
        <f t="shared" si="8"/>
        <v>4.3019685725553147E-2</v>
      </c>
      <c r="Z64" s="23">
        <f t="shared" si="9"/>
        <v>3.5542468523779291E-3</v>
      </c>
      <c r="AA64" s="36"/>
    </row>
    <row r="65" spans="15:27" ht="13.9" customHeight="1" x14ac:dyDescent="0.3">
      <c r="O65" s="12">
        <f t="shared" si="4"/>
        <v>4.333333333333333</v>
      </c>
      <c r="P65" s="13">
        <v>52</v>
      </c>
      <c r="Q65" s="22">
        <v>3.8213136720931073E-2</v>
      </c>
      <c r="R65" s="19">
        <f t="shared" si="5"/>
        <v>3.9145098589399296E-2</v>
      </c>
      <c r="S65" s="22">
        <v>3.8213317322888463E-2</v>
      </c>
      <c r="T65" s="19">
        <f t="shared" si="6"/>
        <v>3.9147016434068815E-2</v>
      </c>
      <c r="U65" s="24">
        <v>4.2563828617478983E-2</v>
      </c>
      <c r="V65" s="24">
        <f t="shared" si="7"/>
        <v>4.3500099901618405E-2</v>
      </c>
      <c r="W65" s="23">
        <f t="shared" si="10"/>
        <v>3.5859806389670901E-3</v>
      </c>
      <c r="X65" s="24">
        <v>4.1693723269794924E-2</v>
      </c>
      <c r="Y65" s="24">
        <f t="shared" si="8"/>
        <v>4.2629452012990621E-2</v>
      </c>
      <c r="Z65" s="23">
        <f t="shared" si="9"/>
        <v>3.5161714430780311E-3</v>
      </c>
      <c r="AA65" s="36"/>
    </row>
    <row r="66" spans="15:27" ht="13.9" customHeight="1" x14ac:dyDescent="0.3">
      <c r="O66" s="12">
        <f t="shared" si="4"/>
        <v>4.416666666666667</v>
      </c>
      <c r="P66" s="13">
        <v>53</v>
      </c>
      <c r="Q66" s="22">
        <v>3.8230713168321495E-2</v>
      </c>
      <c r="R66" s="19">
        <f t="shared" si="5"/>
        <v>3.8842140040451723E-2</v>
      </c>
      <c r="S66" s="22">
        <v>3.8230926519574826E-2</v>
      </c>
      <c r="T66" s="19">
        <f t="shared" si="6"/>
        <v>3.8843052655668897E-2</v>
      </c>
      <c r="U66" s="24">
        <v>4.258148633546055E-2</v>
      </c>
      <c r="V66" s="24">
        <f t="shared" si="7"/>
        <v>4.3194124295037772E-2</v>
      </c>
      <c r="W66" s="23">
        <f t="shared" si="10"/>
        <v>3.5546815542573107E-3</v>
      </c>
      <c r="X66" s="24">
        <v>4.1711370753678478E-2</v>
      </c>
      <c r="Y66" s="24">
        <f t="shared" si="8"/>
        <v>4.232389003753978E-2</v>
      </c>
      <c r="Z66" s="23">
        <f t="shared" si="9"/>
        <v>3.4848782489653729E-3</v>
      </c>
      <c r="AA66" s="36"/>
    </row>
    <row r="67" spans="15:27" ht="13.9" customHeight="1" x14ac:dyDescent="0.3">
      <c r="O67" s="12">
        <f t="shared" si="4"/>
        <v>4.5</v>
      </c>
      <c r="P67" s="13">
        <v>54</v>
      </c>
      <c r="Q67" s="22">
        <v>3.8242032617144872E-2</v>
      </c>
      <c r="R67" s="19">
        <f t="shared" si="5"/>
        <v>3.862428649121008E-2</v>
      </c>
      <c r="S67" s="22">
        <v>3.8242258910246907E-2</v>
      </c>
      <c r="T67" s="19">
        <f t="shared" si="6"/>
        <v>3.8623726058912622E-2</v>
      </c>
      <c r="U67" s="24">
        <v>4.259282821255983E-2</v>
      </c>
      <c r="V67" s="24">
        <f t="shared" si="7"/>
        <v>4.2972722819755393E-2</v>
      </c>
      <c r="W67" s="23">
        <f t="shared" si="10"/>
        <v>3.5301563587755158E-3</v>
      </c>
      <c r="X67" s="24">
        <v>4.1722710431616461E-2</v>
      </c>
      <c r="Y67" s="24">
        <f t="shared" si="8"/>
        <v>4.2102917005724771E-2</v>
      </c>
      <c r="Z67" s="23">
        <f t="shared" si="9"/>
        <v>3.4603674623252534E-3</v>
      </c>
      <c r="AA67" s="36"/>
    </row>
    <row r="68" spans="15:27" ht="13.9" customHeight="1" x14ac:dyDescent="0.3">
      <c r="O68" s="12">
        <f t="shared" si="4"/>
        <v>4.583333333333333</v>
      </c>
      <c r="P68" s="13">
        <v>55</v>
      </c>
      <c r="Q68" s="22">
        <v>3.8248981431731943E-2</v>
      </c>
      <c r="R68" s="19">
        <f t="shared" si="5"/>
        <v>3.8490491516421477E-2</v>
      </c>
      <c r="S68" s="22">
        <v>3.8249193425899497E-2</v>
      </c>
      <c r="T68" s="19">
        <f t="shared" si="6"/>
        <v>3.8488861622566706E-2</v>
      </c>
      <c r="U68" s="24">
        <v>4.2599734152013013E-2</v>
      </c>
      <c r="V68" s="24">
        <f t="shared" si="7"/>
        <v>4.2835845958530072E-2</v>
      </c>
      <c r="W68" s="23">
        <f t="shared" si="10"/>
        <v>3.5124060133457924E-3</v>
      </c>
      <c r="X68" s="24">
        <v>4.1729622040132863E-2</v>
      </c>
      <c r="Y68" s="24">
        <f t="shared" si="8"/>
        <v>4.1966457717960148E-2</v>
      </c>
      <c r="Z68" s="23">
        <f t="shared" si="9"/>
        <v>3.442637910256563E-3</v>
      </c>
      <c r="AA68" s="36"/>
    </row>
    <row r="69" spans="15:27" ht="13.9" customHeight="1" x14ac:dyDescent="0.3">
      <c r="O69" s="12">
        <f t="shared" si="4"/>
        <v>4.666666666666667</v>
      </c>
      <c r="P69" s="13">
        <v>56</v>
      </c>
      <c r="Q69" s="22">
        <v>3.825329361925589E-2</v>
      </c>
      <c r="R69" s="19">
        <f t="shared" si="5"/>
        <v>3.8440509831854985E-2</v>
      </c>
      <c r="S69" s="22">
        <v>3.8253472730049864E-2</v>
      </c>
      <c r="T69" s="19">
        <f t="shared" si="6"/>
        <v>3.8438300134767234E-2</v>
      </c>
      <c r="U69" s="24">
        <v>4.2603949965448695E-2</v>
      </c>
      <c r="V69" s="24">
        <f t="shared" si="7"/>
        <v>4.2783456570063549E-2</v>
      </c>
      <c r="W69" s="23">
        <f t="shared" si="10"/>
        <v>3.5014305033014281E-3</v>
      </c>
      <c r="X69" s="24">
        <v>4.1733850776569215E-2</v>
      </c>
      <c r="Y69" s="24">
        <f t="shared" si="8"/>
        <v>4.191445025305196E-2</v>
      </c>
      <c r="Z69" s="23">
        <f t="shared" si="9"/>
        <v>3.4316875133715286E-3</v>
      </c>
      <c r="AA69" s="36"/>
    </row>
    <row r="70" spans="15:27" ht="13.9" customHeight="1" x14ac:dyDescent="0.3">
      <c r="O70" s="12">
        <f t="shared" si="4"/>
        <v>4.75</v>
      </c>
      <c r="P70" s="13">
        <v>57</v>
      </c>
      <c r="Q70" s="22">
        <v>3.8256577823316151E-2</v>
      </c>
      <c r="R70" s="19">
        <f t="shared" si="5"/>
        <v>3.8474378336494031E-2</v>
      </c>
      <c r="S70" s="22">
        <v>3.8256715032575661E-2</v>
      </c>
      <c r="T70" s="19">
        <f t="shared" si="6"/>
        <v>3.8471903794386364E-2</v>
      </c>
      <c r="U70" s="24">
        <v>4.260709893780823E-2</v>
      </c>
      <c r="V70" s="24">
        <f t="shared" si="7"/>
        <v>4.2815535580482011E-2</v>
      </c>
      <c r="W70" s="23">
        <f t="shared" si="10"/>
        <v>3.4972292958417306E-3</v>
      </c>
      <c r="X70" s="24">
        <v>4.1737018918641677E-2</v>
      </c>
      <c r="Y70" s="24">
        <f t="shared" si="8"/>
        <v>4.1946851644607985E-2</v>
      </c>
      <c r="Z70" s="23">
        <f t="shared" si="9"/>
        <v>3.4275137440074044E-3</v>
      </c>
      <c r="AA70" s="36"/>
    </row>
    <row r="71" spans="15:27" ht="13.9" customHeight="1" x14ac:dyDescent="0.3">
      <c r="O71" s="12">
        <f t="shared" si="4"/>
        <v>4.833333333333333</v>
      </c>
      <c r="P71" s="13">
        <v>58</v>
      </c>
      <c r="Q71" s="22">
        <v>3.8260332617550352E-2</v>
      </c>
      <c r="R71" s="19">
        <f t="shared" si="5"/>
        <v>3.859215954232087E-2</v>
      </c>
      <c r="S71" s="22">
        <v>3.8260424805839799E-2</v>
      </c>
      <c r="T71" s="19">
        <f t="shared" si="6"/>
        <v>3.8589561791175786E-2</v>
      </c>
      <c r="U71" s="24">
        <v>4.2610692320039556E-2</v>
      </c>
      <c r="V71" s="24">
        <f t="shared" si="7"/>
        <v>4.2932087676404107E-2</v>
      </c>
      <c r="W71" s="23">
        <f t="shared" si="10"/>
        <v>3.4998017973515427E-3</v>
      </c>
      <c r="X71" s="24">
        <v>4.174063636623182E-2</v>
      </c>
      <c r="Y71" s="24">
        <f t="shared" si="8"/>
        <v>4.2063643550526608E-2</v>
      </c>
      <c r="Z71" s="23">
        <f t="shared" si="9"/>
        <v>3.4301140842085687E-3</v>
      </c>
      <c r="AA71" s="36"/>
    </row>
    <row r="72" spans="15:27" ht="13.9" customHeight="1" x14ac:dyDescent="0.3">
      <c r="O72" s="12">
        <f t="shared" si="4"/>
        <v>4.916666666666667</v>
      </c>
      <c r="P72" s="13">
        <v>59</v>
      </c>
      <c r="Q72" s="22">
        <v>3.8265955919393635E-2</v>
      </c>
      <c r="R72" s="19">
        <f t="shared" si="5"/>
        <v>3.8793947278011887E-2</v>
      </c>
      <c r="S72" s="22">
        <v>3.8266002529750986E-2</v>
      </c>
      <c r="T72" s="19">
        <f t="shared" si="6"/>
        <v>3.879119587150015E-2</v>
      </c>
      <c r="U72" s="24">
        <v>4.2616138873754705E-2</v>
      </c>
      <c r="V72" s="24">
        <f t="shared" si="7"/>
        <v>4.3133147010726569E-2</v>
      </c>
      <c r="W72" s="23">
        <f t="shared" si="10"/>
        <v>3.5091478106326068E-3</v>
      </c>
      <c r="X72" s="24">
        <v>4.1746110230071576E-2</v>
      </c>
      <c r="Y72" s="24">
        <f t="shared" si="8"/>
        <v>4.2264837932956212E-2</v>
      </c>
      <c r="Z72" s="23">
        <f t="shared" si="9"/>
        <v>3.4394864828586336E-3</v>
      </c>
      <c r="AA72" s="36"/>
    </row>
    <row r="73" spans="15:27" ht="13.9" customHeight="1" x14ac:dyDescent="0.3">
      <c r="O73" s="12">
        <f t="shared" si="4"/>
        <v>5</v>
      </c>
      <c r="P73" s="13">
        <v>60</v>
      </c>
      <c r="Q73" s="22">
        <v>3.8274753575898046E-2</v>
      </c>
      <c r="R73" s="19">
        <f t="shared" si="5"/>
        <v>3.9063677728765844E-2</v>
      </c>
      <c r="S73" s="22">
        <v>3.8274753575886944E-2</v>
      </c>
      <c r="T73" s="19">
        <f t="shared" si="6"/>
        <v>3.9060633510486387E-2</v>
      </c>
      <c r="U73" s="24">
        <v>4.2624753575901231E-2</v>
      </c>
      <c r="V73" s="24">
        <f t="shared" si="7"/>
        <v>4.3402567740551845E-2</v>
      </c>
      <c r="W73" s="23">
        <f t="shared" si="10"/>
        <v>3.5252679922284091E-3</v>
      </c>
      <c r="X73" s="24">
        <v>4.1754753575893977E-2</v>
      </c>
      <c r="Y73" s="24">
        <f t="shared" si="8"/>
        <v>4.2534282494954834E-2</v>
      </c>
      <c r="Z73" s="23">
        <f t="shared" si="9"/>
        <v>3.4556298126471319E-3</v>
      </c>
      <c r="AA73" s="36"/>
    </row>
    <row r="74" spans="15:27" ht="13.9" customHeight="1" x14ac:dyDescent="0.3">
      <c r="O74" s="12">
        <f t="shared" si="4"/>
        <v>5.083333333333333</v>
      </c>
      <c r="P74" s="13">
        <v>61</v>
      </c>
      <c r="Q74" s="22">
        <v>3.8287681928125261E-2</v>
      </c>
      <c r="R74" s="19">
        <f t="shared" si="5"/>
        <v>3.9336679903281047E-2</v>
      </c>
      <c r="S74" s="22">
        <v>3.8287632060095111E-2</v>
      </c>
      <c r="T74" s="19">
        <f t="shared" si="6"/>
        <v>3.9333349494982794E-2</v>
      </c>
      <c r="U74" s="24">
        <v>4.2637499951817537E-2</v>
      </c>
      <c r="V74" s="24">
        <f t="shared" si="7"/>
        <v>4.3675555938531119E-2</v>
      </c>
      <c r="W74" s="23">
        <f t="shared" si="10"/>
        <v>3.5468646687175642E-3</v>
      </c>
      <c r="X74" s="24">
        <v>4.1767528037983226E-2</v>
      </c>
      <c r="Y74" s="24">
        <f t="shared" si="8"/>
        <v>4.2807231229716525E-2</v>
      </c>
      <c r="Z74" s="23">
        <f t="shared" si="9"/>
        <v>3.4772448908528819E-3</v>
      </c>
      <c r="AA74" s="36"/>
    </row>
    <row r="75" spans="15:27" ht="13.9" customHeight="1" x14ac:dyDescent="0.3">
      <c r="O75" s="12">
        <f t="shared" si="4"/>
        <v>5.166666666666667</v>
      </c>
      <c r="P75" s="13">
        <v>62</v>
      </c>
      <c r="Q75" s="22">
        <v>3.8304592846847507E-2</v>
      </c>
      <c r="R75" s="19">
        <f t="shared" si="5"/>
        <v>3.9596785291195369E-2</v>
      </c>
      <c r="S75" s="22">
        <v>3.8304490119337897E-2</v>
      </c>
      <c r="T75" s="19">
        <f t="shared" si="6"/>
        <v>3.9593251201147428E-2</v>
      </c>
      <c r="U75" s="24">
        <v>4.2654234595503437E-2</v>
      </c>
      <c r="V75" s="24">
        <f t="shared" si="7"/>
        <v>4.3935919936185508E-2</v>
      </c>
      <c r="W75" s="23">
        <f t="shared" si="10"/>
        <v>3.568742099079536E-3</v>
      </c>
      <c r="X75" s="24">
        <v>4.1784289216612036E-2</v>
      </c>
      <c r="Y75" s="24">
        <f t="shared" si="8"/>
        <v>4.3067511391357005E-2</v>
      </c>
      <c r="Z75" s="23">
        <f t="shared" si="9"/>
        <v>3.4991358562463937E-3</v>
      </c>
      <c r="AA75" s="36"/>
    </row>
    <row r="76" spans="15:27" ht="13.9" customHeight="1" x14ac:dyDescent="0.3">
      <c r="O76" s="12">
        <f t="shared" si="4"/>
        <v>5.25</v>
      </c>
      <c r="P76" s="13">
        <v>63</v>
      </c>
      <c r="Q76" s="22">
        <v>3.8325091287761515E-2</v>
      </c>
      <c r="R76" s="19">
        <f t="shared" si="5"/>
        <v>3.984400630673357E-2</v>
      </c>
      <c r="S76" s="22">
        <v>3.8324934160716362E-2</v>
      </c>
      <c r="T76" s="19">
        <f t="shared" si="6"/>
        <v>3.9840381176790673E-2</v>
      </c>
      <c r="U76" s="24">
        <v>4.2674566511646361E-2</v>
      </c>
      <c r="V76" s="24">
        <f t="shared" si="7"/>
        <v>4.4183675315580651E-2</v>
      </c>
      <c r="W76" s="23">
        <f t="shared" si="10"/>
        <v>3.5896029321165202E-3</v>
      </c>
      <c r="X76" s="24">
        <v>4.1804645487170333E-2</v>
      </c>
      <c r="Y76" s="24">
        <f t="shared" si="8"/>
        <v>4.331514466960118E-2</v>
      </c>
      <c r="Z76" s="23">
        <f t="shared" si="9"/>
        <v>3.5200058881585949E-3</v>
      </c>
      <c r="AA76" s="36"/>
    </row>
    <row r="77" spans="15:27" ht="13.9" customHeight="1" x14ac:dyDescent="0.3">
      <c r="O77" s="12">
        <f t="shared" si="4"/>
        <v>5.333333333333333</v>
      </c>
      <c r="P77" s="13">
        <v>64</v>
      </c>
      <c r="Q77" s="22">
        <v>3.8348807263725693E-2</v>
      </c>
      <c r="R77" s="19">
        <f t="shared" si="5"/>
        <v>4.0078352331596401E-2</v>
      </c>
      <c r="S77" s="22">
        <v>3.8348596026960502E-2</v>
      </c>
      <c r="T77" s="19">
        <f t="shared" si="6"/>
        <v>4.0074778795203381E-2</v>
      </c>
      <c r="U77" s="24">
        <v>4.2698129555338138E-2</v>
      </c>
      <c r="V77" s="24">
        <f t="shared" si="7"/>
        <v>4.4418834980334942E-2</v>
      </c>
      <c r="W77" s="23">
        <f t="shared" si="10"/>
        <v>3.6094491119884609E-3</v>
      </c>
      <c r="X77" s="24">
        <v>4.1828230210579465E-2</v>
      </c>
      <c r="Y77" s="24">
        <f t="shared" si="8"/>
        <v>4.3550149947696903E-2</v>
      </c>
      <c r="Z77" s="23">
        <f t="shared" si="9"/>
        <v>3.5398574245988357E-3</v>
      </c>
      <c r="AA77" s="36"/>
    </row>
    <row r="78" spans="15:27" ht="13.9" customHeight="1" x14ac:dyDescent="0.3">
      <c r="O78" s="12">
        <f t="shared" ref="O78:O141" si="11">P78/12</f>
        <v>5.416666666666667</v>
      </c>
      <c r="P78" s="13">
        <v>65</v>
      </c>
      <c r="Q78" s="22">
        <v>3.8375393853950168E-2</v>
      </c>
      <c r="R78" s="19">
        <f t="shared" ref="R78:R141" si="12">(1+Q79)^P79/(1+Q78)^P78-1</f>
        <v>4.0299829848469582E-2</v>
      </c>
      <c r="S78" s="22">
        <v>3.8375130974107385E-2</v>
      </c>
      <c r="T78" s="19">
        <f t="shared" ref="T78:T141" si="13">(1+S79)^P79/(1+S78)^P78-1</f>
        <v>4.029648039398559E-2</v>
      </c>
      <c r="U78" s="24">
        <v>4.2724580463046502E-2</v>
      </c>
      <c r="V78" s="24">
        <f t="shared" ref="V78:V141" si="14">(1+U79)^P79/(1+U78)^P78-1</f>
        <v>4.4641409285452349E-2</v>
      </c>
      <c r="W78" s="23">
        <f t="shared" si="10"/>
        <v>3.6282823330722191E-3</v>
      </c>
      <c r="X78" s="24">
        <v>4.1854699751752822E-2</v>
      </c>
      <c r="Y78" s="24">
        <f t="shared" si="8"/>
        <v>4.3772543431471522E-2</v>
      </c>
      <c r="Z78" s="23">
        <f t="shared" si="9"/>
        <v>3.5586926426698362E-3</v>
      </c>
      <c r="AA78" s="36"/>
    </row>
    <row r="79" spans="15:27" ht="13.9" customHeight="1" x14ac:dyDescent="0.3">
      <c r="O79" s="12">
        <f t="shared" si="11"/>
        <v>5.5</v>
      </c>
      <c r="P79" s="13">
        <v>66</v>
      </c>
      <c r="Q79" s="22">
        <v>3.8404525397468969E-2</v>
      </c>
      <c r="R79" s="19">
        <f t="shared" si="12"/>
        <v>4.0508484754684382E-2</v>
      </c>
      <c r="S79" s="22">
        <v>3.8404215836471467E-2</v>
      </c>
      <c r="T79" s="19">
        <f t="shared" si="13"/>
        <v>4.050551941106173E-2</v>
      </c>
      <c r="U79" s="24">
        <v>4.275359706580506E-2</v>
      </c>
      <c r="V79" s="24">
        <f t="shared" si="14"/>
        <v>4.4851406163341823E-2</v>
      </c>
      <c r="W79" s="23">
        <f t="shared" ref="W79:W142" si="15">(1+V78)^(1/12)-1</f>
        <v>3.6461040507813625E-3</v>
      </c>
      <c r="X79" s="24">
        <v>4.188373168142201E-2</v>
      </c>
      <c r="Y79" s="24">
        <f t="shared" ref="Y79:Y142" si="16">(1+X80)^P80/(1+X79)^P79-1</f>
        <v>4.3982338777162955E-2</v>
      </c>
      <c r="Z79" s="23">
        <f t="shared" ref="Z79:Z142" si="17">(1+Y78)^(1/12)-1</f>
        <v>3.5765134693994671E-3</v>
      </c>
      <c r="AA79" s="36"/>
    </row>
    <row r="80" spans="15:27" ht="13.9" customHeight="1" x14ac:dyDescent="0.3">
      <c r="O80" s="12">
        <f t="shared" si="11"/>
        <v>5.583333333333333</v>
      </c>
      <c r="P80" s="13">
        <v>67</v>
      </c>
      <c r="Q80" s="22">
        <v>3.8435896479800835E-2</v>
      </c>
      <c r="R80" s="19">
        <f t="shared" si="12"/>
        <v>4.0704487031804959E-2</v>
      </c>
      <c r="S80" s="22">
        <v>3.8435547359153777E-2</v>
      </c>
      <c r="T80" s="19">
        <f t="shared" si="13"/>
        <v>4.0701926519203679E-2</v>
      </c>
      <c r="U80" s="24">
        <v>4.2784876665390659E-2</v>
      </c>
      <c r="V80" s="24">
        <f t="shared" si="14"/>
        <v>4.5048831249690169E-2</v>
      </c>
      <c r="W80" s="23">
        <f t="shared" si="15"/>
        <v>3.6629154920297946E-3</v>
      </c>
      <c r="X80" s="24">
        <v>4.1915023142013563E-2</v>
      </c>
      <c r="Y80" s="24">
        <f t="shared" si="16"/>
        <v>4.4179547220879245E-2</v>
      </c>
      <c r="Z80" s="23">
        <f t="shared" si="17"/>
        <v>3.5933215924222051E-3</v>
      </c>
      <c r="AA80" s="36"/>
    </row>
    <row r="81" spans="15:27" ht="13.9" customHeight="1" x14ac:dyDescent="0.3">
      <c r="O81" s="12">
        <f t="shared" si="11"/>
        <v>5.666666666666667</v>
      </c>
      <c r="P81" s="13">
        <v>68</v>
      </c>
      <c r="Q81" s="22">
        <v>3.8469222252009772E-2</v>
      </c>
      <c r="R81" s="19">
        <f t="shared" si="12"/>
        <v>4.0887877901623515E-2</v>
      </c>
      <c r="S81" s="22">
        <v>3.8468840680695449E-2</v>
      </c>
      <c r="T81" s="19">
        <f t="shared" si="13"/>
        <v>4.0885729759235323E-2</v>
      </c>
      <c r="U81" s="24">
        <v>4.2818134556590781E-2</v>
      </c>
      <c r="V81" s="24">
        <f t="shared" si="14"/>
        <v>4.523368800922567E-2</v>
      </c>
      <c r="W81" s="23">
        <f t="shared" si="15"/>
        <v>3.6787176656347675E-3</v>
      </c>
      <c r="X81" s="24">
        <v>4.1948289360596247E-2</v>
      </c>
      <c r="Y81" s="24">
        <f t="shared" si="16"/>
        <v>4.4364177704517838E-2</v>
      </c>
      <c r="Z81" s="23">
        <f t="shared" si="17"/>
        <v>3.6091184707376378E-3</v>
      </c>
      <c r="AA81" s="36"/>
    </row>
    <row r="82" spans="15:27" ht="13.9" customHeight="1" x14ac:dyDescent="0.3">
      <c r="O82" s="12">
        <f t="shared" si="11"/>
        <v>5.75</v>
      </c>
      <c r="P82" s="13">
        <v>69</v>
      </c>
      <c r="Q82" s="22">
        <v>3.8504235065716985E-2</v>
      </c>
      <c r="R82" s="19">
        <f t="shared" si="12"/>
        <v>4.1058654093980573E-2</v>
      </c>
      <c r="S82" s="22">
        <v>3.8503827950517211E-2</v>
      </c>
      <c r="T82" s="19">
        <f t="shared" si="13"/>
        <v>4.1056954671583323E-2</v>
      </c>
      <c r="U82" s="24">
        <v>4.2853102680637356E-2</v>
      </c>
      <c r="V82" s="24">
        <f t="shared" si="14"/>
        <v>4.5405977861094016E-2</v>
      </c>
      <c r="W82" s="23">
        <f t="shared" si="15"/>
        <v>3.6935113726650481E-3</v>
      </c>
      <c r="X82" s="24">
        <v>4.1983262293819656E-2</v>
      </c>
      <c r="Y82" s="24">
        <f t="shared" si="16"/>
        <v>4.4536237002017698E-2</v>
      </c>
      <c r="Z82" s="23">
        <f t="shared" si="17"/>
        <v>3.6239053451396774E-3</v>
      </c>
      <c r="AA82" s="36"/>
    </row>
    <row r="83" spans="15:27" ht="13.9" customHeight="1" x14ac:dyDescent="0.3">
      <c r="O83" s="12">
        <f t="shared" si="11"/>
        <v>5.833333333333333</v>
      </c>
      <c r="P83" s="13">
        <v>70</v>
      </c>
      <c r="Q83" s="22">
        <v>3.8540682599652376E-2</v>
      </c>
      <c r="R83" s="19">
        <f t="shared" si="12"/>
        <v>4.1216810121918135E-2</v>
      </c>
      <c r="S83" s="22">
        <v>3.8540257067544825E-2</v>
      </c>
      <c r="T83" s="19">
        <f t="shared" si="13"/>
        <v>4.1215624427368258E-2</v>
      </c>
      <c r="U83" s="24">
        <v>4.2889528396593102E-2</v>
      </c>
      <c r="V83" s="24">
        <f t="shared" si="14"/>
        <v>4.5565700302466317E-2</v>
      </c>
      <c r="W83" s="23">
        <f t="shared" si="15"/>
        <v>3.7072972167129237E-3</v>
      </c>
      <c r="X83" s="24">
        <v>4.2019689391562087E-2</v>
      </c>
      <c r="Y83" s="24">
        <f t="shared" si="16"/>
        <v>4.4695729846094379E-2</v>
      </c>
      <c r="Z83" s="23">
        <f t="shared" si="17"/>
        <v>3.6376832486233468E-3</v>
      </c>
      <c r="AA83" s="36"/>
    </row>
    <row r="84" spans="15:27" ht="13.9" customHeight="1" x14ac:dyDescent="0.3">
      <c r="O84" s="12">
        <f t="shared" si="11"/>
        <v>5.916666666666667</v>
      </c>
      <c r="P84" s="13">
        <v>71</v>
      </c>
      <c r="Q84" s="22">
        <v>3.8578326739499236E-2</v>
      </c>
      <c r="R84" s="19">
        <f t="shared" si="12"/>
        <v>4.1362338404207222E-2</v>
      </c>
      <c r="S84" s="22">
        <v>3.8577890527985881E-2</v>
      </c>
      <c r="T84" s="19">
        <f t="shared" si="13"/>
        <v>4.13617599562488E-2</v>
      </c>
      <c r="U84" s="24">
        <v>4.2927173358959569E-2</v>
      </c>
      <c r="V84" s="24">
        <f t="shared" si="14"/>
        <v>4.5712853035334788E-2</v>
      </c>
      <c r="W84" s="23">
        <f t="shared" si="15"/>
        <v>3.7200756139861291E-3</v>
      </c>
      <c r="X84" s="24">
        <v>4.20573324675102E-2</v>
      </c>
      <c r="Y84" s="24">
        <f t="shared" si="16"/>
        <v>4.4842659052973577E-2</v>
      </c>
      <c r="Z84" s="23">
        <f t="shared" si="17"/>
        <v>3.6504530167897897E-3</v>
      </c>
      <c r="AA84" s="36"/>
    </row>
    <row r="85" spans="15:27" ht="13.9" customHeight="1" x14ac:dyDescent="0.3">
      <c r="O85" s="12">
        <f t="shared" si="11"/>
        <v>6</v>
      </c>
      <c r="P85" s="13">
        <v>72</v>
      </c>
      <c r="Q85" s="22">
        <v>3.8616942553358014E-2</v>
      </c>
      <c r="R85" s="19">
        <f t="shared" si="12"/>
        <v>4.1495270955623109E-2</v>
      </c>
      <c r="S85" s="22">
        <v>3.8616504371524973E-2</v>
      </c>
      <c r="T85" s="19">
        <f t="shared" si="13"/>
        <v>4.1495380076575383E-2</v>
      </c>
      <c r="U85" s="24">
        <v>4.296581249115583E-2</v>
      </c>
      <c r="V85" s="24">
        <f t="shared" si="14"/>
        <v>4.5847432089666906E-2</v>
      </c>
      <c r="W85" s="23">
        <f t="shared" si="15"/>
        <v>3.7318468036131591E-3</v>
      </c>
      <c r="X85" s="24">
        <v>4.209596666617621E-2</v>
      </c>
      <c r="Y85" s="24">
        <f t="shared" si="16"/>
        <v>4.4977025647999769E-2</v>
      </c>
      <c r="Z85" s="23">
        <f t="shared" si="17"/>
        <v>3.6622152980494427E-3</v>
      </c>
      <c r="AA85" s="36"/>
    </row>
    <row r="86" spans="15:27" ht="13.9" customHeight="1" x14ac:dyDescent="0.3">
      <c r="O86" s="12">
        <f t="shared" si="11"/>
        <v>6.083333333333333</v>
      </c>
      <c r="P86" s="13">
        <v>73</v>
      </c>
      <c r="Q86" s="22">
        <v>3.8656317921466288E-2</v>
      </c>
      <c r="R86" s="19">
        <f t="shared" si="12"/>
        <v>4.1615762808830947E-2</v>
      </c>
      <c r="S86" s="22">
        <v>3.8655887216470619E-2</v>
      </c>
      <c r="T86" s="19">
        <f t="shared" si="13"/>
        <v>4.1616501621470681E-2</v>
      </c>
      <c r="U86" s="24">
        <v>4.3005233045563251E-2</v>
      </c>
      <c r="V86" s="24">
        <f t="shared" si="14"/>
        <v>4.5969431947395778E-2</v>
      </c>
      <c r="W86" s="23">
        <f t="shared" si="15"/>
        <v>3.7426108576226191E-3</v>
      </c>
      <c r="X86" s="24">
        <v>4.2135379517057814E-2</v>
      </c>
      <c r="Y86" s="24">
        <f t="shared" si="16"/>
        <v>4.5098828990218554E-2</v>
      </c>
      <c r="Z86" s="23">
        <f t="shared" si="17"/>
        <v>3.6729705638562926E-3</v>
      </c>
      <c r="AA86" s="36"/>
    </row>
    <row r="87" spans="15:27" ht="13.9" customHeight="1" x14ac:dyDescent="0.3">
      <c r="O87" s="12">
        <f t="shared" si="11"/>
        <v>6.166666666666667</v>
      </c>
      <c r="P87" s="13">
        <v>74</v>
      </c>
      <c r="Q87" s="22">
        <v>3.869625432035817E-2</v>
      </c>
      <c r="R87" s="19">
        <f t="shared" si="12"/>
        <v>4.1723842887097851E-2</v>
      </c>
      <c r="S87" s="22">
        <v>3.8695839375325614E-2</v>
      </c>
      <c r="T87" s="19">
        <f t="shared" si="13"/>
        <v>4.1725139565516267E-2</v>
      </c>
      <c r="U87" s="24">
        <v>4.3045233741907607E-2</v>
      </c>
      <c r="V87" s="24">
        <f t="shared" si="14"/>
        <v>4.6078845668862112E-2</v>
      </c>
      <c r="W87" s="23">
        <f t="shared" si="15"/>
        <v>3.7523676909549941E-3</v>
      </c>
      <c r="X87" s="24">
        <v>4.2175370067628393E-2</v>
      </c>
      <c r="Y87" s="24">
        <f t="shared" si="16"/>
        <v>4.5208066898037691E-2</v>
      </c>
      <c r="Z87" s="23">
        <f t="shared" si="17"/>
        <v>3.6827191188253394E-3</v>
      </c>
      <c r="AA87" s="36"/>
    </row>
    <row r="88" spans="15:27" ht="13.9" customHeight="1" x14ac:dyDescent="0.3">
      <c r="O88" s="12">
        <f t="shared" si="11"/>
        <v>6.25</v>
      </c>
      <c r="P88" s="13">
        <v>75</v>
      </c>
      <c r="Q88" s="22">
        <v>3.873656423210714E-2</v>
      </c>
      <c r="R88" s="19">
        <f t="shared" si="12"/>
        <v>4.1819497015149532E-2</v>
      </c>
      <c r="S88" s="22">
        <v>3.8736172043235095E-2</v>
      </c>
      <c r="T88" s="19">
        <f t="shared" si="13"/>
        <v>4.1821307151674203E-2</v>
      </c>
      <c r="U88" s="24">
        <v>4.3085623976652832E-2</v>
      </c>
      <c r="V88" s="24">
        <f t="shared" si="14"/>
        <v>4.6175665016754186E-2</v>
      </c>
      <c r="W88" s="23">
        <f t="shared" si="15"/>
        <v>3.7611170716380649E-3</v>
      </c>
      <c r="X88" s="24">
        <v>4.221574808776829E-2</v>
      </c>
      <c r="Y88" s="24">
        <f t="shared" si="16"/>
        <v>4.5304735773474381E-2</v>
      </c>
      <c r="Z88" s="23">
        <f t="shared" si="17"/>
        <v>3.6914611109017947E-3</v>
      </c>
      <c r="AA88" s="36"/>
    </row>
    <row r="89" spans="15:27" ht="13.9" customHeight="1" x14ac:dyDescent="0.3">
      <c r="O89" s="12">
        <f t="shared" si="11"/>
        <v>6.333333333333333</v>
      </c>
      <c r="P89" s="13">
        <v>76</v>
      </c>
      <c r="Q89" s="22">
        <v>3.8777069848141554E-2</v>
      </c>
      <c r="R89" s="19">
        <f t="shared" si="12"/>
        <v>4.1902709564914487E-2</v>
      </c>
      <c r="S89" s="22">
        <v>3.8776706552558382E-2</v>
      </c>
      <c r="T89" s="19">
        <f t="shared" si="13"/>
        <v>4.1905016015568508E-2</v>
      </c>
      <c r="U89" s="24">
        <v>4.3126223096791261E-2</v>
      </c>
      <c r="V89" s="24">
        <f t="shared" si="14"/>
        <v>4.6259880581013713E-2</v>
      </c>
      <c r="W89" s="23">
        <f t="shared" si="15"/>
        <v>3.7688586307340621E-3</v>
      </c>
      <c r="X89" s="24">
        <v>4.2256333338997365E-2</v>
      </c>
      <c r="Y89" s="24">
        <f t="shared" si="16"/>
        <v>4.5388830727003393E-2</v>
      </c>
      <c r="Z89" s="23">
        <f t="shared" si="17"/>
        <v>3.6991965413875061E-3</v>
      </c>
      <c r="AA89" s="36"/>
    </row>
    <row r="90" spans="15:27" ht="13.9" customHeight="1" x14ac:dyDescent="0.3">
      <c r="O90" s="12">
        <f t="shared" si="11"/>
        <v>6.416666666666667</v>
      </c>
      <c r="P90" s="13">
        <v>77</v>
      </c>
      <c r="Q90" s="22">
        <v>3.8817602413765195E-2</v>
      </c>
      <c r="R90" s="19">
        <f t="shared" si="12"/>
        <v>4.1973463577379633E-2</v>
      </c>
      <c r="S90" s="22">
        <v>3.8817273687481224E-2</v>
      </c>
      <c r="T90" s="19">
        <f t="shared" si="13"/>
        <v>4.1976276311263661E-2</v>
      </c>
      <c r="U90" s="24">
        <v>4.3166859732153728E-2</v>
      </c>
      <c r="V90" s="24">
        <f t="shared" si="14"/>
        <v>4.6331481904366534E-2</v>
      </c>
      <c r="W90" s="23">
        <f t="shared" si="15"/>
        <v>3.7755918723354487E-3</v>
      </c>
      <c r="X90" s="24">
        <v>4.229695490258667E-2</v>
      </c>
      <c r="Y90" s="24">
        <f t="shared" si="16"/>
        <v>4.5460345703715266E-2</v>
      </c>
      <c r="Z90" s="23">
        <f t="shared" si="17"/>
        <v>3.7059252749853666E-3</v>
      </c>
      <c r="AA90" s="36"/>
    </row>
    <row r="91" spans="15:27" ht="13.9" customHeight="1" x14ac:dyDescent="0.3">
      <c r="O91" s="12">
        <f t="shared" si="11"/>
        <v>6.5</v>
      </c>
      <c r="P91" s="13">
        <v>78</v>
      </c>
      <c r="Q91" s="22">
        <v>3.8858001624918925E-2</v>
      </c>
      <c r="R91" s="19">
        <f t="shared" si="12"/>
        <v>4.2031781832759352E-2</v>
      </c>
      <c r="S91" s="22">
        <v>3.8857713053265241E-2</v>
      </c>
      <c r="T91" s="19">
        <f t="shared" si="13"/>
        <v>4.2035096834579511E-2</v>
      </c>
      <c r="U91" s="24">
        <v>4.3207371180963738E-2</v>
      </c>
      <c r="V91" s="24">
        <f t="shared" si="14"/>
        <v>4.6390457608221469E-2</v>
      </c>
      <c r="W91" s="23">
        <f t="shared" si="15"/>
        <v>3.7813161835871245E-3</v>
      </c>
      <c r="X91" s="24">
        <v>4.2337450561253043E-2</v>
      </c>
      <c r="Y91" s="24">
        <f t="shared" si="16"/>
        <v>4.5519273606902555E-2</v>
      </c>
      <c r="Z91" s="23">
        <f t="shared" si="17"/>
        <v>3.7116470499229948E-3</v>
      </c>
      <c r="AA91" s="36"/>
    </row>
    <row r="92" spans="15:27" ht="13.9" customHeight="1" x14ac:dyDescent="0.3">
      <c r="O92" s="12">
        <f t="shared" si="11"/>
        <v>6.583333333333333</v>
      </c>
      <c r="P92" s="13">
        <v>79</v>
      </c>
      <c r="Q92" s="22">
        <v>3.8898115589302229E-2</v>
      </c>
      <c r="R92" s="19">
        <f t="shared" si="12"/>
        <v>4.2077809032162294E-2</v>
      </c>
      <c r="S92" s="22">
        <v>3.8897872495232244E-2</v>
      </c>
      <c r="T92" s="19">
        <f t="shared" si="13"/>
        <v>4.2081485148816489E-2</v>
      </c>
      <c r="U92" s="24">
        <v>4.3247602843893729E-2</v>
      </c>
      <c r="V92" s="24">
        <f t="shared" si="14"/>
        <v>4.6436795519118501E-2</v>
      </c>
      <c r="W92" s="23">
        <f t="shared" si="15"/>
        <v>3.7860308447150715E-3</v>
      </c>
      <c r="X92" s="24">
        <v>4.2377666229624911E-2</v>
      </c>
      <c r="Y92" s="24">
        <f t="shared" si="16"/>
        <v>4.5565606425186367E-2</v>
      </c>
      <c r="Z92" s="23">
        <f t="shared" si="17"/>
        <v>3.7163614878463758E-3</v>
      </c>
      <c r="AA92" s="36"/>
    </row>
    <row r="93" spans="15:27" ht="13.9" customHeight="1" x14ac:dyDescent="0.3">
      <c r="O93" s="12">
        <f t="shared" si="11"/>
        <v>6.666666666666667</v>
      </c>
      <c r="P93" s="13">
        <v>80</v>
      </c>
      <c r="Q93" s="22">
        <v>3.8937801814793227E-2</v>
      </c>
      <c r="R93" s="19">
        <f t="shared" si="12"/>
        <v>4.2111566346668461E-2</v>
      </c>
      <c r="S93" s="22">
        <v>3.8937607563134691E-2</v>
      </c>
      <c r="T93" s="19">
        <f t="shared" si="13"/>
        <v>4.2115447706829956E-2</v>
      </c>
      <c r="U93" s="24">
        <v>4.3287407702363057E-2</v>
      </c>
      <c r="V93" s="24">
        <f t="shared" si="14"/>
        <v>4.6470482794265466E-2</v>
      </c>
      <c r="W93" s="23">
        <f t="shared" si="15"/>
        <v>3.7897350390785345E-3</v>
      </c>
      <c r="X93" s="24">
        <v>4.2417455429232698E-2</v>
      </c>
      <c r="Y93" s="24">
        <f t="shared" si="16"/>
        <v>4.5599335357056514E-2</v>
      </c>
      <c r="Z93" s="23">
        <f t="shared" si="17"/>
        <v>3.7200681039755157E-3</v>
      </c>
      <c r="AA93" s="36"/>
    </row>
    <row r="94" spans="15:27" ht="13.9" customHeight="1" x14ac:dyDescent="0.3">
      <c r="O94" s="12">
        <f t="shared" si="11"/>
        <v>6.75</v>
      </c>
      <c r="P94" s="13">
        <v>81</v>
      </c>
      <c r="Q94" s="22">
        <v>3.8976925103843651E-2</v>
      </c>
      <c r="R94" s="19">
        <f t="shared" si="12"/>
        <v>4.2133033201894765E-2</v>
      </c>
      <c r="S94" s="22">
        <v>3.8976781016922812E-2</v>
      </c>
      <c r="T94" s="19">
        <f t="shared" si="13"/>
        <v>4.2136989975918304E-2</v>
      </c>
      <c r="U94" s="24">
        <v>4.3326645837220124E-2</v>
      </c>
      <c r="V94" s="24">
        <f t="shared" si="14"/>
        <v>4.6491506049996412E-2</v>
      </c>
      <c r="W94" s="23">
        <f t="shared" si="15"/>
        <v>3.7924278631311648E-3</v>
      </c>
      <c r="X94" s="24">
        <v>4.2456678804120962E-2</v>
      </c>
      <c r="Y94" s="24">
        <f t="shared" si="16"/>
        <v>4.5620450938300916E-2</v>
      </c>
      <c r="Z94" s="23">
        <f t="shared" si="17"/>
        <v>3.7227663170324998E-3</v>
      </c>
      <c r="AA94" s="36"/>
    </row>
    <row r="95" spans="15:27" ht="13.9" customHeight="1" x14ac:dyDescent="0.3">
      <c r="O95" s="12">
        <f t="shared" si="11"/>
        <v>6.833333333333333</v>
      </c>
      <c r="P95" s="13">
        <v>82</v>
      </c>
      <c r="Q95" s="22">
        <v>3.9015356596526996E-2</v>
      </c>
      <c r="R95" s="19">
        <f t="shared" si="12"/>
        <v>4.2142188308176509E-2</v>
      </c>
      <c r="S95" s="22">
        <v>3.901526237038766E-2</v>
      </c>
      <c r="T95" s="19">
        <f t="shared" si="13"/>
        <v>4.2146116560887403E-2</v>
      </c>
      <c r="U95" s="24">
        <v>4.3365183984377609E-2</v>
      </c>
      <c r="V95" s="24">
        <f t="shared" si="14"/>
        <v>4.6499851488667421E-2</v>
      </c>
      <c r="W95" s="23">
        <f t="shared" si="15"/>
        <v>3.7941083366010986E-3</v>
      </c>
      <c r="X95" s="24">
        <v>4.2495203673630799E-2</v>
      </c>
      <c r="Y95" s="24">
        <f t="shared" si="16"/>
        <v>4.5628943166818869E-2</v>
      </c>
      <c r="Z95" s="23">
        <f t="shared" si="17"/>
        <v>3.7244554593847123E-3</v>
      </c>
      <c r="AA95" s="36"/>
    </row>
    <row r="96" spans="15:27" ht="13.9" customHeight="1" x14ac:dyDescent="0.3">
      <c r="O96" s="12">
        <f t="shared" si="11"/>
        <v>6.916666666666667</v>
      </c>
      <c r="P96" s="13">
        <v>83</v>
      </c>
      <c r="Q96" s="22">
        <v>3.9052973375740763E-2</v>
      </c>
      <c r="R96" s="19">
        <f t="shared" si="12"/>
        <v>4.2139009781711589E-2</v>
      </c>
      <c r="S96" s="22">
        <v>3.9052927469444443E-2</v>
      </c>
      <c r="T96" s="19">
        <f t="shared" si="13"/>
        <v>4.2142831327093733E-2</v>
      </c>
      <c r="U96" s="24">
        <v>4.340289512425044E-2</v>
      </c>
      <c r="V96" s="24">
        <f t="shared" si="14"/>
        <v>4.6495505026051154E-2</v>
      </c>
      <c r="W96" s="23">
        <f t="shared" si="15"/>
        <v>3.7947754125322586E-3</v>
      </c>
      <c r="X96" s="24">
        <v>4.2532903619168838E-2</v>
      </c>
      <c r="Y96" s="24">
        <f t="shared" si="16"/>
        <v>4.5624801631300116E-2</v>
      </c>
      <c r="Z96" s="23">
        <f t="shared" si="17"/>
        <v>3.7251347869637907E-3</v>
      </c>
      <c r="AA96" s="36"/>
    </row>
    <row r="97" spans="15:27" ht="13.9" customHeight="1" x14ac:dyDescent="0.3">
      <c r="O97" s="12">
        <f t="shared" si="11"/>
        <v>7</v>
      </c>
      <c r="P97" s="13">
        <v>84</v>
      </c>
      <c r="Q97" s="22">
        <v>3.9089658102165137E-2</v>
      </c>
      <c r="R97" s="19">
        <f t="shared" si="12"/>
        <v>4.2125172636510388E-2</v>
      </c>
      <c r="S97" s="22">
        <v>3.9089658102155145E-2</v>
      </c>
      <c r="T97" s="19">
        <f t="shared" si="13"/>
        <v>4.2128842238371655E-2</v>
      </c>
      <c r="U97" s="24">
        <v>4.3439658102168099E-2</v>
      </c>
      <c r="V97" s="24">
        <f t="shared" si="14"/>
        <v>4.6480228781607291E-2</v>
      </c>
      <c r="W97" s="23">
        <f t="shared" si="15"/>
        <v>3.7944279873540765E-3</v>
      </c>
      <c r="X97" s="24">
        <v>4.2569658102161068E-2</v>
      </c>
      <c r="Y97" s="24">
        <f t="shared" si="16"/>
        <v>4.5609777670339247E-2</v>
      </c>
      <c r="Z97" s="23">
        <f t="shared" si="17"/>
        <v>3.724803489480788E-3</v>
      </c>
      <c r="AA97" s="36"/>
    </row>
    <row r="98" spans="15:27" ht="13.9" customHeight="1" x14ac:dyDescent="0.3">
      <c r="O98" s="12">
        <f t="shared" si="11"/>
        <v>7.083333333333333</v>
      </c>
      <c r="P98" s="13">
        <v>85</v>
      </c>
      <c r="Q98" s="22">
        <v>3.9125318588117297E-2</v>
      </c>
      <c r="R98" s="19">
        <f t="shared" si="12"/>
        <v>4.2107449564724453E-2</v>
      </c>
      <c r="S98" s="22">
        <v>3.9125361635545142E-2</v>
      </c>
      <c r="T98" s="19">
        <f t="shared" si="13"/>
        <v>4.211096983992646E-2</v>
      </c>
      <c r="U98" s="24">
        <v>4.3475378115596541E-2</v>
      </c>
      <c r="V98" s="24">
        <f t="shared" si="14"/>
        <v>4.6461117650807404E-2</v>
      </c>
      <c r="W98" s="23">
        <f t="shared" si="15"/>
        <v>3.7932069029844584E-3</v>
      </c>
      <c r="X98" s="24">
        <v>4.2605372780833983E-2</v>
      </c>
      <c r="Y98" s="24">
        <f t="shared" si="16"/>
        <v>4.5590911307483717E-2</v>
      </c>
      <c r="Z98" s="23">
        <f t="shared" si="17"/>
        <v>3.7236016544990314E-3</v>
      </c>
      <c r="AA98" s="36"/>
    </row>
    <row r="99" spans="15:27" ht="13.9" customHeight="1" x14ac:dyDescent="0.3">
      <c r="O99" s="12">
        <f t="shared" si="11"/>
        <v>7.166666666666667</v>
      </c>
      <c r="P99" s="13">
        <v>86</v>
      </c>
      <c r="Q99" s="22">
        <v>3.9159945444294131E-2</v>
      </c>
      <c r="R99" s="19">
        <f t="shared" si="12"/>
        <v>4.208753134541432E-2</v>
      </c>
      <c r="S99" s="22">
        <v>3.9160028810177883E-2</v>
      </c>
      <c r="T99" s="19">
        <f t="shared" si="13"/>
        <v>4.2090918421915591E-2</v>
      </c>
      <c r="U99" s="24">
        <v>4.3510047017740749E-2</v>
      </c>
      <c r="V99" s="24">
        <f t="shared" si="14"/>
        <v>4.6439944029753599E-2</v>
      </c>
      <c r="W99" s="23">
        <f t="shared" si="15"/>
        <v>3.7916792595469317E-3</v>
      </c>
      <c r="X99" s="24">
        <v>4.2640039311455658E-2</v>
      </c>
      <c r="Y99" s="24">
        <f t="shared" si="16"/>
        <v>4.5569961246792356E-2</v>
      </c>
      <c r="Z99" s="23">
        <f t="shared" si="17"/>
        <v>3.7220924258902777E-3</v>
      </c>
      <c r="AA99" s="36"/>
    </row>
    <row r="100" spans="15:27" ht="13.9" customHeight="1" x14ac:dyDescent="0.3">
      <c r="O100" s="12">
        <f t="shared" si="11"/>
        <v>7.25</v>
      </c>
      <c r="P100" s="13">
        <v>87</v>
      </c>
      <c r="Q100" s="22">
        <v>3.9193549088088808E-2</v>
      </c>
      <c r="R100" s="19">
        <f t="shared" si="12"/>
        <v>4.2065412765820209E-2</v>
      </c>
      <c r="S100" s="22">
        <v>3.9193670322145602E-2</v>
      </c>
      <c r="T100" s="19">
        <f t="shared" si="13"/>
        <v>4.2068687165187635E-2</v>
      </c>
      <c r="U100" s="24">
        <v>4.3543677347138487E-2</v>
      </c>
      <c r="V100" s="24">
        <f t="shared" si="14"/>
        <v>4.6416704861783176E-2</v>
      </c>
      <c r="W100" s="23">
        <f t="shared" si="15"/>
        <v>3.7899867216064642E-3</v>
      </c>
      <c r="X100" s="24">
        <v>4.2673669887683063E-2</v>
      </c>
      <c r="Y100" s="24">
        <f t="shared" si="16"/>
        <v>4.5546924794036547E-2</v>
      </c>
      <c r="Z100" s="23">
        <f t="shared" si="17"/>
        <v>3.7204164810857865E-3</v>
      </c>
      <c r="AA100" s="36"/>
    </row>
    <row r="101" spans="15:27" ht="13.9" customHeight="1" x14ac:dyDescent="0.3">
      <c r="O101" s="12">
        <f t="shared" si="11"/>
        <v>7.333333333333333</v>
      </c>
      <c r="P101" s="13">
        <v>88</v>
      </c>
      <c r="Q101" s="22">
        <v>3.9226139402564364E-2</v>
      </c>
      <c r="R101" s="19">
        <f t="shared" si="12"/>
        <v>4.2041088505984758E-2</v>
      </c>
      <c r="S101" s="22">
        <v>3.9226296370368452E-2</v>
      </c>
      <c r="T101" s="19">
        <f t="shared" si="13"/>
        <v>4.2044275120146857E-2</v>
      </c>
      <c r="U101" s="24">
        <v>4.3576281036307174E-2</v>
      </c>
      <c r="V101" s="24">
        <f t="shared" si="14"/>
        <v>4.6391397041018578E-2</v>
      </c>
      <c r="W101" s="23">
        <f t="shared" si="15"/>
        <v>3.78812903564274E-3</v>
      </c>
      <c r="X101" s="24">
        <v>4.2706276116889264E-2</v>
      </c>
      <c r="Y101" s="24">
        <f t="shared" si="16"/>
        <v>4.5521799184961909E-2</v>
      </c>
      <c r="Z101" s="23">
        <f t="shared" si="17"/>
        <v>3.7185735953626509E-3</v>
      </c>
      <c r="AA101" s="36"/>
    </row>
    <row r="102" spans="15:27" ht="13.9" customHeight="1" x14ac:dyDescent="0.3">
      <c r="O102" s="12">
        <f t="shared" si="11"/>
        <v>7.416666666666667</v>
      </c>
      <c r="P102" s="13">
        <v>89</v>
      </c>
      <c r="Q102" s="22">
        <v>3.9257725765173612E-2</v>
      </c>
      <c r="R102" s="19">
        <f t="shared" si="12"/>
        <v>4.2014553142023958E-2</v>
      </c>
      <c r="S102" s="22">
        <v>3.9257916682979843E-2</v>
      </c>
      <c r="T102" s="19">
        <f t="shared" si="13"/>
        <v>4.2017681211045321E-2</v>
      </c>
      <c r="U102" s="24">
        <v>4.3607869445148717E-2</v>
      </c>
      <c r="V102" s="24">
        <f t="shared" si="14"/>
        <v>4.6364017416646419E-2</v>
      </c>
      <c r="W102" s="23">
        <f t="shared" si="15"/>
        <v>3.7861059432855448E-3</v>
      </c>
      <c r="X102" s="24">
        <v>4.2737869052227762E-2</v>
      </c>
      <c r="Y102" s="24">
        <f t="shared" si="16"/>
        <v>4.5494581588857885E-2</v>
      </c>
      <c r="Z102" s="23">
        <f t="shared" si="17"/>
        <v>3.716563537462525E-3</v>
      </c>
      <c r="AA102" s="36"/>
    </row>
    <row r="103" spans="15:27" ht="13.9" customHeight="1" x14ac:dyDescent="0.3">
      <c r="O103" s="12">
        <f t="shared" si="11"/>
        <v>7.5</v>
      </c>
      <c r="P103" s="13">
        <v>90</v>
      </c>
      <c r="Q103" s="22">
        <v>3.9288317074601009E-2</v>
      </c>
      <c r="R103" s="19">
        <f t="shared" si="12"/>
        <v>4.1985809446590139E-2</v>
      </c>
      <c r="S103" s="22">
        <v>3.9288540541999373E-2</v>
      </c>
      <c r="T103" s="19">
        <f t="shared" si="13"/>
        <v>4.198890423929158E-2</v>
      </c>
      <c r="U103" s="24">
        <v>4.3638453392177645E-2</v>
      </c>
      <c r="V103" s="24">
        <f t="shared" si="14"/>
        <v>4.6334562794258849E-2</v>
      </c>
      <c r="W103" s="23">
        <f t="shared" si="15"/>
        <v>3.7839171816511641E-3</v>
      </c>
      <c r="X103" s="24">
        <v>4.276845922259942E-2</v>
      </c>
      <c r="Y103" s="24">
        <f t="shared" si="16"/>
        <v>4.5465269111946149E-2</v>
      </c>
      <c r="Z103" s="23">
        <f t="shared" si="17"/>
        <v>3.7143860698722886E-3</v>
      </c>
      <c r="AA103" s="36"/>
    </row>
    <row r="104" spans="15:27" ht="13.9" customHeight="1" x14ac:dyDescent="0.3">
      <c r="O104" s="12">
        <f t="shared" si="11"/>
        <v>7.583333333333333</v>
      </c>
      <c r="P104" s="13">
        <v>91</v>
      </c>
      <c r="Q104" s="22">
        <v>3.9317921866815153E-2</v>
      </c>
      <c r="R104" s="19">
        <f t="shared" si="12"/>
        <v>4.1954885010633491E-2</v>
      </c>
      <c r="S104" s="22">
        <v>3.9318176806416139E-2</v>
      </c>
      <c r="T104" s="19">
        <f t="shared" si="13"/>
        <v>4.1957942888390054E-2</v>
      </c>
      <c r="U104" s="24">
        <v>4.3668043183703764E-2</v>
      </c>
      <c r="V104" s="24">
        <f t="shared" si="14"/>
        <v>4.630302994251867E-2</v>
      </c>
      <c r="W104" s="23">
        <f t="shared" si="15"/>
        <v>3.7815624834445227E-3</v>
      </c>
      <c r="X104" s="24">
        <v>4.2798056660681816E-2</v>
      </c>
      <c r="Y104" s="24">
        <f t="shared" si="16"/>
        <v>4.5433858800805416E-2</v>
      </c>
      <c r="Z104" s="23">
        <f t="shared" si="17"/>
        <v>3.7120409490905004E-3</v>
      </c>
      <c r="AA104" s="36"/>
    </row>
    <row r="105" spans="15:27" ht="13.9" customHeight="1" x14ac:dyDescent="0.3">
      <c r="O105" s="12">
        <f t="shared" si="11"/>
        <v>7.666666666666667</v>
      </c>
      <c r="P105" s="13">
        <v>92</v>
      </c>
      <c r="Q105" s="22">
        <v>3.9346548603799825E-2</v>
      </c>
      <c r="R105" s="19">
        <f t="shared" si="12"/>
        <v>4.1921782494730442E-2</v>
      </c>
      <c r="S105" s="22">
        <v>3.9346833933820546E-2</v>
      </c>
      <c r="T105" s="19">
        <f t="shared" si="13"/>
        <v>4.1924795725668318E-2</v>
      </c>
      <c r="U105" s="24">
        <v>4.3696648641185609E-2</v>
      </c>
      <c r="V105" s="24">
        <f t="shared" si="14"/>
        <v>4.626941559278186E-2</v>
      </c>
      <c r="W105" s="23">
        <f t="shared" si="15"/>
        <v>3.7790415774869857E-3</v>
      </c>
      <c r="X105" s="24">
        <v>4.2826670929168253E-2</v>
      </c>
      <c r="Y105" s="24">
        <f t="shared" si="16"/>
        <v>4.5400347645995653E-2</v>
      </c>
      <c r="Z105" s="23">
        <f t="shared" si="17"/>
        <v>3.7095279258958502E-3</v>
      </c>
      <c r="AA105" s="36"/>
    </row>
    <row r="106" spans="15:27" ht="13.9" customHeight="1" x14ac:dyDescent="0.3">
      <c r="O106" s="12">
        <f t="shared" si="11"/>
        <v>7.75</v>
      </c>
      <c r="P106" s="13">
        <v>93</v>
      </c>
      <c r="Q106" s="22">
        <v>3.937420541011849E-2</v>
      </c>
      <c r="R106" s="19">
        <f t="shared" si="12"/>
        <v>4.1886496182921062E-2</v>
      </c>
      <c r="S106" s="22">
        <v>3.9374520000658997E-2</v>
      </c>
      <c r="T106" s="19">
        <f t="shared" si="13"/>
        <v>4.1889461208270085E-2</v>
      </c>
      <c r="U106" s="24">
        <v>4.3724279126816201E-2</v>
      </c>
      <c r="V106" s="24">
        <f t="shared" si="14"/>
        <v>4.6233716446059558E-2</v>
      </c>
      <c r="W106" s="23">
        <f t="shared" si="15"/>
        <v>3.7763541886808305E-3</v>
      </c>
      <c r="X106" s="24">
        <v>4.2854311145352542E-2</v>
      </c>
      <c r="Y106" s="24">
        <f t="shared" si="16"/>
        <v>4.536473258508944E-2</v>
      </c>
      <c r="Z106" s="23">
        <f t="shared" si="17"/>
        <v>3.706846745632264E-3</v>
      </c>
      <c r="AA106" s="36"/>
    </row>
    <row r="107" spans="15:27" ht="13.9" customHeight="1" x14ac:dyDescent="0.3">
      <c r="O107" s="12">
        <f t="shared" si="11"/>
        <v>7.833333333333333</v>
      </c>
      <c r="P107" s="13">
        <v>94</v>
      </c>
      <c r="Q107" s="22">
        <v>3.9400900001896222E-2</v>
      </c>
      <c r="R107" s="19">
        <f t="shared" si="12"/>
        <v>4.1849020276289561E-2</v>
      </c>
      <c r="S107" s="22">
        <v>3.9401242721259333E-2</v>
      </c>
      <c r="T107" s="19">
        <f t="shared" si="13"/>
        <v>4.1851937685506213E-2</v>
      </c>
      <c r="U107" s="24">
        <v>4.3750943567548495E-2</v>
      </c>
      <c r="V107" s="24">
        <f t="shared" si="14"/>
        <v>4.6195929173270533E-2</v>
      </c>
      <c r="W107" s="23">
        <f t="shared" si="15"/>
        <v>3.7735000385601403E-3</v>
      </c>
      <c r="X107" s="24">
        <v>4.2880986004178334E-2</v>
      </c>
      <c r="Y107" s="24">
        <f t="shared" si="16"/>
        <v>4.5327010506666321E-2</v>
      </c>
      <c r="Z107" s="23">
        <f t="shared" si="17"/>
        <v>3.7039971484460477E-3</v>
      </c>
      <c r="AA107" s="36"/>
    </row>
    <row r="108" spans="15:27" ht="13.9" customHeight="1" x14ac:dyDescent="0.3">
      <c r="O108" s="12">
        <f t="shared" si="11"/>
        <v>7.916666666666667</v>
      </c>
      <c r="P108" s="13">
        <v>95</v>
      </c>
      <c r="Q108" s="22">
        <v>3.9426639707355493E-2</v>
      </c>
      <c r="R108" s="19">
        <f t="shared" si="12"/>
        <v>4.1809348894450427E-2</v>
      </c>
      <c r="S108" s="22">
        <v>3.9427009465679674E-2</v>
      </c>
      <c r="T108" s="19">
        <f t="shared" si="13"/>
        <v>4.1812223403732807E-2</v>
      </c>
      <c r="U108" s="24">
        <v>4.3776650477607815E-2</v>
      </c>
      <c r="V108" s="24">
        <f t="shared" si="14"/>
        <v>4.6156050421537698E-2</v>
      </c>
      <c r="W108" s="23">
        <f t="shared" si="15"/>
        <v>3.7704788453054583E-3</v>
      </c>
      <c r="X108" s="24">
        <v>4.2906703799874268E-2</v>
      </c>
      <c r="Y108" s="24">
        <f t="shared" si="16"/>
        <v>4.528717825336126E-2</v>
      </c>
      <c r="Z108" s="23">
        <f t="shared" si="17"/>
        <v>3.70097886960008E-3</v>
      </c>
      <c r="AA108" s="36"/>
    </row>
    <row r="109" spans="15:27" ht="13.9" customHeight="1" x14ac:dyDescent="0.3">
      <c r="O109" s="12">
        <f t="shared" si="11"/>
        <v>8</v>
      </c>
      <c r="P109" s="13">
        <v>96</v>
      </c>
      <c r="Q109" s="22">
        <v>3.9451431486085431E-2</v>
      </c>
      <c r="R109" s="19">
        <f t="shared" si="12"/>
        <v>4.1767484249332743E-2</v>
      </c>
      <c r="S109" s="22">
        <v>3.9451827276492546E-2</v>
      </c>
      <c r="T109" s="19">
        <f t="shared" si="13"/>
        <v>4.1770316508753291E-2</v>
      </c>
      <c r="U109" s="24">
        <v>4.3801407979662699E-2</v>
      </c>
      <c r="V109" s="24">
        <f t="shared" si="14"/>
        <v>4.6114076815541916E-2</v>
      </c>
      <c r="W109" s="23">
        <f t="shared" si="15"/>
        <v>3.7672903242422784E-3</v>
      </c>
      <c r="X109" s="24">
        <v>4.2931472446268604E-2</v>
      </c>
      <c r="Y109" s="24">
        <f t="shared" si="16"/>
        <v>4.5245232625915177E-2</v>
      </c>
      <c r="Z109" s="23">
        <f t="shared" si="17"/>
        <v>3.6977916397120669E-3</v>
      </c>
      <c r="AA109" s="36"/>
    </row>
    <row r="110" spans="15:27" ht="13.9" customHeight="1" x14ac:dyDescent="0.3">
      <c r="O110" s="12">
        <f t="shared" si="11"/>
        <v>8.0833333333333339</v>
      </c>
      <c r="P110" s="13">
        <v>97</v>
      </c>
      <c r="Q110" s="22">
        <v>3.9475282031197212E-2</v>
      </c>
      <c r="R110" s="19">
        <f t="shared" si="12"/>
        <v>4.1723453006946132E-2</v>
      </c>
      <c r="S110" s="22">
        <v>3.9475702884554931E-2</v>
      </c>
      <c r="T110" s="19">
        <f t="shared" si="13"/>
        <v>4.1726215051513194E-2</v>
      </c>
      <c r="U110" s="24">
        <v>4.3825223824700332E-2</v>
      </c>
      <c r="V110" s="24">
        <f t="shared" si="14"/>
        <v>4.6070004962717848E-2</v>
      </c>
      <c r="W110" s="23">
        <f t="shared" si="15"/>
        <v>3.7639341879434074E-3</v>
      </c>
      <c r="X110" s="24">
        <v>4.2955299495889943E-2</v>
      </c>
      <c r="Y110" s="24">
        <f t="shared" si="16"/>
        <v>4.5201170386215628E-2</v>
      </c>
      <c r="Z110" s="23">
        <f t="shared" si="17"/>
        <v>3.6944351850731749E-3</v>
      </c>
      <c r="AA110" s="36"/>
    </row>
    <row r="111" spans="15:27" ht="13.9" customHeight="1" x14ac:dyDescent="0.3">
      <c r="O111" s="12">
        <f t="shared" si="11"/>
        <v>8.1666666666666661</v>
      </c>
      <c r="P111" s="13">
        <v>98</v>
      </c>
      <c r="Q111" s="22">
        <v>3.9498198031855392E-2</v>
      </c>
      <c r="R111" s="19">
        <f t="shared" si="12"/>
        <v>4.1677257308022853E-2</v>
      </c>
      <c r="S111" s="22">
        <v>3.9498642723871269E-2</v>
      </c>
      <c r="T111" s="19">
        <f t="shared" si="13"/>
        <v>4.1679916990579935E-2</v>
      </c>
      <c r="U111" s="24">
        <v>4.3848105410738691E-2</v>
      </c>
      <c r="V111" s="24">
        <f t="shared" si="14"/>
        <v>4.6023831455148878E-2</v>
      </c>
      <c r="W111" s="23">
        <f t="shared" si="15"/>
        <v>3.7604101466386375E-3</v>
      </c>
      <c r="X111" s="24">
        <v>4.2978192157928863E-2</v>
      </c>
      <c r="Y111" s="24">
        <f t="shared" si="16"/>
        <v>4.5154988261326023E-2</v>
      </c>
      <c r="Z111" s="23">
        <f t="shared" si="17"/>
        <v>3.6909092278860633E-3</v>
      </c>
      <c r="AA111" s="36"/>
    </row>
    <row r="112" spans="15:27" ht="13.9" customHeight="1" x14ac:dyDescent="0.3">
      <c r="O112" s="12">
        <f t="shared" si="11"/>
        <v>8.25</v>
      </c>
      <c r="P112" s="13">
        <v>99</v>
      </c>
      <c r="Q112" s="22">
        <v>3.9520185926266826E-2</v>
      </c>
      <c r="R112" s="19">
        <f t="shared" si="12"/>
        <v>4.1628891068055118E-2</v>
      </c>
      <c r="S112" s="22">
        <v>3.952065294558027E-2</v>
      </c>
      <c r="T112" s="19">
        <f t="shared" si="13"/>
        <v>4.1631420196390989E-2</v>
      </c>
      <c r="U112" s="24">
        <v>4.3870059800422911E-2</v>
      </c>
      <c r="V112" s="24">
        <f t="shared" si="14"/>
        <v>4.5975552874400138E-2</v>
      </c>
      <c r="W112" s="23">
        <f t="shared" si="15"/>
        <v>3.7567179083608515E-3</v>
      </c>
      <c r="X112" s="24">
        <v>4.300015731515261E-2</v>
      </c>
      <c r="Y112" s="24">
        <f t="shared" si="16"/>
        <v>4.5106682946405741E-2</v>
      </c>
      <c r="Z112" s="23">
        <f t="shared" si="17"/>
        <v>3.6872134865808537E-3</v>
      </c>
      <c r="AA112" s="36"/>
    </row>
    <row r="113" spans="15:27" ht="13.9" customHeight="1" x14ac:dyDescent="0.3">
      <c r="O113" s="12">
        <f t="shared" si="11"/>
        <v>8.3333333333333339</v>
      </c>
      <c r="P113" s="13">
        <v>100</v>
      </c>
      <c r="Q113" s="22">
        <v>3.9541251832080793E-2</v>
      </c>
      <c r="R113" s="19">
        <f t="shared" si="12"/>
        <v>4.1578348142235821E-2</v>
      </c>
      <c r="S113" s="22">
        <v>3.9541739431144807E-2</v>
      </c>
      <c r="T113" s="19">
        <f t="shared" si="13"/>
        <v>4.1580722455199171E-2</v>
      </c>
      <c r="U113" s="24">
        <v>4.3891093737616016E-2</v>
      </c>
      <c r="V113" s="24">
        <f t="shared" si="14"/>
        <v>4.5925165794636902E-2</v>
      </c>
      <c r="W113" s="23">
        <f t="shared" si="15"/>
        <v>3.7528571793270515E-3</v>
      </c>
      <c r="X113" s="24">
        <v>4.3021201539833021E-2</v>
      </c>
      <c r="Y113" s="24">
        <f t="shared" si="16"/>
        <v>4.505625110928313E-2</v>
      </c>
      <c r="Z113" s="23">
        <f t="shared" si="17"/>
        <v>3.6833476760433914E-3</v>
      </c>
      <c r="AA113" s="36"/>
    </row>
    <row r="114" spans="15:27" ht="13.9" customHeight="1" x14ac:dyDescent="0.3">
      <c r="O114" s="12">
        <f t="shared" si="11"/>
        <v>8.4166666666666661</v>
      </c>
      <c r="P114" s="13">
        <v>101</v>
      </c>
      <c r="Q114" s="22">
        <v>3.9561401561578613E-2</v>
      </c>
      <c r="R114" s="19">
        <f t="shared" si="12"/>
        <v>4.1525622328700385E-2</v>
      </c>
      <c r="S114" s="22">
        <v>3.9561907804797514E-2</v>
      </c>
      <c r="T114" s="19">
        <f t="shared" si="13"/>
        <v>4.1527821473013038E-2</v>
      </c>
      <c r="U114" s="24">
        <v>4.3911213663033077E-2</v>
      </c>
      <c r="V114" s="24">
        <f t="shared" si="14"/>
        <v>4.5872666786110239E-2</v>
      </c>
      <c r="W114" s="23">
        <f t="shared" si="15"/>
        <v>3.7488276641817198E-3</v>
      </c>
      <c r="X114" s="24">
        <v>4.3041331108774727E-2</v>
      </c>
      <c r="Y114" s="24">
        <f t="shared" si="16"/>
        <v>4.5003689393004365E-2</v>
      </c>
      <c r="Z114" s="23">
        <f t="shared" si="17"/>
        <v>3.6793115079754024E-3</v>
      </c>
      <c r="AA114" s="36"/>
    </row>
    <row r="115" spans="15:27" ht="13.9" customHeight="1" x14ac:dyDescent="0.3">
      <c r="O115" s="12">
        <f t="shared" si="11"/>
        <v>8.5</v>
      </c>
      <c r="P115" s="13">
        <v>102</v>
      </c>
      <c r="Q115" s="22">
        <v>3.9580640636001974E-2</v>
      </c>
      <c r="R115" s="19">
        <f t="shared" si="12"/>
        <v>4.1470715412059933E-2</v>
      </c>
      <c r="S115" s="22">
        <v>3.9581163445291834E-2</v>
      </c>
      <c r="T115" s="19">
        <f t="shared" si="13"/>
        <v>4.1472714879454253E-2</v>
      </c>
      <c r="U115" s="24">
        <v>4.393042572899164E-2</v>
      </c>
      <c r="V115" s="24">
        <f t="shared" si="14"/>
        <v>4.5818052418908239E-2</v>
      </c>
      <c r="W115" s="23">
        <f t="shared" si="15"/>
        <v>3.7446290662705994E-3</v>
      </c>
      <c r="X115" s="24">
        <v>4.3060552017482934E-2</v>
      </c>
      <c r="Y115" s="24">
        <f t="shared" si="16"/>
        <v>4.4948994420492827E-2</v>
      </c>
      <c r="Z115" s="23">
        <f t="shared" si="17"/>
        <v>3.6751046910930008E-3</v>
      </c>
      <c r="AA115" s="36"/>
    </row>
    <row r="116" spans="15:27" ht="13.9" customHeight="1" x14ac:dyDescent="0.3">
      <c r="O116" s="12">
        <f t="shared" si="11"/>
        <v>8.5833333333333339</v>
      </c>
      <c r="P116" s="13">
        <v>103</v>
      </c>
      <c r="Q116" s="22">
        <v>3.9598974376997331E-2</v>
      </c>
      <c r="R116" s="19">
        <f t="shared" si="12"/>
        <v>4.1413653267891037E-2</v>
      </c>
      <c r="S116" s="22">
        <v>3.9599511497006246E-2</v>
      </c>
      <c r="T116" s="19">
        <f t="shared" si="13"/>
        <v>4.1415400231653798E-2</v>
      </c>
      <c r="U116" s="24">
        <v>4.3948735813337914E-2</v>
      </c>
      <c r="V116" s="24">
        <f t="shared" si="14"/>
        <v>4.5761319266781841E-2</v>
      </c>
      <c r="W116" s="23">
        <f t="shared" si="15"/>
        <v>3.740261087934682E-3</v>
      </c>
      <c r="X116" s="24">
        <v>4.3078869993552482E-2</v>
      </c>
      <c r="Y116" s="24">
        <f t="shared" si="16"/>
        <v>4.4892162797318003E-2</v>
      </c>
      <c r="Z116" s="23">
        <f t="shared" si="17"/>
        <v>3.6707269314928404E-3</v>
      </c>
      <c r="AA116" s="36"/>
    </row>
    <row r="117" spans="15:27" ht="13.9" customHeight="1" x14ac:dyDescent="0.3">
      <c r="O117" s="12">
        <f t="shared" si="11"/>
        <v>8.6666666666666661</v>
      </c>
      <c r="P117" s="13">
        <v>104</v>
      </c>
      <c r="Q117" s="22">
        <v>3.9616408147398197E-2</v>
      </c>
      <c r="R117" s="19">
        <f t="shared" si="12"/>
        <v>4.1354437649723241E-2</v>
      </c>
      <c r="S117" s="22">
        <v>3.9616956880445198E-2</v>
      </c>
      <c r="T117" s="19">
        <f t="shared" si="13"/>
        <v>4.1355875017953014E-2</v>
      </c>
      <c r="U117" s="24">
        <v>4.3966149532607357E-2</v>
      </c>
      <c r="V117" s="24">
        <f t="shared" si="14"/>
        <v>4.5702463910244351E-2</v>
      </c>
      <c r="W117" s="23">
        <f t="shared" si="15"/>
        <v>3.7357234308101894E-3</v>
      </c>
      <c r="X117" s="24">
        <v>4.3096290509309743E-2</v>
      </c>
      <c r="Y117" s="24">
        <f t="shared" si="16"/>
        <v>4.4833191116470994E-2</v>
      </c>
      <c r="Z117" s="23">
        <f t="shared" si="17"/>
        <v>3.6661779328683863E-3</v>
      </c>
      <c r="AA117" s="36"/>
    </row>
    <row r="118" spans="15:27" ht="13.9" customHeight="1" x14ac:dyDescent="0.3">
      <c r="O118" s="12">
        <f t="shared" si="11"/>
        <v>8.75</v>
      </c>
      <c r="P118" s="13">
        <v>105</v>
      </c>
      <c r="Q118" s="22">
        <v>3.9632947119921935E-2</v>
      </c>
      <c r="R118" s="19">
        <f t="shared" si="12"/>
        <v>4.129306223611251E-2</v>
      </c>
      <c r="S118" s="22">
        <v>3.963350430217405E-2</v>
      </c>
      <c r="T118" s="19">
        <f t="shared" si="13"/>
        <v>4.129413666249282E-2</v>
      </c>
      <c r="U118" s="24">
        <v>4.3982672254462507E-2</v>
      </c>
      <c r="V118" s="24">
        <f t="shared" si="14"/>
        <v>4.5641482940935729E-2</v>
      </c>
      <c r="W118" s="23">
        <f t="shared" si="15"/>
        <v>3.7310157960721568E-3</v>
      </c>
      <c r="X118" s="24">
        <v>4.3112818793778374E-2</v>
      </c>
      <c r="Y118" s="24">
        <f t="shared" si="16"/>
        <v>4.477207596054722E-2</v>
      </c>
      <c r="Z118" s="23">
        <f t="shared" si="17"/>
        <v>3.6614573968869468E-3</v>
      </c>
      <c r="AA118" s="36"/>
    </row>
    <row r="119" spans="15:27" ht="13.9" customHeight="1" x14ac:dyDescent="0.3">
      <c r="O119" s="12">
        <f t="shared" si="11"/>
        <v>8.8333333333333339</v>
      </c>
      <c r="P119" s="13">
        <v>106</v>
      </c>
      <c r="Q119" s="22">
        <v>3.9648596210023257E-2</v>
      </c>
      <c r="R119" s="19">
        <f t="shared" si="12"/>
        <v>4.1229520668611741E-2</v>
      </c>
      <c r="S119" s="22">
        <v>3.9649158264236206E-2</v>
      </c>
      <c r="T119" s="19">
        <f t="shared" si="13"/>
        <v>4.1230182528731785E-2</v>
      </c>
      <c r="U119" s="24">
        <v>4.3998309109467337E-2</v>
      </c>
      <c r="V119" s="24">
        <f t="shared" si="14"/>
        <v>4.5578372964987901E-2</v>
      </c>
      <c r="W119" s="23">
        <f t="shared" si="15"/>
        <v>3.7261378847774917E-3</v>
      </c>
      <c r="X119" s="24">
        <v>4.3128459843987832E-2</v>
      </c>
      <c r="Y119" s="24">
        <f t="shared" si="16"/>
        <v>4.4708813907333056E-2</v>
      </c>
      <c r="Z119" s="23">
        <f t="shared" si="17"/>
        <v>3.6565650233568725E-3</v>
      </c>
      <c r="AA119" s="36"/>
    </row>
    <row r="120" spans="15:27" ht="13.9" customHeight="1" x14ac:dyDescent="0.3">
      <c r="O120" s="12">
        <f t="shared" si="11"/>
        <v>8.9166666666666661</v>
      </c>
      <c r="P120" s="13">
        <v>107</v>
      </c>
      <c r="Q120" s="22">
        <v>3.9663360087491384E-2</v>
      </c>
      <c r="R120" s="19">
        <f t="shared" si="12"/>
        <v>4.1163806554536331E-2</v>
      </c>
      <c r="S120" s="22">
        <v>3.9663923073072649E-2</v>
      </c>
      <c r="T120" s="19">
        <f t="shared" si="13"/>
        <v>4.1164009922894929E-2</v>
      </c>
      <c r="U120" s="24">
        <v>4.4013065002233676E-2</v>
      </c>
      <c r="V120" s="24">
        <f t="shared" si="14"/>
        <v>4.5513130606632535E-2</v>
      </c>
      <c r="W120" s="23">
        <f t="shared" si="15"/>
        <v>3.7210893981287629E-3</v>
      </c>
      <c r="X120" s="24">
        <v>4.3143218435699904E-2</v>
      </c>
      <c r="Y120" s="24">
        <f t="shared" si="16"/>
        <v>4.4643401531886395E-2</v>
      </c>
      <c r="Z120" s="23">
        <f t="shared" si="17"/>
        <v>3.6515005106703136E-3</v>
      </c>
      <c r="AA120" s="36"/>
    </row>
    <row r="121" spans="15:27" ht="13.9" customHeight="1" x14ac:dyDescent="0.3">
      <c r="O121" s="12">
        <f t="shared" si="11"/>
        <v>9</v>
      </c>
      <c r="P121" s="13">
        <v>108</v>
      </c>
      <c r="Q121" s="22">
        <v>3.9677243187428379E-2</v>
      </c>
      <c r="R121" s="19">
        <f t="shared" si="12"/>
        <v>4.1095921383847767E-2</v>
      </c>
      <c r="S121" s="22">
        <v>3.9677802847979615E-2</v>
      </c>
      <c r="T121" s="19">
        <f t="shared" si="13"/>
        <v>4.1095616099453336E-2</v>
      </c>
      <c r="U121" s="24">
        <v>4.4026944621980979E-2</v>
      </c>
      <c r="V121" s="24">
        <f t="shared" si="14"/>
        <v>4.5445752512302429E-2</v>
      </c>
      <c r="W121" s="23">
        <f t="shared" si="15"/>
        <v>3.7158700377570852E-3</v>
      </c>
      <c r="X121" s="24">
        <v>4.3157099133558363E-2</v>
      </c>
      <c r="Y121" s="24">
        <f t="shared" si="16"/>
        <v>4.4575835411263309E-2</v>
      </c>
      <c r="Z121" s="23">
        <f t="shared" si="17"/>
        <v>3.646263555963758E-3</v>
      </c>
      <c r="AA121" s="36"/>
    </row>
    <row r="122" spans="15:27" ht="13.9" customHeight="1" x14ac:dyDescent="0.3">
      <c r="O122" s="12">
        <f t="shared" si="11"/>
        <v>9.0833333333333339</v>
      </c>
      <c r="P122" s="13">
        <v>109</v>
      </c>
      <c r="Q122" s="22">
        <v>3.9690249793157051E-2</v>
      </c>
      <c r="R122" s="19">
        <f t="shared" si="12"/>
        <v>4.102589037259019E-2</v>
      </c>
      <c r="S122" s="22">
        <v>3.9690801529149056E-2</v>
      </c>
      <c r="T122" s="19">
        <f t="shared" si="13"/>
        <v>4.1024998263658352E-2</v>
      </c>
      <c r="U122" s="24">
        <v>4.4039952452552988E-2</v>
      </c>
      <c r="V122" s="24">
        <f t="shared" si="14"/>
        <v>4.5376235353778327E-2</v>
      </c>
      <c r="W122" s="23">
        <f t="shared" si="15"/>
        <v>3.7104795060463047E-3</v>
      </c>
      <c r="X122" s="24">
        <v>4.317010630072371E-2</v>
      </c>
      <c r="Y122" s="24">
        <f t="shared" si="16"/>
        <v>4.4506112128343656E-2</v>
      </c>
      <c r="Z122" s="23">
        <f t="shared" si="17"/>
        <v>3.6408538554901781E-3</v>
      </c>
      <c r="AA122" s="36"/>
    </row>
    <row r="123" spans="15:27" ht="13.9" customHeight="1" x14ac:dyDescent="0.3">
      <c r="O123" s="12">
        <f t="shared" si="11"/>
        <v>9.1666666666666661</v>
      </c>
      <c r="P123" s="13">
        <v>110</v>
      </c>
      <c r="Q123" s="22">
        <v>3.9702384258482493E-2</v>
      </c>
      <c r="R123" s="19">
        <f t="shared" si="12"/>
        <v>4.0953715017252978E-2</v>
      </c>
      <c r="S123" s="22">
        <v>3.9702922885294312E-2</v>
      </c>
      <c r="T123" s="19">
        <f t="shared" si="13"/>
        <v>4.0952153576596872E-2</v>
      </c>
      <c r="U123" s="24">
        <v>4.405209278191613E-2</v>
      </c>
      <c r="V123" s="24">
        <f t="shared" si="14"/>
        <v>4.5304575833439831E-2</v>
      </c>
      <c r="W123" s="23">
        <f t="shared" si="15"/>
        <v>3.7049175063781359E-3</v>
      </c>
      <c r="X123" s="24">
        <v>4.3182244108016077E-2</v>
      </c>
      <c r="Y123" s="24">
        <f t="shared" si="16"/>
        <v>4.443422827530874E-2</v>
      </c>
      <c r="Z123" s="23">
        <f t="shared" si="17"/>
        <v>3.6352711049199016E-3</v>
      </c>
      <c r="AA123" s="36"/>
    </row>
    <row r="124" spans="15:27" ht="13.9" customHeight="1" x14ac:dyDescent="0.3">
      <c r="O124" s="12">
        <f t="shared" si="11"/>
        <v>9.25</v>
      </c>
      <c r="P124" s="13">
        <v>111</v>
      </c>
      <c r="Q124" s="22">
        <v>3.9713650791099564E-2</v>
      </c>
      <c r="R124" s="19">
        <f t="shared" si="12"/>
        <v>4.0879388890028512E-2</v>
      </c>
      <c r="S124" s="22">
        <v>3.9714170520907643E-2</v>
      </c>
      <c r="T124" s="19">
        <f t="shared" si="13"/>
        <v>4.0877079158532892E-2</v>
      </c>
      <c r="U124" s="24">
        <v>4.4063369711192069E-2</v>
      </c>
      <c r="V124" s="24">
        <f t="shared" si="14"/>
        <v>4.5230770685580568E-2</v>
      </c>
      <c r="W124" s="23">
        <f t="shared" si="15"/>
        <v>3.6991837435489394E-3</v>
      </c>
      <c r="X124" s="24">
        <v>4.3193516542595844E-2</v>
      </c>
      <c r="Y124" s="24">
        <f t="shared" si="16"/>
        <v>4.4360180457204024E-2</v>
      </c>
      <c r="Z124" s="23">
        <f t="shared" si="17"/>
        <v>3.6295149996132814E-3</v>
      </c>
      <c r="AA124" s="36"/>
    </row>
    <row r="125" spans="15:27" ht="13.9" customHeight="1" x14ac:dyDescent="0.3">
      <c r="O125" s="12">
        <f t="shared" si="11"/>
        <v>9.3333333333333339</v>
      </c>
      <c r="P125" s="13">
        <v>112</v>
      </c>
      <c r="Q125" s="22">
        <v>3.9724053388389358E-2</v>
      </c>
      <c r="R125" s="19">
        <f t="shared" si="12"/>
        <v>4.0802905548654733E-2</v>
      </c>
      <c r="S125" s="22">
        <v>3.9724547883159822E-2</v>
      </c>
      <c r="T125" s="19">
        <f t="shared" si="13"/>
        <v>4.0799772093371933E-2</v>
      </c>
      <c r="U125" s="24">
        <v>4.407378716321797E-2</v>
      </c>
      <c r="V125" s="24">
        <f t="shared" si="14"/>
        <v>4.5154816682735355E-2</v>
      </c>
      <c r="W125" s="23">
        <f t="shared" si="15"/>
        <v>3.693277923868532E-3</v>
      </c>
      <c r="X125" s="24">
        <v>4.3203927416210597E-2</v>
      </c>
      <c r="Y125" s="24">
        <f t="shared" si="16"/>
        <v>4.4283965296800565E-2</v>
      </c>
      <c r="Z125" s="23">
        <f t="shared" si="17"/>
        <v>3.6235852349006947E-3</v>
      </c>
      <c r="AA125" s="36"/>
    </row>
    <row r="126" spans="15:27" ht="13.9" customHeight="1" x14ac:dyDescent="0.3">
      <c r="O126" s="12">
        <f t="shared" si="11"/>
        <v>9.4166666666666661</v>
      </c>
      <c r="P126" s="13">
        <v>113</v>
      </c>
      <c r="Q126" s="22">
        <v>3.9733595846521919E-2</v>
      </c>
      <c r="R126" s="19">
        <f t="shared" si="12"/>
        <v>4.0724258540244307E-2</v>
      </c>
      <c r="S126" s="22">
        <v>3.9734058268471761E-2</v>
      </c>
      <c r="T126" s="19">
        <f t="shared" si="13"/>
        <v>4.0720229433104382E-2</v>
      </c>
      <c r="U126" s="24">
        <v>4.4083348890707974E-2</v>
      </c>
      <c r="V126" s="24">
        <f t="shared" si="14"/>
        <v>4.5076710638183082E-2</v>
      </c>
      <c r="W126" s="23">
        <f t="shared" si="15"/>
        <v>3.6871997556626734E-3</v>
      </c>
      <c r="X126" s="24">
        <v>4.3213480373047286E-2</v>
      </c>
      <c r="Y126" s="24">
        <f t="shared" si="16"/>
        <v>4.4205579437567977E-2</v>
      </c>
      <c r="Z126" s="23">
        <f t="shared" si="17"/>
        <v>3.6174815064664578E-3</v>
      </c>
      <c r="AA126" s="36"/>
    </row>
    <row r="127" spans="15:27" ht="13.9" customHeight="1" x14ac:dyDescent="0.3">
      <c r="O127" s="12">
        <f t="shared" si="11"/>
        <v>9.5</v>
      </c>
      <c r="P127" s="13">
        <v>114</v>
      </c>
      <c r="Q127" s="22">
        <v>3.9742281769113541E-2</v>
      </c>
      <c r="R127" s="19">
        <f t="shared" si="12"/>
        <v>4.0643449189096126E-2</v>
      </c>
      <c r="S127" s="22">
        <v>3.9742704828778397E-2</v>
      </c>
      <c r="T127" s="19">
        <f t="shared" si="13"/>
        <v>4.0638448201019806E-2</v>
      </c>
      <c r="U127" s="24">
        <v>4.4092058484007657E-2</v>
      </c>
      <c r="V127" s="24">
        <f t="shared" si="14"/>
        <v>4.499644941024572E-2</v>
      </c>
      <c r="W127" s="23">
        <f t="shared" si="15"/>
        <v>3.6809489494689096E-3</v>
      </c>
      <c r="X127" s="24">
        <v>4.3222178897196706E-2</v>
      </c>
      <c r="Y127" s="24">
        <f t="shared" si="16"/>
        <v>4.4125019548126643E-2</v>
      </c>
      <c r="Z127" s="23">
        <f t="shared" si="17"/>
        <v>3.6112035105810847E-3</v>
      </c>
      <c r="AA127" s="36"/>
    </row>
    <row r="128" spans="15:27" ht="13.9" customHeight="1" x14ac:dyDescent="0.3">
      <c r="O128" s="12">
        <f t="shared" si="11"/>
        <v>9.5833333333333339</v>
      </c>
      <c r="P128" s="13">
        <v>115</v>
      </c>
      <c r="Q128" s="22">
        <v>3.9750114643093637E-2</v>
      </c>
      <c r="R128" s="19">
        <f t="shared" si="12"/>
        <v>4.0560502181285818E-2</v>
      </c>
      <c r="S128" s="22">
        <v>3.9750490577494579E-2</v>
      </c>
      <c r="T128" s="19">
        <f t="shared" si="13"/>
        <v>4.0554425396610583E-2</v>
      </c>
      <c r="U128" s="24">
        <v>4.4099919378480124E-2</v>
      </c>
      <c r="V128" s="24">
        <f t="shared" si="14"/>
        <v>4.4914029905889663E-2</v>
      </c>
      <c r="W128" s="23">
        <f t="shared" si="15"/>
        <v>3.674525218375857E-3</v>
      </c>
      <c r="X128" s="24">
        <v>4.3230026319767356E-2</v>
      </c>
      <c r="Y128" s="24">
        <f t="shared" si="16"/>
        <v>4.4042282325657656E-2</v>
      </c>
      <c r="Z128" s="23">
        <f t="shared" si="17"/>
        <v>3.6047509444525616E-3</v>
      </c>
      <c r="AA128" s="36"/>
    </row>
    <row r="129" spans="15:27" ht="13.9" customHeight="1" x14ac:dyDescent="0.3">
      <c r="O129" s="12">
        <f t="shared" si="11"/>
        <v>9.6666666666666661</v>
      </c>
      <c r="P129" s="13">
        <v>116</v>
      </c>
      <c r="Q129" s="22">
        <v>3.9757098044922001E-2</v>
      </c>
      <c r="R129" s="19">
        <f t="shared" si="12"/>
        <v>4.047541888569528E-2</v>
      </c>
      <c r="S129" s="22">
        <v>3.9757418395213406E-2</v>
      </c>
      <c r="T129" s="19">
        <f t="shared" si="13"/>
        <v>4.0468157999425936E-2</v>
      </c>
      <c r="U129" s="24">
        <v>4.4106934861542602E-2</v>
      </c>
      <c r="V129" s="24">
        <f t="shared" si="14"/>
        <v>4.4829449084871076E-2</v>
      </c>
      <c r="W129" s="23">
        <f t="shared" si="15"/>
        <v>3.6679282783069755E-3</v>
      </c>
      <c r="X129" s="24">
        <v>4.3237025825660691E-2</v>
      </c>
      <c r="Y129" s="24">
        <f t="shared" si="16"/>
        <v>4.3957364500640583E-2</v>
      </c>
      <c r="Z129" s="23">
        <f t="shared" si="17"/>
        <v>3.5981235064952433E-3</v>
      </c>
      <c r="AA129" s="36"/>
    </row>
    <row r="130" spans="15:27" ht="13.9" customHeight="1" x14ac:dyDescent="0.3">
      <c r="O130" s="12">
        <f t="shared" si="11"/>
        <v>9.75</v>
      </c>
      <c r="P130" s="13">
        <v>117</v>
      </c>
      <c r="Q130" s="22">
        <v>3.9763235437628941E-2</v>
      </c>
      <c r="R130" s="19">
        <f t="shared" si="12"/>
        <v>4.0388192896673392E-2</v>
      </c>
      <c r="S130" s="22">
        <v>3.9763491035145426E-2</v>
      </c>
      <c r="T130" s="19">
        <f t="shared" si="13"/>
        <v>4.0379642973654928E-2</v>
      </c>
      <c r="U130" s="24">
        <v>4.4113108079376184E-2</v>
      </c>
      <c r="V130" s="24">
        <f t="shared" si="14"/>
        <v>4.4742703963502883E-2</v>
      </c>
      <c r="W130" s="23">
        <f t="shared" si="15"/>
        <v>3.6611578483491947E-3</v>
      </c>
      <c r="X130" s="24">
        <v>4.3243180460039055E-2</v>
      </c>
      <c r="Y130" s="24">
        <f t="shared" si="16"/>
        <v>4.3870262839944996E-2</v>
      </c>
      <c r="Z130" s="23">
        <f t="shared" si="17"/>
        <v>3.5913208967037757E-3</v>
      </c>
      <c r="AA130" s="36"/>
    </row>
    <row r="131" spans="15:27" ht="13.9" customHeight="1" x14ac:dyDescent="0.3">
      <c r="O131" s="12">
        <f t="shared" si="11"/>
        <v>9.8333333333333339</v>
      </c>
      <c r="P131" s="13">
        <v>118</v>
      </c>
      <c r="Q131" s="22">
        <v>3.9768530109724809E-2</v>
      </c>
      <c r="R131" s="19">
        <f t="shared" si="12"/>
        <v>4.029881781735134E-2</v>
      </c>
      <c r="S131" s="22">
        <v>3.9768711128319367E-2</v>
      </c>
      <c r="T131" s="19">
        <f t="shared" si="13"/>
        <v>4.0288877271426271E-2</v>
      </c>
      <c r="U131" s="24">
        <v>4.4118442043327377E-2</v>
      </c>
      <c r="V131" s="24">
        <f t="shared" si="14"/>
        <v>4.4653791619086336E-2</v>
      </c>
      <c r="W131" s="23">
        <f t="shared" si="15"/>
        <v>3.6542136510497869E-3</v>
      </c>
      <c r="X131" s="24">
        <v>4.3248493134490973E-2</v>
      </c>
      <c r="Y131" s="24">
        <f t="shared" si="16"/>
        <v>4.3780974151478302E-2</v>
      </c>
      <c r="Z131" s="23">
        <f t="shared" si="17"/>
        <v>3.5843428168953473E-3</v>
      </c>
      <c r="AA131" s="36"/>
    </row>
    <row r="132" spans="15:27" ht="13.9" customHeight="1" x14ac:dyDescent="0.3">
      <c r="O132" s="12">
        <f t="shared" si="11"/>
        <v>9.9166666666666661</v>
      </c>
      <c r="P132" s="13">
        <v>119</v>
      </c>
      <c r="Q132" s="22">
        <v>3.9772985182535914E-2</v>
      </c>
      <c r="R132" s="19">
        <f t="shared" si="12"/>
        <v>4.0207287263658742E-2</v>
      </c>
      <c r="S132" s="22">
        <v>3.9773081188548831E-2</v>
      </c>
      <c r="T132" s="19">
        <f t="shared" si="13"/>
        <v>4.0195857838454696E-2</v>
      </c>
      <c r="U132" s="24">
        <v>4.4122939636023206E-2</v>
      </c>
      <c r="V132" s="24">
        <f t="shared" si="14"/>
        <v>4.4562709192913941E-2</v>
      </c>
      <c r="W132" s="23">
        <f t="shared" si="15"/>
        <v>3.6470954127680866E-3</v>
      </c>
      <c r="X132" s="24">
        <v>4.3252966632924883E-2</v>
      </c>
      <c r="Y132" s="24">
        <f t="shared" si="16"/>
        <v>4.3689495288250058E-2</v>
      </c>
      <c r="Z132" s="23">
        <f t="shared" si="17"/>
        <v>3.5771889710785043E-3</v>
      </c>
      <c r="AA132" s="36"/>
    </row>
    <row r="133" spans="15:27" ht="13.9" customHeight="1" x14ac:dyDescent="0.3">
      <c r="O133" s="12">
        <f t="shared" si="11"/>
        <v>10</v>
      </c>
      <c r="P133" s="13">
        <v>120</v>
      </c>
      <c r="Q133" s="22">
        <v>3.9776603617204476E-2</v>
      </c>
      <c r="R133" s="19">
        <f t="shared" si="12"/>
        <v>4.0114297652692699E-2</v>
      </c>
      <c r="S133" s="22">
        <v>3.9776603617196038E-2</v>
      </c>
      <c r="T133" s="19">
        <f t="shared" si="13"/>
        <v>4.0101317611530574E-2</v>
      </c>
      <c r="U133" s="24">
        <v>4.4126603617206772E-2</v>
      </c>
      <c r="V133" s="24">
        <f t="shared" si="14"/>
        <v>4.4470140587821616E-2</v>
      </c>
      <c r="W133" s="23">
        <f t="shared" si="15"/>
        <v>3.6398028639121893E-3</v>
      </c>
      <c r="X133" s="24">
        <v>4.3256603617201073E-2</v>
      </c>
      <c r="Y133" s="24">
        <f t="shared" si="16"/>
        <v>4.3596520762325452E-2</v>
      </c>
      <c r="Z133" s="23">
        <f t="shared" si="17"/>
        <v>3.5698590657740059E-3</v>
      </c>
      <c r="AA133" s="36"/>
    </row>
    <row r="134" spans="15:27" ht="13.9" customHeight="1" x14ac:dyDescent="0.3">
      <c r="O134" s="12">
        <f t="shared" si="11"/>
        <v>10.083333333333334</v>
      </c>
      <c r="P134" s="13">
        <v>121</v>
      </c>
      <c r="Q134" s="22">
        <v>3.9779394027642745E-2</v>
      </c>
      <c r="R134" s="19">
        <f t="shared" si="12"/>
        <v>4.0022654954220194E-2</v>
      </c>
      <c r="S134" s="22">
        <v>3.9779286788443891E-2</v>
      </c>
      <c r="T134" s="19">
        <f t="shared" si="13"/>
        <v>4.0008195705268257E-2</v>
      </c>
      <c r="U134" s="24">
        <v>4.4129442302619282E-2</v>
      </c>
      <c r="V134" s="24">
        <f t="shared" si="14"/>
        <v>4.4378830069130126E-2</v>
      </c>
      <c r="W134" s="23">
        <f t="shared" si="15"/>
        <v>3.6323907263153821E-3</v>
      </c>
      <c r="X134" s="24">
        <v>4.3259412396029262E-2</v>
      </c>
      <c r="Y134" s="24">
        <f t="shared" si="16"/>
        <v>4.3504837804260177E-2</v>
      </c>
      <c r="Z134" s="23">
        <f t="shared" si="17"/>
        <v>3.5624087143866223E-3</v>
      </c>
      <c r="AA134" s="36"/>
    </row>
    <row r="135" spans="15:27" ht="13.9" customHeight="1" x14ac:dyDescent="0.3">
      <c r="O135" s="12">
        <f t="shared" si="11"/>
        <v>10.166666666666666</v>
      </c>
      <c r="P135" s="13">
        <v>122</v>
      </c>
      <c r="Q135" s="22">
        <v>3.9781387738365925E-2</v>
      </c>
      <c r="R135" s="19">
        <f t="shared" si="12"/>
        <v>3.9933058998130599E-2</v>
      </c>
      <c r="S135" s="22">
        <v>3.978116288622835E-2</v>
      </c>
      <c r="T135" s="19">
        <f t="shared" si="13"/>
        <v>3.9917220253769869E-2</v>
      </c>
      <c r="U135" s="24">
        <v>4.4131486222557692E-2</v>
      </c>
      <c r="V135" s="24">
        <f t="shared" si="14"/>
        <v>4.4289462356289722E-2</v>
      </c>
      <c r="W135" s="23">
        <f t="shared" si="15"/>
        <v>3.6250787360208037E-3</v>
      </c>
      <c r="X135" s="24">
        <v>4.3261423845056601E-2</v>
      </c>
      <c r="Y135" s="24">
        <f t="shared" si="16"/>
        <v>4.3415140680826969E-2</v>
      </c>
      <c r="Z135" s="23">
        <f t="shared" si="17"/>
        <v>3.5550612646890745E-3</v>
      </c>
      <c r="AA135" s="36"/>
    </row>
    <row r="136" spans="15:27" ht="13.9" customHeight="1" x14ac:dyDescent="0.3">
      <c r="O136" s="12">
        <f t="shared" si="11"/>
        <v>10.25</v>
      </c>
      <c r="P136" s="13">
        <v>123</v>
      </c>
      <c r="Q136" s="22">
        <v>3.9782620748843422E-2</v>
      </c>
      <c r="R136" s="19">
        <f t="shared" si="12"/>
        <v>3.9845507176499595E-2</v>
      </c>
      <c r="S136" s="22">
        <v>3.9782268971911172E-2</v>
      </c>
      <c r="T136" s="19">
        <f t="shared" si="13"/>
        <v>3.9828383033479131E-2</v>
      </c>
      <c r="U136" s="24">
        <v>4.4132770485006967E-2</v>
      </c>
      <c r="V136" s="24">
        <f t="shared" si="14"/>
        <v>4.4202035542300511E-2</v>
      </c>
      <c r="W136" s="23">
        <f t="shared" si="15"/>
        <v>3.6179217548306664E-3</v>
      </c>
      <c r="X136" s="24">
        <v>4.3262673484116831E-2</v>
      </c>
      <c r="Y136" s="24">
        <f t="shared" si="16"/>
        <v>4.3327426035710603E-2</v>
      </c>
      <c r="Z136" s="23">
        <f t="shared" si="17"/>
        <v>3.5478723865995931E-3</v>
      </c>
      <c r="AA136" s="36"/>
    </row>
    <row r="137" spans="15:27" ht="13.9" customHeight="1" x14ac:dyDescent="0.3">
      <c r="O137" s="12">
        <f t="shared" si="11"/>
        <v>10.333333333333334</v>
      </c>
      <c r="P137" s="13">
        <v>124</v>
      </c>
      <c r="Q137" s="22">
        <v>3.9783127882241587E-2</v>
      </c>
      <c r="R137" s="19">
        <f t="shared" si="12"/>
        <v>3.9759996889104698E-2</v>
      </c>
      <c r="S137" s="22">
        <v>3.9782640851324658E-2</v>
      </c>
      <c r="T137" s="19">
        <f t="shared" si="13"/>
        <v>3.9741675865331061E-2</v>
      </c>
      <c r="U137" s="24">
        <v>4.4133329055801251E-2</v>
      </c>
      <c r="V137" s="24">
        <f t="shared" si="14"/>
        <v>4.4116547684445839E-2</v>
      </c>
      <c r="W137" s="23">
        <f t="shared" si="15"/>
        <v>3.6109196665279342E-3</v>
      </c>
      <c r="X137" s="24">
        <v>4.32631956660392E-2</v>
      </c>
      <c r="Y137" s="24">
        <f t="shared" si="16"/>
        <v>4.3241690498141194E-2</v>
      </c>
      <c r="Z137" s="23">
        <f t="shared" si="17"/>
        <v>3.5408418486215787E-3</v>
      </c>
      <c r="AA137" s="36"/>
    </row>
    <row r="138" spans="15:27" ht="13.9" customHeight="1" x14ac:dyDescent="0.3">
      <c r="O138" s="12">
        <f t="shared" si="11"/>
        <v>10.416666666666666</v>
      </c>
      <c r="P138" s="13">
        <v>125</v>
      </c>
      <c r="Q138" s="22">
        <v>3.9782942832254697E-2</v>
      </c>
      <c r="R138" s="19">
        <f t="shared" si="12"/>
        <v>3.9676525546889829E-2</v>
      </c>
      <c r="S138" s="22">
        <v>3.9782313125032553E-2</v>
      </c>
      <c r="T138" s="19">
        <f t="shared" si="13"/>
        <v>3.9657090617457591E-2</v>
      </c>
      <c r="U138" s="24">
        <v>4.4133194803760212E-2</v>
      </c>
      <c r="V138" s="24">
        <f t="shared" si="14"/>
        <v>4.4032996806299352E-2</v>
      </c>
      <c r="W138" s="23">
        <f t="shared" si="15"/>
        <v>3.6040723512047457E-3</v>
      </c>
      <c r="X138" s="24">
        <v>4.3263023622936991E-2</v>
      </c>
      <c r="Y138" s="24">
        <f t="shared" si="16"/>
        <v>4.3157930682519385E-2</v>
      </c>
      <c r="Z138" s="23">
        <f t="shared" si="17"/>
        <v>3.5339694171974134E-3</v>
      </c>
      <c r="AA138" s="36"/>
    </row>
    <row r="139" spans="15:27" ht="13.9" customHeight="1" x14ac:dyDescent="0.3">
      <c r="O139" s="12">
        <f t="shared" si="11"/>
        <v>10.5</v>
      </c>
      <c r="P139" s="13">
        <v>126</v>
      </c>
      <c r="Q139" s="22">
        <v>3.9782098207745253E-2</v>
      </c>
      <c r="R139" s="19">
        <f t="shared" si="12"/>
        <v>3.9595084722729768E-2</v>
      </c>
      <c r="S139" s="22">
        <v>3.9781319236233292E-2</v>
      </c>
      <c r="T139" s="19">
        <f t="shared" si="13"/>
        <v>3.9574619209115536E-2</v>
      </c>
      <c r="U139" s="24">
        <v>4.4132399543702627E-2</v>
      </c>
      <c r="V139" s="24">
        <f t="shared" si="14"/>
        <v>4.3951380901970039E-2</v>
      </c>
      <c r="W139" s="23">
        <f t="shared" si="15"/>
        <v>3.5973796854238405E-3</v>
      </c>
      <c r="X139" s="24">
        <v>4.3262189510302029E-2</v>
      </c>
      <c r="Y139" s="24">
        <f t="shared" si="16"/>
        <v>4.3076143194189953E-2</v>
      </c>
      <c r="Z139" s="23">
        <f t="shared" si="17"/>
        <v>3.5272548566824824E-3</v>
      </c>
      <c r="AA139" s="36"/>
    </row>
    <row r="140" spans="15:27" ht="13.9" customHeight="1" x14ac:dyDescent="0.3">
      <c r="O140" s="12">
        <f t="shared" si="11"/>
        <v>10.583333333333334</v>
      </c>
      <c r="P140" s="13">
        <v>127</v>
      </c>
      <c r="Q140" s="22">
        <v>3.9780625529221236E-2</v>
      </c>
      <c r="R140" s="19">
        <f t="shared" si="12"/>
        <v>3.9515648439964579E-2</v>
      </c>
      <c r="S140" s="22">
        <v>3.977969151644456E-2</v>
      </c>
      <c r="T140" s="19">
        <f t="shared" si="13"/>
        <v>3.9494253614050123E-2</v>
      </c>
      <c r="U140" s="24">
        <v>4.4130974077471574E-2</v>
      </c>
      <c r="V140" s="24">
        <f t="shared" si="14"/>
        <v>4.387169793875012E-2</v>
      </c>
      <c r="W140" s="23">
        <f t="shared" si="15"/>
        <v>3.5908415425593976E-3</v>
      </c>
      <c r="X140" s="24">
        <v>4.3260724449070587E-2</v>
      </c>
      <c r="Y140" s="24">
        <f t="shared" si="16"/>
        <v>4.2996324630384164E-2</v>
      </c>
      <c r="Z140" s="23">
        <f t="shared" si="17"/>
        <v>3.5206979298114671E-3</v>
      </c>
      <c r="AA140" s="36"/>
    </row>
    <row r="141" spans="15:27" ht="13.9" customHeight="1" x14ac:dyDescent="0.3">
      <c r="O141" s="12">
        <f t="shared" si="11"/>
        <v>10.666666666666666</v>
      </c>
      <c r="P141" s="13">
        <v>128</v>
      </c>
      <c r="Q141" s="22">
        <v>3.9778555133952009E-2</v>
      </c>
      <c r="R141" s="19">
        <f t="shared" si="12"/>
        <v>3.9438208285540899E-2</v>
      </c>
      <c r="S141" s="22">
        <v>3.97774612290831E-2</v>
      </c>
      <c r="T141" s="19">
        <f t="shared" si="13"/>
        <v>3.9415985863063163E-2</v>
      </c>
      <c r="U141" s="24">
        <v>4.4128948233066012E-2</v>
      </c>
      <c r="V141" s="24">
        <f t="shared" si="14"/>
        <v>4.3793945859721184E-2</v>
      </c>
      <c r="W141" s="23">
        <f t="shared" si="15"/>
        <v>3.5844577930115307E-3</v>
      </c>
      <c r="X141" s="24">
        <v>4.325865856573663E-2</v>
      </c>
      <c r="Y141" s="24">
        <f t="shared" si="16"/>
        <v>4.2918471585183138E-2</v>
      </c>
      <c r="Z141" s="23">
        <f t="shared" si="17"/>
        <v>3.5142983977776154E-3</v>
      </c>
      <c r="AA141" s="36"/>
    </row>
    <row r="142" spans="15:27" ht="13.9" customHeight="1" x14ac:dyDescent="0.3">
      <c r="O142" s="12">
        <f t="shared" ref="O142:O205" si="18">P142/12</f>
        <v>10.75</v>
      </c>
      <c r="P142" s="13">
        <v>129</v>
      </c>
      <c r="Q142" s="22">
        <v>3.9775916357743801E-2</v>
      </c>
      <c r="R142" s="19">
        <f t="shared" ref="R142:R205" si="19">(1+Q143)^P143/(1+Q142)^P142-1</f>
        <v>3.9362761720586503E-2</v>
      </c>
      <c r="S142" s="22">
        <v>3.977465861105034E-2</v>
      </c>
      <c r="T142" s="19">
        <f t="shared" ref="T142:T205" si="20">(1+S143)^P143/(1+S142)^P142-1</f>
        <v>3.9339808048825642E-2</v>
      </c>
      <c r="U142" s="24">
        <v>4.4126350901982025E-2</v>
      </c>
      <c r="V142" s="24">
        <f t="shared" ref="V142:V205" si="21">(1+U143)^P143/(1+U142)^P142-1</f>
        <v>4.3718122587222297E-2</v>
      </c>
      <c r="W142" s="23">
        <f t="shared" si="15"/>
        <v>3.5782283044145657E-3</v>
      </c>
      <c r="X142" s="24">
        <v>4.3256021030645186E-2</v>
      </c>
      <c r="Y142" s="24">
        <f t="shared" si="16"/>
        <v>4.2842580651879292E-2</v>
      </c>
      <c r="Z142" s="23">
        <f t="shared" si="17"/>
        <v>3.5080560206348643E-3</v>
      </c>
      <c r="AA142" s="36"/>
    </row>
    <row r="143" spans="15:27" ht="13.9" customHeight="1" x14ac:dyDescent="0.3">
      <c r="O143" s="12">
        <f t="shared" si="18"/>
        <v>10.833333333333334</v>
      </c>
      <c r="P143" s="13">
        <v>130</v>
      </c>
      <c r="Q143" s="22">
        <v>3.977273761843092E-2</v>
      </c>
      <c r="R143" s="19">
        <f t="shared" si="19"/>
        <v>3.9289306233143417E-2</v>
      </c>
      <c r="S143" s="22">
        <v>3.9771312912445733E-2</v>
      </c>
      <c r="T143" s="19">
        <f t="shared" si="20"/>
        <v>3.9265712327348767E-2</v>
      </c>
      <c r="U143" s="24">
        <v>4.4123210074865193E-2</v>
      </c>
      <c r="V143" s="24">
        <f t="shared" si="21"/>
        <v>4.3644226025590704E-2</v>
      </c>
      <c r="W143" s="23">
        <f t="shared" ref="W143:W206" si="22">(1+V142)^(1/12)-1</f>
        <v>3.5721529419185938E-3</v>
      </c>
      <c r="X143" s="24">
        <v>4.3252840094546663E-2</v>
      </c>
      <c r="Y143" s="24">
        <f t="shared" ref="Y143:Y206" si="23">(1+X144)^P144/(1+X143)^P143-1</f>
        <v>4.2768648425483669E-2</v>
      </c>
      <c r="Z143" s="23">
        <f t="shared" ref="Z143:Z206" si="24">(1+Y142)^(1/12)-1</f>
        <v>3.5019705574905746E-3</v>
      </c>
      <c r="AA143" s="36"/>
    </row>
    <row r="144" spans="15:27" ht="13.9" customHeight="1" x14ac:dyDescent="0.3">
      <c r="O144" s="12">
        <f t="shared" si="18"/>
        <v>10.916666666666666</v>
      </c>
      <c r="P144" s="13">
        <v>131</v>
      </c>
      <c r="Q144" s="22">
        <v>3.9769046450911727E-2</v>
      </c>
      <c r="R144" s="19">
        <f t="shared" si="19"/>
        <v>3.9217839341226135E-2</v>
      </c>
      <c r="S144" s="22">
        <v>3.9767452434482875E-2</v>
      </c>
      <c r="T144" s="19">
        <f t="shared" si="20"/>
        <v>3.9193690922416646E-2</v>
      </c>
      <c r="U144" s="24">
        <v>4.4119552875559132E-2</v>
      </c>
      <c r="V144" s="24">
        <f t="shared" si="21"/>
        <v>4.3572254064922822E-2</v>
      </c>
      <c r="W144" s="23">
        <f t="shared" si="22"/>
        <v>3.5662315684088508E-3</v>
      </c>
      <c r="X144" s="24">
        <v>4.324914312350403E-2</v>
      </c>
      <c r="Y144" s="24">
        <f t="shared" si="23"/>
        <v>4.2696671506940564E-2</v>
      </c>
      <c r="Z144" s="23">
        <f t="shared" si="24"/>
        <v>3.4960417667113663E-3</v>
      </c>
      <c r="AA144" s="36"/>
    </row>
    <row r="145" spans="15:27" ht="13.9" customHeight="1" x14ac:dyDescent="0.3">
      <c r="O145" s="12">
        <f t="shared" si="18"/>
        <v>11</v>
      </c>
      <c r="P145" s="13">
        <v>132</v>
      </c>
      <c r="Q145" s="22">
        <v>3.9764869540622971E-2</v>
      </c>
      <c r="R145" s="19">
        <f t="shared" si="19"/>
        <v>3.9148352841653411E-2</v>
      </c>
      <c r="S145" s="22">
        <v>3.9763104565724516E-2</v>
      </c>
      <c r="T145" s="19">
        <f t="shared" si="20"/>
        <v>3.9123736128367614E-2</v>
      </c>
      <c r="U145" s="24">
        <v>4.4115405593642132E-2</v>
      </c>
      <c r="V145" s="24">
        <f t="shared" si="21"/>
        <v>4.3502204582451354E-2</v>
      </c>
      <c r="W145" s="23">
        <f t="shared" si="22"/>
        <v>3.560464044810363E-3</v>
      </c>
      <c r="X145" s="24">
        <v>4.3244956632253029E-2</v>
      </c>
      <c r="Y145" s="24">
        <f t="shared" si="23"/>
        <v>4.2626646505071752E-2</v>
      </c>
      <c r="Z145" s="23">
        <f t="shared" si="24"/>
        <v>3.4902694062652895E-3</v>
      </c>
      <c r="AA145" s="36"/>
    </row>
    <row r="146" spans="15:27" ht="13.9" customHeight="1" x14ac:dyDescent="0.3">
      <c r="O146" s="12">
        <f t="shared" si="18"/>
        <v>11.083333333333334</v>
      </c>
      <c r="P146" s="13">
        <v>133</v>
      </c>
      <c r="Q146" s="22">
        <v>3.9760232712243715E-2</v>
      </c>
      <c r="R146" s="19">
        <f t="shared" si="19"/>
        <v>3.9080821299959378E-2</v>
      </c>
      <c r="S146" s="22">
        <v>3.9758295816713751E-2</v>
      </c>
      <c r="T146" s="19">
        <f t="shared" si="20"/>
        <v>3.9055840312478551E-2</v>
      </c>
      <c r="U146" s="24">
        <v>4.4110793715512742E-2</v>
      </c>
      <c r="V146" s="24">
        <f t="shared" si="21"/>
        <v>4.3434075446791676E-2</v>
      </c>
      <c r="W146" s="23">
        <f t="shared" si="22"/>
        <v>3.5548502301994134E-3</v>
      </c>
      <c r="X146" s="24">
        <v>4.3240306316079558E-2</v>
      </c>
      <c r="Y146" s="24">
        <f t="shared" si="23"/>
        <v>4.2558570040322596E-2</v>
      </c>
      <c r="Z146" s="23">
        <f t="shared" si="24"/>
        <v>3.484653233881474E-3</v>
      </c>
      <c r="AA146" s="36"/>
    </row>
    <row r="147" spans="15:27" ht="13.9" customHeight="1" x14ac:dyDescent="0.3">
      <c r="O147" s="12">
        <f t="shared" si="18"/>
        <v>11.166666666666666</v>
      </c>
      <c r="P147" s="13">
        <v>134</v>
      </c>
      <c r="Q147" s="22">
        <v>3.9755160832948055E-2</v>
      </c>
      <c r="R147" s="19">
        <f t="shared" si="19"/>
        <v>3.9015236567857547E-2</v>
      </c>
      <c r="S147" s="22">
        <v>3.9753051853080423E-2</v>
      </c>
      <c r="T147" s="19">
        <f t="shared" si="20"/>
        <v>3.8989995919865628E-2</v>
      </c>
      <c r="U147" s="24">
        <v>4.4105741954123312E-2</v>
      </c>
      <c r="V147" s="24">
        <f t="shared" si="21"/>
        <v>4.3367864521212773E-2</v>
      </c>
      <c r="W147" s="23">
        <f t="shared" si="22"/>
        <v>3.5493899821466002E-3</v>
      </c>
      <c r="X147" s="24">
        <v>4.3235217081304844E-2</v>
      </c>
      <c r="Y147" s="24">
        <f t="shared" si="23"/>
        <v>4.2492438747779415E-2</v>
      </c>
      <c r="Z147" s="23">
        <f t="shared" si="24"/>
        <v>3.4791930073552191E-3</v>
      </c>
      <c r="AA147" s="36"/>
    </row>
    <row r="148" spans="15:27" ht="13.9" customHeight="1" x14ac:dyDescent="0.3">
      <c r="O148" s="12">
        <f t="shared" si="18"/>
        <v>11.25</v>
      </c>
      <c r="P148" s="13">
        <v>135</v>
      </c>
      <c r="Q148" s="22">
        <v>3.9749677975793984E-2</v>
      </c>
      <c r="R148" s="19">
        <f t="shared" si="19"/>
        <v>3.8951596291224355E-2</v>
      </c>
      <c r="S148" s="22">
        <v>3.9747397527219785E-2</v>
      </c>
      <c r="T148" s="19">
        <f t="shared" si="20"/>
        <v>3.8926195474027203E-2</v>
      </c>
      <c r="U148" s="24">
        <v>4.4100274277420359E-2</v>
      </c>
      <c r="V148" s="24">
        <f t="shared" si="21"/>
        <v>4.3303569664664643E-2</v>
      </c>
      <c r="W148" s="23">
        <f t="shared" si="22"/>
        <v>3.5440831569804043E-3</v>
      </c>
      <c r="X148" s="24">
        <v>4.3229713074443676E-2</v>
      </c>
      <c r="Y148" s="24">
        <f t="shared" si="23"/>
        <v>4.2428249279413688E-2</v>
      </c>
      <c r="Z148" s="23">
        <f t="shared" si="24"/>
        <v>3.4738884847944629E-3</v>
      </c>
      <c r="AA148" s="36"/>
    </row>
    <row r="149" spans="15:27" ht="13.9" customHeight="1" x14ac:dyDescent="0.3">
      <c r="O149" s="12">
        <f t="shared" si="18"/>
        <v>11.333333333333334</v>
      </c>
      <c r="P149" s="13">
        <v>136</v>
      </c>
      <c r="Q149" s="22">
        <v>3.9743807491384509E-2</v>
      </c>
      <c r="R149" s="19">
        <f t="shared" si="19"/>
        <v>3.8889898159832237E-2</v>
      </c>
      <c r="S149" s="22">
        <v>3.9741356908586711E-2</v>
      </c>
      <c r="T149" s="19">
        <f t="shared" si="20"/>
        <v>3.886443158193198E-2</v>
      </c>
      <c r="U149" s="24">
        <v>4.4094413935545695E-2</v>
      </c>
      <c r="V149" s="24">
        <f t="shared" si="21"/>
        <v>4.3241188737128233E-2</v>
      </c>
      <c r="W149" s="23">
        <f t="shared" si="22"/>
        <v>3.5389296098720102E-3</v>
      </c>
      <c r="X149" s="24">
        <v>4.3223817710100754E-2</v>
      </c>
      <c r="Y149" s="24">
        <f t="shared" si="23"/>
        <v>4.2365998307802633E-2</v>
      </c>
      <c r="Z149" s="23">
        <f t="shared" si="24"/>
        <v>3.4687394248043013E-3</v>
      </c>
      <c r="AA149" s="36"/>
    </row>
    <row r="150" spans="15:27" ht="13.9" customHeight="1" x14ac:dyDescent="0.3">
      <c r="O150" s="12">
        <f t="shared" si="18"/>
        <v>11.416666666666666</v>
      </c>
      <c r="P150" s="13">
        <v>137</v>
      </c>
      <c r="Q150" s="22">
        <v>3.9737572034401092E-2</v>
      </c>
      <c r="R150" s="19">
        <f t="shared" si="19"/>
        <v>3.8830139911217421E-2</v>
      </c>
      <c r="S150" s="22">
        <v>3.9734953312705601E-2</v>
      </c>
      <c r="T150" s="19">
        <f t="shared" si="20"/>
        <v>3.8804696936355576E-2</v>
      </c>
      <c r="U150" s="24">
        <v>4.4088183486889365E-2</v>
      </c>
      <c r="V150" s="24">
        <f t="shared" si="21"/>
        <v>4.318071960117309E-2</v>
      </c>
      <c r="W150" s="23">
        <f t="shared" si="22"/>
        <v>3.5339291952671825E-3</v>
      </c>
      <c r="X150" s="24">
        <v>4.321755369767688E-2</v>
      </c>
      <c r="Y150" s="24">
        <f t="shared" si="23"/>
        <v>4.2305682529402144E-2</v>
      </c>
      <c r="Z150" s="23">
        <f t="shared" si="24"/>
        <v>3.463745586790079E-3</v>
      </c>
      <c r="AA150" s="36"/>
    </row>
    <row r="151" spans="15:27" ht="13.9" customHeight="1" x14ac:dyDescent="0.3">
      <c r="O151" s="12">
        <f t="shared" si="18"/>
        <v>11.5</v>
      </c>
      <c r="P151" s="13">
        <v>138</v>
      </c>
      <c r="Q151" s="22">
        <v>3.9730993589017105E-2</v>
      </c>
      <c r="R151" s="19">
        <f t="shared" si="19"/>
        <v>3.8772313678026249E-2</v>
      </c>
      <c r="S151" s="22">
        <v>3.9728209328943942E-2</v>
      </c>
      <c r="T151" s="19">
        <f t="shared" si="20"/>
        <v>3.8746984317697741E-2</v>
      </c>
      <c r="U151" s="24">
        <v>4.4081604823027032E-2</v>
      </c>
      <c r="V151" s="24">
        <f t="shared" si="21"/>
        <v>4.3122160124638986E-2</v>
      </c>
      <c r="W151" s="23">
        <f t="shared" si="22"/>
        <v>3.5290817670126096E-3</v>
      </c>
      <c r="X151" s="24">
        <v>4.3210943066943397E-2</v>
      </c>
      <c r="Y151" s="24">
        <f t="shared" si="23"/>
        <v>4.224729866583754E-2</v>
      </c>
      <c r="Z151" s="23">
        <f t="shared" si="24"/>
        <v>3.4589067312238431E-3</v>
      </c>
      <c r="AA151" s="36"/>
    </row>
    <row r="152" spans="15:27" ht="13.9" customHeight="1" x14ac:dyDescent="0.3">
      <c r="O152" s="12">
        <f t="shared" si="18"/>
        <v>11.583333333333334</v>
      </c>
      <c r="P152" s="13">
        <v>139</v>
      </c>
      <c r="Q152" s="22">
        <v>3.972409345251493E-2</v>
      </c>
      <c r="R152" s="19">
        <f t="shared" si="19"/>
        <v>3.8716394671933774E-2</v>
      </c>
      <c r="S152" s="22">
        <v>3.9721146847106148E-2</v>
      </c>
      <c r="T152" s="19">
        <f t="shared" si="20"/>
        <v>3.8691286598590446E-2</v>
      </c>
      <c r="U152" s="24">
        <v>4.4074699192605094E-2</v>
      </c>
      <c r="V152" s="24">
        <f t="shared" si="21"/>
        <v>4.3065508184160439E-2</v>
      </c>
      <c r="W152" s="23">
        <f t="shared" si="22"/>
        <v>3.5243871785739511E-3</v>
      </c>
      <c r="X152" s="24">
        <v>4.3204007192528371E-2</v>
      </c>
      <c r="Y152" s="24">
        <f t="shared" si="23"/>
        <v>4.2190843468500328E-2</v>
      </c>
      <c r="Z152" s="23">
        <f t="shared" si="24"/>
        <v>3.4542226197533665E-3</v>
      </c>
      <c r="AA152" s="36"/>
    </row>
    <row r="153" spans="15:27" ht="13.9" customHeight="1" x14ac:dyDescent="0.3">
      <c r="O153" s="12">
        <f t="shared" si="18"/>
        <v>11.666666666666666</v>
      </c>
      <c r="P153" s="13">
        <v>140</v>
      </c>
      <c r="Q153" s="22">
        <v>3.9716892138694559E-2</v>
      </c>
      <c r="R153" s="19">
        <f t="shared" si="19"/>
        <v>3.8662375117324066E-2</v>
      </c>
      <c r="S153" s="22">
        <v>3.9713787082926055E-2</v>
      </c>
      <c r="T153" s="19">
        <f t="shared" si="20"/>
        <v>3.8637596745753511E-2</v>
      </c>
      <c r="U153" s="24">
        <v>4.4067487224232371E-2</v>
      </c>
      <c r="V153" s="24">
        <f t="shared" si="21"/>
        <v>4.3010761668088593E-2</v>
      </c>
      <c r="W153" s="23">
        <f t="shared" si="22"/>
        <v>3.5198452833202776E-3</v>
      </c>
      <c r="X153" s="24">
        <v>4.319676681738982E-2</v>
      </c>
      <c r="Y153" s="24">
        <f t="shared" si="23"/>
        <v>4.2136313721357066E-2</v>
      </c>
      <c r="Z153" s="23">
        <f t="shared" si="24"/>
        <v>3.4496930155749617E-3</v>
      </c>
      <c r="AA153" s="36"/>
    </row>
    <row r="154" spans="15:27" ht="13.9" customHeight="1" x14ac:dyDescent="0.3">
      <c r="O154" s="12">
        <f t="shared" si="18"/>
        <v>11.75</v>
      </c>
      <c r="P154" s="13">
        <v>141</v>
      </c>
      <c r="Q154" s="22">
        <v>3.9709409526278661E-2</v>
      </c>
      <c r="R154" s="19">
        <f t="shared" si="19"/>
        <v>3.86102529502792E-2</v>
      </c>
      <c r="S154" s="22">
        <v>3.9706150602494272E-2</v>
      </c>
      <c r="T154" s="19">
        <f t="shared" si="20"/>
        <v>3.8585907822556997E-2</v>
      </c>
      <c r="U154" s="24">
        <v>4.4059988948421891E-2</v>
      </c>
      <c r="V154" s="24">
        <f t="shared" si="21"/>
        <v>4.2957918479108903E-2</v>
      </c>
      <c r="W154" s="23">
        <f t="shared" si="22"/>
        <v>3.5154559347625458E-3</v>
      </c>
      <c r="X154" s="24">
        <v>4.3189242075315493E-2</v>
      </c>
      <c r="Y154" s="24">
        <f t="shared" si="23"/>
        <v>4.2083706242568297E-2</v>
      </c>
      <c r="Z154" s="23">
        <f t="shared" si="24"/>
        <v>3.4453176836632959E-3</v>
      </c>
      <c r="AA154" s="36"/>
    </row>
    <row r="155" spans="15:27" ht="13.9" customHeight="1" x14ac:dyDescent="0.3">
      <c r="O155" s="12">
        <f t="shared" si="18"/>
        <v>11.833333333333334</v>
      </c>
      <c r="P155" s="13">
        <v>142</v>
      </c>
      <c r="Q155" s="22">
        <v>3.9701664921410362E-2</v>
      </c>
      <c r="R155" s="19">
        <f t="shared" si="19"/>
        <v>3.8560026167631767E-2</v>
      </c>
      <c r="S155" s="22">
        <v>3.969825734567678E-2</v>
      </c>
      <c r="T155" s="19">
        <f t="shared" si="20"/>
        <v>3.8536212993047325E-2</v>
      </c>
      <c r="U155" s="24">
        <v>4.4052223818629166E-2</v>
      </c>
      <c r="V155" s="24">
        <f t="shared" si="21"/>
        <v>4.2906976537246289E-2</v>
      </c>
      <c r="W155" s="23">
        <f t="shared" si="22"/>
        <v>3.5112189867638754E-3</v>
      </c>
      <c r="X155" s="24">
        <v>4.3181452512488061E-2</v>
      </c>
      <c r="Y155" s="24">
        <f t="shared" si="23"/>
        <v>4.2033017888533974E-2</v>
      </c>
      <c r="Z155" s="23">
        <f t="shared" si="24"/>
        <v>3.4410963909066172E-3</v>
      </c>
      <c r="AA155" s="36"/>
    </row>
    <row r="156" spans="15:27" ht="13.9" customHeight="1" x14ac:dyDescent="0.3">
      <c r="O156" s="12">
        <f t="shared" si="18"/>
        <v>11.916666666666666</v>
      </c>
      <c r="P156" s="13">
        <v>143</v>
      </c>
      <c r="Q156" s="22">
        <v>3.9693677077982548E-2</v>
      </c>
      <c r="R156" s="19">
        <f t="shared" si="19"/>
        <v>3.8511692830964783E-2</v>
      </c>
      <c r="S156" s="22">
        <v>3.9690126648583401E-2</v>
      </c>
      <c r="T156" s="19">
        <f t="shared" si="20"/>
        <v>3.8488505522801697E-2</v>
      </c>
      <c r="U156" s="24">
        <v>4.4044210731432276E-2</v>
      </c>
      <c r="V156" s="24">
        <f t="shared" si="21"/>
        <v>4.285793378186864E-2</v>
      </c>
      <c r="W156" s="23">
        <f t="shared" si="22"/>
        <v>3.5071342937853522E-3</v>
      </c>
      <c r="X156" s="24">
        <v>4.3173417108176793E-2</v>
      </c>
      <c r="Y156" s="24">
        <f t="shared" si="23"/>
        <v>4.1984245556051736E-2</v>
      </c>
      <c r="Z156" s="23">
        <f t="shared" si="24"/>
        <v>3.4370289064353798E-3</v>
      </c>
      <c r="AA156" s="36"/>
    </row>
    <row r="157" spans="15:27" ht="13.9" customHeight="1" x14ac:dyDescent="0.3">
      <c r="O157" s="12">
        <f t="shared" si="18"/>
        <v>12</v>
      </c>
      <c r="P157" s="13">
        <v>144</v>
      </c>
      <c r="Q157" s="22">
        <v>3.968546421715069E-2</v>
      </c>
      <c r="R157" s="19">
        <f t="shared" si="19"/>
        <v>3.8465245508206181E-2</v>
      </c>
      <c r="S157" s="22">
        <v>3.9681777265111462E-2</v>
      </c>
      <c r="T157" s="19">
        <f t="shared" si="20"/>
        <v>3.8442778784073539E-2</v>
      </c>
      <c r="U157" s="24">
        <v>4.4035968045889051E-2</v>
      </c>
      <c r="V157" s="24">
        <f t="shared" si="21"/>
        <v>4.2810788176842474E-2</v>
      </c>
      <c r="W157" s="23">
        <f t="shared" si="22"/>
        <v>3.5032017110481206E-3</v>
      </c>
      <c r="X157" s="24">
        <v>4.3165154294587671E-2</v>
      </c>
      <c r="Y157" s="24">
        <f t="shared" si="23"/>
        <v>4.1937386186187808E-2</v>
      </c>
      <c r="Z157" s="23">
        <f t="shared" si="24"/>
        <v>3.4331150018003243E-3</v>
      </c>
      <c r="AA157" s="36"/>
    </row>
    <row r="158" spans="15:27" ht="13.9" customHeight="1" x14ac:dyDescent="0.3">
      <c r="O158" s="12">
        <f t="shared" si="18"/>
        <v>12.083333333333334</v>
      </c>
      <c r="P158" s="13">
        <v>145</v>
      </c>
      <c r="Q158" s="22">
        <v>3.9677044007663032E-2</v>
      </c>
      <c r="R158" s="19">
        <f t="shared" si="19"/>
        <v>3.8420660155255248E-2</v>
      </c>
      <c r="S158" s="22">
        <v>3.9673227387638343E-2</v>
      </c>
      <c r="T158" s="19">
        <f t="shared" si="20"/>
        <v>3.8399026255341973E-2</v>
      </c>
      <c r="U158" s="24">
        <v>4.4027513602131751E-2</v>
      </c>
      <c r="V158" s="24">
        <f t="shared" si="21"/>
        <v>4.2765537710585555E-2</v>
      </c>
      <c r="W158" s="23">
        <f t="shared" si="22"/>
        <v>3.4994210949494953E-3</v>
      </c>
      <c r="X158" s="24">
        <v>4.3156681975921041E-2</v>
      </c>
      <c r="Y158" s="24">
        <f t="shared" si="23"/>
        <v>4.1892436765808894E-2</v>
      </c>
      <c r="Z158" s="23">
        <f t="shared" si="24"/>
        <v>3.4293544512871144E-3</v>
      </c>
      <c r="AA158" s="36"/>
    </row>
    <row r="159" spans="15:27" ht="13.9" customHeight="1" x14ac:dyDescent="0.3">
      <c r="O159" s="12">
        <f t="shared" si="18"/>
        <v>12.166666666666666</v>
      </c>
      <c r="P159" s="13">
        <v>146</v>
      </c>
      <c r="Q159" s="22">
        <v>3.9668433470752884E-2</v>
      </c>
      <c r="R159" s="19">
        <f t="shared" si="19"/>
        <v>3.8377929465778671E-2</v>
      </c>
      <c r="S159" s="22">
        <v>3.9664494666864503E-2</v>
      </c>
      <c r="T159" s="19">
        <f t="shared" si="20"/>
        <v>3.8357241527599228E-2</v>
      </c>
      <c r="U159" s="24">
        <v>4.4018864739202579E-2</v>
      </c>
      <c r="V159" s="24">
        <f t="shared" si="21"/>
        <v>4.2722180400035503E-2</v>
      </c>
      <c r="W159" s="23">
        <f t="shared" si="22"/>
        <v>3.4957923030711768E-3</v>
      </c>
      <c r="X159" s="24">
        <v>4.3148017546661421E-2</v>
      </c>
      <c r="Y159" s="24">
        <f t="shared" si="23"/>
        <v>4.1849394330847112E-2</v>
      </c>
      <c r="Z159" s="23">
        <f t="shared" si="24"/>
        <v>3.4257470320449013E-3</v>
      </c>
      <c r="AA159" s="36"/>
    </row>
    <row r="160" spans="15:27" ht="13.9" customHeight="1" x14ac:dyDescent="0.3">
      <c r="O160" s="12">
        <f t="shared" si="18"/>
        <v>12.25</v>
      </c>
      <c r="P160" s="13">
        <v>147</v>
      </c>
      <c r="Q160" s="22">
        <v>3.965964911604658E-2</v>
      </c>
      <c r="R160" s="19">
        <f t="shared" si="19"/>
        <v>3.8337051764944841E-2</v>
      </c>
      <c r="S160" s="22">
        <v>3.9655596230893098E-2</v>
      </c>
      <c r="T160" s="19">
        <f t="shared" si="20"/>
        <v>3.8317418303779327E-2</v>
      </c>
      <c r="U160" s="24">
        <v>4.401003831218997E-2</v>
      </c>
      <c r="V160" s="24">
        <f t="shared" si="21"/>
        <v>4.2680714294921485E-2</v>
      </c>
      <c r="W160" s="23">
        <f t="shared" si="22"/>
        <v>3.4923151944989961E-3</v>
      </c>
      <c r="X160" s="24">
        <v>4.313917790914612E-2</v>
      </c>
      <c r="Y160" s="24">
        <f t="shared" si="23"/>
        <v>4.1808255969989494E-2</v>
      </c>
      <c r="Z160" s="23">
        <f t="shared" si="24"/>
        <v>3.4222925243518887E-3</v>
      </c>
      <c r="AA160" s="36"/>
    </row>
    <row r="161" spans="15:27" ht="13.9" customHeight="1" x14ac:dyDescent="0.3">
      <c r="O161" s="12">
        <f t="shared" si="18"/>
        <v>12.333333333333334</v>
      </c>
      <c r="P161" s="13">
        <v>148</v>
      </c>
      <c r="Q161" s="22">
        <v>3.9650706996848584E-2</v>
      </c>
      <c r="R161" s="19">
        <f t="shared" si="19"/>
        <v>3.8298025453727069E-2</v>
      </c>
      <c r="S161" s="22">
        <v>3.9646548703536899E-2</v>
      </c>
      <c r="T161" s="19">
        <f t="shared" si="20"/>
        <v>3.8279550403486962E-2</v>
      </c>
      <c r="U161" s="24">
        <v>4.4001050708703193E-2</v>
      </c>
      <c r="V161" s="24">
        <f t="shared" si="21"/>
        <v>4.2641137477836155E-2</v>
      </c>
      <c r="W161" s="23">
        <f t="shared" si="22"/>
        <v>3.4889896301693035E-3</v>
      </c>
      <c r="X161" s="24">
        <v>4.3130179490448617E-2</v>
      </c>
      <c r="Y161" s="24">
        <f t="shared" si="23"/>
        <v>4.1769018825835502E-2</v>
      </c>
      <c r="Z161" s="23">
        <f t="shared" si="24"/>
        <v>3.4189907119159813E-3</v>
      </c>
      <c r="AA161" s="36"/>
    </row>
    <row r="162" spans="15:27" ht="13.9" customHeight="1" x14ac:dyDescent="0.3">
      <c r="O162" s="12">
        <f t="shared" si="18"/>
        <v>12.416666666666666</v>
      </c>
      <c r="P162" s="13">
        <v>149</v>
      </c>
      <c r="Q162" s="22">
        <v>3.9641622725873127E-2</v>
      </c>
      <c r="R162" s="19">
        <f t="shared" si="19"/>
        <v>3.8260849011779285E-2</v>
      </c>
      <c r="S162" s="22">
        <v>3.9637368221923097E-2</v>
      </c>
      <c r="T162" s="19">
        <f t="shared" si="20"/>
        <v>3.8243631764534047E-2</v>
      </c>
      <c r="U162" s="24">
        <v>4.399191786468637E-2</v>
      </c>
      <c r="V162" s="24">
        <f t="shared" si="21"/>
        <v>4.2603448069423511E-2</v>
      </c>
      <c r="W162" s="23">
        <f t="shared" si="22"/>
        <v>3.4858154728762969E-3</v>
      </c>
      <c r="X162" s="24">
        <v>4.3121038258594924E-2</v>
      </c>
      <c r="Y162" s="24">
        <f t="shared" si="23"/>
        <v>4.1731680099465818E-2</v>
      </c>
      <c r="Z162" s="23">
        <f t="shared" si="24"/>
        <v>3.4158413819724842E-3</v>
      </c>
      <c r="AA162" s="36"/>
    </row>
    <row r="163" spans="15:27" ht="13.9" customHeight="1" x14ac:dyDescent="0.3">
      <c r="O163" s="12">
        <f t="shared" si="18"/>
        <v>12.5</v>
      </c>
      <c r="P163" s="13">
        <v>150</v>
      </c>
      <c r="Q163" s="22">
        <v>3.9632411490368558E-2</v>
      </c>
      <c r="R163" s="19">
        <f t="shared" si="19"/>
        <v>3.8225515537464672E-2</v>
      </c>
      <c r="S163" s="22">
        <v>3.9628070453407771E-2</v>
      </c>
      <c r="T163" s="19">
        <f t="shared" si="20"/>
        <v>3.8209656445324924E-2</v>
      </c>
      <c r="U163" s="24">
        <v>4.3982655279637406E-2</v>
      </c>
      <c r="V163" s="24">
        <f t="shared" si="21"/>
        <v>4.2567644229220214E-2</v>
      </c>
      <c r="W163" s="23">
        <f t="shared" si="22"/>
        <v>3.4827925876925736E-3</v>
      </c>
      <c r="X163" s="24">
        <v>4.3111769738162886E-2</v>
      </c>
      <c r="Y163" s="24">
        <f t="shared" si="23"/>
        <v>4.1696237051472407E-2</v>
      </c>
      <c r="Z163" s="23">
        <f t="shared" si="24"/>
        <v>3.412844325655584E-3</v>
      </c>
      <c r="AA163" s="36"/>
    </row>
    <row r="164" spans="15:27" ht="13.9" customHeight="1" x14ac:dyDescent="0.3">
      <c r="O164" s="12">
        <f t="shared" si="18"/>
        <v>12.583333333333334</v>
      </c>
      <c r="P164" s="13">
        <v>151</v>
      </c>
      <c r="Q164" s="22">
        <v>3.9623088030436016E-2</v>
      </c>
      <c r="R164" s="19">
        <f t="shared" si="19"/>
        <v>3.8192001817169752E-2</v>
      </c>
      <c r="S164" s="22">
        <v>3.9618670611836881E-2</v>
      </c>
      <c r="T164" s="19">
        <f t="shared" si="20"/>
        <v>3.8177618628929544E-2</v>
      </c>
      <c r="U164" s="24">
        <v>4.3973278031230301E-2</v>
      </c>
      <c r="V164" s="24">
        <f t="shared" si="21"/>
        <v>4.2533724160804809E-2</v>
      </c>
      <c r="W164" s="23">
        <f t="shared" si="22"/>
        <v>3.4799208420375205E-3</v>
      </c>
      <c r="X164" s="24">
        <v>4.3102389025272192E-2</v>
      </c>
      <c r="Y164" s="24">
        <f t="shared" si="23"/>
        <v>4.166268700620801E-2</v>
      </c>
      <c r="Z164" s="23">
        <f t="shared" si="24"/>
        <v>3.4099993380838356E-3</v>
      </c>
      <c r="AA164" s="36"/>
    </row>
    <row r="165" spans="15:27" ht="13.9" customHeight="1" x14ac:dyDescent="0.3">
      <c r="O165" s="12">
        <f t="shared" si="18"/>
        <v>12.666666666666666</v>
      </c>
      <c r="P165" s="13">
        <v>152</v>
      </c>
      <c r="Q165" s="22">
        <v>3.9613666546191473E-2</v>
      </c>
      <c r="R165" s="19">
        <f t="shared" si="19"/>
        <v>3.8160301105834904E-2</v>
      </c>
      <c r="S165" s="22">
        <v>3.9609183473195975E-2</v>
      </c>
      <c r="T165" s="19">
        <f t="shared" si="20"/>
        <v>3.8147512623191382E-2</v>
      </c>
      <c r="U165" s="24">
        <v>4.396380078939699E-2</v>
      </c>
      <c r="V165" s="24">
        <f t="shared" si="21"/>
        <v>4.2501686111453996E-2</v>
      </c>
      <c r="W165" s="23">
        <f t="shared" si="22"/>
        <v>3.4772001060943136E-3</v>
      </c>
      <c r="X165" s="24">
        <v>4.3092910802012829E-2</v>
      </c>
      <c r="Y165" s="24">
        <f t="shared" si="23"/>
        <v>4.1631027353070449E-2</v>
      </c>
      <c r="Z165" s="23">
        <f t="shared" si="24"/>
        <v>3.4073062187072178E-3</v>
      </c>
      <c r="AA165" s="36"/>
    </row>
    <row r="166" spans="15:27" ht="13.9" customHeight="1" x14ac:dyDescent="0.3">
      <c r="O166" s="12">
        <f t="shared" si="18"/>
        <v>12.75</v>
      </c>
      <c r="P166" s="13">
        <v>153</v>
      </c>
      <c r="Q166" s="22">
        <v>3.9604160823110579E-2</v>
      </c>
      <c r="R166" s="19">
        <f t="shared" si="19"/>
        <v>3.8130412206524467E-2</v>
      </c>
      <c r="S166" s="22">
        <v>3.959962339064993E-2</v>
      </c>
      <c r="T166" s="19">
        <f t="shared" si="20"/>
        <v>3.8119332865809152E-2</v>
      </c>
      <c r="U166" s="24">
        <v>4.395423782985608E-2</v>
      </c>
      <c r="V166" s="24">
        <f t="shared" si="21"/>
        <v>4.247152837849133E-2</v>
      </c>
      <c r="W166" s="23">
        <f t="shared" si="22"/>
        <v>3.4746302527850492E-3</v>
      </c>
      <c r="X166" s="24">
        <v>4.3083349350318878E-2</v>
      </c>
      <c r="Y166" s="24">
        <f t="shared" si="23"/>
        <v>4.1601255551324323E-2</v>
      </c>
      <c r="Z166" s="23">
        <f t="shared" si="24"/>
        <v>3.4047647714128271E-3</v>
      </c>
      <c r="AA166" s="36"/>
    </row>
    <row r="167" spans="15:27" ht="13.9" customHeight="1" x14ac:dyDescent="0.3">
      <c r="O167" s="12">
        <f t="shared" si="18"/>
        <v>12.833333333333334</v>
      </c>
      <c r="P167" s="13">
        <v>154</v>
      </c>
      <c r="Q167" s="22">
        <v>3.9594584281491985E-2</v>
      </c>
      <c r="R167" s="19">
        <f t="shared" si="19"/>
        <v>3.8102334014480599E-2</v>
      </c>
      <c r="S167" s="22">
        <v>3.9590004309031368E-2</v>
      </c>
      <c r="T167" s="19">
        <f t="shared" si="20"/>
        <v>3.8093073924290399E-2</v>
      </c>
      <c r="U167" s="24">
        <v>4.3944603047159525E-2</v>
      </c>
      <c r="V167" s="24">
        <f t="shared" si="21"/>
        <v>4.244324930825405E-2</v>
      </c>
      <c r="W167" s="23">
        <f t="shared" si="22"/>
        <v>3.4722111582814463E-3</v>
      </c>
      <c r="X167" s="24">
        <v>4.3073718565335373E-2</v>
      </c>
      <c r="Y167" s="24">
        <f t="shared" si="23"/>
        <v>4.1573369130000204E-2</v>
      </c>
      <c r="Z167" s="23">
        <f t="shared" si="24"/>
        <v>3.4023748049170077E-3</v>
      </c>
      <c r="AA167" s="36"/>
    </row>
    <row r="168" spans="15:27" ht="13.9" customHeight="1" x14ac:dyDescent="0.3">
      <c r="O168" s="12">
        <f t="shared" si="18"/>
        <v>12.916666666666666</v>
      </c>
      <c r="P168" s="13">
        <v>155</v>
      </c>
      <c r="Q168" s="22">
        <v>3.9584949988762608E-2</v>
      </c>
      <c r="R168" s="19">
        <f t="shared" si="19"/>
        <v>3.8076065517307356E-2</v>
      </c>
      <c r="S168" s="22">
        <v>3.95803397787724E-2</v>
      </c>
      <c r="T168" s="19">
        <f t="shared" si="20"/>
        <v>3.8068730500628867E-2</v>
      </c>
      <c r="U168" s="24">
        <v>4.3934909967227931E-2</v>
      </c>
      <c r="V168" s="24">
        <f t="shared" si="21"/>
        <v>4.2416847302291227E-2</v>
      </c>
      <c r="W168" s="23">
        <f t="shared" si="22"/>
        <v>3.4699427019260209E-3</v>
      </c>
      <c r="X168" s="24">
        <v>4.3064031968268912E-2</v>
      </c>
      <c r="Y168" s="24">
        <f t="shared" si="23"/>
        <v>4.1547365693125782E-2</v>
      </c>
      <c r="Z168" s="23">
        <f t="shared" si="24"/>
        <v>3.4001361327611335E-3</v>
      </c>
      <c r="AA168" s="36"/>
    </row>
    <row r="169" spans="15:27" ht="13.9" customHeight="1" x14ac:dyDescent="0.3">
      <c r="O169" s="12">
        <f t="shared" si="18"/>
        <v>13</v>
      </c>
      <c r="P169" s="13">
        <v>156</v>
      </c>
      <c r="Q169" s="22">
        <v>3.9575270671310614E-2</v>
      </c>
      <c r="R169" s="19">
        <f t="shared" si="19"/>
        <v>3.8051600428052224E-2</v>
      </c>
      <c r="S169" s="22">
        <v>3.9570642969331216E-2</v>
      </c>
      <c r="T169" s="19">
        <f t="shared" si="20"/>
        <v>3.8046297432010379E-2</v>
      </c>
      <c r="U169" s="24">
        <v>4.3925171759446879E-2</v>
      </c>
      <c r="V169" s="24">
        <f t="shared" si="21"/>
        <v>4.2392320818452234E-2</v>
      </c>
      <c r="W169" s="23">
        <f t="shared" si="22"/>
        <v>3.4678247667310202E-3</v>
      </c>
      <c r="X169" s="24">
        <v>4.3054302718780413E-2</v>
      </c>
      <c r="Y169" s="24">
        <f t="shared" si="23"/>
        <v>4.1523242921346348E-2</v>
      </c>
      <c r="Z169" s="23">
        <f t="shared" si="24"/>
        <v>3.3980485737348243E-3</v>
      </c>
      <c r="AA169" s="36"/>
    </row>
    <row r="170" spans="15:27" ht="13.9" customHeight="1" x14ac:dyDescent="0.3">
      <c r="O170" s="12">
        <f t="shared" si="18"/>
        <v>13.083333333333334</v>
      </c>
      <c r="P170" s="13">
        <v>157</v>
      </c>
      <c r="Q170" s="22">
        <v>3.9565558691635916E-2</v>
      </c>
      <c r="R170" s="19">
        <f t="shared" si="19"/>
        <v>3.80289164457559E-2</v>
      </c>
      <c r="S170" s="22">
        <v>3.9560926682114417E-2</v>
      </c>
      <c r="T170" s="19">
        <f t="shared" si="20"/>
        <v>3.8025769694423062E-2</v>
      </c>
      <c r="U170" s="24">
        <v>4.3915401248309172E-2</v>
      </c>
      <c r="V170" s="24">
        <f t="shared" si="21"/>
        <v>4.2369668373061664E-2</v>
      </c>
      <c r="W170" s="23">
        <f t="shared" si="22"/>
        <v>3.4658572394679066E-3</v>
      </c>
      <c r="X170" s="24">
        <v>4.3044543626915788E-2</v>
      </c>
      <c r="Y170" s="24">
        <f t="shared" si="23"/>
        <v>4.1500998574254933E-2</v>
      </c>
      <c r="Z170" s="23">
        <f t="shared" si="24"/>
        <v>3.3961119520096172E-3</v>
      </c>
      <c r="AA170" s="36"/>
    </row>
    <row r="171" spans="15:27" ht="13.9" customHeight="1" x14ac:dyDescent="0.3">
      <c r="O171" s="12">
        <f t="shared" si="18"/>
        <v>13.166666666666666</v>
      </c>
      <c r="P171" s="13">
        <v>158</v>
      </c>
      <c r="Q171" s="22">
        <v>3.9555825958295543E-2</v>
      </c>
      <c r="R171" s="19">
        <f t="shared" si="19"/>
        <v>3.8008007468600669E-2</v>
      </c>
      <c r="S171" s="22">
        <v>3.9551203362931497E-2</v>
      </c>
      <c r="T171" s="19">
        <f t="shared" si="20"/>
        <v>3.8007142404819172E-2</v>
      </c>
      <c r="U171" s="24">
        <v>4.3905610924630301E-2</v>
      </c>
      <c r="V171" s="24">
        <f t="shared" si="21"/>
        <v>4.2348888545170826E-2</v>
      </c>
      <c r="W171" s="23">
        <f t="shared" si="22"/>
        <v>3.4640400108449931E-3</v>
      </c>
      <c r="X171" s="24">
        <v>4.3034767164600751E-2</v>
      </c>
      <c r="Y171" s="24">
        <f t="shared" si="23"/>
        <v>4.148063049411066E-2</v>
      </c>
      <c r="Z171" s="23">
        <f t="shared" si="24"/>
        <v>3.3943260973312572E-3</v>
      </c>
      <c r="AA171" s="36"/>
    </row>
    <row r="172" spans="15:27" ht="13.9" customHeight="1" x14ac:dyDescent="0.3">
      <c r="O172" s="12">
        <f t="shared" si="18"/>
        <v>13.25</v>
      </c>
      <c r="P172" s="13">
        <v>159</v>
      </c>
      <c r="Q172" s="22">
        <v>3.9546084042144214E-2</v>
      </c>
      <c r="R172" s="19">
        <f t="shared" si="19"/>
        <v>3.7988872864301859E-2</v>
      </c>
      <c r="S172" s="22">
        <v>3.9541485113997021E-2</v>
      </c>
      <c r="T172" s="19">
        <f t="shared" si="20"/>
        <v>3.799041082230592E-2</v>
      </c>
      <c r="U172" s="24">
        <v>4.3895812956370017E-2</v>
      </c>
      <c r="V172" s="24">
        <f t="shared" si="21"/>
        <v>4.2329979977760113E-2</v>
      </c>
      <c r="W172" s="23">
        <f t="shared" si="22"/>
        <v>3.4623729758507249E-3</v>
      </c>
      <c r="X172" s="24">
        <v>4.302498547672684E-2</v>
      </c>
      <c r="Y172" s="24">
        <f t="shared" si="23"/>
        <v>4.1462136607163691E-2</v>
      </c>
      <c r="Z172" s="23">
        <f t="shared" si="24"/>
        <v>3.3926908453194571E-3</v>
      </c>
      <c r="AA172" s="36"/>
    </row>
    <row r="173" spans="15:27" ht="13.9" customHeight="1" x14ac:dyDescent="0.3">
      <c r="O173" s="12">
        <f t="shared" si="18"/>
        <v>13.333333333333334</v>
      </c>
      <c r="P173" s="13">
        <v>160</v>
      </c>
      <c r="Q173" s="22">
        <v>3.9536344221063002E-2</v>
      </c>
      <c r="R173" s="19">
        <f t="shared" si="19"/>
        <v>3.7971512104271632E-2</v>
      </c>
      <c r="S173" s="22">
        <v>3.9531783705491375E-2</v>
      </c>
      <c r="T173" s="19">
        <f t="shared" si="20"/>
        <v>3.7975570352368315E-2</v>
      </c>
      <c r="U173" s="24">
        <v>4.3886019199056436E-2</v>
      </c>
      <c r="V173" s="24">
        <f t="shared" si="21"/>
        <v>4.2312941381863478E-2</v>
      </c>
      <c r="W173" s="23">
        <f t="shared" si="22"/>
        <v>3.4608560338516003E-3</v>
      </c>
      <c r="X173" s="24">
        <v>4.3015210391832204E-2</v>
      </c>
      <c r="Y173" s="24">
        <f t="shared" si="23"/>
        <v>4.1445514927968663E-2</v>
      </c>
      <c r="Z173" s="23">
        <f t="shared" si="24"/>
        <v>3.391206037579142E-3</v>
      </c>
      <c r="AA173" s="36"/>
    </row>
    <row r="174" spans="15:27" ht="13.9" customHeight="1" x14ac:dyDescent="0.3">
      <c r="O174" s="12">
        <f t="shared" si="18"/>
        <v>13.416666666666666</v>
      </c>
      <c r="P174" s="13">
        <v>161</v>
      </c>
      <c r="Q174" s="22">
        <v>3.9526617489646032E-2</v>
      </c>
      <c r="R174" s="19">
        <f t="shared" si="19"/>
        <v>3.7955924766482685E-2</v>
      </c>
      <c r="S174" s="22">
        <v>3.9522110586718728E-2</v>
      </c>
      <c r="T174" s="19">
        <f t="shared" si="20"/>
        <v>3.7962616548274708E-2</v>
      </c>
      <c r="U174" s="24">
        <v>4.3876241205848876E-2</v>
      </c>
      <c r="V174" s="24">
        <f t="shared" si="21"/>
        <v>4.2297771538809537E-2</v>
      </c>
      <c r="W174" s="23">
        <f t="shared" si="22"/>
        <v>3.4594890889259045E-3</v>
      </c>
      <c r="X174" s="24">
        <v>4.3005453432411578E-2</v>
      </c>
      <c r="Y174" s="24">
        <f t="shared" si="23"/>
        <v>4.1430763560780015E-2</v>
      </c>
      <c r="Z174" s="23">
        <f t="shared" si="24"/>
        <v>3.3898715220497255E-3</v>
      </c>
      <c r="AA174" s="36"/>
    </row>
    <row r="175" spans="15:27" ht="13.9" customHeight="1" x14ac:dyDescent="0.3">
      <c r="O175" s="12">
        <f t="shared" si="18"/>
        <v>13.5</v>
      </c>
      <c r="P175" s="13">
        <v>162</v>
      </c>
      <c r="Q175" s="22">
        <v>3.9516914568547001E-2</v>
      </c>
      <c r="R175" s="19">
        <f t="shared" si="19"/>
        <v>3.7942105259798797E-2</v>
      </c>
      <c r="S175" s="22">
        <v>3.9512476896862436E-2</v>
      </c>
      <c r="T175" s="19">
        <f t="shared" si="20"/>
        <v>3.795154511324883E-2</v>
      </c>
      <c r="U175" s="24">
        <v>4.3866490237244093E-2</v>
      </c>
      <c r="V175" s="24">
        <f t="shared" si="21"/>
        <v>4.2284469301567373E-2</v>
      </c>
      <c r="W175" s="23">
        <f t="shared" si="22"/>
        <v>3.4582720500453412E-3</v>
      </c>
      <c r="X175" s="24">
        <v>4.2995725824855668E-2</v>
      </c>
      <c r="Y175" s="24">
        <f t="shared" si="23"/>
        <v>4.1417880702610432E-2</v>
      </c>
      <c r="Z175" s="23">
        <f t="shared" si="24"/>
        <v>3.388687153119907E-3</v>
      </c>
      <c r="AA175" s="36"/>
    </row>
    <row r="176" spans="15:27" ht="13.9" customHeight="1" x14ac:dyDescent="0.3">
      <c r="O176" s="12">
        <f t="shared" si="18"/>
        <v>13.583333333333334</v>
      </c>
      <c r="P176" s="13">
        <v>163</v>
      </c>
      <c r="Q176" s="22">
        <v>3.9507245881068132E-2</v>
      </c>
      <c r="R176" s="19">
        <f t="shared" si="19"/>
        <v>3.793003227015479E-2</v>
      </c>
      <c r="S176" s="22">
        <v>3.9502893475359624E-2</v>
      </c>
      <c r="T176" s="19">
        <f t="shared" si="20"/>
        <v>3.7942351903569316E-2</v>
      </c>
      <c r="U176" s="24">
        <v>4.3856777270433467E-2</v>
      </c>
      <c r="V176" s="24">
        <f t="shared" si="21"/>
        <v>4.2273033600633614E-2</v>
      </c>
      <c r="W176" s="23">
        <f t="shared" si="22"/>
        <v>3.4572048311851677E-3</v>
      </c>
      <c r="X176" s="24">
        <v>4.298603850904481E-2</v>
      </c>
      <c r="Y176" s="24">
        <f t="shared" si="23"/>
        <v>4.1406864646019947E-2</v>
      </c>
      <c r="Z176" s="23">
        <f t="shared" si="24"/>
        <v>3.387652791876361E-3</v>
      </c>
      <c r="AA176" s="36"/>
    </row>
    <row r="177" spans="15:27" ht="13.9" customHeight="1" x14ac:dyDescent="0.3">
      <c r="O177" s="12">
        <f t="shared" si="18"/>
        <v>13.666666666666666</v>
      </c>
      <c r="P177" s="13">
        <v>164</v>
      </c>
      <c r="Q177" s="22">
        <v>3.9497621466157096E-2</v>
      </c>
      <c r="R177" s="19">
        <f t="shared" si="19"/>
        <v>3.791970041792081E-2</v>
      </c>
      <c r="S177" s="22">
        <v>3.9493370871916733E-2</v>
      </c>
      <c r="T177" s="19">
        <f t="shared" si="20"/>
        <v>3.793503292919076E-2</v>
      </c>
      <c r="U177" s="24">
        <v>4.3847113008356642E-2</v>
      </c>
      <c r="V177" s="24">
        <f t="shared" si="21"/>
        <v>4.2263463443085181E-2</v>
      </c>
      <c r="W177" s="23">
        <f t="shared" si="22"/>
        <v>3.4562873517973713E-3</v>
      </c>
      <c r="X177" s="24">
        <v>4.2976402147609116E-2</v>
      </c>
      <c r="Y177" s="24">
        <f t="shared" si="23"/>
        <v>4.1397713781425871E-2</v>
      </c>
      <c r="Z177" s="23">
        <f t="shared" si="24"/>
        <v>3.3867683063302234E-3</v>
      </c>
      <c r="AA177" s="36"/>
    </row>
    <row r="178" spans="15:27" ht="13.9" customHeight="1" x14ac:dyDescent="0.3">
      <c r="O178" s="12">
        <f t="shared" si="18"/>
        <v>13.75</v>
      </c>
      <c r="P178" s="13">
        <v>165</v>
      </c>
      <c r="Q178" s="22">
        <v>3.9488051086721931E-2</v>
      </c>
      <c r="R178" s="19">
        <f t="shared" si="19"/>
        <v>3.7911109713569591E-2</v>
      </c>
      <c r="S178" s="22">
        <v>3.9483919356166242E-2</v>
      </c>
      <c r="T178" s="19">
        <f t="shared" si="20"/>
        <v>3.7929584359333246E-2</v>
      </c>
      <c r="U178" s="24">
        <v>4.3837507888420335E-2</v>
      </c>
      <c r="V178" s="24">
        <f t="shared" si="21"/>
        <v>4.2255757917866177E-2</v>
      </c>
      <c r="W178" s="23">
        <f t="shared" si="22"/>
        <v>3.4555195367378388E-3</v>
      </c>
      <c r="X178" s="24">
        <v>4.2966827134868213E-2</v>
      </c>
      <c r="Y178" s="24">
        <f t="shared" si="23"/>
        <v>4.1390426600587338E-2</v>
      </c>
      <c r="Z178" s="23">
        <f t="shared" si="24"/>
        <v>3.3860335716056067E-3</v>
      </c>
      <c r="AA178" s="36"/>
    </row>
    <row r="179" spans="15:27" ht="13.9" customHeight="1" x14ac:dyDescent="0.3">
      <c r="O179" s="12">
        <f t="shared" si="18"/>
        <v>13.833333333333334</v>
      </c>
      <c r="P179" s="13">
        <v>166</v>
      </c>
      <c r="Q179" s="22">
        <v>3.9478544270417526E-2</v>
      </c>
      <c r="R179" s="19">
        <f t="shared" si="19"/>
        <v>3.7904260284006064E-2</v>
      </c>
      <c r="S179" s="22">
        <v>3.9474548927008746E-2</v>
      </c>
      <c r="T179" s="19">
        <f t="shared" si="20"/>
        <v>3.7926002520993762E-2</v>
      </c>
      <c r="U179" s="24">
        <v>4.3827972090935363E-2</v>
      </c>
      <c r="V179" s="24">
        <f t="shared" si="21"/>
        <v>4.2249916197747428E-2</v>
      </c>
      <c r="W179" s="23">
        <f t="shared" si="22"/>
        <v>3.4549013166904619E-3</v>
      </c>
      <c r="X179" s="24">
        <v>4.2957323605469888E-2</v>
      </c>
      <c r="Y179" s="24">
        <f t="shared" si="23"/>
        <v>4.1385001697971324E-2</v>
      </c>
      <c r="Z179" s="23">
        <f t="shared" si="24"/>
        <v>3.385448470221375E-3</v>
      </c>
      <c r="AA179" s="36"/>
    </row>
    <row r="180" spans="15:27" ht="13.9" customHeight="1" x14ac:dyDescent="0.3">
      <c r="O180" s="12">
        <f t="shared" si="18"/>
        <v>13.916666666666666</v>
      </c>
      <c r="P180" s="13">
        <v>167</v>
      </c>
      <c r="Q180" s="22">
        <v>3.9469110317339906E-2</v>
      </c>
      <c r="R180" s="19">
        <f t="shared" si="19"/>
        <v>3.7899152375481471E-2</v>
      </c>
      <c r="S180" s="22">
        <v>3.9465269321613095E-2</v>
      </c>
      <c r="T180" s="19">
        <f t="shared" si="20"/>
        <v>3.7924283904372746E-2</v>
      </c>
      <c r="U180" s="24">
        <v>4.3818515547263681E-2</v>
      </c>
      <c r="V180" s="24">
        <f t="shared" si="21"/>
        <v>4.2245937541954381E-2</v>
      </c>
      <c r="W180" s="23">
        <f t="shared" si="22"/>
        <v>3.4544326283272309E-3</v>
      </c>
      <c r="X180" s="24">
        <v>4.2947901442726977E-2</v>
      </c>
      <c r="Y180" s="24">
        <f t="shared" si="23"/>
        <v>4.138143777463843E-2</v>
      </c>
      <c r="Z180" s="23">
        <f t="shared" si="24"/>
        <v>3.3850128922028322E-3</v>
      </c>
      <c r="AA180" s="36"/>
    </row>
    <row r="181" spans="15:27" ht="13.9" customHeight="1" x14ac:dyDescent="0.3">
      <c r="O181" s="12">
        <f t="shared" si="18"/>
        <v>14</v>
      </c>
      <c r="P181" s="13">
        <v>168</v>
      </c>
      <c r="Q181" s="22">
        <v>3.9459758307464732E-2</v>
      </c>
      <c r="R181" s="19">
        <f t="shared" si="19"/>
        <v>3.7895781169124731E-2</v>
      </c>
      <c r="S181" s="22">
        <v>3.9456090024127866E-2</v>
      </c>
      <c r="T181" s="19">
        <f t="shared" si="20"/>
        <v>3.7924425162739084E-2</v>
      </c>
      <c r="U181" s="24">
        <v>4.3809147947690308E-2</v>
      </c>
      <c r="V181" s="24">
        <f t="shared" si="21"/>
        <v>4.2243821298203255E-2</v>
      </c>
      <c r="W181" s="23">
        <f t="shared" si="22"/>
        <v>3.4541134145191776E-3</v>
      </c>
      <c r="X181" s="24">
        <v>4.2938570286681355E-2</v>
      </c>
      <c r="Y181" s="24">
        <f t="shared" si="23"/>
        <v>4.1379733640120708E-2</v>
      </c>
      <c r="Z181" s="23">
        <f t="shared" si="24"/>
        <v>3.3847267353970256E-3</v>
      </c>
      <c r="AA181" s="36"/>
    </row>
    <row r="182" spans="15:27" ht="13.9" customHeight="1" x14ac:dyDescent="0.3">
      <c r="O182" s="12">
        <f t="shared" si="18"/>
        <v>14.083333333333334</v>
      </c>
      <c r="P182" s="13">
        <v>169</v>
      </c>
      <c r="Q182" s="22">
        <v>3.9450497077098579E-2</v>
      </c>
      <c r="R182" s="19">
        <f t="shared" si="19"/>
        <v>3.7894126406059936E-2</v>
      </c>
      <c r="S182" s="22">
        <v>3.9447020274083755E-2</v>
      </c>
      <c r="T182" s="19">
        <f t="shared" si="20"/>
        <v>3.7926423116687813E-2</v>
      </c>
      <c r="U182" s="24">
        <v>4.379987874903013E-2</v>
      </c>
      <c r="V182" s="24">
        <f t="shared" si="21"/>
        <v>4.2243566907268049E-2</v>
      </c>
      <c r="W182" s="23">
        <f t="shared" si="22"/>
        <v>3.4539436245013544E-3</v>
      </c>
      <c r="X182" s="24">
        <v>4.2929339541893929E-2</v>
      </c>
      <c r="Y182" s="24">
        <f t="shared" si="23"/>
        <v>4.1379888215469451E-2</v>
      </c>
      <c r="Z182" s="23">
        <f t="shared" si="24"/>
        <v>3.3845899056239581E-3</v>
      </c>
      <c r="AA182" s="36"/>
    </row>
    <row r="183" spans="15:27" ht="13.9" customHeight="1" x14ac:dyDescent="0.3">
      <c r="O183" s="12">
        <f t="shared" si="18"/>
        <v>14.166666666666666</v>
      </c>
      <c r="P183" s="13">
        <v>170</v>
      </c>
      <c r="Q183" s="22">
        <v>3.9441335135044664E-2</v>
      </c>
      <c r="R183" s="19">
        <f t="shared" si="19"/>
        <v>3.7894183504424195E-2</v>
      </c>
      <c r="S183" s="22">
        <v>3.9438069074526405E-2</v>
      </c>
      <c r="T183" s="19">
        <f t="shared" si="20"/>
        <v>3.7930274755893167E-2</v>
      </c>
      <c r="U183" s="24">
        <v>4.3790717181992678E-2</v>
      </c>
      <c r="V183" s="24">
        <f t="shared" si="21"/>
        <v>4.2245173903608046E-2</v>
      </c>
      <c r="W183" s="23">
        <f t="shared" si="22"/>
        <v>3.4539232142409837E-3</v>
      </c>
      <c r="X183" s="24">
        <v>4.2920218384978392E-2</v>
      </c>
      <c r="Y183" s="24">
        <f t="shared" si="23"/>
        <v>4.1381900535720328E-2</v>
      </c>
      <c r="Z183" s="23">
        <f t="shared" si="24"/>
        <v>3.3846023169237238E-3</v>
      </c>
      <c r="AA183" s="36"/>
    </row>
    <row r="184" spans="15:27" ht="13.9" customHeight="1" x14ac:dyDescent="0.3">
      <c r="O184" s="12">
        <f t="shared" si="18"/>
        <v>14.25</v>
      </c>
      <c r="P184" s="13">
        <v>171</v>
      </c>
      <c r="Q184" s="22">
        <v>3.943228076395533E-2</v>
      </c>
      <c r="R184" s="19">
        <f t="shared" si="19"/>
        <v>3.7895953192385701E-2</v>
      </c>
      <c r="S184" s="22">
        <v>3.9429245199874563E-2</v>
      </c>
      <c r="T184" s="19">
        <f t="shared" si="20"/>
        <v>3.7935977240488361E-2</v>
      </c>
      <c r="U184" s="24">
        <v>4.3781672258293991E-2</v>
      </c>
      <c r="V184" s="24">
        <f t="shared" si="21"/>
        <v>4.2248641920003216E-2</v>
      </c>
      <c r="W184" s="23">
        <f t="shared" si="22"/>
        <v>3.4540521464865304E-3</v>
      </c>
      <c r="X184" s="24">
        <v>4.2911215771885391E-2</v>
      </c>
      <c r="Y184" s="24">
        <f t="shared" si="23"/>
        <v>4.1385769752601442E-2</v>
      </c>
      <c r="Z184" s="23">
        <f t="shared" si="24"/>
        <v>3.3847638917559042E-3</v>
      </c>
      <c r="AA184" s="36"/>
    </row>
    <row r="185" spans="15:27" ht="13.9" customHeight="1" x14ac:dyDescent="0.3">
      <c r="O185" s="12">
        <f t="shared" si="18"/>
        <v>14.333333333333334</v>
      </c>
      <c r="P185" s="13">
        <v>172</v>
      </c>
      <c r="Q185" s="22">
        <v>3.9423342057784749E-2</v>
      </c>
      <c r="R185" s="19">
        <f t="shared" si="19"/>
        <v>3.7899436327701874E-2</v>
      </c>
      <c r="S185" s="22">
        <v>3.9420557203513118E-2</v>
      </c>
      <c r="T185" s="19">
        <f t="shared" si="20"/>
        <v>3.7943527904743091E-2</v>
      </c>
      <c r="U185" s="24">
        <v>4.377275277754733E-2</v>
      </c>
      <c r="V185" s="24">
        <f t="shared" si="21"/>
        <v>4.2253970688640008E-2</v>
      </c>
      <c r="W185" s="23">
        <f t="shared" si="22"/>
        <v>3.4543303911422907E-3</v>
      </c>
      <c r="X185" s="24">
        <v>4.2902340444950227E-2</v>
      </c>
      <c r="Y185" s="24">
        <f t="shared" si="23"/>
        <v>4.1391495137432788E-2</v>
      </c>
      <c r="Z185" s="23">
        <f t="shared" si="24"/>
        <v>3.3850745612176159E-3</v>
      </c>
      <c r="AA185" s="36"/>
    </row>
    <row r="186" spans="15:27" ht="13.9" customHeight="1" x14ac:dyDescent="0.3">
      <c r="O186" s="12">
        <f t="shared" si="18"/>
        <v>14.416666666666666</v>
      </c>
      <c r="P186" s="13">
        <v>173</v>
      </c>
      <c r="Q186" s="22">
        <v>3.9414526927953553E-2</v>
      </c>
      <c r="R186" s="19">
        <f t="shared" si="19"/>
        <v>3.7904633898642626E-2</v>
      </c>
      <c r="S186" s="22">
        <v>3.9412013425145442E-2</v>
      </c>
      <c r="T186" s="19">
        <f t="shared" si="20"/>
        <v>3.79529242581087E-2</v>
      </c>
      <c r="U186" s="24">
        <v>4.3763967333923404E-2</v>
      </c>
      <c r="V186" s="24">
        <f t="shared" si="21"/>
        <v>4.2261160044035462E-2</v>
      </c>
      <c r="W186" s="23">
        <f t="shared" si="22"/>
        <v>3.4547579253554339E-3</v>
      </c>
      <c r="X186" s="24">
        <v>4.2893600939712728E-2</v>
      </c>
      <c r="Y186" s="24">
        <f t="shared" si="23"/>
        <v>4.1399076082776487E-2</v>
      </c>
      <c r="Z186" s="23">
        <f t="shared" si="24"/>
        <v>3.3855342652786558E-3</v>
      </c>
      <c r="AA186" s="36"/>
    </row>
    <row r="187" spans="15:27" ht="13.9" customHeight="1" x14ac:dyDescent="0.3">
      <c r="O187" s="12">
        <f t="shared" si="18"/>
        <v>14.5</v>
      </c>
      <c r="P187" s="13">
        <v>174</v>
      </c>
      <c r="Q187" s="22">
        <v>3.940584310930606E-2</v>
      </c>
      <c r="R187" s="19">
        <f t="shared" si="19"/>
        <v>3.7911541931470838E-2</v>
      </c>
      <c r="S187" s="22">
        <v>3.9403621997898597E-2</v>
      </c>
      <c r="T187" s="19">
        <f t="shared" si="20"/>
        <v>3.7964163989381516E-2</v>
      </c>
      <c r="U187" s="24">
        <v>4.3755324322596323E-2</v>
      </c>
      <c r="V187" s="24">
        <f t="shared" si="21"/>
        <v>4.2270209928340297E-2</v>
      </c>
      <c r="W187" s="23">
        <f t="shared" si="22"/>
        <v>3.4553347337495932E-3</v>
      </c>
      <c r="X187" s="24">
        <v>4.2885005591513092E-2</v>
      </c>
      <c r="Y187" s="24">
        <f t="shared" si="23"/>
        <v>4.1408512107572237E-2</v>
      </c>
      <c r="Z187" s="23">
        <f t="shared" si="24"/>
        <v>3.3861429529136178E-3</v>
      </c>
      <c r="AA187" s="36"/>
    </row>
    <row r="188" spans="15:27" ht="13.9" customHeight="1" x14ac:dyDescent="0.3">
      <c r="O188" s="12">
        <f t="shared" si="18"/>
        <v>14.583333333333334</v>
      </c>
      <c r="P188" s="13">
        <v>175</v>
      </c>
      <c r="Q188" s="22">
        <v>3.9397298136721659E-2</v>
      </c>
      <c r="R188" s="19">
        <f t="shared" si="19"/>
        <v>3.7920141290625153E-2</v>
      </c>
      <c r="S188" s="22">
        <v>3.9395390855210044E-2</v>
      </c>
      <c r="T188" s="19">
        <f t="shared" si="20"/>
        <v>3.7977244966897361E-2</v>
      </c>
      <c r="U188" s="24">
        <v>4.3746831946001485E-2</v>
      </c>
      <c r="V188" s="24">
        <f t="shared" si="21"/>
        <v>4.2281120389977556E-2</v>
      </c>
      <c r="W188" s="23">
        <f t="shared" si="22"/>
        <v>3.4560608088520794E-3</v>
      </c>
      <c r="X188" s="24">
        <v>4.2876562541890761E-2</v>
      </c>
      <c r="Y188" s="24">
        <f t="shared" si="23"/>
        <v>4.1419802856271559E-2</v>
      </c>
      <c r="Z188" s="23">
        <f t="shared" si="24"/>
        <v>3.3869005825153398E-3</v>
      </c>
      <c r="AA188" s="36"/>
    </row>
    <row r="189" spans="15:27" ht="13.9" customHeight="1" x14ac:dyDescent="0.3">
      <c r="O189" s="12">
        <f t="shared" si="18"/>
        <v>14.666666666666666</v>
      </c>
      <c r="P189" s="13">
        <v>176</v>
      </c>
      <c r="Q189" s="22">
        <v>3.9388899264492405E-2</v>
      </c>
      <c r="R189" s="19">
        <f t="shared" si="19"/>
        <v>3.7930428261179427E-2</v>
      </c>
      <c r="S189" s="22">
        <v>3.9387327737480549E-2</v>
      </c>
      <c r="T189" s="19">
        <f t="shared" si="20"/>
        <v>3.799216524234672E-2</v>
      </c>
      <c r="U189" s="24">
        <v>4.373849821987208E-2</v>
      </c>
      <c r="V189" s="24">
        <f t="shared" si="21"/>
        <v>4.2293891589784138E-2</v>
      </c>
      <c r="W189" s="23">
        <f t="shared" si="22"/>
        <v>3.4569361509839691E-3</v>
      </c>
      <c r="X189" s="24">
        <v>4.2868279744761706E-2</v>
      </c>
      <c r="Y189" s="24">
        <f t="shared" si="23"/>
        <v>4.1432948105422973E-2</v>
      </c>
      <c r="Z189" s="23">
        <f t="shared" si="24"/>
        <v>3.3878071218251815E-3</v>
      </c>
      <c r="AA189" s="36"/>
    </row>
    <row r="190" spans="15:27" ht="13.9" customHeight="1" x14ac:dyDescent="0.3">
      <c r="O190" s="12">
        <f t="shared" si="18"/>
        <v>14.75</v>
      </c>
      <c r="P190" s="13">
        <v>177</v>
      </c>
      <c r="Q190" s="22">
        <v>3.9380653561464696E-2</v>
      </c>
      <c r="R190" s="19">
        <f t="shared" si="19"/>
        <v>3.7942404362897753E-2</v>
      </c>
      <c r="S190" s="22">
        <v>3.9379440198524795E-2</v>
      </c>
      <c r="T190" s="19">
        <f t="shared" si="20"/>
        <v>3.8008923052651689E-2</v>
      </c>
      <c r="U190" s="24">
        <v>4.3730330979106169E-2</v>
      </c>
      <c r="V190" s="24">
        <f t="shared" si="21"/>
        <v>4.2308523801376063E-2</v>
      </c>
      <c r="W190" s="23">
        <f t="shared" si="22"/>
        <v>3.4579607687514891E-3</v>
      </c>
      <c r="X190" s="24">
        <v>4.2860164972423176E-2</v>
      </c>
      <c r="Y190" s="24">
        <f t="shared" si="23"/>
        <v>4.1447947761938053E-2</v>
      </c>
      <c r="Z190" s="23">
        <f t="shared" si="24"/>
        <v>3.3888625484630452E-3</v>
      </c>
      <c r="AA190" s="36"/>
    </row>
    <row r="191" spans="15:27" ht="13.9" customHeight="1" x14ac:dyDescent="0.3">
      <c r="O191" s="12">
        <f t="shared" si="18"/>
        <v>14.833333333333334</v>
      </c>
      <c r="P191" s="13">
        <v>178</v>
      </c>
      <c r="Q191" s="22">
        <v>3.9372567945665127E-2</v>
      </c>
      <c r="R191" s="19">
        <f t="shared" si="19"/>
        <v>3.7956071257107649E-2</v>
      </c>
      <c r="S191" s="22">
        <v>3.9371735611815284E-2</v>
      </c>
      <c r="T191" s="19">
        <f t="shared" si="20"/>
        <v>3.8027516821939278E-2</v>
      </c>
      <c r="U191" s="24">
        <v>4.3722337883439266E-2</v>
      </c>
      <c r="V191" s="24">
        <f t="shared" si="21"/>
        <v>4.232501741645045E-2</v>
      </c>
      <c r="W191" s="23">
        <f t="shared" si="22"/>
        <v>3.4591346790766586E-3</v>
      </c>
      <c r="X191" s="24">
        <v>4.2852225821347512E-2</v>
      </c>
      <c r="Y191" s="24">
        <f t="shared" si="23"/>
        <v>4.146480187083279E-2</v>
      </c>
      <c r="Z191" s="23">
        <f t="shared" si="24"/>
        <v>3.3900668497870434E-3</v>
      </c>
      <c r="AA191" s="36"/>
    </row>
    <row r="192" spans="15:27" ht="13.9" customHeight="1" x14ac:dyDescent="0.3">
      <c r="O192" s="12">
        <f t="shared" si="18"/>
        <v>14.916666666666666</v>
      </c>
      <c r="P192" s="13">
        <v>179</v>
      </c>
      <c r="Q192" s="22">
        <v>3.9364649189270295E-2</v>
      </c>
      <c r="R192" s="19">
        <f t="shared" si="19"/>
        <v>3.7971430747902879E-2</v>
      </c>
      <c r="S192" s="22">
        <v>3.936422117652838E-2</v>
      </c>
      <c r="T192" s="19">
        <f t="shared" si="20"/>
        <v>3.8047945165385899E-2</v>
      </c>
      <c r="U192" s="24">
        <v>4.3714526422956146E-2</v>
      </c>
      <c r="V192" s="24">
        <f t="shared" si="21"/>
        <v>4.2343372944999125E-2</v>
      </c>
      <c r="W192" s="23">
        <f t="shared" si="22"/>
        <v>3.4604579076198405E-3</v>
      </c>
      <c r="X192" s="24">
        <v>4.2844469717826072E-2</v>
      </c>
      <c r="Y192" s="24">
        <f t="shared" si="23"/>
        <v>4.1483510613771646E-2</v>
      </c>
      <c r="Z192" s="23">
        <f t="shared" si="24"/>
        <v>3.3914200235143355E-3</v>
      </c>
      <c r="AA192" s="36"/>
    </row>
    <row r="193" spans="15:27" ht="13.9" customHeight="1" x14ac:dyDescent="0.3">
      <c r="O193" s="12">
        <f t="shared" si="18"/>
        <v>15</v>
      </c>
      <c r="P193" s="13">
        <v>180</v>
      </c>
      <c r="Q193" s="22">
        <v>3.9356903923418507E-2</v>
      </c>
      <c r="R193" s="19">
        <f t="shared" si="19"/>
        <v>3.7988037169222721E-2</v>
      </c>
      <c r="S193" s="22">
        <v>3.9356903923411179E-2</v>
      </c>
      <c r="T193" s="19">
        <f t="shared" si="20"/>
        <v>3.8069671933762317E-2</v>
      </c>
      <c r="U193" s="24">
        <v>4.3706903923420803E-2</v>
      </c>
      <c r="V193" s="24">
        <f t="shared" si="21"/>
        <v>4.2363088186306186E-2</v>
      </c>
      <c r="W193" s="23">
        <f t="shared" si="22"/>
        <v>3.4619304887972824E-3</v>
      </c>
      <c r="X193" s="24">
        <v>4.2836903923415548E-2</v>
      </c>
      <c r="Y193" s="24">
        <f t="shared" si="23"/>
        <v>4.1503566100668854E-2</v>
      </c>
      <c r="Z193" s="23">
        <f t="shared" si="24"/>
        <v>3.3929220776045543E-3</v>
      </c>
      <c r="AA193" s="36"/>
    </row>
    <row r="194" spans="15:27" ht="13.9" customHeight="1" x14ac:dyDescent="0.3">
      <c r="O194" s="12">
        <f t="shared" si="18"/>
        <v>15.083333333333334</v>
      </c>
      <c r="P194" s="13">
        <v>181</v>
      </c>
      <c r="Q194" s="22">
        <v>3.9349336166619509E-2</v>
      </c>
      <c r="R194" s="19">
        <f t="shared" si="19"/>
        <v>3.8004101646618382E-2</v>
      </c>
      <c r="S194" s="22">
        <v>3.9349787761254973E-2</v>
      </c>
      <c r="T194" s="19">
        <f t="shared" si="20"/>
        <v>3.8090557852147766E-2</v>
      </c>
      <c r="U194" s="24">
        <v>4.3699474769808733E-2</v>
      </c>
      <c r="V194" s="24">
        <f t="shared" si="21"/>
        <v>4.2382152665795259E-2</v>
      </c>
      <c r="W194" s="23">
        <f t="shared" si="22"/>
        <v>3.4635121271129332E-3</v>
      </c>
      <c r="X194" s="24">
        <v>4.2829532728851039E-2</v>
      </c>
      <c r="Y194" s="24">
        <f t="shared" si="23"/>
        <v>4.1522936320219195E-2</v>
      </c>
      <c r="Z194" s="23">
        <f t="shared" si="24"/>
        <v>3.3945322291966118E-3</v>
      </c>
      <c r="AA194" s="36"/>
    </row>
    <row r="195" spans="15:27" ht="13.9" customHeight="1" x14ac:dyDescent="0.3">
      <c r="O195" s="12">
        <f t="shared" si="18"/>
        <v>15.166666666666666</v>
      </c>
      <c r="P195" s="13">
        <v>182</v>
      </c>
      <c r="Q195" s="22">
        <v>3.9341940006982545E-2</v>
      </c>
      <c r="R195" s="19">
        <f t="shared" si="19"/>
        <v>3.8019177335148369E-2</v>
      </c>
      <c r="S195" s="22">
        <v>3.9342864743986405E-2</v>
      </c>
      <c r="T195" s="19">
        <f t="shared" si="20"/>
        <v>3.8110071294510828E-2</v>
      </c>
      <c r="U195" s="24">
        <v>4.3692232189752156E-2</v>
      </c>
      <c r="V195" s="24">
        <f t="shared" si="21"/>
        <v>4.2400064644633861E-2</v>
      </c>
      <c r="W195" s="23">
        <f t="shared" si="22"/>
        <v>3.4650415325407913E-3</v>
      </c>
      <c r="X195" s="24">
        <v>4.2822349151217409E-2</v>
      </c>
      <c r="Y195" s="24">
        <f t="shared" si="23"/>
        <v>4.154111461851473E-2</v>
      </c>
      <c r="Z195" s="23">
        <f t="shared" si="24"/>
        <v>3.3960873372269607E-3</v>
      </c>
      <c r="AA195" s="36"/>
    </row>
    <row r="196" spans="15:27" ht="13.9" customHeight="1" x14ac:dyDescent="0.3">
      <c r="O196" s="12">
        <f t="shared" si="18"/>
        <v>15.25</v>
      </c>
      <c r="P196" s="13">
        <v>183</v>
      </c>
      <c r="Q196" s="22">
        <v>3.9334707217276277E-2</v>
      </c>
      <c r="R196" s="19">
        <f t="shared" si="19"/>
        <v>3.803326481925251E-2</v>
      </c>
      <c r="S196" s="22">
        <v>3.9336124191235333E-2</v>
      </c>
      <c r="T196" s="19">
        <f t="shared" si="20"/>
        <v>3.8128215870409932E-2</v>
      </c>
      <c r="U196" s="24">
        <v>4.3685166814185994E-2</v>
      </c>
      <c r="V196" s="24">
        <f t="shared" si="21"/>
        <v>4.2416825194959928E-2</v>
      </c>
      <c r="W196" s="23">
        <f t="shared" si="22"/>
        <v>3.4664784578073427E-3</v>
      </c>
      <c r="X196" s="24">
        <v>4.2815343588658683E-2</v>
      </c>
      <c r="Y196" s="24">
        <f t="shared" si="23"/>
        <v>4.1558102587404555E-2</v>
      </c>
      <c r="Z196" s="23">
        <f t="shared" si="24"/>
        <v>3.3975467295934703E-3</v>
      </c>
      <c r="AA196" s="36"/>
    </row>
    <row r="197" spans="15:27" ht="13.9" customHeight="1" x14ac:dyDescent="0.3">
      <c r="O197" s="12">
        <f t="shared" si="18"/>
        <v>15.333333333333334</v>
      </c>
      <c r="P197" s="13">
        <v>184</v>
      </c>
      <c r="Q197" s="22">
        <v>3.9327629752764492E-2</v>
      </c>
      <c r="R197" s="19">
        <f t="shared" si="19"/>
        <v>3.8046364606220795E-2</v>
      </c>
      <c r="S197" s="22">
        <v>3.9329555675165828E-2</v>
      </c>
      <c r="T197" s="19">
        <f t="shared" si="20"/>
        <v>3.8144995056229813E-2</v>
      </c>
      <c r="U197" s="24">
        <v>4.3678269484138887E-2</v>
      </c>
      <c r="V197" s="24">
        <f t="shared" si="21"/>
        <v>4.2432435322256934E-2</v>
      </c>
      <c r="W197" s="23">
        <f t="shared" si="22"/>
        <v>3.4678229932885163E-3</v>
      </c>
      <c r="X197" s="24">
        <v>4.2808506657323386E-2</v>
      </c>
      <c r="Y197" s="24">
        <f t="shared" si="23"/>
        <v>4.1573901738632735E-2</v>
      </c>
      <c r="Z197" s="23">
        <f t="shared" si="24"/>
        <v>3.398910538684019E-3</v>
      </c>
      <c r="AA197" s="36"/>
    </row>
    <row r="198" spans="15:27" ht="13.9" customHeight="1" x14ac:dyDescent="0.3">
      <c r="O198" s="12">
        <f t="shared" si="18"/>
        <v>15.416666666666666</v>
      </c>
      <c r="P198" s="13">
        <v>185</v>
      </c>
      <c r="Q198" s="22">
        <v>3.9320699745830634E-2</v>
      </c>
      <c r="R198" s="19">
        <f t="shared" si="19"/>
        <v>3.8058477126404977E-2</v>
      </c>
      <c r="S198" s="22">
        <v>3.9323149012884473E-2</v>
      </c>
      <c r="T198" s="19">
        <f t="shared" si="20"/>
        <v>3.8160412199779614E-2</v>
      </c>
      <c r="U198" s="24">
        <v>4.3671531244660944E-2</v>
      </c>
      <c r="V198" s="24">
        <f t="shared" si="21"/>
        <v>4.2446895967748643E-2</v>
      </c>
      <c r="W198" s="23">
        <f t="shared" si="22"/>
        <v>3.4690752237276357E-3</v>
      </c>
      <c r="X198" s="24">
        <v>4.2801829185002083E-2</v>
      </c>
      <c r="Y198" s="24">
        <f t="shared" si="23"/>
        <v>4.1588513503522551E-2</v>
      </c>
      <c r="Z198" s="23">
        <f t="shared" si="24"/>
        <v>3.4001788901467656E-3</v>
      </c>
      <c r="AA198" s="36"/>
    </row>
    <row r="199" spans="15:27" ht="13.9" customHeight="1" x14ac:dyDescent="0.3">
      <c r="O199" s="12">
        <f t="shared" si="18"/>
        <v>15.5</v>
      </c>
      <c r="P199" s="13">
        <v>186</v>
      </c>
      <c r="Q199" s="22">
        <v>3.9313909500777955E-2</v>
      </c>
      <c r="R199" s="19">
        <f t="shared" si="19"/>
        <v>3.8069606270743961E-2</v>
      </c>
      <c r="S199" s="22">
        <v>3.931689425911844E-2</v>
      </c>
      <c r="T199" s="19">
        <f t="shared" si="20"/>
        <v>3.8174470520024872E-2</v>
      </c>
      <c r="U199" s="24">
        <v>4.3664943338959983E-2</v>
      </c>
      <c r="V199" s="24">
        <f t="shared" si="21"/>
        <v>4.2460208008532119E-2</v>
      </c>
      <c r="W199" s="23">
        <f t="shared" si="22"/>
        <v>3.4702352284281535E-3</v>
      </c>
      <c r="X199" s="24">
        <v>4.2795302204971408E-2</v>
      </c>
      <c r="Y199" s="24">
        <f t="shared" si="23"/>
        <v>4.1601939236755037E-2</v>
      </c>
      <c r="Z199" s="23">
        <f t="shared" si="24"/>
        <v>3.4013519028674999E-3</v>
      </c>
      <c r="AA199" s="36"/>
    </row>
    <row r="200" spans="15:27" ht="13.9" customHeight="1" x14ac:dyDescent="0.3">
      <c r="O200" s="12">
        <f t="shared" si="18"/>
        <v>15.583333333333334</v>
      </c>
      <c r="P200" s="13">
        <v>187</v>
      </c>
      <c r="Q200" s="22">
        <v>3.9307251507735508E-2</v>
      </c>
      <c r="R200" s="19">
        <f t="shared" si="19"/>
        <v>3.8079766462246534E-2</v>
      </c>
      <c r="S200" s="22">
        <v>3.9310781699129382E-2</v>
      </c>
      <c r="T200" s="19">
        <f t="shared" si="20"/>
        <v>3.8187173110742823E-2</v>
      </c>
      <c r="U200" s="24">
        <v>4.3658497202728297E-2</v>
      </c>
      <c r="V200" s="24">
        <f t="shared" si="21"/>
        <v>4.2472372261350477E-2</v>
      </c>
      <c r="W200" s="23">
        <f t="shared" si="22"/>
        <v>3.4713030812658641E-3</v>
      </c>
      <c r="X200" s="24">
        <v>4.2788916950055045E-2</v>
      </c>
      <c r="Y200" s="24">
        <f t="shared" si="23"/>
        <v>4.1614180216755559E-2</v>
      </c>
      <c r="Z200" s="23">
        <f t="shared" si="24"/>
        <v>3.4024296892738448E-3</v>
      </c>
      <c r="AA200" s="36"/>
    </row>
    <row r="201" spans="15:27" ht="13.9" customHeight="1" x14ac:dyDescent="0.3">
      <c r="O201" s="12">
        <f t="shared" si="18"/>
        <v>15.666666666666666</v>
      </c>
      <c r="P201" s="13">
        <v>188</v>
      </c>
      <c r="Q201" s="22">
        <v>3.9300718493779474E-2</v>
      </c>
      <c r="R201" s="19">
        <f t="shared" si="19"/>
        <v>3.8088961454629588E-2</v>
      </c>
      <c r="S201" s="22">
        <v>3.9304801841873127E-2</v>
      </c>
      <c r="T201" s="19">
        <f t="shared" si="20"/>
        <v>3.8198522940680935E-2</v>
      </c>
      <c r="U201" s="24">
        <v>4.365218445867125E-2</v>
      </c>
      <c r="V201" s="24">
        <f t="shared" si="21"/>
        <v>4.2483389479287759E-2</v>
      </c>
      <c r="W201" s="23">
        <f t="shared" si="22"/>
        <v>3.4722788509922164E-3</v>
      </c>
      <c r="X201" s="24">
        <v>4.2782664846878093E-2</v>
      </c>
      <c r="Y201" s="24">
        <f t="shared" si="23"/>
        <v>4.1625237646483626E-2</v>
      </c>
      <c r="Z201" s="23">
        <f t="shared" si="24"/>
        <v>3.4034123553683404E-3</v>
      </c>
      <c r="AA201" s="36"/>
    </row>
    <row r="202" spans="15:27" ht="13.9" customHeight="1" x14ac:dyDescent="0.3">
      <c r="O202" s="12">
        <f t="shared" si="18"/>
        <v>15.75</v>
      </c>
      <c r="P202" s="13">
        <v>189</v>
      </c>
      <c r="Q202" s="22">
        <v>3.9294303360119853E-2</v>
      </c>
      <c r="R202" s="19">
        <f t="shared" si="19"/>
        <v>3.8097191393777541E-2</v>
      </c>
      <c r="S202" s="22">
        <v>3.929894541337986E-2</v>
      </c>
      <c r="T202" s="19">
        <f t="shared" si="20"/>
        <v>3.8208522856764349E-2</v>
      </c>
      <c r="U202" s="24">
        <v>4.3645996911192642E-2</v>
      </c>
      <c r="V202" s="24">
        <f t="shared" si="21"/>
        <v>4.2493260357242324E-2</v>
      </c>
      <c r="W202" s="23">
        <f t="shared" si="22"/>
        <v>3.4731626009709693E-3</v>
      </c>
      <c r="X202" s="24">
        <v>4.2776537510308632E-2</v>
      </c>
      <c r="Y202" s="24">
        <f t="shared" si="23"/>
        <v>4.1635112654251127E-2</v>
      </c>
      <c r="Z202" s="23">
        <f t="shared" si="24"/>
        <v>3.4043000007932811E-3</v>
      </c>
      <c r="AA202" s="36"/>
    </row>
    <row r="203" spans="15:27" ht="13.9" customHeight="1" x14ac:dyDescent="0.3">
      <c r="O203" s="12">
        <f t="shared" si="18"/>
        <v>15.833333333333334</v>
      </c>
      <c r="P203" s="13">
        <v>190</v>
      </c>
      <c r="Q203" s="22">
        <v>3.9287999158485354E-2</v>
      </c>
      <c r="R203" s="19">
        <f t="shared" si="19"/>
        <v>3.8104456356137018E-2</v>
      </c>
      <c r="S203" s="22">
        <v>3.9293203350360573E-2</v>
      </c>
      <c r="T203" s="19">
        <f t="shared" si="20"/>
        <v>3.8217175585070207E-2</v>
      </c>
      <c r="U203" s="24">
        <v>4.3639926541277463E-2</v>
      </c>
      <c r="V203" s="24">
        <f t="shared" si="21"/>
        <v>4.2501985530261743E-2</v>
      </c>
      <c r="W203" s="23">
        <f t="shared" si="22"/>
        <v>3.473954389616507E-3</v>
      </c>
      <c r="X203" s="24">
        <v>4.2770526738079573E-2</v>
      </c>
      <c r="Y203" s="24">
        <f t="shared" si="23"/>
        <v>4.1643806296016272E-2</v>
      </c>
      <c r="Z203" s="23">
        <f t="shared" si="24"/>
        <v>3.405092718897107E-3</v>
      </c>
      <c r="AA203" s="36"/>
    </row>
    <row r="204" spans="15:27" ht="13.9" customHeight="1" x14ac:dyDescent="0.3">
      <c r="O204" s="12">
        <f t="shared" si="18"/>
        <v>15.916666666666666</v>
      </c>
      <c r="P204" s="13">
        <v>191</v>
      </c>
      <c r="Q204" s="22">
        <v>3.9281799086797964E-2</v>
      </c>
      <c r="R204" s="19">
        <f t="shared" si="19"/>
        <v>3.8110756346366959E-2</v>
      </c>
      <c r="S204" s="22">
        <v>3.9287566794020012E-2</v>
      </c>
      <c r="T204" s="19">
        <f t="shared" si="20"/>
        <v>3.8224483732341774E-2</v>
      </c>
      <c r="U204" s="24">
        <v>4.363396550152765E-2</v>
      </c>
      <c r="V204" s="24">
        <f t="shared" si="21"/>
        <v>4.2509565575773678E-2</v>
      </c>
      <c r="W204" s="23">
        <f t="shared" si="22"/>
        <v>3.4746542702632777E-3</v>
      </c>
      <c r="X204" s="24">
        <v>4.2764624505593041E-2</v>
      </c>
      <c r="Y204" s="24">
        <f t="shared" si="23"/>
        <v>4.1651319556625488E-2</v>
      </c>
      <c r="Z204" s="23">
        <f t="shared" si="24"/>
        <v>3.4057905969213653E-3</v>
      </c>
      <c r="AA204" s="36"/>
    </row>
    <row r="205" spans="15:27" ht="13.9" customHeight="1" x14ac:dyDescent="0.3">
      <c r="O205" s="12">
        <f t="shared" si="18"/>
        <v>16</v>
      </c>
      <c r="P205" s="13">
        <v>192</v>
      </c>
      <c r="Q205" s="22">
        <v>3.9275696484972089E-2</v>
      </c>
      <c r="R205" s="19">
        <f t="shared" si="19"/>
        <v>3.8116094775626053E-2</v>
      </c>
      <c r="S205" s="22">
        <v>3.928202708407369E-2</v>
      </c>
      <c r="T205" s="19">
        <f t="shared" si="20"/>
        <v>3.8230449789110832E-2</v>
      </c>
      <c r="U205" s="24">
        <v>4.362810611136525E-2</v>
      </c>
      <c r="V205" s="24">
        <f t="shared" si="21"/>
        <v>4.2516001013725324E-2</v>
      </c>
      <c r="W205" s="23">
        <f t="shared" si="22"/>
        <v>3.4752622913434283E-3</v>
      </c>
      <c r="X205" s="24">
        <v>4.275882296089395E-2</v>
      </c>
      <c r="Y205" s="24">
        <f t="shared" si="23"/>
        <v>4.1657653349193247E-2</v>
      </c>
      <c r="Z205" s="23">
        <f t="shared" si="24"/>
        <v>3.4063937160997426E-3</v>
      </c>
      <c r="AA205" s="36"/>
    </row>
    <row r="206" spans="15:27" ht="13.9" customHeight="1" x14ac:dyDescent="0.3">
      <c r="O206" s="12">
        <f t="shared" ref="O206:O269" si="25">P206/12</f>
        <v>16.083333333333332</v>
      </c>
      <c r="P206" s="13">
        <v>193</v>
      </c>
      <c r="Q206" s="22">
        <v>3.9269684848885378E-2</v>
      </c>
      <c r="R206" s="19">
        <f t="shared" ref="R206:R269" si="26">(1+Q207)^P207/(1+Q206)^P206-1</f>
        <v>3.8120485413139171E-2</v>
      </c>
      <c r="S206" s="22">
        <v>3.9276575752965837E-2</v>
      </c>
      <c r="T206" s="19">
        <f t="shared" ref="T206:T269" si="27">(1+S207)^P207/(1+S206)^P206-1</f>
        <v>3.8235076129868872E-2</v>
      </c>
      <c r="U206" s="24">
        <v>4.3622340852385477E-2</v>
      </c>
      <c r="V206" s="24">
        <f t="shared" ref="V206:V269" si="28">(1+U207)^P207/(1+U206)^P206-1</f>
        <v>4.2521292309640968E-2</v>
      </c>
      <c r="W206" s="23">
        <f t="shared" si="22"/>
        <v>3.4757784964003502E-3</v>
      </c>
      <c r="X206" s="24">
        <v>4.2753114419796789E-2</v>
      </c>
      <c r="Y206" s="24">
        <f t="shared" si="23"/>
        <v>4.1662808518750039E-2</v>
      </c>
      <c r="Z206" s="23">
        <f t="shared" si="24"/>
        <v>3.4069021516103248E-3</v>
      </c>
      <c r="AA206" s="36"/>
    </row>
    <row r="207" spans="15:27" ht="13.9" customHeight="1" x14ac:dyDescent="0.3">
      <c r="O207" s="12">
        <f t="shared" si="25"/>
        <v>16.166666666666668</v>
      </c>
      <c r="P207" s="13">
        <v>194</v>
      </c>
      <c r="Q207" s="22">
        <v>3.9263757879790973E-2</v>
      </c>
      <c r="R207" s="19">
        <f t="shared" si="26"/>
        <v>3.8123931544289391E-2</v>
      </c>
      <c r="S207" s="22">
        <v>3.9271204520269887E-2</v>
      </c>
      <c r="T207" s="19">
        <f t="shared" si="27"/>
        <v>3.8238365015482501E-2</v>
      </c>
      <c r="U207" s="24">
        <v>4.361666236387074E-2</v>
      </c>
      <c r="V207" s="24">
        <f t="shared" si="28"/>
        <v>4.2525439872555637E-2</v>
      </c>
      <c r="W207" s="23">
        <f t="shared" ref="W207:W270" si="29">(1+V206)^(1/12)-1</f>
        <v>3.4762029243333714E-3</v>
      </c>
      <c r="X207" s="24">
        <v>4.2747491361183165E-2</v>
      </c>
      <c r="Y207" s="24">
        <f t="shared" ref="Y207:Y270" si="30">(1+X208)^P208/(1+X207)^P207-1</f>
        <v>4.1666785841196319E-2</v>
      </c>
      <c r="Z207" s="23">
        <f t="shared" ref="Z207:Z270" si="31">(1+Y206)^(1/12)-1</f>
        <v>3.4073159728695845E-3</v>
      </c>
      <c r="AA207" s="36"/>
    </row>
    <row r="208" spans="15:27" ht="13.9" customHeight="1" x14ac:dyDescent="0.3">
      <c r="O208" s="12">
        <f t="shared" si="25"/>
        <v>16.25</v>
      </c>
      <c r="P208" s="13">
        <v>195</v>
      </c>
      <c r="Q208" s="22">
        <v>3.925790942520746E-2</v>
      </c>
      <c r="R208" s="19">
        <f t="shared" si="26"/>
        <v>3.8126432913477837E-2</v>
      </c>
      <c r="S208" s="22">
        <v>3.9265905287273251E-2</v>
      </c>
      <c r="T208" s="19">
        <f t="shared" si="27"/>
        <v>3.824031859504573E-2</v>
      </c>
      <c r="U208" s="24">
        <v>4.3611063438431907E-2</v>
      </c>
      <c r="V208" s="24">
        <f t="shared" si="28"/>
        <v>4.2528444059722004E-2</v>
      </c>
      <c r="W208" s="23">
        <f t="shared" si="29"/>
        <v>3.4765356092327782E-3</v>
      </c>
      <c r="X208" s="24">
        <v>4.2741946422439669E-2</v>
      </c>
      <c r="Y208" s="24">
        <f t="shared" si="30"/>
        <v>4.1669586026197081E-2</v>
      </c>
      <c r="Z208" s="23">
        <f t="shared" si="31"/>
        <v>3.4076352434486701E-3</v>
      </c>
      <c r="AA208" s="36"/>
    </row>
    <row r="209" spans="15:27" ht="13.9" customHeight="1" x14ac:dyDescent="0.3">
      <c r="O209" s="12">
        <f t="shared" si="25"/>
        <v>16.333333333333332</v>
      </c>
      <c r="P209" s="13">
        <v>196</v>
      </c>
      <c r="Q209" s="22">
        <v>3.9252133457083671E-2</v>
      </c>
      <c r="R209" s="19">
        <f t="shared" si="26"/>
        <v>3.8127989200217094E-2</v>
      </c>
      <c r="S209" s="22">
        <v>3.926067013173884E-2</v>
      </c>
      <c r="T209" s="19">
        <f t="shared" si="27"/>
        <v>3.824093890712188E-2</v>
      </c>
      <c r="U209" s="24">
        <v>4.3605537017808116E-2</v>
      </c>
      <c r="V209" s="24">
        <f t="shared" si="28"/>
        <v>4.253030517418166E-2</v>
      </c>
      <c r="W209" s="23">
        <f t="shared" si="29"/>
        <v>3.4767765807584006E-3</v>
      </c>
      <c r="X209" s="24">
        <v>4.2736472395049629E-2</v>
      </c>
      <c r="Y209" s="24">
        <f t="shared" si="30"/>
        <v>4.1671209717716984E-2</v>
      </c>
      <c r="Z209" s="23">
        <f t="shared" si="31"/>
        <v>3.4078600213067745E-3</v>
      </c>
      <c r="AA209" s="36"/>
    </row>
    <row r="210" spans="15:27" ht="13.9" customHeight="1" x14ac:dyDescent="0.3">
      <c r="O210" s="12">
        <f t="shared" si="25"/>
        <v>16.416666666666668</v>
      </c>
      <c r="P210" s="13">
        <v>197</v>
      </c>
      <c r="Q210" s="22">
        <v>3.924642406829415E-2</v>
      </c>
      <c r="R210" s="19">
        <f t="shared" si="26"/>
        <v>3.8128600018451975E-2</v>
      </c>
      <c r="S210" s="22">
        <v>3.9255491302832679E-2</v>
      </c>
      <c r="T210" s="19">
        <f t="shared" si="27"/>
        <v>3.8240227881546351E-2</v>
      </c>
      <c r="U210" s="24">
        <v>4.3600076188782477E-2</v>
      </c>
      <c r="V210" s="24">
        <f t="shared" si="28"/>
        <v>4.2531023468483697E-2</v>
      </c>
      <c r="W210" s="23">
        <f t="shared" si="29"/>
        <v>3.4769258639442135E-3</v>
      </c>
      <c r="X210" s="24">
        <v>4.2731062220323635E-2</v>
      </c>
      <c r="Y210" s="24">
        <f t="shared" si="30"/>
        <v>4.1671657493824954E-2</v>
      </c>
      <c r="Z210" s="23">
        <f t="shared" si="31"/>
        <v>3.4079903588351002E-3</v>
      </c>
      <c r="AA210" s="36"/>
    </row>
    <row r="211" spans="15:27" ht="13.9" customHeight="1" x14ac:dyDescent="0.3">
      <c r="O211" s="12">
        <f t="shared" si="25"/>
        <v>16.5</v>
      </c>
      <c r="P211" s="13">
        <v>198</v>
      </c>
      <c r="Q211" s="22">
        <v>3.924077546923721E-2</v>
      </c>
      <c r="R211" s="19">
        <f t="shared" si="26"/>
        <v>3.8128268335322346E-2</v>
      </c>
      <c r="S211" s="22">
        <v>3.9250361216216278E-2</v>
      </c>
      <c r="T211" s="19">
        <f t="shared" si="27"/>
        <v>3.8238187341773422E-2</v>
      </c>
      <c r="U211" s="24">
        <v>4.3594674179240567E-2</v>
      </c>
      <c r="V211" s="24">
        <f t="shared" si="28"/>
        <v>4.2530599144584569E-2</v>
      </c>
      <c r="W211" s="23">
        <f t="shared" si="29"/>
        <v>3.4769834794980969E-3</v>
      </c>
      <c r="X211" s="24">
        <v>4.272570898525796E-2</v>
      </c>
      <c r="Y211" s="24">
        <f t="shared" si="30"/>
        <v>4.1670929870636364E-2</v>
      </c>
      <c r="Z211" s="23">
        <f t="shared" si="31"/>
        <v>3.408026302841316E-3</v>
      </c>
      <c r="AA211" s="36"/>
    </row>
    <row r="212" spans="15:27" ht="13.9" customHeight="1" x14ac:dyDescent="0.3">
      <c r="O212" s="12">
        <f t="shared" si="25"/>
        <v>16.583333333333332</v>
      </c>
      <c r="P212" s="13">
        <v>199</v>
      </c>
      <c r="Q212" s="22">
        <v>3.9235182001734259E-2</v>
      </c>
      <c r="R212" s="19">
        <f t="shared" si="26"/>
        <v>3.8127007303470073E-2</v>
      </c>
      <c r="S212" s="22">
        <v>3.9245272449297541E-2</v>
      </c>
      <c r="T212" s="19">
        <f t="shared" si="27"/>
        <v>3.8234819005229737E-2</v>
      </c>
      <c r="U212" s="24">
        <v>4.3589324354348369E-2</v>
      </c>
      <c r="V212" s="24">
        <f t="shared" si="28"/>
        <v>4.252903235475225E-2</v>
      </c>
      <c r="W212" s="23">
        <f t="shared" si="29"/>
        <v>3.4769494437927317E-3</v>
      </c>
      <c r="X212" s="24">
        <v>4.2720405918539095E-2</v>
      </c>
      <c r="Y212" s="24">
        <f t="shared" si="30"/>
        <v>4.1669027300970773E-2</v>
      </c>
      <c r="Z212" s="23">
        <f t="shared" si="31"/>
        <v>3.407967894866637E-3</v>
      </c>
      <c r="AA212" s="36"/>
    </row>
    <row r="213" spans="15:27" ht="13.9" customHeight="1" x14ac:dyDescent="0.3">
      <c r="O213" s="12">
        <f t="shared" si="25"/>
        <v>16.666666666666668</v>
      </c>
      <c r="P213" s="13">
        <v>200</v>
      </c>
      <c r="Q213" s="22">
        <v>3.9229638186709437E-2</v>
      </c>
      <c r="R213" s="19">
        <f t="shared" si="26"/>
        <v>3.8124819773835306E-2</v>
      </c>
      <c r="S213" s="22">
        <v>3.9240217736628447E-2</v>
      </c>
      <c r="T213" s="19">
        <f t="shared" si="27"/>
        <v>3.8230124485595374E-2</v>
      </c>
      <c r="U213" s="24">
        <v>4.3584020212849239E-2</v>
      </c>
      <c r="V213" s="24">
        <f t="shared" si="28"/>
        <v>4.2526323202975114E-2</v>
      </c>
      <c r="W213" s="23">
        <f t="shared" si="29"/>
        <v>3.4768237689390968E-3</v>
      </c>
      <c r="X213" s="24">
        <v>4.2715146386661296E-2</v>
      </c>
      <c r="Y213" s="24">
        <f t="shared" si="30"/>
        <v>4.1665950176736022E-2</v>
      </c>
      <c r="Z213" s="23">
        <f t="shared" si="31"/>
        <v>3.4078151710787985E-3</v>
      </c>
      <c r="AA213" s="36"/>
    </row>
    <row r="214" spans="15:27" ht="13.9" customHeight="1" x14ac:dyDescent="0.3">
      <c r="O214" s="12">
        <f t="shared" si="25"/>
        <v>16.75</v>
      </c>
      <c r="P214" s="13">
        <v>201</v>
      </c>
      <c r="Q214" s="22">
        <v>3.9224138668411346E-2</v>
      </c>
      <c r="R214" s="19">
        <f t="shared" si="26"/>
        <v>3.8121705122045935E-2</v>
      </c>
      <c r="S214" s="22">
        <v>3.9235189965451056E-2</v>
      </c>
      <c r="T214" s="19">
        <f t="shared" si="27"/>
        <v>3.8224105294877297E-2</v>
      </c>
      <c r="U214" s="24">
        <v>4.3578755383479217E-2</v>
      </c>
      <c r="V214" s="24">
        <f t="shared" si="28"/>
        <v>4.2522471745863433E-2</v>
      </c>
      <c r="W214" s="23">
        <f t="shared" si="29"/>
        <v>3.4766064628997118E-3</v>
      </c>
      <c r="X214" s="24">
        <v>4.2709923890172474E-2</v>
      </c>
      <c r="Y214" s="24">
        <f t="shared" si="30"/>
        <v>4.1661698829575267E-2</v>
      </c>
      <c r="Z214" s="23">
        <f t="shared" si="31"/>
        <v>3.4075681624636811E-3</v>
      </c>
      <c r="AA214" s="36"/>
    </row>
    <row r="215" spans="15:27" ht="13.9" customHeight="1" x14ac:dyDescent="0.3">
      <c r="O215" s="12">
        <f t="shared" si="25"/>
        <v>16.833333333333332</v>
      </c>
      <c r="P215" s="13">
        <v>202</v>
      </c>
      <c r="Q215" s="22">
        <v>3.921867819412328E-2</v>
      </c>
      <c r="R215" s="19">
        <f t="shared" si="26"/>
        <v>3.8117662663002427E-2</v>
      </c>
      <c r="S215" s="22">
        <v>3.9230182171387185E-2</v>
      </c>
      <c r="T215" s="19">
        <f t="shared" si="27"/>
        <v>3.8216762843952257E-2</v>
      </c>
      <c r="U215" s="24">
        <v>4.357352362149336E-2</v>
      </c>
      <c r="V215" s="24">
        <f t="shared" si="28"/>
        <v>4.251747799439376E-2</v>
      </c>
      <c r="W215" s="23">
        <f t="shared" si="29"/>
        <v>3.4762975295608012E-3</v>
      </c>
      <c r="X215" s="24">
        <v>4.2704732060035333E-2</v>
      </c>
      <c r="Y215" s="24">
        <f t="shared" si="30"/>
        <v>4.1656273532351129E-2</v>
      </c>
      <c r="Z215" s="23">
        <f t="shared" si="31"/>
        <v>3.4072268948772688E-3</v>
      </c>
      <c r="AA215" s="36"/>
    </row>
    <row r="216" spans="15:27" ht="13.9" customHeight="1" x14ac:dyDescent="0.3">
      <c r="O216" s="12">
        <f t="shared" si="25"/>
        <v>16.916666666666668</v>
      </c>
      <c r="P216" s="13">
        <v>203</v>
      </c>
      <c r="Q216" s="22">
        <v>3.9213251611311506E-2</v>
      </c>
      <c r="R216" s="19">
        <f t="shared" si="26"/>
        <v>3.8112691652642194E-2</v>
      </c>
      <c r="S216" s="22">
        <v>3.9225187534258188E-2</v>
      </c>
      <c r="T216" s="19">
        <f t="shared" si="27"/>
        <v>3.8208098445403404E-2</v>
      </c>
      <c r="U216" s="24">
        <v>4.3568318805304207E-2</v>
      </c>
      <c r="V216" s="24">
        <f t="shared" si="28"/>
        <v>4.251134191362449E-2</v>
      </c>
      <c r="W216" s="23">
        <f t="shared" si="29"/>
        <v>3.4758969688715169E-3</v>
      </c>
      <c r="X216" s="24">
        <v>4.2699564654103961E-2</v>
      </c>
      <c r="Y216" s="24">
        <f t="shared" si="30"/>
        <v>4.1649674500089384E-2</v>
      </c>
      <c r="Z216" s="23">
        <f t="shared" si="31"/>
        <v>3.4067913891653312E-3</v>
      </c>
      <c r="AA216" s="36"/>
    </row>
    <row r="217" spans="15:27" ht="13.9" customHeight="1" x14ac:dyDescent="0.3">
      <c r="O217" s="12">
        <f t="shared" si="25"/>
        <v>17</v>
      </c>
      <c r="P217" s="13">
        <v>204</v>
      </c>
      <c r="Q217" s="22">
        <v>3.9207853864866582E-2</v>
      </c>
      <c r="R217" s="19">
        <f t="shared" si="26"/>
        <v>3.8106794645171416E-2</v>
      </c>
      <c r="S217" s="22">
        <v>3.9220199374042863E-2</v>
      </c>
      <c r="T217" s="19">
        <f t="shared" si="27"/>
        <v>3.8198113313660631E-2</v>
      </c>
      <c r="U217" s="24">
        <v>4.3563134933217507E-2</v>
      </c>
      <c r="V217" s="24">
        <f t="shared" si="28"/>
        <v>4.2504063424940508E-2</v>
      </c>
      <c r="W217" s="23">
        <f t="shared" si="29"/>
        <v>3.4754047768226215E-3</v>
      </c>
      <c r="X217" s="24">
        <v>4.2694415553708565E-2</v>
      </c>
      <c r="Y217" s="24">
        <f t="shared" si="30"/>
        <v>4.1641901890858479E-2</v>
      </c>
      <c r="Z217" s="23">
        <f t="shared" si="31"/>
        <v>3.4062616612389185E-3</v>
      </c>
      <c r="AA217" s="36"/>
    </row>
    <row r="218" spans="15:27" ht="13.9" customHeight="1" x14ac:dyDescent="0.3">
      <c r="O218" s="12">
        <f t="shared" si="25"/>
        <v>17.083333333333332</v>
      </c>
      <c r="P218" s="13">
        <v>205</v>
      </c>
      <c r="Q218" s="22">
        <v>3.9202480010819718E-2</v>
      </c>
      <c r="R218" s="19">
        <f t="shared" si="26"/>
        <v>3.8099984211600102E-2</v>
      </c>
      <c r="S218" s="22">
        <v>3.9215211146954143E-2</v>
      </c>
      <c r="T218" s="19">
        <f t="shared" si="27"/>
        <v>3.8186808567987285E-2</v>
      </c>
      <c r="U218" s="24">
        <v>4.3557966120275182E-2</v>
      </c>
      <c r="V218" s="24">
        <f t="shared" si="28"/>
        <v>4.2495642405843137E-2</v>
      </c>
      <c r="W218" s="23">
        <f t="shared" si="29"/>
        <v>3.4748209456243462E-3</v>
      </c>
      <c r="X218" s="24">
        <v>4.2689278760345672E-2</v>
      </c>
      <c r="Y218" s="24">
        <f t="shared" si="30"/>
        <v>4.1632955807596961E-2</v>
      </c>
      <c r="Z218" s="23">
        <f t="shared" si="31"/>
        <v>3.4056377221451939E-3</v>
      </c>
      <c r="AA218" s="36"/>
    </row>
    <row r="219" spans="15:27" ht="13.9" customHeight="1" x14ac:dyDescent="0.3">
      <c r="O219" s="12">
        <f t="shared" si="25"/>
        <v>17.166666666666668</v>
      </c>
      <c r="P219" s="13">
        <v>206</v>
      </c>
      <c r="Q219" s="22">
        <v>3.9197125262308896E-2</v>
      </c>
      <c r="R219" s="19">
        <f t="shared" si="26"/>
        <v>3.8092262800599519E-2</v>
      </c>
      <c r="S219" s="22">
        <v>3.9210216441645684E-2</v>
      </c>
      <c r="T219" s="19">
        <f t="shared" si="27"/>
        <v>3.8174185232678903E-2</v>
      </c>
      <c r="U219" s="24">
        <v>4.3552806595189564E-2</v>
      </c>
      <c r="V219" s="24">
        <f t="shared" si="28"/>
        <v>4.2486078692918205E-2</v>
      </c>
      <c r="W219" s="23">
        <f t="shared" si="29"/>
        <v>3.4741454636915137E-3</v>
      </c>
      <c r="X219" s="24">
        <v>4.268414839247292E-2</v>
      </c>
      <c r="Y219" s="24">
        <f t="shared" si="30"/>
        <v>4.1622836298075505E-2</v>
      </c>
      <c r="Z219" s="23">
        <f t="shared" si="31"/>
        <v>3.4049195782148711E-3</v>
      </c>
      <c r="AA219" s="36"/>
    </row>
    <row r="220" spans="15:27" ht="13.9" customHeight="1" x14ac:dyDescent="0.3">
      <c r="O220" s="12">
        <f t="shared" si="25"/>
        <v>17.25</v>
      </c>
      <c r="P220" s="13">
        <v>207</v>
      </c>
      <c r="Q220" s="22">
        <v>3.919178493681863E-2</v>
      </c>
      <c r="R220" s="19">
        <f t="shared" si="26"/>
        <v>3.8083629448248724E-2</v>
      </c>
      <c r="S220" s="22">
        <v>3.920520897552926E-2</v>
      </c>
      <c r="T220" s="19">
        <f t="shared" si="27"/>
        <v>3.8160244240173169E-2</v>
      </c>
      <c r="U220" s="24">
        <v>4.3547650697380869E-2</v>
      </c>
      <c r="V220" s="24">
        <f t="shared" si="28"/>
        <v>4.247537208079577E-2</v>
      </c>
      <c r="W220" s="23">
        <f t="shared" si="29"/>
        <v>3.4733783158800158E-3</v>
      </c>
      <c r="X220" s="24">
        <v>4.267901868239754E-2</v>
      </c>
      <c r="Y220" s="24">
        <f t="shared" si="30"/>
        <v>4.1611543357704894E-2</v>
      </c>
      <c r="Z220" s="23">
        <f t="shared" si="31"/>
        <v>3.4041072310571074E-3</v>
      </c>
      <c r="AA220" s="36"/>
    </row>
    <row r="221" spans="15:27" ht="13.9" customHeight="1" x14ac:dyDescent="0.3">
      <c r="O221" s="12">
        <f t="shared" si="25"/>
        <v>17.333333333333332</v>
      </c>
      <c r="P221" s="13">
        <v>208</v>
      </c>
      <c r="Q221" s="22">
        <v>3.9186454437235785E-2</v>
      </c>
      <c r="R221" s="19">
        <f t="shared" si="26"/>
        <v>3.807408313567584E-2</v>
      </c>
      <c r="S221" s="22">
        <v>3.9200182591214272E-2</v>
      </c>
      <c r="T221" s="19">
        <f t="shared" si="27"/>
        <v>3.8144986430591166E-2</v>
      </c>
      <c r="U221" s="24">
        <v>4.354249287409595E-2</v>
      </c>
      <c r="V221" s="24">
        <f t="shared" si="28"/>
        <v>4.2463522324643677E-2</v>
      </c>
      <c r="W221" s="23">
        <f t="shared" si="29"/>
        <v>3.4725194834033246E-3</v>
      </c>
      <c r="X221" s="24">
        <v>4.2673883973268545E-2</v>
      </c>
      <c r="Y221" s="24">
        <f t="shared" si="30"/>
        <v>4.1599076928667156E-2</v>
      </c>
      <c r="Z221" s="23">
        <f t="shared" si="31"/>
        <v>3.4032006777873214E-3</v>
      </c>
      <c r="AA221" s="36"/>
    </row>
    <row r="222" spans="15:27" ht="13.9" customHeight="1" x14ac:dyDescent="0.3">
      <c r="O222" s="12">
        <f t="shared" si="25"/>
        <v>17.416666666666668</v>
      </c>
      <c r="P222" s="13">
        <v>209</v>
      </c>
      <c r="Q222" s="22">
        <v>3.9181129249531432E-2</v>
      </c>
      <c r="R222" s="19">
        <f t="shared" si="26"/>
        <v>3.8063622788736318E-2</v>
      </c>
      <c r="S222" s="22">
        <v>3.9195131253047411E-2</v>
      </c>
      <c r="T222" s="19">
        <f t="shared" si="27"/>
        <v>3.8128412555407776E-2</v>
      </c>
      <c r="U222" s="24">
        <v>4.3537327677620974E-2</v>
      </c>
      <c r="V222" s="24">
        <f t="shared" si="28"/>
        <v>4.245052914070846E-2</v>
      </c>
      <c r="W222" s="23">
        <f t="shared" si="29"/>
        <v>3.4715689440325548E-3</v>
      </c>
      <c r="X222" s="24">
        <v>4.2668738716151067E-2</v>
      </c>
      <c r="Y222" s="24">
        <f t="shared" si="30"/>
        <v>4.1585436902685124E-2</v>
      </c>
      <c r="Z222" s="23">
        <f t="shared" si="31"/>
        <v>3.4021999109552503E-3</v>
      </c>
      <c r="AA222" s="36"/>
    </row>
    <row r="223" spans="15:27" ht="13.9" customHeight="1" x14ac:dyDescent="0.3">
      <c r="O223" s="12">
        <f t="shared" si="25"/>
        <v>17.5</v>
      </c>
      <c r="P223" s="13">
        <v>210</v>
      </c>
      <c r="Q223" s="22">
        <v>3.9175804940506431E-2</v>
      </c>
      <c r="R223" s="19">
        <f t="shared" si="26"/>
        <v>3.8052250580203006E-2</v>
      </c>
      <c r="S223" s="22">
        <v>3.9190049043769104E-2</v>
      </c>
      <c r="T223" s="19">
        <f t="shared" si="27"/>
        <v>3.8110523277364416E-2</v>
      </c>
      <c r="U223" s="24">
        <v>4.3532149762577799E-2</v>
      </c>
      <c r="V223" s="24">
        <f t="shared" si="28"/>
        <v>4.2436392206917084E-2</v>
      </c>
      <c r="W223" s="23">
        <f t="shared" si="29"/>
        <v>3.4705266721388739E-3</v>
      </c>
      <c r="X223" s="24">
        <v>4.2663577467197955E-2</v>
      </c>
      <c r="Y223" s="24">
        <f t="shared" si="30"/>
        <v>4.1570623121345518E-2</v>
      </c>
      <c r="Z223" s="23">
        <f t="shared" si="31"/>
        <v>3.4011049187674391E-3</v>
      </c>
      <c r="AA223" s="36"/>
    </row>
    <row r="224" spans="15:27" ht="13.9" customHeight="1" x14ac:dyDescent="0.3">
      <c r="O224" s="12">
        <f t="shared" si="25"/>
        <v>17.583333333333332</v>
      </c>
      <c r="P224" s="13">
        <v>211</v>
      </c>
      <c r="Q224" s="22">
        <v>3.9170477171270202E-2</v>
      </c>
      <c r="R224" s="19">
        <f t="shared" si="26"/>
        <v>3.8039978530842289E-2</v>
      </c>
      <c r="S224" s="22">
        <v>3.9184930161264786E-2</v>
      </c>
      <c r="T224" s="19">
        <f t="shared" si="27"/>
        <v>3.8091319172221194E-2</v>
      </c>
      <c r="U224" s="24">
        <v>4.3526953883299857E-2</v>
      </c>
      <c r="V224" s="24">
        <f t="shared" si="28"/>
        <v>4.242111116451297E-2</v>
      </c>
      <c r="W224" s="23">
        <f t="shared" si="29"/>
        <v>3.4693926387423524E-3</v>
      </c>
      <c r="X224" s="24">
        <v>4.2658394884903306E-2</v>
      </c>
      <c r="Y224" s="24">
        <f t="shared" si="30"/>
        <v>4.1554635377092586E-2</v>
      </c>
      <c r="Z224" s="23">
        <f t="shared" si="31"/>
        <v>3.3999156851136636E-3</v>
      </c>
      <c r="AA224" s="36"/>
    </row>
    <row r="225" spans="15:27" ht="13.9" customHeight="1" x14ac:dyDescent="0.3">
      <c r="O225" s="12">
        <f t="shared" si="25"/>
        <v>17.666666666666668</v>
      </c>
      <c r="P225" s="13">
        <v>212</v>
      </c>
      <c r="Q225" s="22">
        <v>3.9165141741507759E-2</v>
      </c>
      <c r="R225" s="19">
        <f t="shared" si="26"/>
        <v>3.8026808716484117E-2</v>
      </c>
      <c r="S225" s="22">
        <v>3.9179768915417412E-2</v>
      </c>
      <c r="T225" s="19">
        <f t="shared" si="27"/>
        <v>3.8070800731478727E-2</v>
      </c>
      <c r="U225" s="24">
        <v>4.3521734891289743E-2</v>
      </c>
      <c r="V225" s="24">
        <f t="shared" si="28"/>
        <v>4.2404685619691573E-2</v>
      </c>
      <c r="W225" s="23">
        <f t="shared" si="29"/>
        <v>3.4681668116414155E-3</v>
      </c>
      <c r="X225" s="24">
        <v>4.2653185727439258E-2</v>
      </c>
      <c r="Y225" s="24">
        <f t="shared" si="30"/>
        <v>4.1537473415087955E-2</v>
      </c>
      <c r="Z225" s="23">
        <f t="shared" si="31"/>
        <v>3.398632189645312E-3</v>
      </c>
      <c r="AA225" s="36"/>
    </row>
    <row r="226" spans="15:27" ht="13.9" customHeight="1" x14ac:dyDescent="0.3">
      <c r="O226" s="12">
        <f t="shared" si="25"/>
        <v>17.75</v>
      </c>
      <c r="P226" s="13">
        <v>213</v>
      </c>
      <c r="Q226" s="22">
        <v>3.91597945394766E-2</v>
      </c>
      <c r="R226" s="19">
        <f t="shared" si="26"/>
        <v>3.8012739861573941E-2</v>
      </c>
      <c r="S226" s="22">
        <v>3.9174559725060787E-2</v>
      </c>
      <c r="T226" s="19">
        <f t="shared" si="27"/>
        <v>3.8048968362158098E-2</v>
      </c>
      <c r="U226" s="24">
        <v>4.3516487732756959E-2</v>
      </c>
      <c r="V226" s="24">
        <f t="shared" si="28"/>
        <v>4.2387115142202836E-2</v>
      </c>
      <c r="W226" s="23">
        <f t="shared" si="29"/>
        <v>3.4668491555449599E-3</v>
      </c>
      <c r="X226" s="24">
        <v>4.2647944850076058E-2</v>
      </c>
      <c r="Y226" s="24">
        <f t="shared" si="30"/>
        <v>4.1519136932889111E-2</v>
      </c>
      <c r="Z226" s="23">
        <f t="shared" si="31"/>
        <v>3.3972544079248213E-3</v>
      </c>
      <c r="AA226" s="36"/>
    </row>
    <row r="227" spans="15:27" ht="13.9" customHeight="1" x14ac:dyDescent="0.3">
      <c r="O227" s="12">
        <f t="shared" si="25"/>
        <v>17.833333333333332</v>
      </c>
      <c r="P227" s="13">
        <v>214</v>
      </c>
      <c r="Q227" s="22">
        <v>3.9154431524249134E-2</v>
      </c>
      <c r="R227" s="19">
        <f t="shared" si="26"/>
        <v>3.7997770640345818E-2</v>
      </c>
      <c r="S227" s="22">
        <v>3.9169297115018598E-2</v>
      </c>
      <c r="T227" s="19">
        <f t="shared" si="27"/>
        <v>3.8025822389225583E-2</v>
      </c>
      <c r="U227" s="24">
        <v>4.3511207446218503E-2</v>
      </c>
      <c r="V227" s="24">
        <f t="shared" si="28"/>
        <v>4.2368399270061863E-2</v>
      </c>
      <c r="W227" s="23">
        <f t="shared" si="29"/>
        <v>3.4654396319580005E-3</v>
      </c>
      <c r="X227" s="24">
        <v>4.2642667202674067E-2</v>
      </c>
      <c r="Y227" s="24">
        <f t="shared" si="30"/>
        <v>4.1499625583964583E-2</v>
      </c>
      <c r="Z227" s="23">
        <f t="shared" si="31"/>
        <v>3.3957823113988095E-3</v>
      </c>
      <c r="AA227" s="36"/>
    </row>
    <row r="228" spans="15:27" ht="13.9" customHeight="1" x14ac:dyDescent="0.3">
      <c r="O228" s="12">
        <f t="shared" si="25"/>
        <v>17.916666666666668</v>
      </c>
      <c r="P228" s="13">
        <v>215</v>
      </c>
      <c r="Q228" s="22">
        <v>3.91490487238213E-2</v>
      </c>
      <c r="R228" s="19">
        <f t="shared" si="26"/>
        <v>3.7981899678140696E-2</v>
      </c>
      <c r="S228" s="22">
        <v>3.9163975713236487E-2</v>
      </c>
      <c r="T228" s="19">
        <f t="shared" si="27"/>
        <v>3.8001363057497128E-2</v>
      </c>
      <c r="U228" s="24">
        <v>4.3505889160187827E-2</v>
      </c>
      <c r="V228" s="24">
        <f t="shared" si="28"/>
        <v>4.234853750735712E-2</v>
      </c>
      <c r="W228" s="23">
        <f t="shared" si="29"/>
        <v>3.4639381995609231E-3</v>
      </c>
      <c r="X228" s="24">
        <v>4.2637347827261252E-2</v>
      </c>
      <c r="Y228" s="24">
        <f t="shared" si="30"/>
        <v>4.1478938975903157E-2</v>
      </c>
      <c r="Z228" s="23">
        <f t="shared" si="31"/>
        <v>3.3942158676800727E-3</v>
      </c>
      <c r="AA228" s="36"/>
    </row>
    <row r="229" spans="15:27" ht="13.9" customHeight="1" x14ac:dyDescent="0.3">
      <c r="O229" s="12">
        <f t="shared" si="25"/>
        <v>18</v>
      </c>
      <c r="P229" s="13">
        <v>216</v>
      </c>
      <c r="Q229" s="22">
        <v>3.9143642233280262E-2</v>
      </c>
      <c r="R229" s="19">
        <f t="shared" si="26"/>
        <v>3.7965128792427416E-2</v>
      </c>
      <c r="S229" s="22">
        <v>3.9158590248004055E-2</v>
      </c>
      <c r="T229" s="19">
        <f t="shared" si="27"/>
        <v>3.7975590532092873E-2</v>
      </c>
      <c r="U229" s="24">
        <v>4.3500528090918866E-2</v>
      </c>
      <c r="V229" s="24">
        <f t="shared" si="28"/>
        <v>4.232752932695738E-2</v>
      </c>
      <c r="W229" s="23">
        <f t="shared" si="29"/>
        <v>3.4623448140314039E-3</v>
      </c>
      <c r="X229" s="24">
        <v>4.2631981855671075E-2</v>
      </c>
      <c r="Y229" s="24">
        <f t="shared" si="30"/>
        <v>4.1457076673882209E-2</v>
      </c>
      <c r="Z229" s="23">
        <f t="shared" si="31"/>
        <v>3.3925550404036997E-3</v>
      </c>
      <c r="AA229" s="36"/>
    </row>
    <row r="230" spans="15:27" ht="13.9" customHeight="1" x14ac:dyDescent="0.3">
      <c r="O230" s="12">
        <f t="shared" si="25"/>
        <v>18.083333333333332</v>
      </c>
      <c r="P230" s="13">
        <v>217</v>
      </c>
      <c r="Q230" s="22">
        <v>3.9138208227975424E-2</v>
      </c>
      <c r="R230" s="19">
        <f t="shared" si="26"/>
        <v>3.7947469484512109E-2</v>
      </c>
      <c r="S230" s="22">
        <v>3.9153135545255235E-2</v>
      </c>
      <c r="T230" s="19">
        <f t="shared" si="27"/>
        <v>3.7948504899892876E-2</v>
      </c>
      <c r="U230" s="24">
        <v>4.3495119540224225E-2</v>
      </c>
      <c r="V230" s="24">
        <f t="shared" si="28"/>
        <v>4.2305374171090815E-2</v>
      </c>
      <c r="W230" s="23">
        <f t="shared" si="29"/>
        <v>3.460659428262014E-3</v>
      </c>
      <c r="X230" s="24">
        <v>4.2626564507260545E-2</v>
      </c>
      <c r="Y230" s="24">
        <f t="shared" si="30"/>
        <v>4.1434038200575563E-2</v>
      </c>
      <c r="Z230" s="23">
        <f t="shared" si="31"/>
        <v>3.3907997895037401E-3</v>
      </c>
      <c r="AA230" s="36"/>
    </row>
    <row r="231" spans="15:27" ht="13.9" customHeight="1" x14ac:dyDescent="0.3">
      <c r="O231" s="12">
        <f t="shared" si="25"/>
        <v>18.166666666666668</v>
      </c>
      <c r="P231" s="13">
        <v>218</v>
      </c>
      <c r="Q231" s="22">
        <v>3.913274300613967E-2</v>
      </c>
      <c r="R231" s="19">
        <f t="shared" si="26"/>
        <v>3.7928923483696808E-2</v>
      </c>
      <c r="S231" s="22">
        <v>3.9147606525950396E-2</v>
      </c>
      <c r="T231" s="19">
        <f t="shared" si="27"/>
        <v>3.7920106172752321E-2</v>
      </c>
      <c r="U231" s="24">
        <v>4.3489658893357541E-2</v>
      </c>
      <c r="V231" s="24">
        <f t="shared" si="28"/>
        <v>4.2282071451980041E-2</v>
      </c>
      <c r="W231" s="23">
        <f t="shared" si="29"/>
        <v>3.4588819924050718E-3</v>
      </c>
      <c r="X231" s="24">
        <v>4.2621091086692431E-2</v>
      </c>
      <c r="Y231" s="24">
        <f t="shared" si="30"/>
        <v>4.140982303715357E-2</v>
      </c>
      <c r="Z231" s="23">
        <f t="shared" si="31"/>
        <v>3.3889500712054321E-3</v>
      </c>
      <c r="AA231" s="36"/>
    </row>
    <row r="232" spans="15:27" ht="13.9" customHeight="1" x14ac:dyDescent="0.3">
      <c r="O232" s="12">
        <f t="shared" si="25"/>
        <v>18.25</v>
      </c>
      <c r="P232" s="13">
        <v>219</v>
      </c>
      <c r="Q232" s="22">
        <v>3.9127242941404239E-2</v>
      </c>
      <c r="R232" s="19">
        <f t="shared" si="26"/>
        <v>3.7909489230266935E-2</v>
      </c>
      <c r="S232" s="22">
        <v>3.9141998203544359E-2</v>
      </c>
      <c r="T232" s="19">
        <f t="shared" si="27"/>
        <v>3.7890394286622442E-2</v>
      </c>
      <c r="U232" s="24">
        <v>4.348414161695513E-2</v>
      </c>
      <c r="V232" s="24">
        <f t="shared" si="28"/>
        <v>4.2257620554759567E-2</v>
      </c>
      <c r="W232" s="23">
        <f t="shared" si="29"/>
        <v>3.4570124539237135E-3</v>
      </c>
      <c r="X232" s="24">
        <v>4.2615556981781433E-2</v>
      </c>
      <c r="Y232" s="24">
        <f t="shared" si="30"/>
        <v>4.1384430625565072E-2</v>
      </c>
      <c r="Z232" s="23">
        <f t="shared" si="31"/>
        <v>3.3870058381053614E-3</v>
      </c>
      <c r="AA232" s="36"/>
    </row>
    <row r="233" spans="15:27" ht="13.9" customHeight="1" x14ac:dyDescent="0.3">
      <c r="O233" s="12">
        <f t="shared" si="25"/>
        <v>18.333333333333332</v>
      </c>
      <c r="P233" s="13">
        <v>220</v>
      </c>
      <c r="Q233" s="22">
        <v>3.9121704466108742E-2</v>
      </c>
      <c r="R233" s="19">
        <f t="shared" si="26"/>
        <v>3.788916511802265E-2</v>
      </c>
      <c r="S233" s="22">
        <v>3.91363056815206E-2</v>
      </c>
      <c r="T233" s="19">
        <f t="shared" si="27"/>
        <v>3.7859369104925822E-2</v>
      </c>
      <c r="U233" s="24">
        <v>4.3478563257048908E-2</v>
      </c>
      <c r="V233" s="24">
        <f t="shared" si="28"/>
        <v>4.2232020836135531E-2</v>
      </c>
      <c r="W233" s="23">
        <f t="shared" si="29"/>
        <v>3.4550507578245959E-3</v>
      </c>
      <c r="X233" s="24">
        <v>4.2609957661410514E-2</v>
      </c>
      <c r="Y233" s="24">
        <f t="shared" si="30"/>
        <v>4.1357860368229193E-2</v>
      </c>
      <c r="Z233" s="23">
        <f t="shared" si="31"/>
        <v>3.3849670393533149E-3</v>
      </c>
      <c r="AA233" s="36"/>
    </row>
    <row r="234" spans="15:27" ht="13.9" customHeight="1" x14ac:dyDescent="0.3">
      <c r="O234" s="12">
        <f t="shared" si="25"/>
        <v>18.416666666666668</v>
      </c>
      <c r="P234" s="13">
        <v>221</v>
      </c>
      <c r="Q234" s="22">
        <v>3.9116124069753289E-2</v>
      </c>
      <c r="R234" s="19">
        <f t="shared" si="26"/>
        <v>3.786794949525274E-2</v>
      </c>
      <c r="S234" s="22">
        <v>3.9130524151007151E-2</v>
      </c>
      <c r="T234" s="19">
        <f t="shared" si="27"/>
        <v>3.7827030418181584E-2</v>
      </c>
      <c r="U234" s="24">
        <v>4.3472919437126389E-2</v>
      </c>
      <c r="V234" s="24">
        <f t="shared" si="28"/>
        <v>4.2205271626187368E-2</v>
      </c>
      <c r="W234" s="23">
        <f t="shared" si="29"/>
        <v>3.4529968465495386E-3</v>
      </c>
      <c r="X234" s="24">
        <v>4.2604288673502744E-2</v>
      </c>
      <c r="Y234" s="24">
        <f t="shared" si="30"/>
        <v>4.1330111630298205E-2</v>
      </c>
      <c r="Z234" s="23">
        <f t="shared" si="31"/>
        <v>3.3828336206265242E-3</v>
      </c>
      <c r="AA234" s="36"/>
    </row>
    <row r="235" spans="15:27" ht="13.9" customHeight="1" x14ac:dyDescent="0.3">
      <c r="O235" s="12">
        <f t="shared" si="25"/>
        <v>18.5</v>
      </c>
      <c r="P235" s="13">
        <v>222</v>
      </c>
      <c r="Q235" s="22">
        <v>3.911049829749591E-2</v>
      </c>
      <c r="R235" s="19">
        <f t="shared" si="26"/>
        <v>3.78458438526732E-2</v>
      </c>
      <c r="S235" s="22">
        <v>3.9124648888455793E-2</v>
      </c>
      <c r="T235" s="19">
        <f t="shared" si="27"/>
        <v>3.7793377947646478E-2</v>
      </c>
      <c r="U235" s="24">
        <v>4.3467205856251745E-2</v>
      </c>
      <c r="V235" s="24">
        <f t="shared" si="28"/>
        <v>4.2177372229903476E-2</v>
      </c>
      <c r="W235" s="23">
        <f t="shared" si="29"/>
        <v>3.450850660119853E-3</v>
      </c>
      <c r="X235" s="24">
        <v>4.2598545643057317E-2</v>
      </c>
      <c r="Y235" s="24">
        <f t="shared" si="30"/>
        <v>4.1301183739574254E-2</v>
      </c>
      <c r="Z235" s="23">
        <f t="shared" si="31"/>
        <v>3.3806055243108535E-3</v>
      </c>
      <c r="AA235" s="36"/>
    </row>
    <row r="236" spans="15:27" ht="13.9" customHeight="1" x14ac:dyDescent="0.3">
      <c r="O236" s="12">
        <f t="shared" si="25"/>
        <v>18.583333333333332</v>
      </c>
      <c r="P236" s="13">
        <v>223</v>
      </c>
      <c r="Q236" s="22">
        <v>3.9104823763004948E-2</v>
      </c>
      <c r="R236" s="19">
        <f t="shared" si="26"/>
        <v>3.78228591994203E-2</v>
      </c>
      <c r="S236" s="22">
        <v>3.911867525340007E-2</v>
      </c>
      <c r="T236" s="19">
        <f t="shared" si="27"/>
        <v>3.7758411344931186E-2</v>
      </c>
      <c r="U236" s="24">
        <v>4.3461418287244147E-2</v>
      </c>
      <c r="V236" s="24">
        <f t="shared" si="28"/>
        <v>4.2148321929409427E-2</v>
      </c>
      <c r="W236" s="23">
        <f t="shared" si="29"/>
        <v>3.4486121362582445E-3</v>
      </c>
      <c r="X236" s="24">
        <v>4.2592724270239302E-2</v>
      </c>
      <c r="Y236" s="24">
        <f t="shared" si="30"/>
        <v>4.1271075989161243E-2</v>
      </c>
      <c r="Z236" s="23">
        <f t="shared" si="31"/>
        <v>3.3782826894930285E-3</v>
      </c>
      <c r="AA236" s="36"/>
    </row>
    <row r="237" spans="15:27" ht="13.9" customHeight="1" x14ac:dyDescent="0.3">
      <c r="O237" s="12">
        <f t="shared" si="25"/>
        <v>18.666666666666668</v>
      </c>
      <c r="P237" s="13">
        <v>224</v>
      </c>
      <c r="Q237" s="22">
        <v>3.9099097189466248E-2</v>
      </c>
      <c r="R237" s="19">
        <f t="shared" si="26"/>
        <v>3.7798996944091501E-2</v>
      </c>
      <c r="S237" s="22">
        <v>3.9112598686271705E-2</v>
      </c>
      <c r="T237" s="19">
        <f t="shared" si="27"/>
        <v>3.7722130194042913E-2</v>
      </c>
      <c r="U237" s="24">
        <v>4.3455552574915401E-2</v>
      </c>
      <c r="V237" s="24">
        <f t="shared" si="28"/>
        <v>4.2118119981118252E-2</v>
      </c>
      <c r="W237" s="23">
        <f t="shared" si="29"/>
        <v>3.4462812105671148E-3</v>
      </c>
      <c r="X237" s="24">
        <v>4.2586820328531561E-2</v>
      </c>
      <c r="Y237" s="24">
        <f t="shared" si="30"/>
        <v>4.1239787637376679E-2</v>
      </c>
      <c r="Z237" s="23">
        <f t="shared" si="31"/>
        <v>3.3758650521720224E-3</v>
      </c>
      <c r="AA237" s="36"/>
    </row>
    <row r="238" spans="15:27" ht="13.9" customHeight="1" x14ac:dyDescent="0.3">
      <c r="O238" s="12">
        <f t="shared" si="25"/>
        <v>18.75</v>
      </c>
      <c r="P238" s="13">
        <v>225</v>
      </c>
      <c r="Q238" s="22">
        <v>3.9093315364421954E-2</v>
      </c>
      <c r="R238" s="19">
        <f t="shared" si="26"/>
        <v>3.7774255267602364E-2</v>
      </c>
      <c r="S238" s="22">
        <v>3.9106414706284953E-2</v>
      </c>
      <c r="T238" s="19">
        <f t="shared" si="27"/>
        <v>3.7684534013175064E-2</v>
      </c>
      <c r="U238" s="24">
        <v>4.3449604634341554E-2</v>
      </c>
      <c r="V238" s="24">
        <f t="shared" si="28"/>
        <v>4.2086765621584421E-2</v>
      </c>
      <c r="W238" s="23">
        <f t="shared" si="29"/>
        <v>3.4438578162978573E-3</v>
      </c>
      <c r="X238" s="24">
        <v>4.2580829662936859E-2</v>
      </c>
      <c r="Y238" s="24">
        <f t="shared" si="30"/>
        <v>4.1207317908988905E-2</v>
      </c>
      <c r="Z238" s="23">
        <f t="shared" si="31"/>
        <v>3.3733525452519508E-3</v>
      </c>
      <c r="AA238" s="36"/>
    </row>
    <row r="239" spans="15:27" ht="13.9" customHeight="1" x14ac:dyDescent="0.3">
      <c r="O239" s="12">
        <f t="shared" si="25"/>
        <v>18.833333333333332</v>
      </c>
      <c r="P239" s="13">
        <v>226</v>
      </c>
      <c r="Q239" s="22">
        <v>3.9087475124039317E-2</v>
      </c>
      <c r="R239" s="19">
        <f t="shared" si="26"/>
        <v>3.7748632307577301E-2</v>
      </c>
      <c r="S239" s="22">
        <v>3.9100118909384252E-2</v>
      </c>
      <c r="T239" s="19">
        <f t="shared" si="27"/>
        <v>3.7645622256362588E-2</v>
      </c>
      <c r="U239" s="24">
        <v>4.3443570449206881E-2</v>
      </c>
      <c r="V239" s="24">
        <f t="shared" si="28"/>
        <v>4.2054258065384875E-2</v>
      </c>
      <c r="W239" s="23">
        <f t="shared" si="29"/>
        <v>3.4413418848213695E-3</v>
      </c>
      <c r="X239" s="24">
        <v>4.2574748188231704E-2</v>
      </c>
      <c r="Y239" s="24">
        <f t="shared" si="30"/>
        <v>4.1173665996875997E-2</v>
      </c>
      <c r="Z239" s="23">
        <f t="shared" si="31"/>
        <v>3.3707450986399934E-3</v>
      </c>
      <c r="AA239" s="36"/>
    </row>
    <row r="240" spans="15:27" ht="13.9" customHeight="1" x14ac:dyDescent="0.3">
      <c r="O240" s="12">
        <f t="shared" si="25"/>
        <v>18.916666666666668</v>
      </c>
      <c r="P240" s="13">
        <v>227</v>
      </c>
      <c r="Q240" s="22">
        <v>3.9081573351840371E-2</v>
      </c>
      <c r="R240" s="19">
        <f t="shared" si="26"/>
        <v>3.7722126160324221E-2</v>
      </c>
      <c r="S240" s="22">
        <v>3.9093706966254471E-2</v>
      </c>
      <c r="T240" s="19">
        <f t="shared" si="27"/>
        <v>3.760539431371801E-2</v>
      </c>
      <c r="U240" s="24">
        <v>4.3437446070182073E-2</v>
      </c>
      <c r="V240" s="24">
        <f t="shared" si="28"/>
        <v>4.2020596506798791E-2</v>
      </c>
      <c r="W240" s="23">
        <f t="shared" si="29"/>
        <v>3.4387333454561908E-3</v>
      </c>
      <c r="X240" s="24">
        <v>4.2568571887275253E-2</v>
      </c>
      <c r="Y240" s="24">
        <f t="shared" si="30"/>
        <v>4.1138831063070036E-2</v>
      </c>
      <c r="Z240" s="23">
        <f t="shared" si="31"/>
        <v>3.368042639378066E-3</v>
      </c>
      <c r="AA240" s="36"/>
    </row>
    <row r="241" spans="15:27" ht="13.9" customHeight="1" x14ac:dyDescent="0.3">
      <c r="O241" s="12">
        <f t="shared" si="25"/>
        <v>19</v>
      </c>
      <c r="P241" s="13">
        <v>228</v>
      </c>
      <c r="Q241" s="22">
        <v>3.9075606977472921E-2</v>
      </c>
      <c r="R241" s="19">
        <f t="shared" si="26"/>
        <v>3.7694738014282025E-2</v>
      </c>
      <c r="S241" s="22">
        <v>3.9087174620384468E-2</v>
      </c>
      <c r="T241" s="19">
        <f t="shared" si="27"/>
        <v>3.7563849514303582E-2</v>
      </c>
      <c r="U241" s="24">
        <v>4.3431227613352608E-2</v>
      </c>
      <c r="V241" s="24">
        <f t="shared" si="28"/>
        <v>4.1985780121969407E-2</v>
      </c>
      <c r="W241" s="23">
        <f t="shared" si="29"/>
        <v>3.436032125601951E-3</v>
      </c>
      <c r="X241" s="24">
        <v>4.2562296809366629E-2</v>
      </c>
      <c r="Y241" s="24">
        <f t="shared" si="30"/>
        <v>4.1102812239457887E-2</v>
      </c>
      <c r="Z241" s="23">
        <f t="shared" si="31"/>
        <v>3.3652450917256438E-3</v>
      </c>
      <c r="AA241" s="36"/>
    </row>
    <row r="242" spans="15:27" ht="13.9" customHeight="1" x14ac:dyDescent="0.3">
      <c r="O242" s="12">
        <f t="shared" si="25"/>
        <v>19.083333333333332</v>
      </c>
      <c r="P242" s="13">
        <v>229</v>
      </c>
      <c r="Q242" s="22">
        <v>3.9069572989216539E-2</v>
      </c>
      <c r="R242" s="19">
        <f t="shared" si="26"/>
        <v>3.7666478412982318E-2</v>
      </c>
      <c r="S242" s="22">
        <v>3.908051768619325E-2</v>
      </c>
      <c r="T242" s="19">
        <f t="shared" si="27"/>
        <v>3.7520987126114402E-2</v>
      </c>
      <c r="U242" s="24">
        <v>4.3424911258698407E-2</v>
      </c>
      <c r="V242" s="24">
        <f t="shared" si="28"/>
        <v>4.1949808068541872E-2</v>
      </c>
      <c r="W242" s="23">
        <f t="shared" si="29"/>
        <v>3.4332381509127874E-3</v>
      </c>
      <c r="X242" s="24">
        <v>4.255591906864864E-2</v>
      </c>
      <c r="Y242" s="24">
        <f t="shared" si="30"/>
        <v>4.106560862899844E-2</v>
      </c>
      <c r="Z242" s="23">
        <f t="shared" si="31"/>
        <v>3.362352377215716E-3</v>
      </c>
      <c r="AA242" s="36"/>
    </row>
    <row r="243" spans="15:27" ht="13.9" customHeight="1" x14ac:dyDescent="0.3">
      <c r="O243" s="12">
        <f t="shared" si="25"/>
        <v>19.166666666666668</v>
      </c>
      <c r="P243" s="13">
        <v>230</v>
      </c>
      <c r="Q243" s="22">
        <v>3.9063468473429008E-2</v>
      </c>
      <c r="R243" s="19">
        <f t="shared" si="26"/>
        <v>3.7637348470188625E-2</v>
      </c>
      <c r="S243" s="22">
        <v>3.90737320472061E-2</v>
      </c>
      <c r="T243" s="19">
        <f t="shared" si="27"/>
        <v>3.7476806359411086E-2</v>
      </c>
      <c r="U243" s="24">
        <v>4.3418493248610357E-2</v>
      </c>
      <c r="V243" s="24">
        <f t="shared" si="28"/>
        <v>4.1912679487729365E-2</v>
      </c>
      <c r="W243" s="23">
        <f t="shared" si="29"/>
        <v>3.4303513452664802E-3</v>
      </c>
      <c r="X243" s="24">
        <v>4.2549434842558354E-2</v>
      </c>
      <c r="Y243" s="24">
        <f t="shared" si="30"/>
        <v>4.1027219307059104E-2</v>
      </c>
      <c r="Z243" s="23">
        <f t="shared" si="31"/>
        <v>3.3593644147502655E-3</v>
      </c>
      <c r="AA243" s="36"/>
    </row>
    <row r="244" spans="15:27" ht="13.9" customHeight="1" x14ac:dyDescent="0.3">
      <c r="O244" s="12">
        <f t="shared" si="25"/>
        <v>19.25</v>
      </c>
      <c r="P244" s="13">
        <v>231</v>
      </c>
      <c r="Q244" s="22">
        <v>3.9057290571542946E-2</v>
      </c>
      <c r="R244" s="19">
        <f t="shared" si="26"/>
        <v>3.7607346128835095E-2</v>
      </c>
      <c r="S244" s="22">
        <v>3.906681365429221E-2</v>
      </c>
      <c r="T244" s="19">
        <f t="shared" si="27"/>
        <v>3.7431306367018191E-2</v>
      </c>
      <c r="U244" s="24">
        <v>4.3411969886456347E-2</v>
      </c>
      <c r="V244" s="24">
        <f t="shared" si="28"/>
        <v>4.1874393505685559E-2</v>
      </c>
      <c r="W244" s="23">
        <f t="shared" si="29"/>
        <v>3.4273716309298763E-3</v>
      </c>
      <c r="X244" s="24">
        <v>4.2542840370324075E-2</v>
      </c>
      <c r="Y244" s="24">
        <f t="shared" si="30"/>
        <v>4.0987643323292522E-2</v>
      </c>
      <c r="Z244" s="23">
        <f t="shared" si="31"/>
        <v>3.356281120707072E-3</v>
      </c>
      <c r="AA244" s="36"/>
    </row>
    <row r="245" spans="15:27" ht="13.9" customHeight="1" x14ac:dyDescent="0.3">
      <c r="O245" s="12">
        <f t="shared" si="25"/>
        <v>19.333333333333332</v>
      </c>
      <c r="P245" s="13">
        <v>232</v>
      </c>
      <c r="Q245" s="22">
        <v>3.9051036465185041E-2</v>
      </c>
      <c r="R245" s="19">
        <f t="shared" si="26"/>
        <v>3.7576469295179438E-2</v>
      </c>
      <c r="S245" s="22">
        <v>3.905975852394894E-2</v>
      </c>
      <c r="T245" s="19">
        <f t="shared" si="27"/>
        <v>3.738448624479096E-2</v>
      </c>
      <c r="U245" s="24">
        <v>4.340533753518816E-2</v>
      </c>
      <c r="V245" s="24">
        <f t="shared" si="28"/>
        <v>4.1834949232201657E-2</v>
      </c>
      <c r="W245" s="23">
        <f t="shared" si="29"/>
        <v>3.4242989286679126E-3</v>
      </c>
      <c r="X245" s="24">
        <v>4.2536131951509182E-2</v>
      </c>
      <c r="Y245" s="24">
        <f t="shared" si="30"/>
        <v>4.0946879700345606E-2</v>
      </c>
      <c r="Z245" s="23">
        <f t="shared" si="31"/>
        <v>3.3531024090889261E-3</v>
      </c>
      <c r="AA245" s="36"/>
    </row>
    <row r="246" spans="15:27" ht="13.9" customHeight="1" x14ac:dyDescent="0.3">
      <c r="O246" s="12">
        <f t="shared" si="25"/>
        <v>19.416666666666668</v>
      </c>
      <c r="P246" s="13">
        <v>233</v>
      </c>
      <c r="Q246" s="22">
        <v>3.9044703375148648E-2</v>
      </c>
      <c r="R246" s="19">
        <f t="shared" si="26"/>
        <v>3.7544715837551257E-2</v>
      </c>
      <c r="S246" s="22">
        <v>3.9052562736632712E-2</v>
      </c>
      <c r="T246" s="19">
        <f t="shared" si="27"/>
        <v>3.7336345035527296E-2</v>
      </c>
      <c r="U246" s="24">
        <v>4.339859261598078E-2</v>
      </c>
      <c r="V246" s="24">
        <f t="shared" si="28"/>
        <v>4.1794345765642893E-2</v>
      </c>
      <c r="W246" s="23">
        <f t="shared" si="29"/>
        <v>3.4211331576377013E-3</v>
      </c>
      <c r="X246" s="24">
        <v>4.2529305944587925E-2</v>
      </c>
      <c r="Y246" s="24">
        <f t="shared" si="30"/>
        <v>4.0904927438727201E-2</v>
      </c>
      <c r="Z246" s="23">
        <f t="shared" si="31"/>
        <v>3.3498281914188244E-3</v>
      </c>
      <c r="AA246" s="36"/>
    </row>
    <row r="247" spans="15:27" ht="13.9" customHeight="1" x14ac:dyDescent="0.3">
      <c r="O247" s="12">
        <f t="shared" si="25"/>
        <v>19.5</v>
      </c>
      <c r="P247" s="13">
        <v>234</v>
      </c>
      <c r="Q247" s="22">
        <v>3.9038288560386158E-2</v>
      </c>
      <c r="R247" s="19">
        <f t="shared" si="26"/>
        <v>3.7512086664526878E-2</v>
      </c>
      <c r="S247" s="22">
        <v>3.9045222435149185E-2</v>
      </c>
      <c r="T247" s="19">
        <f t="shared" si="27"/>
        <v>3.7286881728289201E-2</v>
      </c>
      <c r="U247" s="24">
        <v>4.3391731606926554E-2</v>
      </c>
      <c r="V247" s="24">
        <f t="shared" si="28"/>
        <v>4.1752582190101473E-2</v>
      </c>
      <c r="W247" s="23">
        <f t="shared" si="29"/>
        <v>3.4178742357837688E-3</v>
      </c>
      <c r="X247" s="24">
        <v>4.2522358765578971E-2</v>
      </c>
      <c r="Y247" s="24">
        <f t="shared" si="30"/>
        <v>4.0861785513786275E-2</v>
      </c>
      <c r="Z247" s="23">
        <f t="shared" si="31"/>
        <v>3.3464583771294354E-3</v>
      </c>
      <c r="AA247" s="36"/>
    </row>
    <row r="248" spans="15:27" ht="13.9" customHeight="1" x14ac:dyDescent="0.3">
      <c r="O248" s="12">
        <f t="shared" si="25"/>
        <v>19.583333333333332</v>
      </c>
      <c r="P248" s="13">
        <v>235</v>
      </c>
      <c r="Q248" s="22">
        <v>3.9031789330145727E-2</v>
      </c>
      <c r="R248" s="19">
        <f t="shared" si="26"/>
        <v>3.7478591880169221E-2</v>
      </c>
      <c r="S248" s="22">
        <v>3.903773382308251E-2</v>
      </c>
      <c r="T248" s="19">
        <f t="shared" si="27"/>
        <v>3.723609526159577E-2</v>
      </c>
      <c r="U248" s="24">
        <v>4.3384751041750658E-2</v>
      </c>
      <c r="V248" s="24">
        <f t="shared" si="28"/>
        <v>4.1709657580726534E-2</v>
      </c>
      <c r="W248" s="23">
        <f t="shared" si="29"/>
        <v>3.4145220796093501E-3</v>
      </c>
      <c r="X248" s="24">
        <v>4.2515286886700476E-2</v>
      </c>
      <c r="Y248" s="24">
        <f t="shared" si="30"/>
        <v>4.0817452880810956E-2</v>
      </c>
      <c r="Z248" s="23">
        <f t="shared" si="31"/>
        <v>3.3429928733197389E-3</v>
      </c>
      <c r="AA248" s="36"/>
    </row>
    <row r="249" spans="15:27" ht="13.9" customHeight="1" x14ac:dyDescent="0.3">
      <c r="O249" s="12">
        <f t="shared" si="25"/>
        <v>19.666666666666668</v>
      </c>
      <c r="P249" s="13">
        <v>236</v>
      </c>
      <c r="Q249" s="22">
        <v>3.9025203081921367E-2</v>
      </c>
      <c r="R249" s="19">
        <f t="shared" si="26"/>
        <v>3.7444232326239169E-2</v>
      </c>
      <c r="S249" s="22">
        <v>3.9030093163276547E-2</v>
      </c>
      <c r="T249" s="19">
        <f t="shared" si="27"/>
        <v>3.7183984522660696E-2</v>
      </c>
      <c r="U249" s="24">
        <v>4.3377647508582529E-2</v>
      </c>
      <c r="V249" s="24">
        <f t="shared" si="28"/>
        <v>4.1665570999639412E-2</v>
      </c>
      <c r="W249" s="23">
        <f t="shared" si="29"/>
        <v>3.4110766046016039E-3</v>
      </c>
      <c r="X249" s="24">
        <v>4.250808683508156E-2</v>
      </c>
      <c r="Y249" s="24">
        <f t="shared" si="30"/>
        <v>4.0771928472933761E-2</v>
      </c>
      <c r="Z249" s="23">
        <f t="shared" si="31"/>
        <v>3.3394315851620338E-3</v>
      </c>
      <c r="AA249" s="36"/>
    </row>
    <row r="250" spans="15:27" ht="13.9" customHeight="1" x14ac:dyDescent="0.3">
      <c r="O250" s="12">
        <f t="shared" si="25"/>
        <v>19.75</v>
      </c>
      <c r="P250" s="13">
        <v>237</v>
      </c>
      <c r="Q250" s="22">
        <v>3.90185272604473E-2</v>
      </c>
      <c r="R250" s="19">
        <f t="shared" si="26"/>
        <v>3.7409005731912304E-2</v>
      </c>
      <c r="S250" s="22">
        <v>3.9022296776352938E-2</v>
      </c>
      <c r="T250" s="19">
        <f t="shared" si="27"/>
        <v>3.7130548351316017E-2</v>
      </c>
      <c r="U250" s="24">
        <v>4.3370417648740833E-2</v>
      </c>
      <c r="V250" s="24">
        <f t="shared" si="28"/>
        <v>4.1620321501822266E-2</v>
      </c>
      <c r="W250" s="23">
        <f t="shared" si="29"/>
        <v>3.4075377249043193E-3</v>
      </c>
      <c r="X250" s="24">
        <v>4.2500755191497541E-2</v>
      </c>
      <c r="Y250" s="24">
        <f t="shared" si="30"/>
        <v>4.0725211204077238E-2</v>
      </c>
      <c r="Z250" s="23">
        <f t="shared" si="31"/>
        <v>3.3357744157340719E-3</v>
      </c>
      <c r="AA250" s="36"/>
    </row>
    <row r="251" spans="15:27" ht="13.9" customHeight="1" x14ac:dyDescent="0.3">
      <c r="O251" s="12">
        <f t="shared" si="25"/>
        <v>19.833333333333332</v>
      </c>
      <c r="P251" s="13">
        <v>238</v>
      </c>
      <c r="Q251" s="22">
        <v>3.9011759343602126E-2</v>
      </c>
      <c r="R251" s="19">
        <f t="shared" si="26"/>
        <v>3.7372909793690789E-2</v>
      </c>
      <c r="S251" s="22">
        <v>3.9014341039282474E-2</v>
      </c>
      <c r="T251" s="19">
        <f t="shared" si="27"/>
        <v>3.7075785539931072E-2</v>
      </c>
      <c r="U251" s="24">
        <v>4.3363058155573952E-2</v>
      </c>
      <c r="V251" s="24">
        <f t="shared" si="28"/>
        <v>4.1573908133389459E-2</v>
      </c>
      <c r="W251" s="23">
        <f t="shared" si="29"/>
        <v>3.4039053537882058E-3</v>
      </c>
      <c r="X251" s="24">
        <v>4.2493288589148914E-2</v>
      </c>
      <c r="Y251" s="24">
        <f t="shared" si="30"/>
        <v>4.067729997059466E-2</v>
      </c>
      <c r="Z251" s="23">
        <f t="shared" si="31"/>
        <v>3.3320212662522053E-3</v>
      </c>
      <c r="AA251" s="36"/>
    </row>
    <row r="252" spans="15:27" ht="13.9" customHeight="1" x14ac:dyDescent="0.3">
      <c r="O252" s="12">
        <f t="shared" si="25"/>
        <v>19.916666666666668</v>
      </c>
      <c r="P252" s="13">
        <v>239</v>
      </c>
      <c r="Q252" s="22">
        <v>3.9004896841569714E-2</v>
      </c>
      <c r="R252" s="19">
        <f t="shared" si="26"/>
        <v>3.7335942173882364E-2</v>
      </c>
      <c r="S252" s="22">
        <v>3.9006222383991318E-2</v>
      </c>
      <c r="T252" s="19">
        <f t="shared" si="27"/>
        <v>3.7019694835316974E-2</v>
      </c>
      <c r="U252" s="24">
        <v>4.3355565773322002E-2</v>
      </c>
      <c r="V252" s="24">
        <f t="shared" si="28"/>
        <v>4.1526329934098216E-2</v>
      </c>
      <c r="W252" s="23">
        <f t="shared" si="29"/>
        <v>3.4001794035125599E-3</v>
      </c>
      <c r="X252" s="24">
        <v>4.2485683712478739E-2</v>
      </c>
      <c r="Y252" s="24">
        <f t="shared" si="30"/>
        <v>4.0628193650189548E-2</v>
      </c>
      <c r="Z252" s="23">
        <f t="shared" si="31"/>
        <v>3.3281720362041689E-3</v>
      </c>
      <c r="AA252" s="36"/>
    </row>
    <row r="253" spans="15:27" ht="13.9" customHeight="1" x14ac:dyDescent="0.3">
      <c r="O253" s="12">
        <f t="shared" si="25"/>
        <v>20</v>
      </c>
      <c r="P253" s="13">
        <v>240</v>
      </c>
      <c r="Q253" s="22">
        <v>3.8997937296017193E-2</v>
      </c>
      <c r="R253" s="19">
        <f t="shared" si="26"/>
        <v>3.7298267736103341E-2</v>
      </c>
      <c r="S253" s="22">
        <v>3.8997937296011642E-2</v>
      </c>
      <c r="T253" s="19">
        <f t="shared" si="27"/>
        <v>3.6963051737876507E-2</v>
      </c>
      <c r="U253" s="24">
        <v>4.3347937296018824E-2</v>
      </c>
      <c r="V253" s="24">
        <f t="shared" si="28"/>
        <v>4.1478080593700506E-2</v>
      </c>
      <c r="W253" s="23">
        <f t="shared" si="29"/>
        <v>3.3963597855239946E-3</v>
      </c>
      <c r="X253" s="24">
        <v>4.2477937296014678E-2</v>
      </c>
      <c r="Y253" s="24">
        <f t="shared" si="30"/>
        <v>4.0578436430963372E-2</v>
      </c>
      <c r="Z253" s="23">
        <f t="shared" si="31"/>
        <v>3.3242266232589301E-3</v>
      </c>
      <c r="AA253" s="36"/>
    </row>
    <row r="254" spans="15:27" ht="13.9" customHeight="1" x14ac:dyDescent="0.3">
      <c r="O254" s="12">
        <f t="shared" si="25"/>
        <v>20.083333333333332</v>
      </c>
      <c r="P254" s="13">
        <v>241</v>
      </c>
      <c r="Q254" s="22">
        <v>3.8990878974347387E-2</v>
      </c>
      <c r="R254" s="19">
        <f t="shared" si="26"/>
        <v>3.7260553058236834E-2</v>
      </c>
      <c r="S254" s="22">
        <v>3.89894855426971E-2</v>
      </c>
      <c r="T254" s="19">
        <f t="shared" si="27"/>
        <v>3.6908958844616757E-2</v>
      </c>
      <c r="U254" s="24">
        <v>4.3340171622606505E-2</v>
      </c>
      <c r="V254" s="24">
        <f t="shared" si="28"/>
        <v>4.1431137136592744E-2</v>
      </c>
      <c r="W254" s="23">
        <f t="shared" si="29"/>
        <v>3.3924861244127857E-3</v>
      </c>
      <c r="X254" s="24">
        <v>4.2470048390129911E-2</v>
      </c>
      <c r="Y254" s="24">
        <f t="shared" si="30"/>
        <v>4.0530207454522404E-2</v>
      </c>
      <c r="Z254" s="23">
        <f t="shared" si="31"/>
        <v>3.3202287402260833E-3</v>
      </c>
      <c r="AA254" s="36"/>
    </row>
    <row r="255" spans="15:27" ht="13.9" customHeight="1" x14ac:dyDescent="0.3">
      <c r="O255" s="12">
        <f t="shared" si="25"/>
        <v>20.166666666666668</v>
      </c>
      <c r="P255" s="13">
        <v>242</v>
      </c>
      <c r="Q255" s="22">
        <v>3.8983722931419607E-2</v>
      </c>
      <c r="R255" s="19">
        <f t="shared" si="26"/>
        <v>3.7222963097018225E-2</v>
      </c>
      <c r="S255" s="22">
        <v>3.8980879741310037E-2</v>
      </c>
      <c r="T255" s="19">
        <f t="shared" si="27"/>
        <v>3.6858182823454877E-2</v>
      </c>
      <c r="U255" s="24">
        <v>4.3332275854419011E-2</v>
      </c>
      <c r="V255" s="24">
        <f t="shared" si="28"/>
        <v>4.1385991576219139E-2</v>
      </c>
      <c r="W255" s="23">
        <f t="shared" si="29"/>
        <v>3.388717147247311E-3</v>
      </c>
      <c r="X255" s="24">
        <v>4.2462025082090182E-2</v>
      </c>
      <c r="Y255" s="24">
        <f t="shared" si="30"/>
        <v>4.0484048194803002E-2</v>
      </c>
      <c r="Z255" s="23">
        <f t="shared" si="31"/>
        <v>3.3163534808879902E-3</v>
      </c>
      <c r="AA255" s="36"/>
    </row>
    <row r="256" spans="15:27" ht="13.9" customHeight="1" x14ac:dyDescent="0.3">
      <c r="O256" s="12">
        <f t="shared" si="25"/>
        <v>20.25</v>
      </c>
      <c r="P256" s="13">
        <v>243</v>
      </c>
      <c r="Q256" s="22">
        <v>3.897647088472489E-2</v>
      </c>
      <c r="R256" s="19">
        <f t="shared" si="26"/>
        <v>3.7185495593845097E-2</v>
      </c>
      <c r="S256" s="22">
        <v>3.8972135464234725E-2</v>
      </c>
      <c r="T256" s="19">
        <f t="shared" si="27"/>
        <v>3.6810712936996781E-2</v>
      </c>
      <c r="U256" s="24">
        <v>4.3324259005025789E-2</v>
      </c>
      <c r="V256" s="24">
        <f t="shared" si="28"/>
        <v>4.1342641156739246E-2</v>
      </c>
      <c r="W256" s="23">
        <f t="shared" si="29"/>
        <v>3.3850923719793702E-3</v>
      </c>
      <c r="X256" s="24">
        <v>4.2453877559279318E-2</v>
      </c>
      <c r="Y256" s="24">
        <f t="shared" si="30"/>
        <v>4.0439954619698515E-2</v>
      </c>
      <c r="Z256" s="23">
        <f t="shared" si="31"/>
        <v>3.3126443717026444E-3</v>
      </c>
      <c r="AA256" s="36"/>
    </row>
    <row r="257" spans="15:27" ht="13.9" customHeight="1" x14ac:dyDescent="0.3">
      <c r="O257" s="12">
        <f t="shared" si="25"/>
        <v>20.333333333333332</v>
      </c>
      <c r="P257" s="13">
        <v>244</v>
      </c>
      <c r="Q257" s="22">
        <v>3.8969124514393716E-2</v>
      </c>
      <c r="R257" s="19">
        <f t="shared" si="26"/>
        <v>3.7148148295317318E-2</v>
      </c>
      <c r="S257" s="22">
        <v>3.8963267986073857E-2</v>
      </c>
      <c r="T257" s="19">
        <f t="shared" si="27"/>
        <v>3.6766538635399693E-2</v>
      </c>
      <c r="U257" s="24">
        <v>4.3316129929693137E-2</v>
      </c>
      <c r="V257" s="24">
        <f t="shared" si="28"/>
        <v>4.1301083151040752E-2</v>
      </c>
      <c r="W257" s="23">
        <f t="shared" si="29"/>
        <v>3.3816115945246583E-3</v>
      </c>
      <c r="X257" s="24">
        <v>4.2445615826429028E-2</v>
      </c>
      <c r="Y257" s="24">
        <f t="shared" si="30"/>
        <v>4.0397922752745119E-2</v>
      </c>
      <c r="Z257" s="23">
        <f t="shared" si="31"/>
        <v>3.3091011089287914E-3</v>
      </c>
      <c r="AA257" s="36"/>
    </row>
    <row r="258" spans="15:27" ht="13.9" customHeight="1" x14ac:dyDescent="0.3">
      <c r="O258" s="12">
        <f t="shared" si="25"/>
        <v>20.416666666666668</v>
      </c>
      <c r="P258" s="13">
        <v>245</v>
      </c>
      <c r="Q258" s="22">
        <v>3.8961685463977824E-2</v>
      </c>
      <c r="R258" s="19">
        <f t="shared" si="26"/>
        <v>3.7110918952597327E-2</v>
      </c>
      <c r="S258" s="22">
        <v>3.8954292290339199E-2</v>
      </c>
      <c r="T258" s="19">
        <f t="shared" si="27"/>
        <v>3.6725649567869834E-2</v>
      </c>
      <c r="U258" s="24">
        <v>4.3307897328684453E-2</v>
      </c>
      <c r="V258" s="24">
        <f t="shared" si="28"/>
        <v>4.1261314865750132E-2</v>
      </c>
      <c r="W258" s="23">
        <f t="shared" si="29"/>
        <v>3.3782746123907081E-3</v>
      </c>
      <c r="X258" s="24">
        <v>4.2437249709510905E-2</v>
      </c>
      <c r="Y258" s="24">
        <f t="shared" si="30"/>
        <v>4.0357948677194111E-2</v>
      </c>
      <c r="Z258" s="23">
        <f t="shared" si="31"/>
        <v>3.3057233923423635E-3</v>
      </c>
      <c r="AA258" s="36"/>
    </row>
    <row r="259" spans="15:27" ht="13.9" customHeight="1" x14ac:dyDescent="0.3">
      <c r="O259" s="12">
        <f t="shared" si="25"/>
        <v>20.5</v>
      </c>
      <c r="P259" s="13">
        <v>246</v>
      </c>
      <c r="Q259" s="22">
        <v>3.8954155341209606E-2</v>
      </c>
      <c r="R259" s="19">
        <f t="shared" si="26"/>
        <v>3.7073805174089314E-2</v>
      </c>
      <c r="S259" s="22">
        <v>3.8945223076030322E-2</v>
      </c>
      <c r="T259" s="19">
        <f t="shared" si="27"/>
        <v>3.6688035587534973E-2</v>
      </c>
      <c r="U259" s="24">
        <v>4.3299569750500533E-2</v>
      </c>
      <c r="V259" s="24">
        <f t="shared" si="28"/>
        <v>4.1223333641738469E-2</v>
      </c>
      <c r="W259" s="23">
        <f t="shared" si="29"/>
        <v>3.3750812250821216E-3</v>
      </c>
      <c r="X259" s="24">
        <v>4.2428788859552258E-2</v>
      </c>
      <c r="Y259" s="24">
        <f t="shared" si="30"/>
        <v>4.0320028540933528E-2</v>
      </c>
      <c r="Z259" s="23">
        <f t="shared" si="31"/>
        <v>3.3025109255704344E-3</v>
      </c>
      <c r="AA259" s="36"/>
    </row>
    <row r="260" spans="15:27" ht="13.9" customHeight="1" x14ac:dyDescent="0.3">
      <c r="O260" s="12">
        <f t="shared" si="25"/>
        <v>20.583333333333332</v>
      </c>
      <c r="P260" s="13">
        <v>247</v>
      </c>
      <c r="Q260" s="22">
        <v>3.894653571814688E-2</v>
      </c>
      <c r="R260" s="19">
        <f t="shared" si="26"/>
        <v>3.7036804128741663E-2</v>
      </c>
      <c r="S260" s="22">
        <v>3.8936074764075457E-2</v>
      </c>
      <c r="T260" s="19">
        <f t="shared" si="27"/>
        <v>3.6653686761662696E-2</v>
      </c>
      <c r="U260" s="24">
        <v>4.3291155595044817E-2</v>
      </c>
      <c r="V260" s="24">
        <f t="shared" si="28"/>
        <v>4.1187136859874629E-2</v>
      </c>
      <c r="W260" s="23">
        <f t="shared" si="29"/>
        <v>3.372031234146311E-3</v>
      </c>
      <c r="X260" s="24">
        <v>4.2420242756379123E-2</v>
      </c>
      <c r="Y260" s="24">
        <f t="shared" si="30"/>
        <v>4.0284158556673555E-2</v>
      </c>
      <c r="Z260" s="23">
        <f t="shared" si="31"/>
        <v>3.2994634164922321E-3</v>
      </c>
      <c r="AA260" s="36"/>
    </row>
    <row r="261" spans="15:27" ht="13.9" customHeight="1" x14ac:dyDescent="0.3">
      <c r="O261" s="12">
        <f t="shared" si="25"/>
        <v>20.666666666666668</v>
      </c>
      <c r="P261" s="13">
        <v>248</v>
      </c>
      <c r="Q261" s="22">
        <v>3.8938828130114178E-2</v>
      </c>
      <c r="R261" s="19">
        <f t="shared" si="26"/>
        <v>3.6999913433813258E-2</v>
      </c>
      <c r="S261" s="22">
        <v>3.8926861503662424E-2</v>
      </c>
      <c r="T261" s="19">
        <f t="shared" si="27"/>
        <v>3.6622593376821833E-2</v>
      </c>
      <c r="U261" s="24">
        <v>4.3282663116735565E-2</v>
      </c>
      <c r="V261" s="24">
        <f t="shared" si="28"/>
        <v>4.1152721937770975E-2</v>
      </c>
      <c r="W261" s="23">
        <f t="shared" si="29"/>
        <v>3.3691244436382384E-3</v>
      </c>
      <c r="X261" s="24">
        <v>4.2411620712272002E-2</v>
      </c>
      <c r="Y261" s="24">
        <f t="shared" si="30"/>
        <v>4.0250335007233407E-2</v>
      </c>
      <c r="Z261" s="23">
        <f t="shared" si="31"/>
        <v>3.296580577260233E-3</v>
      </c>
      <c r="AA261" s="36"/>
    </row>
    <row r="262" spans="15:27" ht="13.9" customHeight="1" x14ac:dyDescent="0.3">
      <c r="O262" s="12">
        <f t="shared" si="25"/>
        <v>20.75</v>
      </c>
      <c r="P262" s="13">
        <v>249</v>
      </c>
      <c r="Q262" s="22">
        <v>3.8931034078242499E-2</v>
      </c>
      <c r="R262" s="19">
        <f t="shared" si="26"/>
        <v>3.6963130859003046E-2</v>
      </c>
      <c r="S262" s="22">
        <v>3.8917597178440788E-2</v>
      </c>
      <c r="T262" s="19">
        <f t="shared" si="27"/>
        <v>3.6594745947880147E-2</v>
      </c>
      <c r="U262" s="24">
        <v>4.3274100427531437E-2</v>
      </c>
      <c r="V262" s="24">
        <f t="shared" si="28"/>
        <v>4.1120086338331641E-2</v>
      </c>
      <c r="W262" s="23">
        <f t="shared" si="29"/>
        <v>3.3663606598623996E-3</v>
      </c>
      <c r="X262" s="24">
        <v>4.2402931875555439E-2</v>
      </c>
      <c r="Y262" s="24">
        <f t="shared" si="30"/>
        <v>4.021855424887244E-2</v>
      </c>
      <c r="Z262" s="23">
        <f t="shared" si="31"/>
        <v>3.2938621247318167E-3</v>
      </c>
      <c r="AA262" s="36"/>
    </row>
    <row r="263" spans="15:27" ht="13.9" customHeight="1" x14ac:dyDescent="0.3">
      <c r="O263" s="12">
        <f t="shared" si="25"/>
        <v>20.833333333333332</v>
      </c>
      <c r="P263" s="13">
        <v>250</v>
      </c>
      <c r="Q263" s="22">
        <v>3.8923155030761603E-2</v>
      </c>
      <c r="R263" s="19">
        <f t="shared" si="26"/>
        <v>3.6926454178461077E-2</v>
      </c>
      <c r="S263" s="22">
        <v>3.8908295412614091E-2</v>
      </c>
      <c r="T263" s="19">
        <f t="shared" si="27"/>
        <v>3.6570135225374223E-2</v>
      </c>
      <c r="U263" s="24">
        <v>4.3265475499919104E-2</v>
      </c>
      <c r="V263" s="24">
        <f t="shared" si="28"/>
        <v>4.108922756874489E-2</v>
      </c>
      <c r="W263" s="23">
        <f t="shared" si="29"/>
        <v>3.3637396920636053E-3</v>
      </c>
      <c r="X263" s="24">
        <v>4.23941852341152E-2</v>
      </c>
      <c r="Y263" s="24">
        <f t="shared" si="30"/>
        <v>4.0188812712423694E-2</v>
      </c>
      <c r="Z263" s="23">
        <f t="shared" si="31"/>
        <v>3.2913077807428248E-3</v>
      </c>
      <c r="AA263" s="36"/>
    </row>
    <row r="264" spans="15:27" ht="13.9" customHeight="1" x14ac:dyDescent="0.3">
      <c r="O264" s="12">
        <f t="shared" si="25"/>
        <v>20.916666666666668</v>
      </c>
      <c r="P264" s="13">
        <v>251</v>
      </c>
      <c r="Q264" s="22">
        <v>3.8915192423671696E-2</v>
      </c>
      <c r="R264" s="19">
        <f t="shared" si="26"/>
        <v>3.6889881170377059E-2</v>
      </c>
      <c r="S264" s="22">
        <v>3.8898969576919074E-2</v>
      </c>
      <c r="T264" s="19">
        <f t="shared" si="27"/>
        <v>3.6548752201720713E-2</v>
      </c>
      <c r="U264" s="24">
        <v>4.3256796169826472E-2</v>
      </c>
      <c r="V264" s="24">
        <f t="shared" si="28"/>
        <v>4.1060143182978237E-2</v>
      </c>
      <c r="W264" s="23">
        <f t="shared" si="29"/>
        <v>3.3612613523492652E-3</v>
      </c>
      <c r="X264" s="24">
        <v>4.238538961883842E-2</v>
      </c>
      <c r="Y264" s="24">
        <f t="shared" si="30"/>
        <v>4.0161106908803035E-2</v>
      </c>
      <c r="Z264" s="23">
        <f t="shared" si="31"/>
        <v>3.2889172722037063E-3</v>
      </c>
      <c r="AA264" s="36"/>
    </row>
    <row r="265" spans="15:27" ht="13.9" customHeight="1" x14ac:dyDescent="0.3">
      <c r="O265" s="12">
        <f t="shared" si="25"/>
        <v>21</v>
      </c>
      <c r="P265" s="13">
        <v>252</v>
      </c>
      <c r="Q265" s="22">
        <v>3.8907147661397135E-2</v>
      </c>
      <c r="R265" s="19">
        <f t="shared" si="26"/>
        <v>3.6853409472904275E-2</v>
      </c>
      <c r="S265" s="22">
        <v>3.8889632794490758E-2</v>
      </c>
      <c r="T265" s="19">
        <f t="shared" si="27"/>
        <v>3.6530588120481378E-2</v>
      </c>
      <c r="U265" s="24">
        <v>4.3248070139476846E-2</v>
      </c>
      <c r="V265" s="24">
        <f t="shared" si="28"/>
        <v>4.1032830786167596E-2</v>
      </c>
      <c r="W265" s="23">
        <f t="shared" si="29"/>
        <v>3.3589254558930026E-3</v>
      </c>
      <c r="X265" s="24">
        <v>4.2376553706994002E-2</v>
      </c>
      <c r="Y265" s="24">
        <f t="shared" si="30"/>
        <v>4.0135433430847689E-2</v>
      </c>
      <c r="Z265" s="23">
        <f t="shared" si="31"/>
        <v>3.2866903315493801E-3</v>
      </c>
      <c r="AA265" s="36"/>
    </row>
    <row r="266" spans="15:27" ht="13.9" customHeight="1" x14ac:dyDescent="0.3">
      <c r="O266" s="12">
        <f t="shared" si="25"/>
        <v>21.083333333333332</v>
      </c>
      <c r="P266" s="13">
        <v>253</v>
      </c>
      <c r="Q266" s="22">
        <v>3.8899022116854143E-2</v>
      </c>
      <c r="R266" s="19">
        <f t="shared" si="26"/>
        <v>3.6817036291246108E-2</v>
      </c>
      <c r="S266" s="22">
        <v>3.8880297946627174E-2</v>
      </c>
      <c r="T266" s="19">
        <f t="shared" si="27"/>
        <v>3.6515634481827375E-2</v>
      </c>
      <c r="U266" s="24">
        <v>4.3239304980194015E-2</v>
      </c>
      <c r="V266" s="24">
        <f t="shared" si="28"/>
        <v>4.100728803394782E-2</v>
      </c>
      <c r="W266" s="23">
        <f t="shared" si="29"/>
        <v>3.3567318212903707E-3</v>
      </c>
      <c r="X266" s="24">
        <v>4.2367686025540863E-2</v>
      </c>
      <c r="Y266" s="24">
        <f t="shared" si="30"/>
        <v>4.0111788956091798E-2</v>
      </c>
      <c r="Z266" s="23">
        <f t="shared" si="31"/>
        <v>3.2846266968913351E-3</v>
      </c>
      <c r="AA266" s="36"/>
    </row>
    <row r="267" spans="15:27" ht="13.9" customHeight="1" x14ac:dyDescent="0.3">
      <c r="O267" s="12">
        <f t="shared" si="25"/>
        <v>21.166666666666668</v>
      </c>
      <c r="P267" s="13">
        <v>254</v>
      </c>
      <c r="Q267" s="22">
        <v>3.8890817130361022E-2</v>
      </c>
      <c r="R267" s="19">
        <f t="shared" si="26"/>
        <v>3.6780759271739072E-2</v>
      </c>
      <c r="S267" s="22">
        <v>3.8870977678442831E-2</v>
      </c>
      <c r="T267" s="19">
        <f t="shared" si="27"/>
        <v>3.650388305058816E-2</v>
      </c>
      <c r="U267" s="24">
        <v>4.32305081351394E-2</v>
      </c>
      <c r="V267" s="24">
        <f t="shared" si="28"/>
        <v>4.0983512639648945E-2</v>
      </c>
      <c r="W267" s="23">
        <f t="shared" si="29"/>
        <v>3.354680270509558E-3</v>
      </c>
      <c r="X267" s="24">
        <v>4.2358794954370449E-2</v>
      </c>
      <c r="Y267" s="24">
        <f t="shared" si="30"/>
        <v>4.0090170251297907E-2</v>
      </c>
      <c r="Z267" s="23">
        <f t="shared" si="31"/>
        <v>3.2827261122472251E-3</v>
      </c>
      <c r="AA267" s="36"/>
    </row>
    <row r="268" spans="15:27" ht="13.9" customHeight="1" x14ac:dyDescent="0.3">
      <c r="O268" s="12">
        <f t="shared" si="25"/>
        <v>21.25</v>
      </c>
      <c r="P268" s="13">
        <v>255</v>
      </c>
      <c r="Q268" s="22">
        <v>3.8882534012009362E-2</v>
      </c>
      <c r="R268" s="19">
        <f t="shared" si="26"/>
        <v>3.6744576209323032E-2</v>
      </c>
      <c r="S268" s="22">
        <v>3.8861684404422725E-2</v>
      </c>
      <c r="T268" s="19">
        <f t="shared" si="27"/>
        <v>3.6495325863345807E-2</v>
      </c>
      <c r="U268" s="24">
        <v>4.3221686922012559E-2</v>
      </c>
      <c r="V268" s="24">
        <f t="shared" si="28"/>
        <v>4.0961502369748048E-2</v>
      </c>
      <c r="W268" s="23">
        <f t="shared" si="29"/>
        <v>3.3527706294713688E-3</v>
      </c>
      <c r="X268" s="24">
        <v>4.2349888729491969E-2</v>
      </c>
      <c r="Y268" s="24">
        <f t="shared" si="30"/>
        <v>4.007057417339599E-2</v>
      </c>
      <c r="Z268" s="23">
        <f t="shared" si="31"/>
        <v>3.2809883279101282E-3</v>
      </c>
      <c r="AA268" s="36"/>
    </row>
    <row r="269" spans="15:27" ht="13.9" customHeight="1" x14ac:dyDescent="0.3">
      <c r="O269" s="12">
        <f t="shared" si="25"/>
        <v>21.333333333333332</v>
      </c>
      <c r="P269" s="13">
        <v>256</v>
      </c>
      <c r="Q269" s="22">
        <v>3.8874174042834442E-2</v>
      </c>
      <c r="R269" s="19">
        <f t="shared" si="26"/>
        <v>3.6708484902910676E-2</v>
      </c>
      <c r="S269" s="22">
        <v>3.8852430313877306E-2</v>
      </c>
      <c r="T269" s="19">
        <f t="shared" si="27"/>
        <v>3.648995523609444E-2</v>
      </c>
      <c r="U269" s="24">
        <v>4.3212848535672643E-2</v>
      </c>
      <c r="V269" s="24">
        <f t="shared" si="28"/>
        <v>4.0941255054198766E-2</v>
      </c>
      <c r="W269" s="23">
        <f t="shared" si="29"/>
        <v>3.3510027276877352E-3</v>
      </c>
      <c r="X269" s="24">
        <v>4.2340975446146789E-2</v>
      </c>
      <c r="Y269" s="24">
        <f t="shared" si="30"/>
        <v>4.0052997675343649E-2</v>
      </c>
      <c r="Z269" s="23">
        <f t="shared" si="31"/>
        <v>3.2794131005289273E-3</v>
      </c>
      <c r="AA269" s="36"/>
    </row>
    <row r="270" spans="15:27" ht="13.9" customHeight="1" x14ac:dyDescent="0.3">
      <c r="O270" s="12">
        <f t="shared" ref="O270:O333" si="32">P270/12</f>
        <v>21.416666666666668</v>
      </c>
      <c r="P270" s="13">
        <v>257</v>
      </c>
      <c r="Q270" s="22">
        <v>3.8865738475393652E-2</v>
      </c>
      <c r="R270" s="19">
        <f t="shared" ref="R270:R333" si="33">(1+Q271)^P271/(1+Q270)^P270-1</f>
        <v>3.6672483156285685E-2</v>
      </c>
      <c r="S270" s="22">
        <v>3.8843227376301304E-2</v>
      </c>
      <c r="T270" s="19">
        <f t="shared" ref="T270:T333" si="34">(1+S271)^P271/(1+S270)^P270-1</f>
        <v>3.6487763770274295E-2</v>
      </c>
      <c r="U270" s="24">
        <v>4.3204000050738767E-2</v>
      </c>
      <c r="V270" s="24">
        <f t="shared" ref="V270:V333" si="35">(1+U271)^P271/(1+U270)^P270-1</f>
        <v>4.0922768581080238E-2</v>
      </c>
      <c r="W270" s="23">
        <f t="shared" si="29"/>
        <v>3.3493763990946057E-3</v>
      </c>
      <c r="X270" s="24">
        <v>4.2332063061874425E-2</v>
      </c>
      <c r="Y270" s="24">
        <f t="shared" si="30"/>
        <v>4.0037437806144993E-2</v>
      </c>
      <c r="Z270" s="23">
        <f t="shared" si="31"/>
        <v>3.278000193584818E-3</v>
      </c>
      <c r="AA270" s="36"/>
    </row>
    <row r="271" spans="15:27" ht="13.9" customHeight="1" x14ac:dyDescent="0.3">
      <c r="O271" s="12">
        <f t="shared" si="32"/>
        <v>21.5</v>
      </c>
      <c r="P271" s="13">
        <v>258</v>
      </c>
      <c r="Q271" s="22">
        <v>3.8857228534336929E-2</v>
      </c>
      <c r="R271" s="19">
        <f t="shared" si="33"/>
        <v>3.6636568632774091E-2</v>
      </c>
      <c r="S271" s="22">
        <v>3.8834087346634849E-2</v>
      </c>
      <c r="T271" s="19">
        <f t="shared" si="34"/>
        <v>3.6488744360173575E-2</v>
      </c>
      <c r="U271" s="24">
        <v>4.319514842411043E-2</v>
      </c>
      <c r="V271" s="24">
        <f t="shared" si="35"/>
        <v>4.0906040906398378E-2</v>
      </c>
      <c r="W271" s="23">
        <f t="shared" ref="W271:W334" si="36">(1+V270)^(1/12)-1</f>
        <v>3.3478914816247318E-3</v>
      </c>
      <c r="X271" s="24">
        <v>4.2323159399508148E-2</v>
      </c>
      <c r="Y271" s="24">
        <f t="shared" ref="Y271:Y334" si="37">(1+X272)^P272/(1+X271)^P271-1</f>
        <v>4.0023891716244098E-2</v>
      </c>
      <c r="Z271" s="23">
        <f t="shared" ref="Z271:Z334" si="38">(1+Y270)^(1/12)-1</f>
        <v>3.2767493773979695E-3</v>
      </c>
      <c r="AA271" s="36"/>
    </row>
    <row r="272" spans="15:27" ht="13.9" customHeight="1" x14ac:dyDescent="0.3">
      <c r="O272" s="12">
        <f t="shared" si="32"/>
        <v>21.583333333333332</v>
      </c>
      <c r="P272" s="13">
        <v>259</v>
      </c>
      <c r="Q272" s="22">
        <v>3.8848645416399652E-2</v>
      </c>
      <c r="R272" s="19">
        <f t="shared" si="33"/>
        <v>3.6600738573128178E-2</v>
      </c>
      <c r="S272" s="22">
        <v>3.8825021770432677E-2</v>
      </c>
      <c r="T272" s="19">
        <f t="shared" si="34"/>
        <v>3.6492890200386707E-2</v>
      </c>
      <c r="U272" s="24">
        <v>4.3186300497467078E-2</v>
      </c>
      <c r="V272" s="24">
        <f t="shared" si="35"/>
        <v>4.0891070049348999E-2</v>
      </c>
      <c r="W272" s="23">
        <f t="shared" si="36"/>
        <v>3.3465478179985908E-3</v>
      </c>
      <c r="X272" s="24">
        <v>4.2314272150122623E-2</v>
      </c>
      <c r="Y272" s="24">
        <f t="shared" si="37"/>
        <v>4.0012356659090864E-2</v>
      </c>
      <c r="Z272" s="23">
        <f t="shared" si="38"/>
        <v>3.2756604295647307E-3</v>
      </c>
      <c r="AA272" s="36"/>
    </row>
    <row r="273" spans="15:27" ht="13.9" customHeight="1" x14ac:dyDescent="0.3">
      <c r="O273" s="12">
        <f t="shared" si="32"/>
        <v>21.666666666666668</v>
      </c>
      <c r="P273" s="13">
        <v>260</v>
      </c>
      <c r="Q273" s="22">
        <v>3.8839990289309734E-2</v>
      </c>
      <c r="R273" s="19">
        <f t="shared" si="33"/>
        <v>3.6564990648402906E-2</v>
      </c>
      <c r="S273" s="22">
        <v>3.8816041988944727E-2</v>
      </c>
      <c r="T273" s="19">
        <f t="shared" si="34"/>
        <v>3.6500194793358309E-2</v>
      </c>
      <c r="U273" s="24">
        <v>4.3177462999693272E-2</v>
      </c>
      <c r="V273" s="24">
        <f t="shared" si="35"/>
        <v>4.0877854100807021E-2</v>
      </c>
      <c r="W273" s="23">
        <f t="shared" si="36"/>
        <v>3.3453452553457996E-3</v>
      </c>
      <c r="X273" s="24">
        <v>4.2305408875920492E-2</v>
      </c>
      <c r="Y273" s="24">
        <f t="shared" si="37"/>
        <v>4.0002829995755773E-2</v>
      </c>
      <c r="Z273" s="23">
        <f t="shared" si="38"/>
        <v>3.2747331350888587E-3</v>
      </c>
      <c r="AA273" s="36"/>
    </row>
    <row r="274" spans="15:27" ht="13.9" customHeight="1" x14ac:dyDescent="0.3">
      <c r="O274" s="12">
        <f t="shared" si="32"/>
        <v>21.75</v>
      </c>
      <c r="P274" s="13">
        <v>261</v>
      </c>
      <c r="Q274" s="22">
        <v>3.8831264293993639E-2</v>
      </c>
      <c r="R274" s="19">
        <f t="shared" si="33"/>
        <v>3.652932267724851E-2</v>
      </c>
      <c r="S274" s="22">
        <v>3.8807159144111703E-2</v>
      </c>
      <c r="T274" s="19">
        <f t="shared" si="34"/>
        <v>3.6510651953941098E-2</v>
      </c>
      <c r="U274" s="24">
        <v>4.3168642549280989E-2</v>
      </c>
      <c r="V274" s="24">
        <f t="shared" si="35"/>
        <v>4.0866391221596965E-2</v>
      </c>
      <c r="W274" s="23">
        <f t="shared" si="36"/>
        <v>3.3442836458910108E-3</v>
      </c>
      <c r="X274" s="24">
        <v>4.2296577013070769E-2</v>
      </c>
      <c r="Y274" s="24">
        <f t="shared" si="37"/>
        <v>3.999530919534533E-2</v>
      </c>
      <c r="Z274" s="23">
        <f t="shared" si="38"/>
        <v>3.2739672867569958E-3</v>
      </c>
      <c r="AA274" s="36"/>
    </row>
    <row r="275" spans="15:27" ht="13.9" customHeight="1" x14ac:dyDescent="0.3">
      <c r="O275" s="12">
        <f t="shared" si="32"/>
        <v>21.833333333333332</v>
      </c>
      <c r="P275" s="13">
        <v>262</v>
      </c>
      <c r="Q275" s="22">
        <v>3.8822468545651079E-2</v>
      </c>
      <c r="R275" s="19">
        <f t="shared" si="33"/>
        <v>3.6493732480639585E-2</v>
      </c>
      <c r="S275" s="22">
        <v>3.8798384183464707E-2</v>
      </c>
      <c r="T275" s="19">
        <f t="shared" si="34"/>
        <v>3.6524255819779805E-2</v>
      </c>
      <c r="U275" s="24">
        <v>4.3159845656670415E-2</v>
      </c>
      <c r="V275" s="24">
        <f t="shared" si="35"/>
        <v>4.0856679645541183E-2</v>
      </c>
      <c r="W275" s="23">
        <f t="shared" si="36"/>
        <v>3.3433628468160226E-3</v>
      </c>
      <c r="X275" s="24">
        <v>4.2287783874485729E-2</v>
      </c>
      <c r="Y275" s="24">
        <f t="shared" si="37"/>
        <v>3.9989791841047451E-2</v>
      </c>
      <c r="Z275" s="23">
        <f t="shared" si="38"/>
        <v>3.2733626851750852E-3</v>
      </c>
      <c r="AA275" s="36"/>
    </row>
    <row r="276" spans="15:27" ht="13.9" customHeight="1" x14ac:dyDescent="0.3">
      <c r="O276" s="12">
        <f t="shared" si="32"/>
        <v>21.916666666666668</v>
      </c>
      <c r="P276" s="13">
        <v>263</v>
      </c>
      <c r="Q276" s="22">
        <v>3.8813604134251722E-2</v>
      </c>
      <c r="R276" s="19">
        <f t="shared" si="33"/>
        <v>3.6458217883854394E-2</v>
      </c>
      <c r="S276" s="22">
        <v>3.8789727864954937E-2</v>
      </c>
      <c r="T276" s="19">
        <f t="shared" si="34"/>
        <v>3.654100085504175E-2</v>
      </c>
      <c r="U276" s="24">
        <v>4.3151078726550107E-2</v>
      </c>
      <c r="V276" s="24">
        <f t="shared" si="35"/>
        <v>4.084871768426801E-2</v>
      </c>
      <c r="W276" s="23">
        <f t="shared" si="36"/>
        <v>3.3425827205089131E-3</v>
      </c>
      <c r="X276" s="24">
        <v>4.2279036652556057E-2</v>
      </c>
      <c r="Y276" s="24">
        <f t="shared" si="37"/>
        <v>3.9986275630807588E-2</v>
      </c>
      <c r="Z276" s="23">
        <f t="shared" si="38"/>
        <v>3.2729191392595336E-3</v>
      </c>
      <c r="AA276" s="36"/>
    </row>
    <row r="277" spans="15:27" ht="13.9" customHeight="1" x14ac:dyDescent="0.3">
      <c r="O277" s="12">
        <f t="shared" si="32"/>
        <v>22</v>
      </c>
      <c r="P277" s="13">
        <v>264</v>
      </c>
      <c r="Q277" s="22">
        <v>3.8804672125028139E-2</v>
      </c>
      <c r="R277" s="19">
        <f t="shared" si="33"/>
        <v>3.6422776575030236E-2</v>
      </c>
      <c r="S277" s="22">
        <v>3.8781200761689449E-2</v>
      </c>
      <c r="T277" s="19">
        <f t="shared" si="34"/>
        <v>3.656088186037354E-2</v>
      </c>
      <c r="U277" s="24">
        <v>4.3142348060123181E-2</v>
      </c>
      <c r="V277" s="24">
        <f t="shared" si="35"/>
        <v>4.084250372654985E-2</v>
      </c>
      <c r="W277" s="23">
        <f t="shared" si="36"/>
        <v>3.3419431349515083E-3</v>
      </c>
      <c r="X277" s="24">
        <v>4.2270342421829143E-2</v>
      </c>
      <c r="Y277" s="24">
        <f t="shared" si="37"/>
        <v>3.9984758381681917E-2</v>
      </c>
      <c r="Z277" s="23">
        <f t="shared" si="38"/>
        <v>3.2726364662942764E-3</v>
      </c>
      <c r="AA277" s="36"/>
    </row>
    <row r="278" spans="15:27" ht="13.9" customHeight="1" x14ac:dyDescent="0.3">
      <c r="O278" s="12">
        <f t="shared" si="32"/>
        <v>22.083333333333332</v>
      </c>
      <c r="P278" s="13">
        <v>265</v>
      </c>
      <c r="Q278" s="22">
        <v>3.8795673558422283E-2</v>
      </c>
      <c r="R278" s="19">
        <f t="shared" si="33"/>
        <v>3.6387405825656138E-2</v>
      </c>
      <c r="S278" s="22">
        <v>3.8772813266597872E-2</v>
      </c>
      <c r="T278" s="19">
        <f t="shared" si="34"/>
        <v>3.6583893976589454E-2</v>
      </c>
      <c r="U278" s="24">
        <v>4.313365985732065E-2</v>
      </c>
      <c r="V278" s="24">
        <f t="shared" si="35"/>
        <v>4.0838036241537923E-2</v>
      </c>
      <c r="W278" s="23">
        <f t="shared" si="36"/>
        <v>3.3414439636689774E-3</v>
      </c>
      <c r="X278" s="24">
        <v>4.2261708141642762E-2</v>
      </c>
      <c r="Y278" s="24">
        <f t="shared" si="37"/>
        <v>3.9985238032294923E-2</v>
      </c>
      <c r="Z278" s="23">
        <f t="shared" si="38"/>
        <v>3.2725144922849392E-3</v>
      </c>
      <c r="AA278" s="36"/>
    </row>
    <row r="279" spans="15:27" ht="13.9" customHeight="1" x14ac:dyDescent="0.3">
      <c r="O279" s="12">
        <f t="shared" si="32"/>
        <v>22.166666666666668</v>
      </c>
      <c r="P279" s="13">
        <v>266</v>
      </c>
      <c r="Q279" s="22">
        <v>3.8786609448980602E-2</v>
      </c>
      <c r="R279" s="19">
        <f t="shared" si="33"/>
        <v>3.6352103330074659E-2</v>
      </c>
      <c r="S279" s="22">
        <v>3.8764575597011186E-2</v>
      </c>
      <c r="T279" s="19">
        <f t="shared" si="34"/>
        <v>3.6610032694845973E-2</v>
      </c>
      <c r="U279" s="24">
        <v>4.3125020218976573E-2</v>
      </c>
      <c r="V279" s="24">
        <f t="shared" si="35"/>
        <v>4.0835313782297433E-2</v>
      </c>
      <c r="W279" s="23">
        <f t="shared" si="36"/>
        <v>3.3410850859918462E-3</v>
      </c>
      <c r="X279" s="24">
        <v>4.2253140658709443E-2</v>
      </c>
      <c r="Y279" s="24">
        <f t="shared" si="37"/>
        <v>3.9987712644912188E-2</v>
      </c>
      <c r="Z279" s="23">
        <f t="shared" si="38"/>
        <v>3.2725530521588997E-3</v>
      </c>
      <c r="AA279" s="36"/>
    </row>
    <row r="280" spans="15:27" ht="13.9" customHeight="1" x14ac:dyDescent="0.3">
      <c r="O280" s="12">
        <f t="shared" si="32"/>
        <v>22.25</v>
      </c>
      <c r="P280" s="13">
        <v>267</v>
      </c>
      <c r="Q280" s="22">
        <v>3.8777480787424601E-2</v>
      </c>
      <c r="R280" s="19">
        <f t="shared" si="33"/>
        <v>3.6316866926921376E-2</v>
      </c>
      <c r="S280" s="22">
        <v>3.8756497799175227E-2</v>
      </c>
      <c r="T280" s="19">
        <f t="shared" si="34"/>
        <v>3.6639293861099098E-2</v>
      </c>
      <c r="U280" s="24">
        <v>4.3116435148969456E-2</v>
      </c>
      <c r="V280" s="24">
        <f t="shared" si="35"/>
        <v>4.0834334987168264E-2</v>
      </c>
      <c r="W280" s="23">
        <f t="shared" si="36"/>
        <v>3.3408663873415456E-3</v>
      </c>
      <c r="X280" s="24">
        <v>4.224464670965089E-2</v>
      </c>
      <c r="Y280" s="24">
        <f t="shared" si="37"/>
        <v>3.9992180411379641E-2</v>
      </c>
      <c r="Z280" s="23">
        <f t="shared" si="38"/>
        <v>3.2727519899355961E-3</v>
      </c>
      <c r="AA280" s="36"/>
    </row>
    <row r="281" spans="15:27" ht="13.9" customHeight="1" x14ac:dyDescent="0.3">
      <c r="O281" s="12">
        <f t="shared" si="32"/>
        <v>22.333333333333332</v>
      </c>
      <c r="P281" s="13">
        <v>268</v>
      </c>
      <c r="Q281" s="22">
        <v>3.8768288541634055E-2</v>
      </c>
      <c r="R281" s="19">
        <f t="shared" si="33"/>
        <v>3.6281694457142688E-2</v>
      </c>
      <c r="S281" s="22">
        <v>3.8748589752681806E-2</v>
      </c>
      <c r="T281" s="19">
        <f t="shared" si="34"/>
        <v>3.6671673684727013E-2</v>
      </c>
      <c r="U281" s="24">
        <v>4.3107910556319462E-2</v>
      </c>
      <c r="V281" s="24">
        <f t="shared" si="35"/>
        <v>4.0835098580578766E-2</v>
      </c>
      <c r="W281" s="23">
        <f t="shared" si="36"/>
        <v>3.340787759342545E-3</v>
      </c>
      <c r="X281" s="24">
        <v>4.2236232923498873E-2</v>
      </c>
      <c r="Y281" s="24">
        <f t="shared" si="37"/>
        <v>3.9998639652002677E-2</v>
      </c>
      <c r="Z281" s="23">
        <f t="shared" si="38"/>
        <v>3.2731111592056994E-3</v>
      </c>
      <c r="AA281" s="36"/>
    </row>
    <row r="282" spans="15:27" ht="13.9" customHeight="1" x14ac:dyDescent="0.3">
      <c r="O282" s="12">
        <f t="shared" si="32"/>
        <v>22.416666666666668</v>
      </c>
      <c r="P282" s="13">
        <v>269</v>
      </c>
      <c r="Q282" s="22">
        <v>3.875903365707889E-2</v>
      </c>
      <c r="R282" s="19">
        <f t="shared" si="33"/>
        <v>3.6246583764824702E-2</v>
      </c>
      <c r="S282" s="22">
        <v>3.8740861174835217E-2</v>
      </c>
      <c r="T282" s="19">
        <f t="shared" si="34"/>
        <v>3.6707168744762209E-2</v>
      </c>
      <c r="U282" s="24">
        <v>4.3099452257244319E-2</v>
      </c>
      <c r="V282" s="24">
        <f t="shared" si="35"/>
        <v>4.0837603379422438E-2</v>
      </c>
      <c r="W282" s="23">
        <f t="shared" si="36"/>
        <v>3.340849099888521E-3</v>
      </c>
      <c r="X282" s="24">
        <v>4.222790582413638E-2</v>
      </c>
      <c r="Y282" s="24">
        <f t="shared" si="37"/>
        <v>4.0007088822652248E-2</v>
      </c>
      <c r="Z282" s="23">
        <f t="shared" si="38"/>
        <v>3.2736304230449598E-3</v>
      </c>
      <c r="AA282" s="36"/>
    </row>
    <row r="283" spans="15:27" ht="13.9" customHeight="1" x14ac:dyDescent="0.3">
      <c r="O283" s="12">
        <f t="shared" si="32"/>
        <v>22.5</v>
      </c>
      <c r="P283" s="13">
        <v>270</v>
      </c>
      <c r="Q283" s="22">
        <v>3.8749717057244615E-2</v>
      </c>
      <c r="R283" s="19">
        <f t="shared" si="33"/>
        <v>3.6211532559184523E-2</v>
      </c>
      <c r="S283" s="22">
        <v>3.8733321624943917E-2</v>
      </c>
      <c r="T283" s="19">
        <f t="shared" si="34"/>
        <v>3.6745775996142704E-2</v>
      </c>
      <c r="U283" s="24">
        <v>4.3091065977191478E-2</v>
      </c>
      <c r="V283" s="24">
        <f t="shared" si="35"/>
        <v>4.0841848290715799E-2</v>
      </c>
      <c r="W283" s="23">
        <f t="shared" si="36"/>
        <v>3.3410503136566128E-3</v>
      </c>
      <c r="X283" s="24">
        <v>4.221967183271147E-2</v>
      </c>
      <c r="Y283" s="24">
        <f t="shared" si="37"/>
        <v>4.0017526513244084E-2</v>
      </c>
      <c r="Z283" s="23">
        <f t="shared" si="38"/>
        <v>3.2743096545861938E-3</v>
      </c>
      <c r="AA283" s="36"/>
    </row>
    <row r="284" spans="15:27" ht="13.9" customHeight="1" x14ac:dyDescent="0.3">
      <c r="O284" s="12">
        <f t="shared" si="32"/>
        <v>22.583333333333332</v>
      </c>
      <c r="P284" s="13">
        <v>271</v>
      </c>
      <c r="Q284" s="22">
        <v>3.8740339643538402E-2</v>
      </c>
      <c r="R284" s="19">
        <f t="shared" si="33"/>
        <v>3.6176538140665571E-2</v>
      </c>
      <c r="S284" s="22">
        <v>3.8725980508543367E-2</v>
      </c>
      <c r="T284" s="19">
        <f t="shared" si="34"/>
        <v>3.678749277905502E-2</v>
      </c>
      <c r="U284" s="24">
        <v>4.3082757352818746E-2</v>
      </c>
      <c r="V284" s="24">
        <f t="shared" si="35"/>
        <v>4.0847832316722066E-2</v>
      </c>
      <c r="W284" s="23">
        <f t="shared" si="36"/>
        <v>3.3413913119211269E-3</v>
      </c>
      <c r="X284" s="24">
        <v>4.2211537269992494E-2</v>
      </c>
      <c r="Y284" s="24">
        <f t="shared" si="37"/>
        <v>4.0029951456616031E-2</v>
      </c>
      <c r="Z284" s="23">
        <f t="shared" si="38"/>
        <v>3.2751487369000465E-3</v>
      </c>
      <c r="AA284" s="36"/>
    </row>
    <row r="285" spans="15:27" ht="13.9" customHeight="1" x14ac:dyDescent="0.3">
      <c r="O285" s="12">
        <f t="shared" si="32"/>
        <v>22.666666666666668</v>
      </c>
      <c r="P285" s="13">
        <v>272</v>
      </c>
      <c r="Q285" s="22">
        <v>3.8730902294186631E-2</v>
      </c>
      <c r="R285" s="19">
        <f t="shared" si="33"/>
        <v>3.6141598223776938E-2</v>
      </c>
      <c r="S285" s="22">
        <v>3.8718847081559371E-2</v>
      </c>
      <c r="T285" s="19">
        <f t="shared" si="34"/>
        <v>3.6832316823071309E-2</v>
      </c>
      <c r="U285" s="24">
        <v>4.3074531933949389E-2</v>
      </c>
      <c r="V285" s="24">
        <f t="shared" si="35"/>
        <v>4.0855554557295504E-2</v>
      </c>
      <c r="W285" s="23">
        <f t="shared" si="36"/>
        <v>3.3418720129649859E-3</v>
      </c>
      <c r="X285" s="24">
        <v>4.2203508358704456E-2</v>
      </c>
      <c r="Y285" s="24">
        <f t="shared" si="37"/>
        <v>4.0044362524527255E-2</v>
      </c>
      <c r="Z285" s="23">
        <f t="shared" si="38"/>
        <v>3.2761475637095305E-3</v>
      </c>
      <c r="AA285" s="36"/>
    </row>
    <row r="286" spans="15:27" ht="13.9" customHeight="1" x14ac:dyDescent="0.3">
      <c r="O286" s="12">
        <f t="shared" si="32"/>
        <v>22.75</v>
      </c>
      <c r="P286" s="13">
        <v>273</v>
      </c>
      <c r="Q286" s="22">
        <v>3.8721405866179115E-2</v>
      </c>
      <c r="R286" s="19">
        <f t="shared" si="33"/>
        <v>3.610671066404425E-2</v>
      </c>
      <c r="S286" s="22">
        <v>3.8711930454397248E-2</v>
      </c>
      <c r="T286" s="19">
        <f t="shared" si="34"/>
        <v>3.6880246257281923E-2</v>
      </c>
      <c r="U286" s="24">
        <v>4.3066395185493711E-2</v>
      </c>
      <c r="V286" s="24">
        <f t="shared" si="35"/>
        <v>4.0865014211533879E-2</v>
      </c>
      <c r="W286" s="23">
        <f t="shared" si="36"/>
        <v>3.3424923422713526E-3</v>
      </c>
      <c r="X286" s="24">
        <v>4.2195591225799856E-2</v>
      </c>
      <c r="Y286" s="24">
        <f t="shared" si="37"/>
        <v>4.0060758737661795E-2</v>
      </c>
      <c r="Z286" s="23">
        <f t="shared" si="38"/>
        <v>3.2773060390698383E-3</v>
      </c>
      <c r="AA286" s="36"/>
    </row>
    <row r="287" spans="15:27" ht="13.9" customHeight="1" x14ac:dyDescent="0.3">
      <c r="O287" s="12">
        <f t="shared" si="32"/>
        <v>22.833333333333332</v>
      </c>
      <c r="P287" s="13">
        <v>274</v>
      </c>
      <c r="Q287" s="22">
        <v>3.8711851196171487E-2</v>
      </c>
      <c r="R287" s="19">
        <f t="shared" si="33"/>
        <v>3.6071873319846626E-2</v>
      </c>
      <c r="S287" s="22">
        <v>3.8705239595977936E-2</v>
      </c>
      <c r="T287" s="19">
        <f t="shared" si="34"/>
        <v>3.6931279614016654E-2</v>
      </c>
      <c r="U287" s="24">
        <v>4.3058352489334428E-2</v>
      </c>
      <c r="V287" s="24">
        <f t="shared" si="35"/>
        <v>4.0876210578706162E-2</v>
      </c>
      <c r="W287" s="23">
        <f t="shared" si="36"/>
        <v>3.3432522326555247E-3</v>
      </c>
      <c r="X287" s="24">
        <v>4.2187791904716665E-2</v>
      </c>
      <c r="Y287" s="24">
        <f t="shared" si="37"/>
        <v>4.0079139262947816E-2</v>
      </c>
      <c r="Z287" s="23">
        <f t="shared" si="38"/>
        <v>3.2786240781743636E-3</v>
      </c>
      <c r="AA287" s="36"/>
    </row>
    <row r="288" spans="15:27" ht="13.9" customHeight="1" x14ac:dyDescent="0.3">
      <c r="O288" s="12">
        <f t="shared" si="32"/>
        <v>22.916666666666668</v>
      </c>
      <c r="P288" s="13">
        <v>275</v>
      </c>
      <c r="Q288" s="22">
        <v>3.8702239100864233E-2</v>
      </c>
      <c r="R288" s="19">
        <f t="shared" si="33"/>
        <v>3.603708405106465E-2</v>
      </c>
      <c r="S288" s="22">
        <v>3.8698783337701714E-2</v>
      </c>
      <c r="T288" s="19">
        <f t="shared" si="34"/>
        <v>3.6985415839626778E-2</v>
      </c>
      <c r="U288" s="24">
        <v>4.3050409146175639E-2</v>
      </c>
      <c r="V288" s="24">
        <f t="shared" si="35"/>
        <v>4.0889143063752575E-2</v>
      </c>
      <c r="W288" s="23">
        <f t="shared" si="36"/>
        <v>3.3441516243404301E-3</v>
      </c>
      <c r="X288" s="24">
        <v>4.21801163375779E-2</v>
      </c>
      <c r="Y288" s="24">
        <f t="shared" si="37"/>
        <v>4.0099503419736227E-2</v>
      </c>
      <c r="Z288" s="23">
        <f t="shared" si="38"/>
        <v>3.2801016071390965E-3</v>
      </c>
      <c r="AA288" s="36"/>
    </row>
    <row r="289" spans="15:27" ht="13.9" customHeight="1" x14ac:dyDescent="0.3">
      <c r="O289" s="12">
        <f t="shared" si="32"/>
        <v>23</v>
      </c>
      <c r="P289" s="13">
        <v>276</v>
      </c>
      <c r="Q289" s="22">
        <v>3.8692570377368396E-2</v>
      </c>
      <c r="R289" s="19">
        <f t="shared" si="33"/>
        <v>3.6002340586239523E-2</v>
      </c>
      <c r="S289" s="22">
        <v>3.8692570377363733E-2</v>
      </c>
      <c r="T289" s="19">
        <f t="shared" si="34"/>
        <v>3.7042042042778611E-2</v>
      </c>
      <c r="U289" s="24">
        <v>4.3042570377370026E-2</v>
      </c>
      <c r="V289" s="24">
        <f t="shared" si="35"/>
        <v>4.0903504551173864E-2</v>
      </c>
      <c r="W289" s="23">
        <f t="shared" si="36"/>
        <v>3.3451904654000497E-3</v>
      </c>
      <c r="X289" s="24">
        <v>4.2172570377365659E-2</v>
      </c>
      <c r="Y289" s="24">
        <f t="shared" si="37"/>
        <v>4.0121490654734693E-2</v>
      </c>
      <c r="Z289" s="23">
        <f t="shared" si="38"/>
        <v>3.2817385634995588E-3</v>
      </c>
      <c r="AA289" s="36"/>
    </row>
    <row r="290" spans="15:27" ht="13.9" customHeight="1" x14ac:dyDescent="0.3">
      <c r="O290" s="12">
        <f t="shared" si="32"/>
        <v>23.083333333333332</v>
      </c>
      <c r="P290" s="13">
        <v>277</v>
      </c>
      <c r="Q290" s="22">
        <v>3.8682845803083454E-2</v>
      </c>
      <c r="R290" s="19">
        <f t="shared" si="33"/>
        <v>3.5967640249662036E-2</v>
      </c>
      <c r="S290" s="22">
        <v>3.868660706918714E-2</v>
      </c>
      <c r="T290" s="19">
        <f t="shared" si="34"/>
        <v>3.7098711004792451E-2</v>
      </c>
      <c r="U290" s="24">
        <v>4.3034840217488934E-2</v>
      </c>
      <c r="V290" s="24">
        <f t="shared" si="35"/>
        <v>4.0918068518031037E-2</v>
      </c>
      <c r="W290" s="23">
        <f t="shared" si="36"/>
        <v>3.3463440815419965E-3</v>
      </c>
      <c r="X290" s="24">
        <v>4.2165158487765808E-2</v>
      </c>
      <c r="Y290" s="24">
        <f t="shared" si="37"/>
        <v>4.0143661067159497E-2</v>
      </c>
      <c r="Z290" s="23">
        <f t="shared" si="38"/>
        <v>3.2835059567115632E-3</v>
      </c>
      <c r="AA290" s="36"/>
    </row>
    <row r="291" spans="15:27" ht="13.9" customHeight="1" x14ac:dyDescent="0.3">
      <c r="O291" s="12">
        <f t="shared" si="32"/>
        <v>23.166666666666668</v>
      </c>
      <c r="P291" s="13">
        <v>278</v>
      </c>
      <c r="Q291" s="22">
        <v>3.8673066134592204E-2</v>
      </c>
      <c r="R291" s="19">
        <f t="shared" si="33"/>
        <v>3.593298077504703E-2</v>
      </c>
      <c r="S291" s="22">
        <v>3.8680890858103778E-2</v>
      </c>
      <c r="T291" s="19">
        <f t="shared" si="34"/>
        <v>3.7154816072268781E-2</v>
      </c>
      <c r="U291" s="24">
        <v>4.3027218221828978E-2</v>
      </c>
      <c r="V291" s="24">
        <f t="shared" si="35"/>
        <v>4.0932529012341234E-2</v>
      </c>
      <c r="W291" s="23">
        <f t="shared" si="36"/>
        <v>3.347513947362879E-3</v>
      </c>
      <c r="X291" s="24">
        <v>4.2157879878225613E-2</v>
      </c>
      <c r="Y291" s="24">
        <f t="shared" si="37"/>
        <v>4.0165655946900802E-2</v>
      </c>
      <c r="Z291" s="23">
        <f t="shared" si="38"/>
        <v>3.2852880395422002E-3</v>
      </c>
      <c r="AA291" s="36"/>
    </row>
    <row r="292" spans="15:27" ht="13.9" customHeight="1" x14ac:dyDescent="0.3">
      <c r="O292" s="12">
        <f t="shared" si="32"/>
        <v>23.25</v>
      </c>
      <c r="P292" s="13">
        <v>279</v>
      </c>
      <c r="Q292" s="22">
        <v>3.8663232109504619E-2</v>
      </c>
      <c r="R292" s="19">
        <f t="shared" si="33"/>
        <v>3.5898360031422882E-2</v>
      </c>
      <c r="S292" s="22">
        <v>3.8675417048252614E-2</v>
      </c>
      <c r="T292" s="19">
        <f t="shared" si="34"/>
        <v>3.7210363327704554E-2</v>
      </c>
      <c r="U292" s="24">
        <v>4.301970285324308E-2</v>
      </c>
      <c r="V292" s="24">
        <f t="shared" si="35"/>
        <v>4.0946886801167981E-2</v>
      </c>
      <c r="W292" s="23">
        <f t="shared" si="36"/>
        <v>3.3486754867990687E-3</v>
      </c>
      <c r="X292" s="24">
        <v>4.2150732481363917E-2</v>
      </c>
      <c r="Y292" s="24">
        <f t="shared" si="37"/>
        <v>4.0187476757497453E-2</v>
      </c>
      <c r="Z292" s="23">
        <f t="shared" si="38"/>
        <v>3.2870559784508036E-3</v>
      </c>
      <c r="AA292" s="36"/>
    </row>
    <row r="293" spans="15:27" ht="13.9" customHeight="1" x14ac:dyDescent="0.3">
      <c r="O293" s="12">
        <f t="shared" si="32"/>
        <v>23.333333333333332</v>
      </c>
      <c r="P293" s="13">
        <v>280</v>
      </c>
      <c r="Q293" s="22">
        <v>3.865334444728008E-2</v>
      </c>
      <c r="R293" s="19">
        <f t="shared" si="33"/>
        <v>3.5863775891217253E-2</v>
      </c>
      <c r="S293" s="22">
        <v>3.8670181033151119E-2</v>
      </c>
      <c r="T293" s="19">
        <f t="shared" si="34"/>
        <v>3.7265358777839763E-2</v>
      </c>
      <c r="U293" s="24">
        <v>4.3012292599347024E-2</v>
      </c>
      <c r="V293" s="24">
        <f t="shared" si="35"/>
        <v>4.0961142645186133E-2</v>
      </c>
      <c r="W293" s="23">
        <f t="shared" si="36"/>
        <v>3.3498287617816924E-3</v>
      </c>
      <c r="X293" s="24">
        <v>4.2143714264676557E-2</v>
      </c>
      <c r="Y293" s="24">
        <f t="shared" si="37"/>
        <v>4.0209124947770736E-2</v>
      </c>
      <c r="Z293" s="23">
        <f t="shared" si="38"/>
        <v>3.2888098918941733E-3</v>
      </c>
      <c r="AA293" s="36"/>
    </row>
    <row r="294" spans="15:27" ht="13.9" customHeight="1" x14ac:dyDescent="0.3">
      <c r="O294" s="12">
        <f t="shared" si="32"/>
        <v>23.416666666666668</v>
      </c>
      <c r="P294" s="13">
        <v>281</v>
      </c>
      <c r="Q294" s="22">
        <v>3.8643403849561331E-2</v>
      </c>
      <c r="R294" s="19">
        <f t="shared" si="33"/>
        <v>3.5829226228600852E-2</v>
      </c>
      <c r="S294" s="22">
        <v>3.8665178293818325E-2</v>
      </c>
      <c r="T294" s="19">
        <f t="shared" si="34"/>
        <v>3.7319808356988116E-2</v>
      </c>
      <c r="U294" s="24">
        <v>4.3004985972054932E-2</v>
      </c>
      <c r="V294" s="24">
        <f t="shared" si="35"/>
        <v>4.0975297300493763E-2</v>
      </c>
      <c r="W294" s="23">
        <f t="shared" si="36"/>
        <v>3.3509738337231809E-3</v>
      </c>
      <c r="X294" s="24">
        <v>4.2136823229861564E-2</v>
      </c>
      <c r="Y294" s="24">
        <f t="shared" si="37"/>
        <v>4.0230601955159484E-2</v>
      </c>
      <c r="Z294" s="23">
        <f t="shared" si="38"/>
        <v>3.2905498971311786E-3</v>
      </c>
      <c r="AA294" s="36"/>
    </row>
    <row r="295" spans="15:27" ht="13.9" customHeight="1" x14ac:dyDescent="0.3">
      <c r="O295" s="12">
        <f t="shared" si="32"/>
        <v>23.5</v>
      </c>
      <c r="P295" s="13">
        <v>282</v>
      </c>
      <c r="Q295" s="22">
        <v>3.8633411000495999E-2</v>
      </c>
      <c r="R295" s="19">
        <f t="shared" si="33"/>
        <v>3.5794708786510254E-2</v>
      </c>
      <c r="S295" s="22">
        <v>3.8660404396951176E-2</v>
      </c>
      <c r="T295" s="19">
        <f t="shared" si="34"/>
        <v>3.7373717926252104E-2</v>
      </c>
      <c r="U295" s="24">
        <v>4.2997781507130739E-2</v>
      </c>
      <c r="V295" s="24">
        <f t="shared" si="35"/>
        <v>4.0989351513475825E-2</v>
      </c>
      <c r="W295" s="23">
        <f t="shared" si="36"/>
        <v>3.352110763663374E-3</v>
      </c>
      <c r="X295" s="24">
        <v>4.2130057412168798E-2</v>
      </c>
      <c r="Y295" s="24">
        <f t="shared" si="37"/>
        <v>4.0251909202476899E-2</v>
      </c>
      <c r="Z295" s="23">
        <f t="shared" si="38"/>
        <v>3.2922761104898779E-3</v>
      </c>
      <c r="AA295" s="36"/>
    </row>
    <row r="296" spans="15:27" ht="13.9" customHeight="1" x14ac:dyDescent="0.3">
      <c r="O296" s="12">
        <f t="shared" si="32"/>
        <v>23.583333333333332</v>
      </c>
      <c r="P296" s="13">
        <v>283</v>
      </c>
      <c r="Q296" s="22">
        <v>3.8623366566579831E-2</v>
      </c>
      <c r="R296" s="19">
        <f t="shared" si="33"/>
        <v>3.5760220912675944E-2</v>
      </c>
      <c r="S296" s="22">
        <v>3.8655854993135952E-2</v>
      </c>
      <c r="T296" s="19">
        <f t="shared" si="34"/>
        <v>3.7427093276047652E-2</v>
      </c>
      <c r="U296" s="24">
        <v>4.2990677763731E-2</v>
      </c>
      <c r="V296" s="24">
        <f t="shared" si="35"/>
        <v>4.1003306029118169E-2</v>
      </c>
      <c r="W296" s="23">
        <f t="shared" si="36"/>
        <v>3.3532396118567398E-3</v>
      </c>
      <c r="X296" s="24">
        <v>4.2123414879753796E-2</v>
      </c>
      <c r="Y296" s="24">
        <f t="shared" si="37"/>
        <v>4.0273048100692099E-2</v>
      </c>
      <c r="Z296" s="23">
        <f t="shared" si="38"/>
        <v>3.2939886471079483E-3</v>
      </c>
      <c r="AA296" s="36"/>
    </row>
    <row r="297" spans="15:27" ht="13.9" customHeight="1" x14ac:dyDescent="0.3">
      <c r="O297" s="12">
        <f t="shared" si="32"/>
        <v>23.666666666666668</v>
      </c>
      <c r="P297" s="13">
        <v>284</v>
      </c>
      <c r="Q297" s="22">
        <v>3.8613271195570897E-2</v>
      </c>
      <c r="R297" s="19">
        <f t="shared" si="33"/>
        <v>3.5725760355135749E-2</v>
      </c>
      <c r="S297" s="22">
        <v>3.865152581510789E-2</v>
      </c>
      <c r="T297" s="19">
        <f t="shared" si="34"/>
        <v>3.7479940125765721E-2</v>
      </c>
      <c r="U297" s="24">
        <v>4.2983673323987226E-2</v>
      </c>
      <c r="V297" s="24">
        <f t="shared" si="35"/>
        <v>4.1017161582901585E-2</v>
      </c>
      <c r="W297" s="23">
        <f t="shared" si="36"/>
        <v>3.3543604384396186E-3</v>
      </c>
      <c r="X297" s="24">
        <v>4.2116893733053828E-2</v>
      </c>
      <c r="Y297" s="24">
        <f t="shared" si="37"/>
        <v>4.029402004696836E-2</v>
      </c>
      <c r="Z297" s="23">
        <f t="shared" si="38"/>
        <v>3.2956876211569508E-3</v>
      </c>
      <c r="AA297" s="36"/>
    </row>
    <row r="298" spans="15:27" ht="13.9" customHeight="1" x14ac:dyDescent="0.3">
      <c r="O298" s="12">
        <f t="shared" si="32"/>
        <v>23.75</v>
      </c>
      <c r="P298" s="13">
        <v>285</v>
      </c>
      <c r="Q298" s="22">
        <v>3.86031255182262E-2</v>
      </c>
      <c r="R298" s="19">
        <f t="shared" si="33"/>
        <v>3.569132499388461E-2</v>
      </c>
      <c r="S298" s="22">
        <v>3.8647412676046766E-2</v>
      </c>
      <c r="T298" s="19">
        <f t="shared" si="34"/>
        <v>3.7532264126804771E-2</v>
      </c>
      <c r="U298" s="24">
        <v>4.2976766792568233E-2</v>
      </c>
      <c r="V298" s="24">
        <f t="shared" si="35"/>
        <v>4.1030918907050129E-2</v>
      </c>
      <c r="W298" s="23">
        <f t="shared" si="36"/>
        <v>3.3554733027807426E-3</v>
      </c>
      <c r="X298" s="24">
        <v>4.2110492104170616E-2</v>
      </c>
      <c r="Y298" s="24">
        <f t="shared" si="37"/>
        <v>4.0314826427464423E-2</v>
      </c>
      <c r="Z298" s="23">
        <f t="shared" si="38"/>
        <v>3.2973731456835687E-3</v>
      </c>
      <c r="AA298" s="36"/>
    </row>
    <row r="299" spans="15:27" ht="13.9" customHeight="1" x14ac:dyDescent="0.3">
      <c r="O299" s="12">
        <f t="shared" si="32"/>
        <v>23.833333333333332</v>
      </c>
      <c r="P299" s="13">
        <v>286</v>
      </c>
      <c r="Q299" s="22">
        <v>3.8592930149060622E-2</v>
      </c>
      <c r="R299" s="19">
        <f t="shared" si="33"/>
        <v>3.56569127135693E-2</v>
      </c>
      <c r="S299" s="22">
        <v>3.8643511467918001E-2</v>
      </c>
      <c r="T299" s="19">
        <f t="shared" si="34"/>
        <v>3.7584070860476215E-2</v>
      </c>
      <c r="U299" s="24">
        <v>4.2969956796273134E-2</v>
      </c>
      <c r="V299" s="24">
        <f t="shared" si="35"/>
        <v>4.1044578725199843E-2</v>
      </c>
      <c r="W299" s="23">
        <f t="shared" si="36"/>
        <v>3.3565782639817243E-3</v>
      </c>
      <c r="X299" s="24">
        <v>4.2104208156276579E-2</v>
      </c>
      <c r="Y299" s="24">
        <f t="shared" si="37"/>
        <v>4.033546861357018E-2</v>
      </c>
      <c r="Z299" s="23">
        <f t="shared" si="38"/>
        <v>3.2990453328358704E-3</v>
      </c>
      <c r="AA299" s="36"/>
    </row>
    <row r="300" spans="15:27" ht="13.9" customHeight="1" x14ac:dyDescent="0.3">
      <c r="O300" s="12">
        <f t="shared" si="32"/>
        <v>23.916666666666668</v>
      </c>
      <c r="P300" s="13">
        <v>287</v>
      </c>
      <c r="Q300" s="22">
        <v>3.8582685686644913E-2</v>
      </c>
      <c r="R300" s="19">
        <f t="shared" si="33"/>
        <v>3.5622521398348983E-2</v>
      </c>
      <c r="S300" s="22">
        <v>3.8639818159842632E-2</v>
      </c>
      <c r="T300" s="19">
        <f t="shared" si="34"/>
        <v>3.7635365842291435E-2</v>
      </c>
      <c r="U300" s="24">
        <v>4.296324198361523E-2</v>
      </c>
      <c r="V300" s="24">
        <f t="shared" si="35"/>
        <v>4.1058141758452127E-2</v>
      </c>
      <c r="W300" s="23">
        <f t="shared" si="36"/>
        <v>3.3576753804491766E-3</v>
      </c>
      <c r="X300" s="24">
        <v>4.2098040083019095E-2</v>
      </c>
      <c r="Y300" s="24">
        <f t="shared" si="37"/>
        <v>4.0355947966727479E-2</v>
      </c>
      <c r="Z300" s="23">
        <f t="shared" si="38"/>
        <v>3.3007042935613295E-3</v>
      </c>
      <c r="AA300" s="36"/>
    </row>
    <row r="301" spans="15:27" ht="13.9" customHeight="1" x14ac:dyDescent="0.3">
      <c r="O301" s="12">
        <f t="shared" si="32"/>
        <v>24</v>
      </c>
      <c r="P301" s="13">
        <v>288</v>
      </c>
      <c r="Q301" s="22">
        <v>3.8572392713880799E-2</v>
      </c>
      <c r="R301" s="19">
        <f t="shared" si="33"/>
        <v>3.5588148803790576E-2</v>
      </c>
      <c r="S301" s="22">
        <v>3.8636328796516572E-2</v>
      </c>
      <c r="T301" s="19">
        <f t="shared" si="34"/>
        <v>3.7686154520615078E-2</v>
      </c>
      <c r="U301" s="24">
        <v>4.2956621024434982E-2</v>
      </c>
      <c r="V301" s="24">
        <f t="shared" si="35"/>
        <v>4.1071608718908692E-2</v>
      </c>
      <c r="W301" s="23">
        <f t="shared" si="36"/>
        <v>3.3587647103823226E-3</v>
      </c>
      <c r="X301" s="24">
        <v>4.209198610795517E-2</v>
      </c>
      <c r="Y301" s="24">
        <f t="shared" si="37"/>
        <v>4.0376265833654168E-2</v>
      </c>
      <c r="Z301" s="23">
        <f t="shared" si="38"/>
        <v>3.302350137993626E-3</v>
      </c>
      <c r="AA301" s="36"/>
    </row>
    <row r="302" spans="15:27" ht="13.9" customHeight="1" x14ac:dyDescent="0.3">
      <c r="O302" s="12">
        <f t="shared" si="32"/>
        <v>24.083333333333332</v>
      </c>
      <c r="P302" s="13">
        <v>289</v>
      </c>
      <c r="Q302" s="22">
        <v>3.8562051797824459E-2</v>
      </c>
      <c r="R302" s="19">
        <f t="shared" si="33"/>
        <v>3.5553792297861264E-2</v>
      </c>
      <c r="S302" s="22">
        <v>3.863303949665764E-2</v>
      </c>
      <c r="T302" s="19">
        <f t="shared" si="34"/>
        <v>3.7736442278806459E-2</v>
      </c>
      <c r="U302" s="24">
        <v>4.2950092609498558E-2</v>
      </c>
      <c r="V302" s="24">
        <f t="shared" si="35"/>
        <v>4.1084980316340891E-2</v>
      </c>
      <c r="W302" s="23">
        <f t="shared" si="36"/>
        <v>3.3598463112518573E-3</v>
      </c>
      <c r="X302" s="24">
        <v>4.2086044483980567E-2</v>
      </c>
      <c r="Y302" s="24">
        <f t="shared" si="37"/>
        <v>4.0396423551093852E-2</v>
      </c>
      <c r="Z302" s="23">
        <f t="shared" si="38"/>
        <v>3.3039829750698413E-3</v>
      </c>
      <c r="AA302" s="36"/>
    </row>
    <row r="303" spans="15:27" ht="13.9" customHeight="1" x14ac:dyDescent="0.3">
      <c r="O303" s="12">
        <f t="shared" si="32"/>
        <v>24.166666666666668</v>
      </c>
      <c r="P303" s="13">
        <v>290</v>
      </c>
      <c r="Q303" s="22">
        <v>3.8551663488618715E-2</v>
      </c>
      <c r="R303" s="19">
        <f t="shared" si="33"/>
        <v>3.5519449639082046E-2</v>
      </c>
      <c r="S303" s="22">
        <v>3.8629946451493202E-2</v>
      </c>
      <c r="T303" s="19">
        <f t="shared" si="34"/>
        <v>3.778623443532525E-2</v>
      </c>
      <c r="U303" s="24">
        <v>4.2943655450128126E-2</v>
      </c>
      <c r="V303" s="24">
        <f t="shared" si="35"/>
        <v>4.1098257252528692E-2</v>
      </c>
      <c r="W303" s="23">
        <f t="shared" si="36"/>
        <v>3.360920240336851E-3</v>
      </c>
      <c r="X303" s="24">
        <v>4.2080213492787788E-2</v>
      </c>
      <c r="Y303" s="24">
        <f t="shared" si="37"/>
        <v>4.0416422443191324E-2</v>
      </c>
      <c r="Z303" s="23">
        <f t="shared" si="38"/>
        <v>3.3056029129119313E-3</v>
      </c>
      <c r="AA303" s="36"/>
    </row>
    <row r="304" spans="15:27" ht="13.9" customHeight="1" x14ac:dyDescent="0.3">
      <c r="O304" s="12">
        <f t="shared" si="32"/>
        <v>24.25</v>
      </c>
      <c r="P304" s="13">
        <v>291</v>
      </c>
      <c r="Q304" s="22">
        <v>3.8541228321128829E-2</v>
      </c>
      <c r="R304" s="19">
        <f t="shared" si="33"/>
        <v>3.5485118717541564E-2</v>
      </c>
      <c r="S304" s="22">
        <v>3.8627045923279146E-2</v>
      </c>
      <c r="T304" s="19">
        <f t="shared" si="34"/>
        <v>3.7835536245001578E-2</v>
      </c>
      <c r="U304" s="24">
        <v>4.2937308277820385E-2</v>
      </c>
      <c r="V304" s="24">
        <f t="shared" si="35"/>
        <v>4.1111440223784435E-2</v>
      </c>
      <c r="W304" s="23">
        <f t="shared" si="36"/>
        <v>3.3619865542704463E-3</v>
      </c>
      <c r="X304" s="24">
        <v>4.2074491444325623E-2</v>
      </c>
      <c r="Y304" s="24">
        <f t="shared" si="37"/>
        <v>4.0436263820692098E-2</v>
      </c>
      <c r="Z304" s="23">
        <f t="shared" si="38"/>
        <v>3.3072100586164499E-3</v>
      </c>
      <c r="AA304" s="36"/>
    </row>
    <row r="305" spans="15:27" ht="13.9" customHeight="1" x14ac:dyDescent="0.3">
      <c r="O305" s="12">
        <f t="shared" si="32"/>
        <v>24.333333333333332</v>
      </c>
      <c r="P305" s="13">
        <v>292</v>
      </c>
      <c r="Q305" s="22">
        <v>3.8530746815655048E-2</v>
      </c>
      <c r="R305" s="19">
        <f t="shared" si="33"/>
        <v>3.5450797425012892E-2</v>
      </c>
      <c r="S305" s="22">
        <v>3.8624334243854364E-2</v>
      </c>
      <c r="T305" s="19">
        <f t="shared" si="34"/>
        <v>3.7884352900594553E-2</v>
      </c>
      <c r="U305" s="24">
        <v>4.2931049843880853E-2</v>
      </c>
      <c r="V305" s="24">
        <f t="shared" si="35"/>
        <v>4.112452992262261E-2</v>
      </c>
      <c r="W305" s="23">
        <f t="shared" si="36"/>
        <v>3.3630453092414747E-3</v>
      </c>
      <c r="X305" s="24">
        <v>4.2068876676268019E-2</v>
      </c>
      <c r="Y305" s="24">
        <f t="shared" si="37"/>
        <v>4.0455948984734258E-2</v>
      </c>
      <c r="Z305" s="23">
        <f t="shared" si="38"/>
        <v>3.308804518190156E-3</v>
      </c>
      <c r="AA305" s="36"/>
    </row>
    <row r="306" spans="15:27" ht="13.9" customHeight="1" x14ac:dyDescent="0.3">
      <c r="O306" s="12">
        <f t="shared" si="32"/>
        <v>24.416666666666668</v>
      </c>
      <c r="P306" s="13">
        <v>293</v>
      </c>
      <c r="Q306" s="22">
        <v>3.8520219478186402E-2</v>
      </c>
      <c r="R306" s="19">
        <f t="shared" si="33"/>
        <v>3.5416483653956998E-2</v>
      </c>
      <c r="S306" s="22">
        <v>3.8621807813230324E-2</v>
      </c>
      <c r="T306" s="19">
        <f t="shared" si="34"/>
        <v>3.7932689532109931E-2</v>
      </c>
      <c r="U306" s="24">
        <v>4.2924878919072151E-2</v>
      </c>
      <c r="V306" s="24">
        <f t="shared" si="35"/>
        <v>4.1137527034295074E-2</v>
      </c>
      <c r="W306" s="23">
        <f t="shared" si="36"/>
        <v>3.3640965611294593E-3</v>
      </c>
      <c r="X306" s="24">
        <v>4.2063367553505593E-2</v>
      </c>
      <c r="Y306" s="24">
        <f t="shared" si="37"/>
        <v>4.0475479223480049E-2</v>
      </c>
      <c r="Z306" s="23">
        <f t="shared" si="38"/>
        <v>3.3103863968551028E-3</v>
      </c>
      <c r="AA306" s="36"/>
    </row>
    <row r="307" spans="15:27" ht="13.9" customHeight="1" x14ac:dyDescent="0.3">
      <c r="O307" s="12">
        <f t="shared" si="32"/>
        <v>24.5</v>
      </c>
      <c r="P307" s="13">
        <v>294</v>
      </c>
      <c r="Q307" s="22">
        <v>3.8509646800645836E-2</v>
      </c>
      <c r="R307" s="19">
        <f t="shared" si="33"/>
        <v>3.5382175170295627E-2</v>
      </c>
      <c r="S307" s="22">
        <v>3.8619463098207296E-2</v>
      </c>
      <c r="T307" s="19">
        <f t="shared" si="34"/>
        <v>3.7980551209952917E-2</v>
      </c>
      <c r="U307" s="24">
        <v>4.2918794293257845E-2</v>
      </c>
      <c r="V307" s="24">
        <f t="shared" si="35"/>
        <v>4.1150432239901003E-2</v>
      </c>
      <c r="W307" s="23">
        <f t="shared" si="36"/>
        <v>3.3651403652261713E-3</v>
      </c>
      <c r="X307" s="24">
        <v>4.2057962467637156E-2</v>
      </c>
      <c r="Y307" s="24">
        <f t="shared" si="37"/>
        <v>4.049485581443335E-2</v>
      </c>
      <c r="Z307" s="23">
        <f t="shared" si="38"/>
        <v>3.3119557987779658E-3</v>
      </c>
      <c r="AA307" s="36"/>
    </row>
    <row r="308" spans="15:27" ht="13.9" customHeight="1" x14ac:dyDescent="0.3">
      <c r="O308" s="12">
        <f t="shared" si="32"/>
        <v>24.583333333333332</v>
      </c>
      <c r="P308" s="13">
        <v>295</v>
      </c>
      <c r="Q308" s="22">
        <v>3.8499029260697037E-2</v>
      </c>
      <c r="R308" s="19">
        <f t="shared" si="33"/>
        <v>3.5347869357242212E-2</v>
      </c>
      <c r="S308" s="22">
        <v>3.8617296631030307E-2</v>
      </c>
      <c r="T308" s="19">
        <f t="shared" si="34"/>
        <v>3.8027942942820747E-2</v>
      </c>
      <c r="U308" s="24">
        <v>4.2912794775062935E-2</v>
      </c>
      <c r="V308" s="24">
        <f t="shared" si="35"/>
        <v>4.1163246214760418E-2</v>
      </c>
      <c r="W308" s="23">
        <f t="shared" si="36"/>
        <v>3.3661767764860961E-3</v>
      </c>
      <c r="X308" s="24">
        <v>4.2052659836478989E-2</v>
      </c>
      <c r="Y308" s="24">
        <f t="shared" si="37"/>
        <v>4.0514080022648447E-2</v>
      </c>
      <c r="Z308" s="23">
        <f t="shared" si="38"/>
        <v>3.3135128272567815E-3</v>
      </c>
      <c r="AA308" s="36"/>
    </row>
    <row r="309" spans="15:27" ht="13.9" customHeight="1" x14ac:dyDescent="0.3">
      <c r="O309" s="12">
        <f t="shared" si="32"/>
        <v>24.666666666666668</v>
      </c>
      <c r="P309" s="13">
        <v>296</v>
      </c>
      <c r="Q309" s="22">
        <v>3.848836732068861E-2</v>
      </c>
      <c r="R309" s="19">
        <f t="shared" si="33"/>
        <v>3.5313563982753093E-2</v>
      </c>
      <c r="S309" s="22">
        <v>3.8615305008064427E-2</v>
      </c>
      <c r="T309" s="19">
        <f t="shared" si="34"/>
        <v>3.8074869680795986E-2</v>
      </c>
      <c r="U309" s="24">
        <v>4.2906879191537017E-2</v>
      </c>
      <c r="V309" s="24">
        <f t="shared" si="35"/>
        <v>4.1175969627851305E-2</v>
      </c>
      <c r="W309" s="23">
        <f t="shared" si="36"/>
        <v>3.3672058493940948E-3</v>
      </c>
      <c r="X309" s="24">
        <v>4.204745810357835E-2</v>
      </c>
      <c r="Y309" s="24">
        <f t="shared" si="37"/>
        <v>4.0533153102370267E-2</v>
      </c>
      <c r="Z309" s="23">
        <f t="shared" si="38"/>
        <v>3.3150575845772856E-3</v>
      </c>
      <c r="AA309" s="36"/>
    </row>
    <row r="310" spans="15:27" ht="13.9" customHeight="1" x14ac:dyDescent="0.3">
      <c r="O310" s="12">
        <f t="shared" si="32"/>
        <v>24.75</v>
      </c>
      <c r="P310" s="13">
        <v>297</v>
      </c>
      <c r="Q310" s="22">
        <v>3.8477661429209942E-2</v>
      </c>
      <c r="R310" s="19">
        <f t="shared" si="33"/>
        <v>3.5279256943228088E-2</v>
      </c>
      <c r="S310" s="22">
        <v>3.8613484888508687E-2</v>
      </c>
      <c r="T310" s="19">
        <f t="shared" si="34"/>
        <v>3.8121336315821042E-2</v>
      </c>
      <c r="U310" s="24">
        <v>4.2901046387821662E-2</v>
      </c>
      <c r="V310" s="24">
        <f t="shared" si="35"/>
        <v>4.1188603144699965E-2</v>
      </c>
      <c r="W310" s="23">
        <f t="shared" si="36"/>
        <v>3.3682276379229936E-3</v>
      </c>
      <c r="X310" s="24">
        <v>4.2042355737741843E-2</v>
      </c>
      <c r="Y310" s="24">
        <f t="shared" si="37"/>
        <v>4.05520762971181E-2</v>
      </c>
      <c r="Z310" s="23">
        <f t="shared" si="38"/>
        <v>3.3165901721441404E-3</v>
      </c>
      <c r="AA310" s="36"/>
    </row>
    <row r="311" spans="15:27" ht="13.9" customHeight="1" x14ac:dyDescent="0.3">
      <c r="O311" s="12">
        <f t="shared" si="32"/>
        <v>24.833333333333332</v>
      </c>
      <c r="P311" s="13">
        <v>298</v>
      </c>
      <c r="Q311" s="22">
        <v>3.8466912021753563E-2</v>
      </c>
      <c r="R311" s="19">
        <f t="shared" si="33"/>
        <v>3.5244946135485122E-2</v>
      </c>
      <c r="S311" s="22">
        <v>3.8611832993137085E-2</v>
      </c>
      <c r="T311" s="19">
        <f t="shared" si="34"/>
        <v>3.8167347682516173E-2</v>
      </c>
      <c r="U311" s="24">
        <v>4.2895295226834662E-2</v>
      </c>
      <c r="V311" s="24">
        <f t="shared" si="35"/>
        <v>4.1201147424973161E-2</v>
      </c>
      <c r="W311" s="23">
        <f t="shared" si="36"/>
        <v>3.3692421957629559E-3</v>
      </c>
      <c r="X311" s="24">
        <v>4.2037351232574016E-2</v>
      </c>
      <c r="Y311" s="24">
        <f t="shared" si="37"/>
        <v>4.0570850839305672E-2</v>
      </c>
      <c r="Z311" s="23">
        <f t="shared" si="38"/>
        <v>3.3181106904895952E-3</v>
      </c>
      <c r="AA311" s="36"/>
    </row>
    <row r="312" spans="15:27" ht="13.9" customHeight="1" x14ac:dyDescent="0.3">
      <c r="O312" s="12">
        <f t="shared" si="32"/>
        <v>24.916666666666668</v>
      </c>
      <c r="P312" s="13">
        <v>299</v>
      </c>
      <c r="Q312" s="22">
        <v>3.8456119520935639E-2</v>
      </c>
      <c r="R312" s="19">
        <f t="shared" si="33"/>
        <v>3.5210629456776443E-2</v>
      </c>
      <c r="S312" s="22">
        <v>3.8610346103067794E-2</v>
      </c>
      <c r="T312" s="19">
        <f t="shared" si="34"/>
        <v>3.8212908557116121E-2</v>
      </c>
      <c r="U312" s="24">
        <v>4.2889624588952069E-2</v>
      </c>
      <c r="V312" s="24">
        <f t="shared" si="35"/>
        <v>4.1213603122021825E-2</v>
      </c>
      <c r="W312" s="23">
        <f t="shared" si="36"/>
        <v>3.370249576130302E-3</v>
      </c>
      <c r="X312" s="24">
        <v>4.2032443106024386E-2</v>
      </c>
      <c r="Y312" s="24">
        <f t="shared" si="37"/>
        <v>4.0589477949240393E-2</v>
      </c>
      <c r="Z312" s="23">
        <f t="shared" si="38"/>
        <v>3.3196192392408452E-3</v>
      </c>
      <c r="AA312" s="36"/>
    </row>
    <row r="313" spans="15:27" ht="13.9" customHeight="1" x14ac:dyDescent="0.3">
      <c r="O313" s="12">
        <f t="shared" si="32"/>
        <v>25</v>
      </c>
      <c r="P313" s="13">
        <v>300</v>
      </c>
      <c r="Q313" s="22">
        <v>3.8445284336710239E-2</v>
      </c>
      <c r="R313" s="19">
        <f t="shared" si="33"/>
        <v>3.5176304679708226E-2</v>
      </c>
      <c r="S313" s="22">
        <v>3.8609021058554349E-2</v>
      </c>
      <c r="T313" s="19">
        <f t="shared" si="34"/>
        <v>3.8258023661454921E-2</v>
      </c>
      <c r="U313" s="24">
        <v>4.2884033371695329E-2</v>
      </c>
      <c r="V313" s="24">
        <f t="shared" si="35"/>
        <v>4.1225970885945928E-2</v>
      </c>
      <c r="W313" s="23">
        <f t="shared" si="36"/>
        <v>3.3712498317295392E-3</v>
      </c>
      <c r="X313" s="24">
        <v>4.2027629899938912E-2</v>
      </c>
      <c r="Y313" s="24">
        <f t="shared" si="37"/>
        <v>4.0607958837674429E-2</v>
      </c>
      <c r="Z313" s="23">
        <f t="shared" si="38"/>
        <v>3.3211159170418725E-3</v>
      </c>
      <c r="AA313" s="36"/>
    </row>
    <row r="314" spans="15:27" ht="13.9" customHeight="1" x14ac:dyDescent="0.3">
      <c r="O314" s="12">
        <f t="shared" si="32"/>
        <v>25.083333333333332</v>
      </c>
      <c r="P314" s="13">
        <v>301</v>
      </c>
      <c r="Q314" s="22">
        <v>3.8434406866164839E-2</v>
      </c>
      <c r="R314" s="19">
        <f t="shared" si="33"/>
        <v>3.5141969202010293E-2</v>
      </c>
      <c r="S314" s="22">
        <v>3.8607854757813254E-2</v>
      </c>
      <c r="T314" s="19">
        <f t="shared" si="34"/>
        <v>3.8302697660785423E-2</v>
      </c>
      <c r="U314" s="24">
        <v>4.2878520489435079E-2</v>
      </c>
      <c r="V314" s="24">
        <f t="shared" si="35"/>
        <v>4.1238251359345224E-2</v>
      </c>
      <c r="W314" s="23">
        <f t="shared" si="36"/>
        <v>3.3722430150007199E-3</v>
      </c>
      <c r="X314" s="24">
        <v>4.2022910179630779E-2</v>
      </c>
      <c r="Y314" s="24">
        <f t="shared" si="37"/>
        <v>4.062629470345791E-2</v>
      </c>
      <c r="Z314" s="23">
        <f t="shared" si="38"/>
        <v>3.3226008217575043E-3</v>
      </c>
      <c r="AA314" s="36"/>
    </row>
    <row r="315" spans="15:27" ht="13.9" customHeight="1" x14ac:dyDescent="0.3">
      <c r="O315" s="12">
        <f t="shared" si="32"/>
        <v>25.166666666666668</v>
      </c>
      <c r="P315" s="13">
        <v>302</v>
      </c>
      <c r="Q315" s="22">
        <v>3.8423487492486474E-2</v>
      </c>
      <c r="R315" s="19">
        <f t="shared" si="33"/>
        <v>3.5107620796693162E-2</v>
      </c>
      <c r="S315" s="22">
        <v>3.8606844155869569E-2</v>
      </c>
      <c r="T315" s="19">
        <f t="shared" si="34"/>
        <v>3.834693516718457E-2</v>
      </c>
      <c r="U315" s="24">
        <v>4.2873084873086276E-2</v>
      </c>
      <c r="V315" s="24">
        <f t="shared" si="35"/>
        <v>4.1250445184083162E-2</v>
      </c>
      <c r="W315" s="23">
        <f t="shared" si="36"/>
        <v>3.3732291777770484E-3</v>
      </c>
      <c r="X315" s="24">
        <v>4.2018282533449858E-2</v>
      </c>
      <c r="Y315" s="24">
        <f t="shared" si="37"/>
        <v>4.0644486737271501E-2</v>
      </c>
      <c r="Z315" s="23">
        <f t="shared" si="38"/>
        <v>3.3240740502853416E-3</v>
      </c>
      <c r="AA315" s="36"/>
    </row>
    <row r="316" spans="15:27" ht="13.9" customHeight="1" x14ac:dyDescent="0.3">
      <c r="O316" s="12">
        <f t="shared" si="32"/>
        <v>25.25</v>
      </c>
      <c r="P316" s="13">
        <v>303</v>
      </c>
      <c r="Q316" s="22">
        <v>3.841252658643346E-2</v>
      </c>
      <c r="R316" s="19">
        <f t="shared" si="33"/>
        <v>3.5073257363056776E-2</v>
      </c>
      <c r="S316" s="22">
        <v>3.8605986263435366E-2</v>
      </c>
      <c r="T316" s="19">
        <f t="shared" si="34"/>
        <v>3.8390740737294538E-2</v>
      </c>
      <c r="U316" s="24">
        <v>4.286772546983264E-2</v>
      </c>
      <c r="V316" s="24">
        <f t="shared" si="35"/>
        <v>4.1262552990521284E-2</v>
      </c>
      <c r="W316" s="23">
        <f t="shared" si="36"/>
        <v>3.3742083718293348E-3</v>
      </c>
      <c r="X316" s="24">
        <v>4.2013745572375027E-2</v>
      </c>
      <c r="Y316" s="24">
        <f t="shared" si="37"/>
        <v>4.066253611518067E-2</v>
      </c>
      <c r="Z316" s="23">
        <f t="shared" si="38"/>
        <v>3.3255356988559637E-3</v>
      </c>
      <c r="AA316" s="36"/>
    </row>
    <row r="317" spans="15:27" ht="13.9" customHeight="1" x14ac:dyDescent="0.3">
      <c r="O317" s="12">
        <f t="shared" si="32"/>
        <v>25.333333333333332</v>
      </c>
      <c r="P317" s="13">
        <v>304</v>
      </c>
      <c r="Q317" s="22">
        <v>3.8401524506955553E-2</v>
      </c>
      <c r="R317" s="19">
        <f t="shared" si="33"/>
        <v>3.5038876801185559E-2</v>
      </c>
      <c r="S317" s="22">
        <v>3.8605278145803501E-2</v>
      </c>
      <c r="T317" s="19">
        <f t="shared" si="34"/>
        <v>3.8434118875922296E-2</v>
      </c>
      <c r="U317" s="24">
        <v>4.2862441242819793E-2</v>
      </c>
      <c r="V317" s="24">
        <f t="shared" si="35"/>
        <v>4.1274575410649383E-2</v>
      </c>
      <c r="W317" s="23">
        <f t="shared" si="36"/>
        <v>3.3751806480004642E-3</v>
      </c>
      <c r="X317" s="24">
        <v>4.2009297929592293E-2</v>
      </c>
      <c r="Y317" s="24">
        <f t="shared" si="37"/>
        <v>4.0680444006953476E-2</v>
      </c>
      <c r="Z317" s="23">
        <f t="shared" si="38"/>
        <v>3.3269858625151194E-3</v>
      </c>
      <c r="AA317" s="36"/>
    </row>
    <row r="318" spans="15:27" ht="13.9" customHeight="1" x14ac:dyDescent="0.3">
      <c r="O318" s="12">
        <f t="shared" si="32"/>
        <v>25.416666666666668</v>
      </c>
      <c r="P318" s="13">
        <v>305</v>
      </c>
      <c r="Q318" s="22">
        <v>3.8390481601389581E-2</v>
      </c>
      <c r="R318" s="19">
        <f t="shared" si="33"/>
        <v>3.5004477009980661E-2</v>
      </c>
      <c r="S318" s="22">
        <v>3.8604716921775806E-2</v>
      </c>
      <c r="T318" s="19">
        <f t="shared" si="34"/>
        <v>3.8477074035113468E-2</v>
      </c>
      <c r="U318" s="24">
        <v>4.2857231170898125E-2</v>
      </c>
      <c r="V318" s="24">
        <f t="shared" si="35"/>
        <v>4.1286513066766117E-2</v>
      </c>
      <c r="W318" s="23">
        <f t="shared" si="36"/>
        <v>3.376146057260776E-3</v>
      </c>
      <c r="X318" s="24">
        <v>4.2004938260108204E-2</v>
      </c>
      <c r="Y318" s="24">
        <f t="shared" si="37"/>
        <v>4.0698211568781062E-2</v>
      </c>
      <c r="Z318" s="23">
        <f t="shared" si="38"/>
        <v>3.3284246357920821E-3</v>
      </c>
      <c r="AA318" s="36"/>
    </row>
    <row r="319" spans="15:27" ht="13.9" customHeight="1" x14ac:dyDescent="0.3">
      <c r="O319" s="12">
        <f t="shared" si="32"/>
        <v>25.5</v>
      </c>
      <c r="P319" s="13">
        <v>306</v>
      </c>
      <c r="Q319" s="22">
        <v>3.8379398205645066E-2</v>
      </c>
      <c r="R319" s="19">
        <f t="shared" si="33"/>
        <v>3.4970055766873065E-2</v>
      </c>
      <c r="S319" s="22">
        <v>3.8604299762608374E-2</v>
      </c>
      <c r="T319" s="19">
        <f t="shared" si="34"/>
        <v>3.8519610615617594E-2</v>
      </c>
      <c r="U319" s="24">
        <v>4.2852094248334804E-2</v>
      </c>
      <c r="V319" s="24">
        <f t="shared" si="35"/>
        <v>4.1298366579974877E-2</v>
      </c>
      <c r="W319" s="23">
        <f t="shared" si="36"/>
        <v>3.3771046497981239E-3</v>
      </c>
      <c r="X319" s="24">
        <v>4.2000665240348178E-2</v>
      </c>
      <c r="Y319" s="24">
        <f t="shared" si="37"/>
        <v>4.0715839949734933E-2</v>
      </c>
      <c r="Z319" s="23">
        <f t="shared" si="38"/>
        <v>3.329852112115006E-3</v>
      </c>
      <c r="AA319" s="36"/>
    </row>
    <row r="320" spans="15:27" ht="13.9" customHeight="1" x14ac:dyDescent="0.3">
      <c r="O320" s="12">
        <f t="shared" si="32"/>
        <v>25.583333333333332</v>
      </c>
      <c r="P320" s="13">
        <v>307</v>
      </c>
      <c r="Q320" s="22">
        <v>3.8368274643991951E-2</v>
      </c>
      <c r="R320" s="19">
        <f t="shared" si="33"/>
        <v>3.4935610478454393E-2</v>
      </c>
      <c r="S320" s="22">
        <v>3.8604023890983719E-2</v>
      </c>
      <c r="T320" s="19">
        <f t="shared" si="34"/>
        <v>3.8561732965963547E-2</v>
      </c>
      <c r="U320" s="24">
        <v>4.2847029484557098E-2</v>
      </c>
      <c r="V320" s="24">
        <f t="shared" si="35"/>
        <v>4.131013656292537E-2</v>
      </c>
      <c r="W320" s="23">
        <f t="shared" si="36"/>
        <v>3.3780564757015519E-3</v>
      </c>
      <c r="X320" s="24">
        <v>4.1996477567783019E-2</v>
      </c>
      <c r="Y320" s="24">
        <f t="shared" si="37"/>
        <v>4.0733330285542824E-2</v>
      </c>
      <c r="Z320" s="23">
        <f t="shared" si="38"/>
        <v>3.3312683843302882E-3</v>
      </c>
      <c r="AA320" s="36"/>
    </row>
    <row r="321" spans="15:27" ht="13.9" customHeight="1" x14ac:dyDescent="0.3">
      <c r="O321" s="12">
        <f t="shared" si="32"/>
        <v>25.666666666666668</v>
      </c>
      <c r="P321" s="13">
        <v>308</v>
      </c>
      <c r="Q321" s="22">
        <v>3.8357111228042085E-2</v>
      </c>
      <c r="R321" s="19">
        <f t="shared" si="33"/>
        <v>3.4901138922339703E-2</v>
      </c>
      <c r="S321" s="22">
        <v>3.8603886579999136E-2</v>
      </c>
      <c r="T321" s="19">
        <f t="shared" si="34"/>
        <v>3.8603445386438562E-2</v>
      </c>
      <c r="U321" s="24">
        <v>4.2842035903878362E-2</v>
      </c>
      <c r="V321" s="24">
        <f t="shared" si="35"/>
        <v>4.1321823626687904E-2</v>
      </c>
      <c r="W321" s="23">
        <f t="shared" si="36"/>
        <v>3.3790015843766508E-3</v>
      </c>
      <c r="X321" s="24">
        <v>4.1992373960542562E-2</v>
      </c>
      <c r="Y321" s="24">
        <f t="shared" si="37"/>
        <v>4.0750683704643853E-2</v>
      </c>
      <c r="Z321" s="23">
        <f t="shared" si="38"/>
        <v>3.3326735442025246E-3</v>
      </c>
      <c r="AA321" s="36"/>
    </row>
    <row r="322" spans="15:27" ht="13.9" customHeight="1" x14ac:dyDescent="0.3">
      <c r="O322" s="12">
        <f t="shared" si="32"/>
        <v>25.75</v>
      </c>
      <c r="P322" s="13">
        <v>309</v>
      </c>
      <c r="Q322" s="22">
        <v>3.8345908258156758E-2</v>
      </c>
      <c r="R322" s="19">
        <f t="shared" si="33"/>
        <v>3.486663899797815E-2</v>
      </c>
      <c r="S322" s="22">
        <v>3.8603885152187933E-2</v>
      </c>
      <c r="T322" s="19">
        <f t="shared" si="34"/>
        <v>3.8644752125768456E-2</v>
      </c>
      <c r="U322" s="24">
        <v>4.2837112545252021E-2</v>
      </c>
      <c r="V322" s="24">
        <f t="shared" si="35"/>
        <v>4.1333428374962011E-2</v>
      </c>
      <c r="W322" s="23">
        <f t="shared" si="36"/>
        <v>3.3799400250995593E-3</v>
      </c>
      <c r="X322" s="24">
        <v>4.1988353157056624E-2</v>
      </c>
      <c r="Y322" s="24">
        <f t="shared" si="37"/>
        <v>4.0767901323736977E-2</v>
      </c>
      <c r="Z322" s="23">
        <f t="shared" si="38"/>
        <v>3.3340676829003435E-3</v>
      </c>
      <c r="AA322" s="36"/>
    </row>
    <row r="323" spans="15:27" ht="13.9" customHeight="1" x14ac:dyDescent="0.3">
      <c r="O323" s="12">
        <f t="shared" si="32"/>
        <v>25.833333333333332</v>
      </c>
      <c r="P323" s="13">
        <v>310</v>
      </c>
      <c r="Q323" s="22">
        <v>3.8334666024022912E-2</v>
      </c>
      <c r="R323" s="19">
        <f t="shared" si="33"/>
        <v>3.4832108604206713E-2</v>
      </c>
      <c r="S323" s="22">
        <v>3.860401697854976E-2</v>
      </c>
      <c r="T323" s="19">
        <f t="shared" si="34"/>
        <v>3.8685657385413297E-2</v>
      </c>
      <c r="U323" s="24">
        <v>4.2832258462009998E-2</v>
      </c>
      <c r="V323" s="24">
        <f t="shared" si="35"/>
        <v>4.1344951409214348E-2</v>
      </c>
      <c r="W323" s="23">
        <f t="shared" si="36"/>
        <v>3.3808718465506704E-3</v>
      </c>
      <c r="X323" s="24">
        <v>4.1984413915688412E-2</v>
      </c>
      <c r="Y323" s="24">
        <f t="shared" si="37"/>
        <v>4.0784984250979095E-2</v>
      </c>
      <c r="Z323" s="23">
        <f t="shared" si="38"/>
        <v>3.3354508906406899E-3</v>
      </c>
      <c r="AA323" s="36"/>
    </row>
    <row r="324" spans="15:27" ht="13.9" customHeight="1" x14ac:dyDescent="0.3">
      <c r="O324" s="12">
        <f t="shared" si="32"/>
        <v>25.916666666666668</v>
      </c>
      <c r="P324" s="13">
        <v>311</v>
      </c>
      <c r="Q324" s="22">
        <v>3.832338480482167E-2</v>
      </c>
      <c r="R324" s="19">
        <f t="shared" si="33"/>
        <v>3.479754564043569E-2</v>
      </c>
      <c r="S324" s="22">
        <v>3.8604279477612913E-2</v>
      </c>
      <c r="T324" s="19">
        <f t="shared" si="34"/>
        <v>3.8726165317281458E-2</v>
      </c>
      <c r="U324" s="24">
        <v>4.2827472721624682E-2</v>
      </c>
      <c r="V324" s="24">
        <f t="shared" si="35"/>
        <v>4.1356393324960328E-2</v>
      </c>
      <c r="W324" s="23">
        <f t="shared" si="36"/>
        <v>3.3817970972276346E-3</v>
      </c>
      <c r="X324" s="24">
        <v>4.1980555014385468E-2</v>
      </c>
      <c r="Y324" s="24">
        <f t="shared" si="37"/>
        <v>4.0801933583912708E-2</v>
      </c>
      <c r="Z324" s="23">
        <f t="shared" si="38"/>
        <v>3.3368232569437328E-3</v>
      </c>
      <c r="AA324" s="36"/>
    </row>
    <row r="325" spans="15:27" ht="13.9" customHeight="1" x14ac:dyDescent="0.3">
      <c r="O325" s="12">
        <f t="shared" si="32"/>
        <v>26</v>
      </c>
      <c r="P325" s="13">
        <v>312</v>
      </c>
      <c r="Q325" s="22">
        <v>3.8312064869397977E-2</v>
      </c>
      <c r="R325" s="19">
        <f t="shared" si="33"/>
        <v>3.4762947884386719E-2</v>
      </c>
      <c r="S325" s="22">
        <v>3.8604670114507744E-2</v>
      </c>
      <c r="T325" s="19">
        <f t="shared" si="34"/>
        <v>3.8766280026344413E-2</v>
      </c>
      <c r="U325" s="24">
        <v>4.2822754405462238E-2</v>
      </c>
      <c r="V325" s="24">
        <f t="shared" si="35"/>
        <v>4.1367754711880922E-2</v>
      </c>
      <c r="W325" s="23">
        <f t="shared" si="36"/>
        <v>3.3827158251471534E-3</v>
      </c>
      <c r="X325" s="24">
        <v>4.1976775250330833E-2</v>
      </c>
      <c r="Y325" s="24">
        <f t="shared" si="37"/>
        <v>4.0818750410302584E-2</v>
      </c>
      <c r="Z325" s="23">
        <f t="shared" si="38"/>
        <v>3.3381848704683303E-3</v>
      </c>
      <c r="AA325" s="36"/>
    </row>
    <row r="326" spans="15:27" ht="13.9" customHeight="1" x14ac:dyDescent="0.3">
      <c r="O326" s="12">
        <f t="shared" si="32"/>
        <v>26.083333333333332</v>
      </c>
      <c r="P326" s="13">
        <v>313</v>
      </c>
      <c r="Q326" s="22">
        <v>3.8300706476035451E-2</v>
      </c>
      <c r="R326" s="19">
        <f t="shared" si="33"/>
        <v>3.4728312750900825E-2</v>
      </c>
      <c r="S326" s="22">
        <v>3.8605186400066271E-2</v>
      </c>
      <c r="T326" s="19">
        <f t="shared" si="34"/>
        <v>3.8806005570351632E-2</v>
      </c>
      <c r="U326" s="24">
        <v>4.2818102608541242E-2</v>
      </c>
      <c r="V326" s="24">
        <f t="shared" si="35"/>
        <v>4.1379036157668025E-2</v>
      </c>
      <c r="W326" s="23">
        <f t="shared" si="36"/>
        <v>3.3836280778536398E-3</v>
      </c>
      <c r="X326" s="24">
        <v>4.1973073439603104E-2</v>
      </c>
      <c r="Y326" s="24">
        <f t="shared" si="37"/>
        <v>4.0835435809669862E-2</v>
      </c>
      <c r="Z326" s="23">
        <f t="shared" si="38"/>
        <v>3.3395358190790869E-3</v>
      </c>
      <c r="AA326" s="36"/>
    </row>
    <row r="327" spans="15:27" ht="13.9" customHeight="1" x14ac:dyDescent="0.3">
      <c r="O327" s="12">
        <f t="shared" si="32"/>
        <v>26.166666666666668</v>
      </c>
      <c r="P327" s="13">
        <v>314</v>
      </c>
      <c r="Q327" s="22">
        <v>3.8289309871463617E-2</v>
      </c>
      <c r="R327" s="19">
        <f t="shared" si="33"/>
        <v>3.4693638017672557E-2</v>
      </c>
      <c r="S327" s="22">
        <v>3.8605825889938661E-2</v>
      </c>
      <c r="T327" s="19">
        <f t="shared" si="34"/>
        <v>3.8845345960675681E-2</v>
      </c>
      <c r="U327" s="24">
        <v>4.2813516439308641E-2</v>
      </c>
      <c r="V327" s="24">
        <f t="shared" si="35"/>
        <v>4.1390238243413036E-2</v>
      </c>
      <c r="W327" s="23">
        <f t="shared" si="36"/>
        <v>3.38453390272897E-3</v>
      </c>
      <c r="X327" s="24">
        <v>4.1969448416848465E-2</v>
      </c>
      <c r="Y327" s="24">
        <f t="shared" si="37"/>
        <v>4.0851990850932829E-2</v>
      </c>
      <c r="Z327" s="23">
        <f t="shared" si="38"/>
        <v>3.340876189968478E-3</v>
      </c>
      <c r="AA327" s="36"/>
    </row>
    <row r="328" spans="15:27" ht="13.9" customHeight="1" x14ac:dyDescent="0.3">
      <c r="O328" s="12">
        <f t="shared" si="32"/>
        <v>26.25</v>
      </c>
      <c r="P328" s="13">
        <v>315</v>
      </c>
      <c r="Q328" s="22">
        <v>3.8277875292197061E-2</v>
      </c>
      <c r="R328" s="19">
        <f t="shared" si="33"/>
        <v>3.4658921581218305E-2</v>
      </c>
      <c r="S328" s="22">
        <v>3.860658618372903E-2</v>
      </c>
      <c r="T328" s="19">
        <f t="shared" si="34"/>
        <v>3.8884305163428223E-2</v>
      </c>
      <c r="U328" s="24">
        <v>4.2808995019405272E-2</v>
      </c>
      <c r="V328" s="24">
        <f t="shared" si="35"/>
        <v>4.1401361547370508E-2</v>
      </c>
      <c r="W328" s="23">
        <f t="shared" si="36"/>
        <v>3.3854333466216691E-3</v>
      </c>
      <c r="X328" s="24">
        <v>4.196589903495096E-2</v>
      </c>
      <c r="Y328" s="24">
        <f t="shared" si="37"/>
        <v>4.0868416594520784E-2</v>
      </c>
      <c r="Z328" s="23">
        <f t="shared" si="38"/>
        <v>3.3422060694692224E-3</v>
      </c>
      <c r="AA328" s="36"/>
    </row>
    <row r="329" spans="15:27" ht="13.9" customHeight="1" x14ac:dyDescent="0.3">
      <c r="O329" s="12">
        <f t="shared" si="32"/>
        <v>26.333333333333332</v>
      </c>
      <c r="P329" s="13">
        <v>316</v>
      </c>
      <c r="Q329" s="22">
        <v>3.8266402965073665E-2</v>
      </c>
      <c r="R329" s="19">
        <f t="shared" si="33"/>
        <v>3.4624161338453474E-2</v>
      </c>
      <c r="S329" s="22">
        <v>3.8607464924151014E-2</v>
      </c>
      <c r="T329" s="19">
        <f t="shared" si="34"/>
        <v>3.8922887098663317E-2</v>
      </c>
      <c r="U329" s="24">
        <v>4.2804537483446925E-2</v>
      </c>
      <c r="V329" s="24">
        <f t="shared" si="35"/>
        <v>4.1412406641757826E-2</v>
      </c>
      <c r="W329" s="23">
        <f t="shared" si="36"/>
        <v>3.3863264561491135E-3</v>
      </c>
      <c r="X329" s="24">
        <v>4.1962424164716516E-2</v>
      </c>
      <c r="Y329" s="24">
        <f t="shared" si="37"/>
        <v>4.0884714090257068E-2</v>
      </c>
      <c r="Z329" s="23">
        <f t="shared" si="38"/>
        <v>3.343525543223258E-3</v>
      </c>
      <c r="AA329" s="36"/>
    </row>
    <row r="330" spans="15:27" ht="13.9" customHeight="1" x14ac:dyDescent="0.3">
      <c r="O330" s="12">
        <f t="shared" si="32"/>
        <v>26.416666666666668</v>
      </c>
      <c r="P330" s="13">
        <v>317</v>
      </c>
      <c r="Q330" s="22">
        <v>3.8254893107408039E-2</v>
      </c>
      <c r="R330" s="19">
        <f t="shared" si="33"/>
        <v>3.4589355184147852E-2</v>
      </c>
      <c r="S330" s="22">
        <v>3.8608459796197758E-2</v>
      </c>
      <c r="T330" s="19">
        <f t="shared" si="34"/>
        <v>3.896109564232586E-2</v>
      </c>
      <c r="U330" s="24">
        <v>4.280014297880097E-2</v>
      </c>
      <c r="V330" s="24">
        <f t="shared" si="35"/>
        <v>4.1423374094836651E-2</v>
      </c>
      <c r="W330" s="23">
        <f t="shared" si="36"/>
        <v>3.3872132774410701E-3</v>
      </c>
      <c r="X330" s="24">
        <v>4.1959022694555204E-2</v>
      </c>
      <c r="Y330" s="24">
        <f t="shared" si="37"/>
        <v>4.0900884380315139E-2</v>
      </c>
      <c r="Z330" s="23">
        <f t="shared" si="38"/>
        <v>3.344834696011878E-3</v>
      </c>
      <c r="AA330" s="36"/>
    </row>
    <row r="331" spans="15:27" ht="13.9" customHeight="1" x14ac:dyDescent="0.3">
      <c r="O331" s="12">
        <f t="shared" si="32"/>
        <v>26.5</v>
      </c>
      <c r="P331" s="13">
        <v>318</v>
      </c>
      <c r="Q331" s="22">
        <v>3.8243345927133632E-2</v>
      </c>
      <c r="R331" s="19">
        <f t="shared" si="33"/>
        <v>3.4554500895361384E-2</v>
      </c>
      <c r="S331" s="22">
        <v>3.860956852633346E-2</v>
      </c>
      <c r="T331" s="19">
        <f t="shared" si="34"/>
        <v>3.8998934626725656E-2</v>
      </c>
      <c r="U331" s="24">
        <v>4.279581066537208E-2</v>
      </c>
      <c r="V331" s="24">
        <f t="shared" si="35"/>
        <v>4.1434264471339244E-2</v>
      </c>
      <c r="W331" s="23">
        <f t="shared" si="36"/>
        <v>3.3880938563062291E-3</v>
      </c>
      <c r="X331" s="24">
        <v>4.1955693530179694E-2</v>
      </c>
      <c r="Y331" s="24">
        <f t="shared" si="37"/>
        <v>4.0916928496272043E-2</v>
      </c>
      <c r="Z331" s="23">
        <f t="shared" si="38"/>
        <v>3.3461336119937624E-3</v>
      </c>
      <c r="AA331" s="36"/>
    </row>
    <row r="332" spans="15:27" ht="13.9" customHeight="1" x14ac:dyDescent="0.3">
      <c r="O332" s="12">
        <f t="shared" si="32"/>
        <v>26.583333333333332</v>
      </c>
      <c r="P332" s="13">
        <v>319</v>
      </c>
      <c r="Q332" s="22">
        <v>3.8231761622578908E-2</v>
      </c>
      <c r="R332" s="19">
        <f t="shared" si="33"/>
        <v>3.4519595891525867E-2</v>
      </c>
      <c r="S332" s="22">
        <v>3.8610788881701108E-2</v>
      </c>
      <c r="T332" s="19">
        <f t="shared" si="34"/>
        <v>3.9036407840613352E-2</v>
      </c>
      <c r="U332" s="24">
        <v>4.2791539715394622E-2</v>
      </c>
      <c r="V332" s="24">
        <f t="shared" si="35"/>
        <v>4.1445078330384577E-2</v>
      </c>
      <c r="W332" s="23">
        <f t="shared" si="36"/>
        <v>3.388968238267509E-3</v>
      </c>
      <c r="X332" s="24">
        <v>4.1952435594300175E-2</v>
      </c>
      <c r="Y332" s="24">
        <f t="shared" si="37"/>
        <v>4.0932847463463817E-2</v>
      </c>
      <c r="Z332" s="23">
        <f t="shared" si="38"/>
        <v>3.3474223744678344E-3</v>
      </c>
      <c r="AA332" s="36"/>
    </row>
    <row r="333" spans="15:27" ht="13.9" customHeight="1" x14ac:dyDescent="0.3">
      <c r="O333" s="12">
        <f t="shared" si="32"/>
        <v>26.666666666666668</v>
      </c>
      <c r="P333" s="13">
        <v>320</v>
      </c>
      <c r="Q333" s="22">
        <v>3.8220140381495904E-2</v>
      </c>
      <c r="R333" s="19">
        <f t="shared" si="33"/>
        <v>3.448463794746659E-2</v>
      </c>
      <c r="S333" s="22">
        <v>3.8612118669346662E-2</v>
      </c>
      <c r="T333" s="19">
        <f t="shared" si="34"/>
        <v>3.9073519028959502E-2</v>
      </c>
      <c r="U333" s="24">
        <v>4.2787329313221933E-2</v>
      </c>
      <c r="V333" s="24">
        <f t="shared" si="35"/>
        <v>4.1455816227931042E-2</v>
      </c>
      <c r="W333" s="23">
        <f t="shared" si="36"/>
        <v>3.3898364683935256E-3</v>
      </c>
      <c r="X333" s="24">
        <v>4.1949247826337688E-2</v>
      </c>
      <c r="Y333" s="24">
        <f t="shared" si="37"/>
        <v>4.0948642294248216E-2</v>
      </c>
      <c r="Z333" s="23">
        <f t="shared" si="38"/>
        <v>3.3487010662240912E-3</v>
      </c>
      <c r="AA333" s="36"/>
    </row>
    <row r="334" spans="15:27" ht="13.9" customHeight="1" x14ac:dyDescent="0.3">
      <c r="O334" s="12">
        <f t="shared" ref="O334:O397" si="39">P334/12</f>
        <v>26.75</v>
      </c>
      <c r="P334" s="13">
        <v>321</v>
      </c>
      <c r="Q334" s="22">
        <v>3.8208482382334541E-2</v>
      </c>
      <c r="R334" s="19">
        <f t="shared" ref="R334:R397" si="40">(1+Q335)^P335/(1+Q334)^P334-1</f>
        <v>3.4449624954755231E-2</v>
      </c>
      <c r="S334" s="22">
        <v>3.8613555735456329E-2</v>
      </c>
      <c r="T334" s="19">
        <f t="shared" ref="T334:T397" si="41">(1+S335)^P335/(1+S334)^P334-1</f>
        <v>3.9110271895955284E-2</v>
      </c>
      <c r="U334" s="24">
        <v>4.2783178655127152E-2</v>
      </c>
      <c r="V334" s="24">
        <f t="shared" ref="V334:V397" si="42">(1+U335)^P335/(1+U334)^P334-1</f>
        <v>4.1466478714844435E-2</v>
      </c>
      <c r="W334" s="23">
        <f t="shared" si="36"/>
        <v>3.3906985914962107E-3</v>
      </c>
      <c r="X334" s="24">
        <v>4.1946129182123038E-2</v>
      </c>
      <c r="Y334" s="24">
        <f t="shared" si="37"/>
        <v>4.0964313996027624E-2</v>
      </c>
      <c r="Z334" s="23">
        <f t="shared" si="38"/>
        <v>3.3499697690015928E-3</v>
      </c>
      <c r="AA334" s="36"/>
    </row>
    <row r="335" spans="15:27" ht="13.9" customHeight="1" x14ac:dyDescent="0.3">
      <c r="O335" s="12">
        <f t="shared" si="39"/>
        <v>26.833333333333332</v>
      </c>
      <c r="P335" s="13">
        <v>322</v>
      </c>
      <c r="Q335" s="22">
        <v>3.8196787794750886E-2</v>
      </c>
      <c r="R335" s="19">
        <f t="shared" si="40"/>
        <v>3.4414554804797159E-2</v>
      </c>
      <c r="S335" s="22">
        <v>3.8615097964617817E-2</v>
      </c>
      <c r="T335" s="19">
        <f t="shared" si="41"/>
        <v>3.9146670103043402E-2</v>
      </c>
      <c r="U335" s="24">
        <v>4.2779086949101597E-2</v>
      </c>
      <c r="V335" s="24">
        <f t="shared" si="42"/>
        <v>4.1477066337188395E-2</v>
      </c>
      <c r="W335" s="23">
        <f t="shared" ref="W335:W398" si="43">(1+V334)^(1/12)-1</f>
        <v>3.3915546519760476E-3</v>
      </c>
      <c r="X335" s="24">
        <v>4.1943078633625674E-2</v>
      </c>
      <c r="Y335" s="24">
        <f t="shared" ref="Y335:Y398" si="44">(1+X336)^P336/(1+X335)^P335-1</f>
        <v>4.0979863564735153E-2</v>
      </c>
      <c r="Z335" s="23">
        <f t="shared" ref="Z335:Z398" si="45">(1+Y334)^(1/12)-1</f>
        <v>3.3512285641337236E-3</v>
      </c>
      <c r="AA335" s="36"/>
    </row>
    <row r="336" spans="15:27" ht="13.9" customHeight="1" x14ac:dyDescent="0.3">
      <c r="O336" s="12">
        <f t="shared" si="39"/>
        <v>26.916666666666668</v>
      </c>
      <c r="P336" s="13">
        <v>323</v>
      </c>
      <c r="Q336" s="22">
        <v>3.8185056779742155E-2</v>
      </c>
      <c r="R336" s="19">
        <f t="shared" si="40"/>
        <v>3.4379425386423357E-2</v>
      </c>
      <c r="S336" s="22">
        <v>3.8616743279088928E-2</v>
      </c>
      <c r="T336" s="19">
        <f t="shared" si="41"/>
        <v>3.9182717271125433E-2</v>
      </c>
      <c r="U336" s="24">
        <v>4.2775053414658704E-2</v>
      </c>
      <c r="V336" s="24">
        <f t="shared" si="42"/>
        <v>4.1487579639907457E-2</v>
      </c>
      <c r="W336" s="23">
        <f t="shared" si="43"/>
        <v>3.3924046938451635E-3</v>
      </c>
      <c r="X336" s="24">
        <v>4.1940095168667035E-2</v>
      </c>
      <c r="Y336" s="24">
        <f t="shared" si="44"/>
        <v>4.0995291989763816E-2</v>
      </c>
      <c r="Z336" s="23">
        <f t="shared" si="45"/>
        <v>3.3524775320252775E-3</v>
      </c>
      <c r="AA336" s="36"/>
    </row>
    <row r="337" spans="15:27" ht="13.9" customHeight="1" x14ac:dyDescent="0.3">
      <c r="O337" s="12">
        <f t="shared" si="39"/>
        <v>27</v>
      </c>
      <c r="P337" s="13">
        <v>324</v>
      </c>
      <c r="Q337" s="22">
        <v>3.8173289489771944E-2</v>
      </c>
      <c r="R337" s="19">
        <f t="shared" si="40"/>
        <v>3.4344234471769042E-2</v>
      </c>
      <c r="S337" s="22">
        <v>3.8618489638087228E-2</v>
      </c>
      <c r="T337" s="19">
        <f t="shared" si="41"/>
        <v>3.9218416979766468E-2</v>
      </c>
      <c r="U337" s="24">
        <v>4.2771077282651504E-2</v>
      </c>
      <c r="V337" s="24">
        <f t="shared" si="42"/>
        <v>4.1498019159295296E-2</v>
      </c>
      <c r="W337" s="23">
        <f t="shared" si="43"/>
        <v>3.3932487610222051E-3</v>
      </c>
      <c r="X337" s="24">
        <v>4.1937177790655422E-2</v>
      </c>
      <c r="Y337" s="24">
        <f t="shared" si="44"/>
        <v>4.1010600250196649E-2</v>
      </c>
      <c r="Z337" s="23">
        <f t="shared" si="45"/>
        <v>3.3537167525474754E-3</v>
      </c>
      <c r="AA337" s="36"/>
    </row>
    <row r="338" spans="15:27" ht="13.9" customHeight="1" x14ac:dyDescent="0.3">
      <c r="O338" s="12">
        <f t="shared" si="39"/>
        <v>27.083333333333332</v>
      </c>
      <c r="P338" s="13">
        <v>325</v>
      </c>
      <c r="Q338" s="22">
        <v>3.8161486068540196E-2</v>
      </c>
      <c r="R338" s="19">
        <f t="shared" si="40"/>
        <v>3.4308979482829738E-2</v>
      </c>
      <c r="S338" s="22">
        <v>3.8620335037090392E-2</v>
      </c>
      <c r="T338" s="19">
        <f t="shared" si="41"/>
        <v>3.9253772769047623E-2</v>
      </c>
      <c r="U338" s="24">
        <v>4.2767157795071675E-2</v>
      </c>
      <c r="V338" s="24">
        <f t="shared" si="42"/>
        <v>4.1508385430754302E-2</v>
      </c>
      <c r="W338" s="23">
        <f t="shared" si="43"/>
        <v>3.3940868967294868E-3</v>
      </c>
      <c r="X338" s="24">
        <v>4.1934325518313553E-2</v>
      </c>
      <c r="Y338" s="24">
        <f t="shared" si="44"/>
        <v>4.1025789318049899E-2</v>
      </c>
      <c r="Z338" s="23">
        <f t="shared" si="45"/>
        <v>3.3549463047364281E-3</v>
      </c>
      <c r="AA338" s="36"/>
    </row>
    <row r="339" spans="15:27" ht="13.9" customHeight="1" x14ac:dyDescent="0.3">
      <c r="O339" s="12">
        <f t="shared" si="39"/>
        <v>27.166666666666668</v>
      </c>
      <c r="P339" s="13">
        <v>326</v>
      </c>
      <c r="Q339" s="22">
        <v>3.8149646650039282E-2</v>
      </c>
      <c r="R339" s="19">
        <f t="shared" si="40"/>
        <v>3.4273658189300615E-2</v>
      </c>
      <c r="S339" s="22">
        <v>3.8622277507154523E-2</v>
      </c>
      <c r="T339" s="19">
        <f t="shared" si="41"/>
        <v>3.9288788138611253E-2</v>
      </c>
      <c r="U339" s="24">
        <v>4.2763294204875235E-2</v>
      </c>
      <c r="V339" s="24">
        <f t="shared" si="42"/>
        <v>4.1518678983927693E-2</v>
      </c>
      <c r="W339" s="23">
        <f t="shared" si="43"/>
        <v>3.3949191441144944E-3</v>
      </c>
      <c r="X339" s="24">
        <v>4.193153738542077E-2</v>
      </c>
      <c r="Y339" s="24">
        <f t="shared" si="44"/>
        <v>4.1040860155262093E-2</v>
      </c>
      <c r="Z339" s="23">
        <f t="shared" si="45"/>
        <v>3.3561662670533732E-3</v>
      </c>
      <c r="AA339" s="36"/>
    </row>
    <row r="340" spans="15:27" ht="13.9" customHeight="1" x14ac:dyDescent="0.3">
      <c r="O340" s="12">
        <f t="shared" si="39"/>
        <v>27.25</v>
      </c>
      <c r="P340" s="13">
        <v>327</v>
      </c>
      <c r="Q340" s="22">
        <v>3.8137771359769035E-2</v>
      </c>
      <c r="R340" s="19">
        <f t="shared" si="40"/>
        <v>3.4238268474519939E-2</v>
      </c>
      <c r="S340" s="22">
        <v>3.8624315114243135E-2</v>
      </c>
      <c r="T340" s="19">
        <f t="shared" si="41"/>
        <v>3.9323466550488684E-2</v>
      </c>
      <c r="U340" s="24">
        <v>4.2759485775797135E-2</v>
      </c>
      <c r="V340" s="24">
        <f t="shared" si="42"/>
        <v>4.1528900346762709E-2</v>
      </c>
      <c r="W340" s="23">
        <f t="shared" si="43"/>
        <v>3.3957455458597519E-3</v>
      </c>
      <c r="X340" s="24">
        <v>4.192881244055191E-2</v>
      </c>
      <c r="Y340" s="24">
        <f t="shared" si="44"/>
        <v>4.1055813718045453E-2</v>
      </c>
      <c r="Z340" s="23">
        <f t="shared" si="45"/>
        <v>3.357376717142424E-3</v>
      </c>
      <c r="AA340" s="36"/>
    </row>
    <row r="341" spans="15:27" ht="13.9" customHeight="1" x14ac:dyDescent="0.3">
      <c r="O341" s="12">
        <f t="shared" si="39"/>
        <v>27.333333333333332</v>
      </c>
      <c r="P341" s="13">
        <v>328</v>
      </c>
      <c r="Q341" s="22">
        <v>3.8125860315213478E-2</v>
      </c>
      <c r="R341" s="19">
        <f t="shared" si="40"/>
        <v>3.4202808222299597E-2</v>
      </c>
      <c r="S341" s="22">
        <v>3.8626445958576561E-2</v>
      </c>
      <c r="T341" s="19">
        <f t="shared" si="41"/>
        <v>3.9357811426201872E-2</v>
      </c>
      <c r="U341" s="24">
        <v>4.275573178218095E-2</v>
      </c>
      <c r="V341" s="24">
        <f t="shared" si="42"/>
        <v>4.1539050038568837E-2</v>
      </c>
      <c r="W341" s="23">
        <f t="shared" si="43"/>
        <v>3.3965661445087836E-3</v>
      </c>
      <c r="X341" s="24">
        <v>4.1926149746833064E-2</v>
      </c>
      <c r="Y341" s="24">
        <f t="shared" si="44"/>
        <v>4.1070650951525511E-2</v>
      </c>
      <c r="Z341" s="23">
        <f t="shared" si="45"/>
        <v>3.3585777321814003E-3</v>
      </c>
      <c r="AA341" s="36"/>
    </row>
    <row r="342" spans="15:27" ht="13.9" customHeight="1" x14ac:dyDescent="0.3">
      <c r="O342" s="12">
        <f t="shared" si="39"/>
        <v>27.416666666666668</v>
      </c>
      <c r="P342" s="13">
        <v>329</v>
      </c>
      <c r="Q342" s="22">
        <v>3.8113913625963169E-2</v>
      </c>
      <c r="R342" s="19">
        <f t="shared" si="40"/>
        <v>3.4167275312103618E-2</v>
      </c>
      <c r="S342" s="22">
        <v>3.8628668173984471E-2</v>
      </c>
      <c r="T342" s="19">
        <f t="shared" si="41"/>
        <v>3.9391826150953824E-2</v>
      </c>
      <c r="U342" s="24">
        <v>4.2752031508791699E-2</v>
      </c>
      <c r="V342" s="24">
        <f t="shared" si="42"/>
        <v>4.1549128580558703E-2</v>
      </c>
      <c r="W342" s="23">
        <f t="shared" si="43"/>
        <v>3.3973809819090039E-3</v>
      </c>
      <c r="X342" s="24">
        <v>4.1923548381686215E-2</v>
      </c>
      <c r="Y342" s="24">
        <f t="shared" si="44"/>
        <v>4.108537279435942E-2</v>
      </c>
      <c r="Z342" s="23">
        <f t="shared" si="45"/>
        <v>3.3597693884499513E-3</v>
      </c>
      <c r="AA342" s="36"/>
    </row>
    <row r="343" spans="15:27" ht="13.9" customHeight="1" x14ac:dyDescent="0.3">
      <c r="O343" s="12">
        <f t="shared" si="39"/>
        <v>27.5</v>
      </c>
      <c r="P343" s="13">
        <v>330</v>
      </c>
      <c r="Q343" s="22">
        <v>3.8101931393821564E-2</v>
      </c>
      <c r="R343" s="19">
        <f t="shared" si="40"/>
        <v>3.4131667509568198E-2</v>
      </c>
      <c r="S343" s="22">
        <v>3.8630979927283482E-2</v>
      </c>
      <c r="T343" s="19">
        <f t="shared" si="41"/>
        <v>3.942551407050443E-2</v>
      </c>
      <c r="U343" s="24">
        <v>4.2748384250662408E-2</v>
      </c>
      <c r="V343" s="24">
        <f t="shared" si="42"/>
        <v>4.1559136484426551E-2</v>
      </c>
      <c r="W343" s="23">
        <f t="shared" si="43"/>
        <v>3.3981901000585957E-3</v>
      </c>
      <c r="X343" s="24">
        <v>4.1921007436592106E-2</v>
      </c>
      <c r="Y343" s="24">
        <f t="shared" si="44"/>
        <v>4.1099980177204953E-2</v>
      </c>
      <c r="Z343" s="23">
        <f t="shared" si="45"/>
        <v>3.3609517617021467E-3</v>
      </c>
      <c r="AA343" s="36"/>
    </row>
    <row r="344" spans="15:27" ht="13.9" customHeight="1" x14ac:dyDescent="0.3">
      <c r="O344" s="12">
        <f t="shared" si="39"/>
        <v>27.583333333333332</v>
      </c>
      <c r="P344" s="13">
        <v>331</v>
      </c>
      <c r="Q344" s="22">
        <v>3.8089913712576751E-2</v>
      </c>
      <c r="R344" s="19">
        <f t="shared" si="40"/>
        <v>3.4095982236150402E-2</v>
      </c>
      <c r="S344" s="22">
        <v>3.86333794176561E-2</v>
      </c>
      <c r="T344" s="19">
        <f t="shared" si="41"/>
        <v>3.9458878495687078E-2</v>
      </c>
      <c r="U344" s="24">
        <v>4.2744789312910703E-2</v>
      </c>
      <c r="V344" s="24">
        <f t="shared" si="42"/>
        <v>4.1569074263039019E-2</v>
      </c>
      <c r="W344" s="23">
        <f t="shared" si="43"/>
        <v>3.3989935401883553E-3</v>
      </c>
      <c r="X344" s="24">
        <v>4.1918526016853308E-2</v>
      </c>
      <c r="Y344" s="24">
        <f t="shared" si="44"/>
        <v>4.1114474021900049E-2</v>
      </c>
      <c r="Z344" s="23">
        <f t="shared" si="45"/>
        <v>3.3621249270419096E-3</v>
      </c>
      <c r="AA344" s="36"/>
    </row>
    <row r="345" spans="15:27" ht="13.9" customHeight="1" x14ac:dyDescent="0.3">
      <c r="O345" s="12">
        <f t="shared" si="39"/>
        <v>27.666666666666668</v>
      </c>
      <c r="P345" s="13">
        <v>332</v>
      </c>
      <c r="Q345" s="22">
        <v>3.807786066708041E-2</v>
      </c>
      <c r="R345" s="19">
        <f t="shared" si="40"/>
        <v>3.4060217253130798E-2</v>
      </c>
      <c r="S345" s="22">
        <v>3.8635864876054971E-2</v>
      </c>
      <c r="T345" s="19">
        <f t="shared" si="41"/>
        <v>3.9491922698538851E-2</v>
      </c>
      <c r="U345" s="24">
        <v>4.2741246010589595E-2</v>
      </c>
      <c r="V345" s="24">
        <f t="shared" si="42"/>
        <v>4.1578942420201326E-2</v>
      </c>
      <c r="W345" s="23">
        <f t="shared" si="43"/>
        <v>3.3997913436210059E-3</v>
      </c>
      <c r="X345" s="24">
        <v>4.1916103241358638E-2</v>
      </c>
      <c r="Y345" s="24">
        <f t="shared" si="44"/>
        <v>4.1128855242723139E-2</v>
      </c>
      <c r="Z345" s="23">
        <f t="shared" si="45"/>
        <v>3.3632889588590675E-3</v>
      </c>
      <c r="AA345" s="36"/>
    </row>
    <row r="346" spans="15:27" ht="13.9" customHeight="1" x14ac:dyDescent="0.3">
      <c r="O346" s="12">
        <f t="shared" si="39"/>
        <v>27.75</v>
      </c>
      <c r="P346" s="13">
        <v>333</v>
      </c>
      <c r="Q346" s="22">
        <v>3.8065772334406667E-2</v>
      </c>
      <c r="R346" s="19">
        <f t="shared" si="40"/>
        <v>3.402437043505846E-2</v>
      </c>
      <c r="S346" s="22">
        <v>3.8638434564606028E-2</v>
      </c>
      <c r="T346" s="19">
        <f t="shared" si="41"/>
        <v>3.9524649915950061E-2</v>
      </c>
      <c r="U346" s="24">
        <v>4.2737753668510736E-2</v>
      </c>
      <c r="V346" s="24">
        <f t="shared" si="42"/>
        <v>4.158874146012792E-2</v>
      </c>
      <c r="W346" s="23">
        <f t="shared" si="43"/>
        <v>3.4005835509489657E-3</v>
      </c>
      <c r="X346" s="24">
        <v>4.1913738242355558E-2</v>
      </c>
      <c r="Y346" s="24">
        <f t="shared" si="44"/>
        <v>4.1143124746033655E-2</v>
      </c>
      <c r="Z346" s="23">
        <f t="shared" si="45"/>
        <v>3.3644439309290508E-3</v>
      </c>
      <c r="AA346" s="36"/>
    </row>
    <row r="347" spans="15:27" ht="13.9" customHeight="1" x14ac:dyDescent="0.3">
      <c r="O347" s="12">
        <f t="shared" si="39"/>
        <v>27.833333333333332</v>
      </c>
      <c r="P347" s="13">
        <v>334</v>
      </c>
      <c r="Q347" s="22">
        <v>3.8053648784307725E-2</v>
      </c>
      <c r="R347" s="19">
        <f t="shared" si="40"/>
        <v>3.3988439652770985E-2</v>
      </c>
      <c r="S347" s="22">
        <v>3.8641086776033839E-2</v>
      </c>
      <c r="T347" s="19">
        <f t="shared" si="41"/>
        <v>3.9557063349180188E-2</v>
      </c>
      <c r="U347" s="24">
        <v>4.2734311621099419E-2</v>
      </c>
      <c r="V347" s="24">
        <f t="shared" si="42"/>
        <v>4.1598471881371335E-2</v>
      </c>
      <c r="W347" s="23">
        <f t="shared" si="43"/>
        <v>3.4013702027959614E-3</v>
      </c>
      <c r="X347" s="24">
        <v>4.191143016522636E-2</v>
      </c>
      <c r="Y347" s="24">
        <f t="shared" si="44"/>
        <v>4.115728343104208E-2</v>
      </c>
      <c r="Z347" s="23">
        <f t="shared" si="45"/>
        <v>3.3655899163853586E-3</v>
      </c>
      <c r="AA347" s="36"/>
    </row>
    <row r="348" spans="15:27" ht="13.9" customHeight="1" x14ac:dyDescent="0.3">
      <c r="O348" s="12">
        <f t="shared" si="39"/>
        <v>27.916666666666668</v>
      </c>
      <c r="P348" s="13">
        <v>335</v>
      </c>
      <c r="Q348" s="22">
        <v>3.8041490079311568E-2</v>
      </c>
      <c r="R348" s="19">
        <f t="shared" si="40"/>
        <v>3.3952422776608815E-2</v>
      </c>
      <c r="S348" s="22">
        <v>3.8643819833095394E-2</v>
      </c>
      <c r="T348" s="19">
        <f t="shared" si="41"/>
        <v>3.9589166163511935E-2</v>
      </c>
      <c r="U348" s="24">
        <v>4.2730919212234042E-2</v>
      </c>
      <c r="V348" s="24">
        <f t="shared" si="42"/>
        <v>4.1608134178003242E-2</v>
      </c>
      <c r="W348" s="23">
        <f t="shared" si="43"/>
        <v>3.4021513393276415E-3</v>
      </c>
      <c r="X348" s="24">
        <v>4.1909178168269889E-2</v>
      </c>
      <c r="Y348" s="24">
        <f t="shared" si="44"/>
        <v>4.1171332187808662E-2</v>
      </c>
      <c r="Z348" s="23">
        <f t="shared" si="45"/>
        <v>3.3667269877808437E-3</v>
      </c>
      <c r="AA348" s="36"/>
    </row>
    <row r="349" spans="15:27" ht="13.9" customHeight="1" x14ac:dyDescent="0.3">
      <c r="O349" s="12">
        <f t="shared" si="39"/>
        <v>28</v>
      </c>
      <c r="P349" s="13">
        <v>336</v>
      </c>
      <c r="Q349" s="22">
        <v>3.8029296274827873E-2</v>
      </c>
      <c r="R349" s="19">
        <f t="shared" si="40"/>
        <v>3.3916317561647258E-2</v>
      </c>
      <c r="S349" s="22">
        <v>3.8646632088023436E-2</v>
      </c>
      <c r="T349" s="19">
        <f t="shared" si="41"/>
        <v>3.9620961490471229E-2</v>
      </c>
      <c r="U349" s="24">
        <v>4.27275757950909E-2</v>
      </c>
      <c r="V349" s="24">
        <f t="shared" si="42"/>
        <v>4.1617728842589852E-2</v>
      </c>
      <c r="W349" s="23">
        <f t="shared" si="43"/>
        <v>3.402927000348388E-3</v>
      </c>
      <c r="X349" s="24">
        <v>4.1906981422481282E-2</v>
      </c>
      <c r="Y349" s="24">
        <f t="shared" si="44"/>
        <v>4.1185271900792797E-2</v>
      </c>
      <c r="Z349" s="23">
        <f t="shared" si="45"/>
        <v>3.3678552169273956E-3</v>
      </c>
      <c r="AA349" s="36"/>
    </row>
    <row r="350" spans="15:27" ht="13.9" customHeight="1" x14ac:dyDescent="0.3">
      <c r="O350" s="12">
        <f t="shared" si="39"/>
        <v>28.083333333333332</v>
      </c>
      <c r="P350" s="13">
        <v>337</v>
      </c>
      <c r="Q350" s="22">
        <v>3.801706741890909E-2</v>
      </c>
      <c r="R350" s="19">
        <f t="shared" si="40"/>
        <v>3.3880121426167253E-2</v>
      </c>
      <c r="S350" s="22">
        <v>3.8649521921986008E-2</v>
      </c>
      <c r="T350" s="19">
        <f t="shared" si="41"/>
        <v>3.9652452425453566E-2</v>
      </c>
      <c r="U350" s="24">
        <v>4.2724280732002518E-2</v>
      </c>
      <c r="V350" s="24">
        <f t="shared" si="42"/>
        <v>4.1627256360726062E-2</v>
      </c>
      <c r="W350" s="23">
        <f t="shared" si="43"/>
        <v>3.4036972255389042E-3</v>
      </c>
      <c r="X350" s="24">
        <v>4.1904839111346792E-2</v>
      </c>
      <c r="Y350" s="24">
        <f t="shared" si="44"/>
        <v>4.1199103444742535E-2</v>
      </c>
      <c r="Z350" s="23">
        <f t="shared" si="45"/>
        <v>3.3689746751806027E-3</v>
      </c>
      <c r="AA350" s="36"/>
    </row>
    <row r="351" spans="15:27" ht="13.9" customHeight="1" x14ac:dyDescent="0.3">
      <c r="O351" s="12">
        <f t="shared" si="39"/>
        <v>28.166666666666668</v>
      </c>
      <c r="P351" s="13">
        <v>338</v>
      </c>
      <c r="Q351" s="22">
        <v>3.8004803551358712E-2</v>
      </c>
      <c r="R351" s="19">
        <f t="shared" si="40"/>
        <v>3.3843832122255613E-2</v>
      </c>
      <c r="S351" s="22">
        <v>3.865248774454888E-2</v>
      </c>
      <c r="T351" s="19">
        <f t="shared" si="41"/>
        <v>3.9683642032095623E-2</v>
      </c>
      <c r="U351" s="24">
        <v>4.2721033394300445E-2</v>
      </c>
      <c r="V351" s="24">
        <f t="shared" si="42"/>
        <v>4.1636717218266339E-2</v>
      </c>
      <c r="W351" s="23">
        <f t="shared" si="43"/>
        <v>3.4044620540185644E-3</v>
      </c>
      <c r="X351" s="24">
        <v>4.1902750430629521E-2</v>
      </c>
      <c r="Y351" s="24">
        <f t="shared" si="44"/>
        <v>4.1212827689083076E-2</v>
      </c>
      <c r="Z351" s="23">
        <f t="shared" si="45"/>
        <v>3.3700854331109031E-3</v>
      </c>
      <c r="AA351" s="36"/>
    </row>
    <row r="352" spans="15:27" ht="13.9" customHeight="1" x14ac:dyDescent="0.3">
      <c r="O352" s="12">
        <f t="shared" si="39"/>
        <v>28.25</v>
      </c>
      <c r="P352" s="13">
        <v>339</v>
      </c>
      <c r="Q352" s="22">
        <v>3.7992504704840835E-2</v>
      </c>
      <c r="R352" s="19">
        <f t="shared" si="40"/>
        <v>3.380744751038911E-2</v>
      </c>
      <c r="S352" s="22">
        <v>3.8655527993160632E-2</v>
      </c>
      <c r="T352" s="19">
        <f t="shared" si="41"/>
        <v>3.9714533338098823E-2</v>
      </c>
      <c r="U352" s="24">
        <v>4.2717833162183361E-2</v>
      </c>
      <c r="V352" s="24">
        <f t="shared" si="42"/>
        <v>4.1646111893056226E-2</v>
      </c>
      <c r="W352" s="23">
        <f t="shared" si="43"/>
        <v>3.4052215249245066E-3</v>
      </c>
      <c r="X352" s="24">
        <v>4.1900714588171573E-2</v>
      </c>
      <c r="Y352" s="24">
        <f t="shared" si="44"/>
        <v>4.1226445493428798E-2</v>
      </c>
      <c r="Z352" s="23">
        <f t="shared" si="45"/>
        <v>3.3711875608548603E-3</v>
      </c>
      <c r="AA352" s="36"/>
    </row>
    <row r="353" spans="15:27" ht="13.9" customHeight="1" x14ac:dyDescent="0.3">
      <c r="O353" s="12">
        <f t="shared" si="39"/>
        <v>28.333333333333332</v>
      </c>
      <c r="P353" s="13">
        <v>340</v>
      </c>
      <c r="Q353" s="22">
        <v>3.79801709053047E-2</v>
      </c>
      <c r="R353" s="19">
        <f t="shared" si="40"/>
        <v>3.3770965449104073E-2</v>
      </c>
      <c r="S353" s="22">
        <v>3.8658641132633953E-2</v>
      </c>
      <c r="T353" s="19">
        <f t="shared" si="41"/>
        <v>3.9745129339863627E-2</v>
      </c>
      <c r="U353" s="24">
        <v>4.2714679424562974E-2</v>
      </c>
      <c r="V353" s="24">
        <f t="shared" si="42"/>
        <v>4.1655440863118232E-2</v>
      </c>
      <c r="W353" s="23">
        <f t="shared" si="43"/>
        <v>3.4059756767490512E-3</v>
      </c>
      <c r="X353" s="24">
        <v>4.1898730803688E-2</v>
      </c>
      <c r="Y353" s="24">
        <f t="shared" si="44"/>
        <v>4.1239957712763564E-2</v>
      </c>
      <c r="Z353" s="23">
        <f t="shared" si="45"/>
        <v>3.3722811277550058E-3</v>
      </c>
      <c r="AA353" s="36"/>
    </row>
    <row r="354" spans="15:27" ht="13.9" customHeight="1" x14ac:dyDescent="0.3">
      <c r="O354" s="12">
        <f t="shared" si="39"/>
        <v>28.416666666666668</v>
      </c>
      <c r="P354" s="13">
        <v>341</v>
      </c>
      <c r="Q354" s="22">
        <v>3.7967802172076404E-2</v>
      </c>
      <c r="R354" s="19">
        <f t="shared" si="40"/>
        <v>3.3734383794973288E-2</v>
      </c>
      <c r="S354" s="22">
        <v>3.8661825654650928E-2</v>
      </c>
      <c r="T354" s="19">
        <f t="shared" si="41"/>
        <v>3.9775433000303506E-2</v>
      </c>
      <c r="U354" s="24">
        <v>4.2711571578935681E-2</v>
      </c>
      <c r="V354" s="24">
        <f t="shared" si="42"/>
        <v>4.1664704600253621E-2</v>
      </c>
      <c r="W354" s="23">
        <f t="shared" si="43"/>
        <v>3.4067245479969532E-3</v>
      </c>
      <c r="X354" s="24">
        <v>4.1896798308577843E-2</v>
      </c>
      <c r="Y354" s="24">
        <f t="shared" si="44"/>
        <v>4.1253365192042368E-2</v>
      </c>
      <c r="Z354" s="23">
        <f t="shared" si="45"/>
        <v>3.3733662027768396E-3</v>
      </c>
      <c r="AA354" s="36"/>
    </row>
    <row r="355" spans="15:27" ht="13.9" customHeight="1" x14ac:dyDescent="0.3">
      <c r="O355" s="12">
        <f t="shared" si="39"/>
        <v>28.5</v>
      </c>
      <c r="P355" s="13">
        <v>342</v>
      </c>
      <c r="Q355" s="22">
        <v>3.7955398517950378E-2</v>
      </c>
      <c r="R355" s="19">
        <f t="shared" si="40"/>
        <v>3.3697700291222876E-2</v>
      </c>
      <c r="S355" s="22">
        <v>3.8665080077268987E-2</v>
      </c>
      <c r="T355" s="19">
        <f t="shared" si="41"/>
        <v>3.9805447249888104E-2</v>
      </c>
      <c r="U355" s="24">
        <v>4.2708509031239794E-2</v>
      </c>
      <c r="V355" s="24">
        <f t="shared" si="42"/>
        <v>4.1673903574686921E-2</v>
      </c>
      <c r="W355" s="23">
        <f t="shared" si="43"/>
        <v>3.4074681766707027E-3</v>
      </c>
      <c r="X355" s="24">
        <v>4.1894916345723621E-2</v>
      </c>
      <c r="Y355" s="24">
        <f t="shared" si="44"/>
        <v>4.1266668771188453E-2</v>
      </c>
      <c r="Z355" s="23">
        <f t="shared" si="45"/>
        <v>3.3744428540747329E-3</v>
      </c>
      <c r="AA355" s="36"/>
    </row>
    <row r="356" spans="15:27" ht="13.9" customHeight="1" x14ac:dyDescent="0.3">
      <c r="O356" s="12">
        <f t="shared" si="39"/>
        <v>28.583333333333332</v>
      </c>
      <c r="P356" s="13">
        <v>343</v>
      </c>
      <c r="Q356" s="22">
        <v>3.7942959948951138E-2</v>
      </c>
      <c r="R356" s="19">
        <f t="shared" si="40"/>
        <v>3.3660912350634398E-2</v>
      </c>
      <c r="S356" s="22">
        <v>3.8668402944440405E-2</v>
      </c>
      <c r="T356" s="19">
        <f t="shared" si="41"/>
        <v>3.9835174987534971E-2</v>
      </c>
      <c r="U356" s="24">
        <v>4.2705491195726308E-2</v>
      </c>
      <c r="V356" s="24">
        <f t="shared" si="42"/>
        <v>4.1683038250743598E-2</v>
      </c>
      <c r="W356" s="23">
        <f t="shared" si="43"/>
        <v>3.4082066006444478E-3</v>
      </c>
      <c r="X356" s="24">
        <v>4.1893084169308814E-2</v>
      </c>
      <c r="Y356" s="24">
        <f t="shared" si="44"/>
        <v>4.1279869282097481E-2</v>
      </c>
      <c r="Z356" s="23">
        <f t="shared" si="45"/>
        <v>3.3755111493933843E-3</v>
      </c>
      <c r="AA356" s="36"/>
    </row>
    <row r="357" spans="15:27" ht="13.9" customHeight="1" x14ac:dyDescent="0.3">
      <c r="O357" s="12">
        <f t="shared" si="39"/>
        <v>28.666666666666668</v>
      </c>
      <c r="P357" s="13">
        <v>344</v>
      </c>
      <c r="Q357" s="22">
        <v>3.7930486463467528E-2</v>
      </c>
      <c r="R357" s="19">
        <f t="shared" si="40"/>
        <v>3.3624017712436061E-2</v>
      </c>
      <c r="S357" s="22">
        <v>3.867179282554134E-2</v>
      </c>
      <c r="T357" s="19">
        <f t="shared" si="41"/>
        <v>3.9864619080526964E-2</v>
      </c>
      <c r="U357" s="24">
        <v>4.2702517494821901E-2</v>
      </c>
      <c r="V357" s="24">
        <f t="shared" si="42"/>
        <v>4.1692109091796103E-2</v>
      </c>
      <c r="W357" s="23">
        <f t="shared" si="43"/>
        <v>3.4089398573164953E-3</v>
      </c>
      <c r="X357" s="24">
        <v>4.1891301044630014E-2</v>
      </c>
      <c r="Y357" s="24">
        <f t="shared" si="44"/>
        <v>4.12929675499627E-2</v>
      </c>
      <c r="Z357" s="23">
        <f t="shared" si="45"/>
        <v>3.3765711558273459E-3</v>
      </c>
      <c r="AA357" s="36"/>
    </row>
    <row r="358" spans="15:27" ht="13.9" customHeight="1" x14ac:dyDescent="0.3">
      <c r="O358" s="12">
        <f t="shared" si="39"/>
        <v>28.75</v>
      </c>
      <c r="P358" s="13">
        <v>345</v>
      </c>
      <c r="Q358" s="22">
        <v>3.7917978053312096E-2</v>
      </c>
      <c r="R358" s="19">
        <f t="shared" si="40"/>
        <v>3.3587014222706379E-2</v>
      </c>
      <c r="S358" s="22">
        <v>3.8675248314909982E-2</v>
      </c>
      <c r="T358" s="19">
        <f t="shared" si="41"/>
        <v>3.9893782364398778E-2</v>
      </c>
      <c r="U358" s="24">
        <v>4.2699587359006363E-2</v>
      </c>
      <c r="V358" s="24">
        <f t="shared" si="42"/>
        <v>4.1701116555512341E-2</v>
      </c>
      <c r="W358" s="23">
        <f t="shared" si="43"/>
        <v>3.4096679840069921E-3</v>
      </c>
      <c r="X358" s="24">
        <v>4.1889566247915289E-2</v>
      </c>
      <c r="Y358" s="24">
        <f t="shared" si="44"/>
        <v>4.130596439136669E-2</v>
      </c>
      <c r="Z358" s="23">
        <f t="shared" si="45"/>
        <v>3.3776229399278268E-3</v>
      </c>
      <c r="AA358" s="36"/>
    </row>
    <row r="359" spans="15:27" ht="13.9" customHeight="1" x14ac:dyDescent="0.3">
      <c r="O359" s="12">
        <f t="shared" si="39"/>
        <v>28.833333333333332</v>
      </c>
      <c r="P359" s="13">
        <v>346</v>
      </c>
      <c r="Q359" s="22">
        <v>3.7905434704126106E-2</v>
      </c>
      <c r="R359" s="19">
        <f t="shared" si="40"/>
        <v>3.3549899724029331E-2</v>
      </c>
      <c r="S359" s="22">
        <v>3.8678768031391586E-2</v>
      </c>
      <c r="T359" s="19">
        <f t="shared" si="41"/>
        <v>3.9922667645265086E-2</v>
      </c>
      <c r="U359" s="24">
        <v>4.2696700226679818E-2</v>
      </c>
      <c r="V359" s="24">
        <f t="shared" si="42"/>
        <v>4.1710061097616213E-2</v>
      </c>
      <c r="W359" s="23">
        <f t="shared" si="43"/>
        <v>3.4103910175757868E-3</v>
      </c>
      <c r="X359" s="24">
        <v>4.1887879066141442E-2</v>
      </c>
      <c r="Y359" s="24">
        <f t="shared" si="44"/>
        <v>4.1318860618587028E-2</v>
      </c>
      <c r="Z359" s="23">
        <f t="shared" si="45"/>
        <v>3.3786665675490379E-3</v>
      </c>
      <c r="AA359" s="36"/>
    </row>
    <row r="360" spans="15:27" ht="13.9" customHeight="1" x14ac:dyDescent="0.3">
      <c r="O360" s="12">
        <f t="shared" si="39"/>
        <v>28.916666666666668</v>
      </c>
      <c r="P360" s="13">
        <v>347</v>
      </c>
      <c r="Q360" s="22">
        <v>3.7892856395457697E-2</v>
      </c>
      <c r="R360" s="19">
        <f t="shared" si="40"/>
        <v>3.3512672056789761E-2</v>
      </c>
      <c r="S360" s="22">
        <v>3.8682350617899042E-2</v>
      </c>
      <c r="T360" s="19">
        <f t="shared" si="41"/>
        <v>3.9951277697281018E-2</v>
      </c>
      <c r="U360" s="24">
        <v>4.2693855544043258E-2</v>
      </c>
      <c r="V360" s="24">
        <f t="shared" si="42"/>
        <v>4.1718943169253064E-2</v>
      </c>
      <c r="W360" s="23">
        <f t="shared" si="43"/>
        <v>3.41110899472441E-3</v>
      </c>
      <c r="X360" s="24">
        <v>4.1886238796866371E-2</v>
      </c>
      <c r="Y360" s="24">
        <f t="shared" si="44"/>
        <v>4.1331657035444946E-2</v>
      </c>
      <c r="Z360" s="23">
        <f t="shared" si="45"/>
        <v>3.3797021041945818E-3</v>
      </c>
      <c r="AA360" s="36"/>
    </row>
    <row r="361" spans="15:27" ht="13.9" customHeight="1" x14ac:dyDescent="0.3">
      <c r="O361" s="12">
        <f t="shared" si="39"/>
        <v>29</v>
      </c>
      <c r="P361" s="13">
        <v>348</v>
      </c>
      <c r="Q361" s="22">
        <v>3.7880243100842259E-2</v>
      </c>
      <c r="R361" s="19">
        <f t="shared" si="40"/>
        <v>3.347532895145755E-2</v>
      </c>
      <c r="S361" s="22">
        <v>3.8685994740972562E-2</v>
      </c>
      <c r="T361" s="19">
        <f t="shared" si="41"/>
        <v>3.9979615266090729E-2</v>
      </c>
      <c r="U361" s="24">
        <v>4.2691052764972204E-2</v>
      </c>
      <c r="V361" s="24">
        <f t="shared" si="42"/>
        <v>4.1727763219771896E-2</v>
      </c>
      <c r="W361" s="23">
        <f t="shared" si="43"/>
        <v>3.4118219517853543E-3</v>
      </c>
      <c r="X361" s="24">
        <v>4.1884644748051425E-2</v>
      </c>
      <c r="Y361" s="24">
        <f t="shared" si="44"/>
        <v>4.1344354438938469E-2</v>
      </c>
      <c r="Z361" s="23">
        <f t="shared" si="45"/>
        <v>3.3807296146834975E-3</v>
      </c>
      <c r="AA361" s="36"/>
    </row>
    <row r="362" spans="15:27" ht="13.9" customHeight="1" x14ac:dyDescent="0.3">
      <c r="O362" s="12">
        <f t="shared" si="39"/>
        <v>29.083333333333332</v>
      </c>
      <c r="P362" s="13">
        <v>349</v>
      </c>
      <c r="Q362" s="22">
        <v>3.7867594787572179E-2</v>
      </c>
      <c r="R362" s="19">
        <f t="shared" si="40"/>
        <v>3.3437867811582755E-2</v>
      </c>
      <c r="S362" s="22">
        <v>3.8689699090358465E-2</v>
      </c>
      <c r="T362" s="19">
        <f t="shared" si="41"/>
        <v>4.0007683066278998E-2</v>
      </c>
      <c r="U362" s="24">
        <v>4.2688291350901908E-2</v>
      </c>
      <c r="V362" s="24">
        <f t="shared" si="42"/>
        <v>4.1736521693048978E-2</v>
      </c>
      <c r="W362" s="23">
        <f t="shared" si="43"/>
        <v>3.4125299249447849E-3</v>
      </c>
      <c r="X362" s="24">
        <v>4.1883096237893325E-2</v>
      </c>
      <c r="Y362" s="24">
        <f t="shared" si="44"/>
        <v>4.1356953619193337E-2</v>
      </c>
      <c r="Z362" s="23">
        <f t="shared" si="45"/>
        <v>3.381749163282155E-3</v>
      </c>
      <c r="AA362" s="36"/>
    </row>
    <row r="363" spans="15:27" ht="13.9" customHeight="1" x14ac:dyDescent="0.3">
      <c r="O363" s="12">
        <f t="shared" si="39"/>
        <v>29.166666666666668</v>
      </c>
      <c r="P363" s="13">
        <v>350</v>
      </c>
      <c r="Q363" s="22">
        <v>3.785491141584707E-2</v>
      </c>
      <c r="R363" s="19">
        <f t="shared" si="40"/>
        <v>3.3400286362567089E-2</v>
      </c>
      <c r="S363" s="22">
        <v>3.8693462378586174E-2</v>
      </c>
      <c r="T363" s="19">
        <f t="shared" si="41"/>
        <v>4.0035483784398362E-2</v>
      </c>
      <c r="U363" s="24">
        <v>4.2685570770703229E-2</v>
      </c>
      <c r="V363" s="24">
        <f t="shared" si="42"/>
        <v>4.1745219031231739E-2</v>
      </c>
      <c r="W363" s="23">
        <f t="shared" si="43"/>
        <v>3.4132329499474423E-3</v>
      </c>
      <c r="X363" s="24">
        <v>4.1881592594657402E-2</v>
      </c>
      <c r="Y363" s="24">
        <f t="shared" si="44"/>
        <v>4.1369455361512486E-2</v>
      </c>
      <c r="Z363" s="23">
        <f t="shared" si="45"/>
        <v>3.3827608137002585E-3</v>
      </c>
      <c r="AA363" s="36"/>
    </row>
    <row r="364" spans="15:27" ht="13.9" customHeight="1" x14ac:dyDescent="0.3">
      <c r="O364" s="12">
        <f t="shared" si="39"/>
        <v>29.25</v>
      </c>
      <c r="P364" s="13">
        <v>351</v>
      </c>
      <c r="Q364" s="22">
        <v>3.7842192939794961E-2</v>
      </c>
      <c r="R364" s="19">
        <f t="shared" si="40"/>
        <v>3.3362582432441723E-2</v>
      </c>
      <c r="S364" s="22">
        <v>3.8697283340562771E-2</v>
      </c>
      <c r="T364" s="19">
        <f t="shared" si="41"/>
        <v>4.0063020077206524E-2</v>
      </c>
      <c r="U364" s="24">
        <v>4.2682890500571835E-2</v>
      </c>
      <c r="V364" s="24">
        <f t="shared" si="42"/>
        <v>4.1753855672149065E-2</v>
      </c>
      <c r="W364" s="23">
        <f t="shared" si="43"/>
        <v>3.4139310623979569E-3</v>
      </c>
      <c r="X364" s="24">
        <v>4.188013315651995E-2</v>
      </c>
      <c r="Y364" s="24">
        <f t="shared" si="44"/>
        <v>4.1381860441467744E-2</v>
      </c>
      <c r="Z364" s="23">
        <f t="shared" si="45"/>
        <v>3.3837646292553814E-3</v>
      </c>
      <c r="AA364" s="36"/>
    </row>
    <row r="365" spans="15:27" ht="13.9" customHeight="1" x14ac:dyDescent="0.3">
      <c r="O365" s="12">
        <f t="shared" si="39"/>
        <v>29.333333333333332</v>
      </c>
      <c r="P365" s="13">
        <v>352</v>
      </c>
      <c r="Q365" s="22">
        <v>3.7829439307851098E-2</v>
      </c>
      <c r="R365" s="19">
        <f t="shared" si="40"/>
        <v>3.3324753847294053E-2</v>
      </c>
      <c r="S365" s="22">
        <v>3.8701160733168427E-2</v>
      </c>
      <c r="T365" s="19">
        <f t="shared" si="41"/>
        <v>4.0090294573365881E-2</v>
      </c>
      <c r="U365" s="24">
        <v>4.2680250023911182E-2</v>
      </c>
      <c r="V365" s="24">
        <f t="shared" si="42"/>
        <v>4.1762432051211773E-2</v>
      </c>
      <c r="W365" s="23">
        <f t="shared" si="43"/>
        <v>3.4146242975516827E-3</v>
      </c>
      <c r="X365" s="24">
        <v>4.187871727139969E-2</v>
      </c>
      <c r="Y365" s="24">
        <f t="shared" si="44"/>
        <v>4.1394169630942557E-2</v>
      </c>
      <c r="Z365" s="23">
        <f t="shared" si="45"/>
        <v>3.3847606724788371E-3</v>
      </c>
      <c r="AA365" s="36"/>
    </row>
    <row r="366" spans="15:27" ht="13.9" customHeight="1" x14ac:dyDescent="0.3">
      <c r="O366" s="12">
        <f t="shared" si="39"/>
        <v>29.416666666666668</v>
      </c>
      <c r="P366" s="13">
        <v>353</v>
      </c>
      <c r="Q366" s="22">
        <v>3.7816650462832113E-2</v>
      </c>
      <c r="R366" s="19">
        <f t="shared" si="40"/>
        <v>3.3286798428850961E-2</v>
      </c>
      <c r="S366" s="22">
        <v>3.8705093334863827E-2</v>
      </c>
      <c r="T366" s="19">
        <f t="shared" si="41"/>
        <v>4.0117309873157314E-2</v>
      </c>
      <c r="U366" s="24">
        <v>4.2677648831223935E-2</v>
      </c>
      <c r="V366" s="24">
        <f t="shared" si="42"/>
        <v>4.1770948599610058E-2</v>
      </c>
      <c r="W366" s="23">
        <f t="shared" si="43"/>
        <v>3.4153126904683528E-3</v>
      </c>
      <c r="X366" s="24">
        <v>4.1877344296808783E-2</v>
      </c>
      <c r="Y366" s="24">
        <f t="shared" si="44"/>
        <v>4.1406383693407101E-2</v>
      </c>
      <c r="Z366" s="23">
        <f t="shared" si="45"/>
        <v>3.3857490056008466E-3</v>
      </c>
      <c r="AA366" s="36"/>
    </row>
    <row r="367" spans="15:27" ht="13.9" customHeight="1" x14ac:dyDescent="0.3">
      <c r="O367" s="12">
        <f t="shared" si="39"/>
        <v>29.5</v>
      </c>
      <c r="P367" s="13">
        <v>354</v>
      </c>
      <c r="Q367" s="22">
        <v>3.7803826342002633E-2</v>
      </c>
      <c r="R367" s="19">
        <f t="shared" si="40"/>
        <v>3.3248713891372406E-2</v>
      </c>
      <c r="S367" s="22">
        <v>3.8709079945303593E-2</v>
      </c>
      <c r="T367" s="19">
        <f t="shared" si="41"/>
        <v>4.0144068548772172E-2</v>
      </c>
      <c r="U367" s="24">
        <v>4.2675086419998953E-2</v>
      </c>
      <c r="V367" s="24">
        <f t="shared" si="42"/>
        <v>4.1779405746448228E-2</v>
      </c>
      <c r="W367" s="23">
        <f t="shared" si="43"/>
        <v>3.4159962758675277E-3</v>
      </c>
      <c r="X367" s="24">
        <v>4.1876013599692952E-2</v>
      </c>
      <c r="Y367" s="24">
        <f t="shared" si="44"/>
        <v>4.141850338667874E-2</v>
      </c>
      <c r="Z367" s="23">
        <f t="shared" si="45"/>
        <v>3.3867296901719524E-3</v>
      </c>
      <c r="AA367" s="36"/>
    </row>
    <row r="368" spans="15:27" ht="13.9" customHeight="1" x14ac:dyDescent="0.3">
      <c r="O368" s="12">
        <f t="shared" si="39"/>
        <v>29.583333333333332</v>
      </c>
      <c r="P368" s="13">
        <v>355</v>
      </c>
      <c r="Q368" s="22">
        <v>3.7790966876849019E-2</v>
      </c>
      <c r="R368" s="19">
        <f t="shared" si="40"/>
        <v>3.3210497629499569E-2</v>
      </c>
      <c r="S368" s="22">
        <v>3.8713119384957473E-2</v>
      </c>
      <c r="T368" s="19">
        <f t="shared" si="41"/>
        <v>4.0170573145215771E-2</v>
      </c>
      <c r="U368" s="24">
        <v>4.2672562294607363E-2</v>
      </c>
      <c r="V368" s="24">
        <f t="shared" si="42"/>
        <v>4.1787803916259803E-2</v>
      </c>
      <c r="W368" s="23">
        <f t="shared" si="43"/>
        <v>3.4166750882989039E-3</v>
      </c>
      <c r="X368" s="24">
        <v>4.1874724556282716E-2</v>
      </c>
      <c r="Y368" s="24">
        <f t="shared" si="44"/>
        <v>4.143052946254544E-2</v>
      </c>
      <c r="Z368" s="23">
        <f t="shared" si="45"/>
        <v>3.3877027872837306E-3</v>
      </c>
      <c r="AA368" s="36"/>
    </row>
    <row r="369" spans="15:27" ht="13.9" customHeight="1" x14ac:dyDescent="0.3">
      <c r="O369" s="12">
        <f t="shared" si="39"/>
        <v>29.666666666666668</v>
      </c>
      <c r="P369" s="13">
        <v>356</v>
      </c>
      <c r="Q369" s="22">
        <v>3.7778071992257356E-2</v>
      </c>
      <c r="R369" s="19">
        <f t="shared" si="40"/>
        <v>3.3172147349879388E-2</v>
      </c>
      <c r="S369" s="22">
        <v>3.8717210494739529E-2</v>
      </c>
      <c r="T369" s="19">
        <f t="shared" si="41"/>
        <v>4.019682618016418E-2</v>
      </c>
      <c r="U369" s="24">
        <v>4.2670075966192211E-2</v>
      </c>
      <c r="V369" s="24">
        <f t="shared" si="42"/>
        <v>4.1796143530836272E-2</v>
      </c>
      <c r="W369" s="23">
        <f t="shared" si="43"/>
        <v>3.4173491619435836E-3</v>
      </c>
      <c r="X369" s="24">
        <v>4.1873476551945288E-2</v>
      </c>
      <c r="Y369" s="24">
        <f t="shared" si="44"/>
        <v>4.1442462665115753E-2</v>
      </c>
      <c r="Z369" s="23">
        <f t="shared" si="45"/>
        <v>3.3886683575399257E-3</v>
      </c>
      <c r="AA369" s="36"/>
    </row>
    <row r="370" spans="15:27" ht="13.9" customHeight="1" x14ac:dyDescent="0.3">
      <c r="O370" s="12">
        <f t="shared" si="39"/>
        <v>29.75</v>
      </c>
      <c r="P370" s="13">
        <v>357</v>
      </c>
      <c r="Q370" s="22">
        <v>3.776514160748401E-2</v>
      </c>
      <c r="R370" s="19">
        <f t="shared" si="40"/>
        <v>3.3133660863054581E-2</v>
      </c>
      <c r="S370" s="22">
        <v>3.8721352135643983E-2</v>
      </c>
      <c r="T370" s="19">
        <f t="shared" si="41"/>
        <v>4.0222830144227784E-2</v>
      </c>
      <c r="U370" s="24">
        <v>4.266762695256654E-2</v>
      </c>
      <c r="V370" s="24">
        <f t="shared" si="42"/>
        <v>4.1804425010181223E-2</v>
      </c>
      <c r="W370" s="23">
        <f t="shared" si="43"/>
        <v>3.418018530761513E-3</v>
      </c>
      <c r="X370" s="24">
        <v>4.1872268981035132E-2</v>
      </c>
      <c r="Y370" s="24">
        <f t="shared" si="44"/>
        <v>4.1454303734691722E-2</v>
      </c>
      <c r="Z370" s="23">
        <f t="shared" si="45"/>
        <v>3.3896264609221127E-3</v>
      </c>
      <c r="AA370" s="36"/>
    </row>
    <row r="371" spans="15:27" ht="13.9" customHeight="1" x14ac:dyDescent="0.3">
      <c r="O371" s="12">
        <f t="shared" si="39"/>
        <v>29.833333333333332</v>
      </c>
      <c r="P371" s="13">
        <v>358</v>
      </c>
      <c r="Q371" s="22">
        <v>3.7752175636524665E-2</v>
      </c>
      <c r="R371" s="19">
        <f t="shared" si="40"/>
        <v>3.3095035975063469E-2</v>
      </c>
      <c r="S371" s="22">
        <v>3.8725543188387945E-2</v>
      </c>
      <c r="T371" s="19">
        <f t="shared" si="41"/>
        <v>4.0248587501808597E-2</v>
      </c>
      <c r="U371" s="24">
        <v>4.2665214778114358E-2</v>
      </c>
      <c r="V371" s="24">
        <f t="shared" si="42"/>
        <v>4.1812648768999372E-2</v>
      </c>
      <c r="W371" s="23">
        <f t="shared" si="43"/>
        <v>3.4186832285665325E-3</v>
      </c>
      <c r="X371" s="24">
        <v>4.1871101246757192E-2</v>
      </c>
      <c r="Y371" s="24">
        <f t="shared" si="44"/>
        <v>4.1466053402587466E-2</v>
      </c>
      <c r="Z371" s="23">
        <f t="shared" si="45"/>
        <v>3.390577157103225E-3</v>
      </c>
      <c r="AA371" s="36"/>
    </row>
    <row r="372" spans="15:27" ht="13.9" customHeight="1" x14ac:dyDescent="0.3">
      <c r="O372" s="12">
        <f t="shared" si="39"/>
        <v>29.916666666666668</v>
      </c>
      <c r="P372" s="13">
        <v>359</v>
      </c>
      <c r="Q372" s="22">
        <v>3.7739173988174279E-2</v>
      </c>
      <c r="R372" s="19">
        <f t="shared" si="40"/>
        <v>3.3056270487632933E-2</v>
      </c>
      <c r="S372" s="22">
        <v>3.8729782553062142E-2</v>
      </c>
      <c r="T372" s="19">
        <f t="shared" si="41"/>
        <v>4.0274100690659065E-2</v>
      </c>
      <c r="U372" s="24">
        <v>4.2662838973684281E-2</v>
      </c>
      <c r="V372" s="24">
        <f t="shared" si="42"/>
        <v>4.1820815220597218E-2</v>
      </c>
      <c r="W372" s="23">
        <f t="shared" si="43"/>
        <v>3.4193432887461572E-3</v>
      </c>
      <c r="X372" s="24">
        <v>4.1869972761018115E-2</v>
      </c>
      <c r="Y372" s="24">
        <f t="shared" si="44"/>
        <v>4.1477712395533439E-2</v>
      </c>
      <c r="Z372" s="23">
        <f t="shared" si="45"/>
        <v>3.3915205050292219E-3</v>
      </c>
      <c r="AA372" s="36"/>
    </row>
    <row r="373" spans="15:27" ht="13.9" customHeight="1" x14ac:dyDescent="0.3">
      <c r="O373" s="12">
        <f t="shared" si="39"/>
        <v>30</v>
      </c>
      <c r="P373" s="13">
        <v>360</v>
      </c>
      <c r="Q373" s="22">
        <v>3.7726136566087032E-2</v>
      </c>
      <c r="R373" s="19">
        <f t="shared" si="40"/>
        <v>3.3017490045817333E-2</v>
      </c>
      <c r="S373" s="22">
        <v>3.8734069148786521E-2</v>
      </c>
      <c r="T373" s="19">
        <f t="shared" si="41"/>
        <v>4.0299372122686306E-2</v>
      </c>
      <c r="U373" s="24">
        <v>4.2660499076495828E-2</v>
      </c>
      <c r="V373" s="24">
        <f t="shared" si="42"/>
        <v>4.1828924773242626E-2</v>
      </c>
      <c r="W373" s="23">
        <f t="shared" si="43"/>
        <v>3.4199987445733271E-3</v>
      </c>
      <c r="X373" s="24">
        <v>4.1868882944292585E-2</v>
      </c>
      <c r="Y373" s="24">
        <f t="shared" si="44"/>
        <v>4.1489281433982228E-2</v>
      </c>
      <c r="Z373" s="23">
        <f t="shared" si="45"/>
        <v>3.3924565632743597E-3</v>
      </c>
      <c r="AA373" s="36"/>
    </row>
    <row r="374" spans="15:27" ht="13.9" customHeight="1" x14ac:dyDescent="0.3">
      <c r="O374" s="12">
        <f t="shared" si="39"/>
        <v>30.083333333333332</v>
      </c>
      <c r="P374" s="13">
        <v>361</v>
      </c>
      <c r="Q374" s="22">
        <v>3.7713063624592813E-2</v>
      </c>
      <c r="R374" s="19">
        <f t="shared" si="40"/>
        <v>3.2979203505129062E-2</v>
      </c>
      <c r="S374" s="22">
        <v>3.8738401913373632E-2</v>
      </c>
      <c r="T374" s="19">
        <f t="shared" si="41"/>
        <v>4.032440418440042E-2</v>
      </c>
      <c r="U374" s="24">
        <v>4.2658194630037283E-2</v>
      </c>
      <c r="V374" s="24">
        <f t="shared" si="42"/>
        <v>4.1836977835376654E-2</v>
      </c>
      <c r="W374" s="23">
        <f t="shared" si="43"/>
        <v>3.4206496289157506E-3</v>
      </c>
      <c r="X374" s="24">
        <v>4.1867831225487206E-2</v>
      </c>
      <c r="Y374" s="24">
        <f t="shared" si="44"/>
        <v>4.1500761232335037E-2</v>
      </c>
      <c r="Z374" s="23">
        <f t="shared" si="45"/>
        <v>3.3933853899046351E-3</v>
      </c>
      <c r="AA374" s="36"/>
    </row>
    <row r="375" spans="15:27" ht="13.9" customHeight="1" x14ac:dyDescent="0.3">
      <c r="O375" s="12">
        <f t="shared" si="39"/>
        <v>30.166666666666668</v>
      </c>
      <c r="P375" s="13">
        <v>362</v>
      </c>
      <c r="Q375" s="22">
        <v>3.7699956827315084E-2</v>
      </c>
      <c r="R375" s="19">
        <f t="shared" si="40"/>
        <v>3.2941535654874565E-2</v>
      </c>
      <c r="S375" s="22">
        <v>3.8742779802999339E-2</v>
      </c>
      <c r="T375" s="19">
        <f t="shared" si="41"/>
        <v>4.0349199237105893E-2</v>
      </c>
      <c r="U375" s="24">
        <v>4.2655925183978649E-2</v>
      </c>
      <c r="V375" s="24">
        <f t="shared" si="42"/>
        <v>4.1844974808133095E-2</v>
      </c>
      <c r="W375" s="23">
        <f t="shared" si="43"/>
        <v>3.4212959746526828E-3</v>
      </c>
      <c r="X375" s="24">
        <v>4.186681704180617E-2</v>
      </c>
      <c r="Y375" s="24">
        <f t="shared" si="44"/>
        <v>4.151215249858109E-2</v>
      </c>
      <c r="Z375" s="23">
        <f t="shared" si="45"/>
        <v>3.39430704249577E-3</v>
      </c>
      <c r="AA375" s="36"/>
    </row>
    <row r="376" spans="15:27" ht="13.9" customHeight="1" x14ac:dyDescent="0.3">
      <c r="O376" s="12">
        <f t="shared" si="39"/>
        <v>30.25</v>
      </c>
      <c r="P376" s="13">
        <v>363</v>
      </c>
      <c r="Q376" s="22">
        <v>3.768681816498276E-2</v>
      </c>
      <c r="R376" s="19">
        <f t="shared" si="40"/>
        <v>3.2904483386114736E-2</v>
      </c>
      <c r="S376" s="22">
        <v>3.8747201791878849E-2</v>
      </c>
      <c r="T376" s="19">
        <f t="shared" si="41"/>
        <v>4.0373759616323168E-2</v>
      </c>
      <c r="U376" s="24">
        <v>4.2653690294066848E-2</v>
      </c>
      <c r="V376" s="24">
        <f t="shared" si="42"/>
        <v>4.1852916093670922E-2</v>
      </c>
      <c r="W376" s="23">
        <f t="shared" si="43"/>
        <v>3.4219378140758483E-3</v>
      </c>
      <c r="X376" s="24">
        <v>4.1865839838619578E-2</v>
      </c>
      <c r="Y376" s="24">
        <f t="shared" si="44"/>
        <v>4.1523455935733589E-2</v>
      </c>
      <c r="Z376" s="23">
        <f t="shared" si="45"/>
        <v>3.3952215781054562E-3</v>
      </c>
      <c r="AA376" s="36"/>
    </row>
    <row r="377" spans="15:27" ht="13.9" customHeight="1" x14ac:dyDescent="0.3">
      <c r="O377" s="12">
        <f t="shared" si="39"/>
        <v>30.333333333333332</v>
      </c>
      <c r="P377" s="13">
        <v>364</v>
      </c>
      <c r="Q377" s="22">
        <v>3.7673649597971481E-2</v>
      </c>
      <c r="R377" s="19">
        <f t="shared" si="40"/>
        <v>3.2868043620991383E-2</v>
      </c>
      <c r="S377" s="22">
        <v>3.8751666871947199E-2</v>
      </c>
      <c r="T377" s="19">
        <f t="shared" si="41"/>
        <v>4.0398087633628954E-2</v>
      </c>
      <c r="U377" s="24">
        <v>4.2651489522044894E-2</v>
      </c>
      <c r="V377" s="24">
        <f t="shared" si="42"/>
        <v>4.1860802087981153E-2</v>
      </c>
      <c r="W377" s="23">
        <f t="shared" si="43"/>
        <v>3.4225751795569082E-3</v>
      </c>
      <c r="X377" s="24">
        <v>4.1864899069337547E-2</v>
      </c>
      <c r="Y377" s="24">
        <f t="shared" si="44"/>
        <v>4.1534672239134318E-2</v>
      </c>
      <c r="Z377" s="23">
        <f t="shared" si="45"/>
        <v>3.3961290533874866E-3</v>
      </c>
      <c r="AA377" s="36"/>
    </row>
    <row r="378" spans="15:27" ht="13.9" customHeight="1" x14ac:dyDescent="0.3">
      <c r="O378" s="12">
        <f t="shared" si="39"/>
        <v>30.416666666666668</v>
      </c>
      <c r="P378" s="13">
        <v>365</v>
      </c>
      <c r="Q378" s="22">
        <v>3.7660453056800547E-2</v>
      </c>
      <c r="R378" s="19">
        <f t="shared" si="40"/>
        <v>3.2832213307238511E-2</v>
      </c>
      <c r="S378" s="22">
        <v>3.8756174052549719E-2</v>
      </c>
      <c r="T378" s="19">
        <f t="shared" si="41"/>
        <v>4.0422185576169722E-2</v>
      </c>
      <c r="U378" s="24">
        <v>4.2649322435552195E-2</v>
      </c>
      <c r="V378" s="24">
        <f t="shared" si="42"/>
        <v>4.1868633187229554E-2</v>
      </c>
      <c r="W378" s="23">
        <f t="shared" si="43"/>
        <v>3.4232081029719197E-3</v>
      </c>
      <c r="X378" s="24">
        <v>4.1863994195277865E-2</v>
      </c>
      <c r="Y378" s="24">
        <f t="shared" si="44"/>
        <v>4.1545802101290219E-2</v>
      </c>
      <c r="Z378" s="23">
        <f t="shared" si="45"/>
        <v>3.3970295243754833E-3</v>
      </c>
      <c r="AA378" s="36"/>
    </row>
    <row r="379" spans="15:27" ht="13.9" customHeight="1" x14ac:dyDescent="0.3">
      <c r="O379" s="12">
        <f t="shared" si="39"/>
        <v>30.5</v>
      </c>
      <c r="P379" s="13">
        <v>366</v>
      </c>
      <c r="Q379" s="22">
        <v>3.7647230442607205E-2</v>
      </c>
      <c r="R379" s="19">
        <f t="shared" si="40"/>
        <v>3.2796986947327911E-2</v>
      </c>
      <c r="S379" s="22">
        <v>3.8760722360136279E-2</v>
      </c>
      <c r="T379" s="19">
        <f t="shared" si="41"/>
        <v>4.044605570601667E-2</v>
      </c>
      <c r="U379" s="24">
        <v>4.2647188608044617E-2</v>
      </c>
      <c r="V379" s="24">
        <f t="shared" si="42"/>
        <v>4.1876409780596813E-2</v>
      </c>
      <c r="W379" s="23">
        <f t="shared" si="43"/>
        <v>3.4238366162087086E-3</v>
      </c>
      <c r="X379" s="24">
        <v>4.1863124685550979E-2</v>
      </c>
      <c r="Y379" s="24">
        <f t="shared" si="44"/>
        <v>4.1556846205212272E-2</v>
      </c>
      <c r="Z379" s="23">
        <f t="shared" si="45"/>
        <v>3.3979230468721422E-3</v>
      </c>
      <c r="AA379" s="36"/>
    </row>
    <row r="380" spans="15:27" ht="13.9" customHeight="1" x14ac:dyDescent="0.3">
      <c r="O380" s="12">
        <f t="shared" si="39"/>
        <v>30.583333333333332</v>
      </c>
      <c r="P380" s="13">
        <v>367</v>
      </c>
      <c r="Q380" s="22">
        <v>3.7633983620848133E-2</v>
      </c>
      <c r="R380" s="19">
        <f t="shared" si="40"/>
        <v>3.2762351652894983E-2</v>
      </c>
      <c r="S380" s="22">
        <v>3.8765310837958644E-2</v>
      </c>
      <c r="T380" s="19">
        <f t="shared" si="41"/>
        <v>4.0469700262981245E-2</v>
      </c>
      <c r="U380" s="24">
        <v>4.264508761869612E-2</v>
      </c>
      <c r="V380" s="24">
        <f t="shared" si="42"/>
        <v>4.1884132259212725E-2</v>
      </c>
      <c r="W380" s="23">
        <f t="shared" si="43"/>
        <v>3.4244607505933278E-3</v>
      </c>
      <c r="X380" s="24">
        <v>4.1862290016926762E-2</v>
      </c>
      <c r="Y380" s="24">
        <f t="shared" si="44"/>
        <v>4.1567805231909727E-2</v>
      </c>
      <c r="Z380" s="23">
        <f t="shared" si="45"/>
        <v>3.3988096759143271E-3</v>
      </c>
      <c r="AA380" s="36"/>
    </row>
    <row r="381" spans="15:27" ht="13.9" customHeight="1" x14ac:dyDescent="0.3">
      <c r="O381" s="12">
        <f t="shared" si="39"/>
        <v>30.666666666666668</v>
      </c>
      <c r="P381" s="13">
        <v>368</v>
      </c>
      <c r="Q381" s="22">
        <v>3.7620714401602529E-2</v>
      </c>
      <c r="R381" s="19">
        <f t="shared" si="40"/>
        <v>3.272830199921728E-2</v>
      </c>
      <c r="S381" s="22">
        <v>3.8769938545781146E-2</v>
      </c>
      <c r="T381" s="19">
        <f t="shared" si="41"/>
        <v>4.0493121461596893E-2</v>
      </c>
      <c r="U381" s="24">
        <v>4.2643019052326148E-2</v>
      </c>
      <c r="V381" s="24">
        <f t="shared" si="42"/>
        <v>4.1891801006436635E-2</v>
      </c>
      <c r="W381" s="23">
        <f t="shared" si="43"/>
        <v>3.4250805376063731E-3</v>
      </c>
      <c r="X381" s="24">
        <v>4.1861489673725272E-2</v>
      </c>
      <c r="Y381" s="24">
        <f t="shared" si="44"/>
        <v>4.1578679853497835E-2</v>
      </c>
      <c r="Z381" s="23">
        <f t="shared" si="45"/>
        <v>3.399689466373701E-3</v>
      </c>
      <c r="AA381" s="36"/>
    </row>
    <row r="382" spans="15:27" ht="13.9" customHeight="1" x14ac:dyDescent="0.3">
      <c r="O382" s="12">
        <f t="shared" si="39"/>
        <v>30.75</v>
      </c>
      <c r="P382" s="13">
        <v>369</v>
      </c>
      <c r="Q382" s="22">
        <v>3.7607424560638147E-2</v>
      </c>
      <c r="R382" s="19">
        <f t="shared" si="40"/>
        <v>3.2694835067294203E-2</v>
      </c>
      <c r="S382" s="22">
        <v>3.8774604559586923E-2</v>
      </c>
      <c r="T382" s="19">
        <f t="shared" si="41"/>
        <v>4.0516321494319385E-2</v>
      </c>
      <c r="U382" s="24">
        <v>4.2640982499301483E-2</v>
      </c>
      <c r="V382" s="24">
        <f t="shared" si="42"/>
        <v>4.1899416406605994E-2</v>
      </c>
      <c r="W382" s="23">
        <f t="shared" si="43"/>
        <v>3.425696008103829E-3</v>
      </c>
      <c r="X382" s="24">
        <v>4.186072314768996E-2</v>
      </c>
      <c r="Y382" s="24">
        <f t="shared" si="44"/>
        <v>4.1589470738982337E-2</v>
      </c>
      <c r="Z382" s="23">
        <f t="shared" si="45"/>
        <v>3.4005624724047223E-3</v>
      </c>
      <c r="AA382" s="36"/>
    </row>
    <row r="383" spans="15:27" ht="13.9" customHeight="1" x14ac:dyDescent="0.3">
      <c r="O383" s="12">
        <f t="shared" si="39"/>
        <v>30.833333333333332</v>
      </c>
      <c r="P383" s="13">
        <v>370</v>
      </c>
      <c r="Q383" s="22">
        <v>3.7594115846675935E-2</v>
      </c>
      <c r="R383" s="19">
        <f t="shared" si="40"/>
        <v>3.2661947964065963E-2</v>
      </c>
      <c r="S383" s="22">
        <v>3.8779307971298582E-2</v>
      </c>
      <c r="T383" s="19">
        <f t="shared" si="41"/>
        <v>4.0539302529730259E-2</v>
      </c>
      <c r="U383" s="24">
        <v>4.2638977555464752E-2</v>
      </c>
      <c r="V383" s="24">
        <f t="shared" si="42"/>
        <v>4.1906978838660791E-2</v>
      </c>
      <c r="W383" s="23">
        <f t="shared" si="43"/>
        <v>3.4263071930182853E-3</v>
      </c>
      <c r="X383" s="24">
        <v>4.185998993787865E-2</v>
      </c>
      <c r="Y383" s="24">
        <f t="shared" si="44"/>
        <v>4.1600178550104561E-2</v>
      </c>
      <c r="Z383" s="23">
        <f t="shared" si="45"/>
        <v>3.4014287479089411E-3</v>
      </c>
      <c r="AA383" s="36"/>
    </row>
    <row r="384" spans="15:27" ht="13.9" customHeight="1" x14ac:dyDescent="0.3">
      <c r="O384" s="12">
        <f t="shared" si="39"/>
        <v>30.916666666666668</v>
      </c>
      <c r="P384" s="13">
        <v>371</v>
      </c>
      <c r="Q384" s="22">
        <v>3.7580789981821017E-2</v>
      </c>
      <c r="R384" s="19">
        <f t="shared" si="40"/>
        <v>3.2629637826329549E-2</v>
      </c>
      <c r="S384" s="22">
        <v>3.8784047888497541E-2</v>
      </c>
      <c r="T384" s="19">
        <f t="shared" si="41"/>
        <v>4.0562066714687983E-2</v>
      </c>
      <c r="U384" s="24">
        <v>4.2637003822044717E-2</v>
      </c>
      <c r="V384" s="24">
        <f t="shared" si="42"/>
        <v>4.1914488680401263E-2</v>
      </c>
      <c r="W384" s="23">
        <f t="shared" si="43"/>
        <v>3.4269141228480127E-3</v>
      </c>
      <c r="X384" s="24">
        <v>4.1859289550545187E-2</v>
      </c>
      <c r="Y384" s="24">
        <f t="shared" si="44"/>
        <v>4.1610803944280184E-2</v>
      </c>
      <c r="Z384" s="23">
        <f t="shared" si="45"/>
        <v>3.4022883462003772E-3</v>
      </c>
      <c r="AA384" s="36"/>
    </row>
    <row r="385" spans="15:27" ht="13.9" customHeight="1" x14ac:dyDescent="0.3">
      <c r="O385" s="12">
        <f t="shared" si="39"/>
        <v>31</v>
      </c>
      <c r="P385" s="13">
        <v>372</v>
      </c>
      <c r="Q385" s="22">
        <v>3.7567448661997682E-2</v>
      </c>
      <c r="R385" s="19">
        <f t="shared" si="40"/>
        <v>3.2597899392352581E-2</v>
      </c>
      <c r="S385" s="22">
        <v>3.8788823434154684E-2</v>
      </c>
      <c r="T385" s="19">
        <f t="shared" si="41"/>
        <v>4.0584616172295807E-2</v>
      </c>
      <c r="U385" s="24">
        <v>4.2635060905581668E-2</v>
      </c>
      <c r="V385" s="24">
        <f t="shared" si="42"/>
        <v>4.1921946305686353E-2</v>
      </c>
      <c r="W385" s="23">
        <f t="shared" si="43"/>
        <v>3.4275168279984669E-3</v>
      </c>
      <c r="X385" s="24">
        <v>4.1858621499030413E-2</v>
      </c>
      <c r="Y385" s="24">
        <f t="shared" si="44"/>
        <v>4.1621347572720291E-2</v>
      </c>
      <c r="Z385" s="23">
        <f t="shared" si="45"/>
        <v>3.4031413202433303E-3</v>
      </c>
      <c r="AA385" s="36"/>
    </row>
    <row r="386" spans="15:27" ht="13.9" customHeight="1" x14ac:dyDescent="0.3">
      <c r="O386" s="12">
        <f t="shared" si="39"/>
        <v>31.083333333333332</v>
      </c>
      <c r="P386" s="13">
        <v>373</v>
      </c>
      <c r="Q386" s="22">
        <v>3.755409355083561E-2</v>
      </c>
      <c r="R386" s="19">
        <f t="shared" si="40"/>
        <v>3.2566720158200058E-2</v>
      </c>
      <c r="S386" s="22">
        <v>3.8793633746359246E-2</v>
      </c>
      <c r="T386" s="19">
        <f t="shared" si="41"/>
        <v>4.0606953004650448E-2</v>
      </c>
      <c r="U386" s="24">
        <v>4.2633148417845046E-2</v>
      </c>
      <c r="V386" s="24">
        <f t="shared" si="42"/>
        <v>4.1929352086552019E-2</v>
      </c>
      <c r="W386" s="23">
        <f t="shared" si="43"/>
        <v>3.4281153385571361E-3</v>
      </c>
      <c r="X386" s="24">
        <v>4.1857985303651146E-2</v>
      </c>
      <c r="Y386" s="24">
        <f t="shared" si="44"/>
        <v>4.1631810080937193E-2</v>
      </c>
      <c r="Z386" s="23">
        <f t="shared" si="45"/>
        <v>3.4039877224993909E-3</v>
      </c>
      <c r="AA386" s="36"/>
    </row>
    <row r="387" spans="15:27" ht="13.9" customHeight="1" x14ac:dyDescent="0.3">
      <c r="O387" s="12">
        <f t="shared" si="39"/>
        <v>31.166666666666668</v>
      </c>
      <c r="P387" s="13">
        <v>374</v>
      </c>
      <c r="Q387" s="22">
        <v>3.7540726260640866E-2</v>
      </c>
      <c r="R387" s="19">
        <f t="shared" si="40"/>
        <v>3.2536094936665316E-2</v>
      </c>
      <c r="S387" s="22">
        <v>3.8798477978059909E-2</v>
      </c>
      <c r="T387" s="19">
        <f t="shared" si="41"/>
        <v>4.0629079291053083E-2</v>
      </c>
      <c r="U387" s="24">
        <v>4.2631265975758614E-2</v>
      </c>
      <c r="V387" s="24">
        <f t="shared" si="42"/>
        <v>4.1936706391361156E-2</v>
      </c>
      <c r="W387" s="23">
        <f t="shared" si="43"/>
        <v>3.4287096844640708E-3</v>
      </c>
      <c r="X387" s="24">
        <v>4.1857380491590712E-2</v>
      </c>
      <c r="Y387" s="24">
        <f t="shared" si="44"/>
        <v>4.1642192111093657E-2</v>
      </c>
      <c r="Z387" s="23">
        <f t="shared" si="45"/>
        <v>3.4048276049705173E-3</v>
      </c>
      <c r="AA387" s="36"/>
    </row>
    <row r="388" spans="15:27" ht="13.9" customHeight="1" x14ac:dyDescent="0.3">
      <c r="O388" s="12">
        <f t="shared" si="39"/>
        <v>31.25</v>
      </c>
      <c r="P388" s="13">
        <v>375</v>
      </c>
      <c r="Q388" s="22">
        <v>3.7527348372681013E-2</v>
      </c>
      <c r="R388" s="19">
        <f t="shared" si="40"/>
        <v>3.2506020996261986E-2</v>
      </c>
      <c r="S388" s="22">
        <v>3.8803355296804787E-2</v>
      </c>
      <c r="T388" s="19">
        <f t="shared" si="41"/>
        <v>4.0650997089390462E-2</v>
      </c>
      <c r="U388" s="24">
        <v>4.2629413201321631E-2</v>
      </c>
      <c r="V388" s="24">
        <f t="shared" si="42"/>
        <v>4.1944009586096564E-2</v>
      </c>
      <c r="W388" s="23">
        <f t="shared" si="43"/>
        <v>3.4292998953626697E-3</v>
      </c>
      <c r="X388" s="24">
        <v>4.1856806596798357E-2</v>
      </c>
      <c r="Y388" s="24">
        <f t="shared" si="44"/>
        <v>4.1652494297213405E-2</v>
      </c>
      <c r="Z388" s="23">
        <f t="shared" si="45"/>
        <v>3.405661019385775E-3</v>
      </c>
      <c r="AA388" s="36"/>
    </row>
    <row r="389" spans="15:27" ht="13.9" customHeight="1" x14ac:dyDescent="0.3">
      <c r="O389" s="12">
        <f t="shared" si="39"/>
        <v>31.333333333333332</v>
      </c>
      <c r="P389" s="13">
        <v>376</v>
      </c>
      <c r="Q389" s="22">
        <v>3.7513961444157529E-2</v>
      </c>
      <c r="R389" s="19">
        <f t="shared" si="40"/>
        <v>3.2476495632623115E-2</v>
      </c>
      <c r="S389" s="22">
        <v>3.8808264884489629E-2</v>
      </c>
      <c r="T389" s="19">
        <f t="shared" si="41"/>
        <v>4.0672708435673721E-2</v>
      </c>
      <c r="U389" s="24">
        <v>4.2627589721535131E-2</v>
      </c>
      <c r="V389" s="24">
        <f t="shared" si="42"/>
        <v>4.195126203430477E-2</v>
      </c>
      <c r="W389" s="23">
        <f t="shared" si="43"/>
        <v>3.4298860007049292E-3</v>
      </c>
      <c r="X389" s="24">
        <v>4.1856263159877782E-2</v>
      </c>
      <c r="Y389" s="24">
        <f t="shared" si="44"/>
        <v>4.1662717269770999E-2</v>
      </c>
      <c r="Z389" s="23">
        <f t="shared" si="45"/>
        <v>3.4064880168176437E-3</v>
      </c>
      <c r="AA389" s="36"/>
    </row>
    <row r="390" spans="15:27" ht="13.9" customHeight="1" x14ac:dyDescent="0.3">
      <c r="O390" s="12">
        <f t="shared" si="39"/>
        <v>31.416666666666668</v>
      </c>
      <c r="P390" s="13">
        <v>377</v>
      </c>
      <c r="Q390" s="22">
        <v>3.7500567008594388E-2</v>
      </c>
      <c r="R390" s="19">
        <f t="shared" si="40"/>
        <v>3.2447516170482249E-2</v>
      </c>
      <c r="S390" s="22">
        <v>3.8813205937108908E-2</v>
      </c>
      <c r="T390" s="19">
        <f t="shared" si="41"/>
        <v>4.0694215345608464E-2</v>
      </c>
      <c r="U390" s="24">
        <v>4.2625795168328873E-2</v>
      </c>
      <c r="V390" s="24">
        <f t="shared" si="42"/>
        <v>4.1958464096297776E-2</v>
      </c>
      <c r="W390" s="23">
        <f t="shared" si="43"/>
        <v>3.4304680297452261E-3</v>
      </c>
      <c r="X390" s="24">
        <v>4.1855749727988778E-2</v>
      </c>
      <c r="Y390" s="24">
        <f t="shared" si="44"/>
        <v>4.1672861653255344E-2</v>
      </c>
      <c r="Z390" s="23">
        <f t="shared" si="45"/>
        <v>3.407308648050833E-3</v>
      </c>
      <c r="AA390" s="36"/>
    </row>
    <row r="391" spans="15:27" ht="13.9" customHeight="1" x14ac:dyDescent="0.3">
      <c r="O391" s="12">
        <f t="shared" si="39"/>
        <v>31.5</v>
      </c>
      <c r="P391" s="13">
        <v>378</v>
      </c>
      <c r="Q391" s="22">
        <v>3.748716657622575E-2</v>
      </c>
      <c r="R391" s="19">
        <f t="shared" si="40"/>
        <v>3.2419077584561862E-2</v>
      </c>
      <c r="S391" s="22">
        <v>3.8818177664514453E-2</v>
      </c>
      <c r="T391" s="19">
        <f t="shared" si="41"/>
        <v>4.0715519813305567E-2</v>
      </c>
      <c r="U391" s="24">
        <v>4.2624029178487621E-2</v>
      </c>
      <c r="V391" s="24">
        <f t="shared" si="42"/>
        <v>4.1965616130708927E-2</v>
      </c>
      <c r="W391" s="23">
        <f t="shared" si="43"/>
        <v>3.4310460114772567E-3</v>
      </c>
      <c r="X391" s="24">
        <v>4.1855265854744639E-2</v>
      </c>
      <c r="Y391" s="24">
        <f t="shared" si="44"/>
        <v>4.1682928068794478E-2</v>
      </c>
      <c r="Z391" s="23">
        <f t="shared" si="45"/>
        <v>3.4081229633859955E-3</v>
      </c>
      <c r="AA391" s="36"/>
    </row>
    <row r="392" spans="15:27" ht="13.9" customHeight="1" x14ac:dyDescent="0.3">
      <c r="O392" s="12">
        <f t="shared" si="39"/>
        <v>31.583333333333332</v>
      </c>
      <c r="P392" s="13">
        <v>379</v>
      </c>
      <c r="Q392" s="22">
        <v>3.7473761628069369E-2</v>
      </c>
      <c r="R392" s="19">
        <f t="shared" si="40"/>
        <v>3.2391167752121808E-2</v>
      </c>
      <c r="S392" s="22">
        <v>3.8823179290175425E-2</v>
      </c>
      <c r="T392" s="19">
        <f t="shared" si="41"/>
        <v>4.0736623811978401E-2</v>
      </c>
      <c r="U392" s="24">
        <v>4.2622291393582312E-2</v>
      </c>
      <c r="V392" s="24">
        <f t="shared" si="42"/>
        <v>4.197271849184836E-2</v>
      </c>
      <c r="W392" s="23">
        <f t="shared" si="43"/>
        <v>3.4316199747588261E-3</v>
      </c>
      <c r="X392" s="24">
        <v>4.1854811100118017E-2</v>
      </c>
      <c r="Y392" s="24">
        <f t="shared" si="44"/>
        <v>4.1692917129449558E-2</v>
      </c>
      <c r="Z392" s="23">
        <f t="shared" si="45"/>
        <v>3.408931012850891E-3</v>
      </c>
      <c r="AA392" s="36"/>
    </row>
    <row r="393" spans="15:27" ht="13.9" customHeight="1" x14ac:dyDescent="0.3">
      <c r="O393" s="12">
        <f t="shared" si="39"/>
        <v>31.666666666666668</v>
      </c>
      <c r="P393" s="13">
        <v>380</v>
      </c>
      <c r="Q393" s="22">
        <v>3.746035359753952E-2</v>
      </c>
      <c r="R393" s="19">
        <f t="shared" si="40"/>
        <v>3.2363781721991725E-2</v>
      </c>
      <c r="S393" s="22">
        <v>3.8828210050942946E-2</v>
      </c>
      <c r="T393" s="19">
        <f t="shared" si="41"/>
        <v>4.0757529295251338E-2</v>
      </c>
      <c r="U393" s="24">
        <v>4.2620581459895668E-2</v>
      </c>
      <c r="V393" s="24">
        <f t="shared" si="42"/>
        <v>4.1979771533520394E-2</v>
      </c>
      <c r="W393" s="23">
        <f t="shared" si="43"/>
        <v>3.4321899480997953E-3</v>
      </c>
      <c r="X393" s="24">
        <v>4.1854385030335894E-2</v>
      </c>
      <c r="Y393" s="24">
        <f t="shared" si="44"/>
        <v>4.1702829445881218E-2</v>
      </c>
      <c r="Z393" s="23">
        <f t="shared" si="45"/>
        <v>3.4097328458233545E-3</v>
      </c>
      <c r="AA393" s="36"/>
    </row>
    <row r="394" spans="15:27" ht="13.9" customHeight="1" x14ac:dyDescent="0.3">
      <c r="O394" s="12">
        <f t="shared" si="39"/>
        <v>31.75</v>
      </c>
      <c r="P394" s="13">
        <v>381</v>
      </c>
      <c r="Q394" s="22">
        <v>3.7446943889982931E-2</v>
      </c>
      <c r="R394" s="19">
        <f t="shared" si="40"/>
        <v>3.2336916950799877E-2</v>
      </c>
      <c r="S394" s="22">
        <v>3.8833269196822728E-2</v>
      </c>
      <c r="T394" s="19">
        <f t="shared" si="41"/>
        <v>4.0778238194753014E-2</v>
      </c>
      <c r="U394" s="24">
        <v>4.2618899028358914E-2</v>
      </c>
      <c r="V394" s="24">
        <f t="shared" si="42"/>
        <v>4.1986775604588411E-2</v>
      </c>
      <c r="W394" s="23">
        <f t="shared" si="43"/>
        <v>3.4327559599673929E-3</v>
      </c>
      <c r="X394" s="24">
        <v>4.1853987217790545E-2</v>
      </c>
      <c r="Y394" s="24">
        <f t="shared" si="44"/>
        <v>4.1712665621441936E-2</v>
      </c>
      <c r="Z394" s="23">
        <f t="shared" si="45"/>
        <v>3.4105285114844897E-3</v>
      </c>
      <c r="AA394" s="36"/>
    </row>
    <row r="395" spans="15:27" ht="13.9" customHeight="1" x14ac:dyDescent="0.3">
      <c r="O395" s="12">
        <f t="shared" si="39"/>
        <v>31.833333333333332</v>
      </c>
      <c r="P395" s="13">
        <v>382</v>
      </c>
      <c r="Q395" s="22">
        <v>3.7433533889378312E-2</v>
      </c>
      <c r="R395" s="19">
        <f t="shared" si="40"/>
        <v>3.2310570922120974E-2</v>
      </c>
      <c r="S395" s="22">
        <v>3.8838355990744589E-2</v>
      </c>
      <c r="T395" s="19">
        <f t="shared" si="41"/>
        <v>4.0798752424123341E-2</v>
      </c>
      <c r="U395" s="24">
        <v>4.261724375447784E-2</v>
      </c>
      <c r="V395" s="24">
        <f t="shared" si="42"/>
        <v>4.1993731052949679E-2</v>
      </c>
      <c r="W395" s="23">
        <f t="shared" si="43"/>
        <v>3.4333180384320539E-3</v>
      </c>
      <c r="X395" s="24">
        <v>4.1853617240940055E-2</v>
      </c>
      <c r="Y395" s="24">
        <f t="shared" si="44"/>
        <v>4.1722426256245226E-2</v>
      </c>
      <c r="Z395" s="23">
        <f t="shared" si="45"/>
        <v>3.4113180584267599E-3</v>
      </c>
      <c r="AA395" s="36"/>
    </row>
    <row r="396" spans="15:27" ht="13.9" customHeight="1" x14ac:dyDescent="0.3">
      <c r="O396" s="12">
        <f t="shared" si="39"/>
        <v>31.916666666666668</v>
      </c>
      <c r="P396" s="13">
        <v>383</v>
      </c>
      <c r="Q396" s="22">
        <v>3.7420124958683632E-2</v>
      </c>
      <c r="R396" s="19">
        <f t="shared" si="40"/>
        <v>3.2284741148243423E-2</v>
      </c>
      <c r="S396" s="22">
        <v>3.8843469708345957E-2</v>
      </c>
      <c r="T396" s="19">
        <f t="shared" si="41"/>
        <v>4.0819073876039447E-2</v>
      </c>
      <c r="U396" s="24">
        <v>4.2615615298270626E-2</v>
      </c>
      <c r="V396" s="24">
        <f t="shared" si="42"/>
        <v>4.2000638224389375E-2</v>
      </c>
      <c r="W396" s="23">
        <f t="shared" si="43"/>
        <v>3.433876211484943E-3</v>
      </c>
      <c r="X396" s="24">
        <v>4.1853274684220398E-2</v>
      </c>
      <c r="Y396" s="24">
        <f t="shared" si="44"/>
        <v>4.1732111945626871E-2</v>
      </c>
      <c r="Z396" s="23">
        <f t="shared" si="45"/>
        <v>3.4121015349790618E-3</v>
      </c>
      <c r="AA396" s="36"/>
    </row>
    <row r="397" spans="15:27" ht="13.9" customHeight="1" x14ac:dyDescent="0.3">
      <c r="O397" s="12">
        <f t="shared" si="39"/>
        <v>32</v>
      </c>
      <c r="P397" s="13">
        <v>384</v>
      </c>
      <c r="Q397" s="22">
        <v>3.7406718440182285E-2</v>
      </c>
      <c r="R397" s="19">
        <f t="shared" si="40"/>
        <v>3.2259422838589069E-2</v>
      </c>
      <c r="S397" s="22">
        <v>3.8848609637751386E-2</v>
      </c>
      <c r="T397" s="19">
        <f t="shared" si="41"/>
        <v>4.0839204423994468E-2</v>
      </c>
      <c r="U397" s="24">
        <v>4.2614013324203226E-2</v>
      </c>
      <c r="V397" s="24">
        <f t="shared" si="42"/>
        <v>4.2007497459982002E-2</v>
      </c>
      <c r="W397" s="23">
        <f t="shared" si="43"/>
        <v>3.4344305069464731E-3</v>
      </c>
      <c r="X397" s="24">
        <v>4.1852959137954393E-2</v>
      </c>
      <c r="Y397" s="24">
        <f t="shared" si="44"/>
        <v>4.1741723277886722E-2</v>
      </c>
      <c r="Z397" s="23">
        <f t="shared" si="45"/>
        <v>3.412878989084378E-3</v>
      </c>
      <c r="AA397" s="36"/>
    </row>
    <row r="398" spans="15:27" ht="13.9" customHeight="1" x14ac:dyDescent="0.3">
      <c r="O398" s="12">
        <f t="shared" ref="O398:O461" si="46">P398/12</f>
        <v>32.083333333333336</v>
      </c>
      <c r="P398" s="13">
        <v>385</v>
      </c>
      <c r="Q398" s="22">
        <v>3.7393315649738579E-2</v>
      </c>
      <c r="R398" s="19">
        <f t="shared" ref="R398:R461" si="47">(1+Q399)^P399/(1+Q398)^P398-1</f>
        <v>3.2234604246955012E-2</v>
      </c>
      <c r="S398" s="22">
        <v>3.8853775079359831E-2</v>
      </c>
      <c r="T398" s="19">
        <f t="shared" ref="T398:T461" si="48">(1+S399)^P399/(1+S398)^P398-1</f>
        <v>4.0859145921627205E-2</v>
      </c>
      <c r="U398" s="24">
        <v>4.2612437501119427E-2</v>
      </c>
      <c r="V398" s="24">
        <f t="shared" ref="V398:V461" si="49">(1+U399)^P399/(1+U398)^P398-1</f>
        <v>4.2014309100220082E-2</v>
      </c>
      <c r="W398" s="23">
        <f t="shared" si="43"/>
        <v>3.4349809522584707E-3</v>
      </c>
      <c r="X398" s="24">
        <v>4.185267019825778E-2</v>
      </c>
      <c r="Y398" s="24">
        <f t="shared" si="44"/>
        <v>4.1751260838493121E-2</v>
      </c>
      <c r="Z398" s="23">
        <f t="shared" si="45"/>
        <v>3.4136504681174795E-3</v>
      </c>
      <c r="AA398" s="36"/>
    </row>
    <row r="399" spans="15:27" ht="13.9" customHeight="1" x14ac:dyDescent="0.3">
      <c r="O399" s="12">
        <f t="shared" si="46"/>
        <v>32.166666666666664</v>
      </c>
      <c r="P399" s="13">
        <v>386</v>
      </c>
      <c r="Q399" s="22">
        <v>3.7379917859027723E-2</v>
      </c>
      <c r="R399" s="19">
        <f t="shared" si="47"/>
        <v>3.2210280657077206E-2</v>
      </c>
      <c r="S399" s="22">
        <v>3.8858965345633711E-2</v>
      </c>
      <c r="T399" s="19">
        <f t="shared" si="48"/>
        <v>4.0878900204520896E-2</v>
      </c>
      <c r="U399" s="24">
        <v>4.2610887502182448E-2</v>
      </c>
      <c r="V399" s="24">
        <f t="shared" si="49"/>
        <v>4.2021073482830573E-2</v>
      </c>
      <c r="W399" s="23">
        <f t="shared" ref="W399:W462" si="50">(1+V398)^(1/12)-1</f>
        <v>3.4355275748139125E-3</v>
      </c>
      <c r="X399" s="24">
        <v>4.185240746695551E-2</v>
      </c>
      <c r="Y399" s="24">
        <f t="shared" ref="Y399:Y462" si="51">(1+X400)^P400/(1+X399)^P399-1</f>
        <v>4.1760725207871108E-2</v>
      </c>
      <c r="Z399" s="23">
        <f t="shared" ref="Z399:Z462" si="52">(1+Y398)^(1/12)-1</f>
        <v>3.414416019223987E-3</v>
      </c>
      <c r="AA399" s="36"/>
    </row>
    <row r="400" spans="15:27" ht="13.9" customHeight="1" x14ac:dyDescent="0.3">
      <c r="O400" s="12">
        <f t="shared" si="46"/>
        <v>32.25</v>
      </c>
      <c r="P400" s="13">
        <v>387</v>
      </c>
      <c r="Q400" s="22">
        <v>3.7366526314360327E-2</v>
      </c>
      <c r="R400" s="19">
        <f t="shared" si="47"/>
        <v>3.2186449712077403E-2</v>
      </c>
      <c r="S400" s="22">
        <v>3.8864179760895734E-2</v>
      </c>
      <c r="T400" s="19">
        <f t="shared" si="48"/>
        <v>4.0898469087641276E-2</v>
      </c>
      <c r="U400" s="24">
        <v>4.2609363004811884E-2</v>
      </c>
      <c r="V400" s="24">
        <f t="shared" si="49"/>
        <v>4.2027790941099541E-2</v>
      </c>
      <c r="W400" s="23">
        <f t="shared" si="50"/>
        <v>3.4360704017837307E-3</v>
      </c>
      <c r="X400" s="24">
        <v>4.1852170551495815E-2</v>
      </c>
      <c r="Y400" s="24">
        <f t="shared" si="51"/>
        <v>4.1770116960101022E-2</v>
      </c>
      <c r="Z400" s="23">
        <f t="shared" si="52"/>
        <v>3.4151756891411811E-3</v>
      </c>
      <c r="AA400" s="36"/>
    </row>
    <row r="401" spans="15:27" ht="13.9" customHeight="1" x14ac:dyDescent="0.3">
      <c r="O401" s="12">
        <f t="shared" si="46"/>
        <v>32.333333333333336</v>
      </c>
      <c r="P401" s="13">
        <v>388</v>
      </c>
      <c r="Q401" s="22">
        <v>3.7353142243117698E-2</v>
      </c>
      <c r="R401" s="19">
        <f t="shared" si="47"/>
        <v>3.2163109081321917E-2</v>
      </c>
      <c r="S401" s="22">
        <v>3.8869417661122396E-2</v>
      </c>
      <c r="T401" s="19">
        <f t="shared" si="48"/>
        <v>4.0917854369371343E-2</v>
      </c>
      <c r="U401" s="24">
        <v>4.2607863690617309E-2</v>
      </c>
      <c r="V401" s="24">
        <f t="shared" si="49"/>
        <v>4.2034461809337342E-2</v>
      </c>
      <c r="W401" s="23">
        <f t="shared" si="50"/>
        <v>3.4366094599806996E-3</v>
      </c>
      <c r="X401" s="24">
        <v>4.1851959064860722E-2</v>
      </c>
      <c r="Y401" s="24">
        <f t="shared" si="51"/>
        <v>4.1779436667225056E-2</v>
      </c>
      <c r="Z401" s="23">
        <f t="shared" si="52"/>
        <v>3.4159295240947518E-3</v>
      </c>
      <c r="AA401" s="36"/>
    </row>
    <row r="402" spans="15:27" ht="13.9" customHeight="1" x14ac:dyDescent="0.3">
      <c r="O402" s="12">
        <f t="shared" si="46"/>
        <v>32.416666666666664</v>
      </c>
      <c r="P402" s="13">
        <v>389</v>
      </c>
      <c r="Q402" s="22">
        <v>3.7339766854061596E-2</v>
      </c>
      <c r="R402" s="19">
        <f t="shared" si="47"/>
        <v>3.214025646369767E-2</v>
      </c>
      <c r="S402" s="22">
        <v>3.8874678393751472E-2</v>
      </c>
      <c r="T402" s="19">
        <f t="shared" si="48"/>
        <v>4.0937057828118295E-2</v>
      </c>
      <c r="U402" s="24">
        <v>4.2606389245346987E-2</v>
      </c>
      <c r="V402" s="24">
        <f t="shared" si="49"/>
        <v>4.2041086415671947E-2</v>
      </c>
      <c r="W402" s="23">
        <f t="shared" si="50"/>
        <v>3.4371447762988616E-3</v>
      </c>
      <c r="X402" s="24">
        <v>4.1851772625489669E-2</v>
      </c>
      <c r="Y402" s="24">
        <f t="shared" si="51"/>
        <v>4.1788684893725891E-2</v>
      </c>
      <c r="Z402" s="23">
        <f t="shared" si="52"/>
        <v>3.4166775701440777E-3</v>
      </c>
      <c r="AA402" s="36"/>
    </row>
    <row r="403" spans="15:27" ht="13.9" customHeight="1" x14ac:dyDescent="0.3">
      <c r="O403" s="12">
        <f t="shared" si="46"/>
        <v>32.5</v>
      </c>
      <c r="P403" s="13">
        <v>390</v>
      </c>
      <c r="Q403" s="22">
        <v>3.7326401337647086E-2</v>
      </c>
      <c r="R403" s="19">
        <f t="shared" si="47"/>
        <v>3.2117887300322279E-2</v>
      </c>
      <c r="S403" s="22">
        <v>3.8879961317482392E-2</v>
      </c>
      <c r="T403" s="19">
        <f t="shared" si="48"/>
        <v>4.0956081224149843E-2</v>
      </c>
      <c r="U403" s="24">
        <v>4.2604939358818816E-2</v>
      </c>
      <c r="V403" s="24">
        <f t="shared" si="49"/>
        <v>4.2047665089434583E-2</v>
      </c>
      <c r="W403" s="23">
        <f t="shared" si="50"/>
        <v>3.4376763771351015E-3</v>
      </c>
      <c r="X403" s="24">
        <v>4.1851610857189581E-2</v>
      </c>
      <c r="Y403" s="24">
        <f t="shared" si="51"/>
        <v>4.1797862201400804E-2</v>
      </c>
      <c r="Z403" s="23">
        <f t="shared" si="52"/>
        <v>3.4174198727390248E-3</v>
      </c>
      <c r="AA403" s="36"/>
    </row>
    <row r="404" spans="15:27" ht="13.9" customHeight="1" x14ac:dyDescent="0.3">
      <c r="O404" s="12">
        <f t="shared" si="46"/>
        <v>32.583333333333336</v>
      </c>
      <c r="P404" s="13">
        <v>391</v>
      </c>
      <c r="Q404" s="22">
        <v>3.7313046860451449E-2</v>
      </c>
      <c r="R404" s="19">
        <f t="shared" si="47"/>
        <v>3.2095990216313375E-2</v>
      </c>
      <c r="S404" s="22">
        <v>3.8885265802086399E-2</v>
      </c>
      <c r="T404" s="19">
        <f t="shared" si="48"/>
        <v>4.0974926300678005E-2</v>
      </c>
      <c r="U404" s="24">
        <v>4.2603513724871478E-2</v>
      </c>
      <c r="V404" s="24">
        <f t="shared" si="49"/>
        <v>4.2054198154378497E-2</v>
      </c>
      <c r="W404" s="23">
        <f t="shared" si="50"/>
        <v>3.4382042889820053E-3</v>
      </c>
      <c r="X404" s="24">
        <v>4.1851473389059812E-2</v>
      </c>
      <c r="Y404" s="24">
        <f t="shared" si="51"/>
        <v>4.1806969147276662E-2</v>
      </c>
      <c r="Z404" s="23">
        <f t="shared" si="52"/>
        <v>3.4181564771116335E-3</v>
      </c>
      <c r="AA404" s="36"/>
    </row>
    <row r="405" spans="15:27" ht="13.9" customHeight="1" x14ac:dyDescent="0.3">
      <c r="O405" s="12">
        <f t="shared" si="46"/>
        <v>32.666666666666664</v>
      </c>
      <c r="P405" s="13">
        <v>392</v>
      </c>
      <c r="Q405" s="22">
        <v>3.7299704548001023E-2</v>
      </c>
      <c r="R405" s="19">
        <f t="shared" si="47"/>
        <v>3.2074560727580081E-2</v>
      </c>
      <c r="S405" s="22">
        <v>3.8890591228220472E-2</v>
      </c>
      <c r="T405" s="19">
        <f t="shared" si="48"/>
        <v>4.0993594781739695E-2</v>
      </c>
      <c r="U405" s="24">
        <v>4.2602112041298268E-2</v>
      </c>
      <c r="V405" s="24">
        <f t="shared" si="49"/>
        <v>4.2060685933216879E-2</v>
      </c>
      <c r="W405" s="23">
        <f t="shared" si="50"/>
        <v>3.4387285378829624E-3</v>
      </c>
      <c r="X405" s="24">
        <v>4.1851359855411996E-2</v>
      </c>
      <c r="Y405" s="24">
        <f t="shared" si="51"/>
        <v>4.1816006282125784E-2</v>
      </c>
      <c r="Z405" s="23">
        <f t="shared" si="52"/>
        <v>3.4188874281084747E-3</v>
      </c>
      <c r="AA405" s="36"/>
    </row>
    <row r="406" spans="15:27" ht="13.9" customHeight="1" x14ac:dyDescent="0.3">
      <c r="O406" s="12">
        <f t="shared" si="46"/>
        <v>32.75</v>
      </c>
      <c r="P406" s="13">
        <v>393</v>
      </c>
      <c r="Q406" s="22">
        <v>3.7286375502914249E-2</v>
      </c>
      <c r="R406" s="19">
        <f t="shared" si="47"/>
        <v>3.205359666079266E-2</v>
      </c>
      <c r="S406" s="22">
        <v>3.8895936987240143E-2</v>
      </c>
      <c r="T406" s="19">
        <f t="shared" si="48"/>
        <v>4.1012088374602573E-2</v>
      </c>
      <c r="U406" s="24">
        <v>4.2600734009794694E-2</v>
      </c>
      <c r="V406" s="24">
        <f t="shared" si="49"/>
        <v>4.2067128746733129E-2</v>
      </c>
      <c r="W406" s="23">
        <f t="shared" si="50"/>
        <v>3.4392491497974298E-3</v>
      </c>
      <c r="X406" s="24">
        <v>4.1851269895687881E-2</v>
      </c>
      <c r="Y406" s="24">
        <f t="shared" si="51"/>
        <v>4.1824974154338168E-2</v>
      </c>
      <c r="Z406" s="23">
        <f t="shared" si="52"/>
        <v>3.4196127700714118E-3</v>
      </c>
      <c r="AA406" s="36"/>
    </row>
    <row r="407" spans="15:27" ht="13.9" customHeight="1" x14ac:dyDescent="0.3">
      <c r="O407" s="12">
        <f t="shared" si="46"/>
        <v>32.833333333333336</v>
      </c>
      <c r="P407" s="13">
        <v>394</v>
      </c>
      <c r="Q407" s="22">
        <v>3.7273060811084946E-2</v>
      </c>
      <c r="R407" s="19">
        <f t="shared" si="47"/>
        <v>3.2033095869405281E-2</v>
      </c>
      <c r="S407" s="22">
        <v>3.8901302481020528E-2</v>
      </c>
      <c r="T407" s="19">
        <f t="shared" si="48"/>
        <v>4.1030408768768956E-2</v>
      </c>
      <c r="U407" s="24">
        <v>4.2599379335903631E-2</v>
      </c>
      <c r="V407" s="24">
        <f t="shared" si="49"/>
        <v>4.2073526912913328E-2</v>
      </c>
      <c r="W407" s="23">
        <f t="shared" si="50"/>
        <v>3.4397661505283228E-3</v>
      </c>
      <c r="X407" s="24">
        <v>4.1851203154387395E-2</v>
      </c>
      <c r="Y407" s="24">
        <f t="shared" si="51"/>
        <v>4.1833873306971414E-2</v>
      </c>
      <c r="Z407" s="23">
        <f t="shared" si="52"/>
        <v>3.4203325471486856E-3</v>
      </c>
      <c r="AA407" s="36"/>
    </row>
    <row r="408" spans="15:27" ht="13.9" customHeight="1" x14ac:dyDescent="0.3">
      <c r="O408" s="12">
        <f t="shared" si="46"/>
        <v>32.916666666666664</v>
      </c>
      <c r="P408" s="13">
        <v>395</v>
      </c>
      <c r="Q408" s="22">
        <v>3.7259761541960534E-2</v>
      </c>
      <c r="R408" s="19">
        <f t="shared" si="47"/>
        <v>3.2013056235637771E-2</v>
      </c>
      <c r="S408" s="22">
        <v>3.8906687121777805E-2</v>
      </c>
      <c r="T408" s="19">
        <f t="shared" si="48"/>
        <v>4.1048557636549354E-2</v>
      </c>
      <c r="U408" s="24">
        <v>4.2598047728959587E-2</v>
      </c>
      <c r="V408" s="24">
        <f t="shared" si="49"/>
        <v>4.2079880747368126E-2</v>
      </c>
      <c r="W408" s="23">
        <f t="shared" si="50"/>
        <v>3.4402795656538476E-3</v>
      </c>
      <c r="X408" s="24">
        <v>4.1851159280992034E-2</v>
      </c>
      <c r="Y408" s="24">
        <f t="shared" si="51"/>
        <v>4.1842704278540754E-2</v>
      </c>
      <c r="Z408" s="23">
        <f t="shared" si="52"/>
        <v>3.4210468030582142E-3</v>
      </c>
      <c r="AA408" s="36"/>
    </row>
    <row r="409" spans="15:27" ht="13.9" customHeight="1" x14ac:dyDescent="0.3">
      <c r="O409" s="12">
        <f t="shared" si="46"/>
        <v>33</v>
      </c>
      <c r="P409" s="13">
        <v>396</v>
      </c>
      <c r="Q409" s="22">
        <v>3.7246478748821366E-2</v>
      </c>
      <c r="R409" s="19">
        <f t="shared" si="47"/>
        <v>3.1993473429126063E-2</v>
      </c>
      <c r="S409" s="22">
        <v>3.8912090331894689E-2</v>
      </c>
      <c r="T409" s="19">
        <f t="shared" si="48"/>
        <v>4.1066536633233675E-2</v>
      </c>
      <c r="U409" s="24">
        <v>4.2596738902034303E-2</v>
      </c>
      <c r="V409" s="24">
        <f t="shared" si="49"/>
        <v>4.2086190562668158E-2</v>
      </c>
      <c r="W409" s="23">
        <f t="shared" si="50"/>
        <v>3.4407894205601419E-3</v>
      </c>
      <c r="X409" s="24">
        <v>4.185113792988937E-2</v>
      </c>
      <c r="Y409" s="24">
        <f t="shared" si="51"/>
        <v>4.1851467602879833E-2</v>
      </c>
      <c r="Z409" s="23">
        <f t="shared" si="52"/>
        <v>3.4217555811513201E-3</v>
      </c>
      <c r="AA409" s="36"/>
    </row>
    <row r="410" spans="15:27" ht="13.9" customHeight="1" x14ac:dyDescent="0.3">
      <c r="O410" s="12">
        <f t="shared" si="46"/>
        <v>33.083333333333336</v>
      </c>
      <c r="P410" s="13">
        <v>397</v>
      </c>
      <c r="Q410" s="22">
        <v>3.7233213463381265E-2</v>
      </c>
      <c r="R410" s="19">
        <f t="shared" si="47"/>
        <v>3.1974336440366624E-2</v>
      </c>
      <c r="S410" s="22">
        <v>3.8917511543749228E-2</v>
      </c>
      <c r="T410" s="19">
        <f t="shared" si="48"/>
        <v>4.1084347396971754E-2</v>
      </c>
      <c r="U410" s="24">
        <v>4.2595452571882797E-2</v>
      </c>
      <c r="V410" s="24">
        <f t="shared" si="49"/>
        <v>4.209245667127437E-2</v>
      </c>
      <c r="W410" s="23">
        <f t="shared" si="50"/>
        <v>3.4412957403884281E-3</v>
      </c>
      <c r="X410" s="24">
        <v>4.1851138760299778E-2</v>
      </c>
      <c r="Y410" s="24">
        <f t="shared" si="51"/>
        <v>4.1860163809979367E-2</v>
      </c>
      <c r="Z410" s="23">
        <f t="shared" si="52"/>
        <v>3.4224589244005177E-3</v>
      </c>
      <c r="AA410" s="36"/>
    </row>
    <row r="411" spans="15:27" ht="13.9" customHeight="1" x14ac:dyDescent="0.3">
      <c r="O411" s="12">
        <f t="shared" si="46"/>
        <v>33.166666666666664</v>
      </c>
      <c r="P411" s="13">
        <v>398</v>
      </c>
      <c r="Q411" s="22">
        <v>3.7219966679189698E-2</v>
      </c>
      <c r="R411" s="19">
        <f t="shared" si="47"/>
        <v>3.1955641012844982E-2</v>
      </c>
      <c r="S411" s="22">
        <v>3.8922950199545836E-2</v>
      </c>
      <c r="T411" s="19">
        <f t="shared" si="48"/>
        <v>4.1101991549625794E-2</v>
      </c>
      <c r="U411" s="24">
        <v>4.2594188458895843E-2</v>
      </c>
      <c r="V411" s="24">
        <f t="shared" si="49"/>
        <v>4.2098679380472515E-2</v>
      </c>
      <c r="W411" s="23">
        <f t="shared" si="50"/>
        <v>3.4417985502701587E-3</v>
      </c>
      <c r="X411" s="24">
        <v>4.1851161436206041E-2</v>
      </c>
      <c r="Y411" s="24">
        <f t="shared" si="51"/>
        <v>4.1868793425659634E-2</v>
      </c>
      <c r="Z411" s="23">
        <f t="shared" si="52"/>
        <v>3.4231568754681252E-3</v>
      </c>
      <c r="AA411" s="36"/>
    </row>
    <row r="412" spans="15:27" ht="13.9" customHeight="1" x14ac:dyDescent="0.3">
      <c r="O412" s="12">
        <f t="shared" si="46"/>
        <v>33.25</v>
      </c>
      <c r="P412" s="13">
        <v>399</v>
      </c>
      <c r="Q412" s="22">
        <v>3.7206739369119779E-2</v>
      </c>
      <c r="R412" s="19">
        <f t="shared" si="47"/>
        <v>3.1937385154248377E-2</v>
      </c>
      <c r="S412" s="22">
        <v>3.8928405751150752E-2</v>
      </c>
      <c r="T412" s="19">
        <f t="shared" si="48"/>
        <v>4.1119470696235672E-2</v>
      </c>
      <c r="U412" s="24">
        <v>4.2592946287042022E-2</v>
      </c>
      <c r="V412" s="24">
        <f t="shared" si="49"/>
        <v>4.2104858997716654E-2</v>
      </c>
      <c r="W412" s="23">
        <f t="shared" si="50"/>
        <v>3.4422978749204525E-3</v>
      </c>
      <c r="X412" s="24">
        <v>4.185120562628275E-2</v>
      </c>
      <c r="Y412" s="24">
        <f t="shared" si="51"/>
        <v>4.1877356971000257E-2</v>
      </c>
      <c r="Z412" s="23">
        <f t="shared" si="52"/>
        <v>3.4238494766791749E-3</v>
      </c>
      <c r="AA412" s="36"/>
    </row>
    <row r="413" spans="15:27" ht="13.9" customHeight="1" x14ac:dyDescent="0.3">
      <c r="O413" s="12">
        <f t="shared" si="46"/>
        <v>33.333333333333336</v>
      </c>
      <c r="P413" s="13">
        <v>400</v>
      </c>
      <c r="Q413" s="22">
        <v>3.7193532491314407E-2</v>
      </c>
      <c r="R413" s="19">
        <f t="shared" si="47"/>
        <v>3.1919566899548446E-2</v>
      </c>
      <c r="S413" s="22">
        <v>3.8933877659929061E-2</v>
      </c>
      <c r="T413" s="19">
        <f t="shared" si="48"/>
        <v>4.1136786425588934E-2</v>
      </c>
      <c r="U413" s="24">
        <v>4.2591725783822865E-2</v>
      </c>
      <c r="V413" s="24">
        <f t="shared" si="49"/>
        <v>4.2110995826571962E-2</v>
      </c>
      <c r="W413" s="23">
        <f t="shared" si="50"/>
        <v>3.4427937390675289E-3</v>
      </c>
      <c r="X413" s="24">
        <v>4.1851271003826129E-2</v>
      </c>
      <c r="Y413" s="24">
        <f t="shared" si="51"/>
        <v>4.1885854962335545E-2</v>
      </c>
      <c r="Z413" s="23">
        <f t="shared" si="52"/>
        <v>3.4245367699763385E-3</v>
      </c>
      <c r="AA413" s="36"/>
    </row>
    <row r="414" spans="15:27" ht="13.9" customHeight="1" x14ac:dyDescent="0.3">
      <c r="O414" s="12">
        <f t="shared" si="46"/>
        <v>33.416666666666664</v>
      </c>
      <c r="P414" s="13">
        <v>401</v>
      </c>
      <c r="Q414" s="22">
        <v>3.7180346989437174E-2</v>
      </c>
      <c r="R414" s="19">
        <f t="shared" si="47"/>
        <v>3.1902184309230641E-2</v>
      </c>
      <c r="S414" s="22">
        <v>3.8939365396585268E-2</v>
      </c>
      <c r="T414" s="19">
        <f t="shared" si="48"/>
        <v>4.115394031052011E-2</v>
      </c>
      <c r="U414" s="24">
        <v>4.2590526680219343E-2</v>
      </c>
      <c r="V414" s="24">
        <f t="shared" si="49"/>
        <v>4.2117090169351723E-2</v>
      </c>
      <c r="W414" s="23">
        <f t="shared" si="50"/>
        <v>3.4432861671263026E-3</v>
      </c>
      <c r="X414" s="24">
        <v>4.1851357246683873E-2</v>
      </c>
      <c r="Y414" s="24">
        <f t="shared" si="51"/>
        <v>4.1894287913029737E-2</v>
      </c>
      <c r="Z414" s="23">
        <f t="shared" si="52"/>
        <v>3.4252187969192605E-3</v>
      </c>
      <c r="AA414" s="36"/>
    </row>
    <row r="415" spans="15:27" ht="13.9" customHeight="1" x14ac:dyDescent="0.3">
      <c r="O415" s="12">
        <f t="shared" si="46"/>
        <v>33.5</v>
      </c>
      <c r="P415" s="13">
        <v>402</v>
      </c>
      <c r="Q415" s="22">
        <v>3.7167183792914837E-2</v>
      </c>
      <c r="R415" s="19">
        <f t="shared" si="47"/>
        <v>3.1885233278507563E-2</v>
      </c>
      <c r="S415" s="22">
        <v>3.8944868441007197E-2</v>
      </c>
      <c r="T415" s="19">
        <f t="shared" si="48"/>
        <v>4.117093390754234E-2</v>
      </c>
      <c r="U415" s="24">
        <v>4.2589348710645236E-2</v>
      </c>
      <c r="V415" s="24">
        <f t="shared" si="49"/>
        <v>4.2123142325756202E-2</v>
      </c>
      <c r="W415" s="23">
        <f t="shared" si="50"/>
        <v>3.4437751834097696E-3</v>
      </c>
      <c r="X415" s="24">
        <v>4.1851464037191421E-2</v>
      </c>
      <c r="Y415" s="24">
        <f t="shared" si="51"/>
        <v>4.1902656331547883E-2</v>
      </c>
      <c r="Z415" s="23">
        <f t="shared" si="52"/>
        <v>3.425895598826445E-3</v>
      </c>
      <c r="AA415" s="36"/>
    </row>
    <row r="416" spans="15:27" ht="13.9" customHeight="1" x14ac:dyDescent="0.3">
      <c r="O416" s="12">
        <f t="shared" si="46"/>
        <v>33.583333333333336</v>
      </c>
      <c r="P416" s="13">
        <v>403</v>
      </c>
      <c r="Q416" s="22">
        <v>3.7154043811712834E-2</v>
      </c>
      <c r="R416" s="19">
        <f t="shared" si="47"/>
        <v>3.1868703156371359E-2</v>
      </c>
      <c r="S416" s="22">
        <v>3.8950386282111005E-2</v>
      </c>
      <c r="T416" s="19">
        <f t="shared" si="48"/>
        <v>4.1187768757932064E-2</v>
      </c>
      <c r="U416" s="24">
        <v>4.2588191612898063E-2</v>
      </c>
      <c r="V416" s="24">
        <f t="shared" si="49"/>
        <v>4.2129152593791241E-2</v>
      </c>
      <c r="W416" s="23">
        <f t="shared" si="50"/>
        <v>3.4442608120210938E-3</v>
      </c>
      <c r="X416" s="24">
        <v>4.1851591062104232E-2</v>
      </c>
      <c r="Y416" s="24">
        <f t="shared" si="51"/>
        <v>4.1910960722460144E-2</v>
      </c>
      <c r="Z416" s="23">
        <f t="shared" si="52"/>
        <v>3.426567216621601E-3</v>
      </c>
      <c r="AA416" s="36"/>
    </row>
    <row r="417" spans="15:27" ht="13.9" customHeight="1" x14ac:dyDescent="0.3">
      <c r="O417" s="12">
        <f t="shared" si="46"/>
        <v>33.666666666666664</v>
      </c>
      <c r="P417" s="13">
        <v>404</v>
      </c>
      <c r="Q417" s="22">
        <v>3.7140927920288336E-2</v>
      </c>
      <c r="R417" s="19">
        <f t="shared" si="47"/>
        <v>3.1852589908966555E-2</v>
      </c>
      <c r="S417" s="22">
        <v>3.8955918417691748E-2</v>
      </c>
      <c r="T417" s="19">
        <f t="shared" si="48"/>
        <v>4.1204446386801097E-2</v>
      </c>
      <c r="U417" s="24">
        <v>4.2587055128112894E-2</v>
      </c>
      <c r="V417" s="24">
        <f t="shared" si="49"/>
        <v>4.2135121268116249E-2</v>
      </c>
      <c r="W417" s="23">
        <f t="shared" si="50"/>
        <v>3.4447430769266596E-3</v>
      </c>
      <c r="X417" s="24">
        <v>4.1851738012532502E-2</v>
      </c>
      <c r="Y417" s="24">
        <f t="shared" si="51"/>
        <v>4.1919201585823407E-2</v>
      </c>
      <c r="Z417" s="23">
        <f t="shared" si="52"/>
        <v>3.4272336909138001E-3</v>
      </c>
      <c r="AA417" s="36"/>
    </row>
    <row r="418" spans="15:27" ht="13.9" customHeight="1" x14ac:dyDescent="0.3">
      <c r="O418" s="12">
        <f t="shared" si="46"/>
        <v>33.75</v>
      </c>
      <c r="P418" s="13">
        <v>405</v>
      </c>
      <c r="Q418" s="22">
        <v>3.7127836974449879E-2</v>
      </c>
      <c r="R418" s="19">
        <f t="shared" si="47"/>
        <v>3.1836891721029215E-2</v>
      </c>
      <c r="S418" s="22">
        <v>3.8961464354273279E-2</v>
      </c>
      <c r="T418" s="19">
        <f t="shared" si="48"/>
        <v>4.1220968304263028E-2</v>
      </c>
      <c r="U418" s="24">
        <v>4.2585939000712836E-2</v>
      </c>
      <c r="V418" s="24">
        <f t="shared" si="49"/>
        <v>4.2141048642923451E-2</v>
      </c>
      <c r="W418" s="23">
        <f t="shared" si="50"/>
        <v>3.4452220018226232E-3</v>
      </c>
      <c r="X418" s="24">
        <v>4.1851904583876998E-2</v>
      </c>
      <c r="Y418" s="24">
        <f t="shared" si="51"/>
        <v>4.192737941794511E-2</v>
      </c>
      <c r="Z418" s="23">
        <f t="shared" si="52"/>
        <v>3.4278950619477389E-3</v>
      </c>
      <c r="AA418" s="36"/>
    </row>
    <row r="419" spans="15:27" ht="13.9" customHeight="1" x14ac:dyDescent="0.3">
      <c r="O419" s="12">
        <f t="shared" si="46"/>
        <v>33.833333333333336</v>
      </c>
      <c r="P419" s="13">
        <v>406</v>
      </c>
      <c r="Q419" s="22">
        <v>3.711477181707834E-2</v>
      </c>
      <c r="R419" s="19">
        <f t="shared" si="47"/>
        <v>3.1821606805253033E-2</v>
      </c>
      <c r="S419" s="22">
        <v>3.8967023606963691E-2</v>
      </c>
      <c r="T419" s="19">
        <f t="shared" si="48"/>
        <v>4.1237336004506631E-2</v>
      </c>
      <c r="U419" s="24">
        <v>4.2584842978367288E-2</v>
      </c>
      <c r="V419" s="24">
        <f t="shared" si="49"/>
        <v>4.2146935008296138E-2</v>
      </c>
      <c r="W419" s="23">
        <f t="shared" si="50"/>
        <v>3.4456976103676151E-3</v>
      </c>
      <c r="X419" s="24">
        <v>4.1852090475766435E-2</v>
      </c>
      <c r="Y419" s="24">
        <f t="shared" si="51"/>
        <v>4.1935494710858112E-2</v>
      </c>
      <c r="Z419" s="23">
        <f t="shared" si="52"/>
        <v>3.4285513696648007E-3</v>
      </c>
      <c r="AA419" s="36"/>
    </row>
    <row r="420" spans="15:27" ht="13.9" customHeight="1" x14ac:dyDescent="0.3">
      <c r="O420" s="12">
        <f t="shared" si="46"/>
        <v>33.916666666666664</v>
      </c>
      <c r="P420" s="13">
        <v>407</v>
      </c>
      <c r="Q420" s="22">
        <v>3.7101733278353866E-2</v>
      </c>
      <c r="R420" s="19">
        <f t="shared" si="47"/>
        <v>3.180673339738993E-2</v>
      </c>
      <c r="S420" s="22">
        <v>3.8972595699310331E-2</v>
      </c>
      <c r="T420" s="19">
        <f t="shared" si="48"/>
        <v>4.1253550968020303E-2</v>
      </c>
      <c r="U420" s="24">
        <v>4.2583766811941759E-2</v>
      </c>
      <c r="V420" s="24">
        <f t="shared" si="49"/>
        <v>4.2152780654298061E-2</v>
      </c>
      <c r="W420" s="23">
        <f t="shared" si="50"/>
        <v>3.4461699258891976E-3</v>
      </c>
      <c r="X420" s="24">
        <v>4.1852295391995087E-2</v>
      </c>
      <c r="Y420" s="24">
        <f t="shared" si="51"/>
        <v>4.1943547953796179E-2</v>
      </c>
      <c r="Z420" s="23">
        <f t="shared" si="52"/>
        <v>3.4292026536622E-3</v>
      </c>
      <c r="AA420" s="36"/>
    </row>
    <row r="421" spans="15:27" ht="13.9" customHeight="1" x14ac:dyDescent="0.3">
      <c r="O421" s="12">
        <f t="shared" si="46"/>
        <v>34</v>
      </c>
      <c r="P421" s="13">
        <v>408</v>
      </c>
      <c r="Q421" s="22">
        <v>3.7088722175967481E-2</v>
      </c>
      <c r="R421" s="19">
        <f t="shared" si="47"/>
        <v>3.1792267611606917E-2</v>
      </c>
      <c r="S421" s="22">
        <v>3.8978180163162346E-2</v>
      </c>
      <c r="T421" s="19">
        <f t="shared" si="48"/>
        <v>4.1269614658361764E-2</v>
      </c>
      <c r="U421" s="24">
        <v>4.2582710255459233E-2</v>
      </c>
      <c r="V421" s="24">
        <f t="shared" si="49"/>
        <v>4.2158585866712395E-2</v>
      </c>
      <c r="W421" s="23">
        <f t="shared" si="50"/>
        <v>3.4466389717129342E-3</v>
      </c>
      <c r="X421" s="24">
        <v>4.1852519040464609E-2</v>
      </c>
      <c r="Y421" s="24">
        <f t="shared" si="51"/>
        <v>4.1951539629315526E-2</v>
      </c>
      <c r="Z421" s="23">
        <f t="shared" si="52"/>
        <v>3.4298489533095555E-3</v>
      </c>
      <c r="AA421" s="36"/>
    </row>
    <row r="422" spans="15:27" ht="13.9" customHeight="1" x14ac:dyDescent="0.3">
      <c r="O422" s="12">
        <f t="shared" si="46"/>
        <v>34.083333333333336</v>
      </c>
      <c r="P422" s="13">
        <v>409</v>
      </c>
      <c r="Q422" s="22">
        <v>3.7075739310058697E-2</v>
      </c>
      <c r="R422" s="19">
        <f t="shared" si="47"/>
        <v>3.1778199149852471E-2</v>
      </c>
      <c r="S422" s="22">
        <v>3.8983776538528137E-2</v>
      </c>
      <c r="T422" s="19">
        <f t="shared" si="48"/>
        <v>4.1285528526002979E-2</v>
      </c>
      <c r="U422" s="24">
        <v>4.2581673066049985E-2</v>
      </c>
      <c r="V422" s="24">
        <f t="shared" si="49"/>
        <v>4.2164350931096495E-2</v>
      </c>
      <c r="W422" s="23">
        <f t="shared" si="50"/>
        <v>3.4471047708197755E-3</v>
      </c>
      <c r="X422" s="24">
        <v>4.1852761133117644E-2</v>
      </c>
      <c r="Y422" s="24">
        <f t="shared" si="51"/>
        <v>4.1959470219018691E-2</v>
      </c>
      <c r="Z422" s="23">
        <f t="shared" si="52"/>
        <v>3.430490307439138E-3</v>
      </c>
      <c r="AA422" s="36"/>
    </row>
    <row r="423" spans="15:27" ht="13.9" customHeight="1" x14ac:dyDescent="0.3">
      <c r="O423" s="12">
        <f t="shared" si="46"/>
        <v>34.166666666666664</v>
      </c>
      <c r="P423" s="13">
        <v>410</v>
      </c>
      <c r="Q423" s="22">
        <v>3.7062785447709024E-2</v>
      </c>
      <c r="R423" s="19">
        <f t="shared" si="47"/>
        <v>3.1764524193934829E-2</v>
      </c>
      <c r="S423" s="22">
        <v>3.8989384373443015E-2</v>
      </c>
      <c r="T423" s="19">
        <f t="shared" si="48"/>
        <v>4.130129400621585E-2</v>
      </c>
      <c r="U423" s="24">
        <v>4.2580655003913837E-2</v>
      </c>
      <c r="V423" s="24">
        <f t="shared" si="49"/>
        <v>4.2170076130089162E-2</v>
      </c>
      <c r="W423" s="23">
        <f t="shared" si="50"/>
        <v>3.4475673461720202E-3</v>
      </c>
      <c r="X423" s="24">
        <v>4.1853021385885647E-2</v>
      </c>
      <c r="Y423" s="24">
        <f t="shared" si="51"/>
        <v>4.1967340199308811E-2</v>
      </c>
      <c r="Z423" s="23">
        <f t="shared" si="52"/>
        <v>3.4311267548050584E-3</v>
      </c>
      <c r="AA423" s="36"/>
    </row>
    <row r="424" spans="15:27" ht="13.9" customHeight="1" x14ac:dyDescent="0.3">
      <c r="O424" s="12">
        <f t="shared" si="46"/>
        <v>34.25</v>
      </c>
      <c r="P424" s="13">
        <v>411</v>
      </c>
      <c r="Q424" s="22">
        <v>3.7049861339190748E-2</v>
      </c>
      <c r="R424" s="19">
        <f t="shared" si="47"/>
        <v>3.1751241103935124E-2</v>
      </c>
      <c r="S424" s="22">
        <v>3.8995003223834646E-2</v>
      </c>
      <c r="T424" s="19">
        <f t="shared" si="48"/>
        <v>4.1316912519681281E-2</v>
      </c>
      <c r="U424" s="24">
        <v>4.257965583227552E-2</v>
      </c>
      <c r="V424" s="24">
        <f t="shared" si="49"/>
        <v>4.2175761744190243E-2</v>
      </c>
      <c r="W424" s="23">
        <f t="shared" si="50"/>
        <v>3.4480267204963777E-3</v>
      </c>
      <c r="X424" s="24">
        <v>4.1853299518628262E-2</v>
      </c>
      <c r="Y424" s="24">
        <f t="shared" si="51"/>
        <v>4.1975150042492304E-2</v>
      </c>
      <c r="Z424" s="23">
        <f t="shared" si="52"/>
        <v>3.4317583337419855E-3</v>
      </c>
      <c r="AA424" s="36"/>
    </row>
    <row r="425" spans="15:27" ht="13.9" customHeight="1" x14ac:dyDescent="0.3">
      <c r="O425" s="12">
        <f t="shared" si="46"/>
        <v>34.333333333333336</v>
      </c>
      <c r="P425" s="13">
        <v>412</v>
      </c>
      <c r="Q425" s="22">
        <v>3.703696772348386E-2</v>
      </c>
      <c r="R425" s="19">
        <f t="shared" si="47"/>
        <v>3.1738348262658755E-2</v>
      </c>
      <c r="S425" s="22">
        <v>3.900063265339182E-2</v>
      </c>
      <c r="T425" s="19">
        <f t="shared" si="48"/>
        <v>4.1332385472900635E-2</v>
      </c>
      <c r="U425" s="24">
        <v>4.2578675317342496E-2</v>
      </c>
      <c r="V425" s="24">
        <f t="shared" si="49"/>
        <v>4.2181408052256675E-2</v>
      </c>
      <c r="W425" s="23">
        <f t="shared" si="50"/>
        <v>3.448482916348139E-3</v>
      </c>
      <c r="X425" s="24">
        <v>4.1853595255075371E-2</v>
      </c>
      <c r="Y425" s="24">
        <f t="shared" si="51"/>
        <v>4.1982900217317098E-2</v>
      </c>
      <c r="Z425" s="23">
        <f t="shared" si="52"/>
        <v>3.4323850822535196E-3</v>
      </c>
      <c r="AA425" s="36"/>
    </row>
    <row r="426" spans="15:27" ht="13.9" customHeight="1" x14ac:dyDescent="0.3">
      <c r="O426" s="12">
        <f t="shared" si="46"/>
        <v>34.416666666666664</v>
      </c>
      <c r="P426" s="13">
        <v>413</v>
      </c>
      <c r="Q426" s="22">
        <v>3.7024105328467227E-2</v>
      </c>
      <c r="R426" s="19">
        <f t="shared" si="47"/>
        <v>3.1725844079274257E-2</v>
      </c>
      <c r="S426" s="22">
        <v>3.9006272233435224E-2</v>
      </c>
      <c r="T426" s="19">
        <f t="shared" si="48"/>
        <v>4.1347714258408885E-2</v>
      </c>
      <c r="U426" s="24">
        <v>4.2577713228265202E-2</v>
      </c>
      <c r="V426" s="24">
        <f t="shared" si="49"/>
        <v>4.2187015330287236E-2</v>
      </c>
      <c r="W426" s="23">
        <f t="shared" si="50"/>
        <v>3.4489359561489241E-3</v>
      </c>
      <c r="X426" s="24">
        <v>4.1853908322770916E-2</v>
      </c>
      <c r="Y426" s="24">
        <f t="shared" si="51"/>
        <v>4.1990591188511006E-2</v>
      </c>
      <c r="Z426" s="23">
        <f t="shared" si="52"/>
        <v>3.4330070380570454E-3</v>
      </c>
      <c r="AA426" s="36"/>
    </row>
    <row r="427" spans="15:27" ht="13.9" customHeight="1" x14ac:dyDescent="0.3">
      <c r="O427" s="12">
        <f t="shared" si="46"/>
        <v>34.5</v>
      </c>
      <c r="P427" s="13">
        <v>414</v>
      </c>
      <c r="Q427" s="22">
        <v>3.7011274871116218E-2</v>
      </c>
      <c r="R427" s="19">
        <f t="shared" si="47"/>
        <v>3.1713724881479832E-2</v>
      </c>
      <c r="S427" s="22">
        <v>3.9011921542792205E-2</v>
      </c>
      <c r="T427" s="19">
        <f t="shared" si="48"/>
        <v>4.1362900254518165E-2</v>
      </c>
      <c r="U427" s="24">
        <v>4.2576769337093978E-2</v>
      </c>
      <c r="V427" s="24">
        <f t="shared" si="49"/>
        <v>4.2192583853360999E-2</v>
      </c>
      <c r="W427" s="23">
        <f t="shared" si="50"/>
        <v>3.4493858620909812E-3</v>
      </c>
      <c r="X427" s="24">
        <v>4.1854238453018056E-2</v>
      </c>
      <c r="Y427" s="24">
        <f t="shared" si="51"/>
        <v>4.1998223417604397E-2</v>
      </c>
      <c r="Z427" s="23">
        <f t="shared" si="52"/>
        <v>3.4336242385442084E-3</v>
      </c>
      <c r="AA427" s="36"/>
    </row>
    <row r="428" spans="15:27" ht="13.9" customHeight="1" x14ac:dyDescent="0.3">
      <c r="O428" s="12">
        <f t="shared" si="46"/>
        <v>34.583333333333336</v>
      </c>
      <c r="P428" s="13">
        <v>415</v>
      </c>
      <c r="Q428" s="22">
        <v>3.699847705259196E-2</v>
      </c>
      <c r="R428" s="19">
        <f t="shared" si="47"/>
        <v>3.1701980713452205E-2</v>
      </c>
      <c r="S428" s="22">
        <v>3.9017580167671095E-2</v>
      </c>
      <c r="T428" s="19">
        <f t="shared" si="48"/>
        <v>4.137794482578272E-2</v>
      </c>
      <c r="U428" s="24">
        <v>4.2575843418742432E-2</v>
      </c>
      <c r="V428" s="24">
        <f t="shared" si="49"/>
        <v>4.2198113894177602E-2</v>
      </c>
      <c r="W428" s="23">
        <f t="shared" si="50"/>
        <v>3.4498326562917292E-3</v>
      </c>
      <c r="X428" s="24">
        <v>4.1854585380825426E-2</v>
      </c>
      <c r="Y428" s="24">
        <f t="shared" si="51"/>
        <v>4.2005797362362873E-2</v>
      </c>
      <c r="Z428" s="23">
        <f t="shared" si="52"/>
        <v>3.4342367208493041E-3</v>
      </c>
      <c r="AA428" s="36"/>
    </row>
    <row r="429" spans="15:27" ht="13.9" customHeight="1" x14ac:dyDescent="0.3">
      <c r="O429" s="12">
        <f t="shared" si="46"/>
        <v>34.666666666666664</v>
      </c>
      <c r="P429" s="13">
        <v>416</v>
      </c>
      <c r="Q429" s="22">
        <v>3.698571254324845E-2</v>
      </c>
      <c r="R429" s="19">
        <f t="shared" si="47"/>
        <v>3.1690607971520457E-2</v>
      </c>
      <c r="S429" s="22">
        <v>3.9023247701539754E-2</v>
      </c>
      <c r="T429" s="19">
        <f t="shared" si="48"/>
        <v>4.139284932351317E-2</v>
      </c>
      <c r="U429" s="24">
        <v>4.2574935250946577E-2</v>
      </c>
      <c r="V429" s="24">
        <f t="shared" si="49"/>
        <v>4.2203605722747284E-2</v>
      </c>
      <c r="W429" s="23">
        <f t="shared" si="50"/>
        <v>3.4502763606769626E-3</v>
      </c>
      <c r="X429" s="24">
        <v>4.1854948844853634E-2</v>
      </c>
      <c r="Y429" s="24">
        <f t="shared" si="51"/>
        <v>4.2013313475937952E-2</v>
      </c>
      <c r="Z429" s="23">
        <f t="shared" si="52"/>
        <v>3.434844521802205E-3</v>
      </c>
      <c r="AA429" s="36"/>
    </row>
    <row r="430" spans="15:27" ht="13.9" customHeight="1" x14ac:dyDescent="0.3">
      <c r="O430" s="12">
        <f t="shared" si="46"/>
        <v>34.75</v>
      </c>
      <c r="P430" s="13">
        <v>417</v>
      </c>
      <c r="Q430" s="22">
        <v>3.6972981998312893E-2</v>
      </c>
      <c r="R430" s="19">
        <f t="shared" si="47"/>
        <v>3.1679605182062698E-2</v>
      </c>
      <c r="S430" s="22">
        <v>3.9028923745006328E-2</v>
      </c>
      <c r="T430" s="19">
        <f t="shared" si="48"/>
        <v>4.1407615084507743E-2</v>
      </c>
      <c r="U430" s="24">
        <v>4.2574044614225537E-2</v>
      </c>
      <c r="V430" s="24">
        <f t="shared" si="49"/>
        <v>4.2209059607950961E-2</v>
      </c>
      <c r="W430" s="23">
        <f t="shared" si="50"/>
        <v>3.4507169969559826E-3</v>
      </c>
      <c r="X430" s="24">
        <v>4.1855328587360185E-2</v>
      </c>
      <c r="Y430" s="24">
        <f t="shared" si="51"/>
        <v>4.2020772209010238E-2</v>
      </c>
      <c r="Z430" s="23">
        <f t="shared" si="52"/>
        <v>3.435447677861303E-3</v>
      </c>
      <c r="AA430" s="36"/>
    </row>
    <row r="431" spans="15:27" ht="13.9" customHeight="1" x14ac:dyDescent="0.3">
      <c r="O431" s="12">
        <f t="shared" si="46"/>
        <v>34.833333333333336</v>
      </c>
      <c r="P431" s="13">
        <v>418</v>
      </c>
      <c r="Q431" s="22">
        <v>3.6960286063187686E-2</v>
      </c>
      <c r="R431" s="19">
        <f t="shared" si="47"/>
        <v>3.166897089698284E-2</v>
      </c>
      <c r="S431" s="22">
        <v>3.9034607905698904E-2</v>
      </c>
      <c r="T431" s="19">
        <f t="shared" si="48"/>
        <v>4.1422243433450356E-2</v>
      </c>
      <c r="U431" s="24">
        <v>4.2573171291844236E-2</v>
      </c>
      <c r="V431" s="24">
        <f t="shared" si="49"/>
        <v>4.2214475817246466E-2</v>
      </c>
      <c r="W431" s="23">
        <f t="shared" si="50"/>
        <v>3.4511545867466076E-3</v>
      </c>
      <c r="X431" s="24">
        <v>4.1855724354150858E-2</v>
      </c>
      <c r="Y431" s="24">
        <f t="shared" si="51"/>
        <v>4.2028174007683328E-2</v>
      </c>
      <c r="Z431" s="23">
        <f t="shared" si="52"/>
        <v>3.4360462252844837E-3</v>
      </c>
      <c r="AA431" s="36"/>
    </row>
    <row r="432" spans="15:27" ht="13.9" customHeight="1" x14ac:dyDescent="0.3">
      <c r="O432" s="12">
        <f t="shared" si="46"/>
        <v>34.916666666666664</v>
      </c>
      <c r="P432" s="13">
        <v>419</v>
      </c>
      <c r="Q432" s="22">
        <v>3.6947625373628723E-2</v>
      </c>
      <c r="R432" s="19">
        <f t="shared" si="47"/>
        <v>3.1658703691120449E-2</v>
      </c>
      <c r="S432" s="22">
        <v>3.9040299798152489E-2</v>
      </c>
      <c r="T432" s="19">
        <f t="shared" si="48"/>
        <v>4.1436735680701053E-2</v>
      </c>
      <c r="U432" s="24">
        <v>4.2572315069778099E-2</v>
      </c>
      <c r="V432" s="24">
        <f t="shared" si="49"/>
        <v>4.2219854614017338E-2</v>
      </c>
      <c r="W432" s="23">
        <f t="shared" si="50"/>
        <v>3.4515891515520813E-3</v>
      </c>
      <c r="X432" s="24">
        <v>4.1856135894525748E-2</v>
      </c>
      <c r="Y432" s="24">
        <f t="shared" si="51"/>
        <v>4.2035519314796543E-2</v>
      </c>
      <c r="Z432" s="23">
        <f t="shared" si="52"/>
        <v>3.4366401999612606E-3</v>
      </c>
      <c r="AA432" s="36"/>
    </row>
    <row r="433" spans="15:27" ht="13.9" customHeight="1" x14ac:dyDescent="0.3">
      <c r="O433" s="12">
        <f t="shared" si="46"/>
        <v>35</v>
      </c>
      <c r="P433" s="13">
        <v>420</v>
      </c>
      <c r="Q433" s="22">
        <v>3.6935000555913922E-2</v>
      </c>
      <c r="R433" s="19">
        <f t="shared" si="47"/>
        <v>3.164880010157245E-2</v>
      </c>
      <c r="S433" s="22">
        <v>3.9045999043693103E-2</v>
      </c>
      <c r="T433" s="19">
        <f t="shared" si="48"/>
        <v>4.1451093124249994E-2</v>
      </c>
      <c r="U433" s="24">
        <v>4.2571475736670639E-2</v>
      </c>
      <c r="V433" s="24">
        <f t="shared" si="49"/>
        <v>4.2225196262655862E-2</v>
      </c>
      <c r="W433" s="23">
        <f t="shared" si="50"/>
        <v>3.4520207125474656E-3</v>
      </c>
      <c r="X433" s="24">
        <v>4.1856562961230415E-2</v>
      </c>
      <c r="Y433" s="24">
        <f t="shared" si="51"/>
        <v>4.2042808570144974E-2</v>
      </c>
      <c r="Z433" s="23">
        <f t="shared" si="52"/>
        <v>3.4372296375169142E-3</v>
      </c>
      <c r="AA433" s="36"/>
    </row>
    <row r="434" spans="15:27" ht="13.9" customHeight="1" x14ac:dyDescent="0.3">
      <c r="O434" s="12">
        <f t="shared" si="46"/>
        <v>35.083333333333336</v>
      </c>
      <c r="P434" s="13">
        <v>421</v>
      </c>
      <c r="Q434" s="22">
        <v>3.6922412222090584E-2</v>
      </c>
      <c r="R434" s="19">
        <f t="shared" si="47"/>
        <v>3.1639250507258687E-2</v>
      </c>
      <c r="S434" s="22">
        <v>3.9051705270326975E-2</v>
      </c>
      <c r="T434" s="19">
        <f t="shared" si="48"/>
        <v>4.1465317048376082E-2</v>
      </c>
      <c r="U434" s="24">
        <v>4.2570653083804366E-2</v>
      </c>
      <c r="V434" s="24">
        <f t="shared" si="49"/>
        <v>4.2230501021983002E-2</v>
      </c>
      <c r="W434" s="23">
        <f t="shared" si="50"/>
        <v>3.4524492909888682E-3</v>
      </c>
      <c r="X434" s="24">
        <v>4.185700531040748E-2</v>
      </c>
      <c r="Y434" s="24">
        <f t="shared" si="51"/>
        <v>4.2050042209205163E-2</v>
      </c>
      <c r="Z434" s="23">
        <f t="shared" si="52"/>
        <v>3.4378145733313659E-3</v>
      </c>
      <c r="AA434" s="36"/>
    </row>
    <row r="435" spans="15:27" ht="13.9" customHeight="1" x14ac:dyDescent="0.3">
      <c r="O435" s="12">
        <f t="shared" si="46"/>
        <v>35.166666666666664</v>
      </c>
      <c r="P435" s="13">
        <v>422</v>
      </c>
      <c r="Q435" s="22">
        <v>3.6909860955476104E-2</v>
      </c>
      <c r="R435" s="19">
        <f t="shared" si="47"/>
        <v>3.1630051510590063E-2</v>
      </c>
      <c r="S435" s="22">
        <v>3.9057418112628861E-2</v>
      </c>
      <c r="T435" s="19">
        <f t="shared" si="48"/>
        <v>4.14794087258199E-2</v>
      </c>
      <c r="U435" s="24">
        <v>4.2569846905055941E-2</v>
      </c>
      <c r="V435" s="24">
        <f t="shared" si="49"/>
        <v>4.2235769153048608E-2</v>
      </c>
      <c r="W435" s="23">
        <f t="shared" si="50"/>
        <v>3.4528749076838672E-3</v>
      </c>
      <c r="X435" s="24">
        <v>4.1857462701545556E-2</v>
      </c>
      <c r="Y435" s="24">
        <f t="shared" si="51"/>
        <v>4.2057220663911599E-2</v>
      </c>
      <c r="Z435" s="23">
        <f t="shared" si="52"/>
        <v>3.4383950424361487E-3</v>
      </c>
      <c r="AA435" s="36"/>
    </row>
    <row r="436" spans="15:27" ht="13.9" customHeight="1" x14ac:dyDescent="0.3">
      <c r="O436" s="12">
        <f t="shared" si="46"/>
        <v>35.25</v>
      </c>
      <c r="P436" s="13">
        <v>423</v>
      </c>
      <c r="Q436" s="22">
        <v>3.6897347325784979E-2</v>
      </c>
      <c r="R436" s="19">
        <f t="shared" si="47"/>
        <v>3.1621201802298549E-2</v>
      </c>
      <c r="S436" s="22">
        <v>3.9063137211637233E-2</v>
      </c>
      <c r="T436" s="19">
        <f t="shared" si="48"/>
        <v>4.1493369415030568E-2</v>
      </c>
      <c r="U436" s="24">
        <v>4.2569056996870858E-2</v>
      </c>
      <c r="V436" s="24">
        <f t="shared" si="49"/>
        <v>4.2241000911379611E-2</v>
      </c>
      <c r="W436" s="23">
        <f t="shared" si="50"/>
        <v>3.4532975836185642E-3</v>
      </c>
      <c r="X436" s="24">
        <v>4.185793489743217E-2</v>
      </c>
      <c r="Y436" s="24">
        <f t="shared" si="51"/>
        <v>4.206434436357509E-2</v>
      </c>
      <c r="Z436" s="23">
        <f t="shared" si="52"/>
        <v>3.4389710795774686E-3</v>
      </c>
      <c r="AA436" s="36"/>
    </row>
    <row r="437" spans="15:27" ht="13.9" customHeight="1" x14ac:dyDescent="0.3">
      <c r="O437" s="12">
        <f t="shared" si="46"/>
        <v>35.333333333333336</v>
      </c>
      <c r="P437" s="13">
        <v>424</v>
      </c>
      <c r="Q437" s="22">
        <v>3.6884871894239835E-2</v>
      </c>
      <c r="R437" s="19">
        <f t="shared" si="47"/>
        <v>3.1612700095754009E-2</v>
      </c>
      <c r="S437" s="22">
        <v>3.9068862214743927E-2</v>
      </c>
      <c r="T437" s="19">
        <f t="shared" si="48"/>
        <v>4.1507200363532393E-2</v>
      </c>
      <c r="U437" s="24">
        <v>4.2568283158220366E-2</v>
      </c>
      <c r="V437" s="24">
        <f t="shared" si="49"/>
        <v>4.224619655435613E-2</v>
      </c>
      <c r="W437" s="23">
        <f t="shared" si="50"/>
        <v>3.453717339335638E-3</v>
      </c>
      <c r="X437" s="24">
        <v>4.1858421664107803E-2</v>
      </c>
      <c r="Y437" s="24">
        <f t="shared" si="51"/>
        <v>4.2071413733503871E-2</v>
      </c>
      <c r="Z437" s="23">
        <f t="shared" si="52"/>
        <v>3.4395427192885908E-3</v>
      </c>
      <c r="AA437" s="36"/>
    </row>
    <row r="438" spans="15:27" ht="13.9" customHeight="1" x14ac:dyDescent="0.3">
      <c r="O438" s="12">
        <f t="shared" si="46"/>
        <v>35.416666666666664</v>
      </c>
      <c r="P438" s="13">
        <v>425</v>
      </c>
      <c r="Q438" s="22">
        <v>3.6872435213723742E-2</v>
      </c>
      <c r="R438" s="19">
        <f t="shared" si="47"/>
        <v>3.1604545128281369E-2</v>
      </c>
      <c r="S438" s="22">
        <v>3.9074592775593553E-2</v>
      </c>
      <c r="T438" s="19">
        <f t="shared" si="48"/>
        <v>4.1520902804979665E-2</v>
      </c>
      <c r="U438" s="24">
        <v>4.2567525190575495E-2</v>
      </c>
      <c r="V438" s="24">
        <f t="shared" si="49"/>
        <v>4.2251356333039336E-2</v>
      </c>
      <c r="W438" s="23">
        <f t="shared" si="50"/>
        <v>3.4541341955252047E-3</v>
      </c>
      <c r="X438" s="24">
        <v>4.1858922770818596E-2</v>
      </c>
      <c r="Y438" s="24">
        <f t="shared" si="51"/>
        <v>4.2078429195369527E-2</v>
      </c>
      <c r="Z438" s="23">
        <f t="shared" si="52"/>
        <v>3.4401099957808157E-3</v>
      </c>
      <c r="AA438" s="36"/>
    </row>
    <row r="439" spans="15:27" ht="13.9" customHeight="1" x14ac:dyDescent="0.3">
      <c r="O439" s="12">
        <f t="shared" si="46"/>
        <v>35.5</v>
      </c>
      <c r="P439" s="13">
        <v>426</v>
      </c>
      <c r="Q439" s="22">
        <v>3.6860037828934766E-2</v>
      </c>
      <c r="R439" s="19">
        <f t="shared" si="47"/>
        <v>3.1596733639410957E-2</v>
      </c>
      <c r="S439" s="22">
        <v>3.9080328553977806E-2</v>
      </c>
      <c r="T439" s="19">
        <f t="shared" si="48"/>
        <v>4.1534477962039018E-2</v>
      </c>
      <c r="U439" s="24">
        <v>4.2566782897863531E-2</v>
      </c>
      <c r="V439" s="24">
        <f t="shared" si="49"/>
        <v>4.2256480500576732E-2</v>
      </c>
      <c r="W439" s="23">
        <f t="shared" si="50"/>
        <v>3.4545481723700089E-3</v>
      </c>
      <c r="X439" s="24">
        <v>4.1859437989969939E-2</v>
      </c>
      <c r="Y439" s="24">
        <f t="shared" si="51"/>
        <v>4.2085391168039665E-2</v>
      </c>
      <c r="Z439" s="23">
        <f t="shared" si="52"/>
        <v>3.4406729429721228E-3</v>
      </c>
      <c r="AA439" s="36"/>
    </row>
    <row r="440" spans="15:27" ht="13.9" customHeight="1" x14ac:dyDescent="0.3">
      <c r="O440" s="12">
        <f t="shared" si="46"/>
        <v>35.583333333333336</v>
      </c>
      <c r="P440" s="13">
        <v>427</v>
      </c>
      <c r="Q440" s="22">
        <v>3.6847680271778094E-2</v>
      </c>
      <c r="R440" s="19">
        <f t="shared" si="47"/>
        <v>3.1589256334517257E-2</v>
      </c>
      <c r="S440" s="22">
        <v>3.9086069215736874E-2</v>
      </c>
      <c r="T440" s="19">
        <f t="shared" si="48"/>
        <v>4.154792704404775E-2</v>
      </c>
      <c r="U440" s="24">
        <v>4.2566056086443371E-2</v>
      </c>
      <c r="V440" s="24">
        <f t="shared" si="49"/>
        <v>4.2261569305699354E-2</v>
      </c>
      <c r="W440" s="23">
        <f t="shared" si="50"/>
        <v>3.4549592902193282E-3</v>
      </c>
      <c r="X440" s="24">
        <v>4.1859967097082729E-2</v>
      </c>
      <c r="Y440" s="24">
        <f t="shared" si="51"/>
        <v>4.2092300065808441E-2</v>
      </c>
      <c r="Z440" s="23">
        <f t="shared" si="52"/>
        <v>3.4412315945535621E-3</v>
      </c>
      <c r="AA440" s="36"/>
    </row>
    <row r="441" spans="15:27" ht="13.9" customHeight="1" x14ac:dyDescent="0.3">
      <c r="O441" s="12">
        <f t="shared" si="46"/>
        <v>35.666666666666664</v>
      </c>
      <c r="P441" s="13">
        <v>428</v>
      </c>
      <c r="Q441" s="22">
        <v>3.6835363047345471E-2</v>
      </c>
      <c r="R441" s="19">
        <f t="shared" si="47"/>
        <v>3.1582110016607379E-2</v>
      </c>
      <c r="S441" s="22">
        <v>3.9091814432658412E-2</v>
      </c>
      <c r="T441" s="19">
        <f t="shared" si="48"/>
        <v>4.1561251249850661E-2</v>
      </c>
      <c r="U441" s="24">
        <v>4.2565344565067331E-2</v>
      </c>
      <c r="V441" s="24">
        <f t="shared" si="49"/>
        <v>4.2266622997721548E-2</v>
      </c>
      <c r="W441" s="23">
        <f t="shared" si="50"/>
        <v>3.4553675690680574E-3</v>
      </c>
      <c r="X441" s="24">
        <v>4.1860509870746743E-2</v>
      </c>
      <c r="Y441" s="24">
        <f t="shared" si="51"/>
        <v>4.2099156302061846E-2</v>
      </c>
      <c r="Z441" s="23">
        <f t="shared" si="52"/>
        <v>3.4417859838482556E-3</v>
      </c>
      <c r="AA441" s="36"/>
    </row>
    <row r="442" spans="15:27" ht="13.9" customHeight="1" x14ac:dyDescent="0.3">
      <c r="O442" s="12">
        <f t="shared" si="46"/>
        <v>35.75</v>
      </c>
      <c r="P442" s="13">
        <v>429</v>
      </c>
      <c r="Q442" s="22">
        <v>3.6823086648513748E-2</v>
      </c>
      <c r="R442" s="19">
        <f t="shared" si="47"/>
        <v>3.1575293534277682E-2</v>
      </c>
      <c r="S442" s="22">
        <v>3.9097563882382724E-2</v>
      </c>
      <c r="T442" s="19">
        <f t="shared" si="48"/>
        <v>4.1574451764363918E-2</v>
      </c>
      <c r="U442" s="24">
        <v>4.2564648144854278E-2</v>
      </c>
      <c r="V442" s="24">
        <f t="shared" si="49"/>
        <v>4.2271641821896688E-2</v>
      </c>
      <c r="W442" s="23">
        <f t="shared" si="50"/>
        <v>3.4557730289566102E-3</v>
      </c>
      <c r="X442" s="24">
        <v>4.1861066092581778E-2</v>
      </c>
      <c r="Y442" s="24">
        <f t="shared" si="51"/>
        <v>4.2105960283619792E-2</v>
      </c>
      <c r="Z442" s="23">
        <f t="shared" si="52"/>
        <v>3.4423361441047184E-3</v>
      </c>
      <c r="AA442" s="36"/>
    </row>
    <row r="443" spans="15:27" ht="13.9" customHeight="1" x14ac:dyDescent="0.3">
      <c r="O443" s="12">
        <f t="shared" si="46"/>
        <v>35.833333333333336</v>
      </c>
      <c r="P443" s="13">
        <v>430</v>
      </c>
      <c r="Q443" s="22">
        <v>3.6810851560867608E-2</v>
      </c>
      <c r="R443" s="19">
        <f t="shared" si="47"/>
        <v>3.1568805759051299E-2</v>
      </c>
      <c r="S443" s="22">
        <v>3.9103317248302849E-2</v>
      </c>
      <c r="T443" s="19">
        <f t="shared" si="48"/>
        <v>4.1587529763120967E-2</v>
      </c>
      <c r="U443" s="24">
        <v>4.2563966639252548E-2</v>
      </c>
      <c r="V443" s="24">
        <f t="shared" si="49"/>
        <v>4.227662602225446E-2</v>
      </c>
      <c r="W443" s="23">
        <f t="shared" si="50"/>
        <v>3.4561756895989948E-3</v>
      </c>
      <c r="X443" s="24">
        <v>4.1861635547188136E-2</v>
      </c>
      <c r="Y443" s="24">
        <f t="shared" si="51"/>
        <v>4.2112712417099463E-2</v>
      </c>
      <c r="Z443" s="23">
        <f t="shared" si="52"/>
        <v>3.4428821080434435E-3</v>
      </c>
      <c r="AA443" s="36"/>
    </row>
    <row r="444" spans="15:27" ht="13.9" customHeight="1" x14ac:dyDescent="0.3">
      <c r="O444" s="12">
        <f t="shared" si="46"/>
        <v>35.916666666666664</v>
      </c>
      <c r="P444" s="13">
        <v>431</v>
      </c>
      <c r="Q444" s="22">
        <v>3.6798658262837236E-2</v>
      </c>
      <c r="R444" s="19">
        <f t="shared" si="47"/>
        <v>3.1562645584124471E-2</v>
      </c>
      <c r="S444" s="22">
        <v>3.9109074219475737E-2</v>
      </c>
      <c r="T444" s="19">
        <f t="shared" si="48"/>
        <v>4.1600486407538106E-2</v>
      </c>
      <c r="U444" s="24">
        <v>4.256329986401064E-2</v>
      </c>
      <c r="V444" s="24">
        <f t="shared" si="49"/>
        <v>4.228157584242731E-2</v>
      </c>
      <c r="W444" s="23">
        <f t="shared" si="50"/>
        <v>3.4565755706110757E-3</v>
      </c>
      <c r="X444" s="24">
        <v>4.1862218022110653E-2</v>
      </c>
      <c r="Y444" s="24">
        <f t="shared" si="51"/>
        <v>4.2119413103488768E-2</v>
      </c>
      <c r="Z444" s="23">
        <f t="shared" si="52"/>
        <v>3.4434239083669382E-3</v>
      </c>
      <c r="AA444" s="36"/>
    </row>
    <row r="445" spans="15:27" ht="13.9" customHeight="1" x14ac:dyDescent="0.3">
      <c r="O445" s="12">
        <f t="shared" si="46"/>
        <v>36</v>
      </c>
      <c r="P445" s="13">
        <v>432</v>
      </c>
      <c r="Q445" s="22">
        <v>3.6786507225831544E-2</v>
      </c>
      <c r="R445" s="19">
        <f t="shared" si="47"/>
        <v>3.1556809945255893E-2</v>
      </c>
      <c r="S445" s="22">
        <v>3.9114834490524109E-2</v>
      </c>
      <c r="T445" s="19">
        <f t="shared" si="48"/>
        <v>4.1613322849979761E-2</v>
      </c>
      <c r="U445" s="24">
        <v>4.2562647637148565E-2</v>
      </c>
      <c r="V445" s="24">
        <f t="shared" si="49"/>
        <v>4.2286491522469882E-2</v>
      </c>
      <c r="W445" s="23">
        <f t="shared" si="50"/>
        <v>3.4569726915758547E-3</v>
      </c>
      <c r="X445" s="24">
        <v>4.1862813307792068E-2</v>
      </c>
      <c r="Y445" s="24">
        <f t="shared" si="51"/>
        <v>4.2126062742581682E-2</v>
      </c>
      <c r="Z445" s="23">
        <f t="shared" si="52"/>
        <v>3.443961577325183E-3</v>
      </c>
      <c r="AA445" s="36"/>
    </row>
    <row r="446" spans="15:27" ht="13.9" customHeight="1" x14ac:dyDescent="0.3">
      <c r="O446" s="12">
        <f t="shared" si="46"/>
        <v>36.083333333333336</v>
      </c>
      <c r="P446" s="13">
        <v>433</v>
      </c>
      <c r="Q446" s="22">
        <v>3.6774398909775075E-2</v>
      </c>
      <c r="R446" s="19">
        <f t="shared" si="47"/>
        <v>3.1551289866179388E-2</v>
      </c>
      <c r="S446" s="22">
        <v>3.9120597761550524E-2</v>
      </c>
      <c r="T446" s="19">
        <f t="shared" si="48"/>
        <v>4.1626040229664651E-2</v>
      </c>
      <c r="U446" s="24">
        <v>4.2562009778924548E-2</v>
      </c>
      <c r="V446" s="24">
        <f t="shared" si="49"/>
        <v>4.229137330242394E-2</v>
      </c>
      <c r="W446" s="23">
        <f t="shared" si="50"/>
        <v>3.45736707178812E-3</v>
      </c>
      <c r="X446" s="24">
        <v>4.1863421197536388E-2</v>
      </c>
      <c r="Y446" s="24">
        <f t="shared" si="51"/>
        <v>4.2132661728861098E-2</v>
      </c>
      <c r="Z446" s="23">
        <f t="shared" si="52"/>
        <v>3.4444951470706808E-3</v>
      </c>
      <c r="AA446" s="36"/>
    </row>
    <row r="447" spans="15:27" ht="13.9" customHeight="1" x14ac:dyDescent="0.3">
      <c r="O447" s="12">
        <f t="shared" si="46"/>
        <v>36.166666666666664</v>
      </c>
      <c r="P447" s="13">
        <v>434</v>
      </c>
      <c r="Q447" s="22">
        <v>3.6762333749548848E-2</v>
      </c>
      <c r="R447" s="19">
        <f t="shared" si="47"/>
        <v>3.1546082344272142E-2</v>
      </c>
      <c r="S447" s="22">
        <v>3.9126363738044789E-2</v>
      </c>
      <c r="T447" s="19">
        <f t="shared" si="48"/>
        <v>4.1638639675055433E-2</v>
      </c>
      <c r="U447" s="24">
        <v>4.2561386111807931E-2</v>
      </c>
      <c r="V447" s="24">
        <f t="shared" si="49"/>
        <v>4.2296221418861135E-2</v>
      </c>
      <c r="W447" s="23">
        <f t="shared" si="50"/>
        <v>3.4577587305422153E-3</v>
      </c>
      <c r="X447" s="24">
        <v>4.1864041487464032E-2</v>
      </c>
      <c r="Y447" s="24">
        <f t="shared" si="51"/>
        <v>4.2139210455782727E-2</v>
      </c>
      <c r="Z447" s="23">
        <f t="shared" si="52"/>
        <v>3.4450246493284986E-3</v>
      </c>
      <c r="AA447" s="36"/>
    </row>
    <row r="448" spans="15:27" ht="13.9" customHeight="1" x14ac:dyDescent="0.3">
      <c r="O448" s="12">
        <f t="shared" si="46"/>
        <v>36.25</v>
      </c>
      <c r="P448" s="13">
        <v>435</v>
      </c>
      <c r="Q448" s="22">
        <v>3.675031216908109E-2</v>
      </c>
      <c r="R448" s="19">
        <f t="shared" si="47"/>
        <v>3.1541186381167874E-2</v>
      </c>
      <c r="S448" s="22">
        <v>3.9132132130796471E-2</v>
      </c>
      <c r="T448" s="19">
        <f t="shared" si="48"/>
        <v>4.1651122303887789E-2</v>
      </c>
      <c r="U448" s="24">
        <v>4.2560776460446759E-2</v>
      </c>
      <c r="V448" s="24">
        <f t="shared" si="49"/>
        <v>4.2301036107639467E-2</v>
      </c>
      <c r="W448" s="23">
        <f t="shared" si="50"/>
        <v>3.4581476868527083E-3</v>
      </c>
      <c r="X448" s="24">
        <v>4.1864673976476752E-2</v>
      </c>
      <c r="Y448" s="24">
        <f t="shared" si="51"/>
        <v>4.2145709312191304E-2</v>
      </c>
      <c r="Z448" s="23">
        <f t="shared" si="52"/>
        <v>3.4455501157399926E-3</v>
      </c>
      <c r="AA448" s="36"/>
    </row>
    <row r="449" spans="15:27" ht="13.9" customHeight="1" x14ac:dyDescent="0.3">
      <c r="O449" s="12">
        <f t="shared" si="46"/>
        <v>36.333333333333336</v>
      </c>
      <c r="P449" s="13">
        <v>436</v>
      </c>
      <c r="Q449" s="22">
        <v>3.6738334586091881E-2</v>
      </c>
      <c r="R449" s="19">
        <f t="shared" si="47"/>
        <v>3.1536600999869657E-2</v>
      </c>
      <c r="S449" s="22">
        <v>3.9137902655809631E-2</v>
      </c>
      <c r="T449" s="19">
        <f t="shared" si="48"/>
        <v>4.1663489222415917E-2</v>
      </c>
      <c r="U449" s="24">
        <v>4.2560180651640911E-2</v>
      </c>
      <c r="V449" s="24">
        <f t="shared" si="49"/>
        <v>4.2305817603554008E-2</v>
      </c>
      <c r="W449" s="23">
        <f t="shared" si="50"/>
        <v>3.4585339596762132E-3</v>
      </c>
      <c r="X449" s="24">
        <v>4.1865318466214774E-2</v>
      </c>
      <c r="Y449" s="24">
        <f t="shared" si="51"/>
        <v>4.2152158683850471E-2</v>
      </c>
      <c r="Z449" s="23">
        <f t="shared" si="52"/>
        <v>3.4460715775754824E-3</v>
      </c>
      <c r="AA449" s="36"/>
    </row>
    <row r="450" spans="15:27" ht="13.9" customHeight="1" x14ac:dyDescent="0.3">
      <c r="O450" s="12">
        <f t="shared" si="46"/>
        <v>36.416666666666664</v>
      </c>
      <c r="P450" s="13">
        <v>437</v>
      </c>
      <c r="Q450" s="22">
        <v>3.6726401412213727E-2</v>
      </c>
      <c r="R450" s="19">
        <f t="shared" si="47"/>
        <v>3.1532325244903348E-2</v>
      </c>
      <c r="S450" s="22">
        <v>3.9143675034217118E-2</v>
      </c>
      <c r="T450" s="19">
        <f t="shared" si="48"/>
        <v>4.167574152582243E-2</v>
      </c>
      <c r="U450" s="24">
        <v>4.2559598514314123E-2</v>
      </c>
      <c r="V450" s="24">
        <f t="shared" si="49"/>
        <v>4.2310566137451211E-2</v>
      </c>
      <c r="W450" s="23">
        <f t="shared" si="50"/>
        <v>3.4589175678843009E-3</v>
      </c>
      <c r="X450" s="24">
        <v>4.1865974761019498E-2</v>
      </c>
      <c r="Y450" s="24">
        <f t="shared" si="51"/>
        <v>4.2158558954256131E-2</v>
      </c>
      <c r="Z450" s="23">
        <f t="shared" si="52"/>
        <v>3.4465890658563758E-3</v>
      </c>
      <c r="AA450" s="36"/>
    </row>
    <row r="451" spans="15:27" ht="13.9" customHeight="1" x14ac:dyDescent="0.3">
      <c r="O451" s="12">
        <f t="shared" si="46"/>
        <v>36.5</v>
      </c>
      <c r="P451" s="13">
        <v>438</v>
      </c>
      <c r="Q451" s="22">
        <v>3.6714513053109687E-2</v>
      </c>
      <c r="R451" s="19">
        <f t="shared" si="47"/>
        <v>3.152835624243111E-2</v>
      </c>
      <c r="S451" s="22">
        <v>3.914944899219619E-2</v>
      </c>
      <c r="T451" s="19">
        <f t="shared" si="48"/>
        <v>4.1687880299592361E-2</v>
      </c>
      <c r="U451" s="24">
        <v>4.2559029879482235E-2</v>
      </c>
      <c r="V451" s="24">
        <f t="shared" si="49"/>
        <v>4.2315281941387672E-2</v>
      </c>
      <c r="W451" s="23">
        <f t="shared" si="50"/>
        <v>3.4592985300305745E-3</v>
      </c>
      <c r="X451" s="24">
        <v>4.186664266789597E-2</v>
      </c>
      <c r="Y451" s="24">
        <f t="shared" si="51"/>
        <v>4.2164910503911912E-2</v>
      </c>
      <c r="Z451" s="23">
        <f t="shared" si="52"/>
        <v>3.4471026114215597E-3</v>
      </c>
      <c r="AA451" s="36"/>
    </row>
    <row r="452" spans="15:27" ht="13.9" customHeight="1" x14ac:dyDescent="0.3">
      <c r="O452" s="12">
        <f t="shared" si="46"/>
        <v>36.583333333333336</v>
      </c>
      <c r="P452" s="13">
        <v>439</v>
      </c>
      <c r="Q452" s="22">
        <v>3.6702669904149499E-2</v>
      </c>
      <c r="R452" s="19">
        <f t="shared" si="47"/>
        <v>3.1524685325115431E-2</v>
      </c>
      <c r="S452" s="22">
        <v>3.9155224260889243E-2</v>
      </c>
      <c r="T452" s="19">
        <f t="shared" si="48"/>
        <v>4.1699906616888605E-2</v>
      </c>
      <c r="U452" s="24">
        <v>4.2558474580230543E-2</v>
      </c>
      <c r="V452" s="24">
        <f t="shared" si="49"/>
        <v>4.2319965243662327E-2</v>
      </c>
      <c r="W452" s="23">
        <f t="shared" si="50"/>
        <v>3.4596768647650045E-3</v>
      </c>
      <c r="X452" s="24">
        <v>4.1867321996476914E-2</v>
      </c>
      <c r="Y452" s="24">
        <f t="shared" si="51"/>
        <v>4.2171213708884547E-2</v>
      </c>
      <c r="Z452" s="23">
        <f t="shared" si="52"/>
        <v>3.4476122448678925E-3</v>
      </c>
      <c r="AA452" s="36"/>
    </row>
    <row r="453" spans="15:27" ht="13.9" customHeight="1" x14ac:dyDescent="0.3">
      <c r="O453" s="12">
        <f t="shared" si="46"/>
        <v>36.666666666666664</v>
      </c>
      <c r="P453" s="13">
        <v>440</v>
      </c>
      <c r="Q453" s="22">
        <v>3.6690872337293179E-2</v>
      </c>
      <c r="R453" s="19">
        <f t="shared" si="47"/>
        <v>3.1521309679169995E-2</v>
      </c>
      <c r="S453" s="22">
        <v>3.9161000576318994E-2</v>
      </c>
      <c r="T453" s="19">
        <f t="shared" si="48"/>
        <v>4.1711821541780214E-2</v>
      </c>
      <c r="U453" s="24">
        <v>4.2557932451682934E-2</v>
      </c>
      <c r="V453" s="24">
        <f t="shared" si="49"/>
        <v>4.2324616271725901E-2</v>
      </c>
      <c r="W453" s="23">
        <f t="shared" si="50"/>
        <v>3.4600525904364687E-3</v>
      </c>
      <c r="X453" s="24">
        <v>4.1868012558981871E-2</v>
      </c>
      <c r="Y453" s="24">
        <f t="shared" si="51"/>
        <v>4.2177468943691343E-2</v>
      </c>
      <c r="Z453" s="23">
        <f t="shared" si="52"/>
        <v>3.448117996435407E-3</v>
      </c>
      <c r="AA453" s="36"/>
    </row>
    <row r="454" spans="15:27" ht="13.9" customHeight="1" x14ac:dyDescent="0.3">
      <c r="O454" s="12">
        <f t="shared" si="46"/>
        <v>36.75</v>
      </c>
      <c r="P454" s="13">
        <v>441</v>
      </c>
      <c r="Q454" s="22">
        <v>3.6679120714697033E-2</v>
      </c>
      <c r="R454" s="19">
        <f t="shared" si="47"/>
        <v>3.1518228452843911E-2</v>
      </c>
      <c r="S454" s="22">
        <v>3.9166777679312981E-2</v>
      </c>
      <c r="T454" s="19">
        <f t="shared" si="48"/>
        <v>4.1723626126949576E-2</v>
      </c>
      <c r="U454" s="24">
        <v>4.2557403330975907E-2</v>
      </c>
      <c r="V454" s="24">
        <f t="shared" si="49"/>
        <v>4.2329235251563624E-2</v>
      </c>
      <c r="W454" s="23">
        <f t="shared" si="50"/>
        <v>3.4604257253243453E-3</v>
      </c>
      <c r="X454" s="24">
        <v>4.1868714170184784E-2</v>
      </c>
      <c r="Y454" s="24">
        <f t="shared" si="51"/>
        <v>4.2183676579626184E-2</v>
      </c>
      <c r="Z454" s="23">
        <f t="shared" si="52"/>
        <v>3.4486198962386805E-3</v>
      </c>
      <c r="AA454" s="36"/>
    </row>
    <row r="455" spans="15:27" ht="13.9" customHeight="1" x14ac:dyDescent="0.3">
      <c r="O455" s="12">
        <f t="shared" si="46"/>
        <v>36.833333333333336</v>
      </c>
      <c r="P455" s="13">
        <v>442</v>
      </c>
      <c r="Q455" s="22">
        <v>3.666741539328533E-2</v>
      </c>
      <c r="R455" s="19">
        <f t="shared" si="47"/>
        <v>3.1515440816346718E-2</v>
      </c>
      <c r="S455" s="22">
        <v>3.9172555315422741E-2</v>
      </c>
      <c r="T455" s="19">
        <f t="shared" si="48"/>
        <v>4.1735321415039772E-2</v>
      </c>
      <c r="U455" s="24">
        <v>4.2556887057233039E-2</v>
      </c>
      <c r="V455" s="24">
        <f t="shared" si="49"/>
        <v>4.233382240678063E-2</v>
      </c>
      <c r="W455" s="23">
        <f t="shared" si="50"/>
        <v>3.4607962875903286E-3</v>
      </c>
      <c r="X455" s="24">
        <v>4.1869426647377805E-2</v>
      </c>
      <c r="Y455" s="24">
        <f t="shared" si="51"/>
        <v>4.218983698375256E-2</v>
      </c>
      <c r="Z455" s="23">
        <f t="shared" si="52"/>
        <v>3.4491179741327205E-3</v>
      </c>
      <c r="AA455" s="36"/>
    </row>
    <row r="456" spans="15:27" ht="13.9" customHeight="1" x14ac:dyDescent="0.3">
      <c r="O456" s="12">
        <f t="shared" si="46"/>
        <v>36.916666666666664</v>
      </c>
      <c r="P456" s="13">
        <v>443</v>
      </c>
      <c r="Q456" s="22">
        <v>3.6655756724859101E-2</v>
      </c>
      <c r="R456" s="19">
        <f t="shared" si="47"/>
        <v>3.1512945959687677E-2</v>
      </c>
      <c r="S456" s="22">
        <v>3.9178333234848095E-2</v>
      </c>
      <c r="T456" s="19">
        <f t="shared" si="48"/>
        <v>4.1746908438873742E-2</v>
      </c>
      <c r="U456" s="24">
        <v>4.2556383471537007E-2</v>
      </c>
      <c r="V456" s="24">
        <f t="shared" si="49"/>
        <v>4.2338377960057016E-2</v>
      </c>
      <c r="W456" s="23">
        <f t="shared" si="50"/>
        <v>3.4611642952047106E-3</v>
      </c>
      <c r="X456" s="24">
        <v>4.187014981033288E-2</v>
      </c>
      <c r="Y456" s="24">
        <f t="shared" si="51"/>
        <v>4.219595052217695E-2</v>
      </c>
      <c r="Z456" s="23">
        <f t="shared" si="52"/>
        <v>3.4496122596314738E-3</v>
      </c>
      <c r="AA456" s="36"/>
    </row>
    <row r="457" spans="15:27" ht="13.9" customHeight="1" x14ac:dyDescent="0.3">
      <c r="O457" s="12">
        <f t="shared" si="46"/>
        <v>37</v>
      </c>
      <c r="P457" s="13">
        <v>444</v>
      </c>
      <c r="Q457" s="22">
        <v>3.6644145056198285E-2</v>
      </c>
      <c r="R457" s="19">
        <f t="shared" si="47"/>
        <v>3.1510741192930958E-2</v>
      </c>
      <c r="S457" s="22">
        <v>3.9184111192362536E-2</v>
      </c>
      <c r="T457" s="19">
        <f t="shared" si="48"/>
        <v>4.1758388220139553E-2</v>
      </c>
      <c r="U457" s="24">
        <v>4.2555892416905161E-2</v>
      </c>
      <c r="V457" s="24">
        <f t="shared" si="49"/>
        <v>4.2342902132110893E-2</v>
      </c>
      <c r="W457" s="23">
        <f t="shared" si="50"/>
        <v>3.461529766062732E-3</v>
      </c>
      <c r="X457" s="24">
        <v>4.1870883481271992E-2</v>
      </c>
      <c r="Y457" s="24">
        <f t="shared" si="51"/>
        <v>4.2202017556200788E-2</v>
      </c>
      <c r="Z457" s="23">
        <f t="shared" si="52"/>
        <v>3.4501027821711716E-3</v>
      </c>
      <c r="AA457" s="36"/>
    </row>
    <row r="458" spans="15:27" ht="13.9" customHeight="1" x14ac:dyDescent="0.3">
      <c r="O458" s="12">
        <f t="shared" si="46"/>
        <v>37.083333333333336</v>
      </c>
      <c r="P458" s="13">
        <v>445</v>
      </c>
      <c r="Q458" s="22">
        <v>3.6632580724872188E-2</v>
      </c>
      <c r="R458" s="19">
        <f t="shared" si="47"/>
        <v>3.1508818149453166E-2</v>
      </c>
      <c r="S458" s="22">
        <v>3.9189888947237073E-2</v>
      </c>
      <c r="T458" s="19">
        <f t="shared" si="48"/>
        <v>4.1769761771883518E-2</v>
      </c>
      <c r="U458" s="24">
        <v>4.255541373826377E-2</v>
      </c>
      <c r="V458" s="24">
        <f t="shared" si="49"/>
        <v>4.2347395142775079E-2</v>
      </c>
      <c r="W458" s="23">
        <f t="shared" si="50"/>
        <v>3.4618927179022041E-3</v>
      </c>
      <c r="X458" s="24">
        <v>4.1871627484828755E-2</v>
      </c>
      <c r="Y458" s="24">
        <f t="shared" si="51"/>
        <v>4.2208038446268636E-2</v>
      </c>
      <c r="Z458" s="23">
        <f t="shared" si="52"/>
        <v>3.4505895708014656E-3</v>
      </c>
      <c r="AA458" s="36"/>
    </row>
    <row r="459" spans="15:27" ht="13.9" customHeight="1" x14ac:dyDescent="0.3">
      <c r="O459" s="12">
        <f t="shared" si="46"/>
        <v>37.166666666666664</v>
      </c>
      <c r="P459" s="13">
        <v>446</v>
      </c>
      <c r="Q459" s="22">
        <v>3.6621064046552076E-2</v>
      </c>
      <c r="R459" s="19">
        <f t="shared" si="47"/>
        <v>3.1507174197743959E-2</v>
      </c>
      <c r="S459" s="22">
        <v>3.9195666263169837E-2</v>
      </c>
      <c r="T459" s="19">
        <f t="shared" si="48"/>
        <v>4.1781030095711325E-2</v>
      </c>
      <c r="U459" s="24">
        <v>4.255494728242426E-2</v>
      </c>
      <c r="V459" s="24">
        <f t="shared" si="49"/>
        <v>4.2351857209267818E-2</v>
      </c>
      <c r="W459" s="23">
        <f t="shared" si="50"/>
        <v>3.4622531683889957E-3</v>
      </c>
      <c r="X459" s="24">
        <v>4.1872381648018875E-2</v>
      </c>
      <c r="Y459" s="24">
        <f t="shared" si="51"/>
        <v>4.2214013547991369E-2</v>
      </c>
      <c r="Z459" s="23">
        <f t="shared" si="52"/>
        <v>3.4510726545020631E-3</v>
      </c>
      <c r="AA459" s="36"/>
    </row>
    <row r="460" spans="15:27" ht="13.9" customHeight="1" x14ac:dyDescent="0.3">
      <c r="O460" s="12">
        <f t="shared" si="46"/>
        <v>37.25</v>
      </c>
      <c r="P460" s="13">
        <v>447</v>
      </c>
      <c r="Q460" s="22">
        <v>3.660959532814978E-2</v>
      </c>
      <c r="R460" s="19">
        <f t="shared" si="47"/>
        <v>3.1505808627922294E-2</v>
      </c>
      <c r="S460" s="22">
        <v>3.9201442908211259E-2</v>
      </c>
      <c r="T460" s="19">
        <f t="shared" si="48"/>
        <v>4.179219418486535E-2</v>
      </c>
      <c r="U460" s="24">
        <v>4.2554492898056351E-2</v>
      </c>
      <c r="V460" s="24">
        <f t="shared" si="49"/>
        <v>4.2356288547750864E-2</v>
      </c>
      <c r="W460" s="23">
        <f t="shared" si="50"/>
        <v>3.4626111349789213E-3</v>
      </c>
      <c r="X460" s="24">
        <v>4.1873145800203737E-2</v>
      </c>
      <c r="Y460" s="24">
        <f t="shared" si="51"/>
        <v>4.2219943215122679E-2</v>
      </c>
      <c r="Z460" s="23">
        <f t="shared" si="52"/>
        <v>3.4515520618643158E-3</v>
      </c>
      <c r="AA460" s="36"/>
    </row>
    <row r="461" spans="15:27" ht="13.9" customHeight="1" x14ac:dyDescent="0.3">
      <c r="O461" s="12">
        <f t="shared" si="46"/>
        <v>37.333333333333336</v>
      </c>
      <c r="P461" s="13">
        <v>448</v>
      </c>
      <c r="Q461" s="22">
        <v>3.6598174872226608E-2</v>
      </c>
      <c r="R461" s="19">
        <f t="shared" si="47"/>
        <v>3.1504720750832549E-2</v>
      </c>
      <c r="S461" s="22">
        <v>3.9207218654696785E-2</v>
      </c>
      <c r="T461" s="19">
        <f t="shared" si="48"/>
        <v>4.1803255021566343E-2</v>
      </c>
      <c r="U461" s="24">
        <v>4.2554050435664958E-2</v>
      </c>
      <c r="V461" s="24">
        <f t="shared" si="49"/>
        <v>4.2360689372942906E-2</v>
      </c>
      <c r="W461" s="23">
        <f t="shared" si="50"/>
        <v>3.4629666350427524E-3</v>
      </c>
      <c r="X461" s="24">
        <v>4.1873919773058876E-2</v>
      </c>
      <c r="Y461" s="24">
        <f t="shared" si="51"/>
        <v>4.2225827798206161E-2</v>
      </c>
      <c r="Z461" s="23">
        <f t="shared" si="52"/>
        <v>3.4520278213285849E-3</v>
      </c>
      <c r="AA461" s="36"/>
    </row>
    <row r="462" spans="15:27" ht="13.9" customHeight="1" x14ac:dyDescent="0.3">
      <c r="O462" s="12">
        <f t="shared" ref="O462:O525" si="53">P462/12</f>
        <v>37.416666666666664</v>
      </c>
      <c r="P462" s="13">
        <v>449</v>
      </c>
      <c r="Q462" s="22">
        <v>3.6586802977087496E-2</v>
      </c>
      <c r="R462" s="19">
        <f t="shared" ref="R462:R525" si="54">(1+Q463)^P463/(1+Q462)^P462-1</f>
        <v>3.1503909897368176E-2</v>
      </c>
      <c r="S462" s="22">
        <v>3.9212993279174491E-2</v>
      </c>
      <c r="T462" s="19">
        <f t="shared" ref="T462:T525" si="55">(1+S463)^P463/(1+S462)^P462-1</f>
        <v>4.1814213579640658E-2</v>
      </c>
      <c r="U462" s="24">
        <v>4.255361974756644E-2</v>
      </c>
      <c r="V462" s="24">
        <f t="shared" ref="V462:V525" si="56">(1+U463)^P463/(1+U462)^P462-1</f>
        <v>4.2365059897958579E-2</v>
      </c>
      <c r="W462" s="23">
        <f t="shared" si="50"/>
        <v>3.4633196858346871E-3</v>
      </c>
      <c r="X462" s="24">
        <v>4.187470340054178E-2</v>
      </c>
      <c r="Y462" s="24">
        <f t="shared" si="51"/>
        <v>4.2231667646251303E-2</v>
      </c>
      <c r="Z462" s="23">
        <f t="shared" si="52"/>
        <v>3.4524999610776597E-3</v>
      </c>
      <c r="AA462" s="36"/>
    </row>
    <row r="463" spans="15:27" ht="13.9" customHeight="1" x14ac:dyDescent="0.3">
      <c r="O463" s="12">
        <f t="shared" si="53"/>
        <v>37.5</v>
      </c>
      <c r="P463" s="13">
        <v>450</v>
      </c>
      <c r="Q463" s="22">
        <v>3.6575479936873156E-2</v>
      </c>
      <c r="R463" s="19">
        <f t="shared" si="54"/>
        <v>3.1503373555211267E-2</v>
      </c>
      <c r="S463" s="22">
        <v>3.9218766562339358E-2</v>
      </c>
      <c r="T463" s="19">
        <f t="shared" si="55"/>
        <v>4.1825070822349764E-2</v>
      </c>
      <c r="U463" s="24">
        <v>4.2553200687865278E-2</v>
      </c>
      <c r="V463" s="24">
        <f t="shared" si="56"/>
        <v>4.2369400334109297E-2</v>
      </c>
      <c r="W463" s="23">
        <f t="shared" ref="W463:W526" si="57">(1+V462)^(1/12)-1</f>
        <v>3.4636703044799155E-3</v>
      </c>
      <c r="X463" s="24">
        <v>4.1875496518862798E-2</v>
      </c>
      <c r="Y463" s="24">
        <f t="shared" ref="Y463:Y526" si="58">(1+X464)^P464/(1+X463)^P463-1</f>
        <v>4.2237463103211415E-2</v>
      </c>
      <c r="Z463" s="23">
        <f t="shared" ref="Z463:Z526" si="59">(1+Y462)^(1/12)-1</f>
        <v>3.4529685091690965E-3</v>
      </c>
      <c r="AA463" s="36"/>
    </row>
    <row r="464" spans="15:27" ht="13.9" customHeight="1" x14ac:dyDescent="0.3">
      <c r="O464" s="12">
        <f t="shared" si="53"/>
        <v>37.583333333333336</v>
      </c>
      <c r="P464" s="13">
        <v>451</v>
      </c>
      <c r="Q464" s="22">
        <v>3.6564206037498659E-2</v>
      </c>
      <c r="R464" s="19">
        <f t="shared" si="54"/>
        <v>3.1503103650139641E-2</v>
      </c>
      <c r="S464" s="22">
        <v>3.9224538288964217E-2</v>
      </c>
      <c r="T464" s="19">
        <f t="shared" si="55"/>
        <v>4.1835827704418405E-2</v>
      </c>
      <c r="U464" s="24">
        <v>4.2552793112429432E-2</v>
      </c>
      <c r="V464" s="24">
        <f t="shared" si="56"/>
        <v>4.2373710891701943E-2</v>
      </c>
      <c r="W464" s="23">
        <f t="shared" si="57"/>
        <v>3.4640185079584107E-3</v>
      </c>
      <c r="X464" s="24">
        <v>4.1876298966448955E-2</v>
      </c>
      <c r="Y464" s="24">
        <f t="shared" si="58"/>
        <v>4.2243214512964977E-2</v>
      </c>
      <c r="Z464" s="23">
        <f t="shared" si="59"/>
        <v>3.4534334932547761E-3</v>
      </c>
      <c r="AA464" s="36"/>
    </row>
    <row r="465" spans="15:27" ht="13.9" customHeight="1" x14ac:dyDescent="0.3">
      <c r="O465" s="12">
        <f t="shared" si="53"/>
        <v>37.666666666666664</v>
      </c>
      <c r="P465" s="13">
        <v>452</v>
      </c>
      <c r="Q465" s="22">
        <v>3.6552981544379914E-2</v>
      </c>
      <c r="R465" s="19">
        <f t="shared" si="54"/>
        <v>3.1503097725841034E-2</v>
      </c>
      <c r="S465" s="22">
        <v>3.9230308247835577E-2</v>
      </c>
      <c r="T465" s="19">
        <f t="shared" si="55"/>
        <v>4.1846485170514702E-2</v>
      </c>
      <c r="U465" s="24">
        <v>4.2552396878869247E-2</v>
      </c>
      <c r="V465" s="24">
        <f t="shared" si="56"/>
        <v>4.23779917784326E-2</v>
      </c>
      <c r="W465" s="23">
        <f t="shared" si="57"/>
        <v>3.4643643131695434E-3</v>
      </c>
      <c r="X465" s="24">
        <v>4.1877110583919297E-2</v>
      </c>
      <c r="Y465" s="24">
        <f t="shared" si="58"/>
        <v>4.2248922213697471E-2</v>
      </c>
      <c r="Z465" s="23">
        <f t="shared" si="59"/>
        <v>3.4538949409792519E-3</v>
      </c>
      <c r="AA465" s="36"/>
    </row>
    <row r="466" spans="15:27" ht="13.9" customHeight="1" x14ac:dyDescent="0.3">
      <c r="O466" s="12">
        <f t="shared" si="53"/>
        <v>37.75</v>
      </c>
      <c r="P466" s="13">
        <v>453</v>
      </c>
      <c r="Q466" s="22">
        <v>3.6541806715121528E-2</v>
      </c>
      <c r="R466" s="19">
        <f t="shared" si="54"/>
        <v>3.150335520958647E-2</v>
      </c>
      <c r="S466" s="22">
        <v>3.9236076231687012E-2</v>
      </c>
      <c r="T466" s="19">
        <f t="shared" si="55"/>
        <v>4.185704415674607E-2</v>
      </c>
      <c r="U466" s="24">
        <v>4.2552011846512361E-2</v>
      </c>
      <c r="V466" s="24">
        <f t="shared" si="56"/>
        <v>4.2382243203204606E-2</v>
      </c>
      <c r="W466" s="23">
        <f t="shared" si="57"/>
        <v>3.4647077368021861E-3</v>
      </c>
      <c r="X466" s="24">
        <v>4.1877931214048036E-2</v>
      </c>
      <c r="Y466" s="24">
        <f t="shared" si="58"/>
        <v>4.2254586544255845E-2</v>
      </c>
      <c r="Z466" s="23">
        <f t="shared" si="59"/>
        <v>3.4543528795292211E-3</v>
      </c>
      <c r="AA466" s="36"/>
    </row>
    <row r="467" spans="15:27" ht="13.9" customHeight="1" x14ac:dyDescent="0.3">
      <c r="O467" s="12">
        <f t="shared" si="53"/>
        <v>37.833333333333336</v>
      </c>
      <c r="P467" s="13">
        <v>454</v>
      </c>
      <c r="Q467" s="22">
        <v>3.6530681803773168E-2</v>
      </c>
      <c r="R467" s="19">
        <f t="shared" si="54"/>
        <v>3.1503875548033911E-2</v>
      </c>
      <c r="S467" s="22">
        <v>3.9241842037136765E-2</v>
      </c>
      <c r="T467" s="19">
        <f t="shared" si="55"/>
        <v>4.1867505589848308E-2</v>
      </c>
      <c r="U467" s="24">
        <v>4.255163787638705E-2</v>
      </c>
      <c r="V467" s="24">
        <f t="shared" si="56"/>
        <v>4.238646536930224E-2</v>
      </c>
      <c r="W467" s="23">
        <f t="shared" si="57"/>
        <v>3.4650487956418008E-3</v>
      </c>
      <c r="X467" s="24">
        <v>4.1878760701742124E-2</v>
      </c>
      <c r="Y467" s="24">
        <f t="shared" si="58"/>
        <v>4.2260207837675923E-2</v>
      </c>
      <c r="Z467" s="23">
        <f t="shared" si="59"/>
        <v>3.4548073361433396E-3</v>
      </c>
      <c r="AA467" s="36"/>
    </row>
    <row r="468" spans="15:27" ht="13.9" customHeight="1" x14ac:dyDescent="0.3">
      <c r="O468" s="12">
        <f t="shared" si="53"/>
        <v>37.916666666666664</v>
      </c>
      <c r="P468" s="13">
        <v>455</v>
      </c>
      <c r="Q468" s="22">
        <v>3.6519607060910619E-2</v>
      </c>
      <c r="R468" s="19">
        <f t="shared" si="54"/>
        <v>3.1504658206543024E-2</v>
      </c>
      <c r="S468" s="22">
        <v>3.9247605464624469E-2</v>
      </c>
      <c r="T468" s="19">
        <f t="shared" si="55"/>
        <v>4.1877870386923144E-2</v>
      </c>
      <c r="U468" s="24">
        <v>4.2551274831191588E-2</v>
      </c>
      <c r="V468" s="24">
        <f t="shared" si="56"/>
        <v>4.2390658482303945E-2</v>
      </c>
      <c r="W468" s="23">
        <f t="shared" si="57"/>
        <v>3.4653875060230988E-3</v>
      </c>
      <c r="X468" s="24">
        <v>4.1879598894005055E-2</v>
      </c>
      <c r="Y468" s="24">
        <f t="shared" si="58"/>
        <v>4.2265786426429308E-2</v>
      </c>
      <c r="Z468" s="23">
        <f t="shared" si="59"/>
        <v>3.4552583375937473E-3</v>
      </c>
      <c r="AA468" s="36"/>
    </row>
    <row r="469" spans="15:27" ht="13.9" customHeight="1" x14ac:dyDescent="0.3">
      <c r="O469" s="12">
        <f t="shared" si="53"/>
        <v>38</v>
      </c>
      <c r="P469" s="13">
        <v>456</v>
      </c>
      <c r="Q469" s="22">
        <v>3.6508582733714823E-2</v>
      </c>
      <c r="R469" s="19">
        <f t="shared" si="54"/>
        <v>3.150570084532478E-2</v>
      </c>
      <c r="S469" s="22">
        <v>3.9253366318348304E-2</v>
      </c>
      <c r="T469" s="19">
        <f t="shared" si="55"/>
        <v>4.1888139457378681E-2</v>
      </c>
      <c r="U469" s="24">
        <v>4.2550922575280703E-2</v>
      </c>
      <c r="V469" s="24">
        <f t="shared" si="56"/>
        <v>4.2394822743978322E-2</v>
      </c>
      <c r="W469" s="23">
        <f t="shared" si="57"/>
        <v>3.4657238844637561E-3</v>
      </c>
      <c r="X469" s="24">
        <v>4.1880445639913111E-2</v>
      </c>
      <c r="Y469" s="24">
        <f t="shared" si="58"/>
        <v>4.2271322639586995E-2</v>
      </c>
      <c r="Z469" s="23">
        <f t="shared" si="59"/>
        <v>3.4557059106057331E-3</v>
      </c>
      <c r="AA469" s="36"/>
    </row>
    <row r="470" spans="15:27" ht="13.9" customHeight="1" x14ac:dyDescent="0.3">
      <c r="O470" s="12">
        <f t="shared" si="53"/>
        <v>38.083333333333336</v>
      </c>
      <c r="P470" s="13">
        <v>457</v>
      </c>
      <c r="Q470" s="22">
        <v>3.6497609062040359E-2</v>
      </c>
      <c r="R470" s="19">
        <f t="shared" si="54"/>
        <v>3.1506995673183047E-2</v>
      </c>
      <c r="S470" s="22">
        <v>3.9259124406206602E-2</v>
      </c>
      <c r="T470" s="19">
        <f t="shared" si="55"/>
        <v>4.1898313700693413E-2</v>
      </c>
      <c r="U470" s="24">
        <v>4.2550580974639152E-2</v>
      </c>
      <c r="V470" s="24">
        <f t="shared" si="56"/>
        <v>4.2398958355983618E-2</v>
      </c>
      <c r="W470" s="23">
        <f t="shared" si="57"/>
        <v>3.4660579471756936E-3</v>
      </c>
      <c r="X470" s="24">
        <v>4.1881300790584275E-2</v>
      </c>
      <c r="Y470" s="24">
        <f t="shared" si="58"/>
        <v>4.2276816803188622E-2</v>
      </c>
      <c r="Z470" s="23">
        <f t="shared" si="59"/>
        <v>3.4561500816312485E-3</v>
      </c>
      <c r="AA470" s="36"/>
    </row>
    <row r="471" spans="15:27" ht="13.9" customHeight="1" x14ac:dyDescent="0.3">
      <c r="O471" s="12">
        <f t="shared" si="53"/>
        <v>38.166666666666664</v>
      </c>
      <c r="P471" s="13">
        <v>458</v>
      </c>
      <c r="Q471" s="22">
        <v>3.6486686266534507E-2</v>
      </c>
      <c r="R471" s="19">
        <f t="shared" si="54"/>
        <v>3.1508540403314411E-2</v>
      </c>
      <c r="S471" s="22">
        <v>3.9264879539736119E-2</v>
      </c>
      <c r="T471" s="19">
        <f t="shared" si="55"/>
        <v>4.1908394007951877E-2</v>
      </c>
      <c r="U471" s="24">
        <v>4.2550249896863512E-2</v>
      </c>
      <c r="V471" s="24">
        <f t="shared" si="56"/>
        <v>4.2403065517610861E-2</v>
      </c>
      <c r="W471" s="23">
        <f t="shared" si="57"/>
        <v>3.466389710361728E-3</v>
      </c>
      <c r="X471" s="24">
        <v>4.1882164199150029E-2</v>
      </c>
      <c r="Y471" s="24">
        <f t="shared" si="58"/>
        <v>4.2282269241867176E-2</v>
      </c>
      <c r="Z471" s="23">
        <f t="shared" si="59"/>
        <v>3.4565908768777742E-3</v>
      </c>
      <c r="AA471" s="36"/>
    </row>
    <row r="472" spans="15:27" ht="13.9" customHeight="1" x14ac:dyDescent="0.3">
      <c r="O472" s="12">
        <f t="shared" si="53"/>
        <v>38.25</v>
      </c>
      <c r="P472" s="13">
        <v>459</v>
      </c>
      <c r="Q472" s="22">
        <v>3.6475814560898101E-2</v>
      </c>
      <c r="R472" s="19">
        <f t="shared" si="54"/>
        <v>3.1510334595423295E-2</v>
      </c>
      <c r="S472" s="22">
        <v>3.9270631534053857E-2</v>
      </c>
      <c r="T472" s="19">
        <f t="shared" si="55"/>
        <v>4.1918381262223026E-2</v>
      </c>
      <c r="U472" s="24">
        <v>4.2549929211139981E-2</v>
      </c>
      <c r="V472" s="24">
        <f t="shared" si="56"/>
        <v>4.240714442786131E-2</v>
      </c>
      <c r="W472" s="23">
        <f t="shared" si="57"/>
        <v>3.4667191900341621E-3</v>
      </c>
      <c r="X472" s="24">
        <v>4.1883035720730044E-2</v>
      </c>
      <c r="Y472" s="24">
        <f t="shared" si="58"/>
        <v>4.2287680276595685E-2</v>
      </c>
      <c r="Z472" s="23">
        <f t="shared" si="59"/>
        <v>3.4570283224393261E-3</v>
      </c>
      <c r="AA472" s="36"/>
    </row>
    <row r="473" spans="15:27" ht="13.9" customHeight="1" x14ac:dyDescent="0.3">
      <c r="O473" s="12">
        <f t="shared" si="53"/>
        <v>38.333333333333336</v>
      </c>
      <c r="P473" s="13">
        <v>460</v>
      </c>
      <c r="Q473" s="22">
        <v>3.646499415599358E-2</v>
      </c>
      <c r="R473" s="19">
        <f t="shared" si="54"/>
        <v>3.1512377825546611E-2</v>
      </c>
      <c r="S473" s="22">
        <v>3.9276380207800887E-2</v>
      </c>
      <c r="T473" s="19">
        <f t="shared" si="55"/>
        <v>4.1928276336938186E-2</v>
      </c>
      <c r="U473" s="24">
        <v>4.2549618788225496E-2</v>
      </c>
      <c r="V473" s="24">
        <f t="shared" si="56"/>
        <v>4.2411195282522351E-2</v>
      </c>
      <c r="W473" s="23">
        <f t="shared" si="57"/>
        <v>3.4670464021815395E-3</v>
      </c>
      <c r="X473" s="24">
        <v>4.1883915212402645E-2</v>
      </c>
      <c r="Y473" s="24">
        <f t="shared" si="58"/>
        <v>4.2293050226122508E-2</v>
      </c>
      <c r="Z473" s="23">
        <f t="shared" si="59"/>
        <v>3.4574624441154889E-3</v>
      </c>
      <c r="AA473" s="36"/>
    </row>
    <row r="474" spans="15:27" ht="13.9" customHeight="1" x14ac:dyDescent="0.3">
      <c r="O474" s="12">
        <f t="shared" si="53"/>
        <v>38.416666666666664</v>
      </c>
      <c r="P474" s="13">
        <v>461</v>
      </c>
      <c r="Q474" s="22">
        <v>3.6454225259912043E-2</v>
      </c>
      <c r="R474" s="19">
        <f t="shared" si="54"/>
        <v>3.1514669689530317E-2</v>
      </c>
      <c r="S474" s="22">
        <v>3.9282125383082844E-2</v>
      </c>
      <c r="T474" s="19">
        <f t="shared" si="55"/>
        <v>4.1938080097369657E-2</v>
      </c>
      <c r="U474" s="24">
        <v>4.2549318500424871E-2</v>
      </c>
      <c r="V474" s="24">
        <f t="shared" si="56"/>
        <v>4.2415218278117894E-2</v>
      </c>
      <c r="W474" s="23">
        <f t="shared" si="57"/>
        <v>3.4673713625343883E-3</v>
      </c>
      <c r="X474" s="24">
        <v>4.1884802533178833E-2</v>
      </c>
      <c r="Y474" s="24">
        <f t="shared" si="58"/>
        <v>4.229837940753467E-2</v>
      </c>
      <c r="Z474" s="23">
        <f t="shared" si="59"/>
        <v>3.4578932675264351E-3</v>
      </c>
      <c r="AA474" s="36"/>
    </row>
    <row r="475" spans="15:27" ht="13.9" customHeight="1" x14ac:dyDescent="0.3">
      <c r="O475" s="12">
        <f t="shared" si="53"/>
        <v>38.5</v>
      </c>
      <c r="P475" s="13">
        <v>462</v>
      </c>
      <c r="Q475" s="22">
        <v>3.6443508078045639E-2</v>
      </c>
      <c r="R475" s="19">
        <f t="shared" si="54"/>
        <v>3.1517208012974418E-2</v>
      </c>
      <c r="S475" s="22">
        <v>3.9287866885415301E-2</v>
      </c>
      <c r="T475" s="19">
        <f t="shared" si="55"/>
        <v>4.1947793401091227E-2</v>
      </c>
      <c r="U475" s="24">
        <v>4.2549028221574581E-2</v>
      </c>
      <c r="V475" s="24">
        <f t="shared" si="56"/>
        <v>4.2419213608198447E-2</v>
      </c>
      <c r="W475" s="23">
        <f t="shared" si="57"/>
        <v>3.4676940868820783E-3</v>
      </c>
      <c r="X475" s="24">
        <v>4.1885697543977196E-2</v>
      </c>
      <c r="Y475" s="24">
        <f t="shared" si="58"/>
        <v>4.2303668133602645E-2</v>
      </c>
      <c r="Z475" s="23">
        <f t="shared" si="59"/>
        <v>3.4583208181577785E-3</v>
      </c>
      <c r="AA475" s="36"/>
    </row>
    <row r="476" spans="15:27" ht="13.9" customHeight="1" x14ac:dyDescent="0.3">
      <c r="O476" s="12">
        <f t="shared" si="53"/>
        <v>38.583333333333336</v>
      </c>
      <c r="P476" s="13">
        <v>463</v>
      </c>
      <c r="Q476" s="22">
        <v>3.6432842809275057E-2</v>
      </c>
      <c r="R476" s="19">
        <f t="shared" si="54"/>
        <v>3.1519985280101137E-2</v>
      </c>
      <c r="S476" s="22">
        <v>3.9293604543669813E-2</v>
      </c>
      <c r="T476" s="19">
        <f t="shared" si="55"/>
        <v>4.1957417096621707E-2</v>
      </c>
      <c r="U476" s="24">
        <v>4.2548747827020339E-2</v>
      </c>
      <c r="V476" s="24">
        <f t="shared" si="56"/>
        <v>4.2423181465299109E-2</v>
      </c>
      <c r="W476" s="23">
        <f t="shared" si="57"/>
        <v>3.4680145907743931E-3</v>
      </c>
      <c r="X476" s="24">
        <v>4.1886600107594818E-2</v>
      </c>
      <c r="Y476" s="24">
        <f t="shared" si="58"/>
        <v>4.230891671645165E-2</v>
      </c>
      <c r="Z476" s="23">
        <f t="shared" si="59"/>
        <v>3.458745121148743E-3</v>
      </c>
      <c r="AA476" s="36"/>
    </row>
    <row r="477" spans="15:27" ht="13.9" customHeight="1" x14ac:dyDescent="0.3">
      <c r="O477" s="12">
        <f t="shared" si="53"/>
        <v>38.666666666666664</v>
      </c>
      <c r="P477" s="13">
        <v>464</v>
      </c>
      <c r="Q477" s="22">
        <v>3.6422229634473613E-2</v>
      </c>
      <c r="R477" s="19">
        <f t="shared" si="54"/>
        <v>3.1522999368840399E-2</v>
      </c>
      <c r="S477" s="22">
        <v>3.9299338190018407E-2</v>
      </c>
      <c r="T477" s="19">
        <f t="shared" si="55"/>
        <v>4.1966952024410142E-2</v>
      </c>
      <c r="U477" s="24">
        <v>4.2548477193598444E-2</v>
      </c>
      <c r="V477" s="24">
        <f t="shared" si="56"/>
        <v>4.2427122041186038E-2</v>
      </c>
      <c r="W477" s="23">
        <f t="shared" si="57"/>
        <v>3.4683328896802923E-3</v>
      </c>
      <c r="X477" s="24">
        <v>4.1887510088684854E-2</v>
      </c>
      <c r="Y477" s="24">
        <f t="shared" si="58"/>
        <v>4.2314125464193664E-2</v>
      </c>
      <c r="Z477" s="23">
        <f t="shared" si="59"/>
        <v>3.459166201585262E-3</v>
      </c>
      <c r="AA477" s="36"/>
    </row>
    <row r="478" spans="15:27" ht="13.9" customHeight="1" x14ac:dyDescent="0.3">
      <c r="O478" s="12">
        <f t="shared" si="53"/>
        <v>38.75</v>
      </c>
      <c r="P478" s="13">
        <v>465</v>
      </c>
      <c r="Q478" s="22">
        <v>3.6411668728355995E-2</v>
      </c>
      <c r="R478" s="19">
        <f t="shared" si="54"/>
        <v>3.1526249963044428E-2</v>
      </c>
      <c r="S478" s="22">
        <v>3.9305067659880732E-2</v>
      </c>
      <c r="T478" s="19">
        <f t="shared" si="55"/>
        <v>4.1976399016561139E-2</v>
      </c>
      <c r="U478" s="24">
        <v>4.2548216199618238E-2</v>
      </c>
      <c r="V478" s="24">
        <f t="shared" si="56"/>
        <v>4.243103552483074E-2</v>
      </c>
      <c r="W478" s="23">
        <f t="shared" si="57"/>
        <v>3.4686489990056746E-3</v>
      </c>
      <c r="X478" s="24">
        <v>4.1888427353728552E-2</v>
      </c>
      <c r="Y478" s="24">
        <f t="shared" si="58"/>
        <v>4.2319294683956343E-2</v>
      </c>
      <c r="Z478" s="23">
        <f t="shared" si="59"/>
        <v>3.4595840842310821E-3</v>
      </c>
      <c r="AA478" s="36"/>
    </row>
    <row r="479" spans="15:27" ht="13.9" customHeight="1" x14ac:dyDescent="0.3">
      <c r="O479" s="12">
        <f t="shared" si="53"/>
        <v>38.833333333333336</v>
      </c>
      <c r="P479" s="13">
        <v>466</v>
      </c>
      <c r="Q479" s="22">
        <v>3.6401160263437982E-2</v>
      </c>
      <c r="R479" s="19">
        <f t="shared" si="54"/>
        <v>3.1529736766088057E-2</v>
      </c>
      <c r="S479" s="22">
        <v>3.9310792791871441E-2</v>
      </c>
      <c r="T479" s="19">
        <f t="shared" si="55"/>
        <v>4.1985758898207104E-2</v>
      </c>
      <c r="U479" s="24">
        <v>4.2547964724840126E-2</v>
      </c>
      <c r="V479" s="24">
        <f t="shared" si="56"/>
        <v>4.2434922106322936E-2</v>
      </c>
      <c r="W479" s="23">
        <f t="shared" si="57"/>
        <v>3.4689629339326178E-3</v>
      </c>
      <c r="X479" s="24">
        <v>4.1889351771012828E-2</v>
      </c>
      <c r="Y479" s="24">
        <f t="shared" si="58"/>
        <v>4.232442467944697E-2</v>
      </c>
      <c r="Z479" s="23">
        <f t="shared" si="59"/>
        <v>3.4599987937697918E-3</v>
      </c>
      <c r="AA479" s="36"/>
    </row>
    <row r="480" spans="15:27" ht="13.9" customHeight="1" x14ac:dyDescent="0.3">
      <c r="O480" s="12">
        <f t="shared" si="53"/>
        <v>38.916666666666664</v>
      </c>
      <c r="P480" s="13">
        <v>467</v>
      </c>
      <c r="Q480" s="22">
        <v>3.6390704410101948E-2</v>
      </c>
      <c r="R480" s="19">
        <f t="shared" si="54"/>
        <v>3.1533459498012784E-2</v>
      </c>
      <c r="S480" s="22">
        <v>3.9316513427750666E-2</v>
      </c>
      <c r="T480" s="19">
        <f t="shared" si="55"/>
        <v>4.1995032485135919E-2</v>
      </c>
      <c r="U480" s="24">
        <v>4.2547722650462472E-2</v>
      </c>
      <c r="V480" s="24">
        <f t="shared" si="56"/>
        <v>4.2438781971943618E-2</v>
      </c>
      <c r="W480" s="23">
        <f t="shared" si="57"/>
        <v>3.4692747097322396E-3</v>
      </c>
      <c r="X480" s="24">
        <v>4.1890283210604062E-2</v>
      </c>
      <c r="Y480" s="24">
        <f t="shared" si="58"/>
        <v>4.2329515752795199E-2</v>
      </c>
      <c r="Z480" s="23">
        <f t="shared" si="59"/>
        <v>3.4604103546100884E-3</v>
      </c>
      <c r="AA480" s="36"/>
    </row>
    <row r="481" spans="15:27" ht="13.9" customHeight="1" x14ac:dyDescent="0.3">
      <c r="O481" s="12">
        <f t="shared" si="53"/>
        <v>39</v>
      </c>
      <c r="P481" s="13">
        <v>468</v>
      </c>
      <c r="Q481" s="22">
        <v>3.6380301336655263E-2</v>
      </c>
      <c r="R481" s="19">
        <f t="shared" si="54"/>
        <v>3.1537416143850416E-2</v>
      </c>
      <c r="S481" s="22">
        <v>3.9322229412370735E-2</v>
      </c>
      <c r="T481" s="19">
        <f t="shared" si="55"/>
        <v>4.2004220585714735E-2</v>
      </c>
      <c r="U481" s="24">
        <v>4.2547489859097842E-2</v>
      </c>
      <c r="V481" s="24">
        <f t="shared" si="56"/>
        <v>4.2442615307671128E-2</v>
      </c>
      <c r="W481" s="23">
        <f t="shared" si="57"/>
        <v>3.4695843413694583E-3</v>
      </c>
      <c r="X481" s="24">
        <v>4.1891221544325674E-2</v>
      </c>
      <c r="Y481" s="24">
        <f t="shared" si="58"/>
        <v>4.2334568202137213E-2</v>
      </c>
      <c r="Z481" s="23">
        <f t="shared" si="59"/>
        <v>3.4608187910329935E-3</v>
      </c>
      <c r="AA481" s="36"/>
    </row>
    <row r="482" spans="15:27" ht="13.9" customHeight="1" x14ac:dyDescent="0.3">
      <c r="O482" s="12">
        <f t="shared" si="53"/>
        <v>39.083333333333336</v>
      </c>
      <c r="P482" s="13">
        <v>469</v>
      </c>
      <c r="Q482" s="22">
        <v>3.6369951205635909E-2</v>
      </c>
      <c r="R482" s="19">
        <f t="shared" si="54"/>
        <v>3.1541599455789715E-2</v>
      </c>
      <c r="S482" s="22">
        <v>3.932794059362732E-2</v>
      </c>
      <c r="T482" s="19">
        <f t="shared" si="55"/>
        <v>4.2013324001239472E-2</v>
      </c>
      <c r="U482" s="24">
        <v>4.2547266234757908E-2</v>
      </c>
      <c r="V482" s="24">
        <f t="shared" si="56"/>
        <v>4.2446422297839348E-2</v>
      </c>
      <c r="W482" s="23">
        <f t="shared" si="57"/>
        <v>3.4698918437854331E-3</v>
      </c>
      <c r="X482" s="24">
        <v>4.1892166645730589E-2</v>
      </c>
      <c r="Y482" s="24">
        <f t="shared" si="58"/>
        <v>4.2339582325325864E-2</v>
      </c>
      <c r="Z482" s="23">
        <f t="shared" si="59"/>
        <v>3.4612241269986743E-3</v>
      </c>
      <c r="AA482" s="36"/>
    </row>
    <row r="483" spans="15:27" ht="13.9" customHeight="1" x14ac:dyDescent="0.3">
      <c r="O483" s="12">
        <f t="shared" si="53"/>
        <v>39.166666666666664</v>
      </c>
      <c r="P483" s="13">
        <v>470</v>
      </c>
      <c r="Q483" s="22">
        <v>3.6359654162687605E-2</v>
      </c>
      <c r="R483" s="19">
        <f t="shared" si="54"/>
        <v>3.154600746878522E-2</v>
      </c>
      <c r="S483" s="22">
        <v>3.9333646822411916E-2</v>
      </c>
      <c r="T483" s="19">
        <f t="shared" si="55"/>
        <v>4.2022343523912875E-2</v>
      </c>
      <c r="U483" s="24">
        <v>4.2547051662834345E-2</v>
      </c>
      <c r="V483" s="24">
        <f t="shared" si="56"/>
        <v>4.245020312690917E-2</v>
      </c>
      <c r="W483" s="23">
        <f t="shared" si="57"/>
        <v>3.4701972317880969E-3</v>
      </c>
      <c r="X483" s="24">
        <v>4.1893118390082584E-2</v>
      </c>
      <c r="Y483" s="24">
        <f t="shared" si="58"/>
        <v>4.2344558416880007E-2</v>
      </c>
      <c r="Z483" s="23">
        <f t="shared" si="59"/>
        <v>3.4616263864437613E-3</v>
      </c>
      <c r="AA483" s="36"/>
    </row>
    <row r="484" spans="15:27" ht="13.9" customHeight="1" x14ac:dyDescent="0.3">
      <c r="O484" s="12">
        <f t="shared" si="53"/>
        <v>39.25</v>
      </c>
      <c r="P484" s="13">
        <v>471</v>
      </c>
      <c r="Q484" s="22">
        <v>3.634941034800887E-2</v>
      </c>
      <c r="R484" s="19">
        <f t="shared" si="54"/>
        <v>3.155063998959684E-2</v>
      </c>
      <c r="S484" s="22">
        <v>3.9339347952560777E-2</v>
      </c>
      <c r="T484" s="19">
        <f t="shared" si="55"/>
        <v>4.20312799394158E-2</v>
      </c>
      <c r="U484" s="24">
        <v>4.2546846030084629E-2</v>
      </c>
      <c r="V484" s="24">
        <f t="shared" si="56"/>
        <v>4.2453957975149725E-2</v>
      </c>
      <c r="W484" s="23">
        <f t="shared" si="57"/>
        <v>3.4705005201955963E-3</v>
      </c>
      <c r="X484" s="24">
        <v>4.1894076654330537E-2</v>
      </c>
      <c r="Y484" s="24">
        <f t="shared" si="58"/>
        <v>4.2349496768285144E-2</v>
      </c>
      <c r="Z484" s="23">
        <f t="shared" si="59"/>
        <v>3.462025593036655E-3</v>
      </c>
      <c r="AA484" s="36"/>
    </row>
    <row r="485" spans="15:27" ht="13.9" customHeight="1" x14ac:dyDescent="0.3">
      <c r="O485" s="12">
        <f t="shared" si="53"/>
        <v>39.333333333333336</v>
      </c>
      <c r="P485" s="13">
        <v>472</v>
      </c>
      <c r="Q485" s="22">
        <v>3.6339219900181519E-2</v>
      </c>
      <c r="R485" s="19">
        <f t="shared" si="54"/>
        <v>3.1555496840577346E-2</v>
      </c>
      <c r="S485" s="22">
        <v>3.9345043840810057E-2</v>
      </c>
      <c r="T485" s="19">
        <f t="shared" si="55"/>
        <v>4.2040134025346898E-2</v>
      </c>
      <c r="U485" s="24">
        <v>4.2546649224609157E-2</v>
      </c>
      <c r="V485" s="24">
        <f t="shared" si="56"/>
        <v>4.2457687024484381E-2</v>
      </c>
      <c r="W485" s="23">
        <f t="shared" si="57"/>
        <v>3.4708017234899025E-3</v>
      </c>
      <c r="X485" s="24">
        <v>4.1895041317084436E-2</v>
      </c>
      <c r="Y485" s="24">
        <f t="shared" si="58"/>
        <v>4.2354397669992716E-2</v>
      </c>
      <c r="Z485" s="23">
        <f t="shared" si="59"/>
        <v>3.462421770201507E-3</v>
      </c>
      <c r="AA485" s="36"/>
    </row>
    <row r="486" spans="15:27" ht="13.9" customHeight="1" x14ac:dyDescent="0.3">
      <c r="O486" s="12">
        <f t="shared" si="53"/>
        <v>39.416666666666664</v>
      </c>
      <c r="P486" s="13">
        <v>473</v>
      </c>
      <c r="Q486" s="22">
        <v>3.6329082956221725E-2</v>
      </c>
      <c r="R486" s="19">
        <f t="shared" si="54"/>
        <v>3.1560577861810435E-2</v>
      </c>
      <c r="S486" s="22">
        <v>3.9350734346747851E-2</v>
      </c>
      <c r="T486" s="19">
        <f t="shared" si="55"/>
        <v>4.2048906552037746E-2</v>
      </c>
      <c r="U486" s="24">
        <v>4.2546461135839708E-2</v>
      </c>
      <c r="V486" s="24">
        <f t="shared" si="56"/>
        <v>4.2461390453531589E-2</v>
      </c>
      <c r="W486" s="23">
        <f t="shared" si="57"/>
        <v>3.471100856284659E-3</v>
      </c>
      <c r="X486" s="24">
        <v>4.1896012258595849E-2</v>
      </c>
      <c r="Y486" s="24">
        <f t="shared" si="58"/>
        <v>4.2359261409557369E-2</v>
      </c>
      <c r="Z486" s="23">
        <f t="shared" si="59"/>
        <v>3.4628149412789799E-3</v>
      </c>
      <c r="AA486" s="36"/>
    </row>
    <row r="487" spans="15:27" ht="13.9" customHeight="1" x14ac:dyDescent="0.3">
      <c r="O487" s="12">
        <f t="shared" si="53"/>
        <v>39.5</v>
      </c>
      <c r="P487" s="13">
        <v>474</v>
      </c>
      <c r="Q487" s="22">
        <v>3.6318999651632655E-2</v>
      </c>
      <c r="R487" s="19">
        <f t="shared" si="54"/>
        <v>3.1565881193652334E-2</v>
      </c>
      <c r="S487" s="22">
        <v>3.9356419332768677E-2</v>
      </c>
      <c r="T487" s="19">
        <f t="shared" si="55"/>
        <v>4.2057598282265962E-2</v>
      </c>
      <c r="U487" s="24">
        <v>4.2546281654519014E-2</v>
      </c>
      <c r="V487" s="24">
        <f t="shared" si="56"/>
        <v>4.2465068441315257E-2</v>
      </c>
      <c r="W487" s="23">
        <f t="shared" si="57"/>
        <v>3.4713979329283884E-3</v>
      </c>
      <c r="X487" s="24">
        <v>4.1896989360733938E-2</v>
      </c>
      <c r="Y487" s="24">
        <f t="shared" si="58"/>
        <v>4.2364088272477174E-2</v>
      </c>
      <c r="Z487" s="23">
        <f t="shared" si="59"/>
        <v>3.4632051293768118E-3</v>
      </c>
      <c r="AA487" s="36"/>
    </row>
    <row r="488" spans="15:27" ht="13.9" customHeight="1" x14ac:dyDescent="0.3">
      <c r="O488" s="12">
        <f t="shared" si="53"/>
        <v>39.583333333333336</v>
      </c>
      <c r="P488" s="13">
        <v>475</v>
      </c>
      <c r="Q488" s="22">
        <v>3.6308970116826655E-2</v>
      </c>
      <c r="R488" s="19">
        <f t="shared" si="54"/>
        <v>3.1571399846208603E-2</v>
      </c>
      <c r="S488" s="22">
        <v>3.93620986640284E-2</v>
      </c>
      <c r="T488" s="19">
        <f t="shared" si="55"/>
        <v>4.2066209971415081E-2</v>
      </c>
      <c r="U488" s="24">
        <v>4.2546110672687654E-2</v>
      </c>
      <c r="V488" s="24">
        <f t="shared" si="56"/>
        <v>4.2468721163654077E-2</v>
      </c>
      <c r="W488" s="23">
        <f t="shared" si="57"/>
        <v>3.4716929678020314E-3</v>
      </c>
      <c r="X488" s="24">
        <v>4.1897972506964365E-2</v>
      </c>
      <c r="Y488" s="24">
        <f t="shared" si="58"/>
        <v>4.236887854202509E-2</v>
      </c>
      <c r="Z488" s="23">
        <f t="shared" si="59"/>
        <v>3.4635923574368732E-3</v>
      </c>
      <c r="AA488" s="36"/>
    </row>
    <row r="489" spans="15:27" ht="13.9" customHeight="1" x14ac:dyDescent="0.3">
      <c r="O489" s="12">
        <f t="shared" si="53"/>
        <v>39.666666666666664</v>
      </c>
      <c r="P489" s="13">
        <v>476</v>
      </c>
      <c r="Q489" s="22">
        <v>3.6298994466350765E-2</v>
      </c>
      <c r="R489" s="19">
        <f t="shared" si="54"/>
        <v>3.1577132008844044E-2</v>
      </c>
      <c r="S489" s="22">
        <v>3.9367772208399376E-2</v>
      </c>
      <c r="T489" s="19">
        <f t="shared" si="55"/>
        <v>4.2074742367790297E-2</v>
      </c>
      <c r="U489" s="24">
        <v>4.254594808366341E-2</v>
      </c>
      <c r="V489" s="24">
        <f t="shared" si="56"/>
        <v>4.2472348796765313E-2</v>
      </c>
      <c r="W489" s="23">
        <f t="shared" si="57"/>
        <v>3.4719859750287352E-3</v>
      </c>
      <c r="X489" s="24">
        <v>4.1898961582327754E-2</v>
      </c>
      <c r="Y489" s="24">
        <f t="shared" si="58"/>
        <v>4.2373632498267755E-2</v>
      </c>
      <c r="Z489" s="23">
        <f t="shared" si="59"/>
        <v>3.4639766482218448E-3</v>
      </c>
      <c r="AA489" s="36"/>
    </row>
    <row r="490" spans="15:27" ht="13.9" customHeight="1" x14ac:dyDescent="0.3">
      <c r="O490" s="12">
        <f t="shared" si="53"/>
        <v>39.75</v>
      </c>
      <c r="P490" s="13">
        <v>477</v>
      </c>
      <c r="Q490" s="22">
        <v>3.6289072809962075E-2</v>
      </c>
      <c r="R490" s="19">
        <f t="shared" si="54"/>
        <v>3.1583077602482135E-2</v>
      </c>
      <c r="S490" s="22">
        <v>3.9373439836427382E-2</v>
      </c>
      <c r="T490" s="19">
        <f t="shared" si="55"/>
        <v>4.208319621203116E-2</v>
      </c>
      <c r="U490" s="24">
        <v>4.2545793782029273E-2</v>
      </c>
      <c r="V490" s="24">
        <f t="shared" si="56"/>
        <v>4.247595151464334E-2</v>
      </c>
      <c r="W490" s="23">
        <f t="shared" si="57"/>
        <v>3.4722769687633992E-3</v>
      </c>
      <c r="X490" s="24">
        <v>4.1899956473416822E-2</v>
      </c>
      <c r="Y490" s="24">
        <f t="shared" si="58"/>
        <v>4.2378350420820388E-2</v>
      </c>
      <c r="Z490" s="23">
        <f t="shared" si="59"/>
        <v>3.4643580242366134E-3</v>
      </c>
      <c r="AA490" s="36"/>
    </row>
    <row r="491" spans="15:27" ht="13.9" customHeight="1" x14ac:dyDescent="0.3">
      <c r="O491" s="12">
        <f t="shared" si="53"/>
        <v>39.833333333333336</v>
      </c>
      <c r="P491" s="13">
        <v>478</v>
      </c>
      <c r="Q491" s="22">
        <v>3.627920525631656E-2</v>
      </c>
      <c r="R491" s="19">
        <f t="shared" si="54"/>
        <v>3.1589236567272305E-2</v>
      </c>
      <c r="S491" s="22">
        <v>3.9379101421287199E-2</v>
      </c>
      <c r="T491" s="19">
        <f t="shared" si="55"/>
        <v>4.2091572238507347E-2</v>
      </c>
      <c r="U491" s="24">
        <v>4.2545647663615016E-2</v>
      </c>
      <c r="V491" s="24">
        <f t="shared" si="56"/>
        <v>4.2479529490910162E-2</v>
      </c>
      <c r="W491" s="23">
        <f t="shared" si="57"/>
        <v>3.472565962982177E-3</v>
      </c>
      <c r="X491" s="24">
        <v>4.1900957068358391E-2</v>
      </c>
      <c r="Y491" s="24">
        <f t="shared" si="58"/>
        <v>4.2383032585679548E-2</v>
      </c>
      <c r="Z491" s="23">
        <f t="shared" si="59"/>
        <v>3.4647365079487624E-3</v>
      </c>
      <c r="AA491" s="36"/>
    </row>
    <row r="492" spans="15:27" ht="13.9" customHeight="1" x14ac:dyDescent="0.3">
      <c r="O492" s="12">
        <f t="shared" si="53"/>
        <v>39.916666666666664</v>
      </c>
      <c r="P492" s="13">
        <v>479</v>
      </c>
      <c r="Q492" s="22">
        <v>3.626939191302081E-2</v>
      </c>
      <c r="R492" s="19">
        <f t="shared" si="54"/>
        <v>3.1595608857475144E-2</v>
      </c>
      <c r="S492" s="22">
        <v>3.9384756838742652E-2</v>
      </c>
      <c r="T492" s="19">
        <f t="shared" si="55"/>
        <v>4.2099871173830516E-2</v>
      </c>
      <c r="U492" s="24">
        <v>4.2545509625483424E-2</v>
      </c>
      <c r="V492" s="24">
        <f t="shared" si="56"/>
        <v>4.2483082896423996E-2</v>
      </c>
      <c r="W492" s="23">
        <f t="shared" si="57"/>
        <v>3.4728529716314682E-3</v>
      </c>
      <c r="X492" s="24">
        <v>4.1901963256790742E-2</v>
      </c>
      <c r="Y492" s="24">
        <f t="shared" si="58"/>
        <v>4.238767926721021E-2</v>
      </c>
      <c r="Z492" s="23">
        <f t="shared" si="59"/>
        <v>3.4651121215358849E-3</v>
      </c>
      <c r="AA492" s="36"/>
    </row>
    <row r="493" spans="15:27" ht="13.9" customHeight="1" x14ac:dyDescent="0.3">
      <c r="O493" s="12">
        <f t="shared" si="53"/>
        <v>40</v>
      </c>
      <c r="P493" s="13">
        <v>480</v>
      </c>
      <c r="Q493" s="22">
        <v>3.6259632886672888E-2</v>
      </c>
      <c r="R493" s="19">
        <f t="shared" si="54"/>
        <v>3.1602192762064441E-2</v>
      </c>
      <c r="S493" s="22">
        <v>3.9390405967103082E-2</v>
      </c>
      <c r="T493" s="19">
        <f t="shared" si="55"/>
        <v>4.2108093737657892E-2</v>
      </c>
      <c r="U493" s="24">
        <v>4.2545379565912089E-2</v>
      </c>
      <c r="V493" s="24">
        <f t="shared" si="56"/>
        <v>4.2486611902772253E-2</v>
      </c>
      <c r="W493" s="23">
        <f t="shared" si="57"/>
        <v>3.4731380084354058E-3</v>
      </c>
      <c r="X493" s="24">
        <v>4.1902974929843406E-2</v>
      </c>
      <c r="Y493" s="24">
        <f t="shared" si="58"/>
        <v>4.2392290737885752E-2</v>
      </c>
      <c r="Z493" s="23">
        <f t="shared" si="59"/>
        <v>3.4654848870427912E-3</v>
      </c>
      <c r="AA493" s="36"/>
    </row>
    <row r="494" spans="15:27" ht="13.9" customHeight="1" x14ac:dyDescent="0.3">
      <c r="O494" s="12">
        <f t="shared" si="53"/>
        <v>40.083333333333336</v>
      </c>
      <c r="P494" s="13">
        <v>481</v>
      </c>
      <c r="Q494" s="22">
        <v>3.6249928279393995E-2</v>
      </c>
      <c r="R494" s="19">
        <f t="shared" si="54"/>
        <v>3.1608981544105408E-2</v>
      </c>
      <c r="S494" s="22">
        <v>3.9396048687182494E-2</v>
      </c>
      <c r="T494" s="19">
        <f t="shared" si="55"/>
        <v>4.2116240642975145E-2</v>
      </c>
      <c r="U494" s="24">
        <v>4.2545257384381641E-2</v>
      </c>
      <c r="V494" s="24">
        <f t="shared" si="56"/>
        <v>4.2490116679334111E-2</v>
      </c>
      <c r="W494" s="23">
        <f t="shared" si="57"/>
        <v>3.4734210871760762E-3</v>
      </c>
      <c r="X494" s="24">
        <v>4.1903991980118738E-2</v>
      </c>
      <c r="Y494" s="24">
        <f t="shared" si="58"/>
        <v>4.2396867267431748E-2</v>
      </c>
      <c r="Z494" s="23">
        <f t="shared" si="59"/>
        <v>3.4658548263630795E-3</v>
      </c>
      <c r="AA494" s="36"/>
    </row>
    <row r="495" spans="15:27" ht="13.9" customHeight="1" x14ac:dyDescent="0.3">
      <c r="O495" s="12">
        <f t="shared" si="53"/>
        <v>40.166666666666664</v>
      </c>
      <c r="P495" s="13">
        <v>482</v>
      </c>
      <c r="Q495" s="22">
        <v>3.6240278178402141E-2</v>
      </c>
      <c r="R495" s="19">
        <f t="shared" si="54"/>
        <v>3.1615973538172026E-2</v>
      </c>
      <c r="S495" s="22">
        <v>3.9401684882260035E-2</v>
      </c>
      <c r="T495" s="19">
        <f t="shared" si="55"/>
        <v>4.2124312596330205E-2</v>
      </c>
      <c r="U495" s="24">
        <v>4.2545142981559536E-2</v>
      </c>
      <c r="V495" s="24">
        <f t="shared" si="56"/>
        <v>4.249359739409253E-2</v>
      </c>
      <c r="W495" s="23">
        <f t="shared" si="57"/>
        <v>3.4737022214585966E-3</v>
      </c>
      <c r="X495" s="24">
        <v>4.1905014301670374E-2</v>
      </c>
      <c r="Y495" s="24">
        <f t="shared" si="58"/>
        <v>4.2401409123990597E-2</v>
      </c>
      <c r="Z495" s="23">
        <f t="shared" si="59"/>
        <v>3.4662219611687473E-3</v>
      </c>
      <c r="AA495" s="36"/>
    </row>
    <row r="496" spans="15:27" ht="13.9" customHeight="1" x14ac:dyDescent="0.3">
      <c r="O496" s="12">
        <f t="shared" si="53"/>
        <v>40.25</v>
      </c>
      <c r="P496" s="13">
        <v>483</v>
      </c>
      <c r="Q496" s="22">
        <v>3.6230682666713365E-2</v>
      </c>
      <c r="R496" s="19">
        <f t="shared" si="54"/>
        <v>3.162316877953808E-2</v>
      </c>
      <c r="S496" s="22">
        <v>3.9407314438040464E-2</v>
      </c>
      <c r="T496" s="19">
        <f t="shared" si="55"/>
        <v>4.2132310296579822E-2</v>
      </c>
      <c r="U496" s="24">
        <v>4.2545036259283853E-2</v>
      </c>
      <c r="V496" s="24">
        <f t="shared" si="56"/>
        <v>4.2497054213849195E-2</v>
      </c>
      <c r="W496" s="23">
        <f t="shared" si="57"/>
        <v>3.4739814247752854E-3</v>
      </c>
      <c r="X496" s="24">
        <v>4.1906041789984805E-2</v>
      </c>
      <c r="Y496" s="24">
        <f t="shared" si="58"/>
        <v>4.2405916573438507E-2</v>
      </c>
      <c r="Z496" s="23">
        <f t="shared" si="59"/>
        <v>3.4665863130041163E-3</v>
      </c>
      <c r="AA496" s="36"/>
    </row>
    <row r="497" spans="15:27" ht="13.9" customHeight="1" x14ac:dyDescent="0.3">
      <c r="O497" s="12">
        <f t="shared" si="53"/>
        <v>40.333333333333336</v>
      </c>
      <c r="P497" s="13">
        <v>484</v>
      </c>
      <c r="Q497" s="22">
        <v>3.622114182671532E-2</v>
      </c>
      <c r="R497" s="19">
        <f t="shared" si="54"/>
        <v>3.163056731765912E-2</v>
      </c>
      <c r="S497" s="22">
        <v>3.9412937242613966E-2</v>
      </c>
      <c r="T497" s="19">
        <f t="shared" si="55"/>
        <v>4.2140234436081059E-2</v>
      </c>
      <c r="U497" s="24">
        <v>4.2544937120549742E-2</v>
      </c>
      <c r="V497" s="24">
        <f t="shared" si="56"/>
        <v>4.2500487304571788E-2</v>
      </c>
      <c r="W497" s="23">
        <f t="shared" si="57"/>
        <v>3.4742587105240919E-3</v>
      </c>
      <c r="X497" s="24">
        <v>4.190707434196228E-2</v>
      </c>
      <c r="Y497" s="24">
        <f t="shared" si="58"/>
        <v>4.2410389878788868E-2</v>
      </c>
      <c r="Z497" s="23">
        <f t="shared" si="59"/>
        <v>3.466947903230988E-3</v>
      </c>
      <c r="AA497" s="36"/>
    </row>
    <row r="498" spans="15:27" ht="13.9" customHeight="1" x14ac:dyDescent="0.3">
      <c r="O498" s="12">
        <f t="shared" si="53"/>
        <v>40.416666666666664</v>
      </c>
      <c r="P498" s="13">
        <v>485</v>
      </c>
      <c r="Q498" s="22">
        <v>3.6211655740202797E-2</v>
      </c>
      <c r="R498" s="19">
        <f t="shared" si="54"/>
        <v>3.1638169218401568E-2</v>
      </c>
      <c r="S498" s="22">
        <v>3.9418553186417737E-2</v>
      </c>
      <c r="T498" s="19">
        <f t="shared" si="55"/>
        <v>4.2148085701608773E-2</v>
      </c>
      <c r="U498" s="24">
        <v>4.2544845469494774E-2</v>
      </c>
      <c r="V498" s="24">
        <f t="shared" si="56"/>
        <v>4.2503896831443511E-2</v>
      </c>
      <c r="W498" s="23">
        <f t="shared" si="57"/>
        <v>3.4745340920350198E-3</v>
      </c>
      <c r="X498" s="24">
        <v>4.1908111855895935E-2</v>
      </c>
      <c r="Y498" s="24">
        <f t="shared" si="58"/>
        <v>4.2414829302791723E-2</v>
      </c>
      <c r="Z498" s="23">
        <f t="shared" si="59"/>
        <v>3.4673067529815693E-3</v>
      </c>
      <c r="AA498" s="36"/>
    </row>
    <row r="499" spans="15:27" ht="13.9" customHeight="1" x14ac:dyDescent="0.3">
      <c r="O499" s="12">
        <f t="shared" si="53"/>
        <v>40.5</v>
      </c>
      <c r="P499" s="13">
        <v>486</v>
      </c>
      <c r="Q499" s="22">
        <v>3.62022244884177E-2</v>
      </c>
      <c r="R499" s="19">
        <f t="shared" si="54"/>
        <v>3.1645972914398079E-2</v>
      </c>
      <c r="S499" s="22">
        <v>3.942416216220046E-2</v>
      </c>
      <c r="T499" s="19">
        <f t="shared" si="55"/>
        <v>4.2155864771927787E-2</v>
      </c>
      <c r="U499" s="24">
        <v>4.2544761211386506E-2</v>
      </c>
      <c r="V499" s="24">
        <f t="shared" si="56"/>
        <v>4.2507282957250592E-2</v>
      </c>
      <c r="W499" s="23">
        <f t="shared" si="57"/>
        <v>3.4748075825756786E-3</v>
      </c>
      <c r="X499" s="24">
        <v>4.1909154231457135E-2</v>
      </c>
      <c r="Y499" s="24">
        <f t="shared" si="58"/>
        <v>4.2419235104147468E-2</v>
      </c>
      <c r="Z499" s="23">
        <f t="shared" si="59"/>
        <v>3.4676628833658629E-3</v>
      </c>
      <c r="AA499" s="36"/>
    </row>
    <row r="500" spans="15:27" ht="13.9" customHeight="1" x14ac:dyDescent="0.3">
      <c r="O500" s="12">
        <f t="shared" si="53"/>
        <v>40.583333333333336</v>
      </c>
      <c r="P500" s="13">
        <v>487</v>
      </c>
      <c r="Q500" s="22">
        <v>3.6192848148686396E-2</v>
      </c>
      <c r="R500" s="19">
        <f t="shared" si="54"/>
        <v>3.1653971912648071E-2</v>
      </c>
      <c r="S500" s="22">
        <v>3.9429764064982331E-2</v>
      </c>
      <c r="T500" s="19">
        <f t="shared" si="55"/>
        <v>4.216357232045298E-2</v>
      </c>
      <c r="U500" s="24">
        <v>4.254468425260538E-2</v>
      </c>
      <c r="V500" s="24">
        <f t="shared" si="56"/>
        <v>4.2510645845126982E-2</v>
      </c>
      <c r="W500" s="23">
        <f t="shared" si="57"/>
        <v>3.4750791952200544E-3</v>
      </c>
      <c r="X500" s="24">
        <v>4.191020136967305E-2</v>
      </c>
      <c r="Y500" s="24">
        <f t="shared" si="58"/>
        <v>4.242360754149832E-2</v>
      </c>
      <c r="Z500" s="23">
        <f t="shared" si="59"/>
        <v>3.4680163151683541E-3</v>
      </c>
      <c r="AA500" s="36"/>
    </row>
    <row r="501" spans="15:27" ht="13.9" customHeight="1" x14ac:dyDescent="0.3">
      <c r="O501" s="12">
        <f t="shared" si="53"/>
        <v>40.666666666666664</v>
      </c>
      <c r="P501" s="13">
        <v>488</v>
      </c>
      <c r="Q501" s="22">
        <v>3.6183526784321351E-2</v>
      </c>
      <c r="R501" s="19">
        <f t="shared" si="54"/>
        <v>3.1662164690906325E-2</v>
      </c>
      <c r="S501" s="22">
        <v>3.9435358792020425E-2</v>
      </c>
      <c r="T501" s="19">
        <f t="shared" si="55"/>
        <v>4.2171209012934252E-2</v>
      </c>
      <c r="U501" s="24">
        <v>4.254461450063407E-2</v>
      </c>
      <c r="V501" s="24">
        <f t="shared" si="56"/>
        <v>4.2513985655333597E-2</v>
      </c>
      <c r="W501" s="23">
        <f t="shared" si="57"/>
        <v>3.4753489430709994E-3</v>
      </c>
      <c r="X501" s="24">
        <v>4.1911253172912444E-2</v>
      </c>
      <c r="Y501" s="24">
        <f t="shared" si="58"/>
        <v>4.2427946868996091E-2</v>
      </c>
      <c r="Z501" s="23">
        <f t="shared" si="59"/>
        <v>3.468367069168643E-3</v>
      </c>
      <c r="AA501" s="36"/>
    </row>
    <row r="502" spans="15:27" ht="13.9" customHeight="1" x14ac:dyDescent="0.3">
      <c r="O502" s="12">
        <f t="shared" si="53"/>
        <v>40.75</v>
      </c>
      <c r="P502" s="13">
        <v>489</v>
      </c>
      <c r="Q502" s="22">
        <v>3.6174260454975737E-2</v>
      </c>
      <c r="R502" s="19">
        <f t="shared" si="54"/>
        <v>3.1670551390573731E-2</v>
      </c>
      <c r="S502" s="22">
        <v>3.9440946242770281E-2</v>
      </c>
      <c r="T502" s="19">
        <f t="shared" si="55"/>
        <v>4.2178775510314015E-2</v>
      </c>
      <c r="U502" s="24">
        <v>4.2544551864040381E-2</v>
      </c>
      <c r="V502" s="24">
        <f t="shared" si="56"/>
        <v>4.2517302548617408E-2</v>
      </c>
      <c r="W502" s="23">
        <f t="shared" si="57"/>
        <v>3.4756168389995512E-3</v>
      </c>
      <c r="X502" s="24">
        <v>4.191230954486258E-2</v>
      </c>
      <c r="Y502" s="24">
        <f t="shared" si="58"/>
        <v>4.2432253341309289E-2</v>
      </c>
      <c r="Z502" s="23">
        <f t="shared" si="59"/>
        <v>3.4687151657852855E-3</v>
      </c>
      <c r="AA502" s="36"/>
    </row>
    <row r="503" spans="15:27" ht="13.9" customHeight="1" x14ac:dyDescent="0.3">
      <c r="O503" s="12">
        <f t="shared" si="53"/>
        <v>40.833333333333336</v>
      </c>
      <c r="P503" s="13">
        <v>490</v>
      </c>
      <c r="Q503" s="22">
        <v>3.6165049220090895E-2</v>
      </c>
      <c r="R503" s="19">
        <f t="shared" si="54"/>
        <v>3.1679132169505131E-2</v>
      </c>
      <c r="S503" s="22">
        <v>3.9446526318854147E-2</v>
      </c>
      <c r="T503" s="19">
        <f t="shared" si="55"/>
        <v>4.2186272465821073E-2</v>
      </c>
      <c r="U503" s="24">
        <v>4.2544496252467257E-2</v>
      </c>
      <c r="V503" s="24">
        <f t="shared" si="56"/>
        <v>4.2520596683788936E-2</v>
      </c>
      <c r="W503" s="23">
        <f t="shared" si="57"/>
        <v>3.4758828959164934E-3</v>
      </c>
      <c r="X503" s="24">
        <v>4.1913370390517457E-2</v>
      </c>
      <c r="Y503" s="24">
        <f t="shared" si="58"/>
        <v>4.243652720932789E-2</v>
      </c>
      <c r="Z503" s="23">
        <f t="shared" si="59"/>
        <v>3.4690606254779155E-3</v>
      </c>
      <c r="AA503" s="36"/>
    </row>
    <row r="504" spans="15:27" ht="13.9" customHeight="1" x14ac:dyDescent="0.3">
      <c r="O504" s="12">
        <f t="shared" si="53"/>
        <v>40.916666666666664</v>
      </c>
      <c r="P504" s="13">
        <v>491</v>
      </c>
      <c r="Q504" s="22">
        <v>3.6155893138931194E-2</v>
      </c>
      <c r="R504" s="19">
        <f t="shared" si="54"/>
        <v>3.1687907199154042E-2</v>
      </c>
      <c r="S504" s="22">
        <v>3.945209892402235E-2</v>
      </c>
      <c r="T504" s="19">
        <f t="shared" si="55"/>
        <v>4.2193700527256572E-2</v>
      </c>
      <c r="U504" s="24">
        <v>4.2544447576617905E-2</v>
      </c>
      <c r="V504" s="24">
        <f t="shared" si="56"/>
        <v>4.2523868218614203E-2</v>
      </c>
      <c r="W504" s="23">
        <f t="shared" si="57"/>
        <v>3.4761471265758459E-3</v>
      </c>
      <c r="X504" s="24">
        <v>4.1914435616156043E-2</v>
      </c>
      <c r="Y504" s="24">
        <f t="shared" si="58"/>
        <v>4.2440768723525757E-2</v>
      </c>
      <c r="Z504" s="23">
        <f t="shared" si="59"/>
        <v>3.4694034684021879E-3</v>
      </c>
      <c r="AA504" s="36"/>
    </row>
    <row r="505" spans="15:27" ht="13.9" customHeight="1" x14ac:dyDescent="0.3">
      <c r="O505" s="12">
        <f t="shared" si="53"/>
        <v>41</v>
      </c>
      <c r="P505" s="13">
        <v>492</v>
      </c>
      <c r="Q505" s="22">
        <v>3.6146792270614458E-2</v>
      </c>
      <c r="R505" s="19">
        <f t="shared" si="54"/>
        <v>3.1696875051153039E-2</v>
      </c>
      <c r="S505" s="22">
        <v>3.9457663964121537E-2</v>
      </c>
      <c r="T505" s="19">
        <f t="shared" si="55"/>
        <v>4.2201060335804286E-2</v>
      </c>
      <c r="U505" s="24">
        <v>4.2544405748242475E-2</v>
      </c>
      <c r="V505" s="24">
        <f t="shared" si="56"/>
        <v>4.252711730949188E-2</v>
      </c>
      <c r="W505" s="23">
        <f t="shared" si="57"/>
        <v>3.4764095436485842E-3</v>
      </c>
      <c r="X505" s="24">
        <v>4.1915505129328956E-2</v>
      </c>
      <c r="Y505" s="24">
        <f t="shared" si="58"/>
        <v>4.2444978130333322E-2</v>
      </c>
      <c r="Z505" s="23">
        <f t="shared" si="59"/>
        <v>3.4697437146804511E-3</v>
      </c>
      <c r="AA505" s="36"/>
    </row>
    <row r="506" spans="15:27" ht="13.9" customHeight="1" x14ac:dyDescent="0.3">
      <c r="O506" s="12">
        <f t="shared" si="53"/>
        <v>41.083333333333336</v>
      </c>
      <c r="P506" s="13">
        <v>493</v>
      </c>
      <c r="Q506" s="22">
        <v>3.6137746670853454E-2</v>
      </c>
      <c r="R506" s="19">
        <f t="shared" si="54"/>
        <v>3.1706029470100594E-2</v>
      </c>
      <c r="S506" s="22">
        <v>3.9463221347059374E-2</v>
      </c>
      <c r="T506" s="19">
        <f t="shared" si="55"/>
        <v>4.2208352527155713E-2</v>
      </c>
      <c r="U506" s="24">
        <v>4.2544370680125176E-2</v>
      </c>
      <c r="V506" s="24">
        <f t="shared" si="56"/>
        <v>4.2530344112489127E-2</v>
      </c>
      <c r="W506" s="23">
        <f t="shared" si="57"/>
        <v>3.4766701596955496E-3</v>
      </c>
      <c r="X506" s="24">
        <v>4.1916578838836926E-2</v>
      </c>
      <c r="Y506" s="24">
        <f t="shared" si="58"/>
        <v>4.2449155676687278E-2</v>
      </c>
      <c r="Z506" s="23">
        <f t="shared" si="59"/>
        <v>3.4700813841097577E-3</v>
      </c>
      <c r="AA506" s="36"/>
    </row>
    <row r="507" spans="15:27" ht="13.9" customHeight="1" x14ac:dyDescent="0.3">
      <c r="O507" s="12">
        <f t="shared" si="53"/>
        <v>41.166666666666664</v>
      </c>
      <c r="P507" s="13">
        <v>494</v>
      </c>
      <c r="Q507" s="22">
        <v>3.612875638217794E-2</v>
      </c>
      <c r="R507" s="19">
        <f t="shared" si="54"/>
        <v>3.1715369070973054E-2</v>
      </c>
      <c r="S507" s="22">
        <v>3.9468770982772794E-2</v>
      </c>
      <c r="T507" s="19">
        <f t="shared" si="55"/>
        <v>4.221557772981388E-2</v>
      </c>
      <c r="U507" s="24">
        <v>4.2544342286072956E-2</v>
      </c>
      <c r="V507" s="24">
        <f t="shared" si="56"/>
        <v>4.2533548782093478E-2</v>
      </c>
      <c r="W507" s="23">
        <f t="shared" si="57"/>
        <v>3.4769289872502718E-3</v>
      </c>
      <c r="X507" s="24">
        <v>4.1917656654719471E-2</v>
      </c>
      <c r="Y507" s="24">
        <f t="shared" si="58"/>
        <v>4.2453301605258398E-2</v>
      </c>
      <c r="Z507" s="23">
        <f t="shared" si="59"/>
        <v>3.470416496527351E-3</v>
      </c>
      <c r="AA507" s="36"/>
    </row>
    <row r="508" spans="15:27" ht="13.9" customHeight="1" x14ac:dyDescent="0.3">
      <c r="O508" s="12">
        <f t="shared" si="53"/>
        <v>41.25</v>
      </c>
      <c r="P508" s="13">
        <v>495</v>
      </c>
      <c r="Q508" s="22">
        <v>3.611982144394954E-2</v>
      </c>
      <c r="R508" s="19">
        <f t="shared" si="54"/>
        <v>3.1724894098645207E-2</v>
      </c>
      <c r="S508" s="22">
        <v>3.9474312783193133E-2</v>
      </c>
      <c r="T508" s="19">
        <f t="shared" si="55"/>
        <v>4.2222736567357755E-2</v>
      </c>
      <c r="U508" s="24">
        <v>4.2544320480901732E-2</v>
      </c>
      <c r="V508" s="24">
        <f t="shared" si="56"/>
        <v>4.2536731470822264E-2</v>
      </c>
      <c r="W508" s="23">
        <f t="shared" si="57"/>
        <v>3.4771860387194931E-3</v>
      </c>
      <c r="X508" s="24">
        <v>4.1918738488233576E-2</v>
      </c>
      <c r="Y508" s="24">
        <f t="shared" si="58"/>
        <v>4.2457416159173977E-2</v>
      </c>
      <c r="Z508" s="23">
        <f t="shared" si="59"/>
        <v>3.4707490714274147E-3</v>
      </c>
      <c r="AA508" s="36"/>
    </row>
    <row r="509" spans="15:27" ht="13.9" customHeight="1" x14ac:dyDescent="0.3">
      <c r="O509" s="12">
        <f t="shared" si="53"/>
        <v>41.333333333333336</v>
      </c>
      <c r="P509" s="13">
        <v>496</v>
      </c>
      <c r="Q509" s="22">
        <v>3.6110941895693971E-2</v>
      </c>
      <c r="R509" s="19">
        <f t="shared" si="54"/>
        <v>3.1734604813895784E-2</v>
      </c>
      <c r="S509" s="22">
        <v>3.9479846662215934E-2</v>
      </c>
      <c r="T509" s="19">
        <f t="shared" si="55"/>
        <v>4.2229829657273177E-2</v>
      </c>
      <c r="U509" s="24">
        <v>4.2544305180422626E-2</v>
      </c>
      <c r="V509" s="24">
        <f t="shared" si="56"/>
        <v>4.2539892332058127E-2</v>
      </c>
      <c r="W509" s="23">
        <f t="shared" si="57"/>
        <v>3.4774413263523041E-3</v>
      </c>
      <c r="X509" s="24">
        <v>4.1919824251842153E-2</v>
      </c>
      <c r="Y509" s="24">
        <f t="shared" si="58"/>
        <v>4.2461499577512551E-2</v>
      </c>
      <c r="Z509" s="23">
        <f t="shared" si="59"/>
        <v>3.4710791283409925E-3</v>
      </c>
      <c r="AA509" s="36"/>
    </row>
    <row r="510" spans="15:27" ht="13.9" customHeight="1" x14ac:dyDescent="0.3">
      <c r="O510" s="12">
        <f t="shared" si="53"/>
        <v>41.416666666666664</v>
      </c>
      <c r="P510" s="13">
        <v>497</v>
      </c>
      <c r="Q510" s="22">
        <v>3.6102117777131015E-2</v>
      </c>
      <c r="R510" s="19">
        <f t="shared" si="54"/>
        <v>3.1744501490895916E-2</v>
      </c>
      <c r="S510" s="22">
        <v>3.948537253566875E-2</v>
      </c>
      <c r="T510" s="19">
        <f t="shared" si="55"/>
        <v>4.223685761052054E-2</v>
      </c>
      <c r="U510" s="24">
        <v>4.2544296301433304E-2</v>
      </c>
      <c r="V510" s="24">
        <f t="shared" si="56"/>
        <v>4.2543031516753427E-2</v>
      </c>
      <c r="W510" s="23">
        <f t="shared" si="57"/>
        <v>3.4776948624661852E-3</v>
      </c>
      <c r="X510" s="24">
        <v>4.1920913859194275E-2</v>
      </c>
      <c r="Y510" s="24">
        <f t="shared" si="58"/>
        <v>4.2465552098682746E-2</v>
      </c>
      <c r="Z510" s="23">
        <f t="shared" si="59"/>
        <v>3.4714066864731663E-3</v>
      </c>
      <c r="AA510" s="36"/>
    </row>
    <row r="511" spans="15:27" ht="13.9" customHeight="1" x14ac:dyDescent="0.3">
      <c r="O511" s="12">
        <f t="shared" si="53"/>
        <v>41.5</v>
      </c>
      <c r="P511" s="13">
        <v>498</v>
      </c>
      <c r="Q511" s="22">
        <v>3.6093349128200281E-2</v>
      </c>
      <c r="R511" s="19">
        <f t="shared" si="54"/>
        <v>3.1754582835287204E-2</v>
      </c>
      <c r="S511" s="22">
        <v>3.9490890321279171E-2</v>
      </c>
      <c r="T511" s="19">
        <f t="shared" si="55"/>
        <v>4.224382103286084E-2</v>
      </c>
      <c r="U511" s="24">
        <v>4.2544293761703544E-2</v>
      </c>
      <c r="V511" s="24">
        <f t="shared" si="56"/>
        <v>4.2546149174601533E-2</v>
      </c>
      <c r="W511" s="23">
        <f t="shared" si="57"/>
        <v>3.4779466591838837E-3</v>
      </c>
      <c r="X511" s="24">
        <v>4.1922007225111413E-2</v>
      </c>
      <c r="Y511" s="24">
        <f t="shared" si="58"/>
        <v>4.2469573959260432E-2</v>
      </c>
      <c r="Z511" s="23">
        <f t="shared" si="59"/>
        <v>3.4717317649752832E-3</v>
      </c>
      <c r="AA511" s="36"/>
    </row>
    <row r="512" spans="15:27" ht="13.9" customHeight="1" x14ac:dyDescent="0.3">
      <c r="O512" s="12">
        <f t="shared" si="53"/>
        <v>41.583333333333336</v>
      </c>
      <c r="P512" s="13">
        <v>499</v>
      </c>
      <c r="Q512" s="22">
        <v>3.6084635985901503E-2</v>
      </c>
      <c r="R512" s="19">
        <f t="shared" si="54"/>
        <v>3.1764842822517236E-2</v>
      </c>
      <c r="S512" s="22">
        <v>3.9496399938645066E-2</v>
      </c>
      <c r="T512" s="19">
        <f t="shared" si="55"/>
        <v>4.2250720523666851E-2</v>
      </c>
      <c r="U512" s="24">
        <v>4.2544297479962578E-2</v>
      </c>
      <c r="V512" s="24">
        <f t="shared" si="56"/>
        <v>4.2549245454492235E-2</v>
      </c>
      <c r="W512" s="23">
        <f t="shared" si="57"/>
        <v>3.4781967285264503E-3</v>
      </c>
      <c r="X512" s="24">
        <v>4.1923104265572109E-2</v>
      </c>
      <c r="Y512" s="24">
        <f t="shared" si="58"/>
        <v>4.2473565392646462E-2</v>
      </c>
      <c r="Z512" s="23">
        <f t="shared" si="59"/>
        <v>3.4720543828510309E-3</v>
      </c>
      <c r="AA512" s="36"/>
    </row>
    <row r="513" spans="15:27" ht="13.9" customHeight="1" x14ac:dyDescent="0.3">
      <c r="O513" s="12">
        <f t="shared" si="53"/>
        <v>41.666666666666664</v>
      </c>
      <c r="P513" s="13">
        <v>500</v>
      </c>
      <c r="Q513" s="22">
        <v>3.6075978374824569E-2</v>
      </c>
      <c r="R513" s="19">
        <f t="shared" si="54"/>
        <v>3.1775280199910272E-2</v>
      </c>
      <c r="S513" s="22">
        <v>3.9501901309202836E-2</v>
      </c>
      <c r="T513" s="19">
        <f t="shared" si="55"/>
        <v>4.2257556677634867E-2</v>
      </c>
      <c r="U513" s="24">
        <v>4.2544307375888213E-2</v>
      </c>
      <c r="V513" s="24">
        <f t="shared" si="56"/>
        <v>4.2552320505649499E-2</v>
      </c>
      <c r="W513" s="23">
        <f t="shared" si="57"/>
        <v>3.4784450824509872E-3</v>
      </c>
      <c r="X513" s="24">
        <v>4.1924204897694439E-2</v>
      </c>
      <c r="Y513" s="24">
        <f t="shared" si="58"/>
        <v>4.2477526632576978E-2</v>
      </c>
      <c r="Z513" s="23">
        <f t="shared" si="59"/>
        <v>3.4723745588487454E-3</v>
      </c>
      <c r="AA513" s="36"/>
    </row>
    <row r="514" spans="15:27" ht="13.9" customHeight="1" x14ac:dyDescent="0.3">
      <c r="O514" s="12">
        <f t="shared" si="53"/>
        <v>41.75</v>
      </c>
      <c r="P514" s="13">
        <v>501</v>
      </c>
      <c r="Q514" s="22">
        <v>3.6067376316838429E-2</v>
      </c>
      <c r="R514" s="19">
        <f t="shared" si="54"/>
        <v>3.178589531252185E-2</v>
      </c>
      <c r="S514" s="22">
        <v>3.9507394356200543E-2</v>
      </c>
      <c r="T514" s="19">
        <f t="shared" si="55"/>
        <v>4.2264330082991242E-2</v>
      </c>
      <c r="U514" s="24">
        <v>4.2544323370097725E-2</v>
      </c>
      <c r="V514" s="24">
        <f t="shared" si="56"/>
        <v>4.255537447408253E-2</v>
      </c>
      <c r="W514" s="23">
        <f t="shared" si="57"/>
        <v>3.4786917329407974E-3</v>
      </c>
      <c r="X514" s="24">
        <v>4.192530903972469E-2</v>
      </c>
      <c r="Y514" s="24">
        <f t="shared" si="58"/>
        <v>4.2481457909400389E-2</v>
      </c>
      <c r="Z514" s="23">
        <f t="shared" si="59"/>
        <v>3.4726923117434083E-3</v>
      </c>
      <c r="AA514" s="36"/>
    </row>
    <row r="515" spans="15:27" ht="13.9" customHeight="1" x14ac:dyDescent="0.3">
      <c r="O515" s="12">
        <f t="shared" si="53"/>
        <v>41.833333333333336</v>
      </c>
      <c r="P515" s="13">
        <v>502</v>
      </c>
      <c r="Q515" s="22">
        <v>3.6058829834314521E-2</v>
      </c>
      <c r="R515" s="19">
        <f t="shared" si="54"/>
        <v>3.1796688520280725E-2</v>
      </c>
      <c r="S515" s="22">
        <v>3.9512879004665935E-2</v>
      </c>
      <c r="T515" s="19">
        <f t="shared" si="55"/>
        <v>4.2271041322193614E-2</v>
      </c>
      <c r="U515" s="24">
        <v>4.2544345384132765E-2</v>
      </c>
      <c r="V515" s="24">
        <f t="shared" si="56"/>
        <v>4.255840750592732E-2</v>
      </c>
      <c r="W515" s="23">
        <f t="shared" si="57"/>
        <v>3.4789366917207243E-3</v>
      </c>
      <c r="X515" s="24">
        <v>4.192641661101959E-2</v>
      </c>
      <c r="Y515" s="24">
        <f t="shared" si="58"/>
        <v>4.2485359452260729E-2</v>
      </c>
      <c r="Z515" s="23">
        <f t="shared" si="59"/>
        <v>3.4730076600377746E-3</v>
      </c>
      <c r="AA515" s="36"/>
    </row>
    <row r="516" spans="15:27" ht="13.9" customHeight="1" x14ac:dyDescent="0.3">
      <c r="O516" s="12">
        <f t="shared" si="53"/>
        <v>41.916666666666664</v>
      </c>
      <c r="P516" s="13">
        <v>503</v>
      </c>
      <c r="Q516" s="22">
        <v>3.6050338950150751E-2</v>
      </c>
      <c r="R516" s="19">
        <f t="shared" si="54"/>
        <v>3.1807660196417009E-2</v>
      </c>
      <c r="S516" s="22">
        <v>3.9518355181378473E-2</v>
      </c>
      <c r="T516" s="19">
        <f t="shared" si="55"/>
        <v>4.2277690973337556E-2</v>
      </c>
      <c r="U516" s="24">
        <v>4.2544373340449138E-2</v>
      </c>
      <c r="V516" s="24">
        <f t="shared" si="56"/>
        <v>4.2561419746566465E-2</v>
      </c>
      <c r="W516" s="23">
        <f t="shared" si="57"/>
        <v>3.4791799705260473E-3</v>
      </c>
      <c r="X516" s="24">
        <v>4.1927527532033437E-2</v>
      </c>
      <c r="Y516" s="24">
        <f t="shared" si="58"/>
        <v>4.2489231488137102E-2</v>
      </c>
      <c r="Z516" s="23">
        <f t="shared" si="59"/>
        <v>3.4733206221375656E-3</v>
      </c>
      <c r="AA516" s="36"/>
    </row>
    <row r="517" spans="15:27" ht="13.9" customHeight="1" x14ac:dyDescent="0.3">
      <c r="O517" s="12">
        <f t="shared" si="53"/>
        <v>42</v>
      </c>
      <c r="P517" s="13">
        <v>504</v>
      </c>
      <c r="Q517" s="22">
        <v>3.6041903687793253E-2</v>
      </c>
      <c r="R517" s="19">
        <f t="shared" si="54"/>
        <v>3.1818809175650165E-2</v>
      </c>
      <c r="S517" s="22">
        <v>3.9523822814842235E-2</v>
      </c>
      <c r="T517" s="19">
        <f t="shared" si="55"/>
        <v>4.2284279607182507E-2</v>
      </c>
      <c r="U517" s="24">
        <v>4.2544407162407483E-2</v>
      </c>
      <c r="V517" s="24">
        <f t="shared" si="56"/>
        <v>4.2564411339558905E-2</v>
      </c>
      <c r="W517" s="23">
        <f t="shared" si="57"/>
        <v>3.4794215810312057E-3</v>
      </c>
      <c r="X517" s="24">
        <v>4.1928641724301663E-2</v>
      </c>
      <c r="Y517" s="24">
        <f t="shared" si="58"/>
        <v>4.2493074242189399E-2</v>
      </c>
      <c r="Z517" s="23">
        <f t="shared" si="59"/>
        <v>3.4736312162744198E-3</v>
      </c>
      <c r="AA517" s="36"/>
    </row>
    <row r="518" spans="15:27" ht="13.9" customHeight="1" x14ac:dyDescent="0.3">
      <c r="O518" s="12">
        <f t="shared" si="53"/>
        <v>42.083333333333336</v>
      </c>
      <c r="P518" s="13">
        <v>505</v>
      </c>
      <c r="Q518" s="22">
        <v>3.6033524068171507E-2</v>
      </c>
      <c r="R518" s="19">
        <f t="shared" si="54"/>
        <v>3.1830129658682038E-2</v>
      </c>
      <c r="S518" s="22">
        <v>3.9529281835255059E-2</v>
      </c>
      <c r="T518" s="19">
        <f t="shared" si="55"/>
        <v>4.2290807791001361E-2</v>
      </c>
      <c r="U518" s="24">
        <v>4.254444677426017E-2</v>
      </c>
      <c r="V518" s="24">
        <f t="shared" si="56"/>
        <v>4.2567382427196154E-2</v>
      </c>
      <c r="W518" s="23">
        <f t="shared" si="57"/>
        <v>3.4796615347645332E-3</v>
      </c>
      <c r="X518" s="24">
        <v>4.1929759110427955E-2</v>
      </c>
      <c r="Y518" s="24">
        <f t="shared" si="58"/>
        <v>4.2496887938714645E-2</v>
      </c>
      <c r="Z518" s="23">
        <f t="shared" si="59"/>
        <v>3.4739394605334262E-3</v>
      </c>
      <c r="AA518" s="36"/>
    </row>
    <row r="519" spans="15:27" ht="13.9" customHeight="1" x14ac:dyDescent="0.3">
      <c r="O519" s="12">
        <f t="shared" si="53"/>
        <v>42.166666666666664</v>
      </c>
      <c r="P519" s="13">
        <v>506</v>
      </c>
      <c r="Q519" s="22">
        <v>3.6025200100527899E-2</v>
      </c>
      <c r="R519" s="19">
        <f t="shared" si="54"/>
        <v>3.1841620520358882E-2</v>
      </c>
      <c r="S519" s="22">
        <v>3.9534732174484555E-2</v>
      </c>
      <c r="T519" s="19">
        <f t="shared" si="55"/>
        <v>4.2297276085241142E-2</v>
      </c>
      <c r="U519" s="24">
        <v>4.2544492101139975E-2</v>
      </c>
      <c r="V519" s="24">
        <f t="shared" si="56"/>
        <v>4.2570333152637918E-2</v>
      </c>
      <c r="W519" s="23">
        <f t="shared" si="57"/>
        <v>3.4798998431517791E-3</v>
      </c>
      <c r="X519" s="24">
        <v>4.1930879614070715E-2</v>
      </c>
      <c r="Y519" s="24">
        <f t="shared" si="58"/>
        <v>4.2500672799568706E-2</v>
      </c>
      <c r="Z519" s="23">
        <f t="shared" si="59"/>
        <v>3.4742453729301737E-3</v>
      </c>
      <c r="AA519" s="36"/>
    </row>
    <row r="520" spans="15:27" ht="13.9" customHeight="1" x14ac:dyDescent="0.3">
      <c r="O520" s="12">
        <f t="shared" si="53"/>
        <v>42.25</v>
      </c>
      <c r="P520" s="13">
        <v>507</v>
      </c>
      <c r="Q520" s="22">
        <v>3.6016931791790663E-2</v>
      </c>
      <c r="R520" s="19">
        <f t="shared" si="54"/>
        <v>3.1853282202884081E-2</v>
      </c>
      <c r="S520" s="22">
        <v>3.9540173766038356E-2</v>
      </c>
      <c r="T520" s="19">
        <f t="shared" si="55"/>
        <v>4.2303685046044759E-2</v>
      </c>
      <c r="U520" s="24">
        <v>4.2544543069052976E-2</v>
      </c>
      <c r="V520" s="24">
        <f t="shared" si="56"/>
        <v>4.2573263655933502E-2</v>
      </c>
      <c r="W520" s="23">
        <f t="shared" si="57"/>
        <v>3.4801365176888588E-3</v>
      </c>
      <c r="X520" s="24">
        <v>4.1932003159928843E-2</v>
      </c>
      <c r="Y520" s="24">
        <f t="shared" si="58"/>
        <v>4.2504429044139425E-2</v>
      </c>
      <c r="Z520" s="23">
        <f t="shared" si="59"/>
        <v>3.4745489712839639E-3</v>
      </c>
      <c r="AA520" s="36"/>
    </row>
    <row r="521" spans="15:27" ht="13.9" customHeight="1" x14ac:dyDescent="0.3">
      <c r="O521" s="12">
        <f t="shared" si="53"/>
        <v>42.333333333333336</v>
      </c>
      <c r="P521" s="13">
        <v>508</v>
      </c>
      <c r="Q521" s="22">
        <v>3.6008719149694279E-2</v>
      </c>
      <c r="R521" s="19">
        <f t="shared" si="54"/>
        <v>3.1865115161392454E-2</v>
      </c>
      <c r="S521" s="22">
        <v>3.9545606545039469E-2</v>
      </c>
      <c r="T521" s="19">
        <f t="shared" si="55"/>
        <v>4.2310035223321663E-2</v>
      </c>
      <c r="U521" s="24">
        <v>4.254459960486412E-2</v>
      </c>
      <c r="V521" s="24">
        <f t="shared" si="56"/>
        <v>4.2576174076973006E-2</v>
      </c>
      <c r="W521" s="23">
        <f t="shared" si="57"/>
        <v>3.4803715696212212E-3</v>
      </c>
      <c r="X521" s="24">
        <v>4.1933129673725977E-2</v>
      </c>
      <c r="Y521" s="24">
        <f t="shared" si="58"/>
        <v>4.2508156892111071E-2</v>
      </c>
      <c r="Z521" s="23">
        <f t="shared" si="59"/>
        <v>3.4748502732160347E-3</v>
      </c>
      <c r="AA521" s="36"/>
    </row>
    <row r="522" spans="15:27" ht="13.9" customHeight="1" x14ac:dyDescent="0.3">
      <c r="O522" s="12">
        <f t="shared" si="53"/>
        <v>42.416666666666664</v>
      </c>
      <c r="P522" s="13">
        <v>509</v>
      </c>
      <c r="Q522" s="22">
        <v>3.6000562182797013E-2</v>
      </c>
      <c r="R522" s="19">
        <f t="shared" si="54"/>
        <v>3.1877119864522907E-2</v>
      </c>
      <c r="S522" s="22">
        <v>3.9551030448198299E-2</v>
      </c>
      <c r="T522" s="19">
        <f t="shared" si="55"/>
        <v>4.2316327162870371E-2</v>
      </c>
      <c r="U522" s="24">
        <v>4.2544661636288339E-2</v>
      </c>
      <c r="V522" s="24">
        <f t="shared" si="56"/>
        <v>4.2579064555294366E-2</v>
      </c>
      <c r="W522" s="23">
        <f t="shared" si="57"/>
        <v>3.4806050101821029E-3</v>
      </c>
      <c r="X522" s="24">
        <v>4.1934259082201164E-2</v>
      </c>
      <c r="Y522" s="24">
        <f t="shared" si="58"/>
        <v>4.2511856559543704E-2</v>
      </c>
      <c r="Z522" s="23">
        <f t="shared" si="59"/>
        <v>3.4751492963704944E-3</v>
      </c>
      <c r="AA522" s="36"/>
    </row>
    <row r="523" spans="15:27" ht="13.9" customHeight="1" x14ac:dyDescent="0.3">
      <c r="O523" s="12">
        <f t="shared" si="53"/>
        <v>42.5</v>
      </c>
      <c r="P523" s="13">
        <v>510</v>
      </c>
      <c r="Q523" s="22">
        <v>3.5992460900499124E-2</v>
      </c>
      <c r="R523" s="19">
        <f t="shared" si="54"/>
        <v>3.1889295273406004E-2</v>
      </c>
      <c r="S523" s="22">
        <v>3.9556445413788666E-2</v>
      </c>
      <c r="T523" s="19">
        <f t="shared" si="55"/>
        <v>4.2322561404160908E-2</v>
      </c>
      <c r="U523" s="24">
        <v>4.254472909188145E-2</v>
      </c>
      <c r="V523" s="24">
        <f t="shared" si="56"/>
        <v>4.2581935227864909E-2</v>
      </c>
      <c r="W523" s="23">
        <f t="shared" si="57"/>
        <v>3.4808368505758747E-3</v>
      </c>
      <c r="X523" s="24">
        <v>4.1935391313091985E-2</v>
      </c>
      <c r="Y523" s="24">
        <f t="shared" si="58"/>
        <v>4.2515528261512392E-2</v>
      </c>
      <c r="Z523" s="23">
        <f t="shared" si="59"/>
        <v>3.475446058100351E-3</v>
      </c>
      <c r="AA523" s="36"/>
    </row>
    <row r="524" spans="15:27" ht="13.9" customHeight="1" x14ac:dyDescent="0.3">
      <c r="O524" s="12">
        <f t="shared" si="53"/>
        <v>42.583333333333336</v>
      </c>
      <c r="P524" s="13">
        <v>511</v>
      </c>
      <c r="Q524" s="22">
        <v>3.5984415310073015E-2</v>
      </c>
      <c r="R524" s="19">
        <f t="shared" si="54"/>
        <v>3.190163580613814E-2</v>
      </c>
      <c r="S524" s="22">
        <v>3.9561851381620716E-2</v>
      </c>
      <c r="T524" s="19">
        <f t="shared" si="55"/>
        <v>4.2328738482479311E-2</v>
      </c>
      <c r="U524" s="24">
        <v>4.2544801901027052E-2</v>
      </c>
      <c r="V524" s="24">
        <f t="shared" si="56"/>
        <v>4.2584786232256144E-2</v>
      </c>
      <c r="W524" s="23">
        <f t="shared" si="57"/>
        <v>3.4810671018006278E-3</v>
      </c>
      <c r="X524" s="24">
        <v>4.1936526295122567E-2</v>
      </c>
      <c r="Y524" s="24">
        <f t="shared" si="58"/>
        <v>4.2519172211526346E-2</v>
      </c>
      <c r="Z524" s="23">
        <f t="shared" si="59"/>
        <v>3.4757405756800086E-3</v>
      </c>
      <c r="AA524" s="36"/>
    </row>
    <row r="525" spans="15:27" ht="13.9" customHeight="1" x14ac:dyDescent="0.3">
      <c r="O525" s="12">
        <f t="shared" si="53"/>
        <v>42.666666666666664</v>
      </c>
      <c r="P525" s="13">
        <v>512</v>
      </c>
      <c r="Q525" s="22">
        <v>3.5976425407775681E-2</v>
      </c>
      <c r="R525" s="19">
        <f t="shared" si="54"/>
        <v>3.191414046266261E-2</v>
      </c>
      <c r="S525" s="22">
        <v>3.9567248293017165E-2</v>
      </c>
      <c r="T525" s="19">
        <f t="shared" si="55"/>
        <v>4.2334858927292718E-2</v>
      </c>
      <c r="U525" s="24">
        <v>4.2544879993929419E-2</v>
      </c>
      <c r="V525" s="24">
        <f t="shared" si="56"/>
        <v>4.2587617704470171E-2</v>
      </c>
      <c r="W525" s="23">
        <f t="shared" si="57"/>
        <v>3.4812957749026374E-3</v>
      </c>
      <c r="X525" s="24">
        <v>4.1937663957991145E-2</v>
      </c>
      <c r="Y525" s="24">
        <f t="shared" si="58"/>
        <v>4.2522788621503826E-2</v>
      </c>
      <c r="Z525" s="23">
        <f t="shared" si="59"/>
        <v>3.4760328662566398E-3</v>
      </c>
      <c r="AA525" s="36"/>
    </row>
    <row r="526" spans="15:27" ht="13.9" customHeight="1" x14ac:dyDescent="0.3">
      <c r="O526" s="12">
        <f t="shared" ref="O526:O589" si="60">P526/12</f>
        <v>42.75</v>
      </c>
      <c r="P526" s="13">
        <v>513</v>
      </c>
      <c r="Q526" s="22">
        <v>3.5968491187923446E-2</v>
      </c>
      <c r="R526" s="19">
        <f t="shared" ref="R526:R589" si="61">(1+Q527)^P527/(1+Q526)^P526-1</f>
        <v>3.1926809778123344E-2</v>
      </c>
      <c r="S526" s="22">
        <v>3.9572636090787761E-2</v>
      </c>
      <c r="T526" s="19">
        <f t="shared" ref="T526:T589" si="62">(1+S527)^P527/(1+S526)^P526-1</f>
        <v>4.2340923263997299E-2</v>
      </c>
      <c r="U526" s="24">
        <v>4.2544963301602401E-2</v>
      </c>
      <c r="V526" s="24">
        <f t="shared" ref="V526:V589" si="63">(1+U527)^P527/(1+U526)^P526-1</f>
        <v>4.2590429779279182E-2</v>
      </c>
      <c r="W526" s="23">
        <f t="shared" si="57"/>
        <v>3.4815228808022791E-3</v>
      </c>
      <c r="X526" s="24">
        <v>4.1938804232357185E-2</v>
      </c>
      <c r="Y526" s="24">
        <f t="shared" si="58"/>
        <v>4.2526377701840534E-2</v>
      </c>
      <c r="Z526" s="23">
        <f t="shared" si="59"/>
        <v>3.4763229468506296E-3</v>
      </c>
      <c r="AA526" s="36"/>
    </row>
    <row r="527" spans="15:27" ht="13.9" customHeight="1" x14ac:dyDescent="0.3">
      <c r="O527" s="12">
        <f t="shared" si="60"/>
        <v>42.833333333333336</v>
      </c>
      <c r="P527" s="13">
        <v>514</v>
      </c>
      <c r="Q527" s="22">
        <v>3.5960612645909773E-2</v>
      </c>
      <c r="R527" s="19">
        <f t="shared" si="61"/>
        <v>3.1939644299797676E-2</v>
      </c>
      <c r="S527" s="22">
        <v>3.9578014719206411E-2</v>
      </c>
      <c r="T527" s="19">
        <f t="shared" si="62"/>
        <v>4.2346932011819494E-2</v>
      </c>
      <c r="U527" s="24">
        <v>4.2545051755859653E-2</v>
      </c>
      <c r="V527" s="24">
        <f t="shared" si="63"/>
        <v>4.2593222591133628E-2</v>
      </c>
      <c r="W527" s="23">
        <f t="shared" ref="W527:W590" si="64">(1+V526)^(1/12)-1</f>
        <v>3.4817484303208968E-3</v>
      </c>
      <c r="X527" s="24">
        <v>4.1939947049829396E-2</v>
      </c>
      <c r="Y527" s="24">
        <f t="shared" ref="Y527:Y590" si="65">(1+X528)^P528/(1+X527)^P527-1</f>
        <v>4.2529939660168603E-2</v>
      </c>
      <c r="Z527" s="23">
        <f t="shared" ref="Z527:Z590" si="66">(1+Y526)^(1/12)-1</f>
        <v>3.4766108343589064E-3</v>
      </c>
      <c r="AA527" s="36"/>
    </row>
    <row r="528" spans="15:27" ht="13.9" customHeight="1" x14ac:dyDescent="0.3">
      <c r="O528" s="12">
        <f t="shared" si="60"/>
        <v>42.916666666666664</v>
      </c>
      <c r="P528" s="13">
        <v>515</v>
      </c>
      <c r="Q528" s="22">
        <v>3.5952789778217698E-2</v>
      </c>
      <c r="R528" s="19">
        <f t="shared" si="61"/>
        <v>3.195264458936764E-2</v>
      </c>
      <c r="S528" s="22">
        <v>3.9583384123985654E-2</v>
      </c>
      <c r="T528" s="19">
        <f t="shared" si="62"/>
        <v>4.2352885686181674E-2</v>
      </c>
      <c r="U528" s="24">
        <v>4.254514528930553E-2</v>
      </c>
      <c r="V528" s="24">
        <f t="shared" si="63"/>
        <v>4.2595996272639658E-2</v>
      </c>
      <c r="W528" s="23">
        <f t="shared" si="64"/>
        <v>3.481972434254077E-3</v>
      </c>
      <c r="X528" s="24">
        <v>4.1941092342950848E-2</v>
      </c>
      <c r="Y528" s="24">
        <f t="shared" si="65"/>
        <v>4.253347470405866E-2</v>
      </c>
      <c r="Z528" s="23">
        <f t="shared" si="66"/>
        <v>3.47689654545702E-3</v>
      </c>
      <c r="AA528" s="36"/>
    </row>
    <row r="529" spans="15:27" ht="13.9" customHeight="1" x14ac:dyDescent="0.3">
      <c r="O529" s="12">
        <f t="shared" si="60"/>
        <v>43</v>
      </c>
      <c r="P529" s="13">
        <v>516</v>
      </c>
      <c r="Q529" s="22">
        <v>3.5945022582437813E-2</v>
      </c>
      <c r="R529" s="19">
        <f t="shared" si="61"/>
        <v>3.196580972982388E-2</v>
      </c>
      <c r="S529" s="22">
        <v>3.9588744252254449E-2</v>
      </c>
      <c r="T529" s="19">
        <f t="shared" si="62"/>
        <v>4.2358784797312365E-2</v>
      </c>
      <c r="U529" s="24">
        <v>4.2545243835324209E-2</v>
      </c>
      <c r="V529" s="24">
        <f t="shared" si="63"/>
        <v>4.2598750956758913E-2</v>
      </c>
      <c r="W529" s="23">
        <f t="shared" si="64"/>
        <v>3.4821949032488586E-3</v>
      </c>
      <c r="X529" s="24">
        <v>4.1942240045189871E-2</v>
      </c>
      <c r="Y529" s="24">
        <f t="shared" si="65"/>
        <v>4.2536983038642617E-2</v>
      </c>
      <c r="Z529" s="23">
        <f t="shared" si="66"/>
        <v>3.477180096814747E-3</v>
      </c>
      <c r="AA529" s="36"/>
    </row>
    <row r="530" spans="15:27" ht="13.9" customHeight="1" x14ac:dyDescent="0.3">
      <c r="O530" s="12">
        <f t="shared" si="60"/>
        <v>43.083333333333336</v>
      </c>
      <c r="P530" s="13">
        <v>517</v>
      </c>
      <c r="Q530" s="22">
        <v>3.593731105438569E-2</v>
      </c>
      <c r="R530" s="19">
        <f t="shared" si="61"/>
        <v>3.197913435150368E-2</v>
      </c>
      <c r="S530" s="22">
        <v>3.9594095052535527E-2</v>
      </c>
      <c r="T530" s="19">
        <f t="shared" si="62"/>
        <v>4.2364629849795721E-2</v>
      </c>
      <c r="U530" s="24">
        <v>4.2545347328072802E-2</v>
      </c>
      <c r="V530" s="24">
        <f t="shared" si="63"/>
        <v>4.2601486773911512E-2</v>
      </c>
      <c r="W530" s="23">
        <f t="shared" si="64"/>
        <v>3.4824158479811462E-3</v>
      </c>
      <c r="X530" s="24">
        <v>4.1943390090926513E-2</v>
      </c>
      <c r="Y530" s="24">
        <f t="shared" si="65"/>
        <v>4.2540464867446559E-2</v>
      </c>
      <c r="Z530" s="23">
        <f t="shared" si="66"/>
        <v>3.477461504906243E-3</v>
      </c>
      <c r="AA530" s="36"/>
    </row>
    <row r="531" spans="15:27" ht="13.9" customHeight="1" x14ac:dyDescent="0.3">
      <c r="O531" s="12">
        <f t="shared" si="60"/>
        <v>43.166666666666664</v>
      </c>
      <c r="P531" s="13">
        <v>518</v>
      </c>
      <c r="Q531" s="22">
        <v>3.592965517949076E-2</v>
      </c>
      <c r="R531" s="19">
        <f t="shared" si="61"/>
        <v>3.1992617575162141E-2</v>
      </c>
      <c r="S531" s="22">
        <v>3.9599436474720084E-2</v>
      </c>
      <c r="T531" s="19">
        <f t="shared" si="62"/>
        <v>4.2370421344870346E-2</v>
      </c>
      <c r="U531" s="24">
        <v>4.2545455702469148E-2</v>
      </c>
      <c r="V531" s="24">
        <f t="shared" si="63"/>
        <v>4.2604203855447942E-2</v>
      </c>
      <c r="W531" s="23">
        <f t="shared" si="64"/>
        <v>3.4826352789223414E-3</v>
      </c>
      <c r="X531" s="24">
        <v>4.1944542415440322E-2</v>
      </c>
      <c r="Y531" s="24">
        <f t="shared" si="65"/>
        <v>4.2543920393159684E-2</v>
      </c>
      <c r="Z531" s="23">
        <f t="shared" si="66"/>
        <v>3.4777407860764331E-3</v>
      </c>
      <c r="AA531" s="36"/>
    </row>
    <row r="532" spans="15:27" ht="13.9" customHeight="1" x14ac:dyDescent="0.3">
      <c r="O532" s="12">
        <f t="shared" si="60"/>
        <v>43.25</v>
      </c>
      <c r="P532" s="13">
        <v>519</v>
      </c>
      <c r="Q532" s="22">
        <v>3.5922054941581738E-2</v>
      </c>
      <c r="R532" s="19">
        <f t="shared" si="61"/>
        <v>3.2006260026461231E-2</v>
      </c>
      <c r="S532" s="22">
        <v>3.9604768470048901E-2</v>
      </c>
      <c r="T532" s="19">
        <f t="shared" si="62"/>
        <v>4.2376159777801625E-2</v>
      </c>
      <c r="U532" s="24">
        <v>4.2545568894185815E-2</v>
      </c>
      <c r="V532" s="24">
        <f t="shared" si="63"/>
        <v>4.2606902329466179E-2</v>
      </c>
      <c r="W532" s="23">
        <f t="shared" si="64"/>
        <v>3.4828532066188966E-3</v>
      </c>
      <c r="X532" s="24">
        <v>4.194569695490058E-2</v>
      </c>
      <c r="Y532" s="24">
        <f t="shared" si="65"/>
        <v>4.2547349814729074E-2</v>
      </c>
      <c r="Z532" s="23">
        <f t="shared" si="66"/>
        <v>3.4780179566022973E-3</v>
      </c>
      <c r="AA532" s="36"/>
    </row>
    <row r="533" spans="15:27" ht="13.9" customHeight="1" x14ac:dyDescent="0.3">
      <c r="O533" s="12">
        <f t="shared" si="60"/>
        <v>43.333333333333336</v>
      </c>
      <c r="P533" s="13">
        <v>520</v>
      </c>
      <c r="Q533" s="22">
        <v>3.5914510325807836E-2</v>
      </c>
      <c r="R533" s="19">
        <f t="shared" si="61"/>
        <v>3.2020062342001498E-2</v>
      </c>
      <c r="S533" s="22">
        <v>3.9610090991087255E-2</v>
      </c>
      <c r="T533" s="19">
        <f t="shared" si="62"/>
        <v>4.2381845639618332E-2</v>
      </c>
      <c r="U533" s="24">
        <v>4.254568683963722E-2</v>
      </c>
      <c r="V533" s="24">
        <f t="shared" si="63"/>
        <v>4.2609582326166962E-2</v>
      </c>
      <c r="W533" s="23">
        <f t="shared" si="64"/>
        <v>3.483069641355474E-3</v>
      </c>
      <c r="X533" s="24">
        <v>4.1946853646350091E-2</v>
      </c>
      <c r="Y533" s="24">
        <f t="shared" si="65"/>
        <v>4.2550753332992075E-2</v>
      </c>
      <c r="Z533" s="23">
        <f t="shared" si="66"/>
        <v>3.478293032461055E-3</v>
      </c>
      <c r="AA533" s="36"/>
    </row>
    <row r="534" spans="15:27" ht="13.9" customHeight="1" x14ac:dyDescent="0.3">
      <c r="O534" s="12">
        <f t="shared" si="60"/>
        <v>43.416666666666664</v>
      </c>
      <c r="P534" s="13">
        <v>521</v>
      </c>
      <c r="Q534" s="22">
        <v>3.5907021318646315E-2</v>
      </c>
      <c r="R534" s="19">
        <f t="shared" si="61"/>
        <v>3.2034025173256486E-2</v>
      </c>
      <c r="S534" s="22">
        <v>3.9615403991704712E-2</v>
      </c>
      <c r="T534" s="19">
        <f t="shared" si="62"/>
        <v>4.2387479417199891E-2</v>
      </c>
      <c r="U534" s="24">
        <v>4.2545809475975638E-2</v>
      </c>
      <c r="V534" s="24">
        <f t="shared" si="63"/>
        <v>4.2612243971308583E-2</v>
      </c>
      <c r="W534" s="23">
        <f t="shared" si="64"/>
        <v>3.4832845935857115E-3</v>
      </c>
      <c r="X534" s="24">
        <v>4.1948012427700299E-2</v>
      </c>
      <c r="Y534" s="24">
        <f t="shared" si="65"/>
        <v>4.2554131144153962E-2</v>
      </c>
      <c r="Z534" s="23">
        <f t="shared" si="66"/>
        <v>3.4785660297809162E-3</v>
      </c>
      <c r="AA534" s="36"/>
    </row>
    <row r="535" spans="15:27" ht="13.9" customHeight="1" x14ac:dyDescent="0.3">
      <c r="O535" s="12">
        <f t="shared" si="60"/>
        <v>43.5</v>
      </c>
      <c r="P535" s="13">
        <v>522</v>
      </c>
      <c r="Q535" s="22">
        <v>3.5899587907918251E-2</v>
      </c>
      <c r="R535" s="19">
        <f t="shared" si="61"/>
        <v>3.2048147721706277E-2</v>
      </c>
      <c r="S535" s="22">
        <v>3.962070742705448E-2</v>
      </c>
      <c r="T535" s="19">
        <f t="shared" si="62"/>
        <v>4.2393061592372883E-2</v>
      </c>
      <c r="U535" s="24">
        <v>4.2545936741076762E-2</v>
      </c>
      <c r="V535" s="24">
        <f t="shared" si="63"/>
        <v>4.2614887393208845E-2</v>
      </c>
      <c r="W535" s="23">
        <f t="shared" si="64"/>
        <v>3.4834980734066434E-3</v>
      </c>
      <c r="X535" s="24">
        <v>4.1949173237714854E-2</v>
      </c>
      <c r="Y535" s="24">
        <f t="shared" si="65"/>
        <v>4.2557483444825683E-2</v>
      </c>
      <c r="Z535" s="23">
        <f t="shared" si="66"/>
        <v>3.478836964317944E-3</v>
      </c>
      <c r="AA535" s="36"/>
    </row>
    <row r="536" spans="15:27" ht="13.9" customHeight="1" x14ac:dyDescent="0.3">
      <c r="O536" s="12">
        <f t="shared" si="60"/>
        <v>43.583333333333336</v>
      </c>
      <c r="P536" s="13">
        <v>523</v>
      </c>
      <c r="Q536" s="22">
        <v>3.5892210079993436E-2</v>
      </c>
      <c r="R536" s="19">
        <f t="shared" si="61"/>
        <v>3.2062424825076485E-2</v>
      </c>
      <c r="S536" s="22">
        <v>3.962600125355098E-2</v>
      </c>
      <c r="T536" s="19">
        <f t="shared" si="62"/>
        <v>4.2398592641991417E-2</v>
      </c>
      <c r="U536" s="24">
        <v>4.25460685735366E-2</v>
      </c>
      <c r="V536" s="24">
        <f t="shared" si="63"/>
        <v>4.2617512716644379E-2</v>
      </c>
      <c r="W536" s="23">
        <f t="shared" si="64"/>
        <v>3.4837100911204733E-3</v>
      </c>
      <c r="X536" s="24">
        <v>4.1950336016001399E-2</v>
      </c>
      <c r="Y536" s="24">
        <f t="shared" si="65"/>
        <v>4.2560810428794449E-2</v>
      </c>
      <c r="Z536" s="23">
        <f t="shared" si="66"/>
        <v>3.4791058518606199E-3</v>
      </c>
      <c r="AA536" s="36"/>
    </row>
    <row r="537" spans="15:27" ht="13.9" customHeight="1" x14ac:dyDescent="0.3">
      <c r="O537" s="12">
        <f t="shared" si="60"/>
        <v>43.666666666666664</v>
      </c>
      <c r="P537" s="13">
        <v>524</v>
      </c>
      <c r="Q537" s="22">
        <v>3.588488781144461E-2</v>
      </c>
      <c r="R537" s="19">
        <f t="shared" si="61"/>
        <v>3.2076855721334008E-2</v>
      </c>
      <c r="S537" s="22">
        <v>3.9631285428849417E-2</v>
      </c>
      <c r="T537" s="19">
        <f t="shared" si="62"/>
        <v>4.2404073039195911E-2</v>
      </c>
      <c r="U537" s="24">
        <v>4.2546204912658592E-2</v>
      </c>
      <c r="V537" s="24">
        <f t="shared" si="63"/>
        <v>4.2620120067505818E-2</v>
      </c>
      <c r="W537" s="23">
        <f t="shared" si="64"/>
        <v>3.4839206567451875E-3</v>
      </c>
      <c r="X537" s="24">
        <v>4.1951500702998468E-2</v>
      </c>
      <c r="Y537" s="24">
        <f t="shared" si="65"/>
        <v>4.2564112289329881E-2</v>
      </c>
      <c r="Z537" s="23">
        <f t="shared" si="66"/>
        <v>3.4793727079707182E-3</v>
      </c>
      <c r="AA537" s="36"/>
    </row>
    <row r="538" spans="15:27" ht="13.9" customHeight="1" x14ac:dyDescent="0.3">
      <c r="O538" s="12">
        <f t="shared" si="60"/>
        <v>43.75</v>
      </c>
      <c r="P538" s="13">
        <v>525</v>
      </c>
      <c r="Q538" s="22">
        <v>3.5877621077554878E-2</v>
      </c>
      <c r="R538" s="19">
        <f t="shared" si="61"/>
        <v>3.2091441123492492E-2</v>
      </c>
      <c r="S538" s="22">
        <v>3.9636559911825797E-2</v>
      </c>
      <c r="T538" s="19">
        <f t="shared" si="62"/>
        <v>4.2409503252623271E-2</v>
      </c>
      <c r="U538" s="24">
        <v>4.2546345698448507E-2</v>
      </c>
      <c r="V538" s="24">
        <f t="shared" si="63"/>
        <v>4.2622709569173356E-2</v>
      </c>
      <c r="W538" s="23">
        <f t="shared" si="64"/>
        <v>3.4841297803878124E-3</v>
      </c>
      <c r="X538" s="24">
        <v>4.1952667239966823E-2</v>
      </c>
      <c r="Y538" s="24">
        <f t="shared" si="65"/>
        <v>4.2567389217723406E-2</v>
      </c>
      <c r="Z538" s="23">
        <f t="shared" si="66"/>
        <v>3.4796375481680464E-3</v>
      </c>
      <c r="AA538" s="36"/>
    </row>
    <row r="539" spans="15:27" ht="13.9" customHeight="1" x14ac:dyDescent="0.3">
      <c r="O539" s="12">
        <f t="shared" si="60"/>
        <v>43.833333333333336</v>
      </c>
      <c r="P539" s="13">
        <v>526</v>
      </c>
      <c r="Q539" s="22">
        <v>3.5870409855144114E-2</v>
      </c>
      <c r="R539" s="19">
        <f t="shared" si="61"/>
        <v>3.2106181756252683E-2</v>
      </c>
      <c r="S539" s="22">
        <v>3.9641824662557612E-2</v>
      </c>
      <c r="T539" s="19">
        <f t="shared" si="62"/>
        <v>4.2414883745284016E-2</v>
      </c>
      <c r="U539" s="24">
        <v>4.2546490871603337E-2</v>
      </c>
      <c r="V539" s="24">
        <f t="shared" si="63"/>
        <v>4.2625281344979005E-2</v>
      </c>
      <c r="W539" s="23">
        <f t="shared" si="64"/>
        <v>3.484337471954202E-3</v>
      </c>
      <c r="X539" s="24">
        <v>4.1953835568977249E-2</v>
      </c>
      <c r="Y539" s="24">
        <f t="shared" si="65"/>
        <v>4.2570641403528731E-2</v>
      </c>
      <c r="Z539" s="23">
        <f t="shared" si="66"/>
        <v>3.4799003878134283E-3</v>
      </c>
      <c r="AA539" s="36"/>
    </row>
    <row r="540" spans="15:27" ht="13.9" customHeight="1" x14ac:dyDescent="0.3">
      <c r="O540" s="12">
        <f t="shared" si="60"/>
        <v>43.916666666666664</v>
      </c>
      <c r="P540" s="13">
        <v>527</v>
      </c>
      <c r="Q540" s="22">
        <v>3.5863254122576071E-2</v>
      </c>
      <c r="R540" s="19">
        <f t="shared" si="61"/>
        <v>3.2121078356865729E-2</v>
      </c>
      <c r="S540" s="22">
        <v>3.9647079642301186E-2</v>
      </c>
      <c r="T540" s="19">
        <f t="shared" si="62"/>
        <v>4.2420214977935355E-2</v>
      </c>
      <c r="U540" s="24">
        <v>4.2546640373504419E-2</v>
      </c>
      <c r="V540" s="24">
        <f t="shared" si="63"/>
        <v>4.2627835517361934E-2</v>
      </c>
      <c r="W540" s="23">
        <f t="shared" si="64"/>
        <v>3.4845437413457692E-3</v>
      </c>
      <c r="X540" s="24">
        <v>4.1955005632900111E-2</v>
      </c>
      <c r="Y540" s="24">
        <f t="shared" si="65"/>
        <v>4.2573869035470668E-2</v>
      </c>
      <c r="Z540" s="23">
        <f t="shared" si="66"/>
        <v>3.4801612421282435E-3</v>
      </c>
      <c r="AA540" s="36"/>
    </row>
    <row r="541" spans="15:27" ht="13.9" customHeight="1" x14ac:dyDescent="0.3">
      <c r="O541" s="12">
        <f t="shared" si="60"/>
        <v>44</v>
      </c>
      <c r="P541" s="13">
        <v>528</v>
      </c>
      <c r="Q541" s="22">
        <v>3.5856153859768369E-2</v>
      </c>
      <c r="R541" s="19">
        <f t="shared" si="61"/>
        <v>3.2136130243348937E-2</v>
      </c>
      <c r="S541" s="22">
        <v>3.965232481347658E-2</v>
      </c>
      <c r="T541" s="19">
        <f t="shared" si="62"/>
        <v>4.2425497405121249E-2</v>
      </c>
      <c r="U541" s="24">
        <v>4.2546794146209432E-2</v>
      </c>
      <c r="V541" s="24">
        <f t="shared" si="63"/>
        <v>4.2630372207918654E-2</v>
      </c>
      <c r="W541" s="23">
        <f t="shared" si="64"/>
        <v>3.4847485983924287E-3</v>
      </c>
      <c r="X541" s="24">
        <v>4.1956177375396253E-2</v>
      </c>
      <c r="Y541" s="24">
        <f t="shared" si="65"/>
        <v>4.2577072300654439E-2</v>
      </c>
      <c r="Z541" s="23">
        <f t="shared" si="66"/>
        <v>3.4804201262665924E-3</v>
      </c>
      <c r="AA541" s="36"/>
    </row>
    <row r="542" spans="15:27" ht="13.9" customHeight="1" x14ac:dyDescent="0.3">
      <c r="O542" s="12">
        <f t="shared" si="60"/>
        <v>44.083333333333336</v>
      </c>
      <c r="P542" s="13">
        <v>529</v>
      </c>
      <c r="Q542" s="22">
        <v>3.584910904548444E-2</v>
      </c>
      <c r="R542" s="19">
        <f t="shared" si="61"/>
        <v>3.2151332454708914E-2</v>
      </c>
      <c r="S542" s="22">
        <v>3.9657560139644943E-2</v>
      </c>
      <c r="T542" s="19">
        <f t="shared" si="62"/>
        <v>4.2430731477898442E-2</v>
      </c>
      <c r="U542" s="24">
        <v>4.2546952132443971E-2</v>
      </c>
      <c r="V542" s="24">
        <f t="shared" si="63"/>
        <v>4.263289153667249E-2</v>
      </c>
      <c r="W542" s="23">
        <f t="shared" si="64"/>
        <v>3.4849520528561495E-3</v>
      </c>
      <c r="X542" s="24">
        <v>4.1957350740905897E-2</v>
      </c>
      <c r="Y542" s="24">
        <f t="shared" si="65"/>
        <v>4.2580251384323642E-2</v>
      </c>
      <c r="Z542" s="23">
        <f t="shared" si="66"/>
        <v>3.4806770552526789E-3</v>
      </c>
      <c r="AA542" s="36"/>
    </row>
    <row r="543" spans="15:27" ht="13.9" customHeight="1" x14ac:dyDescent="0.3">
      <c r="O543" s="12">
        <f t="shared" si="60"/>
        <v>44.166666666666664</v>
      </c>
      <c r="P543" s="13">
        <v>530</v>
      </c>
      <c r="Q543" s="22">
        <v>3.5842119649241777E-2</v>
      </c>
      <c r="R543" s="19">
        <f t="shared" si="61"/>
        <v>3.2166684343593044E-2</v>
      </c>
      <c r="S543" s="22">
        <v>3.9662785585490967E-2</v>
      </c>
      <c r="T543" s="19">
        <f t="shared" si="62"/>
        <v>4.2435917643427468E-2</v>
      </c>
      <c r="U543" s="24">
        <v>4.2547114275593101E-2</v>
      </c>
      <c r="V543" s="24">
        <f t="shared" si="63"/>
        <v>4.2635393625058082E-2</v>
      </c>
      <c r="W543" s="23">
        <f t="shared" si="64"/>
        <v>3.4851541143730014E-3</v>
      </c>
      <c r="X543" s="24">
        <v>4.1958525674638203E-2</v>
      </c>
      <c r="Y543" s="24">
        <f t="shared" si="65"/>
        <v>4.2583406471079499E-2</v>
      </c>
      <c r="Z543" s="23">
        <f t="shared" si="66"/>
        <v>3.4809320439612712E-3</v>
      </c>
      <c r="AA543" s="36"/>
    </row>
    <row r="544" spans="15:27" ht="13.9" customHeight="1" x14ac:dyDescent="0.3">
      <c r="O544" s="12">
        <f t="shared" si="60"/>
        <v>44.25</v>
      </c>
      <c r="P544" s="13">
        <v>531</v>
      </c>
      <c r="Q544" s="22">
        <v>3.5835185639553346E-2</v>
      </c>
      <c r="R544" s="19">
        <f t="shared" si="61"/>
        <v>3.2182186708739957E-2</v>
      </c>
      <c r="S544" s="22">
        <v>3.9668001116804907E-2</v>
      </c>
      <c r="T544" s="19">
        <f t="shared" si="62"/>
        <v>4.2441056343285322E-2</v>
      </c>
      <c r="U544" s="24">
        <v>4.2547280519696917E-2</v>
      </c>
      <c r="V544" s="24">
        <f t="shared" si="63"/>
        <v>4.2637878589517619E-2</v>
      </c>
      <c r="W544" s="23">
        <f t="shared" si="64"/>
        <v>3.4853547926916306E-3</v>
      </c>
      <c r="X544" s="24">
        <v>4.1959702122562836E-2</v>
      </c>
      <c r="Y544" s="24">
        <f t="shared" si="65"/>
        <v>4.2586537742309583E-2</v>
      </c>
      <c r="Z544" s="23">
        <f t="shared" si="66"/>
        <v>3.4811851072147348E-3</v>
      </c>
      <c r="AA544" s="36"/>
    </row>
    <row r="545" spans="15:27" ht="13.9" customHeight="1" x14ac:dyDescent="0.3">
      <c r="O545" s="12">
        <f t="shared" si="60"/>
        <v>44.333333333333336</v>
      </c>
      <c r="P545" s="13">
        <v>532</v>
      </c>
      <c r="Q545" s="22">
        <v>3.5828306986663616E-2</v>
      </c>
      <c r="R545" s="19">
        <f t="shared" si="61"/>
        <v>3.2197840359808216E-2</v>
      </c>
      <c r="S545" s="22">
        <v>3.9673206700462149E-2</v>
      </c>
      <c r="T545" s="19">
        <f t="shared" si="62"/>
        <v>4.2446148016793472E-2</v>
      </c>
      <c r="U545" s="24">
        <v>4.254745080943545E-2</v>
      </c>
      <c r="V545" s="24">
        <f t="shared" si="63"/>
        <v>4.2640346550204766E-2</v>
      </c>
      <c r="W545" s="23">
        <f t="shared" si="64"/>
        <v>3.4855540971603372E-3</v>
      </c>
      <c r="X545" s="24">
        <v>4.1960880031396641E-2</v>
      </c>
      <c r="Y545" s="24">
        <f t="shared" si="65"/>
        <v>4.2589645380334717E-2</v>
      </c>
      <c r="Z545" s="23">
        <f t="shared" si="66"/>
        <v>3.4814362595783077E-3</v>
      </c>
      <c r="AA545" s="36"/>
    </row>
    <row r="546" spans="15:27" ht="13.9" customHeight="1" x14ac:dyDescent="0.3">
      <c r="O546" s="12">
        <f t="shared" si="60"/>
        <v>44.416666666666664</v>
      </c>
      <c r="P546" s="13">
        <v>533</v>
      </c>
      <c r="Q546" s="22">
        <v>3.5821483662553666E-2</v>
      </c>
      <c r="R546" s="19">
        <f t="shared" si="61"/>
        <v>3.2213646118209649E-2</v>
      </c>
      <c r="S546" s="22">
        <v>3.9678402304408555E-2</v>
      </c>
      <c r="T546" s="19">
        <f t="shared" si="62"/>
        <v>4.2451193097820861E-2</v>
      </c>
      <c r="U546" s="24">
        <v>4.254762509012977E-2</v>
      </c>
      <c r="V546" s="24">
        <f t="shared" si="63"/>
        <v>4.2642797623595907E-2</v>
      </c>
      <c r="W546" s="23">
        <f t="shared" si="64"/>
        <v>3.4857520374249606E-3</v>
      </c>
      <c r="X546" s="24">
        <v>4.1962059348598313E-2</v>
      </c>
      <c r="Y546" s="24">
        <f t="shared" si="65"/>
        <v>4.2592729564995713E-2</v>
      </c>
      <c r="Z546" s="23">
        <f t="shared" si="66"/>
        <v>3.4816855156907245E-3</v>
      </c>
      <c r="AA546" s="36"/>
    </row>
    <row r="547" spans="15:27" ht="13.9" customHeight="1" x14ac:dyDescent="0.3">
      <c r="O547" s="12">
        <f t="shared" si="60"/>
        <v>44.5</v>
      </c>
      <c r="P547" s="13">
        <v>534</v>
      </c>
      <c r="Q547" s="22">
        <v>3.5814715640946293E-2</v>
      </c>
      <c r="R547" s="19">
        <f t="shared" si="61"/>
        <v>3.2229603414702046E-2</v>
      </c>
      <c r="S547" s="22">
        <v>3.9683587897639816E-2</v>
      </c>
      <c r="T547" s="19">
        <f t="shared" si="62"/>
        <v>4.2456192016413707E-2</v>
      </c>
      <c r="U547" s="24">
        <v>4.2547803307728671E-2</v>
      </c>
      <c r="V547" s="24">
        <f t="shared" si="63"/>
        <v>4.2645231926121019E-2</v>
      </c>
      <c r="W547" s="23">
        <f t="shared" si="64"/>
        <v>3.4859486228362435E-3</v>
      </c>
      <c r="X547" s="24">
        <v>4.1963240022357073E-2</v>
      </c>
      <c r="Y547" s="24">
        <f t="shared" si="65"/>
        <v>4.2595790474583284E-2</v>
      </c>
      <c r="Z547" s="23">
        <f t="shared" si="66"/>
        <v>3.481932889992434E-3</v>
      </c>
      <c r="AA547" s="36"/>
    </row>
    <row r="548" spans="15:27" ht="13.9" customHeight="1" x14ac:dyDescent="0.3">
      <c r="O548" s="12">
        <f t="shared" si="60"/>
        <v>44.583333333333336</v>
      </c>
      <c r="P548" s="13">
        <v>535</v>
      </c>
      <c r="Q548" s="22">
        <v>3.5808002894681445E-2</v>
      </c>
      <c r="R548" s="19">
        <f t="shared" si="61"/>
        <v>3.2245707486607378E-2</v>
      </c>
      <c r="S548" s="22">
        <v>3.968876345018546E-2</v>
      </c>
      <c r="T548" s="19">
        <f t="shared" si="62"/>
        <v>4.2461145198897876E-2</v>
      </c>
      <c r="U548" s="24">
        <v>4.2547985408802891E-2</v>
      </c>
      <c r="V548" s="24">
        <f t="shared" si="63"/>
        <v>4.2647649573932078E-2</v>
      </c>
      <c r="W548" s="23">
        <f t="shared" si="64"/>
        <v>3.4861438627407093E-3</v>
      </c>
      <c r="X548" s="24">
        <v>4.1964422001582458E-2</v>
      </c>
      <c r="Y548" s="24">
        <f t="shared" si="65"/>
        <v>4.2598828285652646E-2</v>
      </c>
      <c r="Z548" s="23">
        <f t="shared" si="66"/>
        <v>3.482178396798874E-3</v>
      </c>
      <c r="AA548" s="36"/>
    </row>
    <row r="549" spans="15:27" ht="13.9" customHeight="1" x14ac:dyDescent="0.3">
      <c r="O549" s="12">
        <f t="shared" si="60"/>
        <v>44.666666666666664</v>
      </c>
      <c r="P549" s="13">
        <v>536</v>
      </c>
      <c r="Q549" s="22">
        <v>3.5801345387873607E-2</v>
      </c>
      <c r="R549" s="19">
        <f t="shared" si="61"/>
        <v>3.2261957797519614E-2</v>
      </c>
      <c r="S549" s="22">
        <v>3.9693928933091316E-2</v>
      </c>
      <c r="T549" s="19">
        <f t="shared" si="62"/>
        <v>4.2466053067256704E-2</v>
      </c>
      <c r="U549" s="24">
        <v>4.2548171340538898E-2</v>
      </c>
      <c r="V549" s="24">
        <f t="shared" si="63"/>
        <v>4.2650050681320995E-2</v>
      </c>
      <c r="W549" s="23">
        <f t="shared" si="64"/>
        <v>3.4863377664633433E-3</v>
      </c>
      <c r="X549" s="24">
        <v>4.1965605235894987E-2</v>
      </c>
      <c r="Y549" s="24">
        <f t="shared" si="65"/>
        <v>4.2601843174346898E-2</v>
      </c>
      <c r="Z549" s="23">
        <f t="shared" si="66"/>
        <v>3.4824220502858161E-3</v>
      </c>
      <c r="AA549" s="36"/>
    </row>
    <row r="550" spans="15:27" ht="13.9" customHeight="1" x14ac:dyDescent="0.3">
      <c r="O550" s="12">
        <f t="shared" si="60"/>
        <v>44.75</v>
      </c>
      <c r="P550" s="13">
        <v>537</v>
      </c>
      <c r="Q550" s="22">
        <v>3.5794743083891412E-2</v>
      </c>
      <c r="R550" s="19">
        <f t="shared" si="61"/>
        <v>3.227835522999678E-2</v>
      </c>
      <c r="S550" s="22">
        <v>3.9699084318402855E-2</v>
      </c>
      <c r="T550" s="19">
        <f t="shared" si="62"/>
        <v>4.2470916039724527E-2</v>
      </c>
      <c r="U550" s="24">
        <v>4.2548361050729788E-2</v>
      </c>
      <c r="V550" s="24">
        <f t="shared" si="63"/>
        <v>4.2652435362315E-2</v>
      </c>
      <c r="W550" s="23">
        <f t="shared" si="64"/>
        <v>3.4865303431788064E-3</v>
      </c>
      <c r="X550" s="24">
        <v>4.1966789675618177E-2</v>
      </c>
      <c r="Y550" s="24">
        <f t="shared" si="65"/>
        <v>4.260483531507564E-2</v>
      </c>
      <c r="Z550" s="23">
        <f t="shared" si="66"/>
        <v>3.4826638645961694E-3</v>
      </c>
      <c r="AA550" s="36"/>
    </row>
    <row r="551" spans="15:27" ht="13.9" customHeight="1" x14ac:dyDescent="0.3">
      <c r="O551" s="12">
        <f t="shared" si="60"/>
        <v>44.833333333333336</v>
      </c>
      <c r="P551" s="13">
        <v>538</v>
      </c>
      <c r="Q551" s="22">
        <v>3.5788195948010637E-2</v>
      </c>
      <c r="R551" s="19">
        <f t="shared" si="61"/>
        <v>3.229490067576668E-2</v>
      </c>
      <c r="S551" s="22">
        <v>3.970422957914832E-2</v>
      </c>
      <c r="T551" s="19">
        <f t="shared" si="62"/>
        <v>4.2475734530803999E-2</v>
      </c>
      <c r="U551" s="24">
        <v>4.2548554487768619E-2</v>
      </c>
      <c r="V551" s="24">
        <f t="shared" si="63"/>
        <v>4.265480373064956E-2</v>
      </c>
      <c r="W551" s="23">
        <f t="shared" si="64"/>
        <v>3.4867216020408875E-3</v>
      </c>
      <c r="X551" s="24">
        <v>4.1967975271769209E-2</v>
      </c>
      <c r="Y551" s="24">
        <f t="shared" si="65"/>
        <v>4.2607804880998801E-2</v>
      </c>
      <c r="Z551" s="23">
        <f t="shared" si="66"/>
        <v>3.4829038537331769E-3</v>
      </c>
      <c r="AA551" s="36"/>
    </row>
    <row r="552" spans="15:27" ht="13.9" customHeight="1" x14ac:dyDescent="0.3">
      <c r="O552" s="12">
        <f t="shared" si="60"/>
        <v>44.916666666666664</v>
      </c>
      <c r="P552" s="13">
        <v>539</v>
      </c>
      <c r="Q552" s="22">
        <v>3.5781703947413979E-2</v>
      </c>
      <c r="R552" s="19">
        <f t="shared" si="61"/>
        <v>3.231159504024772E-2</v>
      </c>
      <c r="S552" s="22">
        <v>3.9709364689322735E-2</v>
      </c>
      <c r="T552" s="19">
        <f t="shared" si="62"/>
        <v>4.2480508950334839E-2</v>
      </c>
      <c r="U552" s="24">
        <v>4.2548751600642865E-2</v>
      </c>
      <c r="V552" s="24">
        <f t="shared" si="63"/>
        <v>4.2657155898794041E-2</v>
      </c>
      <c r="W552" s="23">
        <f t="shared" si="64"/>
        <v>3.4869115521800609E-3</v>
      </c>
      <c r="X552" s="24">
        <v>4.1969161976050051E-2</v>
      </c>
      <c r="Y552" s="24">
        <f t="shared" si="65"/>
        <v>4.2610752043440892E-2</v>
      </c>
      <c r="Z552" s="23">
        <f t="shared" si="66"/>
        <v>3.4831420315999395E-3</v>
      </c>
      <c r="AA552" s="36"/>
    </row>
    <row r="553" spans="15:27" ht="13.9" customHeight="1" x14ac:dyDescent="0.3">
      <c r="O553" s="12">
        <f t="shared" si="60"/>
        <v>45</v>
      </c>
      <c r="P553" s="13">
        <v>540</v>
      </c>
      <c r="Q553" s="22">
        <v>3.577526705119749E-2</v>
      </c>
      <c r="R553" s="19">
        <f t="shared" si="61"/>
        <v>3.2328437864342252E-2</v>
      </c>
      <c r="S553" s="22">
        <v>3.9714489623870808E-2</v>
      </c>
      <c r="T553" s="19">
        <f t="shared" si="62"/>
        <v>4.248523970488205E-2</v>
      </c>
      <c r="U553" s="24">
        <v>4.2548952338926194E-2</v>
      </c>
      <c r="V553" s="24">
        <f t="shared" si="63"/>
        <v>4.2659491977252051E-2</v>
      </c>
      <c r="W553" s="23">
        <f t="shared" si="64"/>
        <v>3.487100202624438E-3</v>
      </c>
      <c r="X553" s="24">
        <v>4.1970349740837465E-2</v>
      </c>
      <c r="Y553" s="24">
        <f t="shared" si="65"/>
        <v>4.2613676972296233E-2</v>
      </c>
      <c r="Z553" s="23">
        <f t="shared" si="66"/>
        <v>3.4833784119516764E-3</v>
      </c>
      <c r="AA553" s="36"/>
    </row>
    <row r="554" spans="15:27" ht="13.9" customHeight="1" x14ac:dyDescent="0.3">
      <c r="O554" s="12">
        <f t="shared" si="60"/>
        <v>45.083333333333336</v>
      </c>
      <c r="P554" s="13">
        <v>541</v>
      </c>
      <c r="Q554" s="22">
        <v>3.5768885227823288E-2</v>
      </c>
      <c r="R554" s="19">
        <f t="shared" si="61"/>
        <v>3.2345424577523429E-2</v>
      </c>
      <c r="S554" s="22">
        <v>3.9719604358671612E-2</v>
      </c>
      <c r="T554" s="19">
        <f t="shared" si="62"/>
        <v>4.2489927197523203E-2</v>
      </c>
      <c r="U554" s="24">
        <v>4.2549156652769815E-2</v>
      </c>
      <c r="V554" s="24">
        <f t="shared" si="63"/>
        <v>4.2661812078171435E-2</v>
      </c>
      <c r="W554" s="23">
        <f t="shared" si="64"/>
        <v>3.4872875622451449E-3</v>
      </c>
      <c r="X554" s="24">
        <v>4.1971538519174567E-2</v>
      </c>
      <c r="Y554" s="24">
        <f t="shared" si="65"/>
        <v>4.2616579837543078E-2</v>
      </c>
      <c r="Z554" s="23">
        <f t="shared" si="66"/>
        <v>3.4836130084290318E-3</v>
      </c>
      <c r="AA554" s="36"/>
    </row>
    <row r="555" spans="15:27" ht="13.9" customHeight="1" x14ac:dyDescent="0.3">
      <c r="O555" s="12">
        <f t="shared" si="60"/>
        <v>45.166666666666664</v>
      </c>
      <c r="P555" s="13">
        <v>542</v>
      </c>
      <c r="Q555" s="22">
        <v>3.576255843751408E-2</v>
      </c>
      <c r="R555" s="19">
        <f t="shared" si="61"/>
        <v>3.2362554754350237E-2</v>
      </c>
      <c r="S555" s="22">
        <v>3.9724708870523928E-2</v>
      </c>
      <c r="T555" s="19">
        <f t="shared" si="62"/>
        <v>4.2494571826900529E-2</v>
      </c>
      <c r="U555" s="24">
        <v>4.254936449289981E-2</v>
      </c>
      <c r="V555" s="24">
        <f t="shared" si="63"/>
        <v>4.2664116311426303E-2</v>
      </c>
      <c r="W555" s="23">
        <f t="shared" si="64"/>
        <v>3.4874736400445361E-3</v>
      </c>
      <c r="X555" s="24">
        <v>4.1972728264764392E-2</v>
      </c>
      <c r="Y555" s="24">
        <f t="shared" si="65"/>
        <v>4.2619460806109455E-2</v>
      </c>
      <c r="Z555" s="23">
        <f t="shared" si="66"/>
        <v>3.4838458346786449E-3</v>
      </c>
      <c r="AA555" s="36"/>
    </row>
    <row r="556" spans="15:27" ht="13.9" customHeight="1" x14ac:dyDescent="0.3">
      <c r="O556" s="12">
        <f t="shared" si="60"/>
        <v>45.25</v>
      </c>
      <c r="P556" s="13">
        <v>543</v>
      </c>
      <c r="Q556" s="22">
        <v>3.5756286639988533E-2</v>
      </c>
      <c r="R556" s="19">
        <f t="shared" si="61"/>
        <v>3.2379829356875112E-2</v>
      </c>
      <c r="S556" s="22">
        <v>3.9729803137129371E-2</v>
      </c>
      <c r="T556" s="19">
        <f t="shared" si="62"/>
        <v>4.249917398831804E-2</v>
      </c>
      <c r="U556" s="24">
        <v>4.2549575810607587E-2</v>
      </c>
      <c r="V556" s="24">
        <f t="shared" si="63"/>
        <v>4.2666404786338541E-2</v>
      </c>
      <c r="W556" s="23">
        <f t="shared" si="64"/>
        <v>3.4876584448424452E-3</v>
      </c>
      <c r="X556" s="24">
        <v>4.1973918931958787E-2</v>
      </c>
      <c r="Y556" s="24">
        <f t="shared" si="65"/>
        <v>4.2622320045361262E-2</v>
      </c>
      <c r="Z556" s="23">
        <f t="shared" si="66"/>
        <v>3.4840769041031283E-3</v>
      </c>
      <c r="AA556" s="36"/>
    </row>
    <row r="557" spans="15:27" ht="13.9" customHeight="1" x14ac:dyDescent="0.3">
      <c r="O557" s="12">
        <f t="shared" si="60"/>
        <v>45.333333333333336</v>
      </c>
      <c r="P557" s="13">
        <v>544</v>
      </c>
      <c r="Q557" s="22">
        <v>3.5750069797024997E-2</v>
      </c>
      <c r="R557" s="19">
        <f t="shared" si="61"/>
        <v>3.2397249360897495E-2</v>
      </c>
      <c r="S557" s="22">
        <v>3.9734887137077957E-2</v>
      </c>
      <c r="T557" s="19">
        <f t="shared" si="62"/>
        <v>4.2503734073130461E-2</v>
      </c>
      <c r="U557" s="24">
        <v>4.2549790557744105E-2</v>
      </c>
      <c r="V557" s="24">
        <f t="shared" si="63"/>
        <v>4.2668677610627537E-2</v>
      </c>
      <c r="W557" s="23">
        <f t="shared" si="64"/>
        <v>3.4878419854145193E-3</v>
      </c>
      <c r="X557" s="24">
        <v>4.1975110475752198E-2</v>
      </c>
      <c r="Y557" s="24">
        <f t="shared" si="65"/>
        <v>4.2625157719286655E-2</v>
      </c>
      <c r="Z557" s="23">
        <f t="shared" si="66"/>
        <v>3.484306230139067E-3</v>
      </c>
      <c r="AA557" s="36"/>
    </row>
    <row r="558" spans="15:27" ht="13.9" customHeight="1" x14ac:dyDescent="0.3">
      <c r="O558" s="12">
        <f t="shared" si="60"/>
        <v>45.416666666666664</v>
      </c>
      <c r="P558" s="13">
        <v>545</v>
      </c>
      <c r="Q558" s="22">
        <v>3.5743907872467506E-2</v>
      </c>
      <c r="R558" s="19">
        <f t="shared" si="61"/>
        <v>3.2414815750774428E-2</v>
      </c>
      <c r="S558" s="22">
        <v>3.9739960849833E-2</v>
      </c>
      <c r="T558" s="19">
        <f t="shared" si="62"/>
        <v>4.2508252468992813E-2</v>
      </c>
      <c r="U558" s="24">
        <v>4.2550008686711438E-2</v>
      </c>
      <c r="V558" s="24">
        <f t="shared" si="63"/>
        <v>4.2670934892881318E-2</v>
      </c>
      <c r="W558" s="23">
        <f t="shared" si="64"/>
        <v>3.4880242704076192E-3</v>
      </c>
      <c r="X558" s="24">
        <v>4.1976302851771008E-2</v>
      </c>
      <c r="Y558" s="24">
        <f t="shared" si="65"/>
        <v>4.2627973992281465E-2</v>
      </c>
      <c r="Z558" s="23">
        <f t="shared" si="66"/>
        <v>3.4845338259523739E-3</v>
      </c>
      <c r="AA558" s="36"/>
    </row>
    <row r="559" spans="15:27" ht="13.9" customHeight="1" x14ac:dyDescent="0.3">
      <c r="O559" s="12">
        <f t="shared" si="60"/>
        <v>45.5</v>
      </c>
      <c r="P559" s="13">
        <v>546</v>
      </c>
      <c r="Q559" s="22">
        <v>3.5737800832222444E-2</v>
      </c>
      <c r="R559" s="19">
        <f t="shared" si="61"/>
        <v>3.2432528177092079E-2</v>
      </c>
      <c r="S559" s="22">
        <v>3.9745024255716244E-2</v>
      </c>
      <c r="T559" s="19">
        <f t="shared" si="62"/>
        <v>4.2512729560625129E-2</v>
      </c>
      <c r="U559" s="24">
        <v>4.2550230150459445E-2</v>
      </c>
      <c r="V559" s="24">
        <f t="shared" si="63"/>
        <v>4.2673176740983809E-2</v>
      </c>
      <c r="W559" s="23">
        <f t="shared" si="64"/>
        <v>3.48820530853855E-3</v>
      </c>
      <c r="X559" s="24">
        <v>4.1977496016267102E-2</v>
      </c>
      <c r="Y559" s="24">
        <f t="shared" si="65"/>
        <v>4.2630769027418358E-2</v>
      </c>
      <c r="Z559" s="23">
        <f t="shared" si="66"/>
        <v>3.4847597047411583E-3</v>
      </c>
      <c r="AA559" s="36"/>
    </row>
    <row r="560" spans="15:27" ht="13.9" customHeight="1" x14ac:dyDescent="0.3">
      <c r="O560" s="12">
        <f t="shared" si="60"/>
        <v>45.583333333333336</v>
      </c>
      <c r="P560" s="13">
        <v>547</v>
      </c>
      <c r="Q560" s="22">
        <v>3.5731748641793404E-2</v>
      </c>
      <c r="R560" s="19">
        <f t="shared" si="61"/>
        <v>3.2450382257820376E-2</v>
      </c>
      <c r="S560" s="22">
        <v>3.9750077335894307E-2</v>
      </c>
      <c r="T560" s="19">
        <f t="shared" si="62"/>
        <v>4.2517165728025663E-2</v>
      </c>
      <c r="U560" s="24">
        <v>4.2550454902479329E-2</v>
      </c>
      <c r="V560" s="24">
        <f t="shared" si="63"/>
        <v>4.2675403258961353E-2</v>
      </c>
      <c r="W560" s="23">
        <f t="shared" si="64"/>
        <v>3.4883851084668294E-3</v>
      </c>
      <c r="X560" s="24">
        <v>4.1978689926110757E-2</v>
      </c>
      <c r="Y560" s="24">
        <f t="shared" si="65"/>
        <v>4.2633542985051065E-2</v>
      </c>
      <c r="Z560" s="23">
        <f t="shared" si="66"/>
        <v>3.484983879597614E-3</v>
      </c>
      <c r="AA560" s="36"/>
    </row>
    <row r="561" spans="15:27" ht="13.9" customHeight="1" x14ac:dyDescent="0.3">
      <c r="O561" s="12">
        <f t="shared" si="60"/>
        <v>45.666666666666664</v>
      </c>
      <c r="P561" s="13">
        <v>548</v>
      </c>
      <c r="Q561" s="22">
        <v>3.5725751258902649E-2</v>
      </c>
      <c r="R561" s="19">
        <f t="shared" si="61"/>
        <v>3.246837767486066E-2</v>
      </c>
      <c r="S561" s="22">
        <v>3.9755120072362926E-2</v>
      </c>
      <c r="T561" s="19">
        <f t="shared" si="62"/>
        <v>4.2521561348561221E-2</v>
      </c>
      <c r="U561" s="24">
        <v>4.2550682896791869E-2</v>
      </c>
      <c r="V561" s="24">
        <f t="shared" si="63"/>
        <v>4.2677614554107679E-2</v>
      </c>
      <c r="W561" s="23">
        <f t="shared" si="64"/>
        <v>3.4885636785428886E-3</v>
      </c>
      <c r="X561" s="24">
        <v>4.1979884538779322E-2</v>
      </c>
      <c r="Y561" s="24">
        <f t="shared" si="65"/>
        <v>4.2636296025887255E-2</v>
      </c>
      <c r="Z561" s="23">
        <f t="shared" si="66"/>
        <v>3.4852063633952213E-3</v>
      </c>
      <c r="AA561" s="36"/>
    </row>
    <row r="562" spans="15:27" ht="13.9" customHeight="1" x14ac:dyDescent="0.3">
      <c r="O562" s="12">
        <f t="shared" si="60"/>
        <v>45.75</v>
      </c>
      <c r="P562" s="13">
        <v>549</v>
      </c>
      <c r="Q562" s="22">
        <v>3.5719808640988449E-2</v>
      </c>
      <c r="R562" s="19">
        <f t="shared" si="61"/>
        <v>3.2486515471458199E-2</v>
      </c>
      <c r="S562" s="22">
        <v>3.9760152447934294E-2</v>
      </c>
      <c r="T562" s="19">
        <f t="shared" si="62"/>
        <v>4.2525916795548957E-2</v>
      </c>
      <c r="U562" s="24">
        <v>4.2550914087948533E-2</v>
      </c>
      <c r="V562" s="24">
        <f t="shared" si="63"/>
        <v>4.2679810731436341E-2</v>
      </c>
      <c r="W562" s="23">
        <f t="shared" si="64"/>
        <v>3.488741027379394E-3</v>
      </c>
      <c r="X562" s="24">
        <v>4.1981079812352995E-2</v>
      </c>
      <c r="Y562" s="24">
        <f t="shared" si="65"/>
        <v>4.2639028308958826E-2</v>
      </c>
      <c r="Z562" s="23">
        <f t="shared" si="66"/>
        <v>3.4854271690358818E-3</v>
      </c>
      <c r="AA562" s="36"/>
    </row>
    <row r="563" spans="15:27" ht="13.9" customHeight="1" x14ac:dyDescent="0.3">
      <c r="O563" s="12">
        <f t="shared" si="60"/>
        <v>45.833333333333336</v>
      </c>
      <c r="P563" s="13">
        <v>550</v>
      </c>
      <c r="Q563" s="22">
        <v>3.5713920747690864E-2</v>
      </c>
      <c r="R563" s="19">
        <f t="shared" si="61"/>
        <v>3.2504796701861682E-2</v>
      </c>
      <c r="S563" s="22">
        <v>3.9765174446222407E-2</v>
      </c>
      <c r="T563" s="19">
        <f t="shared" si="62"/>
        <v>4.2530232439224269E-2</v>
      </c>
      <c r="U563" s="24">
        <v>4.2551148431022146E-2</v>
      </c>
      <c r="V563" s="24">
        <f t="shared" si="63"/>
        <v>4.2681991893958937E-2</v>
      </c>
      <c r="W563" s="23">
        <f t="shared" si="64"/>
        <v>3.4889171634051586E-3</v>
      </c>
      <c r="X563" s="24">
        <v>4.1982275705505723E-2</v>
      </c>
      <c r="Y563" s="24">
        <f t="shared" si="65"/>
        <v>4.2641739991814642E-2</v>
      </c>
      <c r="Z563" s="23">
        <f t="shared" si="66"/>
        <v>3.4856463092864942E-3</v>
      </c>
      <c r="AA563" s="36"/>
    </row>
    <row r="564" spans="15:27" ht="13.9" customHeight="1" x14ac:dyDescent="0.3">
      <c r="O564" s="12">
        <f t="shared" si="60"/>
        <v>45.916666666666664</v>
      </c>
      <c r="P564" s="13">
        <v>551</v>
      </c>
      <c r="Q564" s="22">
        <v>3.5708087540850864E-2</v>
      </c>
      <c r="R564" s="19">
        <f t="shared" si="61"/>
        <v>3.2523222432646159E-2</v>
      </c>
      <c r="S564" s="22">
        <v>3.9770186051630185E-2</v>
      </c>
      <c r="T564" s="19">
        <f t="shared" si="62"/>
        <v>4.2534508645994729E-2</v>
      </c>
      <c r="U564" s="24">
        <v>4.2551385881599124E-2</v>
      </c>
      <c r="V564" s="24">
        <f t="shared" si="63"/>
        <v>4.2684158146162998E-2</v>
      </c>
      <c r="W564" s="23">
        <f t="shared" si="64"/>
        <v>3.4890920948891235E-3</v>
      </c>
      <c r="X564" s="24">
        <v>4.1983472177497205E-2</v>
      </c>
      <c r="Y564" s="24">
        <f t="shared" si="65"/>
        <v>4.2644431230366875E-2</v>
      </c>
      <c r="Z564" s="23">
        <f t="shared" si="66"/>
        <v>3.4858637967953854E-3</v>
      </c>
      <c r="AA564" s="36"/>
    </row>
    <row r="565" spans="15:27" ht="13.9" customHeight="1" x14ac:dyDescent="0.3">
      <c r="O565" s="12">
        <f t="shared" si="60"/>
        <v>46</v>
      </c>
      <c r="P565" s="13">
        <v>552</v>
      </c>
      <c r="Q565" s="22">
        <v>3.5702308984513431E-2</v>
      </c>
      <c r="R565" s="19">
        <f t="shared" si="61"/>
        <v>3.2541792418957494E-2</v>
      </c>
      <c r="S565" s="22">
        <v>3.9775187249335486E-2</v>
      </c>
      <c r="T565" s="19">
        <f t="shared" si="62"/>
        <v>4.253874577850425E-2</v>
      </c>
      <c r="U565" s="24">
        <v>4.2551626395776809E-2</v>
      </c>
      <c r="V565" s="24">
        <f t="shared" si="63"/>
        <v>4.2686309589202942E-2</v>
      </c>
      <c r="W565" s="23">
        <f t="shared" si="64"/>
        <v>3.4892658302181356E-3</v>
      </c>
      <c r="X565" s="24">
        <v>4.1984669188165125E-2</v>
      </c>
      <c r="Y565" s="24">
        <f t="shared" si="65"/>
        <v>4.2647102180422669E-2</v>
      </c>
      <c r="Z565" s="23">
        <f t="shared" si="66"/>
        <v>3.4860796440789876E-3</v>
      </c>
      <c r="AA565" s="36"/>
    </row>
    <row r="566" spans="15:27" ht="13.9" customHeight="1" x14ac:dyDescent="0.3">
      <c r="O566" s="12">
        <f t="shared" si="60"/>
        <v>46.083333333333336</v>
      </c>
      <c r="P566" s="13">
        <v>553</v>
      </c>
      <c r="Q566" s="22">
        <v>3.5696585042527929E-2</v>
      </c>
      <c r="R566" s="19">
        <f t="shared" si="61"/>
        <v>3.2560502465095231E-2</v>
      </c>
      <c r="S566" s="22">
        <v>3.9780178025277113E-2</v>
      </c>
      <c r="T566" s="19">
        <f t="shared" si="62"/>
        <v>4.2542944197518251E-2</v>
      </c>
      <c r="U566" s="24">
        <v>4.2551869930153474E-2</v>
      </c>
      <c r="V566" s="24">
        <f t="shared" si="63"/>
        <v>4.2688446326581087E-2</v>
      </c>
      <c r="W566" s="23">
        <f t="shared" si="64"/>
        <v>3.4894383775116999E-3</v>
      </c>
      <c r="X566" s="24">
        <v>4.1985866697918928E-2</v>
      </c>
      <c r="Y566" s="24">
        <f t="shared" si="65"/>
        <v>4.2649752995776335E-2</v>
      </c>
      <c r="Z566" s="23">
        <f t="shared" si="66"/>
        <v>3.4862938636452956E-3</v>
      </c>
      <c r="AA566" s="36"/>
    </row>
    <row r="567" spans="15:27" ht="13.9" customHeight="1" x14ac:dyDescent="0.3">
      <c r="O567" s="12">
        <f t="shared" si="60"/>
        <v>46.166666666666664</v>
      </c>
      <c r="P567" s="13">
        <v>554</v>
      </c>
      <c r="Q567" s="22">
        <v>3.5690915671397372E-2</v>
      </c>
      <c r="R567" s="19">
        <f t="shared" si="61"/>
        <v>3.2579352358862002E-2</v>
      </c>
      <c r="S567" s="22">
        <v>3.9785158366144602E-2</v>
      </c>
      <c r="T567" s="19">
        <f t="shared" si="62"/>
        <v>4.2547104258803259E-2</v>
      </c>
      <c r="U567" s="24">
        <v>4.2552116441827659E-2</v>
      </c>
      <c r="V567" s="24">
        <f t="shared" si="63"/>
        <v>4.2690568459093026E-2</v>
      </c>
      <c r="W567" s="23">
        <f t="shared" si="64"/>
        <v>3.4896097450776153E-3</v>
      </c>
      <c r="X567" s="24">
        <v>4.1987064667731833E-2</v>
      </c>
      <c r="Y567" s="24">
        <f t="shared" si="65"/>
        <v>4.2652383829770546E-2</v>
      </c>
      <c r="Z567" s="23">
        <f t="shared" si="66"/>
        <v>3.4865064678404334E-3</v>
      </c>
      <c r="AA567" s="36"/>
    </row>
    <row r="568" spans="15:27" ht="13.9" customHeight="1" x14ac:dyDescent="0.3">
      <c r="O568" s="12">
        <f t="shared" si="60"/>
        <v>46.25</v>
      </c>
      <c r="P568" s="13">
        <v>555</v>
      </c>
      <c r="Q568" s="22">
        <v>3.5685300827543731E-2</v>
      </c>
      <c r="R568" s="19">
        <f t="shared" si="61"/>
        <v>3.2598343222797643E-2</v>
      </c>
      <c r="S568" s="22">
        <v>3.97901282593629E-2</v>
      </c>
      <c r="T568" s="19">
        <f t="shared" si="62"/>
        <v>4.2551226314730517E-2</v>
      </c>
      <c r="U568" s="24">
        <v>4.2552365888388621E-2</v>
      </c>
      <c r="V568" s="24">
        <f t="shared" si="63"/>
        <v>4.2692676086063752E-2</v>
      </c>
      <c r="W568" s="23">
        <f t="shared" si="64"/>
        <v>3.489779941006077E-3</v>
      </c>
      <c r="X568" s="24">
        <v>4.198826305913439E-2</v>
      </c>
      <c r="Y568" s="24">
        <f t="shared" si="65"/>
        <v>4.2654994832744153E-2</v>
      </c>
      <c r="Z568" s="23">
        <f t="shared" si="66"/>
        <v>3.4867174689743319E-3</v>
      </c>
      <c r="AA568" s="36"/>
    </row>
    <row r="569" spans="15:27" ht="13.9" customHeight="1" x14ac:dyDescent="0.3">
      <c r="O569" s="12">
        <f t="shared" si="60"/>
        <v>46.333333333333336</v>
      </c>
      <c r="P569" s="13">
        <v>556</v>
      </c>
      <c r="Q569" s="22">
        <v>3.5679740469716892E-2</v>
      </c>
      <c r="R569" s="19">
        <f t="shared" si="61"/>
        <v>3.26174761900202E-2</v>
      </c>
      <c r="S569" s="22">
        <v>3.9795087693079045E-2</v>
      </c>
      <c r="T569" s="19">
        <f t="shared" si="62"/>
        <v>4.2555310716130057E-2</v>
      </c>
      <c r="U569" s="24">
        <v>4.25526182279099E-2</v>
      </c>
      <c r="V569" s="24">
        <f t="shared" si="63"/>
        <v>4.2694769308575298E-2</v>
      </c>
      <c r="W569" s="23">
        <f t="shared" si="64"/>
        <v>3.4899489732698186E-3</v>
      </c>
      <c r="X569" s="24">
        <v>4.1989461834204267E-2</v>
      </c>
      <c r="Y569" s="24">
        <f t="shared" si="65"/>
        <v>4.2657586156420457E-2</v>
      </c>
      <c r="Z569" s="23">
        <f t="shared" si="66"/>
        <v>3.4869268791155594E-3</v>
      </c>
      <c r="AA569" s="36"/>
    </row>
    <row r="570" spans="15:27" ht="13.9" customHeight="1" x14ac:dyDescent="0.3">
      <c r="O570" s="12">
        <f t="shared" si="60"/>
        <v>46.416666666666664</v>
      </c>
      <c r="P570" s="13">
        <v>557</v>
      </c>
      <c r="Q570" s="22">
        <v>3.5674234558992657E-2</v>
      </c>
      <c r="R570" s="19">
        <f t="shared" si="61"/>
        <v>3.2636752406179026E-2</v>
      </c>
      <c r="S570" s="22">
        <v>3.9800036656153281E-2</v>
      </c>
      <c r="T570" s="19">
        <f t="shared" si="62"/>
        <v>4.2559357809131892E-2</v>
      </c>
      <c r="U570" s="24">
        <v>4.2552873418947312E-2</v>
      </c>
      <c r="V570" s="24">
        <f t="shared" si="63"/>
        <v>4.2696848225860284E-2</v>
      </c>
      <c r="W570" s="23">
        <f t="shared" si="64"/>
        <v>3.4901168499819057E-3</v>
      </c>
      <c r="X570" s="24">
        <v>4.1990660955563586E-2</v>
      </c>
      <c r="Y570" s="24">
        <f t="shared" si="65"/>
        <v>4.2660157949672151E-2</v>
      </c>
      <c r="Z570" s="23">
        <f t="shared" si="66"/>
        <v>3.4871347104437067E-3</v>
      </c>
      <c r="AA570" s="36"/>
    </row>
    <row r="571" spans="15:27" ht="13.9" customHeight="1" x14ac:dyDescent="0.3">
      <c r="O571" s="12">
        <f t="shared" si="60"/>
        <v>46.5</v>
      </c>
      <c r="P571" s="13">
        <v>558</v>
      </c>
      <c r="Q571" s="22">
        <v>3.5668783058773634E-2</v>
      </c>
      <c r="R571" s="19">
        <f t="shared" si="61"/>
        <v>3.2656171732081019E-2</v>
      </c>
      <c r="S571" s="22">
        <v>3.9804975138144183E-2</v>
      </c>
      <c r="T571" s="19">
        <f t="shared" si="62"/>
        <v>4.2563367937074492E-2</v>
      </c>
      <c r="U571" s="24">
        <v>4.2553131420532075E-2</v>
      </c>
      <c r="V571" s="24">
        <f t="shared" si="63"/>
        <v>4.2698912935454247E-2</v>
      </c>
      <c r="W571" s="23">
        <f t="shared" si="64"/>
        <v>3.4902835791073006E-3</v>
      </c>
      <c r="X571" s="24">
        <v>4.1991860386369595E-2</v>
      </c>
      <c r="Y571" s="24">
        <f t="shared" si="65"/>
        <v>4.2662710361654366E-2</v>
      </c>
      <c r="Z571" s="23">
        <f t="shared" si="66"/>
        <v>3.4873409749098805E-3</v>
      </c>
      <c r="AA571" s="36"/>
    </row>
    <row r="572" spans="15:27" ht="13.9" customHeight="1" x14ac:dyDescent="0.3">
      <c r="O572" s="12">
        <f t="shared" si="60"/>
        <v>46.583333333333336</v>
      </c>
      <c r="P572" s="13">
        <v>559</v>
      </c>
      <c r="Q572" s="22">
        <v>3.5663385932463543E-2</v>
      </c>
      <c r="R572" s="19">
        <f t="shared" si="61"/>
        <v>3.2675730153596927E-2</v>
      </c>
      <c r="S572" s="22">
        <v>3.9809903129297552E-2</v>
      </c>
      <c r="T572" s="19">
        <f t="shared" si="62"/>
        <v>4.256734143958818E-2</v>
      </c>
      <c r="U572" s="24">
        <v>4.2553392192163031E-2</v>
      </c>
      <c r="V572" s="24">
        <f t="shared" si="63"/>
        <v>4.2700963536054681E-2</v>
      </c>
      <c r="W572" s="23">
        <f t="shared" si="64"/>
        <v>3.4904491684746297E-3</v>
      </c>
      <c r="X572" s="24">
        <v>4.1993060090309342E-2</v>
      </c>
      <c r="Y572" s="24">
        <f t="shared" si="65"/>
        <v>4.2665243537919562E-2</v>
      </c>
      <c r="Z572" s="23">
        <f t="shared" si="66"/>
        <v>3.4875456844869479E-3</v>
      </c>
      <c r="AA572" s="36"/>
    </row>
    <row r="573" spans="15:27" ht="13.9" customHeight="1" x14ac:dyDescent="0.3">
      <c r="O573" s="12">
        <f t="shared" si="60"/>
        <v>46.666666666666664</v>
      </c>
      <c r="P573" s="13">
        <v>560</v>
      </c>
      <c r="Q573" s="22">
        <v>3.5658043136527429E-2</v>
      </c>
      <c r="R573" s="19">
        <f t="shared" si="61"/>
        <v>3.2695427563780743E-2</v>
      </c>
      <c r="S573" s="22">
        <v>3.981482062053332E-2</v>
      </c>
      <c r="T573" s="19">
        <f t="shared" si="62"/>
        <v>4.2571278653305455E-2</v>
      </c>
      <c r="U573" s="24">
        <v>4.2553655693804648E-2</v>
      </c>
      <c r="V573" s="24">
        <f t="shared" si="63"/>
        <v>4.270300012302819E-2</v>
      </c>
      <c r="W573" s="23">
        <f t="shared" si="64"/>
        <v>3.4906136260053344E-3</v>
      </c>
      <c r="X573" s="24">
        <v>4.1994260031589681E-2</v>
      </c>
      <c r="Y573" s="24">
        <f t="shared" si="65"/>
        <v>4.2667757624429203E-2</v>
      </c>
      <c r="Z573" s="23">
        <f t="shared" si="66"/>
        <v>3.4877488508591181E-3</v>
      </c>
      <c r="AA573" s="36"/>
    </row>
    <row r="574" spans="15:27" ht="13.9" customHeight="1" x14ac:dyDescent="0.3">
      <c r="O574" s="12">
        <f t="shared" si="60"/>
        <v>46.75</v>
      </c>
      <c r="P574" s="13">
        <v>561</v>
      </c>
      <c r="Q574" s="22">
        <v>3.5652754627538696E-2</v>
      </c>
      <c r="R574" s="19">
        <f t="shared" si="61"/>
        <v>3.2715265162805096E-2</v>
      </c>
      <c r="S574" s="22">
        <v>3.9819727603434885E-2</v>
      </c>
      <c r="T574" s="19">
        <f t="shared" si="62"/>
        <v>4.2575179913125982E-2</v>
      </c>
      <c r="U574" s="24">
        <v>4.2553921885877033E-2</v>
      </c>
      <c r="V574" s="24">
        <f t="shared" si="63"/>
        <v>4.2705022795064718E-2</v>
      </c>
      <c r="W574" s="23">
        <f t="shared" si="64"/>
        <v>3.4907769593541804E-3</v>
      </c>
      <c r="X574" s="24">
        <v>4.1995460174932386E-2</v>
      </c>
      <c r="Y574" s="24">
        <f t="shared" si="65"/>
        <v>4.267025276785219E-2</v>
      </c>
      <c r="Z574" s="23">
        <f t="shared" si="66"/>
        <v>3.4879504857430188E-3</v>
      </c>
      <c r="AA574" s="36"/>
    </row>
    <row r="575" spans="15:27" ht="13.9" customHeight="1" x14ac:dyDescent="0.3">
      <c r="O575" s="12">
        <f t="shared" si="60"/>
        <v>46.833333333333336</v>
      </c>
      <c r="P575" s="13">
        <v>562</v>
      </c>
      <c r="Q575" s="22">
        <v>3.5647520364510799E-2</v>
      </c>
      <c r="R575" s="19">
        <f t="shared" si="61"/>
        <v>3.273524416344431E-2</v>
      </c>
      <c r="S575" s="22">
        <v>3.9824624070239345E-2</v>
      </c>
      <c r="T575" s="19">
        <f t="shared" si="62"/>
        <v>4.2579045549115291E-2</v>
      </c>
      <c r="U575" s="24">
        <v>4.2554190729257702E-2</v>
      </c>
      <c r="V575" s="24">
        <f t="shared" si="63"/>
        <v>4.2707031647136295E-2</v>
      </c>
      <c r="W575" s="23">
        <f t="shared" si="64"/>
        <v>3.4909391764419428E-3</v>
      </c>
      <c r="X575" s="24">
        <v>4.1996660485571269E-2</v>
      </c>
      <c r="Y575" s="24">
        <f t="shared" si="65"/>
        <v>4.2672729110539986E-2</v>
      </c>
      <c r="Z575" s="23">
        <f t="shared" si="66"/>
        <v>3.488150600911899E-3</v>
      </c>
      <c r="AA575" s="36"/>
    </row>
    <row r="576" spans="15:27" ht="13.9" customHeight="1" x14ac:dyDescent="0.3">
      <c r="O576" s="12">
        <f t="shared" si="60"/>
        <v>46.916666666666664</v>
      </c>
      <c r="P576" s="13">
        <v>563</v>
      </c>
      <c r="Q576" s="22">
        <v>3.564234030889768E-2</v>
      </c>
      <c r="R576" s="19">
        <f t="shared" si="61"/>
        <v>3.2755365789067126E-2</v>
      </c>
      <c r="S576" s="22">
        <v>3.982951001382351E-2</v>
      </c>
      <c r="T576" s="19">
        <f t="shared" si="62"/>
        <v>4.2582875888043104E-2</v>
      </c>
      <c r="U576" s="24">
        <v>4.2554462185270925E-2</v>
      </c>
      <c r="V576" s="24">
        <f t="shared" si="63"/>
        <v>4.2709026773051439E-2</v>
      </c>
      <c r="W576" s="23">
        <f t="shared" si="64"/>
        <v>3.491100284891191E-3</v>
      </c>
      <c r="X576" s="24">
        <v>4.1997860929240183E-2</v>
      </c>
      <c r="Y576" s="24">
        <f t="shared" si="65"/>
        <v>4.2675186794455033E-2</v>
      </c>
      <c r="Z576" s="23">
        <f t="shared" si="66"/>
        <v>3.4883492077926181E-3</v>
      </c>
      <c r="AA576" s="36"/>
    </row>
    <row r="577" spans="15:27" ht="13.9" customHeight="1" x14ac:dyDescent="0.3">
      <c r="O577" s="12">
        <f t="shared" si="60"/>
        <v>47</v>
      </c>
      <c r="P577" s="13">
        <v>564</v>
      </c>
      <c r="Q577" s="22">
        <v>3.5637214424590669E-2</v>
      </c>
      <c r="R577" s="19">
        <f t="shared" si="61"/>
        <v>3.2775630004716394E-2</v>
      </c>
      <c r="S577" s="22">
        <v>3.9834385427692798E-2</v>
      </c>
      <c r="T577" s="19">
        <f t="shared" si="62"/>
        <v>4.2586671255110398E-2</v>
      </c>
      <c r="U577" s="24">
        <v>4.2554736215681732E-2</v>
      </c>
      <c r="V577" s="24">
        <f t="shared" si="63"/>
        <v>4.2711008267580786E-2</v>
      </c>
      <c r="W577" s="23">
        <f t="shared" si="64"/>
        <v>3.4912602922314573E-3</v>
      </c>
      <c r="X577" s="24">
        <v>4.1999061472167254E-2</v>
      </c>
      <c r="Y577" s="24">
        <f t="shared" si="65"/>
        <v>4.2677625962168175E-2</v>
      </c>
      <c r="Z577" s="23">
        <f t="shared" si="66"/>
        <v>3.4885463177807274E-3</v>
      </c>
      <c r="AA577" s="36"/>
    </row>
    <row r="578" spans="15:27" ht="13.9" customHeight="1" x14ac:dyDescent="0.3">
      <c r="O578" s="12">
        <f t="shared" si="60"/>
        <v>47.083333333333336</v>
      </c>
      <c r="P578" s="13">
        <v>565</v>
      </c>
      <c r="Q578" s="22">
        <v>3.5632142675663392E-2</v>
      </c>
      <c r="R578" s="19">
        <f t="shared" si="61"/>
        <v>3.2796032976236011E-2</v>
      </c>
      <c r="S578" s="22">
        <v>3.9839250305971907E-2</v>
      </c>
      <c r="T578" s="19">
        <f t="shared" si="62"/>
        <v>4.2590431971872178E-2</v>
      </c>
      <c r="U578" s="24">
        <v>4.2555012782693691E-2</v>
      </c>
      <c r="V578" s="24">
        <f t="shared" si="63"/>
        <v>4.2712976226002342E-2</v>
      </c>
      <c r="W578" s="23">
        <f t="shared" si="64"/>
        <v>3.4914192060686577E-3</v>
      </c>
      <c r="X578" s="24">
        <v>4.2000262081072215E-2</v>
      </c>
      <c r="Y578" s="24">
        <f t="shared" si="65"/>
        <v>4.2680046753763357E-2</v>
      </c>
      <c r="Z578" s="23">
        <f t="shared" si="66"/>
        <v>3.4887419423201838E-3</v>
      </c>
      <c r="AA578" s="36"/>
    </row>
    <row r="579" spans="15:27" ht="13.9" customHeight="1" x14ac:dyDescent="0.3">
      <c r="O579" s="12">
        <f t="shared" si="60"/>
        <v>47.166666666666664</v>
      </c>
      <c r="P579" s="13">
        <v>566</v>
      </c>
      <c r="Q579" s="22">
        <v>3.5627125019639161E-2</v>
      </c>
      <c r="R579" s="19">
        <f t="shared" si="61"/>
        <v>3.2816574699461309E-2</v>
      </c>
      <c r="S579" s="22">
        <v>3.9844104643393941E-2</v>
      </c>
      <c r="T579" s="19">
        <f t="shared" si="62"/>
        <v>4.2594158356614731E-2</v>
      </c>
      <c r="U579" s="24">
        <v>4.2555291848945798E-2</v>
      </c>
      <c r="V579" s="24">
        <f t="shared" si="63"/>
        <v>4.271493074027255E-2</v>
      </c>
      <c r="W579" s="23">
        <f t="shared" si="64"/>
        <v>3.4915770340497865E-3</v>
      </c>
      <c r="X579" s="24">
        <v>4.2001462723157301E-2</v>
      </c>
      <c r="Y579" s="24">
        <f t="shared" si="65"/>
        <v>4.2682449308917736E-2</v>
      </c>
      <c r="Z579" s="23">
        <f t="shared" si="66"/>
        <v>3.4889360926553259E-3</v>
      </c>
      <c r="AA579" s="36"/>
    </row>
    <row r="580" spans="15:27" ht="13.9" customHeight="1" x14ac:dyDescent="0.3">
      <c r="O580" s="12">
        <f t="shared" si="60"/>
        <v>47.25</v>
      </c>
      <c r="P580" s="13">
        <v>567</v>
      </c>
      <c r="Q580" s="22">
        <v>3.5622161414323061E-2</v>
      </c>
      <c r="R580" s="19">
        <f t="shared" si="61"/>
        <v>3.2837256453217778E-2</v>
      </c>
      <c r="S580" s="22">
        <v>3.9848948435288634E-2</v>
      </c>
      <c r="T580" s="19">
        <f t="shared" si="62"/>
        <v>4.2597850724558795E-2</v>
      </c>
      <c r="U580" s="24">
        <v>4.2555573377502931E-2</v>
      </c>
      <c r="V580" s="24">
        <f t="shared" si="63"/>
        <v>4.2716871901632869E-2</v>
      </c>
      <c r="W580" s="23">
        <f t="shared" si="64"/>
        <v>3.4917337835553841E-3</v>
      </c>
      <c r="X580" s="24">
        <v>4.2002663366102366E-2</v>
      </c>
      <c r="Y580" s="24">
        <f t="shared" si="65"/>
        <v>4.2684833765048058E-2</v>
      </c>
      <c r="Z580" s="23">
        <f t="shared" si="66"/>
        <v>3.4891287799980741E-3</v>
      </c>
      <c r="AA580" s="36"/>
    </row>
    <row r="581" spans="15:27" ht="13.9" customHeight="1" x14ac:dyDescent="0.3">
      <c r="O581" s="12">
        <f t="shared" si="60"/>
        <v>47.333333333333336</v>
      </c>
      <c r="P581" s="13">
        <v>568</v>
      </c>
      <c r="Q581" s="22">
        <v>3.5617251820063478E-2</v>
      </c>
      <c r="R581" s="19">
        <f t="shared" si="61"/>
        <v>3.2858079528770512E-2</v>
      </c>
      <c r="S581" s="22">
        <v>3.9853781677572364E-2</v>
      </c>
      <c r="T581" s="19">
        <f t="shared" si="62"/>
        <v>4.2601509388729975E-2</v>
      </c>
      <c r="U581" s="24">
        <v>4.2555857331851188E-2</v>
      </c>
      <c r="V581" s="24">
        <f t="shared" si="63"/>
        <v>4.2718799804158047E-2</v>
      </c>
      <c r="W581" s="23">
        <f t="shared" si="64"/>
        <v>3.4918894619084817E-3</v>
      </c>
      <c r="X581" s="24">
        <v>4.2003863978056888E-2</v>
      </c>
      <c r="Y581" s="24">
        <f t="shared" si="65"/>
        <v>4.2687200259729163E-2</v>
      </c>
      <c r="Z581" s="23">
        <f t="shared" si="66"/>
        <v>3.4893200153782722E-3</v>
      </c>
      <c r="AA581" s="36"/>
    </row>
    <row r="582" spans="15:27" ht="13.9" customHeight="1" x14ac:dyDescent="0.3">
      <c r="O582" s="12">
        <f t="shared" si="60"/>
        <v>47.416666666666664</v>
      </c>
      <c r="P582" s="13">
        <v>569</v>
      </c>
      <c r="Q582" s="22">
        <v>3.5612396199752538E-2</v>
      </c>
      <c r="R582" s="19">
        <f t="shared" si="61"/>
        <v>3.287904522732199E-2</v>
      </c>
      <c r="S582" s="22">
        <v>3.985860436673816E-2</v>
      </c>
      <c r="T582" s="19">
        <f t="shared" si="62"/>
        <v>4.2605134658465049E-2</v>
      </c>
      <c r="U582" s="24">
        <v>4.2556143675898106E-2</v>
      </c>
      <c r="V582" s="24">
        <f t="shared" si="63"/>
        <v>4.2720714537431315E-2</v>
      </c>
      <c r="W582" s="23">
        <f t="shared" si="64"/>
        <v>3.4920440766590399E-3</v>
      </c>
      <c r="X582" s="24">
        <v>4.2005064527635749E-2</v>
      </c>
      <c r="Y582" s="24">
        <f t="shared" si="65"/>
        <v>4.2689548929825571E-2</v>
      </c>
      <c r="Z582" s="23">
        <f t="shared" si="66"/>
        <v>3.4895098098390864E-3</v>
      </c>
      <c r="AA582" s="36"/>
    </row>
    <row r="583" spans="15:27" ht="13.9" customHeight="1" x14ac:dyDescent="0.3">
      <c r="O583" s="12">
        <f t="shared" si="60"/>
        <v>47.5</v>
      </c>
      <c r="P583" s="13">
        <v>570</v>
      </c>
      <c r="Q583" s="22">
        <v>3.5607594518819674E-2</v>
      </c>
      <c r="R583" s="19">
        <f t="shared" si="61"/>
        <v>3.2900153617727357E-2</v>
      </c>
      <c r="S583" s="22">
        <v>3.9863416499845261E-2</v>
      </c>
      <c r="T583" s="19">
        <f t="shared" si="62"/>
        <v>4.2608726840880351E-2</v>
      </c>
      <c r="U583" s="24">
        <v>4.2556432373962449E-2</v>
      </c>
      <c r="V583" s="24">
        <f t="shared" si="63"/>
        <v>4.2722616193381802E-2</v>
      </c>
      <c r="W583" s="23">
        <f t="shared" si="64"/>
        <v>3.4921976349968631E-3</v>
      </c>
      <c r="X583" s="24">
        <v>4.2006264983914132E-2</v>
      </c>
      <c r="Y583" s="24">
        <f t="shared" si="65"/>
        <v>4.2691879909944719E-2</v>
      </c>
      <c r="Z583" s="23">
        <f t="shared" si="66"/>
        <v>3.4896981743657296E-3</v>
      </c>
      <c r="AA583" s="36"/>
    </row>
    <row r="584" spans="15:27" ht="13.9" customHeight="1" x14ac:dyDescent="0.3">
      <c r="O584" s="12">
        <f t="shared" si="60"/>
        <v>47.583333333333336</v>
      </c>
      <c r="P584" s="13">
        <v>571</v>
      </c>
      <c r="Q584" s="22">
        <v>3.5602846743046479E-2</v>
      </c>
      <c r="R584" s="19">
        <f t="shared" si="61"/>
        <v>3.292140104240171E-2</v>
      </c>
      <c r="S584" s="22">
        <v>3.9868218074509576E-2</v>
      </c>
      <c r="T584" s="19">
        <f t="shared" si="62"/>
        <v>4.2612286239467778E-2</v>
      </c>
      <c r="U584" s="24">
        <v>4.2556723390773543E-2</v>
      </c>
      <c r="V584" s="24">
        <f t="shared" si="63"/>
        <v>4.2724504859682266E-2</v>
      </c>
      <c r="W584" s="23">
        <f t="shared" si="64"/>
        <v>3.4923501442998273E-3</v>
      </c>
      <c r="X584" s="24">
        <v>4.2007465316419745E-2</v>
      </c>
      <c r="Y584" s="24">
        <f t="shared" si="65"/>
        <v>4.2694193333218111E-2</v>
      </c>
      <c r="Z584" s="23">
        <f t="shared" si="66"/>
        <v>3.4898851197626701E-3</v>
      </c>
      <c r="AA584" s="36"/>
    </row>
    <row r="585" spans="15:27" ht="13.9" customHeight="1" x14ac:dyDescent="0.3">
      <c r="O585" s="12">
        <f t="shared" si="60"/>
        <v>47.666666666666664</v>
      </c>
      <c r="P585" s="13">
        <v>572</v>
      </c>
      <c r="Q585" s="22">
        <v>3.5598152832031049E-2</v>
      </c>
      <c r="R585" s="19">
        <f t="shared" si="61"/>
        <v>3.2942787600341195E-2</v>
      </c>
      <c r="S585" s="22">
        <v>3.9873009088892575E-2</v>
      </c>
      <c r="T585" s="19">
        <f t="shared" si="62"/>
        <v>4.2615813155323146E-2</v>
      </c>
      <c r="U585" s="24">
        <v>4.2557016691461058E-2</v>
      </c>
      <c r="V585" s="24">
        <f t="shared" si="63"/>
        <v>4.2726380627335248E-2</v>
      </c>
      <c r="W585" s="23">
        <f t="shared" si="64"/>
        <v>3.492501611604748E-3</v>
      </c>
      <c r="X585" s="24">
        <v>4.2008665495125719E-2</v>
      </c>
      <c r="Y585" s="24">
        <f t="shared" si="65"/>
        <v>4.2696489333805099E-2</v>
      </c>
      <c r="Z585" s="23">
        <f t="shared" si="66"/>
        <v>3.4900706567158046E-3</v>
      </c>
      <c r="AA585" s="36"/>
    </row>
    <row r="586" spans="15:27" ht="13.9" customHeight="1" x14ac:dyDescent="0.3">
      <c r="O586" s="12">
        <f t="shared" si="60"/>
        <v>47.75</v>
      </c>
      <c r="P586" s="13">
        <v>573</v>
      </c>
      <c r="Q586" s="22">
        <v>3.5593512745815792E-2</v>
      </c>
      <c r="R586" s="19">
        <f t="shared" si="61"/>
        <v>3.2964314648934012E-2</v>
      </c>
      <c r="S586" s="22">
        <v>3.9877789541692854E-2</v>
      </c>
      <c r="T586" s="19">
        <f t="shared" si="62"/>
        <v>4.2619307887353353E-2</v>
      </c>
      <c r="U586" s="24">
        <v>4.2557312241556566E-2</v>
      </c>
      <c r="V586" s="24">
        <f t="shared" si="63"/>
        <v>4.2728243584412517E-2</v>
      </c>
      <c r="W586" s="23">
        <f t="shared" si="64"/>
        <v>3.4926520442144504E-3</v>
      </c>
      <c r="X586" s="24">
        <v>4.2009865490448828E-2</v>
      </c>
      <c r="Y586" s="24">
        <f t="shared" si="65"/>
        <v>4.2698768043475388E-2</v>
      </c>
      <c r="Z586" s="23">
        <f t="shared" si="66"/>
        <v>3.4902547959934083E-3</v>
      </c>
      <c r="AA586" s="36"/>
    </row>
    <row r="587" spans="15:27" ht="13.9" customHeight="1" x14ac:dyDescent="0.3">
      <c r="O587" s="12">
        <f t="shared" si="60"/>
        <v>47.833333333333336</v>
      </c>
      <c r="P587" s="13">
        <v>574</v>
      </c>
      <c r="Q587" s="22">
        <v>3.5588926447081226E-2</v>
      </c>
      <c r="R587" s="19">
        <f t="shared" si="61"/>
        <v>3.2985983557422438E-2</v>
      </c>
      <c r="S587" s="22">
        <v>3.9882559432137255E-2</v>
      </c>
      <c r="T587" s="19">
        <f t="shared" si="62"/>
        <v>4.2622770730512016E-2</v>
      </c>
      <c r="U587" s="24">
        <v>4.2557610006985769E-2</v>
      </c>
      <c r="V587" s="24">
        <f t="shared" si="63"/>
        <v>4.2730093819532522E-2</v>
      </c>
      <c r="W587" s="23">
        <f t="shared" si="64"/>
        <v>3.4928014491975024E-3</v>
      </c>
      <c r="X587" s="24">
        <v>4.2011065273241943E-2</v>
      </c>
      <c r="Y587" s="24">
        <f t="shared" si="65"/>
        <v>4.2701029593590789E-2</v>
      </c>
      <c r="Z587" s="23">
        <f t="shared" si="66"/>
        <v>3.4904375481716876E-3</v>
      </c>
      <c r="AA587" s="36"/>
    </row>
    <row r="588" spans="15:27" ht="13.9" customHeight="1" x14ac:dyDescent="0.3">
      <c r="O588" s="12">
        <f t="shared" si="60"/>
        <v>47.916666666666664</v>
      </c>
      <c r="P588" s="13">
        <v>575</v>
      </c>
      <c r="Q588" s="22">
        <v>3.5584393901143541E-2</v>
      </c>
      <c r="R588" s="19">
        <f t="shared" si="61"/>
        <v>3.300779570599599E-2</v>
      </c>
      <c r="S588" s="22">
        <v>3.9887318759969093E-2</v>
      </c>
      <c r="T588" s="19">
        <f t="shared" si="62"/>
        <v>4.2626201977381539E-2</v>
      </c>
      <c r="U588" s="24">
        <v>4.2557909954065387E-2</v>
      </c>
      <c r="V588" s="24">
        <f t="shared" si="63"/>
        <v>4.2731931418942715E-2</v>
      </c>
      <c r="W588" s="23">
        <f t="shared" si="64"/>
        <v>3.4929498336659925E-3</v>
      </c>
      <c r="X588" s="24">
        <v>4.201226481478848E-2</v>
      </c>
      <c r="Y588" s="24">
        <f t="shared" si="65"/>
        <v>4.270327411312369E-2</v>
      </c>
      <c r="Z588" s="23">
        <f t="shared" si="66"/>
        <v>3.4906189237942087E-3</v>
      </c>
      <c r="AA588" s="36"/>
    </row>
    <row r="589" spans="15:27" ht="13.9" customHeight="1" x14ac:dyDescent="0.3">
      <c r="O589" s="12">
        <f t="shared" si="60"/>
        <v>48</v>
      </c>
      <c r="P589" s="13">
        <v>576</v>
      </c>
      <c r="Q589" s="22">
        <v>3.5579915075950597E-2</v>
      </c>
      <c r="R589" s="19">
        <f t="shared" si="61"/>
        <v>3.3029751265451379E-2</v>
      </c>
      <c r="S589" s="22">
        <v>3.9892067525440389E-2</v>
      </c>
      <c r="T589" s="19">
        <f t="shared" si="62"/>
        <v>4.2629601918776627E-2</v>
      </c>
      <c r="U589" s="24">
        <v>4.2558212049496058E-2</v>
      </c>
      <c r="V589" s="24">
        <f t="shared" si="63"/>
        <v>4.2733756470243689E-2</v>
      </c>
      <c r="W589" s="23">
        <f t="shared" si="64"/>
        <v>3.4930972045414954E-3</v>
      </c>
      <c r="X589" s="24">
        <v>4.2013464086795516E-2</v>
      </c>
      <c r="Y589" s="24">
        <f t="shared" si="65"/>
        <v>4.2705501731905793E-2</v>
      </c>
      <c r="Z589" s="23">
        <f t="shared" si="66"/>
        <v>3.490798933212913E-3</v>
      </c>
      <c r="AA589" s="36"/>
    </row>
    <row r="590" spans="15:27" ht="13.9" customHeight="1" x14ac:dyDescent="0.3">
      <c r="O590" s="12">
        <f t="shared" ref="O590:O653" si="67">P590/12</f>
        <v>48.083333333333336</v>
      </c>
      <c r="P590" s="13">
        <v>577</v>
      </c>
      <c r="Q590" s="22">
        <v>3.5575489939957183E-2</v>
      </c>
      <c r="R590" s="19">
        <f t="shared" ref="R590:R653" si="68">(1+Q591)^P591/(1+Q590)^P590-1</f>
        <v>3.3051846754277525E-2</v>
      </c>
      <c r="S590" s="22">
        <v>3.9896805729303875E-2</v>
      </c>
      <c r="T590" s="19">
        <f t="shared" ref="T590:T653" si="69">(1+S591)^P591/(1+S590)^P590-1</f>
        <v>4.2632970841162798E-2</v>
      </c>
      <c r="U590" s="24">
        <v>4.2558516260361001E-2</v>
      </c>
      <c r="V590" s="24">
        <f t="shared" ref="V590:V653" si="70">(1+U591)^P591/(1+U590)^P590-1</f>
        <v>4.2735569059386247E-2</v>
      </c>
      <c r="W590" s="23">
        <f t="shared" si="64"/>
        <v>3.4932435688546093E-3</v>
      </c>
      <c r="X590" s="24">
        <v>4.2014663061391122E-2</v>
      </c>
      <c r="Y590" s="24">
        <f t="shared" si="65"/>
        <v>4.2707712577597423E-2</v>
      </c>
      <c r="Z590" s="23">
        <f t="shared" si="66"/>
        <v>3.4909775868479098E-3</v>
      </c>
      <c r="AA590" s="36"/>
    </row>
    <row r="591" spans="15:27" ht="13.9" customHeight="1" x14ac:dyDescent="0.3">
      <c r="O591" s="12">
        <f t="shared" si="67"/>
        <v>48.166666666666664</v>
      </c>
      <c r="P591" s="13">
        <v>578</v>
      </c>
      <c r="Q591" s="22">
        <v>3.5571118455786532E-2</v>
      </c>
      <c r="R591" s="19">
        <f t="shared" si="68"/>
        <v>3.3074082373902414E-2</v>
      </c>
      <c r="S591" s="22">
        <v>3.9901533372801001E-2</v>
      </c>
      <c r="T591" s="19">
        <f t="shared" si="69"/>
        <v>4.2636309030559039E-2</v>
      </c>
      <c r="U591" s="24">
        <v>4.2558822554120024E-2</v>
      </c>
      <c r="V591" s="24">
        <f t="shared" si="70"/>
        <v>4.2737369272915382E-2</v>
      </c>
      <c r="W591" s="23">
        <f t="shared" ref="W591:W654" si="71">(1+V590)^(1/12)-1</f>
        <v>3.4933889335029278E-3</v>
      </c>
      <c r="X591" s="24">
        <v>4.2015861711116598E-2</v>
      </c>
      <c r="Y591" s="24">
        <f t="shared" ref="Y591:Y654" si="72">(1+X592)^P592/(1+X591)^P591-1</f>
        <v>4.2709906778176432E-2</v>
      </c>
      <c r="Z591" s="23">
        <f t="shared" ref="Z591:Z654" si="73">(1+Y590)^(1/12)-1</f>
        <v>3.4911548949456694E-3</v>
      </c>
      <c r="AA591" s="36"/>
    </row>
    <row r="592" spans="15:27" ht="13.9" customHeight="1" x14ac:dyDescent="0.3">
      <c r="O592" s="12">
        <f t="shared" si="67"/>
        <v>48.25</v>
      </c>
      <c r="P592" s="13">
        <v>579</v>
      </c>
      <c r="Q592" s="22">
        <v>3.5566800586657843E-2</v>
      </c>
      <c r="R592" s="19">
        <f t="shared" si="68"/>
        <v>3.3096459560127744E-2</v>
      </c>
      <c r="S592" s="22">
        <v>3.9906250457657499E-2</v>
      </c>
      <c r="T592" s="19">
        <f t="shared" si="69"/>
        <v>4.2639616766906752E-2</v>
      </c>
      <c r="U592" s="24">
        <v>4.25591308986073E-2</v>
      </c>
      <c r="V592" s="24">
        <f t="shared" si="70"/>
        <v>4.2739157193244282E-2</v>
      </c>
      <c r="W592" s="23">
        <f t="shared" si="71"/>
        <v>3.4935333054317841E-3</v>
      </c>
      <c r="X592" s="24">
        <v>4.2017060008924467E-2</v>
      </c>
      <c r="Y592" s="24">
        <f t="shared" si="72"/>
        <v>4.2712084457468436E-2</v>
      </c>
      <c r="Z592" s="23">
        <f t="shared" si="73"/>
        <v>3.4913308677777533E-3</v>
      </c>
      <c r="AA592" s="36"/>
    </row>
    <row r="593" spans="15:27" ht="13.9" customHeight="1" x14ac:dyDescent="0.3">
      <c r="O593" s="12">
        <f t="shared" si="67"/>
        <v>48.333333333333336</v>
      </c>
      <c r="P593" s="13">
        <v>580</v>
      </c>
      <c r="Q593" s="22">
        <v>3.5562536298513914E-2</v>
      </c>
      <c r="R593" s="19">
        <f t="shared" si="68"/>
        <v>3.3118979760911493E-2</v>
      </c>
      <c r="S593" s="22">
        <v>3.991095698606828E-2</v>
      </c>
      <c r="T593" s="19">
        <f t="shared" si="69"/>
        <v>4.2642894332025838E-2</v>
      </c>
      <c r="U593" s="24">
        <v>4.2559441262021158E-2</v>
      </c>
      <c r="V593" s="24">
        <f t="shared" si="70"/>
        <v>4.2740932908132967E-2</v>
      </c>
      <c r="W593" s="23">
        <f t="shared" si="71"/>
        <v>3.4936766912554429E-3</v>
      </c>
      <c r="X593" s="24">
        <v>4.2018257928166935E-2</v>
      </c>
      <c r="Y593" s="24">
        <f t="shared" si="72"/>
        <v>4.2714245743046275E-2</v>
      </c>
      <c r="Z593" s="23">
        <f t="shared" si="73"/>
        <v>3.4915055152822116E-3</v>
      </c>
      <c r="AA593" s="36"/>
    </row>
    <row r="594" spans="15:27" ht="13.9" customHeight="1" x14ac:dyDescent="0.3">
      <c r="O594" s="12">
        <f t="shared" si="67"/>
        <v>48.416666666666664</v>
      </c>
      <c r="P594" s="13">
        <v>581</v>
      </c>
      <c r="Q594" s="22">
        <v>3.5558325560018256E-2</v>
      </c>
      <c r="R594" s="19">
        <f t="shared" si="68"/>
        <v>3.3141644435689344E-2</v>
      </c>
      <c r="S594" s="22">
        <v>3.9915652960696768E-2</v>
      </c>
      <c r="T594" s="19">
        <f t="shared" si="69"/>
        <v>4.2646142000934084E-2</v>
      </c>
      <c r="U594" s="24">
        <v>4.2559753612929629E-2</v>
      </c>
      <c r="V594" s="24">
        <f t="shared" si="70"/>
        <v>4.2742696498887067E-2</v>
      </c>
      <c r="W594" s="23">
        <f t="shared" si="71"/>
        <v>3.4938190980164929E-3</v>
      </c>
      <c r="X594" s="24">
        <v>4.2019455442598996E-2</v>
      </c>
      <c r="Y594" s="24">
        <f t="shared" si="72"/>
        <v>4.271639075784317E-2</v>
      </c>
      <c r="Z594" s="23">
        <f t="shared" si="73"/>
        <v>3.4916788476984095E-3</v>
      </c>
      <c r="AA594" s="36"/>
    </row>
    <row r="595" spans="15:27" ht="13.9" customHeight="1" x14ac:dyDescent="0.3">
      <c r="O595" s="12">
        <f t="shared" si="67"/>
        <v>48.5</v>
      </c>
      <c r="P595" s="13">
        <v>582</v>
      </c>
      <c r="Q595" s="22">
        <v>3.5554168342551762E-2</v>
      </c>
      <c r="R595" s="19">
        <f t="shared" si="68"/>
        <v>3.3164453858647303E-2</v>
      </c>
      <c r="S595" s="22">
        <v>3.9920338384659582E-2</v>
      </c>
      <c r="T595" s="19">
        <f t="shared" si="69"/>
        <v>4.2649360048904184E-2</v>
      </c>
      <c r="U595" s="24">
        <v>4.2560067920256905E-2</v>
      </c>
      <c r="V595" s="24">
        <f t="shared" si="70"/>
        <v>4.2744448050069828E-2</v>
      </c>
      <c r="W595" s="23">
        <f t="shared" si="71"/>
        <v>3.493960532239937E-3</v>
      </c>
      <c r="X595" s="24">
        <v>4.202065252636733E-2</v>
      </c>
      <c r="Y595" s="24">
        <f t="shared" si="72"/>
        <v>4.2718519624893814E-2</v>
      </c>
      <c r="Z595" s="23">
        <f t="shared" si="73"/>
        <v>3.4918508748924548E-3</v>
      </c>
      <c r="AA595" s="36"/>
    </row>
    <row r="596" spans="15:27" ht="13.9" customHeight="1" x14ac:dyDescent="0.3">
      <c r="O596" s="12">
        <f t="shared" si="67"/>
        <v>48.583333333333336</v>
      </c>
      <c r="P596" s="13">
        <v>583</v>
      </c>
      <c r="Q596" s="22">
        <v>3.5550064618150801E-2</v>
      </c>
      <c r="R596" s="19">
        <f t="shared" si="68"/>
        <v>3.3187404720731228E-2</v>
      </c>
      <c r="S596" s="22">
        <v>3.9925013261522313E-2</v>
      </c>
      <c r="T596" s="19">
        <f t="shared" si="69"/>
        <v>4.2652548746889396E-2</v>
      </c>
      <c r="U596" s="24">
        <v>4.2560384153285336E-2</v>
      </c>
      <c r="V596" s="24">
        <f t="shared" si="70"/>
        <v>4.2746187643597278E-2</v>
      </c>
      <c r="W596" s="23">
        <f t="shared" si="71"/>
        <v>3.4941010007119022E-3</v>
      </c>
      <c r="X596" s="24">
        <v>4.2021849154006974E-2</v>
      </c>
      <c r="Y596" s="24">
        <f t="shared" si="72"/>
        <v>4.2720632466917818E-2</v>
      </c>
      <c r="Z596" s="23">
        <f t="shared" si="73"/>
        <v>3.4920216067388932E-3</v>
      </c>
      <c r="AA596" s="36"/>
    </row>
    <row r="597" spans="15:27" ht="13.9" customHeight="1" x14ac:dyDescent="0.3">
      <c r="O597" s="12">
        <f t="shared" si="67"/>
        <v>48.666666666666664</v>
      </c>
      <c r="P597" s="13">
        <v>584</v>
      </c>
      <c r="Q597" s="22">
        <v>3.554601435335214E-2</v>
      </c>
      <c r="R597" s="19">
        <f t="shared" si="68"/>
        <v>3.3210497326876531E-2</v>
      </c>
      <c r="S597" s="22">
        <v>3.9929677595289315E-2</v>
      </c>
      <c r="T597" s="19">
        <f t="shared" si="69"/>
        <v>4.2655708365003653E-2</v>
      </c>
      <c r="U597" s="24">
        <v>4.25607022816481E-2</v>
      </c>
      <c r="V597" s="24">
        <f t="shared" si="70"/>
        <v>4.2747915362010502E-2</v>
      </c>
      <c r="W597" s="23">
        <f t="shared" si="71"/>
        <v>3.4942405100064633E-3</v>
      </c>
      <c r="X597" s="24">
        <v>4.2023045300437323E-2</v>
      </c>
      <c r="Y597" s="24">
        <f t="shared" si="72"/>
        <v>4.2722729405081594E-2</v>
      </c>
      <c r="Z597" s="23">
        <f t="shared" si="73"/>
        <v>3.4921910530871791E-3</v>
      </c>
      <c r="AA597" s="36"/>
    </row>
    <row r="598" spans="15:27" ht="13.9" customHeight="1" x14ac:dyDescent="0.3">
      <c r="O598" s="12">
        <f t="shared" si="67"/>
        <v>48.75</v>
      </c>
      <c r="P598" s="13">
        <v>585</v>
      </c>
      <c r="Q598" s="22">
        <v>3.5542017515432178E-2</v>
      </c>
      <c r="R598" s="19">
        <f t="shared" si="68"/>
        <v>3.3233733192190806E-2</v>
      </c>
      <c r="S598" s="22">
        <v>3.993433139039726E-2</v>
      </c>
      <c r="T598" s="19">
        <f t="shared" si="69"/>
        <v>4.265883916900215E-2</v>
      </c>
      <c r="U598" s="24">
        <v>4.2561022275326987E-2</v>
      </c>
      <c r="V598" s="24">
        <f t="shared" si="70"/>
        <v>4.2749631286745027E-2</v>
      </c>
      <c r="W598" s="23">
        <f t="shared" si="71"/>
        <v>3.4943790667474328E-3</v>
      </c>
      <c r="X598" s="24">
        <v>4.2024240940956359E-2</v>
      </c>
      <c r="Y598" s="24">
        <f t="shared" si="72"/>
        <v>4.2724810559825688E-2</v>
      </c>
      <c r="Z598" s="23">
        <f t="shared" si="73"/>
        <v>3.4923592236615342E-3</v>
      </c>
      <c r="AA598" s="36"/>
    </row>
    <row r="599" spans="15:27" ht="13.9" customHeight="1" x14ac:dyDescent="0.3">
      <c r="O599" s="12">
        <f t="shared" si="67"/>
        <v>48.833333333333336</v>
      </c>
      <c r="P599" s="13">
        <v>586</v>
      </c>
      <c r="Q599" s="22">
        <v>3.5538074074470183E-2</v>
      </c>
      <c r="R599" s="19">
        <f t="shared" si="68"/>
        <v>3.325711384422303E-2</v>
      </c>
      <c r="S599" s="22">
        <v>3.9938974651705372E-2</v>
      </c>
      <c r="T599" s="19">
        <f t="shared" si="69"/>
        <v>4.2661941423806082E-2</v>
      </c>
      <c r="U599" s="24">
        <v>4.2561344104647736E-2</v>
      </c>
      <c r="V599" s="24">
        <f t="shared" si="70"/>
        <v>4.275133549842236E-2</v>
      </c>
      <c r="W599" s="23">
        <f t="shared" si="71"/>
        <v>3.4945166774698055E-3</v>
      </c>
      <c r="X599" s="24">
        <v>4.2025436051235987E-2</v>
      </c>
      <c r="Y599" s="24">
        <f t="shared" si="72"/>
        <v>4.2726876050274143E-2</v>
      </c>
      <c r="Z599" s="23">
        <f t="shared" si="73"/>
        <v>3.4925261281284481E-3</v>
      </c>
      <c r="AA599" s="36"/>
    </row>
    <row r="600" spans="15:27" ht="13.9" customHeight="1" x14ac:dyDescent="0.3">
      <c r="O600" s="12">
        <f t="shared" si="67"/>
        <v>48.916666666666664</v>
      </c>
      <c r="P600" s="13">
        <v>587</v>
      </c>
      <c r="Q600" s="22">
        <v>3.5534184003345182E-2</v>
      </c>
      <c r="R600" s="19">
        <f t="shared" si="68"/>
        <v>3.3280640822505259E-2</v>
      </c>
      <c r="S600" s="22">
        <v>3.9943607384489432E-2</v>
      </c>
      <c r="T600" s="19">
        <f t="shared" si="69"/>
        <v>4.2665015390782601E-2</v>
      </c>
      <c r="U600" s="24">
        <v>4.2561667740276032E-2</v>
      </c>
      <c r="V600" s="24">
        <f t="shared" si="70"/>
        <v>4.2753028077673116E-2</v>
      </c>
      <c r="W600" s="23">
        <f t="shared" si="71"/>
        <v>3.4946533486435172E-3</v>
      </c>
      <c r="X600" s="24">
        <v>4.2026630607316928E-2</v>
      </c>
      <c r="Y600" s="24">
        <f t="shared" si="72"/>
        <v>4.2728925995017208E-2</v>
      </c>
      <c r="Z600" s="23">
        <f t="shared" si="73"/>
        <v>3.4926917760478293E-3</v>
      </c>
      <c r="AA600" s="36"/>
    </row>
    <row r="601" spans="15:27" ht="13.9" customHeight="1" x14ac:dyDescent="0.3">
      <c r="O601" s="12">
        <f t="shared" si="67"/>
        <v>49</v>
      </c>
      <c r="P601" s="13">
        <v>588</v>
      </c>
      <c r="Q601" s="22">
        <v>3.5530347277732854E-2</v>
      </c>
      <c r="R601" s="19">
        <f t="shared" si="68"/>
        <v>3.3304314503711741E-2</v>
      </c>
      <c r="S601" s="22">
        <v>3.9948229594432672E-2</v>
      </c>
      <c r="T601" s="19">
        <f t="shared" si="69"/>
        <v>4.2668061329842688E-2</v>
      </c>
      <c r="U601" s="24">
        <v>4.2561993153213962E-2</v>
      </c>
      <c r="V601" s="24">
        <f t="shared" si="70"/>
        <v>4.2754709105142563E-2</v>
      </c>
      <c r="W601" s="23">
        <f t="shared" si="71"/>
        <v>3.4947890867391695E-3</v>
      </c>
      <c r="X601" s="24">
        <v>4.2027824585604279E-2</v>
      </c>
      <c r="Y601" s="24">
        <f t="shared" si="72"/>
        <v>4.273096051223102E-2</v>
      </c>
      <c r="Z601" s="23">
        <f t="shared" si="73"/>
        <v>3.4928561769376198E-3</v>
      </c>
      <c r="AA601" s="36"/>
    </row>
    <row r="602" spans="15:27" ht="13.9" customHeight="1" x14ac:dyDescent="0.3">
      <c r="O602" s="12">
        <f t="shared" si="67"/>
        <v>49.083333333333336</v>
      </c>
      <c r="P602" s="13">
        <v>589</v>
      </c>
      <c r="Q602" s="22">
        <v>3.5526563874102024E-2</v>
      </c>
      <c r="R602" s="19">
        <f t="shared" si="68"/>
        <v>3.3328131752708767E-2</v>
      </c>
      <c r="S602" s="22">
        <v>3.9952841287619778E-2</v>
      </c>
      <c r="T602" s="19">
        <f t="shared" si="69"/>
        <v>4.2671079496992892E-2</v>
      </c>
      <c r="U602" s="24">
        <v>4.2562320314797564E-2</v>
      </c>
      <c r="V602" s="24">
        <f t="shared" si="70"/>
        <v>4.2756378658185268E-2</v>
      </c>
      <c r="W602" s="23">
        <f t="shared" si="71"/>
        <v>3.4949238982280306E-3</v>
      </c>
      <c r="X602" s="24">
        <v>4.2029017962863957E-2</v>
      </c>
      <c r="Y602" s="24">
        <f t="shared" si="72"/>
        <v>4.2732979718269837E-2</v>
      </c>
      <c r="Z602" s="23">
        <f t="shared" si="73"/>
        <v>3.4930193402817888E-3</v>
      </c>
      <c r="AA602" s="36"/>
    </row>
    <row r="603" spans="15:27" ht="13.9" customHeight="1" x14ac:dyDescent="0.3">
      <c r="O603" s="12">
        <f t="shared" si="67"/>
        <v>49.166666666666664</v>
      </c>
      <c r="P603" s="13">
        <v>590</v>
      </c>
      <c r="Q603" s="22">
        <v>3.5522833763743877E-2</v>
      </c>
      <c r="R603" s="19">
        <f t="shared" si="68"/>
        <v>3.335209297565811E-2</v>
      </c>
      <c r="S603" s="22">
        <v>3.9957442470526905E-2</v>
      </c>
      <c r="T603" s="19">
        <f t="shared" si="69"/>
        <v>4.2674070147922016E-2</v>
      </c>
      <c r="U603" s="24">
        <v>4.2562649196688396E-2</v>
      </c>
      <c r="V603" s="24">
        <f t="shared" si="70"/>
        <v>4.2758036817797773E-2</v>
      </c>
      <c r="W603" s="23">
        <f t="shared" si="71"/>
        <v>3.4950577893180235E-3</v>
      </c>
      <c r="X603" s="24">
        <v>4.2030210716216709E-2</v>
      </c>
      <c r="Y603" s="24">
        <f t="shared" si="72"/>
        <v>4.2734983729110221E-2</v>
      </c>
      <c r="Z603" s="23">
        <f t="shared" si="73"/>
        <v>3.4931812754184222E-3</v>
      </c>
      <c r="AA603" s="36"/>
    </row>
    <row r="604" spans="15:27" ht="13.9" customHeight="1" x14ac:dyDescent="0.3">
      <c r="O604" s="12">
        <f t="shared" si="67"/>
        <v>49.25</v>
      </c>
      <c r="P604" s="13">
        <v>591</v>
      </c>
      <c r="Q604" s="22">
        <v>3.5519156918820238E-2</v>
      </c>
      <c r="R604" s="19">
        <f t="shared" si="68"/>
        <v>3.3376199770013271E-2</v>
      </c>
      <c r="S604" s="22">
        <v>3.9962033150017451E-2</v>
      </c>
      <c r="T604" s="19">
        <f t="shared" si="69"/>
        <v>4.2677033533977671E-2</v>
      </c>
      <c r="U604" s="24">
        <v>4.2562979770877085E-2</v>
      </c>
      <c r="V604" s="24">
        <f t="shared" si="70"/>
        <v>4.2759683660369641E-2</v>
      </c>
      <c r="W604" s="23">
        <f t="shared" si="71"/>
        <v>3.4951907665083937E-3</v>
      </c>
      <c r="X604" s="24">
        <v>4.203140282313389E-2</v>
      </c>
      <c r="Y604" s="24">
        <f t="shared" si="72"/>
        <v>4.2736972659345618E-2</v>
      </c>
      <c r="Z604" s="23">
        <f t="shared" si="73"/>
        <v>3.4933419916549635E-3</v>
      </c>
      <c r="AA604" s="36"/>
    </row>
    <row r="605" spans="15:27" ht="13.9" customHeight="1" x14ac:dyDescent="0.3">
      <c r="O605" s="12">
        <f t="shared" si="67"/>
        <v>49.333333333333336</v>
      </c>
      <c r="P605" s="13">
        <v>592</v>
      </c>
      <c r="Q605" s="22">
        <v>3.5515533314372849E-2</v>
      </c>
      <c r="R605" s="19">
        <f t="shared" si="68"/>
        <v>3.3400453742767233E-2</v>
      </c>
      <c r="S605" s="22">
        <v>3.996661333333229E-2</v>
      </c>
      <c r="T605" s="19">
        <f t="shared" si="69"/>
        <v>4.2679969905214943E-2</v>
      </c>
      <c r="U605" s="24">
        <v>4.2563312009672227E-2</v>
      </c>
      <c r="V605" s="24">
        <f t="shared" si="70"/>
        <v>4.2761319264290165E-2</v>
      </c>
      <c r="W605" s="23">
        <f t="shared" si="71"/>
        <v>3.4953228359295707E-3</v>
      </c>
      <c r="X605" s="24">
        <v>4.2032594261433021E-2</v>
      </c>
      <c r="Y605" s="24">
        <f t="shared" si="72"/>
        <v>4.2738946623394947E-2</v>
      </c>
      <c r="Z605" s="23">
        <f t="shared" si="73"/>
        <v>3.4935014981878343E-3</v>
      </c>
      <c r="AA605" s="36"/>
    </row>
    <row r="606" spans="15:27" ht="13.9" customHeight="1" x14ac:dyDescent="0.3">
      <c r="O606" s="12">
        <f t="shared" si="67"/>
        <v>49.416666666666664</v>
      </c>
      <c r="P606" s="13">
        <v>593</v>
      </c>
      <c r="Q606" s="22">
        <v>3.5511962928314933E-2</v>
      </c>
      <c r="R606" s="19">
        <f t="shared" si="68"/>
        <v>3.3424856516235613E-2</v>
      </c>
      <c r="S606" s="22">
        <v>3.9971183028083557E-2</v>
      </c>
      <c r="T606" s="19">
        <f t="shared" si="69"/>
        <v>4.2682879509610805E-2</v>
      </c>
      <c r="U606" s="24">
        <v>4.256364588570194E-2</v>
      </c>
      <c r="V606" s="24">
        <f t="shared" si="70"/>
        <v>4.2762943707116197E-2</v>
      </c>
      <c r="W606" s="23">
        <f t="shared" si="71"/>
        <v>3.4954540038720783E-3</v>
      </c>
      <c r="X606" s="24">
        <v>4.2033785009273572E-2</v>
      </c>
      <c r="Y606" s="24">
        <f t="shared" si="72"/>
        <v>4.2740905734824697E-2</v>
      </c>
      <c r="Z606" s="23">
        <f t="shared" si="73"/>
        <v>3.4936598041996891E-3</v>
      </c>
      <c r="AA606" s="36"/>
    </row>
    <row r="607" spans="15:27" ht="13.9" customHeight="1" x14ac:dyDescent="0.3">
      <c r="O607" s="12">
        <f t="shared" si="67"/>
        <v>49.5</v>
      </c>
      <c r="P607" s="13">
        <v>594</v>
      </c>
      <c r="Q607" s="22">
        <v>3.5508445741432304E-2</v>
      </c>
      <c r="R607" s="19">
        <f t="shared" si="68"/>
        <v>3.3449408569411254E-2</v>
      </c>
      <c r="S607" s="22">
        <v>3.9975742242248646E-2</v>
      </c>
      <c r="T607" s="19">
        <f t="shared" si="69"/>
        <v>4.2685762591651466E-2</v>
      </c>
      <c r="U607" s="24">
        <v>4.2563981371908755E-2</v>
      </c>
      <c r="V607" s="24">
        <f t="shared" si="70"/>
        <v>4.2764557064030484E-2</v>
      </c>
      <c r="W607" s="23">
        <f t="shared" si="71"/>
        <v>3.4955842765589384E-3</v>
      </c>
      <c r="X607" s="24">
        <v>4.2034975045153633E-2</v>
      </c>
      <c r="Y607" s="24">
        <f t="shared" si="72"/>
        <v>4.2742850104335206E-2</v>
      </c>
      <c r="Z607" s="23">
        <f t="shared" si="73"/>
        <v>3.4938169188041268E-3</v>
      </c>
      <c r="AA607" s="36"/>
    </row>
    <row r="608" spans="15:27" ht="13.9" customHeight="1" x14ac:dyDescent="0.3">
      <c r="O608" s="12">
        <f t="shared" si="67"/>
        <v>49.583333333333336</v>
      </c>
      <c r="P608" s="13">
        <v>595</v>
      </c>
      <c r="Q608" s="22">
        <v>3.5504981735433816E-2</v>
      </c>
      <c r="R608" s="19">
        <f t="shared" si="68"/>
        <v>3.3474106939402892E-2</v>
      </c>
      <c r="S608" s="22">
        <v>3.9980290984160893E-2</v>
      </c>
      <c r="T608" s="19">
        <f t="shared" si="69"/>
        <v>4.268861939543811E-2</v>
      </c>
      <c r="U608" s="24">
        <v>4.2564318441544069E-2</v>
      </c>
      <c r="V608" s="24">
        <f t="shared" si="70"/>
        <v>4.2766159412754634E-2</v>
      </c>
      <c r="W608" s="23">
        <f t="shared" si="71"/>
        <v>3.4957136600237693E-3</v>
      </c>
      <c r="X608" s="24">
        <v>4.2036164347901694E-2</v>
      </c>
      <c r="Y608" s="24">
        <f t="shared" si="72"/>
        <v>4.2744779845848901E-2</v>
      </c>
      <c r="Z608" s="23">
        <f t="shared" si="73"/>
        <v>3.493972850885152E-3</v>
      </c>
      <c r="AA608" s="36"/>
    </row>
    <row r="609" spans="15:27" ht="13.9" customHeight="1" x14ac:dyDescent="0.3">
      <c r="O609" s="12">
        <f t="shared" si="67"/>
        <v>49.666666666666664</v>
      </c>
      <c r="P609" s="13">
        <v>596</v>
      </c>
      <c r="Q609" s="22">
        <v>3.5501570887156664E-2</v>
      </c>
      <c r="R609" s="19">
        <f t="shared" si="68"/>
        <v>3.3498952137801741E-2</v>
      </c>
      <c r="S609" s="22">
        <v>3.9984829262506238E-2</v>
      </c>
      <c r="T609" s="19">
        <f t="shared" si="69"/>
        <v>4.2691450160733613E-2</v>
      </c>
      <c r="U609" s="24">
        <v>4.2564657068168588E-2</v>
      </c>
      <c r="V609" s="24">
        <f t="shared" si="70"/>
        <v>4.2767750827690687E-2</v>
      </c>
      <c r="W609" s="23">
        <f t="shared" si="71"/>
        <v>3.4958421605029155E-3</v>
      </c>
      <c r="X609" s="24">
        <v>4.2037352896679092E-2</v>
      </c>
      <c r="Y609" s="24">
        <f t="shared" si="72"/>
        <v>4.2746695068488938E-2</v>
      </c>
      <c r="Z609" s="23">
        <f t="shared" si="73"/>
        <v>3.4941276095852292E-3</v>
      </c>
      <c r="AA609" s="36"/>
    </row>
    <row r="610" spans="15:27" ht="13.9" customHeight="1" x14ac:dyDescent="0.3">
      <c r="O610" s="12">
        <f t="shared" si="67"/>
        <v>49.75</v>
      </c>
      <c r="P610" s="13">
        <v>597</v>
      </c>
      <c r="Q610" s="22">
        <v>3.5498213174439464E-2</v>
      </c>
      <c r="R610" s="19">
        <f t="shared" si="68"/>
        <v>3.3523945841971381E-2</v>
      </c>
      <c r="S610" s="22">
        <v>3.9989357086312793E-2</v>
      </c>
      <c r="T610" s="19">
        <f t="shared" si="69"/>
        <v>4.2694255126694225E-2</v>
      </c>
      <c r="U610" s="24">
        <v>4.256499722564544E-2</v>
      </c>
      <c r="V610" s="24">
        <f t="shared" si="70"/>
        <v>4.2769331384104659E-2</v>
      </c>
      <c r="W610" s="23">
        <f t="shared" si="71"/>
        <v>3.4959697839671566E-3</v>
      </c>
      <c r="X610" s="24">
        <v>4.2038540670969793E-2</v>
      </c>
      <c r="Y610" s="24">
        <f t="shared" si="72"/>
        <v>4.2748595882065921E-2</v>
      </c>
      <c r="Z610" s="23">
        <f t="shared" si="73"/>
        <v>3.4942812036613535E-3</v>
      </c>
      <c r="AA610" s="36"/>
    </row>
    <row r="611" spans="15:27" ht="13.9" customHeight="1" x14ac:dyDescent="0.3">
      <c r="O611" s="12">
        <f t="shared" si="67"/>
        <v>49.833333333333336</v>
      </c>
      <c r="P611" s="13">
        <v>598</v>
      </c>
      <c r="Q611" s="22">
        <v>3.5494908578066697E-2</v>
      </c>
      <c r="R611" s="19">
        <f t="shared" si="68"/>
        <v>3.3549089743658556E-2</v>
      </c>
      <c r="S611" s="22">
        <v>3.9993874464947288E-2</v>
      </c>
      <c r="T611" s="19">
        <f t="shared" si="69"/>
        <v>4.2697034528973887E-2</v>
      </c>
      <c r="U611" s="24">
        <v>4.2565338888138182E-2</v>
      </c>
      <c r="V611" s="24">
        <f t="shared" si="70"/>
        <v>4.2770901156454544E-2</v>
      </c>
      <c r="W611" s="23">
        <f t="shared" si="71"/>
        <v>3.4960965364556618E-3</v>
      </c>
      <c r="X611" s="24">
        <v>4.2039727650578396E-2</v>
      </c>
      <c r="Y611" s="24">
        <f t="shared" si="72"/>
        <v>4.2750482395964129E-2</v>
      </c>
      <c r="Z611" s="23">
        <f t="shared" si="73"/>
        <v>3.4944336419260313E-3</v>
      </c>
      <c r="AA611" s="36"/>
    </row>
    <row r="612" spans="15:27" ht="13.9" customHeight="1" x14ac:dyDescent="0.3">
      <c r="O612" s="12">
        <f t="shared" si="67"/>
        <v>49.916666666666664</v>
      </c>
      <c r="P612" s="13">
        <v>599</v>
      </c>
      <c r="Q612" s="22">
        <v>3.549165708176738E-2</v>
      </c>
      <c r="R612" s="19">
        <f t="shared" si="68"/>
        <v>3.3574385545648289E-2</v>
      </c>
      <c r="S612" s="22">
        <v>3.9998381408105965E-2</v>
      </c>
      <c r="T612" s="19">
        <f t="shared" si="69"/>
        <v>4.2699788602407196E-2</v>
      </c>
      <c r="U612" s="24">
        <v>4.2565682030107244E-2</v>
      </c>
      <c r="V612" s="24">
        <f t="shared" si="70"/>
        <v>4.2772460218764241E-2</v>
      </c>
      <c r="W612" s="23">
        <f t="shared" si="71"/>
        <v>3.4962224239436512E-3</v>
      </c>
      <c r="X612" s="24">
        <v>4.2040913815626801E-2</v>
      </c>
      <c r="Y612" s="24">
        <f t="shared" si="72"/>
        <v>4.2752354717892294E-2</v>
      </c>
      <c r="Z612" s="23">
        <f t="shared" si="73"/>
        <v>3.494584933157352E-3</v>
      </c>
      <c r="AA612" s="36"/>
    </row>
    <row r="613" spans="15:27" ht="13.9" customHeight="1" x14ac:dyDescent="0.3">
      <c r="O613" s="12">
        <f t="shared" si="67"/>
        <v>50</v>
      </c>
      <c r="P613" s="13">
        <v>600</v>
      </c>
      <c r="Q613" s="22">
        <v>3.5488458672209289E-2</v>
      </c>
      <c r="R613" s="19">
        <f t="shared" si="68"/>
        <v>3.3599771960137748E-2</v>
      </c>
      <c r="S613" s="22">
        <v>4.0002877925810809E-2</v>
      </c>
      <c r="T613" s="19">
        <f t="shared" si="69"/>
        <v>4.2702517578526278E-2</v>
      </c>
      <c r="U613" s="24">
        <v>4.2566026626306819E-2</v>
      </c>
      <c r="V613" s="24">
        <f t="shared" si="70"/>
        <v>4.2774008644503647E-2</v>
      </c>
      <c r="W613" s="23">
        <f t="shared" si="71"/>
        <v>3.4963474523705962E-3</v>
      </c>
      <c r="X613" s="24">
        <v>4.2042099146549106E-2</v>
      </c>
      <c r="Y613" s="24">
        <f t="shared" si="72"/>
        <v>4.2754212955818494E-2</v>
      </c>
      <c r="Z613" s="23">
        <f t="shared" si="73"/>
        <v>3.4947350859984017E-3</v>
      </c>
      <c r="AA613" s="36"/>
    </row>
    <row r="614" spans="15:27" ht="13.9" customHeight="1" x14ac:dyDescent="0.3">
      <c r="O614" s="12">
        <f t="shared" si="67"/>
        <v>50.083333333333336</v>
      </c>
      <c r="P614" s="13">
        <v>601</v>
      </c>
      <c r="Q614" s="22">
        <v>3.5485313233972748E-2</v>
      </c>
      <c r="R614" s="19">
        <f t="shared" si="68"/>
        <v>3.3624998801864425E-2</v>
      </c>
      <c r="S614" s="22">
        <v>4.0007364028401327E-2</v>
      </c>
      <c r="T614" s="19">
        <f t="shared" si="69"/>
        <v>4.2705221687255879E-2</v>
      </c>
      <c r="U614" s="24">
        <v>4.2566372651781537E-2</v>
      </c>
      <c r="V614" s="24">
        <f t="shared" si="70"/>
        <v>4.2775546506243822E-2</v>
      </c>
      <c r="W614" s="23">
        <f t="shared" si="71"/>
        <v>3.496471627632225E-3</v>
      </c>
      <c r="X614" s="24">
        <v>4.2043283624088934E-2</v>
      </c>
      <c r="Y614" s="24">
        <f t="shared" si="72"/>
        <v>4.2756057215165066E-2</v>
      </c>
      <c r="Z614" s="23">
        <f t="shared" si="73"/>
        <v>3.4948841091135829E-3</v>
      </c>
      <c r="AA614" s="36"/>
    </row>
    <row r="615" spans="15:27" ht="13.9" customHeight="1" x14ac:dyDescent="0.3">
      <c r="O615" s="12">
        <f t="shared" si="67"/>
        <v>50.166666666666664</v>
      </c>
      <c r="P615" s="13">
        <v>602</v>
      </c>
      <c r="Q615" s="22">
        <v>3.5482220236063622E-2</v>
      </c>
      <c r="R615" s="19">
        <f t="shared" si="68"/>
        <v>3.3650005080704259E-2</v>
      </c>
      <c r="S615" s="22">
        <v>4.0011839726529219E-2</v>
      </c>
      <c r="T615" s="19">
        <f t="shared" si="69"/>
        <v>4.2707901156192385E-2</v>
      </c>
      <c r="U615" s="24">
        <v>4.2566720081862019E-2</v>
      </c>
      <c r="V615" s="24">
        <f t="shared" si="70"/>
        <v>4.2777073876976379E-2</v>
      </c>
      <c r="W615" s="23">
        <f t="shared" si="71"/>
        <v>3.4965949555516573E-3</v>
      </c>
      <c r="X615" s="24">
        <v>4.2044467229293003E-2</v>
      </c>
      <c r="Y615" s="24">
        <f t="shared" si="72"/>
        <v>4.2757887602528521E-2</v>
      </c>
      <c r="Z615" s="23">
        <f t="shared" si="73"/>
        <v>3.4950320109630173E-3</v>
      </c>
      <c r="AA615" s="36"/>
    </row>
    <row r="616" spans="15:27" ht="13.9" customHeight="1" x14ac:dyDescent="0.3">
      <c r="O616" s="12">
        <f t="shared" si="67"/>
        <v>50.25</v>
      </c>
      <c r="P616" s="13">
        <v>603</v>
      </c>
      <c r="Q616" s="22">
        <v>3.5479179049717091E-2</v>
      </c>
      <c r="R616" s="19">
        <f t="shared" si="68"/>
        <v>3.3674792819601507E-2</v>
      </c>
      <c r="S616" s="22">
        <v>4.0016305031151722E-2</v>
      </c>
      <c r="T616" s="19">
        <f t="shared" si="69"/>
        <v>4.2710556211533746E-2</v>
      </c>
      <c r="U616" s="24">
        <v>4.2567068892163995E-2</v>
      </c>
      <c r="V616" s="24">
        <f t="shared" si="70"/>
        <v>4.2778590828339791E-2</v>
      </c>
      <c r="W616" s="23">
        <f t="shared" si="71"/>
        <v>3.4967174419857638E-3</v>
      </c>
      <c r="X616" s="24">
        <v>4.2045649943510233E-2</v>
      </c>
      <c r="Y616" s="24">
        <f t="shared" si="72"/>
        <v>4.2759704222528283E-2</v>
      </c>
      <c r="Z616" s="23">
        <f t="shared" si="73"/>
        <v>3.4951788001007511E-3</v>
      </c>
      <c r="AA616" s="36"/>
    </row>
    <row r="617" spans="15:27" ht="13.9" customHeight="1" x14ac:dyDescent="0.3">
      <c r="O617" s="12">
        <f t="shared" si="67"/>
        <v>50.333333333333336</v>
      </c>
      <c r="P617" s="13">
        <v>604</v>
      </c>
      <c r="Q617" s="22">
        <v>3.5476189053726292E-2</v>
      </c>
      <c r="R617" s="19">
        <f t="shared" si="68"/>
        <v>3.3699364021937184E-2</v>
      </c>
      <c r="S617" s="22">
        <v>4.0020759953527163E-2</v>
      </c>
      <c r="T617" s="19">
        <f t="shared" si="69"/>
        <v>4.2713187075913206E-2</v>
      </c>
      <c r="U617" s="24">
        <v>4.2567419058583189E-2</v>
      </c>
      <c r="V617" s="24">
        <f t="shared" si="70"/>
        <v>4.2780097432284725E-2</v>
      </c>
      <c r="W617" s="23">
        <f t="shared" si="71"/>
        <v>3.4968390926832793E-3</v>
      </c>
      <c r="X617" s="24">
        <v>4.2046831748386415E-2</v>
      </c>
      <c r="Y617" s="24">
        <f t="shared" si="72"/>
        <v>4.2761507179182701E-2</v>
      </c>
      <c r="Z617" s="23">
        <f t="shared" si="73"/>
        <v>3.4953244849218468E-3</v>
      </c>
      <c r="AA617" s="36"/>
    </row>
    <row r="618" spans="15:27" ht="13.9" customHeight="1" x14ac:dyDescent="0.3">
      <c r="O618" s="12">
        <f t="shared" si="67"/>
        <v>50.416666666666664</v>
      </c>
      <c r="P618" s="13">
        <v>605</v>
      </c>
      <c r="Q618" s="22">
        <v>3.5473249634345949E-2</v>
      </c>
      <c r="R618" s="19">
        <f t="shared" si="68"/>
        <v>3.3723720670311597E-2</v>
      </c>
      <c r="S618" s="22">
        <v>4.0025204505206302E-2</v>
      </c>
      <c r="T618" s="19">
        <f t="shared" si="69"/>
        <v>4.2715793971299876E-2</v>
      </c>
      <c r="U618" s="24">
        <v>4.2567770557293771E-2</v>
      </c>
      <c r="V618" s="24">
        <f t="shared" si="70"/>
        <v>4.278159375868329E-2</v>
      </c>
      <c r="W618" s="23">
        <f t="shared" si="71"/>
        <v>3.4969599134171414E-3</v>
      </c>
      <c r="X618" s="24">
        <v>4.2048012625860443E-2</v>
      </c>
      <c r="Y618" s="24">
        <f t="shared" si="72"/>
        <v>4.2763296575567544E-2</v>
      </c>
      <c r="Z618" s="23">
        <f t="shared" si="73"/>
        <v>3.4954690737734051E-3</v>
      </c>
      <c r="AA618" s="36"/>
    </row>
    <row r="619" spans="15:27" ht="13.9" customHeight="1" x14ac:dyDescent="0.3">
      <c r="O619" s="12">
        <f t="shared" si="67"/>
        <v>50.5</v>
      </c>
      <c r="P619" s="13">
        <v>606</v>
      </c>
      <c r="Q619" s="22">
        <v>3.5470360185196892E-2</v>
      </c>
      <c r="R619" s="19">
        <f t="shared" si="68"/>
        <v>3.3747864728242094E-2</v>
      </c>
      <c r="S619" s="22">
        <v>4.0029638698029002E-2</v>
      </c>
      <c r="T619" s="19">
        <f t="shared" si="69"/>
        <v>4.2718377116588879E-2</v>
      </c>
      <c r="U619" s="24">
        <v>4.2568123364742139E-2</v>
      </c>
      <c r="V619" s="24">
        <f t="shared" si="70"/>
        <v>4.2783079878209174E-2</v>
      </c>
      <c r="W619" s="23">
        <f t="shared" si="71"/>
        <v>3.4970799097939764E-3</v>
      </c>
      <c r="X619" s="24">
        <v>4.2049192558160309E-2</v>
      </c>
      <c r="Y619" s="24">
        <f t="shared" si="72"/>
        <v>4.2765072513827773E-2</v>
      </c>
      <c r="Z619" s="23">
        <f t="shared" si="73"/>
        <v>3.4956125749272537E-3</v>
      </c>
      <c r="AA619" s="36"/>
    </row>
    <row r="620" spans="15:27" ht="13.9" customHeight="1" x14ac:dyDescent="0.3">
      <c r="O620" s="12">
        <f t="shared" si="67"/>
        <v>50.583333333333336</v>
      </c>
      <c r="P620" s="13">
        <v>607</v>
      </c>
      <c r="Q620" s="22">
        <v>3.5467520107171691E-2</v>
      </c>
      <c r="R620" s="19">
        <f t="shared" si="68"/>
        <v>3.3771798139515141E-2</v>
      </c>
      <c r="S620" s="22">
        <v>4.0034062544116678E-2</v>
      </c>
      <c r="T620" s="19">
        <f t="shared" si="69"/>
        <v>4.2720936729806036E-2</v>
      </c>
      <c r="U620" s="24">
        <v>4.2568477457646914E-2</v>
      </c>
      <c r="V620" s="24">
        <f t="shared" si="70"/>
        <v>4.2784555861900442E-2</v>
      </c>
      <c r="W620" s="23">
        <f t="shared" si="71"/>
        <v>3.4971990874850256E-3</v>
      </c>
      <c r="X620" s="24">
        <v>4.2050371527799557E-2</v>
      </c>
      <c r="Y620" s="24">
        <f t="shared" si="72"/>
        <v>4.2766835096845535E-2</v>
      </c>
      <c r="Z620" s="23">
        <f t="shared" si="73"/>
        <v>3.4957549965797252E-3</v>
      </c>
      <c r="AA620" s="36"/>
    </row>
    <row r="621" spans="15:27" ht="13.9" customHeight="1" x14ac:dyDescent="0.3">
      <c r="O621" s="12">
        <f t="shared" si="67"/>
        <v>50.666666666666664</v>
      </c>
      <c r="P621" s="13">
        <v>608</v>
      </c>
      <c r="Q621" s="22">
        <v>3.5464728808342505E-2</v>
      </c>
      <c r="R621" s="19">
        <f t="shared" si="68"/>
        <v>3.3795522828639069E-2</v>
      </c>
      <c r="S621" s="22">
        <v>4.0038476055868744E-2</v>
      </c>
      <c r="T621" s="19">
        <f t="shared" si="69"/>
        <v>4.2723473025987335E-2</v>
      </c>
      <c r="U621" s="24">
        <v>4.2568832812996282E-2</v>
      </c>
      <c r="V621" s="24">
        <f t="shared" si="70"/>
        <v>4.2786021778202343E-2</v>
      </c>
      <c r="W621" s="23">
        <f t="shared" si="71"/>
        <v>3.4973174521899519E-3</v>
      </c>
      <c r="X621" s="24">
        <v>4.2051549517575504E-2</v>
      </c>
      <c r="Y621" s="24">
        <f t="shared" si="72"/>
        <v>4.2768584424482947E-2</v>
      </c>
      <c r="Z621" s="23">
        <f t="shared" si="73"/>
        <v>3.4958963469864379E-3</v>
      </c>
      <c r="AA621" s="36"/>
    </row>
    <row r="622" spans="15:27" ht="13.9" customHeight="1" x14ac:dyDescent="0.3">
      <c r="O622" s="12">
        <f t="shared" si="67"/>
        <v>50.75</v>
      </c>
      <c r="P622" s="13">
        <v>609</v>
      </c>
      <c r="Q622" s="22">
        <v>3.5461985703869159E-2</v>
      </c>
      <c r="R622" s="19">
        <f t="shared" si="68"/>
        <v>3.3819040700402203E-2</v>
      </c>
      <c r="S622" s="22">
        <v>4.0042879245954843E-2</v>
      </c>
      <c r="T622" s="19">
        <f t="shared" si="69"/>
        <v>4.2725986218454581E-2</v>
      </c>
      <c r="U622" s="24">
        <v>4.2569189408042218E-2</v>
      </c>
      <c r="V622" s="24">
        <f t="shared" si="70"/>
        <v>4.2787477695837239E-2</v>
      </c>
      <c r="W622" s="23">
        <f t="shared" si="71"/>
        <v>3.4974350094010287E-3</v>
      </c>
      <c r="X622" s="24">
        <v>4.2052726510562799E-2</v>
      </c>
      <c r="Y622" s="24">
        <f t="shared" si="72"/>
        <v>4.2770320596800637E-2</v>
      </c>
      <c r="Z622" s="23">
        <f t="shared" si="73"/>
        <v>3.4960366341609816E-3</v>
      </c>
      <c r="AA622" s="36"/>
    </row>
    <row r="623" spans="15:27" ht="13.9" customHeight="1" x14ac:dyDescent="0.3">
      <c r="O623" s="12">
        <f t="shared" si="67"/>
        <v>50.833333333333336</v>
      </c>
      <c r="P623" s="13">
        <v>610</v>
      </c>
      <c r="Q623" s="22">
        <v>3.5459290215908101E-2</v>
      </c>
      <c r="R623" s="19">
        <f t="shared" si="68"/>
        <v>3.3842353642946188E-2</v>
      </c>
      <c r="S623" s="22">
        <v>4.0047272127310851E-2</v>
      </c>
      <c r="T623" s="19">
        <f t="shared" si="69"/>
        <v>4.2728476518451242E-2</v>
      </c>
      <c r="U623" s="24">
        <v>4.2569547220298487E-2</v>
      </c>
      <c r="V623" s="24">
        <f t="shared" si="70"/>
        <v>4.27889236844472E-2</v>
      </c>
      <c r="W623" s="23">
        <f t="shared" si="71"/>
        <v>3.4975517646322896E-3</v>
      </c>
      <c r="X623" s="24">
        <v>4.205390249011054E-2</v>
      </c>
      <c r="Y623" s="24">
        <f t="shared" si="72"/>
        <v>4.2772043713915409E-2</v>
      </c>
      <c r="Z623" s="23">
        <f t="shared" si="73"/>
        <v>3.4961758661324893E-3</v>
      </c>
      <c r="AA623" s="36"/>
    </row>
    <row r="624" spans="15:27" ht="13.9" customHeight="1" x14ac:dyDescent="0.3">
      <c r="O624" s="12">
        <f t="shared" si="67"/>
        <v>50.916666666666664</v>
      </c>
      <c r="P624" s="13">
        <v>611</v>
      </c>
      <c r="Q624" s="22">
        <v>3.5456641773527142E-2</v>
      </c>
      <c r="R624" s="19">
        <f t="shared" si="68"/>
        <v>3.3865463523026218E-2</v>
      </c>
      <c r="S624" s="22">
        <v>4.0051654713132434E-2</v>
      </c>
      <c r="T624" s="19">
        <f t="shared" si="69"/>
        <v>4.2730944136071702E-2</v>
      </c>
      <c r="U624" s="24">
        <v>4.25699062275402E-2</v>
      </c>
      <c r="V624" s="24">
        <f t="shared" si="70"/>
        <v>4.279035981167989E-2</v>
      </c>
      <c r="W624" s="23">
        <f t="shared" si="71"/>
        <v>3.4976677234717091E-3</v>
      </c>
      <c r="X624" s="24">
        <v>4.2055077439840938E-2</v>
      </c>
      <c r="Y624" s="24">
        <f t="shared" si="72"/>
        <v>4.2773753874203901E-2</v>
      </c>
      <c r="Z624" s="23">
        <f t="shared" si="73"/>
        <v>3.4963140509345347E-3</v>
      </c>
      <c r="AA624" s="36"/>
    </row>
    <row r="625" spans="15:27" ht="13.9" customHeight="1" x14ac:dyDescent="0.3">
      <c r="O625" s="12">
        <f t="shared" si="67"/>
        <v>51</v>
      </c>
      <c r="P625" s="13">
        <v>612</v>
      </c>
      <c r="Q625" s="22">
        <v>3.5454039812613081E-2</v>
      </c>
      <c r="R625" s="19">
        <f t="shared" si="68"/>
        <v>3.3888372190585381E-2</v>
      </c>
      <c r="S625" s="22">
        <v>4.0056027016871498E-2</v>
      </c>
      <c r="T625" s="19">
        <f t="shared" si="69"/>
        <v>4.2733389278526879E-2</v>
      </c>
      <c r="U625" s="24">
        <v>4.2570266407798041E-2</v>
      </c>
      <c r="V625" s="24">
        <f t="shared" si="70"/>
        <v>4.2791786145091937E-2</v>
      </c>
      <c r="W625" s="23">
        <f t="shared" si="71"/>
        <v>3.4977828913471676E-3</v>
      </c>
      <c r="X625" s="24">
        <v>4.2056251343643769E-2</v>
      </c>
      <c r="Y625" s="24">
        <f t="shared" si="72"/>
        <v>4.2775451175760315E-2</v>
      </c>
      <c r="Z625" s="23">
        <f t="shared" si="73"/>
        <v>3.4964511964614697E-3</v>
      </c>
      <c r="AA625" s="36"/>
    </row>
    <row r="626" spans="15:27" ht="13.9" customHeight="1" x14ac:dyDescent="0.3">
      <c r="O626" s="12">
        <f t="shared" si="67"/>
        <v>51.083333333333336</v>
      </c>
      <c r="P626" s="13">
        <v>613</v>
      </c>
      <c r="Q626" s="22">
        <v>3.5451483775788217E-2</v>
      </c>
      <c r="R626" s="19">
        <f t="shared" si="68"/>
        <v>3.391108147653954E-2</v>
      </c>
      <c r="S626" s="22">
        <v>4.0060389052229084E-2</v>
      </c>
      <c r="T626" s="19">
        <f t="shared" si="69"/>
        <v>4.2735812150845875E-2</v>
      </c>
      <c r="U626" s="24">
        <v>4.2570627739356492E-2</v>
      </c>
      <c r="V626" s="24">
        <f t="shared" si="70"/>
        <v>4.2793202750418313E-2</v>
      </c>
      <c r="W626" s="23">
        <f t="shared" si="71"/>
        <v>3.497897273679218E-3</v>
      </c>
      <c r="X626" s="24">
        <v>4.2057424185673931E-2</v>
      </c>
      <c r="Y626" s="24">
        <f t="shared" si="72"/>
        <v>4.277713571468178E-2</v>
      </c>
      <c r="Z626" s="23">
        <f t="shared" si="73"/>
        <v>3.4965873105843315E-3</v>
      </c>
      <c r="AA626" s="36"/>
    </row>
    <row r="627" spans="15:27" ht="13.9" customHeight="1" x14ac:dyDescent="0.3">
      <c r="O627" s="12">
        <f t="shared" si="67"/>
        <v>51.166666666666664</v>
      </c>
      <c r="P627" s="13">
        <v>614</v>
      </c>
      <c r="Q627" s="22">
        <v>3.5448973112323534E-2</v>
      </c>
      <c r="R627" s="19">
        <f t="shared" si="68"/>
        <v>3.3933593195703216E-2</v>
      </c>
      <c r="S627" s="22">
        <v>4.0064740833150259E-2</v>
      </c>
      <c r="T627" s="19">
        <f t="shared" si="69"/>
        <v>4.2738212957142085E-2</v>
      </c>
      <c r="U627" s="24">
        <v>4.2570990200748504E-2</v>
      </c>
      <c r="V627" s="24">
        <f t="shared" si="70"/>
        <v>4.2794609696291452E-2</v>
      </c>
      <c r="W627" s="23">
        <f t="shared" si="71"/>
        <v>3.4980108757425299E-3</v>
      </c>
      <c r="X627" s="24">
        <v>4.2058595950345667E-2</v>
      </c>
      <c r="Y627" s="24">
        <f t="shared" si="72"/>
        <v>4.2778807588164769E-2</v>
      </c>
      <c r="Z627" s="23">
        <f t="shared" si="73"/>
        <v>3.496722401014285E-3</v>
      </c>
      <c r="AA627" s="36"/>
    </row>
    <row r="628" spans="15:27" ht="13.9" customHeight="1" x14ac:dyDescent="0.3">
      <c r="O628" s="12">
        <f t="shared" si="67"/>
        <v>51.25</v>
      </c>
      <c r="P628" s="13">
        <v>615</v>
      </c>
      <c r="Q628" s="22">
        <v>3.5446507278057648E-2</v>
      </c>
      <c r="R628" s="19">
        <f t="shared" si="68"/>
        <v>3.3955909141650142E-2</v>
      </c>
      <c r="S628" s="22">
        <v>4.006908237382012E-2</v>
      </c>
      <c r="T628" s="19">
        <f t="shared" si="69"/>
        <v>4.2740591899659952E-2</v>
      </c>
      <c r="U628" s="24">
        <v>4.257135377075838E-2</v>
      </c>
      <c r="V628" s="24">
        <f t="shared" si="70"/>
        <v>4.2796007048235829E-2</v>
      </c>
      <c r="W628" s="23">
        <f t="shared" si="71"/>
        <v>3.4981237030435874E-3</v>
      </c>
      <c r="X628" s="24">
        <v>4.2059766622333017E-2</v>
      </c>
      <c r="Y628" s="24">
        <f t="shared" si="72"/>
        <v>4.2780466892109459E-2</v>
      </c>
      <c r="Z628" s="23">
        <f t="shared" si="73"/>
        <v>3.496856475550203E-3</v>
      </c>
      <c r="AA628" s="36"/>
    </row>
    <row r="629" spans="15:27" ht="13.9" customHeight="1" x14ac:dyDescent="0.3">
      <c r="O629" s="12">
        <f t="shared" si="67"/>
        <v>51.333333333333336</v>
      </c>
      <c r="P629" s="13">
        <v>616</v>
      </c>
      <c r="Q629" s="22">
        <v>3.5444085735308661E-2</v>
      </c>
      <c r="R629" s="19">
        <f t="shared" si="68"/>
        <v>3.3978031093858885E-2</v>
      </c>
      <c r="S629" s="22">
        <v>4.0073413688659354E-2</v>
      </c>
      <c r="T629" s="19">
        <f t="shared" si="69"/>
        <v>4.2742949177896783E-2</v>
      </c>
      <c r="U629" s="24">
        <v>4.2571718428414451E-2</v>
      </c>
      <c r="V629" s="24">
        <f t="shared" si="70"/>
        <v>4.2797394871850525E-2</v>
      </c>
      <c r="W629" s="23">
        <f t="shared" si="71"/>
        <v>3.4982357608399628E-3</v>
      </c>
      <c r="X629" s="24">
        <v>4.2060936186564701E-2</v>
      </c>
      <c r="Y629" s="24">
        <f t="shared" si="72"/>
        <v>4.2782113721271164E-2</v>
      </c>
      <c r="Z629" s="23">
        <f t="shared" si="73"/>
        <v>3.4969895418874852E-3</v>
      </c>
      <c r="AA629" s="36"/>
    </row>
    <row r="630" spans="15:27" ht="13.9" customHeight="1" x14ac:dyDescent="0.3">
      <c r="O630" s="12">
        <f t="shared" si="67"/>
        <v>51.416666666666664</v>
      </c>
      <c r="P630" s="13">
        <v>617</v>
      </c>
      <c r="Q630" s="22">
        <v>3.5441707952797552E-2</v>
      </c>
      <c r="R630" s="19">
        <f t="shared" si="68"/>
        <v>3.3999960812227892E-2</v>
      </c>
      <c r="S630" s="22">
        <v>4.0077734792317354E-2</v>
      </c>
      <c r="T630" s="19">
        <f t="shared" si="69"/>
        <v>4.274528498979735E-2</v>
      </c>
      <c r="U630" s="24">
        <v>4.25720841529873E-2</v>
      </c>
      <c r="V630" s="24">
        <f t="shared" si="70"/>
        <v>4.2798773231289111E-2</v>
      </c>
      <c r="W630" s="23">
        <f t="shared" si="71"/>
        <v>3.4983470543952233E-3</v>
      </c>
      <c r="X630" s="24">
        <v>4.2062104628220798E-2</v>
      </c>
      <c r="Y630" s="24">
        <f t="shared" si="72"/>
        <v>4.2783748168697011E-2</v>
      </c>
      <c r="Z630" s="23">
        <f t="shared" si="73"/>
        <v>3.4971216076291611E-3</v>
      </c>
      <c r="AA630" s="36"/>
    </row>
    <row r="631" spans="15:27" ht="13.9" customHeight="1" x14ac:dyDescent="0.3">
      <c r="O631" s="12">
        <f t="shared" si="67"/>
        <v>51.5</v>
      </c>
      <c r="P631" s="13">
        <v>618</v>
      </c>
      <c r="Q631" s="22">
        <v>3.5439373405564689E-2</v>
      </c>
      <c r="R631" s="19">
        <f t="shared" si="68"/>
        <v>3.4021700039557068E-2</v>
      </c>
      <c r="S631" s="22">
        <v>4.0082045699668223E-2</v>
      </c>
      <c r="T631" s="19">
        <f t="shared" si="69"/>
        <v>4.2747599532127589E-2</v>
      </c>
      <c r="U631" s="24">
        <v>4.2572450923985539E-2</v>
      </c>
      <c r="V631" s="24">
        <f t="shared" si="70"/>
        <v>4.280014219402184E-2</v>
      </c>
      <c r="W631" s="23">
        <f t="shared" si="71"/>
        <v>3.498457588856585E-3</v>
      </c>
      <c r="X631" s="24">
        <v>4.2063271932727853E-2</v>
      </c>
      <c r="Y631" s="24">
        <f t="shared" si="72"/>
        <v>4.2785370329735173E-2</v>
      </c>
      <c r="Z631" s="23">
        <f t="shared" si="73"/>
        <v>3.4972526802414805E-3</v>
      </c>
      <c r="AA631" s="36"/>
    </row>
    <row r="632" spans="15:27" ht="13.9" customHeight="1" x14ac:dyDescent="0.3">
      <c r="O632" s="12">
        <f t="shared" si="67"/>
        <v>51.583333333333336</v>
      </c>
      <c r="P632" s="13">
        <v>619</v>
      </c>
      <c r="Q632" s="22">
        <v>3.5437081574890117E-2</v>
      </c>
      <c r="R632" s="19">
        <f t="shared" si="68"/>
        <v>3.4043250503208222E-2</v>
      </c>
      <c r="S632" s="22">
        <v>4.0086346425807218E-2</v>
      </c>
      <c r="T632" s="19">
        <f t="shared" si="69"/>
        <v>4.2749892999281114E-2</v>
      </c>
      <c r="U632" s="24">
        <v>4.2572818721159367E-2</v>
      </c>
      <c r="V632" s="24">
        <f t="shared" si="70"/>
        <v>4.2801501821733368E-2</v>
      </c>
      <c r="W632" s="23">
        <f t="shared" si="71"/>
        <v>3.4985673696374953E-3</v>
      </c>
      <c r="X632" s="24">
        <v>4.2064438085760436E-2</v>
      </c>
      <c r="Y632" s="24">
        <f t="shared" si="72"/>
        <v>4.2786980295986599E-2</v>
      </c>
      <c r="Z632" s="23">
        <f t="shared" si="73"/>
        <v>3.4973827673749902E-3</v>
      </c>
      <c r="AA632" s="36"/>
    </row>
    <row r="633" spans="15:27" ht="13.9" customHeight="1" x14ac:dyDescent="0.3">
      <c r="O633" s="12">
        <f t="shared" si="67"/>
        <v>51.666666666666664</v>
      </c>
      <c r="P633" s="13">
        <v>620</v>
      </c>
      <c r="Q633" s="22">
        <v>3.5434831948217616E-2</v>
      </c>
      <c r="R633" s="19">
        <f t="shared" si="68"/>
        <v>3.4064613911423125E-2</v>
      </c>
      <c r="S633" s="22">
        <v>4.0090636986044315E-2</v>
      </c>
      <c r="T633" s="19">
        <f t="shared" si="69"/>
        <v>4.2752165583983315E-2</v>
      </c>
      <c r="U633" s="24">
        <v>4.2573187524489242E-2</v>
      </c>
      <c r="V633" s="24">
        <f t="shared" si="70"/>
        <v>4.2802852180147566E-2</v>
      </c>
      <c r="W633" s="23">
        <f t="shared" si="71"/>
        <v>3.4986764016873284E-3</v>
      </c>
      <c r="X633" s="24">
        <v>4.2065603073233149E-2</v>
      </c>
      <c r="Y633" s="24">
        <f t="shared" si="72"/>
        <v>4.2788578160205315E-2</v>
      </c>
      <c r="Z633" s="23">
        <f t="shared" si="73"/>
        <v>3.4975118763798108E-3</v>
      </c>
      <c r="AA633" s="36"/>
    </row>
    <row r="634" spans="15:27" ht="13.9" customHeight="1" x14ac:dyDescent="0.3">
      <c r="O634" s="12">
        <f t="shared" si="67"/>
        <v>51.75</v>
      </c>
      <c r="P634" s="13">
        <v>621</v>
      </c>
      <c r="Q634" s="22">
        <v>3.5432624019073877E-2</v>
      </c>
      <c r="R634" s="19">
        <f t="shared" si="68"/>
        <v>3.4085791957778833E-2</v>
      </c>
      <c r="S634" s="22">
        <v>4.0094917395901097E-2</v>
      </c>
      <c r="T634" s="19">
        <f t="shared" si="69"/>
        <v>4.2754417476316808E-2</v>
      </c>
      <c r="U634" s="24">
        <v>4.257355731418988E-2</v>
      </c>
      <c r="V634" s="24">
        <f t="shared" si="70"/>
        <v>4.2804193331554163E-2</v>
      </c>
      <c r="W634" s="23">
        <f t="shared" si="71"/>
        <v>3.4987846902794217E-3</v>
      </c>
      <c r="X634" s="24">
        <v>4.2066766881300621E-2</v>
      </c>
      <c r="Y634" s="24">
        <f t="shared" si="72"/>
        <v>4.2790164012449061E-2</v>
      </c>
      <c r="Z634" s="23">
        <f t="shared" si="73"/>
        <v>3.4976400146982112E-3</v>
      </c>
      <c r="AA634" s="36"/>
    </row>
    <row r="635" spans="15:27" ht="13.9" customHeight="1" x14ac:dyDescent="0.3">
      <c r="O635" s="12">
        <f t="shared" si="67"/>
        <v>51.833333333333336</v>
      </c>
      <c r="P635" s="13">
        <v>622</v>
      </c>
      <c r="Q635" s="22">
        <v>3.5430457286995232E-2</v>
      </c>
      <c r="R635" s="19">
        <f t="shared" si="68"/>
        <v>3.4106786318097715E-2</v>
      </c>
      <c r="S635" s="22">
        <v>4.0099187671103653E-2</v>
      </c>
      <c r="T635" s="19">
        <f t="shared" si="69"/>
        <v>4.2756648866874691E-2</v>
      </c>
      <c r="U635" s="24">
        <v>4.2573928070703815E-2</v>
      </c>
      <c r="V635" s="24">
        <f t="shared" si="70"/>
        <v>4.2805525339605577E-2</v>
      </c>
      <c r="W635" s="23">
        <f t="shared" si="71"/>
        <v>3.4988922404115552E-3</v>
      </c>
      <c r="X635" s="24">
        <v>4.2067929496351297E-2</v>
      </c>
      <c r="Y635" s="24">
        <f t="shared" si="72"/>
        <v>4.2791737944922748E-2</v>
      </c>
      <c r="Z635" s="23">
        <f t="shared" si="73"/>
        <v>3.4977671895564111E-3</v>
      </c>
      <c r="AA635" s="36"/>
    </row>
    <row r="636" spans="15:27" ht="13.9" customHeight="1" x14ac:dyDescent="0.3">
      <c r="O636" s="12">
        <f t="shared" si="67"/>
        <v>51.916666666666664</v>
      </c>
      <c r="P636" s="13">
        <v>623</v>
      </c>
      <c r="Q636" s="22">
        <v>3.5428331257450374E-2</v>
      </c>
      <c r="R636" s="19">
        <f t="shared" si="68"/>
        <v>3.4127598651982005E-2</v>
      </c>
      <c r="S636" s="22">
        <v>4.010344782758235E-2</v>
      </c>
      <c r="T636" s="19">
        <f t="shared" si="69"/>
        <v>4.275885994183648E-2</v>
      </c>
      <c r="U636" s="24">
        <v>4.2574299774701396E-2</v>
      </c>
      <c r="V636" s="24">
        <f t="shared" si="70"/>
        <v>4.2806848266725428E-2</v>
      </c>
      <c r="W636" s="23">
        <f t="shared" si="71"/>
        <v>3.4989990571905327E-3</v>
      </c>
      <c r="X636" s="24">
        <v>4.2069090905008766E-2</v>
      </c>
      <c r="Y636" s="24">
        <f t="shared" si="72"/>
        <v>4.2793300046724658E-2</v>
      </c>
      <c r="Z636" s="23">
        <f t="shared" si="73"/>
        <v>3.4978934083527147E-3</v>
      </c>
      <c r="AA636" s="36"/>
    </row>
    <row r="637" spans="15:27" ht="13.9" customHeight="1" x14ac:dyDescent="0.3">
      <c r="O637" s="12">
        <f t="shared" si="67"/>
        <v>52</v>
      </c>
      <c r="P637" s="13">
        <v>624</v>
      </c>
      <c r="Q637" s="22">
        <v>3.5426245441766424E-2</v>
      </c>
      <c r="R637" s="19">
        <f t="shared" si="68"/>
        <v>3.4148230603957108E-2</v>
      </c>
      <c r="S637" s="22">
        <v>4.0107697881462956E-2</v>
      </c>
      <c r="T637" s="19">
        <f t="shared" si="69"/>
        <v>4.2761050887531349E-2</v>
      </c>
      <c r="U637" s="24">
        <v>4.2574672407076797E-2</v>
      </c>
      <c r="V637" s="24">
        <f t="shared" si="70"/>
        <v>4.2808162175915543E-2</v>
      </c>
      <c r="W637" s="23">
        <f t="shared" si="71"/>
        <v>3.4991051456250144E-3</v>
      </c>
      <c r="X637" s="24">
        <v>4.20702510941251E-2</v>
      </c>
      <c r="Y637" s="24">
        <f t="shared" si="72"/>
        <v>4.2794850407654073E-2</v>
      </c>
      <c r="Z637" s="23">
        <f t="shared" si="73"/>
        <v>3.49801867823607E-3</v>
      </c>
      <c r="AA637" s="36"/>
    </row>
    <row r="638" spans="15:27" ht="13.9" customHeight="1" x14ac:dyDescent="0.3">
      <c r="O638" s="12">
        <f t="shared" si="67"/>
        <v>52.083333333333336</v>
      </c>
      <c r="P638" s="13">
        <v>625</v>
      </c>
      <c r="Q638" s="22">
        <v>3.5424199357056763E-2</v>
      </c>
      <c r="R638" s="19">
        <f t="shared" si="68"/>
        <v>3.4168683801277577E-2</v>
      </c>
      <c r="S638" s="22">
        <v>4.0111937849065527E-2</v>
      </c>
      <c r="T638" s="19">
        <f t="shared" si="69"/>
        <v>4.2763221887669456E-2</v>
      </c>
      <c r="U638" s="24">
        <v>4.2575045948947121E-2</v>
      </c>
      <c r="V638" s="24">
        <f t="shared" si="70"/>
        <v>4.2809467127010503E-2</v>
      </c>
      <c r="W638" s="23">
        <f t="shared" si="71"/>
        <v>3.4992105107698457E-3</v>
      </c>
      <c r="X638" s="24">
        <v>4.2071410050780189E-2</v>
      </c>
      <c r="Y638" s="24">
        <f t="shared" si="72"/>
        <v>4.2796389115785427E-2</v>
      </c>
      <c r="Z638" s="23">
        <f t="shared" si="73"/>
        <v>3.4981430064113805E-3</v>
      </c>
      <c r="AA638" s="36"/>
    </row>
    <row r="639" spans="15:27" ht="13.9" customHeight="1" x14ac:dyDescent="0.3">
      <c r="O639" s="12">
        <f t="shared" si="67"/>
        <v>52.166666666666664</v>
      </c>
      <c r="P639" s="13">
        <v>626</v>
      </c>
      <c r="Q639" s="22">
        <v>3.5422192526147533E-2</v>
      </c>
      <c r="R639" s="19">
        <f t="shared" si="68"/>
        <v>3.4188959856249479E-2</v>
      </c>
      <c r="S639" s="22">
        <v>4.0116167746898412E-2</v>
      </c>
      <c r="T639" s="19">
        <f t="shared" si="69"/>
        <v>4.2765373124813211E-2</v>
      </c>
      <c r="U639" s="24">
        <v>4.2575420381645968E-2</v>
      </c>
      <c r="V639" s="24">
        <f t="shared" si="70"/>
        <v>4.2810763183163791E-2</v>
      </c>
      <c r="W639" s="23">
        <f t="shared" si="71"/>
        <v>3.499315157425853E-3</v>
      </c>
      <c r="X639" s="24">
        <v>4.207256776227708E-2</v>
      </c>
      <c r="Y639" s="24">
        <f t="shared" si="72"/>
        <v>4.2797916259391666E-2</v>
      </c>
      <c r="Z639" s="23">
        <f t="shared" si="73"/>
        <v>3.4982663999458818E-3</v>
      </c>
      <c r="AA639" s="36"/>
    </row>
    <row r="640" spans="15:27" ht="13.9" customHeight="1" x14ac:dyDescent="0.3">
      <c r="O640" s="12">
        <f t="shared" si="67"/>
        <v>52.25</v>
      </c>
      <c r="P640" s="13">
        <v>627</v>
      </c>
      <c r="Q640" s="22">
        <v>3.5420224477507034E-2</v>
      </c>
      <c r="R640" s="19">
        <f t="shared" si="68"/>
        <v>3.4209060365307797E-2</v>
      </c>
      <c r="S640" s="22">
        <v>4.0120387591654927E-2</v>
      </c>
      <c r="T640" s="19">
        <f t="shared" si="69"/>
        <v>4.2767504779439802E-2</v>
      </c>
      <c r="U640" s="24">
        <v>4.2575795686726758E-2</v>
      </c>
      <c r="V640" s="24">
        <f t="shared" si="70"/>
        <v>4.281205040450331E-2</v>
      </c>
      <c r="W640" s="23">
        <f t="shared" si="71"/>
        <v>3.4994190906596501E-3</v>
      </c>
      <c r="X640" s="24">
        <v>4.2073724216140418E-2</v>
      </c>
      <c r="Y640" s="24">
        <f t="shared" si="72"/>
        <v>4.2799431925671483E-2</v>
      </c>
      <c r="Z640" s="23">
        <f t="shared" si="73"/>
        <v>3.4983888659221307E-3</v>
      </c>
      <c r="AA640" s="36"/>
    </row>
    <row r="641" spans="15:27" ht="13.9" customHeight="1" x14ac:dyDescent="0.3">
      <c r="O641" s="12">
        <f t="shared" si="67"/>
        <v>52.333333333333336</v>
      </c>
      <c r="P641" s="13">
        <v>628</v>
      </c>
      <c r="Q641" s="22">
        <v>3.5418294745175105E-2</v>
      </c>
      <c r="R641" s="19">
        <f t="shared" si="68"/>
        <v>3.4228986909314418E-2</v>
      </c>
      <c r="S641" s="22">
        <v>4.0124597400208906E-2</v>
      </c>
      <c r="T641" s="19">
        <f t="shared" si="69"/>
        <v>4.2769617030156581E-2</v>
      </c>
      <c r="U641" s="24">
        <v>4.2576171845956079E-2</v>
      </c>
      <c r="V641" s="24">
        <f t="shared" si="70"/>
        <v>4.2813328851448507E-2</v>
      </c>
      <c r="W641" s="23">
        <f t="shared" si="71"/>
        <v>3.499522315295378E-3</v>
      </c>
      <c r="X641" s="24">
        <v>4.2074879400113119E-2</v>
      </c>
      <c r="Y641" s="24">
        <f t="shared" si="72"/>
        <v>4.2800936201368822E-2</v>
      </c>
      <c r="Z641" s="23">
        <f t="shared" si="73"/>
        <v>3.4985104113363086E-3</v>
      </c>
      <c r="AA641" s="36"/>
    </row>
    <row r="642" spans="15:27" ht="13.9" customHeight="1" x14ac:dyDescent="0.3">
      <c r="O642" s="12">
        <f t="shared" si="67"/>
        <v>52.416666666666664</v>
      </c>
      <c r="P642" s="13">
        <v>629</v>
      </c>
      <c r="Q642" s="22">
        <v>3.5416402868693631E-2</v>
      </c>
      <c r="R642" s="19">
        <f t="shared" si="68"/>
        <v>3.424874105448783E-2</v>
      </c>
      <c r="S642" s="22">
        <v>4.0128797189610044E-2</v>
      </c>
      <c r="T642" s="19">
        <f t="shared" si="69"/>
        <v>4.2771710054302803E-2</v>
      </c>
      <c r="U642" s="24">
        <v>4.2576548841312345E-2</v>
      </c>
      <c r="V642" s="24">
        <f t="shared" si="70"/>
        <v>4.2814598583936103E-2</v>
      </c>
      <c r="W642" s="23">
        <f t="shared" si="71"/>
        <v>3.4996248361809368E-3</v>
      </c>
      <c r="X642" s="24">
        <v>4.2076033302153704E-2</v>
      </c>
      <c r="Y642" s="24">
        <f t="shared" si="72"/>
        <v>4.2802429171565848E-2</v>
      </c>
      <c r="Z642" s="23">
        <f t="shared" si="73"/>
        <v>3.4986310431486256E-3</v>
      </c>
      <c r="AA642" s="36"/>
    </row>
    <row r="643" spans="15:27" ht="13.9" customHeight="1" x14ac:dyDescent="0.3">
      <c r="O643" s="12">
        <f t="shared" si="67"/>
        <v>52.5</v>
      </c>
      <c r="P643" s="13">
        <v>630</v>
      </c>
      <c r="Q643" s="22">
        <v>3.5414548393039258E-2</v>
      </c>
      <c r="R643" s="19">
        <f t="shared" si="68"/>
        <v>3.4268324351017343E-2</v>
      </c>
      <c r="S643" s="22">
        <v>4.0132986977080565E-2</v>
      </c>
      <c r="T643" s="19">
        <f t="shared" si="69"/>
        <v>4.2773784028742545E-2</v>
      </c>
      <c r="U643" s="24">
        <v>4.2576926654984026E-2</v>
      </c>
      <c r="V643" s="24">
        <f t="shared" si="70"/>
        <v>4.2815859662664657E-2</v>
      </c>
      <c r="W643" s="23">
        <f t="shared" si="71"/>
        <v>3.4997266581249242E-3</v>
      </c>
      <c r="X643" s="24">
        <v>4.2077185910432524E-2</v>
      </c>
      <c r="Y643" s="24">
        <f t="shared" si="72"/>
        <v>4.2803910923673083E-2</v>
      </c>
      <c r="Z643" s="23">
        <f t="shared" si="73"/>
        <v>3.4987507681853991E-3</v>
      </c>
      <c r="AA643" s="36"/>
    </row>
    <row r="644" spans="15:27" ht="13.9" customHeight="1" x14ac:dyDescent="0.3">
      <c r="O644" s="12">
        <f t="shared" si="67"/>
        <v>52.583333333333336</v>
      </c>
      <c r="P644" s="13">
        <v>631</v>
      </c>
      <c r="Q644" s="22">
        <v>3.5412730868553899E-2</v>
      </c>
      <c r="R644" s="19">
        <f t="shared" si="68"/>
        <v>3.4287738334593421E-2</v>
      </c>
      <c r="S644" s="22">
        <v>4.0137166780012778E-2</v>
      </c>
      <c r="T644" s="19">
        <f t="shared" si="69"/>
        <v>4.2775839125629656E-2</v>
      </c>
      <c r="U644" s="24">
        <v>4.2577305269368315E-2</v>
      </c>
      <c r="V644" s="24">
        <f t="shared" si="70"/>
        <v>4.2817112145447922E-2</v>
      </c>
      <c r="W644" s="23">
        <f t="shared" si="71"/>
        <v>3.4998277859970006E-3</v>
      </c>
      <c r="X644" s="24">
        <v>4.2078337213332873E-2</v>
      </c>
      <c r="Y644" s="24">
        <f t="shared" si="72"/>
        <v>4.2805381539938958E-2</v>
      </c>
      <c r="Z644" s="23">
        <f t="shared" si="73"/>
        <v>3.4988695934601299E-3</v>
      </c>
      <c r="AA644" s="36"/>
    </row>
    <row r="645" spans="15:27" ht="13.9" customHeight="1" x14ac:dyDescent="0.3">
      <c r="O645" s="12">
        <f t="shared" si="67"/>
        <v>52.666666666666664</v>
      </c>
      <c r="P645" s="13">
        <v>632</v>
      </c>
      <c r="Q645" s="22">
        <v>3.5410949850879669E-2</v>
      </c>
      <c r="R645" s="19">
        <f t="shared" si="68"/>
        <v>3.430698452599823E-2</v>
      </c>
      <c r="S645" s="22">
        <v>4.0141336615961087E-2</v>
      </c>
      <c r="T645" s="19">
        <f t="shared" si="69"/>
        <v>4.277787551867962E-2</v>
      </c>
      <c r="U645" s="24">
        <v>4.2577684667065352E-2</v>
      </c>
      <c r="V645" s="24">
        <f t="shared" si="70"/>
        <v>4.2818356092104493E-2</v>
      </c>
      <c r="W645" s="23">
        <f t="shared" si="71"/>
        <v>3.4999282244361218E-3</v>
      </c>
      <c r="X645" s="24">
        <v>4.2079487199441878E-2</v>
      </c>
      <c r="Y645" s="24">
        <f t="shared" si="72"/>
        <v>4.2806841105473392E-2</v>
      </c>
      <c r="Z645" s="23">
        <f t="shared" si="73"/>
        <v>3.4989875255717617E-3</v>
      </c>
      <c r="AA645" s="36"/>
    </row>
    <row r="646" spans="15:27" ht="13.9" customHeight="1" x14ac:dyDescent="0.3">
      <c r="O646" s="12">
        <f t="shared" si="67"/>
        <v>52.75</v>
      </c>
      <c r="P646" s="13">
        <v>633</v>
      </c>
      <c r="Q646" s="22">
        <v>3.5409204900892055E-2</v>
      </c>
      <c r="R646" s="19">
        <f t="shared" si="68"/>
        <v>3.4326064432278258E-2</v>
      </c>
      <c r="S646" s="22">
        <v>4.014549650264243E-2</v>
      </c>
      <c r="T646" s="19">
        <f t="shared" si="69"/>
        <v>4.2779893378192435E-2</v>
      </c>
      <c r="U646" s="24">
        <v>4.257806483087978E-2</v>
      </c>
      <c r="V646" s="24">
        <f t="shared" si="70"/>
        <v>4.2819591560444126E-2</v>
      </c>
      <c r="W646" s="23">
        <f t="shared" si="71"/>
        <v>3.5000279782411159E-3</v>
      </c>
      <c r="X646" s="24">
        <v>4.2080635857553172E-2</v>
      </c>
      <c r="Y646" s="24">
        <f t="shared" si="72"/>
        <v>4.2808289703713864E-2</v>
      </c>
      <c r="Z646" s="23">
        <f t="shared" si="73"/>
        <v>3.4991045713488322E-3</v>
      </c>
      <c r="AA646" s="36"/>
    </row>
    <row r="647" spans="15:27" ht="13.9" customHeight="1" x14ac:dyDescent="0.3">
      <c r="O647" s="12">
        <f t="shared" si="67"/>
        <v>52.833333333333336</v>
      </c>
      <c r="P647" s="13">
        <v>634</v>
      </c>
      <c r="Q647" s="22">
        <v>3.5407495584637294E-2</v>
      </c>
      <c r="R647" s="19">
        <f t="shared" si="68"/>
        <v>3.4344979544406629E-2</v>
      </c>
      <c r="S647" s="22">
        <v>4.0149646457929844E-2</v>
      </c>
      <c r="T647" s="19">
        <f t="shared" si="69"/>
        <v>4.2781892873831495E-2</v>
      </c>
      <c r="U647" s="24">
        <v>4.2578445743816085E-2</v>
      </c>
      <c r="V647" s="24">
        <f t="shared" si="70"/>
        <v>4.2820818608801048E-2</v>
      </c>
      <c r="W647" s="23">
        <f t="shared" si="71"/>
        <v>3.5001270520500505E-3</v>
      </c>
      <c r="X647" s="24">
        <v>4.2081783176662446E-2</v>
      </c>
      <c r="Y647" s="24">
        <f t="shared" si="72"/>
        <v>4.2809727417296717E-2</v>
      </c>
      <c r="Z647" s="23">
        <f t="shared" si="73"/>
        <v>3.4992207374862083E-3</v>
      </c>
      <c r="AA647" s="36"/>
    </row>
    <row r="648" spans="15:27" ht="13.9" customHeight="1" x14ac:dyDescent="0.3">
      <c r="O648" s="12">
        <f t="shared" si="67"/>
        <v>52.916666666666664</v>
      </c>
      <c r="P648" s="13">
        <v>635</v>
      </c>
      <c r="Q648" s="22">
        <v>3.540582147326532E-2</v>
      </c>
      <c r="R648" s="19">
        <f t="shared" si="68"/>
        <v>3.4363731340200543E-2</v>
      </c>
      <c r="S648" s="22">
        <v>4.0153786499850241E-2</v>
      </c>
      <c r="T648" s="19">
        <f t="shared" si="69"/>
        <v>4.2783874173065728E-2</v>
      </c>
      <c r="U648" s="24">
        <v>4.2578827389077478E-2</v>
      </c>
      <c r="V648" s="24">
        <f t="shared" si="70"/>
        <v>4.282203729474543E-2</v>
      </c>
      <c r="W648" s="23">
        <f t="shared" si="71"/>
        <v>3.5002254505434038E-3</v>
      </c>
      <c r="X648" s="24">
        <v>4.2082929145965009E-2</v>
      </c>
      <c r="Y648" s="24">
        <f t="shared" si="72"/>
        <v>4.2811154328012746E-2</v>
      </c>
      <c r="Z648" s="23">
        <f t="shared" si="73"/>
        <v>3.4993360306134758E-3</v>
      </c>
      <c r="AA648" s="36"/>
    </row>
    <row r="649" spans="15:27" ht="13.9" customHeight="1" x14ac:dyDescent="0.3">
      <c r="O649" s="12">
        <f t="shared" si="67"/>
        <v>53</v>
      </c>
      <c r="P649" s="13">
        <v>636</v>
      </c>
      <c r="Q649" s="22">
        <v>3.5404182142968699E-2</v>
      </c>
      <c r="R649" s="19">
        <f t="shared" si="68"/>
        <v>3.4382321283383366E-2</v>
      </c>
      <c r="S649" s="22">
        <v>4.0157916646580194E-2</v>
      </c>
      <c r="T649" s="19">
        <f t="shared" si="69"/>
        <v>4.2785837442026686E-2</v>
      </c>
      <c r="U649" s="24">
        <v>4.257920975006324E-2</v>
      </c>
      <c r="V649" s="24">
        <f t="shared" si="70"/>
        <v>4.2823247674916187E-2</v>
      </c>
      <c r="W649" s="23">
        <f t="shared" si="71"/>
        <v>3.5003231783394817E-3</v>
      </c>
      <c r="X649" s="24">
        <v>4.2084073754852236E-2</v>
      </c>
      <c r="Y649" s="24">
        <f t="shared" si="72"/>
        <v>4.2812570517494208E-2</v>
      </c>
      <c r="Z649" s="23">
        <f t="shared" si="73"/>
        <v>3.4994504572933849E-3</v>
      </c>
      <c r="AA649" s="36"/>
    </row>
    <row r="650" spans="15:27" ht="13.9" customHeight="1" x14ac:dyDescent="0.3">
      <c r="O650" s="12">
        <f t="shared" si="67"/>
        <v>53.083333333333336</v>
      </c>
      <c r="P650" s="13">
        <v>637</v>
      </c>
      <c r="Q650" s="22">
        <v>3.540257717492068E-2</v>
      </c>
      <c r="R650" s="19">
        <f t="shared" si="68"/>
        <v>3.4400750822206838E-2</v>
      </c>
      <c r="S650" s="22">
        <v>4.0162036916441712E-2</v>
      </c>
      <c r="T650" s="19">
        <f t="shared" si="69"/>
        <v>4.278778284564555E-2</v>
      </c>
      <c r="U650" s="24">
        <v>4.2579592810366274E-2</v>
      </c>
      <c r="V650" s="24">
        <f t="shared" si="70"/>
        <v>4.2824449807719489E-2</v>
      </c>
      <c r="W650" s="23">
        <f t="shared" si="71"/>
        <v>3.500420239982871E-3</v>
      </c>
      <c r="X650" s="24">
        <v>4.2085216992910457E-2</v>
      </c>
      <c r="Y650" s="24">
        <f t="shared" si="72"/>
        <v>4.2813976067162196E-2</v>
      </c>
      <c r="Z650" s="23">
        <f t="shared" si="73"/>
        <v>3.4995640240751413E-3</v>
      </c>
      <c r="AA650" s="36"/>
    </row>
    <row r="651" spans="15:27" ht="13.9" customHeight="1" x14ac:dyDescent="0.3">
      <c r="O651" s="12">
        <f t="shared" si="67"/>
        <v>53.166666666666664</v>
      </c>
      <c r="P651" s="13">
        <v>638</v>
      </c>
      <c r="Q651" s="22">
        <v>3.5401006155211245E-2</v>
      </c>
      <c r="R651" s="19">
        <f t="shared" si="68"/>
        <v>3.4419021393709004E-2</v>
      </c>
      <c r="S651" s="22">
        <v>4.0166147327900248E-2</v>
      </c>
      <c r="T651" s="19">
        <f t="shared" si="69"/>
        <v>4.2789710547143534E-2</v>
      </c>
      <c r="U651" s="24">
        <v>4.2579976553773324E-2</v>
      </c>
      <c r="V651" s="24">
        <f t="shared" si="70"/>
        <v>4.2825643747723019E-2</v>
      </c>
      <c r="W651" s="23">
        <f t="shared" si="71"/>
        <v>3.5005166401587129E-3</v>
      </c>
      <c r="X651" s="24">
        <v>4.2086358849918959E-2</v>
      </c>
      <c r="Y651" s="24">
        <f t="shared" si="72"/>
        <v>4.2815371056422968E-2</v>
      </c>
      <c r="Z651" s="23">
        <f t="shared" si="73"/>
        <v>3.4996767374915194E-3</v>
      </c>
      <c r="AA651" s="36"/>
    </row>
    <row r="652" spans="15:27" ht="13.9" customHeight="1" x14ac:dyDescent="0.3">
      <c r="O652" s="12">
        <f t="shared" si="67"/>
        <v>53.25</v>
      </c>
      <c r="P652" s="13">
        <v>639</v>
      </c>
      <c r="Q652" s="22">
        <v>3.5399468674790491E-2</v>
      </c>
      <c r="R652" s="19">
        <f t="shared" si="68"/>
        <v>3.4437134417949489E-2</v>
      </c>
      <c r="S652" s="22">
        <v>4.017024789956003E-2</v>
      </c>
      <c r="T652" s="19">
        <f t="shared" si="69"/>
        <v>4.2791620707583577E-2</v>
      </c>
      <c r="U652" s="24">
        <v>4.2580360964258546E-2</v>
      </c>
      <c r="V652" s="24">
        <f t="shared" si="70"/>
        <v>4.282682955228001E-2</v>
      </c>
      <c r="W652" s="23">
        <f t="shared" si="71"/>
        <v>3.5006123832455049E-3</v>
      </c>
      <c r="X652" s="24">
        <v>4.2087499315844878E-2</v>
      </c>
      <c r="Y652" s="24">
        <f t="shared" si="72"/>
        <v>4.2816755565438402E-2</v>
      </c>
      <c r="Z652" s="23">
        <f t="shared" si="73"/>
        <v>3.4997886039129789E-3</v>
      </c>
      <c r="AA652" s="36"/>
    </row>
    <row r="653" spans="15:27" ht="13.9" customHeight="1" x14ac:dyDescent="0.3">
      <c r="O653" s="12">
        <f t="shared" si="67"/>
        <v>53.333333333333336</v>
      </c>
      <c r="P653" s="13">
        <v>640</v>
      </c>
      <c r="Q653" s="22">
        <v>3.539796432940423E-2</v>
      </c>
      <c r="R653" s="19">
        <f t="shared" si="68"/>
        <v>3.4455091304315344E-2</v>
      </c>
      <c r="S653" s="22">
        <v>4.0174338650160513E-2</v>
      </c>
      <c r="T653" s="19">
        <f t="shared" si="69"/>
        <v>4.2793513487343615E-2</v>
      </c>
      <c r="U653" s="24">
        <v>4.2580746025985494E-2</v>
      </c>
      <c r="V653" s="24">
        <f t="shared" si="70"/>
        <v>4.2828007275964808E-2</v>
      </c>
      <c r="W653" s="23">
        <f t="shared" si="71"/>
        <v>3.5007074738444555E-3</v>
      </c>
      <c r="X653" s="24">
        <v>4.2088638380843424E-2</v>
      </c>
      <c r="Y653" s="24">
        <f t="shared" si="72"/>
        <v>4.2818129672756111E-2</v>
      </c>
      <c r="Z653" s="23">
        <f t="shared" si="73"/>
        <v>3.4998996297712637E-3</v>
      </c>
      <c r="AA653" s="36"/>
    </row>
    <row r="654" spans="15:27" ht="13.9" customHeight="1" x14ac:dyDescent="0.3">
      <c r="O654" s="12">
        <f t="shared" ref="O654:O717" si="74">P654/12</f>
        <v>53.416666666666664</v>
      </c>
      <c r="P654" s="13">
        <v>641</v>
      </c>
      <c r="Q654" s="22">
        <v>3.539649271953893E-2</v>
      </c>
      <c r="R654" s="19">
        <f t="shared" ref="R654:R717" si="75">(1+Q655)^P655/(1+Q654)^P654-1</f>
        <v>3.4472893447769382E-2</v>
      </c>
      <c r="S654" s="22">
        <v>4.0178419598573489E-2</v>
      </c>
      <c r="T654" s="19">
        <f t="shared" ref="T654:T717" si="76">(1+S655)^P655/(1+S654)^P654-1</f>
        <v>4.2795389045470422E-2</v>
      </c>
      <c r="U654" s="24">
        <v>4.2581131723301802E-2</v>
      </c>
      <c r="V654" s="24">
        <f t="shared" ref="V654:V717" si="77">(1+U655)^P655/(1+U654)^P654-1</f>
        <v>4.282917697523958E-2</v>
      </c>
      <c r="W654" s="23">
        <f t="shared" si="71"/>
        <v>3.5008019163336179E-3</v>
      </c>
      <c r="X654" s="24">
        <v>4.2089776035253434E-2</v>
      </c>
      <c r="Y654" s="24">
        <f t="shared" si="72"/>
        <v>4.2819493457202595E-2</v>
      </c>
      <c r="Z654" s="23">
        <f t="shared" si="73"/>
        <v>3.5000098213682218E-3</v>
      </c>
      <c r="AA654" s="36"/>
    </row>
    <row r="655" spans="15:27" ht="13.9" customHeight="1" x14ac:dyDescent="0.3">
      <c r="O655" s="12">
        <f t="shared" si="74"/>
        <v>53.5</v>
      </c>
      <c r="P655" s="13">
        <v>642</v>
      </c>
      <c r="Q655" s="22">
        <v>3.5395053450362202E-2</v>
      </c>
      <c r="R655" s="19">
        <f t="shared" si="75"/>
        <v>3.4490542228402976E-2</v>
      </c>
      <c r="S655" s="22">
        <v>4.0182490763800205E-2</v>
      </c>
      <c r="T655" s="19">
        <f t="shared" si="76"/>
        <v>4.2797247538980621E-2</v>
      </c>
      <c r="U655" s="24">
        <v>4.2581518040740729E-2</v>
      </c>
      <c r="V655" s="24">
        <f t="shared" si="77"/>
        <v>4.2830338704155091E-2</v>
      </c>
      <c r="W655" s="23">
        <f t="shared" ref="W655:W718" si="78">(1+V654)^(1/12)-1</f>
        <v>3.5008957152429243E-3</v>
      </c>
      <c r="X655" s="24">
        <v>4.2090912269597158E-2</v>
      </c>
      <c r="Y655" s="24">
        <f t="shared" ref="Y655:Y718" si="79">(1+X656)^P656/(1+X655)^P655-1</f>
        <v>4.2820846996872497E-2</v>
      </c>
      <c r="Z655" s="23">
        <f t="shared" ref="Z655:Z718" si="80">(1+Y654)^(1/12)-1</f>
        <v>3.5001191850279056E-3</v>
      </c>
      <c r="AA655" s="36"/>
    </row>
    <row r="656" spans="15:27" ht="13.9" customHeight="1" x14ac:dyDescent="0.3">
      <c r="O656" s="12">
        <f t="shared" si="74"/>
        <v>53.583333333333336</v>
      </c>
      <c r="P656" s="13">
        <v>643</v>
      </c>
      <c r="Q656" s="22">
        <v>3.5393646131663292E-2</v>
      </c>
      <c r="R656" s="19">
        <f t="shared" si="75"/>
        <v>3.450803901598265E-2</v>
      </c>
      <c r="S656" s="22">
        <v>4.0186552164967582E-2</v>
      </c>
      <c r="T656" s="19">
        <f t="shared" si="76"/>
        <v>4.2799089123414014E-2</v>
      </c>
      <c r="U656" s="24">
        <v>4.2581904963015615E-2</v>
      </c>
      <c r="V656" s="24">
        <f t="shared" si="77"/>
        <v>4.283149251746754E-2</v>
      </c>
      <c r="W656" s="23">
        <f t="shared" si="78"/>
        <v>3.5009888749089058E-3</v>
      </c>
      <c r="X656" s="24">
        <v>4.2092047074576477E-2</v>
      </c>
      <c r="Y656" s="24">
        <f t="shared" si="79"/>
        <v>4.2822190368353663E-2</v>
      </c>
      <c r="Z656" s="23">
        <f t="shared" si="80"/>
        <v>3.5002277270159698E-3</v>
      </c>
      <c r="AA656" s="36"/>
    </row>
    <row r="657" spans="15:27" ht="13.9" customHeight="1" x14ac:dyDescent="0.3">
      <c r="O657" s="12">
        <f t="shared" si="74"/>
        <v>53.666666666666664</v>
      </c>
      <c r="P657" s="13">
        <v>644</v>
      </c>
      <c r="Q657" s="22">
        <v>3.5392270377800017E-2</v>
      </c>
      <c r="R657" s="19">
        <f t="shared" si="75"/>
        <v>3.4525385165109945E-2</v>
      </c>
      <c r="S657" s="22">
        <v>4.0190603821324444E-2</v>
      </c>
      <c r="T657" s="19">
        <f t="shared" si="76"/>
        <v>4.2800913953240372E-2</v>
      </c>
      <c r="U657" s="24">
        <v>4.2582292475019878E-2</v>
      </c>
      <c r="V657" s="24">
        <f t="shared" si="77"/>
        <v>4.2832638469057382E-2</v>
      </c>
      <c r="W657" s="23">
        <f t="shared" si="78"/>
        <v>3.5010813997240486E-3</v>
      </c>
      <c r="X657" s="24">
        <v>4.2093180441070466E-2</v>
      </c>
      <c r="Y657" s="24">
        <f t="shared" si="79"/>
        <v>4.2823523648108042E-2</v>
      </c>
      <c r="Z657" s="23">
        <f t="shared" si="80"/>
        <v>3.5003354534768327E-3</v>
      </c>
      <c r="AA657" s="36"/>
    </row>
    <row r="658" spans="15:27" ht="13.9" customHeight="1" x14ac:dyDescent="0.3">
      <c r="O658" s="12">
        <f t="shared" si="74"/>
        <v>53.75</v>
      </c>
      <c r="P658" s="13">
        <v>645</v>
      </c>
      <c r="Q658" s="22">
        <v>3.5390925807639695E-2</v>
      </c>
      <c r="R658" s="19">
        <f t="shared" si="75"/>
        <v>3.4542582018229684E-2</v>
      </c>
      <c r="S658" s="22">
        <v>4.0194645752239078E-2</v>
      </c>
      <c r="T658" s="19">
        <f t="shared" si="76"/>
        <v>4.2802722181586539E-2</v>
      </c>
      <c r="U658" s="24">
        <v>4.2582680561824127E-2</v>
      </c>
      <c r="V658" s="24">
        <f t="shared" si="77"/>
        <v>4.2833776613056207E-2</v>
      </c>
      <c r="W658" s="23">
        <f t="shared" si="78"/>
        <v>3.5011732940113394E-3</v>
      </c>
      <c r="X658" s="24">
        <v>4.2094312360132946E-2</v>
      </c>
      <c r="Y658" s="24">
        <f t="shared" si="79"/>
        <v>4.2824846913445569E-2</v>
      </c>
      <c r="Z658" s="23">
        <f t="shared" si="80"/>
        <v>3.5004423705451426E-3</v>
      </c>
      <c r="AA658" s="36"/>
    </row>
    <row r="659" spans="15:27" ht="13.9" customHeight="1" x14ac:dyDescent="0.3">
      <c r="O659" s="12">
        <f t="shared" si="74"/>
        <v>53.833333333333336</v>
      </c>
      <c r="P659" s="13">
        <v>646</v>
      </c>
      <c r="Q659" s="22">
        <v>3.5389612044505636E-2</v>
      </c>
      <c r="R659" s="19">
        <f t="shared" si="75"/>
        <v>3.4559630905558913E-2</v>
      </c>
      <c r="S659" s="22">
        <v>4.0198677977196562E-2</v>
      </c>
      <c r="T659" s="19">
        <f t="shared" si="76"/>
        <v>4.2804513960391422E-2</v>
      </c>
      <c r="U659" s="24">
        <v>4.2583069208675273E-2</v>
      </c>
      <c r="V659" s="24">
        <f t="shared" si="77"/>
        <v>4.2834907003531431E-2</v>
      </c>
      <c r="W659" s="23">
        <f t="shared" si="78"/>
        <v>3.5012645621133043E-3</v>
      </c>
      <c r="X659" s="24">
        <v>4.2095442822992712E-2</v>
      </c>
      <c r="Y659" s="24">
        <f t="shared" si="79"/>
        <v>4.2826160239375355E-2</v>
      </c>
      <c r="Z659" s="23">
        <f t="shared" si="80"/>
        <v>3.5005484844232715E-3</v>
      </c>
      <c r="AA659" s="36"/>
    </row>
    <row r="660" spans="15:27" ht="13.9" customHeight="1" x14ac:dyDescent="0.3">
      <c r="O660" s="12">
        <f t="shared" si="74"/>
        <v>53.916666666666664</v>
      </c>
      <c r="P660" s="13">
        <v>647</v>
      </c>
      <c r="Q660" s="22">
        <v>3.5388328716122519E-2</v>
      </c>
      <c r="R660" s="19">
        <f t="shared" si="75"/>
        <v>3.4576533144291988E-2</v>
      </c>
      <c r="S660" s="22">
        <v>4.0202700515795442E-2</v>
      </c>
      <c r="T660" s="19">
        <f t="shared" si="76"/>
        <v>4.2806289438370504E-2</v>
      </c>
      <c r="U660" s="24">
        <v>4.2583458400994978E-2</v>
      </c>
      <c r="V660" s="24">
        <f t="shared" si="77"/>
        <v>4.2836029692027155E-2</v>
      </c>
      <c r="W660" s="23">
        <f t="shared" si="78"/>
        <v>3.5013552083675847E-3</v>
      </c>
      <c r="X660" s="24">
        <v>4.2096571821048645E-2</v>
      </c>
      <c r="Y660" s="24">
        <f t="shared" si="79"/>
        <v>4.2827463699788293E-2</v>
      </c>
      <c r="Z660" s="23">
        <f t="shared" si="80"/>
        <v>3.5006538011290722E-3</v>
      </c>
      <c r="AA660" s="36"/>
    </row>
    <row r="661" spans="15:27" ht="13.9" customHeight="1" x14ac:dyDescent="0.3">
      <c r="O661" s="12">
        <f t="shared" si="74"/>
        <v>54</v>
      </c>
      <c r="P661" s="13">
        <v>648</v>
      </c>
      <c r="Q661" s="22">
        <v>3.5387075454562877E-2</v>
      </c>
      <c r="R661" s="19">
        <f t="shared" si="75"/>
        <v>3.4593290038338775E-2</v>
      </c>
      <c r="S661" s="22">
        <v>4.0206713387742621E-2</v>
      </c>
      <c r="T661" s="19">
        <f t="shared" si="76"/>
        <v>4.2808048765635043E-2</v>
      </c>
      <c r="U661" s="24">
        <v>4.2583848124374324E-2</v>
      </c>
      <c r="V661" s="24">
        <f t="shared" si="77"/>
        <v>4.2837144731394883E-2</v>
      </c>
      <c r="W661" s="23">
        <f t="shared" si="78"/>
        <v>3.5014452369090954E-3</v>
      </c>
      <c r="X661" s="24">
        <v>4.2097699345866824E-2</v>
      </c>
      <c r="Y661" s="24">
        <f t="shared" si="79"/>
        <v>4.282875736998637E-2</v>
      </c>
      <c r="Z661" s="23">
        <f t="shared" si="80"/>
        <v>3.5007583265904696E-3</v>
      </c>
      <c r="AA661" s="36"/>
    </row>
    <row r="662" spans="15:27" ht="13.9" customHeight="1" x14ac:dyDescent="0.3">
      <c r="O662" s="12">
        <f t="shared" si="74"/>
        <v>54.083333333333336</v>
      </c>
      <c r="P662" s="13">
        <v>649</v>
      </c>
      <c r="Q662" s="22">
        <v>3.5385851896192033E-2</v>
      </c>
      <c r="R662" s="19">
        <f t="shared" si="75"/>
        <v>3.4609902880483379E-2</v>
      </c>
      <c r="S662" s="22">
        <v>4.0210716612853803E-2</v>
      </c>
      <c r="T662" s="19">
        <f t="shared" si="76"/>
        <v>4.2809792088812415E-2</v>
      </c>
      <c r="U662" s="24">
        <v>4.25842383645747E-2</v>
      </c>
      <c r="V662" s="24">
        <f t="shared" si="77"/>
        <v>4.2838252175388947E-2</v>
      </c>
      <c r="W662" s="23">
        <f t="shared" si="78"/>
        <v>3.501534651978444E-3</v>
      </c>
      <c r="X662" s="24">
        <v>4.2098825389180972E-2</v>
      </c>
      <c r="Y662" s="24">
        <f t="shared" si="79"/>
        <v>4.2830041323677737E-2</v>
      </c>
      <c r="Z662" s="23">
        <f t="shared" si="80"/>
        <v>3.5008620668488533E-3</v>
      </c>
      <c r="AA662" s="36"/>
    </row>
    <row r="663" spans="15:27" ht="13.9" customHeight="1" x14ac:dyDescent="0.3">
      <c r="O663" s="12">
        <f t="shared" si="74"/>
        <v>54.166666666666664</v>
      </c>
      <c r="P663" s="13">
        <v>650</v>
      </c>
      <c r="Q663" s="22">
        <v>3.5384657681618137E-2</v>
      </c>
      <c r="R663" s="19">
        <f t="shared" si="75"/>
        <v>3.4626372951345852E-2</v>
      </c>
      <c r="S663" s="22">
        <v>4.0214710211048166E-2</v>
      </c>
      <c r="T663" s="19">
        <f t="shared" si="76"/>
        <v>4.2811519554736055E-2</v>
      </c>
      <c r="U663" s="24">
        <v>4.2584629107528027E-2</v>
      </c>
      <c r="V663" s="24">
        <f t="shared" si="77"/>
        <v>4.2839352074472314E-2</v>
      </c>
      <c r="W663" s="23">
        <f t="shared" si="78"/>
        <v>3.5016234578872929E-3</v>
      </c>
      <c r="X663" s="24">
        <v>4.2099949942889348E-2</v>
      </c>
      <c r="Y663" s="24">
        <f t="shared" si="79"/>
        <v>4.2831315634401568E-2</v>
      </c>
      <c r="Z663" s="23">
        <f t="shared" si="80"/>
        <v>3.5009650278177151E-3</v>
      </c>
      <c r="AA663" s="36"/>
    </row>
    <row r="664" spans="15:27" ht="13.9" customHeight="1" x14ac:dyDescent="0.3">
      <c r="O664" s="12">
        <f t="shared" si="74"/>
        <v>54.25</v>
      </c>
      <c r="P664" s="13">
        <v>651</v>
      </c>
      <c r="Q664" s="22">
        <v>3.5383492455640209E-2</v>
      </c>
      <c r="R664" s="19">
        <f t="shared" si="75"/>
        <v>3.4642701518085461E-2</v>
      </c>
      <c r="S664" s="22">
        <v>4.0218694202347249E-2</v>
      </c>
      <c r="T664" s="19">
        <f t="shared" si="76"/>
        <v>4.2813231306992439E-2</v>
      </c>
      <c r="U664" s="24">
        <v>4.2585020339329871E-2</v>
      </c>
      <c r="V664" s="24">
        <f t="shared" si="77"/>
        <v>4.2840444480598538E-2</v>
      </c>
      <c r="W664" s="23">
        <f t="shared" si="78"/>
        <v>3.5017116586846253E-3</v>
      </c>
      <c r="X664" s="24">
        <v>4.2101072999052525E-2</v>
      </c>
      <c r="Y664" s="24">
        <f t="shared" si="79"/>
        <v>4.2832580373418416E-2</v>
      </c>
      <c r="Z664" s="23">
        <f t="shared" si="80"/>
        <v>3.5010672153965583E-3</v>
      </c>
      <c r="AA664" s="36"/>
    </row>
    <row r="665" spans="15:27" ht="13.9" customHeight="1" x14ac:dyDescent="0.3">
      <c r="O665" s="12">
        <f t="shared" si="74"/>
        <v>54.333333333333336</v>
      </c>
      <c r="P665" s="13">
        <v>652</v>
      </c>
      <c r="Q665" s="22">
        <v>3.5382355867195514E-2</v>
      </c>
      <c r="R665" s="19">
        <f t="shared" si="75"/>
        <v>3.4658889837858142E-2</v>
      </c>
      <c r="S665" s="22">
        <v>4.0222668606869627E-2</v>
      </c>
      <c r="T665" s="19">
        <f t="shared" si="76"/>
        <v>4.2814927489866594E-2</v>
      </c>
      <c r="U665" s="24">
        <v>4.2585412046241E-2</v>
      </c>
      <c r="V665" s="24">
        <f t="shared" si="77"/>
        <v>4.2841529445851956E-2</v>
      </c>
      <c r="W665" s="23">
        <f t="shared" si="78"/>
        <v>3.5017992585377744E-3</v>
      </c>
      <c r="X665" s="24">
        <v>4.2102194549889393E-2</v>
      </c>
      <c r="Y665" s="24">
        <f t="shared" si="79"/>
        <v>4.2833835614853877E-2</v>
      </c>
      <c r="Z665" s="23">
        <f t="shared" si="80"/>
        <v>3.5011686353023652E-3</v>
      </c>
      <c r="AA665" s="36"/>
    </row>
    <row r="666" spans="15:27" ht="13.9" customHeight="1" x14ac:dyDescent="0.3">
      <c r="O666" s="12">
        <f t="shared" si="74"/>
        <v>54.416666666666664</v>
      </c>
      <c r="P666" s="13">
        <v>653</v>
      </c>
      <c r="Q666" s="22">
        <v>3.5381247569311602E-2</v>
      </c>
      <c r="R666" s="19">
        <f t="shared" si="75"/>
        <v>3.4674939153725548E-2</v>
      </c>
      <c r="S666" s="22">
        <v>4.0226633444830906E-2</v>
      </c>
      <c r="T666" s="19">
        <f t="shared" si="76"/>
        <v>4.2816608245019427E-2</v>
      </c>
      <c r="U666" s="24">
        <v>4.258580421468583E-2</v>
      </c>
      <c r="V666" s="24">
        <f t="shared" si="77"/>
        <v>4.2842607019028645E-2</v>
      </c>
      <c r="W666" s="23">
        <f t="shared" si="78"/>
        <v>3.5018862616256197E-3</v>
      </c>
      <c r="X666" s="24">
        <v>4.2103314587779384E-2</v>
      </c>
      <c r="Y666" s="24">
        <f t="shared" si="79"/>
        <v>4.2835081428755695E-2</v>
      </c>
      <c r="Z666" s="23">
        <f t="shared" si="80"/>
        <v>3.5012692934821565E-3</v>
      </c>
      <c r="AA666" s="36"/>
    </row>
    <row r="667" spans="15:27" ht="13.9" customHeight="1" x14ac:dyDescent="0.3">
      <c r="O667" s="12">
        <f t="shared" si="74"/>
        <v>54.5</v>
      </c>
      <c r="P667" s="13">
        <v>654</v>
      </c>
      <c r="Q667" s="22">
        <v>3.5380167219053904E-2</v>
      </c>
      <c r="R667" s="19">
        <f t="shared" si="75"/>
        <v>3.4690850699072184E-2</v>
      </c>
      <c r="S667" s="22">
        <v>4.0230588736539286E-2</v>
      </c>
      <c r="T667" s="19">
        <f t="shared" si="76"/>
        <v>4.2818273713392419E-2</v>
      </c>
      <c r="U667" s="24">
        <v>4.258619683124687E-2</v>
      </c>
      <c r="V667" s="24">
        <f t="shared" si="77"/>
        <v>4.2843677254022383E-2</v>
      </c>
      <c r="W667" s="23">
        <f t="shared" si="78"/>
        <v>3.5019726718625854E-3</v>
      </c>
      <c r="X667" s="24">
        <v>4.2104433105256023E-2</v>
      </c>
      <c r="Y667" s="24">
        <f t="shared" si="79"/>
        <v>4.2836317887132713E-2</v>
      </c>
      <c r="Z667" s="23">
        <f t="shared" si="80"/>
        <v>3.5013691955554371E-3</v>
      </c>
      <c r="AA667" s="36"/>
    </row>
    <row r="668" spans="15:27" ht="13.9" customHeight="1" x14ac:dyDescent="0.3">
      <c r="O668" s="12">
        <f t="shared" si="74"/>
        <v>54.583333333333336</v>
      </c>
      <c r="P668" s="13">
        <v>655</v>
      </c>
      <c r="Q668" s="22">
        <v>3.5379114477478879E-2</v>
      </c>
      <c r="R668" s="19">
        <f t="shared" si="75"/>
        <v>3.4706625695260174E-2</v>
      </c>
      <c r="S668" s="22">
        <v>4.023453450239356E-2</v>
      </c>
      <c r="T668" s="19">
        <f t="shared" si="76"/>
        <v>4.2819924034187551E-2</v>
      </c>
      <c r="U668" s="24">
        <v>4.25865898826705E-2</v>
      </c>
      <c r="V668" s="24">
        <f t="shared" si="77"/>
        <v>4.2844740197455211E-2</v>
      </c>
      <c r="W668" s="23">
        <f t="shared" si="78"/>
        <v>3.5020584935718801E-3</v>
      </c>
      <c r="X668" s="24">
        <v>4.2105550095008271E-2</v>
      </c>
      <c r="Y668" s="24">
        <f t="shared" si="79"/>
        <v>4.2837545059886128E-2</v>
      </c>
      <c r="Z668" s="23">
        <f t="shared" si="80"/>
        <v>3.5014683472991415E-3</v>
      </c>
      <c r="AA668" s="36"/>
    </row>
    <row r="669" spans="15:27" ht="13.9" customHeight="1" x14ac:dyDescent="0.3">
      <c r="O669" s="12">
        <f t="shared" si="74"/>
        <v>54.666666666666664</v>
      </c>
      <c r="P669" s="13">
        <v>656</v>
      </c>
      <c r="Q669" s="22">
        <v>3.5378089009586056E-2</v>
      </c>
      <c r="R669" s="19">
        <f t="shared" si="75"/>
        <v>3.4722265350677128E-2</v>
      </c>
      <c r="S669" s="22">
        <v>4.0238470762879786E-2</v>
      </c>
      <c r="T669" s="19">
        <f t="shared" si="76"/>
        <v>4.2821559345351368E-2</v>
      </c>
      <c r="U669" s="24">
        <v>4.2586983355854979E-2</v>
      </c>
      <c r="V669" s="24">
        <f t="shared" si="77"/>
        <v>4.2845795900667616E-2</v>
      </c>
      <c r="W669" s="23">
        <f t="shared" si="78"/>
        <v>3.5021437304940672E-3</v>
      </c>
      <c r="X669" s="24">
        <v>4.2106665549875855E-2</v>
      </c>
      <c r="Y669" s="24">
        <f t="shared" si="79"/>
        <v>4.2838763016222803E-2</v>
      </c>
      <c r="Z669" s="23">
        <f t="shared" si="80"/>
        <v>3.5015667543210061E-3</v>
      </c>
      <c r="AA669" s="36"/>
    </row>
    <row r="670" spans="15:27" ht="13.9" customHeight="1" x14ac:dyDescent="0.3">
      <c r="O670" s="12">
        <f t="shared" si="74"/>
        <v>54.75</v>
      </c>
      <c r="P670" s="13">
        <v>657</v>
      </c>
      <c r="Q670" s="22">
        <v>3.5377090484267182E-2</v>
      </c>
      <c r="R670" s="19">
        <f t="shared" si="75"/>
        <v>3.4737770864442519E-2</v>
      </c>
      <c r="S670" s="22">
        <v>4.0242397538568619E-2</v>
      </c>
      <c r="T670" s="19">
        <f t="shared" si="76"/>
        <v>4.2823179784569287E-2</v>
      </c>
      <c r="U670" s="24">
        <v>4.2587377237856661E-2</v>
      </c>
      <c r="V670" s="24">
        <f t="shared" si="77"/>
        <v>4.2846844414083041E-2</v>
      </c>
      <c r="W670" s="23">
        <f t="shared" si="78"/>
        <v>3.50222838674763E-3</v>
      </c>
      <c r="X670" s="24">
        <v>4.2107779462847716E-2</v>
      </c>
      <c r="Y670" s="24">
        <f t="shared" si="79"/>
        <v>4.2839971827785428E-2</v>
      </c>
      <c r="Z670" s="23">
        <f t="shared" si="80"/>
        <v>3.5016644221732562E-3</v>
      </c>
      <c r="AA670" s="36"/>
    </row>
    <row r="671" spans="15:27" ht="13.9" customHeight="1" x14ac:dyDescent="0.3">
      <c r="O671" s="12">
        <f t="shared" si="74"/>
        <v>54.833333333333336</v>
      </c>
      <c r="P671" s="13">
        <v>658</v>
      </c>
      <c r="Q671" s="22">
        <v>3.5376118574262705E-2</v>
      </c>
      <c r="R671" s="19">
        <f t="shared" si="75"/>
        <v>3.4753143422740385E-2</v>
      </c>
      <c r="S671" s="22">
        <v>4.0246314850114873E-2</v>
      </c>
      <c r="T671" s="19">
        <f t="shared" si="76"/>
        <v>4.2824785487101114E-2</v>
      </c>
      <c r="U671" s="24">
        <v>4.2587771515887107E-2</v>
      </c>
      <c r="V671" s="24">
        <f t="shared" si="77"/>
        <v>4.2847885785774364E-2</v>
      </c>
      <c r="W671" s="23">
        <f t="shared" si="78"/>
        <v>3.5023124663777772E-3</v>
      </c>
      <c r="X671" s="24">
        <v>4.2108891827063788E-2</v>
      </c>
      <c r="Y671" s="24">
        <f t="shared" si="79"/>
        <v>4.2841171561893931E-2</v>
      </c>
      <c r="Z671" s="23">
        <f t="shared" si="80"/>
        <v>3.5017613566030725E-3</v>
      </c>
      <c r="AA671" s="36"/>
    </row>
    <row r="672" spans="15:27" ht="13.9" customHeight="1" x14ac:dyDescent="0.3">
      <c r="O672" s="12">
        <f t="shared" si="74"/>
        <v>54.916666666666664</v>
      </c>
      <c r="P672" s="13">
        <v>659</v>
      </c>
      <c r="Q672" s="22">
        <v>3.5375172956112477E-2</v>
      </c>
      <c r="R672" s="19">
        <f t="shared" si="75"/>
        <v>3.4768384202472191E-2</v>
      </c>
      <c r="S672" s="22">
        <v>4.0250222718252404E-2</v>
      </c>
      <c r="T672" s="19">
        <f t="shared" si="76"/>
        <v>4.2826376586980963E-2</v>
      </c>
      <c r="U672" s="24">
        <v>4.2588166177308429E-2</v>
      </c>
      <c r="V672" s="24">
        <f t="shared" si="77"/>
        <v>4.2848920063878637E-2</v>
      </c>
      <c r="W672" s="23">
        <f t="shared" si="78"/>
        <v>3.5023959732407572E-3</v>
      </c>
      <c r="X672" s="24">
        <v>4.2110002635808108E-2</v>
      </c>
      <c r="Y672" s="24">
        <f t="shared" si="79"/>
        <v>4.2842362286438451E-2</v>
      </c>
      <c r="Z672" s="23">
        <f t="shared" si="80"/>
        <v>3.5018575630112458E-3</v>
      </c>
      <c r="AA672" s="36"/>
    </row>
    <row r="673" spans="15:27" ht="13.9" customHeight="1" x14ac:dyDescent="0.3">
      <c r="O673" s="12">
        <f t="shared" si="74"/>
        <v>55</v>
      </c>
      <c r="P673" s="13">
        <v>660</v>
      </c>
      <c r="Q673" s="22">
        <v>3.5374253310112458E-2</v>
      </c>
      <c r="R673" s="19">
        <f t="shared" si="75"/>
        <v>3.4783494367035983E-2</v>
      </c>
      <c r="S673" s="22">
        <v>4.0254121163791901E-2</v>
      </c>
      <c r="T673" s="19">
        <f t="shared" si="76"/>
        <v>4.2827953217924986E-2</v>
      </c>
      <c r="U673" s="24">
        <v>4.2588561209632392E-2</v>
      </c>
      <c r="V673" s="24">
        <f t="shared" si="77"/>
        <v>4.2849947298503333E-2</v>
      </c>
      <c r="W673" s="23">
        <f t="shared" si="78"/>
        <v>3.502478911198148E-3</v>
      </c>
      <c r="X673" s="24">
        <v>4.2111111882508157E-2</v>
      </c>
      <c r="Y673" s="24">
        <f t="shared" si="79"/>
        <v>4.2843544070949369E-2</v>
      </c>
      <c r="Z673" s="23">
        <f t="shared" si="80"/>
        <v>3.5019530468440863E-3</v>
      </c>
      <c r="AA673" s="36"/>
    </row>
    <row r="674" spans="15:27" ht="13.9" customHeight="1" x14ac:dyDescent="0.3">
      <c r="O674" s="12">
        <f t="shared" si="74"/>
        <v>55.083333333333336</v>
      </c>
      <c r="P674" s="13">
        <v>661</v>
      </c>
      <c r="Q674" s="22">
        <v>3.5373359320266307E-2</v>
      </c>
      <c r="R674" s="19">
        <f t="shared" si="75"/>
        <v>3.4798475071898816E-2</v>
      </c>
      <c r="S674" s="22">
        <v>4.025801020762021E-2</v>
      </c>
      <c r="T674" s="19">
        <f t="shared" si="76"/>
        <v>4.2829515511410898E-2</v>
      </c>
      <c r="U674" s="24">
        <v>4.2588956600521977E-2</v>
      </c>
      <c r="V674" s="24">
        <f t="shared" si="77"/>
        <v>4.285096753623141E-2</v>
      </c>
      <c r="W674" s="23">
        <f t="shared" si="78"/>
        <v>3.502561284269845E-3</v>
      </c>
      <c r="X674" s="24">
        <v>4.2112219560735964E-2</v>
      </c>
      <c r="Y674" s="24">
        <f t="shared" si="79"/>
        <v>4.2844716980933395E-2</v>
      </c>
      <c r="Z674" s="23">
        <f t="shared" si="80"/>
        <v>3.5020478136797983E-3</v>
      </c>
      <c r="AA674" s="36"/>
    </row>
    <row r="675" spans="15:27" ht="13.9" customHeight="1" x14ac:dyDescent="0.3">
      <c r="O675" s="12">
        <f t="shared" si="74"/>
        <v>55.166666666666664</v>
      </c>
      <c r="P675" s="13">
        <v>662</v>
      </c>
      <c r="Q675" s="22">
        <v>3.5372490674244306E-2</v>
      </c>
      <c r="R675" s="19">
        <f t="shared" si="75"/>
        <v>3.4813327458989685E-2</v>
      </c>
      <c r="S675" s="22">
        <v>4.0261889870696121E-2</v>
      </c>
      <c r="T675" s="19">
        <f t="shared" si="76"/>
        <v>4.283106359913158E-2</v>
      </c>
      <c r="U675" s="24">
        <v>4.2589352337785158E-2</v>
      </c>
      <c r="V675" s="24">
        <f t="shared" si="77"/>
        <v>4.2851980826996261E-2</v>
      </c>
      <c r="W675" s="23">
        <f t="shared" si="78"/>
        <v>3.502643096192859E-3</v>
      </c>
      <c r="X675" s="24">
        <v>4.2113325664201673E-2</v>
      </c>
      <c r="Y675" s="24">
        <f t="shared" si="79"/>
        <v>4.2845881085620263E-2</v>
      </c>
      <c r="Z675" s="23">
        <f t="shared" si="80"/>
        <v>3.5021418687732897E-3</v>
      </c>
      <c r="AA675" s="36"/>
    </row>
    <row r="676" spans="15:27" ht="13.9" customHeight="1" x14ac:dyDescent="0.3">
      <c r="O676" s="12">
        <f t="shared" si="74"/>
        <v>55.25</v>
      </c>
      <c r="P676" s="13">
        <v>663</v>
      </c>
      <c r="Q676" s="22">
        <v>3.5371647063335399E-2</v>
      </c>
      <c r="R676" s="19">
        <f t="shared" si="75"/>
        <v>3.4828052661884934E-2</v>
      </c>
      <c r="S676" s="22">
        <v>4.0265760174049925E-2</v>
      </c>
      <c r="T676" s="19">
        <f t="shared" si="76"/>
        <v>4.2832597608986944E-2</v>
      </c>
      <c r="U676" s="24">
        <v>4.258974840937868E-2</v>
      </c>
      <c r="V676" s="24">
        <f t="shared" si="77"/>
        <v>4.2852987215200145E-2</v>
      </c>
      <c r="W676" s="23">
        <f t="shared" si="78"/>
        <v>3.5027243509726524E-3</v>
      </c>
      <c r="X676" s="24">
        <v>4.2114430186757534E-2</v>
      </c>
      <c r="Y676" s="24">
        <f t="shared" si="79"/>
        <v>4.2847036448088627E-2</v>
      </c>
      <c r="Z676" s="23">
        <f t="shared" si="80"/>
        <v>3.50223521767834E-3</v>
      </c>
      <c r="AA676" s="36"/>
    </row>
    <row r="677" spans="15:27" ht="13.9" customHeight="1" x14ac:dyDescent="0.3">
      <c r="O677" s="12">
        <f t="shared" si="74"/>
        <v>55.333333333333336</v>
      </c>
      <c r="P677" s="13">
        <v>664</v>
      </c>
      <c r="Q677" s="22">
        <v>3.5370828182407221E-2</v>
      </c>
      <c r="R677" s="19">
        <f t="shared" si="75"/>
        <v>3.4842651801428648E-2</v>
      </c>
      <c r="S677" s="22">
        <v>4.0269621138777634E-2</v>
      </c>
      <c r="T677" s="19">
        <f t="shared" si="76"/>
        <v>4.2834117670832672E-2</v>
      </c>
      <c r="U677" s="24">
        <v>4.2590144803398955E-2</v>
      </c>
      <c r="V677" s="24">
        <f t="shared" si="77"/>
        <v>4.2853986750988948E-2</v>
      </c>
      <c r="W677" s="23">
        <f t="shared" si="78"/>
        <v>3.502805052171265E-3</v>
      </c>
      <c r="X677" s="24">
        <v>4.2115533122387694E-2</v>
      </c>
      <c r="Y677" s="24">
        <f t="shared" si="79"/>
        <v>4.2848183137201845E-2</v>
      </c>
      <c r="Z677" s="23">
        <f t="shared" si="80"/>
        <v>3.5023278654551238E-3</v>
      </c>
      <c r="AA677" s="36"/>
    </row>
    <row r="678" spans="15:27" ht="13.9" customHeight="1" x14ac:dyDescent="0.3">
      <c r="O678" s="12">
        <f t="shared" si="74"/>
        <v>55.416666666666664</v>
      </c>
      <c r="P678" s="13">
        <v>665</v>
      </c>
      <c r="Q678" s="22">
        <v>3.5370033729859696E-2</v>
      </c>
      <c r="R678" s="19">
        <f t="shared" si="75"/>
        <v>3.4857125989887994E-2</v>
      </c>
      <c r="S678" s="22">
        <v>4.0273472786042985E-2</v>
      </c>
      <c r="T678" s="19">
        <f t="shared" si="76"/>
        <v>4.2835623911390286E-2</v>
      </c>
      <c r="U678" s="24">
        <v>4.2590541508089164E-2</v>
      </c>
      <c r="V678" s="24">
        <f t="shared" si="77"/>
        <v>4.2854979479133748E-2</v>
      </c>
      <c r="W678" s="23">
        <f t="shared" si="78"/>
        <v>3.5028852038112568E-3</v>
      </c>
      <c r="X678" s="24">
        <v>4.2116634465216185E-2</v>
      </c>
      <c r="Y678" s="24">
        <f t="shared" si="79"/>
        <v>4.2849321216768876E-2</v>
      </c>
      <c r="Z678" s="23">
        <f t="shared" si="80"/>
        <v>3.5024198176283328E-3</v>
      </c>
      <c r="AA678" s="36"/>
    </row>
    <row r="679" spans="15:27" ht="13.9" customHeight="1" x14ac:dyDescent="0.3">
      <c r="O679" s="12">
        <f t="shared" si="74"/>
        <v>55.5</v>
      </c>
      <c r="P679" s="13">
        <v>666</v>
      </c>
      <c r="Q679" s="22">
        <v>3.5369263407585283E-2</v>
      </c>
      <c r="R679" s="19">
        <f t="shared" si="75"/>
        <v>3.4871476327915651E-2</v>
      </c>
      <c r="S679" s="22">
        <v>4.0277315137072556E-2</v>
      </c>
      <c r="T679" s="19">
        <f t="shared" si="76"/>
        <v>4.2837116456213797E-2</v>
      </c>
      <c r="U679" s="24">
        <v>4.2590938511830378E-2</v>
      </c>
      <c r="V679" s="24">
        <f t="shared" si="77"/>
        <v>4.285596544738568E-2</v>
      </c>
      <c r="W679" s="23">
        <f t="shared" si="78"/>
        <v>3.5029648094844212E-3</v>
      </c>
      <c r="X679" s="24">
        <v>4.2117734209497826E-2</v>
      </c>
      <c r="Y679" s="24">
        <f t="shared" si="79"/>
        <v>4.285045075165872E-2</v>
      </c>
      <c r="Z679" s="23">
        <f t="shared" si="80"/>
        <v>3.5025110793165393E-3</v>
      </c>
      <c r="AA679" s="36"/>
    </row>
    <row r="680" spans="15:27" ht="13.9" customHeight="1" x14ac:dyDescent="0.3">
      <c r="O680" s="12">
        <f t="shared" si="74"/>
        <v>55.583333333333336</v>
      </c>
      <c r="P680" s="13">
        <v>667</v>
      </c>
      <c r="Q680" s="22">
        <v>3.5368516920925464E-2</v>
      </c>
      <c r="R680" s="19">
        <f t="shared" si="75"/>
        <v>3.488570390729695E-2</v>
      </c>
      <c r="S680" s="22">
        <v>4.0281148213153539E-2</v>
      </c>
      <c r="T680" s="19">
        <f t="shared" si="76"/>
        <v>4.2838595430846116E-2</v>
      </c>
      <c r="U680" s="24">
        <v>4.2591335803144892E-2</v>
      </c>
      <c r="V680" s="24">
        <f t="shared" si="77"/>
        <v>4.2856944701387345E-2</v>
      </c>
      <c r="W680" s="23">
        <f t="shared" si="78"/>
        <v>3.5030438730210278E-3</v>
      </c>
      <c r="X680" s="24">
        <v>4.2118832349619328E-2</v>
      </c>
      <c r="Y680" s="24">
        <f t="shared" si="79"/>
        <v>4.2851571806958644E-2</v>
      </c>
      <c r="Z680" s="23">
        <f t="shared" si="80"/>
        <v>3.5026016557235806E-3</v>
      </c>
      <c r="AA680" s="36"/>
    </row>
    <row r="681" spans="15:27" ht="13.9" customHeight="1" x14ac:dyDescent="0.3">
      <c r="O681" s="12">
        <f t="shared" si="74"/>
        <v>55.666666666666664</v>
      </c>
      <c r="P681" s="13">
        <v>668</v>
      </c>
      <c r="Q681" s="22">
        <v>3.536779397863099E-2</v>
      </c>
      <c r="R681" s="19">
        <f t="shared" si="75"/>
        <v>3.4899809807807047E-2</v>
      </c>
      <c r="S681" s="22">
        <v>4.028497203563286E-2</v>
      </c>
      <c r="T681" s="19">
        <f t="shared" si="76"/>
        <v>4.2840060958189596E-2</v>
      </c>
      <c r="U681" s="24">
        <v>4.259173337069222E-2</v>
      </c>
      <c r="V681" s="24">
        <f t="shared" si="77"/>
        <v>4.285791728689925E-2</v>
      </c>
      <c r="W681" s="23">
        <f t="shared" si="78"/>
        <v>3.5031223980828141E-3</v>
      </c>
      <c r="X681" s="24">
        <v>4.2119928880097968E-2</v>
      </c>
      <c r="Y681" s="24">
        <f t="shared" si="79"/>
        <v>4.2852684445300548E-2</v>
      </c>
      <c r="Z681" s="23">
        <f t="shared" si="80"/>
        <v>3.5026915520708357E-3</v>
      </c>
      <c r="AA681" s="36"/>
    </row>
    <row r="682" spans="15:27" ht="13.9" customHeight="1" x14ac:dyDescent="0.3">
      <c r="O682" s="12">
        <f t="shared" si="74"/>
        <v>55.75</v>
      </c>
      <c r="P682" s="13">
        <v>669</v>
      </c>
      <c r="Q682" s="22">
        <v>3.5367094292818591E-2</v>
      </c>
      <c r="R682" s="19">
        <f t="shared" si="75"/>
        <v>3.4913795100965039E-2</v>
      </c>
      <c r="S682" s="22">
        <v>4.0288786625913398E-2</v>
      </c>
      <c r="T682" s="19">
        <f t="shared" si="76"/>
        <v>4.2841513161955502E-2</v>
      </c>
      <c r="U682" s="24">
        <v>4.2592131203267769E-2</v>
      </c>
      <c r="V682" s="24">
        <f t="shared" si="77"/>
        <v>4.2858883249771607E-2</v>
      </c>
      <c r="W682" s="23">
        <f t="shared" si="78"/>
        <v>3.5032003883403995E-3</v>
      </c>
      <c r="X682" s="24">
        <v>4.2121023795578028E-2</v>
      </c>
      <c r="Y682" s="24">
        <f t="shared" si="79"/>
        <v>4.2853788731453291E-2</v>
      </c>
      <c r="Z682" s="23">
        <f t="shared" si="80"/>
        <v>3.5027807733827299E-3</v>
      </c>
      <c r="AA682" s="36"/>
    </row>
    <row r="683" spans="15:27" ht="13.9" customHeight="1" x14ac:dyDescent="0.3">
      <c r="O683" s="12">
        <f t="shared" si="74"/>
        <v>55.833333333333336</v>
      </c>
      <c r="P683" s="13">
        <v>670</v>
      </c>
      <c r="Q683" s="22">
        <v>3.5366417578933218E-2</v>
      </c>
      <c r="R683" s="19">
        <f t="shared" si="75"/>
        <v>3.4927660847119846E-2</v>
      </c>
      <c r="S683" s="22">
        <v>4.0292592005454431E-2</v>
      </c>
      <c r="T683" s="19">
        <f t="shared" si="76"/>
        <v>4.2842952162551962E-2</v>
      </c>
      <c r="U683" s="24">
        <v>4.2592529289802616E-2</v>
      </c>
      <c r="V683" s="24">
        <f t="shared" si="77"/>
        <v>4.2859842634754397E-2</v>
      </c>
      <c r="W683" s="23">
        <f t="shared" si="78"/>
        <v>3.5032778474717308E-3</v>
      </c>
      <c r="X683" s="24">
        <v>4.2122117090831468E-2</v>
      </c>
      <c r="Y683" s="24">
        <f t="shared" si="79"/>
        <v>4.2854884727296261E-2</v>
      </c>
      <c r="Z683" s="23">
        <f t="shared" si="80"/>
        <v>3.5028693248551068E-3</v>
      </c>
      <c r="AA683" s="36"/>
    </row>
    <row r="684" spans="15:27" ht="13.9" customHeight="1" x14ac:dyDescent="0.3">
      <c r="O684" s="12">
        <f t="shared" si="74"/>
        <v>55.916666666666664</v>
      </c>
      <c r="P684" s="13">
        <v>671</v>
      </c>
      <c r="Q684" s="22">
        <v>3.5365763555706087E-2</v>
      </c>
      <c r="R684" s="19">
        <f t="shared" si="75"/>
        <v>3.4941408097460158E-2</v>
      </c>
      <c r="S684" s="22">
        <v>4.0296388195766308E-2</v>
      </c>
      <c r="T684" s="19">
        <f t="shared" si="76"/>
        <v>4.2844378080659773E-2</v>
      </c>
      <c r="U684" s="24">
        <v>4.2592927619360399E-2</v>
      </c>
      <c r="V684" s="24">
        <f t="shared" si="77"/>
        <v>4.286079548748245E-2</v>
      </c>
      <c r="W684" s="23">
        <f t="shared" si="78"/>
        <v>3.5033547790670472E-3</v>
      </c>
      <c r="X684" s="24">
        <v>4.2123208760754371E-2</v>
      </c>
      <c r="Y684" s="24">
        <f t="shared" si="79"/>
        <v>4.2855972495327022E-2</v>
      </c>
      <c r="Z684" s="23">
        <f t="shared" si="80"/>
        <v>3.5029572114517737E-3</v>
      </c>
      <c r="AA684" s="36"/>
    </row>
    <row r="685" spans="15:27" ht="13.9" customHeight="1" x14ac:dyDescent="0.3">
      <c r="O685" s="12">
        <f t="shared" si="74"/>
        <v>56</v>
      </c>
      <c r="P685" s="13">
        <v>672</v>
      </c>
      <c r="Q685" s="22">
        <v>3.5365131945117145E-2</v>
      </c>
      <c r="R685" s="19">
        <f t="shared" si="75"/>
        <v>3.495503789309895E-2</v>
      </c>
      <c r="S685" s="22">
        <v>4.030017521841045E-2</v>
      </c>
      <c r="T685" s="19">
        <f t="shared" si="76"/>
        <v>4.2845791035905689E-2</v>
      </c>
      <c r="U685" s="24">
        <v>4.2593326181137536E-2</v>
      </c>
      <c r="V685" s="24">
        <f t="shared" si="77"/>
        <v>4.2861741852229907E-2</v>
      </c>
      <c r="W685" s="23">
        <f t="shared" si="78"/>
        <v>3.503431186786532E-3</v>
      </c>
      <c r="X685" s="24">
        <v>4.2124298800365612E-2</v>
      </c>
      <c r="Y685" s="24">
        <f t="shared" si="79"/>
        <v>4.2857052098548065E-2</v>
      </c>
      <c r="Z685" s="23">
        <f t="shared" si="80"/>
        <v>3.5030444381862758E-3</v>
      </c>
      <c r="AA685" s="36"/>
    </row>
    <row r="686" spans="15:27" ht="13.9" customHeight="1" x14ac:dyDescent="0.3">
      <c r="O686" s="12">
        <f t="shared" si="74"/>
        <v>56.083333333333336</v>
      </c>
      <c r="P686" s="13">
        <v>673</v>
      </c>
      <c r="Q686" s="22">
        <v>3.5364522472354665E-2</v>
      </c>
      <c r="R686" s="19">
        <f t="shared" si="75"/>
        <v>3.4968551266284065E-2</v>
      </c>
      <c r="S686" s="22">
        <v>4.0303953094997569E-2</v>
      </c>
      <c r="T686" s="19">
        <f t="shared" si="76"/>
        <v>4.28471911459678E-2</v>
      </c>
      <c r="U686" s="24">
        <v>4.2593724964460788E-2</v>
      </c>
      <c r="V686" s="24">
        <f t="shared" si="77"/>
        <v>4.2862681773125688E-2</v>
      </c>
      <c r="W686" s="23">
        <f t="shared" si="78"/>
        <v>3.5035070741820107E-3</v>
      </c>
      <c r="X686" s="24">
        <v>4.2125387204807518E-2</v>
      </c>
      <c r="Y686" s="24">
        <f t="shared" si="79"/>
        <v>4.2858123596823505E-2</v>
      </c>
      <c r="Z686" s="23">
        <f t="shared" si="80"/>
        <v>3.5031310101125701E-3</v>
      </c>
      <c r="AA686" s="36"/>
    </row>
    <row r="687" spans="15:27" ht="13.9" customHeight="1" x14ac:dyDescent="0.3">
      <c r="O687" s="12">
        <f t="shared" si="74"/>
        <v>56.166666666666664</v>
      </c>
      <c r="P687" s="13">
        <v>674</v>
      </c>
      <c r="Q687" s="22">
        <v>3.5363934865779267E-2</v>
      </c>
      <c r="R687" s="19">
        <f t="shared" si="75"/>
        <v>3.4981949237867571E-2</v>
      </c>
      <c r="S687" s="22">
        <v>4.0307721847184341E-2</v>
      </c>
      <c r="T687" s="19">
        <f t="shared" si="76"/>
        <v>4.2848578528088987E-2</v>
      </c>
      <c r="U687" s="24">
        <v>4.2594123958785479E-2</v>
      </c>
      <c r="V687" s="24">
        <f t="shared" si="77"/>
        <v>4.286361529437821E-2</v>
      </c>
      <c r="W687" s="23">
        <f t="shared" si="78"/>
        <v>3.5035824447935404E-3</v>
      </c>
      <c r="X687" s="24">
        <v>4.2126473969339884E-2</v>
      </c>
      <c r="Y687" s="24">
        <f t="shared" si="79"/>
        <v>4.2859187052326719E-2</v>
      </c>
      <c r="Z687" s="23">
        <f t="shared" si="80"/>
        <v>3.5032169320330375E-3</v>
      </c>
      <c r="AA687" s="36"/>
    </row>
    <row r="688" spans="15:27" ht="13.9" customHeight="1" x14ac:dyDescent="0.3">
      <c r="O688" s="12">
        <f t="shared" si="74"/>
        <v>56.25</v>
      </c>
      <c r="P688" s="13">
        <v>675</v>
      </c>
      <c r="Q688" s="22">
        <v>3.5363368856882405E-2</v>
      </c>
      <c r="R688" s="19">
        <f t="shared" si="75"/>
        <v>3.4995232822440991E-2</v>
      </c>
      <c r="S688" s="22">
        <v>4.0311481496672519E-2</v>
      </c>
      <c r="T688" s="19">
        <f t="shared" si="76"/>
        <v>4.2849953298246923E-2</v>
      </c>
      <c r="U688" s="24">
        <v>4.2594523153695052E-2</v>
      </c>
      <c r="V688" s="24">
        <f t="shared" si="77"/>
        <v>4.2864542460078647E-2</v>
      </c>
      <c r="W688" s="23">
        <f t="shared" si="78"/>
        <v>3.5036573021671735E-3</v>
      </c>
      <c r="X688" s="24">
        <v>4.2127559089342625E-2</v>
      </c>
      <c r="Y688" s="24">
        <f t="shared" si="79"/>
        <v>4.2860242525296632E-2</v>
      </c>
      <c r="Z688" s="23">
        <f t="shared" si="80"/>
        <v>3.5033022089350219E-3</v>
      </c>
      <c r="AA688" s="36"/>
    </row>
    <row r="689" spans="15:27" ht="13.9" customHeight="1" x14ac:dyDescent="0.3">
      <c r="O689" s="12">
        <f t="shared" si="74"/>
        <v>56.333333333333336</v>
      </c>
      <c r="P689" s="13">
        <v>676</v>
      </c>
      <c r="Q689" s="22">
        <v>3.536282418025416E-2</v>
      </c>
      <c r="R689" s="19">
        <f t="shared" si="75"/>
        <v>3.5008403021144829E-2</v>
      </c>
      <c r="S689" s="22">
        <v>4.0315232065206263E-2</v>
      </c>
      <c r="T689" s="19">
        <f t="shared" si="76"/>
        <v>4.2851315571240889E-2</v>
      </c>
      <c r="U689" s="24">
        <v>4.2594922538899516E-2</v>
      </c>
      <c r="V689" s="24">
        <f t="shared" si="77"/>
        <v>4.28654633127592E-2</v>
      </c>
      <c r="W689" s="23">
        <f t="shared" si="78"/>
        <v>3.5037316498398585E-3</v>
      </c>
      <c r="X689" s="24">
        <v>4.2128642560312013E-2</v>
      </c>
      <c r="Y689" s="24">
        <f t="shared" si="79"/>
        <v>4.2861290075630665E-2</v>
      </c>
      <c r="Z689" s="23">
        <f t="shared" si="80"/>
        <v>3.5033868456506578E-3</v>
      </c>
      <c r="AA689" s="36"/>
    </row>
    <row r="690" spans="15:27" ht="13.9" customHeight="1" x14ac:dyDescent="0.3">
      <c r="O690" s="12">
        <f t="shared" si="74"/>
        <v>56.416666666666664</v>
      </c>
      <c r="P690" s="13">
        <v>677</v>
      </c>
      <c r="Q690" s="22">
        <v>3.5362300573540173E-2</v>
      </c>
      <c r="R690" s="19">
        <f t="shared" si="75"/>
        <v>3.5021460830095608E-2</v>
      </c>
      <c r="S690" s="22">
        <v>4.0318973574570816E-2</v>
      </c>
      <c r="T690" s="19">
        <f t="shared" si="76"/>
        <v>4.285266546128641E-2</v>
      </c>
      <c r="U690" s="24">
        <v>4.2595322104233002E-2</v>
      </c>
      <c r="V690" s="24">
        <f t="shared" si="77"/>
        <v>4.2866377896573438E-2</v>
      </c>
      <c r="W690" s="23">
        <f t="shared" si="78"/>
        <v>3.5038054912233108E-3</v>
      </c>
      <c r="X690" s="24">
        <v>4.2129724377859334E-2</v>
      </c>
      <c r="Y690" s="24">
        <f t="shared" si="79"/>
        <v>4.2862329763234008E-2</v>
      </c>
      <c r="Z690" s="23">
        <f t="shared" si="80"/>
        <v>3.5034708469852127E-3</v>
      </c>
      <c r="AA690" s="36"/>
    </row>
    <row r="691" spans="15:27" ht="13.9" customHeight="1" x14ac:dyDescent="0.3">
      <c r="O691" s="12">
        <f t="shared" si="74"/>
        <v>56.5</v>
      </c>
      <c r="P691" s="13">
        <v>678</v>
      </c>
      <c r="Q691" s="22">
        <v>3.5361797777411885E-2</v>
      </c>
      <c r="R691" s="19">
        <f t="shared" si="75"/>
        <v>3.5034407232317655E-2</v>
      </c>
      <c r="S691" s="22">
        <v>4.0322706046590939E-2</v>
      </c>
      <c r="T691" s="19">
        <f t="shared" si="76"/>
        <v>4.2854003080681213E-2</v>
      </c>
      <c r="U691" s="24">
        <v>4.259572183965421E-2</v>
      </c>
      <c r="V691" s="24">
        <f t="shared" si="77"/>
        <v>4.2867286252633141E-2</v>
      </c>
      <c r="W691" s="23">
        <f t="shared" si="78"/>
        <v>3.5038788298593637E-3</v>
      </c>
      <c r="X691" s="24">
        <v>4.2130804537710231E-2</v>
      </c>
      <c r="Y691" s="24">
        <f t="shared" si="79"/>
        <v>4.286336164657456E-2</v>
      </c>
      <c r="Z691" s="23">
        <f t="shared" si="80"/>
        <v>3.5035542177437318E-3</v>
      </c>
      <c r="AA691" s="36"/>
    </row>
    <row r="692" spans="15:27" ht="13.9" customHeight="1" x14ac:dyDescent="0.3">
      <c r="O692" s="12">
        <f t="shared" si="74"/>
        <v>56.583333333333336</v>
      </c>
      <c r="P692" s="13">
        <v>679</v>
      </c>
      <c r="Q692" s="22">
        <v>3.5361315535524351E-2</v>
      </c>
      <c r="R692" s="19">
        <f t="shared" si="75"/>
        <v>3.504724320582997E-2</v>
      </c>
      <c r="S692" s="22">
        <v>4.0326429503127814E-2</v>
      </c>
      <c r="T692" s="19">
        <f t="shared" si="76"/>
        <v>4.2855328541869575E-2</v>
      </c>
      <c r="U692" s="24">
        <v>4.2596121735241965E-2</v>
      </c>
      <c r="V692" s="24">
        <f t="shared" si="77"/>
        <v>4.2868188425705833E-2</v>
      </c>
      <c r="W692" s="23">
        <f t="shared" si="78"/>
        <v>3.5039516690460459E-3</v>
      </c>
      <c r="X692" s="24">
        <v>4.2131883035701367E-2</v>
      </c>
      <c r="Y692" s="24">
        <f t="shared" si="79"/>
        <v>4.2864385786089088E-2</v>
      </c>
      <c r="Z692" s="23">
        <f t="shared" si="80"/>
        <v>3.5036369626164632E-3</v>
      </c>
      <c r="AA692" s="36"/>
    </row>
    <row r="693" spans="15:27" ht="13.9" customHeight="1" x14ac:dyDescent="0.3">
      <c r="O693" s="12">
        <f t="shared" si="74"/>
        <v>56.666666666666664</v>
      </c>
      <c r="P693" s="13">
        <v>680</v>
      </c>
      <c r="Q693" s="22">
        <v>3.536085359448693E-2</v>
      </c>
      <c r="R693" s="19">
        <f t="shared" si="75"/>
        <v>3.5059969715035111E-2</v>
      </c>
      <c r="S693" s="22">
        <v>4.0330143966079035E-2</v>
      </c>
      <c r="T693" s="19">
        <f t="shared" si="76"/>
        <v>4.2856641955265395E-2</v>
      </c>
      <c r="U693" s="24">
        <v>4.2596521781198993E-2</v>
      </c>
      <c r="V693" s="24">
        <f t="shared" si="77"/>
        <v>4.2869084456559792E-2</v>
      </c>
      <c r="W693" s="23">
        <f t="shared" si="78"/>
        <v>3.5040240123742628E-3</v>
      </c>
      <c r="X693" s="24">
        <v>4.2132959867782649E-2</v>
      </c>
      <c r="Y693" s="24">
        <f t="shared" si="79"/>
        <v>4.2865402238334571E-2</v>
      </c>
      <c r="Z693" s="23">
        <f t="shared" si="80"/>
        <v>3.5037190864517509E-3</v>
      </c>
      <c r="AA693" s="36"/>
    </row>
    <row r="694" spans="15:27" ht="13.9" customHeight="1" x14ac:dyDescent="0.3">
      <c r="O694" s="12">
        <f t="shared" si="74"/>
        <v>56.75</v>
      </c>
      <c r="P694" s="13">
        <v>681</v>
      </c>
      <c r="Q694" s="22">
        <v>3.5360411703821315E-2</v>
      </c>
      <c r="R694" s="19">
        <f t="shared" si="75"/>
        <v>3.5072587720256898E-2</v>
      </c>
      <c r="S694" s="22">
        <v>4.0333849457375281E-2</v>
      </c>
      <c r="T694" s="19">
        <f t="shared" si="76"/>
        <v>4.2857943430631984E-2</v>
      </c>
      <c r="U694" s="24">
        <v>4.259692196784548E-2</v>
      </c>
      <c r="V694" s="24">
        <f t="shared" si="77"/>
        <v>4.2869974387728105E-2</v>
      </c>
      <c r="W694" s="23">
        <f t="shared" si="78"/>
        <v>3.5040958631142871E-3</v>
      </c>
      <c r="X694" s="24">
        <v>4.2134035030011008E-2</v>
      </c>
      <c r="Y694" s="24">
        <f t="shared" si="79"/>
        <v>4.2866411061549536E-2</v>
      </c>
      <c r="Z694" s="23">
        <f t="shared" si="80"/>
        <v>3.5038005937859662E-3</v>
      </c>
      <c r="AA694" s="36"/>
    </row>
    <row r="695" spans="15:27" ht="13.9" customHeight="1" x14ac:dyDescent="0.3">
      <c r="O695" s="12">
        <f t="shared" si="74"/>
        <v>56.833333333333336</v>
      </c>
      <c r="P695" s="13">
        <v>682</v>
      </c>
      <c r="Q695" s="22">
        <v>3.5359989615934229E-2</v>
      </c>
      <c r="R695" s="19">
        <f t="shared" si="75"/>
        <v>3.5085098169373552E-2</v>
      </c>
      <c r="S695" s="22">
        <v>4.0337545998979207E-2</v>
      </c>
      <c r="T695" s="19">
        <f t="shared" si="76"/>
        <v>4.2859233076863346E-2</v>
      </c>
      <c r="U695" s="24">
        <v>4.2597322285620853E-2</v>
      </c>
      <c r="V695" s="24">
        <f t="shared" si="77"/>
        <v>4.2870858259616673E-2</v>
      </c>
      <c r="W695" s="23">
        <f t="shared" si="78"/>
        <v>3.5041672246780564E-3</v>
      </c>
      <c r="X695" s="24">
        <v>4.2135108518551734E-2</v>
      </c>
      <c r="Y695" s="24">
        <f t="shared" si="79"/>
        <v>4.2867412313486009E-2</v>
      </c>
      <c r="Z695" s="23">
        <f t="shared" si="80"/>
        <v>3.5038814892909276E-3</v>
      </c>
      <c r="AA695" s="36"/>
    </row>
    <row r="696" spans="15:27" ht="13.9" customHeight="1" x14ac:dyDescent="0.3">
      <c r="O696" s="12">
        <f t="shared" si="74"/>
        <v>56.916666666666664</v>
      </c>
      <c r="P696" s="13">
        <v>683</v>
      </c>
      <c r="Q696" s="22">
        <v>3.5359587086077893E-2</v>
      </c>
      <c r="R696" s="19">
        <f t="shared" si="75"/>
        <v>3.5097502003273773E-2</v>
      </c>
      <c r="S696" s="22">
        <v>4.0341233612884109E-2</v>
      </c>
      <c r="T696" s="19">
        <f t="shared" si="76"/>
        <v>4.286051100155408E-2</v>
      </c>
      <c r="U696" s="24">
        <v>4.2597722725079556E-2</v>
      </c>
      <c r="V696" s="24">
        <f>(1+U697)^P697/(1+U696)^P696-1</f>
        <v>4.2871736115362324E-2</v>
      </c>
      <c r="W696" s="23">
        <f t="shared" si="78"/>
        <v>3.5042381003065337E-3</v>
      </c>
      <c r="X696" s="24">
        <v>4.213618032967692E-2</v>
      </c>
      <c r="Y696" s="24">
        <f t="shared" si="79"/>
        <v>4.2868406051138175E-2</v>
      </c>
      <c r="Z696" s="23">
        <f t="shared" si="80"/>
        <v>3.5039617775995957E-3</v>
      </c>
      <c r="AA696" s="36"/>
    </row>
    <row r="697" spans="15:27" ht="13.9" customHeight="1" x14ac:dyDescent="0.3">
      <c r="O697" s="12">
        <f t="shared" si="74"/>
        <v>57</v>
      </c>
      <c r="P697" s="13">
        <v>684</v>
      </c>
      <c r="Q697" s="22">
        <v>3.5359203872318723E-2</v>
      </c>
      <c r="R697" s="19">
        <f t="shared" si="75"/>
        <v>3.5109800153540593E-2</v>
      </c>
      <c r="S697" s="22">
        <v>4.0344912321111481E-2</v>
      </c>
      <c r="T697" s="19">
        <f t="shared" si="76"/>
        <v>4.2861777311449911E-2</v>
      </c>
      <c r="U697" s="24">
        <v>4.2598123276894606E-2</v>
      </c>
      <c r="V697" s="24">
        <f t="shared" si="77"/>
        <v>4.2872607995018353E-2</v>
      </c>
      <c r="W697" s="23">
        <f t="shared" si="78"/>
        <v>3.5043084934600621E-3</v>
      </c>
      <c r="X697" s="24">
        <v>4.2137250459763909E-2</v>
      </c>
      <c r="Y697" s="24">
        <f t="shared" si="79"/>
        <v>4.2869392331007949E-2</v>
      </c>
      <c r="Z697" s="23">
        <f t="shared" si="80"/>
        <v>3.5040414632834249E-3</v>
      </c>
      <c r="AA697" s="36"/>
    </row>
    <row r="698" spans="15:27" ht="13.9" customHeight="1" x14ac:dyDescent="0.3">
      <c r="O698" s="12">
        <f t="shared" si="74"/>
        <v>57.083333333333336</v>
      </c>
      <c r="P698" s="13">
        <v>685</v>
      </c>
      <c r="Q698" s="22">
        <v>3.5358839735503134E-2</v>
      </c>
      <c r="R698" s="19">
        <f t="shared" si="75"/>
        <v>3.5121993543954177E-2</v>
      </c>
      <c r="S698" s="22">
        <v>4.034858214570991E-2</v>
      </c>
      <c r="T698" s="19">
        <f t="shared" si="76"/>
        <v>4.2863032112725685E-2</v>
      </c>
      <c r="U698" s="24">
        <v>4.2598523931851373E-2</v>
      </c>
      <c r="V698" s="24">
        <f t="shared" si="77"/>
        <v>4.2873473940009177E-2</v>
      </c>
      <c r="W698" s="23">
        <f t="shared" si="78"/>
        <v>3.5043784073516271E-3</v>
      </c>
      <c r="X698" s="24">
        <v>4.2138318905293515E-2</v>
      </c>
      <c r="Y698" s="24">
        <f t="shared" si="79"/>
        <v>4.2870371208962865E-2</v>
      </c>
      <c r="Z698" s="23">
        <f t="shared" si="80"/>
        <v>3.5041205508750117E-3</v>
      </c>
      <c r="AA698" s="36"/>
    </row>
    <row r="699" spans="15:27" ht="13.9" customHeight="1" x14ac:dyDescent="0.3">
      <c r="O699" s="12">
        <f t="shared" si="74"/>
        <v>57.166666666666664</v>
      </c>
      <c r="P699" s="13">
        <v>686</v>
      </c>
      <c r="Q699" s="22">
        <v>3.5358494439225563E-2</v>
      </c>
      <c r="R699" s="19">
        <f t="shared" si="75"/>
        <v>3.5134083089237267E-2</v>
      </c>
      <c r="S699" s="22">
        <v>4.0352243108753516E-2</v>
      </c>
      <c r="T699" s="19">
        <f t="shared" si="76"/>
        <v>4.2864275509566507E-2</v>
      </c>
      <c r="U699" s="24">
        <v>4.2598924680849803E-2</v>
      </c>
      <c r="V699" s="24">
        <f t="shared" si="77"/>
        <v>4.2874333989533886E-2</v>
      </c>
      <c r="W699" s="23">
        <f t="shared" si="78"/>
        <v>3.504447845303682E-3</v>
      </c>
      <c r="X699" s="24">
        <v>4.2139385662848472E-2</v>
      </c>
      <c r="Y699" s="24">
        <f t="shared" si="79"/>
        <v>4.2871342740381957E-2</v>
      </c>
      <c r="Z699" s="23">
        <f t="shared" si="80"/>
        <v>3.5041990448556604E-3</v>
      </c>
      <c r="AA699" s="36"/>
    </row>
    <row r="700" spans="15:27" ht="13.9" customHeight="1" x14ac:dyDescent="0.3">
      <c r="O700" s="12">
        <f t="shared" si="74"/>
        <v>57.25</v>
      </c>
      <c r="P700" s="13">
        <v>687</v>
      </c>
      <c r="Q700" s="22">
        <v>3.535816774979561E-2</v>
      </c>
      <c r="R700" s="19">
        <f t="shared" si="75"/>
        <v>3.5146069695602522E-2</v>
      </c>
      <c r="S700" s="22">
        <v>4.0355895232339734E-2</v>
      </c>
      <c r="T700" s="19">
        <f t="shared" si="76"/>
        <v>4.2865507607002584E-2</v>
      </c>
      <c r="U700" s="24">
        <v>4.2599325514899977E-2</v>
      </c>
      <c r="V700" s="24">
        <f t="shared" si="77"/>
        <v>4.2875188185687474E-2</v>
      </c>
      <c r="W700" s="23">
        <f t="shared" si="78"/>
        <v>3.5045168104610447E-3</v>
      </c>
      <c r="X700" s="24">
        <v>4.2140450729111878E-2</v>
      </c>
      <c r="Y700" s="24">
        <f t="shared" si="79"/>
        <v>4.2872306981939223E-2</v>
      </c>
      <c r="Z700" s="23">
        <f t="shared" si="80"/>
        <v>3.5042769496675952E-3</v>
      </c>
      <c r="AA700" s="36"/>
    </row>
    <row r="701" spans="15:27" ht="13.9" customHeight="1" x14ac:dyDescent="0.3">
      <c r="O701" s="12">
        <f t="shared" si="74"/>
        <v>57.333333333333336</v>
      </c>
      <c r="P701" s="13">
        <v>688</v>
      </c>
      <c r="Q701" s="22">
        <v>3.5357859436205175E-2</v>
      </c>
      <c r="R701" s="19">
        <f t="shared" si="75"/>
        <v>3.5157954262146962E-2</v>
      </c>
      <c r="S701" s="22">
        <v>4.0359538538589312E-2</v>
      </c>
      <c r="T701" s="19">
        <f t="shared" si="76"/>
        <v>4.2866728506721019E-2</v>
      </c>
      <c r="U701" s="24">
        <v>4.2599726425124995E-2</v>
      </c>
      <c r="V701" s="24">
        <f t="shared" si="77"/>
        <v>4.2876036567247366E-2</v>
      </c>
      <c r="W701" s="23">
        <f t="shared" si="78"/>
        <v>3.5045853061999033E-3</v>
      </c>
      <c r="X701" s="24">
        <v>4.2141514100868749E-2</v>
      </c>
      <c r="Y701" s="24">
        <f t="shared" si="79"/>
        <v>4.2873263987182941E-2</v>
      </c>
      <c r="Z701" s="23">
        <f t="shared" si="80"/>
        <v>3.5043542698569574E-3</v>
      </c>
      <c r="AA701" s="36"/>
    </row>
    <row r="702" spans="15:27" ht="13.9" customHeight="1" x14ac:dyDescent="0.3">
      <c r="O702" s="12">
        <f t="shared" si="74"/>
        <v>57.416666666666664</v>
      </c>
      <c r="P702" s="13">
        <v>689</v>
      </c>
      <c r="Q702" s="22">
        <v>3.5357569270098921E-2</v>
      </c>
      <c r="R702" s="19">
        <f t="shared" si="75"/>
        <v>3.5169737678352853E-2</v>
      </c>
      <c r="S702" s="22">
        <v>4.036317304964232E-2</v>
      </c>
      <c r="T702" s="19">
        <f t="shared" si="76"/>
        <v>4.2867938311204723E-2</v>
      </c>
      <c r="U702" s="24">
        <v>4.2600127402756094E-2</v>
      </c>
      <c r="V702" s="24">
        <f t="shared" si="77"/>
        <v>4.2876879174444049E-2</v>
      </c>
      <c r="W702" s="23">
        <f t="shared" si="78"/>
        <v>3.5046533356308807E-3</v>
      </c>
      <c r="X702" s="24">
        <v>4.2142575775000024E-2</v>
      </c>
      <c r="Y702" s="24">
        <f t="shared" si="79"/>
        <v>4.287421381098433E-2</v>
      </c>
      <c r="Z702" s="23">
        <f t="shared" si="80"/>
        <v>3.5044310097192E-3</v>
      </c>
      <c r="AA702" s="36"/>
    </row>
    <row r="703" spans="15:27" ht="13.9" customHeight="1" x14ac:dyDescent="0.3">
      <c r="O703" s="12">
        <f t="shared" si="74"/>
        <v>57.5</v>
      </c>
      <c r="P703" s="13">
        <v>690</v>
      </c>
      <c r="Q703" s="22">
        <v>3.5357297025740975E-2</v>
      </c>
      <c r="R703" s="19">
        <f t="shared" si="75"/>
        <v>3.5181420825847853E-2</v>
      </c>
      <c r="S703" s="22">
        <v>4.0366798787658587E-2</v>
      </c>
      <c r="T703" s="19">
        <f t="shared" si="76"/>
        <v>4.286913712102991E-2</v>
      </c>
      <c r="U703" s="24">
        <v>4.2600528439133534E-2</v>
      </c>
      <c r="V703" s="24">
        <f t="shared" si="77"/>
        <v>4.2877716045025327E-2</v>
      </c>
      <c r="W703" s="23">
        <f t="shared" si="78"/>
        <v>3.5047209019809511E-3</v>
      </c>
      <c r="X703" s="24">
        <v>4.2143635748484343E-2</v>
      </c>
      <c r="Y703" s="24">
        <f t="shared" si="79"/>
        <v>4.2875156507142576E-2</v>
      </c>
      <c r="Z703" s="23">
        <f t="shared" si="80"/>
        <v>3.504507173655691E-3</v>
      </c>
      <c r="AA703" s="36"/>
    </row>
    <row r="704" spans="15:27" ht="13.9" customHeight="1" x14ac:dyDescent="0.3">
      <c r="O704" s="12">
        <f t="shared" si="74"/>
        <v>57.583333333333336</v>
      </c>
      <c r="P704" s="13">
        <v>691</v>
      </c>
      <c r="Q704" s="22">
        <v>3.5357042479984058E-2</v>
      </c>
      <c r="R704" s="19">
        <f t="shared" si="75"/>
        <v>3.5193004578891296E-2</v>
      </c>
      <c r="S704" s="22">
        <v>4.0370415774814816E-2</v>
      </c>
      <c r="T704" s="19">
        <f t="shared" si="76"/>
        <v>4.2870325037642099E-2</v>
      </c>
      <c r="U704" s="24">
        <v>4.2600929525702158E-2</v>
      </c>
      <c r="V704" s="24">
        <f t="shared" si="77"/>
        <v>4.2878547220787766E-2</v>
      </c>
      <c r="W704" s="23">
        <f t="shared" si="78"/>
        <v>3.5047880082783589E-3</v>
      </c>
      <c r="X704" s="24">
        <v>4.2144694018395601E-2</v>
      </c>
      <c r="Y704" s="24">
        <f t="shared" si="79"/>
        <v>4.2876092129302767E-2</v>
      </c>
      <c r="Z704" s="23">
        <f t="shared" si="80"/>
        <v>3.5045827659816453E-3</v>
      </c>
      <c r="AA704" s="36"/>
    </row>
    <row r="705" spans="15:27" ht="13.9" customHeight="1" x14ac:dyDescent="0.3">
      <c r="O705" s="12">
        <f t="shared" si="74"/>
        <v>57.666666666666664</v>
      </c>
      <c r="P705" s="13">
        <v>692</v>
      </c>
      <c r="Q705" s="22">
        <v>3.5356805412240622E-2</v>
      </c>
      <c r="R705" s="19">
        <f t="shared" si="75"/>
        <v>3.5204489803255301E-2</v>
      </c>
      <c r="S705" s="22">
        <v>4.03740240333057E-2</v>
      </c>
      <c r="T705" s="19">
        <f t="shared" si="76"/>
        <v>4.2871502159280039E-2</v>
      </c>
      <c r="U705" s="24">
        <v>4.2601330654016945E-2</v>
      </c>
      <c r="V705" s="24">
        <f t="shared" si="77"/>
        <v>4.2879372739362598E-2</v>
      </c>
      <c r="W705" s="23">
        <f t="shared" si="78"/>
        <v>3.5048546578750894E-3</v>
      </c>
      <c r="X705" s="24">
        <v>4.2145750581902286E-2</v>
      </c>
      <c r="Y705" s="24">
        <f t="shared" si="79"/>
        <v>4.2877020731163951E-2</v>
      </c>
      <c r="Z705" s="23">
        <f t="shared" si="80"/>
        <v>3.5046577910005094E-3</v>
      </c>
      <c r="AA705" s="36"/>
    </row>
    <row r="706" spans="15:27" ht="13.9" customHeight="1" x14ac:dyDescent="0.3">
      <c r="O706" s="12">
        <f t="shared" si="74"/>
        <v>57.75</v>
      </c>
      <c r="P706" s="13">
        <v>693</v>
      </c>
      <c r="Q706" s="22">
        <v>3.535658560445154E-2</v>
      </c>
      <c r="R706" s="19">
        <f t="shared" si="75"/>
        <v>3.521587735747933E-2</v>
      </c>
      <c r="S706" s="22">
        <v>4.0377623585339695E-2</v>
      </c>
      <c r="T706" s="19">
        <f t="shared" si="76"/>
        <v>4.2872668583638918E-2</v>
      </c>
      <c r="U706" s="24">
        <v>4.2601731815735677E-2</v>
      </c>
      <c r="V706" s="24">
        <f t="shared" si="77"/>
        <v>4.2880192638375503E-2</v>
      </c>
      <c r="W706" s="23">
        <f t="shared" si="78"/>
        <v>3.5049208537902832E-3</v>
      </c>
      <c r="X706" s="24">
        <v>4.2146805436266366E-2</v>
      </c>
      <c r="Y706" s="24">
        <f t="shared" si="79"/>
        <v>4.2877942364925037E-2</v>
      </c>
      <c r="Z706" s="23">
        <f t="shared" si="80"/>
        <v>3.5047322530195046E-3</v>
      </c>
      <c r="AA706" s="36"/>
    </row>
    <row r="707" spans="15:27" ht="13.9" customHeight="1" x14ac:dyDescent="0.3">
      <c r="O707" s="12">
        <f t="shared" si="74"/>
        <v>57.833333333333336</v>
      </c>
      <c r="P707" s="13">
        <v>694</v>
      </c>
      <c r="Q707" s="22">
        <v>3.5356382841057687E-2</v>
      </c>
      <c r="R707" s="19">
        <f t="shared" si="75"/>
        <v>3.5227168091143124E-2</v>
      </c>
      <c r="S707" s="22">
        <v>4.0381214453137471E-2</v>
      </c>
      <c r="T707" s="19">
        <f t="shared" si="76"/>
        <v>4.2873824409518813E-2</v>
      </c>
      <c r="U707" s="24">
        <v>4.2602133002618725E-2</v>
      </c>
      <c r="V707" s="24">
        <f t="shared" si="77"/>
        <v>4.2881006957910639E-2</v>
      </c>
      <c r="W707" s="23">
        <f t="shared" si="78"/>
        <v>3.5049865990415263E-3</v>
      </c>
      <c r="X707" s="24">
        <v>4.2147858578840847E-2</v>
      </c>
      <c r="Y707" s="24">
        <f t="shared" si="79"/>
        <v>4.2878857083456401E-2</v>
      </c>
      <c r="Z707" s="23">
        <f t="shared" si="80"/>
        <v>3.504806156225726E-3</v>
      </c>
      <c r="AA707" s="36"/>
    </row>
    <row r="708" spans="15:27" ht="13.9" customHeight="1" x14ac:dyDescent="0.3">
      <c r="O708" s="12">
        <f t="shared" si="74"/>
        <v>57.916666666666664</v>
      </c>
      <c r="P708" s="13">
        <v>695</v>
      </c>
      <c r="Q708" s="22">
        <v>3.5356196908968185E-2</v>
      </c>
      <c r="R708" s="19">
        <f t="shared" si="75"/>
        <v>3.5238362846975013E-2</v>
      </c>
      <c r="S708" s="22">
        <v>4.0384796658933686E-2</v>
      </c>
      <c r="T708" s="19">
        <f t="shared" si="76"/>
        <v>4.287496973219862E-2</v>
      </c>
      <c r="U708" s="24">
        <v>4.2602534206531262E-2</v>
      </c>
      <c r="V708" s="24">
        <f t="shared" si="77"/>
        <v>4.2881815734437279E-2</v>
      </c>
      <c r="W708" s="23">
        <f t="shared" si="78"/>
        <v>3.5050518968442468E-3</v>
      </c>
      <c r="X708" s="24">
        <v>4.2148910007069995E-2</v>
      </c>
      <c r="Y708" s="24">
        <f t="shared" si="79"/>
        <v>4.2879764938230425E-2</v>
      </c>
      <c r="Z708" s="23">
        <f t="shared" si="80"/>
        <v>3.5048795048600034E-3</v>
      </c>
      <c r="AA708" s="36"/>
    </row>
    <row r="709" spans="15:27" ht="13.9" customHeight="1" x14ac:dyDescent="0.3">
      <c r="O709" s="12">
        <f t="shared" si="74"/>
        <v>58</v>
      </c>
      <c r="P709" s="13">
        <v>696</v>
      </c>
      <c r="Q709" s="22">
        <v>3.5356027597533979E-2</v>
      </c>
      <c r="R709" s="19">
        <f t="shared" si="75"/>
        <v>3.5249462459808534E-2</v>
      </c>
      <c r="S709" s="22">
        <v>4.0388370224971881E-2</v>
      </c>
      <c r="T709" s="19">
        <f t="shared" si="76"/>
        <v>4.2876104648795321E-2</v>
      </c>
      <c r="U709" s="24">
        <v>4.2602935419437493E-2</v>
      </c>
      <c r="V709" s="24">
        <f t="shared" si="77"/>
        <v>4.2882619008050682E-2</v>
      </c>
      <c r="W709" s="23">
        <f t="shared" si="78"/>
        <v>3.5051167501238822E-3</v>
      </c>
      <c r="X709" s="24">
        <v>4.2149959718486674E-2</v>
      </c>
      <c r="Y709" s="24">
        <f t="shared" si="79"/>
        <v>4.288066598208351E-2</v>
      </c>
      <c r="Z709" s="23">
        <f t="shared" si="80"/>
        <v>3.5049523030510343E-3</v>
      </c>
      <c r="AA709" s="36"/>
    </row>
    <row r="710" spans="15:27" ht="13.9" customHeight="1" x14ac:dyDescent="0.3">
      <c r="O710" s="12">
        <f t="shared" si="74"/>
        <v>58.083333333333336</v>
      </c>
      <c r="P710" s="13">
        <v>697</v>
      </c>
      <c r="Q710" s="22">
        <v>3.5355874698517642E-2</v>
      </c>
      <c r="R710" s="19">
        <f t="shared" si="75"/>
        <v>3.5260467756751179E-2</v>
      </c>
      <c r="S710" s="22">
        <v>4.0391935173506921E-2</v>
      </c>
      <c r="T710" s="19">
        <f t="shared" si="76"/>
        <v>4.2877229252151317E-2</v>
      </c>
      <c r="U710" s="24">
        <v>4.2603336633405764E-2</v>
      </c>
      <c r="V710" s="24">
        <f t="shared" si="77"/>
        <v>4.2883416813576103E-2</v>
      </c>
      <c r="W710" s="23">
        <f t="shared" si="78"/>
        <v>3.5051811620963047E-3</v>
      </c>
      <c r="X710" s="24">
        <v>4.2151007710713673E-2</v>
      </c>
      <c r="Y710" s="24">
        <f t="shared" si="79"/>
        <v>4.2881560264785179E-2</v>
      </c>
      <c r="Z710" s="23">
        <f t="shared" si="80"/>
        <v>3.5050245550372061E-3</v>
      </c>
      <c r="AA710" s="36"/>
    </row>
    <row r="711" spans="15:27" ht="13.9" customHeight="1" x14ac:dyDescent="0.3">
      <c r="O711" s="12">
        <f t="shared" si="74"/>
        <v>58.166666666666664</v>
      </c>
      <c r="P711" s="13">
        <v>698</v>
      </c>
      <c r="Q711" s="22">
        <v>3.5355738006065618E-2</v>
      </c>
      <c r="R711" s="19">
        <f t="shared" si="75"/>
        <v>3.5271379558151406E-2</v>
      </c>
      <c r="S711" s="22">
        <v>4.0395491526799221E-2</v>
      </c>
      <c r="T711" s="19">
        <f t="shared" si="76"/>
        <v>4.2878343637540617E-2</v>
      </c>
      <c r="U711" s="24">
        <v>4.2603737840599232E-2</v>
      </c>
      <c r="V711" s="24">
        <f t="shared" si="77"/>
        <v>4.2884209189774092E-2</v>
      </c>
      <c r="W711" s="23">
        <f t="shared" si="78"/>
        <v>3.5052451355550573E-3</v>
      </c>
      <c r="X711" s="24">
        <v>4.2152053981458604E-2</v>
      </c>
      <c r="Y711" s="24">
        <f t="shared" si="79"/>
        <v>4.2882447837611082E-2</v>
      </c>
      <c r="Z711" s="23">
        <f t="shared" si="80"/>
        <v>3.5050962648104367E-3</v>
      </c>
      <c r="AA711" s="36"/>
    </row>
    <row r="712" spans="15:27" ht="13.9" customHeight="1" x14ac:dyDescent="0.3">
      <c r="O712" s="12">
        <f t="shared" si="74"/>
        <v>58.25</v>
      </c>
      <c r="P712" s="13">
        <v>699</v>
      </c>
      <c r="Q712" s="22">
        <v>3.535561731668091E-2</v>
      </c>
      <c r="R712" s="19">
        <f t="shared" si="75"/>
        <v>3.5282198675854248E-2</v>
      </c>
      <c r="S712" s="22">
        <v>4.0399039307117413E-2</v>
      </c>
      <c r="T712" s="19">
        <f t="shared" si="76"/>
        <v>4.287944789764575E-2</v>
      </c>
      <c r="U712" s="24">
        <v>4.2604139033281641E-2</v>
      </c>
      <c r="V712" s="24">
        <f t="shared" si="77"/>
        <v>4.2884996173480516E-2</v>
      </c>
      <c r="W712" s="23">
        <f t="shared" si="78"/>
        <v>3.5053086736089867E-3</v>
      </c>
      <c r="X712" s="24">
        <v>4.2153098528515454E-2</v>
      </c>
      <c r="Y712" s="24">
        <f t="shared" si="79"/>
        <v>4.2883328751381899E-2</v>
      </c>
      <c r="Z712" s="23">
        <f t="shared" si="80"/>
        <v>3.5051674364834362E-3</v>
      </c>
      <c r="AA712" s="36"/>
    </row>
    <row r="713" spans="15:27" ht="13.9" customHeight="1" x14ac:dyDescent="0.3">
      <c r="O713" s="12">
        <f t="shared" si="74"/>
        <v>58.333333333333336</v>
      </c>
      <c r="P713" s="13">
        <v>700</v>
      </c>
      <c r="Q713" s="22">
        <v>3.5355512429194658E-2</v>
      </c>
      <c r="R713" s="19">
        <f t="shared" si="75"/>
        <v>3.5292925914982121E-2</v>
      </c>
      <c r="S713" s="22">
        <v>4.0402578536735234E-2</v>
      </c>
      <c r="T713" s="19">
        <f t="shared" si="76"/>
        <v>4.2880542124494658E-2</v>
      </c>
      <c r="U713" s="24">
        <v>4.2604540203813546E-2</v>
      </c>
      <c r="V713" s="24">
        <f t="shared" si="77"/>
        <v>4.2885777801844993E-2</v>
      </c>
      <c r="W713" s="23">
        <f t="shared" si="78"/>
        <v>3.5053717792128403E-3</v>
      </c>
      <c r="X713" s="24">
        <v>4.2154141349763474E-2</v>
      </c>
      <c r="Y713" s="24">
        <f t="shared" si="79"/>
        <v>4.2884203056024139E-2</v>
      </c>
      <c r="Z713" s="23">
        <f t="shared" si="80"/>
        <v>3.5052380741331657E-3</v>
      </c>
      <c r="AA713" s="36"/>
    </row>
    <row r="714" spans="15:27" ht="13.9" customHeight="1" x14ac:dyDescent="0.3">
      <c r="O714" s="12">
        <f t="shared" si="74"/>
        <v>58.416666666666664</v>
      </c>
      <c r="P714" s="13">
        <v>701</v>
      </c>
      <c r="Q714" s="22">
        <v>3.5355423144739273E-2</v>
      </c>
      <c r="R714" s="19">
        <f t="shared" si="75"/>
        <v>3.5303562072847239E-2</v>
      </c>
      <c r="S714" s="22">
        <v>4.0406109237930421E-2</v>
      </c>
      <c r="T714" s="19">
        <f t="shared" si="76"/>
        <v>4.2881626409560836E-2</v>
      </c>
      <c r="U714" s="24">
        <v>4.260494134465187E-2</v>
      </c>
      <c r="V714" s="24">
        <f t="shared" si="77"/>
        <v>4.2886554111240871E-2</v>
      </c>
      <c r="W714" s="23">
        <f t="shared" si="78"/>
        <v>3.5054344553464567E-3</v>
      </c>
      <c r="X714" s="24">
        <v>4.2155182443165184E-2</v>
      </c>
      <c r="Y714" s="24">
        <f t="shared" si="79"/>
        <v>4.2885070801857994E-2</v>
      </c>
      <c r="Z714" s="23">
        <f t="shared" si="80"/>
        <v>3.5053081817637555E-3</v>
      </c>
      <c r="AA714" s="36"/>
    </row>
    <row r="715" spans="15:27" ht="13.9" customHeight="1" x14ac:dyDescent="0.3">
      <c r="O715" s="12">
        <f t="shared" si="74"/>
        <v>58.5</v>
      </c>
      <c r="P715" s="13">
        <v>702</v>
      </c>
      <c r="Q715" s="22">
        <v>3.5355349266720904E-2</v>
      </c>
      <c r="R715" s="19">
        <f t="shared" si="75"/>
        <v>3.5314107940511485E-2</v>
      </c>
      <c r="S715" s="22">
        <v>4.0409631432983817E-2</v>
      </c>
      <c r="T715" s="19">
        <f t="shared" si="76"/>
        <v>4.288270084329926E-2</v>
      </c>
      <c r="U715" s="24">
        <v>4.2605342448348571E-2</v>
      </c>
      <c r="V715" s="24">
        <f t="shared" si="77"/>
        <v>4.2887325136975907E-2</v>
      </c>
      <c r="W715" s="23">
        <f t="shared" si="78"/>
        <v>3.5054967049275021E-3</v>
      </c>
      <c r="X715" s="24">
        <v>4.2156221806766148E-2</v>
      </c>
      <c r="Y715" s="24">
        <f t="shared" si="79"/>
        <v>4.2885932036290875E-2</v>
      </c>
      <c r="Z715" s="23">
        <f t="shared" si="80"/>
        <v>3.5053777634117544E-3</v>
      </c>
      <c r="AA715" s="36"/>
    </row>
    <row r="716" spans="15:27" ht="13.9" customHeight="1" x14ac:dyDescent="0.3">
      <c r="O716" s="12">
        <f t="shared" si="74"/>
        <v>58.583333333333336</v>
      </c>
      <c r="P716" s="13">
        <v>703</v>
      </c>
      <c r="Q716" s="22">
        <v>3.535529060079412E-2</v>
      </c>
      <c r="R716" s="19">
        <f t="shared" si="75"/>
        <v>3.5324564300862171E-2</v>
      </c>
      <c r="S716" s="22">
        <v>4.0413145144177598E-2</v>
      </c>
      <c r="T716" s="19">
        <f t="shared" si="76"/>
        <v>4.2883765515494776E-2</v>
      </c>
      <c r="U716" s="24">
        <v>4.2605743507548199E-2</v>
      </c>
      <c r="V716" s="24">
        <f t="shared" si="77"/>
        <v>4.2888090916480603E-2</v>
      </c>
      <c r="W716" s="23">
        <f t="shared" si="78"/>
        <v>3.5055585307877113E-3</v>
      </c>
      <c r="X716" s="24">
        <v>4.2157259438690753E-2</v>
      </c>
      <c r="Y716" s="24">
        <f t="shared" si="79"/>
        <v>4.2886786810232502E-2</v>
      </c>
      <c r="Z716" s="23">
        <f t="shared" si="80"/>
        <v>3.5054468228796765E-3</v>
      </c>
      <c r="AA716" s="36"/>
    </row>
    <row r="717" spans="15:27" ht="13.9" customHeight="1" x14ac:dyDescent="0.3">
      <c r="O717" s="12">
        <f t="shared" si="74"/>
        <v>58.666666666666664</v>
      </c>
      <c r="P717" s="13">
        <v>704</v>
      </c>
      <c r="Q717" s="22">
        <v>3.5355246954835051E-2</v>
      </c>
      <c r="R717" s="19">
        <f t="shared" si="75"/>
        <v>3.5334931930481872E-2</v>
      </c>
      <c r="S717" s="22">
        <v>4.0416650393795051E-2</v>
      </c>
      <c r="T717" s="19">
        <f t="shared" si="76"/>
        <v>4.2884820515012301E-2</v>
      </c>
      <c r="U717" s="24">
        <v>4.2606144514989897E-2</v>
      </c>
      <c r="V717" s="24">
        <f t="shared" si="77"/>
        <v>4.2888851485080703E-2</v>
      </c>
      <c r="W717" s="23">
        <f t="shared" si="78"/>
        <v>3.5056199359297935E-3</v>
      </c>
      <c r="X717" s="24">
        <v>4.215829533714599E-2</v>
      </c>
      <c r="Y717" s="24">
        <f t="shared" si="79"/>
        <v>4.2887635171974026E-2</v>
      </c>
      <c r="Z717" s="23">
        <f t="shared" si="80"/>
        <v>3.5055153642511439E-3</v>
      </c>
      <c r="AA717" s="36"/>
    </row>
    <row r="718" spans="15:27" ht="13.9" customHeight="1" x14ac:dyDescent="0.3">
      <c r="O718" s="12">
        <f t="shared" ref="O718:O781" si="81">P718/12</f>
        <v>58.75</v>
      </c>
      <c r="P718" s="13">
        <v>705</v>
      </c>
      <c r="Q718" s="22">
        <v>3.5355218138915401E-2</v>
      </c>
      <c r="R718" s="19">
        <f t="shared" ref="R718:R781" si="82">(1+Q719)^P719/(1+Q718)^P718-1</f>
        <v>3.5345211597981985E-2</v>
      </c>
      <c r="S718" s="22">
        <v>4.0420147204118573E-2</v>
      </c>
      <c r="T718" s="19">
        <f t="shared" ref="T718:T781" si="83">(1+S719)^P719/(1+S718)^P718-1</f>
        <v>4.2885865929225941E-2</v>
      </c>
      <c r="U718" s="24">
        <v>4.2606545463504508E-2</v>
      </c>
      <c r="V718" s="24">
        <f t="shared" ref="V718:V781" si="84">(1+U719)^P719/(1+U718)^P718-1</f>
        <v>4.2889606877433151E-2</v>
      </c>
      <c r="W718" s="23">
        <f t="shared" si="78"/>
        <v>3.5056809231868158E-3</v>
      </c>
      <c r="X718" s="24">
        <v>4.2159329500417453E-2</v>
      </c>
      <c r="Y718" s="24">
        <f t="shared" si="79"/>
        <v>4.2888477168470551E-2</v>
      </c>
      <c r="Z718" s="23">
        <f t="shared" si="80"/>
        <v>3.5055833913995027E-3</v>
      </c>
      <c r="AA718" s="36"/>
    </row>
    <row r="719" spans="15:27" ht="13.9" customHeight="1" x14ac:dyDescent="0.3">
      <c r="O719" s="12">
        <f t="shared" si="81"/>
        <v>58.833333333333336</v>
      </c>
      <c r="P719" s="13">
        <v>706</v>
      </c>
      <c r="Q719" s="22">
        <v>3.535520396527625E-2</v>
      </c>
      <c r="R719" s="19">
        <f t="shared" si="82"/>
        <v>3.5355404066238938E-2</v>
      </c>
      <c r="S719" s="22">
        <v>4.042363559742812E-2</v>
      </c>
      <c r="T719" s="19">
        <f t="shared" si="83"/>
        <v>4.2886901846581171E-2</v>
      </c>
      <c r="U719" s="24">
        <v>4.2606946346012364E-2</v>
      </c>
      <c r="V719" s="24">
        <f t="shared" si="84"/>
        <v>4.2890357130616952E-2</v>
      </c>
      <c r="W719" s="23">
        <f t="shared" ref="W719:W782" si="85">(1+V718)^(1/12)-1</f>
        <v>3.5057414953389987E-3</v>
      </c>
      <c r="X719" s="24">
        <v>4.216036192686734E-2</v>
      </c>
      <c r="Y719" s="24">
        <f t="shared" ref="Y719:Y782" si="86">(1+X720)^P720/(1+X719)^P719-1</f>
        <v>4.2889312849055505E-2</v>
      </c>
      <c r="Z719" s="23">
        <f t="shared" ref="Z719:Z782" si="87">(1+Y718)^(1/12)-1</f>
        <v>3.5056509080908516E-3</v>
      </c>
      <c r="AA719" s="36"/>
    </row>
    <row r="720" spans="15:27" ht="13.9" customHeight="1" x14ac:dyDescent="0.3">
      <c r="O720" s="12">
        <f t="shared" si="81"/>
        <v>58.916666666666664</v>
      </c>
      <c r="P720" s="13">
        <v>707</v>
      </c>
      <c r="Q720" s="22">
        <v>3.5355204248304517E-2</v>
      </c>
      <c r="R720" s="19">
        <f t="shared" si="82"/>
        <v>3.5365510091067698E-2</v>
      </c>
      <c r="S720" s="22">
        <v>4.0427115596002094E-2</v>
      </c>
      <c r="T720" s="19">
        <f t="shared" si="83"/>
        <v>4.288792835267996E-2</v>
      </c>
      <c r="U720" s="24">
        <v>4.2607347155526387E-2</v>
      </c>
      <c r="V720" s="24">
        <f t="shared" si="84"/>
        <v>4.2891102278354021E-2</v>
      </c>
      <c r="W720" s="23">
        <f t="shared" si="85"/>
        <v>3.5058016553599636E-3</v>
      </c>
      <c r="X720" s="24">
        <v>4.2161392614936455E-2</v>
      </c>
      <c r="Y720" s="24">
        <f t="shared" si="86"/>
        <v>4.2890142260469721E-2</v>
      </c>
      <c r="Z720" s="23">
        <f t="shared" si="87"/>
        <v>3.5057179182826914E-3</v>
      </c>
      <c r="AA720" s="36"/>
    </row>
    <row r="721" spans="15:27" ht="13.9" customHeight="1" x14ac:dyDescent="0.3">
      <c r="O721" s="12">
        <f t="shared" si="81"/>
        <v>59</v>
      </c>
      <c r="P721" s="13">
        <v>708</v>
      </c>
      <c r="Q721" s="22">
        <v>3.5355218804507205E-2</v>
      </c>
      <c r="R721" s="19">
        <f t="shared" si="82"/>
        <v>3.5375530419968104E-2</v>
      </c>
      <c r="S721" s="22">
        <v>4.0430587222114012E-2</v>
      </c>
      <c r="T721" s="19">
        <f t="shared" si="83"/>
        <v>4.2888945533726686E-2</v>
      </c>
      <c r="U721" s="24">
        <v>4.2607747885146541E-2</v>
      </c>
      <c r="V721" s="24">
        <f t="shared" si="84"/>
        <v>4.2891842355702758E-2</v>
      </c>
      <c r="W721" s="23">
        <f t="shared" si="85"/>
        <v>3.5058614059551019E-3</v>
      </c>
      <c r="X721" s="24">
        <v>4.2162421563140429E-2</v>
      </c>
      <c r="Y721" s="24">
        <f t="shared" si="86"/>
        <v>4.2890965450176788E-2</v>
      </c>
      <c r="Z721" s="23">
        <f t="shared" si="87"/>
        <v>3.5057844257235793E-3</v>
      </c>
      <c r="AA721" s="36"/>
    </row>
    <row r="722" spans="15:27" ht="13.9" customHeight="1" x14ac:dyDescent="0.3">
      <c r="O722" s="12">
        <f t="shared" si="81"/>
        <v>59.083333333333336</v>
      </c>
      <c r="P722" s="13">
        <v>709</v>
      </c>
      <c r="Q722" s="22">
        <v>3.5355247452485417E-2</v>
      </c>
      <c r="R722" s="19">
        <f t="shared" si="82"/>
        <v>3.5385465795682913E-2</v>
      </c>
      <c r="S722" s="22">
        <v>4.0434050498032947E-2</v>
      </c>
      <c r="T722" s="19">
        <f t="shared" si="83"/>
        <v>4.2889953473547626E-2</v>
      </c>
      <c r="U722" s="24">
        <v>4.2608148528061163E-2</v>
      </c>
      <c r="V722" s="24">
        <f t="shared" si="84"/>
        <v>4.2892577397041887E-2</v>
      </c>
      <c r="W722" s="23">
        <f t="shared" si="85"/>
        <v>3.5059207499359424E-3</v>
      </c>
      <c r="X722" s="24">
        <v>4.2163448770070167E-2</v>
      </c>
      <c r="Y722" s="24">
        <f t="shared" si="86"/>
        <v>4.2891782464039352E-2</v>
      </c>
      <c r="Z722" s="23">
        <f t="shared" si="87"/>
        <v>3.505850434220914E-3</v>
      </c>
      <c r="AA722" s="36"/>
    </row>
    <row r="723" spans="15:27" ht="13.9" customHeight="1" x14ac:dyDescent="0.3">
      <c r="O723" s="12">
        <f t="shared" si="81"/>
        <v>59.166666666666664</v>
      </c>
      <c r="P723" s="13">
        <v>710</v>
      </c>
      <c r="Q723" s="22">
        <v>3.5355290012911933E-2</v>
      </c>
      <c r="R723" s="19">
        <f t="shared" si="82"/>
        <v>3.5395316952729461E-2</v>
      </c>
      <c r="S723" s="22">
        <v>4.0437505446020428E-2</v>
      </c>
      <c r="T723" s="19">
        <f t="shared" si="83"/>
        <v>4.2890952257358839E-2</v>
      </c>
      <c r="U723" s="24">
        <v>4.260854907754541E-2</v>
      </c>
      <c r="V723" s="24">
        <f t="shared" si="84"/>
        <v>4.2893307437791073E-2</v>
      </c>
      <c r="W723" s="23">
        <f t="shared" si="85"/>
        <v>3.5059796900602791E-3</v>
      </c>
      <c r="X723" s="24">
        <v>4.2164474234389182E-2</v>
      </c>
      <c r="Y723" s="24">
        <f t="shared" si="86"/>
        <v>4.2892593350118968E-2</v>
      </c>
      <c r="Z723" s="23">
        <f t="shared" si="87"/>
        <v>3.5059159474533086E-3</v>
      </c>
      <c r="AA723" s="36"/>
    </row>
    <row r="724" spans="15:27" ht="13.9" customHeight="1" x14ac:dyDescent="0.3">
      <c r="O724" s="12">
        <f t="shared" si="81"/>
        <v>59.25</v>
      </c>
      <c r="P724" s="13">
        <v>711</v>
      </c>
      <c r="Q724" s="22">
        <v>3.5355346308505675E-2</v>
      </c>
      <c r="R724" s="19">
        <f t="shared" si="82"/>
        <v>3.5405084620035554E-2</v>
      </c>
      <c r="S724" s="22">
        <v>4.0440952088332427E-2</v>
      </c>
      <c r="T724" s="19">
        <f t="shared" si="83"/>
        <v>4.2891941968271396E-2</v>
      </c>
      <c r="U724" s="24">
        <v>4.2608949526962148E-2</v>
      </c>
      <c r="V724" s="24">
        <f t="shared" si="84"/>
        <v>4.2894032510737867E-2</v>
      </c>
      <c r="W724" s="23">
        <f t="shared" si="85"/>
        <v>3.5060382291687286E-3</v>
      </c>
      <c r="X724" s="24">
        <v>4.2165497954835818E-2</v>
      </c>
      <c r="Y724" s="24">
        <f t="shared" si="86"/>
        <v>4.2893398153260875E-2</v>
      </c>
      <c r="Z724" s="23">
        <f t="shared" si="87"/>
        <v>3.5059809692754573E-3</v>
      </c>
      <c r="AA724" s="36"/>
    </row>
    <row r="725" spans="15:27" ht="13.9" customHeight="1" x14ac:dyDescent="0.3">
      <c r="O725" s="12">
        <f t="shared" si="81"/>
        <v>59.333333333333336</v>
      </c>
      <c r="P725" s="13">
        <v>712</v>
      </c>
      <c r="Q725" s="22">
        <v>3.5355416164009279E-2</v>
      </c>
      <c r="R725" s="19">
        <f t="shared" si="82"/>
        <v>3.5414769520249578E-2</v>
      </c>
      <c r="S725" s="22">
        <v>4.0444390447216261E-2</v>
      </c>
      <c r="T725" s="19">
        <f t="shared" si="83"/>
        <v>4.2892922688208213E-2</v>
      </c>
      <c r="U725" s="24">
        <v>4.2609349869757285E-2</v>
      </c>
      <c r="V725" s="24">
        <f t="shared" si="84"/>
        <v>4.2894752650107781E-2</v>
      </c>
      <c r="W725" s="23">
        <f t="shared" si="85"/>
        <v>3.5060963698916314E-3</v>
      </c>
      <c r="X725" s="24">
        <v>4.2166519930218804E-2</v>
      </c>
      <c r="Y725" s="24">
        <f t="shared" si="86"/>
        <v>4.2894196918998428E-2</v>
      </c>
      <c r="Z725" s="23">
        <f t="shared" si="87"/>
        <v>3.5060455032844828E-3</v>
      </c>
      <c r="AA725" s="36"/>
    </row>
    <row r="726" spans="15:27" ht="13.9" customHeight="1" x14ac:dyDescent="0.3">
      <c r="O726" s="12">
        <f t="shared" si="81"/>
        <v>59.416666666666664</v>
      </c>
      <c r="P726" s="13">
        <v>713</v>
      </c>
      <c r="Q726" s="22">
        <v>3.5355499406165558E-2</v>
      </c>
      <c r="R726" s="19">
        <f t="shared" si="82"/>
        <v>3.5424372367955481E-2</v>
      </c>
      <c r="S726" s="22">
        <v>4.0447820544909252E-2</v>
      </c>
      <c r="T726" s="19">
        <f t="shared" si="83"/>
        <v>4.2893894499375307E-2</v>
      </c>
      <c r="U726" s="24">
        <v>4.2609750099461774E-2</v>
      </c>
      <c r="V726" s="24">
        <f t="shared" si="84"/>
        <v>4.2895467890176064E-2</v>
      </c>
      <c r="W726" s="23">
        <f t="shared" si="85"/>
        <v>3.5061541149736808E-3</v>
      </c>
      <c r="X726" s="24">
        <v>4.2167540159417038E-2</v>
      </c>
      <c r="Y726" s="24">
        <f t="shared" si="86"/>
        <v>4.2894989693725627E-2</v>
      </c>
      <c r="Z726" s="23">
        <f t="shared" si="87"/>
        <v>3.5061095531325748E-3</v>
      </c>
      <c r="AA726" s="36"/>
    </row>
    <row r="727" spans="15:27" ht="13.9" customHeight="1" x14ac:dyDescent="0.3">
      <c r="O727" s="12">
        <f t="shared" si="81"/>
        <v>59.5</v>
      </c>
      <c r="P727" s="13">
        <v>714</v>
      </c>
      <c r="Q727" s="22">
        <v>3.5355595863692635E-2</v>
      </c>
      <c r="R727" s="19">
        <f t="shared" si="82"/>
        <v>3.5433893872878874E-2</v>
      </c>
      <c r="S727" s="22">
        <v>4.0451242403638954E-2</v>
      </c>
      <c r="T727" s="19">
        <f t="shared" si="83"/>
        <v>4.2894857483827487E-2</v>
      </c>
      <c r="U727" s="24">
        <v>4.2610150209690723E-2</v>
      </c>
      <c r="V727" s="24">
        <f t="shared" si="84"/>
        <v>4.2896178264454354E-2</v>
      </c>
      <c r="W727" s="23">
        <f t="shared" si="85"/>
        <v>3.5062114671644551E-3</v>
      </c>
      <c r="X727" s="24">
        <v>4.2168558641380693E-2</v>
      </c>
      <c r="Y727" s="24">
        <f t="shared" si="86"/>
        <v>4.2895776522282381E-2</v>
      </c>
      <c r="Z727" s="23">
        <f t="shared" si="87"/>
        <v>3.5061731225409787E-3</v>
      </c>
      <c r="AA727" s="36"/>
    </row>
    <row r="728" spans="15:27" ht="13.9" customHeight="1" x14ac:dyDescent="0.3">
      <c r="O728" s="12">
        <f t="shared" si="81"/>
        <v>59.583333333333336</v>
      </c>
      <c r="P728" s="13">
        <v>715</v>
      </c>
      <c r="Q728" s="22">
        <v>3.5355705367263068E-2</v>
      </c>
      <c r="R728" s="19">
        <f t="shared" si="82"/>
        <v>3.5443334737104371E-2</v>
      </c>
      <c r="S728" s="22">
        <v>4.045465604562315E-2</v>
      </c>
      <c r="T728" s="19">
        <f t="shared" si="83"/>
        <v>4.2895811719874999E-2</v>
      </c>
      <c r="U728" s="24">
        <v>4.2610550194141839E-2</v>
      </c>
      <c r="V728" s="24">
        <f t="shared" si="84"/>
        <v>4.289688380447565E-2</v>
      </c>
      <c r="W728" s="23">
        <f t="shared" si="85"/>
        <v>3.5062684291515822E-3</v>
      </c>
      <c r="X728" s="24">
        <v>4.2169575375128554E-2</v>
      </c>
      <c r="Y728" s="24">
        <f t="shared" si="86"/>
        <v>4.2896557448470984E-2</v>
      </c>
      <c r="Z728" s="23">
        <f t="shared" si="87"/>
        <v>3.506236215106151E-3</v>
      </c>
      <c r="AA728" s="36"/>
    </row>
    <row r="729" spans="15:27" ht="13.9" customHeight="1" x14ac:dyDescent="0.3">
      <c r="O729" s="12">
        <f t="shared" si="81"/>
        <v>59.666666666666664</v>
      </c>
      <c r="P729" s="13">
        <v>716</v>
      </c>
      <c r="Q729" s="22">
        <v>3.5355827749479429E-2</v>
      </c>
      <c r="R729" s="19">
        <f t="shared" si="82"/>
        <v>3.5452695658142686E-2</v>
      </c>
      <c r="S729" s="22">
        <v>4.0458061493064967E-2</v>
      </c>
      <c r="T729" s="19">
        <f t="shared" si="83"/>
        <v>4.2896757288950704E-2</v>
      </c>
      <c r="U729" s="24">
        <v>4.26109500465921E-2</v>
      </c>
      <c r="V729" s="24">
        <f t="shared" si="84"/>
        <v>4.2897584545437129E-2</v>
      </c>
      <c r="W729" s="23">
        <f t="shared" si="85"/>
        <v>3.5063250034643723E-3</v>
      </c>
      <c r="X729" s="24">
        <v>4.2170590359746019E-2</v>
      </c>
      <c r="Y729" s="24">
        <f t="shared" si="86"/>
        <v>4.2897332517285447E-2</v>
      </c>
      <c r="Z729" s="23">
        <f t="shared" si="87"/>
        <v>3.5062988343412815E-3</v>
      </c>
      <c r="AA729" s="36"/>
    </row>
    <row r="730" spans="15:27" ht="13.9" customHeight="1" x14ac:dyDescent="0.3">
      <c r="O730" s="12">
        <f t="shared" si="81"/>
        <v>59.75</v>
      </c>
      <c r="P730" s="13">
        <v>717</v>
      </c>
      <c r="Q730" s="22">
        <v>3.5355962844854316E-2</v>
      </c>
      <c r="R730" s="19">
        <f t="shared" si="82"/>
        <v>3.5461977324637628E-2</v>
      </c>
      <c r="S730" s="22">
        <v>4.0461458768156655E-2</v>
      </c>
      <c r="T730" s="19">
        <f t="shared" si="83"/>
        <v>4.2897694268679176E-2</v>
      </c>
      <c r="U730" s="24">
        <v>4.2611349760901973E-2</v>
      </c>
      <c r="V730" s="24">
        <f t="shared" si="84"/>
        <v>4.2898280517880583E-2</v>
      </c>
      <c r="W730" s="23">
        <f t="shared" si="85"/>
        <v>3.5063811929256783E-3</v>
      </c>
      <c r="X730" s="24">
        <v>4.2171603594386209E-2</v>
      </c>
      <c r="Y730" s="24">
        <f t="shared" si="86"/>
        <v>4.2898101772885555E-2</v>
      </c>
      <c r="Z730" s="23">
        <f t="shared" si="87"/>
        <v>3.5063609838554832E-3</v>
      </c>
      <c r="AA730" s="36"/>
    </row>
    <row r="731" spans="15:27" ht="13.9" customHeight="1" x14ac:dyDescent="0.3">
      <c r="O731" s="12">
        <f t="shared" si="81"/>
        <v>59.833333333333336</v>
      </c>
      <c r="P731" s="13">
        <v>718</v>
      </c>
      <c r="Q731" s="22">
        <v>3.535611048978482E-2</v>
      </c>
      <c r="R731" s="19">
        <f t="shared" si="82"/>
        <v>3.5471180422967485E-2</v>
      </c>
      <c r="S731" s="22">
        <v>4.0464847893074918E-2</v>
      </c>
      <c r="T731" s="19">
        <f t="shared" si="83"/>
        <v>4.2898622737910896E-2</v>
      </c>
      <c r="U731" s="24">
        <v>4.2611749331009197E-2</v>
      </c>
      <c r="V731" s="24">
        <f t="shared" si="84"/>
        <v>4.2898971756500703E-2</v>
      </c>
      <c r="W731" s="23">
        <f t="shared" si="85"/>
        <v>3.5064369999855405E-3</v>
      </c>
      <c r="X731" s="24">
        <v>4.2172615078268416E-2</v>
      </c>
      <c r="Y731" s="24">
        <f t="shared" si="86"/>
        <v>4.2898865258774732E-2</v>
      </c>
      <c r="Z731" s="23">
        <f t="shared" si="87"/>
        <v>3.5064226671905896E-3</v>
      </c>
      <c r="AA731" s="36"/>
    </row>
    <row r="732" spans="15:27" ht="13.9" customHeight="1" x14ac:dyDescent="0.3">
      <c r="O732" s="12">
        <f t="shared" si="81"/>
        <v>59.916666666666664</v>
      </c>
      <c r="P732" s="13">
        <v>719</v>
      </c>
      <c r="Q732" s="22">
        <v>3.5356270522535871E-2</v>
      </c>
      <c r="R732" s="19">
        <f t="shared" si="82"/>
        <v>3.5480305628550646E-2</v>
      </c>
      <c r="S732" s="22">
        <v>4.0468228889982694E-2</v>
      </c>
      <c r="T732" s="19">
        <f t="shared" si="83"/>
        <v>4.2899542773989774E-2</v>
      </c>
      <c r="U732" s="24">
        <v>4.2612148750932999E-2</v>
      </c>
      <c r="V732" s="24">
        <f t="shared" si="84"/>
        <v>4.2899658292010034E-2</v>
      </c>
      <c r="W732" s="23">
        <f t="shared" si="85"/>
        <v>3.5064924274263998E-3</v>
      </c>
      <c r="X732" s="24">
        <v>4.2173624810676991E-2</v>
      </c>
      <c r="Y732" s="24">
        <f t="shared" si="86"/>
        <v>4.2899623018249899E-2</v>
      </c>
      <c r="Z732" s="23">
        <f t="shared" si="87"/>
        <v>3.5064838878358096E-3</v>
      </c>
      <c r="AA732" s="36"/>
    </row>
    <row r="733" spans="15:27" ht="13.9" customHeight="1" x14ac:dyDescent="0.3">
      <c r="O733" s="12">
        <f t="shared" si="81"/>
        <v>60</v>
      </c>
      <c r="P733" s="13">
        <v>720</v>
      </c>
      <c r="Q733" s="22">
        <v>3.5356442783212705E-2</v>
      </c>
      <c r="R733" s="19">
        <f t="shared" si="82"/>
        <v>3.5489353615558272E-2</v>
      </c>
      <c r="S733" s="22">
        <v>4.0471601781026711E-2</v>
      </c>
      <c r="T733" s="19">
        <f t="shared" si="83"/>
        <v>4.2900454453024928E-2</v>
      </c>
      <c r="U733" s="24">
        <v>4.261254801476877E-2</v>
      </c>
      <c r="V733" s="24">
        <f t="shared" si="84"/>
        <v>4.2900340156462047E-2</v>
      </c>
      <c r="W733" s="23">
        <f t="shared" si="85"/>
        <v>3.5065474777118411E-3</v>
      </c>
      <c r="X733" s="24">
        <v>4.2174632790960009E-2</v>
      </c>
      <c r="Y733" s="24">
        <f t="shared" si="86"/>
        <v>4.2900375094476528E-2</v>
      </c>
      <c r="Z733" s="23">
        <f t="shared" si="87"/>
        <v>3.5065446492639207E-3</v>
      </c>
      <c r="AA733" s="36"/>
    </row>
    <row r="734" spans="15:27" ht="13.9" customHeight="1" x14ac:dyDescent="0.3">
      <c r="O734" s="12">
        <f t="shared" si="81"/>
        <v>60.083333333333336</v>
      </c>
      <c r="P734" s="13">
        <v>721</v>
      </c>
      <c r="Q734" s="22">
        <v>3.5356627113745098E-2</v>
      </c>
      <c r="R734" s="19">
        <f t="shared" si="82"/>
        <v>3.5498325047545354E-2</v>
      </c>
      <c r="S734" s="22">
        <v>4.0474966588336603E-2</v>
      </c>
      <c r="T734" s="19">
        <f t="shared" si="83"/>
        <v>4.2901357852104693E-2</v>
      </c>
      <c r="U734" s="24">
        <v>4.2612947116688948E-2</v>
      </c>
      <c r="V734" s="24">
        <f t="shared" si="84"/>
        <v>4.2901017382571904E-2</v>
      </c>
      <c r="W734" s="23">
        <f t="shared" si="85"/>
        <v>3.5066021534126968E-3</v>
      </c>
      <c r="X734" s="24">
        <v>4.2175639018529054E-2</v>
      </c>
      <c r="Y734" s="24">
        <f t="shared" si="86"/>
        <v>4.2901121529857145E-2</v>
      </c>
      <c r="Z734" s="23">
        <f t="shared" si="87"/>
        <v>3.5066049549370426E-3</v>
      </c>
      <c r="AA734" s="36"/>
    </row>
    <row r="735" spans="15:27" ht="13.9" customHeight="1" x14ac:dyDescent="0.3">
      <c r="O735" s="12">
        <f t="shared" si="81"/>
        <v>60.166666666666664</v>
      </c>
      <c r="P735" s="13">
        <v>722</v>
      </c>
      <c r="Q735" s="22">
        <v>3.5356823357861167E-2</v>
      </c>
      <c r="R735" s="19">
        <f t="shared" si="82"/>
        <v>3.550722058563105E-2</v>
      </c>
      <c r="S735" s="22">
        <v>4.0478323334025568E-2</v>
      </c>
      <c r="T735" s="19">
        <f t="shared" si="83"/>
        <v>4.2902253045892458E-2</v>
      </c>
      <c r="U735" s="24">
        <v>4.261334605094369E-2</v>
      </c>
      <c r="V735" s="24">
        <f t="shared" si="84"/>
        <v>4.2901690001973192E-2</v>
      </c>
      <c r="W735" s="23">
        <f t="shared" si="85"/>
        <v>3.50665645715309E-3</v>
      </c>
      <c r="X735" s="24">
        <v>4.2176643492857879E-2</v>
      </c>
      <c r="Y735" s="24">
        <f t="shared" si="86"/>
        <v>4.2901862367316745E-2</v>
      </c>
      <c r="Z735" s="23">
        <f t="shared" si="87"/>
        <v>3.5066648082562324E-3</v>
      </c>
      <c r="AA735" s="36"/>
    </row>
    <row r="736" spans="15:27" ht="13.9" customHeight="1" x14ac:dyDescent="0.3">
      <c r="O736" s="12">
        <f t="shared" si="81"/>
        <v>60.25</v>
      </c>
      <c r="P736" s="13">
        <v>723</v>
      </c>
      <c r="Q736" s="22">
        <v>3.5357031361070712E-2</v>
      </c>
      <c r="R736" s="19">
        <f t="shared" si="82"/>
        <v>3.5516040884560951E-2</v>
      </c>
      <c r="S736" s="22">
        <v>4.0481672040187933E-2</v>
      </c>
      <c r="T736" s="19">
        <f t="shared" si="83"/>
        <v>4.2903140108949911E-2</v>
      </c>
      <c r="U736" s="24">
        <v>4.2613744811858645E-2</v>
      </c>
      <c r="V736" s="24">
        <f t="shared" si="84"/>
        <v>4.2902358045620259E-2</v>
      </c>
      <c r="W736" s="23">
        <f t="shared" si="85"/>
        <v>3.5067103914698805E-3</v>
      </c>
      <c r="X736" s="24">
        <v>4.2177646213482189E-2</v>
      </c>
      <c r="Y736" s="24">
        <f t="shared" si="86"/>
        <v>4.2902597648951213E-2</v>
      </c>
      <c r="Z736" s="23">
        <f t="shared" si="87"/>
        <v>3.5067242126642917E-3</v>
      </c>
      <c r="AA736" s="36"/>
    </row>
    <row r="737" spans="15:27" ht="13.9" customHeight="1" x14ac:dyDescent="0.3">
      <c r="O737" s="12">
        <f t="shared" si="81"/>
        <v>60.333333333333336</v>
      </c>
      <c r="P737" s="13">
        <v>724</v>
      </c>
      <c r="Q737" s="22">
        <v>3.5357250970644349E-2</v>
      </c>
      <c r="R737" s="19">
        <f t="shared" si="82"/>
        <v>3.5524786591109248E-2</v>
      </c>
      <c r="S737" s="22">
        <v>4.0485012728898706E-2</v>
      </c>
      <c r="T737" s="19">
        <f t="shared" si="83"/>
        <v>4.2904019115496794E-2</v>
      </c>
      <c r="U737" s="24">
        <v>4.2614143393833404E-2</v>
      </c>
      <c r="V737" s="24">
        <f t="shared" si="84"/>
        <v>4.2903021544656195E-2</v>
      </c>
      <c r="W737" s="23">
        <f t="shared" si="85"/>
        <v>3.5067639588459709E-3</v>
      </c>
      <c r="X737" s="24">
        <v>4.217864717999853E-2</v>
      </c>
      <c r="Y737" s="24">
        <f t="shared" si="86"/>
        <v>4.2903327415411807E-2</v>
      </c>
      <c r="Z737" s="23">
        <f t="shared" si="87"/>
        <v>3.5067831715378528E-3</v>
      </c>
      <c r="AA737" s="36"/>
    </row>
    <row r="738" spans="15:27" ht="13.9" customHeight="1" x14ac:dyDescent="0.3">
      <c r="O738" s="12">
        <f t="shared" si="81"/>
        <v>60.416666666666664</v>
      </c>
      <c r="P738" s="13">
        <v>725</v>
      </c>
      <c r="Q738" s="22">
        <v>3.5357482035590193E-2</v>
      </c>
      <c r="R738" s="19">
        <f t="shared" si="82"/>
        <v>3.5533458348641744E-2</v>
      </c>
      <c r="S738" s="22">
        <v>4.0488345422213134E-2</v>
      </c>
      <c r="T738" s="19">
        <f t="shared" si="83"/>
        <v>4.2904890138552698E-2</v>
      </c>
      <c r="U738" s="24">
        <v>4.261454179134172E-2</v>
      </c>
      <c r="V738" s="24">
        <f t="shared" si="84"/>
        <v>4.2903680529538191E-2</v>
      </c>
      <c r="W738" s="23">
        <f t="shared" si="85"/>
        <v>3.5068171617793631E-3</v>
      </c>
      <c r="X738" s="24">
        <v>4.217964639206162E-2</v>
      </c>
      <c r="Y738" s="24">
        <f t="shared" si="86"/>
        <v>4.2904051709416358E-2</v>
      </c>
      <c r="Z738" s="23">
        <f t="shared" si="87"/>
        <v>3.5068416881367526E-3</v>
      </c>
      <c r="AA738" s="36"/>
    </row>
    <row r="739" spans="15:27" ht="13.9" customHeight="1" x14ac:dyDescent="0.3">
      <c r="O739" s="12">
        <f t="shared" si="81"/>
        <v>60.5</v>
      </c>
      <c r="P739" s="13">
        <v>726</v>
      </c>
      <c r="Q739" s="22">
        <v>3.5357724406637425E-2</v>
      </c>
      <c r="R739" s="19">
        <f t="shared" si="82"/>
        <v>3.5542056793182786E-2</v>
      </c>
      <c r="S739" s="22">
        <v>4.049167014216537E-2</v>
      </c>
      <c r="T739" s="19">
        <f t="shared" si="83"/>
        <v>4.2905753251393453E-2</v>
      </c>
      <c r="U739" s="24">
        <v>4.2614939998929513E-2</v>
      </c>
      <c r="V739" s="24">
        <f t="shared" si="84"/>
        <v>4.2904335032529328E-2</v>
      </c>
      <c r="W739" s="23">
        <f t="shared" si="85"/>
        <v>3.5068700027127697E-3</v>
      </c>
      <c r="X739" s="24">
        <v>4.2180643849387023E-2</v>
      </c>
      <c r="Y739" s="24">
        <f t="shared" si="86"/>
        <v>4.2904770571677187E-2</v>
      </c>
      <c r="Z739" s="23">
        <f t="shared" si="87"/>
        <v>3.5068997658878054E-3</v>
      </c>
      <c r="AA739" s="36"/>
    </row>
    <row r="740" spans="15:27" ht="13.9" customHeight="1" x14ac:dyDescent="0.3">
      <c r="O740" s="12">
        <f t="shared" si="81"/>
        <v>60.583333333333336</v>
      </c>
      <c r="P740" s="13">
        <v>727</v>
      </c>
      <c r="Q740" s="22">
        <v>3.5357977936213869E-2</v>
      </c>
      <c r="R740" s="19">
        <f t="shared" si="82"/>
        <v>3.5550582555626375E-2</v>
      </c>
      <c r="S740" s="22">
        <v>4.0494986910769137E-2</v>
      </c>
      <c r="T740" s="19">
        <f t="shared" si="83"/>
        <v>4.2906608524974299E-2</v>
      </c>
      <c r="U740" s="24">
        <v>4.2615338011217085E-2</v>
      </c>
      <c r="V740" s="24">
        <f t="shared" si="84"/>
        <v>4.2904985083141556E-2</v>
      </c>
      <c r="W740" s="23">
        <f t="shared" si="85"/>
        <v>3.5069224842341207E-3</v>
      </c>
      <c r="X740" s="24">
        <v>4.2181639551747585E-2</v>
      </c>
      <c r="Y740" s="24">
        <f t="shared" si="86"/>
        <v>4.290548404262795E-2</v>
      </c>
      <c r="Z740" s="23">
        <f t="shared" si="87"/>
        <v>3.5069574080561772E-3</v>
      </c>
      <c r="AA740" s="36"/>
    </row>
    <row r="741" spans="15:27" ht="13.9" customHeight="1" x14ac:dyDescent="0.3">
      <c r="O741" s="12">
        <f t="shared" si="81"/>
        <v>60.666666666666664</v>
      </c>
      <c r="P741" s="13">
        <v>728</v>
      </c>
      <c r="Q741" s="22">
        <v>3.5358242478427337E-2</v>
      </c>
      <c r="R741" s="19">
        <f t="shared" si="82"/>
        <v>3.5559036262523103E-2</v>
      </c>
      <c r="S741" s="22">
        <v>4.0498295750014623E-2</v>
      </c>
      <c r="T741" s="19">
        <f t="shared" si="83"/>
        <v>4.2907456031301194E-2</v>
      </c>
      <c r="U741" s="24">
        <v>4.2615735822894907E-2</v>
      </c>
      <c r="V741" s="24">
        <f t="shared" si="84"/>
        <v>4.2905630711112419E-2</v>
      </c>
      <c r="W741" s="23">
        <f t="shared" si="85"/>
        <v>3.5069746087099674E-3</v>
      </c>
      <c r="X741" s="24">
        <v>4.2182633498972999E-2</v>
      </c>
      <c r="Y741" s="24">
        <f t="shared" si="86"/>
        <v>4.2906192162931456E-2</v>
      </c>
      <c r="Z741" s="23">
        <f t="shared" si="87"/>
        <v>3.5070146178848294E-3</v>
      </c>
      <c r="AA741" s="36"/>
    </row>
    <row r="742" spans="15:27" ht="13.9" customHeight="1" x14ac:dyDescent="0.3">
      <c r="O742" s="12">
        <f t="shared" si="81"/>
        <v>60.75</v>
      </c>
      <c r="P742" s="13">
        <v>729</v>
      </c>
      <c r="Q742" s="22">
        <v>3.5358517889048313E-2</v>
      </c>
      <c r="R742" s="19">
        <f t="shared" si="82"/>
        <v>3.5567418531956996E-2</v>
      </c>
      <c r="S742" s="22">
        <v>4.0501596681869367E-2</v>
      </c>
      <c r="T742" s="19">
        <f t="shared" si="83"/>
        <v>4.2908295841108446E-2</v>
      </c>
      <c r="U742" s="24">
        <v>4.2616133428723391E-2</v>
      </c>
      <c r="V742" s="24">
        <f t="shared" si="84"/>
        <v>4.2906271948482511E-2</v>
      </c>
      <c r="W742" s="23">
        <f t="shared" si="85"/>
        <v>3.507026378525735E-3</v>
      </c>
      <c r="X742" s="24">
        <v>4.21836256909498E-2</v>
      </c>
      <c r="Y742" s="24">
        <f t="shared" si="86"/>
        <v>4.2906894973428811E-2</v>
      </c>
      <c r="Z742" s="23">
        <f t="shared" si="87"/>
        <v>3.5070713986351532E-3</v>
      </c>
      <c r="AA742" s="36"/>
    </row>
    <row r="743" spans="15:27" ht="13.9" customHeight="1" x14ac:dyDescent="0.3">
      <c r="O743" s="12">
        <f t="shared" si="81"/>
        <v>60.833333333333336</v>
      </c>
      <c r="P743" s="13">
        <v>730</v>
      </c>
      <c r="Q743" s="22">
        <v>3.5358804025486634E-2</v>
      </c>
      <c r="R743" s="19">
        <f t="shared" si="82"/>
        <v>3.5575729980233728E-2</v>
      </c>
      <c r="S743" s="22">
        <v>4.0504889728278037E-2</v>
      </c>
      <c r="T743" s="19">
        <f t="shared" si="83"/>
        <v>4.2909128023906451E-2</v>
      </c>
      <c r="U743" s="24">
        <v>4.2616530823535337E-2</v>
      </c>
      <c r="V743" s="24">
        <f t="shared" si="84"/>
        <v>4.2906908823880263E-2</v>
      </c>
      <c r="W743" s="23">
        <f t="shared" si="85"/>
        <v>3.5070777962513677E-3</v>
      </c>
      <c r="X743" s="24">
        <v>4.21846161276207E-2</v>
      </c>
      <c r="Y743" s="24">
        <f t="shared" si="86"/>
        <v>4.2907592513259152E-2</v>
      </c>
      <c r="Z743" s="23">
        <f t="shared" si="87"/>
        <v>3.5071277535827505E-3</v>
      </c>
      <c r="AA743" s="36"/>
    </row>
    <row r="744" spans="15:27" ht="13.9" customHeight="1" x14ac:dyDescent="0.3">
      <c r="O744" s="12">
        <f t="shared" si="81"/>
        <v>60.916666666666664</v>
      </c>
      <c r="P744" s="13">
        <v>731</v>
      </c>
      <c r="Q744" s="22">
        <v>3.5359100746778171E-2</v>
      </c>
      <c r="R744" s="19">
        <f t="shared" si="82"/>
        <v>3.5583971214075527E-2</v>
      </c>
      <c r="S744" s="22">
        <v>4.0508174911159767E-2</v>
      </c>
      <c r="T744" s="19">
        <f t="shared" si="83"/>
        <v>4.2909952649644367E-2</v>
      </c>
      <c r="U744" s="24">
        <v>4.2616928002231269E-2</v>
      </c>
      <c r="V744" s="24">
        <f t="shared" si="84"/>
        <v>4.2907541367781965E-2</v>
      </c>
      <c r="W744" s="23">
        <f t="shared" si="85"/>
        <v>3.5071288641825848E-3</v>
      </c>
      <c r="X744" s="24">
        <v>4.2185604808982591E-2</v>
      </c>
      <c r="Y744" s="24">
        <f t="shared" si="86"/>
        <v>4.290828482275888E-2</v>
      </c>
      <c r="Z744" s="23">
        <f t="shared" si="87"/>
        <v>3.5071836858668881E-3</v>
      </c>
      <c r="AA744" s="36"/>
    </row>
    <row r="745" spans="15:27" ht="13.9" customHeight="1" x14ac:dyDescent="0.3">
      <c r="O745" s="12">
        <f t="shared" si="81"/>
        <v>61</v>
      </c>
      <c r="P745" s="13">
        <v>732</v>
      </c>
      <c r="Q745" s="22">
        <v>3.5359407913559959E-2</v>
      </c>
      <c r="R745" s="19">
        <f t="shared" si="82"/>
        <v>3.5592142838678509E-2</v>
      </c>
      <c r="S745" s="22">
        <v>4.0511452252409264E-2</v>
      </c>
      <c r="T745" s="19">
        <f t="shared" si="83"/>
        <v>4.2910769786408176E-2</v>
      </c>
      <c r="U745" s="24">
        <v>4.2617324959780989E-2</v>
      </c>
      <c r="V745" s="24">
        <f t="shared" si="84"/>
        <v>4.2908169607839497E-2</v>
      </c>
      <c r="W745" s="23">
        <f t="shared" si="85"/>
        <v>3.5071795847640974E-3</v>
      </c>
      <c r="X745" s="24">
        <v>4.2186591735087209E-2</v>
      </c>
      <c r="Y745" s="24">
        <f t="shared" si="86"/>
        <v>4.2908971939770613E-2</v>
      </c>
      <c r="Z745" s="23">
        <f t="shared" si="87"/>
        <v>3.5072391987227558E-3</v>
      </c>
      <c r="AA745" s="36"/>
    </row>
    <row r="746" spans="15:27" ht="13.9" customHeight="1" x14ac:dyDescent="0.3">
      <c r="O746" s="12">
        <f t="shared" si="81"/>
        <v>61.083333333333336</v>
      </c>
      <c r="P746" s="13">
        <v>733</v>
      </c>
      <c r="Q746" s="22">
        <v>3.5359725388057761E-2</v>
      </c>
      <c r="R746" s="19">
        <f t="shared" si="82"/>
        <v>3.5600245450949197E-2</v>
      </c>
      <c r="S746" s="22">
        <v>4.0514721773894591E-2</v>
      </c>
      <c r="T746" s="19">
        <f t="shared" si="83"/>
        <v>4.2911579502420638E-2</v>
      </c>
      <c r="U746" s="24">
        <v>4.2617721691219579E-2</v>
      </c>
      <c r="V746" s="24">
        <f t="shared" si="84"/>
        <v>4.2908793575436865E-2</v>
      </c>
      <c r="W746" s="23">
        <f t="shared" si="85"/>
        <v>3.5072299602136869E-3</v>
      </c>
      <c r="X746" s="24">
        <v>4.2187576906037583E-2</v>
      </c>
      <c r="Y746" s="24">
        <f t="shared" si="86"/>
        <v>4.290965390511392E-2</v>
      </c>
      <c r="Z746" s="23">
        <f t="shared" si="87"/>
        <v>3.5072942951852593E-3</v>
      </c>
      <c r="AA746" s="36"/>
    </row>
    <row r="747" spans="15:27" ht="13.9" customHeight="1" x14ac:dyDescent="0.3">
      <c r="O747" s="12">
        <f t="shared" si="81"/>
        <v>61.166666666666664</v>
      </c>
      <c r="P747" s="13">
        <v>734</v>
      </c>
      <c r="Q747" s="22">
        <v>3.5360053034063421E-2</v>
      </c>
      <c r="R747" s="19">
        <f t="shared" si="82"/>
        <v>3.5608279644240515E-2</v>
      </c>
      <c r="S747" s="22">
        <v>4.051798349745761E-2</v>
      </c>
      <c r="T747" s="19">
        <f t="shared" si="83"/>
        <v>4.2912381865861438E-2</v>
      </c>
      <c r="U747" s="24">
        <v>4.2618118191651844E-2</v>
      </c>
      <c r="V747" s="24">
        <f t="shared" si="84"/>
        <v>4.2909413299396792E-2</v>
      </c>
      <c r="W747" s="23">
        <f t="shared" si="85"/>
        <v>3.507279993048229E-3</v>
      </c>
      <c r="X747" s="24">
        <v>4.218856032199203E-2</v>
      </c>
      <c r="Y747" s="24">
        <f t="shared" si="86"/>
        <v>4.2910330756117165E-2</v>
      </c>
      <c r="Z747" s="23">
        <f t="shared" si="87"/>
        <v>3.5073489785284462E-3</v>
      </c>
      <c r="AA747" s="36"/>
    </row>
    <row r="748" spans="15:27" ht="13.9" customHeight="1" x14ac:dyDescent="0.3">
      <c r="O748" s="12">
        <f t="shared" si="81"/>
        <v>61.25</v>
      </c>
      <c r="P748" s="13">
        <v>735</v>
      </c>
      <c r="Q748" s="22">
        <v>3.5360390716919765E-2</v>
      </c>
      <c r="R748" s="19">
        <f t="shared" si="82"/>
        <v>3.5616246005879759E-2</v>
      </c>
      <c r="S748" s="22">
        <v>4.052123744491376E-2</v>
      </c>
      <c r="T748" s="19">
        <f t="shared" si="83"/>
        <v>4.2913176942753983E-2</v>
      </c>
      <c r="U748" s="24">
        <v>4.2618514456248313E-2</v>
      </c>
      <c r="V748" s="24">
        <f t="shared" si="84"/>
        <v>4.291002880718553E-2</v>
      </c>
      <c r="W748" s="23">
        <f t="shared" si="85"/>
        <v>3.5073296855796521E-3</v>
      </c>
      <c r="X748" s="24">
        <v>4.2189541983158385E-2</v>
      </c>
      <c r="Y748" s="24">
        <f t="shared" si="86"/>
        <v>4.2911002531908382E-2</v>
      </c>
      <c r="Z748" s="23">
        <f t="shared" si="87"/>
        <v>3.507403251746366E-3</v>
      </c>
      <c r="AA748" s="36"/>
    </row>
    <row r="749" spans="15:27" ht="13.9" customHeight="1" x14ac:dyDescent="0.3">
      <c r="O749" s="12">
        <f t="shared" si="81"/>
        <v>61.333333333333336</v>
      </c>
      <c r="P749" s="13">
        <v>736</v>
      </c>
      <c r="Q749" s="22">
        <v>3.5360738303501282E-2</v>
      </c>
      <c r="R749" s="19">
        <f t="shared" si="82"/>
        <v>3.5624145118756445E-2</v>
      </c>
      <c r="S749" s="22">
        <v>4.0524483638049391E-2</v>
      </c>
      <c r="T749" s="19">
        <f t="shared" si="83"/>
        <v>4.2913964799636606E-2</v>
      </c>
      <c r="U749" s="24">
        <v>4.2618910480243466E-2</v>
      </c>
      <c r="V749" s="24">
        <f t="shared" si="84"/>
        <v>4.291064012939616E-2</v>
      </c>
      <c r="W749" s="23">
        <f t="shared" si="85"/>
        <v>3.5073790400108606E-3</v>
      </c>
      <c r="X749" s="24">
        <v>4.2190521889796662E-2</v>
      </c>
      <c r="Y749" s="24">
        <f t="shared" si="86"/>
        <v>4.291166927072565E-2</v>
      </c>
      <c r="Z749" s="23">
        <f t="shared" si="87"/>
        <v>3.5074571179769531E-3</v>
      </c>
      <c r="AA749" s="36"/>
    </row>
    <row r="750" spans="15:27" ht="13.9" customHeight="1" x14ac:dyDescent="0.3">
      <c r="O750" s="12">
        <f t="shared" si="81"/>
        <v>61.416666666666664</v>
      </c>
      <c r="P750" s="13">
        <v>737</v>
      </c>
      <c r="Q750" s="22">
        <v>3.5361095662198139E-2</v>
      </c>
      <c r="R750" s="19">
        <f t="shared" si="82"/>
        <v>3.5631977558616912E-2</v>
      </c>
      <c r="S750" s="22">
        <v>4.0527722098623098E-2</v>
      </c>
      <c r="T750" s="19">
        <f t="shared" si="83"/>
        <v>4.2914745502244722E-2</v>
      </c>
      <c r="U750" s="24">
        <v>4.2619306258938838E-2</v>
      </c>
      <c r="V750" s="24">
        <f t="shared" si="84"/>
        <v>4.2911247293657917E-2</v>
      </c>
      <c r="W750" s="23">
        <f t="shared" si="85"/>
        <v>3.5074280587954476E-3</v>
      </c>
      <c r="X750" s="24">
        <v>4.2191500042217278E-2</v>
      </c>
      <c r="Y750" s="24">
        <f t="shared" si="86"/>
        <v>4.2912331009588689E-2</v>
      </c>
      <c r="Z750" s="23">
        <f t="shared" si="87"/>
        <v>3.5075105802870876E-3</v>
      </c>
      <c r="AA750" s="36"/>
    </row>
    <row r="751" spans="15:27" ht="13.9" customHeight="1" x14ac:dyDescent="0.3">
      <c r="O751" s="12">
        <f t="shared" si="81"/>
        <v>61.5</v>
      </c>
      <c r="P751" s="13">
        <v>738</v>
      </c>
      <c r="Q751" s="22">
        <v>3.5361462662896193E-2</v>
      </c>
      <c r="R751" s="19">
        <f t="shared" si="82"/>
        <v>3.5639743899088305E-2</v>
      </c>
      <c r="S751" s="22">
        <v>4.0530952848364166E-2</v>
      </c>
      <c r="T751" s="19">
        <f t="shared" si="83"/>
        <v>4.2915519116151657E-2</v>
      </c>
      <c r="U751" s="24">
        <v>4.2619701787698805E-2</v>
      </c>
      <c r="V751" s="24">
        <f t="shared" si="84"/>
        <v>4.2911850328580803E-2</v>
      </c>
      <c r="W751" s="23">
        <f t="shared" si="85"/>
        <v>3.5074767441494181E-3</v>
      </c>
      <c r="X751" s="24">
        <v>4.2192476440779281E-2</v>
      </c>
      <c r="Y751" s="24">
        <f t="shared" si="86"/>
        <v>4.2912987787670831E-2</v>
      </c>
      <c r="Z751" s="23">
        <f t="shared" si="87"/>
        <v>3.507563641646172E-3</v>
      </c>
      <c r="AA751" s="36"/>
    </row>
    <row r="752" spans="15:27" ht="13.9" customHeight="1" x14ac:dyDescent="0.3">
      <c r="O752" s="12">
        <f t="shared" si="81"/>
        <v>61.583333333333336</v>
      </c>
      <c r="P752" s="13">
        <v>739</v>
      </c>
      <c r="Q752" s="22">
        <v>3.536183917696345E-2</v>
      </c>
      <c r="R752" s="19">
        <f t="shared" si="82"/>
        <v>3.5647444705910525E-2</v>
      </c>
      <c r="S752" s="22">
        <v>4.0534175908973014E-2</v>
      </c>
      <c r="T752" s="19">
        <f t="shared" si="83"/>
        <v>4.2916285704710955E-2</v>
      </c>
      <c r="U752" s="24">
        <v>4.2620097061951911E-2</v>
      </c>
      <c r="V752" s="24">
        <f t="shared" si="84"/>
        <v>4.2912449261620411E-2</v>
      </c>
      <c r="W752" s="23">
        <f t="shared" si="85"/>
        <v>3.5075250983673811E-3</v>
      </c>
      <c r="X752" s="24">
        <v>4.2193451085892342E-2</v>
      </c>
      <c r="Y752" s="24">
        <f t="shared" si="86"/>
        <v>4.2913639639790224E-2</v>
      </c>
      <c r="Z752" s="23">
        <f t="shared" si="87"/>
        <v>3.5076163051956932E-3</v>
      </c>
      <c r="AA752" s="36"/>
    </row>
    <row r="753" spans="15:27" ht="13.9" customHeight="1" x14ac:dyDescent="0.3">
      <c r="O753" s="12">
        <f t="shared" si="81"/>
        <v>61.666666666666664</v>
      </c>
      <c r="P753" s="13">
        <v>740</v>
      </c>
      <c r="Q753" s="22">
        <v>3.5362225077229859E-2</v>
      </c>
      <c r="R753" s="19">
        <f t="shared" si="82"/>
        <v>3.5655080542208228E-2</v>
      </c>
      <c r="S753" s="22">
        <v>4.0537391302118087E-2</v>
      </c>
      <c r="T753" s="19">
        <f t="shared" si="83"/>
        <v>4.2917045332600656E-2</v>
      </c>
      <c r="U753" s="24">
        <v>4.2620492077187988E-2</v>
      </c>
      <c r="V753" s="24">
        <f t="shared" si="84"/>
        <v>4.2913044121525079E-2</v>
      </c>
      <c r="W753" s="23">
        <f t="shared" si="85"/>
        <v>3.507573123651353E-3</v>
      </c>
      <c r="X753" s="24">
        <v>4.2194423978011208E-2</v>
      </c>
      <c r="Y753" s="24">
        <f t="shared" si="86"/>
        <v>4.2914286604741614E-2</v>
      </c>
      <c r="Z753" s="23">
        <f t="shared" si="87"/>
        <v>3.5076685737285285E-3</v>
      </c>
      <c r="AA753" s="36"/>
    </row>
    <row r="754" spans="15:27" ht="13.9" customHeight="1" x14ac:dyDescent="0.3">
      <c r="O754" s="12">
        <f t="shared" si="81"/>
        <v>61.75</v>
      </c>
      <c r="P754" s="13">
        <v>741</v>
      </c>
      <c r="Q754" s="22">
        <v>3.5362620237973541E-2</v>
      </c>
      <c r="R754" s="19">
        <f t="shared" si="82"/>
        <v>3.5662651963539904E-2</v>
      </c>
      <c r="S754" s="22">
        <v>4.0540599049438297E-2</v>
      </c>
      <c r="T754" s="19">
        <f t="shared" si="83"/>
        <v>4.2917798062641843E-2</v>
      </c>
      <c r="U754" s="24">
        <v>4.2620886828960369E-2</v>
      </c>
      <c r="V754" s="24">
        <f t="shared" si="84"/>
        <v>4.2913634935648703E-2</v>
      </c>
      <c r="W754" s="23">
        <f t="shared" si="85"/>
        <v>3.5076208223072669E-3</v>
      </c>
      <c r="X754" s="24">
        <v>4.2195395117640588E-2</v>
      </c>
      <c r="Y754" s="24">
        <f t="shared" si="86"/>
        <v>4.2914928719233414E-2</v>
      </c>
      <c r="Z754" s="23">
        <f t="shared" si="87"/>
        <v>3.5077204503557446E-3</v>
      </c>
      <c r="AA754" s="36"/>
    </row>
    <row r="755" spans="15:27" ht="13.9" customHeight="1" x14ac:dyDescent="0.3">
      <c r="O755" s="12">
        <f t="shared" si="81"/>
        <v>61.833333333333336</v>
      </c>
      <c r="P755" s="13">
        <v>742</v>
      </c>
      <c r="Q755" s="22">
        <v>3.5363024534901255E-2</v>
      </c>
      <c r="R755" s="19">
        <f t="shared" si="82"/>
        <v>3.5670159522997569E-2</v>
      </c>
      <c r="S755" s="22">
        <v>4.0543799172540362E-2</v>
      </c>
      <c r="T755" s="19">
        <f t="shared" si="83"/>
        <v>4.2918543958140987E-2</v>
      </c>
      <c r="U755" s="24">
        <v>4.262128131288323E-2</v>
      </c>
      <c r="V755" s="24">
        <f t="shared" si="84"/>
        <v>4.2914221731603641E-2</v>
      </c>
      <c r="W755" s="23">
        <f t="shared" si="85"/>
        <v>3.5076681965287015E-3</v>
      </c>
      <c r="X755" s="24">
        <v>4.2196364505331596E-2</v>
      </c>
      <c r="Y755" s="24">
        <f t="shared" si="86"/>
        <v>4.2915566018887352E-2</v>
      </c>
      <c r="Z755" s="23">
        <f t="shared" si="87"/>
        <v>3.5077719380216532E-3</v>
      </c>
      <c r="AA755" s="36"/>
    </row>
    <row r="756" spans="15:27" ht="13.9" customHeight="1" x14ac:dyDescent="0.3">
      <c r="O756" s="12">
        <f t="shared" si="81"/>
        <v>61.916666666666664</v>
      </c>
      <c r="P756" s="13">
        <v>743</v>
      </c>
      <c r="Q756" s="22">
        <v>3.5363437845134627E-2</v>
      </c>
      <c r="R756" s="19">
        <f t="shared" si="82"/>
        <v>3.5677603767463095E-2</v>
      </c>
      <c r="S756" s="22">
        <v>4.0546991692999468E-2</v>
      </c>
      <c r="T756" s="19">
        <f t="shared" si="83"/>
        <v>4.2919283080895321E-2</v>
      </c>
      <c r="U756" s="24">
        <v>4.2621675524631142E-2</v>
      </c>
      <c r="V756" s="24">
        <f t="shared" si="84"/>
        <v>4.2914804537499629E-2</v>
      </c>
      <c r="W756" s="23">
        <f t="shared" si="85"/>
        <v>3.5077152485303298E-3</v>
      </c>
      <c r="X756" s="24">
        <v>4.2197332141680421E-2</v>
      </c>
      <c r="Y756" s="24">
        <f t="shared" si="86"/>
        <v>4.2916198540534856E-2</v>
      </c>
      <c r="Z756" s="23">
        <f t="shared" si="87"/>
        <v>3.5078230395830801E-3</v>
      </c>
      <c r="AA756" s="36"/>
    </row>
    <row r="757" spans="15:27" ht="13.9" customHeight="1" x14ac:dyDescent="0.3">
      <c r="O757" s="12">
        <f t="shared" si="81"/>
        <v>62</v>
      </c>
      <c r="P757" s="13">
        <v>744</v>
      </c>
      <c r="Q757" s="22">
        <v>3.5363860047193052E-2</v>
      </c>
      <c r="R757" s="19">
        <f t="shared" si="82"/>
        <v>3.5684985239553768E-2</v>
      </c>
      <c r="S757" s="22">
        <v>4.0550176632358159E-2</v>
      </c>
      <c r="T757" s="19">
        <f t="shared" si="83"/>
        <v>4.2920015492320607E-2</v>
      </c>
      <c r="U757" s="24">
        <v>4.2622069459940182E-2</v>
      </c>
      <c r="V757" s="24">
        <f t="shared" si="84"/>
        <v>4.2915383378852257E-2</v>
      </c>
      <c r="W757" s="23">
        <f t="shared" si="85"/>
        <v>3.5077619805665705E-3</v>
      </c>
      <c r="X757" s="24">
        <v>4.2198298027329662E-2</v>
      </c>
      <c r="Y757" s="24">
        <f t="shared" si="86"/>
        <v>4.2916826319465251E-2</v>
      </c>
      <c r="Z757" s="23">
        <f t="shared" si="87"/>
        <v>3.5078737579941066E-3</v>
      </c>
      <c r="AA757" s="36"/>
    </row>
    <row r="758" spans="15:27" ht="13.9" customHeight="1" x14ac:dyDescent="0.3">
      <c r="O758" s="12">
        <f t="shared" si="81"/>
        <v>62.083333333333336</v>
      </c>
      <c r="P758" s="13">
        <v>745</v>
      </c>
      <c r="Q758" s="22">
        <v>3.5364291020978156E-2</v>
      </c>
      <c r="R758" s="19">
        <f t="shared" si="82"/>
        <v>3.5692304476721226E-2</v>
      </c>
      <c r="S758" s="22">
        <v>4.0553354012125453E-2</v>
      </c>
      <c r="T758" s="19">
        <f t="shared" si="83"/>
        <v>4.2920741253607897E-2</v>
      </c>
      <c r="U758" s="24">
        <v>4.2622463114603271E-2</v>
      </c>
      <c r="V758" s="24">
        <f t="shared" si="84"/>
        <v>4.2915958283891831E-2</v>
      </c>
      <c r="W758" s="23">
        <f t="shared" si="85"/>
        <v>3.5078083946840088E-3</v>
      </c>
      <c r="X758" s="24">
        <v>4.2199262162965656E-2</v>
      </c>
      <c r="Y758" s="24">
        <f t="shared" si="86"/>
        <v>4.2917449391366214E-2</v>
      </c>
      <c r="Z758" s="23">
        <f t="shared" si="87"/>
        <v>3.5079240960851354E-3</v>
      </c>
      <c r="AA758" s="36"/>
    </row>
    <row r="759" spans="15:27" ht="13.9" customHeight="1" x14ac:dyDescent="0.3">
      <c r="O759" s="12">
        <f t="shared" si="81"/>
        <v>62.166666666666664</v>
      </c>
      <c r="P759" s="13">
        <v>746</v>
      </c>
      <c r="Q759" s="22">
        <v>3.5364730647757581E-2</v>
      </c>
      <c r="R759" s="19">
        <f t="shared" si="82"/>
        <v>3.5699562011530794E-2</v>
      </c>
      <c r="S759" s="22">
        <v>4.0556523853776838E-2</v>
      </c>
      <c r="T759" s="19">
        <f t="shared" si="83"/>
        <v>4.2921460425302982E-2</v>
      </c>
      <c r="U759" s="24">
        <v>4.2622856484473726E-2</v>
      </c>
      <c r="V759" s="24">
        <f t="shared" si="84"/>
        <v>4.291652927983991E-2</v>
      </c>
      <c r="W759" s="23">
        <f t="shared" si="85"/>
        <v>3.5078544931466116E-3</v>
      </c>
      <c r="X759" s="24">
        <v>4.220022454931871E-2</v>
      </c>
      <c r="Y759" s="24">
        <f t="shared" si="86"/>
        <v>4.2918067792507619E-2</v>
      </c>
      <c r="Z759" s="23">
        <f t="shared" si="87"/>
        <v>3.5079740567183215E-3</v>
      </c>
      <c r="AA759" s="36"/>
    </row>
    <row r="760" spans="15:27" ht="13.9" customHeight="1" x14ac:dyDescent="0.3">
      <c r="O760" s="12">
        <f t="shared" si="81"/>
        <v>62.25</v>
      </c>
      <c r="P760" s="13">
        <v>747</v>
      </c>
      <c r="Q760" s="22">
        <v>3.5365178810149223E-2</v>
      </c>
      <c r="R760" s="19">
        <f t="shared" si="82"/>
        <v>3.5706758372201941E-2</v>
      </c>
      <c r="S760" s="22">
        <v>4.0559686178754051E-2</v>
      </c>
      <c r="T760" s="19">
        <f t="shared" si="83"/>
        <v>4.2922173066969993E-2</v>
      </c>
      <c r="U760" s="24">
        <v>4.2623249565463706E-2</v>
      </c>
      <c r="V760" s="24">
        <f t="shared" si="84"/>
        <v>4.2917096391780207E-2</v>
      </c>
      <c r="W760" s="23">
        <f t="shared" si="85"/>
        <v>3.5079002781377433E-3</v>
      </c>
      <c r="X760" s="24">
        <v>4.2201185187164203E-2</v>
      </c>
      <c r="Y760" s="24">
        <f t="shared" si="86"/>
        <v>4.2918681556531002E-2</v>
      </c>
      <c r="Z760" s="23">
        <f t="shared" si="87"/>
        <v>3.5080236428022271E-3</v>
      </c>
      <c r="AA760" s="36"/>
    </row>
    <row r="761" spans="15:27" ht="13.9" customHeight="1" x14ac:dyDescent="0.3">
      <c r="O761" s="12">
        <f t="shared" si="81"/>
        <v>62.333333333333336</v>
      </c>
      <c r="P761" s="13">
        <v>748</v>
      </c>
      <c r="Q761" s="22">
        <v>3.5365635392106576E-2</v>
      </c>
      <c r="R761" s="19">
        <f t="shared" si="82"/>
        <v>3.5713894082433306E-2</v>
      </c>
      <c r="S761" s="22">
        <v>4.0562841008463524E-2</v>
      </c>
      <c r="T761" s="19">
        <f t="shared" si="83"/>
        <v>4.292287923886251E-2</v>
      </c>
      <c r="U761" s="24">
        <v>4.2623642353540436E-2</v>
      </c>
      <c r="V761" s="24">
        <f t="shared" si="84"/>
        <v>4.2917659648504802E-2</v>
      </c>
      <c r="W761" s="23">
        <f t="shared" si="85"/>
        <v>3.5079457516691281E-3</v>
      </c>
      <c r="X761" s="24">
        <v>4.2202144077317705E-2</v>
      </c>
      <c r="Y761" s="24">
        <f t="shared" si="86"/>
        <v>4.2919290719910075E-2</v>
      </c>
      <c r="Z761" s="23">
        <f t="shared" si="87"/>
        <v>3.5080728570355824E-3</v>
      </c>
      <c r="AA761" s="36"/>
    </row>
    <row r="762" spans="15:27" ht="13.9" customHeight="1" x14ac:dyDescent="0.3">
      <c r="O762" s="12">
        <f t="shared" si="81"/>
        <v>62.416666666666664</v>
      </c>
      <c r="P762" s="13">
        <v>749</v>
      </c>
      <c r="Q762" s="22">
        <v>3.5366100278903634E-2</v>
      </c>
      <c r="R762" s="19">
        <f t="shared" si="82"/>
        <v>3.5720969660949731E-2</v>
      </c>
      <c r="S762" s="22">
        <v>4.0565988364277494E-2</v>
      </c>
      <c r="T762" s="19">
        <f t="shared" si="83"/>
        <v>4.2923578998532053E-2</v>
      </c>
      <c r="U762" s="24">
        <v>4.2624034844731318E-2</v>
      </c>
      <c r="V762" s="24">
        <f t="shared" si="84"/>
        <v>4.2918219073663E-2</v>
      </c>
      <c r="W762" s="23">
        <f t="shared" si="85"/>
        <v>3.50799091605003E-3</v>
      </c>
      <c r="X762" s="24">
        <v>4.2203101220639638E-2</v>
      </c>
      <c r="Y762" s="24">
        <f t="shared" si="86"/>
        <v>4.2919895315428835E-2</v>
      </c>
      <c r="Z762" s="23">
        <f t="shared" si="87"/>
        <v>3.5081217023429367E-3</v>
      </c>
      <c r="AA762" s="36"/>
    </row>
    <row r="763" spans="15:27" ht="13.9" customHeight="1" x14ac:dyDescent="0.3">
      <c r="O763" s="12">
        <f t="shared" si="81"/>
        <v>62.5</v>
      </c>
      <c r="P763" s="13">
        <v>750</v>
      </c>
      <c r="Q763" s="22">
        <v>3.5366573357119124E-2</v>
      </c>
      <c r="R763" s="19">
        <f t="shared" si="82"/>
        <v>3.5727985622080904E-2</v>
      </c>
      <c r="S763" s="22">
        <v>4.0569128267531118E-2</v>
      </c>
      <c r="T763" s="19">
        <f t="shared" si="83"/>
        <v>4.2924272405129305E-2</v>
      </c>
      <c r="U763" s="24">
        <v>4.2624427035116597E-2</v>
      </c>
      <c r="V763" s="24">
        <f t="shared" si="84"/>
        <v>4.2918774694915562E-2</v>
      </c>
      <c r="W763" s="23">
        <f t="shared" si="85"/>
        <v>3.5080357731769318E-3</v>
      </c>
      <c r="X763" s="24">
        <v>4.2204056618029062E-2</v>
      </c>
      <c r="Y763" s="24">
        <f t="shared" si="86"/>
        <v>4.2920495378787837E-2</v>
      </c>
      <c r="Z763" s="23">
        <f t="shared" si="87"/>
        <v>3.5081701813541866E-3</v>
      </c>
      <c r="AA763" s="36"/>
    </row>
    <row r="764" spans="15:27" ht="13.9" customHeight="1" x14ac:dyDescent="0.3">
      <c r="O764" s="12">
        <f t="shared" si="81"/>
        <v>62.583333333333336</v>
      </c>
      <c r="P764" s="13">
        <v>751</v>
      </c>
      <c r="Q764" s="22">
        <v>3.536705451462252E-2</v>
      </c>
      <c r="R764" s="19">
        <f t="shared" si="82"/>
        <v>3.5734942475521336E-2</v>
      </c>
      <c r="S764" s="22">
        <v>4.057226073952469E-2</v>
      </c>
      <c r="T764" s="19">
        <f t="shared" si="83"/>
        <v>4.2924959516326577E-2</v>
      </c>
      <c r="U764" s="24">
        <v>4.2624818920833807E-2</v>
      </c>
      <c r="V764" s="24">
        <f t="shared" si="84"/>
        <v>4.2919326538211511E-2</v>
      </c>
      <c r="W764" s="23">
        <f t="shared" si="85"/>
        <v>3.5080803252685033E-3</v>
      </c>
      <c r="X764" s="24">
        <v>4.2205010270428112E-2</v>
      </c>
      <c r="Y764" s="24">
        <f t="shared" si="86"/>
        <v>4.2921090943310869E-2</v>
      </c>
      <c r="Z764" s="23">
        <f t="shared" si="87"/>
        <v>3.508218296932375E-3</v>
      </c>
      <c r="AA764" s="36"/>
    </row>
    <row r="765" spans="15:27" ht="13.9" customHeight="1" x14ac:dyDescent="0.3">
      <c r="O765" s="12">
        <f t="shared" si="81"/>
        <v>62.666666666666664</v>
      </c>
      <c r="P765" s="13">
        <v>752</v>
      </c>
      <c r="Q765" s="22">
        <v>3.5367543640558718E-2</v>
      </c>
      <c r="R765" s="19">
        <f t="shared" si="82"/>
        <v>3.5741840727208762E-2</v>
      </c>
      <c r="S765" s="22">
        <v>4.0575385801521424E-2</v>
      </c>
      <c r="T765" s="19">
        <f t="shared" si="83"/>
        <v>4.2925640388945752E-2</v>
      </c>
      <c r="U765" s="24">
        <v>4.2625210498075994E-2</v>
      </c>
      <c r="V765" s="24">
        <f t="shared" si="84"/>
        <v>4.2919874628290167E-2</v>
      </c>
      <c r="W765" s="23">
        <f t="shared" si="85"/>
        <v>3.5081245744057465E-3</v>
      </c>
      <c r="X765" s="24">
        <v>4.2205962178818002E-2</v>
      </c>
      <c r="Y765" s="24">
        <f t="shared" si="86"/>
        <v>4.2921682042682985E-2</v>
      </c>
      <c r="Z765" s="23">
        <f t="shared" si="87"/>
        <v>3.5082660517500308E-3</v>
      </c>
      <c r="AA765" s="36"/>
    </row>
    <row r="766" spans="15:27" ht="13.9" customHeight="1" x14ac:dyDescent="0.3">
      <c r="O766" s="12">
        <f t="shared" si="81"/>
        <v>62.75</v>
      </c>
      <c r="P766" s="13">
        <v>753</v>
      </c>
      <c r="Q766" s="22">
        <v>3.536804062533494E-2</v>
      </c>
      <c r="R766" s="19">
        <f t="shared" si="82"/>
        <v>3.5748680876690475E-2</v>
      </c>
      <c r="S766" s="22">
        <v>4.057850347474723E-2</v>
      </c>
      <c r="T766" s="19">
        <f t="shared" si="83"/>
        <v>4.2926315080141997E-2</v>
      </c>
      <c r="U766" s="24">
        <v>4.2625601763088827E-2</v>
      </c>
      <c r="V766" s="24">
        <f t="shared" si="84"/>
        <v>4.2920418991701625E-2</v>
      </c>
      <c r="W766" s="23">
        <f t="shared" si="85"/>
        <v>3.5081685225728521E-3</v>
      </c>
      <c r="X766" s="24">
        <v>4.2206912344219472E-2</v>
      </c>
      <c r="Y766" s="24">
        <f t="shared" si="86"/>
        <v>4.2922268711092393E-2</v>
      </c>
      <c r="Z766" s="23">
        <f t="shared" si="87"/>
        <v>3.5083134485087708E-3</v>
      </c>
      <c r="AA766" s="36"/>
    </row>
    <row r="767" spans="15:27" ht="13.9" customHeight="1" x14ac:dyDescent="0.3">
      <c r="O767" s="12">
        <f t="shared" si="81"/>
        <v>62.833333333333336</v>
      </c>
      <c r="P767" s="13">
        <v>754</v>
      </c>
      <c r="Q767" s="22">
        <v>3.5368545360603409E-2</v>
      </c>
      <c r="R767" s="19">
        <f t="shared" si="82"/>
        <v>3.5755463421561773E-2</v>
      </c>
      <c r="S767" s="22">
        <v>4.0581613780390935E-2</v>
      </c>
      <c r="T767" s="19">
        <f t="shared" si="83"/>
        <v>4.2926983645551475E-2</v>
      </c>
      <c r="U767" s="24">
        <v>4.2625992712173488E-2</v>
      </c>
      <c r="V767" s="24">
        <f t="shared" si="84"/>
        <v>4.2920959653314883E-2</v>
      </c>
      <c r="W767" s="23">
        <f t="shared" si="85"/>
        <v>3.5082121718992276E-3</v>
      </c>
      <c r="X767" s="24">
        <v>4.2207860767693228E-2</v>
      </c>
      <c r="Y767" s="24">
        <f t="shared" si="86"/>
        <v>4.292285098120785E-2</v>
      </c>
      <c r="Z767" s="23">
        <f t="shared" si="87"/>
        <v>3.5083604899506238E-3</v>
      </c>
      <c r="AA767" s="36"/>
    </row>
    <row r="768" spans="15:27" ht="13.9" customHeight="1" x14ac:dyDescent="0.3">
      <c r="O768" s="12">
        <f t="shared" si="81"/>
        <v>62.916666666666664</v>
      </c>
      <c r="P768" s="13">
        <v>755</v>
      </c>
      <c r="Q768" s="22">
        <v>3.536905773925092E-2</v>
      </c>
      <c r="R768" s="19">
        <f t="shared" si="82"/>
        <v>3.5762188853123211E-2</v>
      </c>
      <c r="S768" s="22">
        <v>4.0584716739602955E-2</v>
      </c>
      <c r="T768" s="19">
        <f t="shared" si="83"/>
        <v>4.2927646141643461E-2</v>
      </c>
      <c r="U768" s="24">
        <v>4.262638334168356E-2</v>
      </c>
      <c r="V768" s="24">
        <f t="shared" si="84"/>
        <v>4.2921496638470336E-2</v>
      </c>
      <c r="W768" s="23">
        <f t="shared" si="85"/>
        <v>3.5082555243792779E-3</v>
      </c>
      <c r="X768" s="24">
        <v>4.2208807450337504E-2</v>
      </c>
      <c r="Y768" s="24">
        <f t="shared" si="86"/>
        <v>4.2923428886273651E-2</v>
      </c>
      <c r="Z768" s="23">
        <f t="shared" si="87"/>
        <v>3.508407178695272E-3</v>
      </c>
      <c r="AA768" s="36"/>
    </row>
    <row r="769" spans="15:27" ht="13.9" customHeight="1" x14ac:dyDescent="0.3">
      <c r="O769" s="12">
        <f t="shared" si="81"/>
        <v>63</v>
      </c>
      <c r="P769" s="13">
        <v>756</v>
      </c>
      <c r="Q769" s="22">
        <v>3.5369577655382178E-2</v>
      </c>
      <c r="R769" s="19">
        <f t="shared" si="82"/>
        <v>3.5768857660176678E-2</v>
      </c>
      <c r="S769" s="22">
        <v>4.0587812373496179E-2</v>
      </c>
      <c r="T769" s="19">
        <f t="shared" si="83"/>
        <v>4.2928302623419512E-2</v>
      </c>
      <c r="U769" s="24">
        <v>4.2626773648025251E-2</v>
      </c>
      <c r="V769" s="24">
        <f t="shared" si="84"/>
        <v>4.2922029973078368E-2</v>
      </c>
      <c r="W769" s="23">
        <f t="shared" si="85"/>
        <v>3.5082985820453771E-3</v>
      </c>
      <c r="X769" s="24">
        <v>4.2209752393288502E-2</v>
      </c>
      <c r="Y769" s="24">
        <f t="shared" si="86"/>
        <v>4.2924002459113986E-2</v>
      </c>
      <c r="Z769" s="23">
        <f t="shared" si="87"/>
        <v>3.508453517409249E-3</v>
      </c>
      <c r="AA769" s="36"/>
    </row>
    <row r="770" spans="15:27" ht="13.9" customHeight="1" x14ac:dyDescent="0.3">
      <c r="O770" s="12">
        <f t="shared" si="81"/>
        <v>63.083333333333336</v>
      </c>
      <c r="P770" s="13">
        <v>757</v>
      </c>
      <c r="Q770" s="22">
        <v>3.5370105004308261E-2</v>
      </c>
      <c r="R770" s="19">
        <f t="shared" si="82"/>
        <v>3.5775470325445591E-2</v>
      </c>
      <c r="S770" s="22">
        <v>4.0590900703144417E-2</v>
      </c>
      <c r="T770" s="19">
        <f t="shared" si="83"/>
        <v>4.2928953144612869E-2</v>
      </c>
      <c r="U770" s="24">
        <v>4.262716362765806E-2</v>
      </c>
      <c r="V770" s="24">
        <f t="shared" si="84"/>
        <v>4.2922559680036443E-2</v>
      </c>
      <c r="W770" s="23">
        <f t="shared" si="85"/>
        <v>3.5083413469756408E-3</v>
      </c>
      <c r="X770" s="24">
        <v>4.2210695597720171E-2</v>
      </c>
      <c r="Y770" s="24">
        <f t="shared" si="86"/>
        <v>4.2924571732117833E-2</v>
      </c>
      <c r="Z770" s="23">
        <f t="shared" si="87"/>
        <v>3.5084995087251158E-3</v>
      </c>
      <c r="AA770" s="36"/>
    </row>
    <row r="771" spans="15:27" ht="13.9" customHeight="1" x14ac:dyDescent="0.3">
      <c r="O771" s="12">
        <f t="shared" si="81"/>
        <v>63.166666666666664</v>
      </c>
      <c r="P771" s="13">
        <v>758</v>
      </c>
      <c r="Q771" s="22">
        <v>3.5370639682530847E-2</v>
      </c>
      <c r="R771" s="19">
        <f t="shared" si="82"/>
        <v>3.5782027327825761E-2</v>
      </c>
      <c r="S771" s="22">
        <v>4.0593981749581509E-2</v>
      </c>
      <c r="T771" s="19">
        <f t="shared" si="83"/>
        <v>4.2929597760577476E-2</v>
      </c>
      <c r="U771" s="24">
        <v>4.2627553277090557E-2</v>
      </c>
      <c r="V771" s="24">
        <f t="shared" si="84"/>
        <v>4.2923085786225501E-2</v>
      </c>
      <c r="W771" s="23">
        <f t="shared" si="85"/>
        <v>3.5083838210061558E-3</v>
      </c>
      <c r="X771" s="24">
        <v>4.2211637064842655E-2</v>
      </c>
      <c r="Y771" s="24">
        <f t="shared" si="86"/>
        <v>4.2925136737772762E-2</v>
      </c>
      <c r="Z771" s="23">
        <f t="shared" si="87"/>
        <v>3.5085451552401281E-3</v>
      </c>
      <c r="AA771" s="36"/>
    </row>
    <row r="772" spans="15:27" ht="13.9" customHeight="1" x14ac:dyDescent="0.3">
      <c r="O772" s="12">
        <f t="shared" si="81"/>
        <v>63.25</v>
      </c>
      <c r="P772" s="13">
        <v>759</v>
      </c>
      <c r="Q772" s="22">
        <v>3.5371181587729117E-2</v>
      </c>
      <c r="R772" s="19">
        <f t="shared" si="82"/>
        <v>3.5788529143272019E-2</v>
      </c>
      <c r="S772" s="22">
        <v>4.0597055533802884E-2</v>
      </c>
      <c r="T772" s="19">
        <f t="shared" si="83"/>
        <v>4.2930236524101772E-2</v>
      </c>
      <c r="U772" s="24">
        <v>4.2627942592884827E-2</v>
      </c>
      <c r="V772" s="24">
        <f t="shared" si="84"/>
        <v>4.2923608313905737E-2</v>
      </c>
      <c r="W772" s="23">
        <f t="shared" si="85"/>
        <v>3.5084260062931971E-3</v>
      </c>
      <c r="X772" s="24">
        <v>4.2212576795902512E-2</v>
      </c>
      <c r="Y772" s="24">
        <f t="shared" si="86"/>
        <v>4.2925697507876004E-2</v>
      </c>
      <c r="Z772" s="23">
        <f t="shared" si="87"/>
        <v>3.5085904595602013E-3</v>
      </c>
      <c r="AA772" s="36"/>
    </row>
    <row r="773" spans="15:27" ht="13.9" customHeight="1" x14ac:dyDescent="0.3">
      <c r="O773" s="12">
        <f t="shared" si="81"/>
        <v>63.333333333333336</v>
      </c>
      <c r="P773" s="13">
        <v>760</v>
      </c>
      <c r="Q773" s="22">
        <v>3.5371730618748209E-2</v>
      </c>
      <c r="R773" s="19">
        <f t="shared" si="82"/>
        <v>3.5794976242461418E-2</v>
      </c>
      <c r="S773" s="22">
        <v>4.060012207676289E-2</v>
      </c>
      <c r="T773" s="19">
        <f t="shared" si="83"/>
        <v>4.2930869489189893E-2</v>
      </c>
      <c r="U773" s="24">
        <v>4.2628331571650691E-2</v>
      </c>
      <c r="V773" s="24">
        <f t="shared" si="84"/>
        <v>4.292412728964301E-2</v>
      </c>
      <c r="W773" s="23">
        <f t="shared" si="85"/>
        <v>3.5084679046217815E-3</v>
      </c>
      <c r="X773" s="24">
        <v>4.2213514792181606E-2</v>
      </c>
      <c r="Y773" s="24">
        <f t="shared" si="86"/>
        <v>4.2926254074471482E-2</v>
      </c>
      <c r="Z773" s="23">
        <f t="shared" si="87"/>
        <v>3.5086354242350737E-3</v>
      </c>
      <c r="AA773" s="36"/>
    </row>
    <row r="774" spans="15:27" ht="13.9" customHeight="1" x14ac:dyDescent="0.3">
      <c r="O774" s="12">
        <f t="shared" si="81"/>
        <v>63.416666666666664</v>
      </c>
      <c r="P774" s="13">
        <v>761</v>
      </c>
      <c r="Q774" s="22">
        <v>3.5372286675584563E-2</v>
      </c>
      <c r="R774" s="19">
        <f t="shared" si="82"/>
        <v>3.5801369091774671E-2</v>
      </c>
      <c r="S774" s="22">
        <v>4.0603181399376798E-2</v>
      </c>
      <c r="T774" s="19">
        <f t="shared" si="83"/>
        <v>4.2931496707769634E-2</v>
      </c>
      <c r="U774" s="24">
        <v>4.2628720210050375E-2</v>
      </c>
      <c r="V774" s="24">
        <f t="shared" si="84"/>
        <v>4.2924642736600349E-2</v>
      </c>
      <c r="W774" s="23">
        <f t="shared" si="85"/>
        <v>3.5085095181224268E-3</v>
      </c>
      <c r="X774" s="24">
        <v>4.2214451054997104E-2</v>
      </c>
      <c r="Y774" s="24">
        <f t="shared" si="86"/>
        <v>4.2926806468795542E-2</v>
      </c>
      <c r="Z774" s="23">
        <f t="shared" si="87"/>
        <v>3.5086800518349115E-3</v>
      </c>
      <c r="AA774" s="36"/>
    </row>
    <row r="775" spans="15:27" ht="13.9" customHeight="1" x14ac:dyDescent="0.3">
      <c r="O775" s="12">
        <f t="shared" si="81"/>
        <v>63.5</v>
      </c>
      <c r="P775" s="13">
        <v>762</v>
      </c>
      <c r="Q775" s="22">
        <v>3.5372849659372596E-2</v>
      </c>
      <c r="R775" s="19">
        <f t="shared" si="82"/>
        <v>3.5807708153918982E-2</v>
      </c>
      <c r="S775" s="22">
        <v>4.0606233522517909E-2</v>
      </c>
      <c r="T775" s="19">
        <f t="shared" si="83"/>
        <v>4.293211823264742E-2</v>
      </c>
      <c r="U775" s="24">
        <v>4.2629108504794067E-2</v>
      </c>
      <c r="V775" s="24">
        <f t="shared" si="84"/>
        <v>4.2925154678306932E-2</v>
      </c>
      <c r="W775" s="23">
        <f t="shared" si="85"/>
        <v>3.5085508486532024E-3</v>
      </c>
      <c r="X775" s="24">
        <v>4.2215385585700371E-2</v>
      </c>
      <c r="Y775" s="24">
        <f t="shared" si="86"/>
        <v>4.2927354722252176E-2</v>
      </c>
      <c r="Z775" s="23">
        <f t="shared" si="87"/>
        <v>3.508724344864822E-3</v>
      </c>
      <c r="AA775" s="36"/>
    </row>
    <row r="776" spans="15:27" ht="13.9" customHeight="1" x14ac:dyDescent="0.3">
      <c r="O776" s="12">
        <f t="shared" si="81"/>
        <v>63.583333333333336</v>
      </c>
      <c r="P776" s="13">
        <v>763</v>
      </c>
      <c r="Q776" s="22">
        <v>3.5373419472372714E-2</v>
      </c>
      <c r="R776" s="19">
        <f t="shared" si="82"/>
        <v>3.5813993887742868E-2</v>
      </c>
      <c r="S776" s="22">
        <v>4.0609278467019561E-2</v>
      </c>
      <c r="T776" s="19">
        <f t="shared" si="83"/>
        <v>4.2932734115344706E-2</v>
      </c>
      <c r="U776" s="24">
        <v>4.2629496452640137E-2</v>
      </c>
      <c r="V776" s="24">
        <f t="shared" si="84"/>
        <v>4.2925663139981474E-2</v>
      </c>
      <c r="W776" s="23">
        <f t="shared" si="85"/>
        <v>3.5085918981005992E-3</v>
      </c>
      <c r="X776" s="24">
        <v>4.2216318385676521E-2</v>
      </c>
      <c r="Y776" s="24">
        <f t="shared" si="86"/>
        <v>4.2927898866504499E-2</v>
      </c>
      <c r="Z776" s="23">
        <f t="shared" si="87"/>
        <v>3.5087683058432351E-3</v>
      </c>
      <c r="AA776" s="36"/>
    </row>
    <row r="777" spans="15:27" ht="13.9" customHeight="1" x14ac:dyDescent="0.3">
      <c r="O777" s="12">
        <f t="shared" si="81"/>
        <v>63.666666666666664</v>
      </c>
      <c r="P777" s="13">
        <v>764</v>
      </c>
      <c r="Q777" s="22">
        <v>3.5373996017958431E-2</v>
      </c>
      <c r="R777" s="19">
        <f t="shared" si="82"/>
        <v>3.5820226747750539E-2</v>
      </c>
      <c r="S777" s="22">
        <v>4.061231625367312E-2</v>
      </c>
      <c r="T777" s="19">
        <f t="shared" si="83"/>
        <v>4.2933344406525187E-2</v>
      </c>
      <c r="U777" s="24">
        <v>4.2629884050396916E-2</v>
      </c>
      <c r="V777" s="24">
        <f t="shared" si="84"/>
        <v>4.2926168143390342E-2</v>
      </c>
      <c r="W777" s="23">
        <f t="shared" si="85"/>
        <v>3.5086326684874436E-3</v>
      </c>
      <c r="X777" s="24">
        <v>4.2217249456345085E-2</v>
      </c>
      <c r="Y777" s="24">
        <f t="shared" si="86"/>
        <v>4.292843893122722E-2</v>
      </c>
      <c r="Z777" s="23">
        <f t="shared" si="87"/>
        <v>3.5088119373096749E-3</v>
      </c>
      <c r="AA777" s="36"/>
    </row>
    <row r="778" spans="15:27" ht="13.9" customHeight="1" x14ac:dyDescent="0.3">
      <c r="O778" s="12">
        <f t="shared" si="81"/>
        <v>63.75</v>
      </c>
      <c r="P778" s="13">
        <v>765</v>
      </c>
      <c r="Q778" s="22">
        <v>3.5374579200603717E-2</v>
      </c>
      <c r="R778" s="19">
        <f t="shared" si="82"/>
        <v>3.5826407185209908E-2</v>
      </c>
      <c r="S778" s="22">
        <v>4.0615346903227545E-2</v>
      </c>
      <c r="T778" s="19">
        <f t="shared" si="83"/>
        <v>4.2933949158702189E-2</v>
      </c>
      <c r="U778" s="24">
        <v>4.263027129491781E-2</v>
      </c>
      <c r="V778" s="24">
        <f t="shared" si="84"/>
        <v>4.2926669714803189E-2</v>
      </c>
      <c r="W778" s="23">
        <f t="shared" si="85"/>
        <v>3.5086731615596722E-3</v>
      </c>
      <c r="X778" s="24">
        <v>4.2218178799156902E-2</v>
      </c>
      <c r="Y778" s="24">
        <f t="shared" si="86"/>
        <v>4.2928974948720056E-2</v>
      </c>
      <c r="Z778" s="23">
        <f t="shared" si="87"/>
        <v>3.5088552416437935E-3</v>
      </c>
      <c r="AA778" s="36"/>
    </row>
    <row r="779" spans="15:27" ht="13.9" customHeight="1" x14ac:dyDescent="0.3">
      <c r="O779" s="12">
        <f t="shared" si="81"/>
        <v>63.833333333333336</v>
      </c>
      <c r="P779" s="13">
        <v>766</v>
      </c>
      <c r="Q779" s="22">
        <v>3.5375168925871447E-2</v>
      </c>
      <c r="R779" s="19">
        <f t="shared" si="82"/>
        <v>3.5832535645693886E-2</v>
      </c>
      <c r="S779" s="22">
        <v>4.0618370436391604E-2</v>
      </c>
      <c r="T779" s="19">
        <f t="shared" si="83"/>
        <v>4.2934548420374474E-2</v>
      </c>
      <c r="U779" s="24">
        <v>4.2630658183106851E-2</v>
      </c>
      <c r="V779" s="24">
        <f t="shared" si="84"/>
        <v>4.2927167875173255E-2</v>
      </c>
      <c r="W779" s="23">
        <f t="shared" si="85"/>
        <v>3.5087133794233782E-3</v>
      </c>
      <c r="X779" s="24">
        <v>4.221910641559723E-2</v>
      </c>
      <c r="Y779" s="24">
        <f t="shared" si="86"/>
        <v>4.2929506947310569E-2</v>
      </c>
      <c r="Z779" s="23">
        <f t="shared" si="87"/>
        <v>3.5088982214361852E-3</v>
      </c>
      <c r="AA779" s="36"/>
    </row>
    <row r="780" spans="15:27" ht="13.9" customHeight="1" x14ac:dyDescent="0.3">
      <c r="O780" s="12">
        <f t="shared" si="81"/>
        <v>63.916666666666664</v>
      </c>
      <c r="P780" s="13">
        <v>767</v>
      </c>
      <c r="Q780" s="22">
        <v>3.537576510039897E-2</v>
      </c>
      <c r="R780" s="19">
        <f t="shared" si="82"/>
        <v>3.5838612573037221E-2</v>
      </c>
      <c r="S780" s="22">
        <v>4.0621386873829657E-2</v>
      </c>
      <c r="T780" s="19">
        <f t="shared" si="83"/>
        <v>4.2935142242358948E-2</v>
      </c>
      <c r="U780" s="24">
        <v>4.2631044711911814E-2</v>
      </c>
      <c r="V780" s="24">
        <f t="shared" si="84"/>
        <v>4.2927662648799991E-2</v>
      </c>
      <c r="W780" s="23">
        <f t="shared" si="85"/>
        <v>3.5087533237596613E-3</v>
      </c>
      <c r="X780" s="24">
        <v>4.2220032307180633E-2</v>
      </c>
      <c r="Y780" s="24">
        <f t="shared" si="86"/>
        <v>4.2930034959103303E-2</v>
      </c>
      <c r="Z780" s="23">
        <f t="shared" si="87"/>
        <v>3.5089408789588106E-3</v>
      </c>
      <c r="AA780" s="36"/>
    </row>
    <row r="781" spans="15:27" ht="13.9" customHeight="1" x14ac:dyDescent="0.3">
      <c r="O781" s="12">
        <f t="shared" si="81"/>
        <v>64</v>
      </c>
      <c r="P781" s="13">
        <v>768</v>
      </c>
      <c r="Q781" s="22">
        <v>3.5376367631888561E-2</v>
      </c>
      <c r="R781" s="19">
        <f t="shared" si="82"/>
        <v>3.5844638405026608E-2</v>
      </c>
      <c r="S781" s="22">
        <v>4.0624396236164317E-2</v>
      </c>
      <c r="T781" s="19">
        <f t="shared" si="83"/>
        <v>4.2935730673587358E-2</v>
      </c>
      <c r="U781" s="24">
        <v>4.263143087832777E-2</v>
      </c>
      <c r="V781" s="24">
        <f t="shared" si="84"/>
        <v>4.2928154058184953E-2</v>
      </c>
      <c r="W781" s="23">
        <f t="shared" si="85"/>
        <v>3.5087929965169629E-3</v>
      </c>
      <c r="X781" s="24">
        <v>4.2220956475455429E-2</v>
      </c>
      <c r="Y781" s="24">
        <f t="shared" si="86"/>
        <v>4.2930559012618996E-2</v>
      </c>
      <c r="Z781" s="23">
        <f t="shared" si="87"/>
        <v>3.5089832167860546E-3</v>
      </c>
      <c r="AA781" s="36"/>
    </row>
    <row r="782" spans="15:27" ht="13.9" customHeight="1" x14ac:dyDescent="0.3">
      <c r="O782" s="12">
        <f t="shared" ref="O782:O845" si="88">P782/12</f>
        <v>64.083333333333329</v>
      </c>
      <c r="P782" s="13">
        <v>769</v>
      </c>
      <c r="Q782" s="22">
        <v>3.5376976429092766E-2</v>
      </c>
      <c r="R782" s="19">
        <f t="shared" ref="R782:R845" si="89">(1+Q783)^P783/(1+Q782)^P782-1</f>
        <v>3.5850613578150448E-2</v>
      </c>
      <c r="S782" s="22">
        <v>4.0627398543974458E-2</v>
      </c>
      <c r="T782" s="19">
        <f t="shared" ref="T782:T845" si="90">(1+S783)^P783/(1+S782)^P782-1</f>
        <v>4.2936313764224465E-2</v>
      </c>
      <c r="U782" s="24">
        <v>4.2631816679394641E-2</v>
      </c>
      <c r="V782" s="24">
        <f t="shared" ref="V782:V845" si="91">(1+U783)^P783/(1+U782)^P782-1</f>
        <v>4.2928642127098016E-2</v>
      </c>
      <c r="W782" s="23">
        <f t="shared" si="85"/>
        <v>3.5088323995000614E-3</v>
      </c>
      <c r="X782" s="24">
        <v>4.2221878921999023E-2</v>
      </c>
      <c r="Y782" s="24">
        <f t="shared" si="86"/>
        <v>4.2931079138603279E-2</v>
      </c>
      <c r="Z782" s="23">
        <f t="shared" si="87"/>
        <v>3.5090252372054209E-3</v>
      </c>
      <c r="AA782" s="36"/>
    </row>
    <row r="783" spans="15:27" ht="13.9" customHeight="1" x14ac:dyDescent="0.3">
      <c r="O783" s="12">
        <f t="shared" si="88"/>
        <v>64.166666666666671</v>
      </c>
      <c r="P783" s="13">
        <v>770</v>
      </c>
      <c r="Q783" s="22">
        <v>3.5377591401805963E-2</v>
      </c>
      <c r="R783" s="19">
        <f t="shared" si="89"/>
        <v>3.585653852219739E-2</v>
      </c>
      <c r="S783" s="22">
        <v>4.0630393817797206E-2</v>
      </c>
      <c r="T783" s="19">
        <f t="shared" si="90"/>
        <v>4.2936891560964918E-2</v>
      </c>
      <c r="U783" s="24">
        <v>4.2632202112198758E-2</v>
      </c>
      <c r="V783" s="24">
        <f t="shared" si="91"/>
        <v>4.2929126877232271E-2</v>
      </c>
      <c r="W783" s="23">
        <f t="shared" ref="W783:W846" si="92">(1+V782)^(1/12)-1</f>
        <v>3.50887153461521E-3</v>
      </c>
      <c r="X783" s="24">
        <v>4.2222799648420573E-2</v>
      </c>
      <c r="Y783" s="24">
        <f t="shared" ref="Y783:Y846" si="93">(1+X784)^P784/(1+X783)^P783-1</f>
        <v>4.2931595365481856E-2</v>
      </c>
      <c r="Z783" s="23">
        <f t="shared" ref="Z783:Z846" si="94">(1+Y782)^(1/12)-1</f>
        <v>3.5090669426827148E-3</v>
      </c>
      <c r="AA783" s="36"/>
    </row>
    <row r="784" spans="15:27" ht="13.9" customHeight="1" x14ac:dyDescent="0.3">
      <c r="O784" s="12">
        <f t="shared" si="88"/>
        <v>64.25</v>
      </c>
      <c r="P784" s="13">
        <v>771</v>
      </c>
      <c r="Q784" s="22">
        <v>3.5378212460848824E-2</v>
      </c>
      <c r="R784" s="19">
        <f t="shared" si="89"/>
        <v>3.586241366654086E-2</v>
      </c>
      <c r="S784" s="22">
        <v>4.0633382078123725E-2</v>
      </c>
      <c r="T784" s="19">
        <f t="shared" si="90"/>
        <v>4.2937464113235402E-2</v>
      </c>
      <c r="U784" s="24">
        <v>4.2632587173869529E-2</v>
      </c>
      <c r="V784" s="24">
        <f t="shared" si="91"/>
        <v>4.2929608332149094E-2</v>
      </c>
      <c r="W784" s="23">
        <f t="shared" si="92"/>
        <v>3.5089104036021279E-3</v>
      </c>
      <c r="X784" s="24">
        <v>4.2223718656357656E-2</v>
      </c>
      <c r="Y784" s="24">
        <f t="shared" si="93"/>
        <v>4.2932107722893464E-2</v>
      </c>
      <c r="Z784" s="23">
        <f t="shared" si="94"/>
        <v>3.5091083354974462E-3</v>
      </c>
      <c r="AA784" s="36"/>
    </row>
    <row r="785" spans="15:27" ht="13.9" customHeight="1" x14ac:dyDescent="0.3">
      <c r="O785" s="12">
        <f t="shared" si="88"/>
        <v>64.333333333333329</v>
      </c>
      <c r="P785" s="13">
        <v>772</v>
      </c>
      <c r="Q785" s="22">
        <v>3.5378839518060756E-2</v>
      </c>
      <c r="R785" s="19">
        <f t="shared" si="89"/>
        <v>3.5868239433480609E-2</v>
      </c>
      <c r="S785" s="22">
        <v>4.0636363345402771E-2</v>
      </c>
      <c r="T785" s="19">
        <f t="shared" si="90"/>
        <v>4.2938031468830795E-2</v>
      </c>
      <c r="U785" s="24">
        <v>4.2632971861581881E-2</v>
      </c>
      <c r="V785" s="24">
        <f t="shared" si="91"/>
        <v>4.2930086514329613E-2</v>
      </c>
      <c r="W785" s="23">
        <f t="shared" si="92"/>
        <v>3.5089490083501929E-3</v>
      </c>
      <c r="X785" s="24">
        <v>4.2224635947477829E-2</v>
      </c>
      <c r="Y785" s="24">
        <f t="shared" si="93"/>
        <v>4.2932616241295962E-2</v>
      </c>
      <c r="Z785" s="23">
        <f t="shared" si="94"/>
        <v>3.5091494180268246E-3</v>
      </c>
      <c r="AA785" s="36"/>
    </row>
    <row r="786" spans="15:27" ht="13.9" customHeight="1" x14ac:dyDescent="0.3">
      <c r="O786" s="12">
        <f t="shared" si="88"/>
        <v>64.416666666666671</v>
      </c>
      <c r="P786" s="13">
        <v>773</v>
      </c>
      <c r="Q786" s="22">
        <v>3.5379472486285035E-2</v>
      </c>
      <c r="R786" s="19">
        <f t="shared" si="89"/>
        <v>3.5874016243592433E-2</v>
      </c>
      <c r="S786" s="22">
        <v>4.063933764003913E-2</v>
      </c>
      <c r="T786" s="19">
        <f t="shared" si="90"/>
        <v>4.2938593673814918E-2</v>
      </c>
      <c r="U786" s="24">
        <v>4.2633356172554482E-2</v>
      </c>
      <c r="V786" s="24">
        <f t="shared" si="91"/>
        <v>4.2930561444232351E-2</v>
      </c>
      <c r="W786" s="23">
        <f t="shared" si="92"/>
        <v>3.5089873506628511E-3</v>
      </c>
      <c r="X786" s="24">
        <v>4.2225551523479066E-2</v>
      </c>
      <c r="Y786" s="24">
        <f t="shared" si="93"/>
        <v>4.2933120947187042E-2</v>
      </c>
      <c r="Z786" s="23">
        <f t="shared" si="94"/>
        <v>3.5091901927131186E-3</v>
      </c>
      <c r="AA786" s="36"/>
    </row>
    <row r="787" spans="15:27" ht="13.9" customHeight="1" x14ac:dyDescent="0.3">
      <c r="O787" s="12">
        <f t="shared" si="88"/>
        <v>64.5</v>
      </c>
      <c r="P787" s="13">
        <v>774</v>
      </c>
      <c r="Q787" s="22">
        <v>3.5380111279359028E-2</v>
      </c>
      <c r="R787" s="19">
        <f t="shared" si="89"/>
        <v>3.5879744513162448E-2</v>
      </c>
      <c r="S787" s="22">
        <v>4.064230498239163E-2</v>
      </c>
      <c r="T787" s="19">
        <f t="shared" si="90"/>
        <v>4.2939150776101442E-2</v>
      </c>
      <c r="U787" s="24">
        <v>4.2633740104046636E-2</v>
      </c>
      <c r="V787" s="24">
        <f t="shared" si="91"/>
        <v>4.2931033146865971E-2</v>
      </c>
      <c r="W787" s="23">
        <f t="shared" si="92"/>
        <v>3.5090254321805681E-3</v>
      </c>
      <c r="X787" s="24">
        <v>4.2226465386085321E-2</v>
      </c>
      <c r="Y787" s="24">
        <f t="shared" si="93"/>
        <v>4.2933621870819616E-2</v>
      </c>
      <c r="Z787" s="23">
        <f t="shared" si="94"/>
        <v>3.5092306616817392E-3</v>
      </c>
      <c r="AA787" s="36"/>
    </row>
    <row r="788" spans="15:27" ht="13.9" customHeight="1" x14ac:dyDescent="0.3">
      <c r="O788" s="12">
        <f t="shared" si="88"/>
        <v>64.583333333333329</v>
      </c>
      <c r="P788" s="13">
        <v>775</v>
      </c>
      <c r="Q788" s="22">
        <v>3.5380755812102871E-2</v>
      </c>
      <c r="R788" s="19">
        <f t="shared" si="89"/>
        <v>3.5885424655421883E-2</v>
      </c>
      <c r="S788" s="22">
        <v>4.0645265392775798E-2</v>
      </c>
      <c r="T788" s="19">
        <f t="shared" si="90"/>
        <v>4.2939702821231052E-2</v>
      </c>
      <c r="U788" s="24">
        <v>4.2634123653364053E-2</v>
      </c>
      <c r="V788" s="24">
        <f t="shared" si="91"/>
        <v>4.2931501641424452E-2</v>
      </c>
      <c r="W788" s="23">
        <f t="shared" si="92"/>
        <v>3.5090632549088507E-3</v>
      </c>
      <c r="X788" s="24">
        <v>4.2227377537050081E-2</v>
      </c>
      <c r="Y788" s="24">
        <f t="shared" si="93"/>
        <v>4.2934119039082619E-2</v>
      </c>
      <c r="Z788" s="23">
        <f t="shared" si="94"/>
        <v>3.5092708273587458E-3</v>
      </c>
      <c r="AA788" s="36"/>
    </row>
    <row r="789" spans="15:27" ht="13.9" customHeight="1" x14ac:dyDescent="0.3">
      <c r="O789" s="12">
        <f t="shared" si="88"/>
        <v>64.666666666666671</v>
      </c>
      <c r="P789" s="13">
        <v>776</v>
      </c>
      <c r="Q789" s="22">
        <v>3.5381406000309035E-2</v>
      </c>
      <c r="R789" s="19">
        <f t="shared" si="89"/>
        <v>3.5891057079979527E-2</v>
      </c>
      <c r="S789" s="22">
        <v>4.0648218891460974E-2</v>
      </c>
      <c r="T789" s="19">
        <f t="shared" si="90"/>
        <v>4.2940249855806911E-2</v>
      </c>
      <c r="U789" s="24">
        <v>4.2634506817851081E-2</v>
      </c>
      <c r="V789" s="24">
        <f t="shared" si="91"/>
        <v>4.2931966952121092E-2</v>
      </c>
      <c r="W789" s="23">
        <f t="shared" si="92"/>
        <v>3.5091008203873564E-3</v>
      </c>
      <c r="X789" s="24">
        <v>4.2228287978152812E-2</v>
      </c>
      <c r="Y789" s="24">
        <f t="shared" si="93"/>
        <v>4.2934612482400825E-2</v>
      </c>
      <c r="Z789" s="23">
        <f t="shared" si="94"/>
        <v>3.5093106919006356E-3</v>
      </c>
      <c r="AA789" s="36"/>
    </row>
    <row r="790" spans="15:27" ht="13.9" customHeight="1" x14ac:dyDescent="0.3">
      <c r="O790" s="12">
        <f t="shared" si="88"/>
        <v>64.75</v>
      </c>
      <c r="P790" s="13">
        <v>777</v>
      </c>
      <c r="Q790" s="22">
        <v>3.538206176073122E-2</v>
      </c>
      <c r="R790" s="19">
        <f t="shared" si="89"/>
        <v>3.5896642191425299E-2</v>
      </c>
      <c r="S790" s="22">
        <v>4.0651165498672315E-2</v>
      </c>
      <c r="T790" s="19">
        <f t="shared" si="90"/>
        <v>4.2940791925181632E-2</v>
      </c>
      <c r="U790" s="24">
        <v>4.2634889594897141E-2</v>
      </c>
      <c r="V790" s="24">
        <f t="shared" si="91"/>
        <v>4.2932429099087122E-2</v>
      </c>
      <c r="W790" s="23">
        <f t="shared" si="92"/>
        <v>3.509138130557643E-3</v>
      </c>
      <c r="X790" s="24">
        <v>4.2229196711202954E-2</v>
      </c>
      <c r="Y790" s="24">
        <f t="shared" si="93"/>
        <v>4.2935102226911548E-2</v>
      </c>
      <c r="Z790" s="23">
        <f t="shared" si="94"/>
        <v>3.5093502577472346E-3</v>
      </c>
      <c r="AA790" s="36"/>
    </row>
    <row r="791" spans="15:27" ht="13.9" customHeight="1" x14ac:dyDescent="0.3">
      <c r="O791" s="12">
        <f t="shared" si="88"/>
        <v>64.833333333333329</v>
      </c>
      <c r="P791" s="13">
        <v>778</v>
      </c>
      <c r="Q791" s="22">
        <v>3.5382723011072148E-2</v>
      </c>
      <c r="R791" s="19">
        <f t="shared" si="89"/>
        <v>3.5902180392777705E-2</v>
      </c>
      <c r="S791" s="22">
        <v>4.0654105234588789E-2</v>
      </c>
      <c r="T791" s="19">
        <f t="shared" si="90"/>
        <v>4.2941329074049017E-2</v>
      </c>
      <c r="U791" s="24">
        <v>4.2635271981930511E-2</v>
      </c>
      <c r="V791" s="24">
        <f t="shared" si="91"/>
        <v>4.2932888104084688E-2</v>
      </c>
      <c r="W791" s="23">
        <f t="shared" si="92"/>
        <v>3.509175187034419E-3</v>
      </c>
      <c r="X791" s="24">
        <v>4.2230103738033931E-2</v>
      </c>
      <c r="Y791" s="24">
        <f t="shared" si="93"/>
        <v>4.293558830071631E-2</v>
      </c>
      <c r="Z791" s="23">
        <f t="shared" si="94"/>
        <v>3.5093895269948661E-3</v>
      </c>
      <c r="AA791" s="36"/>
    </row>
    <row r="792" spans="15:27" ht="13.9" customHeight="1" x14ac:dyDescent="0.3">
      <c r="O792" s="12">
        <f t="shared" si="88"/>
        <v>64.916666666666671</v>
      </c>
      <c r="P792" s="13">
        <v>779</v>
      </c>
      <c r="Q792" s="22">
        <v>3.5383389669974674E-2</v>
      </c>
      <c r="R792" s="19">
        <f t="shared" si="89"/>
        <v>3.5907672081937347E-2</v>
      </c>
      <c r="S792" s="22">
        <v>4.0657038119343625E-2</v>
      </c>
      <c r="T792" s="19">
        <f t="shared" si="90"/>
        <v>4.2941861347750132E-2</v>
      </c>
      <c r="U792" s="24">
        <v>4.2635653976420995E-2</v>
      </c>
      <c r="V792" s="24">
        <f t="shared" si="91"/>
        <v>4.2933343989208783E-2</v>
      </c>
      <c r="W792" s="23">
        <f t="shared" si="92"/>
        <v>3.5092119915627329E-3</v>
      </c>
      <c r="X792" s="24">
        <v>4.2231009060506031E-2</v>
      </c>
      <c r="Y792" s="24">
        <f t="shared" si="93"/>
        <v>4.2936070731414588E-2</v>
      </c>
      <c r="Z792" s="23">
        <f t="shared" si="94"/>
        <v>3.5094285018968385E-3</v>
      </c>
      <c r="AA792" s="36"/>
    </row>
    <row r="793" spans="15:27" ht="13.9" customHeight="1" x14ac:dyDescent="0.3">
      <c r="O793" s="12">
        <f t="shared" si="88"/>
        <v>65</v>
      </c>
      <c r="P793" s="13">
        <v>780</v>
      </c>
      <c r="Q793" s="22">
        <v>3.5384061657010024E-2</v>
      </c>
      <c r="R793" s="19">
        <f t="shared" si="89"/>
        <v>3.591311765504468E-2</v>
      </c>
      <c r="S793" s="22">
        <v>4.065996417302431E-2</v>
      </c>
      <c r="T793" s="19">
        <f t="shared" si="90"/>
        <v>4.2942388789810826E-2</v>
      </c>
      <c r="U793" s="24">
        <v>4.2636035575879472E-2</v>
      </c>
      <c r="V793" s="24">
        <f t="shared" si="91"/>
        <v>4.29337967748602E-2</v>
      </c>
      <c r="W793" s="23">
        <f t="shared" si="92"/>
        <v>3.5092485459145006E-3</v>
      </c>
      <c r="X793" s="24">
        <v>4.2231912680505301E-2</v>
      </c>
      <c r="Y793" s="24">
        <f t="shared" si="93"/>
        <v>4.2936549546561897E-2</v>
      </c>
      <c r="Z793" s="23">
        <f t="shared" si="94"/>
        <v>3.5094671846671588E-3</v>
      </c>
      <c r="AA793" s="36"/>
    </row>
    <row r="794" spans="15:27" ht="13.9" customHeight="1" x14ac:dyDescent="0.3">
      <c r="O794" s="12">
        <f t="shared" si="88"/>
        <v>65.083333333333329</v>
      </c>
      <c r="P794" s="13">
        <v>781</v>
      </c>
      <c r="Q794" s="22">
        <v>3.5384738892669132E-2</v>
      </c>
      <c r="R794" s="19">
        <f t="shared" si="89"/>
        <v>3.5918517502810277E-2</v>
      </c>
      <c r="S794" s="22">
        <v>4.0662883415671702E-2</v>
      </c>
      <c r="T794" s="19">
        <f t="shared" si="90"/>
        <v>4.2942911445115639E-2</v>
      </c>
      <c r="U794" s="24">
        <v>4.2636416777855679E-2</v>
      </c>
      <c r="V794" s="24">
        <f t="shared" si="91"/>
        <v>4.2934246482771998E-2</v>
      </c>
      <c r="W794" s="23">
        <f t="shared" si="92"/>
        <v>3.509284851726191E-3</v>
      </c>
      <c r="X794" s="24">
        <v>4.2232814599943325E-2</v>
      </c>
      <c r="Y794" s="24">
        <f t="shared" si="93"/>
        <v>4.2937024773878951E-2</v>
      </c>
      <c r="Z794" s="23">
        <f t="shared" si="94"/>
        <v>3.5095055775151707E-3</v>
      </c>
      <c r="AA794" s="36"/>
    </row>
    <row r="795" spans="15:27" ht="13.9" customHeight="1" x14ac:dyDescent="0.3">
      <c r="O795" s="12">
        <f t="shared" si="88"/>
        <v>65.166666666666671</v>
      </c>
      <c r="P795" s="13">
        <v>782</v>
      </c>
      <c r="Q795" s="22">
        <v>3.538542129834954E-2</v>
      </c>
      <c r="R795" s="19">
        <f t="shared" si="89"/>
        <v>3.5923872014380631E-2</v>
      </c>
      <c r="S795" s="22">
        <v>4.0665795867280918E-2</v>
      </c>
      <c r="T795" s="19">
        <f t="shared" si="90"/>
        <v>4.2943429356388174E-2</v>
      </c>
      <c r="U795" s="24">
        <v>4.2636797579939767E-2</v>
      </c>
      <c r="V795" s="24">
        <f t="shared" si="91"/>
        <v>4.2934693133731106E-2</v>
      </c>
      <c r="W795" s="23">
        <f t="shared" si="92"/>
        <v>3.50932091074041E-3</v>
      </c>
      <c r="X795" s="24">
        <v>4.223371482075744E-2</v>
      </c>
      <c r="Y795" s="24">
        <f t="shared" si="93"/>
        <v>4.2937496438955058E-2</v>
      </c>
      <c r="Z795" s="23">
        <f t="shared" si="94"/>
        <v>3.5095436826639848E-3</v>
      </c>
      <c r="AA795" s="36"/>
    </row>
    <row r="796" spans="15:27" ht="13.9" customHeight="1" x14ac:dyDescent="0.3">
      <c r="O796" s="12">
        <f t="shared" si="88"/>
        <v>65.25</v>
      </c>
      <c r="P796" s="13">
        <v>783</v>
      </c>
      <c r="Q796" s="22">
        <v>3.5386108796348292E-2</v>
      </c>
      <c r="R796" s="19">
        <f t="shared" si="89"/>
        <v>3.5929181574629654E-2</v>
      </c>
      <c r="S796" s="22">
        <v>4.0668701547800001E-2</v>
      </c>
      <c r="T796" s="19">
        <f t="shared" si="90"/>
        <v>4.2943942566887161E-2</v>
      </c>
      <c r="U796" s="24">
        <v>4.2637177979760743E-2</v>
      </c>
      <c r="V796" s="24">
        <f t="shared" si="91"/>
        <v>4.2935136748661895E-2</v>
      </c>
      <c r="W796" s="23">
        <f t="shared" si="92"/>
        <v>3.5093567246244906E-3</v>
      </c>
      <c r="X796" s="24">
        <v>4.2234613344907634E-2</v>
      </c>
      <c r="Y796" s="24">
        <f t="shared" si="93"/>
        <v>4.2937964569438103E-2</v>
      </c>
      <c r="Z796" s="23">
        <f t="shared" si="94"/>
        <v>3.5095815021659593E-3</v>
      </c>
      <c r="AA796" s="36"/>
    </row>
    <row r="797" spans="15:27" ht="13.9" customHeight="1" x14ac:dyDescent="0.3">
      <c r="O797" s="12">
        <f t="shared" si="88"/>
        <v>65.333333333333329</v>
      </c>
      <c r="P797" s="13">
        <v>784</v>
      </c>
      <c r="Q797" s="22">
        <v>3.5386801309850169E-2</v>
      </c>
      <c r="R797" s="19">
        <f t="shared" si="89"/>
        <v>3.5934446565345501E-2</v>
      </c>
      <c r="S797" s="22">
        <v>4.0671600477129921E-2</v>
      </c>
      <c r="T797" s="19">
        <f t="shared" si="90"/>
        <v>4.2944451119525162E-2</v>
      </c>
      <c r="U797" s="24">
        <v>4.2637557974986251E-2</v>
      </c>
      <c r="V797" s="24">
        <f t="shared" si="91"/>
        <v>4.2935577347285925E-2</v>
      </c>
      <c r="W797" s="23">
        <f t="shared" si="92"/>
        <v>3.5093922950562018E-3</v>
      </c>
      <c r="X797" s="24">
        <v>4.2235510174379209E-2</v>
      </c>
      <c r="Y797" s="24">
        <f t="shared" si="93"/>
        <v>4.2938429191716754E-2</v>
      </c>
      <c r="Z797" s="23">
        <f t="shared" si="94"/>
        <v>3.5096190382384318E-3</v>
      </c>
      <c r="AA797" s="36"/>
    </row>
    <row r="798" spans="15:27" ht="13.9" customHeight="1" x14ac:dyDescent="0.3">
      <c r="O798" s="12">
        <f t="shared" si="88"/>
        <v>65.416666666666671</v>
      </c>
      <c r="P798" s="13">
        <v>785</v>
      </c>
      <c r="Q798" s="22">
        <v>3.5387498762918135E-2</v>
      </c>
      <c r="R798" s="19">
        <f t="shared" si="89"/>
        <v>3.5939667363690253E-2</v>
      </c>
      <c r="S798" s="22">
        <v>4.0674492675125018E-2</v>
      </c>
      <c r="T798" s="19">
        <f t="shared" si="90"/>
        <v>4.294495505629814E-2</v>
      </c>
      <c r="U798" s="24">
        <v>4.2637937563321238E-2</v>
      </c>
      <c r="V798" s="24">
        <f t="shared" si="91"/>
        <v>4.2936014951525214E-2</v>
      </c>
      <c r="W798" s="23">
        <f t="shared" si="92"/>
        <v>3.5094276236171673E-3</v>
      </c>
      <c r="X798" s="24">
        <v>4.2236405311181002E-2</v>
      </c>
      <c r="Y798" s="24">
        <f t="shared" si="93"/>
        <v>4.2938890331245316E-2</v>
      </c>
      <c r="Z798" s="23">
        <f t="shared" si="94"/>
        <v>3.5096562929974873E-3</v>
      </c>
      <c r="AA798" s="36"/>
    </row>
    <row r="799" spans="15:27" ht="13.9" customHeight="1" x14ac:dyDescent="0.3">
      <c r="O799" s="12">
        <f t="shared" si="88"/>
        <v>65.5</v>
      </c>
      <c r="P799" s="13">
        <v>786</v>
      </c>
      <c r="Q799" s="22">
        <v>3.5388201080482462E-2</v>
      </c>
      <c r="R799" s="19">
        <f t="shared" si="89"/>
        <v>3.5944844345869642E-2</v>
      </c>
      <c r="S799" s="22">
        <v>4.0677378161592115E-2</v>
      </c>
      <c r="T799" s="19">
        <f t="shared" si="90"/>
        <v>4.2945454419436535E-2</v>
      </c>
      <c r="U799" s="24">
        <v>4.263831674250973E-2</v>
      </c>
      <c r="V799" s="24">
        <f t="shared" si="91"/>
        <v>4.2936449580881053E-2</v>
      </c>
      <c r="W799" s="23">
        <f t="shared" si="92"/>
        <v>3.5094627120655364E-3</v>
      </c>
      <c r="X799" s="24">
        <v>4.2237298757343833E-2</v>
      </c>
      <c r="Y799" s="24">
        <f t="shared" si="93"/>
        <v>4.2939348015662571E-2</v>
      </c>
      <c r="Z799" s="23">
        <f t="shared" si="94"/>
        <v>3.5096932684843818E-3</v>
      </c>
      <c r="AA799" s="36"/>
    </row>
    <row r="800" spans="15:27" ht="13.9" customHeight="1" x14ac:dyDescent="0.3">
      <c r="O800" s="12">
        <f t="shared" si="88"/>
        <v>65.583333333333329</v>
      </c>
      <c r="P800" s="13">
        <v>787</v>
      </c>
      <c r="Q800" s="22">
        <v>3.5388908188332957E-2</v>
      </c>
      <c r="R800" s="19">
        <f t="shared" si="89"/>
        <v>3.5949977883753315E-2</v>
      </c>
      <c r="S800" s="22">
        <v>4.0680256956290739E-2</v>
      </c>
      <c r="T800" s="19">
        <f t="shared" si="90"/>
        <v>4.2945949250208226E-2</v>
      </c>
      <c r="U800" s="24">
        <v>4.2638695510332392E-2</v>
      </c>
      <c r="V800" s="24">
        <f t="shared" si="91"/>
        <v>4.293688125556927E-2</v>
      </c>
      <c r="W800" s="23">
        <f t="shared" si="92"/>
        <v>3.5094975619653912E-3</v>
      </c>
      <c r="X800" s="24">
        <v>4.223819051492339E-2</v>
      </c>
      <c r="Y800" s="24">
        <f t="shared" si="93"/>
        <v>4.2939802270058447E-2</v>
      </c>
      <c r="Z800" s="23">
        <f t="shared" si="94"/>
        <v>3.5097299669160087E-3</v>
      </c>
      <c r="AA800" s="36"/>
    </row>
    <row r="801" spans="15:27" ht="13.9" customHeight="1" x14ac:dyDescent="0.3">
      <c r="O801" s="12">
        <f t="shared" si="88"/>
        <v>65.666666666666671</v>
      </c>
      <c r="P801" s="13">
        <v>788</v>
      </c>
      <c r="Q801" s="22">
        <v>3.5389620013108747E-2</v>
      </c>
      <c r="R801" s="19">
        <f t="shared" si="89"/>
        <v>3.5955068345462138E-2</v>
      </c>
      <c r="S801" s="22">
        <v>4.0683129078932678E-2</v>
      </c>
      <c r="T801" s="19">
        <f t="shared" si="90"/>
        <v>4.294643959006117E-2</v>
      </c>
      <c r="U801" s="24">
        <v>4.2639073864606747E-2</v>
      </c>
      <c r="V801" s="24">
        <f t="shared" si="91"/>
        <v>4.2937309996619932E-2</v>
      </c>
      <c r="W801" s="23">
        <f t="shared" si="92"/>
        <v>3.5095321749378794E-3</v>
      </c>
      <c r="X801" s="24">
        <v>4.223908058599668E-2</v>
      </c>
      <c r="Y801" s="24">
        <f t="shared" si="93"/>
        <v>4.2940253119793104E-2</v>
      </c>
      <c r="Z801" s="23">
        <f t="shared" si="94"/>
        <v>3.5097663903040921E-3</v>
      </c>
      <c r="AA801" s="36"/>
    </row>
    <row r="802" spans="15:27" ht="13.9" customHeight="1" x14ac:dyDescent="0.3">
      <c r="O802" s="12">
        <f t="shared" si="88"/>
        <v>65.75</v>
      </c>
      <c r="P802" s="13">
        <v>789</v>
      </c>
      <c r="Q802" s="22">
        <v>3.5390336482288065E-2</v>
      </c>
      <c r="R802" s="19">
        <f t="shared" si="89"/>
        <v>3.5960116096520167E-2</v>
      </c>
      <c r="S802" s="22">
        <v>4.0685994549181981E-2</v>
      </c>
      <c r="T802" s="19">
        <f t="shared" si="90"/>
        <v>4.2946925479725007E-2</v>
      </c>
      <c r="U802" s="24">
        <v>4.2639451803187844E-2</v>
      </c>
      <c r="V802" s="24">
        <f t="shared" si="91"/>
        <v>4.2937735822978995E-2</v>
      </c>
      <c r="W802" s="23">
        <f t="shared" si="92"/>
        <v>3.5095665526696518E-3</v>
      </c>
      <c r="X802" s="24">
        <v>4.2239968972662467E-2</v>
      </c>
      <c r="Y802" s="24">
        <f t="shared" si="93"/>
        <v>4.2940700591040049E-2</v>
      </c>
      <c r="Z802" s="23">
        <f t="shared" si="94"/>
        <v>3.5098025406823385E-3</v>
      </c>
      <c r="AA802" s="36"/>
    </row>
    <row r="803" spans="15:27" ht="13.9" customHeight="1" x14ac:dyDescent="0.3">
      <c r="O803" s="12">
        <f t="shared" si="88"/>
        <v>65.833333333333329</v>
      </c>
      <c r="P803" s="13">
        <v>790</v>
      </c>
      <c r="Q803" s="22">
        <v>3.5391057524179148E-2</v>
      </c>
      <c r="R803" s="19">
        <f t="shared" si="89"/>
        <v>3.596512149877884E-2</v>
      </c>
      <c r="S803" s="22">
        <v>4.0688853386654955E-2</v>
      </c>
      <c r="T803" s="19">
        <f t="shared" si="90"/>
        <v>4.2947406959305656E-2</v>
      </c>
      <c r="U803" s="24">
        <v>4.2639829323965817E-2</v>
      </c>
      <c r="V803" s="24">
        <f t="shared" si="91"/>
        <v>4.2938158754331157E-2</v>
      </c>
      <c r="W803" s="23">
        <f t="shared" si="92"/>
        <v>3.5096006966797155E-3</v>
      </c>
      <c r="X803" s="24">
        <v>4.2240855677041722E-2</v>
      </c>
      <c r="Y803" s="24">
        <f t="shared" si="93"/>
        <v>4.294114470912902E-2</v>
      </c>
      <c r="Z803" s="23">
        <f t="shared" si="94"/>
        <v>3.5098384201501798E-3</v>
      </c>
      <c r="AA803" s="36"/>
    </row>
    <row r="804" spans="15:27" ht="13.9" customHeight="1" x14ac:dyDescent="0.3">
      <c r="O804" s="12">
        <f t="shared" si="88"/>
        <v>65.916666666666671</v>
      </c>
      <c r="P804" s="13">
        <v>791</v>
      </c>
      <c r="Q804" s="22">
        <v>3.5391783067911131E-2</v>
      </c>
      <c r="R804" s="19">
        <f t="shared" si="89"/>
        <v>3.5970084912003042E-2</v>
      </c>
      <c r="S804" s="22">
        <v>4.0691705610919282E-2</v>
      </c>
      <c r="T804" s="19">
        <f t="shared" si="90"/>
        <v>4.2947884069612474E-2</v>
      </c>
      <c r="U804" s="24">
        <v>4.2640206424866101E-2</v>
      </c>
      <c r="V804" s="24">
        <f t="shared" si="91"/>
        <v>4.2938578811909434E-2</v>
      </c>
      <c r="W804" s="23">
        <f t="shared" si="92"/>
        <v>3.5096346085470298E-3</v>
      </c>
      <c r="X804" s="24">
        <v>4.2241740701276953E-2</v>
      </c>
      <c r="Y804" s="24">
        <f t="shared" si="93"/>
        <v>4.2941585499123969E-2</v>
      </c>
      <c r="Z804" s="23">
        <f t="shared" si="94"/>
        <v>3.5098740307386578E-3</v>
      </c>
      <c r="AA804" s="36"/>
    </row>
    <row r="805" spans="15:27" ht="13.9" customHeight="1" x14ac:dyDescent="0.3">
      <c r="O805" s="12">
        <f t="shared" si="88"/>
        <v>66</v>
      </c>
      <c r="P805" s="13">
        <v>792</v>
      </c>
      <c r="Q805" s="22">
        <v>3.5392513043425389E-2</v>
      </c>
      <c r="R805" s="19">
        <f t="shared" si="89"/>
        <v>3.5975006691383538E-2</v>
      </c>
      <c r="S805" s="22">
        <v>4.0694551241495125E-2</v>
      </c>
      <c r="T805" s="19">
        <f t="shared" si="90"/>
        <v>4.2948356849431324E-2</v>
      </c>
      <c r="U805" s="24">
        <v>4.2640583103851437E-2</v>
      </c>
      <c r="V805" s="24">
        <f t="shared" si="91"/>
        <v>4.2938996014060482E-2</v>
      </c>
      <c r="W805" s="23">
        <f t="shared" si="92"/>
        <v>3.5096682899742326E-3</v>
      </c>
      <c r="X805" s="24">
        <v>4.2242624047531319E-2</v>
      </c>
      <c r="Y805" s="24">
        <f t="shared" si="93"/>
        <v>4.2942022985816619E-2</v>
      </c>
      <c r="Z805" s="23">
        <f t="shared" si="94"/>
        <v>3.5099093744577203E-3</v>
      </c>
      <c r="AA805" s="36"/>
    </row>
    <row r="806" spans="15:27" ht="13.9" customHeight="1" x14ac:dyDescent="0.3">
      <c r="O806" s="12">
        <f t="shared" si="88"/>
        <v>66.083333333333329</v>
      </c>
      <c r="P806" s="13">
        <v>793</v>
      </c>
      <c r="Q806" s="22">
        <v>3.5393247381465098E-2</v>
      </c>
      <c r="R806" s="19">
        <f t="shared" si="89"/>
        <v>3.5979887190429105E-2</v>
      </c>
      <c r="S806" s="22">
        <v>4.0697390297853353E-2</v>
      </c>
      <c r="T806" s="19">
        <f t="shared" si="90"/>
        <v>4.2948825338724239E-2</v>
      </c>
      <c r="U806" s="24">
        <v>4.2640959358918318E-2</v>
      </c>
      <c r="V806" s="24">
        <f t="shared" si="91"/>
        <v>4.2939410380093967E-2</v>
      </c>
      <c r="W806" s="23">
        <f t="shared" si="92"/>
        <v>3.5097017424328136E-3</v>
      </c>
      <c r="X806" s="24">
        <v>4.2243505717988405E-2</v>
      </c>
      <c r="Y806" s="24">
        <f t="shared" si="93"/>
        <v>4.2942457194154793E-2</v>
      </c>
      <c r="Z806" s="23">
        <f t="shared" si="94"/>
        <v>3.5099444532957769E-3</v>
      </c>
      <c r="AA806" s="36"/>
    </row>
    <row r="807" spans="15:27" ht="13.9" customHeight="1" x14ac:dyDescent="0.3">
      <c r="O807" s="12">
        <f t="shared" si="88"/>
        <v>66.166666666666671</v>
      </c>
      <c r="P807" s="13">
        <v>794</v>
      </c>
      <c r="Q807" s="22">
        <v>3.5393986013568135E-2</v>
      </c>
      <c r="R807" s="19">
        <f t="shared" si="89"/>
        <v>3.5984726758976793E-2</v>
      </c>
      <c r="S807" s="22">
        <v>4.0700222799416874E-2</v>
      </c>
      <c r="T807" s="19">
        <f t="shared" si="90"/>
        <v>4.2949289576069027E-2</v>
      </c>
      <c r="U807" s="24">
        <v>4.2641335188097207E-2</v>
      </c>
      <c r="V807" s="24">
        <f t="shared" si="91"/>
        <v>4.2939821929898869E-2</v>
      </c>
      <c r="W807" s="23">
        <f t="shared" si="92"/>
        <v>3.5097349674713119E-3</v>
      </c>
      <c r="X807" s="24">
        <v>4.2244385714852006E-2</v>
      </c>
      <c r="Y807" s="24">
        <f t="shared" si="93"/>
        <v>4.2942888148621794E-2</v>
      </c>
      <c r="Z807" s="23">
        <f t="shared" si="94"/>
        <v>3.5099792692532272E-3</v>
      </c>
      <c r="AA807" s="36"/>
    </row>
    <row r="808" spans="15:27" ht="13.9" customHeight="1" x14ac:dyDescent="0.3">
      <c r="O808" s="12">
        <f t="shared" si="88"/>
        <v>66.25</v>
      </c>
      <c r="P808" s="13">
        <v>795</v>
      </c>
      <c r="Q808" s="22">
        <v>3.539472887205708E-2</v>
      </c>
      <c r="R808" s="19">
        <f t="shared" si="89"/>
        <v>3.5989525743113981E-2</v>
      </c>
      <c r="S808" s="22">
        <v>4.0703048765559302E-2</v>
      </c>
      <c r="T808" s="19">
        <f t="shared" si="90"/>
        <v>4.2949749600488918E-2</v>
      </c>
      <c r="U808" s="24">
        <v>4.2641710589453652E-2</v>
      </c>
      <c r="V808" s="24">
        <f t="shared" si="91"/>
        <v>4.2940230682199321E-2</v>
      </c>
      <c r="W808" s="23">
        <f t="shared" si="92"/>
        <v>3.5097679666846737E-3</v>
      </c>
      <c r="X808" s="24">
        <v>4.2245264040345898E-2</v>
      </c>
      <c r="Y808" s="24">
        <f t="shared" si="93"/>
        <v>4.2943315873520627E-2</v>
      </c>
      <c r="Z808" s="23">
        <f t="shared" si="94"/>
        <v>3.5100138242938339E-3</v>
      </c>
      <c r="AA808" s="36"/>
    </row>
    <row r="809" spans="15:27" ht="13.9" customHeight="1" x14ac:dyDescent="0.3">
      <c r="O809" s="12">
        <f t="shared" si="88"/>
        <v>66.333333333333329</v>
      </c>
      <c r="P809" s="13">
        <v>796</v>
      </c>
      <c r="Q809" s="22">
        <v>3.5395475890029893E-2</v>
      </c>
      <c r="R809" s="19">
        <f t="shared" si="89"/>
        <v>3.5994284488196415E-2</v>
      </c>
      <c r="S809" s="22">
        <v>4.0705868215606067E-2</v>
      </c>
      <c r="T809" s="19">
        <f t="shared" si="90"/>
        <v>4.2950205449800549E-2</v>
      </c>
      <c r="U809" s="24">
        <v>4.2642085561086507E-2</v>
      </c>
      <c r="V809" s="24">
        <f t="shared" si="91"/>
        <v>4.2940636656406905E-2</v>
      </c>
      <c r="W809" s="23">
        <f t="shared" si="92"/>
        <v>3.5098007415743648E-3</v>
      </c>
      <c r="X809" s="24">
        <v>4.2246140696712953E-2</v>
      </c>
      <c r="Y809" s="24">
        <f t="shared" si="93"/>
        <v>4.2943740393381225E-2</v>
      </c>
      <c r="Z809" s="23">
        <f t="shared" si="94"/>
        <v>3.5100481203662603E-3</v>
      </c>
      <c r="AA809" s="36"/>
    </row>
    <row r="810" spans="15:27" ht="13.9" customHeight="1" x14ac:dyDescent="0.3">
      <c r="O810" s="12">
        <f t="shared" si="88"/>
        <v>66.416666666666671</v>
      </c>
      <c r="P810" s="13">
        <v>797</v>
      </c>
      <c r="Q810" s="22">
        <v>3.5396227001353697E-2</v>
      </c>
      <c r="R810" s="19">
        <f t="shared" si="89"/>
        <v>3.5999003332836788E-2</v>
      </c>
      <c r="S810" s="22">
        <v>4.0708681168832861E-2</v>
      </c>
      <c r="T810" s="19">
        <f t="shared" si="90"/>
        <v>4.2950657162257766E-2</v>
      </c>
      <c r="U810" s="24">
        <v>4.2642460101128377E-2</v>
      </c>
      <c r="V810" s="24">
        <f t="shared" si="91"/>
        <v>4.2941039871167375E-2</v>
      </c>
      <c r="W810" s="23">
        <f t="shared" si="92"/>
        <v>3.509833293697362E-3</v>
      </c>
      <c r="X810" s="24">
        <v>4.2247015686215583E-2</v>
      </c>
      <c r="Y810" s="24">
        <f t="shared" si="93"/>
        <v>4.2944161732373587E-2</v>
      </c>
      <c r="Z810" s="23">
        <f t="shared" si="94"/>
        <v>3.5100821594378218E-3</v>
      </c>
      <c r="AA810" s="36"/>
    </row>
    <row r="811" spans="15:27" ht="13.9" customHeight="1" x14ac:dyDescent="0.3">
      <c r="O811" s="12">
        <f t="shared" si="88"/>
        <v>66.5</v>
      </c>
      <c r="P811" s="13">
        <v>798</v>
      </c>
      <c r="Q811" s="22">
        <v>3.5396982140652344E-2</v>
      </c>
      <c r="R811" s="19">
        <f t="shared" si="89"/>
        <v>3.600368261673581E-2</v>
      </c>
      <c r="S811" s="22">
        <v>4.0711487644466748E-2</v>
      </c>
      <c r="T811" s="19">
        <f t="shared" si="90"/>
        <v>4.2951104775607929E-2</v>
      </c>
      <c r="U811" s="24">
        <v>4.2642834207744729E-2</v>
      </c>
      <c r="V811" s="24">
        <f t="shared" si="91"/>
        <v>4.2941440345663606E-2</v>
      </c>
      <c r="W811" s="23">
        <f t="shared" si="92"/>
        <v>3.5098656245489135E-3</v>
      </c>
      <c r="X811" s="24">
        <v>4.2247889011135298E-2</v>
      </c>
      <c r="Y811" s="24">
        <f t="shared" si="93"/>
        <v>4.2944579913917869E-2</v>
      </c>
      <c r="Z811" s="23">
        <f t="shared" si="94"/>
        <v>3.5101159434467455E-3</v>
      </c>
      <c r="AA811" s="36"/>
    </row>
    <row r="812" spans="15:27" ht="13.9" customHeight="1" x14ac:dyDescent="0.3">
      <c r="O812" s="12">
        <f t="shared" si="88"/>
        <v>66.583333333333329</v>
      </c>
      <c r="P812" s="13">
        <v>799</v>
      </c>
      <c r="Q812" s="22">
        <v>3.539774124330175E-2</v>
      </c>
      <c r="R812" s="19">
        <f t="shared" si="89"/>
        <v>3.6008322674633053E-2</v>
      </c>
      <c r="S812" s="22">
        <v>4.0714287661685722E-2</v>
      </c>
      <c r="T812" s="19">
        <f t="shared" si="90"/>
        <v>4.2951548326564559E-2</v>
      </c>
      <c r="U812" s="24">
        <v>4.2643207879134115E-2</v>
      </c>
      <c r="V812" s="24">
        <f t="shared" si="91"/>
        <v>4.2941838098313978E-2</v>
      </c>
      <c r="W812" s="23">
        <f t="shared" si="92"/>
        <v>3.5098977356671224E-3</v>
      </c>
      <c r="X812" s="24">
        <v>4.2248760673771146E-2</v>
      </c>
      <c r="Y812" s="24">
        <f t="shared" si="93"/>
        <v>4.2944994962174077E-2</v>
      </c>
      <c r="Z812" s="23">
        <f t="shared" si="94"/>
        <v>3.5101494742713069E-3</v>
      </c>
      <c r="AA812" s="36"/>
    </row>
    <row r="813" spans="15:27" ht="13.9" customHeight="1" x14ac:dyDescent="0.3">
      <c r="O813" s="12">
        <f t="shared" si="88"/>
        <v>66.666666666666671</v>
      </c>
      <c r="P813" s="13">
        <v>800</v>
      </c>
      <c r="Q813" s="22">
        <v>3.5398504245420348E-2</v>
      </c>
      <c r="R813" s="19">
        <f t="shared" si="89"/>
        <v>3.6012923837748234E-2</v>
      </c>
      <c r="S813" s="22">
        <v>4.0717081239617814E-2</v>
      </c>
      <c r="T813" s="19">
        <f t="shared" si="90"/>
        <v>4.2951987852072548E-2</v>
      </c>
      <c r="U813" s="24">
        <v>4.2643581113527285E-2</v>
      </c>
      <c r="V813" s="24">
        <f t="shared" si="91"/>
        <v>4.2942233146883169E-2</v>
      </c>
      <c r="W813" s="23">
        <f t="shared" si="92"/>
        <v>3.5099296285292514E-3</v>
      </c>
      <c r="X813" s="24">
        <v>4.2249630676441274E-2</v>
      </c>
      <c r="Y813" s="24">
        <f t="shared" si="93"/>
        <v>4.294540689961468E-2</v>
      </c>
      <c r="Z813" s="23">
        <f t="shared" si="94"/>
        <v>3.5101827538490671E-3</v>
      </c>
      <c r="AA813" s="36"/>
    </row>
    <row r="814" spans="15:27" ht="13.9" customHeight="1" x14ac:dyDescent="0.3">
      <c r="O814" s="12">
        <f t="shared" si="88"/>
        <v>66.75</v>
      </c>
      <c r="P814" s="13">
        <v>801</v>
      </c>
      <c r="Q814" s="22">
        <v>3.5399271083859096E-2</v>
      </c>
      <c r="R814" s="19">
        <f t="shared" si="89"/>
        <v>3.6017486436567436E-2</v>
      </c>
      <c r="S814" s="22">
        <v>4.0719868397341541E-2</v>
      </c>
      <c r="T814" s="19">
        <f t="shared" si="90"/>
        <v>4.2952423389089223E-2</v>
      </c>
      <c r="U814" s="24">
        <v>4.2643953909185628E-2</v>
      </c>
      <c r="V814" s="24">
        <f t="shared" si="91"/>
        <v>4.2942625510631549E-2</v>
      </c>
      <c r="W814" s="23">
        <f t="shared" si="92"/>
        <v>3.5099613045601608E-3</v>
      </c>
      <c r="X814" s="24">
        <v>4.2250499021480037E-2</v>
      </c>
      <c r="Y814" s="24">
        <f t="shared" si="93"/>
        <v>4.2945815750799587E-2</v>
      </c>
      <c r="Z814" s="23">
        <f t="shared" si="94"/>
        <v>3.5102157839819181E-3</v>
      </c>
      <c r="AA814" s="36"/>
    </row>
    <row r="815" spans="15:27" ht="13.9" customHeight="1" x14ac:dyDescent="0.3">
      <c r="O815" s="12">
        <f t="shared" si="88"/>
        <v>66.833333333333329</v>
      </c>
      <c r="P815" s="13">
        <v>802</v>
      </c>
      <c r="Q815" s="22">
        <v>3.5400041696196149E-2</v>
      </c>
      <c r="R815" s="19">
        <f t="shared" si="89"/>
        <v>3.6022010795921711E-2</v>
      </c>
      <c r="S815" s="22">
        <v>4.0722649153886348E-2</v>
      </c>
      <c r="T815" s="19">
        <f t="shared" si="90"/>
        <v>4.2952854973829169E-2</v>
      </c>
      <c r="U815" s="24">
        <v>4.264432626440362E-2</v>
      </c>
      <c r="V815" s="24">
        <f t="shared" si="91"/>
        <v>4.2943015208342539E-2</v>
      </c>
      <c r="W815" s="23">
        <f t="shared" si="92"/>
        <v>3.5099927653039487E-3</v>
      </c>
      <c r="X815" s="24">
        <v>4.2251365711240663E-2</v>
      </c>
      <c r="Y815" s="24">
        <f t="shared" si="93"/>
        <v>4.2946221538511242E-2</v>
      </c>
      <c r="Z815" s="23">
        <f t="shared" si="94"/>
        <v>3.5102485666396177E-3</v>
      </c>
      <c r="AA815" s="36"/>
    </row>
    <row r="816" spans="15:27" ht="13.9" customHeight="1" x14ac:dyDescent="0.3">
      <c r="O816" s="12">
        <f t="shared" si="88"/>
        <v>66.916666666666671</v>
      </c>
      <c r="P816" s="13">
        <v>803</v>
      </c>
      <c r="Q816" s="22">
        <v>3.5400816020725756E-2</v>
      </c>
      <c r="R816" s="19">
        <f t="shared" si="89"/>
        <v>3.6026497240650768E-2</v>
      </c>
      <c r="S816" s="22">
        <v>4.0725423528231941E-2</v>
      </c>
      <c r="T816" s="19">
        <f t="shared" si="90"/>
        <v>4.2953282641606805E-2</v>
      </c>
      <c r="U816" s="24">
        <v>4.2644698177507268E-2</v>
      </c>
      <c r="V816" s="24">
        <f t="shared" si="91"/>
        <v>4.2943402256768959E-2</v>
      </c>
      <c r="W816" s="23">
        <f t="shared" si="92"/>
        <v>3.5100240122674098E-3</v>
      </c>
      <c r="X816" s="24">
        <v>4.2252230748093256E-2</v>
      </c>
      <c r="Y816" s="24">
        <f t="shared" si="93"/>
        <v>4.2946624285404633E-2</v>
      </c>
      <c r="Z816" s="23">
        <f t="shared" si="94"/>
        <v>3.5102811036491488E-3</v>
      </c>
      <c r="AA816" s="36"/>
    </row>
    <row r="817" spans="15:27" ht="13.9" customHeight="1" x14ac:dyDescent="0.3">
      <c r="O817" s="12">
        <f t="shared" si="88"/>
        <v>67</v>
      </c>
      <c r="P817" s="13">
        <v>804</v>
      </c>
      <c r="Q817" s="22">
        <v>3.5401593996453373E-2</v>
      </c>
      <c r="R817" s="19">
        <f t="shared" si="89"/>
        <v>3.6030946091125671E-2</v>
      </c>
      <c r="S817" s="22">
        <v>4.0728191539307623E-2</v>
      </c>
      <c r="T817" s="19">
        <f t="shared" si="90"/>
        <v>4.2953706428528804E-2</v>
      </c>
      <c r="U817" s="24">
        <v>4.2645069646852107E-2</v>
      </c>
      <c r="V817" s="24">
        <f t="shared" si="91"/>
        <v>4.2943786674956907E-2</v>
      </c>
      <c r="W817" s="23">
        <f t="shared" si="92"/>
        <v>3.510055046793692E-3</v>
      </c>
      <c r="X817" s="24">
        <v>4.225309413442413E-2</v>
      </c>
      <c r="Y817" s="24">
        <f t="shared" si="93"/>
        <v>4.2947024014399426E-2</v>
      </c>
      <c r="Z817" s="23">
        <f t="shared" si="94"/>
        <v>3.5103133968272804E-3</v>
      </c>
      <c r="AA817" s="36"/>
    </row>
    <row r="818" spans="15:27" ht="13.9" customHeight="1" x14ac:dyDescent="0.3">
      <c r="O818" s="12">
        <f t="shared" si="88"/>
        <v>67.083333333333329</v>
      </c>
      <c r="P818" s="13">
        <v>805</v>
      </c>
      <c r="Q818" s="22">
        <v>3.5402375563085453E-2</v>
      </c>
      <c r="R818" s="19">
        <f t="shared" si="89"/>
        <v>3.6035357665182621E-2</v>
      </c>
      <c r="S818" s="22">
        <v>4.0730953205993403E-2</v>
      </c>
      <c r="T818" s="19">
        <f t="shared" si="90"/>
        <v>4.2954126369657786E-2</v>
      </c>
      <c r="U818" s="24">
        <v>4.2645440670825208E-2</v>
      </c>
      <c r="V818" s="24">
        <f t="shared" si="91"/>
        <v>4.2944168480244516E-2</v>
      </c>
      <c r="W818" s="23">
        <f t="shared" si="92"/>
        <v>3.5100858704104621E-3</v>
      </c>
      <c r="X818" s="24">
        <v>4.2253955872636251E-2</v>
      </c>
      <c r="Y818" s="24">
        <f t="shared" si="93"/>
        <v>4.2947420748298715E-2</v>
      </c>
      <c r="Z818" s="23">
        <f t="shared" si="94"/>
        <v>3.5103454480118756E-3</v>
      </c>
      <c r="AA818" s="36"/>
    </row>
    <row r="819" spans="15:27" ht="13.9" customHeight="1" x14ac:dyDescent="0.3">
      <c r="O819" s="12">
        <f t="shared" si="88"/>
        <v>67.166666666666671</v>
      </c>
      <c r="P819" s="13">
        <v>806</v>
      </c>
      <c r="Q819" s="22">
        <v>3.5403160661022781E-2</v>
      </c>
      <c r="R819" s="19">
        <f t="shared" si="89"/>
        <v>3.6039732278473791E-2</v>
      </c>
      <c r="S819" s="22">
        <v>4.0733708547118885E-2</v>
      </c>
      <c r="T819" s="19">
        <f t="shared" si="90"/>
        <v>4.2954542499940462E-2</v>
      </c>
      <c r="U819" s="24">
        <v>4.2645811247843168E-2</v>
      </c>
      <c r="V819" s="24">
        <f t="shared" si="91"/>
        <v>4.2944547690735746E-2</v>
      </c>
      <c r="W819" s="23">
        <f t="shared" si="92"/>
        <v>3.5101164845077193E-3</v>
      </c>
      <c r="X819" s="24">
        <v>4.2254815965148795E-2</v>
      </c>
      <c r="Y819" s="24">
        <f t="shared" si="93"/>
        <v>4.2947814509640247E-2</v>
      </c>
      <c r="Z819" s="23">
        <f t="shared" si="94"/>
        <v>3.510377259031916E-3</v>
      </c>
      <c r="AA819" s="36"/>
    </row>
    <row r="820" spans="15:27" ht="13.9" customHeight="1" x14ac:dyDescent="0.3">
      <c r="O820" s="12">
        <f t="shared" si="88"/>
        <v>67.25</v>
      </c>
      <c r="P820" s="13">
        <v>807</v>
      </c>
      <c r="Q820" s="22">
        <v>3.5403949231352483E-2</v>
      </c>
      <c r="R820" s="19">
        <f t="shared" si="89"/>
        <v>3.6044070244040549E-2</v>
      </c>
      <c r="S820" s="22">
        <v>4.0736457581463936E-2</v>
      </c>
      <c r="T820" s="19">
        <f t="shared" si="90"/>
        <v>4.2954954854381278E-2</v>
      </c>
      <c r="U820" s="24">
        <v>4.264618137635301E-2</v>
      </c>
      <c r="V820" s="24">
        <f t="shared" si="91"/>
        <v>4.2944924324726852E-2</v>
      </c>
      <c r="W820" s="23">
        <f t="shared" si="92"/>
        <v>3.5101468905378574E-3</v>
      </c>
      <c r="X820" s="24">
        <v>4.2255674414397149E-2</v>
      </c>
      <c r="Y820" s="24">
        <f t="shared" si="93"/>
        <v>4.2948205320850752E-2</v>
      </c>
      <c r="Z820" s="23">
        <f t="shared" si="94"/>
        <v>3.5104088316944004E-3</v>
      </c>
      <c r="AA820" s="36"/>
    </row>
    <row r="821" spans="15:27" ht="13.9" customHeight="1" x14ac:dyDescent="0.3">
      <c r="O821" s="12">
        <f t="shared" si="88"/>
        <v>67.333333333333329</v>
      </c>
      <c r="P821" s="13">
        <v>808</v>
      </c>
      <c r="Q821" s="22">
        <v>3.540474121584114E-2</v>
      </c>
      <c r="R821" s="19">
        <f t="shared" si="89"/>
        <v>3.6048371869848106E-2</v>
      </c>
      <c r="S821" s="22">
        <v>4.0739200327758462E-2</v>
      </c>
      <c r="T821" s="19">
        <f t="shared" si="90"/>
        <v>4.2955363466586682E-2</v>
      </c>
      <c r="U821" s="24">
        <v>4.2646551054831949E-2</v>
      </c>
      <c r="V821" s="24">
        <f t="shared" si="91"/>
        <v>4.2945298398281428E-2</v>
      </c>
      <c r="W821" s="23">
        <f t="shared" si="92"/>
        <v>3.5101770899677032E-3</v>
      </c>
      <c r="X821" s="24">
        <v>4.2256531222832017E-2</v>
      </c>
      <c r="Y821" s="24">
        <f t="shared" si="93"/>
        <v>4.2948593203681273E-2</v>
      </c>
      <c r="Z821" s="23">
        <f t="shared" si="94"/>
        <v>3.5104401677981123E-3</v>
      </c>
      <c r="AA821" s="36"/>
    </row>
    <row r="822" spans="15:27" ht="13.9" customHeight="1" x14ac:dyDescent="0.3">
      <c r="O822" s="12">
        <f t="shared" si="88"/>
        <v>67.416666666666671</v>
      </c>
      <c r="P822" s="13">
        <v>809</v>
      </c>
      <c r="Q822" s="22">
        <v>3.5405536556924577E-2</v>
      </c>
      <c r="R822" s="19">
        <f t="shared" si="89"/>
        <v>3.6052637464925708E-2</v>
      </c>
      <c r="S822" s="22">
        <v>4.0741936804681522E-2</v>
      </c>
      <c r="T822" s="19">
        <f t="shared" si="90"/>
        <v>4.2955768370748215E-2</v>
      </c>
      <c r="U822" s="24">
        <v>4.2646920281784739E-2</v>
      </c>
      <c r="V822" s="24">
        <f t="shared" si="91"/>
        <v>4.2945669929689956E-2</v>
      </c>
      <c r="W822" s="23">
        <f t="shared" si="92"/>
        <v>3.5102070840857813E-3</v>
      </c>
      <c r="X822" s="24">
        <v>4.2257386392919205E-2</v>
      </c>
      <c r="Y822" s="24">
        <f t="shared" si="93"/>
        <v>4.2948978179461861E-2</v>
      </c>
      <c r="Z822" s="23">
        <f t="shared" si="94"/>
        <v>3.510471269087212E-3</v>
      </c>
      <c r="AA822" s="36"/>
    </row>
    <row r="823" spans="15:27" ht="13.9" customHeight="1" x14ac:dyDescent="0.3">
      <c r="O823" s="12">
        <f t="shared" si="88"/>
        <v>67.5</v>
      </c>
      <c r="P823" s="13">
        <v>810</v>
      </c>
      <c r="Q823" s="22">
        <v>3.5406335197703864E-2</v>
      </c>
      <c r="R823" s="19">
        <f t="shared" si="89"/>
        <v>3.6056867332791898E-2</v>
      </c>
      <c r="S823" s="22">
        <v>4.0744667030861992E-2</v>
      </c>
      <c r="T823" s="19">
        <f t="shared" si="90"/>
        <v>4.2956169600839589E-2</v>
      </c>
      <c r="U823" s="24">
        <v>4.2647289055745885E-2</v>
      </c>
      <c r="V823" s="24">
        <f t="shared" si="91"/>
        <v>4.2946038935893771E-2</v>
      </c>
      <c r="W823" s="23">
        <f t="shared" si="92"/>
        <v>3.5102368743586965E-3</v>
      </c>
      <c r="X823" s="24">
        <v>4.2258239927138508E-2</v>
      </c>
      <c r="Y823" s="24">
        <f t="shared" si="93"/>
        <v>4.2949360271746562E-2</v>
      </c>
      <c r="Z823" s="23">
        <f t="shared" si="94"/>
        <v>3.510502137272109E-3</v>
      </c>
      <c r="AA823" s="36"/>
    </row>
    <row r="824" spans="15:27" ht="13.9" customHeight="1" x14ac:dyDescent="0.3">
      <c r="O824" s="12">
        <f t="shared" si="88"/>
        <v>67.583333333333329</v>
      </c>
      <c r="P824" s="13">
        <v>811</v>
      </c>
      <c r="Q824" s="22">
        <v>3.5407137081935769E-2</v>
      </c>
      <c r="R824" s="19">
        <f t="shared" si="89"/>
        <v>3.6061061776941905E-2</v>
      </c>
      <c r="S824" s="22">
        <v>4.0747391024878787E-2</v>
      </c>
      <c r="T824" s="19">
        <f t="shared" si="90"/>
        <v>4.2956567189694317E-2</v>
      </c>
      <c r="U824" s="24">
        <v>4.2647657375278092E-2</v>
      </c>
      <c r="V824" s="24">
        <f t="shared" si="91"/>
        <v>4.2946405434964197E-2</v>
      </c>
      <c r="W824" s="23">
        <f t="shared" si="92"/>
        <v>3.5102664621449176E-3</v>
      </c>
      <c r="X824" s="24">
        <v>4.2259091827986373E-2</v>
      </c>
      <c r="Y824" s="24">
        <f t="shared" si="93"/>
        <v>4.2949739500692585E-2</v>
      </c>
      <c r="Z824" s="23">
        <f t="shared" si="94"/>
        <v>3.510532774241959E-3</v>
      </c>
      <c r="AA824" s="36"/>
    </row>
    <row r="825" spans="15:27" ht="13.9" customHeight="1" x14ac:dyDescent="0.3">
      <c r="O825" s="12">
        <f t="shared" si="88"/>
        <v>67.666666666666671</v>
      </c>
      <c r="P825" s="13">
        <v>812</v>
      </c>
      <c r="Q825" s="22">
        <v>3.5407942154027872E-2</v>
      </c>
      <c r="R825" s="19">
        <f t="shared" si="89"/>
        <v>3.6065221094523592E-2</v>
      </c>
      <c r="S825" s="22">
        <v>4.0750108805259755E-2</v>
      </c>
      <c r="T825" s="19">
        <f t="shared" si="90"/>
        <v>4.2956961171051411E-2</v>
      </c>
      <c r="U825" s="24">
        <v>4.2648025238973597E-2</v>
      </c>
      <c r="V825" s="24">
        <f t="shared" si="91"/>
        <v>4.2946769442816946E-2</v>
      </c>
      <c r="W825" s="23">
        <f t="shared" si="92"/>
        <v>3.5102958488937297E-3</v>
      </c>
      <c r="X825" s="24">
        <v>4.2259942097971903E-2</v>
      </c>
      <c r="Y825" s="24">
        <f t="shared" si="93"/>
        <v>4.2950115888184204E-2</v>
      </c>
      <c r="Z825" s="23">
        <f t="shared" si="94"/>
        <v>3.5105631816130245E-3</v>
      </c>
      <c r="AA825" s="36"/>
    </row>
    <row r="826" spans="15:27" ht="13.9" customHeight="1" x14ac:dyDescent="0.3">
      <c r="O826" s="12">
        <f t="shared" si="88"/>
        <v>67.75</v>
      </c>
      <c r="P826" s="13">
        <v>813</v>
      </c>
      <c r="Q826" s="22">
        <v>3.5408750359027019E-2</v>
      </c>
      <c r="R826" s="19">
        <f t="shared" si="89"/>
        <v>3.6069345584380352E-2</v>
      </c>
      <c r="S826" s="22">
        <v>4.0752820390483002E-2</v>
      </c>
      <c r="T826" s="19">
        <f t="shared" si="90"/>
        <v>4.2957351576987213E-2</v>
      </c>
      <c r="U826" s="24">
        <v>4.2648392645450617E-2</v>
      </c>
      <c r="V826" s="24">
        <f t="shared" si="91"/>
        <v>4.2947130976580317E-2</v>
      </c>
      <c r="W826" s="23">
        <f t="shared" si="92"/>
        <v>3.5103250358816673E-3</v>
      </c>
      <c r="X826" s="24">
        <v>4.2260790739618859E-2</v>
      </c>
      <c r="Y826" s="24">
        <f t="shared" si="93"/>
        <v>4.29504894553836E-2</v>
      </c>
      <c r="Z826" s="23">
        <f t="shared" si="94"/>
        <v>3.5105933611403461E-3</v>
      </c>
      <c r="AA826" s="36"/>
    </row>
    <row r="827" spans="15:27" ht="13.9" customHeight="1" x14ac:dyDescent="0.3">
      <c r="O827" s="12">
        <f t="shared" si="88"/>
        <v>67.833333333333329</v>
      </c>
      <c r="P827" s="13">
        <v>814</v>
      </c>
      <c r="Q827" s="22">
        <v>3.5409561642617104E-2</v>
      </c>
      <c r="R827" s="19">
        <f t="shared" si="89"/>
        <v>3.6073435538665377E-2</v>
      </c>
      <c r="S827" s="22">
        <v>4.0755525798975123E-2</v>
      </c>
      <c r="T827" s="19">
        <f t="shared" si="90"/>
        <v>4.2957738440677407E-2</v>
      </c>
      <c r="U827" s="24">
        <v>4.2648759593355789E-2</v>
      </c>
      <c r="V827" s="24">
        <f t="shared" si="91"/>
        <v>4.2947490054539683E-2</v>
      </c>
      <c r="W827" s="23">
        <f t="shared" si="92"/>
        <v>3.5103540244820763E-3</v>
      </c>
      <c r="X827" s="24">
        <v>4.2261637755464321E-2</v>
      </c>
      <c r="Y827" s="24">
        <f t="shared" si="93"/>
        <v>4.2950860224746368E-2</v>
      </c>
      <c r="Z827" s="23">
        <f t="shared" si="94"/>
        <v>3.5106233145207888E-3</v>
      </c>
      <c r="AA827" s="36"/>
    </row>
    <row r="828" spans="15:27" ht="13.9" customHeight="1" x14ac:dyDescent="0.3">
      <c r="O828" s="12">
        <f t="shared" si="88"/>
        <v>67.916666666666671</v>
      </c>
      <c r="P828" s="13">
        <v>815</v>
      </c>
      <c r="Q828" s="22">
        <v>3.5410375951107742E-2</v>
      </c>
      <c r="R828" s="19">
        <f t="shared" si="89"/>
        <v>3.6077491251078175E-2</v>
      </c>
      <c r="S828" s="22">
        <v>4.0758225049113195E-2</v>
      </c>
      <c r="T828" s="19">
        <f t="shared" si="90"/>
        <v>4.2958121793751802E-2</v>
      </c>
      <c r="U828" s="24">
        <v>4.2649126081364397E-2</v>
      </c>
      <c r="V828" s="24">
        <f t="shared" si="91"/>
        <v>4.2947846691467673E-2</v>
      </c>
      <c r="W828" s="23">
        <f t="shared" si="92"/>
        <v>3.5103828161615613E-3</v>
      </c>
      <c r="X828" s="24">
        <v>4.2262483148060692E-2</v>
      </c>
      <c r="Y828" s="24">
        <f t="shared" si="93"/>
        <v>4.2951228214964887E-2</v>
      </c>
      <c r="Z828" s="23">
        <f t="shared" si="94"/>
        <v>3.5106530435553562E-3</v>
      </c>
      <c r="AA828" s="36"/>
    </row>
    <row r="829" spans="15:27" ht="13.9" customHeight="1" x14ac:dyDescent="0.3">
      <c r="O829" s="12">
        <f t="shared" si="88"/>
        <v>68</v>
      </c>
      <c r="P829" s="13">
        <v>816</v>
      </c>
      <c r="Q829" s="22">
        <v>3.5411193231431382E-2</v>
      </c>
      <c r="R829" s="19">
        <f t="shared" si="89"/>
        <v>3.6081513009484034E-2</v>
      </c>
      <c r="S829" s="22">
        <v>4.0760918159222781E-2</v>
      </c>
      <c r="T829" s="19">
        <f t="shared" si="90"/>
        <v>4.2958501668212579E-2</v>
      </c>
      <c r="U829" s="24">
        <v>4.264949210817659E-2</v>
      </c>
      <c r="V829" s="24">
        <f t="shared" si="91"/>
        <v>4.2948200904935785E-2</v>
      </c>
      <c r="W829" s="23">
        <f t="shared" si="92"/>
        <v>3.5104114121047303E-3</v>
      </c>
      <c r="X829" s="24">
        <v>4.226332691997059E-2</v>
      </c>
      <c r="Y829" s="24">
        <f t="shared" si="93"/>
        <v>4.2951593448318892E-2</v>
      </c>
      <c r="Z829" s="23">
        <f t="shared" si="94"/>
        <v>3.5106825497430716E-3</v>
      </c>
      <c r="AA829" s="36"/>
    </row>
    <row r="830" spans="15:27" ht="13.9" customHeight="1" x14ac:dyDescent="0.3">
      <c r="O830" s="12">
        <f t="shared" si="88"/>
        <v>68.083333333333329</v>
      </c>
      <c r="P830" s="13">
        <v>817</v>
      </c>
      <c r="Q830" s="22">
        <v>3.5412013431133094E-2</v>
      </c>
      <c r="R830" s="19">
        <f t="shared" si="89"/>
        <v>3.6085501100846518E-2</v>
      </c>
      <c r="S830" s="22">
        <v>4.0763605147579041E-2</v>
      </c>
      <c r="T830" s="19">
        <f t="shared" si="90"/>
        <v>4.2958878095642472E-2</v>
      </c>
      <c r="U830" s="24">
        <v>4.2649857672520275E-2</v>
      </c>
      <c r="V830" s="24">
        <f t="shared" si="91"/>
        <v>4.2948552711023158E-2</v>
      </c>
      <c r="W830" s="23">
        <f t="shared" si="92"/>
        <v>3.5104398137204562E-3</v>
      </c>
      <c r="X830" s="24">
        <v>4.2264169073771507E-2</v>
      </c>
      <c r="Y830" s="24">
        <f t="shared" si="93"/>
        <v>4.295195594541612E-2</v>
      </c>
      <c r="Z830" s="23">
        <f t="shared" si="94"/>
        <v>3.5107118348702837E-3</v>
      </c>
      <c r="AA830" s="36"/>
    </row>
    <row r="831" spans="15:27" ht="13.9" customHeight="1" x14ac:dyDescent="0.3">
      <c r="O831" s="12">
        <f t="shared" si="88"/>
        <v>68.166666666666671</v>
      </c>
      <c r="P831" s="13">
        <v>818</v>
      </c>
      <c r="Q831" s="22">
        <v>3.5412836498365241E-2</v>
      </c>
      <c r="R831" s="19">
        <f t="shared" si="89"/>
        <v>3.6089455810350168E-2</v>
      </c>
      <c r="S831" s="22">
        <v>4.0766286032406285E-2</v>
      </c>
      <c r="T831" s="19">
        <f t="shared" si="90"/>
        <v>4.2959251107402618E-2</v>
      </c>
      <c r="U831" s="24">
        <v>4.2650222773149116E-2</v>
      </c>
      <c r="V831" s="24">
        <f t="shared" si="91"/>
        <v>4.2948902126564326E-2</v>
      </c>
      <c r="W831" s="23">
        <f t="shared" si="92"/>
        <v>3.5104680222983742E-3</v>
      </c>
      <c r="X831" s="24">
        <v>4.226500961205315E-2</v>
      </c>
      <c r="Y831" s="24">
        <f t="shared" si="93"/>
        <v>4.2952315726707324E-2</v>
      </c>
      <c r="Z831" s="23">
        <f t="shared" si="94"/>
        <v>3.5107409005898926E-3</v>
      </c>
      <c r="AA831" s="36"/>
    </row>
    <row r="832" spans="15:27" ht="13.9" customHeight="1" x14ac:dyDescent="0.3">
      <c r="O832" s="12">
        <f t="shared" si="88"/>
        <v>68.25</v>
      </c>
      <c r="P832" s="13">
        <v>819</v>
      </c>
      <c r="Q832" s="22">
        <v>3.5413662381881927E-2</v>
      </c>
      <c r="R832" s="19">
        <f t="shared" si="89"/>
        <v>3.6093377418102035E-2</v>
      </c>
      <c r="S832" s="22">
        <v>4.0768960831877976E-2</v>
      </c>
      <c r="T832" s="19">
        <f t="shared" si="90"/>
        <v>4.2959620734615012E-2</v>
      </c>
      <c r="U832" s="24">
        <v>4.2650587408843421E-2</v>
      </c>
      <c r="V832" s="24">
        <f t="shared" si="91"/>
        <v>4.2949249168102499E-2</v>
      </c>
      <c r="W832" s="23">
        <f t="shared" si="92"/>
        <v>3.5104960391882933E-3</v>
      </c>
      <c r="X832" s="24">
        <v>4.2265848537418105E-2</v>
      </c>
      <c r="Y832" s="24">
        <f t="shared" si="93"/>
        <v>4.2952672812732962E-2</v>
      </c>
      <c r="Z832" s="23">
        <f t="shared" si="94"/>
        <v>3.5107697485416978E-3</v>
      </c>
      <c r="AA832" s="36"/>
    </row>
    <row r="833" spans="15:27" ht="13.9" customHeight="1" x14ac:dyDescent="0.3">
      <c r="O833" s="12">
        <f t="shared" si="88"/>
        <v>68.333333333333329</v>
      </c>
      <c r="P833" s="13">
        <v>820</v>
      </c>
      <c r="Q833" s="22">
        <v>3.5414491031028783E-2</v>
      </c>
      <c r="R833" s="19">
        <f t="shared" si="89"/>
        <v>3.6097266204762724E-2</v>
      </c>
      <c r="S833" s="22">
        <v>4.0771629564116951E-2</v>
      </c>
      <c r="T833" s="19">
        <f t="shared" si="90"/>
        <v>4.2959987007726852E-2</v>
      </c>
      <c r="U833" s="24">
        <v>4.2650951578409924E-2</v>
      </c>
      <c r="V833" s="24">
        <f t="shared" si="91"/>
        <v>4.2949593850263978E-2</v>
      </c>
      <c r="W833" s="23">
        <f t="shared" si="92"/>
        <v>3.5105238657171522E-3</v>
      </c>
      <c r="X833" s="24">
        <v>4.2266685852480723E-2</v>
      </c>
      <c r="Y833" s="24">
        <f t="shared" si="93"/>
        <v>4.2953027222492057E-2</v>
      </c>
      <c r="Z833" s="23">
        <f t="shared" si="94"/>
        <v>3.510798380372826E-3</v>
      </c>
      <c r="AA833" s="36"/>
    </row>
    <row r="834" spans="15:27" ht="13.9" customHeight="1" x14ac:dyDescent="0.3">
      <c r="O834" s="12">
        <f t="shared" si="88"/>
        <v>68.416666666666671</v>
      </c>
      <c r="P834" s="13">
        <v>821</v>
      </c>
      <c r="Q834" s="22">
        <v>3.5415322395740301E-2</v>
      </c>
      <c r="R834" s="19">
        <f t="shared" si="89"/>
        <v>3.6101122446662082E-2</v>
      </c>
      <c r="S834" s="22">
        <v>4.0774292247194976E-2</v>
      </c>
      <c r="T834" s="19">
        <f t="shared" si="90"/>
        <v>4.2960349957319011E-2</v>
      </c>
      <c r="U834" s="24">
        <v>4.265131528067867E-2</v>
      </c>
      <c r="V834" s="24">
        <f t="shared" si="91"/>
        <v>4.2949936191097215E-2</v>
      </c>
      <c r="W834" s="23">
        <f t="shared" si="92"/>
        <v>3.5105515030577905E-3</v>
      </c>
      <c r="X834" s="24">
        <v>4.2267521559866239E-2</v>
      </c>
      <c r="Y834" s="24">
        <f t="shared" si="93"/>
        <v>4.2953378978007883E-2</v>
      </c>
      <c r="Z834" s="23">
        <f t="shared" si="94"/>
        <v>3.5108267976071694E-3</v>
      </c>
      <c r="AA834" s="36"/>
    </row>
    <row r="835" spans="15:27" ht="13.9" customHeight="1" x14ac:dyDescent="0.3">
      <c r="O835" s="12">
        <f t="shared" si="88"/>
        <v>68.5</v>
      </c>
      <c r="P835" s="13">
        <v>822</v>
      </c>
      <c r="Q835" s="22">
        <v>3.5416156426530954E-2</v>
      </c>
      <c r="R835" s="19">
        <f t="shared" si="89"/>
        <v>3.6104946419110329E-2</v>
      </c>
      <c r="S835" s="22">
        <v>4.077694889913297E-2</v>
      </c>
      <c r="T835" s="19">
        <f t="shared" si="90"/>
        <v>4.2960709613616199E-2</v>
      </c>
      <c r="U835" s="24">
        <v>4.2651678514507463E-2</v>
      </c>
      <c r="V835" s="24">
        <f t="shared" si="91"/>
        <v>4.2950276204841265E-2</v>
      </c>
      <c r="W835" s="23">
        <f t="shared" si="92"/>
        <v>3.5105789526574949E-3</v>
      </c>
      <c r="X835" s="24">
        <v>4.226835566221343E-2</v>
      </c>
      <c r="Y835" s="24">
        <f t="shared" si="93"/>
        <v>4.2953728097008703E-2</v>
      </c>
      <c r="Z835" s="23">
        <f t="shared" si="94"/>
        <v>3.5108550020104268E-3</v>
      </c>
      <c r="AA835" s="36"/>
    </row>
    <row r="836" spans="15:27" ht="13.9" customHeight="1" x14ac:dyDescent="0.3">
      <c r="O836" s="12">
        <f t="shared" si="88"/>
        <v>68.583333333333329</v>
      </c>
      <c r="P836" s="13">
        <v>823</v>
      </c>
      <c r="Q836" s="22">
        <v>3.5416993074490088E-2</v>
      </c>
      <c r="R836" s="19">
        <f t="shared" si="89"/>
        <v>3.6108738393722195E-2</v>
      </c>
      <c r="S836" s="22">
        <v>4.0779599537900779E-2</v>
      </c>
      <c r="T836" s="19">
        <f t="shared" si="90"/>
        <v>4.2961066006870441E-2</v>
      </c>
      <c r="U836" s="24">
        <v>4.2652041278776975E-2</v>
      </c>
      <c r="V836" s="24">
        <f t="shared" si="91"/>
        <v>4.2950613908717017E-2</v>
      </c>
      <c r="W836" s="23">
        <f t="shared" si="92"/>
        <v>3.5106062156582407E-3</v>
      </c>
      <c r="X836" s="24">
        <v>4.2269188162170179E-2</v>
      </c>
      <c r="Y836" s="24">
        <f t="shared" si="93"/>
        <v>4.2954074601767145E-2</v>
      </c>
      <c r="Z836" s="23">
        <f t="shared" si="94"/>
        <v>3.5108829950045717E-3</v>
      </c>
      <c r="AA836" s="36"/>
    </row>
    <row r="837" spans="15:27" ht="13.9" customHeight="1" x14ac:dyDescent="0.3">
      <c r="O837" s="12">
        <f t="shared" si="88"/>
        <v>68.666666666666671</v>
      </c>
      <c r="P837" s="13">
        <v>824</v>
      </c>
      <c r="Q837" s="22">
        <v>3.5417832291274598E-2</v>
      </c>
      <c r="R837" s="19">
        <f t="shared" si="89"/>
        <v>3.6112498641095891E-2</v>
      </c>
      <c r="S837" s="22">
        <v>4.078224418141807E-2</v>
      </c>
      <c r="T837" s="19">
        <f t="shared" si="90"/>
        <v>4.2961419165903791E-2</v>
      </c>
      <c r="U837" s="24">
        <v>4.2652403572394082E-2</v>
      </c>
      <c r="V837" s="24">
        <f t="shared" si="91"/>
        <v>4.2950949317650755E-2</v>
      </c>
      <c r="W837" s="23">
        <f t="shared" si="92"/>
        <v>3.5106332934409235E-3</v>
      </c>
      <c r="X837" s="24">
        <v>4.2270019062398134E-2</v>
      </c>
      <c r="Y837" s="24">
        <f t="shared" si="93"/>
        <v>4.2954418509668413E-2</v>
      </c>
      <c r="Z837" s="23">
        <f t="shared" si="94"/>
        <v>3.5109107783755089E-3</v>
      </c>
      <c r="AA837" s="36"/>
    </row>
    <row r="838" spans="15:27" ht="13.9" customHeight="1" x14ac:dyDescent="0.3">
      <c r="O838" s="12">
        <f t="shared" si="88"/>
        <v>68.75</v>
      </c>
      <c r="P838" s="13">
        <v>825</v>
      </c>
      <c r="Q838" s="22">
        <v>3.5418674029103592E-2</v>
      </c>
      <c r="R838" s="19">
        <f t="shared" si="89"/>
        <v>3.6116227427550385E-2</v>
      </c>
      <c r="S838" s="22">
        <v>4.0784882847552328E-2</v>
      </c>
      <c r="T838" s="19">
        <f t="shared" si="90"/>
        <v>4.2961769120712479E-2</v>
      </c>
      <c r="U838" s="24">
        <v>4.2652765394289194E-2</v>
      </c>
      <c r="V838" s="24">
        <f t="shared" si="91"/>
        <v>4.2951282447003525E-2</v>
      </c>
      <c r="W838" s="23">
        <f t="shared" si="92"/>
        <v>3.5106601872025855E-3</v>
      </c>
      <c r="X838" s="24">
        <v>4.2270848365567382E-2</v>
      </c>
      <c r="Y838" s="24">
        <f t="shared" si="93"/>
        <v>4.2954759841627776E-2</v>
      </c>
      <c r="Z838" s="23">
        <f t="shared" si="94"/>
        <v>3.5109383535172345E-3</v>
      </c>
      <c r="AA838" s="36"/>
    </row>
    <row r="839" spans="15:27" ht="13.9" customHeight="1" x14ac:dyDescent="0.3">
      <c r="O839" s="12">
        <f t="shared" si="88"/>
        <v>68.833333333333329</v>
      </c>
      <c r="P839" s="13">
        <v>826</v>
      </c>
      <c r="Q839" s="22">
        <v>3.5419518240750181E-2</v>
      </c>
      <c r="R839" s="19">
        <f t="shared" si="89"/>
        <v>3.6119925019909571E-2</v>
      </c>
      <c r="S839" s="22">
        <v>4.0787515554120857E-2</v>
      </c>
      <c r="T839" s="19">
        <f t="shared" si="90"/>
        <v>4.2962115900150977E-2</v>
      </c>
      <c r="U839" s="24">
        <v>4.2653126743416481E-2</v>
      </c>
      <c r="V839" s="24">
        <f t="shared" si="91"/>
        <v>4.2951613313365389E-2</v>
      </c>
      <c r="W839" s="23">
        <f t="shared" si="92"/>
        <v>3.5106868981749084E-3</v>
      </c>
      <c r="X839" s="24">
        <v>4.2271676074360442E-2</v>
      </c>
      <c r="Y839" s="24">
        <f t="shared" si="93"/>
        <v>4.2955098615981901E-2</v>
      </c>
      <c r="Z839" s="23">
        <f t="shared" si="94"/>
        <v>3.5109657221072954E-3</v>
      </c>
      <c r="AA839" s="36"/>
    </row>
    <row r="840" spans="15:27" ht="13.9" customHeight="1" x14ac:dyDescent="0.3">
      <c r="O840" s="12">
        <f t="shared" si="88"/>
        <v>68.916666666666671</v>
      </c>
      <c r="P840" s="13">
        <v>827</v>
      </c>
      <c r="Q840" s="22">
        <v>3.5420364879538591E-2</v>
      </c>
      <c r="R840" s="19">
        <f t="shared" si="89"/>
        <v>3.6123591680129685E-2</v>
      </c>
      <c r="S840" s="22">
        <v>4.0790142318889666E-2</v>
      </c>
      <c r="T840" s="19">
        <f t="shared" si="90"/>
        <v>4.2962459532884134E-2</v>
      </c>
      <c r="U840" s="24">
        <v>4.2653487618754982E-2</v>
      </c>
      <c r="V840" s="24">
        <f t="shared" si="91"/>
        <v>4.2951941930336357E-2</v>
      </c>
      <c r="W840" s="23">
        <f t="shared" si="92"/>
        <v>3.5107134276883833E-3</v>
      </c>
      <c r="X840" s="24">
        <v>4.2272502191468719E-2</v>
      </c>
      <c r="Y840" s="24">
        <f t="shared" si="93"/>
        <v>4.2955434852266494E-2</v>
      </c>
      <c r="Z840" s="23">
        <f t="shared" si="94"/>
        <v>3.510992885616071E-3</v>
      </c>
      <c r="AA840" s="36"/>
    </row>
    <row r="841" spans="15:27" ht="13.9" customHeight="1" x14ac:dyDescent="0.3">
      <c r="O841" s="12">
        <f t="shared" si="88"/>
        <v>69</v>
      </c>
      <c r="P841" s="13">
        <v>828</v>
      </c>
      <c r="Q841" s="22">
        <v>3.5421213899335058E-2</v>
      </c>
      <c r="R841" s="19">
        <f t="shared" si="89"/>
        <v>3.6127227669428885E-2</v>
      </c>
      <c r="S841" s="22">
        <v>4.0792763159573697E-2</v>
      </c>
      <c r="T841" s="19">
        <f t="shared" si="90"/>
        <v>4.2962800048012673E-2</v>
      </c>
      <c r="U841" s="24">
        <v>4.2653848019305496E-2</v>
      </c>
      <c r="V841" s="24">
        <f t="shared" si="91"/>
        <v>4.2952268315069597E-2</v>
      </c>
      <c r="W841" s="23">
        <f t="shared" si="92"/>
        <v>3.5107397768336934E-3</v>
      </c>
      <c r="X841" s="24">
        <v>4.2273326719594495E-2</v>
      </c>
      <c r="Y841" s="24">
        <f t="shared" si="93"/>
        <v>4.2955768569879593E-2</v>
      </c>
      <c r="Z841" s="23">
        <f t="shared" si="94"/>
        <v>3.5110198456100861E-3</v>
      </c>
      <c r="AA841" s="36"/>
    </row>
    <row r="842" spans="15:27" ht="13.9" customHeight="1" x14ac:dyDescent="0.3">
      <c r="O842" s="12">
        <f t="shared" si="88"/>
        <v>69.083333333333329</v>
      </c>
      <c r="P842" s="13">
        <v>829</v>
      </c>
      <c r="Q842" s="22">
        <v>3.5422065254543611E-2</v>
      </c>
      <c r="R842" s="19">
        <f t="shared" si="89"/>
        <v>3.6130833246987626E-2</v>
      </c>
      <c r="S842" s="22">
        <v>4.0795378093837265E-2</v>
      </c>
      <c r="T842" s="19">
        <f t="shared" si="90"/>
        <v>4.2963137473592372E-2</v>
      </c>
      <c r="U842" s="24">
        <v>4.2654207944093914E-2</v>
      </c>
      <c r="V842" s="24">
        <f t="shared" si="91"/>
        <v>4.295259248236305E-2</v>
      </c>
      <c r="W842" s="23">
        <f t="shared" si="92"/>
        <v>3.510765946986405E-3</v>
      </c>
      <c r="X842" s="24">
        <v>4.2274149661450044E-2</v>
      </c>
      <c r="Y842" s="24">
        <f t="shared" si="93"/>
        <v>4.2956099787207824E-2</v>
      </c>
      <c r="Z842" s="23">
        <f t="shared" si="94"/>
        <v>3.511046603644763E-3</v>
      </c>
      <c r="AA842" s="36"/>
    </row>
    <row r="843" spans="15:27" ht="13.9" customHeight="1" x14ac:dyDescent="0.3">
      <c r="O843" s="12">
        <f t="shared" si="88"/>
        <v>69.166666666666671</v>
      </c>
      <c r="P843" s="13">
        <v>830</v>
      </c>
      <c r="Q843" s="22">
        <v>3.5422918900100075E-2</v>
      </c>
      <c r="R843" s="19">
        <f t="shared" si="89"/>
        <v>3.6134408667953366E-2</v>
      </c>
      <c r="S843" s="22">
        <v>4.079798713929339E-2</v>
      </c>
      <c r="T843" s="19">
        <f t="shared" si="90"/>
        <v>4.2963471837185185E-2</v>
      </c>
      <c r="U843" s="24">
        <v>4.2654567392168996E-2</v>
      </c>
      <c r="V843" s="24">
        <f t="shared" si="91"/>
        <v>4.2952914445796964E-2</v>
      </c>
      <c r="W843" s="23">
        <f t="shared" si="92"/>
        <v>3.5107919393329023E-3</v>
      </c>
      <c r="X843" s="24">
        <v>4.227497101975719E-2</v>
      </c>
      <c r="Y843" s="24">
        <f t="shared" si="93"/>
        <v>4.2956428523084345E-2</v>
      </c>
      <c r="Z843" s="23">
        <f t="shared" si="94"/>
        <v>3.5110731611946999E-3</v>
      </c>
      <c r="AA843" s="36"/>
    </row>
    <row r="844" spans="15:27" ht="13.9" customHeight="1" x14ac:dyDescent="0.3">
      <c r="O844" s="12">
        <f t="shared" si="88"/>
        <v>69.25</v>
      </c>
      <c r="P844" s="13">
        <v>831</v>
      </c>
      <c r="Q844" s="22">
        <v>3.5423774791464746E-2</v>
      </c>
      <c r="R844" s="19">
        <f t="shared" si="89"/>
        <v>3.613795418688337E-2</v>
      </c>
      <c r="S844" s="22">
        <v>4.0800590313503804E-2</v>
      </c>
      <c r="T844" s="19">
        <f t="shared" si="90"/>
        <v>4.2963803167147985E-2</v>
      </c>
      <c r="U844" s="24">
        <v>4.2654926362600154E-2</v>
      </c>
      <c r="V844" s="24">
        <f t="shared" si="91"/>
        <v>4.2953234222166126E-2</v>
      </c>
      <c r="W844" s="23">
        <f t="shared" si="92"/>
        <v>3.5108177549627584E-3</v>
      </c>
      <c r="X844" s="24">
        <v>4.2275790797246859E-2</v>
      </c>
      <c r="Y844" s="24">
        <f t="shared" si="93"/>
        <v>4.2956754796668495E-2</v>
      </c>
      <c r="Z844" s="23">
        <f t="shared" si="94"/>
        <v>3.5110995197702444E-3</v>
      </c>
      <c r="AA844" s="36"/>
    </row>
    <row r="845" spans="15:27" ht="13.9" customHeight="1" x14ac:dyDescent="0.3">
      <c r="O845" s="12">
        <f t="shared" si="88"/>
        <v>69.333333333333329</v>
      </c>
      <c r="P845" s="13">
        <v>832</v>
      </c>
      <c r="Q845" s="22">
        <v>3.5424632884617724E-2</v>
      </c>
      <c r="R845" s="19">
        <f t="shared" si="89"/>
        <v>3.6141470056358038E-2</v>
      </c>
      <c r="S845" s="22">
        <v>4.080318763397961E-2</v>
      </c>
      <c r="T845" s="19">
        <f t="shared" si="90"/>
        <v>4.2964131490867086E-2</v>
      </c>
      <c r="U845" s="24">
        <v>4.2655284854481668E-2</v>
      </c>
      <c r="V845" s="24">
        <f t="shared" si="91"/>
        <v>4.2953551825505754E-2</v>
      </c>
      <c r="W845" s="23">
        <f t="shared" si="92"/>
        <v>3.5108433952222295E-3</v>
      </c>
      <c r="X845" s="24">
        <v>4.227660899665997E-2</v>
      </c>
      <c r="Y845" s="24">
        <f t="shared" si="93"/>
        <v>4.2957078625106559E-2</v>
      </c>
      <c r="Z845" s="23">
        <f t="shared" si="94"/>
        <v>3.5111256809075009E-3</v>
      </c>
      <c r="AA845" s="36"/>
    </row>
    <row r="846" spans="15:27" ht="13.9" customHeight="1" x14ac:dyDescent="0.3">
      <c r="O846" s="12">
        <f t="shared" ref="O846:O909" si="95">P846/12</f>
        <v>69.416666666666671</v>
      </c>
      <c r="P846" s="13">
        <v>833</v>
      </c>
      <c r="Q846" s="22">
        <v>3.5425493136053809E-2</v>
      </c>
      <c r="R846" s="19">
        <f t="shared" ref="R846:R909" si="96">(1+Q847)^P847/(1+Q846)^P846-1</f>
        <v>3.6144956525479888E-2</v>
      </c>
      <c r="S846" s="22">
        <v>4.0805779118180618E-2</v>
      </c>
      <c r="T846" s="19">
        <f t="shared" ref="T846:T909" si="97">(1+S847)^P847/(1+S846)^P846-1</f>
        <v>4.2964456835896669E-2</v>
      </c>
      <c r="U846" s="24">
        <v>4.2655642866928911E-2</v>
      </c>
      <c r="V846" s="24">
        <f t="shared" ref="V846:V909" si="98">(1+U847)^P847/(1+U846)^P846-1</f>
        <v>4.2953867271018575E-2</v>
      </c>
      <c r="W846" s="23">
        <f t="shared" si="92"/>
        <v>3.510868861237082E-3</v>
      </c>
      <c r="X846" s="24">
        <v>4.2277425620745213E-2</v>
      </c>
      <c r="Y846" s="24">
        <f t="shared" si="93"/>
        <v>4.2957400028573733E-2</v>
      </c>
      <c r="Z846" s="23">
        <f t="shared" si="94"/>
        <v>3.5111516459818137E-3</v>
      </c>
      <c r="AA846" s="36"/>
    </row>
    <row r="847" spans="15:27" ht="13.9" customHeight="1" x14ac:dyDescent="0.3">
      <c r="O847" s="12">
        <f t="shared" si="95"/>
        <v>69.5</v>
      </c>
      <c r="P847" s="13">
        <v>834</v>
      </c>
      <c r="Q847" s="22">
        <v>3.5426355502775397E-2</v>
      </c>
      <c r="R847" s="19">
        <f t="shared" si="96"/>
        <v>3.6148413842512772E-2</v>
      </c>
      <c r="S847" s="22">
        <v>4.0808364783516016E-2</v>
      </c>
      <c r="T847" s="19">
        <f t="shared" si="97"/>
        <v>4.2964779228635175E-2</v>
      </c>
      <c r="U847" s="24">
        <v>4.2656000399079685E-2</v>
      </c>
      <c r="V847" s="24">
        <f t="shared" si="98"/>
        <v>4.2954180573111511E-2</v>
      </c>
      <c r="W847" s="23">
        <f t="shared" ref="W847:W910" si="99">(1+V846)^(1/12)-1</f>
        <v>3.5108941542263405E-3</v>
      </c>
      <c r="X847" s="24">
        <v>4.2278240672261713E-2</v>
      </c>
      <c r="Y847" s="24">
        <f t="shared" ref="Y847:Y910" si="100">(1+X848)^P848/(1+X847)^P847-1</f>
        <v>4.2957719023680063E-2</v>
      </c>
      <c r="Z847" s="23">
        <f t="shared" ref="Z847:Z910" si="101">(1+Y846)^(1/12)-1</f>
        <v>3.5111774166105558E-3</v>
      </c>
      <c r="AA847" s="36"/>
    </row>
    <row r="848" spans="15:27" ht="13.9" customHeight="1" x14ac:dyDescent="0.3">
      <c r="O848" s="12">
        <f t="shared" si="95"/>
        <v>69.583333333333329</v>
      </c>
      <c r="P848" s="13">
        <v>835</v>
      </c>
      <c r="Q848" s="22">
        <v>3.5427219942288035E-2</v>
      </c>
      <c r="R848" s="19">
        <f t="shared" si="96"/>
        <v>3.6151842252884148E-2</v>
      </c>
      <c r="S848" s="22">
        <v>4.0810944647343472E-2</v>
      </c>
      <c r="T848" s="19">
        <f t="shared" si="97"/>
        <v>4.2965098696541526E-2</v>
      </c>
      <c r="U848" s="24">
        <v>4.2656357450093108E-2</v>
      </c>
      <c r="V848" s="24">
        <f t="shared" si="98"/>
        <v>4.2954491745906376E-2</v>
      </c>
      <c r="W848" s="23">
        <f t="shared" si="99"/>
        <v>3.5109192753455254E-3</v>
      </c>
      <c r="X848" s="24">
        <v>4.2279054153975704E-2</v>
      </c>
      <c r="Y848" s="24">
        <f t="shared" si="100"/>
        <v>4.2958035629609759E-2</v>
      </c>
      <c r="Z848" s="23">
        <f t="shared" si="101"/>
        <v>3.5112029941262168E-3</v>
      </c>
      <c r="AA848" s="36"/>
    </row>
    <row r="849" spans="15:27" ht="13.9" customHeight="1" x14ac:dyDescent="0.3">
      <c r="O849" s="12">
        <f t="shared" si="95"/>
        <v>69.666666666666671</v>
      </c>
      <c r="P849" s="13">
        <v>836</v>
      </c>
      <c r="Q849" s="22">
        <v>3.5428086412594206E-2</v>
      </c>
      <c r="R849" s="19">
        <f t="shared" si="96"/>
        <v>3.6155241998927057E-2</v>
      </c>
      <c r="S849" s="22">
        <v>4.0813518726970033E-2</v>
      </c>
      <c r="T849" s="19">
        <f t="shared" si="97"/>
        <v>4.2965415266137841E-2</v>
      </c>
      <c r="U849" s="24">
        <v>4.2656714019149389E-2</v>
      </c>
      <c r="V849" s="24">
        <f t="shared" si="98"/>
        <v>4.2954800805161453E-2</v>
      </c>
      <c r="W849" s="23">
        <f t="shared" si="99"/>
        <v>3.5109442257268419E-3</v>
      </c>
      <c r="X849" s="24">
        <v>4.2279866068662741E-2</v>
      </c>
      <c r="Y849" s="24">
        <f t="shared" si="100"/>
        <v>4.2958349863073453E-2</v>
      </c>
      <c r="Z849" s="23">
        <f t="shared" si="101"/>
        <v>3.5112283800668997E-3</v>
      </c>
      <c r="AA849" s="36"/>
    </row>
    <row r="850" spans="15:27" ht="13.9" customHeight="1" x14ac:dyDescent="0.3">
      <c r="O850" s="12">
        <f t="shared" si="95"/>
        <v>69.75</v>
      </c>
      <c r="P850" s="13">
        <v>837</v>
      </c>
      <c r="Q850" s="22">
        <v>3.5428954872186669E-2</v>
      </c>
      <c r="R850" s="19">
        <f t="shared" si="96"/>
        <v>3.6158613324144273E-2</v>
      </c>
      <c r="S850" s="22">
        <v>4.0816087039651894E-2</v>
      </c>
      <c r="T850" s="19">
        <f t="shared" si="97"/>
        <v>4.2965728962867988E-2</v>
      </c>
      <c r="U850" s="24">
        <v>4.2657070105451389E-2</v>
      </c>
      <c r="V850" s="24">
        <f t="shared" si="98"/>
        <v>4.2955107764036882E-2</v>
      </c>
      <c r="W850" s="23">
        <f t="shared" si="99"/>
        <v>3.5109690066341681E-3</v>
      </c>
      <c r="X850" s="24">
        <v>4.228067641910549E-2</v>
      </c>
      <c r="Y850" s="24">
        <f t="shared" si="100"/>
        <v>4.2958661743158322E-2</v>
      </c>
      <c r="Z850" s="23">
        <f t="shared" si="101"/>
        <v>3.5112535757726437E-3</v>
      </c>
      <c r="AA850" s="36"/>
    </row>
    <row r="851" spans="15:27" ht="13.9" customHeight="1" x14ac:dyDescent="0.3">
      <c r="O851" s="12">
        <f t="shared" si="95"/>
        <v>69.833333333333329</v>
      </c>
      <c r="P851" s="13">
        <v>838</v>
      </c>
      <c r="Q851" s="22">
        <v>3.5429825280047123E-2</v>
      </c>
      <c r="R851" s="19">
        <f t="shared" si="96"/>
        <v>3.6161956465944778E-2</v>
      </c>
      <c r="S851" s="22">
        <v>4.0818649602593293E-2</v>
      </c>
      <c r="T851" s="19">
        <f t="shared" si="97"/>
        <v>4.2966039813942869E-2</v>
      </c>
      <c r="U851" s="24">
        <v>4.2657425708221508E-2</v>
      </c>
      <c r="V851" s="24">
        <f t="shared" si="98"/>
        <v>4.2955412636908497E-2</v>
      </c>
      <c r="W851" s="23">
        <f t="shared" si="99"/>
        <v>3.5109936191226598E-3</v>
      </c>
      <c r="X851" s="24">
        <v>4.2281485208095715E-2</v>
      </c>
      <c r="Y851" s="24">
        <f t="shared" si="100"/>
        <v>4.2958971286514602E-2</v>
      </c>
      <c r="Z851" s="23">
        <f t="shared" si="101"/>
        <v>3.5112785827742243E-3</v>
      </c>
      <c r="AA851" s="36"/>
    </row>
    <row r="852" spans="15:27" ht="13.9" customHeight="1" x14ac:dyDescent="0.3">
      <c r="O852" s="12">
        <f t="shared" si="95"/>
        <v>69.916666666666671</v>
      </c>
      <c r="P852" s="13">
        <v>839</v>
      </c>
      <c r="Q852" s="22">
        <v>3.5430697595635552E-2</v>
      </c>
      <c r="R852" s="19">
        <f t="shared" si="96"/>
        <v>3.6165271662903287E-2</v>
      </c>
      <c r="S852" s="22">
        <v>4.0821206432948953E-2</v>
      </c>
      <c r="T852" s="19">
        <f t="shared" si="97"/>
        <v>4.2966347844278108E-2</v>
      </c>
      <c r="U852" s="24">
        <v>4.2657780826702796E-2</v>
      </c>
      <c r="V852" s="24">
        <f t="shared" si="98"/>
        <v>4.2955715438718567E-2</v>
      </c>
      <c r="W852" s="23">
        <f t="shared" si="99"/>
        <v>3.5110180643453948E-3</v>
      </c>
      <c r="X852" s="24">
        <v>4.2282292438431845E-2</v>
      </c>
      <c r="Y852" s="24">
        <f t="shared" si="100"/>
        <v>4.29592785111097E-2</v>
      </c>
      <c r="Z852" s="23">
        <f t="shared" si="101"/>
        <v>3.5113034024065737E-3</v>
      </c>
      <c r="AA852" s="36"/>
    </row>
    <row r="853" spans="15:27" ht="13.9" customHeight="1" x14ac:dyDescent="0.3">
      <c r="O853" s="12">
        <f t="shared" si="95"/>
        <v>70</v>
      </c>
      <c r="P853" s="13">
        <v>840</v>
      </c>
      <c r="Q853" s="22">
        <v>3.5431571778889115E-2</v>
      </c>
      <c r="R853" s="19">
        <f t="shared" si="96"/>
        <v>3.616855914977779E-2</v>
      </c>
      <c r="S853" s="22">
        <v>4.0823757547821415E-2</v>
      </c>
      <c r="T853" s="19">
        <f t="shared" si="97"/>
        <v>4.2966653080600326E-2</v>
      </c>
      <c r="U853" s="24">
        <v>4.2658135460160063E-2</v>
      </c>
      <c r="V853" s="24">
        <f t="shared" si="98"/>
        <v>4.2956016183096413E-2</v>
      </c>
      <c r="W853" s="23">
        <f t="shared" si="99"/>
        <v>3.5110423435003035E-3</v>
      </c>
      <c r="X853" s="24">
        <v>4.2283098112920525E-2</v>
      </c>
      <c r="Y853" s="24">
        <f t="shared" si="100"/>
        <v>4.295958343413897E-2</v>
      </c>
      <c r="Z853" s="23">
        <f t="shared" si="101"/>
        <v>3.5113280361105392E-3</v>
      </c>
      <c r="AA853" s="36"/>
    </row>
    <row r="854" spans="15:27" ht="13.9" customHeight="1" x14ac:dyDescent="0.3">
      <c r="O854" s="12">
        <f t="shared" si="95"/>
        <v>70.083333333333329</v>
      </c>
      <c r="P854" s="13">
        <v>841</v>
      </c>
      <c r="Q854" s="22">
        <v>3.5432447790214594E-2</v>
      </c>
      <c r="R854" s="19">
        <f t="shared" si="96"/>
        <v>3.617181915974732E-2</v>
      </c>
      <c r="S854" s="22">
        <v>4.0826302964263483E-2</v>
      </c>
      <c r="T854" s="19">
        <f t="shared" si="97"/>
        <v>4.2966955547086627E-2</v>
      </c>
      <c r="U854" s="24">
        <v>4.2658489607877437E-2</v>
      </c>
      <c r="V854" s="24">
        <f t="shared" si="98"/>
        <v>4.2956314883828117E-2</v>
      </c>
      <c r="W854" s="23">
        <f t="shared" si="99"/>
        <v>3.5110664576802897E-3</v>
      </c>
      <c r="X854" s="24">
        <v>4.2283902234375281E-2</v>
      </c>
      <c r="Y854" s="24">
        <f t="shared" si="100"/>
        <v>4.2959886073511866E-2</v>
      </c>
      <c r="Z854" s="23">
        <f t="shared" si="101"/>
        <v>3.51135248526524E-3</v>
      </c>
      <c r="AA854" s="36"/>
    </row>
    <row r="855" spans="15:27" ht="13.9" customHeight="1" x14ac:dyDescent="0.3">
      <c r="O855" s="12">
        <f t="shared" si="95"/>
        <v>70.166666666666671</v>
      </c>
      <c r="P855" s="13">
        <v>842</v>
      </c>
      <c r="Q855" s="22">
        <v>3.5433325590484177E-2</v>
      </c>
      <c r="R855" s="19">
        <f t="shared" si="96"/>
        <v>3.617505192404713E-2</v>
      </c>
      <c r="S855" s="22">
        <v>4.0828842699276224E-2</v>
      </c>
      <c r="T855" s="19">
        <f t="shared" si="97"/>
        <v>4.2967255269038329E-2</v>
      </c>
      <c r="U855" s="24">
        <v>4.265884326915903E-2</v>
      </c>
      <c r="V855" s="24">
        <f t="shared" si="98"/>
        <v>4.2956611555281743E-2</v>
      </c>
      <c r="W855" s="23">
        <f t="shared" si="99"/>
        <v>3.5110904079913574E-3</v>
      </c>
      <c r="X855" s="24">
        <v>4.2284704805617412E-2</v>
      </c>
      <c r="Y855" s="24">
        <f t="shared" si="100"/>
        <v>4.2960186445252013E-2</v>
      </c>
      <c r="Z855" s="23">
        <f t="shared" si="101"/>
        <v>3.5113767513068606E-3</v>
      </c>
      <c r="AA855" s="36"/>
    </row>
    <row r="856" spans="15:27" ht="13.9" customHeight="1" x14ac:dyDescent="0.3">
      <c r="O856" s="12">
        <f t="shared" si="95"/>
        <v>70.25</v>
      </c>
      <c r="P856" s="13">
        <v>843</v>
      </c>
      <c r="Q856" s="22">
        <v>3.5434205141029462E-2</v>
      </c>
      <c r="R856" s="19">
        <f t="shared" si="96"/>
        <v>3.617825767189542E-2</v>
      </c>
      <c r="S856" s="22">
        <v>4.0831376769809635E-2</v>
      </c>
      <c r="T856" s="19">
        <f t="shared" si="97"/>
        <v>4.2967552272382026E-2</v>
      </c>
      <c r="U856" s="24">
        <v>4.2659196443329161E-2</v>
      </c>
      <c r="V856" s="24">
        <f t="shared" si="98"/>
        <v>4.295690621083792E-2</v>
      </c>
      <c r="W856" s="23">
        <f t="shared" si="99"/>
        <v>3.5111141955852521E-3</v>
      </c>
      <c r="X856" s="24">
        <v>4.2285505829474213E-2</v>
      </c>
      <c r="Y856" s="24">
        <f t="shared" si="100"/>
        <v>4.2960484566907597E-2</v>
      </c>
      <c r="Z856" s="23">
        <f t="shared" si="101"/>
        <v>3.5114008355199289E-3</v>
      </c>
      <c r="AA856" s="36"/>
    </row>
    <row r="857" spans="15:27" ht="13.9" customHeight="1" x14ac:dyDescent="0.3">
      <c r="O857" s="12">
        <f t="shared" si="95"/>
        <v>70.333333333333329</v>
      </c>
      <c r="P857" s="13">
        <v>844</v>
      </c>
      <c r="Q857" s="22">
        <v>3.5435086403637461E-2</v>
      </c>
      <c r="R857" s="19">
        <f t="shared" si="96"/>
        <v>3.6181436631083308E-2</v>
      </c>
      <c r="S857" s="22">
        <v>4.0833905192763975E-2</v>
      </c>
      <c r="T857" s="19">
        <f t="shared" si="97"/>
        <v>4.2967846580845181E-2</v>
      </c>
      <c r="U857" s="24">
        <v>4.2659549129731467E-2</v>
      </c>
      <c r="V857" s="24">
        <f t="shared" si="98"/>
        <v>4.2957198864285617E-2</v>
      </c>
      <c r="W857" s="23">
        <f t="shared" si="99"/>
        <v>3.5111378215351152E-3</v>
      </c>
      <c r="X857" s="24">
        <v>4.2286305308780081E-2</v>
      </c>
      <c r="Y857" s="24">
        <f t="shared" si="100"/>
        <v>4.2960780455537861E-2</v>
      </c>
      <c r="Z857" s="23">
        <f t="shared" si="101"/>
        <v>3.5114247393119857E-3</v>
      </c>
      <c r="AA857" s="36"/>
    </row>
    <row r="858" spans="15:27" ht="13.9" customHeight="1" x14ac:dyDescent="0.3">
      <c r="O858" s="12">
        <f t="shared" si="95"/>
        <v>70.416666666666671</v>
      </c>
      <c r="P858" s="13">
        <v>845</v>
      </c>
      <c r="Q858" s="22">
        <v>3.5435969340545048E-2</v>
      </c>
      <c r="R858" s="19">
        <f t="shared" si="96"/>
        <v>3.6184589027029368E-2</v>
      </c>
      <c r="S858" s="22">
        <v>4.0836427984987989E-2</v>
      </c>
      <c r="T858" s="19">
        <f t="shared" si="97"/>
        <v>4.2968138218994145E-2</v>
      </c>
      <c r="U858" s="24">
        <v>4.2659901327728678E-2</v>
      </c>
      <c r="V858" s="24">
        <f t="shared" si="98"/>
        <v>4.295748952975198E-2</v>
      </c>
      <c r="W858" s="23">
        <f t="shared" si="99"/>
        <v>3.511161286946507E-3</v>
      </c>
      <c r="X858" s="24">
        <v>4.2287103246376301E-2</v>
      </c>
      <c r="Y858" s="24">
        <f t="shared" si="100"/>
        <v>4.2961074127578103E-2</v>
      </c>
      <c r="Z858" s="23">
        <f t="shared" si="101"/>
        <v>3.5114484640510479E-3</v>
      </c>
      <c r="AA858" s="36"/>
    </row>
    <row r="859" spans="15:27" ht="13.9" customHeight="1" x14ac:dyDescent="0.3">
      <c r="O859" s="12">
        <f t="shared" si="95"/>
        <v>70.5</v>
      </c>
      <c r="P859" s="13">
        <v>846</v>
      </c>
      <c r="Q859" s="22">
        <v>3.5436853914434741E-2</v>
      </c>
      <c r="R859" s="19">
        <f t="shared" si="96"/>
        <v>3.6187715082229621E-2</v>
      </c>
      <c r="S859" s="22">
        <v>4.0838945163279572E-2</v>
      </c>
      <c r="T859" s="19">
        <f t="shared" si="97"/>
        <v>4.2968427211063753E-2</v>
      </c>
      <c r="U859" s="24">
        <v>4.2660253036703288E-2</v>
      </c>
      <c r="V859" s="24">
        <f t="shared" si="98"/>
        <v>4.2957778220188869E-2</v>
      </c>
      <c r="W859" s="23">
        <f t="shared" si="99"/>
        <v>3.511184592952743E-3</v>
      </c>
      <c r="X859" s="24">
        <v>4.2287899645109928E-2</v>
      </c>
      <c r="Y859" s="24">
        <f t="shared" si="100"/>
        <v>4.2961365600124202E-2</v>
      </c>
      <c r="Z859" s="23">
        <f t="shared" si="101"/>
        <v>3.5114720110547282E-3</v>
      </c>
      <c r="AA859" s="36"/>
    </row>
    <row r="860" spans="15:27" ht="13.9" customHeight="1" x14ac:dyDescent="0.3">
      <c r="O860" s="12">
        <f t="shared" si="95"/>
        <v>70.583333333333329</v>
      </c>
      <c r="P860" s="13">
        <v>847</v>
      </c>
      <c r="Q860" s="22">
        <v>3.5437740088427594E-2</v>
      </c>
      <c r="R860" s="19">
        <f t="shared" si="96"/>
        <v>3.6190815019564893E-2</v>
      </c>
      <c r="S860" s="22">
        <v>4.0841456744385995E-2</v>
      </c>
      <c r="T860" s="19">
        <f t="shared" si="97"/>
        <v>4.2968713581680973E-2</v>
      </c>
      <c r="U860" s="24">
        <v>4.2660604256056223E-2</v>
      </c>
      <c r="V860" s="24">
        <f t="shared" si="98"/>
        <v>4.2958064948699803E-2</v>
      </c>
      <c r="W860" s="23">
        <f t="shared" si="99"/>
        <v>3.5112077405921038E-3</v>
      </c>
      <c r="X860" s="24">
        <v>4.2288694507834901E-2</v>
      </c>
      <c r="Y860" s="24">
        <f t="shared" si="100"/>
        <v>4.2961654888505008E-2</v>
      </c>
      <c r="Z860" s="23">
        <f t="shared" si="101"/>
        <v>3.5114953816941519E-3</v>
      </c>
      <c r="AA860" s="36"/>
    </row>
    <row r="861" spans="15:27" ht="13.9" customHeight="1" x14ac:dyDescent="0.3">
      <c r="O861" s="12">
        <f t="shared" si="95"/>
        <v>70.666666666666671</v>
      </c>
      <c r="P861" s="13">
        <v>848</v>
      </c>
      <c r="Q861" s="22">
        <v>3.5438627826081426E-2</v>
      </c>
      <c r="R861" s="19">
        <f t="shared" si="96"/>
        <v>3.6193889057539286E-2</v>
      </c>
      <c r="S861" s="22">
        <v>4.0843962745004347E-2</v>
      </c>
      <c r="T861" s="19">
        <f t="shared" si="97"/>
        <v>4.2968997354155825E-2</v>
      </c>
      <c r="U861" s="24">
        <v>4.2660954985206612E-2</v>
      </c>
      <c r="V861" s="24">
        <f t="shared" si="98"/>
        <v>4.295834972983581E-2</v>
      </c>
      <c r="W861" s="23">
        <f t="shared" si="99"/>
        <v>3.5112307309153046E-3</v>
      </c>
      <c r="X861" s="24">
        <v>4.2289487837409823E-2</v>
      </c>
      <c r="Y861" s="24">
        <f t="shared" si="100"/>
        <v>4.2961942010750098E-2</v>
      </c>
      <c r="Z861" s="23">
        <f t="shared" si="101"/>
        <v>3.5115185771983359E-3</v>
      </c>
      <c r="AA861" s="36"/>
    </row>
    <row r="862" spans="15:27" ht="13.9" customHeight="1" x14ac:dyDescent="0.3">
      <c r="O862" s="12">
        <f t="shared" si="95"/>
        <v>70.75</v>
      </c>
      <c r="P862" s="13">
        <v>849</v>
      </c>
      <c r="Q862" s="22">
        <v>3.5439517091383266E-2</v>
      </c>
      <c r="R862" s="19">
        <f t="shared" si="96"/>
        <v>3.6196937414653796E-2</v>
      </c>
      <c r="S862" s="22">
        <v>4.0846463181780868E-2</v>
      </c>
      <c r="T862" s="19">
        <f t="shared" si="97"/>
        <v>4.2969278552262846E-2</v>
      </c>
      <c r="U862" s="24">
        <v>4.2661305223593127E-2</v>
      </c>
      <c r="V862" s="24">
        <f t="shared" si="98"/>
        <v>4.2958632576147737E-2</v>
      </c>
      <c r="W862" s="23">
        <f t="shared" si="99"/>
        <v>3.5112535650894117E-3</v>
      </c>
      <c r="X862" s="24">
        <v>4.2290279636701067E-2</v>
      </c>
      <c r="Y862" s="24">
        <f t="shared" si="100"/>
        <v>4.2962226982297569E-2</v>
      </c>
      <c r="Z862" s="23">
        <f t="shared" si="101"/>
        <v>3.5115415990134569E-3</v>
      </c>
      <c r="AA862" s="36"/>
    </row>
    <row r="863" spans="15:27" ht="13.9" customHeight="1" x14ac:dyDescent="0.3">
      <c r="O863" s="12">
        <f t="shared" si="95"/>
        <v>70.833333333333329</v>
      </c>
      <c r="P863" s="13">
        <v>850</v>
      </c>
      <c r="Q863" s="22">
        <v>3.5440407848746691E-2</v>
      </c>
      <c r="R863" s="19">
        <f t="shared" si="96"/>
        <v>3.6199960306575907E-2</v>
      </c>
      <c r="S863" s="22">
        <v>4.084895807131117E-2</v>
      </c>
      <c r="T863" s="19">
        <f t="shared" si="97"/>
        <v>4.2969557198645925E-2</v>
      </c>
      <c r="U863" s="24">
        <v>4.2661654970672203E-2</v>
      </c>
      <c r="V863" s="24">
        <f t="shared" si="98"/>
        <v>4.2958913500185103E-2</v>
      </c>
      <c r="W863" s="23">
        <f t="shared" si="99"/>
        <v>3.5112762441209533E-3</v>
      </c>
      <c r="X863" s="24">
        <v>4.2291069908579448E-2</v>
      </c>
      <c r="Y863" s="24">
        <f t="shared" si="100"/>
        <v>4.2962509818519123E-2</v>
      </c>
      <c r="Z863" s="23">
        <f t="shared" si="101"/>
        <v>3.5115644483771913E-3</v>
      </c>
      <c r="AA863" s="36"/>
    </row>
    <row r="864" spans="15:27" ht="13.9" customHeight="1" x14ac:dyDescent="0.3">
      <c r="O864" s="12">
        <f t="shared" si="95"/>
        <v>70.916666666666671</v>
      </c>
      <c r="P864" s="13">
        <v>851</v>
      </c>
      <c r="Q864" s="22">
        <v>3.544130006300561E-2</v>
      </c>
      <c r="R864" s="19">
        <f t="shared" si="96"/>
        <v>3.6202957947995662E-2</v>
      </c>
      <c r="S864" s="22">
        <v>4.0851447430139576E-2</v>
      </c>
      <c r="T864" s="19">
        <f t="shared" si="97"/>
        <v>4.2969833317425321E-2</v>
      </c>
      <c r="U864" s="24">
        <v>4.2662004225917594E-2</v>
      </c>
      <c r="V864" s="24">
        <f t="shared" si="98"/>
        <v>4.2959192515940048E-2</v>
      </c>
      <c r="W864" s="23">
        <f t="shared" si="99"/>
        <v>3.5112987690157915E-3</v>
      </c>
      <c r="X864" s="24">
        <v>4.2291858655920445E-2</v>
      </c>
      <c r="Y864" s="24">
        <f t="shared" si="100"/>
        <v>4.2962790536758666E-2</v>
      </c>
      <c r="Z864" s="23">
        <f t="shared" si="101"/>
        <v>3.5115871265223308E-3</v>
      </c>
      <c r="AA864" s="36"/>
    </row>
    <row r="865" spans="15:27" ht="13.9" customHeight="1" x14ac:dyDescent="0.3">
      <c r="O865" s="12">
        <f t="shared" si="95"/>
        <v>71</v>
      </c>
      <c r="P865" s="13">
        <v>852</v>
      </c>
      <c r="Q865" s="22">
        <v>3.5442193699411373E-2</v>
      </c>
      <c r="R865" s="19">
        <f t="shared" si="96"/>
        <v>3.6205930550383902E-2</v>
      </c>
      <c r="S865" s="22">
        <v>4.0853931274761113E-2</v>
      </c>
      <c r="T865" s="19">
        <f t="shared" si="97"/>
        <v>4.2970106931240926E-2</v>
      </c>
      <c r="U865" s="24">
        <v>4.2662352988821484E-2</v>
      </c>
      <c r="V865" s="24">
        <f t="shared" si="98"/>
        <v>4.2959469635875935E-2</v>
      </c>
      <c r="W865" s="23">
        <f t="shared" si="99"/>
        <v>3.5113211408965839E-3</v>
      </c>
      <c r="X865" s="24">
        <v>4.2292645881606639E-2</v>
      </c>
      <c r="Y865" s="24">
        <f t="shared" si="100"/>
        <v>4.2963069151674471E-2</v>
      </c>
      <c r="Z865" s="23">
        <f t="shared" si="101"/>
        <v>3.5116096348393189E-3</v>
      </c>
      <c r="AA865" s="36"/>
    </row>
    <row r="866" spans="15:27" ht="13.9" customHeight="1" x14ac:dyDescent="0.3">
      <c r="O866" s="12">
        <f t="shared" si="95"/>
        <v>71.083333333333329</v>
      </c>
      <c r="P866" s="13">
        <v>853</v>
      </c>
      <c r="Q866" s="22">
        <v>3.5443088723626115E-2</v>
      </c>
      <c r="R866" s="19">
        <f t="shared" si="96"/>
        <v>3.6208878324991423E-2</v>
      </c>
      <c r="S866" s="22">
        <v>4.0856409621619738E-2</v>
      </c>
      <c r="T866" s="19">
        <f t="shared" si="97"/>
        <v>4.2970378062603842E-2</v>
      </c>
      <c r="U866" s="24">
        <v>4.266270125889382E-2</v>
      </c>
      <c r="V866" s="24">
        <f t="shared" si="98"/>
        <v>4.2959744873363626E-2</v>
      </c>
      <c r="W866" s="23">
        <f t="shared" si="99"/>
        <v>3.511343360762309E-3</v>
      </c>
      <c r="X866" s="24">
        <v>4.2293431588523722E-2</v>
      </c>
      <c r="Y866" s="24">
        <f t="shared" si="100"/>
        <v>4.2963345680032017E-2</v>
      </c>
      <c r="Z866" s="23">
        <f t="shared" si="101"/>
        <v>3.5116319745041036E-3</v>
      </c>
      <c r="AA866" s="36"/>
    </row>
    <row r="867" spans="15:27" ht="13.9" customHeight="1" x14ac:dyDescent="0.3">
      <c r="O867" s="12">
        <f t="shared" si="95"/>
        <v>71.166666666666671</v>
      </c>
      <c r="P867" s="13">
        <v>854</v>
      </c>
      <c r="Q867" s="22">
        <v>3.5443985101720088E-2</v>
      </c>
      <c r="R867" s="19">
        <f t="shared" si="96"/>
        <v>3.6211801479526295E-2</v>
      </c>
      <c r="S867" s="22">
        <v>4.0858882487109227E-2</v>
      </c>
      <c r="T867" s="19">
        <f t="shared" si="97"/>
        <v>4.297064673419615E-2</v>
      </c>
      <c r="U867" s="24">
        <v>4.2663049035661649E-2</v>
      </c>
      <c r="V867" s="24">
        <f t="shared" si="98"/>
        <v>4.2960018240923326E-2</v>
      </c>
      <c r="W867" s="23">
        <f t="shared" si="99"/>
        <v>3.5113654296854424E-3</v>
      </c>
      <c r="X867" s="24">
        <v>4.2294215779564048E-2</v>
      </c>
      <c r="Y867" s="24">
        <f t="shared" si="100"/>
        <v>4.2963620136474701E-2</v>
      </c>
      <c r="Z867" s="23">
        <f t="shared" si="101"/>
        <v>3.511654146860721E-3</v>
      </c>
      <c r="AA867" s="36"/>
    </row>
    <row r="868" spans="15:27" ht="13.9" customHeight="1" x14ac:dyDescent="0.3">
      <c r="O868" s="12">
        <f t="shared" si="95"/>
        <v>71.25</v>
      </c>
      <c r="P868" s="13">
        <v>855</v>
      </c>
      <c r="Q868" s="22">
        <v>3.5444882800165001E-2</v>
      </c>
      <c r="R868" s="19">
        <f t="shared" si="96"/>
        <v>3.6214700221472773E-2</v>
      </c>
      <c r="S868" s="22">
        <v>4.0861349887572729E-2</v>
      </c>
      <c r="T868" s="19">
        <f t="shared" si="97"/>
        <v>4.2970912967976949E-2</v>
      </c>
      <c r="U868" s="24">
        <v>4.2663396318669333E-2</v>
      </c>
      <c r="V868" s="24">
        <f t="shared" si="98"/>
        <v>4.2960289750680003E-2</v>
      </c>
      <c r="W868" s="23">
        <f t="shared" si="99"/>
        <v>3.5113873486698477E-3</v>
      </c>
      <c r="X868" s="24">
        <v>4.2294998457623301E-2</v>
      </c>
      <c r="Y868" s="24">
        <f t="shared" si="100"/>
        <v>4.2963892538077086E-2</v>
      </c>
      <c r="Z868" s="23">
        <f t="shared" si="101"/>
        <v>3.511676153083565E-3</v>
      </c>
      <c r="AA868" s="36"/>
    </row>
    <row r="869" spans="15:27" ht="13.9" customHeight="1" x14ac:dyDescent="0.3">
      <c r="O869" s="12">
        <f t="shared" si="95"/>
        <v>71.333333333333329</v>
      </c>
      <c r="P869" s="13">
        <v>856</v>
      </c>
      <c r="Q869" s="22">
        <v>3.5445781785831798E-2</v>
      </c>
      <c r="R869" s="19">
        <f t="shared" si="96"/>
        <v>3.6217574756381099E-2</v>
      </c>
      <c r="S869" s="22">
        <v>4.0863811839302988E-2</v>
      </c>
      <c r="T869" s="19">
        <f t="shared" si="97"/>
        <v>4.2971176787396148E-2</v>
      </c>
      <c r="U869" s="24">
        <v>4.266374310747767E-2</v>
      </c>
      <c r="V869" s="24">
        <f t="shared" si="98"/>
        <v>4.2960559416672206E-2</v>
      </c>
      <c r="W869" s="23">
        <f t="shared" si="99"/>
        <v>3.5114091186876362E-3</v>
      </c>
      <c r="X869" s="24">
        <v>4.229577962560338E-2</v>
      </c>
      <c r="Y869" s="24">
        <f t="shared" si="100"/>
        <v>4.2964162898965874E-2</v>
      </c>
      <c r="Z869" s="23">
        <f t="shared" si="101"/>
        <v>3.5116979945417626E-3</v>
      </c>
      <c r="AA869" s="36"/>
    </row>
    <row r="870" spans="15:27" ht="13.9" customHeight="1" x14ac:dyDescent="0.3">
      <c r="O870" s="12">
        <f t="shared" si="95"/>
        <v>71.416666666666671</v>
      </c>
      <c r="P870" s="13">
        <v>857</v>
      </c>
      <c r="Q870" s="22">
        <v>3.5446682025985998E-2</v>
      </c>
      <c r="R870" s="19">
        <f t="shared" si="96"/>
        <v>3.6220425287250446E-2</v>
      </c>
      <c r="S870" s="22">
        <v>4.08662683585439E-2</v>
      </c>
      <c r="T870" s="19">
        <f t="shared" si="97"/>
        <v>4.2971438212627833E-2</v>
      </c>
      <c r="U870" s="24">
        <v>4.2664089401665439E-2</v>
      </c>
      <c r="V870" s="24">
        <f t="shared" si="98"/>
        <v>4.2960827249754585E-2</v>
      </c>
      <c r="W870" s="23">
        <f t="shared" si="99"/>
        <v>3.5114307408650181E-3</v>
      </c>
      <c r="X870" s="24">
        <v>4.2296559286409519E-2</v>
      </c>
      <c r="Y870" s="24">
        <f t="shared" si="100"/>
        <v>4.2964431233980971E-2</v>
      </c>
      <c r="Z870" s="23">
        <f t="shared" si="101"/>
        <v>3.5117196723681854E-3</v>
      </c>
      <c r="AA870" s="36"/>
    </row>
    <row r="871" spans="15:27" ht="13.9" customHeight="1" x14ac:dyDescent="0.3">
      <c r="O871" s="12">
        <f t="shared" si="95"/>
        <v>71.5</v>
      </c>
      <c r="P871" s="13">
        <v>858</v>
      </c>
      <c r="Q871" s="22">
        <v>3.544758348828192E-2</v>
      </c>
      <c r="R871" s="19">
        <f t="shared" si="96"/>
        <v>3.6223252015653351E-2</v>
      </c>
      <c r="S871" s="22">
        <v>4.086871946148718E-2</v>
      </c>
      <c r="T871" s="19">
        <f t="shared" si="97"/>
        <v>4.2971697266442455E-2</v>
      </c>
      <c r="U871" s="24">
        <v>4.2664435200826523E-2</v>
      </c>
      <c r="V871" s="24">
        <f t="shared" si="98"/>
        <v>4.2961093263623074E-2</v>
      </c>
      <c r="W871" s="23">
        <f t="shared" si="99"/>
        <v>3.5114522160721862E-3</v>
      </c>
      <c r="X871" s="24">
        <v>4.22973374429505E-2</v>
      </c>
      <c r="Y871" s="24">
        <f t="shared" si="100"/>
        <v>4.2964697559762177E-2</v>
      </c>
      <c r="Z871" s="23">
        <f t="shared" si="101"/>
        <v>3.5117411877527704E-3</v>
      </c>
      <c r="AA871" s="36"/>
    </row>
    <row r="872" spans="15:27" ht="13.9" customHeight="1" x14ac:dyDescent="0.3">
      <c r="O872" s="12">
        <f t="shared" si="95"/>
        <v>71.583333333333329</v>
      </c>
      <c r="P872" s="13">
        <v>859</v>
      </c>
      <c r="Q872" s="22">
        <v>3.544848614075935E-2</v>
      </c>
      <c r="R872" s="19">
        <f t="shared" si="96"/>
        <v>3.6226055141481694E-2</v>
      </c>
      <c r="S872" s="22">
        <v>4.0871165164275691E-2</v>
      </c>
      <c r="T872" s="19">
        <f t="shared" si="97"/>
        <v>4.2971953969954013E-2</v>
      </c>
      <c r="U872" s="24">
        <v>4.266478050457212E-2</v>
      </c>
      <c r="V872" s="24">
        <f t="shared" si="98"/>
        <v>4.2961357470017614E-2</v>
      </c>
      <c r="W872" s="23">
        <f t="shared" si="99"/>
        <v>3.5114735454073731E-3</v>
      </c>
      <c r="X872" s="24">
        <v>4.2298114098140882E-2</v>
      </c>
      <c r="Y872" s="24">
        <f t="shared" si="100"/>
        <v>4.296496189026966E-2</v>
      </c>
      <c r="Z872" s="23">
        <f t="shared" si="101"/>
        <v>3.5117625420297838E-3</v>
      </c>
      <c r="AA872" s="36"/>
    </row>
    <row r="873" spans="15:27" ht="13.9" customHeight="1" x14ac:dyDescent="0.3">
      <c r="O873" s="12">
        <f t="shared" si="95"/>
        <v>71.666666666666671</v>
      </c>
      <c r="P873" s="13">
        <v>860</v>
      </c>
      <c r="Q873" s="22">
        <v>3.5449389951839327E-2</v>
      </c>
      <c r="R873" s="19">
        <f t="shared" si="96"/>
        <v>3.6228834863356152E-2</v>
      </c>
      <c r="S873" s="22">
        <v>4.0873605483001896E-2</v>
      </c>
      <c r="T873" s="19">
        <f t="shared" si="97"/>
        <v>4.2972208344630669E-2</v>
      </c>
      <c r="U873" s="24">
        <v>4.2665125312529195E-2</v>
      </c>
      <c r="V873" s="24">
        <f t="shared" si="98"/>
        <v>4.2961619882204927E-2</v>
      </c>
      <c r="W873" s="23">
        <f t="shared" si="99"/>
        <v>3.511494729811826E-3</v>
      </c>
      <c r="X873" s="24">
        <v>4.2298889254897887E-2</v>
      </c>
      <c r="Y873" s="24">
        <f t="shared" si="100"/>
        <v>4.2965224241759303E-2</v>
      </c>
      <c r="Z873" s="23">
        <f t="shared" si="101"/>
        <v>3.5117837363187743E-3</v>
      </c>
      <c r="AA873" s="36"/>
    </row>
    <row r="874" spans="15:27" ht="13.9" customHeight="1" x14ac:dyDescent="0.3">
      <c r="O874" s="12">
        <f t="shared" si="95"/>
        <v>71.75</v>
      </c>
      <c r="P874" s="13">
        <v>861</v>
      </c>
      <c r="Q874" s="22">
        <v>3.54502948903197E-2</v>
      </c>
      <c r="R874" s="19">
        <f t="shared" si="96"/>
        <v>3.623159137762455E-2</v>
      </c>
      <c r="S874" s="22">
        <v>4.0876040433708294E-2</v>
      </c>
      <c r="T874" s="19">
        <f t="shared" si="97"/>
        <v>4.2972460412156188E-2</v>
      </c>
      <c r="U874" s="24">
        <v>4.2665469624341812E-2</v>
      </c>
      <c r="V874" s="24">
        <f t="shared" si="98"/>
        <v>4.2961880511055872E-2</v>
      </c>
      <c r="W874" s="23">
        <f t="shared" si="99"/>
        <v>3.5115157703498046E-3</v>
      </c>
      <c r="X874" s="24">
        <v>4.2299662916144065E-2</v>
      </c>
      <c r="Y874" s="24">
        <f t="shared" si="100"/>
        <v>4.2965484627587536E-2</v>
      </c>
      <c r="Z874" s="23">
        <f t="shared" si="101"/>
        <v>3.5118047719233658E-3</v>
      </c>
      <c r="AA874" s="36"/>
    </row>
    <row r="875" spans="15:27" ht="13.9" customHeight="1" x14ac:dyDescent="0.3">
      <c r="O875" s="12">
        <f t="shared" si="95"/>
        <v>71.833333333333329</v>
      </c>
      <c r="P875" s="13">
        <v>862</v>
      </c>
      <c r="Q875" s="22">
        <v>3.5451200925371351E-2</v>
      </c>
      <c r="R875" s="19">
        <f t="shared" si="96"/>
        <v>3.6234324879506064E-2</v>
      </c>
      <c r="S875" s="22">
        <v>4.0878470032388092E-2</v>
      </c>
      <c r="T875" s="19">
        <f t="shared" si="97"/>
        <v>4.2972710192235475E-2</v>
      </c>
      <c r="U875" s="24">
        <v>4.2665813439668243E-2</v>
      </c>
      <c r="V875" s="24">
        <f t="shared" si="98"/>
        <v>4.2962139369194796E-2</v>
      </c>
      <c r="W875" s="23">
        <f t="shared" si="99"/>
        <v>3.5115366678928339E-3</v>
      </c>
      <c r="X875" s="24">
        <v>4.2300435084803967E-2</v>
      </c>
      <c r="Y875" s="24">
        <f t="shared" si="100"/>
        <v>4.2965743062790773E-2</v>
      </c>
      <c r="Z875" s="23">
        <f t="shared" si="101"/>
        <v>3.5118256499142575E-3</v>
      </c>
      <c r="AA875" s="36"/>
    </row>
    <row r="876" spans="15:27" ht="13.9" customHeight="1" x14ac:dyDescent="0.3">
      <c r="O876" s="12">
        <f t="shared" si="95"/>
        <v>71.916666666666671</v>
      </c>
      <c r="P876" s="13">
        <v>863</v>
      </c>
      <c r="Q876" s="22">
        <v>3.5452108026533979E-2</v>
      </c>
      <c r="R876" s="19">
        <f t="shared" si="96"/>
        <v>3.6237035561847764E-2</v>
      </c>
      <c r="S876" s="22">
        <v>4.0880894294983205E-2</v>
      </c>
      <c r="T876" s="19">
        <f t="shared" si="97"/>
        <v>4.2972957706492343E-2</v>
      </c>
      <c r="U876" s="24">
        <v>4.2666156758183194E-2</v>
      </c>
      <c r="V876" s="24">
        <f t="shared" si="98"/>
        <v>4.2962396469150566E-2</v>
      </c>
      <c r="W876" s="23">
        <f t="shared" si="99"/>
        <v>3.5115574234532154E-3</v>
      </c>
      <c r="X876" s="24">
        <v>4.2301205763805916E-2</v>
      </c>
      <c r="Y876" s="24">
        <f t="shared" si="100"/>
        <v>4.2965999562609491E-2</v>
      </c>
      <c r="Z876" s="23">
        <f t="shared" si="101"/>
        <v>3.5118463714975956E-3</v>
      </c>
      <c r="AA876" s="36"/>
    </row>
    <row r="877" spans="15:27" ht="13.9" customHeight="1" x14ac:dyDescent="0.3">
      <c r="O877" s="12">
        <f t="shared" si="95"/>
        <v>72</v>
      </c>
      <c r="P877" s="13">
        <v>864</v>
      </c>
      <c r="Q877" s="22">
        <v>3.5453016163711437E-2</v>
      </c>
      <c r="R877" s="19">
        <f t="shared" si="96"/>
        <v>3.6239723616299901E-2</v>
      </c>
      <c r="S877" s="22">
        <v>4.088331323738692E-2</v>
      </c>
      <c r="T877" s="19">
        <f t="shared" si="97"/>
        <v>4.2973202975700397E-2</v>
      </c>
      <c r="U877" s="24">
        <v>4.2666499579576911E-2</v>
      </c>
      <c r="V877" s="24">
        <f t="shared" si="98"/>
        <v>4.2962651822038955E-2</v>
      </c>
      <c r="W877" s="23">
        <f t="shared" si="99"/>
        <v>3.5115780380354789E-3</v>
      </c>
      <c r="X877" s="24">
        <v>4.2301974956082455E-2</v>
      </c>
      <c r="Y877" s="24">
        <f t="shared" si="100"/>
        <v>4.296625414104116E-2</v>
      </c>
      <c r="Z877" s="23">
        <f t="shared" si="101"/>
        <v>3.5118669378950695E-3</v>
      </c>
      <c r="AA877" s="36"/>
    </row>
    <row r="878" spans="15:27" ht="13.9" customHeight="1" x14ac:dyDescent="0.3">
      <c r="O878" s="12">
        <f t="shared" si="95"/>
        <v>72.083333333333329</v>
      </c>
      <c r="P878" s="13">
        <v>865</v>
      </c>
      <c r="Q878" s="22">
        <v>3.5453925307168399E-2</v>
      </c>
      <c r="R878" s="19">
        <f t="shared" si="96"/>
        <v>3.6242389233285932E-2</v>
      </c>
      <c r="S878" s="22">
        <v>4.0885726875443007E-2</v>
      </c>
      <c r="T878" s="19">
        <f t="shared" si="97"/>
        <v>4.2973446019701989E-2</v>
      </c>
      <c r="U878" s="24">
        <v>4.2666841903554298E-2</v>
      </c>
      <c r="V878" s="24">
        <f t="shared" si="98"/>
        <v>4.2962905440587562E-2</v>
      </c>
      <c r="W878" s="23">
        <f t="shared" si="99"/>
        <v>3.5115985125313554E-3</v>
      </c>
      <c r="X878" s="24">
        <v>4.2302742664568571E-2</v>
      </c>
      <c r="Y878" s="24">
        <f t="shared" si="100"/>
        <v>4.2966506813183036E-2</v>
      </c>
      <c r="Z878" s="23">
        <f t="shared" si="101"/>
        <v>3.5118873502293368E-3</v>
      </c>
      <c r="AA878" s="36"/>
    </row>
    <row r="879" spans="15:27" ht="13.9" customHeight="1" x14ac:dyDescent="0.3">
      <c r="O879" s="12">
        <f t="shared" si="95"/>
        <v>72.166666666666671</v>
      </c>
      <c r="P879" s="13">
        <v>866</v>
      </c>
      <c r="Q879" s="22">
        <v>3.5454835427526588E-2</v>
      </c>
      <c r="R879" s="19">
        <f t="shared" si="96"/>
        <v>3.6245032600216387E-2</v>
      </c>
      <c r="S879" s="22">
        <v>4.0888135224944833E-2</v>
      </c>
      <c r="T879" s="19">
        <f t="shared" si="97"/>
        <v>4.2973686858527316E-2</v>
      </c>
      <c r="U879" s="24">
        <v>4.2667183729836244E-2</v>
      </c>
      <c r="V879" s="24">
        <f t="shared" si="98"/>
        <v>4.2963157336320279E-2</v>
      </c>
      <c r="W879" s="23">
        <f t="shared" si="99"/>
        <v>3.5116188479613619E-3</v>
      </c>
      <c r="X879" s="24">
        <v>4.2303508892203023E-2</v>
      </c>
      <c r="Y879" s="24">
        <f t="shared" si="100"/>
        <v>4.2966757592241001E-2</v>
      </c>
      <c r="Z879" s="23">
        <f t="shared" si="101"/>
        <v>3.5119076097112067E-3</v>
      </c>
      <c r="AA879" s="36"/>
    </row>
    <row r="880" spans="15:27" ht="13.9" customHeight="1" x14ac:dyDescent="0.3">
      <c r="O880" s="12">
        <f t="shared" si="95"/>
        <v>72.25</v>
      </c>
      <c r="P880" s="13">
        <v>867</v>
      </c>
      <c r="Q880" s="22">
        <v>3.5455746495759444E-2</v>
      </c>
      <c r="R880" s="19">
        <f t="shared" si="96"/>
        <v>3.6247653904947885E-2</v>
      </c>
      <c r="S880" s="22">
        <v>4.0890538301636248E-2</v>
      </c>
      <c r="T880" s="19">
        <f t="shared" si="97"/>
        <v>4.2973925513429156E-2</v>
      </c>
      <c r="U880" s="24">
        <v>4.2667525058158073E-2</v>
      </c>
      <c r="V880" s="24">
        <f t="shared" si="98"/>
        <v>4.2963407520819397E-2</v>
      </c>
      <c r="W880" s="23">
        <f t="shared" si="99"/>
        <v>3.5116390452494262E-3</v>
      </c>
      <c r="X880" s="24">
        <v>4.2304273641926571E-2</v>
      </c>
      <c r="Y880" s="24">
        <f t="shared" si="100"/>
        <v>4.2967006493660476E-2</v>
      </c>
      <c r="Z880" s="23">
        <f t="shared" si="101"/>
        <v>3.5119277173993879E-3</v>
      </c>
      <c r="AA880" s="36"/>
    </row>
    <row r="881" spans="15:27" ht="13.9" customHeight="1" x14ac:dyDescent="0.3">
      <c r="O881" s="12">
        <f t="shared" si="95"/>
        <v>72.333333333333329</v>
      </c>
      <c r="P881" s="13">
        <v>868</v>
      </c>
      <c r="Q881" s="22">
        <v>3.5456658483190573E-2</v>
      </c>
      <c r="R881" s="19">
        <f t="shared" si="96"/>
        <v>3.6250253332394511E-2</v>
      </c>
      <c r="S881" s="22">
        <v>4.0892936121212697E-2</v>
      </c>
      <c r="T881" s="19">
        <f t="shared" si="97"/>
        <v>4.2974162002391125E-2</v>
      </c>
      <c r="U881" s="24">
        <v>4.2667865888269763E-2</v>
      </c>
      <c r="V881" s="24">
        <f t="shared" si="98"/>
        <v>4.2963656004916695E-2</v>
      </c>
      <c r="W881" s="23">
        <f t="shared" si="99"/>
        <v>3.5116591053243607E-3</v>
      </c>
      <c r="X881" s="24">
        <v>4.2305036916683969E-2</v>
      </c>
      <c r="Y881" s="24">
        <f t="shared" si="100"/>
        <v>4.296725352976849E-2</v>
      </c>
      <c r="Z881" s="23">
        <f t="shared" si="101"/>
        <v>3.5119476745324452E-3</v>
      </c>
      <c r="AA881" s="36"/>
    </row>
    <row r="882" spans="15:27" ht="13.9" customHeight="1" x14ac:dyDescent="0.3">
      <c r="O882" s="12">
        <f t="shared" si="95"/>
        <v>72.416666666666671</v>
      </c>
      <c r="P882" s="13">
        <v>869</v>
      </c>
      <c r="Q882" s="22">
        <v>3.5457571361488194E-2</v>
      </c>
      <c r="R882" s="19">
        <f t="shared" si="96"/>
        <v>3.6252831065930691E-2</v>
      </c>
      <c r="S882" s="22">
        <v>4.0895328699318556E-2</v>
      </c>
      <c r="T882" s="19">
        <f t="shared" si="97"/>
        <v>4.2974396346094901E-2</v>
      </c>
      <c r="U882" s="24">
        <v>4.2668206219935056E-2</v>
      </c>
      <c r="V882" s="24">
        <f t="shared" si="98"/>
        <v>4.2963902801822274E-2</v>
      </c>
      <c r="W882" s="23">
        <f t="shared" si="99"/>
        <v>3.5116790290548039E-3</v>
      </c>
      <c r="X882" s="24">
        <v>4.230579871942064E-2</v>
      </c>
      <c r="Y882" s="24">
        <f t="shared" si="100"/>
        <v>4.2967498716269148E-2</v>
      </c>
      <c r="Z882" s="23">
        <f t="shared" si="101"/>
        <v>3.511967482098699E-3</v>
      </c>
      <c r="AA882" s="36"/>
    </row>
    <row r="883" spans="15:27" ht="13.9" customHeight="1" x14ac:dyDescent="0.3">
      <c r="O883" s="12">
        <f t="shared" si="95"/>
        <v>72.5</v>
      </c>
      <c r="P883" s="13">
        <v>870</v>
      </c>
      <c r="Q883" s="22">
        <v>3.5458485102661585E-2</v>
      </c>
      <c r="R883" s="19">
        <f t="shared" si="96"/>
        <v>3.6255387287289942E-2</v>
      </c>
      <c r="S883" s="22">
        <v>4.0897716051549793E-2</v>
      </c>
      <c r="T883" s="19">
        <f t="shared" si="97"/>
        <v>4.2974628564252715E-2</v>
      </c>
      <c r="U883" s="24">
        <v>4.2668546052933687E-2</v>
      </c>
      <c r="V883" s="24">
        <f t="shared" si="98"/>
        <v>4.2964147921517704E-2</v>
      </c>
      <c r="W883" s="23">
        <f t="shared" si="99"/>
        <v>3.5116988174999086E-3</v>
      </c>
      <c r="X883" s="24">
        <v>4.2306559053086668E-2</v>
      </c>
      <c r="Y883" s="24">
        <f t="shared" si="100"/>
        <v>4.2967742066215342E-2</v>
      </c>
      <c r="Z883" s="23">
        <f t="shared" si="101"/>
        <v>3.5119871413578085E-3</v>
      </c>
      <c r="AA883" s="36"/>
    </row>
    <row r="884" spans="15:27" ht="13.9" customHeight="1" x14ac:dyDescent="0.3">
      <c r="O884" s="12">
        <f t="shared" si="95"/>
        <v>72.583333333333329</v>
      </c>
      <c r="P884" s="13">
        <v>871</v>
      </c>
      <c r="Q884" s="22">
        <v>3.5459399679057313E-2</v>
      </c>
      <c r="R884" s="19">
        <f t="shared" si="96"/>
        <v>3.6257922177363788E-2</v>
      </c>
      <c r="S884" s="22">
        <v>4.0900098193453305E-2</v>
      </c>
      <c r="T884" s="19">
        <f t="shared" si="97"/>
        <v>4.297485867555273E-2</v>
      </c>
      <c r="U884" s="24">
        <v>4.2668885387058042E-2</v>
      </c>
      <c r="V884" s="24">
        <f t="shared" si="98"/>
        <v>4.2964391376652422E-2</v>
      </c>
      <c r="W884" s="23">
        <f t="shared" si="99"/>
        <v>3.5117184714603678E-3</v>
      </c>
      <c r="X884" s="24">
        <v>4.2307317920633025E-2</v>
      </c>
      <c r="Y884" s="24">
        <f t="shared" si="100"/>
        <v>4.2967983593643178E-2</v>
      </c>
      <c r="Z884" s="23">
        <f t="shared" si="101"/>
        <v>3.5120066533562699E-3</v>
      </c>
      <c r="AA884" s="36"/>
    </row>
    <row r="885" spans="15:27" ht="13.9" customHeight="1" x14ac:dyDescent="0.3">
      <c r="O885" s="12">
        <f t="shared" si="95"/>
        <v>72.666666666666671</v>
      </c>
      <c r="P885" s="13">
        <v>872</v>
      </c>
      <c r="Q885" s="22">
        <v>3.5460315063355674E-2</v>
      </c>
      <c r="R885" s="19">
        <f t="shared" si="96"/>
        <v>3.6260435915477229E-2</v>
      </c>
      <c r="S885" s="22">
        <v>4.0902475140526251E-2</v>
      </c>
      <c r="T885" s="19">
        <f t="shared" si="97"/>
        <v>4.2975086699585496E-2</v>
      </c>
      <c r="U885" s="24">
        <v>4.2669224222115831E-2</v>
      </c>
      <c r="V885" s="24">
        <f t="shared" si="98"/>
        <v>4.296463317724486E-2</v>
      </c>
      <c r="W885" s="23">
        <f t="shared" si="99"/>
        <v>3.511737991950481E-3</v>
      </c>
      <c r="X885" s="24">
        <v>4.2308075325014016E-2</v>
      </c>
      <c r="Y885" s="24">
        <f t="shared" si="100"/>
        <v>4.2968223312007447E-2</v>
      </c>
      <c r="Z885" s="23">
        <f t="shared" si="101"/>
        <v>3.5120260192196273E-3</v>
      </c>
      <c r="AA885" s="36"/>
    </row>
    <row r="886" spans="15:27" ht="13.9" customHeight="1" x14ac:dyDescent="0.3">
      <c r="O886" s="12">
        <f t="shared" si="95"/>
        <v>72.75</v>
      </c>
      <c r="P886" s="13">
        <v>873</v>
      </c>
      <c r="Q886" s="22">
        <v>3.5461231228568035E-2</v>
      </c>
      <c r="R886" s="19">
        <f t="shared" si="96"/>
        <v>3.6262928678668427E-2</v>
      </c>
      <c r="S886" s="22">
        <v>4.0904846908217385E-2</v>
      </c>
      <c r="T886" s="19">
        <f t="shared" si="97"/>
        <v>4.2975312655212372E-2</v>
      </c>
      <c r="U886" s="24">
        <v>4.2669562557927199E-2</v>
      </c>
      <c r="V886" s="24">
        <f t="shared" si="98"/>
        <v>4.2964873335969767E-2</v>
      </c>
      <c r="W886" s="23">
        <f t="shared" si="99"/>
        <v>3.5117573797733836E-3</v>
      </c>
      <c r="X886" s="24">
        <v>4.2308831269185276E-2</v>
      </c>
      <c r="Y886" s="24">
        <f t="shared" si="100"/>
        <v>4.2968461234546451E-2</v>
      </c>
      <c r="Z886" s="23">
        <f t="shared" si="101"/>
        <v>3.5120452400265734E-3</v>
      </c>
      <c r="AA886" s="36"/>
    </row>
    <row r="887" spans="15:27" ht="13.9" customHeight="1" x14ac:dyDescent="0.3">
      <c r="O887" s="12">
        <f t="shared" si="95"/>
        <v>72.833333333333329</v>
      </c>
      <c r="P887" s="13">
        <v>874</v>
      </c>
      <c r="Q887" s="22">
        <v>3.5462148148031725E-2</v>
      </c>
      <c r="R887" s="19">
        <f t="shared" si="96"/>
        <v>3.6265400643130885E-2</v>
      </c>
      <c r="S887" s="22">
        <v>4.0907213511925944E-2</v>
      </c>
      <c r="T887" s="19">
        <f t="shared" si="97"/>
        <v>4.2975536560522887E-2</v>
      </c>
      <c r="U887" s="24">
        <v>4.2669900394327609E-2</v>
      </c>
      <c r="V887" s="24">
        <f t="shared" si="98"/>
        <v>4.2965111863089378E-2</v>
      </c>
      <c r="W887" s="23">
        <f t="shared" si="99"/>
        <v>3.511776635945596E-3</v>
      </c>
      <c r="X887" s="24">
        <v>4.2309585756104218E-2</v>
      </c>
      <c r="Y887" s="24">
        <f t="shared" si="100"/>
        <v>4.2968697375800335E-2</v>
      </c>
      <c r="Z887" s="23">
        <f t="shared" si="101"/>
        <v>3.5120643168389254E-3</v>
      </c>
      <c r="AA887" s="36"/>
    </row>
    <row r="888" spans="15:27" ht="13.9" customHeight="1" x14ac:dyDescent="0.3">
      <c r="O888" s="12">
        <f t="shared" si="95"/>
        <v>72.916666666666671</v>
      </c>
      <c r="P888" s="13">
        <v>875</v>
      </c>
      <c r="Q888" s="22">
        <v>3.5463065795406701E-2</v>
      </c>
      <c r="R888" s="19">
        <f t="shared" si="96"/>
        <v>3.6267851983016186E-2</v>
      </c>
      <c r="S888" s="22">
        <v>4.0909574967001872E-2</v>
      </c>
      <c r="T888" s="19">
        <f t="shared" si="97"/>
        <v>4.2975758435405575E-2</v>
      </c>
      <c r="U888" s="24">
        <v>4.2670237731164962E-2</v>
      </c>
      <c r="V888" s="24">
        <f t="shared" si="98"/>
        <v>4.2965348769162581E-2</v>
      </c>
      <c r="W888" s="23">
        <f t="shared" si="99"/>
        <v>3.5117957612897932E-3</v>
      </c>
      <c r="X888" s="24">
        <v>4.2310338788731139E-2</v>
      </c>
      <c r="Y888" s="24">
        <f t="shared" si="100"/>
        <v>4.2968931748004202E-2</v>
      </c>
      <c r="Z888" s="23">
        <f t="shared" si="101"/>
        <v>3.5120832508224176E-3</v>
      </c>
      <c r="AA888" s="36"/>
    </row>
    <row r="889" spans="15:27" ht="13.9" customHeight="1" x14ac:dyDescent="0.3">
      <c r="O889" s="12">
        <f t="shared" si="95"/>
        <v>73</v>
      </c>
      <c r="P889" s="13">
        <v>876</v>
      </c>
      <c r="Q889" s="22">
        <v>3.5463984144672667E-2</v>
      </c>
      <c r="R889" s="19">
        <f t="shared" si="96"/>
        <v>3.6270282871104564E-2</v>
      </c>
      <c r="S889" s="22">
        <v>4.0911931288747372E-2</v>
      </c>
      <c r="T889" s="19">
        <f t="shared" si="97"/>
        <v>4.2975978297052908E-2</v>
      </c>
      <c r="U889" s="24">
        <v>4.2670574568300035E-2</v>
      </c>
      <c r="V889" s="24">
        <f t="shared" si="98"/>
        <v>4.296558406704043E-2</v>
      </c>
      <c r="W889" s="23">
        <f t="shared" si="99"/>
        <v>3.5118147566530755E-3</v>
      </c>
      <c r="X889" s="24">
        <v>4.2311090370027227E-2</v>
      </c>
      <c r="Y889" s="24">
        <f t="shared" si="100"/>
        <v>4.2969164365293633E-2</v>
      </c>
      <c r="Z889" s="23">
        <f t="shared" si="101"/>
        <v>3.512102042958265E-3</v>
      </c>
      <c r="AA889" s="36"/>
    </row>
    <row r="890" spans="15:27" ht="13.9" customHeight="1" x14ac:dyDescent="0.3">
      <c r="O890" s="12">
        <f t="shared" si="95"/>
        <v>73.083333333333329</v>
      </c>
      <c r="P890" s="13">
        <v>877</v>
      </c>
      <c r="Q890" s="22">
        <v>3.5464903170124407E-2</v>
      </c>
      <c r="R890" s="19">
        <f t="shared" si="96"/>
        <v>3.6272693479792784E-2</v>
      </c>
      <c r="S890" s="22">
        <v>4.0914282492414911E-2</v>
      </c>
      <c r="T890" s="19">
        <f t="shared" si="97"/>
        <v>4.2976196164506542E-2</v>
      </c>
      <c r="U890" s="24">
        <v>4.2670910905608705E-2</v>
      </c>
      <c r="V890" s="24">
        <f t="shared" si="98"/>
        <v>4.2965817765765024E-2</v>
      </c>
      <c r="W890" s="23">
        <f t="shared" si="99"/>
        <v>3.5118336230657299E-3</v>
      </c>
      <c r="X890" s="24">
        <v>4.2311840502955889E-2</v>
      </c>
      <c r="Y890" s="24">
        <f t="shared" si="100"/>
        <v>4.2969395239572439E-2</v>
      </c>
      <c r="Z890" s="23">
        <f t="shared" si="101"/>
        <v>3.5121206943802274E-3</v>
      </c>
      <c r="AA890" s="36"/>
    </row>
    <row r="891" spans="15:27" ht="13.9" customHeight="1" x14ac:dyDescent="0.3">
      <c r="O891" s="12">
        <f t="shared" si="95"/>
        <v>73.166666666666671</v>
      </c>
      <c r="P891" s="13">
        <v>878</v>
      </c>
      <c r="Q891" s="22">
        <v>3.5465822846370454E-2</v>
      </c>
      <c r="R891" s="19">
        <f t="shared" si="96"/>
        <v>3.6275083978119183E-2</v>
      </c>
      <c r="S891" s="22">
        <v>4.091662859320877E-2</v>
      </c>
      <c r="T891" s="19">
        <f t="shared" si="97"/>
        <v>4.2976412055137692E-2</v>
      </c>
      <c r="U891" s="24">
        <v>4.2671246742977953E-2</v>
      </c>
      <c r="V891" s="24">
        <f t="shared" si="98"/>
        <v>4.2966049877263046E-2</v>
      </c>
      <c r="W891" s="23">
        <f t="shared" si="99"/>
        <v>3.511852361252954E-3</v>
      </c>
      <c r="X891" s="24">
        <v>4.2312589190480754E-2</v>
      </c>
      <c r="Y891" s="24">
        <f t="shared" si="100"/>
        <v>4.2969624385380989E-2</v>
      </c>
      <c r="Z891" s="23">
        <f t="shared" si="101"/>
        <v>3.5121392060422085E-3</v>
      </c>
      <c r="AA891" s="36"/>
    </row>
    <row r="892" spans="15:27" ht="13.9" customHeight="1" x14ac:dyDescent="0.3">
      <c r="O892" s="12">
        <f t="shared" si="95"/>
        <v>73.25</v>
      </c>
      <c r="P892" s="13">
        <v>879</v>
      </c>
      <c r="Q892" s="22">
        <v>3.5466743148326874E-2</v>
      </c>
      <c r="R892" s="19">
        <f t="shared" si="96"/>
        <v>3.6277454535705855E-2</v>
      </c>
      <c r="S892" s="22">
        <v>4.0918969606284161E-2</v>
      </c>
      <c r="T892" s="19">
        <f t="shared" si="97"/>
        <v>4.2976625987952266E-2</v>
      </c>
      <c r="U892" s="24">
        <v>4.2671582080308301E-2</v>
      </c>
      <c r="V892" s="24">
        <f t="shared" si="98"/>
        <v>4.2966280411793178E-2</v>
      </c>
      <c r="W892" s="23">
        <f t="shared" si="99"/>
        <v>3.5118709721708719E-3</v>
      </c>
      <c r="X892" s="24">
        <v>4.2313336435568338E-2</v>
      </c>
      <c r="Y892" s="24">
        <f t="shared" si="100"/>
        <v>4.2969851814733451E-2</v>
      </c>
      <c r="Z892" s="23">
        <f t="shared" si="101"/>
        <v>3.5121575791108306E-3</v>
      </c>
      <c r="AA892" s="36"/>
    </row>
    <row r="893" spans="15:27" ht="13.9" customHeight="1" x14ac:dyDescent="0.3">
      <c r="O893" s="12">
        <f t="shared" si="95"/>
        <v>73.333333333333329</v>
      </c>
      <c r="P893" s="13">
        <v>880</v>
      </c>
      <c r="Q893" s="22">
        <v>3.5467664051216596E-2</v>
      </c>
      <c r="R893" s="19">
        <f t="shared" si="96"/>
        <v>3.627980531914754E-2</v>
      </c>
      <c r="S893" s="22">
        <v>4.0921305546748554E-2</v>
      </c>
      <c r="T893" s="19">
        <f t="shared" si="97"/>
        <v>4.297683797978924E-2</v>
      </c>
      <c r="U893" s="24">
        <v>4.2671916917513153E-2</v>
      </c>
      <c r="V893" s="24">
        <f t="shared" si="98"/>
        <v>4.2966509380191642E-2</v>
      </c>
      <c r="W893" s="23">
        <f t="shared" si="99"/>
        <v>3.5118894566423808E-3</v>
      </c>
      <c r="X893" s="24">
        <v>4.2314082241185602E-2</v>
      </c>
      <c r="Y893" s="24">
        <f t="shared" si="100"/>
        <v>4.2970077540611218E-2</v>
      </c>
      <c r="Z893" s="23">
        <f t="shared" si="101"/>
        <v>3.5121758145488791E-3</v>
      </c>
      <c r="AA893" s="36"/>
    </row>
    <row r="894" spans="15:27" ht="13.9" customHeight="1" x14ac:dyDescent="0.3">
      <c r="O894" s="12">
        <f t="shared" si="95"/>
        <v>73.416666666666671</v>
      </c>
      <c r="P894" s="13">
        <v>881</v>
      </c>
      <c r="Q894" s="22">
        <v>3.5468585530563868E-2</v>
      </c>
      <c r="R894" s="19">
        <f t="shared" si="96"/>
        <v>3.6282136494349304E-2</v>
      </c>
      <c r="S894" s="22">
        <v>4.0923636429660348E-2</v>
      </c>
      <c r="T894" s="19">
        <f t="shared" si="97"/>
        <v>4.2977048048772337E-2</v>
      </c>
      <c r="U894" s="24">
        <v>4.2672251254517901E-2</v>
      </c>
      <c r="V894" s="24">
        <f t="shared" si="98"/>
        <v>4.296673679383689E-2</v>
      </c>
      <c r="W894" s="23">
        <f t="shared" si="99"/>
        <v>3.5119078155363415E-3</v>
      </c>
      <c r="X894" s="24">
        <v>4.2314826610300393E-2</v>
      </c>
      <c r="Y894" s="24">
        <f t="shared" si="100"/>
        <v>4.2970301576177539E-2</v>
      </c>
      <c r="Z894" s="23">
        <f t="shared" si="101"/>
        <v>3.5121939133977431E-3</v>
      </c>
      <c r="AA894" s="36"/>
    </row>
    <row r="895" spans="15:27" ht="13.9" customHeight="1" x14ac:dyDescent="0.3">
      <c r="O895" s="12">
        <f t="shared" si="95"/>
        <v>73.5</v>
      </c>
      <c r="P895" s="13">
        <v>882</v>
      </c>
      <c r="Q895" s="22">
        <v>3.5469507562192248E-2</v>
      </c>
      <c r="R895" s="19">
        <f t="shared" si="96"/>
        <v>3.628444822566057E-2</v>
      </c>
      <c r="S895" s="22">
        <v>4.0925962270030203E-2</v>
      </c>
      <c r="T895" s="19">
        <f t="shared" si="97"/>
        <v>4.2977256212060055E-2</v>
      </c>
      <c r="U895" s="24">
        <v>4.2672585091261706E-2</v>
      </c>
      <c r="V895" s="24">
        <f t="shared" si="98"/>
        <v>4.2966962662299268E-2</v>
      </c>
      <c r="W895" s="23">
        <f t="shared" si="99"/>
        <v>3.511926049764913E-3</v>
      </c>
      <c r="X895" s="24">
        <v>4.2315569545882337E-2</v>
      </c>
      <c r="Y895" s="24">
        <f t="shared" si="100"/>
        <v>4.2970523933745897E-2</v>
      </c>
      <c r="Z895" s="23">
        <f t="shared" si="101"/>
        <v>3.5122118767128008E-3</v>
      </c>
      <c r="AA895" s="36"/>
    </row>
    <row r="896" spans="15:27" ht="13.9" customHeight="1" x14ac:dyDescent="0.3">
      <c r="O896" s="12">
        <f t="shared" si="95"/>
        <v>73.583333333333329</v>
      </c>
      <c r="P896" s="13">
        <v>883</v>
      </c>
      <c r="Q896" s="22">
        <v>3.547043012222062E-2</v>
      </c>
      <c r="R896" s="19">
        <f t="shared" si="96"/>
        <v>3.6286740675698814E-2</v>
      </c>
      <c r="S896" s="22">
        <v>4.0928283082820149E-2</v>
      </c>
      <c r="T896" s="19">
        <f t="shared" si="97"/>
        <v>4.2977462487187923E-2</v>
      </c>
      <c r="U896" s="24">
        <v>4.2672918427694384E-2</v>
      </c>
      <c r="V896" s="24">
        <f t="shared" si="98"/>
        <v>4.2967186996773599E-2</v>
      </c>
      <c r="W896" s="23">
        <f t="shared" si="99"/>
        <v>3.5119441600959256E-3</v>
      </c>
      <c r="X896" s="24">
        <v>4.2316311050901279E-2</v>
      </c>
      <c r="Y896" s="24">
        <f t="shared" si="100"/>
        <v>4.2970744626514179E-2</v>
      </c>
      <c r="Z896" s="23">
        <f t="shared" si="101"/>
        <v>3.5122297054812623E-3</v>
      </c>
      <c r="AA896" s="36"/>
    </row>
    <row r="897" spans="15:27" ht="13.9" customHeight="1" x14ac:dyDescent="0.3">
      <c r="O897" s="12">
        <f t="shared" si="95"/>
        <v>73.666666666666671</v>
      </c>
      <c r="P897" s="13">
        <v>884</v>
      </c>
      <c r="Q897" s="22">
        <v>3.5471353187060073E-2</v>
      </c>
      <c r="R897" s="19">
        <f t="shared" si="96"/>
        <v>3.6289014007449882E-2</v>
      </c>
      <c r="S897" s="22">
        <v>4.0930598882944258E-2</v>
      </c>
      <c r="T897" s="19">
        <f t="shared" si="97"/>
        <v>4.2977666890809063E-2</v>
      </c>
      <c r="U897" s="24">
        <v>4.2673251263779077E-2</v>
      </c>
      <c r="V897" s="24">
        <f t="shared" si="98"/>
        <v>4.2967409806867973E-2</v>
      </c>
      <c r="W897" s="23">
        <f t="shared" si="99"/>
        <v>3.5119621474268836E-3</v>
      </c>
      <c r="X897" s="24">
        <v>4.2317051128328842E-2</v>
      </c>
      <c r="Y897" s="24">
        <f t="shared" si="100"/>
        <v>4.2970963665370121E-2</v>
      </c>
      <c r="Z897" s="23">
        <f t="shared" si="101"/>
        <v>3.5122474007618365E-3</v>
      </c>
      <c r="AA897" s="36"/>
    </row>
    <row r="898" spans="15:27" ht="13.9" customHeight="1" x14ac:dyDescent="0.3">
      <c r="O898" s="12">
        <f t="shared" si="95"/>
        <v>73.75</v>
      </c>
      <c r="P898" s="13">
        <v>885</v>
      </c>
      <c r="Q898" s="22">
        <v>3.5472276733411912E-2</v>
      </c>
      <c r="R898" s="19">
        <f t="shared" si="96"/>
        <v>3.629126837920249E-2</v>
      </c>
      <c r="S898" s="22">
        <v>4.0932909685267971E-2</v>
      </c>
      <c r="T898" s="19">
        <f t="shared" si="97"/>
        <v>4.297786944045523E-2</v>
      </c>
      <c r="U898" s="24">
        <v>4.2673583599489584E-2</v>
      </c>
      <c r="V898" s="24">
        <f t="shared" si="98"/>
        <v>4.2967631103278281E-2</v>
      </c>
      <c r="W898" s="23">
        <f t="shared" si="99"/>
        <v>3.5119800125280598E-3</v>
      </c>
      <c r="X898" s="24">
        <v>4.2317789781135318E-2</v>
      </c>
      <c r="Y898" s="24">
        <f t="shared" si="100"/>
        <v>4.2971181064330732E-2</v>
      </c>
      <c r="Z898" s="23">
        <f t="shared" si="101"/>
        <v>3.5122649634271585E-3</v>
      </c>
      <c r="AA898" s="36"/>
    </row>
    <row r="899" spans="15:27" ht="13.9" customHeight="1" x14ac:dyDescent="0.3">
      <c r="O899" s="12">
        <f t="shared" si="95"/>
        <v>73.833333333333329</v>
      </c>
      <c r="P899" s="13">
        <v>886</v>
      </c>
      <c r="Q899" s="22">
        <v>3.5473200738261879E-2</v>
      </c>
      <c r="R899" s="19">
        <f t="shared" si="96"/>
        <v>3.6293503951442263E-2</v>
      </c>
      <c r="S899" s="22">
        <v>4.0935215504609879E-2</v>
      </c>
      <c r="T899" s="19">
        <f t="shared" si="97"/>
        <v>4.2978070152855263E-2</v>
      </c>
      <c r="U899" s="24">
        <v>4.2673915434812137E-2</v>
      </c>
      <c r="V899" s="24">
        <f t="shared" si="98"/>
        <v>4.2967850897469795E-2</v>
      </c>
      <c r="W899" s="23">
        <f t="shared" si="99"/>
        <v>3.5119977562574345E-3</v>
      </c>
      <c r="X899" s="24">
        <v>4.2318527012293439E-2</v>
      </c>
      <c r="Y899" s="24">
        <f t="shared" si="100"/>
        <v>4.2971396835293829E-2</v>
      </c>
      <c r="Z899" s="23">
        <f t="shared" si="101"/>
        <v>3.5122823946012183E-3</v>
      </c>
      <c r="AA899" s="36"/>
    </row>
    <row r="900" spans="15:27" ht="13.9" customHeight="1" x14ac:dyDescent="0.3">
      <c r="O900" s="12">
        <f t="shared" si="95"/>
        <v>73.916666666666671</v>
      </c>
      <c r="P900" s="13">
        <v>887</v>
      </c>
      <c r="Q900" s="22">
        <v>3.5474125178879712E-2</v>
      </c>
      <c r="R900" s="19">
        <f t="shared" si="96"/>
        <v>3.6295720880531013E-2</v>
      </c>
      <c r="S900" s="22">
        <v>4.0937516355740167E-2</v>
      </c>
      <c r="T900" s="19">
        <f t="shared" si="97"/>
        <v>4.2978269044365858E-2</v>
      </c>
      <c r="U900" s="24">
        <v>4.2674246769745849E-2</v>
      </c>
      <c r="V900" s="24">
        <f t="shared" si="98"/>
        <v>4.296806919790952E-2</v>
      </c>
      <c r="W900" s="23">
        <f t="shared" si="99"/>
        <v>3.5120153795342723E-3</v>
      </c>
      <c r="X900" s="24">
        <v>4.2319262824775938E-2</v>
      </c>
      <c r="Y900" s="24">
        <f t="shared" si="100"/>
        <v>4.297161099007285E-2</v>
      </c>
      <c r="Z900" s="23">
        <f t="shared" si="101"/>
        <v>3.5122996952383634E-3</v>
      </c>
      <c r="AA900" s="36"/>
    </row>
    <row r="901" spans="15:27" ht="13.9" customHeight="1" x14ac:dyDescent="0.3">
      <c r="O901" s="12">
        <f t="shared" si="95"/>
        <v>74</v>
      </c>
      <c r="P901" s="13">
        <v>888</v>
      </c>
      <c r="Q901" s="22">
        <v>3.5475050032814037E-2</v>
      </c>
      <c r="R901" s="19">
        <f t="shared" si="96"/>
        <v>3.6297919323706518E-2</v>
      </c>
      <c r="S901" s="22">
        <v>4.0939812253381058E-2</v>
      </c>
      <c r="T901" s="19">
        <f t="shared" si="97"/>
        <v>4.2978466131849746E-2</v>
      </c>
      <c r="U901" s="24">
        <v>4.2674577604299158E-2</v>
      </c>
      <c r="V901" s="24">
        <f t="shared" si="98"/>
        <v>4.2968286015641066E-2</v>
      </c>
      <c r="W901" s="23">
        <f t="shared" si="99"/>
        <v>3.5120328830373637E-3</v>
      </c>
      <c r="X901" s="24">
        <v>4.2319997221555328E-2</v>
      </c>
      <c r="Y901" s="24">
        <f t="shared" si="100"/>
        <v>4.2971823540842946E-2</v>
      </c>
      <c r="Z901" s="23">
        <f t="shared" si="101"/>
        <v>3.5123168662856141E-3</v>
      </c>
      <c r="AA901" s="36"/>
    </row>
    <row r="902" spans="15:27" ht="13.9" customHeight="1" x14ac:dyDescent="0.3">
      <c r="O902" s="12">
        <f t="shared" si="95"/>
        <v>74.083333333333329</v>
      </c>
      <c r="P902" s="13">
        <v>889</v>
      </c>
      <c r="Q902" s="22">
        <v>3.5475975277891036E-2</v>
      </c>
      <c r="R902" s="19">
        <f t="shared" si="96"/>
        <v>3.6300099435075506E-2</v>
      </c>
      <c r="S902" s="22">
        <v>4.0942103212207481E-2</v>
      </c>
      <c r="T902" s="19">
        <f t="shared" si="97"/>
        <v>4.297866143113005E-2</v>
      </c>
      <c r="U902" s="24">
        <v>4.2674907938493378E-2</v>
      </c>
      <c r="V902" s="24">
        <f t="shared" si="98"/>
        <v>4.2968501360449718E-2</v>
      </c>
      <c r="W902" s="23">
        <f t="shared" si="99"/>
        <v>3.5120502676524445E-3</v>
      </c>
      <c r="X902" s="24">
        <v>4.2320730205604784E-2</v>
      </c>
      <c r="Y902" s="24">
        <f t="shared" si="100"/>
        <v>4.297203449961251E-2</v>
      </c>
      <c r="Z902" s="23">
        <f t="shared" si="101"/>
        <v>3.5123339087195227E-3</v>
      </c>
      <c r="AA902" s="36"/>
    </row>
    <row r="903" spans="15:27" ht="13.9" customHeight="1" x14ac:dyDescent="0.3">
      <c r="O903" s="12">
        <f t="shared" si="95"/>
        <v>74.166666666666671</v>
      </c>
      <c r="P903" s="13">
        <v>890</v>
      </c>
      <c r="Q903" s="22">
        <v>3.5476900892209562E-2</v>
      </c>
      <c r="R903" s="19">
        <f t="shared" si="96"/>
        <v>3.6302261368768685E-2</v>
      </c>
      <c r="S903" s="22">
        <v>4.0944389246846402E-2</v>
      </c>
      <c r="T903" s="19">
        <f t="shared" si="97"/>
        <v>4.2978854959785817E-2</v>
      </c>
      <c r="U903" s="24">
        <v>4.2675237772360264E-2</v>
      </c>
      <c r="V903" s="24">
        <f t="shared" si="98"/>
        <v>4.2968715242870159E-2</v>
      </c>
      <c r="W903" s="23">
        <f t="shared" si="99"/>
        <v>3.5120675341642205E-3</v>
      </c>
      <c r="X903" s="24">
        <v>4.2321461779897263E-2</v>
      </c>
      <c r="Y903" s="24">
        <f t="shared" si="100"/>
        <v>4.2972243879350502E-2</v>
      </c>
      <c r="Z903" s="23">
        <f t="shared" si="101"/>
        <v>3.5123508235026524E-3</v>
      </c>
      <c r="AA903" s="36"/>
    </row>
    <row r="904" spans="15:27" ht="13.9" customHeight="1" x14ac:dyDescent="0.3">
      <c r="O904" s="12">
        <f t="shared" si="95"/>
        <v>74.25</v>
      </c>
      <c r="P904" s="13">
        <v>891</v>
      </c>
      <c r="Q904" s="22">
        <v>3.5477826854140027E-2</v>
      </c>
      <c r="R904" s="19">
        <f t="shared" si="96"/>
        <v>3.6304405276488483E-2</v>
      </c>
      <c r="S904" s="22">
        <v>4.0946670371878602E-2</v>
      </c>
      <c r="T904" s="19">
        <f t="shared" si="97"/>
        <v>4.2979046732456672E-2</v>
      </c>
      <c r="U904" s="24">
        <v>4.2675567105943557E-2</v>
      </c>
      <c r="V904" s="24">
        <f t="shared" si="98"/>
        <v>4.2968927672659918E-2</v>
      </c>
      <c r="W904" s="23">
        <f t="shared" si="99"/>
        <v>3.5120846834173491E-3</v>
      </c>
      <c r="X904" s="24">
        <v>4.2322191947407051E-2</v>
      </c>
      <c r="Y904" s="24">
        <f t="shared" si="100"/>
        <v>4.2972451690542313E-2</v>
      </c>
      <c r="Z904" s="23">
        <f t="shared" si="101"/>
        <v>3.5123676116752822E-3</v>
      </c>
      <c r="AA904" s="36"/>
    </row>
    <row r="905" spans="15:27" ht="13.9" customHeight="1" x14ac:dyDescent="0.3">
      <c r="O905" s="12">
        <f t="shared" si="95"/>
        <v>74.333333333333329</v>
      </c>
      <c r="P905" s="13">
        <v>892</v>
      </c>
      <c r="Q905" s="22">
        <v>3.5478753142319297E-2</v>
      </c>
      <c r="R905" s="19">
        <f t="shared" si="96"/>
        <v>3.630653130989403E-2</v>
      </c>
      <c r="S905" s="22">
        <v>4.0948946601836012E-2</v>
      </c>
      <c r="T905" s="19">
        <f t="shared" si="97"/>
        <v>4.2979236765240403E-2</v>
      </c>
      <c r="U905" s="24">
        <v>4.2675895939297437E-2</v>
      </c>
      <c r="V905" s="24">
        <f t="shared" si="98"/>
        <v>4.2969138658916162E-2</v>
      </c>
      <c r="W905" s="23">
        <f t="shared" si="99"/>
        <v>3.5121017161943158E-3</v>
      </c>
      <c r="X905" s="24">
        <v>4.2322920711106882E-2</v>
      </c>
      <c r="Y905" s="24">
        <f t="shared" si="100"/>
        <v>4.297265794492855E-2</v>
      </c>
      <c r="Z905" s="23">
        <f t="shared" si="101"/>
        <v>3.512384274077851E-3</v>
      </c>
      <c r="AA905" s="36"/>
    </row>
    <row r="906" spans="15:27" ht="13.9" customHeight="1" x14ac:dyDescent="0.3">
      <c r="O906" s="12">
        <f t="shared" si="95"/>
        <v>74.416666666666671</v>
      </c>
      <c r="P906" s="13">
        <v>893</v>
      </c>
      <c r="Q906" s="22">
        <v>3.5479679735650249E-2</v>
      </c>
      <c r="R906" s="19">
        <f t="shared" si="96"/>
        <v>3.630863961795372E-2</v>
      </c>
      <c r="S906" s="22">
        <v>4.0951217951203711E-2</v>
      </c>
      <c r="T906" s="19">
        <f t="shared" si="97"/>
        <v>4.2979425074718858E-2</v>
      </c>
      <c r="U906" s="24">
        <v>4.2676224272486296E-2</v>
      </c>
      <c r="V906" s="24">
        <f t="shared" si="98"/>
        <v>4.296934821258791E-2</v>
      </c>
      <c r="W906" s="23">
        <f t="shared" si="99"/>
        <v>3.5121186332245369E-3</v>
      </c>
      <c r="X906" s="24">
        <v>4.2323648073969267E-2</v>
      </c>
      <c r="Y906" s="24">
        <f t="shared" si="100"/>
        <v>4.2972862655412891E-2</v>
      </c>
      <c r="Z906" s="23">
        <f t="shared" si="101"/>
        <v>3.512400811652272E-3</v>
      </c>
      <c r="AA906" s="36"/>
    </row>
    <row r="907" spans="15:27" ht="13.9" customHeight="1" x14ac:dyDescent="0.3">
      <c r="O907" s="12">
        <f t="shared" si="95"/>
        <v>74.5</v>
      </c>
      <c r="P907" s="13">
        <v>894</v>
      </c>
      <c r="Q907" s="22">
        <v>3.5480606613296217E-2</v>
      </c>
      <c r="R907" s="19">
        <f t="shared" si="96"/>
        <v>3.6310730349667919E-2</v>
      </c>
      <c r="S907" s="22">
        <v>4.0953484434420151E-2</v>
      </c>
      <c r="T907" s="19">
        <f t="shared" si="97"/>
        <v>4.2979611676014384E-2</v>
      </c>
      <c r="U907" s="24">
        <v>4.2676552105586296E-2</v>
      </c>
      <c r="V907" s="24">
        <f t="shared" si="98"/>
        <v>4.2969556342303816E-2</v>
      </c>
      <c r="W907" s="23">
        <f t="shared" si="99"/>
        <v>3.5121354353859768E-3</v>
      </c>
      <c r="X907" s="24">
        <v>4.2324374038967827E-2</v>
      </c>
      <c r="Y907" s="24">
        <f t="shared" si="100"/>
        <v>4.2973065832690116E-2</v>
      </c>
      <c r="Z907" s="23">
        <f t="shared" si="101"/>
        <v>3.5124172254326069E-3</v>
      </c>
      <c r="AA907" s="36"/>
    </row>
    <row r="908" spans="15:27" ht="13.9" customHeight="1" x14ac:dyDescent="0.3">
      <c r="O908" s="12">
        <f t="shared" si="95"/>
        <v>74.583333333333329</v>
      </c>
      <c r="P908" s="13">
        <v>895</v>
      </c>
      <c r="Q908" s="22">
        <v>3.548153375468055E-2</v>
      </c>
      <c r="R908" s="19">
        <f t="shared" si="96"/>
        <v>3.6312803651989078E-2</v>
      </c>
      <c r="S908" s="22">
        <v>4.0955746065876486E-2</v>
      </c>
      <c r="T908" s="19">
        <f t="shared" si="97"/>
        <v>4.2979796583934693E-2</v>
      </c>
      <c r="U908" s="24">
        <v>4.2676879438683146E-2</v>
      </c>
      <c r="V908" s="24">
        <f t="shared" si="98"/>
        <v>4.2969763058696486E-2</v>
      </c>
      <c r="W908" s="23">
        <f t="shared" si="99"/>
        <v>3.5121521233705266E-3</v>
      </c>
      <c r="X908" s="24">
        <v>4.2325098609074852E-2</v>
      </c>
      <c r="Y908" s="24">
        <f t="shared" si="100"/>
        <v>4.2973267487860234E-2</v>
      </c>
      <c r="Z908" s="23">
        <f t="shared" si="101"/>
        <v>3.5124335162770581E-3</v>
      </c>
      <c r="AA908" s="36"/>
    </row>
    <row r="909" spans="15:27" ht="13.9" customHeight="1" x14ac:dyDescent="0.3">
      <c r="O909" s="12">
        <f t="shared" si="95"/>
        <v>74.666666666666671</v>
      </c>
      <c r="P909" s="13">
        <v>896</v>
      </c>
      <c r="Q909" s="22">
        <v>3.5482461139481947E-2</v>
      </c>
      <c r="R909" s="19">
        <f t="shared" si="96"/>
        <v>3.631485967126058E-2</v>
      </c>
      <c r="S909" s="22">
        <v>4.0958002859916132E-2</v>
      </c>
      <c r="T909" s="19">
        <f t="shared" si="97"/>
        <v>4.2979979815662261E-2</v>
      </c>
      <c r="U909" s="24">
        <v>4.2677206271873658E-2</v>
      </c>
      <c r="V909" s="24">
        <f t="shared" si="98"/>
        <v>4.2969968370884848E-2</v>
      </c>
      <c r="W909" s="23">
        <f t="shared" si="99"/>
        <v>3.5121686980308375E-3</v>
      </c>
      <c r="X909" s="24">
        <v>4.2325821787261741E-2</v>
      </c>
      <c r="Y909" s="24">
        <f t="shared" si="100"/>
        <v>4.2973467632951179E-2</v>
      </c>
      <c r="Z909" s="23">
        <f t="shared" si="101"/>
        <v>3.5124496850751363E-3</v>
      </c>
      <c r="AA909" s="36"/>
    </row>
    <row r="910" spans="15:27" ht="13.9" customHeight="1" x14ac:dyDescent="0.3">
      <c r="O910" s="12">
        <f t="shared" ref="O910:O973" si="102">P910/12</f>
        <v>74.75</v>
      </c>
      <c r="P910" s="13">
        <v>897</v>
      </c>
      <c r="Q910" s="22">
        <v>3.5483388747632905E-2</v>
      </c>
      <c r="R910" s="19">
        <f t="shared" ref="R910:R973" si="103">(1+Q911)^P911/(1+Q910)^P910-1</f>
        <v>3.6316898551380206E-2</v>
      </c>
      <c r="S910" s="22">
        <v>4.0960254830837428E-2</v>
      </c>
      <c r="T910" s="19">
        <f t="shared" ref="T910:T973" si="104">(1+S911)^P911/(1+S910)^P910-1</f>
        <v>4.2980161384469806E-2</v>
      </c>
      <c r="U910" s="24">
        <v>4.2677532605264634E-2</v>
      </c>
      <c r="V910" s="24">
        <f t="shared" ref="V910:V973" si="105">(1+U911)^P911/(1+U910)^P910-1</f>
        <v>4.2970172288255393E-2</v>
      </c>
      <c r="W910" s="23">
        <f t="shared" si="99"/>
        <v>3.5121851600981024E-3</v>
      </c>
      <c r="X910" s="24">
        <v>4.232654357650012E-2</v>
      </c>
      <c r="Y910" s="24">
        <f t="shared" si="100"/>
        <v>4.2973666279151335E-2</v>
      </c>
      <c r="Z910" s="23">
        <f t="shared" si="101"/>
        <v>3.5124657327918474E-3</v>
      </c>
      <c r="AA910" s="36"/>
    </row>
    <row r="911" spans="15:27" ht="13.9" customHeight="1" x14ac:dyDescent="0.3">
      <c r="O911" s="12">
        <f t="shared" si="102"/>
        <v>74.833333333333329</v>
      </c>
      <c r="P911" s="13">
        <v>898</v>
      </c>
      <c r="Q911" s="22">
        <v>3.5484316559315721E-2</v>
      </c>
      <c r="R911" s="19">
        <f t="shared" si="103"/>
        <v>3.6318920436930524E-2</v>
      </c>
      <c r="S911" s="22">
        <v>4.096250199289031E-2</v>
      </c>
      <c r="T911" s="19">
        <f t="shared" si="104"/>
        <v>4.2980341307082837E-2</v>
      </c>
      <c r="U911" s="24">
        <v>4.2677858438972871E-2</v>
      </c>
      <c r="V911" s="24">
        <f t="shared" si="105"/>
        <v>4.2970374821100554E-2</v>
      </c>
      <c r="W911" s="23">
        <f t="shared" ref="W911:W974" si="106">(1+V910)^(1/12)-1</f>
        <v>3.5122015103248305E-3</v>
      </c>
      <c r="X911" s="24">
        <v>4.2327263979760721E-2</v>
      </c>
      <c r="Y911" s="24">
        <f t="shared" ref="Y911:Y974" si="107">(1+X912)^P912/(1+X911)^P911-1</f>
        <v>4.2973863438898308E-2</v>
      </c>
      <c r="Z911" s="23">
        <f t="shared" ref="Z911:Z974" si="108">(1+Y910)^(1/12)-1</f>
        <v>3.5124816603238074E-3</v>
      </c>
      <c r="AA911" s="36"/>
    </row>
    <row r="912" spans="15:27" ht="13.9" customHeight="1" x14ac:dyDescent="0.3">
      <c r="O912" s="12">
        <f t="shared" si="102"/>
        <v>74.916666666666671</v>
      </c>
      <c r="P912" s="13">
        <v>899</v>
      </c>
      <c r="Q912" s="22">
        <v>3.5485244554961159E-2</v>
      </c>
      <c r="R912" s="19">
        <f t="shared" si="103"/>
        <v>3.6320925469317977E-2</v>
      </c>
      <c r="S912" s="22">
        <v>4.0964744360279415E-2</v>
      </c>
      <c r="T912" s="19">
        <f t="shared" si="104"/>
        <v>4.2980519597060729E-2</v>
      </c>
      <c r="U912" s="24">
        <v>4.2678183773126044E-2</v>
      </c>
      <c r="V912" s="24">
        <f t="shared" si="105"/>
        <v>4.2970575978106718E-2</v>
      </c>
      <c r="W912" s="23">
        <f t="shared" si="106"/>
        <v>3.5122177495368057E-3</v>
      </c>
      <c r="X912" s="24">
        <v>4.2327983000014946E-2</v>
      </c>
      <c r="Y912" s="24">
        <f t="shared" si="107"/>
        <v>4.2974059120463037E-2</v>
      </c>
      <c r="Z912" s="23">
        <f t="shared" si="108"/>
        <v>3.5124974686688848E-3</v>
      </c>
      <c r="AA912" s="36"/>
    </row>
    <row r="913" spans="15:27" ht="13.9" customHeight="1" x14ac:dyDescent="0.3">
      <c r="O913" s="12">
        <f t="shared" si="102"/>
        <v>75</v>
      </c>
      <c r="P913" s="13">
        <v>900</v>
      </c>
      <c r="Q913" s="22">
        <v>3.5486172715244457E-2</v>
      </c>
      <c r="R913" s="19">
        <f t="shared" si="103"/>
        <v>3.6322913789727851E-2</v>
      </c>
      <c r="S913" s="22">
        <v>4.096698194716164E-2</v>
      </c>
      <c r="T913" s="19">
        <f t="shared" si="104"/>
        <v>4.298069626989931E-2</v>
      </c>
      <c r="U913" s="24">
        <v>4.267850860786071E-2</v>
      </c>
      <c r="V913" s="24">
        <f t="shared" si="105"/>
        <v>4.2970775768260694E-2</v>
      </c>
      <c r="W913" s="23">
        <f t="shared" si="106"/>
        <v>3.5122338784301377E-3</v>
      </c>
      <c r="X913" s="24">
        <v>4.2328700640230199E-2</v>
      </c>
      <c r="Y913" s="24">
        <f t="shared" si="107"/>
        <v>4.2974253337115798E-2</v>
      </c>
      <c r="Z913" s="23">
        <f t="shared" si="108"/>
        <v>3.5125131584898828E-3</v>
      </c>
      <c r="AA913" s="36"/>
    </row>
    <row r="914" spans="15:27" ht="13.9" customHeight="1" x14ac:dyDescent="0.3">
      <c r="O914" s="12">
        <f t="shared" si="102"/>
        <v>75.083333333333329</v>
      </c>
      <c r="P914" s="13">
        <v>901</v>
      </c>
      <c r="Q914" s="22">
        <v>3.5487101021082879E-2</v>
      </c>
      <c r="R914" s="19">
        <f t="shared" si="103"/>
        <v>3.6324885538381535E-2</v>
      </c>
      <c r="S914" s="22">
        <v>4.0969214767648365E-2</v>
      </c>
      <c r="T914" s="19">
        <f t="shared" si="104"/>
        <v>4.2980871340473348E-2</v>
      </c>
      <c r="U914" s="24">
        <v>4.2678832943323197E-2</v>
      </c>
      <c r="V914" s="24">
        <f t="shared" si="105"/>
        <v>4.2970974201543832E-2</v>
      </c>
      <c r="W914" s="23">
        <f t="shared" si="106"/>
        <v>3.5122498977255834E-3</v>
      </c>
      <c r="X914" s="24">
        <v>4.2329416903375439E-2</v>
      </c>
      <c r="Y914" s="24">
        <f t="shared" si="107"/>
        <v>4.2974446099292463E-2</v>
      </c>
      <c r="Z914" s="23">
        <f t="shared" si="108"/>
        <v>3.5125287308510611E-3</v>
      </c>
      <c r="AA914" s="36"/>
    </row>
    <row r="915" spans="15:27" ht="13.9" customHeight="1" x14ac:dyDescent="0.3">
      <c r="O915" s="12">
        <f t="shared" si="102"/>
        <v>75.166666666666671</v>
      </c>
      <c r="P915" s="13">
        <v>902</v>
      </c>
      <c r="Q915" s="22">
        <v>3.548802945363394E-2</v>
      </c>
      <c r="R915" s="19">
        <f t="shared" si="103"/>
        <v>3.632684085407778E-2</v>
      </c>
      <c r="S915" s="22">
        <v>4.0971442835804561E-2</v>
      </c>
      <c r="T915" s="19">
        <f t="shared" si="104"/>
        <v>4.2981044822786307E-2</v>
      </c>
      <c r="U915" s="24">
        <v>4.2679156779669825E-2</v>
      </c>
      <c r="V915" s="24">
        <f t="shared" si="105"/>
        <v>4.2971171287944809E-2</v>
      </c>
      <c r="W915" s="23">
        <f t="shared" si="106"/>
        <v>3.5122658082236136E-3</v>
      </c>
      <c r="X915" s="24">
        <v>4.2330131792417847E-2</v>
      </c>
      <c r="Y915" s="24">
        <f t="shared" si="107"/>
        <v>4.2974637418554451E-2</v>
      </c>
      <c r="Z915" s="23">
        <f t="shared" si="108"/>
        <v>3.5125441865890838E-3</v>
      </c>
      <c r="AA915" s="36"/>
    </row>
    <row r="916" spans="15:27" ht="13.9" customHeight="1" x14ac:dyDescent="0.3">
      <c r="O916" s="12">
        <f t="shared" si="102"/>
        <v>75.25</v>
      </c>
      <c r="P916" s="13">
        <v>903</v>
      </c>
      <c r="Q916" s="22">
        <v>3.5488957994292081E-2</v>
      </c>
      <c r="R916" s="19">
        <f t="shared" si="103"/>
        <v>3.6328779873765482E-2</v>
      </c>
      <c r="S916" s="22">
        <v>4.097366616564857E-2</v>
      </c>
      <c r="T916" s="19">
        <f t="shared" si="104"/>
        <v>4.2981216731814875E-2</v>
      </c>
      <c r="U916" s="24">
        <v>4.267948011706757E-2</v>
      </c>
      <c r="V916" s="24">
        <f t="shared" si="105"/>
        <v>4.2971367034987606E-2</v>
      </c>
      <c r="W916" s="23">
        <f t="shared" si="106"/>
        <v>3.5122816107251431E-3</v>
      </c>
      <c r="X916" s="24">
        <v>4.2330845310324383E-2</v>
      </c>
      <c r="Y916" s="24">
        <f t="shared" si="107"/>
        <v>4.2974827304550489E-2</v>
      </c>
      <c r="Z916" s="23">
        <f t="shared" si="108"/>
        <v>3.5125595266312093E-3</v>
      </c>
      <c r="AA916" s="36"/>
    </row>
    <row r="917" spans="15:27" ht="13.9" customHeight="1" x14ac:dyDescent="0.3">
      <c r="O917" s="12">
        <f t="shared" si="102"/>
        <v>75.333333333333329</v>
      </c>
      <c r="P917" s="13">
        <v>904</v>
      </c>
      <c r="Q917" s="22">
        <v>3.5489886624685774E-2</v>
      </c>
      <c r="R917" s="19">
        <f t="shared" si="103"/>
        <v>3.6330702734566955E-2</v>
      </c>
      <c r="S917" s="22">
        <v>4.0975884771153437E-2</v>
      </c>
      <c r="T917" s="19">
        <f t="shared" si="104"/>
        <v>4.2981387081008515E-2</v>
      </c>
      <c r="U917" s="24">
        <v>4.2679802955690738E-2</v>
      </c>
      <c r="V917" s="24">
        <f t="shared" si="105"/>
        <v>4.2971561452311846E-2</v>
      </c>
      <c r="W917" s="23">
        <f t="shared" si="106"/>
        <v>3.5122973058332452E-3</v>
      </c>
      <c r="X917" s="24">
        <v>4.2331557460059788E-2</v>
      </c>
      <c r="Y917" s="24">
        <f t="shared" si="107"/>
        <v>4.2975015768369484E-2</v>
      </c>
      <c r="Z917" s="23">
        <f t="shared" si="108"/>
        <v>3.5125747517510408E-3</v>
      </c>
      <c r="AA917" s="36"/>
    </row>
    <row r="918" spans="15:27" ht="13.9" customHeight="1" x14ac:dyDescent="0.3">
      <c r="O918" s="12">
        <f t="shared" si="102"/>
        <v>75.416666666666671</v>
      </c>
      <c r="P918" s="13">
        <v>905</v>
      </c>
      <c r="Q918" s="22">
        <v>3.5490815326675529E-2</v>
      </c>
      <c r="R918" s="19">
        <f t="shared" si="103"/>
        <v>3.633260957102924E-2</v>
      </c>
      <c r="S918" s="22">
        <v>4.0978098666245133E-2</v>
      </c>
      <c r="T918" s="19">
        <f t="shared" si="104"/>
        <v>4.2981555885427625E-2</v>
      </c>
      <c r="U918" s="24">
        <v>4.2680125295723848E-2</v>
      </c>
      <c r="V918" s="24">
        <f t="shared" si="105"/>
        <v>4.2971754549069763E-2</v>
      </c>
      <c r="W918" s="23">
        <f t="shared" si="106"/>
        <v>3.5123128943213011E-3</v>
      </c>
      <c r="X918" s="24">
        <v>4.2332268244587468E-2</v>
      </c>
      <c r="Y918" s="24">
        <f t="shared" si="107"/>
        <v>4.297520282112699E-2</v>
      </c>
      <c r="Z918" s="23">
        <f t="shared" si="108"/>
        <v>3.5125898628378671E-3</v>
      </c>
      <c r="AA918" s="36"/>
    </row>
    <row r="919" spans="15:27" ht="13.9" customHeight="1" x14ac:dyDescent="0.3">
      <c r="O919" s="12">
        <f t="shared" si="102"/>
        <v>75.5</v>
      </c>
      <c r="P919" s="13">
        <v>906</v>
      </c>
      <c r="Q919" s="22">
        <v>3.5491744082351007E-2</v>
      </c>
      <c r="R919" s="19">
        <f t="shared" si="103"/>
        <v>3.6334500517338109E-2</v>
      </c>
      <c r="S919" s="22">
        <v>4.0980307864804777E-2</v>
      </c>
      <c r="T919" s="19">
        <f t="shared" si="104"/>
        <v>4.2981723158446616E-2</v>
      </c>
      <c r="U919" s="24">
        <v>4.2680447137360522E-2</v>
      </c>
      <c r="V919" s="24">
        <f t="shared" si="105"/>
        <v>4.2971946334584121E-2</v>
      </c>
      <c r="W919" s="23">
        <f t="shared" si="106"/>
        <v>3.5123283769227243E-3</v>
      </c>
      <c r="X919" s="24">
        <v>4.2332977666870386E-2</v>
      </c>
      <c r="Y919" s="24">
        <f t="shared" si="107"/>
        <v>4.2975388472749065E-2</v>
      </c>
      <c r="Z919" s="23">
        <f t="shared" si="108"/>
        <v>3.5126048607827531E-3</v>
      </c>
      <c r="AA919" s="36"/>
    </row>
    <row r="920" spans="15:27" ht="13.9" customHeight="1" x14ac:dyDescent="0.3">
      <c r="O920" s="12">
        <f t="shared" si="102"/>
        <v>75.583333333333329</v>
      </c>
      <c r="P920" s="13">
        <v>907</v>
      </c>
      <c r="Q920" s="22">
        <v>3.5492672874028353E-2</v>
      </c>
      <c r="R920" s="19">
        <f t="shared" si="103"/>
        <v>3.6336375706966795E-2</v>
      </c>
      <c r="S920" s="22">
        <v>4.0982512380667302E-2</v>
      </c>
      <c r="T920" s="19">
        <f t="shared" si="104"/>
        <v>4.2981888914445987E-2</v>
      </c>
      <c r="U920" s="24">
        <v>4.268076848080371E-2</v>
      </c>
      <c r="V920" s="24">
        <f t="shared" si="105"/>
        <v>4.2972136817740481E-2</v>
      </c>
      <c r="W920" s="23">
        <f t="shared" si="106"/>
        <v>3.5123437543855829E-3</v>
      </c>
      <c r="X920" s="24">
        <v>4.2333685729869286E-2</v>
      </c>
      <c r="Y920" s="24">
        <f t="shared" si="107"/>
        <v>4.2975572734694545E-2</v>
      </c>
      <c r="Z920" s="23">
        <f t="shared" si="108"/>
        <v>3.5126197463817288E-3</v>
      </c>
      <c r="AA920" s="36"/>
    </row>
    <row r="921" spans="15:27" ht="13.9" customHeight="1" x14ac:dyDescent="0.3">
      <c r="O921" s="12">
        <f t="shared" si="102"/>
        <v>75.666666666666671</v>
      </c>
      <c r="P921" s="13">
        <v>908</v>
      </c>
      <c r="Q921" s="22">
        <v>3.5493601684248643E-2</v>
      </c>
      <c r="R921" s="19">
        <f t="shared" si="103"/>
        <v>3.633823527149449E-2</v>
      </c>
      <c r="S921" s="22">
        <v>4.0984712227622344E-2</v>
      </c>
      <c r="T921" s="19">
        <f t="shared" si="104"/>
        <v>4.2982053166880974E-2</v>
      </c>
      <c r="U921" s="24">
        <v>4.2681089326265242E-2</v>
      </c>
      <c r="V921" s="24">
        <f t="shared" si="105"/>
        <v>4.2972326006596839E-2</v>
      </c>
      <c r="W921" s="23">
        <f t="shared" si="106"/>
        <v>3.512359027421974E-3</v>
      </c>
      <c r="X921" s="24">
        <v>4.2334392436544244E-2</v>
      </c>
      <c r="Y921" s="24">
        <f t="shared" si="107"/>
        <v>4.2975755616152744E-2</v>
      </c>
      <c r="Z921" s="23">
        <f t="shared" si="108"/>
        <v>3.5126345205536147E-3</v>
      </c>
      <c r="AA921" s="36"/>
    </row>
    <row r="922" spans="15:27" ht="13.9" customHeight="1" x14ac:dyDescent="0.3">
      <c r="O922" s="12">
        <f t="shared" si="102"/>
        <v>75.75</v>
      </c>
      <c r="P922" s="13">
        <v>909</v>
      </c>
      <c r="Q922" s="22">
        <v>3.5494530495774335E-2</v>
      </c>
      <c r="R922" s="19">
        <f t="shared" si="103"/>
        <v>3.6340079341340203E-2</v>
      </c>
      <c r="S922" s="22">
        <v>4.0986907419413576E-2</v>
      </c>
      <c r="T922" s="19">
        <f t="shared" si="104"/>
        <v>4.2982215929559864E-2</v>
      </c>
      <c r="U922" s="24">
        <v>4.2681409673965165E-2</v>
      </c>
      <c r="V922" s="24">
        <f t="shared" si="105"/>
        <v>4.2972513911178511E-2</v>
      </c>
      <c r="W922" s="23">
        <f t="shared" si="106"/>
        <v>3.5123741966782696E-3</v>
      </c>
      <c r="X922" s="24">
        <v>4.2335097789852894E-2</v>
      </c>
      <c r="Y922" s="24">
        <f t="shared" si="107"/>
        <v>4.2975937128748587E-2</v>
      </c>
      <c r="Z922" s="23">
        <f t="shared" si="108"/>
        <v>3.5126491840353768E-3</v>
      </c>
      <c r="AA922" s="36"/>
    </row>
    <row r="923" spans="15:27" ht="13.9" customHeight="1" x14ac:dyDescent="0.3">
      <c r="O923" s="12">
        <f t="shared" si="102"/>
        <v>75.833333333333329</v>
      </c>
      <c r="P923" s="13">
        <v>910</v>
      </c>
      <c r="Q923" s="22">
        <v>3.5495459291587039E-2</v>
      </c>
      <c r="R923" s="19">
        <f t="shared" si="103"/>
        <v>3.6341908046729543E-2</v>
      </c>
      <c r="S923" s="22">
        <v>4.0989097969739596E-2</v>
      </c>
      <c r="T923" s="19">
        <f t="shared" si="104"/>
        <v>4.2982377215864842E-2</v>
      </c>
      <c r="U923" s="24">
        <v>4.2681729524133294E-2</v>
      </c>
      <c r="V923" s="24">
        <f t="shared" si="105"/>
        <v>4.2972700539006148E-2</v>
      </c>
      <c r="W923" s="23">
        <f t="shared" si="106"/>
        <v>3.5123892629582709E-3</v>
      </c>
      <c r="X923" s="24">
        <v>4.2335801792752203E-2</v>
      </c>
      <c r="Y923" s="24">
        <f t="shared" si="107"/>
        <v>4.2976117281623649E-2</v>
      </c>
      <c r="Z923" s="23">
        <f t="shared" si="108"/>
        <v>3.5126637377589365E-3</v>
      </c>
      <c r="AA923" s="36"/>
    </row>
    <row r="924" spans="15:27" ht="13.9" customHeight="1" x14ac:dyDescent="0.3">
      <c r="O924" s="12">
        <f t="shared" si="102"/>
        <v>75.916666666666671</v>
      </c>
      <c r="P924" s="13">
        <v>911</v>
      </c>
      <c r="Q924" s="22">
        <v>3.5496388054885752E-2</v>
      </c>
      <c r="R924" s="19">
        <f t="shared" si="103"/>
        <v>3.6343721515316174E-2</v>
      </c>
      <c r="S924" s="22">
        <v>4.0991283892253705E-2</v>
      </c>
      <c r="T924" s="19">
        <f t="shared" si="104"/>
        <v>4.2982537038898316E-2</v>
      </c>
      <c r="U924" s="24">
        <v>4.2682048877006773E-2</v>
      </c>
      <c r="V924" s="24">
        <f t="shared" si="105"/>
        <v>4.2972885898831192E-2</v>
      </c>
      <c r="W924" s="23">
        <f t="shared" si="106"/>
        <v>3.5124042268650513E-3</v>
      </c>
      <c r="X924" s="24">
        <v>4.2336504448196255E-2</v>
      </c>
      <c r="Y924" s="24">
        <f t="shared" si="107"/>
        <v>4.2976296085343479E-2</v>
      </c>
      <c r="Z924" s="23">
        <f t="shared" si="108"/>
        <v>3.5126781824577069E-3</v>
      </c>
      <c r="AA924" s="36"/>
    </row>
    <row r="925" spans="15:27" ht="13.9" customHeight="1" x14ac:dyDescent="0.3">
      <c r="O925" s="12">
        <f t="shared" si="102"/>
        <v>76</v>
      </c>
      <c r="P925" s="13">
        <v>912</v>
      </c>
      <c r="Q925" s="22">
        <v>3.5497316769083298E-2</v>
      </c>
      <c r="R925" s="19">
        <f t="shared" si="103"/>
        <v>3.6345519875280452E-2</v>
      </c>
      <c r="S925" s="22">
        <v>4.0993465200563461E-2</v>
      </c>
      <c r="T925" s="19">
        <f t="shared" si="104"/>
        <v>4.2982695412413063E-2</v>
      </c>
      <c r="U925" s="24">
        <v>4.2682367732831406E-2</v>
      </c>
      <c r="V925" s="24">
        <f t="shared" si="105"/>
        <v>4.2973070000153157E-2</v>
      </c>
      <c r="W925" s="23">
        <f t="shared" si="106"/>
        <v>3.5124190891004936E-3</v>
      </c>
      <c r="X925" s="24">
        <v>4.2337205759138019E-2</v>
      </c>
      <c r="Y925" s="24">
        <f t="shared" si="107"/>
        <v>4.2976473549861005E-2</v>
      </c>
      <c r="Z925" s="23">
        <f t="shared" si="108"/>
        <v>3.5126925189785663E-3</v>
      </c>
      <c r="AA925" s="36"/>
    </row>
    <row r="926" spans="15:27" ht="13.9" customHeight="1" x14ac:dyDescent="0.3">
      <c r="O926" s="12">
        <f t="shared" si="102"/>
        <v>76.083333333333329</v>
      </c>
      <c r="P926" s="13">
        <v>913</v>
      </c>
      <c r="Q926" s="22">
        <v>3.5498245417805441E-2</v>
      </c>
      <c r="R926" s="19">
        <f t="shared" si="103"/>
        <v>3.6347303252680874E-2</v>
      </c>
      <c r="S926" s="22">
        <v>4.0995641908232017E-2</v>
      </c>
      <c r="T926" s="19">
        <f t="shared" si="104"/>
        <v>4.2982852349852552E-2</v>
      </c>
      <c r="U926" s="24">
        <v>4.2682686091862099E-2</v>
      </c>
      <c r="V926" s="24">
        <f t="shared" si="105"/>
        <v>4.2973252851462362E-2</v>
      </c>
      <c r="W926" s="23">
        <f t="shared" si="106"/>
        <v>3.5124338504259889E-3</v>
      </c>
      <c r="X926" s="24">
        <v>4.2337905728528247E-2</v>
      </c>
      <c r="Y926" s="24">
        <f t="shared" si="107"/>
        <v>4.2976649686300661E-2</v>
      </c>
      <c r="Z926" s="23">
        <f t="shared" si="108"/>
        <v>3.5127067481195429E-3</v>
      </c>
      <c r="AA926" s="36"/>
    </row>
    <row r="927" spans="15:27" ht="13.9" customHeight="1" x14ac:dyDescent="0.3">
      <c r="O927" s="12">
        <f t="shared" si="102"/>
        <v>76.166666666666671</v>
      </c>
      <c r="P927" s="13">
        <v>914</v>
      </c>
      <c r="Q927" s="22">
        <v>3.5499173984887111E-2</v>
      </c>
      <c r="R927" s="19">
        <f t="shared" si="103"/>
        <v>3.6349071772982633E-2</v>
      </c>
      <c r="S927" s="22">
        <v>4.099781402877789E-2</v>
      </c>
      <c r="T927" s="19">
        <f t="shared" si="104"/>
        <v>4.2983007863188094E-2</v>
      </c>
      <c r="U927" s="24">
        <v>4.2683003954361975E-2</v>
      </c>
      <c r="V927" s="24">
        <f t="shared" si="105"/>
        <v>4.2973434460126914E-2</v>
      </c>
      <c r="W927" s="23">
        <f t="shared" si="106"/>
        <v>3.5124485115225479E-3</v>
      </c>
      <c r="X927" s="24">
        <v>4.23386043593168E-2</v>
      </c>
      <c r="Y927" s="24">
        <f t="shared" si="107"/>
        <v>4.2976824502834576E-2</v>
      </c>
      <c r="Z927" s="23">
        <f t="shared" si="108"/>
        <v>3.5127208707728119E-3</v>
      </c>
      <c r="AA927" s="36"/>
    </row>
    <row r="928" spans="15:27" ht="13.9" customHeight="1" x14ac:dyDescent="0.3">
      <c r="O928" s="12">
        <f t="shared" si="102"/>
        <v>76.25</v>
      </c>
      <c r="P928" s="13">
        <v>915</v>
      </c>
      <c r="Q928" s="22">
        <v>3.5500102454371296E-2</v>
      </c>
      <c r="R928" s="19">
        <f t="shared" si="103"/>
        <v>3.6350825560571787E-2</v>
      </c>
      <c r="S928" s="22">
        <v>4.0999981575673417E-2</v>
      </c>
      <c r="T928" s="19">
        <f t="shared" si="104"/>
        <v>4.298316196625751E-2</v>
      </c>
      <c r="U928" s="24">
        <v>4.2683321320601264E-2</v>
      </c>
      <c r="V928" s="24">
        <f t="shared" si="105"/>
        <v>4.2973614835816409E-2</v>
      </c>
      <c r="W928" s="23">
        <f t="shared" si="106"/>
        <v>3.5124630729812534E-3</v>
      </c>
      <c r="X928" s="24">
        <v>4.2339301654449768E-2</v>
      </c>
      <c r="Y928" s="24">
        <f t="shared" si="107"/>
        <v>4.2976998010988643E-2</v>
      </c>
      <c r="Z928" s="23">
        <f t="shared" si="108"/>
        <v>3.5127348875936271E-3</v>
      </c>
      <c r="AA928" s="36"/>
    </row>
    <row r="929" spans="15:27" ht="13.9" customHeight="1" x14ac:dyDescent="0.3">
      <c r="O929" s="12">
        <f t="shared" si="102"/>
        <v>76.333333333333329</v>
      </c>
      <c r="P929" s="13">
        <v>916</v>
      </c>
      <c r="Q929" s="22">
        <v>3.5501030810506151E-2</v>
      </c>
      <c r="R929" s="19">
        <f t="shared" si="103"/>
        <v>3.6352564738130644E-2</v>
      </c>
      <c r="S929" s="22">
        <v>4.1002144562347631E-2</v>
      </c>
      <c r="T929" s="19">
        <f t="shared" si="104"/>
        <v>4.2983314671334316E-2</v>
      </c>
      <c r="U929" s="24">
        <v>4.2683638190859519E-2</v>
      </c>
      <c r="V929" s="24">
        <f t="shared" si="105"/>
        <v>4.2973793985825681E-2</v>
      </c>
      <c r="W929" s="23">
        <f t="shared" si="106"/>
        <v>3.512477535576819E-3</v>
      </c>
      <c r="X929" s="24">
        <v>4.2339997616873015E-2</v>
      </c>
      <c r="Y929" s="24">
        <f t="shared" si="107"/>
        <v>4.2977170218937211E-2</v>
      </c>
      <c r="Z929" s="23">
        <f t="shared" si="108"/>
        <v>3.51274879950636E-3</v>
      </c>
      <c r="AA929" s="36"/>
    </row>
    <row r="930" spans="15:27" ht="13.9" customHeight="1" x14ac:dyDescent="0.3">
      <c r="O930" s="12">
        <f t="shared" si="102"/>
        <v>76.416666666666671</v>
      </c>
      <c r="P930" s="13">
        <v>917</v>
      </c>
      <c r="Q930" s="22">
        <v>3.5501959037742559E-2</v>
      </c>
      <c r="R930" s="19">
        <f t="shared" si="103"/>
        <v>3.6354289427973363E-2</v>
      </c>
      <c r="S930" s="22">
        <v>4.100430300218405E-2</v>
      </c>
      <c r="T930" s="19">
        <f t="shared" si="104"/>
        <v>4.298346599211289E-2</v>
      </c>
      <c r="U930" s="24">
        <v>4.2683954565422733E-2</v>
      </c>
      <c r="V930" s="24">
        <f t="shared" si="105"/>
        <v>4.2973971920167164E-2</v>
      </c>
      <c r="W930" s="23">
        <f t="shared" si="106"/>
        <v>3.5124918998947763E-3</v>
      </c>
      <c r="X930" s="24">
        <v>4.2340692249528189E-2</v>
      </c>
      <c r="Y930" s="24">
        <f t="shared" si="107"/>
        <v>4.2977341138327629E-2</v>
      </c>
      <c r="Z930" s="23">
        <f t="shared" si="108"/>
        <v>3.5127626071660423E-3</v>
      </c>
      <c r="AA930" s="36"/>
    </row>
    <row r="931" spans="15:27" ht="13.9" customHeight="1" x14ac:dyDescent="0.3">
      <c r="O931" s="12">
        <f t="shared" si="102"/>
        <v>76.5</v>
      </c>
      <c r="P931" s="13">
        <v>918</v>
      </c>
      <c r="Q931" s="22">
        <v>3.5502887120731907E-2</v>
      </c>
      <c r="R931" s="19">
        <f t="shared" si="103"/>
        <v>3.635599975119308E-2</v>
      </c>
      <c r="S931" s="22">
        <v>4.1006456908522892E-2</v>
      </c>
      <c r="T931" s="19">
        <f t="shared" si="104"/>
        <v>4.2983615939479192E-2</v>
      </c>
      <c r="U931" s="24">
        <v>4.2684270444586891E-2</v>
      </c>
      <c r="V931" s="24">
        <f t="shared" si="105"/>
        <v>4.2974148645430477E-2</v>
      </c>
      <c r="W931" s="23">
        <f t="shared" si="106"/>
        <v>3.5125061667378166E-3</v>
      </c>
      <c r="X931" s="24">
        <v>4.2341385555357158E-2</v>
      </c>
      <c r="Y931" s="24">
        <f t="shared" si="107"/>
        <v>4.297751077727674E-2</v>
      </c>
      <c r="Z931" s="23">
        <f t="shared" si="108"/>
        <v>3.5127763115070376E-3</v>
      </c>
      <c r="AA931" s="36"/>
    </row>
    <row r="932" spans="15:27" ht="13.9" customHeight="1" x14ac:dyDescent="0.3">
      <c r="O932" s="12">
        <f t="shared" si="102"/>
        <v>76.583333333333329</v>
      </c>
      <c r="P932" s="13">
        <v>919</v>
      </c>
      <c r="Q932" s="22">
        <v>3.5503815044324316E-2</v>
      </c>
      <c r="R932" s="19">
        <f t="shared" si="103"/>
        <v>3.6357695828896031E-2</v>
      </c>
      <c r="S932" s="22">
        <v>4.100860629465819E-2</v>
      </c>
      <c r="T932" s="19">
        <f t="shared" si="104"/>
        <v>4.2983764527045665E-2</v>
      </c>
      <c r="U932" s="24">
        <v>4.2684585828653754E-2</v>
      </c>
      <c r="V932" s="24">
        <f t="shared" si="105"/>
        <v>4.2974324170064859E-2</v>
      </c>
      <c r="W932" s="23">
        <f t="shared" si="106"/>
        <v>3.512520336634406E-3</v>
      </c>
      <c r="X932" s="24">
        <v>4.2342077537297351E-2</v>
      </c>
      <c r="Y932" s="24">
        <f t="shared" si="107"/>
        <v>4.2977679146188219E-2</v>
      </c>
      <c r="Z932" s="23">
        <f t="shared" si="108"/>
        <v>3.5127899131799367E-3</v>
      </c>
      <c r="AA932" s="36"/>
    </row>
    <row r="933" spans="15:27" ht="13.9" customHeight="1" x14ac:dyDescent="0.3">
      <c r="O933" s="12">
        <f t="shared" si="102"/>
        <v>76.666666666666671</v>
      </c>
      <c r="P933" s="13">
        <v>920</v>
      </c>
      <c r="Q933" s="22">
        <v>3.5504742793567301E-2</v>
      </c>
      <c r="R933" s="19">
        <f t="shared" si="103"/>
        <v>3.6359377778732105E-2</v>
      </c>
      <c r="S933" s="22">
        <v>4.101075117384112E-2</v>
      </c>
      <c r="T933" s="19">
        <f t="shared" si="104"/>
        <v>4.2983911767339622E-2</v>
      </c>
      <c r="U933" s="24">
        <v>4.268490071793285E-2</v>
      </c>
      <c r="V933" s="24">
        <f t="shared" si="105"/>
        <v>4.2974498503418834E-2</v>
      </c>
      <c r="W933" s="23">
        <f t="shared" si="106"/>
        <v>3.5125344102617806E-3</v>
      </c>
      <c r="X933" s="24">
        <v>4.2342768198285308E-2</v>
      </c>
      <c r="Y933" s="24">
        <f t="shared" si="107"/>
        <v>4.2977846253996477E-2</v>
      </c>
      <c r="Z933" s="23">
        <f t="shared" si="108"/>
        <v>3.5128034130191832E-3</v>
      </c>
      <c r="AA933" s="36"/>
    </row>
    <row r="934" spans="15:27" ht="13.9" customHeight="1" x14ac:dyDescent="0.3">
      <c r="O934" s="12">
        <f t="shared" si="102"/>
        <v>76.75</v>
      </c>
      <c r="P934" s="13">
        <v>921</v>
      </c>
      <c r="Q934" s="22">
        <v>3.5505670353700891E-2</v>
      </c>
      <c r="R934" s="19">
        <f t="shared" si="103"/>
        <v>3.636104572027965E-2</v>
      </c>
      <c r="S934" s="22">
        <v>4.1012891559278675E-2</v>
      </c>
      <c r="T934" s="19">
        <f t="shared" si="104"/>
        <v>4.2984057671282772E-2</v>
      </c>
      <c r="U934" s="24">
        <v>4.2685215112742592E-2</v>
      </c>
      <c r="V934" s="24">
        <f t="shared" si="105"/>
        <v>4.2974671651781593E-2</v>
      </c>
      <c r="W934" s="23">
        <f t="shared" si="106"/>
        <v>3.512548388369785E-3</v>
      </c>
      <c r="X934" s="24">
        <v>4.2343457541254015E-2</v>
      </c>
      <c r="Y934" s="24">
        <f t="shared" si="107"/>
        <v>4.2978012110340025E-2</v>
      </c>
      <c r="Z934" s="23">
        <f t="shared" si="108"/>
        <v>3.5128168117408709E-3</v>
      </c>
      <c r="AA934" s="36"/>
    </row>
    <row r="935" spans="15:27" ht="13.9" customHeight="1" x14ac:dyDescent="0.3">
      <c r="O935" s="12">
        <f t="shared" si="102"/>
        <v>76.833333333333329</v>
      </c>
      <c r="P935" s="13">
        <v>922</v>
      </c>
      <c r="Q935" s="22">
        <v>3.5506597710158738E-2</v>
      </c>
      <c r="R935" s="19">
        <f t="shared" si="103"/>
        <v>3.6362699768570428E-2</v>
      </c>
      <c r="S935" s="22">
        <v>4.1015027464132769E-2</v>
      </c>
      <c r="T935" s="19">
        <f t="shared" si="104"/>
        <v>4.2984202252444925E-2</v>
      </c>
      <c r="U935" s="24">
        <v>4.2685529013406942E-2</v>
      </c>
      <c r="V935" s="24">
        <f t="shared" si="105"/>
        <v>4.2974843624910664E-2</v>
      </c>
      <c r="W935" s="23">
        <f t="shared" si="106"/>
        <v>3.5125622714624605E-3</v>
      </c>
      <c r="X935" s="24">
        <v>4.2344145569134461E-2</v>
      </c>
      <c r="Y935" s="24">
        <f t="shared" si="107"/>
        <v>4.2978176725271044E-2</v>
      </c>
      <c r="Z935" s="23">
        <f t="shared" si="108"/>
        <v>3.5128301101181592E-3</v>
      </c>
      <c r="AA935" s="36"/>
    </row>
    <row r="936" spans="15:27" ht="13.9" customHeight="1" x14ac:dyDescent="0.3">
      <c r="O936" s="12">
        <f t="shared" si="102"/>
        <v>76.916666666666671</v>
      </c>
      <c r="P936" s="13">
        <v>923</v>
      </c>
      <c r="Q936" s="22">
        <v>3.5507524848562344E-2</v>
      </c>
      <c r="R936" s="19">
        <f t="shared" si="103"/>
        <v>3.6364340041380672E-2</v>
      </c>
      <c r="S936" s="22">
        <v>4.1017158901522688E-2</v>
      </c>
      <c r="T936" s="19">
        <f t="shared" si="104"/>
        <v>4.2984345522090184E-2</v>
      </c>
      <c r="U936" s="24">
        <v>4.2685842420258746E-2</v>
      </c>
      <c r="V936" s="24">
        <f t="shared" si="105"/>
        <v>4.2975014429431413E-2</v>
      </c>
      <c r="W936" s="23">
        <f t="shared" si="106"/>
        <v>3.5125760603227363E-3</v>
      </c>
      <c r="X936" s="24">
        <v>4.2344832284855638E-2</v>
      </c>
      <c r="Y936" s="24">
        <f t="shared" si="107"/>
        <v>4.2978340106861301E-2</v>
      </c>
      <c r="Z936" s="23">
        <f t="shared" si="108"/>
        <v>3.5128433089568478E-3</v>
      </c>
      <c r="AA936" s="36"/>
    </row>
    <row r="937" spans="15:27" ht="13.9" customHeight="1" x14ac:dyDescent="0.3">
      <c r="O937" s="12">
        <f t="shared" si="102"/>
        <v>77</v>
      </c>
      <c r="P937" s="13">
        <v>924</v>
      </c>
      <c r="Q937" s="22">
        <v>3.5508451754722614E-2</v>
      </c>
      <c r="R937" s="19">
        <f t="shared" si="103"/>
        <v>3.6365966653822746E-2</v>
      </c>
      <c r="S937" s="22">
        <v>4.1019285884523082E-2</v>
      </c>
      <c r="T937" s="19">
        <f t="shared" si="104"/>
        <v>4.2984487492158774E-2</v>
      </c>
      <c r="U937" s="24">
        <v>4.2686155333636844E-2</v>
      </c>
      <c r="V937" s="24">
        <f t="shared" si="105"/>
        <v>4.2975184074361961E-2</v>
      </c>
      <c r="W937" s="23">
        <f t="shared" si="106"/>
        <v>3.512589755481299E-3</v>
      </c>
      <c r="X937" s="24">
        <v>4.234551769134276E-2</v>
      </c>
      <c r="Y937" s="24">
        <f t="shared" si="107"/>
        <v>4.2978502265677232E-2</v>
      </c>
      <c r="Z937" s="23">
        <f t="shared" si="108"/>
        <v>3.512856408904419E-3</v>
      </c>
      <c r="AA937" s="36"/>
    </row>
    <row r="938" spans="15:27" ht="13.9" customHeight="1" x14ac:dyDescent="0.3">
      <c r="O938" s="12">
        <f t="shared" si="102"/>
        <v>77.083333333333329</v>
      </c>
      <c r="P938" s="13">
        <v>925</v>
      </c>
      <c r="Q938" s="22">
        <v>3.5509378414636306E-2</v>
      </c>
      <c r="R938" s="19">
        <f t="shared" si="103"/>
        <v>3.636757971957616E-2</v>
      </c>
      <c r="S938" s="22">
        <v>4.1021408426165529E-2</v>
      </c>
      <c r="T938" s="19">
        <f t="shared" si="104"/>
        <v>4.2984628174965955E-2</v>
      </c>
      <c r="U938" s="24">
        <v>4.2686467753888291E-2</v>
      </c>
      <c r="V938" s="24">
        <f t="shared" si="105"/>
        <v>4.2975352567522718E-2</v>
      </c>
      <c r="W938" s="23">
        <f t="shared" si="106"/>
        <v>3.5126033576615701E-3</v>
      </c>
      <c r="X938" s="24">
        <v>4.2346201791519711E-2</v>
      </c>
      <c r="Y938" s="24">
        <f t="shared" si="107"/>
        <v>4.2978663209967349E-2</v>
      </c>
      <c r="Z938" s="23">
        <f t="shared" si="108"/>
        <v>3.5128694108079728E-3</v>
      </c>
      <c r="AA938" s="36"/>
    </row>
    <row r="939" spans="15:27" ht="13.9" customHeight="1" x14ac:dyDescent="0.3">
      <c r="O939" s="12">
        <f t="shared" si="102"/>
        <v>77.166666666666671</v>
      </c>
      <c r="P939" s="13">
        <v>926</v>
      </c>
      <c r="Q939" s="22">
        <v>3.5510304814483362E-2</v>
      </c>
      <c r="R939" s="19">
        <f t="shared" si="103"/>
        <v>3.6369179351890324E-2</v>
      </c>
      <c r="S939" s="22">
        <v>4.102352653943786E-2</v>
      </c>
      <c r="T939" s="19">
        <f t="shared" si="104"/>
        <v>4.2984767581226713E-2</v>
      </c>
      <c r="U939" s="24">
        <v>4.2686779681367026E-2</v>
      </c>
      <c r="V939" s="24">
        <f t="shared" si="105"/>
        <v>4.2975519915751548E-2</v>
      </c>
      <c r="W939" s="23">
        <f t="shared" si="106"/>
        <v>3.5126168674908254E-3</v>
      </c>
      <c r="X939" s="24">
        <v>4.2346884588306599E-2</v>
      </c>
      <c r="Y939" s="24">
        <f t="shared" si="107"/>
        <v>4.2978822948467776E-2</v>
      </c>
      <c r="Z939" s="23">
        <f t="shared" si="108"/>
        <v>3.5128823153287581E-3</v>
      </c>
      <c r="AA939" s="36"/>
    </row>
    <row r="940" spans="15:27" ht="13.9" customHeight="1" x14ac:dyDescent="0.3">
      <c r="O940" s="12">
        <f t="shared" si="102"/>
        <v>77.25</v>
      </c>
      <c r="P940" s="13">
        <v>927</v>
      </c>
      <c r="Q940" s="22">
        <v>3.551123094062536E-2</v>
      </c>
      <c r="R940" s="19">
        <f t="shared" si="103"/>
        <v>3.637076566272901E-2</v>
      </c>
      <c r="S940" s="22">
        <v>4.1025640237284167E-2</v>
      </c>
      <c r="T940" s="19">
        <f t="shared" si="104"/>
        <v>4.2984905722913913E-2</v>
      </c>
      <c r="U940" s="24">
        <v>4.2687091116432763E-2</v>
      </c>
      <c r="V940" s="24">
        <f t="shared" si="105"/>
        <v>4.2975686127262547E-2</v>
      </c>
      <c r="W940" s="23">
        <f t="shared" si="106"/>
        <v>3.512630285516849E-3</v>
      </c>
      <c r="X940" s="24">
        <v>4.2347566084620647E-2</v>
      </c>
      <c r="Y940" s="24">
        <f t="shared" si="107"/>
        <v>4.2978981491658352E-2</v>
      </c>
      <c r="Z940" s="23">
        <f t="shared" si="108"/>
        <v>3.5128951231677696E-3</v>
      </c>
      <c r="AA940" s="36"/>
    </row>
    <row r="941" spans="15:27" ht="13.9" customHeight="1" x14ac:dyDescent="0.3">
      <c r="O941" s="12">
        <f t="shared" si="102"/>
        <v>77.333333333333329</v>
      </c>
      <c r="P941" s="13">
        <v>928</v>
      </c>
      <c r="Q941" s="22">
        <v>3.5512156779603288E-2</v>
      </c>
      <c r="R941" s="19">
        <f t="shared" si="103"/>
        <v>3.637233876427981E-2</v>
      </c>
      <c r="S941" s="22">
        <v>4.102774953260524E-2</v>
      </c>
      <c r="T941" s="19">
        <f t="shared" si="104"/>
        <v>4.2985042612361912E-2</v>
      </c>
      <c r="U941" s="24">
        <v>4.2687402059452761E-2</v>
      </c>
      <c r="V941" s="24">
        <f t="shared" si="105"/>
        <v>4.2975851210136362E-2</v>
      </c>
      <c r="W941" s="23">
        <f t="shared" si="106"/>
        <v>3.5126436123986693E-3</v>
      </c>
      <c r="X941" s="24">
        <v>4.23482462833773E-2</v>
      </c>
      <c r="Y941" s="24">
        <f t="shared" si="107"/>
        <v>4.2979138847289544E-2</v>
      </c>
      <c r="Z941" s="23">
        <f t="shared" si="108"/>
        <v>3.5129078351647802E-3</v>
      </c>
      <c r="AA941" s="36"/>
    </row>
    <row r="942" spans="15:27" ht="13.9" customHeight="1" x14ac:dyDescent="0.3">
      <c r="O942" s="12">
        <f t="shared" si="102"/>
        <v>77.416666666666671</v>
      </c>
      <c r="P942" s="13">
        <v>929</v>
      </c>
      <c r="Q942" s="22">
        <v>3.5513082318136657E-2</v>
      </c>
      <c r="R942" s="19">
        <f t="shared" si="103"/>
        <v>3.6373898765882373E-2</v>
      </c>
      <c r="S942" s="22">
        <v>4.1029854438259683E-2</v>
      </c>
      <c r="T942" s="19">
        <f t="shared" si="104"/>
        <v>4.2985178259980605E-2</v>
      </c>
      <c r="U942" s="24">
        <v>4.2687712510801168E-2</v>
      </c>
      <c r="V942" s="24">
        <f t="shared" si="105"/>
        <v>4.2976015172187854E-2</v>
      </c>
      <c r="W942" s="23">
        <f t="shared" si="106"/>
        <v>3.5126568487842125E-3</v>
      </c>
      <c r="X942" s="24">
        <v>4.2348925187488229E-2</v>
      </c>
      <c r="Y942" s="24">
        <f t="shared" si="107"/>
        <v>4.2979295024789144E-2</v>
      </c>
      <c r="Z942" s="23">
        <f t="shared" si="108"/>
        <v>3.5129204519415147E-3</v>
      </c>
      <c r="AA942" s="36"/>
    </row>
    <row r="943" spans="15:27" ht="13.9" customHeight="1" x14ac:dyDescent="0.3">
      <c r="O943" s="12">
        <f t="shared" si="102"/>
        <v>77.5</v>
      </c>
      <c r="P943" s="13">
        <v>930</v>
      </c>
      <c r="Q943" s="22">
        <v>3.551400754311973E-2</v>
      </c>
      <c r="R943" s="19">
        <f t="shared" si="103"/>
        <v>3.6375445778136895E-2</v>
      </c>
      <c r="S943" s="22">
        <v>4.1031954967062134E-2</v>
      </c>
      <c r="T943" s="19">
        <f t="shared" si="104"/>
        <v>4.2985312676803389E-2</v>
      </c>
      <c r="U943" s="24">
        <v>4.2688022470859011E-2</v>
      </c>
      <c r="V943" s="24">
        <f t="shared" si="105"/>
        <v>4.2976178020530886E-2</v>
      </c>
      <c r="W943" s="23">
        <f t="shared" si="106"/>
        <v>3.5126699953000884E-3</v>
      </c>
      <c r="X943" s="24">
        <v>4.234960279986244E-2</v>
      </c>
      <c r="Y943" s="24">
        <f t="shared" si="107"/>
        <v>4.2979450032681887E-2</v>
      </c>
      <c r="Z943" s="23">
        <f t="shared" si="108"/>
        <v>3.5129329742540349E-3</v>
      </c>
      <c r="AA943" s="36"/>
    </row>
    <row r="944" spans="15:27" ht="13.9" customHeight="1" x14ac:dyDescent="0.3">
      <c r="O944" s="12">
        <f t="shared" si="102"/>
        <v>77.583333333333329</v>
      </c>
      <c r="P944" s="13">
        <v>931</v>
      </c>
      <c r="Q944" s="22">
        <v>3.5514932441621738E-2</v>
      </c>
      <c r="R944" s="19">
        <f t="shared" si="103"/>
        <v>3.6376979908381291E-2</v>
      </c>
      <c r="S944" s="22">
        <v>4.1034051131783933E-2</v>
      </c>
      <c r="T944" s="19">
        <f t="shared" si="104"/>
        <v>4.29854458748824E-2</v>
      </c>
      <c r="U944" s="24">
        <v>4.2688331940013313E-2</v>
      </c>
      <c r="V944" s="24">
        <f t="shared" si="105"/>
        <v>4.2976339762331062E-2</v>
      </c>
      <c r="W944" s="23">
        <f t="shared" si="106"/>
        <v>3.5126830525165076E-3</v>
      </c>
      <c r="X944" s="24">
        <v>4.2350279123405832E-2</v>
      </c>
      <c r="Y944" s="24">
        <f t="shared" si="107"/>
        <v>4.2979603879778949E-2</v>
      </c>
      <c r="Z944" s="23">
        <f t="shared" si="108"/>
        <v>3.5129454027855722E-3</v>
      </c>
      <c r="AA944" s="36"/>
    </row>
    <row r="945" spans="15:27" ht="13.9" customHeight="1" x14ac:dyDescent="0.3">
      <c r="O945" s="12">
        <f t="shared" si="102"/>
        <v>77.666666666666671</v>
      </c>
      <c r="P945" s="13">
        <v>932</v>
      </c>
      <c r="Q945" s="22">
        <v>3.5515857000882445E-2</v>
      </c>
      <c r="R945" s="19">
        <f t="shared" si="103"/>
        <v>3.6378501265257546E-2</v>
      </c>
      <c r="S945" s="22">
        <v>4.1036142945154674E-2</v>
      </c>
      <c r="T945" s="19">
        <f t="shared" si="104"/>
        <v>4.2985577864751212E-2</v>
      </c>
      <c r="U945" s="24">
        <v>4.2688640918657095E-2</v>
      </c>
      <c r="V945" s="24">
        <f t="shared" si="105"/>
        <v>4.2976500406475049E-2</v>
      </c>
      <c r="W945" s="23">
        <f t="shared" si="106"/>
        <v>3.5126960210083435E-3</v>
      </c>
      <c r="X945" s="24">
        <v>4.2350954161020971E-2</v>
      </c>
      <c r="Y945" s="24">
        <f t="shared" si="107"/>
        <v>4.2979756574859307E-2</v>
      </c>
      <c r="Z945" s="23">
        <f t="shared" si="108"/>
        <v>3.5129577382431165E-3</v>
      </c>
      <c r="AA945" s="36"/>
    </row>
    <row r="946" spans="15:27" ht="13.9" customHeight="1" x14ac:dyDescent="0.3">
      <c r="O946" s="12">
        <f t="shared" si="102"/>
        <v>77.75</v>
      </c>
      <c r="P946" s="13">
        <v>933</v>
      </c>
      <c r="Q946" s="22">
        <v>3.5516781208312809E-2</v>
      </c>
      <c r="R946" s="19">
        <f t="shared" si="103"/>
        <v>3.6380009954701586E-2</v>
      </c>
      <c r="S946" s="22">
        <v>4.1038230419860433E-2</v>
      </c>
      <c r="T946" s="19">
        <f t="shared" si="104"/>
        <v>4.2985708657534705E-2</v>
      </c>
      <c r="U946" s="24">
        <v>4.2688949407191368E-2</v>
      </c>
      <c r="V946" s="24">
        <f t="shared" si="105"/>
        <v>4.2976659959258479E-2</v>
      </c>
      <c r="W946" s="23">
        <f t="shared" si="106"/>
        <v>3.5127089014881374E-3</v>
      </c>
      <c r="X946" s="24">
        <v>4.2351627915607759E-2</v>
      </c>
      <c r="Y946" s="24">
        <f t="shared" si="107"/>
        <v>4.2979908126931754E-2</v>
      </c>
      <c r="Z946" s="23">
        <f t="shared" si="108"/>
        <v>3.5129699813301052E-3</v>
      </c>
      <c r="AA946" s="36"/>
    </row>
    <row r="947" spans="15:27" ht="13.9" customHeight="1" x14ac:dyDescent="0.3">
      <c r="O947" s="12">
        <f t="shared" si="102"/>
        <v>77.833333333333329</v>
      </c>
      <c r="P947" s="13">
        <v>934</v>
      </c>
      <c r="Q947" s="22">
        <v>3.5517705051490767E-2</v>
      </c>
      <c r="R947" s="19">
        <f t="shared" si="103"/>
        <v>3.6381506082914017E-2</v>
      </c>
      <c r="S947" s="22">
        <v>4.1040313568545317E-2</v>
      </c>
      <c r="T947" s="19">
        <f t="shared" si="104"/>
        <v>4.2985838264114395E-2</v>
      </c>
      <c r="U947" s="24">
        <v>4.2689257406021808E-2</v>
      </c>
      <c r="V947" s="24">
        <f t="shared" si="105"/>
        <v>4.2976818428768437E-2</v>
      </c>
      <c r="W947" s="23">
        <f t="shared" si="106"/>
        <v>3.5127216944603745E-3</v>
      </c>
      <c r="X947" s="24">
        <v>4.2352300390062991E-2</v>
      </c>
      <c r="Y947" s="24">
        <f t="shared" si="107"/>
        <v>4.2980058543653721E-2</v>
      </c>
      <c r="Z947" s="23">
        <f t="shared" si="108"/>
        <v>3.5129821327692934E-3</v>
      </c>
      <c r="AA947" s="36"/>
    </row>
    <row r="948" spans="15:27" ht="13.9" customHeight="1" x14ac:dyDescent="0.3">
      <c r="O948" s="12">
        <f t="shared" si="102"/>
        <v>77.916666666666671</v>
      </c>
      <c r="P948" s="13">
        <v>935</v>
      </c>
      <c r="Q948" s="22">
        <v>3.5518628518161233E-2</v>
      </c>
      <c r="R948" s="19">
        <f t="shared" si="103"/>
        <v>3.6382989754549122E-2</v>
      </c>
      <c r="S948" s="22">
        <v>4.1042392403810579E-2</v>
      </c>
      <c r="T948" s="19">
        <f t="shared" si="104"/>
        <v>4.2985966694889965E-2</v>
      </c>
      <c r="U948" s="24">
        <v>4.2689564915561418E-2</v>
      </c>
      <c r="V948" s="24">
        <f t="shared" si="105"/>
        <v>4.2976975821674701E-2</v>
      </c>
      <c r="W948" s="23">
        <f t="shared" si="106"/>
        <v>3.5127344005740913E-3</v>
      </c>
      <c r="X948" s="24">
        <v>4.2352971587279464E-2</v>
      </c>
      <c r="Y948" s="24">
        <f t="shared" si="107"/>
        <v>4.298020783478762E-2</v>
      </c>
      <c r="Z948" s="23">
        <f t="shared" si="108"/>
        <v>3.5129941931744124E-3</v>
      </c>
      <c r="AA948" s="36"/>
    </row>
    <row r="949" spans="15:27" ht="13.9" customHeight="1" x14ac:dyDescent="0.3">
      <c r="O949" s="12">
        <f t="shared" si="102"/>
        <v>78</v>
      </c>
      <c r="P949" s="13">
        <v>936</v>
      </c>
      <c r="Q949" s="22">
        <v>3.551955159623299E-2</v>
      </c>
      <c r="R949" s="19">
        <f t="shared" si="103"/>
        <v>3.6384461074393748E-2</v>
      </c>
      <c r="S949" s="22">
        <v>4.1044466938215063E-2</v>
      </c>
      <c r="T949" s="19">
        <f t="shared" si="104"/>
        <v>4.2986093961173921E-2</v>
      </c>
      <c r="U949" s="24">
        <v>4.2689871936228307E-2</v>
      </c>
      <c r="V949" s="24">
        <f t="shared" si="105"/>
        <v>4.2977132145873176E-2</v>
      </c>
      <c r="W949" s="23">
        <f t="shared" si="106"/>
        <v>3.5127470203635269E-3</v>
      </c>
      <c r="X949" s="24">
        <v>4.2353641510147977E-2</v>
      </c>
      <c r="Y949" s="24">
        <f t="shared" si="107"/>
        <v>4.2980356007279452E-2</v>
      </c>
      <c r="Z949" s="23">
        <f t="shared" si="108"/>
        <v>3.5130061633283916E-3</v>
      </c>
      <c r="AA949" s="36"/>
    </row>
    <row r="950" spans="15:27" ht="13.9" customHeight="1" x14ac:dyDescent="0.3">
      <c r="O950" s="12">
        <f t="shared" si="102"/>
        <v>78.083333333333329</v>
      </c>
      <c r="P950" s="13">
        <v>937</v>
      </c>
      <c r="Q950" s="22">
        <v>3.5520474273778246E-2</v>
      </c>
      <c r="R950" s="19">
        <f t="shared" si="103"/>
        <v>3.6385920144641704E-2</v>
      </c>
      <c r="S950" s="22">
        <v>4.1046537184275866E-2</v>
      </c>
      <c r="T950" s="19">
        <f t="shared" si="104"/>
        <v>4.298622007288122E-2</v>
      </c>
      <c r="U950" s="24">
        <v>4.2690178468447249E-2</v>
      </c>
      <c r="V950" s="24">
        <f t="shared" si="105"/>
        <v>4.2977287408230369E-2</v>
      </c>
      <c r="W950" s="23">
        <f t="shared" si="106"/>
        <v>3.5127595544621748E-3</v>
      </c>
      <c r="X950" s="24">
        <v>4.2354310161554221E-2</v>
      </c>
      <c r="Y950" s="24">
        <f t="shared" si="107"/>
        <v>4.2980503070899179E-2</v>
      </c>
      <c r="Z950" s="23">
        <f t="shared" si="108"/>
        <v>3.5130180437883407E-3</v>
      </c>
      <c r="AA950" s="36"/>
    </row>
    <row r="951" spans="15:27" ht="13.9" customHeight="1" x14ac:dyDescent="0.3">
      <c r="O951" s="12">
        <f t="shared" si="102"/>
        <v>78.166666666666671</v>
      </c>
      <c r="P951" s="13">
        <v>938</v>
      </c>
      <c r="Q951" s="22">
        <v>3.5521396539029082E-2</v>
      </c>
      <c r="R951" s="19">
        <f t="shared" si="103"/>
        <v>3.6387367068003273E-2</v>
      </c>
      <c r="S951" s="22">
        <v>4.1048603154467456E-2</v>
      </c>
      <c r="T951" s="19">
        <f t="shared" si="104"/>
        <v>4.2986345040880281E-2</v>
      </c>
      <c r="U951" s="24">
        <v>4.2690484512648563E-2</v>
      </c>
      <c r="V951" s="24">
        <f t="shared" si="105"/>
        <v>4.2977441616203427E-2</v>
      </c>
      <c r="W951" s="23">
        <f t="shared" si="106"/>
        <v>3.5127720034204835E-3</v>
      </c>
      <c r="X951" s="24">
        <v>4.2354977544382333E-2</v>
      </c>
      <c r="Y951" s="24">
        <f t="shared" si="107"/>
        <v>4.2980649032620555E-2</v>
      </c>
      <c r="Z951" s="23">
        <f t="shared" si="108"/>
        <v>3.5130298353371892E-3</v>
      </c>
      <c r="AA951" s="36"/>
    </row>
    <row r="952" spans="15:27" ht="13.9" customHeight="1" x14ac:dyDescent="0.3">
      <c r="O952" s="12">
        <f t="shared" si="102"/>
        <v>78.25</v>
      </c>
      <c r="P952" s="13">
        <v>939</v>
      </c>
      <c r="Q952" s="22">
        <v>3.5522318380376783E-2</v>
      </c>
      <c r="R952" s="19">
        <f t="shared" si="103"/>
        <v>3.6388801945804294E-2</v>
      </c>
      <c r="S952" s="22">
        <v>4.1050664861222552E-2</v>
      </c>
      <c r="T952" s="19">
        <f t="shared" si="104"/>
        <v>4.2986468875278572E-2</v>
      </c>
      <c r="U952" s="24">
        <v>4.2690790069268791E-2</v>
      </c>
      <c r="V952" s="24">
        <f t="shared" si="105"/>
        <v>4.2977594777024342E-2</v>
      </c>
      <c r="W952" s="23">
        <f t="shared" si="106"/>
        <v>3.512784367836419E-3</v>
      </c>
      <c r="X952" s="24">
        <v>4.2355643661511344E-2</v>
      </c>
      <c r="Y952" s="24">
        <f t="shared" si="107"/>
        <v>4.2980793901726155E-2</v>
      </c>
      <c r="Z952" s="23">
        <f t="shared" si="108"/>
        <v>3.5130415385344893E-3</v>
      </c>
      <c r="AA952" s="36"/>
    </row>
    <row r="953" spans="15:27" ht="13.9" customHeight="1" x14ac:dyDescent="0.3">
      <c r="O953" s="12">
        <f t="shared" si="102"/>
        <v>78.333333333333329</v>
      </c>
      <c r="P953" s="13">
        <v>940</v>
      </c>
      <c r="Q953" s="22">
        <v>3.5523239786369842E-2</v>
      </c>
      <c r="R953" s="19">
        <f t="shared" si="103"/>
        <v>3.6390224879121691E-2</v>
      </c>
      <c r="S953" s="22">
        <v>4.1052722316932133E-2</v>
      </c>
      <c r="T953" s="19">
        <f t="shared" si="104"/>
        <v>4.2986591586886336E-2</v>
      </c>
      <c r="U953" s="24">
        <v>4.2691095138750024E-2</v>
      </c>
      <c r="V953" s="24">
        <f t="shared" si="105"/>
        <v>4.297774689819045E-2</v>
      </c>
      <c r="W953" s="23">
        <f t="shared" si="106"/>
        <v>3.5127966482897399E-3</v>
      </c>
      <c r="X953" s="24">
        <v>4.2356308515818064E-2</v>
      </c>
      <c r="Y953" s="24">
        <f t="shared" si="107"/>
        <v>4.2980937686509124E-2</v>
      </c>
      <c r="Z953" s="23">
        <f t="shared" si="108"/>
        <v>3.5130531541245347E-3</v>
      </c>
      <c r="AA953" s="36"/>
    </row>
    <row r="954" spans="15:27" ht="13.9" customHeight="1" x14ac:dyDescent="0.3">
      <c r="O954" s="12">
        <f t="shared" si="102"/>
        <v>78.416666666666671</v>
      </c>
      <c r="P954" s="13">
        <v>941</v>
      </c>
      <c r="Q954" s="22">
        <v>3.5524160745712852E-2</v>
      </c>
      <c r="R954" s="19">
        <f t="shared" si="103"/>
        <v>3.6391635967064406E-2</v>
      </c>
      <c r="S954" s="22">
        <v>4.1054775533945653E-2</v>
      </c>
      <c r="T954" s="19">
        <f t="shared" si="104"/>
        <v>4.298671318522862E-2</v>
      </c>
      <c r="U954" s="24">
        <v>4.269139972154079E-2</v>
      </c>
      <c r="V954" s="24">
        <f t="shared" si="105"/>
        <v>4.2977897985250646E-2</v>
      </c>
      <c r="W954" s="23">
        <f t="shared" si="106"/>
        <v>3.512808845381965E-3</v>
      </c>
      <c r="X954" s="24">
        <v>4.235697211017575E-2</v>
      </c>
      <c r="Y954" s="24">
        <f t="shared" si="107"/>
        <v>4.2981080394063564E-2</v>
      </c>
      <c r="Z954" s="23">
        <f t="shared" si="108"/>
        <v>3.5130646827723488E-3</v>
      </c>
      <c r="AA954" s="36"/>
    </row>
    <row r="955" spans="15:27" ht="13.9" customHeight="1" x14ac:dyDescent="0.3">
      <c r="O955" s="12">
        <f t="shared" si="102"/>
        <v>78.5</v>
      </c>
      <c r="P955" s="13">
        <v>942</v>
      </c>
      <c r="Q955" s="22">
        <v>3.552508124726339E-2</v>
      </c>
      <c r="R955" s="19">
        <f t="shared" si="103"/>
        <v>3.6393035308990296E-2</v>
      </c>
      <c r="S955" s="22">
        <v>4.1056824524570379E-2</v>
      </c>
      <c r="T955" s="19">
        <f t="shared" si="104"/>
        <v>4.2986833680473069E-2</v>
      </c>
      <c r="U955" s="24">
        <v>4.2691703818093174E-2</v>
      </c>
      <c r="V955" s="24">
        <f t="shared" si="105"/>
        <v>4.2978048046677708E-2</v>
      </c>
      <c r="W955" s="23">
        <f t="shared" si="106"/>
        <v>3.5128209595578497E-3</v>
      </c>
      <c r="X955" s="24">
        <v>4.2357634447452996E-2</v>
      </c>
      <c r="Y955" s="24">
        <f t="shared" si="107"/>
        <v>4.2981222033207533E-2</v>
      </c>
      <c r="Z955" s="23">
        <f t="shared" si="108"/>
        <v>3.513076125046366E-3</v>
      </c>
      <c r="AA955" s="36"/>
    </row>
    <row r="956" spans="15:27" ht="13.9" customHeight="1" x14ac:dyDescent="0.3">
      <c r="O956" s="12">
        <f t="shared" si="102"/>
        <v>78.583333333333329</v>
      </c>
      <c r="P956" s="13">
        <v>943</v>
      </c>
      <c r="Q956" s="22">
        <v>3.5526001280031583E-2</v>
      </c>
      <c r="R956" s="19">
        <f t="shared" si="103"/>
        <v>3.6394423003307086E-2</v>
      </c>
      <c r="S956" s="22">
        <v>4.1058869301072276E-2</v>
      </c>
      <c r="T956" s="19">
        <f t="shared" si="104"/>
        <v>4.2986953083068657E-2</v>
      </c>
      <c r="U956" s="24">
        <v>4.2692007428866807E-2</v>
      </c>
      <c r="V956" s="24">
        <f t="shared" si="105"/>
        <v>4.2978197088641146E-2</v>
      </c>
      <c r="W956" s="23">
        <f t="shared" si="106"/>
        <v>3.5128329914968504E-3</v>
      </c>
      <c r="X956" s="24">
        <v>4.2358295530515511E-2</v>
      </c>
      <c r="Y956" s="24">
        <f t="shared" si="107"/>
        <v>4.2981362611538731E-2</v>
      </c>
      <c r="Z956" s="23">
        <f t="shared" si="108"/>
        <v>3.5130874816542423E-3</v>
      </c>
      <c r="AA956" s="36"/>
    </row>
    <row r="957" spans="15:27" ht="13.9" customHeight="1" x14ac:dyDescent="0.3">
      <c r="O957" s="12">
        <f t="shared" si="102"/>
        <v>78.666666666666671</v>
      </c>
      <c r="P957" s="13">
        <v>944</v>
      </c>
      <c r="Q957" s="22">
        <v>3.5526920833178322E-2</v>
      </c>
      <c r="R957" s="19">
        <f t="shared" si="103"/>
        <v>3.6395799145657159E-2</v>
      </c>
      <c r="S957" s="22">
        <v>4.1060909875676233E-2</v>
      </c>
      <c r="T957" s="19">
        <f t="shared" si="104"/>
        <v>4.2987071403050692E-2</v>
      </c>
      <c r="U957" s="24">
        <v>4.2692310554325541E-2</v>
      </c>
      <c r="V957" s="24">
        <f t="shared" si="105"/>
        <v>4.2978345119385919E-2</v>
      </c>
      <c r="W957" s="23">
        <f t="shared" si="106"/>
        <v>3.5128449416934604E-3</v>
      </c>
      <c r="X957" s="24">
        <v>4.2358955362225226E-2</v>
      </c>
      <c r="Y957" s="24">
        <f t="shared" si="107"/>
        <v>4.2981502137924732E-2</v>
      </c>
      <c r="Z957" s="23">
        <f t="shared" si="108"/>
        <v>3.5130987532048241E-3</v>
      </c>
      <c r="AA957" s="36"/>
    </row>
    <row r="958" spans="15:27" ht="13.9" customHeight="1" x14ac:dyDescent="0.3">
      <c r="O958" s="12">
        <f t="shared" si="102"/>
        <v>78.75</v>
      </c>
      <c r="P958" s="13">
        <v>945</v>
      </c>
      <c r="Q958" s="22">
        <v>3.5527839896011493E-2</v>
      </c>
      <c r="R958" s="19">
        <f t="shared" si="103"/>
        <v>3.6397163834300361E-2</v>
      </c>
      <c r="S958" s="22">
        <v>4.1062946260566058E-2</v>
      </c>
      <c r="T958" s="19">
        <f t="shared" si="104"/>
        <v>4.2987188649827868E-2</v>
      </c>
      <c r="U958" s="24">
        <v>4.269261319494011E-2</v>
      </c>
      <c r="V958" s="24">
        <f t="shared" si="105"/>
        <v>4.2978492144942315E-2</v>
      </c>
      <c r="W958" s="23">
        <f t="shared" si="106"/>
        <v>3.5128568108089286E-3</v>
      </c>
      <c r="X958" s="24">
        <v>4.2359613945440966E-2</v>
      </c>
      <c r="Y958" s="24">
        <f t="shared" si="107"/>
        <v>4.2981640619634831E-2</v>
      </c>
      <c r="Z958" s="23">
        <f t="shared" si="108"/>
        <v>3.5131099404090982E-3</v>
      </c>
      <c r="AA958" s="36"/>
    </row>
    <row r="959" spans="15:27" ht="13.9" customHeight="1" x14ac:dyDescent="0.3">
      <c r="O959" s="12">
        <f t="shared" si="102"/>
        <v>78.833333333333329</v>
      </c>
      <c r="P959" s="13">
        <v>946</v>
      </c>
      <c r="Q959" s="22">
        <v>3.5528758457987974E-2</v>
      </c>
      <c r="R959" s="19">
        <f t="shared" si="103"/>
        <v>3.6398517163597877E-2</v>
      </c>
      <c r="S959" s="22">
        <v>4.1064978467884261E-2</v>
      </c>
      <c r="T959" s="19">
        <f t="shared" si="104"/>
        <v>4.2987304832510231E-2</v>
      </c>
      <c r="U959" s="24">
        <v>4.269291535118569E-2</v>
      </c>
      <c r="V959" s="24">
        <f t="shared" si="105"/>
        <v>4.2978638170640071E-2</v>
      </c>
      <c r="W959" s="23">
        <f t="shared" si="106"/>
        <v>3.5128685993268682E-3</v>
      </c>
      <c r="X959" s="24">
        <v>4.2360271283017337E-2</v>
      </c>
      <c r="Y959" s="24">
        <f t="shared" si="107"/>
        <v>4.2981778063210241E-2</v>
      </c>
      <c r="Z959" s="23">
        <f t="shared" si="108"/>
        <v>3.5131210438501537E-3</v>
      </c>
      <c r="AA959" s="36"/>
    </row>
    <row r="960" spans="15:27" ht="13.9" customHeight="1" x14ac:dyDescent="0.3">
      <c r="O960" s="12">
        <f t="shared" si="102"/>
        <v>78.916666666666671</v>
      </c>
      <c r="P960" s="13">
        <v>947</v>
      </c>
      <c r="Q960" s="22">
        <v>3.5529676508708752E-2</v>
      </c>
      <c r="R960" s="19">
        <f t="shared" si="103"/>
        <v>3.6399859229398146E-2</v>
      </c>
      <c r="S960" s="22">
        <v>4.1067006509731607E-2</v>
      </c>
      <c r="T960" s="19">
        <f t="shared" si="104"/>
        <v>4.2987419962203344E-2</v>
      </c>
      <c r="U960" s="24">
        <v>4.2693217023541008E-2</v>
      </c>
      <c r="V960" s="24">
        <f t="shared" si="105"/>
        <v>4.2978783205745552E-2</v>
      </c>
      <c r="W960" s="23">
        <f t="shared" si="106"/>
        <v>3.512880307674493E-3</v>
      </c>
      <c r="X960" s="24">
        <v>4.2360927377803836E-2</v>
      </c>
      <c r="Y960" s="24">
        <f t="shared" si="107"/>
        <v>4.2981914478694039E-2</v>
      </c>
      <c r="Z960" s="23">
        <f t="shared" si="108"/>
        <v>3.5131320640522379E-3</v>
      </c>
      <c r="AA960" s="36"/>
    </row>
    <row r="961" spans="15:27" ht="13.9" customHeight="1" x14ac:dyDescent="0.3">
      <c r="O961" s="12">
        <f t="shared" si="102"/>
        <v>79</v>
      </c>
      <c r="P961" s="13">
        <v>948</v>
      </c>
      <c r="Q961" s="22">
        <v>3.5530594037919805E-2</v>
      </c>
      <c r="R961" s="19">
        <f t="shared" si="103"/>
        <v>3.6401190125151084E-2</v>
      </c>
      <c r="S961" s="22">
        <v>4.1069030398169115E-2</v>
      </c>
      <c r="T961" s="19">
        <f t="shared" si="104"/>
        <v>4.2987534047240983E-2</v>
      </c>
      <c r="U961" s="24">
        <v>4.2693518212492565E-2</v>
      </c>
      <c r="V961" s="24">
        <f t="shared" si="105"/>
        <v>4.2978927255228783E-2</v>
      </c>
      <c r="W961" s="23">
        <f t="shared" si="106"/>
        <v>3.5128919365949862E-3</v>
      </c>
      <c r="X961" s="24">
        <v>4.2361582232648409E-2</v>
      </c>
      <c r="Y961" s="24">
        <f t="shared" si="107"/>
        <v>4.298204987244536E-2</v>
      </c>
      <c r="Z961" s="23">
        <f t="shared" si="108"/>
        <v>3.5131430018209286E-3</v>
      </c>
      <c r="AA961" s="36"/>
    </row>
    <row r="962" spans="15:27" ht="13.9" customHeight="1" x14ac:dyDescent="0.3">
      <c r="O962" s="12">
        <f t="shared" si="102"/>
        <v>79.083333333333329</v>
      </c>
      <c r="P962" s="13">
        <v>949</v>
      </c>
      <c r="Q962" s="22">
        <v>3.5531511035508556E-2</v>
      </c>
      <c r="R962" s="19">
        <f t="shared" si="103"/>
        <v>3.6402509944304162E-2</v>
      </c>
      <c r="S962" s="22">
        <v>4.1071050145216503E-2</v>
      </c>
      <c r="T962" s="19">
        <f t="shared" si="104"/>
        <v>4.2987647098094328E-2</v>
      </c>
      <c r="U962" s="24">
        <v>4.2693818918529969E-2</v>
      </c>
      <c r="V962" s="24">
        <f t="shared" si="105"/>
        <v>4.2979070327181068E-2</v>
      </c>
      <c r="W962" s="23">
        <f t="shared" si="106"/>
        <v>3.5129034864866959E-3</v>
      </c>
      <c r="X962" s="24">
        <v>4.236223585039367E-2</v>
      </c>
      <c r="Y962" s="24">
        <f t="shared" si="107"/>
        <v>4.2982184252558397E-2</v>
      </c>
      <c r="Z962" s="23">
        <f t="shared" si="108"/>
        <v>3.5131538576660404E-3</v>
      </c>
      <c r="AA962" s="36"/>
    </row>
    <row r="963" spans="15:27" ht="13.9" customHeight="1" x14ac:dyDescent="0.3">
      <c r="O963" s="12">
        <f t="shared" si="102"/>
        <v>79.166666666666671</v>
      </c>
      <c r="P963" s="13">
        <v>950</v>
      </c>
      <c r="Q963" s="22">
        <v>3.5532427491503427E-2</v>
      </c>
      <c r="R963" s="19">
        <f t="shared" si="103"/>
        <v>3.6403818778905528E-2</v>
      </c>
      <c r="S963" s="22">
        <v>4.10730657628533E-2</v>
      </c>
      <c r="T963" s="19">
        <f t="shared" si="104"/>
        <v>4.2987759123189528E-2</v>
      </c>
      <c r="U963" s="24">
        <v>4.2694119142149489E-2</v>
      </c>
      <c r="V963" s="24">
        <f t="shared" si="105"/>
        <v>4.2979212427329161E-2</v>
      </c>
      <c r="W963" s="23">
        <f t="shared" si="106"/>
        <v>3.5129149579984364E-3</v>
      </c>
      <c r="X963" s="24">
        <v>4.2362888233878904E-2</v>
      </c>
      <c r="Y963" s="24">
        <f t="shared" si="107"/>
        <v>4.298231762617033E-2</v>
      </c>
      <c r="Z963" s="23">
        <f t="shared" si="108"/>
        <v>3.5131646322366095E-3</v>
      </c>
      <c r="AA963" s="36"/>
    </row>
    <row r="964" spans="15:27" ht="13.9" customHeight="1" x14ac:dyDescent="0.3">
      <c r="O964" s="12">
        <f t="shared" si="102"/>
        <v>79.25</v>
      </c>
      <c r="P964" s="13">
        <v>951</v>
      </c>
      <c r="Q964" s="22">
        <v>3.5533343396071393E-2</v>
      </c>
      <c r="R964" s="19">
        <f t="shared" si="103"/>
        <v>3.640511672063651E-2</v>
      </c>
      <c r="S964" s="22">
        <v>4.1075077263017956E-2</v>
      </c>
      <c r="T964" s="19">
        <f t="shared" si="104"/>
        <v>4.2987870132377592E-2</v>
      </c>
      <c r="U964" s="24">
        <v>4.2694418883850949E-2</v>
      </c>
      <c r="V964" s="24">
        <f t="shared" si="105"/>
        <v>4.297935356225735E-2</v>
      </c>
      <c r="W964" s="23">
        <f t="shared" si="106"/>
        <v>3.5129263515896181E-3</v>
      </c>
      <c r="X964" s="24">
        <v>4.2363539385938953E-2</v>
      </c>
      <c r="Y964" s="24">
        <f t="shared" si="107"/>
        <v>4.2982450001782802E-2</v>
      </c>
      <c r="Z964" s="23">
        <f t="shared" si="108"/>
        <v>3.5131753261046228E-3</v>
      </c>
      <c r="AA964" s="36"/>
    </row>
    <row r="965" spans="15:27" ht="13.9" customHeight="1" x14ac:dyDescent="0.3">
      <c r="O965" s="12">
        <f t="shared" si="102"/>
        <v>79.333333333333329</v>
      </c>
      <c r="P965" s="13">
        <v>952</v>
      </c>
      <c r="Q965" s="22">
        <v>3.5534258739517099E-2</v>
      </c>
      <c r="R965" s="19">
        <f t="shared" si="103"/>
        <v>3.6406403861036774E-2</v>
      </c>
      <c r="S965" s="22">
        <v>4.1077084657608731E-2</v>
      </c>
      <c r="T965" s="19">
        <f t="shared" si="104"/>
        <v>4.2987980134744364E-2</v>
      </c>
      <c r="U965" s="24">
        <v>4.2694718144139499E-2</v>
      </c>
      <c r="V965" s="24">
        <f t="shared" si="105"/>
        <v>4.2979493739067509E-2</v>
      </c>
      <c r="W965" s="23">
        <f t="shared" si="106"/>
        <v>3.5129376677880408E-3</v>
      </c>
      <c r="X965" s="24">
        <v>4.2364189309405553E-2</v>
      </c>
      <c r="Y965" s="24">
        <f t="shared" si="107"/>
        <v>4.2982581385571317E-2</v>
      </c>
      <c r="Z965" s="23">
        <f t="shared" si="108"/>
        <v>3.5131859399522014E-3</v>
      </c>
      <c r="AA965" s="36"/>
    </row>
    <row r="966" spans="15:27" ht="13.9" customHeight="1" x14ac:dyDescent="0.3">
      <c r="O966" s="12">
        <f t="shared" si="102"/>
        <v>79.416666666666671</v>
      </c>
      <c r="P966" s="13">
        <v>953</v>
      </c>
      <c r="Q966" s="22">
        <v>3.5535173512281748E-2</v>
      </c>
      <c r="R966" s="19">
        <f t="shared" si="103"/>
        <v>3.6407680290103439E-2</v>
      </c>
      <c r="S966" s="22">
        <v>4.1079087958483917E-2</v>
      </c>
      <c r="T966" s="19">
        <f t="shared" si="104"/>
        <v>4.298808913938168E-2</v>
      </c>
      <c r="U966" s="24">
        <v>4.2695016923525175E-2</v>
      </c>
      <c r="V966" s="24">
        <f t="shared" si="105"/>
        <v>4.297963296322882E-2</v>
      </c>
      <c r="W966" s="23">
        <f t="shared" si="106"/>
        <v>3.5129489071630271E-3</v>
      </c>
      <c r="X966" s="24">
        <v>4.236483800710511E-2</v>
      </c>
      <c r="Y966" s="24">
        <f t="shared" si="107"/>
        <v>4.2982711785833905E-2</v>
      </c>
      <c r="Z966" s="23">
        <f t="shared" si="108"/>
        <v>3.5131964742742827E-3</v>
      </c>
      <c r="AA966" s="36"/>
    </row>
    <row r="967" spans="15:27" ht="13.9" customHeight="1" x14ac:dyDescent="0.3">
      <c r="O967" s="12">
        <f t="shared" si="102"/>
        <v>79.5</v>
      </c>
      <c r="P967" s="13">
        <v>954</v>
      </c>
      <c r="Q967" s="22">
        <v>3.5536087704940877E-2</v>
      </c>
      <c r="R967" s="19">
        <f t="shared" si="103"/>
        <v>3.6408946096689876E-2</v>
      </c>
      <c r="S967" s="22">
        <v>4.1081087177461395E-2</v>
      </c>
      <c r="T967" s="19">
        <f t="shared" si="104"/>
        <v>4.2988197155075181E-2</v>
      </c>
      <c r="U967" s="24">
        <v>4.269531522252179E-2</v>
      </c>
      <c r="V967" s="24">
        <f t="shared" si="105"/>
        <v>4.2979771242638964E-2</v>
      </c>
      <c r="W967" s="23">
        <f t="shared" si="106"/>
        <v>3.512960070153337E-3</v>
      </c>
      <c r="X967" s="24">
        <v>4.2365485481860921E-2</v>
      </c>
      <c r="Y967" s="24">
        <f t="shared" si="107"/>
        <v>4.2982841209549649E-2</v>
      </c>
      <c r="Z967" s="23">
        <f t="shared" si="108"/>
        <v>3.5132069297363344E-3</v>
      </c>
      <c r="AA967" s="36"/>
    </row>
    <row r="968" spans="15:27" ht="13.9" customHeight="1" x14ac:dyDescent="0.3">
      <c r="O968" s="12">
        <f t="shared" si="102"/>
        <v>79.583333333333329</v>
      </c>
      <c r="P968" s="13">
        <v>955</v>
      </c>
      <c r="Q968" s="22">
        <v>3.5537001308202587E-2</v>
      </c>
      <c r="R968" s="19">
        <f t="shared" si="103"/>
        <v>3.6410201369851736E-2</v>
      </c>
      <c r="S968" s="22">
        <v>4.1083082326318854E-2</v>
      </c>
      <c r="T968" s="19">
        <f t="shared" si="104"/>
        <v>4.2988304191946325E-2</v>
      </c>
      <c r="U968" s="24">
        <v>4.2695613041649372E-2</v>
      </c>
      <c r="V968" s="24">
        <f t="shared" si="105"/>
        <v>4.2979908582799542E-2</v>
      </c>
      <c r="W968" s="23">
        <f t="shared" si="106"/>
        <v>3.5129711573922418E-3</v>
      </c>
      <c r="X968" s="24">
        <v>4.2366131736491619E-2</v>
      </c>
      <c r="Y968" s="24">
        <f t="shared" si="107"/>
        <v>4.2982969664449033E-2</v>
      </c>
      <c r="Z968" s="23">
        <f t="shared" si="108"/>
        <v>3.5132173068976869E-3</v>
      </c>
      <c r="AA968" s="36"/>
    </row>
    <row r="969" spans="15:27" ht="13.9" customHeight="1" x14ac:dyDescent="0.3">
      <c r="O969" s="12">
        <f t="shared" si="102"/>
        <v>79.666666666666671</v>
      </c>
      <c r="P969" s="13">
        <v>956</v>
      </c>
      <c r="Q969" s="22">
        <v>3.5537914312906871E-2</v>
      </c>
      <c r="R969" s="19">
        <f t="shared" si="103"/>
        <v>3.6411446197464947E-2</v>
      </c>
      <c r="S969" s="22">
        <v>4.1085073416795126E-2</v>
      </c>
      <c r="T969" s="19">
        <f t="shared" si="104"/>
        <v>4.2988410257242871E-2</v>
      </c>
      <c r="U969" s="24">
        <v>4.2695910381431279E-2</v>
      </c>
      <c r="V969" s="24">
        <f t="shared" si="105"/>
        <v>4.2980044990330146E-2</v>
      </c>
      <c r="W969" s="23">
        <f t="shared" si="106"/>
        <v>3.5129821693207219E-3</v>
      </c>
      <c r="X969" s="24">
        <v>4.2366776773812287E-2</v>
      </c>
      <c r="Y969" s="24">
        <f t="shared" si="107"/>
        <v>4.2983097157289096E-2</v>
      </c>
      <c r="Z969" s="23">
        <f t="shared" si="108"/>
        <v>3.5132276063787327E-3</v>
      </c>
      <c r="AA969" s="36"/>
    </row>
    <row r="970" spans="15:27" ht="13.9" customHeight="1" x14ac:dyDescent="0.3">
      <c r="O970" s="12">
        <f t="shared" si="102"/>
        <v>79.75</v>
      </c>
      <c r="P970" s="13">
        <v>957</v>
      </c>
      <c r="Q970" s="22">
        <v>3.5538826710023619E-2</v>
      </c>
      <c r="R970" s="19">
        <f t="shared" si="103"/>
        <v>3.6412680666205066E-2</v>
      </c>
      <c r="S970" s="22">
        <v>4.1087060460587965E-2</v>
      </c>
      <c r="T970" s="19">
        <f t="shared" si="104"/>
        <v>4.2988515361207735E-2</v>
      </c>
      <c r="U970" s="24">
        <v>4.2696207242395756E-2</v>
      </c>
      <c r="V970" s="24">
        <f t="shared" si="105"/>
        <v>4.2980180471274387E-2</v>
      </c>
      <c r="W970" s="23">
        <f t="shared" si="106"/>
        <v>3.5129931064696862E-3</v>
      </c>
      <c r="X970" s="24">
        <v>4.2367420596633121E-2</v>
      </c>
      <c r="Y970" s="24">
        <f t="shared" si="107"/>
        <v>4.2983223695981509E-2</v>
      </c>
      <c r="Z970" s="23">
        <f t="shared" si="108"/>
        <v>3.5132378287208166E-3</v>
      </c>
      <c r="AA970" s="36"/>
    </row>
    <row r="971" spans="15:27" ht="13.9" customHeight="1" x14ac:dyDescent="0.3">
      <c r="O971" s="12">
        <f t="shared" si="102"/>
        <v>79.833333333333329</v>
      </c>
      <c r="P971" s="13">
        <v>958</v>
      </c>
      <c r="Q971" s="22">
        <v>3.5539738490651063E-2</v>
      </c>
      <c r="R971" s="19">
        <f t="shared" si="103"/>
        <v>3.6413904863373148E-2</v>
      </c>
      <c r="S971" s="22">
        <v>4.108904346935649E-2</v>
      </c>
      <c r="T971" s="19">
        <f t="shared" si="104"/>
        <v>4.2988619511248549E-2</v>
      </c>
      <c r="U971" s="24">
        <v>4.2696503625075266E-2</v>
      </c>
      <c r="V971" s="24">
        <f t="shared" si="105"/>
        <v>4.2980315032230321E-2</v>
      </c>
      <c r="W971" s="23">
        <f t="shared" si="106"/>
        <v>3.5130039693238579E-3</v>
      </c>
      <c r="X971" s="24">
        <v>4.2368063207761208E-2</v>
      </c>
      <c r="Y971" s="24">
        <f t="shared" si="107"/>
        <v>4.2983349286113581E-2</v>
      </c>
      <c r="Z971" s="23">
        <f t="shared" si="108"/>
        <v>3.5132479745583201E-3</v>
      </c>
      <c r="AA971" s="36"/>
    </row>
    <row r="972" spans="15:27" ht="13.9" customHeight="1" x14ac:dyDescent="0.3">
      <c r="O972" s="12">
        <f t="shared" si="102"/>
        <v>79.916666666666671</v>
      </c>
      <c r="P972" s="13">
        <v>959</v>
      </c>
      <c r="Q972" s="22">
        <v>3.5540649646015332E-2</v>
      </c>
      <c r="R972" s="19">
        <f t="shared" si="103"/>
        <v>3.6415118873876162E-2</v>
      </c>
      <c r="S972" s="22">
        <v>4.1091022454719406E-2</v>
      </c>
      <c r="T972" s="19">
        <f t="shared" si="104"/>
        <v>4.2988722717326011E-2</v>
      </c>
      <c r="U972" s="24">
        <v>4.2696799530006491E-2</v>
      </c>
      <c r="V972" s="24">
        <f t="shared" si="105"/>
        <v>4.2980448680292493E-2</v>
      </c>
      <c r="W972" s="23">
        <f t="shared" si="106"/>
        <v>3.5130147584119253E-3</v>
      </c>
      <c r="X972" s="24">
        <v>4.2368704609997199E-2</v>
      </c>
      <c r="Y972" s="24">
        <f t="shared" si="107"/>
        <v>4.2983473937574956E-2</v>
      </c>
      <c r="Z972" s="23">
        <f t="shared" si="108"/>
        <v>3.5132580443395511E-3</v>
      </c>
      <c r="AA972" s="36"/>
    </row>
    <row r="973" spans="15:27" ht="13.9" customHeight="1" x14ac:dyDescent="0.3">
      <c r="O973" s="12">
        <f t="shared" si="102"/>
        <v>80</v>
      </c>
      <c r="P973" s="13">
        <v>960</v>
      </c>
      <c r="Q973" s="22">
        <v>3.5541560167467567E-2</v>
      </c>
      <c r="R973" s="19">
        <f t="shared" si="103"/>
        <v>3.6416322783238364E-2</v>
      </c>
      <c r="S973" s="22">
        <v>4.1092997428257227E-2</v>
      </c>
      <c r="T973" s="19">
        <f t="shared" si="104"/>
        <v>4.2988824987058694E-2</v>
      </c>
      <c r="U973" s="24">
        <v>4.2697094957731885E-2</v>
      </c>
      <c r="V973" s="24">
        <f t="shared" si="105"/>
        <v>4.2980581419414854E-2</v>
      </c>
      <c r="W973" s="23">
        <f t="shared" si="106"/>
        <v>3.5130254743029887E-3</v>
      </c>
      <c r="X973" s="24">
        <v>4.2369344806140852E-2</v>
      </c>
      <c r="Y973" s="24">
        <f t="shared" si="107"/>
        <v>4.2983597654723038E-2</v>
      </c>
      <c r="Z973" s="23">
        <f t="shared" si="108"/>
        <v>3.5132680388574311E-3</v>
      </c>
      <c r="AA973" s="36"/>
    </row>
    <row r="974" spans="15:27" ht="13.9" customHeight="1" x14ac:dyDescent="0.3">
      <c r="O974" s="12">
        <f t="shared" ref="O974:O1037" si="109">P974/12</f>
        <v>80.083333333333329</v>
      </c>
      <c r="P974" s="13">
        <v>961</v>
      </c>
      <c r="Q974" s="22">
        <v>3.554247004648392E-2</v>
      </c>
      <c r="R974" s="19">
        <f t="shared" ref="R974:R1037" si="110">(1+Q975)^P975/(1+Q974)^P974-1</f>
        <v>3.6417516675757655E-2</v>
      </c>
      <c r="S974" s="22">
        <v>4.1094968401510057E-2</v>
      </c>
      <c r="T974" s="19">
        <f t="shared" ref="T974:T1037" si="111">(1+S975)^P975/(1+S974)^P974-1</f>
        <v>4.2988926329242894E-2</v>
      </c>
      <c r="U974" s="24">
        <v>4.2697389908795236E-2</v>
      </c>
      <c r="V974" s="24">
        <f t="shared" ref="V974:V1037" si="112">(1+U975)^P975/(1+U974)^P974-1</f>
        <v>4.2980713258399916E-2</v>
      </c>
      <c r="W974" s="23">
        <f t="shared" si="106"/>
        <v>3.5130361173141278E-3</v>
      </c>
      <c r="X974" s="24">
        <v>4.2369983798984601E-2</v>
      </c>
      <c r="Y974" s="24">
        <f t="shared" si="107"/>
        <v>4.2983720445618712E-2</v>
      </c>
      <c r="Z974" s="23">
        <f t="shared" si="108"/>
        <v>3.5132779584610141E-3</v>
      </c>
      <c r="AA974" s="36"/>
    </row>
    <row r="975" spans="15:27" ht="13.9" customHeight="1" x14ac:dyDescent="0.3">
      <c r="O975" s="12">
        <f t="shared" si="109"/>
        <v>80.166666666666671</v>
      </c>
      <c r="P975" s="13">
        <v>962</v>
      </c>
      <c r="Q975" s="22">
        <v>3.5543379274663334E-2</v>
      </c>
      <c r="R975" s="19">
        <f t="shared" si="110"/>
        <v>3.6418700634317958E-2</v>
      </c>
      <c r="S975" s="22">
        <v>4.1096935385979361E-2</v>
      </c>
      <c r="T975" s="19">
        <f t="shared" si="111"/>
        <v>4.2989026752429549E-2</v>
      </c>
      <c r="U975" s="24">
        <v>4.2697684383747436E-2</v>
      </c>
      <c r="V975" s="24">
        <f t="shared" si="112"/>
        <v>4.2980844201308654E-2</v>
      </c>
      <c r="W975" s="23">
        <f t="shared" ref="W975:W1038" si="113">(1+V974)^(1/12)-1</f>
        <v>3.5130466881512223E-3</v>
      </c>
      <c r="X975" s="24">
        <v>4.2370621591317548E-2</v>
      </c>
      <c r="Y975" s="24">
        <f t="shared" ref="Y975:Y1038" si="114">(1+X976)^P976/(1+X975)^P975-1</f>
        <v>4.298384231690644E-2</v>
      </c>
      <c r="Z975" s="23">
        <f t="shared" ref="Z975:Z1038" si="115">(1+Y974)^(1/12)-1</f>
        <v>3.513287803797116E-3</v>
      </c>
      <c r="AA975" s="36"/>
    </row>
    <row r="976" spans="15:27" ht="13.9" customHeight="1" x14ac:dyDescent="0.3">
      <c r="O976" s="12">
        <f t="shared" si="109"/>
        <v>80.25</v>
      </c>
      <c r="P976" s="13">
        <v>963</v>
      </c>
      <c r="Q976" s="22">
        <v>3.5544287843725764E-2</v>
      </c>
      <c r="R976" s="19">
        <f t="shared" si="110"/>
        <v>3.6419874741991487E-2</v>
      </c>
      <c r="S976" s="22">
        <v>4.1098898393127747E-2</v>
      </c>
      <c r="T976" s="19">
        <f t="shared" si="111"/>
        <v>4.298912626489293E-2</v>
      </c>
      <c r="U976" s="24">
        <v>4.2697978383141377E-2</v>
      </c>
      <c r="V976" s="24">
        <f t="shared" si="112"/>
        <v>4.2980974254584137E-2</v>
      </c>
      <c r="W976" s="23">
        <f t="shared" si="113"/>
        <v>3.5130571871395677E-3</v>
      </c>
      <c r="X976" s="24">
        <v>4.2371258185924354E-2</v>
      </c>
      <c r="Y976" s="24">
        <f t="shared" si="114"/>
        <v>4.2983963275797121E-2</v>
      </c>
      <c r="Z976" s="23">
        <f t="shared" si="115"/>
        <v>3.5132975753981999E-3</v>
      </c>
      <c r="AA976" s="36"/>
    </row>
    <row r="977" spans="15:27" ht="13.9" customHeight="1" x14ac:dyDescent="0.3">
      <c r="O977" s="12">
        <f t="shared" si="109"/>
        <v>80.333333333333329</v>
      </c>
      <c r="P977" s="13">
        <v>964</v>
      </c>
      <c r="Q977" s="22">
        <v>3.5545195745511737E-2</v>
      </c>
      <c r="R977" s="19">
        <f t="shared" si="110"/>
        <v>3.6421039081338424E-2</v>
      </c>
      <c r="S977" s="22">
        <v>4.1100857434378746E-2</v>
      </c>
      <c r="T977" s="19">
        <f t="shared" si="111"/>
        <v>4.2989224874379506E-2</v>
      </c>
      <c r="U977" s="24">
        <v>4.2698271907534169E-2</v>
      </c>
      <c r="V977" s="24">
        <f t="shared" si="112"/>
        <v>4.2981103425969058E-2</v>
      </c>
      <c r="W977" s="23">
        <f t="shared" si="113"/>
        <v>3.5130676147960838E-3</v>
      </c>
      <c r="X977" s="24">
        <v>4.2371893585585463E-2</v>
      </c>
      <c r="Y977" s="24">
        <f t="shared" si="114"/>
        <v>4.2984083329567824E-2</v>
      </c>
      <c r="Z977" s="23">
        <f t="shared" si="115"/>
        <v>3.5133072738424698E-3</v>
      </c>
      <c r="AA977" s="36"/>
    </row>
    <row r="978" spans="15:27" ht="13.9" customHeight="1" x14ac:dyDescent="0.3">
      <c r="O978" s="12">
        <f t="shared" si="109"/>
        <v>80.416666666666671</v>
      </c>
      <c r="P978" s="13">
        <v>965</v>
      </c>
      <c r="Q978" s="22">
        <v>3.5546102971980797E-2</v>
      </c>
      <c r="R978" s="19">
        <f t="shared" si="110"/>
        <v>3.6422193734263475E-2</v>
      </c>
      <c r="S978" s="22">
        <v>4.1102812521116805E-2</v>
      </c>
      <c r="T978" s="19">
        <f t="shared" si="111"/>
        <v>4.2989322589866541E-2</v>
      </c>
      <c r="U978" s="24">
        <v>4.2698564957488694E-2</v>
      </c>
      <c r="V978" s="24">
        <f t="shared" si="112"/>
        <v>4.2981231719156243E-2</v>
      </c>
      <c r="W978" s="23">
        <f t="shared" si="113"/>
        <v>3.5130779717416072E-3</v>
      </c>
      <c r="X978" s="24">
        <v>4.2372527793077319E-2</v>
      </c>
      <c r="Y978" s="24">
        <f t="shared" si="114"/>
        <v>4.2984202483767886E-2</v>
      </c>
      <c r="Z978" s="23">
        <f t="shared" si="115"/>
        <v>3.513316899713459E-3</v>
      </c>
      <c r="AA978" s="36"/>
    </row>
    <row r="979" spans="15:27" ht="13.9" customHeight="1" x14ac:dyDescent="0.3">
      <c r="O979" s="12">
        <f t="shared" si="109"/>
        <v>80.5</v>
      </c>
      <c r="P979" s="13">
        <v>966</v>
      </c>
      <c r="Q979" s="22">
        <v>3.5547009515210837E-2</v>
      </c>
      <c r="R979" s="19">
        <f t="shared" si="110"/>
        <v>3.642333878054993E-2</v>
      </c>
      <c r="S979" s="22">
        <v>4.1104763664688182E-2</v>
      </c>
      <c r="T979" s="19">
        <f t="shared" si="111"/>
        <v>4.2989419419560804E-2</v>
      </c>
      <c r="U979" s="24">
        <v>4.269885753356939E-2</v>
      </c>
      <c r="V979" s="24">
        <f t="shared" si="112"/>
        <v>4.2981359142022502E-2</v>
      </c>
      <c r="W979" s="23">
        <f t="shared" si="113"/>
        <v>3.5130882582723455E-3</v>
      </c>
      <c r="X979" s="24">
        <v>4.2373160811170596E-2</v>
      </c>
      <c r="Y979" s="24">
        <f t="shared" si="114"/>
        <v>4.2984320746426441E-2</v>
      </c>
      <c r="Z979" s="23">
        <f t="shared" si="115"/>
        <v>3.5133264534563668E-3</v>
      </c>
      <c r="AA979" s="36"/>
    </row>
    <row r="980" spans="15:27" ht="13.9" customHeight="1" x14ac:dyDescent="0.3">
      <c r="O980" s="12">
        <f t="shared" si="109"/>
        <v>80.583333333333329</v>
      </c>
      <c r="P980" s="13">
        <v>967</v>
      </c>
      <c r="Q980" s="22">
        <v>3.5547915367394545E-2</v>
      </c>
      <c r="R980" s="19">
        <f t="shared" si="110"/>
        <v>3.6424474300336573E-2</v>
      </c>
      <c r="S980" s="22">
        <v>4.1106710876400943E-2</v>
      </c>
      <c r="T980" s="19">
        <f t="shared" si="111"/>
        <v>4.2989515370602582E-2</v>
      </c>
      <c r="U980" s="24">
        <v>4.2699149636346467E-2</v>
      </c>
      <c r="V980" s="24">
        <f t="shared" si="112"/>
        <v>4.2981485699110422E-2</v>
      </c>
      <c r="W980" s="23">
        <f t="shared" si="113"/>
        <v>3.5130984750193495E-3</v>
      </c>
      <c r="X980" s="24">
        <v>4.2373792642632857E-2</v>
      </c>
      <c r="Y980" s="24">
        <f t="shared" si="114"/>
        <v>4.2984438123363056E-2</v>
      </c>
      <c r="Z980" s="23">
        <f t="shared" si="115"/>
        <v>3.5133359357146787E-3</v>
      </c>
      <c r="AA980" s="36"/>
    </row>
    <row r="981" spans="15:27" ht="13.9" customHeight="1" x14ac:dyDescent="0.3">
      <c r="O981" s="12">
        <f t="shared" si="109"/>
        <v>80.666666666666671</v>
      </c>
      <c r="P981" s="13">
        <v>968</v>
      </c>
      <c r="Q981" s="22">
        <v>3.5548820520840074E-2</v>
      </c>
      <c r="R981" s="19">
        <f t="shared" si="110"/>
        <v>3.6425600373958922E-2</v>
      </c>
      <c r="S981" s="22">
        <v>4.1108654167524072E-2</v>
      </c>
      <c r="T981" s="19">
        <f t="shared" si="111"/>
        <v>4.2989610451121596E-2</v>
      </c>
      <c r="U981" s="24">
        <v>4.2699441266392357E-2</v>
      </c>
      <c r="V981" s="24">
        <f t="shared" si="112"/>
        <v>4.2981611396487596E-2</v>
      </c>
      <c r="W981" s="23">
        <f t="shared" si="113"/>
        <v>3.5131086223474384E-3</v>
      </c>
      <c r="X981" s="24">
        <v>4.2374423290226337E-2</v>
      </c>
      <c r="Y981" s="24">
        <f t="shared" si="114"/>
        <v>4.2984554621316118E-2</v>
      </c>
      <c r="Z981" s="23">
        <f t="shared" si="115"/>
        <v>3.5133453469551323E-3</v>
      </c>
      <c r="AA981" s="36"/>
    </row>
    <row r="982" spans="15:27" ht="13.9" customHeight="1" x14ac:dyDescent="0.3">
      <c r="O982" s="12">
        <f t="shared" si="109"/>
        <v>80.75</v>
      </c>
      <c r="P982" s="13">
        <v>969</v>
      </c>
      <c r="Q982" s="22">
        <v>3.5549724967969709E-2</v>
      </c>
      <c r="R982" s="19">
        <f t="shared" si="110"/>
        <v>3.6426717079522941E-2</v>
      </c>
      <c r="S982" s="22">
        <v>4.1110593549287922E-2</v>
      </c>
      <c r="T982" s="19">
        <f t="shared" si="111"/>
        <v>4.2989704670000517E-2</v>
      </c>
      <c r="U982" s="24">
        <v>4.269973242428371E-2</v>
      </c>
      <c r="V982" s="24">
        <f t="shared" si="112"/>
        <v>4.2981736240599755E-2</v>
      </c>
      <c r="W982" s="23">
        <f t="shared" si="113"/>
        <v>3.5131187007431119E-3</v>
      </c>
      <c r="X982" s="24">
        <v>4.2375052756708609E-2</v>
      </c>
      <c r="Y982" s="24">
        <f t="shared" si="114"/>
        <v>4.2984670246928536E-2</v>
      </c>
      <c r="Z982" s="23">
        <f t="shared" si="115"/>
        <v>3.5133546877181843E-3</v>
      </c>
      <c r="AA982" s="36"/>
    </row>
    <row r="983" spans="15:27" ht="13.9" customHeight="1" x14ac:dyDescent="0.3">
      <c r="O983" s="12">
        <f t="shared" si="109"/>
        <v>80.833333333333329</v>
      </c>
      <c r="P983" s="13">
        <v>970</v>
      </c>
      <c r="Q983" s="22">
        <v>3.5550628701317866E-2</v>
      </c>
      <c r="R983" s="19">
        <f t="shared" si="110"/>
        <v>3.6427824495303351E-2</v>
      </c>
      <c r="S983" s="22">
        <v>4.111252903288598E-2</v>
      </c>
      <c r="T983" s="19">
        <f t="shared" si="111"/>
        <v>4.2989798033676641E-2</v>
      </c>
      <c r="U983" s="24">
        <v>4.2700023110600949E-2</v>
      </c>
      <c r="V983" s="24">
        <f t="shared" si="112"/>
        <v>4.2981860237023328E-2</v>
      </c>
      <c r="W983" s="23">
        <f t="shared" si="113"/>
        <v>3.5131287107228459E-3</v>
      </c>
      <c r="X983" s="24">
        <v>4.2375681044832803E-2</v>
      </c>
      <c r="Y983" s="24">
        <f t="shared" si="114"/>
        <v>4.2984785006731085E-2</v>
      </c>
      <c r="Z983" s="23">
        <f t="shared" si="115"/>
        <v>3.5133639585360754E-3</v>
      </c>
      <c r="AA983" s="36"/>
    </row>
    <row r="984" spans="15:27" ht="13.9" customHeight="1" x14ac:dyDescent="0.3">
      <c r="O984" s="12">
        <f t="shared" si="109"/>
        <v>80.916666666666671</v>
      </c>
      <c r="P984" s="13">
        <v>971</v>
      </c>
      <c r="Q984" s="22">
        <v>3.555153171352976E-2</v>
      </c>
      <c r="R984" s="19">
        <f t="shared" si="110"/>
        <v>3.6428922698785282E-2</v>
      </c>
      <c r="S984" s="22">
        <v>4.1114460629472438E-2</v>
      </c>
      <c r="T984" s="19">
        <f t="shared" si="111"/>
        <v>4.2989890551401233E-2</v>
      </c>
      <c r="U984" s="24">
        <v>4.2700313325928274E-2</v>
      </c>
      <c r="V984" s="24">
        <f t="shared" si="112"/>
        <v>4.2981983391678025E-2</v>
      </c>
      <c r="W984" s="23">
        <f t="shared" si="113"/>
        <v>3.5131386527338382E-3</v>
      </c>
      <c r="X984" s="24">
        <v>4.2376308157347609E-2</v>
      </c>
      <c r="Y984" s="24">
        <f t="shared" si="114"/>
        <v>4.2984898908424718E-2</v>
      </c>
      <c r="Z984" s="23">
        <f t="shared" si="115"/>
        <v>3.5133731599328311E-3</v>
      </c>
      <c r="AA984" s="36"/>
    </row>
    <row r="985" spans="15:27" ht="13.9" customHeight="1" x14ac:dyDescent="0.3">
      <c r="O985" s="12">
        <f t="shared" si="109"/>
        <v>81</v>
      </c>
      <c r="P985" s="13">
        <v>972</v>
      </c>
      <c r="Q985" s="22">
        <v>3.5552433997360966E-2</v>
      </c>
      <c r="R985" s="19">
        <f t="shared" si="110"/>
        <v>3.6430011767300208E-2</v>
      </c>
      <c r="S985" s="22">
        <v>4.1116388350164845E-2</v>
      </c>
      <c r="T985" s="19">
        <f t="shared" si="111"/>
        <v>4.2989982229130863E-2</v>
      </c>
      <c r="U985" s="24">
        <v>4.2700603070853438E-2</v>
      </c>
      <c r="V985" s="24">
        <f t="shared" si="112"/>
        <v>4.2982105709414187E-2</v>
      </c>
      <c r="W985" s="23">
        <f t="shared" si="113"/>
        <v>3.5131485272510421E-3</v>
      </c>
      <c r="X985" s="24">
        <v>4.2376934096997942E-2</v>
      </c>
      <c r="Y985" s="24">
        <f t="shared" si="114"/>
        <v>4.2985011955763763E-2</v>
      </c>
      <c r="Z985" s="23">
        <f t="shared" si="115"/>
        <v>3.5133822925259572E-3</v>
      </c>
      <c r="AA985" s="36"/>
    </row>
    <row r="986" spans="15:27" ht="13.9" customHeight="1" x14ac:dyDescent="0.3">
      <c r="O986" s="12">
        <f t="shared" si="109"/>
        <v>81.083333333333329</v>
      </c>
      <c r="P986" s="13">
        <v>973</v>
      </c>
      <c r="Q986" s="22">
        <v>3.5553335545676079E-2</v>
      </c>
      <c r="R986" s="19">
        <f t="shared" si="110"/>
        <v>3.6431091775825486E-2</v>
      </c>
      <c r="S986" s="22">
        <v>4.1118312206041452E-2</v>
      </c>
      <c r="T986" s="19">
        <f t="shared" si="111"/>
        <v>4.2990073076119906E-2</v>
      </c>
      <c r="U986" s="24">
        <v>4.2700892345966635E-2</v>
      </c>
      <c r="V986" s="24">
        <f t="shared" si="112"/>
        <v>4.2982227196697531E-2</v>
      </c>
      <c r="W986" s="23">
        <f t="shared" si="113"/>
        <v>3.5131583346632578E-3</v>
      </c>
      <c r="X986" s="24">
        <v>4.2377558866521836E-2</v>
      </c>
      <c r="Y986" s="24">
        <f t="shared" si="114"/>
        <v>4.2985124157677079E-2</v>
      </c>
      <c r="Z986" s="23">
        <f t="shared" si="115"/>
        <v>3.5133913566163244E-3</v>
      </c>
      <c r="AA986" s="36"/>
    </row>
    <row r="987" spans="15:27" ht="13.9" customHeight="1" x14ac:dyDescent="0.3">
      <c r="O987" s="12">
        <f t="shared" si="109"/>
        <v>81.166666666666671</v>
      </c>
      <c r="P987" s="13">
        <v>974</v>
      </c>
      <c r="Q987" s="22">
        <v>3.5554236351445834E-2</v>
      </c>
      <c r="R987" s="19">
        <f t="shared" si="110"/>
        <v>3.6432162800764889E-2</v>
      </c>
      <c r="S987" s="22">
        <v>4.1120232208144092E-2</v>
      </c>
      <c r="T987" s="19">
        <f t="shared" si="111"/>
        <v>4.299016309892667E-2</v>
      </c>
      <c r="U987" s="24">
        <v>4.27011811518625E-2</v>
      </c>
      <c r="V987" s="24">
        <f t="shared" si="112"/>
        <v>4.2982347859160663E-2</v>
      </c>
      <c r="W987" s="23">
        <f t="shared" si="113"/>
        <v>3.5131680754887373E-3</v>
      </c>
      <c r="X987" s="24">
        <v>4.2378182468654657E-2</v>
      </c>
      <c r="Y987" s="24">
        <f t="shared" si="114"/>
        <v>4.2985235518948395E-2</v>
      </c>
      <c r="Z987" s="23">
        <f t="shared" si="115"/>
        <v>3.5134003529198043E-3</v>
      </c>
      <c r="AA987" s="36"/>
    </row>
    <row r="988" spans="15:27" ht="13.9" customHeight="1" x14ac:dyDescent="0.3">
      <c r="O988" s="12">
        <f t="shared" si="109"/>
        <v>81.25</v>
      </c>
      <c r="P988" s="13">
        <v>975</v>
      </c>
      <c r="Q988" s="22">
        <v>3.5555136407748211E-2</v>
      </c>
      <c r="R988" s="19">
        <f t="shared" si="110"/>
        <v>3.6433224916829765E-2</v>
      </c>
      <c r="S988" s="22">
        <v>4.112214836747663E-2</v>
      </c>
      <c r="T988" s="19">
        <f t="shared" si="111"/>
        <v>4.2990252305587617E-2</v>
      </c>
      <c r="U988" s="24">
        <v>4.2701469489138777E-2</v>
      </c>
      <c r="V988" s="24">
        <f t="shared" si="112"/>
        <v>4.298246770295866E-2</v>
      </c>
      <c r="W988" s="23">
        <f t="shared" si="113"/>
        <v>3.5131777501793415E-3</v>
      </c>
      <c r="X988" s="24">
        <v>4.2378804906125778E-2</v>
      </c>
      <c r="Y988" s="24">
        <f t="shared" si="114"/>
        <v>4.2985346046978234E-2</v>
      </c>
      <c r="Z988" s="23">
        <f t="shared" si="115"/>
        <v>3.5134092818200902E-3</v>
      </c>
      <c r="AA988" s="36"/>
    </row>
    <row r="989" spans="15:27" ht="13.9" customHeight="1" x14ac:dyDescent="0.3">
      <c r="O989" s="12">
        <f t="shared" si="109"/>
        <v>81.333333333333329</v>
      </c>
      <c r="P989" s="13">
        <v>976</v>
      </c>
      <c r="Q989" s="22">
        <v>3.5556035707765998E-2</v>
      </c>
      <c r="R989" s="19">
        <f t="shared" si="110"/>
        <v>3.6434278198510528E-2</v>
      </c>
      <c r="S989" s="22">
        <v>4.1124060695005626E-2</v>
      </c>
      <c r="T989" s="19">
        <f t="shared" si="111"/>
        <v>4.2990340702671714E-2</v>
      </c>
      <c r="U989" s="24">
        <v>4.2701757358397208E-2</v>
      </c>
      <c r="V989" s="24">
        <f t="shared" si="112"/>
        <v>4.2982586731705075E-2</v>
      </c>
      <c r="W989" s="23">
        <f t="shared" si="113"/>
        <v>3.5131873592284535E-3</v>
      </c>
      <c r="X989" s="24">
        <v>4.2379426181661017E-2</v>
      </c>
      <c r="Y989" s="24">
        <f t="shared" si="114"/>
        <v>4.2985455746920032E-2</v>
      </c>
      <c r="Z989" s="23">
        <f t="shared" si="115"/>
        <v>3.5134181439107071E-3</v>
      </c>
      <c r="AA989" s="36"/>
    </row>
    <row r="990" spans="15:27" ht="13.9" customHeight="1" x14ac:dyDescent="0.3">
      <c r="O990" s="12">
        <f t="shared" si="109"/>
        <v>81.416666666666671</v>
      </c>
      <c r="P990" s="13">
        <v>977</v>
      </c>
      <c r="Q990" s="22">
        <v>3.555693424478612E-2</v>
      </c>
      <c r="R990" s="19">
        <f t="shared" si="110"/>
        <v>3.6435322719034824E-2</v>
      </c>
      <c r="S990" s="22">
        <v>4.1125969201659895E-2</v>
      </c>
      <c r="T990" s="19">
        <f t="shared" si="111"/>
        <v>4.2990428298282257E-2</v>
      </c>
      <c r="U990" s="24">
        <v>4.2702044760240643E-2</v>
      </c>
      <c r="V990" s="24">
        <f t="shared" si="112"/>
        <v>4.2982704953201889E-2</v>
      </c>
      <c r="W990" s="23">
        <f t="shared" si="113"/>
        <v>3.5131969029260635E-3</v>
      </c>
      <c r="X990" s="24">
        <v>4.2380046297980201E-2</v>
      </c>
      <c r="Y990" s="24">
        <f t="shared" si="114"/>
        <v>4.2985564626015105E-2</v>
      </c>
      <c r="Z990" s="23">
        <f t="shared" si="115"/>
        <v>3.513426939604658E-3</v>
      </c>
      <c r="AA990" s="36"/>
    </row>
    <row r="991" spans="15:27" ht="13.9" customHeight="1" x14ac:dyDescent="0.3">
      <c r="O991" s="12">
        <f t="shared" si="109"/>
        <v>81.5</v>
      </c>
      <c r="P991" s="13">
        <v>978</v>
      </c>
      <c r="Q991" s="22">
        <v>3.5557832012197643E-2</v>
      </c>
      <c r="R991" s="19">
        <f t="shared" si="110"/>
        <v>3.6436358551909409E-2</v>
      </c>
      <c r="S991" s="22">
        <v>4.1127873898331391E-2</v>
      </c>
      <c r="T991" s="19">
        <f t="shared" si="111"/>
        <v>4.2990515099820881E-2</v>
      </c>
      <c r="U991" s="24">
        <v>4.2702331695277707E-2</v>
      </c>
      <c r="V991" s="24">
        <f t="shared" si="112"/>
        <v>4.2982822371466556E-2</v>
      </c>
      <c r="W991" s="23">
        <f t="shared" si="113"/>
        <v>3.513206381897449E-3</v>
      </c>
      <c r="X991" s="24">
        <v>4.2380665257799377E-2</v>
      </c>
      <c r="Y991" s="24">
        <f t="shared" si="114"/>
        <v>4.2985672689768384E-2</v>
      </c>
      <c r="Z991" s="23">
        <f t="shared" si="115"/>
        <v>3.5134356694825897E-3</v>
      </c>
      <c r="AA991" s="36"/>
    </row>
    <row r="992" spans="15:27" ht="13.9" customHeight="1" x14ac:dyDescent="0.3">
      <c r="O992" s="12">
        <f t="shared" si="109"/>
        <v>81.583333333333329</v>
      </c>
      <c r="P992" s="13">
        <v>979</v>
      </c>
      <c r="Q992" s="22">
        <v>3.5558729003491774E-2</v>
      </c>
      <c r="R992" s="19">
        <f t="shared" si="110"/>
        <v>3.6437385768986141E-2</v>
      </c>
      <c r="S992" s="22">
        <v>4.1129774795875429E-2</v>
      </c>
      <c r="T992" s="19">
        <f t="shared" si="111"/>
        <v>4.2990601113799265E-2</v>
      </c>
      <c r="U992" s="24">
        <v>4.2702618164118356E-2</v>
      </c>
      <c r="V992" s="24">
        <f t="shared" si="112"/>
        <v>4.2982938992355502E-2</v>
      </c>
      <c r="W992" s="23">
        <f t="shared" si="113"/>
        <v>3.513215796465019E-3</v>
      </c>
      <c r="X992" s="24">
        <v>4.2381283063829045E-2</v>
      </c>
      <c r="Y992" s="24">
        <f t="shared" si="114"/>
        <v>4.2985779944025637E-2</v>
      </c>
      <c r="Z992" s="23">
        <f t="shared" si="115"/>
        <v>3.5134443339859267E-3</v>
      </c>
      <c r="AA992" s="36"/>
    </row>
    <row r="993" spans="15:27" ht="13.9" customHeight="1" x14ac:dyDescent="0.3">
      <c r="O993" s="12">
        <f t="shared" si="109"/>
        <v>81.666666666666671</v>
      </c>
      <c r="P993" s="13">
        <v>980</v>
      </c>
      <c r="Q993" s="22">
        <v>3.5559625212259638E-2</v>
      </c>
      <c r="R993" s="19">
        <f t="shared" si="110"/>
        <v>3.643840444242108E-2</v>
      </c>
      <c r="S993" s="22">
        <v>4.1131671905109801E-2</v>
      </c>
      <c r="T993" s="19">
        <f t="shared" si="111"/>
        <v>4.2990686347523566E-2</v>
      </c>
      <c r="U993" s="24">
        <v>4.2702904167376099E-2</v>
      </c>
      <c r="V993" s="24">
        <f t="shared" si="112"/>
        <v>4.2983054821725597E-2</v>
      </c>
      <c r="W993" s="23">
        <f t="shared" si="113"/>
        <v>3.5132251470981757E-3</v>
      </c>
      <c r="X993" s="24">
        <v>4.238189971877504E-2</v>
      </c>
      <c r="Y993" s="24">
        <f t="shared" si="114"/>
        <v>4.2985886396027961E-2</v>
      </c>
      <c r="Z993" s="23">
        <f t="shared" si="115"/>
        <v>3.5134529335834053E-3</v>
      </c>
      <c r="AA993" s="36"/>
    </row>
    <row r="994" spans="15:27" ht="13.9" customHeight="1" x14ac:dyDescent="0.3">
      <c r="O994" s="12">
        <f t="shared" si="109"/>
        <v>81.75</v>
      </c>
      <c r="P994" s="13">
        <v>981</v>
      </c>
      <c r="Q994" s="22">
        <v>3.5560520632191617E-2</v>
      </c>
      <c r="R994" s="19">
        <f t="shared" si="110"/>
        <v>3.6439414643726131E-2</v>
      </c>
      <c r="S994" s="22">
        <v>4.1133565236815439E-2</v>
      </c>
      <c r="T994" s="19">
        <f t="shared" si="111"/>
        <v>4.2990770808457812E-2</v>
      </c>
      <c r="U994" s="24">
        <v>4.2703189705667999E-2</v>
      </c>
      <c r="V994" s="24">
        <f t="shared" si="112"/>
        <v>4.2983169863344495E-2</v>
      </c>
      <c r="W994" s="23">
        <f t="shared" si="113"/>
        <v>3.5132344342665434E-3</v>
      </c>
      <c r="X994" s="24">
        <v>4.2382515225338979E-2</v>
      </c>
      <c r="Y994" s="24">
        <f t="shared" si="114"/>
        <v>4.2985992050219579E-2</v>
      </c>
      <c r="Z994" s="23">
        <f t="shared" si="115"/>
        <v>3.513461468855672E-3</v>
      </c>
      <c r="AA994" s="36"/>
    </row>
    <row r="995" spans="15:27" ht="13.9" customHeight="1" x14ac:dyDescent="0.3">
      <c r="O995" s="12">
        <f t="shared" si="109"/>
        <v>81.833333333333329</v>
      </c>
      <c r="P995" s="13">
        <v>982</v>
      </c>
      <c r="Q995" s="22">
        <v>3.55614152570769E-2</v>
      </c>
      <c r="R995" s="19">
        <f t="shared" si="110"/>
        <v>3.6440416443109358E-2</v>
      </c>
      <c r="S995" s="22">
        <v>4.1135454801737081E-2</v>
      </c>
      <c r="T995" s="19">
        <f t="shared" si="111"/>
        <v>4.2990854503672571E-2</v>
      </c>
      <c r="U995" s="24">
        <v>4.2703474779612449E-2</v>
      </c>
      <c r="V995" s="24">
        <f t="shared" si="112"/>
        <v>4.2983284125933441E-2</v>
      </c>
      <c r="W995" s="23">
        <f t="shared" si="113"/>
        <v>3.5132436582725468E-3</v>
      </c>
      <c r="X995" s="24">
        <v>4.2383129586216484E-2</v>
      </c>
      <c r="Y995" s="24">
        <f t="shared" si="114"/>
        <v>4.2986096914294114E-2</v>
      </c>
      <c r="Z995" s="23">
        <f t="shared" si="115"/>
        <v>3.5134699401591085E-3</v>
      </c>
      <c r="AA995" s="36"/>
    </row>
    <row r="996" spans="15:27" ht="13.9" customHeight="1" x14ac:dyDescent="0.3">
      <c r="O996" s="12">
        <f t="shared" si="109"/>
        <v>81.916666666666671</v>
      </c>
      <c r="P996" s="13">
        <v>983</v>
      </c>
      <c r="Q996" s="22">
        <v>3.5562309080801269E-2</v>
      </c>
      <c r="R996" s="19">
        <f t="shared" si="110"/>
        <v>3.6441409911039502E-2</v>
      </c>
      <c r="S996" s="22">
        <v>4.1137340610582829E-2</v>
      </c>
      <c r="T996" s="19">
        <f t="shared" si="111"/>
        <v>4.2990937439438381E-2</v>
      </c>
      <c r="U996" s="24">
        <v>4.2703759389834062E-2</v>
      </c>
      <c r="V996" s="24">
        <f t="shared" si="112"/>
        <v>4.2983397610665941E-2</v>
      </c>
      <c r="W996" s="23">
        <f t="shared" si="113"/>
        <v>3.5132528198149604E-3</v>
      </c>
      <c r="X996" s="24">
        <v>4.2383742804099622E-2</v>
      </c>
      <c r="Y996" s="24">
        <f t="shared" si="114"/>
        <v>4.2986200992223056E-2</v>
      </c>
      <c r="Z996" s="23">
        <f t="shared" si="115"/>
        <v>3.5134783481105547E-3</v>
      </c>
      <c r="AA996" s="36"/>
    </row>
    <row r="997" spans="15:27" ht="13.9" customHeight="1" x14ac:dyDescent="0.3">
      <c r="O997" s="12">
        <f t="shared" si="109"/>
        <v>82</v>
      </c>
      <c r="P997" s="13">
        <v>984</v>
      </c>
      <c r="Q997" s="22">
        <v>3.5563202097346647E-2</v>
      </c>
      <c r="R997" s="19">
        <f t="shared" si="110"/>
        <v>3.6442395115585002E-2</v>
      </c>
      <c r="S997" s="22">
        <v>4.1139222674023701E-2</v>
      </c>
      <c r="T997" s="19">
        <f t="shared" si="111"/>
        <v>4.2991019623112248E-2</v>
      </c>
      <c r="U997" s="24">
        <v>4.2704043536956116E-2</v>
      </c>
      <c r="V997" s="24">
        <f t="shared" si="112"/>
        <v>4.2983510325967034E-2</v>
      </c>
      <c r="W997" s="23">
        <f t="shared" si="113"/>
        <v>3.5132619189881531E-3</v>
      </c>
      <c r="X997" s="24">
        <v>4.2384354881673802E-2</v>
      </c>
      <c r="Y997" s="24">
        <f t="shared" si="114"/>
        <v>4.2986304291389388E-2</v>
      </c>
      <c r="Z997" s="23">
        <f t="shared" si="115"/>
        <v>3.5134866930284225E-3</v>
      </c>
      <c r="AA997" s="36"/>
    </row>
    <row r="998" spans="15:27" ht="13.9" customHeight="1" x14ac:dyDescent="0.3">
      <c r="O998" s="12">
        <f t="shared" si="109"/>
        <v>82.083333333333329</v>
      </c>
      <c r="P998" s="13">
        <v>985</v>
      </c>
      <c r="Q998" s="22">
        <v>3.5564094300788884E-2</v>
      </c>
      <c r="R998" s="19">
        <f t="shared" si="110"/>
        <v>3.6443372127701545E-2</v>
      </c>
      <c r="S998" s="22">
        <v>4.1141101002695191E-2</v>
      </c>
      <c r="T998" s="19">
        <f t="shared" si="111"/>
        <v>4.2991101061642611E-2</v>
      </c>
      <c r="U998" s="24">
        <v>4.2704327221608107E-2</v>
      </c>
      <c r="V998" s="24">
        <f t="shared" si="112"/>
        <v>4.2983622274803679E-2</v>
      </c>
      <c r="W998" s="23">
        <f t="shared" si="113"/>
        <v>3.5132709564678066E-3</v>
      </c>
      <c r="X998" s="24">
        <v>4.2384965821621101E-2</v>
      </c>
      <c r="Y998" s="24">
        <f t="shared" si="114"/>
        <v>4.2986406817146827E-2</v>
      </c>
      <c r="Z998" s="23">
        <f t="shared" si="115"/>
        <v>3.5134949755046829E-3</v>
      </c>
      <c r="AA998" s="36"/>
    </row>
    <row r="999" spans="15:27" ht="13.9" customHeight="1" x14ac:dyDescent="0.3">
      <c r="O999" s="12">
        <f t="shared" si="109"/>
        <v>82.166666666666671</v>
      </c>
      <c r="P999" s="13">
        <v>986</v>
      </c>
      <c r="Q999" s="22">
        <v>3.5564985685299311E-2</v>
      </c>
      <c r="R999" s="19">
        <f t="shared" si="110"/>
        <v>3.6444341013911696E-2</v>
      </c>
      <c r="S999" s="22">
        <v>4.1142975607196153E-2</v>
      </c>
      <c r="T999" s="19">
        <f t="shared" si="111"/>
        <v>4.2991181761138142E-2</v>
      </c>
      <c r="U999" s="24">
        <v>4.2704610444419755E-2</v>
      </c>
      <c r="V999" s="24">
        <f t="shared" si="112"/>
        <v>4.2983733464502016E-2</v>
      </c>
      <c r="W999" s="23">
        <f t="shared" si="113"/>
        <v>3.5132799324915087E-3</v>
      </c>
      <c r="X999" s="24">
        <v>4.2385575626617822E-2</v>
      </c>
      <c r="Y999" s="24">
        <f t="shared" si="114"/>
        <v>4.2986508575446614E-2</v>
      </c>
      <c r="Z999" s="23">
        <f t="shared" si="115"/>
        <v>3.5135031959685481E-3</v>
      </c>
      <c r="AA999" s="36"/>
    </row>
    <row r="1000" spans="15:27" ht="13.9" customHeight="1" x14ac:dyDescent="0.3">
      <c r="O1000" s="12">
        <f t="shared" si="109"/>
        <v>82.25</v>
      </c>
      <c r="P1000" s="13">
        <v>987</v>
      </c>
      <c r="Q1000" s="22">
        <v>3.5565876245140515E-2</v>
      </c>
      <c r="R1000" s="19">
        <f t="shared" si="110"/>
        <v>3.6445301843006206E-2</v>
      </c>
      <c r="S1000" s="22">
        <v>4.1144846498089249E-2</v>
      </c>
      <c r="T1000" s="19">
        <f t="shared" si="111"/>
        <v>4.2991261729582675E-2</v>
      </c>
      <c r="U1000" s="24">
        <v>4.2704893206025885E-2</v>
      </c>
      <c r="V1000" s="24">
        <f t="shared" si="112"/>
        <v>4.2983843899496499E-2</v>
      </c>
      <c r="W1000" s="23">
        <f t="shared" si="113"/>
        <v>3.5132888476470114E-3</v>
      </c>
      <c r="X1000" s="24">
        <v>4.2386184299335605E-2</v>
      </c>
      <c r="Y1000" s="24">
        <f t="shared" si="114"/>
        <v>4.2986609571686651E-2</v>
      </c>
      <c r="Z1000" s="23">
        <f t="shared" si="115"/>
        <v>3.513511354897636E-3</v>
      </c>
      <c r="AA1000" s="36"/>
    </row>
    <row r="1001" spans="15:27" ht="13.9" customHeight="1" x14ac:dyDescent="0.3">
      <c r="O1001" s="12">
        <f t="shared" si="109"/>
        <v>82.333333333333329</v>
      </c>
      <c r="P1001" s="13">
        <v>988</v>
      </c>
      <c r="Q1001" s="22">
        <v>3.556676597466768E-2</v>
      </c>
      <c r="R1001" s="19">
        <f t="shared" si="110"/>
        <v>3.6446254681894219E-2</v>
      </c>
      <c r="S1001" s="22">
        <v>4.1146713685902059E-2</v>
      </c>
      <c r="T1001" s="19">
        <f t="shared" si="111"/>
        <v>4.299134097198376E-2</v>
      </c>
      <c r="U1001" s="24">
        <v>4.2705175507062876E-2</v>
      </c>
      <c r="V1001" s="24">
        <f t="shared" si="112"/>
        <v>4.29839535830292E-2</v>
      </c>
      <c r="W1001" s="23">
        <f t="shared" si="113"/>
        <v>3.5132977022895862E-3</v>
      </c>
      <c r="X1001" s="24">
        <v>4.2386791842440985E-2</v>
      </c>
      <c r="Y1001" s="24">
        <f t="shared" si="114"/>
        <v>4.2986709811680512E-2</v>
      </c>
      <c r="Z1001" s="23">
        <f t="shared" si="115"/>
        <v>3.5135194527242675E-3</v>
      </c>
      <c r="AA1001" s="36"/>
    </row>
    <row r="1002" spans="15:27" ht="13.9" customHeight="1" x14ac:dyDescent="0.3">
      <c r="O1002" s="12">
        <f t="shared" si="109"/>
        <v>82.416666666666671</v>
      </c>
      <c r="P1002" s="13">
        <v>989</v>
      </c>
      <c r="Q1002" s="22">
        <v>3.5567654868326581E-2</v>
      </c>
      <c r="R1002" s="19">
        <f t="shared" si="110"/>
        <v>3.6447199597102298E-2</v>
      </c>
      <c r="S1002" s="22">
        <v>4.1148577181124857E-2</v>
      </c>
      <c r="T1002" s="19">
        <f t="shared" si="111"/>
        <v>4.299141949586649E-2</v>
      </c>
      <c r="U1002" s="24">
        <v>4.2705457348168219E-2</v>
      </c>
      <c r="V1002" s="24">
        <f t="shared" si="112"/>
        <v>4.2984062522932964E-2</v>
      </c>
      <c r="W1002" s="23">
        <f t="shared" si="113"/>
        <v>3.5133064966794691E-3</v>
      </c>
      <c r="X1002" s="24">
        <v>4.2387398258595166E-2</v>
      </c>
      <c r="Y1002" s="24">
        <f t="shared" si="114"/>
        <v>4.2986809301253315E-2</v>
      </c>
      <c r="Z1002" s="23">
        <f t="shared" si="115"/>
        <v>3.5135274899147362E-3</v>
      </c>
      <c r="AA1002" s="36"/>
    </row>
    <row r="1003" spans="15:27" ht="13.9" customHeight="1" x14ac:dyDescent="0.3">
      <c r="O1003" s="12">
        <f t="shared" si="109"/>
        <v>82.5</v>
      </c>
      <c r="P1003" s="13">
        <v>990</v>
      </c>
      <c r="Q1003" s="22">
        <v>3.5568542920652479E-2</v>
      </c>
      <c r="R1003" s="19">
        <f t="shared" si="110"/>
        <v>3.64481366536622E-2</v>
      </c>
      <c r="S1003" s="22">
        <v>4.115043699421328E-2</v>
      </c>
      <c r="T1003" s="19">
        <f t="shared" si="111"/>
        <v>4.2991497307976578E-2</v>
      </c>
      <c r="U1003" s="24">
        <v>4.270573872998451E-2</v>
      </c>
      <c r="V1003" s="24">
        <f t="shared" si="112"/>
        <v>4.298417072290639E-2</v>
      </c>
      <c r="W1003" s="23">
        <f t="shared" si="113"/>
        <v>3.5133152314446026E-3</v>
      </c>
      <c r="X1003" s="24">
        <v>4.2388003550454689E-2</v>
      </c>
      <c r="Y1003" s="24">
        <f t="shared" si="114"/>
        <v>4.2986908046475092E-2</v>
      </c>
      <c r="Z1003" s="23">
        <f t="shared" si="115"/>
        <v>3.5135354669360019E-3</v>
      </c>
      <c r="AA1003" s="36"/>
    </row>
    <row r="1004" spans="15:27" ht="13.9" customHeight="1" x14ac:dyDescent="0.3">
      <c r="O1004" s="12">
        <f t="shared" si="109"/>
        <v>82.583333333333329</v>
      </c>
      <c r="P1004" s="13">
        <v>991</v>
      </c>
      <c r="Q1004" s="22">
        <v>3.5569430126268342E-2</v>
      </c>
      <c r="R1004" s="19">
        <f t="shared" si="110"/>
        <v>3.6449065918970236E-2</v>
      </c>
      <c r="S1004" s="22">
        <v>4.1152293135587215E-2</v>
      </c>
      <c r="T1004" s="19">
        <f t="shared" si="111"/>
        <v>4.2991574414223521E-2</v>
      </c>
      <c r="U1004" s="24">
        <v>4.2706019653155458E-2</v>
      </c>
      <c r="V1004" s="24">
        <f t="shared" si="112"/>
        <v>4.2984278188487268E-2</v>
      </c>
      <c r="W1004" s="23">
        <f t="shared" si="113"/>
        <v>3.5133239068814159E-3</v>
      </c>
      <c r="X1004" s="24">
        <v>4.2388607720671656E-2</v>
      </c>
      <c r="Y1004" s="24">
        <f t="shared" si="114"/>
        <v>4.2987006051412591E-2</v>
      </c>
      <c r="Z1004" s="23">
        <f t="shared" si="115"/>
        <v>3.5135433842752306E-3</v>
      </c>
      <c r="AA1004" s="36"/>
    </row>
    <row r="1005" spans="15:27" ht="13.9" customHeight="1" x14ac:dyDescent="0.3">
      <c r="O1005" s="12">
        <f t="shared" si="109"/>
        <v>82.666666666666671</v>
      </c>
      <c r="P1005" s="13">
        <v>992</v>
      </c>
      <c r="Q1005" s="22">
        <v>3.5570316479886621E-2</v>
      </c>
      <c r="R1005" s="19">
        <f t="shared" si="110"/>
        <v>3.6449987456734778E-2</v>
      </c>
      <c r="S1005" s="22">
        <v>4.1154145615631021E-2</v>
      </c>
      <c r="T1005" s="19">
        <f t="shared" si="111"/>
        <v>4.2991650820995764E-2</v>
      </c>
      <c r="U1005" s="24">
        <v>4.2706300118327878E-2</v>
      </c>
      <c r="V1005" s="24">
        <f t="shared" si="112"/>
        <v>4.2984384923919761E-2</v>
      </c>
      <c r="W1005" s="23">
        <f t="shared" si="113"/>
        <v>3.5133325234342205E-3</v>
      </c>
      <c r="X1005" s="24">
        <v>4.2389210771891284E-2</v>
      </c>
      <c r="Y1005" s="24">
        <f t="shared" si="114"/>
        <v>4.2987103323388176E-2</v>
      </c>
      <c r="Z1005" s="23">
        <f t="shared" si="115"/>
        <v>3.5135512422579396E-3</v>
      </c>
      <c r="AA1005" s="36"/>
    </row>
    <row r="1006" spans="15:27" ht="13.9" customHeight="1" x14ac:dyDescent="0.3">
      <c r="O1006" s="12">
        <f t="shared" si="109"/>
        <v>82.75</v>
      </c>
      <c r="P1006" s="13">
        <v>993</v>
      </c>
      <c r="Q1006" s="22">
        <v>3.5571201976305034E-2</v>
      </c>
      <c r="R1006" s="19">
        <f t="shared" si="110"/>
        <v>3.6450901331738672E-2</v>
      </c>
      <c r="S1006" s="22">
        <v>4.1155994444693089E-2</v>
      </c>
      <c r="T1006" s="19">
        <f t="shared" si="111"/>
        <v>4.2991726535374752E-2</v>
      </c>
      <c r="U1006" s="24">
        <v>4.270658012615014E-2</v>
      </c>
      <c r="V1006" s="24">
        <f t="shared" si="112"/>
        <v>4.2984490934425024E-2</v>
      </c>
      <c r="W1006" s="23">
        <f t="shared" si="113"/>
        <v>3.5133410814431887E-3</v>
      </c>
      <c r="X1006" s="24">
        <v>4.2389812706755681E-2</v>
      </c>
      <c r="Y1006" s="24">
        <f t="shared" si="114"/>
        <v>4.2987199866944659E-2</v>
      </c>
      <c r="Z1006" s="23">
        <f t="shared" si="115"/>
        <v>3.5135590414714368E-3</v>
      </c>
      <c r="AA1006" s="36"/>
    </row>
    <row r="1007" spans="15:27" ht="13.9" customHeight="1" x14ac:dyDescent="0.3">
      <c r="O1007" s="12">
        <f t="shared" si="109"/>
        <v>82.833333333333329</v>
      </c>
      <c r="P1007" s="13">
        <v>994</v>
      </c>
      <c r="Q1007" s="22">
        <v>3.5572086610407672E-2</v>
      </c>
      <c r="R1007" s="19">
        <f t="shared" si="110"/>
        <v>3.6451807607125186E-2</v>
      </c>
      <c r="S1007" s="22">
        <v>4.1157839633087834E-2</v>
      </c>
      <c r="T1007" s="19">
        <f t="shared" si="111"/>
        <v>4.2991801562331622E-2</v>
      </c>
      <c r="U1007" s="24">
        <v>4.2706859677273501E-2</v>
      </c>
      <c r="V1007" s="24">
        <f t="shared" si="112"/>
        <v>4.2984596225855931E-2</v>
      </c>
      <c r="W1007" s="23">
        <f t="shared" si="113"/>
        <v>3.5133495813266524E-3</v>
      </c>
      <c r="X1007" s="24">
        <v>4.2390413527900739E-2</v>
      </c>
      <c r="Y1007" s="24">
        <f t="shared" si="114"/>
        <v>4.2987295687799909E-2</v>
      </c>
      <c r="Z1007" s="23">
        <f t="shared" si="115"/>
        <v>3.5135667822803196E-3</v>
      </c>
      <c r="AA1007" s="36"/>
    </row>
    <row r="1008" spans="15:27" ht="13.9" customHeight="1" x14ac:dyDescent="0.3">
      <c r="O1008" s="12">
        <f t="shared" si="109"/>
        <v>82.916666666666671</v>
      </c>
      <c r="P1008" s="13">
        <v>995</v>
      </c>
      <c r="Q1008" s="22">
        <v>3.5572970377162338E-2</v>
      </c>
      <c r="R1008" s="19">
        <f t="shared" si="110"/>
        <v>3.6452706347046782E-2</v>
      </c>
      <c r="S1008" s="22">
        <v>4.1159681191093034E-2</v>
      </c>
      <c r="T1008" s="19">
        <f t="shared" si="111"/>
        <v>4.2991875909553334E-2</v>
      </c>
      <c r="U1008" s="24">
        <v>4.2707138772352105E-2</v>
      </c>
      <c r="V1008" s="24">
        <f t="shared" si="112"/>
        <v>4.2984700801472764E-2</v>
      </c>
      <c r="W1008" s="23">
        <f t="shared" si="113"/>
        <v>3.5133580235544581E-3</v>
      </c>
      <c r="X1008" s="24">
        <v>4.2391013237957686E-2</v>
      </c>
      <c r="Y1008" s="24">
        <f t="shared" si="114"/>
        <v>4.2987390790520941E-2</v>
      </c>
      <c r="Z1008" s="23">
        <f t="shared" si="115"/>
        <v>3.5135744651424439E-3</v>
      </c>
      <c r="AA1008" s="36"/>
    </row>
    <row r="1009" spans="15:27" ht="13.9" customHeight="1" x14ac:dyDescent="0.3">
      <c r="O1009" s="12">
        <f t="shared" si="109"/>
        <v>83</v>
      </c>
      <c r="P1009" s="13">
        <v>996</v>
      </c>
      <c r="Q1009" s="22">
        <v>3.5573853271621436E-2</v>
      </c>
      <c r="R1009" s="19">
        <f t="shared" si="110"/>
        <v>3.645359761431588E-2</v>
      </c>
      <c r="S1009" s="22">
        <v>4.1161519128952939E-2</v>
      </c>
      <c r="T1009" s="19">
        <f t="shared" si="111"/>
        <v>4.2991949582078082E-2</v>
      </c>
      <c r="U1009" s="24">
        <v>4.2707417412040982E-2</v>
      </c>
      <c r="V1009" s="24">
        <f t="shared" si="112"/>
        <v>4.2984804667533849E-2</v>
      </c>
      <c r="W1009" s="23">
        <f t="shared" si="113"/>
        <v>3.5133664083877303E-3</v>
      </c>
      <c r="X1009" s="24">
        <v>4.2391611839551757E-2</v>
      </c>
      <c r="Y1009" s="24">
        <f t="shared" si="114"/>
        <v>4.2987485182008678E-2</v>
      </c>
      <c r="Z1009" s="23">
        <f t="shared" si="115"/>
        <v>3.5135820904246273E-3</v>
      </c>
      <c r="AA1009" s="36"/>
    </row>
    <row r="1010" spans="15:27" ht="13.9" customHeight="1" x14ac:dyDescent="0.3">
      <c r="O1010" s="12">
        <f t="shared" si="109"/>
        <v>83.083333333333329</v>
      </c>
      <c r="P1010" s="13">
        <v>997</v>
      </c>
      <c r="Q1010" s="22">
        <v>3.557473528892019E-2</v>
      </c>
      <c r="R1010" s="19">
        <f t="shared" si="110"/>
        <v>3.6454481469980093E-2</v>
      </c>
      <c r="S1010" s="22">
        <v>4.1163353456875607E-2</v>
      </c>
      <c r="T1010" s="19">
        <f t="shared" si="111"/>
        <v>4.2992022586615164E-2</v>
      </c>
      <c r="U1010" s="24">
        <v>4.2707695596998718E-2</v>
      </c>
      <c r="V1010" s="24">
        <f t="shared" si="112"/>
        <v>4.2984907828084618E-2</v>
      </c>
      <c r="W1010" s="23">
        <f t="shared" si="113"/>
        <v>3.5133747363285117E-3</v>
      </c>
      <c r="X1010" s="24">
        <v>4.2392209335304409E-2</v>
      </c>
      <c r="Y1010" s="24">
        <f t="shared" si="114"/>
        <v>4.2987578866447551E-2</v>
      </c>
      <c r="Z1010" s="23">
        <f t="shared" si="115"/>
        <v>3.513589658679761E-3</v>
      </c>
      <c r="AA1010" s="36"/>
    </row>
    <row r="1011" spans="15:27" ht="13.9" customHeight="1" x14ac:dyDescent="0.3">
      <c r="O1011" s="12">
        <f t="shared" si="109"/>
        <v>83.166666666666671</v>
      </c>
      <c r="P1011" s="13">
        <v>998</v>
      </c>
      <c r="Q1011" s="22">
        <v>3.5575616424274648E-2</v>
      </c>
      <c r="R1011" s="19">
        <f t="shared" si="110"/>
        <v>3.6455357977297487E-2</v>
      </c>
      <c r="S1011" s="22">
        <v>4.116518418503512E-2</v>
      </c>
      <c r="T1011" s="19">
        <f t="shared" si="111"/>
        <v>4.2992094929004798E-2</v>
      </c>
      <c r="U1011" s="24">
        <v>4.2707973327885451E-2</v>
      </c>
      <c r="V1011" s="24">
        <f t="shared" si="112"/>
        <v>4.2985010288532299E-2</v>
      </c>
      <c r="W1011" s="23">
        <f t="shared" si="113"/>
        <v>3.5133830077007655E-3</v>
      </c>
      <c r="X1011" s="24">
        <v>4.2392805727830885E-2</v>
      </c>
      <c r="Y1011" s="24">
        <f t="shared" si="114"/>
        <v>4.2987671849693321E-2</v>
      </c>
      <c r="Z1011" s="23">
        <f t="shared" si="115"/>
        <v>3.5135971702433544E-3</v>
      </c>
      <c r="AA1011" s="36"/>
    </row>
    <row r="1012" spans="15:27" ht="13.9" customHeight="1" x14ac:dyDescent="0.3">
      <c r="O1012" s="12">
        <f t="shared" si="109"/>
        <v>83.25</v>
      </c>
      <c r="P1012" s="13">
        <v>999</v>
      </c>
      <c r="Q1012" s="22">
        <v>3.5576496672982794E-2</v>
      </c>
      <c r="R1012" s="19">
        <f t="shared" si="110"/>
        <v>3.6456227196867586E-2</v>
      </c>
      <c r="S1012" s="22">
        <v>4.1167011323570701E-2</v>
      </c>
      <c r="T1012" s="19">
        <f t="shared" si="111"/>
        <v>4.2992166615360983E-2</v>
      </c>
      <c r="U1012" s="24">
        <v>4.2708250605363984E-2</v>
      </c>
      <c r="V1012" s="24">
        <f t="shared" si="112"/>
        <v>4.2985112052793539E-2</v>
      </c>
      <c r="W1012" s="23">
        <f t="shared" si="113"/>
        <v>3.5133912229383668E-3</v>
      </c>
      <c r="X1012" s="24">
        <v>4.2393401019741761E-2</v>
      </c>
      <c r="Y1012" s="24">
        <f t="shared" si="114"/>
        <v>4.2987764136679818E-2</v>
      </c>
      <c r="Z1012" s="23">
        <f t="shared" si="115"/>
        <v>3.5136046255852538E-3</v>
      </c>
      <c r="AA1012" s="36"/>
    </row>
    <row r="1013" spans="15:27" ht="13.9" customHeight="1" x14ac:dyDescent="0.3">
      <c r="O1013" s="12">
        <f t="shared" si="109"/>
        <v>83.333333333333329</v>
      </c>
      <c r="P1013" s="13">
        <v>1000</v>
      </c>
      <c r="Q1013" s="22">
        <v>3.5577376030422547E-2</v>
      </c>
      <c r="R1013" s="19">
        <f t="shared" si="110"/>
        <v>3.6457089189378289E-2</v>
      </c>
      <c r="S1013" s="22">
        <v>4.1168834882587158E-2</v>
      </c>
      <c r="T1013" s="19">
        <f t="shared" si="111"/>
        <v>4.2992237651401588E-2</v>
      </c>
      <c r="U1013" s="24">
        <v>4.2708527430098453E-2</v>
      </c>
      <c r="V1013" s="24">
        <f t="shared" si="112"/>
        <v>4.2985213125836585E-2</v>
      </c>
      <c r="W1013" s="23">
        <f t="shared" si="113"/>
        <v>3.5133993823552867E-3</v>
      </c>
      <c r="X1013" s="24">
        <v>4.2393995213642288E-2</v>
      </c>
      <c r="Y1013" s="24">
        <f t="shared" si="114"/>
        <v>4.2987855732311564E-2</v>
      </c>
      <c r="Z1013" s="23">
        <f t="shared" si="115"/>
        <v>3.5136120251009206E-3</v>
      </c>
      <c r="AA1013" s="36"/>
    </row>
    <row r="1014" spans="15:27" ht="13.9" customHeight="1" x14ac:dyDescent="0.3">
      <c r="O1014" s="12">
        <f t="shared" si="109"/>
        <v>83.416666666666671</v>
      </c>
      <c r="P1014" s="13">
        <v>1001</v>
      </c>
      <c r="Q1014" s="22">
        <v>3.557825449205021E-2</v>
      </c>
      <c r="R1014" s="19">
        <f t="shared" si="110"/>
        <v>3.64579440144992E-2</v>
      </c>
      <c r="S1014" s="22">
        <v>4.1170654872154433E-2</v>
      </c>
      <c r="T1014" s="19">
        <f t="shared" si="111"/>
        <v>4.2992308043813265E-2</v>
      </c>
      <c r="U1014" s="24">
        <v>4.2708803802754991E-2</v>
      </c>
      <c r="V1014" s="24">
        <f t="shared" si="112"/>
        <v>4.2985313513463685E-2</v>
      </c>
      <c r="W1014" s="23">
        <f t="shared" si="113"/>
        <v>3.5134074863498732E-3</v>
      </c>
      <c r="X1014" s="24">
        <v>4.2394588312131942E-2</v>
      </c>
      <c r="Y1014" s="24">
        <f t="shared" si="114"/>
        <v>4.2987946643058272E-2</v>
      </c>
      <c r="Z1014" s="23">
        <f t="shared" si="115"/>
        <v>3.513619369183596E-3</v>
      </c>
      <c r="AA1014" s="36"/>
    </row>
    <row r="1015" spans="15:27" ht="13.9" customHeight="1" x14ac:dyDescent="0.3">
      <c r="O1015" s="12">
        <f t="shared" si="109"/>
        <v>83.5</v>
      </c>
      <c r="P1015" s="13">
        <v>1002</v>
      </c>
      <c r="Q1015" s="22">
        <v>3.5579132053400464E-2</v>
      </c>
      <c r="R1015" s="19">
        <f t="shared" si="110"/>
        <v>3.6458791733499529E-2</v>
      </c>
      <c r="S1015" s="22">
        <v>4.1172471302309166E-2</v>
      </c>
      <c r="T1015" s="19">
        <f t="shared" si="111"/>
        <v>4.2992377797372194E-2</v>
      </c>
      <c r="U1015" s="24">
        <v>4.2709079724003285E-2</v>
      </c>
      <c r="V1015" s="24">
        <f t="shared" si="112"/>
        <v>4.2985413219265745E-2</v>
      </c>
      <c r="W1015" s="23">
        <f t="shared" si="113"/>
        <v>3.5134155353873098E-3</v>
      </c>
      <c r="X1015" s="24">
        <v>4.2395180317806425E-2</v>
      </c>
      <c r="Y1015" s="24">
        <f t="shared" si="114"/>
        <v>4.2988036872572355E-2</v>
      </c>
      <c r="Z1015" s="23">
        <f t="shared" si="115"/>
        <v>3.5136266583517539E-3</v>
      </c>
      <c r="AA1015" s="36"/>
    </row>
    <row r="1016" spans="15:27" ht="13.9" customHeight="1" x14ac:dyDescent="0.3">
      <c r="O1016" s="12">
        <f t="shared" si="109"/>
        <v>83.583333333333329</v>
      </c>
      <c r="P1016" s="13">
        <v>1003</v>
      </c>
      <c r="Q1016" s="22">
        <v>3.5580008710086153E-2</v>
      </c>
      <c r="R1016" s="19">
        <f t="shared" si="110"/>
        <v>3.645963240308614E-2</v>
      </c>
      <c r="S1016" s="22">
        <v>4.1174284183052912E-2</v>
      </c>
      <c r="T1016" s="19">
        <f t="shared" si="111"/>
        <v>4.2992446918219906E-2</v>
      </c>
      <c r="U1016" s="24">
        <v>4.2709355194513687E-2</v>
      </c>
      <c r="V1016" s="24">
        <f t="shared" si="112"/>
        <v>4.2985512247311064E-2</v>
      </c>
      <c r="W1016" s="23">
        <f t="shared" si="113"/>
        <v>3.5134235297558103E-3</v>
      </c>
      <c r="X1016" s="24">
        <v>4.2395771233254775E-2</v>
      </c>
      <c r="Y1016" s="24">
        <f t="shared" si="114"/>
        <v>4.2988126426905859E-2</v>
      </c>
      <c r="Z1016" s="23">
        <f t="shared" si="115"/>
        <v>3.5136338928987154E-3</v>
      </c>
      <c r="AA1016" s="36"/>
    </row>
    <row r="1017" spans="15:27" ht="13.9" customHeight="1" x14ac:dyDescent="0.3">
      <c r="O1017" s="12">
        <f t="shared" si="109"/>
        <v>83.666666666666671</v>
      </c>
      <c r="P1017" s="13">
        <v>1004</v>
      </c>
      <c r="Q1017" s="22">
        <v>3.5580884457794504E-2</v>
      </c>
      <c r="R1017" s="19">
        <f t="shared" si="110"/>
        <v>3.646046608454756E-2</v>
      </c>
      <c r="S1017" s="22">
        <v>4.117609352435303E-2</v>
      </c>
      <c r="T1017" s="19">
        <f t="shared" si="111"/>
        <v>4.2992515412802801E-2</v>
      </c>
      <c r="U1017" s="24">
        <v>4.2709630214958105E-2</v>
      </c>
      <c r="V1017" s="24">
        <f t="shared" si="112"/>
        <v>4.2985610603570423E-2</v>
      </c>
      <c r="W1017" s="23">
        <f t="shared" si="113"/>
        <v>3.5134314697811142E-3</v>
      </c>
      <c r="X1017" s="24">
        <v>4.2396361061061594E-2</v>
      </c>
      <c r="Y1017" s="24">
        <f t="shared" si="114"/>
        <v>4.2988215310091782E-2</v>
      </c>
      <c r="Z1017" s="23">
        <f t="shared" si="115"/>
        <v>3.5136410733096479E-3</v>
      </c>
      <c r="AA1017" s="36"/>
    </row>
    <row r="1018" spans="15:27" ht="13.9" customHeight="1" x14ac:dyDescent="0.3">
      <c r="O1018" s="12">
        <f t="shared" si="109"/>
        <v>83.75</v>
      </c>
      <c r="P1018" s="13">
        <v>1005</v>
      </c>
      <c r="Q1018" s="22">
        <v>3.558175929229046E-2</v>
      </c>
      <c r="R1018" s="19">
        <f t="shared" si="110"/>
        <v>3.646129283477717E-2</v>
      </c>
      <c r="S1018" s="22">
        <v>4.1177899336144019E-2</v>
      </c>
      <c r="T1018" s="19">
        <f t="shared" si="111"/>
        <v>4.2992583285504926E-2</v>
      </c>
      <c r="U1018" s="24">
        <v>4.2709904786011554E-2</v>
      </c>
      <c r="V1018" s="24">
        <f t="shared" si="112"/>
        <v>4.2985708291965352E-2</v>
      </c>
      <c r="W1018" s="23">
        <f t="shared" si="113"/>
        <v>3.5134393559423938E-3</v>
      </c>
      <c r="X1018" s="24">
        <v>4.2396949803805484E-2</v>
      </c>
      <c r="Y1018" s="24">
        <f t="shared" si="114"/>
        <v>4.2988303528680438E-2</v>
      </c>
      <c r="Z1018" s="23">
        <f t="shared" si="115"/>
        <v>3.5136481999076263E-3</v>
      </c>
      <c r="AA1018" s="36"/>
    </row>
    <row r="1019" spans="15:27" ht="13.9" customHeight="1" x14ac:dyDescent="0.3">
      <c r="O1019" s="12">
        <f t="shared" si="109"/>
        <v>83.833333333333329</v>
      </c>
      <c r="P1019" s="13">
        <v>1006</v>
      </c>
      <c r="Q1019" s="22">
        <v>3.5582633209412684E-2</v>
      </c>
      <c r="R1019" s="19">
        <f t="shared" si="110"/>
        <v>3.6462112711484362E-2</v>
      </c>
      <c r="S1019" s="22">
        <v>4.1179701628325294E-2</v>
      </c>
      <c r="T1019" s="19">
        <f t="shared" si="111"/>
        <v>4.2992650542994504E-2</v>
      </c>
      <c r="U1019" s="24">
        <v>4.271017890835016E-2</v>
      </c>
      <c r="V1019" s="24">
        <f t="shared" si="112"/>
        <v>4.2985805317298231E-2</v>
      </c>
      <c r="W1019" s="23">
        <f t="shared" si="113"/>
        <v>3.5134471885538421E-3</v>
      </c>
      <c r="X1019" s="24">
        <v>4.239753746406083E-2</v>
      </c>
      <c r="Y1019" s="24">
        <f t="shared" si="114"/>
        <v>4.2988391086574707E-2</v>
      </c>
      <c r="Z1019" s="23">
        <f t="shared" si="115"/>
        <v>3.5136552732182302E-3</v>
      </c>
      <c r="AA1019" s="36"/>
    </row>
    <row r="1020" spans="15:27" ht="13.9" customHeight="1" x14ac:dyDescent="0.3">
      <c r="O1020" s="12">
        <f t="shared" si="109"/>
        <v>83.916666666666671</v>
      </c>
      <c r="P1020" s="13">
        <v>1007</v>
      </c>
      <c r="Q1020" s="22">
        <v>3.5583506205073334E-2</v>
      </c>
      <c r="R1020" s="19">
        <f t="shared" si="110"/>
        <v>3.6462925772136945E-2</v>
      </c>
      <c r="S1020" s="22">
        <v>4.1181500410763405E-2</v>
      </c>
      <c r="T1020" s="19">
        <f t="shared" si="111"/>
        <v>4.2992717190666774E-2</v>
      </c>
      <c r="U1020" s="24">
        <v>4.2710452582652492E-2</v>
      </c>
      <c r="V1020" s="24">
        <f t="shared" si="112"/>
        <v>4.2985901682961236E-2</v>
      </c>
      <c r="W1020" s="23">
        <f t="shared" si="113"/>
        <v>3.5134549680007066E-3</v>
      </c>
      <c r="X1020" s="24">
        <v>4.2398124044396024E-2</v>
      </c>
      <c r="Y1020" s="24">
        <f t="shared" si="114"/>
        <v>4.2988477988628926E-2</v>
      </c>
      <c r="Z1020" s="23">
        <f t="shared" si="115"/>
        <v>3.5136622935540984E-3</v>
      </c>
      <c r="AA1020" s="36"/>
    </row>
    <row r="1021" spans="15:27" ht="13.9" customHeight="1" x14ac:dyDescent="0.3">
      <c r="O1021" s="12">
        <f t="shared" si="109"/>
        <v>84</v>
      </c>
      <c r="P1021" s="13">
        <v>1008</v>
      </c>
      <c r="Q1021" s="22">
        <v>3.5584378275257844E-2</v>
      </c>
      <c r="R1021" s="19">
        <f t="shared" si="110"/>
        <v>3.6463732073211519E-2</v>
      </c>
      <c r="S1021" s="22">
        <v>4.1183295693291155E-2</v>
      </c>
      <c r="T1021" s="19">
        <f t="shared" si="111"/>
        <v>4.2992783233795073E-2</v>
      </c>
      <c r="U1021" s="24">
        <v>4.2710725809597561E-2</v>
      </c>
      <c r="V1021" s="24">
        <f t="shared" si="112"/>
        <v>4.298599739488651E-2</v>
      </c>
      <c r="W1021" s="23">
        <f t="shared" si="113"/>
        <v>3.5134626945547698E-3</v>
      </c>
      <c r="X1021" s="24">
        <v>4.2398709547374125E-2</v>
      </c>
      <c r="Y1021" s="24">
        <f t="shared" si="114"/>
        <v>4.2988564240153071E-2</v>
      </c>
      <c r="Z1021" s="23">
        <f t="shared" si="115"/>
        <v>3.5136692613046971E-3</v>
      </c>
      <c r="AA1021" s="36"/>
    </row>
    <row r="1022" spans="15:27" ht="13.9" customHeight="1" x14ac:dyDescent="0.3">
      <c r="O1022" s="12">
        <f t="shared" si="109"/>
        <v>84.083333333333329</v>
      </c>
      <c r="P1022" s="13">
        <v>1009</v>
      </c>
      <c r="Q1022" s="22">
        <v>3.558524941602359E-2</v>
      </c>
      <c r="R1022" s="19">
        <f t="shared" si="110"/>
        <v>3.6464531671762002E-2</v>
      </c>
      <c r="S1022" s="22">
        <v>4.1185087485707594E-2</v>
      </c>
      <c r="T1022" s="19">
        <f t="shared" si="111"/>
        <v>4.2992848677811946E-2</v>
      </c>
      <c r="U1022" s="24">
        <v>4.2710998589867488E-2</v>
      </c>
      <c r="V1022" s="24">
        <f t="shared" si="112"/>
        <v>4.2986092457423464E-2</v>
      </c>
      <c r="W1022" s="23">
        <f t="shared" si="113"/>
        <v>3.5134703686918733E-3</v>
      </c>
      <c r="X1022" s="24">
        <v>4.2399293975553087E-2</v>
      </c>
      <c r="Y1022" s="24">
        <f t="shared" si="114"/>
        <v>4.2988649846049221E-2</v>
      </c>
      <c r="Z1022" s="23">
        <f t="shared" si="115"/>
        <v>3.5136761768956859E-3</v>
      </c>
      <c r="AA1022" s="36"/>
    </row>
    <row r="1023" spans="15:27" ht="13.9" customHeight="1" x14ac:dyDescent="0.3">
      <c r="O1023" s="12">
        <f t="shared" si="109"/>
        <v>84.166666666666671</v>
      </c>
      <c r="P1023" s="13">
        <v>1010</v>
      </c>
      <c r="Q1023" s="22">
        <v>3.558611962349989E-2</v>
      </c>
      <c r="R1023" s="19">
        <f t="shared" si="110"/>
        <v>3.6465324622995121E-2</v>
      </c>
      <c r="S1023" s="22">
        <v>4.1186875797778466E-2</v>
      </c>
      <c r="T1023" s="19">
        <f t="shared" si="111"/>
        <v>4.2992913528733245E-2</v>
      </c>
      <c r="U1023" s="24">
        <v>4.2711270924146172E-2</v>
      </c>
      <c r="V1023" s="24">
        <f t="shared" si="112"/>
        <v>4.2986186873461119E-2</v>
      </c>
      <c r="W1023" s="23">
        <f t="shared" si="113"/>
        <v>3.5134779907608493E-3</v>
      </c>
      <c r="X1023" s="24">
        <v>4.2399877331485758E-2</v>
      </c>
      <c r="Y1023" s="24">
        <f t="shared" si="114"/>
        <v>4.2988734811121976E-2</v>
      </c>
      <c r="Z1023" s="23">
        <f t="shared" si="115"/>
        <v>3.5136830407200836E-3</v>
      </c>
      <c r="AA1023" s="36"/>
    </row>
    <row r="1024" spans="15:27" ht="13.9" customHeight="1" x14ac:dyDescent="0.3">
      <c r="O1024" s="12">
        <f t="shared" si="109"/>
        <v>84.25</v>
      </c>
      <c r="P1024" s="13">
        <v>1011</v>
      </c>
      <c r="Q1024" s="22">
        <v>3.5586988893885785E-2</v>
      </c>
      <c r="R1024" s="19">
        <f t="shared" si="110"/>
        <v>3.6466110982336097E-2</v>
      </c>
      <c r="S1024" s="22">
        <v>4.1188660639236874E-2</v>
      </c>
      <c r="T1024" s="19">
        <f t="shared" si="111"/>
        <v>4.299297779119593E-2</v>
      </c>
      <c r="U1024" s="24">
        <v>4.2711542813117509E-2</v>
      </c>
      <c r="V1024" s="24">
        <f t="shared" si="112"/>
        <v>4.2986280649214281E-2</v>
      </c>
      <c r="W1024" s="23">
        <f t="shared" si="113"/>
        <v>3.5134855609928461E-3</v>
      </c>
      <c r="X1024" s="24">
        <v>4.2400459617719433E-2</v>
      </c>
      <c r="Y1024" s="24">
        <f t="shared" si="114"/>
        <v>4.2988819140030277E-2</v>
      </c>
      <c r="Z1024" s="23">
        <f t="shared" si="115"/>
        <v>3.5136898531631378E-3</v>
      </c>
      <c r="AA1024" s="36"/>
    </row>
    <row r="1025" spans="15:27" ht="13.9" customHeight="1" x14ac:dyDescent="0.3">
      <c r="O1025" s="12">
        <f t="shared" si="109"/>
        <v>84.333333333333329</v>
      </c>
      <c r="P1025" s="13">
        <v>1012</v>
      </c>
      <c r="Q1025" s="22">
        <v>3.5587857223450259E-2</v>
      </c>
      <c r="R1025" s="19">
        <f t="shared" si="110"/>
        <v>3.6466890804727425E-2</v>
      </c>
      <c r="S1025" s="22">
        <v>4.1190442019781948E-2</v>
      </c>
      <c r="T1025" s="19">
        <f t="shared" si="111"/>
        <v>4.299304147071692E-2</v>
      </c>
      <c r="U1025" s="24">
        <v>4.271181425746895E-2</v>
      </c>
      <c r="V1025" s="24">
        <f t="shared" si="112"/>
        <v>4.2986373787325727E-2</v>
      </c>
      <c r="W1025" s="23">
        <f t="shared" si="113"/>
        <v>3.513493079886798E-3</v>
      </c>
      <c r="X1025" s="24">
        <v>4.2401040836796078E-2</v>
      </c>
      <c r="Y1025" s="24">
        <f t="shared" si="114"/>
        <v>4.2988902837499676E-2</v>
      </c>
      <c r="Z1025" s="23">
        <f t="shared" si="115"/>
        <v>3.5136966145985493E-3</v>
      </c>
      <c r="AA1025" s="36"/>
    </row>
    <row r="1026" spans="15:27" ht="13.9" customHeight="1" x14ac:dyDescent="0.3">
      <c r="O1026" s="12">
        <f t="shared" si="109"/>
        <v>84.416666666666671</v>
      </c>
      <c r="P1026" s="13">
        <v>1013</v>
      </c>
      <c r="Q1026" s="22">
        <v>3.5588724608531352E-2</v>
      </c>
      <c r="R1026" s="19">
        <f t="shared" si="110"/>
        <v>3.6467664144829159E-2</v>
      </c>
      <c r="S1026" s="22">
        <v>4.1192219949079956E-2</v>
      </c>
      <c r="T1026" s="19">
        <f t="shared" si="111"/>
        <v>4.2993104573344709E-2</v>
      </c>
      <c r="U1026" s="24">
        <v>4.2712085257887944E-2</v>
      </c>
      <c r="V1026" s="24">
        <f t="shared" si="112"/>
        <v>4.2986466294371972E-2</v>
      </c>
      <c r="W1026" s="23">
        <f t="shared" si="113"/>
        <v>3.5135005476540915E-3</v>
      </c>
      <c r="X1026" s="24">
        <v>4.2401620991252331E-2</v>
      </c>
      <c r="Y1026" s="24">
        <f t="shared" si="114"/>
        <v>4.2988985908616106E-2</v>
      </c>
      <c r="Z1026" s="23">
        <f t="shared" si="115"/>
        <v>3.5137033254051264E-3</v>
      </c>
      <c r="AA1026" s="36"/>
    </row>
    <row r="1027" spans="15:27" ht="13.9" customHeight="1" x14ac:dyDescent="0.3">
      <c r="O1027" s="12">
        <f t="shared" si="109"/>
        <v>84.5</v>
      </c>
      <c r="P1027" s="13">
        <v>1014</v>
      </c>
      <c r="Q1027" s="22">
        <v>3.5589591045535052E-2</v>
      </c>
      <c r="R1027" s="19">
        <f t="shared" si="110"/>
        <v>3.6468431056026596E-2</v>
      </c>
      <c r="S1027" s="22">
        <v>4.1193994436764969E-2</v>
      </c>
      <c r="T1027" s="19">
        <f t="shared" si="111"/>
        <v>4.2993167103191565E-2</v>
      </c>
      <c r="U1027" s="24">
        <v>4.2712355815065273E-2</v>
      </c>
      <c r="V1027" s="24">
        <f t="shared" si="112"/>
        <v>4.2986558172362743E-2</v>
      </c>
      <c r="W1027" s="23">
        <f t="shared" si="113"/>
        <v>3.5135079648225265E-3</v>
      </c>
      <c r="X1027" s="24">
        <v>4.2402200083619723E-2</v>
      </c>
      <c r="Y1027" s="24">
        <f t="shared" si="114"/>
        <v>4.2989068357327964E-2</v>
      </c>
      <c r="Z1027" s="23">
        <f t="shared" si="115"/>
        <v>3.513709985990543E-3</v>
      </c>
      <c r="AA1027" s="36"/>
    </row>
    <row r="1028" spans="15:27" ht="13.9" customHeight="1" x14ac:dyDescent="0.3">
      <c r="O1028" s="12">
        <f t="shared" si="109"/>
        <v>84.583333333333329</v>
      </c>
      <c r="P1028" s="13">
        <v>1015</v>
      </c>
      <c r="Q1028" s="22">
        <v>3.5590456530934178E-2</v>
      </c>
      <c r="R1028" s="19">
        <f t="shared" si="110"/>
        <v>3.6469191591651962E-2</v>
      </c>
      <c r="S1028" s="22">
        <v>4.119576549243753E-2</v>
      </c>
      <c r="T1028" s="19">
        <f t="shared" si="111"/>
        <v>4.2993229065758198E-2</v>
      </c>
      <c r="U1028" s="24">
        <v>4.2712625929691495E-2</v>
      </c>
      <c r="V1028" s="24">
        <f t="shared" si="112"/>
        <v>4.2986649426391299E-2</v>
      </c>
      <c r="W1028" s="23">
        <f t="shared" si="113"/>
        <v>3.5135153315528633E-3</v>
      </c>
      <c r="X1028" s="24">
        <v>4.2402778116423789E-2</v>
      </c>
      <c r="Y1028" s="24">
        <f t="shared" si="114"/>
        <v>4.298915018901206E-2</v>
      </c>
      <c r="Z1028" s="23">
        <f t="shared" si="115"/>
        <v>3.5137165966714345E-3</v>
      </c>
      <c r="AA1028" s="36"/>
    </row>
    <row r="1029" spans="15:27" ht="13.9" customHeight="1" x14ac:dyDescent="0.3">
      <c r="O1029" s="12">
        <f t="shared" si="109"/>
        <v>84.666666666666671</v>
      </c>
      <c r="P1029" s="13">
        <v>1016</v>
      </c>
      <c r="Q1029" s="22">
        <v>3.5591321061268166E-2</v>
      </c>
      <c r="R1029" s="19">
        <f t="shared" si="110"/>
        <v>3.6469945806641757E-2</v>
      </c>
      <c r="S1029" s="22">
        <v>4.1197533125665542E-2</v>
      </c>
      <c r="T1029" s="19">
        <f t="shared" si="111"/>
        <v>4.2993290466954548E-2</v>
      </c>
      <c r="U1029" s="24">
        <v>4.2712895602459167E-2</v>
      </c>
      <c r="V1029" s="24">
        <f t="shared" si="112"/>
        <v>4.2986740061249584E-2</v>
      </c>
      <c r="W1029" s="23">
        <f t="shared" si="113"/>
        <v>3.5135226482536641E-3</v>
      </c>
      <c r="X1029" s="24">
        <v>4.2403355092185402E-2</v>
      </c>
      <c r="Y1029" s="24">
        <f t="shared" si="114"/>
        <v>4.2989231408151252E-2</v>
      </c>
      <c r="Z1029" s="23">
        <f t="shared" si="115"/>
        <v>3.5137231578792338E-3</v>
      </c>
      <c r="AA1029" s="36"/>
    </row>
    <row r="1030" spans="15:27" ht="13.9" customHeight="1" x14ac:dyDescent="0.3">
      <c r="O1030" s="12">
        <f t="shared" si="109"/>
        <v>84.75</v>
      </c>
      <c r="P1030" s="13">
        <v>1017</v>
      </c>
      <c r="Q1030" s="22">
        <v>3.5592184633143509E-2</v>
      </c>
      <c r="R1030" s="19">
        <f t="shared" si="110"/>
        <v>3.6470693751609051E-2</v>
      </c>
      <c r="S1030" s="22">
        <v>4.1199297345984931E-2</v>
      </c>
      <c r="T1030" s="19">
        <f t="shared" si="111"/>
        <v>4.2993351311253925E-2</v>
      </c>
      <c r="U1030" s="24">
        <v>4.2713164834062844E-2</v>
      </c>
      <c r="V1030" s="24">
        <f t="shared" si="112"/>
        <v>4.2986830080889771E-2</v>
      </c>
      <c r="W1030" s="23">
        <f t="shared" si="113"/>
        <v>3.513529915309288E-3</v>
      </c>
      <c r="X1030" s="24">
        <v>4.240393101341966E-2</v>
      </c>
      <c r="Y1030" s="24">
        <f t="shared" si="114"/>
        <v>4.2989312019456882E-2</v>
      </c>
      <c r="Z1030" s="23">
        <f t="shared" si="115"/>
        <v>3.513729669972987E-3</v>
      </c>
      <c r="AA1030" s="36"/>
    </row>
    <row r="1031" spans="15:27" ht="13.9" customHeight="1" x14ac:dyDescent="0.3">
      <c r="O1031" s="12">
        <f t="shared" si="109"/>
        <v>84.833333333333329</v>
      </c>
      <c r="P1031" s="13">
        <v>1018</v>
      </c>
      <c r="Q1031" s="22">
        <v>3.5593047243230203E-2</v>
      </c>
      <c r="R1031" s="19">
        <f t="shared" si="110"/>
        <v>3.6471435479893399E-2</v>
      </c>
      <c r="S1031" s="22">
        <v>4.1201058162898985E-2</v>
      </c>
      <c r="T1031" s="19">
        <f t="shared" si="111"/>
        <v>4.2993411603629905E-2</v>
      </c>
      <c r="U1031" s="24">
        <v>4.2713433625198416E-2</v>
      </c>
      <c r="V1031" s="24">
        <f t="shared" si="112"/>
        <v>4.2986919488989361E-2</v>
      </c>
      <c r="W1031" s="23">
        <f t="shared" si="113"/>
        <v>3.5135371330363707E-3</v>
      </c>
      <c r="X1031" s="24">
        <v>4.2404505882637E-2</v>
      </c>
      <c r="Y1031" s="24">
        <f t="shared" si="114"/>
        <v>4.2989392026985929E-2</v>
      </c>
      <c r="Z1031" s="23">
        <f t="shared" si="115"/>
        <v>3.5137361333306139E-3</v>
      </c>
      <c r="AA1031" s="36"/>
    </row>
    <row r="1032" spans="15:27" ht="13.9" customHeight="1" x14ac:dyDescent="0.3">
      <c r="O1032" s="12">
        <f t="shared" si="109"/>
        <v>84.916666666666671</v>
      </c>
      <c r="P1032" s="13">
        <v>1019</v>
      </c>
      <c r="Q1032" s="22">
        <v>3.5593908888263304E-2</v>
      </c>
      <c r="R1032" s="19">
        <f t="shared" si="110"/>
        <v>3.6472171041920465E-2</v>
      </c>
      <c r="S1032" s="22">
        <v>4.1202815585878128E-2</v>
      </c>
      <c r="T1032" s="19">
        <f t="shared" si="111"/>
        <v>4.2993471349254797E-2</v>
      </c>
      <c r="U1032" s="24">
        <v>4.2713701976562435E-2</v>
      </c>
      <c r="V1032" s="24">
        <f t="shared" si="112"/>
        <v>4.298700829029567E-2</v>
      </c>
      <c r="W1032" s="23">
        <f t="shared" si="113"/>
        <v>3.5135443017297874E-3</v>
      </c>
      <c r="X1032" s="24">
        <v>4.2405079702341419E-2</v>
      </c>
      <c r="Y1032" s="24">
        <f t="shared" si="114"/>
        <v>4.2989471435512572E-2</v>
      </c>
      <c r="Z1032" s="23">
        <f t="shared" si="115"/>
        <v>3.5137425482774098E-3</v>
      </c>
      <c r="AA1032" s="36"/>
    </row>
    <row r="1033" spans="15:27" ht="13.9" customHeight="1" x14ac:dyDescent="0.3">
      <c r="O1033" s="12">
        <f t="shared" si="109"/>
        <v>85</v>
      </c>
      <c r="P1033" s="13">
        <v>1020</v>
      </c>
      <c r="Q1033" s="22">
        <v>3.5594769565040263E-2</v>
      </c>
      <c r="R1033" s="19">
        <f t="shared" si="110"/>
        <v>3.6472900491161031E-2</v>
      </c>
      <c r="S1033" s="22">
        <v>4.1204569624361254E-2</v>
      </c>
      <c r="T1033" s="19">
        <f t="shared" si="111"/>
        <v>4.2993530552885018E-2</v>
      </c>
      <c r="U1033" s="24">
        <v>4.2713969888853454E-2</v>
      </c>
      <c r="V1033" s="24">
        <f t="shared" si="112"/>
        <v>4.2987096488094956E-2</v>
      </c>
      <c r="W1033" s="23">
        <f t="shared" si="113"/>
        <v>3.5135514217703445E-3</v>
      </c>
      <c r="X1033" s="24">
        <v>4.240565247503203E-2</v>
      </c>
      <c r="Y1033" s="24">
        <f t="shared" si="114"/>
        <v>4.2989550249559194E-2</v>
      </c>
      <c r="Z1033" s="23">
        <f t="shared" si="115"/>
        <v>3.5137489151961798E-3</v>
      </c>
      <c r="AA1033" s="36"/>
    </row>
    <row r="1034" spans="15:27" ht="13.9" customHeight="1" x14ac:dyDescent="0.3">
      <c r="O1034" s="12">
        <f t="shared" si="109"/>
        <v>85.083333333333329</v>
      </c>
      <c r="P1034" s="13">
        <v>1021</v>
      </c>
      <c r="Q1034" s="22">
        <v>3.5595629270423146E-2</v>
      </c>
      <c r="R1034" s="19">
        <f t="shared" si="110"/>
        <v>3.6473623876284389E-2</v>
      </c>
      <c r="S1034" s="22">
        <v>4.1206320287754616E-2</v>
      </c>
      <c r="T1034" s="19">
        <f t="shared" si="111"/>
        <v>4.299358921989227E-2</v>
      </c>
      <c r="U1034" s="24">
        <v>4.2714237362770469E-2</v>
      </c>
      <c r="V1034" s="24">
        <f t="shared" si="112"/>
        <v>4.2987184087786678E-2</v>
      </c>
      <c r="W1034" s="23">
        <f t="shared" si="113"/>
        <v>3.513558493421387E-3</v>
      </c>
      <c r="X1034" s="24">
        <v>4.2406224203202614E-2</v>
      </c>
      <c r="Y1034" s="24">
        <f t="shared" si="114"/>
        <v>4.2989628473707686E-2</v>
      </c>
      <c r="Z1034" s="23">
        <f t="shared" si="115"/>
        <v>3.5137552344495226E-3</v>
      </c>
      <c r="AA1034" s="36"/>
    </row>
    <row r="1035" spans="15:27" ht="13.9" customHeight="1" x14ac:dyDescent="0.3">
      <c r="O1035" s="12">
        <f t="shared" si="109"/>
        <v>85.166666666666671</v>
      </c>
      <c r="P1035" s="13">
        <v>1022</v>
      </c>
      <c r="Q1035" s="22">
        <v>3.5596488001334192E-2</v>
      </c>
      <c r="R1035" s="19">
        <f t="shared" si="110"/>
        <v>3.6474341249094433E-2</v>
      </c>
      <c r="S1035" s="22">
        <v>4.1208067585432939E-2</v>
      </c>
      <c r="T1035" s="19">
        <f t="shared" si="111"/>
        <v>4.2993647354525599E-2</v>
      </c>
      <c r="U1035" s="24">
        <v>4.2714504399015363E-2</v>
      </c>
      <c r="V1035" s="24">
        <f t="shared" si="112"/>
        <v>4.2987271092199686E-2</v>
      </c>
      <c r="W1035" s="23">
        <f t="shared" si="113"/>
        <v>3.513565517116124E-3</v>
      </c>
      <c r="X1035" s="24">
        <v>4.2406794889341404E-2</v>
      </c>
      <c r="Y1035" s="24">
        <f t="shared" si="114"/>
        <v>4.298970611211872E-2</v>
      </c>
      <c r="Z1035" s="23">
        <f t="shared" si="115"/>
        <v>3.5137615064049221E-3</v>
      </c>
      <c r="AA1035" s="36"/>
    </row>
    <row r="1036" spans="15:27" ht="13.9" customHeight="1" x14ac:dyDescent="0.3">
      <c r="O1036" s="12">
        <f t="shared" si="109"/>
        <v>85.25</v>
      </c>
      <c r="P1036" s="13">
        <v>1023</v>
      </c>
      <c r="Q1036" s="22">
        <v>3.5597345754757814E-2</v>
      </c>
      <c r="R1036" s="19">
        <f t="shared" si="110"/>
        <v>3.6475052660240648E-2</v>
      </c>
      <c r="S1036" s="22">
        <v>4.1209811526738527E-2</v>
      </c>
      <c r="T1036" s="19">
        <f t="shared" si="111"/>
        <v>4.2993704962332346E-2</v>
      </c>
      <c r="U1036" s="24">
        <v>4.2714770998289353E-2</v>
      </c>
      <c r="V1036" s="24">
        <f t="shared" si="112"/>
        <v>4.2987357505558155E-2</v>
      </c>
      <c r="W1036" s="23">
        <f t="shared" si="113"/>
        <v>3.5135724930812628E-3</v>
      </c>
      <c r="X1036" s="24">
        <v>4.2407364535931302E-2</v>
      </c>
      <c r="Y1036" s="24">
        <f t="shared" si="114"/>
        <v>4.2989783169124607E-2</v>
      </c>
      <c r="Z1036" s="23">
        <f t="shared" si="115"/>
        <v>3.5137677313956672E-3</v>
      </c>
      <c r="AA1036" s="36"/>
    </row>
    <row r="1037" spans="15:27" ht="13.9" customHeight="1" x14ac:dyDescent="0.3">
      <c r="O1037" s="12">
        <f t="shared" si="109"/>
        <v>85.333333333333329</v>
      </c>
      <c r="P1037" s="13">
        <v>1024</v>
      </c>
      <c r="Q1037" s="22">
        <v>3.5598202527740153E-2</v>
      </c>
      <c r="R1037" s="19">
        <f t="shared" si="110"/>
        <v>3.6475758156870874E-2</v>
      </c>
      <c r="S1037" s="22">
        <v>4.1211552120982597E-2</v>
      </c>
      <c r="T1037" s="19">
        <f t="shared" si="111"/>
        <v>4.2993762047577544E-2</v>
      </c>
      <c r="U1037" s="24">
        <v>4.2715037161295655E-2</v>
      </c>
      <c r="V1037" s="24">
        <f t="shared" si="112"/>
        <v>4.2987443333370567E-2</v>
      </c>
      <c r="W1037" s="23">
        <f t="shared" si="113"/>
        <v>3.5135794216551997E-3</v>
      </c>
      <c r="X1037" s="24">
        <v>4.2407933145449661E-2</v>
      </c>
      <c r="Y1037" s="24">
        <f t="shared" si="114"/>
        <v>4.2989859649815276E-2</v>
      </c>
      <c r="Z1037" s="23">
        <f t="shared" si="115"/>
        <v>3.5137739097694798E-3</v>
      </c>
      <c r="AA1037" s="36"/>
    </row>
    <row r="1038" spans="15:27" ht="13.9" customHeight="1" x14ac:dyDescent="0.3">
      <c r="O1038" s="12">
        <f t="shared" ref="O1038:O1101" si="116">P1038/12</f>
        <v>85.416666666666671</v>
      </c>
      <c r="P1038" s="13">
        <v>1025</v>
      </c>
      <c r="Q1038" s="22">
        <v>3.5599058317384635E-2</v>
      </c>
      <c r="R1038" s="19">
        <f t="shared" ref="R1038:R1101" si="117">(1+Q1039)^P1039/(1+Q1038)^P1038-1</f>
        <v>3.6476457790785677E-2</v>
      </c>
      <c r="S1038" s="22">
        <v>4.1213289377444395E-2</v>
      </c>
      <c r="T1038" s="19">
        <f t="shared" ref="T1038:T1101" si="118">(1+S1039)^P1039/(1+S1038)^P1038-1</f>
        <v>4.299381861502316E-2</v>
      </c>
      <c r="U1038" s="24">
        <v>4.2715302888739926E-2</v>
      </c>
      <c r="V1038" s="24">
        <f t="shared" ref="V1038:V1101" si="119">(1+U1039)^P1039/(1+U1038)^P1038-1</f>
        <v>4.2987528577054235E-2</v>
      </c>
      <c r="W1038" s="23">
        <f t="shared" si="113"/>
        <v>3.5135863032800252E-3</v>
      </c>
      <c r="X1038" s="24">
        <v>4.2408500720368947E-2</v>
      </c>
      <c r="Y1038" s="24">
        <f t="shared" si="114"/>
        <v>4.2989935557011361E-2</v>
      </c>
      <c r="Z1038" s="23">
        <f t="shared" si="115"/>
        <v>3.5137800419344778E-3</v>
      </c>
      <c r="AA1038" s="36"/>
    </row>
    <row r="1039" spans="15:27" ht="13.9" customHeight="1" x14ac:dyDescent="0.3">
      <c r="O1039" s="12">
        <f t="shared" si="116"/>
        <v>85.5</v>
      </c>
      <c r="P1039" s="13">
        <v>1026</v>
      </c>
      <c r="Q1039" s="22">
        <v>3.5599913120856197E-2</v>
      </c>
      <c r="R1039" s="19">
        <f t="shared" si="117"/>
        <v>3.6477151609308978E-2</v>
      </c>
      <c r="S1039" s="22">
        <v>4.1215023305371412E-2</v>
      </c>
      <c r="T1039" s="19">
        <f t="shared" si="118"/>
        <v>4.2993874669366772E-2</v>
      </c>
      <c r="U1039" s="24">
        <v>4.2715568181326269E-2</v>
      </c>
      <c r="V1039" s="24">
        <f t="shared" si="119"/>
        <v>4.2987613242745359E-2</v>
      </c>
      <c r="W1039" s="23">
        <f t="shared" ref="W1039:W1102" si="120">(1+V1038)^(1/12)-1</f>
        <v>3.5135931380692043E-3</v>
      </c>
      <c r="X1039" s="24">
        <v>4.2409067263154965E-2</v>
      </c>
      <c r="Y1039" s="24">
        <f t="shared" ref="Y1039:Y1102" si="121">(1+X1040)^P1040/(1+X1039)^P1039-1</f>
        <v>4.2990010896321929E-2</v>
      </c>
      <c r="Z1039" s="23">
        <f t="shared" ref="Z1039:Z1102" si="122">(1+Y1038)^(1/12)-1</f>
        <v>3.5137861281164806E-3</v>
      </c>
      <c r="AA1039" s="36"/>
    </row>
    <row r="1040" spans="15:27" ht="13.9" customHeight="1" x14ac:dyDescent="0.3">
      <c r="O1040" s="12">
        <f t="shared" si="116"/>
        <v>85.583333333333329</v>
      </c>
      <c r="P1040" s="13">
        <v>1027</v>
      </c>
      <c r="Q1040" s="22">
        <v>3.5600766935377059E-2</v>
      </c>
      <c r="R1040" s="19">
        <f t="shared" si="117"/>
        <v>3.6477839661826605E-2</v>
      </c>
      <c r="S1040" s="22">
        <v>4.1216753913979831E-2</v>
      </c>
      <c r="T1040" s="19">
        <f t="shared" si="118"/>
        <v>4.2993930215464049E-2</v>
      </c>
      <c r="U1040" s="24">
        <v>4.2715833039762341E-2</v>
      </c>
      <c r="V1040" s="24">
        <f t="shared" si="119"/>
        <v>4.2987697333425778E-2</v>
      </c>
      <c r="W1040" s="23">
        <f t="shared" si="120"/>
        <v>3.5135999265147877E-3</v>
      </c>
      <c r="X1040" s="24">
        <v>4.2409632776269302E-2</v>
      </c>
      <c r="Y1040" s="24">
        <f t="shared" si="121"/>
        <v>4.2990085671856137E-2</v>
      </c>
      <c r="Z1040" s="23">
        <f t="shared" si="122"/>
        <v>3.5137921687655727E-3</v>
      </c>
      <c r="AA1040" s="36"/>
    </row>
    <row r="1041" spans="15:27" ht="13.9" customHeight="1" x14ac:dyDescent="0.3">
      <c r="O1041" s="12">
        <f t="shared" si="116"/>
        <v>85.666666666666671</v>
      </c>
      <c r="P1041" s="13">
        <v>1028</v>
      </c>
      <c r="Q1041" s="22">
        <v>3.5601619758228287E-2</v>
      </c>
      <c r="R1041" s="19">
        <f t="shared" si="117"/>
        <v>3.6478521995420676E-2</v>
      </c>
      <c r="S1041" s="22">
        <v>4.1218481212454749E-2</v>
      </c>
      <c r="T1041" s="19">
        <f t="shared" si="118"/>
        <v>4.2993985258030332E-2</v>
      </c>
      <c r="U1041" s="24">
        <v>4.2716097464755576E-2</v>
      </c>
      <c r="V1041" s="24">
        <f t="shared" si="119"/>
        <v>4.2987780853148028E-2</v>
      </c>
      <c r="W1041" s="23">
        <f t="shared" si="120"/>
        <v>3.5136066688559175E-3</v>
      </c>
      <c r="X1041" s="24">
        <v>4.241019726216777E-2</v>
      </c>
      <c r="Y1041" s="24">
        <f t="shared" si="121"/>
        <v>4.2990159887620338E-2</v>
      </c>
      <c r="Z1041" s="23">
        <f t="shared" si="122"/>
        <v>3.5137981642112681E-3</v>
      </c>
      <c r="AA1041" s="36"/>
    </row>
    <row r="1042" spans="15:27" ht="13.9" customHeight="1" x14ac:dyDescent="0.3">
      <c r="O1042" s="12">
        <f t="shared" si="116"/>
        <v>85.75</v>
      </c>
      <c r="P1042" s="13">
        <v>1029</v>
      </c>
      <c r="Q1042" s="22">
        <v>3.560247158674712E-2</v>
      </c>
      <c r="R1042" s="19">
        <f t="shared" si="117"/>
        <v>3.6479198658758261E-2</v>
      </c>
      <c r="S1042" s="22">
        <v>4.1220205209949956E-2</v>
      </c>
      <c r="T1042" s="19">
        <f t="shared" si="118"/>
        <v>4.2994039801397266E-2</v>
      </c>
      <c r="U1042" s="24">
        <v>4.2716361457014962E-2</v>
      </c>
      <c r="V1042" s="24">
        <f t="shared" si="119"/>
        <v>4.2987863805902471E-2</v>
      </c>
      <c r="W1042" s="23">
        <f t="shared" si="120"/>
        <v>3.513613365417223E-3</v>
      </c>
      <c r="X1042" s="24">
        <v>4.2410760723300855E-2</v>
      </c>
      <c r="Y1042" s="24">
        <f t="shared" si="121"/>
        <v>4.2990233547694379E-2</v>
      </c>
      <c r="Z1042" s="23">
        <f t="shared" si="122"/>
        <v>3.5138041147744214E-3</v>
      </c>
      <c r="AA1042" s="36"/>
    </row>
    <row r="1043" spans="15:27" ht="13.9" customHeight="1" x14ac:dyDescent="0.3">
      <c r="O1043" s="12">
        <f t="shared" si="116"/>
        <v>85.833333333333329</v>
      </c>
      <c r="P1043" s="13">
        <v>1030</v>
      </c>
      <c r="Q1043" s="22">
        <v>3.5603322418328309E-2</v>
      </c>
      <c r="R1043" s="19">
        <f t="shared" si="117"/>
        <v>3.6479869697509937E-2</v>
      </c>
      <c r="S1043" s="22">
        <v>4.1221925915588153E-2</v>
      </c>
      <c r="T1043" s="19">
        <f t="shared" si="118"/>
        <v>4.2994093849801018E-2</v>
      </c>
      <c r="U1043" s="24">
        <v>4.2716625017250376E-2</v>
      </c>
      <c r="V1043" s="24">
        <f t="shared" si="119"/>
        <v>4.2987946195202742E-2</v>
      </c>
      <c r="W1043" s="23">
        <f t="shared" si="120"/>
        <v>3.5136200165191145E-3</v>
      </c>
      <c r="X1043" s="24">
        <v>4.2411323162113268E-2</v>
      </c>
      <c r="Y1043" s="24">
        <f t="shared" si="121"/>
        <v>4.2990306656105259E-2</v>
      </c>
      <c r="Z1043" s="23">
        <f t="shared" si="122"/>
        <v>3.5138100207823264E-3</v>
      </c>
      <c r="AA1043" s="36"/>
    </row>
    <row r="1044" spans="15:27" ht="13.9" customHeight="1" x14ac:dyDescent="0.3">
      <c r="O1044" s="12">
        <f t="shared" si="116"/>
        <v>85.916666666666671</v>
      </c>
      <c r="P1044" s="13">
        <v>1031</v>
      </c>
      <c r="Q1044" s="22">
        <v>3.5604172250421229E-2</v>
      </c>
      <c r="R1044" s="19">
        <f t="shared" si="117"/>
        <v>3.6480535159704175E-2</v>
      </c>
      <c r="S1044" s="22">
        <v>4.1223643338460736E-2</v>
      </c>
      <c r="T1044" s="19">
        <f t="shared" si="118"/>
        <v>4.2994147408369487E-2</v>
      </c>
      <c r="U1044" s="24">
        <v>4.271688814617236E-2</v>
      </c>
      <c r="V1044" s="24">
        <f t="shared" si="119"/>
        <v>4.2988028025353175E-2</v>
      </c>
      <c r="W1044" s="23">
        <f t="shared" si="120"/>
        <v>3.5136266224431445E-3</v>
      </c>
      <c r="X1044" s="24">
        <v>4.2411884581044168E-2</v>
      </c>
      <c r="Y1044" s="24">
        <f t="shared" si="121"/>
        <v>4.2990379217599184E-2</v>
      </c>
      <c r="Z1044" s="23">
        <f t="shared" si="122"/>
        <v>3.5138158825580579E-3</v>
      </c>
      <c r="AA1044" s="36"/>
    </row>
    <row r="1045" spans="15:27" ht="13.9" customHeight="1" x14ac:dyDescent="0.3">
      <c r="O1045" s="12">
        <f t="shared" si="116"/>
        <v>86</v>
      </c>
      <c r="P1045" s="13">
        <v>1032</v>
      </c>
      <c r="Q1045" s="22">
        <v>3.5605021080531207E-2</v>
      </c>
      <c r="R1045" s="19">
        <f t="shared" si="117"/>
        <v>3.6481195091188967E-2</v>
      </c>
      <c r="S1045" s="22">
        <v>4.12253574876289E-2</v>
      </c>
      <c r="T1045" s="19">
        <f t="shared" si="118"/>
        <v>4.2994200481076383E-2</v>
      </c>
      <c r="U1045" s="24">
        <v>4.2717150844493013E-2</v>
      </c>
      <c r="V1045" s="24">
        <f t="shared" si="119"/>
        <v>4.298810929978103E-2</v>
      </c>
      <c r="W1045" s="23">
        <f t="shared" si="120"/>
        <v>3.5136331835341483E-3</v>
      </c>
      <c r="X1045" s="24">
        <v>4.2412444982528053E-2</v>
      </c>
      <c r="Y1045" s="24">
        <f t="shared" si="121"/>
        <v>4.2990451235122906E-2</v>
      </c>
      <c r="Z1045" s="23">
        <f t="shared" si="122"/>
        <v>3.5138217004819783E-3</v>
      </c>
      <c r="AA1045" s="36"/>
    </row>
    <row r="1046" spans="15:27" ht="13.9" customHeight="1" x14ac:dyDescent="0.3">
      <c r="O1046" s="12">
        <f t="shared" si="116"/>
        <v>86.083333333333329</v>
      </c>
      <c r="P1046" s="13">
        <v>1033</v>
      </c>
      <c r="Q1046" s="22">
        <v>3.5605868906217975E-2</v>
      </c>
      <c r="R1046" s="19">
        <f t="shared" si="117"/>
        <v>3.6481849538955835E-2</v>
      </c>
      <c r="S1046" s="22">
        <v>4.1227068372122311E-2</v>
      </c>
      <c r="T1046" s="19">
        <f t="shared" si="118"/>
        <v>4.2994253072775601E-2</v>
      </c>
      <c r="U1046" s="24">
        <v>4.2717413112924874E-2</v>
      </c>
      <c r="V1046" s="24">
        <f t="shared" si="119"/>
        <v>4.2988190022533734E-2</v>
      </c>
      <c r="W1046" s="23">
        <f t="shared" si="120"/>
        <v>3.5136397000674613E-3</v>
      </c>
      <c r="X1046" s="24">
        <v>4.2413004368992535E-2</v>
      </c>
      <c r="Y1046" s="24">
        <f t="shared" si="121"/>
        <v>4.2990522714290602E-2</v>
      </c>
      <c r="Z1046" s="23">
        <f t="shared" si="122"/>
        <v>3.5138274747905651E-3</v>
      </c>
      <c r="AA1046" s="36"/>
    </row>
    <row r="1047" spans="15:27" ht="13.9" customHeight="1" x14ac:dyDescent="0.3">
      <c r="O1047" s="12">
        <f t="shared" si="116"/>
        <v>86.166666666666671</v>
      </c>
      <c r="P1047" s="13">
        <v>1034</v>
      </c>
      <c r="Q1047" s="22">
        <v>3.5606715725095883E-2</v>
      </c>
      <c r="R1047" s="19">
        <f t="shared" si="117"/>
        <v>3.6482498547315778E-2</v>
      </c>
      <c r="S1047" s="22">
        <v>4.1228776000940659E-2</v>
      </c>
      <c r="T1047" s="19">
        <f t="shared" si="118"/>
        <v>4.2994305187117776E-2</v>
      </c>
      <c r="U1047" s="24">
        <v>4.2717674952181595E-2</v>
      </c>
      <c r="V1047" s="24">
        <f t="shared" si="119"/>
        <v>4.2988270196908651E-2</v>
      </c>
      <c r="W1047" s="23">
        <f t="shared" si="120"/>
        <v>3.5136461723672685E-3</v>
      </c>
      <c r="X1047" s="24">
        <v>4.2413562742861455E-2</v>
      </c>
      <c r="Y1047" s="24">
        <f t="shared" si="121"/>
        <v>4.299059365799196E-2</v>
      </c>
      <c r="Z1047" s="23">
        <f t="shared" si="122"/>
        <v>3.5138332059336808E-3</v>
      </c>
      <c r="AA1047" s="36"/>
    </row>
    <row r="1048" spans="15:27" ht="13.9" customHeight="1" x14ac:dyDescent="0.3">
      <c r="O1048" s="12">
        <f t="shared" si="116"/>
        <v>86.25</v>
      </c>
      <c r="P1048" s="13">
        <v>1035</v>
      </c>
      <c r="Q1048" s="22">
        <v>3.5607561534831245E-2</v>
      </c>
      <c r="R1048" s="19">
        <f t="shared" si="117"/>
        <v>3.6483142162106352E-2</v>
      </c>
      <c r="S1048" s="22">
        <v>4.1230480383052548E-2</v>
      </c>
      <c r="T1048" s="19">
        <f t="shared" si="118"/>
        <v>4.2994356829138214E-2</v>
      </c>
      <c r="U1048" s="24">
        <v>4.2717936362977493E-2</v>
      </c>
      <c r="V1048" s="24">
        <f t="shared" si="119"/>
        <v>4.2988349827296712E-2</v>
      </c>
      <c r="W1048" s="23">
        <f t="shared" si="120"/>
        <v>3.5136526006980251E-3</v>
      </c>
      <c r="X1048" s="24">
        <v>4.2414120106551989E-2</v>
      </c>
      <c r="Y1048" s="24">
        <f t="shared" si="121"/>
        <v>4.2990664070693851E-2</v>
      </c>
      <c r="Z1048" s="23">
        <f t="shared" si="122"/>
        <v>3.5138388941431398E-3</v>
      </c>
      <c r="AA1048" s="36"/>
    </row>
    <row r="1049" spans="15:27" ht="13.9" customHeight="1" x14ac:dyDescent="0.3">
      <c r="O1049" s="12">
        <f t="shared" si="116"/>
        <v>86.333333333333329</v>
      </c>
      <c r="P1049" s="13">
        <v>1036</v>
      </c>
      <c r="Q1049" s="22">
        <v>3.5608406333143883E-2</v>
      </c>
      <c r="R1049" s="19">
        <f t="shared" si="117"/>
        <v>3.6483780428318013E-2</v>
      </c>
      <c r="S1049" s="22">
        <v>4.1232181527396605E-2</v>
      </c>
      <c r="T1049" s="19">
        <f t="shared" si="118"/>
        <v>4.2994408002658968E-2</v>
      </c>
      <c r="U1049" s="24">
        <v>4.2718197346027997E-2</v>
      </c>
      <c r="V1049" s="24">
        <f t="shared" si="119"/>
        <v>4.2988428916716392E-2</v>
      </c>
      <c r="W1049" s="23">
        <f t="shared" si="120"/>
        <v>3.5136589854116718E-3</v>
      </c>
      <c r="X1049" s="24">
        <v>4.2414676462476431E-2</v>
      </c>
      <c r="Y1049" s="24">
        <f t="shared" si="121"/>
        <v>4.2990733956166816E-2</v>
      </c>
      <c r="Z1049" s="23">
        <f t="shared" si="122"/>
        <v>3.5138445397771001E-3</v>
      </c>
      <c r="AA1049" s="36"/>
    </row>
    <row r="1050" spans="15:27" ht="13.9" customHeight="1" x14ac:dyDescent="0.3">
      <c r="O1050" s="12">
        <f t="shared" si="116"/>
        <v>86.416666666666671</v>
      </c>
      <c r="P1050" s="13">
        <v>1037</v>
      </c>
      <c r="Q1050" s="22">
        <v>3.5609250117805358E-2</v>
      </c>
      <c r="R1050" s="19">
        <f t="shared" si="117"/>
        <v>3.6484413390464043E-2</v>
      </c>
      <c r="S1050" s="22">
        <v>4.1233879442880816E-2</v>
      </c>
      <c r="T1050" s="19">
        <f t="shared" si="118"/>
        <v>4.2994458712248385E-2</v>
      </c>
      <c r="U1050" s="24">
        <v>4.2718457902048979E-2</v>
      </c>
      <c r="V1050" s="24">
        <f t="shared" si="119"/>
        <v>4.2988507469462034E-2</v>
      </c>
      <c r="W1050" s="23">
        <f t="shared" si="120"/>
        <v>3.5136653267504592E-3</v>
      </c>
      <c r="X1050" s="24">
        <v>4.2415231813041299E-2</v>
      </c>
      <c r="Y1050" s="24">
        <f t="shared" si="121"/>
        <v>4.2990803318106341E-2</v>
      </c>
      <c r="Z1050" s="23">
        <f t="shared" si="122"/>
        <v>3.5138501431382085E-3</v>
      </c>
      <c r="AA1050" s="36"/>
    </row>
    <row r="1051" spans="15:27" ht="13.9" customHeight="1" x14ac:dyDescent="0.3">
      <c r="O1051" s="12">
        <f t="shared" si="116"/>
        <v>86.5</v>
      </c>
      <c r="P1051" s="13">
        <v>1038</v>
      </c>
      <c r="Q1051" s="22">
        <v>3.5610092886638967E-2</v>
      </c>
      <c r="R1051" s="19">
        <f t="shared" si="117"/>
        <v>3.6485041092590098E-2</v>
      </c>
      <c r="S1051" s="22">
        <v>4.1235574138382969E-2</v>
      </c>
      <c r="T1051" s="19">
        <f t="shared" si="118"/>
        <v>4.2994508961810007E-2</v>
      </c>
      <c r="U1051" s="24">
        <v>4.2718718031757641E-2</v>
      </c>
      <c r="V1051" s="24">
        <f t="shared" si="119"/>
        <v>4.2988585488240361E-2</v>
      </c>
      <c r="W1051" s="23">
        <f t="shared" si="120"/>
        <v>3.5136716250587785E-3</v>
      </c>
      <c r="X1051" s="24">
        <v>4.241578616064734E-2</v>
      </c>
      <c r="Y1051" s="24">
        <f t="shared" si="121"/>
        <v>4.299087216135633E-2</v>
      </c>
      <c r="Z1051" s="23">
        <f t="shared" si="122"/>
        <v>3.5138557045222285E-3</v>
      </c>
      <c r="AA1051" s="36"/>
    </row>
    <row r="1052" spans="15:27" ht="13.9" customHeight="1" x14ac:dyDescent="0.3">
      <c r="O1052" s="12">
        <f t="shared" si="116"/>
        <v>86.583333333333329</v>
      </c>
      <c r="P1052" s="13">
        <v>1039</v>
      </c>
      <c r="Q1052" s="22">
        <v>3.5610934637518632E-2</v>
      </c>
      <c r="R1052" s="19">
        <f t="shared" si="117"/>
        <v>3.6485663578537553E-2</v>
      </c>
      <c r="S1052" s="22">
        <v>4.1237265622750874E-2</v>
      </c>
      <c r="T1052" s="19">
        <f t="shared" si="118"/>
        <v>4.2994558755727663E-2</v>
      </c>
      <c r="U1052" s="24">
        <v>4.2718977735870967E-2</v>
      </c>
      <c r="V1052" s="24">
        <f t="shared" si="119"/>
        <v>4.2988662978309389E-2</v>
      </c>
      <c r="W1052" s="23">
        <f t="shared" si="120"/>
        <v>3.5136778805533453E-3</v>
      </c>
      <c r="X1052" s="24">
        <v>4.2416339507690859E-2</v>
      </c>
      <c r="Y1052" s="24">
        <f t="shared" si="121"/>
        <v>4.2990940489116447E-2</v>
      </c>
      <c r="Z1052" s="23">
        <f t="shared" si="122"/>
        <v>3.5138612243179601E-3</v>
      </c>
      <c r="AA1052" s="36"/>
    </row>
    <row r="1053" spans="15:27" ht="13.9" customHeight="1" x14ac:dyDescent="0.3">
      <c r="O1053" s="12">
        <f t="shared" si="116"/>
        <v>86.666666666666671</v>
      </c>
      <c r="P1053" s="13">
        <v>1040</v>
      </c>
      <c r="Q1053" s="22">
        <v>3.5611775368368459E-2</v>
      </c>
      <c r="R1053" s="19">
        <f t="shared" si="117"/>
        <v>3.6486280891647294E-2</v>
      </c>
      <c r="S1053" s="22">
        <v>4.1238953904802367E-2</v>
      </c>
      <c r="T1053" s="19">
        <f t="shared" si="118"/>
        <v>4.2994608098238407E-2</v>
      </c>
      <c r="U1053" s="24">
        <v>4.2719237015108158E-2</v>
      </c>
      <c r="V1053" s="24">
        <f t="shared" si="119"/>
        <v>4.2988739941555609E-2</v>
      </c>
      <c r="W1053" s="23">
        <f t="shared" si="120"/>
        <v>3.5136840936560443E-3</v>
      </c>
      <c r="X1053" s="24">
        <v>4.2416891856561945E-2</v>
      </c>
      <c r="Y1053" s="24">
        <f t="shared" si="121"/>
        <v>4.2991008305083733E-2</v>
      </c>
      <c r="Z1053" s="23">
        <f t="shared" si="122"/>
        <v>3.5138667027816428E-3</v>
      </c>
      <c r="AA1053" s="36"/>
    </row>
    <row r="1054" spans="15:27" ht="13.9" customHeight="1" x14ac:dyDescent="0.3">
      <c r="O1054" s="12">
        <f t="shared" si="116"/>
        <v>86.75</v>
      </c>
      <c r="P1054" s="13">
        <v>1041</v>
      </c>
      <c r="Q1054" s="22">
        <v>3.5612615077162291E-2</v>
      </c>
      <c r="R1054" s="19">
        <f t="shared" si="117"/>
        <v>3.6486893074513249E-2</v>
      </c>
      <c r="S1054" s="22">
        <v>4.1240638993325307E-2</v>
      </c>
      <c r="T1054" s="19">
        <f t="shared" si="118"/>
        <v>4.2994656993128988E-2</v>
      </c>
      <c r="U1054" s="24">
        <v>4.2719495870187751E-2</v>
      </c>
      <c r="V1054" s="24">
        <f t="shared" si="119"/>
        <v>4.2988816381927641E-2</v>
      </c>
      <c r="W1054" s="23">
        <f t="shared" si="120"/>
        <v>3.5136902645178658E-3</v>
      </c>
      <c r="X1054" s="24">
        <v>4.2417443209645134E-2</v>
      </c>
      <c r="Y1054" s="24">
        <f t="shared" si="121"/>
        <v>4.299107561345239E-2</v>
      </c>
      <c r="Z1054" s="23">
        <f t="shared" si="122"/>
        <v>3.5138721402099282E-3</v>
      </c>
      <c r="AA1054" s="36"/>
    </row>
    <row r="1055" spans="15:27" ht="13.9" customHeight="1" x14ac:dyDescent="0.3">
      <c r="O1055" s="12">
        <f t="shared" si="116"/>
        <v>86.833333333333329</v>
      </c>
      <c r="P1055" s="13">
        <v>1042</v>
      </c>
      <c r="Q1055" s="22">
        <v>3.5613453761922598E-2</v>
      </c>
      <c r="R1055" s="19">
        <f t="shared" si="117"/>
        <v>3.648750017111424E-2</v>
      </c>
      <c r="S1055" s="22">
        <v>4.12423208970778E-2</v>
      </c>
      <c r="T1055" s="19">
        <f t="shared" si="118"/>
        <v>4.2994705444449499E-2</v>
      </c>
      <c r="U1055" s="24">
        <v>4.2719754301828949E-2</v>
      </c>
      <c r="V1055" s="24">
        <f t="shared" si="119"/>
        <v>4.2988892303398307E-2</v>
      </c>
      <c r="W1055" s="23">
        <f t="shared" si="120"/>
        <v>3.5136963934556675E-3</v>
      </c>
      <c r="X1055" s="24">
        <v>4.2417993569319634E-2</v>
      </c>
      <c r="Y1055" s="24">
        <f t="shared" si="121"/>
        <v>4.2991142417963202E-2</v>
      </c>
      <c r="Z1055" s="23">
        <f t="shared" si="122"/>
        <v>3.5138775369389919E-3</v>
      </c>
      <c r="AA1055" s="36"/>
    </row>
    <row r="1056" spans="15:27" ht="13.9" customHeight="1" x14ac:dyDescent="0.3">
      <c r="O1056" s="12">
        <f t="shared" si="116"/>
        <v>86.916666666666671</v>
      </c>
      <c r="P1056" s="13">
        <v>1043</v>
      </c>
      <c r="Q1056" s="22">
        <v>3.5614291420721367E-2</v>
      </c>
      <c r="R1056" s="19">
        <f t="shared" si="117"/>
        <v>3.6488102221750474E-2</v>
      </c>
      <c r="S1056" s="22">
        <v>4.1243999624787975E-2</v>
      </c>
      <c r="T1056" s="19">
        <f t="shared" si="118"/>
        <v>4.299475345701298E-2</v>
      </c>
      <c r="U1056" s="24">
        <v>4.2720012310752287E-2</v>
      </c>
      <c r="V1056" s="24">
        <f t="shared" si="119"/>
        <v>4.2988967711163451E-2</v>
      </c>
      <c r="W1056" s="23">
        <f t="shared" si="120"/>
        <v>3.5137024807878614E-3</v>
      </c>
      <c r="X1056" s="24">
        <v>4.2418542937959325E-2</v>
      </c>
      <c r="Y1056" s="24">
        <f t="shared" si="121"/>
        <v>4.2991208722645835E-2</v>
      </c>
      <c r="Z1056" s="23">
        <f t="shared" si="122"/>
        <v>3.513882893269038E-3</v>
      </c>
      <c r="AA1056" s="36"/>
    </row>
    <row r="1057" spans="15:27" ht="13.9" customHeight="1" x14ac:dyDescent="0.3">
      <c r="O1057" s="12">
        <f t="shared" si="116"/>
        <v>87</v>
      </c>
      <c r="P1057" s="13">
        <v>1044</v>
      </c>
      <c r="Q1057" s="22">
        <v>3.561512805167677E-2</v>
      </c>
      <c r="R1057" s="19">
        <f t="shared" si="117"/>
        <v>3.6488699270451175E-2</v>
      </c>
      <c r="S1057" s="22">
        <v>4.1245675185155317E-2</v>
      </c>
      <c r="T1057" s="19">
        <f t="shared" si="118"/>
        <v>4.2994801033520824E-2</v>
      </c>
      <c r="U1057" s="24">
        <v>4.2720269897680296E-2</v>
      </c>
      <c r="V1057" s="24">
        <f t="shared" si="119"/>
        <v>4.298904260471148E-2</v>
      </c>
      <c r="W1057" s="23">
        <f t="shared" si="120"/>
        <v>3.5137085269312252E-3</v>
      </c>
      <c r="X1057" s="24">
        <v>4.2419091317932756E-2</v>
      </c>
      <c r="Y1057" s="24">
        <f t="shared" si="121"/>
        <v>4.299127453067042E-2</v>
      </c>
      <c r="Z1057" s="23">
        <f t="shared" si="122"/>
        <v>3.5138882095226975E-3</v>
      </c>
      <c r="AA1057" s="36"/>
    </row>
    <row r="1058" spans="15:27" ht="13.9" customHeight="1" x14ac:dyDescent="0.3">
      <c r="O1058" s="12">
        <f t="shared" si="116"/>
        <v>87.083333333333329</v>
      </c>
      <c r="P1058" s="13">
        <v>1045</v>
      </c>
      <c r="Q1058" s="22">
        <v>3.5615963652956051E-2</v>
      </c>
      <c r="R1058" s="19">
        <f t="shared" si="117"/>
        <v>3.6489291357995723E-2</v>
      </c>
      <c r="S1058" s="22">
        <v>4.1247347586848671E-2</v>
      </c>
      <c r="T1058" s="19">
        <f t="shared" si="118"/>
        <v>4.2994848178622869E-2</v>
      </c>
      <c r="U1058" s="24">
        <v>4.2720527063332625E-2</v>
      </c>
      <c r="V1058" s="24">
        <f t="shared" si="119"/>
        <v>4.2989116990526099E-2</v>
      </c>
      <c r="W1058" s="23">
        <f t="shared" si="120"/>
        <v>3.5137145318444585E-3</v>
      </c>
      <c r="X1058" s="24">
        <v>4.2419638711602481E-2</v>
      </c>
      <c r="Y1058" s="24">
        <f t="shared" si="121"/>
        <v>4.2991339846192744E-2</v>
      </c>
      <c r="Z1058" s="23">
        <f t="shared" si="122"/>
        <v>3.5138934859546556E-3</v>
      </c>
      <c r="AA1058" s="36"/>
    </row>
    <row r="1059" spans="15:27" ht="13.9" customHeight="1" x14ac:dyDescent="0.3">
      <c r="O1059" s="12">
        <f t="shared" si="116"/>
        <v>87.166666666666671</v>
      </c>
      <c r="P1059" s="13">
        <v>1046</v>
      </c>
      <c r="Q1059" s="22">
        <v>3.5616798222772639E-2</v>
      </c>
      <c r="R1059" s="19">
        <f t="shared" si="117"/>
        <v>3.6489878525366226E-2</v>
      </c>
      <c r="S1059" s="22">
        <v>4.1249016838508012E-2</v>
      </c>
      <c r="T1059" s="19">
        <f t="shared" si="118"/>
        <v>4.2994894896741798E-2</v>
      </c>
      <c r="U1059" s="24">
        <v>4.2720783808431806E-2</v>
      </c>
      <c r="V1059" s="24">
        <f t="shared" si="119"/>
        <v>4.2989190871891125E-2</v>
      </c>
      <c r="W1059" s="23">
        <f t="shared" si="120"/>
        <v>3.5137204960475898E-3</v>
      </c>
      <c r="X1059" s="24">
        <v>4.2420185121325948E-2</v>
      </c>
      <c r="Y1059" s="24">
        <f t="shared" si="121"/>
        <v>4.2991404672336753E-2</v>
      </c>
      <c r="Z1059" s="23">
        <f t="shared" si="122"/>
        <v>3.513898722897757E-3</v>
      </c>
      <c r="AA1059" s="36"/>
    </row>
    <row r="1060" spans="15:27" ht="13.9" customHeight="1" x14ac:dyDescent="0.3">
      <c r="O1060" s="12">
        <f t="shared" si="116"/>
        <v>87.25</v>
      </c>
      <c r="P1060" s="13">
        <v>1047</v>
      </c>
      <c r="Q1060" s="22">
        <v>3.5617631759385704E-2</v>
      </c>
      <c r="R1060" s="19">
        <f t="shared" si="117"/>
        <v>3.6490460814068815E-2</v>
      </c>
      <c r="S1060" s="22">
        <v>4.1250682948744677E-2</v>
      </c>
      <c r="T1060" s="19">
        <f t="shared" si="118"/>
        <v>4.2994941190544145E-2</v>
      </c>
      <c r="U1060" s="24">
        <v>4.2721040133701038E-2</v>
      </c>
      <c r="V1060" s="24">
        <f t="shared" si="119"/>
        <v>4.2989264250958614E-2</v>
      </c>
      <c r="W1060" s="23">
        <f t="shared" si="120"/>
        <v>3.5137264198039642E-3</v>
      </c>
      <c r="X1060" s="24">
        <v>4.2420730549454611E-2</v>
      </c>
      <c r="Y1060" s="24">
        <f t="shared" si="121"/>
        <v>4.2991469013612615E-2</v>
      </c>
      <c r="Z1060" s="23">
        <f t="shared" si="122"/>
        <v>3.5139039206026901E-3</v>
      </c>
      <c r="AA1060" s="36"/>
    </row>
    <row r="1061" spans="15:27" ht="13.9" customHeight="1" x14ac:dyDescent="0.3">
      <c r="O1061" s="12">
        <f t="shared" si="116"/>
        <v>87.333333333333329</v>
      </c>
      <c r="P1061" s="13">
        <v>1048</v>
      </c>
      <c r="Q1061" s="22">
        <v>3.5618464261100602E-2</v>
      </c>
      <c r="R1061" s="19">
        <f t="shared" si="117"/>
        <v>3.6491038263887887E-2</v>
      </c>
      <c r="S1061" s="22">
        <v>4.1252345926139578E-2</v>
      </c>
      <c r="T1061" s="19">
        <f t="shared" si="118"/>
        <v>4.2994987064984835E-2</v>
      </c>
      <c r="U1061" s="24">
        <v>4.2721296039863077E-2</v>
      </c>
      <c r="V1061" s="24">
        <f t="shared" si="119"/>
        <v>4.2989337131676741E-2</v>
      </c>
      <c r="W1061" s="23">
        <f t="shared" si="120"/>
        <v>3.5137323032861101E-3</v>
      </c>
      <c r="X1061" s="24">
        <v>4.2421274998335257E-2</v>
      </c>
      <c r="Y1061" s="24">
        <f t="shared" si="121"/>
        <v>4.2991532872818761E-2</v>
      </c>
      <c r="Z1061" s="23">
        <f t="shared" si="122"/>
        <v>3.5139090794311656E-3</v>
      </c>
      <c r="AA1061" s="36"/>
    </row>
    <row r="1062" spans="15:27" ht="13.9" customHeight="1" x14ac:dyDescent="0.3">
      <c r="O1062" s="12">
        <f t="shared" si="116"/>
        <v>87.416666666666671</v>
      </c>
      <c r="P1062" s="13">
        <v>1049</v>
      </c>
      <c r="Q1062" s="22">
        <v>3.5619295726267319E-2</v>
      </c>
      <c r="R1062" s="19">
        <f t="shared" si="117"/>
        <v>3.6491610915526218E-2</v>
      </c>
      <c r="S1062" s="22">
        <v>4.1254005779245873E-2</v>
      </c>
      <c r="T1062" s="19">
        <f t="shared" si="118"/>
        <v>4.2995032522993748E-2</v>
      </c>
      <c r="U1062" s="24">
        <v>4.2721551527641344E-2</v>
      </c>
      <c r="V1062" s="24">
        <f t="shared" si="119"/>
        <v>4.2989409517880217E-2</v>
      </c>
      <c r="W1062" s="23">
        <f t="shared" si="120"/>
        <v>3.5137381468106632E-3</v>
      </c>
      <c r="X1062" s="24">
        <v>4.2421818470308459E-2</v>
      </c>
      <c r="Y1062" s="24">
        <f t="shared" si="121"/>
        <v>4.299159625426352E-2</v>
      </c>
      <c r="Z1062" s="23">
        <f t="shared" si="122"/>
        <v>3.5139141996072265E-3</v>
      </c>
      <c r="AA1062" s="36"/>
    </row>
    <row r="1063" spans="15:27" ht="13.9" customHeight="1" x14ac:dyDescent="0.3">
      <c r="O1063" s="12">
        <f t="shared" si="116"/>
        <v>87.5</v>
      </c>
      <c r="P1063" s="13">
        <v>1050</v>
      </c>
      <c r="Q1063" s="22">
        <v>3.5620126153280696E-2</v>
      </c>
      <c r="R1063" s="19">
        <f t="shared" si="117"/>
        <v>3.6492178809731435E-2</v>
      </c>
      <c r="S1063" s="22">
        <v>4.1255662516586744E-2</v>
      </c>
      <c r="T1063" s="19">
        <f t="shared" si="118"/>
        <v>4.2995077568864559E-2</v>
      </c>
      <c r="U1063" s="24">
        <v>4.2721806597760148E-2</v>
      </c>
      <c r="V1063" s="24">
        <f t="shared" si="119"/>
        <v>4.2989481412868624E-2</v>
      </c>
      <c r="W1063" s="23">
        <f t="shared" si="120"/>
        <v>3.5137439506847112E-3</v>
      </c>
      <c r="X1063" s="24">
        <v>4.2422360967709682E-2</v>
      </c>
      <c r="Y1063" s="24">
        <f t="shared" si="121"/>
        <v>4.2991659161296214E-2</v>
      </c>
      <c r="Z1063" s="23">
        <f t="shared" si="122"/>
        <v>3.5139192814763742E-3</v>
      </c>
      <c r="AA1063" s="36"/>
    </row>
    <row r="1064" spans="15:27" ht="13.9" customHeight="1" x14ac:dyDescent="0.3">
      <c r="O1064" s="12">
        <f t="shared" si="116"/>
        <v>87.583333333333329</v>
      </c>
      <c r="P1064" s="13">
        <v>1051</v>
      </c>
      <c r="Q1064" s="22">
        <v>3.5620955540580201E-2</v>
      </c>
      <c r="R1064" s="19">
        <f t="shared" si="117"/>
        <v>3.6492741984978538E-2</v>
      </c>
      <c r="S1064" s="22">
        <v>4.1257316146657175E-2</v>
      </c>
      <c r="T1064" s="19">
        <f t="shared" si="118"/>
        <v>4.2995122207119651E-2</v>
      </c>
      <c r="U1064" s="24">
        <v>4.2722061250944243E-2</v>
      </c>
      <c r="V1064" s="24">
        <f t="shared" si="119"/>
        <v>4.2989552820211552E-2</v>
      </c>
      <c r="W1064" s="23">
        <f t="shared" si="120"/>
        <v>3.5137497151733754E-3</v>
      </c>
      <c r="X1064" s="24">
        <v>4.2422902492869063E-2</v>
      </c>
      <c r="Y1064" s="24">
        <f t="shared" si="121"/>
        <v>4.2991721597405386E-2</v>
      </c>
      <c r="Z1064" s="23">
        <f t="shared" si="122"/>
        <v>3.5139243253075048E-3</v>
      </c>
      <c r="AA1064" s="36"/>
    </row>
    <row r="1065" spans="15:27" ht="13.9" customHeight="1" x14ac:dyDescent="0.3">
      <c r="O1065" s="12">
        <f t="shared" si="116"/>
        <v>87.666666666666671</v>
      </c>
      <c r="P1065" s="13">
        <v>1052</v>
      </c>
      <c r="Q1065" s="22">
        <v>3.5621783886648162E-2</v>
      </c>
      <c r="R1065" s="19">
        <f t="shared" si="117"/>
        <v>3.6493300480932245E-2</v>
      </c>
      <c r="S1065" s="22">
        <v>4.1258966677923947E-2</v>
      </c>
      <c r="T1065" s="19">
        <f t="shared" si="118"/>
        <v>4.2995166439003807E-2</v>
      </c>
      <c r="U1065" s="24">
        <v>4.2722315487919271E-2</v>
      </c>
      <c r="V1065" s="24">
        <f t="shared" si="119"/>
        <v>4.2989623740960159E-2</v>
      </c>
      <c r="W1065" s="23">
        <f t="shared" si="120"/>
        <v>3.5137554405626492E-3</v>
      </c>
      <c r="X1065" s="24">
        <v>4.2423443048111187E-2</v>
      </c>
      <c r="Y1065" s="24">
        <f t="shared" si="121"/>
        <v>4.2991783565886177E-2</v>
      </c>
      <c r="Z1065" s="23">
        <f t="shared" si="122"/>
        <v>3.5139293313801723E-3</v>
      </c>
      <c r="AA1065" s="36"/>
    </row>
    <row r="1066" spans="15:27" ht="13.9" customHeight="1" x14ac:dyDescent="0.3">
      <c r="O1066" s="12">
        <f t="shared" si="116"/>
        <v>87.75</v>
      </c>
      <c r="P1066" s="13">
        <v>1053</v>
      </c>
      <c r="Q1066" s="22">
        <v>3.5622611190009978E-2</v>
      </c>
      <c r="R1066" s="19">
        <f t="shared" si="117"/>
        <v>3.6493854335633902E-2</v>
      </c>
      <c r="S1066" s="22">
        <v>4.1260614118823202E-2</v>
      </c>
      <c r="T1066" s="19">
        <f t="shared" si="118"/>
        <v>4.2995210270947659E-2</v>
      </c>
      <c r="U1066" s="24">
        <v>4.2722569309408653E-2</v>
      </c>
      <c r="V1066" s="24">
        <f t="shared" si="119"/>
        <v>4.2989694181790217E-2</v>
      </c>
      <c r="W1066" s="23">
        <f t="shared" si="120"/>
        <v>3.5137611269366875E-3</v>
      </c>
      <c r="X1066" s="24">
        <v>4.242398263575442E-2</v>
      </c>
      <c r="Y1066" s="24">
        <f t="shared" si="121"/>
        <v>4.2991845070303292E-2</v>
      </c>
      <c r="Z1066" s="23">
        <f t="shared" si="122"/>
        <v>3.5139342999583878E-3</v>
      </c>
      <c r="AA1066" s="36"/>
    </row>
    <row r="1067" spans="15:27" ht="13.9" customHeight="1" x14ac:dyDescent="0.3">
      <c r="O1067" s="12">
        <f t="shared" si="116"/>
        <v>87.833333333333329</v>
      </c>
      <c r="P1067" s="13">
        <v>1054</v>
      </c>
      <c r="Q1067" s="22">
        <v>3.562343744923302E-2</v>
      </c>
      <c r="R1067" s="19">
        <f t="shared" si="117"/>
        <v>3.6494403589447888E-2</v>
      </c>
      <c r="S1067" s="22">
        <v>4.1262258477764879E-2</v>
      </c>
      <c r="T1067" s="19">
        <f t="shared" si="118"/>
        <v>4.2995253704900316E-2</v>
      </c>
      <c r="U1067" s="24">
        <v>4.2722822716139808E-2</v>
      </c>
      <c r="V1067" s="24">
        <f t="shared" si="119"/>
        <v>4.2989764143541498E-2</v>
      </c>
      <c r="W1067" s="23">
        <f t="shared" si="120"/>
        <v>3.5137667748308399E-3</v>
      </c>
      <c r="X1067" s="24">
        <v>4.2424521258112469E-2</v>
      </c>
      <c r="Y1067" s="24">
        <f t="shared" si="121"/>
        <v>4.2991906114507428E-2</v>
      </c>
      <c r="Z1067" s="23">
        <f t="shared" si="122"/>
        <v>3.5139392313281448E-3</v>
      </c>
      <c r="AA1067" s="36"/>
    </row>
    <row r="1068" spans="15:27" ht="13.9" customHeight="1" x14ac:dyDescent="0.3">
      <c r="O1068" s="12">
        <f t="shared" si="116"/>
        <v>87.916666666666671</v>
      </c>
      <c r="P1068" s="13">
        <v>1055</v>
      </c>
      <c r="Q1068" s="22">
        <v>3.5624262662927952E-2</v>
      </c>
      <c r="R1068" s="19">
        <f t="shared" si="117"/>
        <v>3.649494827958466E-2</v>
      </c>
      <c r="S1068" s="22">
        <v>4.1263899763129164E-2</v>
      </c>
      <c r="T1068" s="19">
        <f t="shared" si="118"/>
        <v>4.2995296745162115E-2</v>
      </c>
      <c r="U1068" s="24">
        <v>4.2723075708837932E-2</v>
      </c>
      <c r="V1068" s="24">
        <f t="shared" si="119"/>
        <v>4.2989833631219998E-2</v>
      </c>
      <c r="W1068" s="23">
        <f t="shared" si="120"/>
        <v>3.5137723843123858E-3</v>
      </c>
      <c r="X1068" s="24">
        <v>4.2425058917493264E-2</v>
      </c>
      <c r="Y1068" s="24">
        <f t="shared" si="121"/>
        <v>4.2991966702012441E-2</v>
      </c>
      <c r="Z1068" s="23">
        <f t="shared" si="122"/>
        <v>3.5139441257983073E-3</v>
      </c>
      <c r="AA1068" s="36"/>
    </row>
    <row r="1069" spans="15:27" ht="13.9" customHeight="1" x14ac:dyDescent="0.3">
      <c r="O1069" s="12">
        <f t="shared" si="116"/>
        <v>88</v>
      </c>
      <c r="P1069" s="13">
        <v>1056</v>
      </c>
      <c r="Q1069" s="22">
        <v>3.5625086829746078E-2</v>
      </c>
      <c r="R1069" s="19">
        <f t="shared" si="117"/>
        <v>3.6495488443693658E-2</v>
      </c>
      <c r="S1069" s="22">
        <v>4.1265537983268263E-2</v>
      </c>
      <c r="T1069" s="19">
        <f t="shared" si="118"/>
        <v>4.2995339395121013E-2</v>
      </c>
      <c r="U1069" s="24">
        <v>4.2723328288230444E-2</v>
      </c>
      <c r="V1069" s="24">
        <f t="shared" si="119"/>
        <v>4.298990264600655E-2</v>
      </c>
      <c r="W1069" s="23">
        <f t="shared" si="120"/>
        <v>3.513777955783004E-3</v>
      </c>
      <c r="X1069" s="24">
        <v>4.2425595616199629E-2</v>
      </c>
      <c r="Y1069" s="24">
        <f t="shared" si="121"/>
        <v>4.2992026835617869E-2</v>
      </c>
      <c r="Z1069" s="23">
        <f t="shared" si="122"/>
        <v>3.5139489836502058E-3</v>
      </c>
      <c r="AA1069" s="36"/>
    </row>
    <row r="1070" spans="15:27" ht="13.9" customHeight="1" x14ac:dyDescent="0.3">
      <c r="O1070" s="12">
        <f t="shared" si="116"/>
        <v>88.083333333333329</v>
      </c>
      <c r="P1070" s="13">
        <v>1057</v>
      </c>
      <c r="Q1070" s="22">
        <v>3.5625909948379553E-2</v>
      </c>
      <c r="R1070" s="19">
        <f t="shared" si="117"/>
        <v>3.6496024120440174E-2</v>
      </c>
      <c r="S1070" s="22">
        <v>4.1267173146506408E-2</v>
      </c>
      <c r="T1070" s="19">
        <f t="shared" si="118"/>
        <v>4.2995381657999543E-2</v>
      </c>
      <c r="U1070" s="24">
        <v>4.2723580455042764E-2</v>
      </c>
      <c r="V1070" s="24">
        <f t="shared" si="119"/>
        <v>4.2989971192733067E-2</v>
      </c>
      <c r="W1070" s="23">
        <f t="shared" si="120"/>
        <v>3.5137834893368414E-3</v>
      </c>
      <c r="X1070" s="24">
        <v>4.2426131356528396E-2</v>
      </c>
      <c r="Y1070" s="24">
        <f t="shared" si="121"/>
        <v>4.2992086518547801E-2</v>
      </c>
      <c r="Z1070" s="23">
        <f t="shared" si="122"/>
        <v>3.5139538051087715E-3</v>
      </c>
      <c r="AA1070" s="36"/>
    </row>
    <row r="1071" spans="15:27" ht="13.9" customHeight="1" x14ac:dyDescent="0.3">
      <c r="O1071" s="12">
        <f t="shared" si="116"/>
        <v>88.166666666666671</v>
      </c>
      <c r="P1071" s="13">
        <v>1058</v>
      </c>
      <c r="Q1071" s="22">
        <v>3.5626732017561835E-2</v>
      </c>
      <c r="R1071" s="19">
        <f t="shared" si="117"/>
        <v>3.6496555345955528E-2</v>
      </c>
      <c r="S1071" s="22">
        <v>4.1268805261139185E-2</v>
      </c>
      <c r="T1071" s="19">
        <f t="shared" si="118"/>
        <v>4.2995423538131572E-2</v>
      </c>
      <c r="U1071" s="24">
        <v>4.2723832210002533E-2</v>
      </c>
      <c r="V1071" s="24">
        <f t="shared" si="119"/>
        <v>4.2990039273828939E-2</v>
      </c>
      <c r="W1071" s="23">
        <f t="shared" si="120"/>
        <v>3.5137889853618098E-3</v>
      </c>
      <c r="X1071" s="24">
        <v>4.2426666140770619E-2</v>
      </c>
      <c r="Y1071" s="24">
        <f t="shared" si="121"/>
        <v>4.2992145755506916E-2</v>
      </c>
      <c r="Z1071" s="23">
        <f t="shared" si="122"/>
        <v>3.5139585904322423E-3</v>
      </c>
      <c r="AA1071" s="36"/>
    </row>
    <row r="1072" spans="15:27" ht="13.9" customHeight="1" x14ac:dyDescent="0.3">
      <c r="O1072" s="12">
        <f t="shared" si="116"/>
        <v>88.25</v>
      </c>
      <c r="P1072" s="13">
        <v>1059</v>
      </c>
      <c r="Q1072" s="22">
        <v>3.5627553036065018E-2</v>
      </c>
      <c r="R1072" s="19">
        <f t="shared" si="117"/>
        <v>3.6497082158394312E-2</v>
      </c>
      <c r="S1072" s="22">
        <v>4.1270434335434869E-2</v>
      </c>
      <c r="T1072" s="19">
        <f t="shared" si="118"/>
        <v>4.2995465038177194E-2</v>
      </c>
      <c r="U1072" s="24">
        <v>4.2724083553836723E-2</v>
      </c>
      <c r="V1072" s="24">
        <f t="shared" si="119"/>
        <v>4.2990106893333824E-2</v>
      </c>
      <c r="W1072" s="23">
        <f t="shared" si="120"/>
        <v>3.5137944440526425E-3</v>
      </c>
      <c r="X1072" s="24">
        <v>4.2427199971213136E-2</v>
      </c>
      <c r="Y1072" s="24">
        <f t="shared" si="121"/>
        <v>4.2992204548908397E-2</v>
      </c>
      <c r="Z1072" s="23">
        <f t="shared" si="122"/>
        <v>3.5139633399980941E-3</v>
      </c>
      <c r="AA1072" s="36"/>
    </row>
    <row r="1073" spans="15:27" ht="13.9" customHeight="1" x14ac:dyDescent="0.3">
      <c r="O1073" s="12">
        <f t="shared" si="116"/>
        <v>88.333333333333329</v>
      </c>
      <c r="P1073" s="13">
        <v>1060</v>
      </c>
      <c r="Q1073" s="22">
        <v>3.5628373002702274E-2</v>
      </c>
      <c r="R1073" s="19">
        <f t="shared" si="117"/>
        <v>3.6497604593469957E-2</v>
      </c>
      <c r="S1073" s="22">
        <v>4.1272060377633313E-2</v>
      </c>
      <c r="T1073" s="19">
        <f t="shared" si="118"/>
        <v>4.2995506161629171E-2</v>
      </c>
      <c r="U1073" s="24">
        <v>4.2724334487273419E-2</v>
      </c>
      <c r="V1073" s="24">
        <f t="shared" si="119"/>
        <v>4.2990174053339159E-2</v>
      </c>
      <c r="W1073" s="23">
        <f t="shared" si="120"/>
        <v>3.5137998657330805E-3</v>
      </c>
      <c r="X1073" s="24">
        <v>4.2427732850136346E-2</v>
      </c>
      <c r="Y1073" s="24">
        <f t="shared" si="121"/>
        <v>4.299226290231184E-2</v>
      </c>
      <c r="Z1073" s="23">
        <f t="shared" si="122"/>
        <v>3.5139680539995055E-3</v>
      </c>
      <c r="AA1073" s="36"/>
    </row>
    <row r="1074" spans="15:27" ht="13.9" customHeight="1" x14ac:dyDescent="0.3">
      <c r="O1074" s="12">
        <f t="shared" si="116"/>
        <v>88.416666666666671</v>
      </c>
      <c r="P1074" s="13">
        <v>1061</v>
      </c>
      <c r="Q1074" s="22">
        <v>3.5629191916324521E-2</v>
      </c>
      <c r="R1074" s="19">
        <f t="shared" si="117"/>
        <v>3.6498122688439327E-2</v>
      </c>
      <c r="S1074" s="22">
        <v>4.1273683395946392E-2</v>
      </c>
      <c r="T1074" s="19">
        <f t="shared" si="118"/>
        <v>4.2995546912657279E-2</v>
      </c>
      <c r="U1074" s="24">
        <v>4.2724585011039817E-2</v>
      </c>
      <c r="V1074" s="24">
        <f t="shared" si="119"/>
        <v>4.2990240757607046E-2</v>
      </c>
      <c r="W1074" s="23">
        <f t="shared" si="120"/>
        <v>3.5138052505707673E-3</v>
      </c>
      <c r="X1074" s="24">
        <v>4.2428264779815761E-2</v>
      </c>
      <c r="Y1074" s="24">
        <f t="shared" si="121"/>
        <v>4.299232081813531E-2</v>
      </c>
      <c r="Z1074" s="23">
        <f t="shared" si="122"/>
        <v>3.513972732722026E-3</v>
      </c>
      <c r="AA1074" s="36"/>
    </row>
    <row r="1075" spans="15:27" ht="13.9" customHeight="1" x14ac:dyDescent="0.3">
      <c r="O1075" s="12">
        <f t="shared" si="116"/>
        <v>88.5</v>
      </c>
      <c r="P1075" s="13">
        <v>1062</v>
      </c>
      <c r="Q1075" s="22">
        <v>3.5630009775822202E-2</v>
      </c>
      <c r="R1075" s="19">
        <f t="shared" si="117"/>
        <v>3.6498636478965452E-2</v>
      </c>
      <c r="S1075" s="22">
        <v>4.1275303398559116E-2</v>
      </c>
      <c r="T1075" s="19">
        <f t="shared" si="118"/>
        <v>4.2995587293940707E-2</v>
      </c>
      <c r="U1075" s="24">
        <v>4.2724835125864224E-2</v>
      </c>
      <c r="V1075" s="24">
        <f t="shared" si="119"/>
        <v>4.2990307008644812E-2</v>
      </c>
      <c r="W1075" s="23">
        <f t="shared" si="120"/>
        <v>3.5138105988676838E-3</v>
      </c>
      <c r="X1075" s="24">
        <v>4.2428795762520233E-2</v>
      </c>
      <c r="Y1075" s="24">
        <f t="shared" si="121"/>
        <v>4.2992378301107692E-2</v>
      </c>
      <c r="Z1075" s="23">
        <f t="shared" si="122"/>
        <v>3.5139773763597226E-3</v>
      </c>
      <c r="AA1075" s="36"/>
    </row>
    <row r="1076" spans="15:27" ht="13.9" customHeight="1" x14ac:dyDescent="0.3">
      <c r="O1076" s="12">
        <f t="shared" si="116"/>
        <v>88.583333333333329</v>
      </c>
      <c r="P1076" s="13">
        <v>1063</v>
      </c>
      <c r="Q1076" s="22">
        <v>3.5630826580123287E-2</v>
      </c>
      <c r="R1076" s="19">
        <f t="shared" si="117"/>
        <v>3.649914600108306E-2</v>
      </c>
      <c r="S1076" s="22">
        <v>4.1276920393628291E-2</v>
      </c>
      <c r="T1076" s="19">
        <f t="shared" si="118"/>
        <v>4.2995627308991979E-2</v>
      </c>
      <c r="U1076" s="24">
        <v>4.272508483247428E-2</v>
      </c>
      <c r="V1076" s="24">
        <f t="shared" si="119"/>
        <v>4.2990372809947441E-2</v>
      </c>
      <c r="W1076" s="23">
        <f t="shared" si="120"/>
        <v>3.5138159108243361E-3</v>
      </c>
      <c r="X1076" s="24">
        <v>4.2429325800514617E-2</v>
      </c>
      <c r="Y1076" s="24">
        <f t="shared" si="121"/>
        <v>4.2992435353281344E-2</v>
      </c>
      <c r="Z1076" s="23">
        <f t="shared" si="122"/>
        <v>3.5139819852914034E-3</v>
      </c>
      <c r="AA1076" s="36"/>
    </row>
    <row r="1077" spans="15:27" ht="13.9" customHeight="1" x14ac:dyDescent="0.3">
      <c r="O1077" s="12">
        <f t="shared" si="116"/>
        <v>88.666666666666671</v>
      </c>
      <c r="P1077" s="13">
        <v>1064</v>
      </c>
      <c r="Q1077" s="22">
        <v>3.5631642328193935E-2</v>
      </c>
      <c r="R1077" s="19">
        <f t="shared" si="117"/>
        <v>3.6499651289789714E-2</v>
      </c>
      <c r="S1077" s="22">
        <v>4.1278534389283195E-2</v>
      </c>
      <c r="T1077" s="19">
        <f t="shared" si="118"/>
        <v>4.2995666961164636E-2</v>
      </c>
      <c r="U1077" s="24">
        <v>4.2725334131598292E-2</v>
      </c>
      <c r="V1077" s="24">
        <f t="shared" si="119"/>
        <v>4.2990438164618672E-2</v>
      </c>
      <c r="W1077" s="23">
        <f t="shared" si="120"/>
        <v>3.5138211867216107E-3</v>
      </c>
      <c r="X1077" s="24">
        <v>4.2429854896057329E-2</v>
      </c>
      <c r="Y1077" s="24">
        <f t="shared" si="121"/>
        <v>4.2992491978724789E-2</v>
      </c>
      <c r="Z1077" s="23">
        <f t="shared" si="122"/>
        <v>3.5139865596818254E-3</v>
      </c>
      <c r="AA1077" s="36"/>
    </row>
    <row r="1078" spans="15:27" ht="13.9" customHeight="1" x14ac:dyDescent="0.3">
      <c r="O1078" s="12">
        <f t="shared" si="116"/>
        <v>88.75</v>
      </c>
      <c r="P1078" s="13">
        <v>1065</v>
      </c>
      <c r="Q1078" s="22">
        <v>3.5632457019036723E-2</v>
      </c>
      <c r="R1078" s="19">
        <f t="shared" si="117"/>
        <v>3.6500152380425366E-2</v>
      </c>
      <c r="S1078" s="22">
        <v>4.1280145393625789E-2</v>
      </c>
      <c r="T1078" s="19">
        <f t="shared" si="118"/>
        <v>4.2995706253562638E-2</v>
      </c>
      <c r="U1078" s="24">
        <v>4.2725583023964564E-2</v>
      </c>
      <c r="V1078" s="24">
        <f t="shared" si="119"/>
        <v>4.2990503075413411E-2</v>
      </c>
      <c r="W1078" s="23">
        <f t="shared" si="120"/>
        <v>3.5138264268077535E-3</v>
      </c>
      <c r="X1078" s="24">
        <v>4.2430383051401899E-2</v>
      </c>
      <c r="Y1078" s="24">
        <f t="shared" si="121"/>
        <v>4.2992548179936918E-2</v>
      </c>
      <c r="Z1078" s="23">
        <f t="shared" si="122"/>
        <v>3.5139910998571722E-3</v>
      </c>
      <c r="AA1078" s="36"/>
    </row>
    <row r="1079" spans="15:27" ht="13.9" customHeight="1" x14ac:dyDescent="0.3">
      <c r="O1079" s="12">
        <f t="shared" si="116"/>
        <v>88.833333333333329</v>
      </c>
      <c r="P1079" s="13">
        <v>1066</v>
      </c>
      <c r="Q1079" s="22">
        <v>3.5633270651691085E-2</v>
      </c>
      <c r="R1079" s="19">
        <f t="shared" si="117"/>
        <v>3.6500649308930377E-2</v>
      </c>
      <c r="S1079" s="22">
        <v>4.1281753414730726E-2</v>
      </c>
      <c r="T1079" s="19">
        <f t="shared" si="118"/>
        <v>4.2995745189886581E-2</v>
      </c>
      <c r="U1079" s="24">
        <v>4.2725831510301626E-2</v>
      </c>
      <c r="V1079" s="24">
        <f t="shared" si="119"/>
        <v>4.2990567545826641E-2</v>
      </c>
      <c r="W1079" s="23">
        <f t="shared" si="120"/>
        <v>3.5138316313039208E-3</v>
      </c>
      <c r="X1079" s="24">
        <v>4.2430910268795863E-2</v>
      </c>
      <c r="Y1079" s="24">
        <f t="shared" si="121"/>
        <v>4.2992603960568809E-2</v>
      </c>
      <c r="Z1079" s="23">
        <f t="shared" si="122"/>
        <v>3.51399560601795E-3</v>
      </c>
      <c r="AA1079" s="36"/>
    </row>
    <row r="1080" spans="15:27" ht="13.9" customHeight="1" x14ac:dyDescent="0.3">
      <c r="O1080" s="12">
        <f t="shared" si="116"/>
        <v>88.916666666666671</v>
      </c>
      <c r="P1080" s="13">
        <v>1067</v>
      </c>
      <c r="Q1080" s="22">
        <v>3.5634083225233981E-2</v>
      </c>
      <c r="R1080" s="19">
        <f t="shared" si="117"/>
        <v>3.6501142108093632E-2</v>
      </c>
      <c r="S1080" s="22">
        <v>4.1283358460645792E-2</v>
      </c>
      <c r="T1080" s="19">
        <f t="shared" si="118"/>
        <v>4.2995783773334351E-2</v>
      </c>
      <c r="U1080" s="24">
        <v>4.2726079591338229E-2</v>
      </c>
      <c r="V1080" s="24">
        <f t="shared" si="119"/>
        <v>4.2990631578340599E-2</v>
      </c>
      <c r="W1080" s="23">
        <f t="shared" si="120"/>
        <v>3.5138368004905551E-3</v>
      </c>
      <c r="X1080" s="24">
        <v>4.2431436550481871E-2</v>
      </c>
      <c r="Y1080" s="24">
        <f t="shared" si="121"/>
        <v>4.2992659323754179E-2</v>
      </c>
      <c r="Z1080" s="23">
        <f t="shared" si="122"/>
        <v>3.5140000784565917E-3</v>
      </c>
      <c r="AA1080" s="36"/>
    </row>
    <row r="1081" spans="15:27" ht="13.9" customHeight="1" x14ac:dyDescent="0.3">
      <c r="O1081" s="12">
        <f t="shared" si="116"/>
        <v>89</v>
      </c>
      <c r="P1081" s="13">
        <v>1068</v>
      </c>
      <c r="Q1081" s="22">
        <v>3.5634894738776346E-2</v>
      </c>
      <c r="R1081" s="19">
        <f t="shared" si="117"/>
        <v>3.6501630814342656E-2</v>
      </c>
      <c r="S1081" s="22">
        <v>4.1284960539391458E-2</v>
      </c>
      <c r="T1081" s="19">
        <f t="shared" si="118"/>
        <v>4.2995822006383966E-2</v>
      </c>
      <c r="U1081" s="24">
        <v>4.2726327267802677E-2</v>
      </c>
      <c r="V1081" s="24">
        <f t="shared" si="119"/>
        <v>4.2990695176188698E-2</v>
      </c>
      <c r="W1081" s="23">
        <f t="shared" si="120"/>
        <v>3.5138419345663863E-3</v>
      </c>
      <c r="X1081" s="24">
        <v>4.2431961898697024E-2</v>
      </c>
      <c r="Y1081" s="24">
        <f t="shared" si="121"/>
        <v>4.2992714272281685E-2</v>
      </c>
      <c r="Z1081" s="23">
        <f t="shared" si="122"/>
        <v>3.5140045174246737E-3</v>
      </c>
      <c r="AA1081" s="36"/>
    </row>
    <row r="1082" spans="15:27" ht="13.9" customHeight="1" x14ac:dyDescent="0.3">
      <c r="O1082" s="12">
        <f t="shared" si="116"/>
        <v>89.083333333333329</v>
      </c>
      <c r="P1082" s="13">
        <v>1069</v>
      </c>
      <c r="Q1082" s="22">
        <v>3.5635705191466194E-2</v>
      </c>
      <c r="R1082" s="19">
        <f t="shared" si="117"/>
        <v>3.6502115460182782E-2</v>
      </c>
      <c r="S1082" s="22">
        <v>4.1286559658960886E-2</v>
      </c>
      <c r="T1082" s="19">
        <f t="shared" si="118"/>
        <v>4.2995859892891231E-2</v>
      </c>
      <c r="U1082" s="24">
        <v>4.2726574540423945E-2</v>
      </c>
      <c r="V1082" s="24">
        <f t="shared" si="119"/>
        <v>4.2990758341743041E-2</v>
      </c>
      <c r="W1082" s="23">
        <f t="shared" si="120"/>
        <v>3.5138470337907624E-3</v>
      </c>
      <c r="X1082" s="24">
        <v>4.2432486315672424E-2</v>
      </c>
      <c r="Y1082" s="24">
        <f t="shared" si="121"/>
        <v>4.299276880936409E-2</v>
      </c>
      <c r="Z1082" s="23">
        <f t="shared" si="122"/>
        <v>3.5140089231457949E-3</v>
      </c>
      <c r="AA1082" s="36"/>
    </row>
    <row r="1083" spans="15:27" ht="13.9" customHeight="1" x14ac:dyDescent="0.3">
      <c r="O1083" s="12">
        <f t="shared" si="116"/>
        <v>89.166666666666671</v>
      </c>
      <c r="P1083" s="13">
        <v>1070</v>
      </c>
      <c r="Q1083" s="22">
        <v>3.5636514582485734E-2</v>
      </c>
      <c r="R1083" s="19">
        <f t="shared" si="117"/>
        <v>3.6502596079520888E-2</v>
      </c>
      <c r="S1083" s="22">
        <v>4.1288155827320594E-2</v>
      </c>
      <c r="T1083" s="19">
        <f t="shared" si="118"/>
        <v>4.2995897436061137E-2</v>
      </c>
      <c r="U1083" s="24">
        <v>4.2726821409930116E-2</v>
      </c>
      <c r="V1083" s="24">
        <f t="shared" si="119"/>
        <v>4.2990821078928709E-2</v>
      </c>
      <c r="W1083" s="23">
        <f t="shared" si="120"/>
        <v>3.5138520983539756E-3</v>
      </c>
      <c r="X1083" s="24">
        <v>4.243300980363407E-2</v>
      </c>
      <c r="Y1083" s="24">
        <f t="shared" si="121"/>
        <v>4.2992822938414443E-2</v>
      </c>
      <c r="Z1083" s="23">
        <f t="shared" si="122"/>
        <v>3.5140132958770831E-3</v>
      </c>
      <c r="AA1083" s="36"/>
    </row>
    <row r="1084" spans="15:27" ht="13.9" customHeight="1" x14ac:dyDescent="0.3">
      <c r="O1084" s="12">
        <f t="shared" si="116"/>
        <v>89.25</v>
      </c>
      <c r="P1084" s="13">
        <v>1071</v>
      </c>
      <c r="Q1084" s="22">
        <v>3.563732291105115E-2</v>
      </c>
      <c r="R1084" s="19">
        <f t="shared" si="117"/>
        <v>3.65030727064386E-2</v>
      </c>
      <c r="S1084" s="22">
        <v>4.1289749052410674E-2</v>
      </c>
      <c r="T1084" s="19">
        <f t="shared" si="118"/>
        <v>4.2995934638431432E-2</v>
      </c>
      <c r="U1084" s="24">
        <v>4.2727067877050384E-2</v>
      </c>
      <c r="V1084" s="24">
        <f t="shared" si="119"/>
        <v>4.2990883390593204E-2</v>
      </c>
      <c r="W1084" s="23">
        <f t="shared" si="120"/>
        <v>3.5138571285704412E-3</v>
      </c>
      <c r="X1084" s="24">
        <v>4.2433532364803073E-2</v>
      </c>
      <c r="Y1084" s="24">
        <f t="shared" si="121"/>
        <v>4.2992876662573565E-2</v>
      </c>
      <c r="Z1084" s="23">
        <f t="shared" si="122"/>
        <v>3.5140176358927633E-3</v>
      </c>
      <c r="AA1084" s="36"/>
    </row>
    <row r="1085" spans="15:27" ht="13.9" customHeight="1" x14ac:dyDescent="0.3">
      <c r="O1085" s="12">
        <f t="shared" si="116"/>
        <v>89.333333333333329</v>
      </c>
      <c r="P1085" s="13">
        <v>1072</v>
      </c>
      <c r="Q1085" s="22">
        <v>3.5638130176413707E-2</v>
      </c>
      <c r="R1085" s="19">
        <f t="shared" si="117"/>
        <v>3.6503545373723467E-2</v>
      </c>
      <c r="S1085" s="22">
        <v>4.1291339342143685E-2</v>
      </c>
      <c r="T1085" s="19">
        <f t="shared" si="118"/>
        <v>4.2995971503932529E-2</v>
      </c>
      <c r="U1085" s="24">
        <v>4.2727313942513945E-2</v>
      </c>
      <c r="V1085" s="24">
        <f t="shared" si="119"/>
        <v>4.299094527890035E-2</v>
      </c>
      <c r="W1085" s="23">
        <f t="shared" si="120"/>
        <v>3.5138621246688651E-3</v>
      </c>
      <c r="X1085" s="24">
        <v>4.243405400139455E-2</v>
      </c>
      <c r="Y1085" s="24">
        <f t="shared" si="121"/>
        <v>4.2992929983839634E-2</v>
      </c>
      <c r="Z1085" s="23">
        <f t="shared" si="122"/>
        <v>3.514021943444412E-3</v>
      </c>
      <c r="AA1085" s="36"/>
    </row>
    <row r="1086" spans="15:27" ht="13.9" customHeight="1" x14ac:dyDescent="0.3">
      <c r="O1086" s="12">
        <f t="shared" si="116"/>
        <v>89.416666666666671</v>
      </c>
      <c r="P1086" s="13">
        <v>1073</v>
      </c>
      <c r="Q1086" s="22">
        <v>3.5638936377858199E-2</v>
      </c>
      <c r="R1086" s="19">
        <f t="shared" si="117"/>
        <v>3.6504014114757677E-2</v>
      </c>
      <c r="S1086" s="22">
        <v>4.1292926704406652E-2</v>
      </c>
      <c r="T1086" s="19">
        <f t="shared" si="118"/>
        <v>4.2996008034418942E-2</v>
      </c>
      <c r="U1086" s="24">
        <v>4.2727559607049104E-2</v>
      </c>
      <c r="V1086" s="24">
        <f t="shared" si="119"/>
        <v>4.2991006746256666E-2</v>
      </c>
      <c r="W1086" s="23">
        <f t="shared" si="120"/>
        <v>3.513867086822442E-3</v>
      </c>
      <c r="X1086" s="24">
        <v>4.2434574715617845E-2</v>
      </c>
      <c r="Y1086" s="24">
        <f t="shared" si="121"/>
        <v>4.2992982906529198E-2</v>
      </c>
      <c r="Z1086" s="23">
        <f t="shared" si="122"/>
        <v>3.5140262186923454E-3</v>
      </c>
      <c r="AA1086" s="36"/>
    </row>
    <row r="1087" spans="15:27" ht="13.9" customHeight="1" x14ac:dyDescent="0.3">
      <c r="O1087" s="12">
        <f t="shared" si="116"/>
        <v>89.5</v>
      </c>
      <c r="P1087" s="13">
        <v>1074</v>
      </c>
      <c r="Q1087" s="22">
        <v>3.5639741514702505E-2</v>
      </c>
      <c r="R1087" s="19">
        <f t="shared" si="117"/>
        <v>3.6504478961380649E-2</v>
      </c>
      <c r="S1087" s="22">
        <v>4.1294511147058843E-2</v>
      </c>
      <c r="T1087" s="19">
        <f t="shared" si="118"/>
        <v>4.2996044234258735E-2</v>
      </c>
      <c r="U1087" s="24">
        <v>4.2727804871383945E-2</v>
      </c>
      <c r="V1087" s="24">
        <f t="shared" si="119"/>
        <v>4.2991067797310656E-2</v>
      </c>
      <c r="W1087" s="23">
        <f t="shared" si="120"/>
        <v>3.5138720152243508E-3</v>
      </c>
      <c r="X1087" s="24">
        <v>4.243509450967764E-2</v>
      </c>
      <c r="Y1087" s="24">
        <f t="shared" si="121"/>
        <v>4.2993035432691729E-2</v>
      </c>
      <c r="Z1087" s="23">
        <f t="shared" si="122"/>
        <v>3.5140304619825091E-3</v>
      </c>
      <c r="AA1087" s="36"/>
    </row>
    <row r="1088" spans="15:27" ht="13.9" customHeight="1" x14ac:dyDescent="0.3">
      <c r="O1088" s="12">
        <f t="shared" si="116"/>
        <v>89.583333333333329</v>
      </c>
      <c r="P1088" s="13">
        <v>1075</v>
      </c>
      <c r="Q1088" s="22">
        <v>3.5640545586297145E-2</v>
      </c>
      <c r="R1088" s="19">
        <f t="shared" si="117"/>
        <v>3.6504939947012094E-2</v>
      </c>
      <c r="S1088" s="22">
        <v>4.1296092677934215E-2</v>
      </c>
      <c r="T1088" s="19">
        <f t="shared" si="118"/>
        <v>4.2996080105301759E-2</v>
      </c>
      <c r="U1088" s="24">
        <v>4.2728049736247886E-2</v>
      </c>
      <c r="V1088" s="24">
        <f t="shared" si="119"/>
        <v>4.2991128433532477E-2</v>
      </c>
      <c r="W1088" s="23">
        <f t="shared" si="120"/>
        <v>3.5138769102474043E-3</v>
      </c>
      <c r="X1088" s="24">
        <v>4.2435613385772619E-2</v>
      </c>
      <c r="Y1088" s="24">
        <f t="shared" si="121"/>
        <v>4.2993087565676991E-2</v>
      </c>
      <c r="Z1088" s="23">
        <f t="shared" si="122"/>
        <v>3.5140346734794381E-3</v>
      </c>
      <c r="AA1088" s="36"/>
    </row>
    <row r="1089" spans="15:27" ht="13.9" customHeight="1" x14ac:dyDescent="0.3">
      <c r="O1089" s="12">
        <f t="shared" si="116"/>
        <v>89.666666666666671</v>
      </c>
      <c r="P1089" s="13">
        <v>1076</v>
      </c>
      <c r="Q1089" s="22">
        <v>3.5641348592025945E-2</v>
      </c>
      <c r="R1089" s="19">
        <f t="shared" si="117"/>
        <v>3.6505397102535087E-2</v>
      </c>
      <c r="S1089" s="22">
        <v>4.1297671304839634E-2</v>
      </c>
      <c r="T1089" s="19">
        <f t="shared" si="118"/>
        <v>4.2996115651636746E-2</v>
      </c>
      <c r="U1089" s="24">
        <v>4.2728294202369232E-2</v>
      </c>
      <c r="V1089" s="24">
        <f t="shared" si="119"/>
        <v>4.2991188658325186E-2</v>
      </c>
      <c r="W1089" s="23">
        <f t="shared" si="120"/>
        <v>3.5138817720090643E-3</v>
      </c>
      <c r="X1089" s="24">
        <v>4.2436131346096362E-2</v>
      </c>
      <c r="Y1089" s="24">
        <f t="shared" si="121"/>
        <v>4.2993139308310502E-2</v>
      </c>
      <c r="Z1089" s="23">
        <f t="shared" si="122"/>
        <v>3.5140388534513622E-3</v>
      </c>
      <c r="AA1089" s="36"/>
    </row>
    <row r="1090" spans="15:27" ht="13.9" customHeight="1" x14ac:dyDescent="0.3">
      <c r="O1090" s="12">
        <f t="shared" si="116"/>
        <v>89.75</v>
      </c>
      <c r="P1090" s="13">
        <v>1077</v>
      </c>
      <c r="Q1090" s="22">
        <v>3.5642150531303596E-2</v>
      </c>
      <c r="R1090" s="19">
        <f t="shared" si="117"/>
        <v>3.6505850461196587E-2</v>
      </c>
      <c r="S1090" s="22">
        <v>4.1299247035556652E-2</v>
      </c>
      <c r="T1090" s="19">
        <f t="shared" si="118"/>
        <v>4.2996150875009409E-2</v>
      </c>
      <c r="U1090" s="24">
        <v>4.2728538270476513E-2</v>
      </c>
      <c r="V1090" s="24">
        <f t="shared" si="119"/>
        <v>4.2991248473815524E-2</v>
      </c>
      <c r="W1090" s="23">
        <f t="shared" si="120"/>
        <v>3.5138866007824454E-3</v>
      </c>
      <c r="X1090" s="24">
        <v>4.2436648392836895E-2</v>
      </c>
      <c r="Y1090" s="24">
        <f t="shared" si="121"/>
        <v>4.2993190664062819E-2</v>
      </c>
      <c r="Z1090" s="23">
        <f t="shared" si="122"/>
        <v>3.5140430021252111E-3</v>
      </c>
      <c r="AA1090" s="36"/>
    </row>
    <row r="1091" spans="15:27" ht="13.9" customHeight="1" x14ac:dyDescent="0.3">
      <c r="O1091" s="12">
        <f t="shared" si="116"/>
        <v>89.833333333333329</v>
      </c>
      <c r="P1091" s="13">
        <v>1078</v>
      </c>
      <c r="Q1091" s="22">
        <v>3.5642951403577872E-2</v>
      </c>
      <c r="R1091" s="19">
        <f t="shared" si="117"/>
        <v>3.6506300053258167E-2</v>
      </c>
      <c r="S1091" s="22">
        <v>4.1300819877839512E-2</v>
      </c>
      <c r="T1091" s="19">
        <f t="shared" si="118"/>
        <v>4.2996185779671681E-2</v>
      </c>
      <c r="U1091" s="24">
        <v>4.2728781941297811E-2</v>
      </c>
      <c r="V1091" s="24">
        <f t="shared" si="119"/>
        <v>4.2991307883454066E-2</v>
      </c>
      <c r="W1091" s="23">
        <f t="shared" si="120"/>
        <v>3.513891396738078E-3</v>
      </c>
      <c r="X1091" s="24">
        <v>4.243716452817714E-2</v>
      </c>
      <c r="Y1091" s="24">
        <f t="shared" si="121"/>
        <v>4.2993241635153501E-2</v>
      </c>
      <c r="Z1091" s="23">
        <f t="shared" si="122"/>
        <v>3.5140471197792067E-3</v>
      </c>
      <c r="AA1091" s="36"/>
    </row>
    <row r="1092" spans="15:27" ht="13.9" customHeight="1" x14ac:dyDescent="0.3">
      <c r="O1092" s="12">
        <f t="shared" si="116"/>
        <v>89.916666666666671</v>
      </c>
      <c r="P1092" s="13">
        <v>1079</v>
      </c>
      <c r="Q1092" s="22">
        <v>3.5643751208326524E-2</v>
      </c>
      <c r="R1092" s="19">
        <f t="shared" si="117"/>
        <v>3.6506745911270011E-2</v>
      </c>
      <c r="S1092" s="22">
        <v>4.1302389839417586E-2</v>
      </c>
      <c r="T1092" s="19">
        <f t="shared" si="118"/>
        <v>4.2996220367000237E-2</v>
      </c>
      <c r="U1092" s="24">
        <v>4.2729025215561434E-2</v>
      </c>
      <c r="V1092" s="24">
        <f t="shared" si="119"/>
        <v>4.2991366889647553E-2</v>
      </c>
      <c r="W1092" s="23">
        <f t="shared" si="120"/>
        <v>3.5138961601526297E-3</v>
      </c>
      <c r="X1092" s="24">
        <v>4.2437679754294244E-2</v>
      </c>
      <c r="Y1092" s="24">
        <f t="shared" si="121"/>
        <v>4.2993292224382751E-2</v>
      </c>
      <c r="Z1092" s="23">
        <f t="shared" si="122"/>
        <v>3.5140512065912066E-3</v>
      </c>
      <c r="AA1092" s="36"/>
    </row>
    <row r="1093" spans="15:27" ht="13.9" customHeight="1" x14ac:dyDescent="0.3">
      <c r="O1093" s="12">
        <f t="shared" si="116"/>
        <v>90</v>
      </c>
      <c r="P1093" s="13">
        <v>1080</v>
      </c>
      <c r="Q1093" s="22">
        <v>3.5644549945059278E-2</v>
      </c>
      <c r="R1093" s="19">
        <f t="shared" si="117"/>
        <v>3.6507188065250107E-2</v>
      </c>
      <c r="S1093" s="22">
        <v>4.1303956927993379E-2</v>
      </c>
      <c r="T1093" s="19">
        <f t="shared" si="118"/>
        <v>4.2996254641309628E-2</v>
      </c>
      <c r="U1093" s="24">
        <v>4.2729268093995465E-2</v>
      </c>
      <c r="V1093" s="24">
        <f t="shared" si="119"/>
        <v>4.2991425495108926E-2</v>
      </c>
      <c r="W1093" s="23">
        <f t="shared" si="120"/>
        <v>3.5139008912190572E-3</v>
      </c>
      <c r="X1093" s="24">
        <v>4.2438194073359803E-2</v>
      </c>
      <c r="Y1093" s="24">
        <f t="shared" si="121"/>
        <v>4.2993342434955339E-2</v>
      </c>
      <c r="Z1093" s="23">
        <f t="shared" si="122"/>
        <v>3.514055262785698E-3</v>
      </c>
      <c r="AA1093" s="36"/>
    </row>
    <row r="1094" spans="15:27" ht="13.9" customHeight="1" x14ac:dyDescent="0.3">
      <c r="O1094" s="12">
        <f t="shared" si="116"/>
        <v>90.083333333333329</v>
      </c>
      <c r="P1094" s="13">
        <v>1081</v>
      </c>
      <c r="Q1094" s="22">
        <v>3.5645347613315836E-2</v>
      </c>
      <c r="R1094" s="19">
        <f t="shared" si="117"/>
        <v>3.6507626546427252E-2</v>
      </c>
      <c r="S1094" s="22">
        <v>4.1305521151244307E-2</v>
      </c>
      <c r="T1094" s="19">
        <f t="shared" si="118"/>
        <v>4.2996288604579602E-2</v>
      </c>
      <c r="U1094" s="24">
        <v>4.2729510577327545E-2</v>
      </c>
      <c r="V1094" s="24">
        <f t="shared" si="119"/>
        <v>4.2991483703227251E-2</v>
      </c>
      <c r="W1094" s="23">
        <f t="shared" si="120"/>
        <v>3.5139055901547422E-3</v>
      </c>
      <c r="X1094" s="24">
        <v>4.2438707487540306E-2</v>
      </c>
      <c r="Y1094" s="24">
        <f t="shared" si="121"/>
        <v>4.2993392269909947E-2</v>
      </c>
      <c r="Z1094" s="23">
        <f t="shared" si="122"/>
        <v>3.5140592886195865E-3</v>
      </c>
      <c r="AA1094" s="36"/>
    </row>
    <row r="1095" spans="15:27" ht="13.9" customHeight="1" x14ac:dyDescent="0.3">
      <c r="O1095" s="12">
        <f t="shared" si="116"/>
        <v>90.166666666666671</v>
      </c>
      <c r="P1095" s="13">
        <v>1082</v>
      </c>
      <c r="Q1095" s="22">
        <v>3.5646144212665876E-2</v>
      </c>
      <c r="R1095" s="19">
        <f t="shared" si="117"/>
        <v>3.6508061385142287E-2</v>
      </c>
      <c r="S1095" s="22">
        <v>4.130708251682158E-2</v>
      </c>
      <c r="T1095" s="19">
        <f t="shared" si="118"/>
        <v>4.2996322259764463E-2</v>
      </c>
      <c r="U1095" s="24">
        <v>4.2729752666285981E-2</v>
      </c>
      <c r="V1095" s="24">
        <f t="shared" si="119"/>
        <v>4.2991541515382092E-2</v>
      </c>
      <c r="W1095" s="23">
        <f t="shared" si="120"/>
        <v>3.5139102572316894E-3</v>
      </c>
      <c r="X1095" s="24">
        <v>4.2439219998997135E-2</v>
      </c>
      <c r="Y1095" s="24">
        <f t="shared" si="121"/>
        <v>4.2993441731794535E-2</v>
      </c>
      <c r="Z1095" s="23">
        <f t="shared" si="122"/>
        <v>3.5140632843368991E-3</v>
      </c>
      <c r="AA1095" s="36"/>
    </row>
    <row r="1096" spans="15:27" ht="13.9" customHeight="1" x14ac:dyDescent="0.3">
      <c r="O1096" s="12">
        <f t="shared" si="116"/>
        <v>90.25</v>
      </c>
      <c r="P1096" s="13">
        <v>1083</v>
      </c>
      <c r="Q1096" s="22">
        <v>3.564693974270905E-2</v>
      </c>
      <c r="R1096" s="19">
        <f t="shared" si="117"/>
        <v>3.6508492611678989E-2</v>
      </c>
      <c r="S1096" s="22">
        <v>4.1308641032350879E-2</v>
      </c>
      <c r="T1096" s="19">
        <f t="shared" si="118"/>
        <v>4.2996355609639991E-2</v>
      </c>
      <c r="U1096" s="24">
        <v>4.2729994361597523E-2</v>
      </c>
      <c r="V1096" s="24">
        <f t="shared" si="119"/>
        <v>4.2991598935723241E-2</v>
      </c>
      <c r="W1096" s="23">
        <f t="shared" si="120"/>
        <v>3.5139148925604768E-3</v>
      </c>
      <c r="X1096" s="24">
        <v>4.24397316098859E-2</v>
      </c>
      <c r="Y1096" s="24">
        <f t="shared" si="121"/>
        <v>4.2993490823362013E-2</v>
      </c>
      <c r="Z1096" s="23">
        <f t="shared" si="122"/>
        <v>3.5140672501414727E-3</v>
      </c>
      <c r="AA1096" s="36"/>
    </row>
    <row r="1097" spans="15:27" ht="13.9" customHeight="1" x14ac:dyDescent="0.3">
      <c r="O1097" s="12">
        <f t="shared" si="116"/>
        <v>90.333333333333329</v>
      </c>
      <c r="P1097" s="13">
        <v>1084</v>
      </c>
      <c r="Q1097" s="22">
        <v>3.56477342030741E-2</v>
      </c>
      <c r="R1097" s="19">
        <f t="shared" si="117"/>
        <v>3.6508920257096511E-2</v>
      </c>
      <c r="S1097" s="22">
        <v>4.1310196705432345E-2</v>
      </c>
      <c r="T1097" s="19">
        <f t="shared" si="118"/>
        <v>4.2996388657661422E-2</v>
      </c>
      <c r="U1097" s="24">
        <v>4.2730235663990257E-2</v>
      </c>
      <c r="V1097" s="24">
        <f t="shared" si="119"/>
        <v>4.2991655965328279E-2</v>
      </c>
      <c r="W1097" s="23">
        <f t="shared" si="120"/>
        <v>3.5139194964735054E-3</v>
      </c>
      <c r="X1097" s="24">
        <v>4.2440242322357102E-2</v>
      </c>
      <c r="Y1097" s="24">
        <f t="shared" si="121"/>
        <v>4.2993539547057313E-2</v>
      </c>
      <c r="Z1097" s="23">
        <f t="shared" si="122"/>
        <v>3.5140711862542418E-3</v>
      </c>
      <c r="AA1097" s="36"/>
    </row>
    <row r="1098" spans="15:27" ht="13.9" customHeight="1" x14ac:dyDescent="0.3">
      <c r="O1098" s="12">
        <f t="shared" si="116"/>
        <v>90.416666666666671</v>
      </c>
      <c r="P1098" s="13">
        <v>1085</v>
      </c>
      <c r="Q1098" s="22">
        <v>3.5648527593419965E-2</v>
      </c>
      <c r="R1098" s="19">
        <f t="shared" si="117"/>
        <v>3.6509344349412221E-2</v>
      </c>
      <c r="S1098" s="22">
        <v>4.131174954364103E-2</v>
      </c>
      <c r="T1098" s="19">
        <f t="shared" si="118"/>
        <v>4.299642140536597E-2</v>
      </c>
      <c r="U1098" s="24">
        <v>4.2730476574190268E-2</v>
      </c>
      <c r="V1098" s="24">
        <f t="shared" si="119"/>
        <v>4.2991712609112609E-2</v>
      </c>
      <c r="W1098" s="23">
        <f t="shared" si="120"/>
        <v>3.5139240690575946E-3</v>
      </c>
      <c r="X1098" s="24">
        <v>4.2440752138555027E-2</v>
      </c>
      <c r="Y1098" s="24">
        <f t="shared" si="121"/>
        <v>4.2993587906533737E-2</v>
      </c>
      <c r="Z1098" s="23">
        <f t="shared" si="122"/>
        <v>3.5140750928710496E-3</v>
      </c>
      <c r="AA1098" s="36"/>
    </row>
    <row r="1099" spans="15:27" ht="13.9" customHeight="1" x14ac:dyDescent="0.3">
      <c r="O1099" s="12">
        <f t="shared" si="116"/>
        <v>90.5</v>
      </c>
      <c r="P1099" s="13">
        <v>1086</v>
      </c>
      <c r="Q1099" s="22">
        <v>3.5649319913432675E-2</v>
      </c>
      <c r="R1099" s="19">
        <f t="shared" si="117"/>
        <v>3.6509764919575138E-2</v>
      </c>
      <c r="S1099" s="22">
        <v>4.1313299554526006E-2</v>
      </c>
      <c r="T1099" s="19">
        <f t="shared" si="118"/>
        <v>4.2996453856208205E-2</v>
      </c>
      <c r="U1099" s="24">
        <v>4.2730717092925641E-2</v>
      </c>
      <c r="V1099" s="24">
        <f t="shared" si="119"/>
        <v>4.2991768867307156E-2</v>
      </c>
      <c r="W1099" s="23">
        <f t="shared" si="120"/>
        <v>3.5139286107066514E-3</v>
      </c>
      <c r="X1099" s="24">
        <v>4.2441261060619961E-2</v>
      </c>
      <c r="Y1099" s="24">
        <f t="shared" si="121"/>
        <v>4.2993635903967764E-2</v>
      </c>
      <c r="Z1099" s="23">
        <f t="shared" si="122"/>
        <v>3.5140789702852171E-3</v>
      </c>
      <c r="AA1099" s="36"/>
    </row>
    <row r="1100" spans="15:27" ht="13.9" customHeight="1" x14ac:dyDescent="0.3">
      <c r="O1100" s="12">
        <f t="shared" si="116"/>
        <v>90.583333333333329</v>
      </c>
      <c r="P1100" s="13">
        <v>1087</v>
      </c>
      <c r="Q1100" s="22">
        <v>3.5650111162827569E-2</v>
      </c>
      <c r="R1100" s="19">
        <f t="shared" si="117"/>
        <v>3.6510181995915714E-2</v>
      </c>
      <c r="S1100" s="22">
        <v>4.1314846745611256E-2</v>
      </c>
      <c r="T1100" s="19">
        <f t="shared" si="118"/>
        <v>4.299648601337136E-2</v>
      </c>
      <c r="U1100" s="24">
        <v>4.2730957220922239E-2</v>
      </c>
      <c r="V1100" s="24">
        <f t="shared" si="119"/>
        <v>4.299182474429597E-2</v>
      </c>
      <c r="W1100" s="23">
        <f t="shared" si="120"/>
        <v>3.5139331214393277E-3</v>
      </c>
      <c r="X1100" s="24">
        <v>4.2441769090685977E-2</v>
      </c>
      <c r="Y1100" s="24">
        <f t="shared" si="121"/>
        <v>4.2993683541868277E-2</v>
      </c>
      <c r="Z1100" s="23">
        <f t="shared" si="122"/>
        <v>3.5140828186710493E-3</v>
      </c>
      <c r="AA1100" s="36"/>
    </row>
    <row r="1101" spans="15:27" ht="13.9" customHeight="1" x14ac:dyDescent="0.3">
      <c r="O1101" s="12">
        <f t="shared" si="116"/>
        <v>90.666666666666671</v>
      </c>
      <c r="P1101" s="13">
        <v>1088</v>
      </c>
      <c r="Q1101" s="22">
        <v>3.5650901341347296E-2</v>
      </c>
      <c r="R1101" s="19">
        <f t="shared" si="117"/>
        <v>3.6510595608295393E-2</v>
      </c>
      <c r="S1101" s="22">
        <v>4.1316391124396334E-2</v>
      </c>
      <c r="T1101" s="19">
        <f t="shared" si="118"/>
        <v>4.2996517878366891E-2</v>
      </c>
      <c r="U1101" s="24">
        <v>4.2731196958906814E-2</v>
      </c>
      <c r="V1101" s="24">
        <f t="shared" si="119"/>
        <v>4.2991880241220137E-2</v>
      </c>
      <c r="W1101" s="23">
        <f t="shared" si="120"/>
        <v>3.5139376016068979E-3</v>
      </c>
      <c r="X1101" s="24">
        <v>4.2442276230881815E-2</v>
      </c>
      <c r="Y1101" s="24">
        <f t="shared" si="121"/>
        <v>4.2993730823112086E-2</v>
      </c>
      <c r="Z1101" s="23">
        <f t="shared" si="122"/>
        <v>3.5140866382294966E-3</v>
      </c>
      <c r="AA1101" s="36"/>
    </row>
    <row r="1102" spans="15:27" ht="13.9" customHeight="1" x14ac:dyDescent="0.3">
      <c r="O1102" s="12">
        <f t="shared" ref="O1102:O1165" si="123">P1102/12</f>
        <v>90.75</v>
      </c>
      <c r="P1102" s="13">
        <v>1089</v>
      </c>
      <c r="Q1102" s="22">
        <v>3.5651690448762707E-2</v>
      </c>
      <c r="R1102" s="19">
        <f t="shared" ref="R1102:R1165" si="124">(1+Q1103)^P1103/(1+Q1102)^P1102-1</f>
        <v>3.651100578456612E-2</v>
      </c>
      <c r="S1102" s="22">
        <v>4.1317932698354598E-2</v>
      </c>
      <c r="T1102" s="19">
        <f t="shared" ref="T1102:T1165" si="125">(1+S1103)^P1103/(1+S1102)^P1102-1</f>
        <v>4.2996549454237032E-2</v>
      </c>
      <c r="U1102" s="24">
        <v>4.2731436307604787E-2</v>
      </c>
      <c r="V1102" s="24">
        <f t="shared" ref="V1102:V1165" si="126">(1+U1103)^P1103/(1+U1102)^P1102-1</f>
        <v>4.2991935361263778E-2</v>
      </c>
      <c r="W1102" s="23">
        <f t="shared" si="120"/>
        <v>3.5139420513010666E-3</v>
      </c>
      <c r="X1102" s="24">
        <v>4.2442782483330888E-2</v>
      </c>
      <c r="Y1102" s="24">
        <f t="shared" si="121"/>
        <v>4.2993777750152562E-2</v>
      </c>
      <c r="Z1102" s="23">
        <f t="shared" si="122"/>
        <v>3.5140904291914854E-3</v>
      </c>
      <c r="AA1102" s="36"/>
    </row>
    <row r="1103" spans="15:27" ht="13.9" customHeight="1" x14ac:dyDescent="0.3">
      <c r="O1103" s="12">
        <f t="shared" si="123"/>
        <v>90.833333333333329</v>
      </c>
      <c r="P1103" s="13">
        <v>1090</v>
      </c>
      <c r="Q1103" s="22">
        <v>3.5652478484871075E-2</v>
      </c>
      <c r="R1103" s="19">
        <f t="shared" si="124"/>
        <v>3.651141255476742E-2</v>
      </c>
      <c r="S1103" s="22">
        <v>4.1319471474934755E-2</v>
      </c>
      <c r="T1103" s="19">
        <f t="shared" si="125"/>
        <v>4.2996580744208535E-2</v>
      </c>
      <c r="U1103" s="24">
        <v>4.273167526774202E-2</v>
      </c>
      <c r="V1103" s="24">
        <f t="shared" si="126"/>
        <v>4.2991990108031786E-2</v>
      </c>
      <c r="W1103" s="23">
        <f t="shared" ref="W1103:W1166" si="127">(1+V1102)^(1/12)-1</f>
        <v>3.513946470776963E-3</v>
      </c>
      <c r="X1103" s="24">
        <v>4.2443287850151279E-2</v>
      </c>
      <c r="Y1103" s="24">
        <f t="shared" ref="Y1103:Y1166" si="128">(1+X1104)^P1104/(1+X1103)^P1103-1</f>
        <v>4.2993824326800212E-2</v>
      </c>
      <c r="Z1103" s="23">
        <f t="shared" ref="Z1103:Z1166" si="129">(1+Y1102)^(1/12)-1</f>
        <v>3.5140941917537472E-3</v>
      </c>
      <c r="AA1103" s="36"/>
    </row>
    <row r="1104" spans="15:27" ht="13.9" customHeight="1" x14ac:dyDescent="0.3">
      <c r="O1104" s="12">
        <f t="shared" si="123"/>
        <v>90.916666666666671</v>
      </c>
      <c r="P1104" s="13">
        <v>1091</v>
      </c>
      <c r="Q1104" s="22">
        <v>3.5653265449497873E-2</v>
      </c>
      <c r="R1104" s="19">
        <f t="shared" si="124"/>
        <v>3.6511815946051351E-2</v>
      </c>
      <c r="S1104" s="22">
        <v>4.132100746156131E-2</v>
      </c>
      <c r="T1104" s="19">
        <f t="shared" si="125"/>
        <v>4.2996611750056202E-2</v>
      </c>
      <c r="U1104" s="24">
        <v>4.27319138400446E-2</v>
      </c>
      <c r="V1104" s="24">
        <f t="shared" si="126"/>
        <v>4.2992044482135894E-2</v>
      </c>
      <c r="W1104" s="23">
        <f t="shared" si="127"/>
        <v>3.5139508603239111E-3</v>
      </c>
      <c r="X1104" s="24">
        <v>4.2443792333456409E-2</v>
      </c>
      <c r="Y1104" s="24">
        <f t="shared" si="128"/>
        <v>4.2993870553886149E-2</v>
      </c>
      <c r="Z1104" s="23">
        <f t="shared" si="129"/>
        <v>3.5140979262215932E-3</v>
      </c>
      <c r="AA1104" s="36"/>
    </row>
    <row r="1105" spans="15:27" ht="13.9" customHeight="1" x14ac:dyDescent="0.3">
      <c r="O1105" s="12">
        <f t="shared" si="123"/>
        <v>91</v>
      </c>
      <c r="P1105" s="13">
        <v>1092</v>
      </c>
      <c r="Q1105" s="22">
        <v>3.5654051342494331E-2</v>
      </c>
      <c r="R1105" s="19">
        <f t="shared" si="124"/>
        <v>3.6512215986031826E-2</v>
      </c>
      <c r="S1105" s="22">
        <v>4.1322540665633012E-2</v>
      </c>
      <c r="T1105" s="19">
        <f t="shared" si="125"/>
        <v>4.299664247529944E-2</v>
      </c>
      <c r="U1105" s="24">
        <v>4.2732152025236614E-2</v>
      </c>
      <c r="V1105" s="24">
        <f t="shared" si="126"/>
        <v>4.2992098487871333E-2</v>
      </c>
      <c r="W1105" s="23">
        <f t="shared" si="127"/>
        <v>3.5139552199907609E-3</v>
      </c>
      <c r="X1105" s="24">
        <v>4.244429593535326E-2</v>
      </c>
      <c r="Y1105" s="24">
        <f t="shared" si="128"/>
        <v>4.2993916435404511E-2</v>
      </c>
      <c r="Z1105" s="23">
        <f t="shared" si="129"/>
        <v>3.514101632661859E-3</v>
      </c>
      <c r="AA1105" s="36"/>
    </row>
    <row r="1106" spans="15:27" ht="13.9" customHeight="1" x14ac:dyDescent="0.3">
      <c r="O1106" s="12">
        <f t="shared" si="123"/>
        <v>91.083333333333329</v>
      </c>
      <c r="P1106" s="13">
        <v>1093</v>
      </c>
      <c r="Q1106" s="22">
        <v>3.5654836163736991E-2</v>
      </c>
      <c r="R1106" s="19">
        <f t="shared" si="124"/>
        <v>3.6512612704020508E-2</v>
      </c>
      <c r="S1106" s="22">
        <v>4.132407109452485E-2</v>
      </c>
      <c r="T1106" s="19">
        <f t="shared" si="125"/>
        <v>4.2996672921467693E-2</v>
      </c>
      <c r="U1106" s="24">
        <v>4.2732389824043704E-2</v>
      </c>
      <c r="V1106" s="24">
        <f t="shared" si="126"/>
        <v>4.2992152127159233E-2</v>
      </c>
      <c r="W1106" s="23">
        <f t="shared" si="127"/>
        <v>3.5139595501219034E-3</v>
      </c>
      <c r="X1106" s="24">
        <v>4.2444798657944149E-2</v>
      </c>
      <c r="Y1106" s="24">
        <f t="shared" si="128"/>
        <v>4.2993961973734951E-2</v>
      </c>
      <c r="Z1106" s="23">
        <f t="shared" si="129"/>
        <v>3.5141053113947329E-3</v>
      </c>
      <c r="AA1106" s="36"/>
    </row>
    <row r="1107" spans="15:27" ht="13.9" customHeight="1" x14ac:dyDescent="0.3">
      <c r="O1107" s="12">
        <f t="shared" si="123"/>
        <v>91.166666666666671</v>
      </c>
      <c r="P1107" s="13">
        <v>1094</v>
      </c>
      <c r="Q1107" s="22">
        <v>3.5655619913129932E-2</v>
      </c>
      <c r="R1107" s="19">
        <f t="shared" si="124"/>
        <v>3.6513006126361658E-2</v>
      </c>
      <c r="S1107" s="22">
        <v>4.1325598755586279E-2</v>
      </c>
      <c r="T1107" s="19">
        <f t="shared" si="125"/>
        <v>4.299670309164072E-2</v>
      </c>
      <c r="U1107" s="24">
        <v>4.2732627237190401E-2</v>
      </c>
      <c r="V1107" s="24">
        <f t="shared" si="126"/>
        <v>4.2992205400790073E-2</v>
      </c>
      <c r="W1107" s="23">
        <f t="shared" si="127"/>
        <v>3.5139638508714377E-3</v>
      </c>
      <c r="X1107" s="24">
        <v>4.2445300503326511E-2</v>
      </c>
      <c r="Y1107" s="24">
        <f t="shared" si="128"/>
        <v>4.299400717059032E-2</v>
      </c>
      <c r="Z1107" s="23">
        <f t="shared" si="129"/>
        <v>3.5141089626109512E-3</v>
      </c>
      <c r="AA1107" s="36"/>
    </row>
    <row r="1108" spans="15:27" ht="13.9" customHeight="1" x14ac:dyDescent="0.3">
      <c r="O1108" s="12">
        <f t="shared" si="123"/>
        <v>91.25</v>
      </c>
      <c r="P1108" s="13">
        <v>1095</v>
      </c>
      <c r="Q1108" s="22">
        <v>3.5656402590601655E-2</v>
      </c>
      <c r="R1108" s="19">
        <f t="shared" si="124"/>
        <v>3.6513396281748323E-2</v>
      </c>
      <c r="S1108" s="22">
        <v>4.1327123656142772E-2</v>
      </c>
      <c r="T1108" s="19">
        <f t="shared" si="125"/>
        <v>4.2996732988077158E-2</v>
      </c>
      <c r="U1108" s="24">
        <v>4.273286426539924E-2</v>
      </c>
      <c r="V1108" s="24">
        <f t="shared" si="126"/>
        <v>4.2992258314271226E-2</v>
      </c>
      <c r="W1108" s="23">
        <f t="shared" si="127"/>
        <v>3.5139681223026464E-3</v>
      </c>
      <c r="X1108" s="24">
        <v>4.2445801473591116E-2</v>
      </c>
      <c r="Y1108" s="24">
        <f t="shared" si="128"/>
        <v>4.2994052028880736E-2</v>
      </c>
      <c r="Z1108" s="23">
        <f t="shared" si="129"/>
        <v>3.5141125864479594E-3</v>
      </c>
      <c r="AA1108" s="36"/>
    </row>
    <row r="1109" spans="15:27" ht="13.9" customHeight="1" x14ac:dyDescent="0.3">
      <c r="O1109" s="12">
        <f t="shared" si="123"/>
        <v>91.333333333333329</v>
      </c>
      <c r="P1109" s="13">
        <v>1096</v>
      </c>
      <c r="Q1109" s="22">
        <v>3.5657184196106861E-2</v>
      </c>
      <c r="R1109" s="19">
        <f t="shared" si="124"/>
        <v>3.6513783195923466E-2</v>
      </c>
      <c r="S1109" s="22">
        <v>4.1328645803495156E-2</v>
      </c>
      <c r="T1109" s="19">
        <f t="shared" si="125"/>
        <v>4.299676261317753E-2</v>
      </c>
      <c r="U1109" s="24">
        <v>4.2733100909395416E-2</v>
      </c>
      <c r="V1109" s="24">
        <f t="shared" si="126"/>
        <v>4.2992310867392636E-2</v>
      </c>
      <c r="W1109" s="23">
        <f t="shared" si="127"/>
        <v>3.5139723648571763E-3</v>
      </c>
      <c r="X1109" s="24">
        <v>4.2446301570824074E-2</v>
      </c>
      <c r="Y1109" s="24">
        <f t="shared" si="128"/>
        <v>4.2994096552050332E-2</v>
      </c>
      <c r="Z1109" s="23">
        <f t="shared" si="129"/>
        <v>3.5141161831389045E-3</v>
      </c>
      <c r="AA1109" s="36"/>
    </row>
    <row r="1110" spans="15:27" ht="13.9" customHeight="1" x14ac:dyDescent="0.3">
      <c r="O1110" s="12">
        <f t="shared" si="123"/>
        <v>91.416666666666671</v>
      </c>
      <c r="P1110" s="13">
        <v>1097</v>
      </c>
      <c r="Q1110" s="22">
        <v>3.5657964729624014E-2</v>
      </c>
      <c r="R1110" s="19">
        <f t="shared" si="124"/>
        <v>3.6514166896932876E-2</v>
      </c>
      <c r="S1110" s="22">
        <v>4.1330165204919611E-2</v>
      </c>
      <c r="T1110" s="19">
        <f t="shared" si="125"/>
        <v>4.2996791970491888E-2</v>
      </c>
      <c r="U1110" s="24">
        <v>4.273333716990102E-2</v>
      </c>
      <c r="V1110" s="24">
        <f t="shared" si="126"/>
        <v>4.2992363065059269E-2</v>
      </c>
      <c r="W1110" s="23">
        <f t="shared" si="127"/>
        <v>3.513976578518152E-3</v>
      </c>
      <c r="X1110" s="24">
        <v>4.2446800797107054E-2</v>
      </c>
      <c r="Y1110" s="24">
        <f t="shared" si="128"/>
        <v>4.2994140741764886E-2</v>
      </c>
      <c r="Z1110" s="23">
        <f t="shared" si="129"/>
        <v>3.5141197529602319E-3</v>
      </c>
      <c r="AA1110" s="36"/>
    </row>
    <row r="1111" spans="15:27" ht="13.9" customHeight="1" x14ac:dyDescent="0.3">
      <c r="O1111" s="12">
        <f t="shared" si="123"/>
        <v>91.5</v>
      </c>
      <c r="P1111" s="13">
        <v>1098</v>
      </c>
      <c r="Q1111" s="22">
        <v>3.565874419115711E-2</v>
      </c>
      <c r="R1111" s="19">
        <f t="shared" si="124"/>
        <v>3.651454741094895E-2</v>
      </c>
      <c r="S1111" s="22">
        <v>4.1331681867669445E-2</v>
      </c>
      <c r="T1111" s="19">
        <f t="shared" si="125"/>
        <v>4.2996821061001445E-2</v>
      </c>
      <c r="U1111" s="24">
        <v>4.2733573047639917E-2</v>
      </c>
      <c r="V1111" s="24">
        <f t="shared" si="126"/>
        <v>4.2992414907051968E-2</v>
      </c>
      <c r="W1111" s="23">
        <f t="shared" si="127"/>
        <v>3.5139807636790366E-3</v>
      </c>
      <c r="X1111" s="24">
        <v>4.2447299154515505E-2</v>
      </c>
      <c r="Y1111" s="24">
        <f t="shared" si="128"/>
        <v>4.29941846004811E-2</v>
      </c>
      <c r="Z1111" s="23">
        <f t="shared" si="129"/>
        <v>3.5141232960453905E-3</v>
      </c>
      <c r="AA1111" s="36"/>
    </row>
    <row r="1112" spans="15:27" ht="13.9" customHeight="1" x14ac:dyDescent="0.3">
      <c r="O1112" s="12">
        <f t="shared" si="123"/>
        <v>91.583333333333329</v>
      </c>
      <c r="P1112" s="13">
        <v>1099</v>
      </c>
      <c r="Q1112" s="22">
        <v>3.5659522580733904E-2</v>
      </c>
      <c r="R1112" s="19">
        <f t="shared" si="124"/>
        <v>3.651492476421625E-2</v>
      </c>
      <c r="S1112" s="22">
        <v>4.1333195798972211E-2</v>
      </c>
      <c r="T1112" s="19">
        <f t="shared" si="125"/>
        <v>4.2996849887544375E-2</v>
      </c>
      <c r="U1112" s="24">
        <v>4.2733808543333529E-2</v>
      </c>
      <c r="V1112" s="24">
        <f t="shared" si="126"/>
        <v>4.2992466397624218E-2</v>
      </c>
      <c r="W1112" s="23">
        <f t="shared" si="127"/>
        <v>3.5139849203220663E-3</v>
      </c>
      <c r="X1112" s="24">
        <v>4.2447796645119551E-2</v>
      </c>
      <c r="Y1112" s="24">
        <f t="shared" si="128"/>
        <v>4.299422813056708E-2</v>
      </c>
      <c r="Z1112" s="23">
        <f t="shared" si="129"/>
        <v>3.5141268125911118E-3</v>
      </c>
      <c r="AA1112" s="36"/>
    </row>
    <row r="1113" spans="15:27" ht="13.9" customHeight="1" x14ac:dyDescent="0.3">
      <c r="O1113" s="12">
        <f t="shared" si="123"/>
        <v>91.666666666666671</v>
      </c>
      <c r="P1113" s="13">
        <v>1100</v>
      </c>
      <c r="Q1113" s="22">
        <v>3.5660299898406134E-2</v>
      </c>
      <c r="R1113" s="19">
        <f t="shared" si="124"/>
        <v>3.651529898392436E-2</v>
      </c>
      <c r="S1113" s="22">
        <v>4.1334707006031701E-2</v>
      </c>
      <c r="T1113" s="19">
        <f t="shared" si="125"/>
        <v>4.2996878452829401E-2</v>
      </c>
      <c r="U1113" s="24">
        <v>4.2734043657704168E-2</v>
      </c>
      <c r="V1113" s="24">
        <f t="shared" si="126"/>
        <v>4.2992517538918973E-2</v>
      </c>
      <c r="W1113" s="23">
        <f t="shared" si="127"/>
        <v>3.5139890487883019E-3</v>
      </c>
      <c r="X1113" s="24">
        <v>4.2448293270984205E-2</v>
      </c>
      <c r="Y1113" s="24">
        <f t="shared" si="128"/>
        <v>4.2994271335338174E-2</v>
      </c>
      <c r="Z1113" s="23">
        <f t="shared" si="129"/>
        <v>3.514130302787688E-3</v>
      </c>
      <c r="AA1113" s="36"/>
    </row>
    <row r="1114" spans="15:27" ht="13.9" customHeight="1" x14ac:dyDescent="0.3">
      <c r="O1114" s="12">
        <f t="shared" si="123"/>
        <v>91.75</v>
      </c>
      <c r="P1114" s="13">
        <v>1101</v>
      </c>
      <c r="Q1114" s="22">
        <v>3.5661076144249515E-2</v>
      </c>
      <c r="R1114" s="19">
        <f t="shared" si="124"/>
        <v>3.6515670095097708E-2</v>
      </c>
      <c r="S1114" s="22">
        <v>4.1336215496028395E-2</v>
      </c>
      <c r="T1114" s="19">
        <f t="shared" si="125"/>
        <v>4.2996906759352083E-2</v>
      </c>
      <c r="U1114" s="24">
        <v>4.2734278391473701E-2</v>
      </c>
      <c r="V1114" s="24">
        <f t="shared" si="126"/>
        <v>4.2992568332554493E-2</v>
      </c>
      <c r="W1114" s="23">
        <f t="shared" si="127"/>
        <v>3.5139931492498278E-3</v>
      </c>
      <c r="X1114" s="24">
        <v>4.2448789034169598E-2</v>
      </c>
      <c r="Y1114" s="24">
        <f t="shared" si="128"/>
        <v>4.2994314217064344E-2</v>
      </c>
      <c r="Z1114" s="23">
        <f t="shared" si="129"/>
        <v>3.5141337669004624E-3</v>
      </c>
      <c r="AA1114" s="36"/>
    </row>
    <row r="1115" spans="15:27" ht="13.9" customHeight="1" x14ac:dyDescent="0.3">
      <c r="O1115" s="12">
        <f t="shared" si="123"/>
        <v>91.833333333333329</v>
      </c>
      <c r="P1115" s="13">
        <v>1102</v>
      </c>
      <c r="Q1115" s="22">
        <v>3.5661851318362858E-2</v>
      </c>
      <c r="R1115" s="19">
        <f t="shared" si="124"/>
        <v>3.651603812441695E-2</v>
      </c>
      <c r="S1115" s="22">
        <v>4.1337721276118566E-2</v>
      </c>
      <c r="T1115" s="19">
        <f t="shared" si="125"/>
        <v>4.2996934809344856E-2</v>
      </c>
      <c r="U1115" s="24">
        <v>4.2734512745362663E-2</v>
      </c>
      <c r="V1115" s="24">
        <f t="shared" si="126"/>
        <v>4.2992618781890313E-2</v>
      </c>
      <c r="W1115" s="23">
        <f t="shared" si="127"/>
        <v>3.5139972218358739E-3</v>
      </c>
      <c r="X1115" s="24">
        <v>4.2449283936730753E-2</v>
      </c>
      <c r="Y1115" s="24">
        <f t="shared" si="128"/>
        <v>4.2994356777190434E-2</v>
      </c>
      <c r="Z1115" s="23">
        <f t="shared" si="129"/>
        <v>3.5141372051119557E-3</v>
      </c>
      <c r="AA1115" s="36"/>
    </row>
    <row r="1116" spans="15:27" ht="13.9" customHeight="1" x14ac:dyDescent="0.3">
      <c r="O1116" s="12">
        <f t="shared" si="123"/>
        <v>91.916666666666671</v>
      </c>
      <c r="P1116" s="13">
        <v>1103</v>
      </c>
      <c r="Q1116" s="22">
        <v>3.5662625420868066E-2</v>
      </c>
      <c r="R1116" s="19">
        <f t="shared" si="124"/>
        <v>3.6516403096883643E-2</v>
      </c>
      <c r="S1116" s="22">
        <v>4.1339224353434734E-2</v>
      </c>
      <c r="T1116" s="19">
        <f t="shared" si="125"/>
        <v>4.2996962604319622E-2</v>
      </c>
      <c r="U1116" s="24">
        <v>4.2734746720092032E-2</v>
      </c>
      <c r="V1116" s="24">
        <f t="shared" si="126"/>
        <v>4.2992668888206298E-2</v>
      </c>
      <c r="W1116" s="23">
        <f t="shared" si="127"/>
        <v>3.5140012668162246E-3</v>
      </c>
      <c r="X1116" s="24">
        <v>4.2449777980716474E-2</v>
      </c>
      <c r="Y1116" s="24">
        <f t="shared" si="128"/>
        <v>4.2994399018519758E-2</v>
      </c>
      <c r="Z1116" s="23">
        <f t="shared" si="129"/>
        <v>3.5141406175376311E-3</v>
      </c>
      <c r="AA1116" s="36"/>
    </row>
    <row r="1117" spans="15:27" ht="13.9" customHeight="1" x14ac:dyDescent="0.3">
      <c r="O1117" s="12">
        <f t="shared" si="123"/>
        <v>92</v>
      </c>
      <c r="P1117" s="13">
        <v>1104</v>
      </c>
      <c r="Q1117" s="22">
        <v>3.5663398451909689E-2</v>
      </c>
      <c r="R1117" s="19">
        <f t="shared" si="124"/>
        <v>3.6516765038242971E-2</v>
      </c>
      <c r="S1117" s="22">
        <v>4.1340724735084988E-2</v>
      </c>
      <c r="T1117" s="19">
        <f t="shared" si="125"/>
        <v>4.2996990147678771E-2</v>
      </c>
      <c r="U1117" s="24">
        <v>4.2734980316381455E-2</v>
      </c>
      <c r="V1117" s="24">
        <f t="shared" si="126"/>
        <v>4.2992718654483175E-2</v>
      </c>
      <c r="W1117" s="23">
        <f t="shared" si="127"/>
        <v>3.5140052842934644E-3</v>
      </c>
      <c r="X1117" s="24">
        <v>4.2450271168170461E-2</v>
      </c>
      <c r="Y1117" s="24">
        <f t="shared" si="128"/>
        <v>4.2994440944132073E-2</v>
      </c>
      <c r="Z1117" s="23">
        <f t="shared" si="129"/>
        <v>3.5141440044024197E-3</v>
      </c>
      <c r="AA1117" s="36"/>
    </row>
    <row r="1118" spans="15:27" ht="13.9" customHeight="1" x14ac:dyDescent="0.3">
      <c r="O1118" s="12">
        <f t="shared" si="123"/>
        <v>92.083333333333329</v>
      </c>
      <c r="P1118" s="13">
        <v>1105</v>
      </c>
      <c r="Q1118" s="22">
        <v>3.5664170411654927E-2</v>
      </c>
      <c r="R1118" s="19">
        <f t="shared" si="124"/>
        <v>3.6517123973088816E-2</v>
      </c>
      <c r="S1118" s="22">
        <v>4.1342222428154995E-2</v>
      </c>
      <c r="T1118" s="19">
        <f t="shared" si="125"/>
        <v>4.2997017440739027E-2</v>
      </c>
      <c r="U1118" s="24">
        <v>4.2735213534950578E-2</v>
      </c>
      <c r="V1118" s="24">
        <f t="shared" si="126"/>
        <v>4.2992768082759536E-2</v>
      </c>
      <c r="W1118" s="23">
        <f t="shared" si="127"/>
        <v>3.5140092745065132E-3</v>
      </c>
      <c r="X1118" s="24">
        <v>4.2450763501132194E-2</v>
      </c>
      <c r="Y1118" s="24">
        <f t="shared" si="128"/>
        <v>4.2994482555286595E-2</v>
      </c>
      <c r="Z1118" s="23">
        <f t="shared" si="129"/>
        <v>3.5141473659532352E-3</v>
      </c>
      <c r="AA1118" s="36"/>
    </row>
    <row r="1119" spans="15:27" ht="13.9" customHeight="1" x14ac:dyDescent="0.3">
      <c r="O1119" s="12">
        <f t="shared" si="123"/>
        <v>92.166666666666671</v>
      </c>
      <c r="P1119" s="13">
        <v>1106</v>
      </c>
      <c r="Q1119" s="22">
        <v>3.5664941300292519E-2</v>
      </c>
      <c r="R1119" s="19">
        <f t="shared" si="124"/>
        <v>3.6517479927681507E-2</v>
      </c>
      <c r="S1119" s="22">
        <v>4.1343717439705552E-2</v>
      </c>
      <c r="T1119" s="19">
        <f t="shared" si="125"/>
        <v>4.2997044487152358E-2</v>
      </c>
      <c r="U1119" s="24">
        <v>4.2735446376518382E-2</v>
      </c>
      <c r="V1119" s="24">
        <f t="shared" si="126"/>
        <v>4.2992817175865783E-2</v>
      </c>
      <c r="W1119" s="23">
        <f t="shared" si="127"/>
        <v>3.514013237618796E-3</v>
      </c>
      <c r="X1119" s="24">
        <v>4.2451254981634712E-2</v>
      </c>
      <c r="Y1119" s="24">
        <f t="shared" si="128"/>
        <v>4.2994523855850231E-2</v>
      </c>
      <c r="Z1119" s="23">
        <f t="shared" si="129"/>
        <v>3.5141507022911078E-3</v>
      </c>
      <c r="AA1119" s="36"/>
    </row>
    <row r="1120" spans="15:27" ht="13.9" customHeight="1" x14ac:dyDescent="0.3">
      <c r="O1120" s="12">
        <f t="shared" si="123"/>
        <v>92.25</v>
      </c>
      <c r="P1120" s="13">
        <v>1107</v>
      </c>
      <c r="Q1120" s="22">
        <v>3.5665711118034293E-2</v>
      </c>
      <c r="R1120" s="19">
        <f t="shared" si="124"/>
        <v>3.6517832925734073E-2</v>
      </c>
      <c r="S1120" s="22">
        <v>4.1345209776775471E-2</v>
      </c>
      <c r="T1120" s="19">
        <f t="shared" si="125"/>
        <v>4.2997071287760535E-2</v>
      </c>
      <c r="U1120" s="24">
        <v>4.2735678841803626E-2</v>
      </c>
      <c r="V1120" s="24">
        <f t="shared" si="126"/>
        <v>4.2992865935512548E-2</v>
      </c>
      <c r="W1120" s="23">
        <f t="shared" si="127"/>
        <v>3.5140171738572423E-3</v>
      </c>
      <c r="X1120" s="24">
        <v>4.2451745611707059E-2</v>
      </c>
      <c r="Y1120" s="24">
        <f t="shared" si="128"/>
        <v>4.2994564846334349E-2</v>
      </c>
      <c r="Z1120" s="23">
        <f t="shared" si="129"/>
        <v>3.5141540137260119E-3</v>
      </c>
      <c r="AA1120" s="36"/>
    </row>
    <row r="1121" spans="15:27" ht="13.9" customHeight="1" x14ac:dyDescent="0.3">
      <c r="O1121" s="12">
        <f t="shared" si="123"/>
        <v>92.333333333333329</v>
      </c>
      <c r="P1121" s="13">
        <v>1108</v>
      </c>
      <c r="Q1121" s="22">
        <v>3.5666479865112732E-2</v>
      </c>
      <c r="R1121" s="19">
        <f t="shared" si="124"/>
        <v>3.6518182992360648E-2</v>
      </c>
      <c r="S1121" s="22">
        <v>4.1346699446379143E-2</v>
      </c>
      <c r="T1121" s="19">
        <f t="shared" si="125"/>
        <v>4.2997097845374421E-2</v>
      </c>
      <c r="U1121" s="24">
        <v>4.2735910931524179E-2</v>
      </c>
      <c r="V1121" s="24">
        <f t="shared" si="126"/>
        <v>4.2992914364303747E-2</v>
      </c>
      <c r="W1121" s="23">
        <f t="shared" si="127"/>
        <v>3.5140210833590757E-3</v>
      </c>
      <c r="X1121" s="24">
        <v>4.2452235393371618E-2</v>
      </c>
      <c r="Y1121" s="24">
        <f t="shared" si="128"/>
        <v>4.299460553058676E-2</v>
      </c>
      <c r="Z1121" s="23">
        <f t="shared" si="129"/>
        <v>3.5141573002988036E-3</v>
      </c>
      <c r="AA1121" s="36"/>
    </row>
    <row r="1122" spans="15:27" ht="13.9" customHeight="1" x14ac:dyDescent="0.3">
      <c r="O1122" s="12">
        <f t="shared" si="123"/>
        <v>92.416666666666671</v>
      </c>
      <c r="P1122" s="13">
        <v>1109</v>
      </c>
      <c r="Q1122" s="22">
        <v>3.5667247541782077E-2</v>
      </c>
      <c r="R1122" s="19">
        <f t="shared" si="124"/>
        <v>3.6518530150893014E-2</v>
      </c>
      <c r="S1122" s="22">
        <v>4.1348186455507863E-2</v>
      </c>
      <c r="T1122" s="19">
        <f t="shared" si="125"/>
        <v>4.2997124162182487E-2</v>
      </c>
      <c r="U1122" s="24">
        <v>4.273614264639769E-2</v>
      </c>
      <c r="V1122" s="24">
        <f t="shared" si="126"/>
        <v>4.2992962464073248E-2</v>
      </c>
      <c r="W1122" s="23">
        <f t="shared" si="127"/>
        <v>3.5140249663330181E-3</v>
      </c>
      <c r="X1122" s="24">
        <v>4.2452724328646996E-2</v>
      </c>
      <c r="Y1122" s="24">
        <f t="shared" si="128"/>
        <v>4.2994645910349849E-2</v>
      </c>
      <c r="Z1122" s="23">
        <f t="shared" si="129"/>
        <v>3.5141605623183469E-3</v>
      </c>
      <c r="AA1122" s="36"/>
    </row>
    <row r="1123" spans="15:27" ht="13.9" customHeight="1" x14ac:dyDescent="0.3">
      <c r="O1123" s="12">
        <f t="shared" si="123"/>
        <v>92.5</v>
      </c>
      <c r="P1123" s="13">
        <v>1110</v>
      </c>
      <c r="Q1123" s="22">
        <v>3.5668014148316551E-2</v>
      </c>
      <c r="R1123" s="19">
        <f t="shared" si="124"/>
        <v>3.6518874426903158E-2</v>
      </c>
      <c r="S1123" s="22">
        <v>4.1349670811129835E-2</v>
      </c>
      <c r="T1123" s="19">
        <f t="shared" si="125"/>
        <v>4.2997150240329685E-2</v>
      </c>
      <c r="U1123" s="24">
        <v>4.2736373987140697E-2</v>
      </c>
      <c r="V1123" s="24">
        <f t="shared" si="126"/>
        <v>4.299301023710167E-2</v>
      </c>
      <c r="W1123" s="23">
        <f t="shared" si="127"/>
        <v>3.514028822926063E-3</v>
      </c>
      <c r="X1123" s="24">
        <v>4.2453212419545805E-2</v>
      </c>
      <c r="Y1123" s="24">
        <f t="shared" si="128"/>
        <v>4.2994685987247427E-2</v>
      </c>
      <c r="Z1123" s="23">
        <f t="shared" si="129"/>
        <v>3.514163799923864E-3</v>
      </c>
      <c r="AA1123" s="36"/>
    </row>
    <row r="1124" spans="15:27" ht="13.9" customHeight="1" x14ac:dyDescent="0.3">
      <c r="O1124" s="12">
        <f t="shared" si="123"/>
        <v>92.583333333333329</v>
      </c>
      <c r="P1124" s="13">
        <v>1111</v>
      </c>
      <c r="Q1124" s="22">
        <v>3.5668779685012364E-2</v>
      </c>
      <c r="R1124" s="19">
        <f t="shared" si="124"/>
        <v>3.6519215843459518E-2</v>
      </c>
      <c r="S1124" s="22">
        <v>4.1351152520190393E-2</v>
      </c>
      <c r="T1124" s="19">
        <f t="shared" si="125"/>
        <v>4.2997176081793764E-2</v>
      </c>
      <c r="U1124" s="24">
        <v>4.2736604954469293E-2</v>
      </c>
      <c r="V1124" s="24">
        <f t="shared" si="126"/>
        <v>4.2993057685523084E-2</v>
      </c>
      <c r="W1124" s="23">
        <f t="shared" si="127"/>
        <v>3.5140326533213972E-3</v>
      </c>
      <c r="X1124" s="24">
        <v>4.2453699668075107E-2</v>
      </c>
      <c r="Y1124" s="24">
        <f t="shared" si="128"/>
        <v>4.2994725764261998E-2</v>
      </c>
      <c r="Z1124" s="23">
        <f t="shared" si="129"/>
        <v>3.5141670132461389E-3</v>
      </c>
      <c r="AA1124" s="36"/>
    </row>
    <row r="1125" spans="15:27" ht="13.9" customHeight="1" x14ac:dyDescent="0.3">
      <c r="O1125" s="12">
        <f t="shared" si="123"/>
        <v>92.666666666666671</v>
      </c>
      <c r="P1125" s="13">
        <v>1112</v>
      </c>
      <c r="Q1125" s="22">
        <v>3.5669544152185706E-2</v>
      </c>
      <c r="R1125" s="19">
        <f t="shared" si="124"/>
        <v>3.6519554424674583E-2</v>
      </c>
      <c r="S1125" s="22">
        <v>4.1352631589611111E-2</v>
      </c>
      <c r="T1125" s="19">
        <f t="shared" si="125"/>
        <v>4.2997201689335851E-2</v>
      </c>
      <c r="U1125" s="24">
        <v>4.2736835549099128E-2</v>
      </c>
      <c r="V1125" s="24">
        <f t="shared" si="126"/>
        <v>4.2993104812889316E-2</v>
      </c>
      <c r="W1125" s="23">
        <f t="shared" si="127"/>
        <v>3.5140364576897731E-3</v>
      </c>
      <c r="X1125" s="24">
        <v>4.2454186076237521E-2</v>
      </c>
      <c r="Y1125" s="24">
        <f t="shared" si="128"/>
        <v>4.2994765243721256E-2</v>
      </c>
      <c r="Z1125" s="23">
        <f t="shared" si="129"/>
        <v>3.5141702025238697E-3</v>
      </c>
      <c r="AA1125" s="36"/>
    </row>
    <row r="1126" spans="15:27" ht="13.9" customHeight="1" x14ac:dyDescent="0.3">
      <c r="O1126" s="12">
        <f t="shared" si="123"/>
        <v>92.75</v>
      </c>
      <c r="P1126" s="13">
        <v>1113</v>
      </c>
      <c r="Q1126" s="22">
        <v>3.5670307550172975E-2</v>
      </c>
      <c r="R1126" s="19">
        <f t="shared" si="124"/>
        <v>3.6519890193942084E-2</v>
      </c>
      <c r="S1126" s="22">
        <v>4.1354108026291803E-2</v>
      </c>
      <c r="T1126" s="19">
        <f t="shared" si="125"/>
        <v>4.299722706454423E-2</v>
      </c>
      <c r="U1126" s="24">
        <v>4.2737065771746074E-2</v>
      </c>
      <c r="V1126" s="24">
        <f t="shared" si="126"/>
        <v>4.2993151619600045E-2</v>
      </c>
      <c r="W1126" s="23">
        <f t="shared" si="127"/>
        <v>3.5140402363160739E-3</v>
      </c>
      <c r="X1126" s="24">
        <v>4.245467164603034E-2</v>
      </c>
      <c r="Y1126" s="24">
        <f t="shared" si="128"/>
        <v>4.2994804427893829E-2</v>
      </c>
      <c r="Z1126" s="23">
        <f t="shared" si="129"/>
        <v>3.5141733679437959E-3</v>
      </c>
      <c r="AA1126" s="36"/>
    </row>
    <row r="1127" spans="15:27" ht="13.9" customHeight="1" x14ac:dyDescent="0.3">
      <c r="O1127" s="12">
        <f t="shared" si="123"/>
        <v>92.833333333333329</v>
      </c>
      <c r="P1127" s="13">
        <v>1114</v>
      </c>
      <c r="Q1127" s="22">
        <v>3.567106987933033E-2</v>
      </c>
      <c r="R1127" s="19">
        <f t="shared" si="124"/>
        <v>3.6520223175260824E-2</v>
      </c>
      <c r="S1127" s="22">
        <v>4.1355581837108524E-2</v>
      </c>
      <c r="T1127" s="19">
        <f t="shared" si="125"/>
        <v>4.2997252209679093E-2</v>
      </c>
      <c r="U1127" s="24">
        <v>4.2737295623124227E-2</v>
      </c>
      <c r="V1127" s="24">
        <f t="shared" si="126"/>
        <v>4.2993198109036124E-2</v>
      </c>
      <c r="W1127" s="23">
        <f t="shared" si="127"/>
        <v>3.5140439892324959E-3</v>
      </c>
      <c r="X1127" s="24">
        <v>4.2455156379445746E-2</v>
      </c>
      <c r="Y1127" s="24">
        <f t="shared" si="128"/>
        <v>4.2994843318511888E-2</v>
      </c>
      <c r="Z1127" s="23">
        <f t="shared" si="129"/>
        <v>3.514176509687994E-3</v>
      </c>
      <c r="AA1127" s="36"/>
    </row>
    <row r="1128" spans="15:27" ht="13.9" customHeight="1" x14ac:dyDescent="0.3">
      <c r="O1128" s="12">
        <f t="shared" si="123"/>
        <v>92.916666666666671</v>
      </c>
      <c r="P1128" s="13">
        <v>1115</v>
      </c>
      <c r="Q1128" s="22">
        <v>3.567183114003436E-2</v>
      </c>
      <c r="R1128" s="19">
        <f t="shared" si="124"/>
        <v>3.6520553390760213E-2</v>
      </c>
      <c r="S1128" s="22">
        <v>4.1357053028914903E-2</v>
      </c>
      <c r="T1128" s="19">
        <f t="shared" si="125"/>
        <v>4.2997277126592515E-2</v>
      </c>
      <c r="U1128" s="24">
        <v>4.2737525103947682E-2</v>
      </c>
      <c r="V1128" s="24">
        <f t="shared" si="126"/>
        <v>4.2993244282443888E-2</v>
      </c>
      <c r="W1128" s="23">
        <f t="shared" si="127"/>
        <v>3.5140477167099338E-3</v>
      </c>
      <c r="X1128" s="24">
        <v>4.2455640278470375E-2</v>
      </c>
      <c r="Y1128" s="24">
        <f t="shared" si="128"/>
        <v>4.2994881917999939E-2</v>
      </c>
      <c r="Z1128" s="23">
        <f t="shared" si="129"/>
        <v>3.5141796278950199E-3</v>
      </c>
      <c r="AA1128" s="36"/>
    </row>
    <row r="1129" spans="15:27" ht="13.9" customHeight="1" x14ac:dyDescent="0.3">
      <c r="O1129" s="12">
        <f t="shared" si="123"/>
        <v>93</v>
      </c>
      <c r="P1129" s="13">
        <v>1116</v>
      </c>
      <c r="Q1129" s="22">
        <v>3.5672591332679859E-2</v>
      </c>
      <c r="R1129" s="19">
        <f t="shared" si="124"/>
        <v>3.6520880863772254E-2</v>
      </c>
      <c r="S1129" s="22">
        <v>4.1358521608541476E-2</v>
      </c>
      <c r="T1129" s="19">
        <f t="shared" si="125"/>
        <v>4.2997301817607747E-2</v>
      </c>
      <c r="U1129" s="24">
        <v>4.2737754214929424E-2</v>
      </c>
      <c r="V1129" s="24">
        <f t="shared" si="126"/>
        <v>4.2993290142527174E-2</v>
      </c>
      <c r="W1129" s="23">
        <f t="shared" si="127"/>
        <v>3.5140514188483074E-3</v>
      </c>
      <c r="X1129" s="24">
        <v>4.2456123345085972E-2</v>
      </c>
      <c r="Y1129" s="24">
        <f t="shared" si="128"/>
        <v>4.2994920228684341E-2</v>
      </c>
      <c r="Z1129" s="23">
        <f t="shared" si="129"/>
        <v>3.5141827227596067E-3</v>
      </c>
      <c r="AA1129" s="36"/>
    </row>
    <row r="1130" spans="15:27" ht="13.9" customHeight="1" x14ac:dyDescent="0.3">
      <c r="O1130" s="12">
        <f t="shared" si="123"/>
        <v>93.083333333333329</v>
      </c>
      <c r="P1130" s="13">
        <v>1117</v>
      </c>
      <c r="Q1130" s="22">
        <v>3.5673350457681385E-2</v>
      </c>
      <c r="R1130" s="19">
        <f t="shared" si="124"/>
        <v>3.6521205617587427E-2</v>
      </c>
      <c r="S1130" s="22">
        <v>4.1359987582796798E-2</v>
      </c>
      <c r="T1130" s="19">
        <f t="shared" si="125"/>
        <v>4.2997326285088011E-2</v>
      </c>
      <c r="U1130" s="24">
        <v>4.2737982956782217E-2</v>
      </c>
      <c r="V1130" s="24">
        <f t="shared" si="126"/>
        <v>4.2993335691314583E-2</v>
      </c>
      <c r="W1130" s="23">
        <f t="shared" si="127"/>
        <v>3.5140550958645544E-3</v>
      </c>
      <c r="X1130" s="24">
        <v>4.245660558126918E-2</v>
      </c>
      <c r="Y1130" s="24">
        <f t="shared" si="128"/>
        <v>4.2994958252418725E-2</v>
      </c>
      <c r="Z1130" s="23">
        <f t="shared" si="129"/>
        <v>3.5141857944680499E-3</v>
      </c>
      <c r="AA1130" s="36"/>
    </row>
    <row r="1131" spans="15:27" ht="13.9" customHeight="1" x14ac:dyDescent="0.3">
      <c r="O1131" s="12">
        <f t="shared" si="123"/>
        <v>93.166666666666671</v>
      </c>
      <c r="P1131" s="13">
        <v>1118</v>
      </c>
      <c r="Q1131" s="22">
        <v>3.5674108515472591E-2</v>
      </c>
      <c r="R1131" s="19">
        <f t="shared" si="124"/>
        <v>3.652152767404937E-2</v>
      </c>
      <c r="S1131" s="22">
        <v>4.1361450958466772E-2</v>
      </c>
      <c r="T1131" s="19">
        <f t="shared" si="125"/>
        <v>4.2997350529971889E-2</v>
      </c>
      <c r="U1131" s="24">
        <v>4.2738211330218157E-2</v>
      </c>
      <c r="V1131" s="24">
        <f t="shared" si="126"/>
        <v>4.2993380930656633E-2</v>
      </c>
      <c r="W1131" s="23">
        <f t="shared" si="127"/>
        <v>3.5140587479212115E-3</v>
      </c>
      <c r="X1131" s="24">
        <v>4.2457086988991311E-2</v>
      </c>
      <c r="Y1131" s="24">
        <f t="shared" si="128"/>
        <v>4.2994995991171514E-2</v>
      </c>
      <c r="Z1131" s="23">
        <f t="shared" si="129"/>
        <v>3.5141888431691193E-3</v>
      </c>
      <c r="AA1131" s="36"/>
    </row>
    <row r="1132" spans="15:27" ht="13.9" customHeight="1" x14ac:dyDescent="0.3">
      <c r="O1132" s="12">
        <f t="shared" si="123"/>
        <v>93.25</v>
      </c>
      <c r="P1132" s="13">
        <v>1119</v>
      </c>
      <c r="Q1132" s="22">
        <v>3.5674865506505116E-2</v>
      </c>
      <c r="R1132" s="19">
        <f t="shared" si="124"/>
        <v>3.6521847056368406E-2</v>
      </c>
      <c r="S1132" s="22">
        <v>4.1362911742314212E-2</v>
      </c>
      <c r="T1132" s="19">
        <f t="shared" si="125"/>
        <v>4.2997374555704182E-2</v>
      </c>
      <c r="U1132" s="24">
        <v>4.2738439335948231E-2</v>
      </c>
      <c r="V1132" s="24">
        <f t="shared" si="126"/>
        <v>4.2993425863085077E-2</v>
      </c>
      <c r="W1132" s="23">
        <f t="shared" si="127"/>
        <v>3.5140623751668265E-3</v>
      </c>
      <c r="X1132" s="24">
        <v>4.2457567570218346E-2</v>
      </c>
      <c r="Y1132" s="24">
        <f t="shared" si="128"/>
        <v>4.299503344816813E-2</v>
      </c>
      <c r="Z1132" s="23">
        <f t="shared" si="129"/>
        <v>3.5141918690204665E-3</v>
      </c>
      <c r="AA1132" s="36"/>
    </row>
    <row r="1133" spans="15:27" ht="13.9" customHeight="1" x14ac:dyDescent="0.3">
      <c r="O1133" s="12">
        <f t="shared" si="123"/>
        <v>93.333333333333329</v>
      </c>
      <c r="P1133" s="13">
        <v>1120</v>
      </c>
      <c r="Q1133" s="22">
        <v>3.5675621431249915E-2</v>
      </c>
      <c r="R1133" s="19">
        <f t="shared" si="124"/>
        <v>3.6522163786631978E-2</v>
      </c>
      <c r="S1133" s="22">
        <v>4.1364369941080614E-2</v>
      </c>
      <c r="T1133" s="19">
        <f t="shared" si="125"/>
        <v>4.2997398362826234E-2</v>
      </c>
      <c r="U1133" s="24">
        <v>4.2738666974683426E-2</v>
      </c>
      <c r="V1133" s="24">
        <f t="shared" si="126"/>
        <v>4.2993470489905539E-2</v>
      </c>
      <c r="W1133" s="23">
        <f t="shared" si="127"/>
        <v>3.5140659778041261E-3</v>
      </c>
      <c r="X1133" s="24">
        <v>4.2458047326912052E-2</v>
      </c>
      <c r="Y1133" s="24">
        <f t="shared" si="128"/>
        <v>4.2995070624047393E-2</v>
      </c>
      <c r="Z1133" s="23">
        <f t="shared" si="129"/>
        <v>3.5141948722809957E-3</v>
      </c>
      <c r="AA1133" s="36"/>
    </row>
    <row r="1134" spans="15:27" ht="13.9" customHeight="1" x14ac:dyDescent="0.3">
      <c r="O1134" s="12">
        <f t="shared" si="123"/>
        <v>93.416666666666671</v>
      </c>
      <c r="P1134" s="13">
        <v>1121</v>
      </c>
      <c r="Q1134" s="22">
        <v>3.5676376290195488E-2</v>
      </c>
      <c r="R1134" s="19">
        <f t="shared" si="124"/>
        <v>3.6522477886272275E-2</v>
      </c>
      <c r="S1134" s="22">
        <v>4.136582556148416E-2</v>
      </c>
      <c r="T1134" s="19">
        <f t="shared" si="125"/>
        <v>4.2997421954667159E-2</v>
      </c>
      <c r="U1134" s="24">
        <v>4.2738894247133175E-2</v>
      </c>
      <c r="V1134" s="24">
        <f t="shared" si="126"/>
        <v>4.2993514814549494E-2</v>
      </c>
      <c r="W1134" s="23">
        <f t="shared" si="127"/>
        <v>3.5140695559379154E-3</v>
      </c>
      <c r="X1134" s="24">
        <v>4.2458526261027973E-2</v>
      </c>
      <c r="Y1134" s="24">
        <f t="shared" si="128"/>
        <v>4.2995107521831111E-2</v>
      </c>
      <c r="Z1134" s="23">
        <f t="shared" si="129"/>
        <v>3.514197853001555E-3</v>
      </c>
      <c r="AA1134" s="36"/>
    </row>
    <row r="1135" spans="15:27" ht="13.9" customHeight="1" x14ac:dyDescent="0.3">
      <c r="O1135" s="12">
        <f t="shared" si="123"/>
        <v>93.5</v>
      </c>
      <c r="P1135" s="13">
        <v>1122</v>
      </c>
      <c r="Q1135" s="22">
        <v>3.5677130083848096E-2</v>
      </c>
      <c r="R1135" s="19">
        <f t="shared" si="124"/>
        <v>3.6522789377322562E-2</v>
      </c>
      <c r="S1135" s="22">
        <v>4.1367278610221936E-2</v>
      </c>
      <c r="T1135" s="19">
        <f t="shared" si="125"/>
        <v>4.2997445332519479E-2</v>
      </c>
      <c r="U1135" s="24">
        <v>4.2739121154007575E-2</v>
      </c>
      <c r="V1135" s="24">
        <f t="shared" si="126"/>
        <v>4.2993558837980617E-2</v>
      </c>
      <c r="W1135" s="23">
        <f t="shared" si="127"/>
        <v>3.5140731098435296E-3</v>
      </c>
      <c r="X1135" s="24">
        <v>4.2459004374517217E-2</v>
      </c>
      <c r="Y1135" s="24">
        <f t="shared" si="128"/>
        <v>4.2995144144068576E-2</v>
      </c>
      <c r="Z1135" s="23">
        <f t="shared" si="129"/>
        <v>3.514200811424617E-3</v>
      </c>
      <c r="AA1135" s="36"/>
    </row>
    <row r="1136" spans="15:27" ht="13.9" customHeight="1" x14ac:dyDescent="0.3">
      <c r="O1136" s="12">
        <f t="shared" si="123"/>
        <v>93.583333333333329</v>
      </c>
      <c r="P1136" s="13">
        <v>1123</v>
      </c>
      <c r="Q1136" s="22">
        <v>3.5677882812731765E-2</v>
      </c>
      <c r="R1136" s="19">
        <f t="shared" si="124"/>
        <v>3.6523098281535438E-2</v>
      </c>
      <c r="S1136" s="22">
        <v>4.136872909396816E-2</v>
      </c>
      <c r="T1136" s="19">
        <f t="shared" si="125"/>
        <v>4.2997468498123803E-2</v>
      </c>
      <c r="U1136" s="24">
        <v>4.2739347696014729E-2</v>
      </c>
      <c r="V1136" s="24">
        <f t="shared" si="126"/>
        <v>4.2993602562424904E-2</v>
      </c>
      <c r="W1136" s="23">
        <f t="shared" si="127"/>
        <v>3.5140766395980183E-3</v>
      </c>
      <c r="X1136" s="24">
        <v>4.2459481669326005E-2</v>
      </c>
      <c r="Y1136" s="24">
        <f t="shared" si="128"/>
        <v>4.2995180491451679E-2</v>
      </c>
      <c r="Z1136" s="23">
        <f t="shared" si="129"/>
        <v>3.5142037477549071E-3</v>
      </c>
      <c r="AA1136" s="36"/>
    </row>
    <row r="1137" spans="15:27" ht="13.9" customHeight="1" x14ac:dyDescent="0.3">
      <c r="O1137" s="12">
        <f t="shared" si="123"/>
        <v>93.666666666666671</v>
      </c>
      <c r="P1137" s="13">
        <v>1124</v>
      </c>
      <c r="Q1137" s="22">
        <v>3.5678634477387616E-2</v>
      </c>
      <c r="R1137" s="19">
        <f t="shared" si="124"/>
        <v>3.652340462103898E-2</v>
      </c>
      <c r="S1137" s="22">
        <v>4.1370177019375287E-2</v>
      </c>
      <c r="T1137" s="19">
        <f t="shared" si="125"/>
        <v>4.2997491453908188E-2</v>
      </c>
      <c r="U1137" s="24">
        <v>4.2739573873862735E-2</v>
      </c>
      <c r="V1137" s="24">
        <f t="shared" si="126"/>
        <v>4.2993645990335949E-2</v>
      </c>
      <c r="W1137" s="23">
        <f t="shared" si="127"/>
        <v>3.5140801453796833E-3</v>
      </c>
      <c r="X1137" s="24">
        <v>4.2459958147394783E-2</v>
      </c>
      <c r="Y1137" s="24">
        <f t="shared" si="128"/>
        <v>4.2995216566842354E-2</v>
      </c>
      <c r="Z1137" s="23">
        <f t="shared" si="129"/>
        <v>3.5142066620472701E-3</v>
      </c>
      <c r="AA1137" s="36"/>
    </row>
    <row r="1138" spans="15:27" ht="13.9" customHeight="1" x14ac:dyDescent="0.3">
      <c r="O1138" s="12">
        <f t="shared" si="123"/>
        <v>93.75</v>
      </c>
      <c r="P1138" s="13">
        <v>1125</v>
      </c>
      <c r="Q1138" s="22">
        <v>3.5679385078374981E-2</v>
      </c>
      <c r="R1138" s="19">
        <f t="shared" si="124"/>
        <v>3.6523708416330347E-2</v>
      </c>
      <c r="S1138" s="22">
        <v>4.1371622393074015E-2</v>
      </c>
      <c r="T1138" s="19">
        <f t="shared" si="125"/>
        <v>4.2997514201635445E-2</v>
      </c>
      <c r="U1138" s="24">
        <v>4.2739799688258806E-2</v>
      </c>
      <c r="V1138" s="24">
        <f t="shared" si="126"/>
        <v>4.2993689123630441E-2</v>
      </c>
      <c r="W1138" s="23">
        <f t="shared" si="127"/>
        <v>3.5140836273857001E-3</v>
      </c>
      <c r="X1138" s="24">
        <v>4.2460433810659115E-2</v>
      </c>
      <c r="Y1138" s="24">
        <f t="shared" si="128"/>
        <v>4.2995252372221016E-2</v>
      </c>
      <c r="Z1138" s="23">
        <f t="shared" si="129"/>
        <v>3.5142095545315222E-3</v>
      </c>
      <c r="AA1138" s="36"/>
    </row>
    <row r="1139" spans="15:27" ht="13.9" customHeight="1" x14ac:dyDescent="0.3">
      <c r="O1139" s="12">
        <f t="shared" si="123"/>
        <v>93.833333333333329</v>
      </c>
      <c r="P1139" s="13">
        <v>1126</v>
      </c>
      <c r="Q1139" s="22">
        <v>3.5680134616269177E-2</v>
      </c>
      <c r="R1139" s="19">
        <f t="shared" si="124"/>
        <v>3.6524009689039572E-2</v>
      </c>
      <c r="S1139" s="22">
        <v>4.1373065221673055E-2</v>
      </c>
      <c r="T1139" s="19">
        <f t="shared" si="125"/>
        <v>4.2997536742483078E-2</v>
      </c>
      <c r="U1139" s="24">
        <v>4.274002513990971E-2</v>
      </c>
      <c r="V1139" s="24">
        <f t="shared" si="126"/>
        <v>4.2993731963483883E-2</v>
      </c>
      <c r="W1139" s="23">
        <f t="shared" si="127"/>
        <v>3.5140870857695017E-3</v>
      </c>
      <c r="X1139" s="24">
        <v>4.2460908661049901E-2</v>
      </c>
      <c r="Y1139" s="24">
        <f t="shared" si="128"/>
        <v>4.2995287910027713E-2</v>
      </c>
      <c r="Z1139" s="23">
        <f t="shared" si="129"/>
        <v>3.5142124253666474E-3</v>
      </c>
      <c r="AA1139" s="36"/>
    </row>
    <row r="1140" spans="15:27" ht="13.9" customHeight="1" x14ac:dyDescent="0.3">
      <c r="O1140" s="12">
        <f t="shared" si="123"/>
        <v>93.916666666666671</v>
      </c>
      <c r="P1140" s="13">
        <v>1127</v>
      </c>
      <c r="Q1140" s="22">
        <v>3.5680883091662619E-2</v>
      </c>
      <c r="R1140" s="19">
        <f t="shared" si="124"/>
        <v>3.6524308460036181E-2</v>
      </c>
      <c r="S1140" s="22">
        <v>4.1374505511758697E-2</v>
      </c>
      <c r="T1140" s="19">
        <f t="shared" si="125"/>
        <v>4.2997559079388736E-2</v>
      </c>
      <c r="U1140" s="24">
        <v>4.274025022952066E-2</v>
      </c>
      <c r="V1140" s="24">
        <f t="shared" si="126"/>
        <v>4.2993774512563698E-2</v>
      </c>
      <c r="W1140" s="23">
        <f t="shared" si="127"/>
        <v>3.5140905206254569E-3</v>
      </c>
      <c r="X1140" s="24">
        <v>4.2461382700492933E-2</v>
      </c>
      <c r="Y1140" s="24">
        <f t="shared" si="128"/>
        <v>4.2995323181194589E-2</v>
      </c>
      <c r="Z1140" s="23">
        <f t="shared" si="129"/>
        <v>3.5142152747478228E-3</v>
      </c>
      <c r="AA1140" s="36"/>
    </row>
    <row r="1141" spans="15:27" ht="13.9" customHeight="1" x14ac:dyDescent="0.3">
      <c r="O1141" s="12">
        <f t="shared" si="123"/>
        <v>94</v>
      </c>
      <c r="P1141" s="13">
        <v>1128</v>
      </c>
      <c r="Q1141" s="22">
        <v>3.568163050516393E-2</v>
      </c>
      <c r="R1141" s="19">
        <f t="shared" si="124"/>
        <v>3.6524604749236911E-2</v>
      </c>
      <c r="S1141" s="22">
        <v>4.1375943269896798E-2</v>
      </c>
      <c r="T1141" s="19">
        <f t="shared" si="125"/>
        <v>4.2997581213747971E-2</v>
      </c>
      <c r="U1141" s="24">
        <v>4.2740474957796648E-2</v>
      </c>
      <c r="V1141" s="24">
        <f t="shared" si="126"/>
        <v>4.2993816773083449E-2</v>
      </c>
      <c r="W1141" s="23">
        <f t="shared" si="127"/>
        <v>3.5140939321671727E-3</v>
      </c>
      <c r="X1141" s="24">
        <v>4.2461855930908232E-2</v>
      </c>
      <c r="Y1141" s="24">
        <f t="shared" si="128"/>
        <v>4.2995358188582244E-2</v>
      </c>
      <c r="Z1141" s="23">
        <f t="shared" si="129"/>
        <v>3.5142181027500996E-3</v>
      </c>
      <c r="AA1141" s="36"/>
    </row>
    <row r="1142" spans="15:27" ht="13.9" customHeight="1" x14ac:dyDescent="0.3">
      <c r="O1142" s="12">
        <f t="shared" si="123"/>
        <v>94.083333333333329</v>
      </c>
      <c r="P1142" s="13">
        <v>1129</v>
      </c>
      <c r="Q1142" s="22">
        <v>3.5682376857397724E-2</v>
      </c>
      <c r="R1142" s="19">
        <f t="shared" si="124"/>
        <v>3.652489857870056E-2</v>
      </c>
      <c r="S1142" s="22">
        <v>4.1377378502630791E-2</v>
      </c>
      <c r="T1142" s="19">
        <f t="shared" si="125"/>
        <v>4.29976031473005E-2</v>
      </c>
      <c r="U1142" s="24">
        <v>4.2740699325442222E-2</v>
      </c>
      <c r="V1142" s="24">
        <f t="shared" si="126"/>
        <v>4.2993858746843028E-2</v>
      </c>
      <c r="W1142" s="23">
        <f t="shared" si="127"/>
        <v>3.5140973205722847E-3</v>
      </c>
      <c r="X1142" s="24">
        <v>4.2462328354211598E-2</v>
      </c>
      <c r="Y1142" s="24">
        <f t="shared" si="128"/>
        <v>4.2995392934266352E-2</v>
      </c>
      <c r="Z1142" s="23">
        <f t="shared" si="129"/>
        <v>3.5142209096028498E-3</v>
      </c>
      <c r="AA1142" s="36"/>
    </row>
    <row r="1143" spans="15:27" ht="13.9" customHeight="1" x14ac:dyDescent="0.3">
      <c r="O1143" s="12">
        <f t="shared" si="123"/>
        <v>94.166666666666671</v>
      </c>
      <c r="P1143" s="13">
        <v>1130</v>
      </c>
      <c r="Q1143" s="22">
        <v>3.5683122149005486E-2</v>
      </c>
      <c r="R1143" s="19">
        <f t="shared" si="124"/>
        <v>3.6525189968251937E-2</v>
      </c>
      <c r="S1143" s="22">
        <v>4.1378811216482791E-2</v>
      </c>
      <c r="T1143" s="19">
        <f t="shared" si="125"/>
        <v>4.2997624881928376E-2</v>
      </c>
      <c r="U1143" s="24">
        <v>4.2740923333161041E-2</v>
      </c>
      <c r="V1143" s="24">
        <f t="shared" si="126"/>
        <v>4.2993900435161825E-2</v>
      </c>
      <c r="W1143" s="23">
        <f t="shared" si="127"/>
        <v>3.5141006859853441E-3</v>
      </c>
      <c r="X1143" s="24">
        <v>4.2462799972313725E-2</v>
      </c>
      <c r="Y1143" s="24">
        <f t="shared" si="128"/>
        <v>4.2995427419021848E-2</v>
      </c>
      <c r="Z1143" s="23">
        <f t="shared" si="129"/>
        <v>3.5142236954723849E-3</v>
      </c>
      <c r="AA1143" s="36"/>
    </row>
    <row r="1144" spans="15:27" ht="13.9" customHeight="1" x14ac:dyDescent="0.3">
      <c r="O1144" s="12">
        <f t="shared" si="123"/>
        <v>94.25</v>
      </c>
      <c r="P1144" s="13">
        <v>1131</v>
      </c>
      <c r="Q1144" s="22">
        <v>3.5683866380644025E-2</v>
      </c>
      <c r="R1144" s="19">
        <f t="shared" si="124"/>
        <v>3.6525478938105316E-2</v>
      </c>
      <c r="S1144" s="22">
        <v>4.1380241417953378E-2</v>
      </c>
      <c r="T1144" s="19">
        <f t="shared" si="125"/>
        <v>4.2997646419503655E-2</v>
      </c>
      <c r="U1144" s="24">
        <v>4.2741146981655209E-2</v>
      </c>
      <c r="V1144" s="24">
        <f t="shared" si="126"/>
        <v>4.2993941840822725E-2</v>
      </c>
      <c r="W1144" s="23">
        <f t="shared" si="127"/>
        <v>3.5141040285118219E-3</v>
      </c>
      <c r="X1144" s="24">
        <v>4.2463270787119312E-2</v>
      </c>
      <c r="Y1144" s="24">
        <f t="shared" si="128"/>
        <v>4.2995461646158972E-2</v>
      </c>
      <c r="Z1144" s="23">
        <f t="shared" si="129"/>
        <v>3.5142264604208773E-3</v>
      </c>
      <c r="AA1144" s="36"/>
    </row>
    <row r="1145" spans="15:27" ht="13.9" customHeight="1" x14ac:dyDescent="0.3">
      <c r="O1145" s="12">
        <f t="shared" si="123"/>
        <v>94.333333333333329</v>
      </c>
      <c r="P1145" s="13">
        <v>1132</v>
      </c>
      <c r="Q1145" s="22">
        <v>3.5684609552985691E-2</v>
      </c>
      <c r="R1145" s="19">
        <f t="shared" si="124"/>
        <v>3.6525765507647856E-2</v>
      </c>
      <c r="S1145" s="22">
        <v>4.1381669113521813E-2</v>
      </c>
      <c r="T1145" s="19">
        <f t="shared" si="125"/>
        <v>4.2997667761527136E-2</v>
      </c>
      <c r="U1145" s="24">
        <v>4.2741370271627277E-2</v>
      </c>
      <c r="V1145" s="24">
        <f t="shared" si="126"/>
        <v>4.2993982965050304E-2</v>
      </c>
      <c r="W1145" s="23">
        <f t="shared" si="127"/>
        <v>3.514107348374873E-3</v>
      </c>
      <c r="X1145" s="24">
        <v>4.2463740800529282E-2</v>
      </c>
      <c r="Y1145" s="24">
        <f t="shared" si="128"/>
        <v>4.2995495617396351E-2</v>
      </c>
      <c r="Z1145" s="23">
        <f t="shared" si="129"/>
        <v>3.5142292047136703E-3</v>
      </c>
      <c r="AA1145" s="36"/>
    </row>
    <row r="1146" spans="15:27" ht="13.9" customHeight="1" x14ac:dyDescent="0.3">
      <c r="O1146" s="12">
        <f t="shared" si="123"/>
        <v>94.416666666666671</v>
      </c>
      <c r="P1146" s="13">
        <v>1133</v>
      </c>
      <c r="Q1146" s="22">
        <v>3.5685351666717713E-2</v>
      </c>
      <c r="R1146" s="19">
        <f t="shared" si="124"/>
        <v>3.6526049698142105E-2</v>
      </c>
      <c r="S1146" s="22">
        <v>4.138309430964604E-2</v>
      </c>
      <c r="T1146" s="19">
        <f t="shared" si="125"/>
        <v>4.2997688910100917E-2</v>
      </c>
      <c r="U1146" s="24">
        <v>4.2741593203777795E-2</v>
      </c>
      <c r="V1146" s="24">
        <f t="shared" si="126"/>
        <v>4.2994023810571491E-2</v>
      </c>
      <c r="W1146" s="23">
        <f t="shared" si="127"/>
        <v>3.5141106456728632E-3</v>
      </c>
      <c r="X1146" s="24">
        <v>4.246421001443923E-2</v>
      </c>
      <c r="Y1146" s="24">
        <f t="shared" si="128"/>
        <v>4.2995529333693217E-2</v>
      </c>
      <c r="Z1146" s="23">
        <f t="shared" si="129"/>
        <v>3.5142319284886536E-3</v>
      </c>
      <c r="AA1146" s="36"/>
    </row>
    <row r="1147" spans="15:27" ht="13.9" customHeight="1" x14ac:dyDescent="0.3">
      <c r="O1147" s="12">
        <f t="shared" si="123"/>
        <v>94.5</v>
      </c>
      <c r="P1147" s="13">
        <v>1134</v>
      </c>
      <c r="Q1147" s="22">
        <v>3.5686092722543306E-2</v>
      </c>
      <c r="R1147" s="19">
        <f t="shared" si="124"/>
        <v>3.6526331528943468E-2</v>
      </c>
      <c r="S1147" s="22">
        <v>4.1384517012762911E-2</v>
      </c>
      <c r="T1147" s="19">
        <f t="shared" si="125"/>
        <v>4.2997709867711231E-2</v>
      </c>
      <c r="U1147" s="24">
        <v>4.2741815778807757E-2</v>
      </c>
      <c r="V1147" s="24">
        <f t="shared" si="126"/>
        <v>4.2994064378319763E-2</v>
      </c>
      <c r="W1147" s="23">
        <f t="shared" si="127"/>
        <v>3.5141139206242844E-3</v>
      </c>
      <c r="X1147" s="24">
        <v>4.24646784307392E-2</v>
      </c>
      <c r="Y1147" s="24">
        <f t="shared" si="128"/>
        <v>4.2995562797829789E-2</v>
      </c>
      <c r="Z1147" s="23">
        <f t="shared" si="129"/>
        <v>3.5142346318226547E-3</v>
      </c>
      <c r="AA1147" s="36"/>
    </row>
    <row r="1148" spans="15:27" ht="13.9" customHeight="1" x14ac:dyDescent="0.3">
      <c r="O1148" s="12">
        <f t="shared" si="123"/>
        <v>94.583333333333329</v>
      </c>
      <c r="P1148" s="13">
        <v>1135</v>
      </c>
      <c r="Q1148" s="22">
        <v>3.5686832721180561E-2</v>
      </c>
      <c r="R1148" s="19">
        <f t="shared" si="124"/>
        <v>3.6526611018865562E-2</v>
      </c>
      <c r="S1148" s="22">
        <v>4.1385937229288627E-2</v>
      </c>
      <c r="T1148" s="19">
        <f t="shared" si="125"/>
        <v>4.2997730634070308E-2</v>
      </c>
      <c r="U1148" s="24">
        <v>4.2742037997416382E-2</v>
      </c>
      <c r="V1148" s="24">
        <f t="shared" si="126"/>
        <v>4.2994104670905475E-2</v>
      </c>
      <c r="W1148" s="23">
        <f t="shared" si="127"/>
        <v>3.5141171733041876E-3</v>
      </c>
      <c r="X1148" s="24">
        <v>4.2465146051314795E-2</v>
      </c>
      <c r="Y1148" s="24">
        <f t="shared" si="128"/>
        <v>4.2995596011464965E-2</v>
      </c>
      <c r="Z1148" s="23">
        <f t="shared" si="129"/>
        <v>3.5142373149388284E-3</v>
      </c>
      <c r="AA1148" s="36"/>
    </row>
    <row r="1149" spans="15:27" ht="13.9" customHeight="1" x14ac:dyDescent="0.3">
      <c r="O1149" s="12">
        <f t="shared" si="123"/>
        <v>94.666666666666671</v>
      </c>
      <c r="P1149" s="13">
        <v>1136</v>
      </c>
      <c r="Q1149" s="22">
        <v>3.5687571663361339E-2</v>
      </c>
      <c r="R1149" s="19">
        <f t="shared" si="124"/>
        <v>3.6526888188888496E-2</v>
      </c>
      <c r="S1149" s="22">
        <v>4.1387354965616963E-2</v>
      </c>
      <c r="T1149" s="19">
        <f t="shared" si="125"/>
        <v>4.2997751212480395E-2</v>
      </c>
      <c r="U1149" s="24">
        <v>4.2742259860302445E-2</v>
      </c>
      <c r="V1149" s="24">
        <f t="shared" si="126"/>
        <v>4.2994144689976643E-2</v>
      </c>
      <c r="W1149" s="23">
        <f t="shared" si="127"/>
        <v>3.5141204039215168E-3</v>
      </c>
      <c r="X1149" s="24">
        <v>4.2465612878046288E-2</v>
      </c>
      <c r="Y1149" s="24">
        <f t="shared" si="128"/>
        <v>4.2995628976548739E-2</v>
      </c>
      <c r="Z1149" s="23">
        <f t="shared" si="129"/>
        <v>3.5142399779699574E-3</v>
      </c>
      <c r="AA1149" s="36"/>
    </row>
    <row r="1150" spans="15:27" ht="13.9" customHeight="1" x14ac:dyDescent="0.3">
      <c r="O1150" s="12">
        <f t="shared" si="123"/>
        <v>94.75</v>
      </c>
      <c r="P1150" s="13">
        <v>1137</v>
      </c>
      <c r="Q1150" s="22">
        <v>3.5688309549833486E-2</v>
      </c>
      <c r="R1150" s="19">
        <f t="shared" si="124"/>
        <v>3.6527163056928602E-2</v>
      </c>
      <c r="S1150" s="22">
        <v>4.1388770228121929E-2</v>
      </c>
      <c r="T1150" s="19">
        <f t="shared" si="125"/>
        <v>4.2997771604601054E-2</v>
      </c>
      <c r="U1150" s="24">
        <v>4.2742481368164054E-2</v>
      </c>
      <c r="V1150" s="24">
        <f t="shared" si="126"/>
        <v>4.2994184437370686E-2</v>
      </c>
      <c r="W1150" s="23">
        <f t="shared" si="127"/>
        <v>3.5141236126088327E-3</v>
      </c>
      <c r="X1150" s="24">
        <v>4.2466078912809513E-2</v>
      </c>
      <c r="Y1150" s="24">
        <f t="shared" si="128"/>
        <v>4.2995661694904097E-2</v>
      </c>
      <c r="Z1150" s="23">
        <f t="shared" si="129"/>
        <v>3.514242621072361E-3</v>
      </c>
      <c r="AA1150" s="36"/>
    </row>
    <row r="1151" spans="15:27" ht="13.9" customHeight="1" x14ac:dyDescent="0.3">
      <c r="O1151" s="12">
        <f t="shared" si="123"/>
        <v>94.833333333333329</v>
      </c>
      <c r="P1151" s="13">
        <v>1138</v>
      </c>
      <c r="Q1151" s="22">
        <v>3.5689046381357947E-2</v>
      </c>
      <c r="R1151" s="19">
        <f t="shared" si="124"/>
        <v>3.6527435642119244E-2</v>
      </c>
      <c r="S1151" s="22">
        <v>4.1390183023156446E-2</v>
      </c>
      <c r="T1151" s="19">
        <f t="shared" si="125"/>
        <v>4.2997791812046549E-2</v>
      </c>
      <c r="U1151" s="24">
        <v>4.2742702521698428E-2</v>
      </c>
      <c r="V1151" s="24">
        <f t="shared" si="126"/>
        <v>4.2994223914958773E-2</v>
      </c>
      <c r="W1151" s="23">
        <f t="shared" si="127"/>
        <v>3.5141267995131287E-3</v>
      </c>
      <c r="X1151" s="24">
        <v>4.2466544157474972E-2</v>
      </c>
      <c r="Y1151" s="24">
        <f t="shared" si="128"/>
        <v>4.2995694168358689E-2</v>
      </c>
      <c r="Z1151" s="23">
        <f t="shared" si="129"/>
        <v>3.5142452443923666E-3</v>
      </c>
      <c r="AA1151" s="36"/>
    </row>
    <row r="1152" spans="15:27" ht="13.9" customHeight="1" x14ac:dyDescent="0.3">
      <c r="O1152" s="12">
        <f t="shared" si="123"/>
        <v>94.916666666666671</v>
      </c>
      <c r="P1152" s="13">
        <v>1139</v>
      </c>
      <c r="Q1152" s="22">
        <v>3.5689782158709882E-2</v>
      </c>
      <c r="R1152" s="19">
        <f t="shared" si="124"/>
        <v>3.652770596375432E-2</v>
      </c>
      <c r="S1152" s="22">
        <v>4.1391593357052781E-2</v>
      </c>
      <c r="T1152" s="19">
        <f t="shared" si="125"/>
        <v>4.2997811835501221E-2</v>
      </c>
      <c r="U1152" s="24">
        <v>4.2742923321601678E-2</v>
      </c>
      <c r="V1152" s="24">
        <f t="shared" si="126"/>
        <v>4.2994263124658483E-2</v>
      </c>
      <c r="W1152" s="23">
        <f t="shared" si="127"/>
        <v>3.514129964784507E-3</v>
      </c>
      <c r="X1152" s="24">
        <v>4.2467008613908064E-2</v>
      </c>
      <c r="Y1152" s="24">
        <f t="shared" si="128"/>
        <v>4.2995726399002843E-2</v>
      </c>
      <c r="Z1152" s="23">
        <f t="shared" si="129"/>
        <v>3.5142478480763018E-3</v>
      </c>
      <c r="AA1152" s="36"/>
    </row>
    <row r="1153" spans="15:27" ht="13.9" customHeight="1" x14ac:dyDescent="0.3">
      <c r="O1153" s="12">
        <f t="shared" si="123"/>
        <v>95</v>
      </c>
      <c r="P1153" s="13">
        <v>1140</v>
      </c>
      <c r="Q1153" s="22">
        <v>3.5690516882678436E-2</v>
      </c>
      <c r="R1153" s="19">
        <f t="shared" si="124"/>
        <v>3.6527974041707045E-2</v>
      </c>
      <c r="S1153" s="22">
        <v>4.1393001236121441E-2</v>
      </c>
      <c r="T1153" s="19">
        <f t="shared" si="125"/>
        <v>4.2997831677709986E-2</v>
      </c>
      <c r="U1153" s="24">
        <v>4.2743143768569469E-2</v>
      </c>
      <c r="V1153" s="24">
        <f t="shared" si="126"/>
        <v>4.2994302067894452E-2</v>
      </c>
      <c r="W1153" s="23">
        <f t="shared" si="127"/>
        <v>3.5141331085768446E-3</v>
      </c>
      <c r="X1153" s="24">
        <v>4.2467472283969965E-2</v>
      </c>
      <c r="Y1153" s="24">
        <f t="shared" si="128"/>
        <v>4.2995758387475824E-2</v>
      </c>
      <c r="Z1153" s="23">
        <f t="shared" si="129"/>
        <v>3.514250432292032E-3</v>
      </c>
      <c r="AA1153" s="36"/>
    </row>
    <row r="1154" spans="15:27" ht="13.9" customHeight="1" x14ac:dyDescent="0.3">
      <c r="O1154" s="12">
        <f t="shared" si="123"/>
        <v>95.083333333333329</v>
      </c>
      <c r="P1154" s="13">
        <v>1141</v>
      </c>
      <c r="Q1154" s="22">
        <v>3.5691250554067411E-2</v>
      </c>
      <c r="R1154" s="19">
        <f t="shared" si="124"/>
        <v>3.6528239892819725E-2</v>
      </c>
      <c r="S1154" s="22">
        <v>4.1394406666653394E-2</v>
      </c>
      <c r="T1154" s="19">
        <f t="shared" si="125"/>
        <v>4.2997851340386806E-2</v>
      </c>
      <c r="U1154" s="24">
        <v>4.2743363863296358E-2</v>
      </c>
      <c r="V1154" s="24">
        <f t="shared" si="126"/>
        <v>4.2994340747071869E-2</v>
      </c>
      <c r="W1154" s="23">
        <f t="shared" si="127"/>
        <v>3.5141362310042723E-3</v>
      </c>
      <c r="X1154" s="24">
        <v>4.2467935169515636E-2</v>
      </c>
      <c r="Y1154" s="24">
        <f t="shared" si="128"/>
        <v>4.2995790137506207E-2</v>
      </c>
      <c r="Z1154" s="23">
        <f t="shared" si="129"/>
        <v>3.5142529970906278E-3</v>
      </c>
      <c r="AA1154" s="36"/>
    </row>
    <row r="1155" spans="15:27" ht="13.9" customHeight="1" x14ac:dyDescent="0.3">
      <c r="O1155" s="12">
        <f t="shared" si="123"/>
        <v>95.166666666666671</v>
      </c>
      <c r="P1155" s="13">
        <v>1142</v>
      </c>
      <c r="Q1155" s="22">
        <v>3.5691983173692821E-2</v>
      </c>
      <c r="R1155" s="19">
        <f t="shared" si="124"/>
        <v>3.652850353685877E-2</v>
      </c>
      <c r="S1155" s="22">
        <v>4.1395809654918958E-2</v>
      </c>
      <c r="T1155" s="19">
        <f t="shared" si="125"/>
        <v>4.2997870823832551E-2</v>
      </c>
      <c r="U1155" s="24">
        <v>4.2743583606476232E-2</v>
      </c>
      <c r="V1155" s="24">
        <f t="shared" si="126"/>
        <v>4.2994379163592944E-2</v>
      </c>
      <c r="W1155" s="23">
        <f t="shared" si="127"/>
        <v>3.514139332259747E-3</v>
      </c>
      <c r="X1155" s="24">
        <v>4.2468397272396485E-2</v>
      </c>
      <c r="Y1155" s="24">
        <f t="shared" si="128"/>
        <v>4.2995821649495003E-2</v>
      </c>
      <c r="Z1155" s="23">
        <f t="shared" si="129"/>
        <v>3.514255542771183E-3</v>
      </c>
      <c r="AA1155" s="36"/>
    </row>
    <row r="1156" spans="15:27" ht="13.9" customHeight="1" x14ac:dyDescent="0.3">
      <c r="O1156" s="12">
        <f t="shared" si="123"/>
        <v>95.25</v>
      </c>
      <c r="P1156" s="13">
        <v>1143</v>
      </c>
      <c r="Q1156" s="22">
        <v>3.5692714742384668E-2</v>
      </c>
      <c r="R1156" s="19">
        <f t="shared" si="124"/>
        <v>3.6528764991866858E-2</v>
      </c>
      <c r="S1156" s="22">
        <v>4.1397210207166912E-2</v>
      </c>
      <c r="T1156" s="19">
        <f t="shared" si="125"/>
        <v>4.2997890131467598E-2</v>
      </c>
      <c r="U1156" s="24">
        <v>4.2743802998801872E-2</v>
      </c>
      <c r="V1156" s="24">
        <f t="shared" si="126"/>
        <v>4.2994417318691136E-2</v>
      </c>
      <c r="W1156" s="23">
        <f t="shared" si="127"/>
        <v>3.5141424124556231E-3</v>
      </c>
      <c r="X1156" s="24">
        <v>4.246885859445837E-2</v>
      </c>
      <c r="Y1156" s="24">
        <f t="shared" si="128"/>
        <v>4.2995852924832878E-2</v>
      </c>
      <c r="Z1156" s="23">
        <f t="shared" si="129"/>
        <v>3.5142580693656722E-3</v>
      </c>
      <c r="AA1156" s="36"/>
    </row>
    <row r="1157" spans="15:27" ht="13.9" customHeight="1" x14ac:dyDescent="0.3">
      <c r="O1157" s="12">
        <f t="shared" si="123"/>
        <v>95.333333333333329</v>
      </c>
      <c r="P1157" s="13">
        <v>1144</v>
      </c>
      <c r="Q1157" s="22">
        <v>3.5693445260986056E-2</v>
      </c>
      <c r="R1157" s="19">
        <f t="shared" si="124"/>
        <v>3.652902427531024E-2</v>
      </c>
      <c r="S1157" s="22">
        <v>4.139860832962694E-2</v>
      </c>
      <c r="T1157" s="19">
        <f t="shared" si="125"/>
        <v>4.2997909263821743E-2</v>
      </c>
      <c r="U1157" s="24">
        <v>4.2744022040964946E-2</v>
      </c>
      <c r="V1157" s="24">
        <f t="shared" si="126"/>
        <v>4.2994455215878524E-2</v>
      </c>
      <c r="W1157" s="23">
        <f t="shared" si="127"/>
        <v>3.5141454716907106E-3</v>
      </c>
      <c r="X1157" s="24">
        <v>4.2469319137541595E-2</v>
      </c>
      <c r="Y1157" s="24">
        <f t="shared" si="128"/>
        <v>4.2995883967674731E-2</v>
      </c>
      <c r="Z1157" s="23">
        <f t="shared" si="129"/>
        <v>3.5142605769857838E-3</v>
      </c>
      <c r="AA1157" s="36"/>
    </row>
    <row r="1158" spans="15:27" ht="13.9" customHeight="1" x14ac:dyDescent="0.3">
      <c r="O1158" s="12">
        <f t="shared" si="123"/>
        <v>95.416666666666671</v>
      </c>
      <c r="P1158" s="13">
        <v>1145</v>
      </c>
      <c r="Q1158" s="22">
        <v>3.5694174730352524E-2</v>
      </c>
      <c r="R1158" s="19">
        <f t="shared" si="124"/>
        <v>3.6529281406155745E-2</v>
      </c>
      <c r="S1158" s="22">
        <v>4.1400004028507631E-2</v>
      </c>
      <c r="T1158" s="19">
        <f t="shared" si="125"/>
        <v>4.2997928222249238E-2</v>
      </c>
      <c r="U1158" s="24">
        <v>4.2744240733657568E-2</v>
      </c>
      <c r="V1158" s="24">
        <f t="shared" si="126"/>
        <v>4.2994492854555366E-2</v>
      </c>
      <c r="W1158" s="23">
        <f t="shared" si="127"/>
        <v>3.5141485102465619E-3</v>
      </c>
      <c r="X1158" s="24">
        <v>4.2469778903483579E-2</v>
      </c>
      <c r="Y1158" s="24">
        <f t="shared" si="128"/>
        <v>4.2995914776708721E-2</v>
      </c>
      <c r="Z1158" s="23">
        <f t="shared" si="129"/>
        <v>3.5142630659643626E-3</v>
      </c>
      <c r="AA1158" s="36"/>
    </row>
    <row r="1159" spans="15:27" ht="13.9" customHeight="1" x14ac:dyDescent="0.3">
      <c r="O1159" s="12">
        <f t="shared" si="123"/>
        <v>95.5</v>
      </c>
      <c r="P1159" s="13">
        <v>1146</v>
      </c>
      <c r="Q1159" s="22">
        <v>3.5694903151352708E-2</v>
      </c>
      <c r="R1159" s="19">
        <f t="shared" si="124"/>
        <v>3.652953640203882E-2</v>
      </c>
      <c r="S1159" s="22">
        <v>4.1401397309997146E-2</v>
      </c>
      <c r="T1159" s="19">
        <f t="shared" si="125"/>
        <v>4.2997947009219661E-2</v>
      </c>
      <c r="U1159" s="24">
        <v>4.2744459077568964E-2</v>
      </c>
      <c r="V1159" s="24">
        <f t="shared" si="126"/>
        <v>4.2994530238642303E-2</v>
      </c>
      <c r="W1159" s="23">
        <f t="shared" si="127"/>
        <v>3.5141515280754376E-3</v>
      </c>
      <c r="X1159" s="24">
        <v>4.2470237894114415E-2</v>
      </c>
      <c r="Y1159" s="24">
        <f t="shared" si="128"/>
        <v>4.2995945355558618E-2</v>
      </c>
      <c r="Z1159" s="23">
        <f t="shared" si="129"/>
        <v>3.5142655361966035E-3</v>
      </c>
      <c r="AA1159" s="36"/>
    </row>
    <row r="1160" spans="15:27" ht="13.9" customHeight="1" x14ac:dyDescent="0.3">
      <c r="O1160" s="12">
        <f t="shared" si="123"/>
        <v>95.583333333333329</v>
      </c>
      <c r="P1160" s="13">
        <v>1147</v>
      </c>
      <c r="Q1160" s="22">
        <v>3.5695630524868127E-2</v>
      </c>
      <c r="R1160" s="19">
        <f t="shared" si="124"/>
        <v>3.6529789280790315E-2</v>
      </c>
      <c r="S1160" s="22">
        <v>4.1402788180264105E-2</v>
      </c>
      <c r="T1160" s="19">
        <f t="shared" si="125"/>
        <v>4.2997965625273249E-2</v>
      </c>
      <c r="U1160" s="24">
        <v>4.2744677073389248E-2</v>
      </c>
      <c r="V1160" s="24">
        <f t="shared" si="126"/>
        <v>4.2994567367987901E-2</v>
      </c>
      <c r="W1160" s="23">
        <f t="shared" si="127"/>
        <v>3.5141545254913087E-3</v>
      </c>
      <c r="X1160" s="24">
        <v>4.2470696111260864E-2</v>
      </c>
      <c r="Y1160" s="24">
        <f t="shared" si="128"/>
        <v>4.2995975705232059E-2</v>
      </c>
      <c r="Z1160" s="23">
        <f t="shared" si="129"/>
        <v>3.514267987972941E-3</v>
      </c>
      <c r="AA1160" s="36"/>
    </row>
    <row r="1161" spans="15:27" ht="13.9" customHeight="1" x14ac:dyDescent="0.3">
      <c r="O1161" s="12">
        <f t="shared" si="123"/>
        <v>95.666666666666671</v>
      </c>
      <c r="P1161" s="13">
        <v>1148</v>
      </c>
      <c r="Q1161" s="22">
        <v>3.5696356851792288E-2</v>
      </c>
      <c r="R1161" s="19">
        <f t="shared" si="124"/>
        <v>3.6530040059300717E-2</v>
      </c>
      <c r="S1161" s="22">
        <v>4.1404176645456259E-2</v>
      </c>
      <c r="T1161" s="19">
        <f t="shared" si="125"/>
        <v>4.2997984073322559E-2</v>
      </c>
      <c r="U1161" s="24">
        <v>4.2744894721806315E-2</v>
      </c>
      <c r="V1161" s="24">
        <f t="shared" si="126"/>
        <v>4.2994604246380463E-2</v>
      </c>
      <c r="W1161" s="23">
        <f t="shared" si="127"/>
        <v>3.5141575024821847E-3</v>
      </c>
      <c r="X1161" s="24">
        <v>4.2471153556744135E-2</v>
      </c>
      <c r="Y1161" s="24">
        <f t="shared" si="128"/>
        <v>4.2996005828518369E-2</v>
      </c>
      <c r="Z1161" s="23">
        <f t="shared" si="129"/>
        <v>3.5142704213739773E-3</v>
      </c>
      <c r="AA1161" s="36"/>
    </row>
    <row r="1162" spans="15:27" ht="13.9" customHeight="1" x14ac:dyDescent="0.3">
      <c r="O1162" s="12">
        <f t="shared" si="123"/>
        <v>95.75</v>
      </c>
      <c r="P1162" s="13">
        <v>1149</v>
      </c>
      <c r="Q1162" s="22">
        <v>3.5697082133030689E-2</v>
      </c>
      <c r="R1162" s="19">
        <f t="shared" si="124"/>
        <v>3.6530288755778573E-2</v>
      </c>
      <c r="S1162" s="22">
        <v>4.140556271170226E-2</v>
      </c>
      <c r="T1162" s="19">
        <f t="shared" si="125"/>
        <v>4.2998002353778819E-2</v>
      </c>
      <c r="U1162" s="24">
        <v>4.2745112023508725E-2</v>
      </c>
      <c r="V1162" s="24">
        <f t="shared" si="126"/>
        <v>4.2994640874644885E-2</v>
      </c>
      <c r="W1162" s="23">
        <f t="shared" si="127"/>
        <v>3.5141604593520448E-3</v>
      </c>
      <c r="X1162" s="24">
        <v>4.2471610232381662E-2</v>
      </c>
      <c r="Y1162" s="24">
        <f t="shared" si="128"/>
        <v>4.2996035726379445E-2</v>
      </c>
      <c r="Z1162" s="23">
        <f t="shared" si="129"/>
        <v>3.5142728366237552E-3</v>
      </c>
      <c r="AA1162" s="36"/>
    </row>
    <row r="1163" spans="15:27" ht="13.9" customHeight="1" x14ac:dyDescent="0.3">
      <c r="O1163" s="12">
        <f t="shared" si="123"/>
        <v>95.833333333333329</v>
      </c>
      <c r="P1163" s="13">
        <v>1150</v>
      </c>
      <c r="Q1163" s="22">
        <v>3.5697806369501039E-2</v>
      </c>
      <c r="R1163" s="19">
        <f t="shared" si="124"/>
        <v>3.6530535387250263E-2</v>
      </c>
      <c r="S1163" s="22">
        <v>4.140694638511011E-2</v>
      </c>
      <c r="T1163" s="19">
        <f t="shared" si="125"/>
        <v>4.2998020468028475E-2</v>
      </c>
      <c r="U1163" s="24">
        <v>4.2745328979183261E-2</v>
      </c>
      <c r="V1163" s="24">
        <f t="shared" si="126"/>
        <v>4.2994677252990554E-2</v>
      </c>
      <c r="W1163" s="23">
        <f t="shared" si="127"/>
        <v>3.5141633961666141E-3</v>
      </c>
      <c r="X1163" s="24">
        <v>4.2472066139985332E-2</v>
      </c>
      <c r="Y1163" s="24">
        <f t="shared" si="128"/>
        <v>4.2996065399224292E-2</v>
      </c>
      <c r="Z1163" s="23">
        <f t="shared" si="129"/>
        <v>3.5142752337988803E-3</v>
      </c>
      <c r="AA1163" s="36"/>
    </row>
    <row r="1164" spans="15:27" ht="13.9" customHeight="1" x14ac:dyDescent="0.3">
      <c r="O1164" s="12">
        <f t="shared" si="123"/>
        <v>95.916666666666671</v>
      </c>
      <c r="P1164" s="13">
        <v>1151</v>
      </c>
      <c r="Q1164" s="22">
        <v>3.5698529562133041E-2</v>
      </c>
      <c r="R1164" s="19">
        <f t="shared" si="124"/>
        <v>3.6530779970824545E-2</v>
      </c>
      <c r="S1164" s="22">
        <v>4.1408327671767609E-2</v>
      </c>
      <c r="T1164" s="19">
        <f t="shared" si="125"/>
        <v>4.299803841866523E-2</v>
      </c>
      <c r="U1164" s="24">
        <v>4.2745545589514711E-2</v>
      </c>
      <c r="V1164" s="24">
        <f t="shared" si="126"/>
        <v>4.2994713385141159E-2</v>
      </c>
      <c r="W1164" s="23">
        <f t="shared" si="127"/>
        <v>3.5141663129429901E-3</v>
      </c>
      <c r="X1164" s="24">
        <v>4.2472521281361031E-2</v>
      </c>
      <c r="Y1164" s="24">
        <f t="shared" si="128"/>
        <v>4.2996094851065481E-2</v>
      </c>
      <c r="Z1164" s="23">
        <f t="shared" si="129"/>
        <v>3.5142776129324371E-3</v>
      </c>
      <c r="AA1164" s="36"/>
    </row>
    <row r="1165" spans="15:27" ht="13.9" customHeight="1" x14ac:dyDescent="0.3">
      <c r="O1165" s="12">
        <f t="shared" si="123"/>
        <v>96</v>
      </c>
      <c r="P1165" s="13">
        <v>1152</v>
      </c>
      <c r="Q1165" s="22">
        <v>3.5699251711867719E-2</v>
      </c>
      <c r="R1165" s="19">
        <f t="shared" si="124"/>
        <v>3.6531022523889289E-2</v>
      </c>
      <c r="S1165" s="22">
        <v>4.1409706577743677E-2</v>
      </c>
      <c r="T1165" s="19">
        <f t="shared" si="125"/>
        <v>4.2998056206209778E-2</v>
      </c>
      <c r="U1165" s="24">
        <v>4.2745761855188746E-2</v>
      </c>
      <c r="V1165" s="24">
        <f t="shared" si="126"/>
        <v>4.2994749271872523E-2</v>
      </c>
      <c r="W1165" s="23">
        <f t="shared" si="127"/>
        <v>3.5141692099793786E-3</v>
      </c>
      <c r="X1165" s="24">
        <v>4.2472975658311984E-2</v>
      </c>
      <c r="Y1165" s="24">
        <f t="shared" si="128"/>
        <v>4.2996124081421172E-2</v>
      </c>
      <c r="Z1165" s="23">
        <f t="shared" si="129"/>
        <v>3.5142799743461683E-3</v>
      </c>
      <c r="AA1165" s="36"/>
    </row>
    <row r="1166" spans="15:27" ht="13.9" customHeight="1" x14ac:dyDescent="0.3">
      <c r="O1166" s="12">
        <f t="shared" ref="O1166:O1214" si="130">P1166/12</f>
        <v>96.083333333333329</v>
      </c>
      <c r="P1166" s="13">
        <v>1153</v>
      </c>
      <c r="Q1166" s="22">
        <v>3.5699972819658088E-2</v>
      </c>
      <c r="R1166" s="19">
        <f t="shared" ref="R1166:R1213" si="131">(1+Q1167)^P1167/(1+Q1166)^P1166-1</f>
        <v>3.6531263062918429E-2</v>
      </c>
      <c r="S1166" s="22">
        <v>4.141108310908681E-2</v>
      </c>
      <c r="T1166" s="19">
        <f t="shared" ref="T1166:T1213" si="132">(1+S1167)^P1167/(1+S1166)^P1166-1</f>
        <v>4.2998073832389405E-2</v>
      </c>
      <c r="U1166" s="24">
        <v>4.2745977776889044E-2</v>
      </c>
      <c r="V1166" s="24">
        <f t="shared" ref="V1166:V1213" si="133">(1+U1167)^P1167/(1+U1166)^P1166-1</f>
        <v>4.2994784914919704E-2</v>
      </c>
      <c r="W1166" s="23">
        <f t="shared" si="127"/>
        <v>3.5141720873383964E-3</v>
      </c>
      <c r="X1166" s="24">
        <v>4.2473429272634533E-2</v>
      </c>
      <c r="Y1166" s="24">
        <f t="shared" si="128"/>
        <v>4.299615309452598E-2</v>
      </c>
      <c r="Z1166" s="23">
        <f t="shared" si="129"/>
        <v>3.5142823180014382E-3</v>
      </c>
      <c r="AA1166" s="36"/>
    </row>
    <row r="1167" spans="15:27" ht="13.9" customHeight="1" x14ac:dyDescent="0.3">
      <c r="O1167" s="12">
        <f t="shared" si="130"/>
        <v>96.166666666666671</v>
      </c>
      <c r="P1167" s="13">
        <v>1154</v>
      </c>
      <c r="Q1167" s="22">
        <v>3.5700692886468044E-2</v>
      </c>
      <c r="R1167" s="19">
        <f t="shared" si="131"/>
        <v>3.6531501604412986E-2</v>
      </c>
      <c r="S1167" s="22">
        <v>4.1412457271825964E-2</v>
      </c>
      <c r="T1167" s="19">
        <f t="shared" si="132"/>
        <v>4.2998091298666719E-2</v>
      </c>
      <c r="U1167" s="24">
        <v>4.2746193355298834E-2</v>
      </c>
      <c r="V1167" s="24">
        <f t="shared" si="133"/>
        <v>4.2994820316196725E-2</v>
      </c>
      <c r="W1167" s="23">
        <f t="shared" ref="W1167:W1213" si="134">(1+V1166)^(1/12)-1</f>
        <v>3.5141749451590432E-3</v>
      </c>
      <c r="X1167" s="24">
        <v>4.2473882126122797E-2</v>
      </c>
      <c r="Y1167" s="24">
        <f t="shared" ref="Y1167:Y1213" si="135">(1+X1168)^P1168/(1+X1167)^P1167-1</f>
        <v>4.2996181888985907E-2</v>
      </c>
      <c r="Z1167" s="23">
        <f t="shared" ref="Z1167:Z1213" si="136">(1+Y1166)^(1/12)-1</f>
        <v>3.5142846442377529E-3</v>
      </c>
      <c r="AA1167" s="36"/>
    </row>
    <row r="1168" spans="15:27" ht="13.9" customHeight="1" x14ac:dyDescent="0.3">
      <c r="O1168" s="12">
        <f t="shared" si="130"/>
        <v>96.25</v>
      </c>
      <c r="P1168" s="13">
        <v>1155</v>
      </c>
      <c r="Q1168" s="22">
        <v>3.5701411913272585E-2</v>
      </c>
      <c r="R1168" s="19">
        <f t="shared" si="131"/>
        <v>3.6531738165681782E-2</v>
      </c>
      <c r="S1168" s="22">
        <v>4.1413829071970332E-2</v>
      </c>
      <c r="T1168" s="19">
        <f t="shared" si="132"/>
        <v>4.2998108606529417E-2</v>
      </c>
      <c r="U1168" s="24">
        <v>4.2746408591100238E-2</v>
      </c>
      <c r="V1168" s="24">
        <f t="shared" si="133"/>
        <v>4.2994855476449878E-2</v>
      </c>
      <c r="W1168" s="23">
        <f t="shared" si="134"/>
        <v>3.5141777835947519E-3</v>
      </c>
      <c r="X1168" s="24">
        <v>4.2474334220563126E-2</v>
      </c>
      <c r="Y1168" s="24">
        <f t="shared" si="135"/>
        <v>4.2996210468063234E-2</v>
      </c>
      <c r="Z1168" s="23">
        <f t="shared" si="136"/>
        <v>3.5142869529432019E-3</v>
      </c>
      <c r="AA1168" s="36"/>
    </row>
    <row r="1169" spans="15:27" ht="13.9" customHeight="1" x14ac:dyDescent="0.3">
      <c r="O1169" s="12">
        <f t="shared" si="130"/>
        <v>96.333333333333329</v>
      </c>
      <c r="P1169" s="13">
        <v>1156</v>
      </c>
      <c r="Q1169" s="22">
        <v>3.5702129901057811E-2</v>
      </c>
      <c r="R1169" s="19">
        <f t="shared" si="131"/>
        <v>3.6531972762546827E-2</v>
      </c>
      <c r="S1169" s="22">
        <v>4.1415198515509788E-2</v>
      </c>
      <c r="T1169" s="19">
        <f t="shared" si="132"/>
        <v>4.299812575816242E-2</v>
      </c>
      <c r="U1169" s="24">
        <v>4.2746623484973822E-2</v>
      </c>
      <c r="V1169" s="24">
        <f t="shared" si="133"/>
        <v>4.2994890399051133E-2</v>
      </c>
      <c r="W1169" s="23">
        <f t="shared" si="134"/>
        <v>3.5141806027052525E-3</v>
      </c>
      <c r="X1169" s="24">
        <v>4.2474785557738759E-2</v>
      </c>
      <c r="Y1169" s="24">
        <f t="shared" si="135"/>
        <v>4.2996238834212885E-2</v>
      </c>
      <c r="Z1169" s="23">
        <f t="shared" si="136"/>
        <v>3.5142892443795759E-3</v>
      </c>
      <c r="AA1169" s="36"/>
    </row>
    <row r="1170" spans="15:27" ht="13.9" customHeight="1" x14ac:dyDescent="0.3">
      <c r="O1170" s="12">
        <f t="shared" si="130"/>
        <v>96.416666666666671</v>
      </c>
      <c r="P1170" s="13">
        <v>1157</v>
      </c>
      <c r="Q1170" s="22">
        <v>3.5702846850820702E-2</v>
      </c>
      <c r="R1170" s="19">
        <f t="shared" si="131"/>
        <v>3.653220541144675E-2</v>
      </c>
      <c r="S1170" s="22">
        <v>4.1416565608415556E-2</v>
      </c>
      <c r="T1170" s="19">
        <f t="shared" si="132"/>
        <v>4.2998142753148727E-2</v>
      </c>
      <c r="U1170" s="24">
        <v>4.2746838037600821E-2</v>
      </c>
      <c r="V1170" s="24">
        <f t="shared" si="133"/>
        <v>4.2994925083743807E-2</v>
      </c>
      <c r="W1170" s="23">
        <f t="shared" si="134"/>
        <v>3.5141834027609953E-3</v>
      </c>
      <c r="X1170" s="24">
        <v>4.2475236139428718E-2</v>
      </c>
      <c r="Y1170" s="24">
        <f t="shared" si="135"/>
        <v>4.2996266987290532E-2</v>
      </c>
      <c r="Z1170" s="23">
        <f t="shared" si="136"/>
        <v>3.5142915187433843E-3</v>
      </c>
      <c r="AA1170" s="36"/>
    </row>
    <row r="1171" spans="15:27" ht="13.9" customHeight="1" x14ac:dyDescent="0.3">
      <c r="O1171" s="12">
        <f t="shared" si="130"/>
        <v>96.5</v>
      </c>
      <c r="P1171" s="13">
        <v>1158</v>
      </c>
      <c r="Q1171" s="22">
        <v>3.5703562763568675E-2</v>
      </c>
      <c r="R1171" s="19">
        <f t="shared" si="131"/>
        <v>3.6532436129240731E-2</v>
      </c>
      <c r="S1171" s="22">
        <v>4.1417930356637545E-2</v>
      </c>
      <c r="T1171" s="19">
        <f t="shared" si="132"/>
        <v>4.2998159594853869E-2</v>
      </c>
      <c r="U1171" s="24">
        <v>4.27470522496598E-2</v>
      </c>
      <c r="V1171" s="24">
        <f t="shared" si="133"/>
        <v>4.2994959533651622E-2</v>
      </c>
      <c r="W1171" s="23">
        <f t="shared" si="134"/>
        <v>3.5141861837413302E-3</v>
      </c>
      <c r="X1171" s="24">
        <v>4.2475685967405807E-2</v>
      </c>
      <c r="Y1171" s="24">
        <f t="shared" si="135"/>
        <v>4.2996294929426249E-2</v>
      </c>
      <c r="Z1171" s="23">
        <f t="shared" si="136"/>
        <v>3.5142937760235249E-3</v>
      </c>
      <c r="AA1171" s="36"/>
    </row>
    <row r="1172" spans="15:27" ht="13.9" customHeight="1" x14ac:dyDescent="0.3">
      <c r="O1172" s="12">
        <f t="shared" si="130"/>
        <v>96.583333333333329</v>
      </c>
      <c r="P1172" s="13">
        <v>1159</v>
      </c>
      <c r="Q1172" s="22">
        <v>3.5704277640320026E-2</v>
      </c>
      <c r="R1172" s="19">
        <f t="shared" si="131"/>
        <v>3.6532664930974734E-2</v>
      </c>
      <c r="S1172" s="22">
        <v>4.1419292766108118E-2</v>
      </c>
      <c r="T1172" s="19">
        <f t="shared" si="132"/>
        <v>4.2998176283214562E-2</v>
      </c>
      <c r="U1172" s="24">
        <v>4.2747266121829552E-2</v>
      </c>
      <c r="V1172" s="24">
        <f t="shared" si="133"/>
        <v>4.2994993748852295E-2</v>
      </c>
      <c r="W1172" s="23">
        <f t="shared" si="134"/>
        <v>3.5141889458969455E-3</v>
      </c>
      <c r="X1172" s="24">
        <v>4.2476135043438834E-2</v>
      </c>
      <c r="Y1172" s="24">
        <f t="shared" si="135"/>
        <v>4.2996322662627762E-2</v>
      </c>
      <c r="Z1172" s="23">
        <f t="shared" si="136"/>
        <v>3.5142960163905279E-3</v>
      </c>
      <c r="AA1172" s="36"/>
    </row>
    <row r="1173" spans="15:27" ht="13.9" customHeight="1" x14ac:dyDescent="0.3">
      <c r="O1173" s="12">
        <f t="shared" si="130"/>
        <v>96.666666666666671</v>
      </c>
      <c r="P1173" s="13">
        <v>1160</v>
      </c>
      <c r="Q1173" s="22">
        <v>3.5704991482102821E-2</v>
      </c>
      <c r="R1173" s="19">
        <f t="shared" si="131"/>
        <v>3.6532891832904424E-2</v>
      </c>
      <c r="S1173" s="22">
        <v>4.1420652842739436E-2</v>
      </c>
      <c r="T1173" s="19">
        <f t="shared" si="132"/>
        <v>4.2998192820914216E-2</v>
      </c>
      <c r="U1173" s="24">
        <v>4.2747479654786869E-2</v>
      </c>
      <c r="V1173" s="24">
        <f t="shared" si="133"/>
        <v>4.2995027732293467E-2</v>
      </c>
      <c r="W1173" s="23">
        <f t="shared" si="134"/>
        <v>3.5141916892338365E-3</v>
      </c>
      <c r="X1173" s="24">
        <v>4.2476583369291721E-2</v>
      </c>
      <c r="Y1173" s="24">
        <f t="shared" si="135"/>
        <v>4.2996350188370336E-2</v>
      </c>
      <c r="Z1173" s="23">
        <f t="shared" si="136"/>
        <v>3.5142982400053757E-3</v>
      </c>
      <c r="AA1173" s="36"/>
    </row>
    <row r="1174" spans="15:27" ht="13.9" customHeight="1" x14ac:dyDescent="0.3">
      <c r="O1174" s="12">
        <f t="shared" si="130"/>
        <v>96.75</v>
      </c>
      <c r="P1174" s="13">
        <v>1161</v>
      </c>
      <c r="Q1174" s="22">
        <v>3.5705704289955564E-2</v>
      </c>
      <c r="R1174" s="19">
        <f t="shared" si="131"/>
        <v>3.6533116851331204E-2</v>
      </c>
      <c r="S1174" s="22">
        <v>4.1422010592425229E-2</v>
      </c>
      <c r="T1174" s="19">
        <f t="shared" si="132"/>
        <v>4.2998209208308769E-2</v>
      </c>
      <c r="U1174" s="24">
        <v>4.2747692849208541E-2</v>
      </c>
      <c r="V1174" s="24">
        <f t="shared" si="133"/>
        <v>4.2995061485725294E-2</v>
      </c>
      <c r="W1174" s="23">
        <f t="shared" si="134"/>
        <v>3.5141944139884806E-3</v>
      </c>
      <c r="X1174" s="24">
        <v>4.2477030946723948E-2</v>
      </c>
      <c r="Y1174" s="24">
        <f t="shared" si="135"/>
        <v>4.2996377508743411E-2</v>
      </c>
      <c r="Z1174" s="23">
        <f t="shared" si="136"/>
        <v>3.514300446986196E-3</v>
      </c>
      <c r="AA1174" s="36"/>
    </row>
    <row r="1175" spans="15:27" ht="13.9" customHeight="1" x14ac:dyDescent="0.3">
      <c r="O1175" s="12">
        <f t="shared" si="130"/>
        <v>96.833333333333329</v>
      </c>
      <c r="P1175" s="13">
        <v>1162</v>
      </c>
      <c r="Q1175" s="22">
        <v>3.5706416064926749E-2</v>
      </c>
      <c r="R1175" s="19">
        <f t="shared" si="131"/>
        <v>3.6533340000541425E-2</v>
      </c>
      <c r="S1175" s="22">
        <v>4.1423366021039687E-2</v>
      </c>
      <c r="T1175" s="19">
        <f t="shared" si="132"/>
        <v>4.2998225447106631E-2</v>
      </c>
      <c r="U1175" s="24">
        <v>4.2747905705770473E-2</v>
      </c>
      <c r="V1175" s="24">
        <f t="shared" si="133"/>
        <v>4.299509500865617E-2</v>
      </c>
      <c r="W1175" s="23">
        <f t="shared" si="134"/>
        <v>3.5141971203009881E-3</v>
      </c>
      <c r="X1175" s="24">
        <v>4.2477477777490558E-2</v>
      </c>
      <c r="Y1175" s="24">
        <f t="shared" si="135"/>
        <v>4.2996404622930529E-2</v>
      </c>
      <c r="Z1175" s="23">
        <f t="shared" si="136"/>
        <v>3.5143026375008546E-3</v>
      </c>
      <c r="AA1175" s="36"/>
    </row>
    <row r="1176" spans="15:27" ht="13.9" customHeight="1" x14ac:dyDescent="0.3">
      <c r="O1176" s="12">
        <f t="shared" si="130"/>
        <v>96.916666666666671</v>
      </c>
      <c r="P1176" s="13">
        <v>1163</v>
      </c>
      <c r="Q1176" s="22">
        <v>3.5707126808074197E-2</v>
      </c>
      <c r="R1176" s="19">
        <f t="shared" si="131"/>
        <v>3.653356129851959E-2</v>
      </c>
      <c r="S1176" s="22">
        <v>4.1424719134437682E-2</v>
      </c>
      <c r="T1176" s="19">
        <f t="shared" si="132"/>
        <v>4.2998241538581006E-2</v>
      </c>
      <c r="U1176" s="24">
        <v>4.2748118225146126E-2</v>
      </c>
      <c r="V1176" s="24">
        <f t="shared" si="133"/>
        <v>4.2995128305090224E-2</v>
      </c>
      <c r="W1176" s="23">
        <f t="shared" si="134"/>
        <v>3.5141998081322789E-3</v>
      </c>
      <c r="X1176" s="24">
        <v>4.247792386334015E-2</v>
      </c>
      <c r="Y1176" s="24">
        <f t="shared" si="135"/>
        <v>4.2996431535860413E-2</v>
      </c>
      <c r="Z1176" s="23">
        <f t="shared" si="136"/>
        <v>3.5143048114836262E-3</v>
      </c>
      <c r="AA1176" s="36"/>
    </row>
    <row r="1177" spans="15:27" ht="13.9" customHeight="1" x14ac:dyDescent="0.3">
      <c r="O1177" s="12">
        <f t="shared" si="130"/>
        <v>97</v>
      </c>
      <c r="P1177" s="13">
        <v>1164</v>
      </c>
      <c r="Q1177" s="22">
        <v>3.5707836520467051E-2</v>
      </c>
      <c r="R1177" s="19">
        <f t="shared" si="131"/>
        <v>3.653378075755187E-2</v>
      </c>
      <c r="S1177" s="22">
        <v>4.1426069938455656E-2</v>
      </c>
      <c r="T1177" s="19">
        <f t="shared" si="132"/>
        <v>4.2998257484289537E-2</v>
      </c>
      <c r="U1177" s="24">
        <v>4.2748330408009849E-2</v>
      </c>
      <c r="V1177" s="24">
        <f t="shared" si="133"/>
        <v>4.2995161374293156E-2</v>
      </c>
      <c r="W1177" s="23">
        <f t="shared" si="134"/>
        <v>3.5142024778032077E-3</v>
      </c>
      <c r="X1177" s="24">
        <v>4.2478369206019106E-2</v>
      </c>
      <c r="Y1177" s="24">
        <f t="shared" si="135"/>
        <v>4.2996458245973201E-2</v>
      </c>
      <c r="Z1177" s="23">
        <f t="shared" si="136"/>
        <v>3.5143069693297502E-3</v>
      </c>
      <c r="AA1177" s="36"/>
    </row>
    <row r="1178" spans="15:27" ht="13.9" customHeight="1" x14ac:dyDescent="0.3">
      <c r="O1178" s="12">
        <f t="shared" si="130"/>
        <v>97.083333333333329</v>
      </c>
      <c r="P1178" s="13">
        <v>1165</v>
      </c>
      <c r="Q1178" s="22">
        <v>3.5708545203181563E-2</v>
      </c>
      <c r="R1178" s="19">
        <f t="shared" si="131"/>
        <v>3.6533998395977818E-2</v>
      </c>
      <c r="S1178" s="22">
        <v>4.1427418438910957E-2</v>
      </c>
      <c r="T1178" s="19">
        <f t="shared" si="132"/>
        <v>4.29982732851375E-2</v>
      </c>
      <c r="U1178" s="24">
        <v>4.2748542255033106E-2</v>
      </c>
      <c r="V1178" s="24">
        <f t="shared" si="133"/>
        <v>4.2995194220584398E-2</v>
      </c>
      <c r="W1178" s="23">
        <f t="shared" si="134"/>
        <v>3.5142051292549326E-3</v>
      </c>
      <c r="X1178" s="24">
        <v>4.2478813807266702E-2</v>
      </c>
      <c r="Y1178" s="24">
        <f t="shared" si="135"/>
        <v>4.2996484757094722E-2</v>
      </c>
      <c r="Z1178" s="23">
        <f t="shared" si="136"/>
        <v>3.5143091109142155E-3</v>
      </c>
      <c r="AA1178" s="36"/>
    </row>
    <row r="1179" spans="15:27" ht="13.9" customHeight="1" x14ac:dyDescent="0.3">
      <c r="O1179" s="12">
        <f t="shared" si="130"/>
        <v>97.166666666666671</v>
      </c>
      <c r="P1179" s="13">
        <v>1166</v>
      </c>
      <c r="Q1179" s="22">
        <v>3.5709252857305751E-2</v>
      </c>
      <c r="R1179" s="19">
        <f t="shared" si="131"/>
        <v>3.6534214226018991E-2</v>
      </c>
      <c r="S1179" s="22">
        <v>4.1428764641602056E-2</v>
      </c>
      <c r="T1179" s="19">
        <f t="shared" si="132"/>
        <v>4.299828894323432E-2</v>
      </c>
      <c r="U1179" s="24">
        <v>4.2748753766888692E-2</v>
      </c>
      <c r="V1179" s="24">
        <f t="shared" si="133"/>
        <v>4.2995226842458489E-2</v>
      </c>
      <c r="W1179" s="23">
        <f t="shared" si="134"/>
        <v>3.514207762833621E-3</v>
      </c>
      <c r="X1179" s="24">
        <v>4.247925766881977E-2</v>
      </c>
      <c r="Y1179" s="24">
        <f t="shared" si="135"/>
        <v>4.2996511069160359E-2</v>
      </c>
      <c r="Z1179" s="23">
        <f t="shared" si="136"/>
        <v>3.5143112365438878E-3</v>
      </c>
      <c r="AA1179" s="36"/>
    </row>
    <row r="1180" spans="15:27" ht="13.9" customHeight="1" x14ac:dyDescent="0.3">
      <c r="O1180" s="12">
        <f t="shared" si="130"/>
        <v>97.25</v>
      </c>
      <c r="P1180" s="13">
        <v>1167</v>
      </c>
      <c r="Q1180" s="22">
        <v>3.5709959483934739E-2</v>
      </c>
      <c r="R1180" s="19">
        <f t="shared" si="131"/>
        <v>3.6534428265290408E-2</v>
      </c>
      <c r="S1180" s="22">
        <v>4.1430108552309219E-2</v>
      </c>
      <c r="T1180" s="19">
        <f t="shared" si="132"/>
        <v>4.2998304458802261E-2</v>
      </c>
      <c r="U1180" s="24">
        <v>4.2748964944245849E-2</v>
      </c>
      <c r="V1180" s="24">
        <f t="shared" si="133"/>
        <v>4.2995259243971518E-2</v>
      </c>
      <c r="W1180" s="23">
        <f t="shared" si="134"/>
        <v>3.5142103784189249E-3</v>
      </c>
      <c r="X1180" s="24">
        <v>4.2479700792408703E-2</v>
      </c>
      <c r="Y1180" s="24">
        <f t="shared" si="135"/>
        <v>4.2996537184685213E-2</v>
      </c>
      <c r="Z1180" s="23">
        <f t="shared" si="136"/>
        <v>3.5143133462134379E-3</v>
      </c>
      <c r="AA1180" s="36"/>
    </row>
    <row r="1181" spans="15:27" ht="13.9" customHeight="1" x14ac:dyDescent="0.3">
      <c r="O1181" s="12">
        <f t="shared" si="130"/>
        <v>97.333333333333329</v>
      </c>
      <c r="P1181" s="13">
        <v>1168</v>
      </c>
      <c r="Q1181" s="22">
        <v>3.5710665084174531E-2</v>
      </c>
      <c r="R1181" s="19">
        <f t="shared" si="131"/>
        <v>3.6534640526503459E-2</v>
      </c>
      <c r="S1181" s="22">
        <v>4.1431450176793172E-2</v>
      </c>
      <c r="T1181" s="19">
        <f t="shared" si="132"/>
        <v>4.2998319834025356E-2</v>
      </c>
      <c r="U1181" s="24">
        <v>4.2749175787775151E-2</v>
      </c>
      <c r="V1181" s="24">
        <f t="shared" si="133"/>
        <v>4.2995291425465432E-2</v>
      </c>
      <c r="W1181" s="23">
        <f t="shared" si="134"/>
        <v>3.5142129763356955E-3</v>
      </c>
      <c r="X1181" s="24">
        <v>4.2480143179760343E-2</v>
      </c>
      <c r="Y1181" s="24">
        <f t="shared" si="135"/>
        <v>4.2996563105195618E-2</v>
      </c>
      <c r="Z1181" s="23">
        <f t="shared" si="136"/>
        <v>3.5143154401244825E-3</v>
      </c>
      <c r="AA1181" s="36"/>
    </row>
    <row r="1182" spans="15:27" ht="13.9" customHeight="1" x14ac:dyDescent="0.3">
      <c r="O1182" s="12">
        <f t="shared" si="130"/>
        <v>97.416666666666671</v>
      </c>
      <c r="P1182" s="13">
        <v>1169</v>
      </c>
      <c r="Q1182" s="22">
        <v>3.5711369659138681E-2</v>
      </c>
      <c r="R1182" s="19">
        <f t="shared" si="131"/>
        <v>3.653485102623133E-2</v>
      </c>
      <c r="S1182" s="22">
        <v>4.1432789520796653E-2</v>
      </c>
      <c r="T1182" s="19">
        <f t="shared" si="132"/>
        <v>4.2998335069377003E-2</v>
      </c>
      <c r="U1182" s="24">
        <v>4.2749386298144953E-2</v>
      </c>
      <c r="V1182" s="24">
        <f t="shared" si="133"/>
        <v>4.299532338764589E-2</v>
      </c>
      <c r="W1182" s="23">
        <f t="shared" si="134"/>
        <v>3.5142155566116884E-3</v>
      </c>
      <c r="X1182" s="24">
        <v>4.2480584832596868E-2</v>
      </c>
      <c r="Y1182" s="24">
        <f t="shared" si="135"/>
        <v>4.2996588830187976E-2</v>
      </c>
      <c r="Z1182" s="23">
        <f t="shared" si="136"/>
        <v>3.514317518399368E-3</v>
      </c>
      <c r="AA1182" s="36"/>
    </row>
    <row r="1183" spans="15:27" ht="13.9" customHeight="1" x14ac:dyDescent="0.3">
      <c r="O1183" s="12">
        <f t="shared" si="130"/>
        <v>97.5</v>
      </c>
      <c r="P1183" s="13">
        <v>1170</v>
      </c>
      <c r="Q1183" s="22">
        <v>3.5712073209950734E-2</v>
      </c>
      <c r="R1183" s="19">
        <f t="shared" si="131"/>
        <v>3.653505977758531E-2</v>
      </c>
      <c r="S1183" s="22">
        <v>4.143412659004353E-2</v>
      </c>
      <c r="T1183" s="19">
        <f t="shared" si="132"/>
        <v>4.2998350167167798E-2</v>
      </c>
      <c r="U1183" s="24">
        <v>4.2749596476022056E-2</v>
      </c>
      <c r="V1183" s="24">
        <f t="shared" si="133"/>
        <v>4.2995355133102153E-2</v>
      </c>
      <c r="W1183" s="23">
        <f t="shared" si="134"/>
        <v>3.5142181193030808E-3</v>
      </c>
      <c r="X1183" s="24">
        <v>4.2481025752634238E-2</v>
      </c>
      <c r="Y1183" s="24">
        <f t="shared" si="135"/>
        <v>4.2996614363699059E-2</v>
      </c>
      <c r="Z1183" s="23">
        <f t="shared" si="136"/>
        <v>3.5143195809979044E-3</v>
      </c>
      <c r="AA1183" s="36"/>
    </row>
    <row r="1184" spans="15:27" ht="13.9" customHeight="1" x14ac:dyDescent="0.3">
      <c r="O1184" s="12">
        <f t="shared" si="130"/>
        <v>97.583333333333329</v>
      </c>
      <c r="P1184" s="13">
        <v>1171</v>
      </c>
      <c r="Q1184" s="22">
        <v>3.5712775737741786E-2</v>
      </c>
      <c r="R1184" s="19">
        <f t="shared" si="131"/>
        <v>3.6535266796354549E-2</v>
      </c>
      <c r="S1184" s="22">
        <v>4.1435461390239681E-2</v>
      </c>
      <c r="T1184" s="19">
        <f t="shared" si="132"/>
        <v>4.2998365127355331E-2</v>
      </c>
      <c r="U1184" s="24">
        <v>4.2749806322073036E-2</v>
      </c>
      <c r="V1184" s="24">
        <f t="shared" si="133"/>
        <v>4.2995386663170043E-2</v>
      </c>
      <c r="W1184" s="23">
        <f t="shared" si="134"/>
        <v>3.5142206646179286E-3</v>
      </c>
      <c r="X1184" s="24">
        <v>4.2481465941585972E-2</v>
      </c>
      <c r="Y1184" s="24">
        <f t="shared" si="135"/>
        <v>4.2996639705793704E-2</v>
      </c>
      <c r="Z1184" s="23">
        <f t="shared" si="136"/>
        <v>3.5143216282436107E-3</v>
      </c>
      <c r="AA1184" s="36"/>
    </row>
    <row r="1185" spans="15:27" ht="13.9" customHeight="1" x14ac:dyDescent="0.3">
      <c r="O1185" s="12">
        <f t="shared" si="130"/>
        <v>97.666666666666671</v>
      </c>
      <c r="P1185" s="13">
        <v>1172</v>
      </c>
      <c r="Q1185" s="22">
        <v>3.5713477243652481E-2</v>
      </c>
      <c r="R1185" s="19">
        <f t="shared" si="131"/>
        <v>3.6535472095878596E-2</v>
      </c>
      <c r="S1185" s="22">
        <v>4.1436793927071891E-2</v>
      </c>
      <c r="T1185" s="19">
        <f t="shared" si="132"/>
        <v>4.2998379952670751E-2</v>
      </c>
      <c r="U1185" s="24">
        <v>4.2750015836963584E-2</v>
      </c>
      <c r="V1185" s="24">
        <f t="shared" si="133"/>
        <v>4.29954179796328E-2</v>
      </c>
      <c r="W1185" s="23">
        <f t="shared" si="134"/>
        <v>3.5142231926630352E-3</v>
      </c>
      <c r="X1185" s="24">
        <v>4.2481905401159592E-2</v>
      </c>
      <c r="Y1185" s="24">
        <f t="shared" si="135"/>
        <v>4.2996664858192091E-2</v>
      </c>
      <c r="Z1185" s="23">
        <f t="shared" si="136"/>
        <v>3.514323660141816E-3</v>
      </c>
      <c r="AA1185" s="36"/>
    </row>
    <row r="1186" spans="15:27" ht="13.9" customHeight="1" x14ac:dyDescent="0.3">
      <c r="O1186" s="12">
        <f t="shared" si="130"/>
        <v>97.75</v>
      </c>
      <c r="P1186" s="13">
        <v>1173</v>
      </c>
      <c r="Q1186" s="22">
        <v>3.5714177728830787E-2</v>
      </c>
      <c r="R1186" s="19">
        <f t="shared" si="131"/>
        <v>3.6535675691349079E-2</v>
      </c>
      <c r="S1186" s="22">
        <v>4.1438124206209404E-2</v>
      </c>
      <c r="T1186" s="19">
        <f t="shared" si="132"/>
        <v>4.2998394642916882E-2</v>
      </c>
      <c r="U1186" s="24">
        <v>4.2750225021358501E-2</v>
      </c>
      <c r="V1186" s="24">
        <f t="shared" si="133"/>
        <v>4.2995449083004678E-2</v>
      </c>
      <c r="W1186" s="23">
        <f t="shared" si="134"/>
        <v>3.5142257035813973E-3</v>
      </c>
      <c r="X1186" s="24">
        <v>4.2482344133058625E-2</v>
      </c>
      <c r="Y1186" s="24">
        <f t="shared" si="135"/>
        <v>4.2996689822689671E-2</v>
      </c>
      <c r="Z1186" s="23">
        <f t="shared" si="136"/>
        <v>3.5143256768301878E-3</v>
      </c>
      <c r="AA1186" s="36"/>
    </row>
    <row r="1187" spans="15:27" ht="13.9" customHeight="1" x14ac:dyDescent="0.3">
      <c r="O1187" s="12">
        <f t="shared" si="130"/>
        <v>97.833333333333329</v>
      </c>
      <c r="P1187" s="13">
        <v>1174</v>
      </c>
      <c r="Q1187" s="22">
        <v>3.5714877194433781E-2</v>
      </c>
      <c r="R1187" s="19">
        <f t="shared" si="131"/>
        <v>3.6535877596328037E-2</v>
      </c>
      <c r="S1187" s="22">
        <v>4.1439452233302587E-2</v>
      </c>
      <c r="T1187" s="19">
        <f t="shared" si="132"/>
        <v>4.2998409200029508E-2</v>
      </c>
      <c r="U1187" s="24">
        <v>4.275043387592059E-2</v>
      </c>
      <c r="V1187" s="24">
        <f t="shared" si="133"/>
        <v>4.2995479974851536E-2</v>
      </c>
      <c r="W1187" s="23">
        <f t="shared" si="134"/>
        <v>3.5142281974143152E-3</v>
      </c>
      <c r="X1187" s="24">
        <v>4.2482782138981934E-2</v>
      </c>
      <c r="Y1187" s="24">
        <f t="shared" si="135"/>
        <v>4.2996714599647712E-2</v>
      </c>
      <c r="Z1187" s="23">
        <f t="shared" si="136"/>
        <v>3.5143276784530553E-3</v>
      </c>
      <c r="AA1187" s="36"/>
    </row>
    <row r="1188" spans="15:27" ht="13.9" customHeight="1" x14ac:dyDescent="0.3">
      <c r="O1188" s="12">
        <f t="shared" si="130"/>
        <v>97.916666666666671</v>
      </c>
      <c r="P1188" s="13">
        <v>1175</v>
      </c>
      <c r="Q1188" s="22">
        <v>3.5715575641626307E-2</v>
      </c>
      <c r="R1188" s="19">
        <f t="shared" si="131"/>
        <v>3.6536077824810498E-2</v>
      </c>
      <c r="S1188" s="22">
        <v>4.1440778013983826E-2</v>
      </c>
      <c r="T1188" s="19">
        <f t="shared" si="132"/>
        <v>4.2998423625527415E-2</v>
      </c>
      <c r="U1188" s="24">
        <v>4.2750642401312211E-2</v>
      </c>
      <c r="V1188" s="24">
        <f t="shared" si="133"/>
        <v>4.2995510658196956E-2</v>
      </c>
      <c r="W1188" s="23">
        <f t="shared" si="134"/>
        <v>3.5142306742872442E-3</v>
      </c>
      <c r="X1188" s="24">
        <v>4.2483219420623275E-2</v>
      </c>
      <c r="Y1188" s="24">
        <f t="shared" si="135"/>
        <v>4.2996739191750066E-2</v>
      </c>
      <c r="Z1188" s="23">
        <f t="shared" si="136"/>
        <v>3.5143296650390621E-3</v>
      </c>
      <c r="AA1188" s="36"/>
    </row>
    <row r="1189" spans="15:27" ht="13.9" customHeight="1" x14ac:dyDescent="0.3">
      <c r="O1189" s="12">
        <f t="shared" si="130"/>
        <v>98</v>
      </c>
      <c r="P1189" s="13">
        <v>1176</v>
      </c>
      <c r="Q1189" s="22">
        <v>3.5716273071580984E-2</v>
      </c>
      <c r="R1189" s="19">
        <f t="shared" si="131"/>
        <v>3.6536276391219147E-2</v>
      </c>
      <c r="S1189" s="22">
        <v>4.1442101553867738E-2</v>
      </c>
      <c r="T1189" s="19">
        <f t="shared" si="132"/>
        <v>4.2998437920225951E-2</v>
      </c>
      <c r="U1189" s="24">
        <v>4.27508505981955E-2</v>
      </c>
      <c r="V1189" s="24">
        <f t="shared" si="133"/>
        <v>4.2995541132558435E-2</v>
      </c>
      <c r="W1189" s="23">
        <f t="shared" si="134"/>
        <v>3.514233134442879E-3</v>
      </c>
      <c r="X1189" s="24">
        <v>4.248365597967263E-2</v>
      </c>
      <c r="Y1189" s="24">
        <f t="shared" si="135"/>
        <v>4.2996763599730814E-2</v>
      </c>
      <c r="Z1189" s="23">
        <f t="shared" si="136"/>
        <v>3.5143316368035915E-3</v>
      </c>
      <c r="AA1189" s="36"/>
    </row>
    <row r="1190" spans="15:27" ht="13.9" customHeight="1" x14ac:dyDescent="0.3">
      <c r="O1190" s="12">
        <f t="shared" si="130"/>
        <v>98.083333333333329</v>
      </c>
      <c r="P1190" s="13">
        <v>1177</v>
      </c>
      <c r="Q1190" s="22">
        <v>3.5716969485478645E-2</v>
      </c>
      <c r="R1190" s="19">
        <f t="shared" si="131"/>
        <v>3.6536473309369155E-2</v>
      </c>
      <c r="S1190" s="22">
        <v>4.1443422858550516E-2</v>
      </c>
      <c r="T1190" s="19">
        <f t="shared" si="132"/>
        <v>4.2998452084826777E-2</v>
      </c>
      <c r="U1190" s="24">
        <v>4.2751058467230152E-2</v>
      </c>
      <c r="V1190" s="24">
        <f t="shared" si="133"/>
        <v>4.2995571399927934E-2</v>
      </c>
      <c r="W1190" s="23">
        <f t="shared" si="134"/>
        <v>3.5142355778421397E-3</v>
      </c>
      <c r="X1190" s="24">
        <v>4.2484091817815095E-2</v>
      </c>
      <c r="Y1190" s="24">
        <f t="shared" si="135"/>
        <v>4.2996787824694849E-2</v>
      </c>
      <c r="Z1190" s="23">
        <f t="shared" si="136"/>
        <v>3.5143335938054854E-3</v>
      </c>
      <c r="AA1190" s="36"/>
    </row>
    <row r="1191" spans="15:27" ht="13.9" customHeight="1" x14ac:dyDescent="0.3">
      <c r="O1191" s="12">
        <f t="shared" si="130"/>
        <v>98.166666666666671</v>
      </c>
      <c r="P1191" s="13">
        <v>1178</v>
      </c>
      <c r="Q1191" s="22">
        <v>3.5717664884507894E-2</v>
      </c>
      <c r="R1191" s="19">
        <f t="shared" si="131"/>
        <v>3.6536668591580668E-2</v>
      </c>
      <c r="S1191" s="22">
        <v>4.1444741933610141E-2</v>
      </c>
      <c r="T1191" s="19">
        <f t="shared" si="132"/>
        <v>4.2998466121209944E-2</v>
      </c>
      <c r="U1191" s="24">
        <v>4.2751266009075417E-2</v>
      </c>
      <c r="V1191" s="24">
        <f t="shared" si="133"/>
        <v>4.2995601461785604E-2</v>
      </c>
      <c r="W1191" s="23">
        <f t="shared" si="134"/>
        <v>3.5142380046451205E-3</v>
      </c>
      <c r="X1191" s="24">
        <v>4.248452693673066E-2</v>
      </c>
      <c r="Y1191" s="24">
        <f t="shared" si="135"/>
        <v>4.299681186802351E-2</v>
      </c>
      <c r="Z1191" s="23">
        <f t="shared" si="136"/>
        <v>3.5143355361331174E-3</v>
      </c>
      <c r="AA1191" s="36"/>
    </row>
    <row r="1192" spans="15:27" ht="13.9" customHeight="1" x14ac:dyDescent="0.3">
      <c r="O1192" s="12">
        <f t="shared" si="130"/>
        <v>98.25</v>
      </c>
      <c r="P1192" s="13">
        <v>1179</v>
      </c>
      <c r="Q1192" s="22">
        <v>3.5718359269863775E-2</v>
      </c>
      <c r="R1192" s="19">
        <f t="shared" si="131"/>
        <v>3.6536862253719216E-2</v>
      </c>
      <c r="S1192" s="22">
        <v>4.1446058784607054E-2</v>
      </c>
      <c r="T1192" s="19">
        <f t="shared" si="132"/>
        <v>4.2998480030252306E-2</v>
      </c>
      <c r="U1192" s="24">
        <v>4.2751473224389658E-2</v>
      </c>
      <c r="V1192" s="24">
        <f t="shared" si="133"/>
        <v>4.2995631319508787E-2</v>
      </c>
      <c r="W1192" s="23">
        <f t="shared" si="134"/>
        <v>3.5142404149703932E-3</v>
      </c>
      <c r="X1192" s="24">
        <v>4.2484961338095317E-2</v>
      </c>
      <c r="Y1192" s="24">
        <f t="shared" si="135"/>
        <v>4.2996835732359351E-2</v>
      </c>
      <c r="Z1192" s="23">
        <f t="shared" si="136"/>
        <v>3.51433746389751E-3</v>
      </c>
      <c r="AA1192" s="36"/>
    </row>
    <row r="1193" spans="15:27" ht="13.9" customHeight="1" x14ac:dyDescent="0.3">
      <c r="O1193" s="12">
        <f t="shared" si="130"/>
        <v>98.333333333333329</v>
      </c>
      <c r="P1193" s="13">
        <v>1180</v>
      </c>
      <c r="Q1193" s="22">
        <v>3.5719052642750659E-2</v>
      </c>
      <c r="R1193" s="19">
        <f t="shared" si="131"/>
        <v>3.6537054306474914E-2</v>
      </c>
      <c r="S1193" s="22">
        <v>4.1447373417083933E-2</v>
      </c>
      <c r="T1193" s="19">
        <f t="shared" si="132"/>
        <v>4.2998493813106275E-2</v>
      </c>
      <c r="U1193" s="24">
        <v>4.2751680113829682E-2</v>
      </c>
      <c r="V1193" s="24">
        <f t="shared" si="133"/>
        <v>4.2995660974942451E-2</v>
      </c>
      <c r="W1193" s="23">
        <f t="shared" si="134"/>
        <v>3.5142428089280919E-3</v>
      </c>
      <c r="X1193" s="24">
        <v>4.2485395023581063E-2</v>
      </c>
      <c r="Y1193" s="24">
        <f t="shared" si="135"/>
        <v>4.299685941679976E-2</v>
      </c>
      <c r="Z1193" s="23">
        <f t="shared" si="136"/>
        <v>3.5143393773104936E-3</v>
      </c>
      <c r="AA1193" s="36"/>
    </row>
    <row r="1194" spans="15:27" ht="13.9" customHeight="1" x14ac:dyDescent="0.3">
      <c r="O1194" s="12">
        <f t="shared" si="130"/>
        <v>98.416666666666671</v>
      </c>
      <c r="P1194" s="13">
        <v>1181</v>
      </c>
      <c r="Q1194" s="22">
        <v>3.5719745004378023E-2</v>
      </c>
      <c r="R1194" s="19">
        <f t="shared" si="131"/>
        <v>3.6537244766638777E-2</v>
      </c>
      <c r="S1194" s="22">
        <v>4.1448685836565247E-2</v>
      </c>
      <c r="T1194" s="19">
        <f t="shared" si="132"/>
        <v>4.2998507471250891E-2</v>
      </c>
      <c r="U1194" s="24">
        <v>4.2751886678052076E-2</v>
      </c>
      <c r="V1194" s="24">
        <f t="shared" si="133"/>
        <v>4.2995690429004751E-2</v>
      </c>
      <c r="W1194" s="23">
        <f t="shared" si="134"/>
        <v>3.5142451866665425E-3</v>
      </c>
      <c r="X1194" s="24">
        <v>4.2485827994853675E-2</v>
      </c>
      <c r="Y1194" s="24">
        <f t="shared" si="135"/>
        <v>4.2996882924882351E-2</v>
      </c>
      <c r="Z1194" s="23">
        <f t="shared" si="136"/>
        <v>3.5143412762994597E-3</v>
      </c>
      <c r="AA1194" s="36"/>
    </row>
    <row r="1195" spans="15:27" ht="13.9" customHeight="1" x14ac:dyDescent="0.3">
      <c r="O1195" s="12">
        <f t="shared" si="130"/>
        <v>98.5</v>
      </c>
      <c r="P1195" s="13">
        <v>1182</v>
      </c>
      <c r="Q1195" s="22">
        <v>3.5720436355965113E-2</v>
      </c>
      <c r="R1195" s="19">
        <f t="shared" si="131"/>
        <v>3.6537433644547201E-2</v>
      </c>
      <c r="S1195" s="22">
        <v>4.1449996048558146E-2</v>
      </c>
      <c r="T1195" s="19">
        <f t="shared" si="132"/>
        <v>4.2998521005311652E-2</v>
      </c>
      <c r="U1195" s="24">
        <v>4.275209291771187E-2</v>
      </c>
      <c r="V1195" s="24">
        <f t="shared" si="133"/>
        <v>4.2995719683127431E-2</v>
      </c>
      <c r="W1195" s="23">
        <f t="shared" si="134"/>
        <v>3.5142475482592417E-3</v>
      </c>
      <c r="X1195" s="24">
        <v>4.2486260253576491E-2</v>
      </c>
      <c r="Y1195" s="24">
        <f t="shared" si="135"/>
        <v>4.2996906256955736E-2</v>
      </c>
      <c r="Z1195" s="23">
        <f t="shared" si="136"/>
        <v>3.5143431611484033E-3</v>
      </c>
      <c r="AA1195" s="36"/>
    </row>
    <row r="1196" spans="15:27" ht="13.9" customHeight="1" x14ac:dyDescent="0.3">
      <c r="O1196" s="12">
        <f t="shared" si="130"/>
        <v>98.583333333333329</v>
      </c>
      <c r="P1196" s="13">
        <v>1183</v>
      </c>
      <c r="Q1196" s="22">
        <v>3.5721126698736061E-2</v>
      </c>
      <c r="R1196" s="19">
        <f t="shared" si="131"/>
        <v>3.6537620954797845E-2</v>
      </c>
      <c r="S1196" s="22">
        <v>4.1451304058552019E-2</v>
      </c>
      <c r="T1196" s="19">
        <f t="shared" si="132"/>
        <v>4.2998534417179712E-2</v>
      </c>
      <c r="U1196" s="24">
        <v>4.2752298833462987E-2</v>
      </c>
      <c r="V1196" s="24">
        <f t="shared" si="133"/>
        <v>4.2995748738669404E-2</v>
      </c>
      <c r="W1196" s="23">
        <f t="shared" si="134"/>
        <v>3.5142498938209865E-3</v>
      </c>
      <c r="X1196" s="24">
        <v>4.2486691801407295E-2</v>
      </c>
      <c r="Y1196" s="24">
        <f t="shared" si="135"/>
        <v>4.2996929414200524E-2</v>
      </c>
      <c r="Z1196" s="23">
        <f t="shared" si="136"/>
        <v>3.51434503188508E-3</v>
      </c>
      <c r="AA1196" s="36"/>
    </row>
    <row r="1197" spans="15:27" ht="13.9" customHeight="1" x14ac:dyDescent="0.3">
      <c r="O1197" s="12">
        <f t="shared" si="130"/>
        <v>98.666666666666671</v>
      </c>
      <c r="P1197" s="13">
        <v>1184</v>
      </c>
      <c r="Q1197" s="22">
        <v>3.5721816033923215E-2</v>
      </c>
      <c r="R1197" s="19">
        <f t="shared" si="131"/>
        <v>3.6537806709338483E-2</v>
      </c>
      <c r="S1197" s="22">
        <v>4.1452609872018931E-2</v>
      </c>
      <c r="T1197" s="19">
        <f t="shared" si="132"/>
        <v>4.2998547706802226E-2</v>
      </c>
      <c r="U1197" s="24">
        <v>4.275250442595846E-2</v>
      </c>
      <c r="V1197" s="24">
        <f t="shared" si="133"/>
        <v>4.2995777596690932E-2</v>
      </c>
      <c r="W1197" s="23">
        <f t="shared" si="134"/>
        <v>3.5142522234605789E-3</v>
      </c>
      <c r="X1197" s="24">
        <v>4.2487122639999209E-2</v>
      </c>
      <c r="Y1197" s="24">
        <f t="shared" si="135"/>
        <v>4.2996952398276278E-2</v>
      </c>
      <c r="Z1197" s="23">
        <f t="shared" si="136"/>
        <v>3.5143468886040807E-3</v>
      </c>
      <c r="AA1197" s="36"/>
    </row>
    <row r="1198" spans="15:27" ht="13.9" customHeight="1" x14ac:dyDescent="0.3">
      <c r="O1198" s="12">
        <f t="shared" si="130"/>
        <v>98.75</v>
      </c>
      <c r="P1198" s="13">
        <v>1185</v>
      </c>
      <c r="Q1198" s="22">
        <v>3.5722504362764695E-2</v>
      </c>
      <c r="R1198" s="19">
        <f t="shared" si="131"/>
        <v>3.6537990922362651E-2</v>
      </c>
      <c r="S1198" s="22">
        <v>4.1453913494412742E-2</v>
      </c>
      <c r="T1198" s="19">
        <f t="shared" si="132"/>
        <v>4.299856087572107E-2</v>
      </c>
      <c r="U1198" s="24">
        <v>4.2752709695849989E-2</v>
      </c>
      <c r="V1198" s="24">
        <f t="shared" si="133"/>
        <v>4.2995806258763425E-2</v>
      </c>
      <c r="W1198" s="23">
        <f t="shared" si="134"/>
        <v>3.5142545372630618E-3</v>
      </c>
      <c r="X1198" s="24">
        <v>4.2487552771001358E-2</v>
      </c>
      <c r="Y1198" s="24">
        <f t="shared" si="135"/>
        <v>4.2996975209481869E-2</v>
      </c>
      <c r="Z1198" s="23">
        <f t="shared" si="136"/>
        <v>3.5143487314386324E-3</v>
      </c>
      <c r="AA1198" s="36"/>
    </row>
    <row r="1199" spans="15:27" ht="13.9" customHeight="1" x14ac:dyDescent="0.3">
      <c r="O1199" s="12">
        <f t="shared" si="130"/>
        <v>98.833333333333329</v>
      </c>
      <c r="P1199" s="13">
        <v>1186</v>
      </c>
      <c r="Q1199" s="22">
        <v>3.5723191686506395E-2</v>
      </c>
      <c r="R1199" s="19">
        <f t="shared" si="131"/>
        <v>3.6538173605531021E-2</v>
      </c>
      <c r="S1199" s="22">
        <v>4.1455214931169992E-2</v>
      </c>
      <c r="T1199" s="19">
        <f t="shared" si="132"/>
        <v>4.2998573925786765E-2</v>
      </c>
      <c r="U1199" s="24">
        <v>4.2752914643788165E-2</v>
      </c>
      <c r="V1199" s="24">
        <f t="shared" si="133"/>
        <v>4.2995834726381243E-2</v>
      </c>
      <c r="W1199" s="23">
        <f t="shared" si="134"/>
        <v>3.5142568353547787E-3</v>
      </c>
      <c r="X1199" s="24">
        <v>4.2487982196057539E-2</v>
      </c>
      <c r="Y1199" s="24">
        <f t="shared" si="135"/>
        <v>4.2996997850801355E-2</v>
      </c>
      <c r="Z1199" s="23">
        <f t="shared" si="136"/>
        <v>3.5143505604127157E-3</v>
      </c>
      <c r="AA1199" s="36"/>
    </row>
    <row r="1200" spans="15:27" ht="13.9" customHeight="1" x14ac:dyDescent="0.3">
      <c r="O1200" s="12">
        <f t="shared" si="130"/>
        <v>98.916666666666671</v>
      </c>
      <c r="P1200" s="13">
        <v>1187</v>
      </c>
      <c r="Q1200" s="22">
        <v>3.5723878006399978E-2</v>
      </c>
      <c r="R1200" s="19">
        <f t="shared" si="131"/>
        <v>3.6538354772483128E-2</v>
      </c>
      <c r="S1200" s="22">
        <v>4.1456514187710569E-2</v>
      </c>
      <c r="T1200" s="19">
        <f t="shared" si="132"/>
        <v>4.2998586857349697E-2</v>
      </c>
      <c r="U1200" s="24">
        <v>4.2753119270422912E-2</v>
      </c>
      <c r="V1200" s="24">
        <f t="shared" si="133"/>
        <v>4.2995863000764967E-2</v>
      </c>
      <c r="W1200" s="23">
        <f t="shared" si="134"/>
        <v>3.5142591178551896E-3</v>
      </c>
      <c r="X1200" s="24">
        <v>4.2488410916808439E-2</v>
      </c>
      <c r="Y1200" s="24">
        <f t="shared" si="135"/>
        <v>4.2997020322474988E-2</v>
      </c>
      <c r="Z1200" s="23">
        <f t="shared" si="136"/>
        <v>3.5143523757654727E-3</v>
      </c>
      <c r="AA1200" s="36"/>
    </row>
    <row r="1201" spans="15:27" ht="13.9" customHeight="1" x14ac:dyDescent="0.3">
      <c r="O1201" s="12">
        <f t="shared" si="130"/>
        <v>99</v>
      </c>
      <c r="P1201" s="13">
        <v>1188</v>
      </c>
      <c r="Q1201" s="22">
        <v>3.5724563323704217E-2</v>
      </c>
      <c r="R1201" s="19">
        <f t="shared" si="131"/>
        <v>3.6538534435283765E-2</v>
      </c>
      <c r="S1201" s="22">
        <v>4.1457811269436373E-2</v>
      </c>
      <c r="T1201" s="19">
        <f t="shared" si="132"/>
        <v>4.2998599671495885E-2</v>
      </c>
      <c r="U1201" s="24">
        <v>4.2753323576402824E-2</v>
      </c>
      <c r="V1201" s="24">
        <f t="shared" si="133"/>
        <v>4.2995891083443816E-2</v>
      </c>
      <c r="W1201" s="23">
        <f t="shared" si="134"/>
        <v>3.5142613848622162E-3</v>
      </c>
      <c r="X1201" s="24">
        <v>4.2488838934889417E-2</v>
      </c>
      <c r="Y1201" s="24">
        <f t="shared" si="135"/>
        <v>4.2997042625821269E-2</v>
      </c>
      <c r="Z1201" s="23">
        <f t="shared" si="136"/>
        <v>3.5143541775162213E-3</v>
      </c>
      <c r="AA1201" s="36"/>
    </row>
    <row r="1202" spans="15:27" ht="13.9" customHeight="1" x14ac:dyDescent="0.3">
      <c r="O1202" s="12">
        <f t="shared" si="130"/>
        <v>99.083333333333329</v>
      </c>
      <c r="P1202" s="13">
        <v>1189</v>
      </c>
      <c r="Q1202" s="22">
        <v>3.5725247639683877E-2</v>
      </c>
      <c r="R1202" s="19">
        <f t="shared" si="131"/>
        <v>3.6538712606409618E-2</v>
      </c>
      <c r="S1202" s="22">
        <v>4.1459106181732208E-2</v>
      </c>
      <c r="T1202" s="19">
        <f t="shared" si="132"/>
        <v>4.2998612369647304E-2</v>
      </c>
      <c r="U1202" s="24">
        <v>4.2753527562375826E-2</v>
      </c>
      <c r="V1202" s="24">
        <f t="shared" si="133"/>
        <v>4.2995918974940706E-2</v>
      </c>
      <c r="W1202" s="23">
        <f t="shared" si="134"/>
        <v>3.514263636498427E-3</v>
      </c>
      <c r="X1202" s="24">
        <v>4.248926625193139E-2</v>
      </c>
      <c r="Y1202" s="24">
        <f t="shared" si="135"/>
        <v>4.2997064762209991E-2</v>
      </c>
      <c r="Z1202" s="23">
        <f t="shared" si="136"/>
        <v>3.5143559657704326E-3</v>
      </c>
      <c r="AA1202" s="36"/>
    </row>
    <row r="1203" spans="15:27" ht="13.9" customHeight="1" x14ac:dyDescent="0.3">
      <c r="O1203" s="12">
        <f t="shared" si="130"/>
        <v>99.166666666666671</v>
      </c>
      <c r="P1203" s="13">
        <v>1190</v>
      </c>
      <c r="Q1203" s="22">
        <v>3.5725930955609941E-2</v>
      </c>
      <c r="R1203" s="19">
        <f t="shared" si="131"/>
        <v>3.6538889298540989E-2</v>
      </c>
      <c r="S1203" s="22">
        <v>4.146039892996578E-2</v>
      </c>
      <c r="T1203" s="19">
        <f t="shared" si="132"/>
        <v>4.2998624952336195E-2</v>
      </c>
      <c r="U1203" s="24">
        <v>4.2753731228987846E-2</v>
      </c>
      <c r="V1203" s="24">
        <f t="shared" si="133"/>
        <v>4.2995946678035635E-2</v>
      </c>
      <c r="W1203" s="23">
        <f t="shared" si="134"/>
        <v>3.5142658728060105E-3</v>
      </c>
      <c r="X1203" s="24">
        <v>4.248969286956128E-2</v>
      </c>
      <c r="Y1203" s="24">
        <f t="shared" si="135"/>
        <v>4.2997086732849521E-2</v>
      </c>
      <c r="Z1203" s="23">
        <f t="shared" si="136"/>
        <v>3.514357740638463E-3</v>
      </c>
      <c r="AA1203" s="36"/>
    </row>
    <row r="1204" spans="15:27" ht="13.9" customHeight="1" x14ac:dyDescent="0.3">
      <c r="O1204" s="12">
        <f t="shared" si="130"/>
        <v>99.25</v>
      </c>
      <c r="P1204" s="13">
        <v>1191</v>
      </c>
      <c r="Q1204" s="22">
        <v>3.5726613272759611E-2</v>
      </c>
      <c r="R1204" s="19">
        <f t="shared" si="131"/>
        <v>3.6539064523534615E-2</v>
      </c>
      <c r="S1204" s="22">
        <v>4.1461689519487477E-2</v>
      </c>
      <c r="T1204" s="19">
        <f t="shared" si="132"/>
        <v>4.2998637421497898E-2</v>
      </c>
      <c r="U1204" s="24">
        <v>4.2753934576885033E-2</v>
      </c>
      <c r="V1204" s="24">
        <f t="shared" si="133"/>
        <v>4.2995974191929243E-2</v>
      </c>
      <c r="W1204" s="23">
        <f t="shared" si="134"/>
        <v>3.5142680940076776E-3</v>
      </c>
      <c r="X1204" s="24">
        <v>4.2490118789401121E-2</v>
      </c>
      <c r="Y1204" s="24">
        <f t="shared" si="135"/>
        <v>4.2997108539262863E-2</v>
      </c>
      <c r="Z1204" s="23">
        <f t="shared" si="136"/>
        <v>3.5143595022166796E-3</v>
      </c>
      <c r="AA1204" s="36"/>
    </row>
    <row r="1205" spans="15:27" ht="13.9" customHeight="1" x14ac:dyDescent="0.3">
      <c r="O1205" s="12">
        <f t="shared" si="130"/>
        <v>99.333333333333329</v>
      </c>
      <c r="P1205" s="13">
        <v>1192</v>
      </c>
      <c r="Q1205" s="22">
        <v>3.5727294592415859E-2</v>
      </c>
      <c r="R1205" s="19">
        <f t="shared" si="131"/>
        <v>3.6539238294013732E-2</v>
      </c>
      <c r="S1205" s="22">
        <v>4.1462977955631031E-2</v>
      </c>
      <c r="T1205" s="19">
        <f t="shared" si="132"/>
        <v>4.299864977718304E-2</v>
      </c>
      <c r="U1205" s="24">
        <v>4.2754137606710874E-2</v>
      </c>
      <c r="V1205" s="24">
        <f t="shared" si="133"/>
        <v>4.2996001520316351E-2</v>
      </c>
      <c r="W1205" s="23">
        <f t="shared" si="134"/>
        <v>3.5142703000392572E-3</v>
      </c>
      <c r="X1205" s="24">
        <v>4.2490544013068954E-2</v>
      </c>
      <c r="Y1205" s="24">
        <f t="shared" si="135"/>
        <v>4.2997130182416798E-2</v>
      </c>
      <c r="Z1205" s="23">
        <f t="shared" si="136"/>
        <v>3.5143612506276511E-3</v>
      </c>
      <c r="AA1205" s="36"/>
    </row>
    <row r="1206" spans="15:27" ht="13.9" customHeight="1" x14ac:dyDescent="0.3">
      <c r="O1206" s="12">
        <f t="shared" si="130"/>
        <v>99.416666666666671</v>
      </c>
      <c r="P1206" s="13">
        <v>1193</v>
      </c>
      <c r="Q1206" s="22">
        <v>3.5727974915868099E-2</v>
      </c>
      <c r="R1206" s="19">
        <f t="shared" si="131"/>
        <v>3.6539410621785562E-2</v>
      </c>
      <c r="S1206" s="22">
        <v>4.1464264243712634E-2</v>
      </c>
      <c r="T1206" s="19">
        <f t="shared" si="132"/>
        <v>4.2998662020752976E-2</v>
      </c>
      <c r="U1206" s="24">
        <v>4.2754340319109518E-2</v>
      </c>
      <c r="V1206" s="24">
        <f t="shared" si="133"/>
        <v>4.2996028662014352E-2</v>
      </c>
      <c r="W1206" s="23">
        <f t="shared" si="134"/>
        <v>3.514272491197179E-3</v>
      </c>
      <c r="X1206" s="24">
        <v>4.2490968542178376E-2</v>
      </c>
      <c r="Y1206" s="24">
        <f t="shared" si="135"/>
        <v>4.2997151663570321E-2</v>
      </c>
      <c r="Z1206" s="23">
        <f t="shared" si="136"/>
        <v>3.5143629859484271E-3</v>
      </c>
      <c r="AA1206" s="36"/>
    </row>
    <row r="1207" spans="15:27" ht="13.9" customHeight="1" x14ac:dyDescent="0.3">
      <c r="O1207" s="12">
        <f t="shared" si="130"/>
        <v>99.5</v>
      </c>
      <c r="P1207" s="13">
        <v>1194</v>
      </c>
      <c r="Q1207" s="22">
        <v>3.5728654244411073E-2</v>
      </c>
      <c r="R1207" s="19">
        <f t="shared" si="131"/>
        <v>3.6539581519355213E-2</v>
      </c>
      <c r="S1207" s="22">
        <v>4.1465548389031603E-2</v>
      </c>
      <c r="T1207" s="19">
        <f t="shared" si="132"/>
        <v>4.2998674153712502E-2</v>
      </c>
      <c r="U1207" s="24">
        <v>4.2754542714722232E-2</v>
      </c>
      <c r="V1207" s="24">
        <f t="shared" si="133"/>
        <v>4.2996055620019513E-2</v>
      </c>
      <c r="W1207" s="23">
        <f t="shared" si="134"/>
        <v>3.5142746673864078E-3</v>
      </c>
      <c r="X1207" s="24">
        <v>4.2491392378338322E-2</v>
      </c>
      <c r="Y1207" s="24">
        <f t="shared" si="135"/>
        <v>4.2997172983502363E-2</v>
      </c>
      <c r="Z1207" s="23">
        <f t="shared" si="136"/>
        <v>3.5143647082802598E-3</v>
      </c>
      <c r="AA1207" s="36"/>
    </row>
    <row r="1208" spans="15:27" ht="13.9" customHeight="1" x14ac:dyDescent="0.3">
      <c r="O1208" s="12">
        <f t="shared" si="130"/>
        <v>99.583333333333329</v>
      </c>
      <c r="P1208" s="13">
        <v>1195</v>
      </c>
      <c r="Q1208" s="22">
        <v>3.5729332579345741E-2</v>
      </c>
      <c r="R1208" s="19">
        <f t="shared" si="131"/>
        <v>3.6539750997394593E-2</v>
      </c>
      <c r="S1208" s="22">
        <v>4.1466830396871046E-2</v>
      </c>
      <c r="T1208" s="19">
        <f t="shared" si="132"/>
        <v>4.2998686175893974E-2</v>
      </c>
      <c r="U1208" s="24">
        <v>4.2754744794190502E-2</v>
      </c>
      <c r="V1208" s="24">
        <f t="shared" si="133"/>
        <v>4.2996082394610946E-2</v>
      </c>
      <c r="W1208" s="23">
        <f t="shared" si="134"/>
        <v>3.514276828847418E-3</v>
      </c>
      <c r="X1208" s="24">
        <v>4.2491815523153287E-2</v>
      </c>
      <c r="Y1208" s="24">
        <f t="shared" si="135"/>
        <v>4.2997194144307471E-2</v>
      </c>
      <c r="Z1208" s="23">
        <f t="shared" si="136"/>
        <v>3.5143664176855438E-3</v>
      </c>
      <c r="AA1208" s="36"/>
    </row>
    <row r="1209" spans="15:27" ht="13.9" customHeight="1" x14ac:dyDescent="0.3">
      <c r="O1209" s="12">
        <f t="shared" si="130"/>
        <v>99.666666666666671</v>
      </c>
      <c r="P1209" s="13">
        <v>1196</v>
      </c>
      <c r="Q1209" s="22">
        <v>3.5730009921977501E-2</v>
      </c>
      <c r="R1209" s="19">
        <f t="shared" si="131"/>
        <v>3.6539919068846904E-2</v>
      </c>
      <c r="S1209" s="22">
        <v>4.1468110272496084E-2</v>
      </c>
      <c r="T1209" s="19">
        <f t="shared" si="132"/>
        <v>4.2998698089972587E-2</v>
      </c>
      <c r="U1209" s="24">
        <v>4.2754946558153817E-2</v>
      </c>
      <c r="V1209" s="24">
        <f t="shared" si="133"/>
        <v>4.2996108987963577E-2</v>
      </c>
      <c r="W1209" s="23">
        <f t="shared" si="134"/>
        <v>3.514278975602414E-3</v>
      </c>
      <c r="X1209" s="24">
        <v>4.249223797822399E-2</v>
      </c>
      <c r="Y1209" s="24">
        <f t="shared" si="135"/>
        <v>4.2997215146617584E-2</v>
      </c>
      <c r="Z1209" s="23">
        <f t="shared" si="136"/>
        <v>3.5143681143321448E-3</v>
      </c>
      <c r="AA1209" s="36"/>
    </row>
    <row r="1210" spans="15:27" ht="13.9" customHeight="1" x14ac:dyDescent="0.3">
      <c r="O1210" s="12">
        <f t="shared" si="130"/>
        <v>99.75</v>
      </c>
      <c r="P1210" s="13">
        <v>1197</v>
      </c>
      <c r="Q1210" s="22">
        <v>3.5730686273618417E-2</v>
      </c>
      <c r="R1210" s="19">
        <f t="shared" si="131"/>
        <v>3.6540085745180084E-2</v>
      </c>
      <c r="S1210" s="22">
        <v>4.1469388021156517E-2</v>
      </c>
      <c r="T1210" s="19">
        <f t="shared" si="132"/>
        <v>4.299870989509702E-2</v>
      </c>
      <c r="U1210" s="24">
        <v>4.2755148007251664E-2</v>
      </c>
      <c r="V1210" s="24">
        <f t="shared" si="133"/>
        <v>4.2996135400717561E-2</v>
      </c>
      <c r="W1210" s="23">
        <f t="shared" si="134"/>
        <v>3.5142811078259228E-3</v>
      </c>
      <c r="X1210" s="24">
        <v>4.2492659745146266E-2</v>
      </c>
      <c r="Y1210" s="24">
        <f t="shared" si="135"/>
        <v>4.2997235991558691E-2</v>
      </c>
      <c r="Z1210" s="23">
        <f t="shared" si="136"/>
        <v>3.514369798270911E-3</v>
      </c>
      <c r="AA1210" s="36"/>
    </row>
    <row r="1211" spans="15:27" ht="13.9" customHeight="1" x14ac:dyDescent="0.3">
      <c r="O1211" s="12">
        <f t="shared" si="130"/>
        <v>99.833333333333329</v>
      </c>
      <c r="P1211" s="13">
        <v>1198</v>
      </c>
      <c r="Q1211" s="22">
        <v>3.5731361635585435E-2</v>
      </c>
      <c r="R1211" s="19">
        <f t="shared" si="131"/>
        <v>3.6540251037577187E-2</v>
      </c>
      <c r="S1211" s="22">
        <v>4.1470663648083939E-2</v>
      </c>
      <c r="T1211" s="19">
        <f t="shared" si="132"/>
        <v>4.2998721594187606E-2</v>
      </c>
      <c r="U1211" s="24">
        <v>4.2755349142121535E-2</v>
      </c>
      <c r="V1211" s="24">
        <f t="shared" si="133"/>
        <v>4.2996161634563768E-2</v>
      </c>
      <c r="W1211" s="23">
        <f t="shared" si="134"/>
        <v>3.5142832255692369E-3</v>
      </c>
      <c r="X1211" s="24">
        <v>4.2493080825511731E-2</v>
      </c>
      <c r="Y1211" s="24">
        <f t="shared" si="135"/>
        <v>4.2997256680965323E-2</v>
      </c>
      <c r="Z1211" s="23">
        <f t="shared" si="136"/>
        <v>3.5143714695917705E-3</v>
      </c>
      <c r="AA1211" s="36"/>
    </row>
    <row r="1212" spans="15:27" ht="13.9" customHeight="1" x14ac:dyDescent="0.3">
      <c r="O1212" s="12">
        <f t="shared" si="130"/>
        <v>99.916666666666671</v>
      </c>
      <c r="P1212" s="13">
        <v>1199</v>
      </c>
      <c r="Q1212" s="22">
        <v>3.5732036009200829E-2</v>
      </c>
      <c r="R1212" s="19">
        <f t="shared" si="131"/>
        <v>3.65404149580979E-2</v>
      </c>
      <c r="S1212" s="22">
        <v>4.1471937158494843E-2</v>
      </c>
      <c r="T1212" s="19">
        <f t="shared" si="132"/>
        <v>4.299873318665437E-2</v>
      </c>
      <c r="U1212" s="24">
        <v>4.2755549963400474E-2</v>
      </c>
      <c r="V1212" s="24">
        <f t="shared" si="133"/>
        <v>4.2996187689161136E-2</v>
      </c>
      <c r="W1212" s="23">
        <f t="shared" si="134"/>
        <v>3.5142853289678033E-3</v>
      </c>
      <c r="X1212" s="24">
        <v>4.2493501220908225E-2</v>
      </c>
      <c r="Y1212" s="24">
        <f t="shared" si="135"/>
        <v>4.2997277214840146E-2</v>
      </c>
      <c r="Z1212" s="23">
        <f t="shared" si="136"/>
        <v>3.5143731284421609E-3</v>
      </c>
      <c r="AA1212" s="36"/>
    </row>
    <row r="1213" spans="15:27" ht="13.9" customHeight="1" x14ac:dyDescent="0.3">
      <c r="O1213" s="12">
        <f t="shared" si="130"/>
        <v>100</v>
      </c>
      <c r="P1213" s="13">
        <v>1200</v>
      </c>
      <c r="Q1213" s="22">
        <v>3.5732709395792206E-2</v>
      </c>
      <c r="R1213" s="19">
        <f t="shared" si="131"/>
        <v>3.6540577517387263E-2</v>
      </c>
      <c r="S1213" s="22">
        <v>4.1473208557587959E-2</v>
      </c>
      <c r="T1213" s="19">
        <f t="shared" si="132"/>
        <v>4.2998744673805156E-2</v>
      </c>
      <c r="U1213" s="24">
        <v>4.2755750471723086E-2</v>
      </c>
      <c r="V1213" s="24">
        <f t="shared" si="133"/>
        <v>4.2996213567669361E-2</v>
      </c>
      <c r="W1213" s="23">
        <f t="shared" si="134"/>
        <v>3.5142874179943107E-3</v>
      </c>
      <c r="X1213" s="24">
        <v>4.2493920932918039E-2</v>
      </c>
      <c r="Y1213" s="24">
        <f t="shared" si="135"/>
        <v>4.2997297595163797E-2</v>
      </c>
      <c r="Z1213" s="23">
        <f t="shared" si="136"/>
        <v>3.5143747748223042E-3</v>
      </c>
      <c r="AA1213" s="36"/>
    </row>
    <row r="1214" spans="15:27" ht="13.9" customHeight="1" x14ac:dyDescent="0.3">
      <c r="O1214" s="12">
        <f t="shared" si="130"/>
        <v>100.08333333333333</v>
      </c>
      <c r="P1214" s="13">
        <v>1201</v>
      </c>
      <c r="Q1214" s="27">
        <v>3.573338179669161E-2</v>
      </c>
      <c r="R1214" s="20"/>
      <c r="S1214" s="27">
        <v>4.1474477850546032E-2</v>
      </c>
      <c r="T1214" s="20"/>
      <c r="U1214" s="28">
        <v>4.2755950667724196E-2</v>
      </c>
      <c r="V1214" s="28"/>
      <c r="W1214" s="29"/>
      <c r="X1214" s="28">
        <v>4.2494339963120131E-2</v>
      </c>
      <c r="Y1214" s="28"/>
      <c r="Z1214" s="29"/>
      <c r="AA1214" s="36"/>
    </row>
  </sheetData>
  <mergeCells count="68">
    <mergeCell ref="J43:J44"/>
    <mergeCell ref="I31:I38"/>
    <mergeCell ref="D29:J29"/>
    <mergeCell ref="D41:J41"/>
    <mergeCell ref="D43:D44"/>
    <mergeCell ref="E43:E44"/>
    <mergeCell ref="F43:F44"/>
    <mergeCell ref="G43:G44"/>
    <mergeCell ref="H43:H44"/>
    <mergeCell ref="J31:J32"/>
    <mergeCell ref="I43:I50"/>
    <mergeCell ref="D31:D32"/>
    <mergeCell ref="E31:E32"/>
    <mergeCell ref="F31:F32"/>
    <mergeCell ref="G31:G32"/>
    <mergeCell ref="H31:H32"/>
    <mergeCell ref="D51:J52"/>
    <mergeCell ref="D53:J55"/>
    <mergeCell ref="J1:M1"/>
    <mergeCell ref="O1:Z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V11:W11"/>
    <mergeCell ref="U6:W6"/>
    <mergeCell ref="U7:W7"/>
    <mergeCell ref="U8:W8"/>
    <mergeCell ref="U9:W9"/>
    <mergeCell ref="U10:W10"/>
    <mergeCell ref="S7:T7"/>
    <mergeCell ref="O8:P8"/>
    <mergeCell ref="O9:P9"/>
    <mergeCell ref="O11:P11"/>
    <mergeCell ref="O10:P10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X8:Z8"/>
    <mergeCell ref="X9:Z9"/>
    <mergeCell ref="X10:Z10"/>
    <mergeCell ref="Y11:Z11"/>
    <mergeCell ref="X3:Z3"/>
    <mergeCell ref="X4:Z4"/>
    <mergeCell ref="X5:Z5"/>
    <mergeCell ref="X6:Z6"/>
    <mergeCell ref="X7:Z7"/>
  </mergeCells>
  <phoneticPr fontId="2" type="noConversion"/>
  <pageMargins left="0.25" right="0.25" top="0.75" bottom="0.75" header="0.3" footer="0.3"/>
  <pageSetup paperSize="9" scale="4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FSS_NT551XED</cp:lastModifiedBy>
  <cp:lastPrinted>2026-02-04T04:36:09Z</cp:lastPrinted>
  <dcterms:created xsi:type="dcterms:W3CDTF">2021-08-24T04:22:45Z</dcterms:created>
  <dcterms:modified xsi:type="dcterms:W3CDTF">2026-05-06T08:04:45Z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NzMsICJub2RlMSIgOiB7ImRzZCI6IjAxMDAwMDAwMDAwMDE3MzkiLCJsb2dUaW1lIjoiMjAyNi0wMy0wNVQwNTozNjowM1oiLCJwSUQiOjEsInRyYWNlSWQiOiI3M0UzQkZFRTA5MDU0QzI1OTZFRUNFRUZDNzQyNjYwRiIsInVzZXJDb2RlIjoiMjI0MDcyMSJ9LCJub2RlMiIgOiB7ImRzZCI6IjAxMDAwMDAwMDAwMDE3MzkiLCJsb2dUaW1lIjoiMjAyNi0wNC0wMVQwNzozNDozOFoiLCJwSUQiOjEsInRyYWNlSWQiOiJDNDkwMjY0MTc3ODc0OTJFQUJCM0UxQzNCMkVGNkYyQiIsInVzZXJDb2RlIjoiMjI0MDcyMSJ9LCJub2RlMyIgOiB7ImRzZCI6IjAxMDAwMDAwMDAwMDE3MzkiLCJsb2dUaW1lIjoiMjAyNi0wNS0wNFQwMjoyNTowMVoiLCJwSUQiOjEsInRyYWNlSWQiOiIxNEQxRjczMkVCNTQ0NjY5OTUwNTAzQjgxRjEzM0U1MCIsInVzZXJDb2RlIjoiMjI0MDcyMSJ9LCJub2RlNCIgOiB7ImRzZCI6IjAxMDAwMDAwMDAwMDE3MzkiLCJsb2dUaW1lIjoiMjAyNi0wNS0wNlQwMDozOToyMFoiLCJwSUQiOjEsInRyYWNlSWQiOiJDMDQ3Q0EyMTAyNkQ0QzI0QjlGRDBCRThFNjM5OEI2OSIsInVzZXJDb2RlIjoiMjI0MDcyMSJ9LCJub2RlNSIgOiB7ICJ1c2VyQ29kZSIgOiAiMjI0MDcyMSIsICJ0cmFjZUlkIiA6ICI3MDAzQkY3ODc1QTMzRDE3Q0FEMTJFOTcyNTIyRDgxRCIsICJkc2QiIDogIjAwMDAwMDAwMDAwMDAwMDAiLCAicElEIiA6ICIyMDQ4IiwgImxvZ1RpbWUiIDogIjIwMjYtMDYtMDhUMDA6MDk6MTdaIiB9fQ==</vt:lpwstr>
  </property>
</Properties>
</file>