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업무용\할인율\할인율 산출\26.02\공시파일\"/>
    </mc:Choice>
  </mc:AlternateContent>
  <xr:revisionPtr revIDLastSave="0" documentId="13_ncr:1_{0FDB8E5B-1844-4B66-A1EB-D610567A85B2}" xr6:coauthVersionLast="47" xr6:coauthVersionMax="47" xr10:uidLastSave="{00000000-0000-0000-0000-000000000000}"/>
  <bookViews>
    <workbookView xWindow="33135" yWindow="1845" windowWidth="21855" windowHeight="1311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3" l="1"/>
  <c r="G34" i="3"/>
  <c r="J34" i="3" s="1"/>
  <c r="G35" i="3"/>
  <c r="J35" i="3" s="1"/>
  <c r="G36" i="3"/>
  <c r="J36" i="3" s="1"/>
  <c r="G33" i="3"/>
  <c r="J33" i="3" s="1"/>
  <c r="K4" i="3"/>
  <c r="J38" i="3" l="1"/>
  <c r="X7" i="3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X9" i="3"/>
  <c r="U9" i="3"/>
  <c r="Q13" i="3" a="1"/>
  <c r="F8" i="3" a="1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T864" i="3" s="1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X13" i="3" a="1"/>
  <c r="U13" i="3" a="1"/>
  <c r="T1133" i="3" l="1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417" i="3"/>
  <c r="Z418" i="3" s="1"/>
  <c r="Y113" i="3"/>
  <c r="Z114" i="3" s="1"/>
  <c r="Y1213" i="3"/>
  <c r="Y1021" i="3" l="1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W16" i="3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<sst xmlns="http://schemas.openxmlformats.org/spreadsheetml/2006/main" count="76" uniqueCount="64">
  <si>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</si>
  <si>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</si>
  <si>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</si>
  <si>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</si>
  <si>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</si>
  <si>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</si>
  <si>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</si>
  <si>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</si>
  <si>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</si>
  <si>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</si>
  <si>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</si>
  <si>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</si>
  <si>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</si>
  <si>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</si>
  <si>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</si>
  <si>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</si>
  <si>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</si>
  <si>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</si>
  <si>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</si>
  <si>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</si>
  <si>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</si>
  <si>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</si>
  <si>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</si>
  <si>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</si>
  <si>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</si>
  <si>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</si>
  <si>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</si>
  <si>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</si>
  <si>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</si>
  <si>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</si>
  <si>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</si>
  <si>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</si>
  <si>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</si>
  <si>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</si>
  <si>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</si>
  <si>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</si>
  <si>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</si>
  <si>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</si>
  <si>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</si>
  <si>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</si>
  <si>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유동성프리미엄 산출자료</t>
    <phoneticPr fontId="2" type="noConversion"/>
  </si>
  <si>
    <t>구분</t>
    <phoneticPr fontId="2" type="noConversion"/>
  </si>
  <si>
    <t>특수채</t>
    <phoneticPr fontId="2" type="noConversion"/>
  </si>
  <si>
    <t>금융채</t>
    <phoneticPr fontId="2" type="noConversion"/>
  </si>
  <si>
    <t>외화채</t>
    <phoneticPr fontId="2" type="noConversion"/>
  </si>
  <si>
    <t>개인대출</t>
    <phoneticPr fontId="2" type="noConversion"/>
  </si>
  <si>
    <t>계</t>
    <phoneticPr fontId="2" type="noConversion"/>
  </si>
  <si>
    <t>회사채 등</t>
    <phoneticPr fontId="2" type="noConversion"/>
  </si>
  <si>
    <t>위험스프레드
(A, bp)</t>
    <phoneticPr fontId="2" type="noConversion"/>
  </si>
  <si>
    <t>신용스프레드
(B, bp)</t>
    <phoneticPr fontId="2" type="noConversion"/>
  </si>
  <si>
    <t>자산별LP
(C=A-B, bp)</t>
    <phoneticPr fontId="2" type="noConversion"/>
  </si>
  <si>
    <t>장기선도금리 산출자료</t>
    <phoneticPr fontId="2" type="noConversion"/>
  </si>
  <si>
    <t>기대인플레이션</t>
    <phoneticPr fontId="2" type="noConversion"/>
  </si>
  <si>
    <t>장기선도
기준금리</t>
    <phoneticPr fontId="2" type="noConversion"/>
  </si>
  <si>
    <t>적용년도
(전년도 산출)</t>
    <phoneticPr fontId="2" type="noConversion"/>
  </si>
  <si>
    <t>△ 0.15%</t>
    <phoneticPr fontId="2" type="noConversion"/>
  </si>
  <si>
    <t>전년도 대비 조정</t>
    <phoneticPr fontId="2" type="noConversion"/>
  </si>
  <si>
    <t>△ 0.25%</t>
    <phoneticPr fontId="2" type="noConversion"/>
  </si>
  <si>
    <t>장기선도금리
(LTFR)</t>
    <phoneticPr fontId="2" type="noConversion"/>
  </si>
  <si>
    <t>자산비중
(D)</t>
    <phoneticPr fontId="2" type="noConversion"/>
  </si>
  <si>
    <t>가중평균
(C * D, bp)</t>
    <phoneticPr fontId="2" type="noConversion"/>
  </si>
  <si>
    <t>실질이자율 
장기평균</t>
    <phoneticPr fontId="2" type="noConversion"/>
  </si>
  <si>
    <t>※ 실질이자율 = { 명목이자율(=CD금리(91일물)) - 물가상승률 } / ( 1 + 물가상승률 )</t>
    <phoneticPr fontId="2" type="noConversion"/>
  </si>
  <si>
    <t>※ 실질이자율의 장기평균 : 각 연도별 국내 무위험 지표금리(CD91일물)에 
물가상승률을 차감조정한 값을 지수평활법을 통해 가중평균하여 산출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</si>
</sst>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2" x14ac:knownFonts="1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  <font>
      <sz val="10"/>
      <color theme="0" tint="-4.9989318521683403E-2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lightUp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79" fontId="8" fillId="0" borderId="2" xfId="0" applyNumberFormat="1" applyFont="1" applyFill="1" applyBorder="1" applyAlignment="1">
      <alignment horizontal="center" vertical="center"/>
    </xf>
    <xf numFmtId="10" fontId="8" fillId="0" borderId="2" xfId="5" applyNumberFormat="1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182" fontId="8" fillId="0" borderId="2" xfId="0" applyNumberFormat="1" applyFont="1" applyBorder="1" applyAlignment="1">
      <alignment horizontal="center" vertical="center"/>
    </xf>
    <xf numFmtId="182" fontId="19" fillId="15" borderId="2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0" fontId="19" fillId="15" borderId="2" xfId="0" applyNumberFormat="1" applyFont="1" applyFill="1" applyBorder="1" applyAlignment="1">
      <alignment horizontal="center" vertic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0" fontId="0" fillId="0" borderId="1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shrinkToFit="1"/>
    </xf>
    <xf numFmtId="0" fontId="7" fillId="12" borderId="8" xfId="0" applyFont="1" applyFill="1" applyBorder="1" applyAlignment="1">
      <alignment horizontal="center" vertical="center" shrinkToFit="1"/>
    </xf>
    <xf numFmtId="0" fontId="21" fillId="0" borderId="3" xfId="0" applyFont="1" applyBorder="1" applyAlignment="1">
      <alignment horizontal="center" vertical="center"/>
    </xf>
  </cellXfs>
  <cellStyles count="10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보통 2" xfId="9" xr:uid="{588A7036-7D8B-4214-ABFE-C628FC0D4DD9}"/>
    <cellStyle name="쉼표 [0] 2" xfId="8" xr:uid="{9EC669DA-D8B4-4B23-9141-3FD1B6D54B07}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11206</xdr:colOff>
      <xdr:row>34</xdr:row>
      <xdr:rowOff>10886</xdr:rowOff>
    </xdr:from>
    <xdr:to>
      <xdr:col>9</xdr:col>
      <xdr:colOff>0</xdr:colOff>
      <xdr:row>35</xdr:row>
      <xdr:rowOff>5443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E6BD73B6-1D11-46B2-9829-CD1760562123}"/>
            </a:ext>
          </a:extLst>
        </xdr:cNvPr>
        <xdr:cNvSpPr/>
      </xdr:nvSpPr>
      <xdr:spPr>
        <a:xfrm>
          <a:off x="6221506" y="6362700"/>
          <a:ext cx="152080" cy="16872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11206</xdr:colOff>
      <xdr:row>46</xdr:row>
      <xdr:rowOff>10886</xdr:rowOff>
    </xdr:from>
    <xdr:to>
      <xdr:col>9</xdr:col>
      <xdr:colOff>0</xdr:colOff>
      <xdr:row>47</xdr:row>
      <xdr:rowOff>5443</xdr:rowOff>
    </xdr:to>
    <xdr:sp macro="" textlink="">
      <xdr:nvSpPr>
        <xdr:cNvPr id="3" name="화살표: 오른쪽 2">
          <a:extLst>
            <a:ext uri="{FF2B5EF4-FFF2-40B4-BE49-F238E27FC236}">
              <a16:creationId xmlns:a16="http://schemas.microsoft.com/office/drawing/2014/main" id="{694B77D4-2214-4CDD-8389-019EF8E95A65}"/>
            </a:ext>
          </a:extLst>
        </xdr:cNvPr>
        <xdr:cNvSpPr/>
      </xdr:nvSpPr>
      <xdr:spPr>
        <a:xfrm>
          <a:off x="6230471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zoomScale="70" zoomScaleNormal="70" workbookViewId="0"/>
  </sheetViews>
  <sheetFormatPr defaultRowHeight="16.5" x14ac:dyDescent="0.3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</cols>
  <sheetData>
    <row r="1" spans="1:29" ht="16.899999999999999" customHeight="1" x14ac:dyDescent="0.25">
      <c r="A1" s="35"/>
      <c r="B1" t="s">
        <v>18</v>
      </c>
      <c r="D1" s="78" t="s">
        <v>30</v>
      </c>
      <c r="E1" s="79"/>
      <c r="F1" s="79"/>
      <c r="G1" s="79"/>
      <c r="H1" s="79"/>
      <c r="J1" s="110" t="s">
        <v>38</v>
      </c>
      <c r="K1" s="110"/>
      <c r="L1" s="110"/>
      <c r="M1" s="110"/>
      <c r="O1" s="111" t="s">
        <v>12</v>
      </c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9" ht="13.9" customHeight="1" x14ac:dyDescent="0.3">
      <c r="E2" s="1"/>
      <c r="N2" s="38"/>
    </row>
    <row r="3" spans="1:29" ht="17.45" customHeight="1" x14ac:dyDescent="0.3">
      <c r="D3" s="14"/>
      <c r="E3" s="80" t="s">
        <v>9</v>
      </c>
      <c r="F3" s="83"/>
      <c r="G3" s="83"/>
      <c r="H3" s="70"/>
      <c r="J3" s="47"/>
      <c r="K3" s="117" t="s">
        <v>39</v>
      </c>
      <c r="L3" s="117"/>
      <c r="M3" s="117"/>
      <c r="N3" s="39"/>
      <c r="O3" s="113"/>
      <c r="P3" s="113"/>
      <c r="Q3" s="90" t="s">
        <v>24</v>
      </c>
      <c r="R3" s="91"/>
      <c r="S3" s="80" t="s">
        <v>19</v>
      </c>
      <c r="T3" s="70"/>
      <c r="U3" s="70" t="s">
        <v>20</v>
      </c>
      <c r="V3" s="71"/>
      <c r="W3" s="71"/>
      <c r="X3" s="70" t="s">
        <v>27</v>
      </c>
      <c r="Y3" s="71"/>
      <c r="Z3" s="71"/>
    </row>
    <row r="4" spans="1:29" s="1" customFormat="1" ht="13.9" customHeight="1" x14ac:dyDescent="0.25">
      <c r="D4" s="4" t="s">
        <v>0</v>
      </c>
      <c r="E4" s="84">
        <v>46080</v>
      </c>
      <c r="F4" s="85"/>
      <c r="G4" s="85"/>
      <c r="H4" s="86"/>
      <c r="I4" s="3"/>
      <c r="J4" s="48" t="s">
        <v>31</v>
      </c>
      <c r="K4" s="118">
        <f>E4</f>
        <v>46080</v>
      </c>
      <c r="L4" s="119"/>
      <c r="M4" s="120"/>
      <c r="N4" s="40"/>
      <c r="O4" s="114" t="s">
        <v>0</v>
      </c>
      <c r="P4" s="114"/>
      <c r="Q4" s="81">
        <f>E4</f>
        <v>46080</v>
      </c>
      <c r="R4" s="73"/>
      <c r="S4" s="81">
        <f>E4</f>
        <v>46080</v>
      </c>
      <c r="T4" s="73"/>
      <c r="U4" s="72">
        <f>E4</f>
        <v>46080</v>
      </c>
      <c r="V4" s="72"/>
      <c r="W4" s="73"/>
      <c r="X4" s="72">
        <f>E4</f>
        <v>46080</v>
      </c>
      <c r="Y4" s="72"/>
      <c r="Z4" s="73"/>
      <c r="AC4" s="37"/>
    </row>
    <row r="5" spans="1:29" s="1" customFormat="1" ht="13.9" customHeight="1" x14ac:dyDescent="0.25">
      <c r="D5" s="5" t="s">
        <v>6</v>
      </c>
      <c r="E5" s="87">
        <v>0.1</v>
      </c>
      <c r="F5" s="88"/>
      <c r="G5" s="88"/>
      <c r="H5" s="89"/>
      <c r="I5" s="3"/>
      <c r="J5" s="48" t="s">
        <v>32</v>
      </c>
      <c r="K5" s="115">
        <v>0.1</v>
      </c>
      <c r="L5" s="115"/>
      <c r="M5" s="116"/>
      <c r="N5" s="40"/>
      <c r="O5" s="114" t="s">
        <v>2</v>
      </c>
      <c r="P5" s="114"/>
      <c r="Q5" s="92" t="s">
        <v>26</v>
      </c>
      <c r="R5" s="93"/>
      <c r="S5" s="82">
        <v>23</v>
      </c>
      <c r="T5" s="74"/>
      <c r="U5" s="74">
        <v>23</v>
      </c>
      <c r="V5" s="75"/>
      <c r="W5" s="75"/>
      <c r="X5" s="74">
        <v>23</v>
      </c>
      <c r="Y5" s="75"/>
      <c r="Z5" s="75"/>
      <c r="AC5" s="37"/>
    </row>
    <row r="6" spans="1:29" ht="13.9" customHeight="1" x14ac:dyDescent="0.25">
      <c r="D6" s="5" t="s">
        <v>7</v>
      </c>
      <c r="E6" s="87">
        <v>2</v>
      </c>
      <c r="F6" s="88"/>
      <c r="G6" s="88"/>
      <c r="H6" s="89"/>
      <c r="J6" s="48" t="s">
        <v>33</v>
      </c>
      <c r="K6" s="115">
        <v>2</v>
      </c>
      <c r="L6" s="115"/>
      <c r="M6" s="116"/>
      <c r="N6" s="38"/>
      <c r="O6" s="98" t="s">
        <v>3</v>
      </c>
      <c r="P6" s="98"/>
      <c r="Q6" s="94"/>
      <c r="R6" s="95"/>
      <c r="S6" s="82">
        <v>60</v>
      </c>
      <c r="T6" s="74"/>
      <c r="U6" s="74">
        <v>60</v>
      </c>
      <c r="V6" s="75"/>
      <c r="W6" s="75"/>
      <c r="X6" s="74">
        <v>60</v>
      </c>
      <c r="Y6" s="75"/>
      <c r="Z6" s="75"/>
      <c r="AC6" s="37"/>
    </row>
    <row r="7" spans="1:29" ht="13.9" customHeight="1" x14ac:dyDescent="0.25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8" t="s">
        <v>34</v>
      </c>
      <c r="K7" s="48" t="s">
        <v>35</v>
      </c>
      <c r="L7" s="48" t="s">
        <v>36</v>
      </c>
      <c r="M7" s="48" t="s">
        <v>37</v>
      </c>
      <c r="N7" s="38"/>
      <c r="O7" s="98" t="s">
        <v>4</v>
      </c>
      <c r="P7" s="98"/>
      <c r="Q7" s="94"/>
      <c r="R7" s="95"/>
      <c r="S7" s="104">
        <v>4.2999999999999997E-2</v>
      </c>
      <c r="T7" s="76"/>
      <c r="U7" s="76">
        <f>S7</f>
        <v>4.2999999999999997E-2</v>
      </c>
      <c r="V7" s="77"/>
      <c r="W7" s="77"/>
      <c r="X7" s="76">
        <f>S7</f>
        <v>4.2999999999999997E-2</v>
      </c>
      <c r="Y7" s="77"/>
      <c r="Z7" s="77"/>
      <c r="AC7" s="37"/>
    </row>
    <row r="8" spans="1:29" ht="13.9" customHeight="1" x14ac:dyDescent="0.25">
      <c r="D8" s="7">
        <v>0.25</v>
      </c>
      <c r="E8" s="34">
        <v>2.4990000000000002E-2</v>
      </c>
      <c r="F8" s="19">
        <f t="array" ref="F8:F23">SmithWilsonYTM(E23,E5,D8:D23,E8:E23,E6,D8:D23)</f>
        <v>2.4912261102000809E-2</v>
      </c>
      <c r="G8" s="19">
        <f>LN(EXP(F8)+$V$11)</f>
        <v>2.9272513159913627E-2</v>
      </c>
      <c r="H8" s="19">
        <f>LN(EXP(F8)+$Y$11)</f>
        <v>2.8398094368121709E-2</v>
      </c>
      <c r="J8" s="42">
        <v>0.25</v>
      </c>
      <c r="K8" s="49">
        <f t="array" ref="K8:K24">SmithWilsonYTM(E23,E5,D8:D23,E8:E23,E6,J8:J24)</f>
        <v>2.4912261102000809E-2</v>
      </c>
      <c r="L8" s="49">
        <f>LN(EXP(K8)+$V$11)</f>
        <v>2.9272513159913627E-2</v>
      </c>
      <c r="M8" s="49">
        <f>LN(EXP(K8)+$Y$11)</f>
        <v>2.8398094368121709E-2</v>
      </c>
      <c r="N8" s="38"/>
      <c r="O8" s="98" t="s">
        <v>1</v>
      </c>
      <c r="P8" s="98"/>
      <c r="Q8" s="94"/>
      <c r="R8" s="95"/>
      <c r="S8" s="99">
        <v>1</v>
      </c>
      <c r="T8" s="62"/>
      <c r="U8" s="62">
        <v>1</v>
      </c>
      <c r="V8" s="63"/>
      <c r="W8" s="63"/>
      <c r="X8" s="62">
        <v>1</v>
      </c>
      <c r="Y8" s="63"/>
      <c r="Z8" s="63"/>
      <c r="AC8" s="37"/>
    </row>
    <row r="9" spans="1:29" ht="13.9" customHeight="1" x14ac:dyDescent="0.25">
      <c r="D9" s="8">
        <v>0.5</v>
      </c>
      <c r="E9" s="9">
        <v>2.5520000000000001E-2</v>
      </c>
      <c r="F9" s="19">
        <v>2.5358554314148775E-2</v>
      </c>
      <c r="G9" s="19">
        <f t="shared" ref="G9:G23" si="0">LN(EXP(F9)+$V$11)</f>
        <v>2.9716865088762087E-2</v>
      </c>
      <c r="H9" s="19">
        <f t="shared" ref="H9:H23" si="1">LN(EXP(F9)+$Y$11)</f>
        <v>2.8842834930147138E-2</v>
      </c>
      <c r="J9" s="42">
        <v>0.5</v>
      </c>
      <c r="K9" s="49">
        <v>2.5358554314148775E-2</v>
      </c>
      <c r="L9" s="49">
        <f>LN(EXP(K9)+$V$11)</f>
        <v>2.9716865088762087E-2</v>
      </c>
      <c r="M9" s="49">
        <f t="shared" ref="M9:M24" si="2">LN(EXP(K9)+$Y$11)</f>
        <v>2.8842834930147138E-2</v>
      </c>
      <c r="O9" s="105" t="s">
        <v>11</v>
      </c>
      <c r="P9" s="106"/>
      <c r="Q9" s="94"/>
      <c r="R9" s="95"/>
      <c r="S9" s="100">
        <f>SmithWilson_ALPHA_UB_LB(S7,J8:J22,K8:K22,S6,S8*0.0001)</f>
        <v>0.12230321499128896</v>
      </c>
      <c r="T9" s="64"/>
      <c r="U9" s="64">
        <f>SmithWilson_ALPHA_UB_LB(U7,$J8:$J22,$L8:$L22,U6,U8*0.0001)</f>
        <v>0.10925274727375395</v>
      </c>
      <c r="V9" s="65"/>
      <c r="W9" s="65"/>
      <c r="X9" s="64">
        <f>SmithWilson_ALPHA_UB_LB(X7,$J8:$J22,$M8:$M22,X6,X8*0.0001)</f>
        <v>0.11249898247181392</v>
      </c>
      <c r="Y9" s="65"/>
      <c r="Z9" s="65"/>
      <c r="AC9" s="37"/>
    </row>
    <row r="10" spans="1:29" ht="13.9" customHeight="1" x14ac:dyDescent="0.25">
      <c r="D10" s="8">
        <v>0.75</v>
      </c>
      <c r="E10" s="9">
        <v>2.6520000000000002E-2</v>
      </c>
      <c r="F10" s="19">
        <v>2.6266424508558525E-2</v>
      </c>
      <c r="G10" s="19">
        <f t="shared" si="0"/>
        <v>3.0620788896532102E-2</v>
      </c>
      <c r="H10" s="19">
        <f t="shared" si="1"/>
        <v>2.9747548782517442E-2</v>
      </c>
      <c r="J10" s="42">
        <v>0.75</v>
      </c>
      <c r="K10" s="49">
        <v>2.6266424508558525E-2</v>
      </c>
      <c r="L10" s="49">
        <f t="shared" ref="L10:L24" si="3">LN(EXP(K10)+$V$11)</f>
        <v>3.0620788896532102E-2</v>
      </c>
      <c r="M10" s="49">
        <f t="shared" si="2"/>
        <v>2.9747548782517442E-2</v>
      </c>
      <c r="O10" s="105" t="s">
        <v>21</v>
      </c>
      <c r="P10" s="106"/>
      <c r="Q10" s="94"/>
      <c r="R10" s="95"/>
      <c r="S10" s="102" t="str">
        <f>IF(ROUND(ABS((VLOOKUP($S$6*12-1,$P$13:$T$1213,5,0)+VLOOKUP($S$6*12,$P$13:$T$1213,5,0))/2-$S$7),4)&lt;=0.0001,"PASS","FAIL")</f>
        <v>PASS</v>
      </c>
      <c r="T10" s="103"/>
      <c r="U10" s="66" t="str">
        <f>IF(ROUND(ABS((VLOOKUP($U$6*12-1,$P$13:$V$1213,7,0)+VLOOKUP($U$6*12,$P$13:$V$1213,7,0))/2-$U$7),4)&lt;=0.0001,"PASS","FAIL")</f>
        <v>PASS</v>
      </c>
      <c r="V10" s="66"/>
      <c r="W10" s="67"/>
      <c r="X10" s="66" t="str">
        <f>IF(ROUND(ABS((VLOOKUP($X$6*12-1,$P$13:$Y$1213,10,0)+VLOOKUP($X$6*12,$P$13:$Y$1213,10,0))/2-$X$7),4)&lt;=0.0001,"PASS","FAIL")</f>
        <v>PASS</v>
      </c>
      <c r="Y10" s="66"/>
      <c r="Z10" s="67"/>
      <c r="AC10" s="37"/>
    </row>
    <row r="11" spans="1:29" ht="13.9" customHeight="1" x14ac:dyDescent="0.25">
      <c r="D11" s="8">
        <v>1</v>
      </c>
      <c r="E11" s="9">
        <v>2.6949999999999998E-2</v>
      </c>
      <c r="F11" s="19">
        <v>2.677955250160502E-2</v>
      </c>
      <c r="G11" s="19">
        <f t="shared" si="0"/>
        <v>3.113168797026987E-2</v>
      </c>
      <c r="H11" s="19">
        <f t="shared" si="1"/>
        <v>3.0258894074574383E-2</v>
      </c>
      <c r="J11" s="42">
        <v>1</v>
      </c>
      <c r="K11" s="49">
        <v>2.677955250160502E-2</v>
      </c>
      <c r="L11" s="49">
        <f t="shared" si="3"/>
        <v>3.113168797026987E-2</v>
      </c>
      <c r="M11" s="49">
        <f t="shared" si="2"/>
        <v>3.0258894074574383E-2</v>
      </c>
      <c r="O11" s="105" t="s">
        <v>22</v>
      </c>
      <c r="P11" s="106"/>
      <c r="Q11" s="96"/>
      <c r="R11" s="97"/>
      <c r="S11" s="101">
        <v>0</v>
      </c>
      <c r="T11" s="89"/>
      <c r="U11" s="15" t="s">
        <v>23</v>
      </c>
      <c r="V11" s="68">
        <v>4.4799999999999996E-3</v>
      </c>
      <c r="W11" s="69"/>
      <c r="X11" s="32" t="s">
        <v>28</v>
      </c>
      <c r="Y11" s="68">
        <v>3.5799999999999998E-3</v>
      </c>
      <c r="Z11" s="69"/>
      <c r="AC11" s="37"/>
    </row>
    <row r="12" spans="1:29" ht="13.9" customHeight="1" x14ac:dyDescent="0.25">
      <c r="D12" s="8">
        <v>1.5</v>
      </c>
      <c r="E12" s="9">
        <v>2.8060000000000002E-2</v>
      </c>
      <c r="F12" s="19">
        <v>2.788703294123002E-2</v>
      </c>
      <c r="G12" s="19">
        <f t="shared" si="0"/>
        <v>3.223436162887338E-2</v>
      </c>
      <c r="H12" s="19">
        <f t="shared" si="1"/>
        <v>3.1362530029019786E-2</v>
      </c>
      <c r="J12" s="42">
        <v>1.5</v>
      </c>
      <c r="K12" s="49">
        <v>2.788703294123002E-2</v>
      </c>
      <c r="L12" s="49">
        <f t="shared" si="3"/>
        <v>3.223436162887338E-2</v>
      </c>
      <c r="M12" s="49">
        <f t="shared" si="2"/>
        <v>3.1362530029019786E-2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3.9" customHeight="1" x14ac:dyDescent="0.25">
      <c r="D13" s="8">
        <v>2</v>
      </c>
      <c r="E13" s="9">
        <v>2.8149999999999998E-2</v>
      </c>
      <c r="F13" s="19">
        <v>2.7972219631097198E-2</v>
      </c>
      <c r="G13" s="19">
        <f t="shared" si="0"/>
        <v>3.2319178803688522E-2</v>
      </c>
      <c r="H13" s="19">
        <f t="shared" si="1"/>
        <v>3.1447421179231896E-2</v>
      </c>
      <c r="J13" s="42">
        <v>2</v>
      </c>
      <c r="K13" s="49">
        <v>2.7972219631097198E-2</v>
      </c>
      <c r="L13" s="49">
        <f t="shared" si="3"/>
        <v>3.2319178803688522E-2</v>
      </c>
      <c r="M13" s="49">
        <f t="shared" si="2"/>
        <v>3.1447421179231896E-2</v>
      </c>
      <c r="O13" s="12">
        <v>0</v>
      </c>
      <c r="P13" s="13">
        <v>0</v>
      </c>
      <c r="Q13" s="31">
        <f t="array" ref="Q13:Q1214">Cont2Discrete(SmithWilsonYTM(E23,E5,D8:D23,E8:E23,E6,O13:O1214))</f>
        <v>2.5148279555685882E-2</v>
      </c>
      <c r="R13" s="30">
        <f>Q14</f>
        <v>2.5158676801667834E-2</v>
      </c>
      <c r="S13" s="22">
        <f t="array" ref="S13:S1214">Cont2Discrete(SmithWilson(S7,S9,J8:J22,K8:K22,O13:O1214))</f>
        <v>2.5131339116238438E-2</v>
      </c>
      <c r="T13" s="23">
        <f>S14</f>
        <v>2.5150284495205621E-2</v>
      </c>
      <c r="U13" s="24">
        <f t="array" ref="U13:U1214">Cont2Discrete(SmithWilson(U7,U9,J8:J22,L8:L22,O13:O1214))</f>
        <v>2.9620867715371535E-2</v>
      </c>
      <c r="V13" s="25">
        <f>U14</f>
        <v>2.9635015490818484E-2</v>
      </c>
      <c r="W13" s="26"/>
      <c r="X13" s="24">
        <f t="array" ref="X13:X1214">Cont2Discrete(SmithWilson(X7,X9,J8:J22,M8:M22,O13:O1214))</f>
        <v>2.8719176043573658E-2</v>
      </c>
      <c r="Y13" s="25">
        <f>X14</f>
        <v>2.873417684939894E-2</v>
      </c>
      <c r="Z13" s="26"/>
      <c r="AA13" s="36"/>
      <c r="AC13" s="37"/>
    </row>
    <row r="14" spans="1:29" ht="13.9" customHeight="1" x14ac:dyDescent="0.25">
      <c r="D14" s="8">
        <v>2.5</v>
      </c>
      <c r="E14" s="9">
        <v>2.971E-2</v>
      </c>
      <c r="F14" s="19">
        <v>2.955357479661963E-2</v>
      </c>
      <c r="G14" s="19">
        <f t="shared" si="0"/>
        <v>3.3893680198975137E-2</v>
      </c>
      <c r="H14" s="19">
        <f t="shared" si="1"/>
        <v>3.302329467515585E-2</v>
      </c>
      <c r="J14" s="42">
        <v>2.5</v>
      </c>
      <c r="K14" s="49">
        <v>2.955357479661963E-2</v>
      </c>
      <c r="L14" s="49">
        <f t="shared" si="3"/>
        <v>3.3893680198975137E-2</v>
      </c>
      <c r="M14" s="49">
        <f t="shared" si="2"/>
        <v>3.302329467515585E-2</v>
      </c>
      <c r="O14" s="12">
        <f t="shared" ref="O14:O77" si="4">P14/12</f>
        <v>8.3333333333333329E-2</v>
      </c>
      <c r="P14" s="13">
        <v>1</v>
      </c>
      <c r="Q14" s="22">
        <v>2.5158676801667834E-2</v>
      </c>
      <c r="R14" s="19">
        <f t="shared" ref="R14:R77" si="5">(1+Q15)^P15/(1+Q14)^P14-1</f>
        <v>2.5209951863396585E-2</v>
      </c>
      <c r="S14" s="22">
        <v>2.5150284495205621E-2</v>
      </c>
      <c r="T14" s="19">
        <f t="shared" ref="T14:T77" si="6">(1+S15)^P15/(1+S14)^P14-1</f>
        <v>2.5212869491930245E-2</v>
      </c>
      <c r="U14" s="24">
        <v>2.9635015490818484E-2</v>
      </c>
      <c r="V14" s="24">
        <f t="shared" ref="V14:V77" si="7">(1+U15)^P15/(1+U14)^P14-1</f>
        <v>2.969124251185562E-2</v>
      </c>
      <c r="W14" s="23">
        <f>(1+V13)^(1/12)-1</f>
        <v>2.4366626447118733E-3</v>
      </c>
      <c r="X14" s="24">
        <v>2.873417684939894E-2</v>
      </c>
      <c r="Y14" s="24">
        <f>(1+X15)^P15/(1+X14)^P14-1</f>
        <v>2.8791532901333072E-2</v>
      </c>
      <c r="Z14" s="23">
        <f>(1+Y13)^(1/12)-1</f>
        <v>2.3635464443603205E-3</v>
      </c>
      <c r="AA14" s="36"/>
      <c r="AC14" s="37"/>
    </row>
    <row r="15" spans="1:29" ht="13.9" customHeight="1" x14ac:dyDescent="0.25">
      <c r="D15" s="8">
        <v>3</v>
      </c>
      <c r="E15" s="9">
        <v>3.04E-2</v>
      </c>
      <c r="F15" s="19">
        <v>3.02506865493701E-2</v>
      </c>
      <c r="G15" s="19">
        <f t="shared" si="0"/>
        <v>3.4587774016816883E-2</v>
      </c>
      <c r="H15" s="19">
        <f t="shared" si="1"/>
        <v>3.3717992675311337E-2</v>
      </c>
      <c r="J15" s="42">
        <v>3</v>
      </c>
      <c r="K15" s="49">
        <v>3.02506865493701E-2</v>
      </c>
      <c r="L15" s="49">
        <f t="shared" si="3"/>
        <v>3.4587774016816883E-2</v>
      </c>
      <c r="M15" s="49">
        <f t="shared" si="2"/>
        <v>3.3717992675311337E-2</v>
      </c>
      <c r="O15" s="12">
        <f t="shared" si="4"/>
        <v>0.16666666666666666</v>
      </c>
      <c r="P15" s="13">
        <v>2</v>
      </c>
      <c r="Q15" s="22">
        <v>2.5184314011964082E-2</v>
      </c>
      <c r="R15" s="19">
        <f t="shared" si="5"/>
        <v>2.5306870215529242E-2</v>
      </c>
      <c r="S15" s="22">
        <v>2.5181576515983961E-2</v>
      </c>
      <c r="T15" s="19">
        <f t="shared" si="6"/>
        <v>2.531234588390352E-2</v>
      </c>
      <c r="U15" s="24">
        <v>2.966312861753706E-2</v>
      </c>
      <c r="V15" s="24">
        <f>(1+U16)^P16/(1+U15)^P15-1</f>
        <v>2.9789241269379207E-2</v>
      </c>
      <c r="W15" s="23">
        <f>(1+V14)^(1/12)-1</f>
        <v>2.4412243434195346E-3</v>
      </c>
      <c r="X15" s="24">
        <v>2.8762854475648414E-2</v>
      </c>
      <c r="Y15" s="24">
        <f t="shared" ref="Y15:Y78" si="8">(1+X16)^P16/(1+X15)^P15-1</f>
        <v>2.8889789625184736E-2</v>
      </c>
      <c r="Z15" s="23">
        <f t="shared" ref="Z15:Z78" si="9">(1+Y14)^(1/12)-1</f>
        <v>2.3682034739924696E-3</v>
      </c>
      <c r="AA15" s="36"/>
      <c r="AC15" s="37"/>
    </row>
    <row r="16" spans="1:29" ht="13.9" customHeight="1" x14ac:dyDescent="0.25">
      <c r="D16" s="8">
        <v>4</v>
      </c>
      <c r="E16" s="9">
        <v>3.159E-2</v>
      </c>
      <c r="F16" s="19">
        <v>3.1464219671261513E-2</v>
      </c>
      <c r="G16" s="19">
        <f t="shared" si="0"/>
        <v>3.5796058507964704E-2</v>
      </c>
      <c r="H16" s="19">
        <f t="shared" si="1"/>
        <v>3.4927327931451008E-2</v>
      </c>
      <c r="J16" s="42">
        <v>4</v>
      </c>
      <c r="K16" s="49">
        <v>3.1464219671261513E-2</v>
      </c>
      <c r="L16" s="49">
        <f t="shared" si="3"/>
        <v>3.5796058507964704E-2</v>
      </c>
      <c r="M16" s="49">
        <f t="shared" si="2"/>
        <v>3.4927327931451008E-2</v>
      </c>
      <c r="O16" s="12">
        <f t="shared" si="4"/>
        <v>0.25</v>
      </c>
      <c r="P16" s="13">
        <v>3</v>
      </c>
      <c r="Q16" s="22">
        <v>2.5225164452033155E-2</v>
      </c>
      <c r="R16" s="19">
        <f t="shared" si="5"/>
        <v>2.5503629525666316E-2</v>
      </c>
      <c r="S16" s="22">
        <v>2.5225164452023607E-2</v>
      </c>
      <c r="T16" s="19">
        <f t="shared" si="6"/>
        <v>2.5505023665315818E-2</v>
      </c>
      <c r="U16" s="24">
        <v>2.9705164452021426E-2</v>
      </c>
      <c r="V16" s="24">
        <f t="shared" si="7"/>
        <v>2.9984159622358453E-2</v>
      </c>
      <c r="W16" s="23">
        <f t="shared" ref="W16:W78" si="10">(1+V15)^(1/12)-1</f>
        <v>2.449174437700874E-3</v>
      </c>
      <c r="X16" s="24">
        <v>2.880516445205239E-2</v>
      </c>
      <c r="Y16" s="24">
        <f t="shared" si="8"/>
        <v>2.908430397226458E-2</v>
      </c>
      <c r="Z16" s="23">
        <f t="shared" si="9"/>
        <v>2.3761808841871179E-3</v>
      </c>
      <c r="AA16" s="36"/>
      <c r="AC16" s="37"/>
    </row>
    <row r="17" spans="4:30" ht="13.9" customHeight="1" x14ac:dyDescent="0.25">
      <c r="D17" s="8">
        <v>5</v>
      </c>
      <c r="E17" s="9">
        <v>3.2750000000000001E-2</v>
      </c>
      <c r="F17" s="19">
        <v>3.2664152187304757E-2</v>
      </c>
      <c r="G17" s="19">
        <f t="shared" si="0"/>
        <v>3.6990807448907516E-2</v>
      </c>
      <c r="H17" s="19">
        <f t="shared" si="1"/>
        <v>3.6123114617710096E-2</v>
      </c>
      <c r="J17" s="42">
        <v>5</v>
      </c>
      <c r="K17" s="49">
        <v>3.2664152187304757E-2</v>
      </c>
      <c r="L17" s="49">
        <f t="shared" si="3"/>
        <v>3.6990807448907516E-2</v>
      </c>
      <c r="M17" s="49">
        <f t="shared" si="2"/>
        <v>3.6123114617710096E-2</v>
      </c>
      <c r="O17" s="12">
        <f t="shared" si="4"/>
        <v>0.33333333333333331</v>
      </c>
      <c r="P17" s="13">
        <v>4</v>
      </c>
      <c r="Q17" s="22">
        <v>2.5294773630793355E-2</v>
      </c>
      <c r="R17" s="19">
        <f t="shared" si="5"/>
        <v>2.601719889395393E-2</v>
      </c>
      <c r="S17" s="22">
        <v>2.5295122094537659E-2</v>
      </c>
      <c r="T17" s="19">
        <f t="shared" si="6"/>
        <v>2.6016239831055499E-2</v>
      </c>
      <c r="U17" s="24">
        <v>2.9774906158899883E-2</v>
      </c>
      <c r="V17" s="24">
        <f t="shared" si="7"/>
        <v>3.0496757533581942E-2</v>
      </c>
      <c r="W17" s="23">
        <f t="shared" si="10"/>
        <v>2.4649850185642919E-3</v>
      </c>
      <c r="X17" s="24">
        <v>2.8874942232862022E-2</v>
      </c>
      <c r="Y17" s="24">
        <f t="shared" si="8"/>
        <v>2.9596663220746056E-2</v>
      </c>
      <c r="Z17" s="23">
        <f t="shared" si="9"/>
        <v>2.3919713392492881E-3</v>
      </c>
      <c r="AA17" s="36"/>
      <c r="AC17" s="37"/>
    </row>
    <row r="18" spans="4:30" ht="13.9" customHeight="1" x14ac:dyDescent="0.25">
      <c r="D18" s="8">
        <v>7</v>
      </c>
      <c r="E18" s="9">
        <v>3.39E-2</v>
      </c>
      <c r="F18" s="19">
        <v>3.3848963441547433E-2</v>
      </c>
      <c r="G18" s="19">
        <f t="shared" si="0"/>
        <v>3.8170506523134896E-2</v>
      </c>
      <c r="H18" s="19">
        <f t="shared" si="1"/>
        <v>3.730383714825998E-2</v>
      </c>
      <c r="J18" s="42">
        <v>7</v>
      </c>
      <c r="K18" s="49">
        <v>3.3848963441547433E-2</v>
      </c>
      <c r="L18" s="49">
        <f t="shared" si="3"/>
        <v>3.8170506523134896E-2</v>
      </c>
      <c r="M18" s="49">
        <f t="shared" si="2"/>
        <v>3.730383714825998E-2</v>
      </c>
      <c r="O18" s="12">
        <f t="shared" si="4"/>
        <v>0.41666666666666669</v>
      </c>
      <c r="P18" s="13">
        <v>5</v>
      </c>
      <c r="Q18" s="22">
        <v>2.5439217978820761E-2</v>
      </c>
      <c r="R18" s="19">
        <f t="shared" si="5"/>
        <v>2.6901684010534499E-2</v>
      </c>
      <c r="S18" s="22">
        <v>2.5439305084429487E-2</v>
      </c>
      <c r="T18" s="19">
        <f t="shared" si="6"/>
        <v>2.6901247861401245E-2</v>
      </c>
      <c r="U18" s="24">
        <v>2.9919235970596647E-2</v>
      </c>
      <c r="V18" s="24">
        <f t="shared" si="7"/>
        <v>3.1381590145657334E-2</v>
      </c>
      <c r="W18" s="23">
        <f t="shared" si="10"/>
        <v>2.5065507291786027E-3</v>
      </c>
      <c r="X18" s="24">
        <v>2.901924594644667E-2</v>
      </c>
      <c r="Y18" s="24">
        <f t="shared" si="8"/>
        <v>3.0481540951968755E-2</v>
      </c>
      <c r="Z18" s="23">
        <f t="shared" si="9"/>
        <v>2.4335509937056798E-3</v>
      </c>
      <c r="AA18" s="36"/>
      <c r="AC18" s="37"/>
    </row>
    <row r="19" spans="4:30" ht="13.9" customHeight="1" x14ac:dyDescent="0.25">
      <c r="D19" s="8">
        <v>10</v>
      </c>
      <c r="E19" s="9">
        <v>3.4450000000000001E-2</v>
      </c>
      <c r="F19" s="19">
        <v>3.4396104114839218E-2</v>
      </c>
      <c r="G19" s="19">
        <f t="shared" si="0"/>
        <v>3.8715288448770341E-2</v>
      </c>
      <c r="H19" s="19">
        <f t="shared" si="1"/>
        <v>3.7849091295610496E-2</v>
      </c>
      <c r="J19" s="42">
        <v>10</v>
      </c>
      <c r="K19" s="49">
        <v>3.4396104114839218E-2</v>
      </c>
      <c r="L19" s="49">
        <f t="shared" si="3"/>
        <v>3.8715288448770341E-2</v>
      </c>
      <c r="M19" s="49">
        <f t="shared" si="2"/>
        <v>3.7849091295610496E-2</v>
      </c>
      <c r="O19" s="12">
        <f t="shared" si="4"/>
        <v>0.5</v>
      </c>
      <c r="P19" s="13">
        <v>6</v>
      </c>
      <c r="Q19" s="22">
        <v>2.5682817600001906E-2</v>
      </c>
      <c r="R19" s="19">
        <f t="shared" si="5"/>
        <v>2.7998746589821932E-2</v>
      </c>
      <c r="S19" s="22">
        <v>2.5682817599992358E-2</v>
      </c>
      <c r="T19" s="19">
        <f t="shared" si="6"/>
        <v>2.7999831655297847E-2</v>
      </c>
      <c r="U19" s="24">
        <v>3.0162817599989955E-2</v>
      </c>
      <c r="V19" s="24">
        <f t="shared" si="7"/>
        <v>3.2479366660365327E-2</v>
      </c>
      <c r="W19" s="23">
        <f t="shared" si="10"/>
        <v>2.5782557571412124E-3</v>
      </c>
      <c r="X19" s="24">
        <v>2.9262817600020918E-2</v>
      </c>
      <c r="Y19" s="24">
        <f t="shared" si="8"/>
        <v>3.1579467577037557E-2</v>
      </c>
      <c r="Z19" s="23">
        <f t="shared" si="9"/>
        <v>2.5053171149145292E-3</v>
      </c>
      <c r="AA19" s="36"/>
      <c r="AC19" s="37"/>
    </row>
    <row r="20" spans="4:30" ht="13.9" customHeight="1" x14ac:dyDescent="0.25">
      <c r="D20" s="8">
        <v>15</v>
      </c>
      <c r="E20" s="9">
        <v>3.5349999999999999E-2</v>
      </c>
      <c r="F20" s="19">
        <v>3.538657802040876E-2</v>
      </c>
      <c r="G20" s="19">
        <f t="shared" si="0"/>
        <v>3.9701495644771212E-2</v>
      </c>
      <c r="H20" s="19">
        <f t="shared" si="1"/>
        <v>3.8836152689915714E-2</v>
      </c>
      <c r="J20" s="42">
        <v>15</v>
      </c>
      <c r="K20" s="49">
        <v>3.538657802040876E-2</v>
      </c>
      <c r="L20" s="49">
        <f t="shared" si="3"/>
        <v>3.9701495644771212E-2</v>
      </c>
      <c r="M20" s="49">
        <f t="shared" si="2"/>
        <v>3.8836152689915714E-2</v>
      </c>
      <c r="O20" s="12">
        <f t="shared" si="4"/>
        <v>0.58333333333333337</v>
      </c>
      <c r="P20" s="13">
        <v>7</v>
      </c>
      <c r="Q20" s="22">
        <v>2.6013344888649481E-2</v>
      </c>
      <c r="R20" s="19">
        <f t="shared" si="5"/>
        <v>2.8673805693676613E-2</v>
      </c>
      <c r="S20" s="22">
        <v>2.601349959855126E-2</v>
      </c>
      <c r="T20" s="19">
        <f t="shared" si="6"/>
        <v>2.86742547399228E-2</v>
      </c>
      <c r="U20" s="24">
        <v>3.0493434688216858E-2</v>
      </c>
      <c r="V20" s="24">
        <f t="shared" si="7"/>
        <v>3.3154012525931975E-2</v>
      </c>
      <c r="W20" s="23">
        <f t="shared" si="10"/>
        <v>2.6671389859052042E-3</v>
      </c>
      <c r="X20" s="24">
        <v>2.9593448799050348E-2</v>
      </c>
      <c r="Y20" s="24">
        <f t="shared" si="8"/>
        <v>3.2254058561369314E-2</v>
      </c>
      <c r="Z20" s="23">
        <f t="shared" si="9"/>
        <v>2.5942836244345902E-3</v>
      </c>
      <c r="AA20" s="36"/>
    </row>
    <row r="21" spans="4:30" ht="13.9" customHeight="1" x14ac:dyDescent="0.25">
      <c r="D21" s="8">
        <v>20</v>
      </c>
      <c r="E21" s="9">
        <v>3.5099999999999999E-2</v>
      </c>
      <c r="F21" s="19">
        <v>3.4957565994477642E-2</v>
      </c>
      <c r="G21" s="19">
        <f t="shared" si="0"/>
        <v>3.9274331176924367E-2</v>
      </c>
      <c r="H21" s="19">
        <f t="shared" si="1"/>
        <v>3.8408618339262436E-2</v>
      </c>
      <c r="J21" s="42">
        <v>20</v>
      </c>
      <c r="K21" s="49">
        <v>3.4957565994477642E-2</v>
      </c>
      <c r="L21" s="49">
        <f t="shared" si="3"/>
        <v>3.9274331176924367E-2</v>
      </c>
      <c r="M21" s="49">
        <f t="shared" si="2"/>
        <v>3.8408618339262436E-2</v>
      </c>
      <c r="O21" s="12">
        <f t="shared" si="4"/>
        <v>0.66666666666666663</v>
      </c>
      <c r="P21" s="13">
        <v>8</v>
      </c>
      <c r="Q21" s="22">
        <v>2.6345525832574657E-2</v>
      </c>
      <c r="R21" s="19">
        <f t="shared" si="5"/>
        <v>2.8768176727149708E-2</v>
      </c>
      <c r="S21" s="22">
        <v>2.6345717251297307E-2</v>
      </c>
      <c r="T21" s="19">
        <f t="shared" si="6"/>
        <v>2.8766641763868117E-2</v>
      </c>
      <c r="U21" s="24">
        <v>3.0825631863145242E-2</v>
      </c>
      <c r="V21" s="24">
        <f t="shared" si="7"/>
        <v>3.3247315453174719E-2</v>
      </c>
      <c r="W21" s="23">
        <f t="shared" si="10"/>
        <v>2.7217197972855267E-3</v>
      </c>
      <c r="X21" s="24">
        <v>2.9925649628239182E-2</v>
      </c>
      <c r="Y21" s="24">
        <f t="shared" si="8"/>
        <v>3.2347175206178136E-2</v>
      </c>
      <c r="Z21" s="23">
        <f t="shared" si="9"/>
        <v>2.6489036235048946E-3</v>
      </c>
      <c r="AA21" s="36"/>
    </row>
    <row r="22" spans="4:30" ht="13.9" customHeight="1" x14ac:dyDescent="0.25">
      <c r="D22" s="8">
        <v>30</v>
      </c>
      <c r="E22" s="9">
        <v>3.422E-2</v>
      </c>
      <c r="F22" s="19">
        <v>3.3623991126824425E-2</v>
      </c>
      <c r="G22" s="19">
        <f t="shared" si="0"/>
        <v>3.7946504446887221E-2</v>
      </c>
      <c r="H22" s="19">
        <f t="shared" si="1"/>
        <v>3.7079640830349529E-2</v>
      </c>
      <c r="J22" s="46">
        <v>23</v>
      </c>
      <c r="K22" s="49">
        <v>3.452127411622883E-2</v>
      </c>
      <c r="L22" s="49">
        <f t="shared" si="3"/>
        <v>3.8839919017332539E-2</v>
      </c>
      <c r="M22" s="49">
        <f t="shared" si="2"/>
        <v>3.7973829858849194E-2</v>
      </c>
      <c r="O22" s="12">
        <f t="shared" si="4"/>
        <v>0.75</v>
      </c>
      <c r="P22" s="13">
        <v>9</v>
      </c>
      <c r="Q22" s="22">
        <v>2.6614427285363895E-2</v>
      </c>
      <c r="R22" s="19">
        <f t="shared" si="5"/>
        <v>2.8471449139953808E-2</v>
      </c>
      <c r="S22" s="22">
        <v>2.6614427285353459E-2</v>
      </c>
      <c r="T22" s="19">
        <f t="shared" si="6"/>
        <v>2.846878217152482E-2</v>
      </c>
      <c r="U22" s="24">
        <v>3.1094427285351944E-2</v>
      </c>
      <c r="V22" s="24">
        <f t="shared" si="7"/>
        <v>3.2950015194615379E-2</v>
      </c>
      <c r="W22" s="23">
        <f t="shared" si="10"/>
        <v>2.7292657035018486E-3</v>
      </c>
      <c r="X22" s="24">
        <v>3.0194427285383574E-2</v>
      </c>
      <c r="Y22" s="24">
        <f t="shared" si="8"/>
        <v>3.2049766127259183E-2</v>
      </c>
      <c r="Z22" s="23">
        <f t="shared" si="9"/>
        <v>2.6564404827029708E-3</v>
      </c>
      <c r="AA22" s="36"/>
    </row>
    <row r="23" spans="4:30" ht="13.9" customHeight="1" x14ac:dyDescent="0.25">
      <c r="D23" s="8">
        <v>50</v>
      </c>
      <c r="E23" s="9">
        <v>3.3430000000000001E-2</v>
      </c>
      <c r="F23" s="19">
        <v>3.2396347236733777E-2</v>
      </c>
      <c r="G23" s="19">
        <f t="shared" si="0"/>
        <v>3.6724158849162129E-2</v>
      </c>
      <c r="H23" s="19">
        <f t="shared" si="1"/>
        <v>3.5856234517588535E-2</v>
      </c>
      <c r="J23" s="46">
        <v>30</v>
      </c>
      <c r="K23" s="49">
        <v>3.3623991126824425E-2</v>
      </c>
      <c r="L23" s="49">
        <f t="shared" si="3"/>
        <v>3.7946504446887221E-2</v>
      </c>
      <c r="M23" s="49">
        <f t="shared" si="2"/>
        <v>3.7079640830349529E-2</v>
      </c>
      <c r="O23" s="12">
        <f t="shared" si="4"/>
        <v>0.83333333333333337</v>
      </c>
      <c r="P23" s="13">
        <v>10</v>
      </c>
      <c r="Q23" s="22">
        <v>2.6799978482969999E-2</v>
      </c>
      <c r="R23" s="19">
        <f t="shared" si="5"/>
        <v>2.8539431361053857E-2</v>
      </c>
      <c r="S23" s="22">
        <v>2.6799712219242489E-2</v>
      </c>
      <c r="T23" s="19">
        <f t="shared" si="6"/>
        <v>2.8538733904940328E-2</v>
      </c>
      <c r="U23" s="24">
        <v>3.1279835975649428E-2</v>
      </c>
      <c r="V23" s="24">
        <f t="shared" si="7"/>
        <v>3.3019060446335846E-2</v>
      </c>
      <c r="W23" s="23">
        <f t="shared" si="10"/>
        <v>2.7052192669980712E-3</v>
      </c>
      <c r="X23" s="24">
        <v>3.0379810978264699E-2</v>
      </c>
      <c r="Y23" s="24">
        <f t="shared" si="8"/>
        <v>3.2118995670621375E-2</v>
      </c>
      <c r="Z23" s="23">
        <f t="shared" si="9"/>
        <v>2.6323660145510797E-3</v>
      </c>
      <c r="AA23" s="36"/>
      <c r="AD23" s="33"/>
    </row>
    <row r="24" spans="4:30" ht="13.9" customHeight="1" x14ac:dyDescent="0.25">
      <c r="D24" s="8"/>
      <c r="E24" s="9"/>
      <c r="F24" s="19"/>
      <c r="G24" s="19"/>
      <c r="H24" s="19"/>
      <c r="J24" s="46">
        <v>50</v>
      </c>
      <c r="K24" s="49">
        <v>3.2396347236733777E-2</v>
      </c>
      <c r="L24" s="49">
        <f t="shared" si="3"/>
        <v>3.6724158849162129E-2</v>
      </c>
      <c r="M24" s="49">
        <f t="shared" si="2"/>
        <v>3.5856234517588535E-2</v>
      </c>
      <c r="O24" s="12">
        <f t="shared" si="4"/>
        <v>0.91666666666666663</v>
      </c>
      <c r="P24" s="13">
        <v>11</v>
      </c>
      <c r="Q24" s="22">
        <v>2.6957988928439924E-2</v>
      </c>
      <c r="R24" s="19">
        <f t="shared" si="5"/>
        <v>2.9160448517256299E-2</v>
      </c>
      <c r="S24" s="22">
        <v>2.6957683525636877E-2</v>
      </c>
      <c r="T24" s="19">
        <f t="shared" si="6"/>
        <v>2.9163815158755213E-2</v>
      </c>
      <c r="U24" s="24">
        <v>3.1437826216407005E-2</v>
      </c>
      <c r="V24" s="24">
        <f t="shared" si="7"/>
        <v>3.3642232777049141E-2</v>
      </c>
      <c r="W24" s="23">
        <f t="shared" si="10"/>
        <v>2.7108043963464112E-3</v>
      </c>
      <c r="X24" s="24">
        <v>3.0537797502706576E-2</v>
      </c>
      <c r="Y24" s="24">
        <f t="shared" si="8"/>
        <v>3.2742551188184255E-2</v>
      </c>
      <c r="Z24" s="23">
        <f t="shared" si="9"/>
        <v>2.6379705284331756E-3</v>
      </c>
      <c r="AA24" s="36"/>
    </row>
    <row r="25" spans="4:30" ht="13.9" customHeight="1" x14ac:dyDescent="0.25">
      <c r="D25" s="8"/>
      <c r="E25" s="9"/>
      <c r="F25" s="19"/>
      <c r="G25" s="19"/>
      <c r="H25" s="19"/>
      <c r="J25" s="44"/>
      <c r="K25" s="44"/>
      <c r="L25" s="44"/>
      <c r="M25" s="44"/>
      <c r="O25" s="12">
        <f t="shared" si="4"/>
        <v>1</v>
      </c>
      <c r="P25" s="13">
        <v>12</v>
      </c>
      <c r="Q25" s="22">
        <v>2.7141347063152077E-2</v>
      </c>
      <c r="R25" s="19">
        <f t="shared" si="5"/>
        <v>3.0169798867512698E-2</v>
      </c>
      <c r="S25" s="22">
        <v>2.7141347063141641E-2</v>
      </c>
      <c r="T25" s="19">
        <f t="shared" si="6"/>
        <v>3.0176957547395133E-2</v>
      </c>
      <c r="U25" s="24">
        <v>3.1621347063139904E-2</v>
      </c>
      <c r="V25" s="24">
        <f t="shared" si="7"/>
        <v>3.4653578972269061E-2</v>
      </c>
      <c r="W25" s="23">
        <f t="shared" si="10"/>
        <v>2.7611978620272204E-3</v>
      </c>
      <c r="X25" s="24">
        <v>3.0721347063171311E-2</v>
      </c>
      <c r="Y25" s="24">
        <f t="shared" si="8"/>
        <v>3.3754256715033293E-2</v>
      </c>
      <c r="Z25" s="23">
        <f t="shared" si="9"/>
        <v>2.6884352671989742E-3</v>
      </c>
      <c r="AA25" s="36"/>
    </row>
    <row r="26" spans="4:30" ht="13.9" customHeight="1" x14ac:dyDescent="0.25">
      <c r="D26" s="10"/>
      <c r="E26" s="11"/>
      <c r="F26" s="20"/>
      <c r="G26" s="20"/>
      <c r="H26" s="20"/>
      <c r="I26" s="50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2.7373988480152489E-2</v>
      </c>
      <c r="R26" s="19">
        <f t="shared" si="5"/>
        <v>3.0907787113290341E-2</v>
      </c>
      <c r="S26" s="22">
        <v>2.7374537651590369E-2</v>
      </c>
      <c r="T26" s="19">
        <f t="shared" si="6"/>
        <v>3.0915061397098764E-2</v>
      </c>
      <c r="U26" s="24">
        <v>3.1854279842714162E-2</v>
      </c>
      <c r="V26" s="24">
        <f t="shared" si="7"/>
        <v>3.5391618784351264E-2</v>
      </c>
      <c r="W26" s="23">
        <f t="shared" si="10"/>
        <v>2.8429221591075304E-3</v>
      </c>
      <c r="X26" s="24">
        <v>3.095433156035754E-2</v>
      </c>
      <c r="Y26" s="24">
        <f t="shared" si="8"/>
        <v>3.4492308585154952E-2</v>
      </c>
      <c r="Z26" s="23">
        <f t="shared" si="9"/>
        <v>2.7702538386435993E-3</v>
      </c>
      <c r="AA26" s="36"/>
    </row>
    <row r="27" spans="4:30" ht="13.9" customHeight="1" x14ac:dyDescent="0.3">
      <c r="O27" s="12">
        <f t="shared" si="4"/>
        <v>1.1666666666666667</v>
      </c>
      <c r="P27" s="13">
        <v>14</v>
      </c>
      <c r="Q27" s="22">
        <v>2.7626000457775524E-2</v>
      </c>
      <c r="R27" s="19">
        <f t="shared" si="5"/>
        <v>3.1209123739901479E-2</v>
      </c>
      <c r="S27" s="22">
        <v>2.7627028463955705E-2</v>
      </c>
      <c r="T27" s="19">
        <f t="shared" si="6"/>
        <v>3.121326447108741E-2</v>
      </c>
      <c r="U27" s="24">
        <v>3.2106545640141038E-2</v>
      </c>
      <c r="V27" s="24">
        <f t="shared" si="7"/>
        <v>3.5691292517721074E-2</v>
      </c>
      <c r="W27" s="23">
        <f t="shared" si="10"/>
        <v>2.9025150627417506E-3</v>
      </c>
      <c r="X27" s="24">
        <v>3.1206642440898102E-2</v>
      </c>
      <c r="Y27" s="24">
        <f t="shared" si="8"/>
        <v>3.4791687179898778E-2</v>
      </c>
      <c r="Z27" s="23">
        <f t="shared" si="9"/>
        <v>2.8298952207028716E-3</v>
      </c>
      <c r="AA27" s="36"/>
    </row>
    <row r="28" spans="4:30" ht="13.9" customHeight="1" x14ac:dyDescent="0.3">
      <c r="O28" s="12">
        <f t="shared" si="4"/>
        <v>1.25</v>
      </c>
      <c r="P28" s="13">
        <v>15</v>
      </c>
      <c r="Q28" s="22">
        <v>2.7864487523917125E-2</v>
      </c>
      <c r="R28" s="19">
        <f t="shared" si="5"/>
        <v>3.1073818489365967E-2</v>
      </c>
      <c r="S28" s="22">
        <v>2.7865722372137469E-2</v>
      </c>
      <c r="T28" s="19">
        <f t="shared" si="6"/>
        <v>3.1072935989134409E-2</v>
      </c>
      <c r="U28" s="24">
        <v>3.2345142276185568E-2</v>
      </c>
      <c r="V28" s="24">
        <f t="shared" si="7"/>
        <v>3.5553328597836664E-2</v>
      </c>
      <c r="W28" s="23">
        <f t="shared" si="10"/>
        <v>2.9267010546281114E-3</v>
      </c>
      <c r="X28" s="24">
        <v>3.1445258533632003E-2</v>
      </c>
      <c r="Y28" s="24">
        <f t="shared" si="8"/>
        <v>3.4653249469331016E-2</v>
      </c>
      <c r="Z28" s="23">
        <f t="shared" si="9"/>
        <v>2.8540766466769174E-3</v>
      </c>
      <c r="AA28" s="36"/>
    </row>
    <row r="29" spans="4:30" ht="13.9" customHeight="1" x14ac:dyDescent="0.25">
      <c r="D29" s="111" t="s">
        <v>40</v>
      </c>
      <c r="E29" s="112"/>
      <c r="F29" s="112"/>
      <c r="G29" s="112"/>
      <c r="H29" s="112"/>
      <c r="I29" s="112"/>
      <c r="J29" s="112"/>
      <c r="O29" s="12">
        <f t="shared" si="4"/>
        <v>1.3333333333333333</v>
      </c>
      <c r="P29" s="13">
        <v>16</v>
      </c>
      <c r="Q29" s="22">
        <v>2.8064777728015633E-2</v>
      </c>
      <c r="R29" s="19">
        <f t="shared" si="5"/>
        <v>3.05023760196097E-2</v>
      </c>
      <c r="S29" s="22">
        <v>2.8065880628380002E-2</v>
      </c>
      <c r="T29" s="19">
        <f t="shared" si="6"/>
        <v>3.0495927364411868E-2</v>
      </c>
      <c r="U29" s="24">
        <v>3.2545362416956714E-2</v>
      </c>
      <c r="V29" s="24">
        <f t="shared" si="7"/>
        <v>3.4978944085376273E-2</v>
      </c>
      <c r="W29" s="23">
        <f t="shared" si="10"/>
        <v>2.91556709441676E-3</v>
      </c>
      <c r="X29" s="24">
        <v>3.1645466244468734E-2</v>
      </c>
      <c r="Y29" s="24">
        <f t="shared" si="8"/>
        <v>3.4078339511494971E-2</v>
      </c>
      <c r="Z29" s="23">
        <f t="shared" si="9"/>
        <v>2.8428955447457049E-3</v>
      </c>
      <c r="AA29" s="36"/>
    </row>
    <row r="30" spans="4:30" ht="13.9" customHeight="1" x14ac:dyDescent="0.3">
      <c r="O30" s="12">
        <f t="shared" si="4"/>
        <v>1.4166666666666667</v>
      </c>
      <c r="P30" s="13">
        <v>17</v>
      </c>
      <c r="Q30" s="22">
        <v>2.8208006116706708E-2</v>
      </c>
      <c r="R30" s="19">
        <f t="shared" si="5"/>
        <v>2.9495947881326368E-2</v>
      </c>
      <c r="S30" s="22">
        <v>2.8208665795574905E-2</v>
      </c>
      <c r="T30" s="19">
        <f t="shared" si="6"/>
        <v>2.9484719357804723E-2</v>
      </c>
      <c r="U30" s="24">
        <v>3.2688355749176612E-2</v>
      </c>
      <c r="V30" s="24">
        <f t="shared" si="7"/>
        <v>3.3969993430884804E-2</v>
      </c>
      <c r="W30" s="23">
        <f t="shared" si="10"/>
        <v>2.8691985128834752E-3</v>
      </c>
      <c r="X30" s="24">
        <v>3.1788417860235452E-2</v>
      </c>
      <c r="Y30" s="24">
        <f t="shared" si="8"/>
        <v>3.3068936887311162E-2</v>
      </c>
      <c r="Z30" s="23">
        <f t="shared" si="9"/>
        <v>2.7964475156823099E-3</v>
      </c>
      <c r="AA30" s="36"/>
    </row>
    <row r="31" spans="4:30" ht="13.9" customHeight="1" x14ac:dyDescent="0.3">
      <c r="D31" s="117" t="s">
        <v>41</v>
      </c>
      <c r="E31" s="121" t="s">
        <v>48</v>
      </c>
      <c r="F31" s="121" t="s">
        <v>49</v>
      </c>
      <c r="G31" s="121" t="s">
        <v>50</v>
      </c>
      <c r="H31" s="121" t="s">
        <v>59</v>
      </c>
      <c r="I31" s="123"/>
      <c r="J31" s="121" t="s">
        <v>60</v>
      </c>
      <c r="O31" s="12">
        <f t="shared" si="4"/>
        <v>1.5</v>
      </c>
      <c r="P31" s="13">
        <v>18</v>
      </c>
      <c r="Q31" s="22">
        <v>2.8279516147421857E-2</v>
      </c>
      <c r="R31" s="19">
        <f t="shared" si="5"/>
        <v>2.824275408987087E-2</v>
      </c>
      <c r="S31" s="22">
        <v>2.8279516147412309E-2</v>
      </c>
      <c r="T31" s="19">
        <f t="shared" si="6"/>
        <v>2.8229368391825327E-2</v>
      </c>
      <c r="U31" s="24">
        <v>3.275951614741035E-2</v>
      </c>
      <c r="V31" s="24">
        <f t="shared" si="7"/>
        <v>3.2715663896772051E-2</v>
      </c>
      <c r="W31" s="23">
        <f t="shared" si="10"/>
        <v>2.7876913864726127E-3</v>
      </c>
      <c r="X31" s="24">
        <v>3.1859516147439981E-2</v>
      </c>
      <c r="Y31" s="24">
        <f t="shared" si="8"/>
        <v>3.1814402645816031E-2</v>
      </c>
      <c r="Z31" s="23">
        <f t="shared" si="9"/>
        <v>2.7148387313582489E-3</v>
      </c>
      <c r="AA31" s="36"/>
    </row>
    <row r="32" spans="4:30" ht="13.9" customHeight="1" x14ac:dyDescent="0.3">
      <c r="D32" s="117"/>
      <c r="E32" s="117"/>
      <c r="F32" s="117"/>
      <c r="G32" s="117"/>
      <c r="H32" s="117"/>
      <c r="I32" s="123"/>
      <c r="J32" s="117"/>
      <c r="O32" s="12">
        <f t="shared" si="4"/>
        <v>1.5833333333333333</v>
      </c>
      <c r="P32" s="13">
        <v>19</v>
      </c>
      <c r="Q32" s="22">
        <v>2.8277581269520846E-2</v>
      </c>
      <c r="R32" s="19">
        <f t="shared" si="5"/>
        <v>2.7488330521352689E-2</v>
      </c>
      <c r="S32" s="22">
        <v>2.8276876730881639E-2</v>
      </c>
      <c r="T32" s="19">
        <f t="shared" si="6"/>
        <v>2.74776643285366E-2</v>
      </c>
      <c r="U32" s="24">
        <v>3.275720808779603E-2</v>
      </c>
      <c r="V32" s="24">
        <f t="shared" si="7"/>
        <v>3.1962677130048744E-2</v>
      </c>
      <c r="W32" s="23">
        <f t="shared" si="10"/>
        <v>2.6862598381411917E-3</v>
      </c>
      <c r="X32" s="24">
        <v>3.1857141703443226E-2</v>
      </c>
      <c r="Y32" s="24">
        <f t="shared" si="8"/>
        <v>3.1061672787776162E-2</v>
      </c>
      <c r="Z32" s="23">
        <f t="shared" si="9"/>
        <v>2.613309463070923E-3</v>
      </c>
      <c r="AA32" s="36"/>
    </row>
    <row r="33" spans="4:27" ht="13.9" customHeight="1" x14ac:dyDescent="0.3">
      <c r="D33" s="57" t="s">
        <v>42</v>
      </c>
      <c r="E33" s="53">
        <v>23.1</v>
      </c>
      <c r="F33" s="53">
        <v>6.1</v>
      </c>
      <c r="G33" s="53">
        <f>E33-F33</f>
        <v>17</v>
      </c>
      <c r="H33" s="54">
        <v>9.7229999999999997E-2</v>
      </c>
      <c r="I33" s="123"/>
      <c r="J33" s="55">
        <f>G33*H33</f>
        <v>1.6529099999999999</v>
      </c>
      <c r="O33" s="12">
        <f t="shared" si="4"/>
        <v>1.6666666666666667</v>
      </c>
      <c r="P33" s="13">
        <v>20</v>
      </c>
      <c r="Q33" s="22">
        <v>2.8238104337499514E-2</v>
      </c>
      <c r="R33" s="19">
        <f t="shared" si="5"/>
        <v>2.741673623957297E-2</v>
      </c>
      <c r="S33" s="22">
        <v>2.8236901350387367E-2</v>
      </c>
      <c r="T33" s="19">
        <f t="shared" si="6"/>
        <v>2.7412334016918116E-2</v>
      </c>
      <c r="U33" s="24">
        <v>3.2717467015305646E-2</v>
      </c>
      <c r="V33" s="24">
        <f t="shared" si="7"/>
        <v>3.1894397157942178E-2</v>
      </c>
      <c r="W33" s="23">
        <f t="shared" si="10"/>
        <v>2.6253151897817073E-3</v>
      </c>
      <c r="X33" s="24">
        <v>3.1817353686029115E-2</v>
      </c>
      <c r="Y33" s="24">
        <f t="shared" si="8"/>
        <v>3.0993983587458862E-2</v>
      </c>
      <c r="Z33" s="23">
        <f t="shared" si="9"/>
        <v>2.552336818423262E-3</v>
      </c>
      <c r="AA33" s="36"/>
    </row>
    <row r="34" spans="4:27" ht="13.9" customHeight="1" x14ac:dyDescent="0.3">
      <c r="D34" s="57" t="s">
        <v>43</v>
      </c>
      <c r="E34" s="53">
        <v>62.1</v>
      </c>
      <c r="F34" s="53">
        <v>6.1</v>
      </c>
      <c r="G34" s="53">
        <f t="shared" ref="G34:G36" si="11">E34-F34</f>
        <v>56</v>
      </c>
      <c r="H34" s="54">
        <v>1.319E-2</v>
      </c>
      <c r="I34" s="123"/>
      <c r="J34" s="55">
        <f t="shared" ref="J34:J37" si="12">G34*H34</f>
        <v>0.73863999999999996</v>
      </c>
      <c r="O34" s="12">
        <f t="shared" si="4"/>
        <v>1.75</v>
      </c>
      <c r="P34" s="13">
        <v>21</v>
      </c>
      <c r="Q34" s="22">
        <v>2.8198976685232857E-2</v>
      </c>
      <c r="R34" s="19">
        <f t="shared" si="5"/>
        <v>2.8026543176302487E-2</v>
      </c>
      <c r="S34" s="22">
        <v>2.8197621237337378E-2</v>
      </c>
      <c r="T34" s="19">
        <f t="shared" si="6"/>
        <v>2.8029847662715213E-2</v>
      </c>
      <c r="U34" s="24">
        <v>3.2678258329980725E-2</v>
      </c>
      <c r="V34" s="24">
        <f t="shared" si="7"/>
        <v>3.2508289070400265E-2</v>
      </c>
      <c r="W34" s="23">
        <f t="shared" si="10"/>
        <v>2.6197867837136624E-3</v>
      </c>
      <c r="X34" s="24">
        <v>3.177813067964208E-2</v>
      </c>
      <c r="Y34" s="24">
        <f t="shared" si="8"/>
        <v>3.1608600857703228E-2</v>
      </c>
      <c r="Z34" s="23">
        <f t="shared" si="9"/>
        <v>2.5468518565170406E-3</v>
      </c>
      <c r="AA34" s="36"/>
    </row>
    <row r="35" spans="4:27" ht="13.9" customHeight="1" x14ac:dyDescent="0.3">
      <c r="D35" s="57" t="s">
        <v>47</v>
      </c>
      <c r="E35" s="53">
        <v>171.3</v>
      </c>
      <c r="F35" s="53">
        <v>6.1</v>
      </c>
      <c r="G35" s="53">
        <f t="shared" si="11"/>
        <v>165.20000000000002</v>
      </c>
      <c r="H35" s="54">
        <v>0.15679999999999999</v>
      </c>
      <c r="I35" s="123"/>
      <c r="J35" s="55">
        <f t="shared" si="12"/>
        <v>25.903360000000003</v>
      </c>
      <c r="O35" s="12">
        <f t="shared" si="4"/>
        <v>1.8333333333333333</v>
      </c>
      <c r="P35" s="13">
        <v>22</v>
      </c>
      <c r="Q35" s="22">
        <v>2.8191138171044461E-2</v>
      </c>
      <c r="R35" s="19">
        <f t="shared" si="5"/>
        <v>2.931787554359655E-2</v>
      </c>
      <c r="S35" s="22">
        <v>2.8189994571798938E-2</v>
      </c>
      <c r="T35" s="19">
        <f t="shared" si="6"/>
        <v>2.9328267590018386E-2</v>
      </c>
      <c r="U35" s="24">
        <v>3.2670531847576623E-2</v>
      </c>
      <c r="V35" s="24">
        <f t="shared" si="7"/>
        <v>3.3803380527354099E-2</v>
      </c>
      <c r="W35" s="23">
        <f t="shared" si="10"/>
        <v>2.6694795635748836E-3</v>
      </c>
      <c r="X35" s="24">
        <v>3.1770424174283995E-2</v>
      </c>
      <c r="Y35" s="24">
        <f t="shared" si="8"/>
        <v>3.2904359294817276E-2</v>
      </c>
      <c r="Z35" s="23">
        <f t="shared" si="9"/>
        <v>2.5966431520250133E-3</v>
      </c>
      <c r="AA35" s="36"/>
    </row>
    <row r="36" spans="4:27" ht="13.9" customHeight="1" x14ac:dyDescent="0.3">
      <c r="D36" s="57" t="s">
        <v>44</v>
      </c>
      <c r="E36" s="53">
        <v>85.1</v>
      </c>
      <c r="F36" s="53">
        <v>6.1</v>
      </c>
      <c r="G36" s="53">
        <f t="shared" si="11"/>
        <v>79</v>
      </c>
      <c r="H36" s="54">
        <v>8.3549999999999999E-2</v>
      </c>
      <c r="I36" s="123"/>
      <c r="J36" s="55">
        <f t="shared" si="12"/>
        <v>6.6004500000000004</v>
      </c>
      <c r="O36" s="12">
        <f t="shared" si="4"/>
        <v>1.9166666666666667</v>
      </c>
      <c r="P36" s="13">
        <v>23</v>
      </c>
      <c r="Q36" s="22">
        <v>2.8240101095906356E-2</v>
      </c>
      <c r="R36" s="19">
        <f t="shared" si="5"/>
        <v>3.1292783613953379E-2</v>
      </c>
      <c r="S36" s="22">
        <v>2.8239458518596994E-2</v>
      </c>
      <c r="T36" s="19">
        <f t="shared" si="6"/>
        <v>3.1307606880331518E-2</v>
      </c>
      <c r="U36" s="24">
        <v>3.271976031489654E-2</v>
      </c>
      <c r="V36" s="24">
        <f t="shared" si="7"/>
        <v>3.5780625957383849E-2</v>
      </c>
      <c r="W36" s="23">
        <f t="shared" si="10"/>
        <v>2.7742247070088322E-3</v>
      </c>
      <c r="X36" s="24">
        <v>3.1819699806067137E-2</v>
      </c>
      <c r="Y36" s="24">
        <f t="shared" si="8"/>
        <v>3.4882025578402143E-2</v>
      </c>
      <c r="Z36" s="23">
        <f t="shared" si="9"/>
        <v>2.7015259343281528E-3</v>
      </c>
      <c r="AA36" s="36"/>
    </row>
    <row r="37" spans="4:27" ht="13.9" customHeight="1" x14ac:dyDescent="0.3">
      <c r="D37" s="57" t="s">
        <v>45</v>
      </c>
      <c r="E37" s="58"/>
      <c r="F37" s="58"/>
      <c r="G37" s="53">
        <v>201</v>
      </c>
      <c r="H37" s="54">
        <v>4.9160000000000002E-2</v>
      </c>
      <c r="I37" s="123"/>
      <c r="J37" s="55">
        <f t="shared" si="12"/>
        <v>9.8811600000000013</v>
      </c>
      <c r="O37" s="12">
        <f t="shared" si="4"/>
        <v>2</v>
      </c>
      <c r="P37" s="13">
        <v>24</v>
      </c>
      <c r="Q37" s="22">
        <v>2.836711560676175E-2</v>
      </c>
      <c r="R37" s="19">
        <f t="shared" si="5"/>
        <v>3.3730766324552741E-2</v>
      </c>
      <c r="S37" s="22">
        <v>2.8367115606751758E-2</v>
      </c>
      <c r="T37" s="19">
        <f t="shared" si="6"/>
        <v>3.374550640947227E-2</v>
      </c>
      <c r="U37" s="24">
        <v>3.2847115606750021E-2</v>
      </c>
      <c r="V37" s="24">
        <f t="shared" si="7"/>
        <v>3.8218522095041285E-2</v>
      </c>
      <c r="W37" s="23">
        <f t="shared" si="10"/>
        <v>2.9339097140985704E-3</v>
      </c>
      <c r="X37" s="24">
        <v>3.1947115606779874E-2</v>
      </c>
      <c r="Y37" s="24">
        <f t="shared" si="8"/>
        <v>3.7319924938512106E-2</v>
      </c>
      <c r="Z37" s="23">
        <f t="shared" si="9"/>
        <v>2.8613722057346802E-3</v>
      </c>
      <c r="AA37" s="36"/>
    </row>
    <row r="38" spans="4:27" ht="13.9" customHeight="1" x14ac:dyDescent="0.3">
      <c r="D38" s="57" t="s">
        <v>46</v>
      </c>
      <c r="E38" s="58"/>
      <c r="F38" s="58"/>
      <c r="G38" s="58"/>
      <c r="H38" s="58"/>
      <c r="I38" s="123"/>
      <c r="J38" s="56">
        <f>SUM(J33:J37)</f>
        <v>44.776520000000005</v>
      </c>
      <c r="O38" s="12">
        <f t="shared" si="4"/>
        <v>2.0833333333333335</v>
      </c>
      <c r="P38" s="13">
        <v>25</v>
      </c>
      <c r="Q38" s="22">
        <v>2.8581126335392115E-2</v>
      </c>
      <c r="R38" s="19">
        <f t="shared" si="5"/>
        <v>3.5734900690912452E-2</v>
      </c>
      <c r="S38" s="22">
        <v>2.8581712997591824E-2</v>
      </c>
      <c r="T38" s="19">
        <f t="shared" si="6"/>
        <v>3.5745074035982816E-2</v>
      </c>
      <c r="U38" s="24">
        <v>3.3061437340348387E-2</v>
      </c>
      <c r="V38" s="24">
        <f t="shared" si="7"/>
        <v>4.0220189806922324E-2</v>
      </c>
      <c r="W38" s="23">
        <f t="shared" si="10"/>
        <v>3.1304132784926164E-3</v>
      </c>
      <c r="X38" s="24">
        <v>3.2161492710505613E-2</v>
      </c>
      <c r="Y38" s="24">
        <f t="shared" si="8"/>
        <v>3.9321172066390853E-2</v>
      </c>
      <c r="Z38" s="23">
        <f t="shared" si="9"/>
        <v>3.058032247799769E-3</v>
      </c>
      <c r="AA38" s="36"/>
    </row>
    <row r="39" spans="4:27" ht="13.9" customHeight="1" x14ac:dyDescent="0.3">
      <c r="O39" s="12">
        <f t="shared" si="4"/>
        <v>2.1666666666666665</v>
      </c>
      <c r="P39" s="13">
        <v>26</v>
      </c>
      <c r="Q39" s="22">
        <v>2.8855355649548553E-2</v>
      </c>
      <c r="R39" s="19">
        <f t="shared" si="5"/>
        <v>3.7077888002116755E-2</v>
      </c>
      <c r="S39" s="22">
        <v>2.8856308580113899E-2</v>
      </c>
      <c r="T39" s="19">
        <f t="shared" si="6"/>
        <v>3.7080931411363149E-2</v>
      </c>
      <c r="U39" s="24">
        <v>3.3335860807709894E-2</v>
      </c>
      <c r="V39" s="24">
        <f t="shared" si="7"/>
        <v>4.1559363076124844E-2</v>
      </c>
      <c r="W39" s="23">
        <f t="shared" si="10"/>
        <v>3.291439238693572E-3</v>
      </c>
      <c r="X39" s="24">
        <v>3.2435950798700208E-2</v>
      </c>
      <c r="Y39" s="24">
        <f t="shared" si="8"/>
        <v>4.0659679120655046E-2</v>
      </c>
      <c r="Z39" s="23">
        <f t="shared" si="9"/>
        <v>3.2191521163633663E-3</v>
      </c>
      <c r="AA39" s="36"/>
    </row>
    <row r="40" spans="4:27" ht="13.9" customHeight="1" x14ac:dyDescent="0.3">
      <c r="O40" s="12">
        <f t="shared" si="4"/>
        <v>2.25</v>
      </c>
      <c r="P40" s="13">
        <v>27</v>
      </c>
      <c r="Q40" s="22">
        <v>2.9158728124946354E-2</v>
      </c>
      <c r="R40" s="19">
        <f t="shared" si="5"/>
        <v>3.775707494915137E-2</v>
      </c>
      <c r="S40" s="22">
        <v>2.915975789042724E-2</v>
      </c>
      <c r="T40" s="19">
        <f t="shared" si="6"/>
        <v>3.7752514027643569E-2</v>
      </c>
      <c r="U40" s="24">
        <v>3.3639273961318272E-2</v>
      </c>
      <c r="V40" s="24">
        <f t="shared" si="7"/>
        <v>4.2234502913472305E-2</v>
      </c>
      <c r="W40" s="23">
        <f t="shared" si="10"/>
        <v>3.3990117310149781E-3</v>
      </c>
      <c r="X40" s="24">
        <v>3.2739371254206562E-2</v>
      </c>
      <c r="Y40" s="24">
        <f t="shared" si="8"/>
        <v>4.1334103637869601E-2</v>
      </c>
      <c r="Z40" s="23">
        <f t="shared" si="9"/>
        <v>3.3267563209800066E-3</v>
      </c>
      <c r="AA40" s="36"/>
    </row>
    <row r="41" spans="4:27" ht="13.9" customHeight="1" x14ac:dyDescent="0.25">
      <c r="D41" s="111" t="s">
        <v>51</v>
      </c>
      <c r="E41" s="112"/>
      <c r="F41" s="112"/>
      <c r="G41" s="112"/>
      <c r="H41" s="112"/>
      <c r="I41" s="112"/>
      <c r="J41" s="112"/>
      <c r="O41" s="12">
        <f t="shared" si="4"/>
        <v>2.3333333333333335</v>
      </c>
      <c r="P41" s="13">
        <v>28</v>
      </c>
      <c r="Q41" s="22">
        <v>2.9464581677883128E-2</v>
      </c>
      <c r="R41" s="19">
        <f t="shared" si="5"/>
        <v>3.777049488798756E-2</v>
      </c>
      <c r="S41" s="22">
        <v>2.9465413372179006E-2</v>
      </c>
      <c r="T41" s="19">
        <f t="shared" si="6"/>
        <v>3.7759932927319051E-2</v>
      </c>
      <c r="U41" s="24">
        <v>3.3945022351496545E-2</v>
      </c>
      <c r="V41" s="24">
        <f t="shared" si="7"/>
        <v>4.2244752074215075E-2</v>
      </c>
      <c r="W41" s="23">
        <f t="shared" si="10"/>
        <v>3.4531959900843123E-3</v>
      </c>
      <c r="X41" s="24">
        <v>3.3045100990114262E-2</v>
      </c>
      <c r="Y41" s="24">
        <f t="shared" si="8"/>
        <v>4.1343783275191504E-2</v>
      </c>
      <c r="Z41" s="23">
        <f t="shared" si="9"/>
        <v>3.3809260675510266E-3</v>
      </c>
      <c r="AA41" s="36"/>
    </row>
    <row r="42" spans="4:27" ht="13.9" customHeight="1" x14ac:dyDescent="0.3">
      <c r="O42" s="12">
        <f t="shared" si="4"/>
        <v>2.4166666666666665</v>
      </c>
      <c r="P42" s="13">
        <v>29</v>
      </c>
      <c r="Q42" s="22">
        <v>2.9749882773770775E-2</v>
      </c>
      <c r="R42" s="19">
        <f t="shared" si="5"/>
        <v>3.711722942661333E-2</v>
      </c>
      <c r="S42" s="22">
        <v>2.9750324618721624E-2</v>
      </c>
      <c r="T42" s="19">
        <f t="shared" si="6"/>
        <v>3.7104324331593386E-2</v>
      </c>
      <c r="U42" s="24">
        <v>3.4230116647521625E-2</v>
      </c>
      <c r="V42" s="24">
        <f t="shared" si="7"/>
        <v>4.1590288712792578E-2</v>
      </c>
      <c r="W42" s="23">
        <f t="shared" si="10"/>
        <v>3.4540183023630266E-3</v>
      </c>
      <c r="X42" s="24">
        <v>3.3330158489486061E-2</v>
      </c>
      <c r="Y42" s="24">
        <f t="shared" si="8"/>
        <v>4.0689088650721406E-2</v>
      </c>
      <c r="Z42" s="23">
        <f t="shared" si="9"/>
        <v>3.3817033014575948E-3</v>
      </c>
      <c r="AA42" s="36"/>
    </row>
    <row r="43" spans="4:27" ht="13.9" customHeight="1" x14ac:dyDescent="0.3">
      <c r="D43" s="121" t="s">
        <v>54</v>
      </c>
      <c r="E43" s="121" t="s">
        <v>61</v>
      </c>
      <c r="F43" s="124" t="s">
        <v>52</v>
      </c>
      <c r="G43" s="121" t="s">
        <v>53</v>
      </c>
      <c r="H43" s="121" t="s">
        <v>56</v>
      </c>
      <c r="I43" s="123"/>
      <c r="J43" s="121" t="s">
        <v>58</v>
      </c>
      <c r="O43" s="12">
        <f t="shared" si="4"/>
        <v>2.5</v>
      </c>
      <c r="P43" s="13">
        <v>30</v>
      </c>
      <c r="Q43" s="22">
        <v>2.9994615745800424E-2</v>
      </c>
      <c r="R43" s="19">
        <f t="shared" si="5"/>
        <v>3.5956016191212248E-2</v>
      </c>
      <c r="S43" s="22">
        <v>2.9994615745791098E-2</v>
      </c>
      <c r="T43" s="19">
        <f t="shared" si="6"/>
        <v>3.5945515452102228E-2</v>
      </c>
      <c r="U43" s="24">
        <v>3.4474615745788695E-2</v>
      </c>
      <c r="V43" s="24">
        <f t="shared" si="7"/>
        <v>4.0430418988215866E-2</v>
      </c>
      <c r="W43" s="23">
        <f t="shared" si="10"/>
        <v>3.4014944132387814E-3</v>
      </c>
      <c r="X43" s="24">
        <v>3.3574615745817438E-2</v>
      </c>
      <c r="Y43" s="24">
        <f t="shared" si="8"/>
        <v>3.9529430743606264E-2</v>
      </c>
      <c r="Z43" s="23">
        <f t="shared" si="9"/>
        <v>3.3291191640565376E-3</v>
      </c>
      <c r="AA43" s="36"/>
    </row>
    <row r="44" spans="4:27" ht="13.9" customHeight="1" x14ac:dyDescent="0.3">
      <c r="D44" s="122"/>
      <c r="E44" s="122"/>
      <c r="F44" s="125"/>
      <c r="G44" s="122"/>
      <c r="H44" s="122"/>
      <c r="I44" s="123"/>
      <c r="J44" s="122"/>
      <c r="O44" s="12">
        <f t="shared" si="4"/>
        <v>2.5833333333333335</v>
      </c>
      <c r="P44" s="13">
        <v>31</v>
      </c>
      <c r="Q44" s="22">
        <v>3.018638246743488E-2</v>
      </c>
      <c r="R44" s="19">
        <f t="shared" si="5"/>
        <v>3.49205925773306E-2</v>
      </c>
      <c r="S44" s="22">
        <v>3.0186045618790125E-2</v>
      </c>
      <c r="T44" s="19">
        <f t="shared" si="6"/>
        <v>3.4914554670570697E-2</v>
      </c>
      <c r="U44" s="24">
        <v>3.4666205228030211E-2</v>
      </c>
      <c r="V44" s="24">
        <f t="shared" si="7"/>
        <v>3.9397403075329462E-2</v>
      </c>
      <c r="W44" s="23">
        <f t="shared" si="10"/>
        <v>3.3083348284401737E-3</v>
      </c>
      <c r="X44" s="24">
        <v>3.3766173063406235E-2</v>
      </c>
      <c r="Y44" s="24">
        <f t="shared" si="8"/>
        <v>3.8496827746643536E-2</v>
      </c>
      <c r="Z44" s="23">
        <f t="shared" si="9"/>
        <v>3.2359026256920664E-3</v>
      </c>
      <c r="AA44" s="36"/>
    </row>
    <row r="45" spans="4:27" ht="13.9" customHeight="1" x14ac:dyDescent="0.3">
      <c r="D45" s="51">
        <v>2021</v>
      </c>
      <c r="E45" s="52">
        <v>2.6499999999999999E-2</v>
      </c>
      <c r="F45" s="59">
        <v>0.02</v>
      </c>
      <c r="G45" s="59">
        <v>4.65E-2</v>
      </c>
      <c r="H45" s="60" t="s">
        <v>26</v>
      </c>
      <c r="I45" s="123"/>
      <c r="J45" s="59">
        <v>4.9500000000000002E-2</v>
      </c>
      <c r="O45" s="12">
        <f t="shared" si="4"/>
        <v>2.6666666666666665</v>
      </c>
      <c r="P45" s="13">
        <v>32</v>
      </c>
      <c r="Q45" s="22">
        <v>3.0333998208531332E-2</v>
      </c>
      <c r="R45" s="19">
        <f t="shared" si="5"/>
        <v>3.4168853970163671E-2</v>
      </c>
      <c r="S45" s="22">
        <v>3.0333483990807153E-2</v>
      </c>
      <c r="T45" s="19">
        <f t="shared" si="6"/>
        <v>3.4167745049147769E-2</v>
      </c>
      <c r="U45" s="24">
        <v>3.4813728668477983E-2</v>
      </c>
      <c r="V45" s="24">
        <f t="shared" si="7"/>
        <v>3.8648284241385777E-2</v>
      </c>
      <c r="W45" s="23">
        <f t="shared" si="10"/>
        <v>3.225283829975778E-3</v>
      </c>
      <c r="X45" s="24">
        <v>3.3913679321486478E-2</v>
      </c>
      <c r="Y45" s="24">
        <f t="shared" si="8"/>
        <v>3.7748174099219378E-2</v>
      </c>
      <c r="Z45" s="23">
        <f t="shared" si="9"/>
        <v>3.1528188513754163E-3</v>
      </c>
      <c r="AA45" s="36"/>
    </row>
    <row r="46" spans="4:27" ht="13.9" customHeight="1" x14ac:dyDescent="0.3">
      <c r="D46" s="51">
        <v>2022</v>
      </c>
      <c r="E46" s="52">
        <v>2.5999999999999999E-2</v>
      </c>
      <c r="F46" s="59">
        <v>0.02</v>
      </c>
      <c r="G46" s="59">
        <v>4.5999999999999999E-2</v>
      </c>
      <c r="H46" s="60" t="s">
        <v>26</v>
      </c>
      <c r="I46" s="123"/>
      <c r="J46" s="59">
        <v>4.9500000000000002E-2</v>
      </c>
      <c r="O46" s="12">
        <f t="shared" si="4"/>
        <v>2.75</v>
      </c>
      <c r="P46" s="13">
        <v>33</v>
      </c>
      <c r="Q46" s="22">
        <v>3.0449996763313836E-2</v>
      </c>
      <c r="R46" s="19">
        <f t="shared" si="5"/>
        <v>3.3700375750464362E-2</v>
      </c>
      <c r="S46" s="22">
        <v>3.0449464588973019E-2</v>
      </c>
      <c r="T46" s="19">
        <f t="shared" si="6"/>
        <v>3.3703770405203004E-2</v>
      </c>
      <c r="U46" s="24">
        <v>3.4929719062616771E-2</v>
      </c>
      <c r="V46" s="24">
        <f t="shared" si="7"/>
        <v>3.8182169554564105E-2</v>
      </c>
      <c r="W46" s="23">
        <f t="shared" si="10"/>
        <v>3.1650098575333185E-3</v>
      </c>
      <c r="X46" s="24">
        <v>3.4029667699093213E-2</v>
      </c>
      <c r="Y46" s="24">
        <f t="shared" si="8"/>
        <v>3.728249133826278E-2</v>
      </c>
      <c r="Z46" s="23">
        <f t="shared" si="9"/>
        <v>3.0925344210432915E-3</v>
      </c>
      <c r="AA46" s="36"/>
    </row>
    <row r="47" spans="4:27" ht="13.9" customHeight="1" x14ac:dyDescent="0.3">
      <c r="D47" s="51">
        <v>2023</v>
      </c>
      <c r="E47" s="52">
        <v>2.4500000000000001E-2</v>
      </c>
      <c r="F47" s="59">
        <v>0.02</v>
      </c>
      <c r="G47" s="59">
        <v>4.4499999999999998E-2</v>
      </c>
      <c r="H47" s="60" t="s">
        <v>55</v>
      </c>
      <c r="I47" s="123"/>
      <c r="J47" s="59">
        <v>4.8000000000000001E-2</v>
      </c>
      <c r="O47" s="12">
        <f t="shared" si="4"/>
        <v>2.8333333333333335</v>
      </c>
      <c r="P47" s="13">
        <v>34</v>
      </c>
      <c r="Q47" s="22">
        <v>3.0545450106398864E-2</v>
      </c>
      <c r="R47" s="19">
        <f t="shared" si="5"/>
        <v>3.35148463142525E-2</v>
      </c>
      <c r="S47" s="22">
        <v>3.0545033074244499E-2</v>
      </c>
      <c r="T47" s="19">
        <f t="shared" si="6"/>
        <v>3.3521441338135727E-2</v>
      </c>
      <c r="U47" s="24">
        <v>3.5025233777937537E-2</v>
      </c>
      <c r="V47" s="24">
        <f t="shared" si="7"/>
        <v>3.7998284170564389E-2</v>
      </c>
      <c r="W47" s="23">
        <f t="shared" si="10"/>
        <v>3.1274862354047084E-3</v>
      </c>
      <c r="X47" s="24">
        <v>3.4125193229460837E-2</v>
      </c>
      <c r="Y47" s="24">
        <f t="shared" si="8"/>
        <v>3.7098920998581919E-2</v>
      </c>
      <c r="Z47" s="23">
        <f t="shared" si="9"/>
        <v>3.055015764845681E-3</v>
      </c>
      <c r="AA47" s="36"/>
    </row>
    <row r="48" spans="4:27" ht="13.9" customHeight="1" x14ac:dyDescent="0.3">
      <c r="D48" s="51">
        <v>2024</v>
      </c>
      <c r="E48" s="52">
        <v>2.1999999999999999E-2</v>
      </c>
      <c r="F48" s="59">
        <v>0.02</v>
      </c>
      <c r="G48" s="59">
        <v>4.1999999999999996E-2</v>
      </c>
      <c r="H48" s="60" t="s">
        <v>57</v>
      </c>
      <c r="I48" s="123"/>
      <c r="J48" s="59">
        <v>4.5499999999999999E-2</v>
      </c>
      <c r="O48" s="12">
        <f t="shared" si="4"/>
        <v>2.9166666666666665</v>
      </c>
      <c r="P48" s="13">
        <v>35</v>
      </c>
      <c r="Q48" s="22">
        <v>3.0630171486514035E-2</v>
      </c>
      <c r="R48" s="19">
        <f t="shared" si="5"/>
        <v>3.3612131439307191E-2</v>
      </c>
      <c r="S48" s="22">
        <v>3.0629954238923895E-2</v>
      </c>
      <c r="T48" s="19">
        <f t="shared" si="6"/>
        <v>3.3619757133521277E-2</v>
      </c>
      <c r="U48" s="24">
        <v>3.5110059784978276E-2</v>
      </c>
      <c r="V48" s="24">
        <f t="shared" si="7"/>
        <v>3.8096034128810796E-2</v>
      </c>
      <c r="W48" s="23">
        <f t="shared" si="10"/>
        <v>3.1126786655948369E-3</v>
      </c>
      <c r="X48" s="24">
        <v>3.421003843345316E-2</v>
      </c>
      <c r="Y48" s="24">
        <f t="shared" si="8"/>
        <v>3.719678723129638E-2</v>
      </c>
      <c r="Z48" s="23">
        <f t="shared" si="9"/>
        <v>3.0402218129812475E-3</v>
      </c>
      <c r="AA48" s="36"/>
    </row>
    <row r="49" spans="4:27" ht="13.9" customHeight="1" x14ac:dyDescent="0.3">
      <c r="D49" s="51">
        <v>2025</v>
      </c>
      <c r="E49" s="52">
        <v>2.1500000000000002E-2</v>
      </c>
      <c r="F49" s="59">
        <v>0.02</v>
      </c>
      <c r="G49" s="59">
        <v>4.1500000000000002E-2</v>
      </c>
      <c r="H49" s="60" t="s">
        <v>57</v>
      </c>
      <c r="I49" s="123"/>
      <c r="J49" s="59">
        <v>4.2999999999999997E-2</v>
      </c>
      <c r="O49" s="12">
        <f t="shared" si="4"/>
        <v>3</v>
      </c>
      <c r="P49" s="13">
        <v>36</v>
      </c>
      <c r="Q49" s="22">
        <v>3.0712887426433744E-2</v>
      </c>
      <c r="R49" s="19">
        <f t="shared" si="5"/>
        <v>3.3942994140773619E-2</v>
      </c>
      <c r="S49" s="22">
        <v>3.0712887426424418E-2</v>
      </c>
      <c r="T49" s="19">
        <f t="shared" si="6"/>
        <v>3.3949245992280108E-2</v>
      </c>
      <c r="U49" s="24">
        <v>3.5192887426422903E-2</v>
      </c>
      <c r="V49" s="24">
        <f t="shared" si="7"/>
        <v>3.8426069208338021E-2</v>
      </c>
      <c r="W49" s="23">
        <f t="shared" si="10"/>
        <v>3.1205503862574702E-3</v>
      </c>
      <c r="X49" s="24">
        <v>3.4292887426450536E-2</v>
      </c>
      <c r="Y49" s="24">
        <f t="shared" si="8"/>
        <v>3.7526715010069323E-2</v>
      </c>
      <c r="Z49" s="23">
        <f t="shared" si="9"/>
        <v>3.0481091610745636E-3</v>
      </c>
      <c r="AA49" s="36"/>
    </row>
    <row r="50" spans="4:27" ht="13.9" customHeight="1" x14ac:dyDescent="0.3">
      <c r="D50" s="51">
        <v>2026</v>
      </c>
      <c r="E50" s="52">
        <v>2.1999999999999999E-2</v>
      </c>
      <c r="F50" s="59">
        <v>0.02</v>
      </c>
      <c r="G50" s="59">
        <v>4.1999999999999996E-2</v>
      </c>
      <c r="H50" s="60" t="s">
        <v>26</v>
      </c>
      <c r="I50" s="126"/>
      <c r="J50" s="61">
        <v>4.2999999999999997E-2</v>
      </c>
      <c r="O50" s="12">
        <f t="shared" si="4"/>
        <v>3.0833333333333335</v>
      </c>
      <c r="P50" s="13">
        <v>37</v>
      </c>
      <c r="Q50" s="22">
        <v>3.0800054785549591E-2</v>
      </c>
      <c r="R50" s="19">
        <f t="shared" si="5"/>
        <v>3.4310260544940796E-2</v>
      </c>
      <c r="S50" s="22">
        <v>3.0800223240379454E-2</v>
      </c>
      <c r="T50" s="19">
        <f t="shared" si="6"/>
        <v>3.4314675432295161E-2</v>
      </c>
      <c r="U50" s="24">
        <v>3.5280138217447687E-2</v>
      </c>
      <c r="V50" s="24">
        <f t="shared" si="7"/>
        <v>3.87922984843867E-2</v>
      </c>
      <c r="W50" s="23">
        <f t="shared" si="10"/>
        <v>3.1471228105508509E-3</v>
      </c>
      <c r="X50" s="24">
        <v>3.4380155503586751E-2</v>
      </c>
      <c r="Y50" s="24">
        <f t="shared" si="8"/>
        <v>3.7892784570227267E-2</v>
      </c>
      <c r="Z50" s="23">
        <f t="shared" si="9"/>
        <v>3.074694054805871E-3</v>
      </c>
      <c r="AA50" s="36"/>
    </row>
    <row r="51" spans="4:27" ht="13.9" customHeight="1" x14ac:dyDescent="0.3">
      <c r="D51" s="107" t="s">
        <v>62</v>
      </c>
      <c r="E51" s="107"/>
      <c r="F51" s="107"/>
      <c r="G51" s="107"/>
      <c r="H51" s="107"/>
      <c r="I51" s="107"/>
      <c r="J51" s="107"/>
      <c r="O51" s="12">
        <f t="shared" si="4"/>
        <v>3.1666666666666665</v>
      </c>
      <c r="P51" s="13">
        <v>38</v>
      </c>
      <c r="Q51" s="22">
        <v>3.0892275821218007E-2</v>
      </c>
      <c r="R51" s="19">
        <f t="shared" si="5"/>
        <v>3.4664648379324925E-2</v>
      </c>
      <c r="S51" s="22">
        <v>3.0892555654790987E-2</v>
      </c>
      <c r="T51" s="19">
        <f t="shared" si="6"/>
        <v>3.4667361742802605E-2</v>
      </c>
      <c r="U51" s="24">
        <v>3.5372411177999163E-2</v>
      </c>
      <c r="V51" s="24">
        <f t="shared" si="7"/>
        <v>3.9145769837706457E-2</v>
      </c>
      <c r="W51" s="23">
        <f t="shared" si="10"/>
        <v>3.1766003121151964E-3</v>
      </c>
      <c r="X51" s="24">
        <v>3.4472440628094736E-2</v>
      </c>
      <c r="Y51" s="24">
        <f t="shared" si="8"/>
        <v>3.8246097689390135E-2</v>
      </c>
      <c r="Z51" s="23">
        <f t="shared" si="9"/>
        <v>3.1041821103736655E-3</v>
      </c>
      <c r="AA51" s="36"/>
    </row>
    <row r="52" spans="4:27" ht="13.9" customHeight="1" x14ac:dyDescent="0.3">
      <c r="D52" s="108"/>
      <c r="E52" s="108"/>
      <c r="F52" s="108"/>
      <c r="G52" s="108"/>
      <c r="H52" s="108"/>
      <c r="I52" s="108"/>
      <c r="J52" s="108"/>
      <c r="O52" s="12">
        <f t="shared" si="4"/>
        <v>3.25</v>
      </c>
      <c r="P52" s="13">
        <v>39</v>
      </c>
      <c r="Q52" s="22">
        <v>3.0988831295976516E-2</v>
      </c>
      <c r="R52" s="19">
        <f t="shared" si="5"/>
        <v>3.5006194873792529E-2</v>
      </c>
      <c r="S52" s="22">
        <v>3.0989173306047668E-2</v>
      </c>
      <c r="T52" s="19">
        <f t="shared" si="6"/>
        <v>3.5007391984891667E-2</v>
      </c>
      <c r="U52" s="24">
        <v>3.5468992590555137E-2</v>
      </c>
      <c r="V52" s="24">
        <f t="shared" si="7"/>
        <v>3.948654582924882E-2</v>
      </c>
      <c r="W52" s="23">
        <f t="shared" si="10"/>
        <v>3.2050419057296775E-3</v>
      </c>
      <c r="X52" s="24">
        <v>3.4569029516141603E-2</v>
      </c>
      <c r="Y52" s="24">
        <f t="shared" si="8"/>
        <v>3.8586722210063096E-2</v>
      </c>
      <c r="Z52" s="23">
        <f t="shared" si="9"/>
        <v>3.1326335545414086E-3</v>
      </c>
      <c r="AA52" s="36"/>
    </row>
    <row r="53" spans="4:27" ht="13.9" customHeight="1" x14ac:dyDescent="0.3">
      <c r="D53" s="109" t="s">
        <v>63</v>
      </c>
      <c r="E53" s="109"/>
      <c r="F53" s="109"/>
      <c r="G53" s="109"/>
      <c r="H53" s="109"/>
      <c r="I53" s="109"/>
      <c r="J53" s="109"/>
      <c r="O53" s="12">
        <f t="shared" si="4"/>
        <v>3.3333333333333335</v>
      </c>
      <c r="P53" s="13">
        <v>40</v>
      </c>
      <c r="Q53" s="22">
        <v>3.1089075088984952E-2</v>
      </c>
      <c r="R53" s="19">
        <f t="shared" si="5"/>
        <v>3.5334933272580971E-2</v>
      </c>
      <c r="S53" s="22">
        <v>3.1089438395730085E-2</v>
      </c>
      <c r="T53" s="19">
        <f t="shared" si="6"/>
        <v>3.5334848822565545E-2</v>
      </c>
      <c r="U53" s="24">
        <v>3.5569241928476325E-2</v>
      </c>
      <c r="V53" s="24">
        <f t="shared" si="7"/>
        <v>3.9814684925066679E-2</v>
      </c>
      <c r="W53" s="23">
        <f t="shared" si="10"/>
        <v>3.2324535892007678E-3</v>
      </c>
      <c r="X53" s="24">
        <v>3.4669282162875126E-2</v>
      </c>
      <c r="Y53" s="24">
        <f t="shared" si="8"/>
        <v>3.8914721811735165E-2</v>
      </c>
      <c r="Z53" s="23">
        <f t="shared" si="9"/>
        <v>3.1600548152885821E-3</v>
      </c>
      <c r="AA53" s="36"/>
    </row>
    <row r="54" spans="4:27" ht="13.9" customHeight="1" x14ac:dyDescent="0.3">
      <c r="D54" s="109"/>
      <c r="E54" s="109"/>
      <c r="F54" s="109"/>
      <c r="G54" s="109"/>
      <c r="H54" s="109"/>
      <c r="I54" s="109"/>
      <c r="J54" s="109"/>
      <c r="O54" s="12">
        <f t="shared" si="4"/>
        <v>3.4166666666666665</v>
      </c>
      <c r="P54" s="13">
        <v>41</v>
      </c>
      <c r="Q54" s="22">
        <v>3.1192425151867598E-2</v>
      </c>
      <c r="R54" s="19">
        <f t="shared" si="5"/>
        <v>3.5650892973705162E-2</v>
      </c>
      <c r="S54" s="22">
        <v>3.1192777581482645E-2</v>
      </c>
      <c r="T54" s="19">
        <f t="shared" si="6"/>
        <v>3.5649810679446281E-2</v>
      </c>
      <c r="U54" s="24">
        <v>3.5672582800276631E-2</v>
      </c>
      <c r="V54" s="24">
        <f t="shared" si="7"/>
        <v>4.0130241640796926E-2</v>
      </c>
      <c r="W54" s="23">
        <f t="shared" si="10"/>
        <v>3.258840989402767E-3</v>
      </c>
      <c r="X54" s="24">
        <v>3.4772622774202233E-2</v>
      </c>
      <c r="Y54" s="24">
        <f t="shared" si="8"/>
        <v>3.9230156158653662E-2</v>
      </c>
      <c r="Z54" s="23">
        <f t="shared" si="9"/>
        <v>3.1864519433690841E-3</v>
      </c>
      <c r="AA54" s="36"/>
    </row>
    <row r="55" spans="4:27" ht="13.9" customHeight="1" x14ac:dyDescent="0.3">
      <c r="D55" s="109"/>
      <c r="E55" s="109"/>
      <c r="F55" s="109"/>
      <c r="G55" s="109"/>
      <c r="H55" s="109"/>
      <c r="I55" s="109"/>
      <c r="J55" s="109"/>
      <c r="O55" s="12">
        <f t="shared" si="4"/>
        <v>3.5</v>
      </c>
      <c r="P55" s="13">
        <v>42</v>
      </c>
      <c r="Q55" s="22">
        <v>3.1298355763585084E-2</v>
      </c>
      <c r="R55" s="19">
        <f t="shared" si="5"/>
        <v>3.5954136454650287E-2</v>
      </c>
      <c r="S55" s="22">
        <v>3.1298674176725827E-2</v>
      </c>
      <c r="T55" s="19">
        <f t="shared" si="6"/>
        <v>3.5952351889340983E-2</v>
      </c>
      <c r="U55" s="24">
        <v>3.5778495194722426E-2</v>
      </c>
      <c r="V55" s="24">
        <f t="shared" si="7"/>
        <v>4.0433266684534619E-2</v>
      </c>
      <c r="W55" s="23">
        <f t="shared" si="10"/>
        <v>3.284209375030045E-3</v>
      </c>
      <c r="X55" s="24">
        <v>3.4878532001280549E-2</v>
      </c>
      <c r="Y55" s="24">
        <f t="shared" si="8"/>
        <v>3.9533081043114038E-2</v>
      </c>
      <c r="Z55" s="23">
        <f t="shared" si="9"/>
        <v>3.2118306253952067E-3</v>
      </c>
      <c r="AA55" s="36"/>
    </row>
    <row r="56" spans="4:27" ht="13.9" customHeight="1" x14ac:dyDescent="0.3">
      <c r="O56" s="12">
        <f t="shared" si="4"/>
        <v>3.5833333333333335</v>
      </c>
      <c r="P56" s="13">
        <v>43</v>
      </c>
      <c r="Q56" s="22">
        <v>3.1406391724012162E-2</v>
      </c>
      <c r="R56" s="19">
        <f t="shared" si="5"/>
        <v>3.6244833129305043E-2</v>
      </c>
      <c r="S56" s="22">
        <v>3.1406661445397166E-2</v>
      </c>
      <c r="T56" s="19">
        <f t="shared" si="6"/>
        <v>3.6242542845174697E-2</v>
      </c>
      <c r="U56" s="24">
        <v>3.5886508814371387E-2</v>
      </c>
      <c r="V56" s="24">
        <f t="shared" si="7"/>
        <v>4.0723807095340625E-2</v>
      </c>
      <c r="W56" s="23">
        <f t="shared" si="10"/>
        <v>3.3085636691372322E-3</v>
      </c>
      <c r="X56" s="24">
        <v>3.4986540264956956E-2</v>
      </c>
      <c r="Y56" s="24">
        <f t="shared" si="8"/>
        <v>3.9823548527415209E-2</v>
      </c>
      <c r="Z56" s="23">
        <f t="shared" si="9"/>
        <v>3.2361961964750829E-3</v>
      </c>
      <c r="AA56" s="36"/>
    </row>
    <row r="57" spans="4:27" ht="13.9" customHeight="1" x14ac:dyDescent="0.3">
      <c r="O57" s="12">
        <f t="shared" si="4"/>
        <v>3.6666666666666665</v>
      </c>
      <c r="P57" s="13">
        <v>44</v>
      </c>
      <c r="Q57" s="22">
        <v>3.1516105012054263E-2</v>
      </c>
      <c r="R57" s="19">
        <f t="shared" si="5"/>
        <v>3.6523038846217659E-2</v>
      </c>
      <c r="S57" s="22">
        <v>3.1516316816994738E-2</v>
      </c>
      <c r="T57" s="19">
        <f t="shared" si="6"/>
        <v>3.6520450142623062E-2</v>
      </c>
      <c r="U57" s="24">
        <v>3.5996197323818091E-2</v>
      </c>
      <c r="V57" s="24">
        <f t="shared" si="7"/>
        <v>4.100190638036727E-2</v>
      </c>
      <c r="W57" s="23">
        <f t="shared" si="10"/>
        <v>3.331908461249089E-3</v>
      </c>
      <c r="X57" s="24">
        <v>3.5096221996244958E-2</v>
      </c>
      <c r="Y57" s="24">
        <f t="shared" si="8"/>
        <v>4.0101607081468815E-2</v>
      </c>
      <c r="Z57" s="23">
        <f t="shared" si="9"/>
        <v>3.2595536526627278E-3</v>
      </c>
      <c r="AA57" s="36"/>
    </row>
    <row r="58" spans="4:27" ht="13.9" customHeight="1" x14ac:dyDescent="0.3">
      <c r="O58" s="12">
        <f t="shared" si="4"/>
        <v>3.75</v>
      </c>
      <c r="P58" s="13">
        <v>45</v>
      </c>
      <c r="Q58" s="22">
        <v>3.1627107012913491E-2</v>
      </c>
      <c r="R58" s="19">
        <f t="shared" si="5"/>
        <v>3.6788769425181167E-2</v>
      </c>
      <c r="S58" s="22">
        <v>3.162725687825807E-2</v>
      </c>
      <c r="T58" s="19">
        <f t="shared" si="6"/>
        <v>3.678613672189357E-2</v>
      </c>
      <c r="U58" s="24">
        <v>3.6107173369944956E-2</v>
      </c>
      <c r="V58" s="24">
        <f t="shared" si="7"/>
        <v>4.1267604648982603E-2</v>
      </c>
      <c r="W58" s="23">
        <f t="shared" si="10"/>
        <v>3.3542480192847446E-3</v>
      </c>
      <c r="X58" s="24">
        <v>3.5207190649871212E-2</v>
      </c>
      <c r="Y58" s="24">
        <f t="shared" si="8"/>
        <v>4.0367301718685189E-2</v>
      </c>
      <c r="Z58" s="23">
        <f t="shared" si="9"/>
        <v>3.2819076629813093E-3</v>
      </c>
      <c r="AA58" s="36"/>
    </row>
    <row r="59" spans="4:27" ht="13.9" customHeight="1" x14ac:dyDescent="0.3">
      <c r="O59" s="12">
        <f t="shared" si="4"/>
        <v>3.8333333333333335</v>
      </c>
      <c r="P59" s="13">
        <v>46</v>
      </c>
      <c r="Q59" s="22">
        <v>3.1739043353644636E-2</v>
      </c>
      <c r="R59" s="19">
        <f t="shared" si="5"/>
        <v>3.7042037548273399E-2</v>
      </c>
      <c r="S59" s="22">
        <v>3.1739133022949506E-2</v>
      </c>
      <c r="T59" s="19">
        <f t="shared" si="6"/>
        <v>3.7039662005167839E-2</v>
      </c>
      <c r="U59" s="24">
        <v>3.621908425632947E-2</v>
      </c>
      <c r="V59" s="24">
        <f t="shared" si="7"/>
        <v>4.1520938745183145E-2</v>
      </c>
      <c r="W59" s="23">
        <f t="shared" si="10"/>
        <v>3.3755863011692977E-3</v>
      </c>
      <c r="X59" s="24">
        <v>3.5319094372898041E-2</v>
      </c>
      <c r="Y59" s="24">
        <f t="shared" si="8"/>
        <v>4.0620674129480561E-2</v>
      </c>
      <c r="Z59" s="23">
        <f t="shared" si="9"/>
        <v>3.3032625812352556E-3</v>
      </c>
      <c r="AA59" s="36"/>
    </row>
    <row r="60" spans="4:27" ht="13.9" customHeight="1" x14ac:dyDescent="0.3">
      <c r="O60" s="12">
        <f t="shared" si="4"/>
        <v>3.9166666666666665</v>
      </c>
      <c r="P60" s="13">
        <v>47</v>
      </c>
      <c r="Q60" s="22">
        <v>3.1851590180910216E-2</v>
      </c>
      <c r="R60" s="19">
        <f t="shared" si="5"/>
        <v>3.7282852885254458E-2</v>
      </c>
      <c r="S60" s="22">
        <v>3.1851627661372506E-2</v>
      </c>
      <c r="T60" s="19">
        <f t="shared" si="6"/>
        <v>3.7281082032387447E-2</v>
      </c>
      <c r="U60" s="24">
        <v>3.6331608174087648E-2</v>
      </c>
      <c r="V60" s="24">
        <f t="shared" si="7"/>
        <v>4.1761942377382066E-2</v>
      </c>
      <c r="W60" s="23">
        <f t="shared" si="10"/>
        <v>3.3959269662398039E-3</v>
      </c>
      <c r="X60" s="24">
        <v>3.5431612230558907E-2</v>
      </c>
      <c r="Y60" s="24">
        <f t="shared" si="8"/>
        <v>4.0861762811941427E-2</v>
      </c>
      <c r="Z60" s="23">
        <f t="shared" si="9"/>
        <v>3.3236224575625695E-3</v>
      </c>
      <c r="AA60" s="36"/>
    </row>
    <row r="61" spans="4:27" ht="13.9" customHeight="1" x14ac:dyDescent="0.3">
      <c r="O61" s="12">
        <f t="shared" si="4"/>
        <v>4</v>
      </c>
      <c r="P61" s="13">
        <v>48</v>
      </c>
      <c r="Q61" s="22">
        <v>3.1964450907761233E-2</v>
      </c>
      <c r="R61" s="19">
        <f t="shared" si="5"/>
        <v>3.7509170390180424E-2</v>
      </c>
      <c r="S61" s="22">
        <v>3.1964450907752795E-2</v>
      </c>
      <c r="T61" s="19">
        <f t="shared" si="6"/>
        <v>3.7508265290985943E-2</v>
      </c>
      <c r="U61" s="24">
        <v>3.6444450907750614E-2</v>
      </c>
      <c r="V61" s="24">
        <f t="shared" si="7"/>
        <v>4.1988546904838664E-2</v>
      </c>
      <c r="W61" s="23">
        <f t="shared" si="10"/>
        <v>3.4152733863759277E-3</v>
      </c>
      <c r="X61" s="24">
        <v>3.5544450907776914E-2</v>
      </c>
      <c r="Y61" s="24">
        <f t="shared" si="8"/>
        <v>4.1088486302924609E-2</v>
      </c>
      <c r="Z61" s="23">
        <f t="shared" si="9"/>
        <v>3.3429910496916015E-3</v>
      </c>
      <c r="AA61" s="36"/>
    </row>
    <row r="62" spans="4:27" ht="13.9" customHeight="1" x14ac:dyDescent="0.3">
      <c r="O62" s="12">
        <f t="shared" si="4"/>
        <v>4.083333333333333</v>
      </c>
      <c r="P62" s="13">
        <v>49</v>
      </c>
      <c r="Q62" s="22">
        <v>3.2077311707486844E-2</v>
      </c>
      <c r="R62" s="19">
        <f t="shared" si="5"/>
        <v>3.7712778027323646E-2</v>
      </c>
      <c r="S62" s="22">
        <v>3.2077293332765322E-2</v>
      </c>
      <c r="T62" s="19">
        <f t="shared" si="6"/>
        <v>3.7712528252442645E-2</v>
      </c>
      <c r="U62" s="24">
        <v>3.6557300327757947E-2</v>
      </c>
      <c r="V62" s="24">
        <f t="shared" si="7"/>
        <v>4.2192380680230013E-2</v>
      </c>
      <c r="W62" s="23">
        <f t="shared" si="10"/>
        <v>3.4334601851739865E-3</v>
      </c>
      <c r="X62" s="24">
        <v>3.5657298841633711E-2</v>
      </c>
      <c r="Y62" s="24">
        <f t="shared" si="8"/>
        <v>4.1292408593160967E-2</v>
      </c>
      <c r="Z62" s="23">
        <f t="shared" si="9"/>
        <v>3.3612018187352266E-3</v>
      </c>
      <c r="AA62" s="36"/>
    </row>
    <row r="63" spans="4:27" ht="13.9" customHeight="1" x14ac:dyDescent="0.3">
      <c r="O63" s="12">
        <f t="shared" si="4"/>
        <v>4.166666666666667</v>
      </c>
      <c r="P63" s="13">
        <v>50</v>
      </c>
      <c r="Q63" s="22">
        <v>3.2189720556365486E-2</v>
      </c>
      <c r="R63" s="19">
        <f t="shared" si="5"/>
        <v>3.789160168040584E-2</v>
      </c>
      <c r="S63" s="22">
        <v>3.2189697578266729E-2</v>
      </c>
      <c r="T63" s="19">
        <f t="shared" si="6"/>
        <v>3.7891744536616256E-2</v>
      </c>
      <c r="U63" s="24">
        <v>3.6669702792217596E-2</v>
      </c>
      <c r="V63" s="24">
        <f t="shared" si="7"/>
        <v>4.2371363982850019E-2</v>
      </c>
      <c r="W63" s="23">
        <f t="shared" si="10"/>
        <v>3.4498163545970684E-3</v>
      </c>
      <c r="X63" s="24">
        <v>3.5769701631926054E-2</v>
      </c>
      <c r="Y63" s="24">
        <f t="shared" si="8"/>
        <v>4.1471440261851678E-2</v>
      </c>
      <c r="Z63" s="23">
        <f t="shared" si="9"/>
        <v>3.3775780562350644E-3</v>
      </c>
      <c r="AA63" s="36"/>
    </row>
    <row r="64" spans="4:27" ht="13.9" customHeight="1" x14ac:dyDescent="0.3">
      <c r="O64" s="12">
        <f t="shared" si="4"/>
        <v>4.25</v>
      </c>
      <c r="P64" s="13">
        <v>51</v>
      </c>
      <c r="Q64" s="22">
        <v>3.2301220501871564E-2</v>
      </c>
      <c r="R64" s="19">
        <f t="shared" si="5"/>
        <v>3.8045613511358489E-2</v>
      </c>
      <c r="S64" s="22">
        <v>3.2301200757904658E-2</v>
      </c>
      <c r="T64" s="19">
        <f t="shared" si="6"/>
        <v>3.8045968881310177E-2</v>
      </c>
      <c r="U64" s="24">
        <v>3.6781199747283777E-2</v>
      </c>
      <c r="V64" s="24">
        <f t="shared" si="7"/>
        <v>4.252551227695367E-2</v>
      </c>
      <c r="W64" s="23">
        <f t="shared" si="10"/>
        <v>3.4641760376175057E-3</v>
      </c>
      <c r="X64" s="24">
        <v>3.588119983724658E-2</v>
      </c>
      <c r="Y64" s="24">
        <f t="shared" si="8"/>
        <v>4.1625604801173832E-2</v>
      </c>
      <c r="Z64" s="23">
        <f t="shared" si="9"/>
        <v>3.3919529976098595E-3</v>
      </c>
      <c r="AA64" s="36"/>
    </row>
    <row r="65" spans="15:27" ht="13.9" customHeight="1" x14ac:dyDescent="0.3">
      <c r="O65" s="12">
        <f t="shared" si="4"/>
        <v>4.333333333333333</v>
      </c>
      <c r="P65" s="13">
        <v>52</v>
      </c>
      <c r="Q65" s="22">
        <v>3.2411389251153722E-2</v>
      </c>
      <c r="R65" s="19">
        <f t="shared" si="5"/>
        <v>3.8174782382057959E-2</v>
      </c>
      <c r="S65" s="22">
        <v>3.2411376681754867E-2</v>
      </c>
      <c r="T65" s="19">
        <f t="shared" si="6"/>
        <v>3.817525186784354E-2</v>
      </c>
      <c r="U65" s="24">
        <v>3.6891368250328904E-2</v>
      </c>
      <c r="V65" s="24">
        <f t="shared" si="7"/>
        <v>4.2654837444516147E-2</v>
      </c>
      <c r="W65" s="23">
        <f t="shared" si="10"/>
        <v>3.4765414169337649E-3</v>
      </c>
      <c r="X65" s="24">
        <v>3.5991369849387E-2</v>
      </c>
      <c r="Y65" s="24">
        <f t="shared" si="8"/>
        <v>4.175492199227171E-2</v>
      </c>
      <c r="Z65" s="23">
        <f t="shared" si="9"/>
        <v>3.4043294743282271E-3</v>
      </c>
      <c r="AA65" s="36"/>
    </row>
    <row r="66" spans="15:27" ht="13.9" customHeight="1" x14ac:dyDescent="0.3">
      <c r="O66" s="12">
        <f t="shared" si="4"/>
        <v>4.416666666666667</v>
      </c>
      <c r="P66" s="13">
        <v>53</v>
      </c>
      <c r="Q66" s="22">
        <v>3.2519835810653541E-2</v>
      </c>
      <c r="R66" s="19">
        <f t="shared" si="5"/>
        <v>3.8279074347158382E-2</v>
      </c>
      <c r="S66" s="22">
        <v>3.2519832287087214E-2</v>
      </c>
      <c r="T66" s="19">
        <f t="shared" si="6"/>
        <v>3.8279640422929084E-2</v>
      </c>
      <c r="U66" s="24">
        <v>3.6999817514466127E-2</v>
      </c>
      <c r="V66" s="24">
        <f t="shared" si="7"/>
        <v>4.2759348276749209E-2</v>
      </c>
      <c r="W66" s="23">
        <f t="shared" si="10"/>
        <v>3.4869142561289035E-3</v>
      </c>
      <c r="X66" s="24">
        <v>3.6099820414380757E-2</v>
      </c>
      <c r="Y66" s="24">
        <f t="shared" si="8"/>
        <v>4.18594083985806E-2</v>
      </c>
      <c r="Z66" s="23">
        <f t="shared" si="9"/>
        <v>3.4147098872439052E-3</v>
      </c>
      <c r="AA66" s="36"/>
    </row>
    <row r="67" spans="15:27" ht="13.9" customHeight="1" x14ac:dyDescent="0.3">
      <c r="O67" s="12">
        <f t="shared" si="4"/>
        <v>4.5</v>
      </c>
      <c r="P67" s="13">
        <v>54</v>
      </c>
      <c r="Q67" s="22">
        <v>3.2626197509596055E-2</v>
      </c>
      <c r="R67" s="19">
        <f t="shared" si="5"/>
        <v>3.8358521511697052E-2</v>
      </c>
      <c r="S67" s="22">
        <v>3.2626204476732923E-2</v>
      </c>
      <c r="T67" s="19">
        <f t="shared" si="6"/>
        <v>3.8359178318797094E-2</v>
      </c>
      <c r="U67" s="24">
        <v>3.7106185847654904E-2</v>
      </c>
      <c r="V67" s="24">
        <f t="shared" si="7"/>
        <v>4.2839050965025161E-2</v>
      </c>
      <c r="W67" s="23">
        <f t="shared" si="10"/>
        <v>3.4952959396763461E-3</v>
      </c>
      <c r="X67" s="24">
        <v>3.6206189550808343E-2</v>
      </c>
      <c r="Y67" s="24">
        <f t="shared" si="8"/>
        <v>4.1939077858152096E-2</v>
      </c>
      <c r="Z67" s="23">
        <f t="shared" si="9"/>
        <v>3.4230962469268267E-3</v>
      </c>
      <c r="AA67" s="36"/>
    </row>
    <row r="68" spans="15:27" ht="13.9" customHeight="1" x14ac:dyDescent="0.3">
      <c r="O68" s="12">
        <f t="shared" si="4"/>
        <v>4.583333333333333</v>
      </c>
      <c r="P68" s="13">
        <v>55</v>
      </c>
      <c r="Q68" s="22">
        <v>3.2730138594546876E-2</v>
      </c>
      <c r="R68" s="19">
        <f t="shared" si="5"/>
        <v>3.8413359512842193E-2</v>
      </c>
      <c r="S68" s="22">
        <v>3.2730157312909736E-2</v>
      </c>
      <c r="T68" s="19">
        <f t="shared" si="6"/>
        <v>3.8413906669177766E-2</v>
      </c>
      <c r="U68" s="24">
        <v>3.7210137935942411E-2</v>
      </c>
      <c r="V68" s="24">
        <f t="shared" si="7"/>
        <v>4.2893949591023661E-2</v>
      </c>
      <c r="W68" s="23">
        <f t="shared" si="10"/>
        <v>3.5016875127567015E-3</v>
      </c>
      <c r="X68" s="24">
        <v>3.6310141814567265E-2</v>
      </c>
      <c r="Y68" s="24">
        <f t="shared" si="8"/>
        <v>4.1993941975760229E-2</v>
      </c>
      <c r="Z68" s="23">
        <f t="shared" si="9"/>
        <v>3.4294902137672612E-3</v>
      </c>
      <c r="AA68" s="36"/>
    </row>
    <row r="69" spans="15:27" ht="13.9" customHeight="1" x14ac:dyDescent="0.3">
      <c r="O69" s="12">
        <f t="shared" si="4"/>
        <v>4.666666666666667</v>
      </c>
      <c r="P69" s="13">
        <v>56</v>
      </c>
      <c r="Q69" s="22">
        <v>3.2831351417773158E-2</v>
      </c>
      <c r="R69" s="19">
        <f t="shared" si="5"/>
        <v>3.8443617985999268E-2</v>
      </c>
      <c r="S69" s="22">
        <v>3.2831379521805593E-2</v>
      </c>
      <c r="T69" s="19">
        <f t="shared" si="6"/>
        <v>3.8443864424212659E-2</v>
      </c>
      <c r="U69" s="24">
        <v>3.7311362427627115E-2</v>
      </c>
      <c r="V69" s="24">
        <f t="shared" si="7"/>
        <v>4.2924046617966782E-2</v>
      </c>
      <c r="W69" s="23">
        <f t="shared" si="10"/>
        <v>3.506089720890504E-3</v>
      </c>
      <c r="X69" s="24">
        <v>3.6411365866608536E-2</v>
      </c>
      <c r="Y69" s="24">
        <f t="shared" si="8"/>
        <v>4.2024010613037621E-2</v>
      </c>
      <c r="Z69" s="23">
        <f t="shared" si="9"/>
        <v>3.4338931379362947E-3</v>
      </c>
      <c r="AA69" s="36"/>
    </row>
    <row r="70" spans="15:27" ht="13.9" customHeight="1" x14ac:dyDescent="0.3">
      <c r="O70" s="12">
        <f t="shared" si="4"/>
        <v>4.75</v>
      </c>
      <c r="P70" s="13">
        <v>57</v>
      </c>
      <c r="Q70" s="22">
        <v>3.29295503564484E-2</v>
      </c>
      <c r="R70" s="19">
        <f t="shared" si="5"/>
        <v>3.8449257416182547E-2</v>
      </c>
      <c r="S70" s="22">
        <v>3.2929582270572411E-2</v>
      </c>
      <c r="T70" s="19">
        <f t="shared" si="6"/>
        <v>3.8449088861637781E-2</v>
      </c>
      <c r="U70" s="24">
        <v>3.7409569781259755E-2</v>
      </c>
      <c r="V70" s="24">
        <f t="shared" si="7"/>
        <v>4.2929343380827323E-2</v>
      </c>
      <c r="W70" s="23">
        <f t="shared" si="10"/>
        <v>3.5085030495538572E-3</v>
      </c>
      <c r="X70" s="24">
        <v>3.6509572306247406E-2</v>
      </c>
      <c r="Y70" s="24">
        <f t="shared" si="8"/>
        <v>4.2029292380858507E-2</v>
      </c>
      <c r="Z70" s="23">
        <f t="shared" si="9"/>
        <v>3.4363060990791894E-3</v>
      </c>
      <c r="AA70" s="36"/>
    </row>
    <row r="71" spans="15:27" ht="13.9" customHeight="1" x14ac:dyDescent="0.3">
      <c r="O71" s="12">
        <f t="shared" si="4"/>
        <v>4.833333333333333</v>
      </c>
      <c r="P71" s="13">
        <v>58</v>
      </c>
      <c r="Q71" s="22">
        <v>3.3024468707826715E-2</v>
      </c>
      <c r="R71" s="19">
        <f t="shared" si="5"/>
        <v>3.8430237933809952E-2</v>
      </c>
      <c r="S71" s="22">
        <v>3.302449718365752E-2</v>
      </c>
      <c r="T71" s="19">
        <f t="shared" si="6"/>
        <v>3.8429616076008255E-2</v>
      </c>
      <c r="U71" s="24">
        <v>3.7504490345493302E-2</v>
      </c>
      <c r="V71" s="24">
        <f t="shared" si="7"/>
        <v>4.2909840577815217E-2</v>
      </c>
      <c r="W71" s="23">
        <f t="shared" si="10"/>
        <v>3.5089277636235483E-3</v>
      </c>
      <c r="X71" s="24">
        <v>3.6604491737904921E-2</v>
      </c>
      <c r="Y71" s="24">
        <f t="shared" si="8"/>
        <v>4.2009795128016281E-2</v>
      </c>
      <c r="Z71" s="23">
        <f t="shared" si="9"/>
        <v>3.4367299461006695E-3</v>
      </c>
      <c r="AA71" s="36"/>
    </row>
    <row r="72" spans="15:27" ht="13.9" customHeight="1" x14ac:dyDescent="0.3">
      <c r="O72" s="12">
        <f t="shared" si="4"/>
        <v>4.916666666666667</v>
      </c>
      <c r="P72" s="13">
        <v>59</v>
      </c>
      <c r="Q72" s="22">
        <v>3.311585706028608E-2</v>
      </c>
      <c r="R72" s="19">
        <f t="shared" si="5"/>
        <v>3.8386519806170805E-2</v>
      </c>
      <c r="S72" s="22">
        <v>3.3115874569926484E-2</v>
      </c>
      <c r="T72" s="19">
        <f t="shared" si="6"/>
        <v>3.8385481467016147E-2</v>
      </c>
      <c r="U72" s="24">
        <v>3.7595872643194195E-2</v>
      </c>
      <c r="V72" s="24">
        <f t="shared" si="7"/>
        <v>4.2865538760753052E-2</v>
      </c>
      <c r="W72" s="23">
        <f t="shared" si="10"/>
        <v>3.5073639468601314E-3</v>
      </c>
      <c r="X72" s="24">
        <v>3.6695873043419258E-2</v>
      </c>
      <c r="Y72" s="24">
        <f t="shared" si="8"/>
        <v>4.1965526432831801E-2</v>
      </c>
      <c r="Z72" s="23">
        <f t="shared" si="9"/>
        <v>3.4351653365802814E-3</v>
      </c>
      <c r="AA72" s="36"/>
    </row>
    <row r="73" spans="15:27" ht="13.9" customHeight="1" x14ac:dyDescent="0.3">
      <c r="O73" s="12">
        <f t="shared" si="4"/>
        <v>5</v>
      </c>
      <c r="P73" s="13">
        <v>60</v>
      </c>
      <c r="Q73" s="22">
        <v>3.3203481835888615E-2</v>
      </c>
      <c r="R73" s="19">
        <f t="shared" si="5"/>
        <v>3.8322128858797377E-2</v>
      </c>
      <c r="S73" s="22">
        <v>3.3203481835880622E-2</v>
      </c>
      <c r="T73" s="19">
        <f t="shared" si="6"/>
        <v>3.8320768421357787E-2</v>
      </c>
      <c r="U73" s="24">
        <v>3.7683481835879329E-2</v>
      </c>
      <c r="V73" s="24">
        <f t="shared" si="7"/>
        <v>4.2800525878958995E-2</v>
      </c>
      <c r="W73" s="23">
        <f t="shared" si="10"/>
        <v>3.5038115412484583E-3</v>
      </c>
      <c r="X73" s="24">
        <v>3.6783481835903631E-2</v>
      </c>
      <c r="Y73" s="24">
        <f t="shared" si="8"/>
        <v>4.1900573389251683E-2</v>
      </c>
      <c r="Z73" s="23">
        <f t="shared" si="9"/>
        <v>3.431612776369608E-3</v>
      </c>
      <c r="AA73" s="36"/>
    </row>
    <row r="74" spans="15:27" ht="13.9" customHeight="1" x14ac:dyDescent="0.3">
      <c r="O74" s="12">
        <f t="shared" si="4"/>
        <v>5.083333333333333</v>
      </c>
      <c r="P74" s="13">
        <v>61</v>
      </c>
      <c r="Q74" s="22">
        <v>3.3287190299898795E-2</v>
      </c>
      <c r="R74" s="19">
        <f t="shared" si="5"/>
        <v>3.8253297526245955E-2</v>
      </c>
      <c r="S74" s="22">
        <v>3.3287168105769593E-2</v>
      </c>
      <c r="T74" s="19">
        <f t="shared" si="6"/>
        <v>3.8251691132229704E-2</v>
      </c>
      <c r="U74" s="24">
        <v>3.7767165025324179E-2</v>
      </c>
      <c r="V74" s="24">
        <f t="shared" si="7"/>
        <v>4.2731149296952875E-2</v>
      </c>
      <c r="W74" s="23">
        <f t="shared" si="10"/>
        <v>3.498598138334641E-3</v>
      </c>
      <c r="X74" s="24">
        <v>3.686716562498904E-2</v>
      </c>
      <c r="Y74" s="24">
        <f t="shared" si="8"/>
        <v>4.1831256798154248E-2</v>
      </c>
      <c r="Z74" s="23">
        <f t="shared" si="9"/>
        <v>3.4264000479693468E-3</v>
      </c>
      <c r="AA74" s="36"/>
    </row>
    <row r="75" spans="15:27" ht="13.9" customHeight="1" x14ac:dyDescent="0.3">
      <c r="O75" s="12">
        <f t="shared" si="4"/>
        <v>5.166666666666667</v>
      </c>
      <c r="P75" s="13">
        <v>62</v>
      </c>
      <c r="Q75" s="22">
        <v>3.3367100026126417E-2</v>
      </c>
      <c r="R75" s="19">
        <f t="shared" si="5"/>
        <v>3.818408354914804E-2</v>
      </c>
      <c r="S75" s="22">
        <v>3.3367052400613328E-2</v>
      </c>
      <c r="T75" s="19">
        <f t="shared" si="6"/>
        <v>3.8182295474451511E-2</v>
      </c>
      <c r="U75" s="24">
        <v>3.7847041483136667E-2</v>
      </c>
      <c r="V75" s="24">
        <f t="shared" si="7"/>
        <v>4.2661491925942929E-2</v>
      </c>
      <c r="W75" s="23">
        <f t="shared" si="10"/>
        <v>3.4930344803436597E-3</v>
      </c>
      <c r="X75" s="24">
        <v>3.6947043636436527E-2</v>
      </c>
      <c r="Y75" s="24">
        <f t="shared" si="8"/>
        <v>4.1761652140085426E-2</v>
      </c>
      <c r="Z75" s="23">
        <f t="shared" si="9"/>
        <v>3.4208367997246025E-3</v>
      </c>
      <c r="AA75" s="36"/>
    </row>
    <row r="76" spans="15:27" ht="13.9" customHeight="1" x14ac:dyDescent="0.3">
      <c r="O76" s="12">
        <f t="shared" si="4"/>
        <v>5.25</v>
      </c>
      <c r="P76" s="13">
        <v>63</v>
      </c>
      <c r="Q76" s="22">
        <v>3.3443385242386325E-2</v>
      </c>
      <c r="R76" s="19">
        <f t="shared" si="5"/>
        <v>3.8114482685322804E-2</v>
      </c>
      <c r="S76" s="22">
        <v>3.344331011681545E-2</v>
      </c>
      <c r="T76" s="19">
        <f t="shared" si="6"/>
        <v>3.8112575835170803E-2</v>
      </c>
      <c r="U76" s="24">
        <v>3.7923287426939067E-2</v>
      </c>
      <c r="V76" s="24">
        <f t="shared" si="7"/>
        <v>4.2591549240118098E-2</v>
      </c>
      <c r="W76" s="23">
        <f t="shared" si="10"/>
        <v>3.4874479630710997E-3</v>
      </c>
      <c r="X76" s="24">
        <v>3.702329192725462E-2</v>
      </c>
      <c r="Y76" s="24">
        <f t="shared" si="8"/>
        <v>4.1691754626305588E-2</v>
      </c>
      <c r="Z76" s="23">
        <f t="shared" si="9"/>
        <v>3.4152500902207006E-3</v>
      </c>
      <c r="AA76" s="36"/>
    </row>
    <row r="77" spans="15:27" ht="13.9" customHeight="1" x14ac:dyDescent="0.3">
      <c r="O77" s="12">
        <f t="shared" si="4"/>
        <v>5.333333333333333</v>
      </c>
      <c r="P77" s="13">
        <v>64</v>
      </c>
      <c r="Q77" s="22">
        <v>3.3516209255245233E-2</v>
      </c>
      <c r="R77" s="19">
        <f t="shared" si="5"/>
        <v>3.8044490684852272E-2</v>
      </c>
      <c r="S77" s="22">
        <v>3.3516105635715165E-2</v>
      </c>
      <c r="T77" s="19">
        <f t="shared" si="6"/>
        <v>3.8042526592185322E-2</v>
      </c>
      <c r="U77" s="24">
        <v>3.7996068025092145E-2</v>
      </c>
      <c r="V77" s="24">
        <f t="shared" si="7"/>
        <v>4.2521316707957224E-2</v>
      </c>
      <c r="W77" s="23">
        <f t="shared" si="10"/>
        <v>3.4818382193322339E-3</v>
      </c>
      <c r="X77" s="24">
        <v>3.7096075511096505E-2</v>
      </c>
      <c r="Y77" s="24">
        <f t="shared" si="8"/>
        <v>4.1621559461387569E-2</v>
      </c>
      <c r="Z77" s="23">
        <f t="shared" si="9"/>
        <v>3.4096395307696703E-3</v>
      </c>
      <c r="AA77" s="36"/>
    </row>
    <row r="78" spans="15:27" ht="13.9" customHeight="1" x14ac:dyDescent="0.3">
      <c r="O78" s="12">
        <f t="shared" ref="O78:O141" si="13">P78/12</f>
        <v>5.416666666666667</v>
      </c>
      <c r="P78" s="13">
        <v>65</v>
      </c>
      <c r="Q78" s="22">
        <v>3.3585725287354817E-2</v>
      </c>
      <c r="R78" s="19">
        <f t="shared" ref="R78:R141" si="14">(1+Q79)^P79/(1+Q78)^P78-1</f>
        <v>3.7974103289764916E-2</v>
      </c>
      <c r="S78" s="22">
        <v>3.3585593168065309E-2</v>
      </c>
      <c r="T78" s="19">
        <f t="shared" ref="T78:T141" si="15">(1+S79)^P79/(1+S78)^P78-1</f>
        <v>3.7972142115256347E-2</v>
      </c>
      <c r="U78" s="24">
        <v>3.8065538243856389E-2</v>
      </c>
      <c r="V78" s="24">
        <f t="shared" ref="V78:V141" si="16">(1+U79)^P79/(1+U78)^P78-1</f>
        <v>4.2450789791523613E-2</v>
      </c>
      <c r="W78" s="23">
        <f t="shared" si="10"/>
        <v>3.4762048813781199E-3</v>
      </c>
      <c r="X78" s="24">
        <v>3.7165549204952741E-2</v>
      </c>
      <c r="Y78" s="24">
        <f t="shared" si="8"/>
        <v>4.1551061842578507E-2</v>
      </c>
      <c r="Z78" s="23">
        <f t="shared" si="9"/>
        <v>3.4040047320325062E-3</v>
      </c>
      <c r="AA78" s="36"/>
    </row>
    <row r="79" spans="15:27" ht="13.9" customHeight="1" x14ac:dyDescent="0.3">
      <c r="O79" s="12">
        <f t="shared" si="13"/>
        <v>5.5</v>
      </c>
      <c r="P79" s="13">
        <v>66</v>
      </c>
      <c r="Q79" s="22">
        <v>3.3652077238893741E-2</v>
      </c>
      <c r="R79" s="19">
        <f t="shared" si="14"/>
        <v>3.7903318156534249E-2</v>
      </c>
      <c r="S79" s="22">
        <v>3.365191752199892E-2</v>
      </c>
      <c r="T79" s="19">
        <f t="shared" si="15"/>
        <v>3.7901416764856366E-2</v>
      </c>
      <c r="U79" s="24">
        <v>3.8131843617769112E-2</v>
      </c>
      <c r="V79" s="24">
        <f t="shared" si="16"/>
        <v>4.2379963947220212E-2</v>
      </c>
      <c r="W79" s="23">
        <f t="shared" ref="W79:W142" si="17">(1+V78)^(1/12)-1</f>
        <v>3.4705475808354258E-3</v>
      </c>
      <c r="X79" s="24">
        <v>3.723185839910137E-2</v>
      </c>
      <c r="Y79" s="24">
        <f t="shared" ref="Y79:Y142" si="18">(1+X80)^P80/(1+X79)^P79-1</f>
        <v>4.1480256961313744E-2</v>
      </c>
      <c r="Z79" s="23">
        <f t="shared" ref="Z79:Z142" si="19">(1+Y78)^(1/12)-1</f>
        <v>3.3983453039683198E-3</v>
      </c>
      <c r="AA79" s="36"/>
    </row>
    <row r="80" spans="15:27" ht="13.9" customHeight="1" x14ac:dyDescent="0.3">
      <c r="O80" s="12">
        <f t="shared" si="13"/>
        <v>5.583333333333333</v>
      </c>
      <c r="P80" s="13">
        <v>67</v>
      </c>
      <c r="Q80" s="22">
        <v>3.3715400409606522E-2</v>
      </c>
      <c r="R80" s="19">
        <f t="shared" si="14"/>
        <v>3.7832138708146834E-2</v>
      </c>
      <c r="S80" s="22">
        <v>3.3715214802414462E-2</v>
      </c>
      <c r="T80" s="19">
        <f t="shared" si="15"/>
        <v>3.7830344892786139E-2</v>
      </c>
      <c r="U80" s="24">
        <v>3.8195120951253658E-2</v>
      </c>
      <c r="V80" s="24">
        <f t="shared" si="16"/>
        <v>4.2308834625109037E-2</v>
      </c>
      <c r="W80" s="23">
        <f t="shared" si="17"/>
        <v>3.4648659487683808E-3</v>
      </c>
      <c r="X80" s="24">
        <v>3.7295139758341866E-2</v>
      </c>
      <c r="Y80" s="24">
        <f t="shared" si="18"/>
        <v>4.1409140000992606E-2</v>
      </c>
      <c r="Z80" s="23">
        <f t="shared" si="19"/>
        <v>3.3926608559522453E-3</v>
      </c>
      <c r="AA80" s="36"/>
    </row>
    <row r="81" spans="15:27" ht="13.9" customHeight="1" x14ac:dyDescent="0.3">
      <c r="O81" s="12">
        <f t="shared" si="13"/>
        <v>5.666666666666667</v>
      </c>
      <c r="P81" s="13">
        <v>68</v>
      </c>
      <c r="Q81" s="22">
        <v>3.3775822213762519E-2</v>
      </c>
      <c r="R81" s="19">
        <f t="shared" si="14"/>
        <v>3.776056259905225E-2</v>
      </c>
      <c r="S81" s="22">
        <v>3.3775613048846465E-2</v>
      </c>
      <c r="T81" s="19">
        <f t="shared" si="15"/>
        <v>3.7758920842010379E-2</v>
      </c>
      <c r="U81" s="24">
        <v>3.8255498958500223E-2</v>
      </c>
      <c r="V81" s="24">
        <f t="shared" si="16"/>
        <v>4.2237397269526689E-2</v>
      </c>
      <c r="W81" s="23">
        <f t="shared" si="17"/>
        <v>3.4591596156208215E-3</v>
      </c>
      <c r="X81" s="24">
        <v>3.7355521861509144E-2</v>
      </c>
      <c r="Y81" s="24">
        <f t="shared" si="18"/>
        <v>4.1337706139294328E-2</v>
      </c>
      <c r="Z81" s="23">
        <f t="shared" si="19"/>
        <v>3.386950996598026E-3</v>
      </c>
      <c r="AA81" s="36"/>
    </row>
    <row r="82" spans="15:27" ht="13.9" customHeight="1" x14ac:dyDescent="0.3">
      <c r="O82" s="12">
        <f t="shared" si="13"/>
        <v>5.75</v>
      </c>
      <c r="P82" s="13">
        <v>69</v>
      </c>
      <c r="Q82" s="22">
        <v>3.3833462666620573E-2</v>
      </c>
      <c r="R82" s="19">
        <f t="shared" si="14"/>
        <v>3.7688585555362364E-2</v>
      </c>
      <c r="S82" s="22">
        <v>3.3833232818032188E-2</v>
      </c>
      <c r="T82" s="19">
        <f t="shared" si="15"/>
        <v>3.7687138946387755E-2</v>
      </c>
      <c r="U82" s="24">
        <v>3.8313098847878369E-2</v>
      </c>
      <c r="V82" s="24">
        <f t="shared" si="16"/>
        <v>4.2165647318752164E-2</v>
      </c>
      <c r="W82" s="23">
        <f t="shared" si="17"/>
        <v>3.4534282112661518E-3</v>
      </c>
      <c r="X82" s="24">
        <v>3.7413125785577428E-2</v>
      </c>
      <c r="Y82" s="24">
        <f t="shared" si="18"/>
        <v>4.1265950546589325E-2</v>
      </c>
      <c r="Z82" s="23">
        <f t="shared" si="19"/>
        <v>3.381215333941201E-3</v>
      </c>
      <c r="AA82" s="36"/>
    </row>
    <row r="83" spans="15:27" ht="13.9" customHeight="1" x14ac:dyDescent="0.3">
      <c r="O83" s="12">
        <f t="shared" si="13"/>
        <v>5.833333333333333</v>
      </c>
      <c r="P83" s="13">
        <v>70</v>
      </c>
      <c r="Q83" s="22">
        <v>3.3888434883941887E-2</v>
      </c>
      <c r="R83" s="19">
        <f t="shared" si="14"/>
        <v>3.7616203295350648E-2</v>
      </c>
      <c r="S83" s="22">
        <v>3.3888187716686113E-2</v>
      </c>
      <c r="T83" s="19">
        <f t="shared" si="15"/>
        <v>3.7614993530939778E-2</v>
      </c>
      <c r="U83" s="24">
        <v>3.8368034856399502E-2</v>
      </c>
      <c r="V83" s="24">
        <f t="shared" si="16"/>
        <v>4.2093580205422976E-2</v>
      </c>
      <c r="W83" s="23">
        <f t="shared" si="17"/>
        <v>3.4476713649780333E-3</v>
      </c>
      <c r="X83" s="24">
        <v>3.7468065639821191E-2</v>
      </c>
      <c r="Y83" s="24">
        <f t="shared" si="18"/>
        <v>4.1193868386715682E-2</v>
      </c>
      <c r="Z83" s="23">
        <f t="shared" si="19"/>
        <v>3.3754534753105414E-3</v>
      </c>
      <c r="AA83" s="36"/>
    </row>
    <row r="84" spans="15:27" ht="13.9" customHeight="1" x14ac:dyDescent="0.3">
      <c r="O84" s="12">
        <f t="shared" si="13"/>
        <v>5.916666666666667</v>
      </c>
      <c r="P84" s="13">
        <v>71</v>
      </c>
      <c r="Q84" s="22">
        <v>3.3940845566353239E-2</v>
      </c>
      <c r="R84" s="19">
        <f t="shared" si="14"/>
        <v>3.7543411531211435E-2</v>
      </c>
      <c r="S84" s="22">
        <v>3.3940584889385672E-2</v>
      </c>
      <c r="T84" s="19">
        <f t="shared" si="15"/>
        <v>3.7542478911701149E-2</v>
      </c>
      <c r="U84" s="24">
        <v>3.8420414739150255E-2</v>
      </c>
      <c r="V84" s="24">
        <f t="shared" si="16"/>
        <v>4.2021191355872789E-2</v>
      </c>
      <c r="W84" s="23">
        <f t="shared" si="17"/>
        <v>3.4418887054639136E-3</v>
      </c>
      <c r="X84" s="24">
        <v>3.7520449054978311E-2</v>
      </c>
      <c r="Y84" s="24">
        <f t="shared" si="18"/>
        <v>4.1121454816652969E-2</v>
      </c>
      <c r="Z84" s="23">
        <f t="shared" si="19"/>
        <v>3.3696650273893347E-3</v>
      </c>
      <c r="AA84" s="36"/>
    </row>
    <row r="85" spans="15:27" ht="13.9" customHeight="1" x14ac:dyDescent="0.3">
      <c r="O85" s="12">
        <f t="shared" si="13"/>
        <v>6</v>
      </c>
      <c r="P85" s="13">
        <v>72</v>
      </c>
      <c r="Q85" s="22">
        <v>3.3990795443485933E-2</v>
      </c>
      <c r="R85" s="19">
        <f t="shared" si="14"/>
        <v>3.7470207861857174E-2</v>
      </c>
      <c r="S85" s="22">
        <v>3.3990525465913635E-2</v>
      </c>
      <c r="T85" s="19">
        <f t="shared" si="15"/>
        <v>3.7469589395159986E-2</v>
      </c>
      <c r="U85" s="24">
        <v>3.8470340218045962E-2</v>
      </c>
      <c r="V85" s="24">
        <f t="shared" si="16"/>
        <v>4.1948476191078665E-2</v>
      </c>
      <c r="W85" s="23">
        <f t="shared" si="17"/>
        <v>3.4360798608099596E-3</v>
      </c>
      <c r="X85" s="24">
        <v>3.7570377631760188E-2</v>
      </c>
      <c r="Y85" s="24">
        <f t="shared" si="18"/>
        <v>4.1048704986946349E-2</v>
      </c>
      <c r="Z85" s="23">
        <f t="shared" si="19"/>
        <v>3.3638495961882953E-3</v>
      </c>
      <c r="AA85" s="36"/>
    </row>
    <row r="86" spans="15:27" ht="13.9" customHeight="1" x14ac:dyDescent="0.3">
      <c r="O86" s="12">
        <f t="shared" si="13"/>
        <v>6.083333333333333</v>
      </c>
      <c r="P86" s="13">
        <v>73</v>
      </c>
      <c r="Q86" s="22">
        <v>3.40383797075543E-2</v>
      </c>
      <c r="R86" s="19">
        <f t="shared" si="14"/>
        <v>3.7396595568030211E-2</v>
      </c>
      <c r="S86" s="22">
        <v>3.4038104971928274E-2</v>
      </c>
      <c r="T86" s="19">
        <f t="shared" si="15"/>
        <v>3.739631927972753E-2</v>
      </c>
      <c r="U86" s="24">
        <v>3.8517907393817774E-2</v>
      </c>
      <c r="V86" s="24">
        <f t="shared" si="16"/>
        <v>4.1875430126171453E-2</v>
      </c>
      <c r="W86" s="23">
        <f t="shared" si="17"/>
        <v>3.4302444585556646E-3</v>
      </c>
      <c r="X86" s="24">
        <v>3.761794735260815E-2</v>
      </c>
      <c r="Y86" s="24">
        <f t="shared" si="18"/>
        <v>4.0975614041378172E-2</v>
      </c>
      <c r="Z86" s="23">
        <f t="shared" si="19"/>
        <v>3.3580067870766506E-3</v>
      </c>
      <c r="AA86" s="36"/>
    </row>
    <row r="87" spans="15:27" ht="13.9" customHeight="1" x14ac:dyDescent="0.3">
      <c r="O87" s="12">
        <f t="shared" si="13"/>
        <v>6.166666666666667</v>
      </c>
      <c r="P87" s="13">
        <v>74</v>
      </c>
      <c r="Q87" s="22">
        <v>3.4083688463008466E-2</v>
      </c>
      <c r="R87" s="19">
        <f t="shared" si="14"/>
        <v>3.7322572247527885E-2</v>
      </c>
      <c r="S87" s="22">
        <v>3.4083413706448074E-2</v>
      </c>
      <c r="T87" s="19">
        <f t="shared" si="15"/>
        <v>3.7322662853780608E-2</v>
      </c>
      <c r="U87" s="24">
        <v>3.8563207124680643E-2</v>
      </c>
      <c r="V87" s="24">
        <f t="shared" si="16"/>
        <v>4.180204857083436E-2</v>
      </c>
      <c r="W87" s="23">
        <f t="shared" si="17"/>
        <v>3.4243821256536577E-3</v>
      </c>
      <c r="X87" s="24">
        <v>3.7663248960152274E-2</v>
      </c>
      <c r="Y87" s="24">
        <f t="shared" si="18"/>
        <v>4.090217711706301E-2</v>
      </c>
      <c r="Z87" s="23">
        <f t="shared" si="19"/>
        <v>3.3521362047563841E-3</v>
      </c>
      <c r="AA87" s="36"/>
    </row>
    <row r="88" spans="15:27" ht="13.9" customHeight="1" x14ac:dyDescent="0.3">
      <c r="O88" s="12">
        <f t="shared" si="13"/>
        <v>6.25</v>
      </c>
      <c r="P88" s="13">
        <v>75</v>
      </c>
      <c r="Q88" s="22">
        <v>3.4126806989277281E-2</v>
      </c>
      <c r="R88" s="19">
        <f t="shared" si="14"/>
        <v>3.7248133598304367E-2</v>
      </c>
      <c r="S88" s="22">
        <v>3.4126537089194553E-2</v>
      </c>
      <c r="T88" s="19">
        <f t="shared" si="15"/>
        <v>3.7248614396933499E-2</v>
      </c>
      <c r="U88" s="24">
        <v>3.8606325374796802E-2</v>
      </c>
      <c r="V88" s="24">
        <f t="shared" si="16"/>
        <v>4.1728326928595516E-2</v>
      </c>
      <c r="W88" s="23">
        <f t="shared" si="17"/>
        <v>3.4184924885007906E-3</v>
      </c>
      <c r="X88" s="24">
        <v>3.7706368305477023E-2</v>
      </c>
      <c r="Y88" s="24">
        <f t="shared" si="18"/>
        <v>4.0828389345002325E-2</v>
      </c>
      <c r="Z88" s="23">
        <f t="shared" si="19"/>
        <v>3.3462374532671202E-3</v>
      </c>
      <c r="AA88" s="36"/>
    </row>
    <row r="89" spans="15:27" ht="13.9" customHeight="1" x14ac:dyDescent="0.3">
      <c r="O89" s="12">
        <f t="shared" si="13"/>
        <v>6.333333333333333</v>
      </c>
      <c r="P89" s="13">
        <v>76</v>
      </c>
      <c r="Q89" s="22">
        <v>3.4167816032424358E-2</v>
      </c>
      <c r="R89" s="19">
        <f t="shared" si="14"/>
        <v>3.7173275312024412E-2</v>
      </c>
      <c r="S89" s="22">
        <v>3.416755598060317E-2</v>
      </c>
      <c r="T89" s="19">
        <f t="shared" si="15"/>
        <v>3.7174168179969103E-2</v>
      </c>
      <c r="U89" s="24">
        <v>3.8647343535292977E-2</v>
      </c>
      <c r="V89" s="24">
        <f t="shared" si="16"/>
        <v>4.1654260598164905E-2</v>
      </c>
      <c r="W89" s="23">
        <f t="shared" si="17"/>
        <v>3.4125751728792952E-3</v>
      </c>
      <c r="X89" s="24">
        <v>3.7747386668974814E-2</v>
      </c>
      <c r="Y89" s="24">
        <f t="shared" si="18"/>
        <v>4.0754245849246917E-2</v>
      </c>
      <c r="Z89" s="23">
        <f t="shared" si="19"/>
        <v>3.3403101360300891E-3</v>
      </c>
      <c r="AA89" s="36"/>
    </row>
    <row r="90" spans="15:27" ht="13.9" customHeight="1" x14ac:dyDescent="0.3">
      <c r="O90" s="12">
        <f t="shared" si="13"/>
        <v>6.416666666666667</v>
      </c>
      <c r="P90" s="13">
        <v>77</v>
      </c>
      <c r="Q90" s="22">
        <v>3.4206792098649741E-2</v>
      </c>
      <c r="R90" s="19">
        <f t="shared" si="14"/>
        <v>3.7097993074901803E-2</v>
      </c>
      <c r="S90" s="22">
        <v>3.4206546976965235E-2</v>
      </c>
      <c r="T90" s="19">
        <f t="shared" si="15"/>
        <v>3.7099318464069553E-2</v>
      </c>
      <c r="U90" s="24">
        <v>3.868633872034799E-2</v>
      </c>
      <c r="V90" s="24">
        <f t="shared" si="16"/>
        <v>4.1579844972138069E-2</v>
      </c>
      <c r="W90" s="23">
        <f t="shared" si="17"/>
        <v>3.4066298040633658E-3</v>
      </c>
      <c r="X90" s="24">
        <v>3.7786381056251761E-2</v>
      </c>
      <c r="Y90" s="24">
        <f t="shared" si="18"/>
        <v>4.0679741747417619E-2</v>
      </c>
      <c r="Z90" s="23">
        <f t="shared" si="19"/>
        <v>3.3343538557788488E-3</v>
      </c>
      <c r="AA90" s="36"/>
    </row>
    <row r="91" spans="15:27" ht="13.9" customHeight="1" x14ac:dyDescent="0.3">
      <c r="O91" s="12">
        <f t="shared" si="13"/>
        <v>6.5</v>
      </c>
      <c r="P91" s="13">
        <v>78</v>
      </c>
      <c r="Q91" s="22">
        <v>3.4243807725284459E-2</v>
      </c>
      <c r="R91" s="19">
        <f t="shared" si="14"/>
        <v>3.7022284433313679E-2</v>
      </c>
      <c r="S91" s="22">
        <v>3.424358268291483E-2</v>
      </c>
      <c r="T91" s="19">
        <f t="shared" si="15"/>
        <v>3.7024059501908901E-2</v>
      </c>
      <c r="U91" s="24">
        <v>3.8723384040546982E-2</v>
      </c>
      <c r="V91" s="24">
        <f t="shared" si="16"/>
        <v>4.1505075438553307E-2</v>
      </c>
      <c r="W91" s="23">
        <f t="shared" si="17"/>
        <v>3.400656006713243E-3</v>
      </c>
      <c r="X91" s="24">
        <v>3.7823424471340461E-2</v>
      </c>
      <c r="Y91" s="24">
        <f t="shared" si="18"/>
        <v>4.0604872151468241E-2</v>
      </c>
      <c r="Z91" s="23">
        <f t="shared" si="19"/>
        <v>3.3283682146001414E-3</v>
      </c>
      <c r="AA91" s="36"/>
    </row>
    <row r="92" spans="15:27" ht="13.9" customHeight="1" x14ac:dyDescent="0.3">
      <c r="O92" s="12">
        <f t="shared" si="13"/>
        <v>6.583333333333333</v>
      </c>
      <c r="P92" s="13">
        <v>79</v>
      </c>
      <c r="Q92" s="22">
        <v>3.4278931754808672E-2</v>
      </c>
      <c r="R92" s="19">
        <f t="shared" si="14"/>
        <v>3.6946152530945797E-2</v>
      </c>
      <c r="S92" s="22">
        <v>3.42787319632889E-2</v>
      </c>
      <c r="T92" s="19">
        <f t="shared" si="15"/>
        <v>3.6948385536637263E-2</v>
      </c>
      <c r="U92" s="24">
        <v>3.8758548855548636E-2</v>
      </c>
      <c r="V92" s="24">
        <f t="shared" si="16"/>
        <v>4.1429947379310716E-2</v>
      </c>
      <c r="W92" s="23">
        <f t="shared" si="17"/>
        <v>3.3946534050000032E-3</v>
      </c>
      <c r="X92" s="24">
        <v>3.7858586169223551E-2</v>
      </c>
      <c r="Y92" s="24">
        <f t="shared" si="18"/>
        <v>4.0529632166321328E-2</v>
      </c>
      <c r="Z92" s="23">
        <f t="shared" si="19"/>
        <v>3.3223528139931791E-3</v>
      </c>
      <c r="AA92" s="36"/>
    </row>
    <row r="93" spans="15:27" ht="13.9" customHeight="1" x14ac:dyDescent="0.3">
      <c r="O93" s="12">
        <f t="shared" si="13"/>
        <v>6.666666666666667</v>
      </c>
      <c r="P93" s="13">
        <v>80</v>
      </c>
      <c r="Q93" s="22">
        <v>3.4312229634975155E-2</v>
      </c>
      <c r="R93" s="19">
        <f t="shared" si="14"/>
        <v>3.6869594913077064E-2</v>
      </c>
      <c r="S93" s="22">
        <v>3.431206017613353E-2</v>
      </c>
      <c r="T93" s="19">
        <f t="shared" si="15"/>
        <v>3.6872290802548502E-2</v>
      </c>
      <c r="U93" s="24">
        <v>3.8791899007830644E-2</v>
      </c>
      <c r="V93" s="24">
        <f t="shared" si="16"/>
        <v>4.135445617180511E-2</v>
      </c>
      <c r="W93" s="23">
        <f t="shared" si="17"/>
        <v>3.3886216224756627E-3</v>
      </c>
      <c r="X93" s="24">
        <v>3.7891931889450836E-2</v>
      </c>
      <c r="Y93" s="24">
        <f t="shared" si="18"/>
        <v>4.045401689089001E-2</v>
      </c>
      <c r="Z93" s="23">
        <f t="shared" si="19"/>
        <v>3.3163072547588435E-3</v>
      </c>
      <c r="AA93" s="36"/>
    </row>
    <row r="94" spans="15:27" ht="13.9" customHeight="1" x14ac:dyDescent="0.3">
      <c r="O94" s="12">
        <f t="shared" si="13"/>
        <v>6.75</v>
      </c>
      <c r="P94" s="13">
        <v>81</v>
      </c>
      <c r="Q94" s="22">
        <v>3.4343763558900786E-2</v>
      </c>
      <c r="R94" s="19">
        <f t="shared" si="14"/>
        <v>3.6792607254779952E-2</v>
      </c>
      <c r="S94" s="22">
        <v>3.4343629388501995E-2</v>
      </c>
      <c r="T94" s="19">
        <f t="shared" si="15"/>
        <v>3.6795769525070243E-2</v>
      </c>
      <c r="U94" s="24">
        <v>3.8823497039184973E-2</v>
      </c>
      <c r="V94" s="24">
        <f t="shared" si="16"/>
        <v>4.1278597187964117E-2</v>
      </c>
      <c r="W94" s="23">
        <f t="shared" si="17"/>
        <v>3.3825602822046275E-3</v>
      </c>
      <c r="X94" s="24">
        <v>3.792352407250732E-2</v>
      </c>
      <c r="Y94" s="24">
        <f t="shared" si="18"/>
        <v>4.0378021418375099E-2</v>
      </c>
      <c r="Z94" s="23">
        <f t="shared" si="19"/>
        <v>3.3102311370807325E-3</v>
      </c>
      <c r="AA94" s="36"/>
    </row>
    <row r="95" spans="15:27" ht="13.9" customHeight="1" x14ac:dyDescent="0.3">
      <c r="O95" s="12">
        <f t="shared" si="13"/>
        <v>6.833333333333333</v>
      </c>
      <c r="P95" s="13">
        <v>82</v>
      </c>
      <c r="Q95" s="22">
        <v>3.4373592640266848E-2</v>
      </c>
      <c r="R95" s="19">
        <f t="shared" si="14"/>
        <v>3.6715185226456226E-2</v>
      </c>
      <c r="S95" s="22">
        <v>3.4373498576502071E-2</v>
      </c>
      <c r="T95" s="19">
        <f t="shared" si="15"/>
        <v>3.6718815920218306E-2</v>
      </c>
      <c r="U95" s="24">
        <v>3.8853402391399783E-2</v>
      </c>
      <c r="V95" s="24">
        <f t="shared" si="16"/>
        <v>4.1202365794834828E-2</v>
      </c>
      <c r="W95" s="23">
        <f t="shared" si="17"/>
        <v>3.3764690066837577E-3</v>
      </c>
      <c r="X95" s="24">
        <v>3.7953422060392761E-2</v>
      </c>
      <c r="Y95" s="24">
        <f t="shared" si="18"/>
        <v>4.0301640835400443E-2</v>
      </c>
      <c r="Z95" s="23">
        <f t="shared" si="19"/>
        <v>3.3041240605466982E-3</v>
      </c>
      <c r="AA95" s="36"/>
    </row>
    <row r="96" spans="15:27" ht="13.9" customHeight="1" x14ac:dyDescent="0.3">
      <c r="O96" s="12">
        <f t="shared" si="13"/>
        <v>6.916666666666667</v>
      </c>
      <c r="P96" s="13">
        <v>83</v>
      </c>
      <c r="Q96" s="22">
        <v>3.4401773098303057E-2</v>
      </c>
      <c r="R96" s="19">
        <f t="shared" si="14"/>
        <v>3.6637324493663748E-2</v>
      </c>
      <c r="S96" s="22">
        <v>3.4401723810911333E-2</v>
      </c>
      <c r="T96" s="19">
        <f t="shared" si="15"/>
        <v>3.6641424195895E-2</v>
      </c>
      <c r="U96" s="24">
        <v>3.8881671592476241E-2</v>
      </c>
      <c r="V96" s="24">
        <f t="shared" si="16"/>
        <v>4.1125757354744552E-2</v>
      </c>
      <c r="W96" s="23">
        <f t="shared" si="17"/>
        <v>3.3703474178887749E-3</v>
      </c>
      <c r="X96" s="24">
        <v>3.7981682282726359E-2</v>
      </c>
      <c r="Y96" s="24">
        <f t="shared" si="18"/>
        <v>4.02248702229282E-2</v>
      </c>
      <c r="Z96" s="23">
        <f t="shared" si="19"/>
        <v>3.2979856240786809E-3</v>
      </c>
      <c r="AA96" s="36"/>
    </row>
    <row r="97" spans="15:27" ht="13.9" customHeight="1" x14ac:dyDescent="0.3">
      <c r="O97" s="12">
        <f t="shared" si="13"/>
        <v>7</v>
      </c>
      <c r="P97" s="13">
        <v>84</v>
      </c>
      <c r="Q97" s="22">
        <v>3.4428358429589245E-2</v>
      </c>
      <c r="R97" s="19">
        <f t="shared" si="14"/>
        <v>3.6559977100354857E-2</v>
      </c>
      <c r="S97" s="22">
        <v>3.4428358429581474E-2</v>
      </c>
      <c r="T97" s="19">
        <f t="shared" si="15"/>
        <v>3.6564546492020567E-2</v>
      </c>
      <c r="U97" s="24">
        <v>3.8908358429580181E-2</v>
      </c>
      <c r="V97" s="24">
        <f t="shared" si="16"/>
        <v>4.1049686627172344E-2</v>
      </c>
      <c r="W97" s="23">
        <f t="shared" si="17"/>
        <v>3.3641951372860301E-3</v>
      </c>
      <c r="X97" s="24">
        <v>3.8008358429602263E-2</v>
      </c>
      <c r="Y97" s="24">
        <f t="shared" si="18"/>
        <v>4.0148631993120354E-2</v>
      </c>
      <c r="Z97" s="23">
        <f t="shared" si="19"/>
        <v>3.2918154260039856E-3</v>
      </c>
      <c r="AA97" s="36"/>
    </row>
    <row r="98" spans="15:27" ht="13.9" customHeight="1" x14ac:dyDescent="0.3">
      <c r="O98" s="12">
        <f t="shared" si="13"/>
        <v>7.083333333333333</v>
      </c>
      <c r="P98" s="13">
        <v>85</v>
      </c>
      <c r="Q98" s="22">
        <v>3.4453410796464912E-2</v>
      </c>
      <c r="R98" s="19">
        <f t="shared" si="14"/>
        <v>3.648696570596055E-2</v>
      </c>
      <c r="S98" s="22">
        <v>3.4453464444639703E-2</v>
      </c>
      <c r="T98" s="19">
        <f t="shared" si="15"/>
        <v>3.6492004399155231E-2</v>
      </c>
      <c r="U98" s="24">
        <v>3.8933524904323225E-2</v>
      </c>
      <c r="V98" s="24">
        <f t="shared" si="16"/>
        <v>4.0977825012880498E-2</v>
      </c>
      <c r="W98" s="23">
        <f t="shared" si="17"/>
        <v>3.3580856287411809E-3</v>
      </c>
      <c r="X98" s="24">
        <v>3.8033512499937139E-2</v>
      </c>
      <c r="Y98" s="24">
        <f t="shared" si="18"/>
        <v>4.0076628457206276E-2</v>
      </c>
      <c r="Z98" s="23">
        <f t="shared" si="19"/>
        <v>3.2856876034155214E-3</v>
      </c>
      <c r="AA98" s="36"/>
    </row>
    <row r="99" spans="15:27" ht="13.9" customHeight="1" x14ac:dyDescent="0.3">
      <c r="O99" s="12">
        <f t="shared" si="13"/>
        <v>7.166666666666667</v>
      </c>
      <c r="P99" s="13">
        <v>86</v>
      </c>
      <c r="Q99" s="22">
        <v>3.4477033841983751E-2</v>
      </c>
      <c r="R99" s="19">
        <f t="shared" si="14"/>
        <v>3.6419246619236345E-2</v>
      </c>
      <c r="S99" s="22">
        <v>3.447714534325641E-2</v>
      </c>
      <c r="T99" s="19">
        <f t="shared" si="15"/>
        <v>3.6424738355901543E-2</v>
      </c>
      <c r="U99" s="24">
        <v>3.8957272750937078E-2</v>
      </c>
      <c r="V99" s="24">
        <f t="shared" si="16"/>
        <v>4.0911083220419142E-2</v>
      </c>
      <c r="W99" s="23">
        <f t="shared" si="17"/>
        <v>3.3523137930357993E-3</v>
      </c>
      <c r="X99" s="24">
        <v>3.8057246584102256E-2</v>
      </c>
      <c r="Y99" s="24">
        <f t="shared" si="18"/>
        <v>4.0009776491581883E-2</v>
      </c>
      <c r="Z99" s="23">
        <f t="shared" si="19"/>
        <v>3.2798997760050685E-3</v>
      </c>
      <c r="AA99" s="36"/>
    </row>
    <row r="100" spans="15:27" ht="13.9" customHeight="1" x14ac:dyDescent="0.3">
      <c r="O100" s="12">
        <f t="shared" si="13"/>
        <v>7.25</v>
      </c>
      <c r="P100" s="13">
        <v>87</v>
      </c>
      <c r="Q100" s="22">
        <v>3.4499337436675992E-2</v>
      </c>
      <c r="R100" s="19">
        <f t="shared" si="14"/>
        <v>3.635682033057086E-2</v>
      </c>
      <c r="S100" s="22">
        <v>3.4499510665020106E-2</v>
      </c>
      <c r="T100" s="19">
        <f t="shared" si="15"/>
        <v>3.6362730163680634E-2</v>
      </c>
      <c r="U100" s="24">
        <v>3.8979709494933568E-2</v>
      </c>
      <c r="V100" s="24">
        <f t="shared" si="16"/>
        <v>4.0849452428046718E-2</v>
      </c>
      <c r="W100" s="23">
        <f t="shared" si="17"/>
        <v>3.3469528479224131E-3</v>
      </c>
      <c r="X100" s="24">
        <v>3.8079668618267837E-2</v>
      </c>
      <c r="Y100" s="24">
        <f t="shared" si="18"/>
        <v>3.9948065400862154E-2</v>
      </c>
      <c r="Z100" s="23">
        <f t="shared" si="19"/>
        <v>3.27452571609399E-3</v>
      </c>
      <c r="AA100" s="36"/>
    </row>
    <row r="101" spans="15:27" ht="13.9" customHeight="1" x14ac:dyDescent="0.3">
      <c r="O101" s="12">
        <f t="shared" si="13"/>
        <v>7.333333333333333</v>
      </c>
      <c r="P101" s="13">
        <v>88</v>
      </c>
      <c r="Q101" s="22">
        <v>3.4520426484549116E-2</v>
      </c>
      <c r="R101" s="19">
        <f t="shared" si="14"/>
        <v>3.6299687503165812E-2</v>
      </c>
      <c r="S101" s="22">
        <v>3.4520664785896438E-2</v>
      </c>
      <c r="T101" s="19">
        <f t="shared" si="15"/>
        <v>3.6305962002764813E-2</v>
      </c>
      <c r="U101" s="24">
        <v>3.9000937695415683E-2</v>
      </c>
      <c r="V101" s="24">
        <f t="shared" si="16"/>
        <v>4.0792924054857682E-2</v>
      </c>
      <c r="W101" s="23">
        <f t="shared" si="17"/>
        <v>3.3420021572185821E-3</v>
      </c>
      <c r="X101" s="24">
        <v>3.810088153241753E-2</v>
      </c>
      <c r="Y101" s="24">
        <f t="shared" si="18"/>
        <v>3.9891484760232521E-2</v>
      </c>
      <c r="Z101" s="23">
        <f t="shared" si="19"/>
        <v>3.2695646369984566E-3</v>
      </c>
      <c r="AA101" s="36"/>
    </row>
    <row r="102" spans="15:27" ht="13.9" customHeight="1" x14ac:dyDescent="0.3">
      <c r="O102" s="12">
        <f t="shared" si="13"/>
        <v>7.416666666666667</v>
      </c>
      <c r="P102" s="13">
        <v>89</v>
      </c>
      <c r="Q102" s="22">
        <v>3.4540401202152626E-2</v>
      </c>
      <c r="R102" s="19">
        <f t="shared" si="14"/>
        <v>3.6247848994546583E-2</v>
      </c>
      <c r="S102" s="22">
        <v>3.4540707210621635E-2</v>
      </c>
      <c r="T102" s="19">
        <f t="shared" si="15"/>
        <v>3.6254416452863758E-2</v>
      </c>
      <c r="U102" s="24">
        <v>3.9021055224962131E-2</v>
      </c>
      <c r="V102" s="24">
        <f t="shared" si="16"/>
        <v>4.074148978184966E-2</v>
      </c>
      <c r="W102" s="23">
        <f t="shared" si="17"/>
        <v>3.3374610984020503E-3</v>
      </c>
      <c r="X102" s="24">
        <v>3.8120983532777597E-2</v>
      </c>
      <c r="Y102" s="24">
        <f t="shared" si="18"/>
        <v>3.9840024436540666E-2</v>
      </c>
      <c r="Z102" s="23">
        <f t="shared" si="19"/>
        <v>3.2650157679914305E-3</v>
      </c>
      <c r="AA102" s="36"/>
    </row>
    <row r="103" spans="15:27" ht="13.9" customHeight="1" x14ac:dyDescent="0.3">
      <c r="O103" s="12">
        <f t="shared" si="13"/>
        <v>7.5</v>
      </c>
      <c r="P103" s="13">
        <v>90</v>
      </c>
      <c r="Q103" s="22">
        <v>3.4559357379375655E-2</v>
      </c>
      <c r="R103" s="19">
        <f t="shared" si="14"/>
        <v>3.6201291756906562E-2</v>
      </c>
      <c r="S103" s="22">
        <v>3.4559732845944602E-2</v>
      </c>
      <c r="T103" s="19">
        <f t="shared" si="15"/>
        <v>3.6208076512344478E-2</v>
      </c>
      <c r="U103" s="24">
        <v>3.9040155531187448E-2</v>
      </c>
      <c r="V103" s="24">
        <f t="shared" si="16"/>
        <v>4.0695141571440718E-2</v>
      </c>
      <c r="W103" s="23">
        <f t="shared" si="17"/>
        <v>3.3333290643364766E-3</v>
      </c>
      <c r="X103" s="24">
        <v>3.8140068365754232E-2</v>
      </c>
      <c r="Y103" s="24">
        <f t="shared" si="18"/>
        <v>3.9793674607707441E-2</v>
      </c>
      <c r="Z103" s="23">
        <f t="shared" si="19"/>
        <v>3.2608783560397203E-3</v>
      </c>
      <c r="AA103" s="36"/>
    </row>
    <row r="104" spans="15:27" ht="13.9" customHeight="1" x14ac:dyDescent="0.3">
      <c r="O104" s="12">
        <f t="shared" si="13"/>
        <v>7.583333333333333</v>
      </c>
      <c r="P104" s="13">
        <v>91</v>
      </c>
      <c r="Q104" s="22">
        <v>3.4577386468437776E-2</v>
      </c>
      <c r="R104" s="19">
        <f t="shared" si="14"/>
        <v>3.6159960593380225E-2</v>
      </c>
      <c r="S104" s="22">
        <v>3.4577832256164065E-2</v>
      </c>
      <c r="T104" s="19">
        <f t="shared" si="15"/>
        <v>3.6166925618266399E-2</v>
      </c>
      <c r="U104" s="24">
        <v>3.905832788136232E-2</v>
      </c>
      <c r="V104" s="24">
        <f t="shared" si="16"/>
        <v>4.0653871687121645E-2</v>
      </c>
      <c r="W104" s="23">
        <f t="shared" si="17"/>
        <v>3.3296054648714879E-3</v>
      </c>
      <c r="X104" s="24">
        <v>3.8158225564775439E-2</v>
      </c>
      <c r="Y104" s="24">
        <f t="shared" si="18"/>
        <v>3.9752425783368794E-2</v>
      </c>
      <c r="Z104" s="23">
        <f t="shared" si="19"/>
        <v>3.2571516674044787E-3</v>
      </c>
      <c r="AA104" s="36"/>
    </row>
    <row r="105" spans="15:27" ht="13.9" customHeight="1" x14ac:dyDescent="0.3">
      <c r="O105" s="12">
        <f t="shared" si="13"/>
        <v>7.666666666666667</v>
      </c>
      <c r="P105" s="13">
        <v>92</v>
      </c>
      <c r="Q105" s="22">
        <v>3.4594575360581414E-2</v>
      </c>
      <c r="R105" s="19">
        <f t="shared" si="14"/>
        <v>3.6123842894412617E-2</v>
      </c>
      <c r="S105" s="22">
        <v>3.459509190231258E-2</v>
      </c>
      <c r="T105" s="19">
        <f t="shared" si="15"/>
        <v>3.6130947665783619E-2</v>
      </c>
      <c r="U105" s="24">
        <v>3.9075657591376656E-2</v>
      </c>
      <c r="V105" s="24">
        <f t="shared" si="16"/>
        <v>4.0617672714230668E-2</v>
      </c>
      <c r="W105" s="23">
        <f t="shared" si="17"/>
        <v>3.3262897284529469E-3</v>
      </c>
      <c r="X105" s="24">
        <v>3.8175540681343323E-2</v>
      </c>
      <c r="Y105" s="24">
        <f t="shared" si="18"/>
        <v>3.9716268823692946E-2</v>
      </c>
      <c r="Z105" s="23">
        <f t="shared" si="19"/>
        <v>3.2538349893396212E-3</v>
      </c>
      <c r="AA105" s="36"/>
    </row>
    <row r="106" spans="15:27" ht="13.9" customHeight="1" x14ac:dyDescent="0.3">
      <c r="O106" s="12">
        <f t="shared" si="13"/>
        <v>7.75</v>
      </c>
      <c r="P106" s="13">
        <v>93</v>
      </c>
      <c r="Q106" s="22">
        <v>3.4611007086943868E-2</v>
      </c>
      <c r="R106" s="19">
        <f t="shared" si="14"/>
        <v>3.6092940446982746E-2</v>
      </c>
      <c r="S106" s="22">
        <v>3.4611594366202869E-2</v>
      </c>
      <c r="T106" s="19">
        <f t="shared" si="15"/>
        <v>3.6100127026579276E-2</v>
      </c>
      <c r="U106" s="24">
        <v>3.909222624023112E-2</v>
      </c>
      <c r="V106" s="24">
        <f t="shared" si="16"/>
        <v>4.0586537578400472E-2</v>
      </c>
      <c r="W106" s="23">
        <f t="shared" si="17"/>
        <v>3.3233813038233695E-3</v>
      </c>
      <c r="X106" s="24">
        <v>3.8192095501461187E-2</v>
      </c>
      <c r="Y106" s="24">
        <f t="shared" si="18"/>
        <v>3.9685194959752534E-2</v>
      </c>
      <c r="Z106" s="23">
        <f t="shared" si="19"/>
        <v>3.25092763164192E-3</v>
      </c>
      <c r="AA106" s="36"/>
    </row>
    <row r="107" spans="15:27" ht="13.9" customHeight="1" x14ac:dyDescent="0.3">
      <c r="O107" s="12">
        <f t="shared" si="13"/>
        <v>7.833333333333333</v>
      </c>
      <c r="P107" s="13">
        <v>94</v>
      </c>
      <c r="Q107" s="22">
        <v>3.4626761175428067E-2</v>
      </c>
      <c r="R107" s="19">
        <f t="shared" si="14"/>
        <v>3.6067255338796844E-2</v>
      </c>
      <c r="S107" s="22">
        <v>3.4627418560447376E-2</v>
      </c>
      <c r="T107" s="19">
        <f t="shared" si="15"/>
        <v>3.6074448569563655E-2</v>
      </c>
      <c r="U107" s="24">
        <v>3.9108111871104301E-2</v>
      </c>
      <c r="V107" s="24">
        <f t="shared" si="16"/>
        <v>4.0560459566963525E-2</v>
      </c>
      <c r="W107" s="23">
        <f t="shared" si="17"/>
        <v>3.3208796615320502E-3</v>
      </c>
      <c r="X107" s="24">
        <v>3.8207968248534119E-2</v>
      </c>
      <c r="Y107" s="24">
        <f t="shared" si="18"/>
        <v>3.965919581366717E-2</v>
      </c>
      <c r="Z107" s="23">
        <f t="shared" si="19"/>
        <v>3.2484289283254419E-3</v>
      </c>
      <c r="AA107" s="36"/>
    </row>
    <row r="108" spans="15:27" ht="13.9" customHeight="1" x14ac:dyDescent="0.3">
      <c r="O108" s="12">
        <f t="shared" si="13"/>
        <v>7.916666666666667</v>
      </c>
      <c r="P108" s="13">
        <v>95</v>
      </c>
      <c r="Q108" s="22">
        <v>3.4641913836962912E-2</v>
      </c>
      <c r="R108" s="19">
        <f t="shared" si="14"/>
        <v>3.6046789982342897E-2</v>
      </c>
      <c r="S108" s="22">
        <v>3.4642639925503316E-2</v>
      </c>
      <c r="T108" s="19">
        <f t="shared" si="15"/>
        <v>3.6053897677563951E-2</v>
      </c>
      <c r="U108" s="24">
        <v>3.9123389180009127E-2</v>
      </c>
      <c r="V108" s="24">
        <f t="shared" si="16"/>
        <v>4.0539432347384219E-2</v>
      </c>
      <c r="W108" s="23">
        <f t="shared" si="17"/>
        <v>3.3187842956838853E-3</v>
      </c>
      <c r="X108" s="24">
        <v>3.8223233773732268E-2</v>
      </c>
      <c r="Y108" s="24">
        <f t="shared" si="18"/>
        <v>3.9638263416768016E-2</v>
      </c>
      <c r="Z108" s="23">
        <f t="shared" si="19"/>
        <v>3.2463382392760032E-3</v>
      </c>
      <c r="AA108" s="36"/>
    </row>
    <row r="109" spans="15:27" ht="13.9" customHeight="1" x14ac:dyDescent="0.3">
      <c r="O109" s="12">
        <f t="shared" si="13"/>
        <v>8</v>
      </c>
      <c r="P109" s="13">
        <v>96</v>
      </c>
      <c r="Q109" s="22">
        <v>3.4656538140428905E-2</v>
      </c>
      <c r="R109" s="19">
        <f t="shared" si="14"/>
        <v>3.6031533227095069E-2</v>
      </c>
      <c r="S109" s="22">
        <v>3.4657330614641824E-2</v>
      </c>
      <c r="T109" s="19">
        <f t="shared" si="15"/>
        <v>3.6038460268206673E-2</v>
      </c>
      <c r="U109" s="24">
        <v>3.913812969291075E-2</v>
      </c>
      <c r="V109" s="24">
        <f t="shared" si="16"/>
        <v>4.0523449986671567E-2</v>
      </c>
      <c r="W109" s="23">
        <f t="shared" si="17"/>
        <v>3.3170947254472782E-3</v>
      </c>
      <c r="X109" s="24">
        <v>3.8237963734706337E-2</v>
      </c>
      <c r="Y109" s="24">
        <f t="shared" si="18"/>
        <v>3.9622390230410698E-2</v>
      </c>
      <c r="Z109" s="23">
        <f t="shared" si="19"/>
        <v>3.244654951744641E-3</v>
      </c>
      <c r="AA109" s="36"/>
    </row>
    <row r="110" spans="15:27" ht="13.9" customHeight="1" x14ac:dyDescent="0.3">
      <c r="O110" s="12">
        <f t="shared" si="13"/>
        <v>8.0833333333333339</v>
      </c>
      <c r="P110" s="13">
        <v>97</v>
      </c>
      <c r="Q110" s="22">
        <v>3.4670704033828548E-2</v>
      </c>
      <c r="R110" s="19">
        <f t="shared" si="14"/>
        <v>3.6021432544184551E-2</v>
      </c>
      <c r="S110" s="22">
        <v>3.4671559667751595E-2</v>
      </c>
      <c r="T110" s="19">
        <f t="shared" si="15"/>
        <v>3.6028122811353258E-2</v>
      </c>
      <c r="U110" s="24">
        <v>3.9152401932141201E-2</v>
      </c>
      <c r="V110" s="24">
        <f t="shared" si="16"/>
        <v>4.0512506972873341E-2</v>
      </c>
      <c r="W110" s="23">
        <f t="shared" si="17"/>
        <v>3.3158104966370949E-3</v>
      </c>
      <c r="X110" s="24">
        <v>3.8252226763517472E-2</v>
      </c>
      <c r="Y110" s="24">
        <f t="shared" si="18"/>
        <v>3.9611569164505145E-2</v>
      </c>
      <c r="Z110" s="23">
        <f t="shared" si="19"/>
        <v>3.2433784820524725E-3</v>
      </c>
      <c r="AA110" s="36"/>
    </row>
    <row r="111" spans="15:27" ht="13.9" customHeight="1" x14ac:dyDescent="0.3">
      <c r="O111" s="12">
        <f t="shared" si="13"/>
        <v>8.1666666666666661</v>
      </c>
      <c r="P111" s="13">
        <v>98</v>
      </c>
      <c r="Q111" s="22">
        <v>3.4684478080726944E-2</v>
      </c>
      <c r="R111" s="19">
        <f t="shared" si="14"/>
        <v>3.6016477473421515E-2</v>
      </c>
      <c r="S111" s="22">
        <v>3.4685393174734847E-2</v>
      </c>
      <c r="T111" s="19">
        <f t="shared" si="15"/>
        <v>3.6022872347803325E-2</v>
      </c>
      <c r="U111" s="24">
        <v>3.9166271572894651E-2</v>
      </c>
      <c r="V111" s="24">
        <f t="shared" si="16"/>
        <v>4.0506598231876856E-2</v>
      </c>
      <c r="W111" s="23">
        <f t="shared" si="17"/>
        <v>3.3149311834670403E-3</v>
      </c>
      <c r="X111" s="24">
        <v>3.8266088624526295E-2</v>
      </c>
      <c r="Y111" s="24">
        <f t="shared" si="18"/>
        <v>3.9605793597795147E-2</v>
      </c>
      <c r="Z111" s="23">
        <f t="shared" si="19"/>
        <v>3.2425082771097014E-3</v>
      </c>
      <c r="AA111" s="36"/>
    </row>
    <row r="112" spans="15:27" ht="13.9" customHeight="1" x14ac:dyDescent="0.3">
      <c r="O112" s="12">
        <f t="shared" si="13"/>
        <v>8.25</v>
      </c>
      <c r="P112" s="13">
        <v>99</v>
      </c>
      <c r="Q112" s="22">
        <v>3.4697924054498896E-2</v>
      </c>
      <c r="R112" s="19">
        <f t="shared" si="14"/>
        <v>3.6016671862175498E-2</v>
      </c>
      <c r="S112" s="22">
        <v>3.4698894429240124E-2</v>
      </c>
      <c r="T112" s="19">
        <f t="shared" si="15"/>
        <v>3.6022696507898688E-2</v>
      </c>
      <c r="U112" s="24">
        <v>3.9179801590453645E-2</v>
      </c>
      <c r="V112" s="24">
        <f t="shared" si="16"/>
        <v>4.0505719149793951E-2</v>
      </c>
      <c r="W112" s="23">
        <f t="shared" si="17"/>
        <v>3.3144563899192292E-3</v>
      </c>
      <c r="X112" s="24">
        <v>3.8279612362963622E-2</v>
      </c>
      <c r="Y112" s="24">
        <f t="shared" si="18"/>
        <v>3.9605057396366661E-2</v>
      </c>
      <c r="Z112" s="23">
        <f t="shared" si="19"/>
        <v>3.2420438160747356E-3</v>
      </c>
      <c r="AA112" s="36"/>
    </row>
    <row r="113" spans="15:27" ht="13.9" customHeight="1" x14ac:dyDescent="0.3">
      <c r="O113" s="12">
        <f t="shared" si="13"/>
        <v>8.3333333333333339</v>
      </c>
      <c r="P113" s="13">
        <v>100</v>
      </c>
      <c r="Q113" s="22">
        <v>3.4711103219760009E-2</v>
      </c>
      <c r="R113" s="19">
        <f t="shared" si="14"/>
        <v>3.6022019983893427E-2</v>
      </c>
      <c r="S113" s="22">
        <v>3.4712124073404071E-2</v>
      </c>
      <c r="T113" s="19">
        <f t="shared" si="15"/>
        <v>3.6027583529880669E-2</v>
      </c>
      <c r="U113" s="24">
        <v>3.9193052398846628E-2</v>
      </c>
      <c r="V113" s="24">
        <f t="shared" si="16"/>
        <v>4.0509865589889893E-2</v>
      </c>
      <c r="W113" s="23">
        <f t="shared" si="17"/>
        <v>3.3143857515633979E-3</v>
      </c>
      <c r="X113" s="24">
        <v>3.8292858444814337E-2</v>
      </c>
      <c r="Y113" s="24">
        <f t="shared" si="18"/>
        <v>3.9609354933497487E-2</v>
      </c>
      <c r="Z113" s="23">
        <f t="shared" si="19"/>
        <v>3.2419846118654227E-3</v>
      </c>
      <c r="AA113" s="36"/>
    </row>
    <row r="114" spans="15:27" ht="13.9" customHeight="1" x14ac:dyDescent="0.3">
      <c r="O114" s="12">
        <f t="shared" si="13"/>
        <v>8.4166666666666661</v>
      </c>
      <c r="P114" s="13">
        <v>101</v>
      </c>
      <c r="Q114" s="22">
        <v>3.4724074459860699E-2</v>
      </c>
      <c r="R114" s="19">
        <f t="shared" si="14"/>
        <v>3.6032526561182276E-2</v>
      </c>
      <c r="S114" s="22">
        <v>3.4725140234219243E-2</v>
      </c>
      <c r="T114" s="19">
        <f t="shared" si="15"/>
        <v>3.6037522278066225E-2</v>
      </c>
      <c r="U114" s="24">
        <v>3.920608198147435E-2</v>
      </c>
      <c r="V114" s="24">
        <f t="shared" si="16"/>
        <v>4.0519033914027114E-2</v>
      </c>
      <c r="W114" s="23">
        <f t="shared" si="17"/>
        <v>3.3147189369335806E-3</v>
      </c>
      <c r="X114" s="24">
        <v>3.8305884888628183E-2</v>
      </c>
      <c r="Y114" s="24">
        <f t="shared" si="18"/>
        <v>3.9618681108906317E-2</v>
      </c>
      <c r="Z114" s="23">
        <f t="shared" si="19"/>
        <v>3.2423302127806419E-3</v>
      </c>
      <c r="AA114" s="36"/>
    </row>
    <row r="115" spans="15:27" ht="13.9" customHeight="1" x14ac:dyDescent="0.3">
      <c r="O115" s="12">
        <f t="shared" si="13"/>
        <v>8.5</v>
      </c>
      <c r="P115" s="13">
        <v>102</v>
      </c>
      <c r="Q115" s="22">
        <v>3.4736894397138007E-2</v>
      </c>
      <c r="R115" s="19">
        <f t="shared" si="14"/>
        <v>3.6048183088219554E-2</v>
      </c>
      <c r="S115" s="22">
        <v>3.4737998652097701E-2</v>
      </c>
      <c r="T115" s="19">
        <f t="shared" si="15"/>
        <v>3.6052502260863761E-2</v>
      </c>
      <c r="U115" s="24">
        <v>3.9218946014297318E-2</v>
      </c>
      <c r="V115" s="24">
        <f t="shared" si="16"/>
        <v>4.0533221001614494E-2</v>
      </c>
      <c r="W115" s="23">
        <f t="shared" si="17"/>
        <v>3.3154556492664966E-3</v>
      </c>
      <c r="X115" s="24">
        <v>3.8318747389800123E-2</v>
      </c>
      <c r="Y115" s="24">
        <f t="shared" si="18"/>
        <v>3.9633031368021987E-2</v>
      </c>
      <c r="Z115" s="23">
        <f t="shared" si="19"/>
        <v>3.2430802040663842E-3</v>
      </c>
      <c r="AA115" s="36"/>
    </row>
    <row r="116" spans="15:27" ht="13.9" customHeight="1" x14ac:dyDescent="0.3">
      <c r="O116" s="12">
        <f t="shared" si="13"/>
        <v>8.5833333333333339</v>
      </c>
      <c r="P116" s="13">
        <v>103</v>
      </c>
      <c r="Q116" s="22">
        <v>3.4749617373565522E-2</v>
      </c>
      <c r="R116" s="19">
        <f t="shared" si="14"/>
        <v>3.606894043135922E-2</v>
      </c>
      <c r="S116" s="22">
        <v>3.4750752802157336E-2</v>
      </c>
      <c r="T116" s="19">
        <f t="shared" si="15"/>
        <v>3.6072513649348936E-2</v>
      </c>
      <c r="U116" s="24">
        <v>3.9231697982063718E-2</v>
      </c>
      <c r="V116" s="24">
        <f t="shared" si="16"/>
        <v>4.0552424268317289E-2</v>
      </c>
      <c r="W116" s="23">
        <f t="shared" si="17"/>
        <v>3.3165956280361009E-3</v>
      </c>
      <c r="X116" s="24">
        <v>3.8331499437831873E-2</v>
      </c>
      <c r="Y116" s="24">
        <f t="shared" si="18"/>
        <v>3.9652401721265607E-2</v>
      </c>
      <c r="Z116" s="23">
        <f t="shared" si="19"/>
        <v>3.2442342094833876E-3</v>
      </c>
      <c r="AA116" s="36"/>
    </row>
    <row r="117" spans="15:27" ht="13.9" customHeight="1" x14ac:dyDescent="0.3">
      <c r="O117" s="12">
        <f t="shared" si="13"/>
        <v>8.6666666666666661</v>
      </c>
      <c r="P117" s="13">
        <v>104</v>
      </c>
      <c r="Q117" s="22">
        <v>3.4762295169427082E-2</v>
      </c>
      <c r="R117" s="19">
        <f t="shared" si="14"/>
        <v>3.6094791016849426E-2</v>
      </c>
      <c r="S117" s="22">
        <v>3.4763454008721162E-2</v>
      </c>
      <c r="T117" s="19">
        <f t="shared" si="15"/>
        <v>3.6097547295128152E-2</v>
      </c>
      <c r="U117" s="24">
        <v>3.9244389288040527E-2</v>
      </c>
      <c r="V117" s="24">
        <f t="shared" si="16"/>
        <v>4.0576641687747772E-2</v>
      </c>
      <c r="W117" s="23">
        <f t="shared" si="17"/>
        <v>3.3181386504670396E-3</v>
      </c>
      <c r="X117" s="24">
        <v>3.83441924270429E-2</v>
      </c>
      <c r="Y117" s="24">
        <f t="shared" si="18"/>
        <v>3.9676788763629567E-2</v>
      </c>
      <c r="Z117" s="23">
        <f t="shared" si="19"/>
        <v>3.2457918928732177E-3</v>
      </c>
      <c r="AA117" s="36"/>
    </row>
    <row r="118" spans="15:27" ht="13.9" customHeight="1" x14ac:dyDescent="0.3">
      <c r="O118" s="12">
        <f t="shared" si="13"/>
        <v>8.75</v>
      </c>
      <c r="P118" s="13">
        <v>105</v>
      </c>
      <c r="Q118" s="22">
        <v>3.477497751985914E-2</v>
      </c>
      <c r="R118" s="19">
        <f t="shared" si="14"/>
        <v>3.6125741491984442E-2</v>
      </c>
      <c r="S118" s="22">
        <v>3.4776151553475687E-2</v>
      </c>
      <c r="T118" s="19">
        <f t="shared" si="15"/>
        <v>3.6127594748450065E-2</v>
      </c>
      <c r="U118" s="24">
        <v>3.9257069357708341E-2</v>
      </c>
      <c r="V118" s="24">
        <f t="shared" si="16"/>
        <v>4.0605871808593319E-2</v>
      </c>
      <c r="W118" s="23">
        <f t="shared" si="17"/>
        <v>3.3200845332850282E-3</v>
      </c>
      <c r="X118" s="24">
        <v>3.8356875761170306E-2</v>
      </c>
      <c r="Y118" s="24">
        <f t="shared" si="18"/>
        <v>3.9706189693528682E-2</v>
      </c>
      <c r="Z118" s="23">
        <f t="shared" si="19"/>
        <v>3.2477529597447763E-3</v>
      </c>
      <c r="AA118" s="36"/>
    </row>
    <row r="119" spans="15:27" ht="13.9" customHeight="1" x14ac:dyDescent="0.3">
      <c r="O119" s="12">
        <f t="shared" si="13"/>
        <v>8.8333333333333339</v>
      </c>
      <c r="P119" s="13">
        <v>106</v>
      </c>
      <c r="Q119" s="22">
        <v>3.4787712344592769E-2</v>
      </c>
      <c r="R119" s="19">
        <f t="shared" si="14"/>
        <v>3.6161799052940369E-2</v>
      </c>
      <c r="S119" s="22">
        <v>3.4788892777704472E-2</v>
      </c>
      <c r="T119" s="19">
        <f t="shared" si="15"/>
        <v>3.6162648276381715E-2</v>
      </c>
      <c r="U119" s="24">
        <v>3.9269785736771867E-2</v>
      </c>
      <c r="V119" s="24">
        <f t="shared" si="16"/>
        <v>4.0640113776186704E-2</v>
      </c>
      <c r="W119" s="23">
        <f t="shared" si="17"/>
        <v>3.3224331340968583E-3</v>
      </c>
      <c r="X119" s="24">
        <v>3.8369596952249951E-2</v>
      </c>
      <c r="Y119" s="24">
        <f t="shared" si="18"/>
        <v>3.9740602333395048E-2</v>
      </c>
      <c r="Z119" s="23">
        <f t="shared" si="19"/>
        <v>3.2501171587979716E-3</v>
      </c>
      <c r="AA119" s="36"/>
    </row>
    <row r="120" spans="15:27" ht="13.9" customHeight="1" x14ac:dyDescent="0.3">
      <c r="O120" s="12">
        <f t="shared" si="13"/>
        <v>8.9166666666666661</v>
      </c>
      <c r="P120" s="13">
        <v>107</v>
      </c>
      <c r="Q120" s="22">
        <v>3.4800545837215591E-2</v>
      </c>
      <c r="R120" s="19">
        <f t="shared" si="14"/>
        <v>3.6202971468499268E-2</v>
      </c>
      <c r="S120" s="22">
        <v>3.4801723178985444E-2</v>
      </c>
      <c r="T120" s="19">
        <f t="shared" si="15"/>
        <v>3.6202700880894723E-2</v>
      </c>
      <c r="U120" s="24">
        <v>3.9282584183899072E-2</v>
      </c>
      <c r="V120" s="24">
        <f t="shared" si="16"/>
        <v>4.067936735198141E-2</v>
      </c>
      <c r="W120" s="23">
        <f t="shared" si="17"/>
        <v>3.3251843531252323E-3</v>
      </c>
      <c r="X120" s="24">
        <v>3.8382401714168068E-2</v>
      </c>
      <c r="Y120" s="24">
        <f t="shared" si="18"/>
        <v>3.9780025148020259E-2</v>
      </c>
      <c r="Z120" s="23">
        <f t="shared" si="19"/>
        <v>3.2528842835868321E-3</v>
      </c>
      <c r="AA120" s="36"/>
    </row>
    <row r="121" spans="15:27" ht="13.9" customHeight="1" x14ac:dyDescent="0.3">
      <c r="O121" s="12">
        <f t="shared" si="13"/>
        <v>9</v>
      </c>
      <c r="P121" s="13">
        <v>108</v>
      </c>
      <c r="Q121" s="22">
        <v>3.4813522549711484E-2</v>
      </c>
      <c r="R121" s="19">
        <f t="shared" si="14"/>
        <v>3.6249253606265741E-2</v>
      </c>
      <c r="S121" s="22">
        <v>3.4814686502705694E-2</v>
      </c>
      <c r="T121" s="19">
        <f t="shared" si="15"/>
        <v>3.6247746317275009E-2</v>
      </c>
      <c r="U121" s="24">
        <v>3.9295508758508513E-2</v>
      </c>
      <c r="V121" s="24">
        <f t="shared" si="16"/>
        <v>4.0723632932366582E-2</v>
      </c>
      <c r="W121" s="23">
        <f t="shared" si="17"/>
        <v>3.3283381347710694E-3</v>
      </c>
      <c r="X121" s="24">
        <v>3.8395334051206875E-2</v>
      </c>
      <c r="Y121" s="24">
        <f t="shared" si="18"/>
        <v>3.9824457264307833E-2</v>
      </c>
      <c r="Z121" s="23">
        <f t="shared" si="19"/>
        <v>3.2560541739967697E-3</v>
      </c>
      <c r="AA121" s="36"/>
    </row>
    <row r="122" spans="15:27" ht="13.9" customHeight="1" x14ac:dyDescent="0.3">
      <c r="O122" s="12">
        <f t="shared" si="13"/>
        <v>9.0833333333333339</v>
      </c>
      <c r="P122" s="13">
        <v>109</v>
      </c>
      <c r="Q122" s="22">
        <v>3.4826685348920083E-2</v>
      </c>
      <c r="R122" s="19">
        <f t="shared" si="14"/>
        <v>3.6300600433951224E-2</v>
      </c>
      <c r="S122" s="22">
        <v>3.4827824828729037E-2</v>
      </c>
      <c r="T122" s="19">
        <f t="shared" si="15"/>
        <v>3.6297779111812423E-2</v>
      </c>
      <c r="U122" s="24">
        <v>3.9308601903915275E-2</v>
      </c>
      <c r="V122" s="24">
        <f t="shared" si="16"/>
        <v>4.0772911570578163E-2</v>
      </c>
      <c r="W122" s="23">
        <f t="shared" si="17"/>
        <v>3.3318944691216323E-3</v>
      </c>
      <c r="X122" s="24">
        <v>3.8408436341916152E-2</v>
      </c>
      <c r="Y122" s="24">
        <f t="shared" si="18"/>
        <v>3.9873898492154058E-2</v>
      </c>
      <c r="Z122" s="23">
        <f t="shared" si="19"/>
        <v>3.259626717831976E-3</v>
      </c>
      <c r="AA122" s="36"/>
    </row>
    <row r="123" spans="15:27" ht="13.9" customHeight="1" x14ac:dyDescent="0.3">
      <c r="O123" s="12">
        <f t="shared" si="13"/>
        <v>9.1666666666666661</v>
      </c>
      <c r="P123" s="13">
        <v>110</v>
      </c>
      <c r="Q123" s="22">
        <v>3.4840075130308179E-2</v>
      </c>
      <c r="R123" s="19">
        <f t="shared" si="14"/>
        <v>3.6357007987183998E-2</v>
      </c>
      <c r="S123" s="22">
        <v>3.4841178653516325E-2</v>
      </c>
      <c r="T123" s="19">
        <f t="shared" si="15"/>
        <v>3.6352794580418513E-2</v>
      </c>
      <c r="U123" s="24">
        <v>3.932190452615747E-2</v>
      </c>
      <c r="V123" s="24">
        <f t="shared" si="16"/>
        <v>4.0827204994703159E-2</v>
      </c>
      <c r="W123" s="23">
        <f t="shared" si="17"/>
        <v>3.3358533937006829E-3</v>
      </c>
      <c r="X123" s="24">
        <v>3.8421749418616313E-2</v>
      </c>
      <c r="Y123" s="24">
        <f t="shared" si="18"/>
        <v>3.9928349342592595E-2</v>
      </c>
      <c r="Z123" s="23">
        <f t="shared" si="19"/>
        <v>3.2636018524898613E-3</v>
      </c>
      <c r="AA123" s="36"/>
    </row>
    <row r="124" spans="15:27" ht="13.9" customHeight="1" x14ac:dyDescent="0.3">
      <c r="O124" s="12">
        <f t="shared" si="13"/>
        <v>9.25</v>
      </c>
      <c r="P124" s="13">
        <v>111</v>
      </c>
      <c r="Q124" s="22">
        <v>3.4853731275683364E-2</v>
      </c>
      <c r="R124" s="19">
        <f t="shared" si="14"/>
        <v>3.641848644139567E-2</v>
      </c>
      <c r="S124" s="22">
        <v>3.4854786967991602E-2</v>
      </c>
      <c r="T124" s="19">
        <f t="shared" si="15"/>
        <v>3.6412788847527855E-2</v>
      </c>
      <c r="U124" s="24">
        <v>3.9335456068739338E-2</v>
      </c>
      <c r="V124" s="24">
        <f t="shared" si="16"/>
        <v>4.0886515629723563E-2</v>
      </c>
      <c r="W124" s="23">
        <f t="shared" si="17"/>
        <v>3.3402149949044446E-3</v>
      </c>
      <c r="X124" s="24">
        <v>3.8435312642783215E-2</v>
      </c>
      <c r="Y124" s="24">
        <f t="shared" si="18"/>
        <v>3.998781104898752E-2</v>
      </c>
      <c r="Z124" s="23">
        <f t="shared" si="19"/>
        <v>3.2679795664118938E-3</v>
      </c>
      <c r="AA124" s="36"/>
    </row>
    <row r="125" spans="15:27" ht="13.9" customHeight="1" x14ac:dyDescent="0.3">
      <c r="O125" s="12">
        <f t="shared" si="13"/>
        <v>9.3333333333333339</v>
      </c>
      <c r="P125" s="13">
        <v>112</v>
      </c>
      <c r="Q125" s="22">
        <v>3.4867691846272253E-2</v>
      </c>
      <c r="R125" s="19">
        <f t="shared" si="14"/>
        <v>3.6485046645565511E-2</v>
      </c>
      <c r="S125" s="22">
        <v>3.4868687331421455E-2</v>
      </c>
      <c r="T125" s="19">
        <f t="shared" si="15"/>
        <v>3.6477758863328269E-2</v>
      </c>
      <c r="U125" s="24">
        <v>3.934929458357983E-2</v>
      </c>
      <c r="V125" s="24">
        <f t="shared" si="16"/>
        <v>4.0950846616898851E-2</v>
      </c>
      <c r="W125" s="23">
        <f t="shared" si="17"/>
        <v>3.344979409755533E-3</v>
      </c>
      <c r="X125" s="24">
        <v>3.8449163976598255E-2</v>
      </c>
      <c r="Y125" s="24">
        <f t="shared" si="18"/>
        <v>4.0052285586329228E-2</v>
      </c>
      <c r="Z125" s="23">
        <f t="shared" si="19"/>
        <v>3.2727599007760233E-3</v>
      </c>
      <c r="AA125" s="36"/>
    </row>
    <row r="126" spans="15:27" ht="13.9" customHeight="1" x14ac:dyDescent="0.3">
      <c r="O126" s="12">
        <f t="shared" si="13"/>
        <v>9.4166666666666661</v>
      </c>
      <c r="P126" s="13">
        <v>113</v>
      </c>
      <c r="Q126" s="22">
        <v>3.4881993646546317E-2</v>
      </c>
      <c r="R126" s="19">
        <f t="shared" si="14"/>
        <v>3.6556700144807497E-2</v>
      </c>
      <c r="S126" s="22">
        <v>3.4882915941537584E-2</v>
      </c>
      <c r="T126" s="19">
        <f t="shared" si="15"/>
        <v>3.6547702423209483E-2</v>
      </c>
      <c r="U126" s="24">
        <v>3.9363456798378493E-2</v>
      </c>
      <c r="V126" s="24">
        <f t="shared" si="16"/>
        <v>4.1020201834398806E-2</v>
      </c>
      <c r="W126" s="23">
        <f t="shared" si="17"/>
        <v>3.3501468274419466E-3</v>
      </c>
      <c r="X126" s="24">
        <v>3.8463340050881145E-2</v>
      </c>
      <c r="Y126" s="24">
        <f t="shared" si="18"/>
        <v>4.0121775692198769E-2</v>
      </c>
      <c r="Z126" s="23">
        <f t="shared" si="19"/>
        <v>3.277942951031898E-3</v>
      </c>
      <c r="AA126" s="36"/>
    </row>
    <row r="127" spans="15:27" ht="13.9" customHeight="1" x14ac:dyDescent="0.3">
      <c r="O127" s="12">
        <f t="shared" si="13"/>
        <v>9.5</v>
      </c>
      <c r="P127" s="13">
        <v>114</v>
      </c>
      <c r="Q127" s="22">
        <v>3.4896672284894681E-2</v>
      </c>
      <c r="R127" s="19">
        <f t="shared" si="14"/>
        <v>3.6633445904202144E-2</v>
      </c>
      <c r="S127" s="22">
        <v>3.4897507701152186E-2</v>
      </c>
      <c r="T127" s="19">
        <f t="shared" si="15"/>
        <v>3.6622618186793909E-2</v>
      </c>
      <c r="U127" s="24">
        <v>3.9377978180626494E-2</v>
      </c>
      <c r="V127" s="24">
        <f t="shared" si="16"/>
        <v>4.10945859187406E-2</v>
      </c>
      <c r="W127" s="23">
        <f t="shared" si="17"/>
        <v>3.3557174909499832E-3</v>
      </c>
      <c r="X127" s="24">
        <v>3.847787622964316E-2</v>
      </c>
      <c r="Y127" s="24">
        <f t="shared" si="18"/>
        <v>4.0196284886352185E-2</v>
      </c>
      <c r="Z127" s="23">
        <f t="shared" si="19"/>
        <v>3.283528868566199E-3</v>
      </c>
      <c r="AA127" s="36"/>
    </row>
    <row r="128" spans="15:27" ht="13.9" customHeight="1" x14ac:dyDescent="0.3">
      <c r="O128" s="12">
        <f t="shared" si="13"/>
        <v>9.5833333333333339</v>
      </c>
      <c r="P128" s="13">
        <v>115</v>
      </c>
      <c r="Q128" s="22">
        <v>3.4911762115884981E-2</v>
      </c>
      <c r="R128" s="19">
        <f t="shared" si="14"/>
        <v>3.6715243695438327E-2</v>
      </c>
      <c r="S128" s="22">
        <v>3.4912496281474414E-2</v>
      </c>
      <c r="T128" s="19">
        <f t="shared" si="15"/>
        <v>3.670250569557898E-2</v>
      </c>
      <c r="U128" s="24">
        <v>3.9392892998473927E-2</v>
      </c>
      <c r="V128" s="24">
        <f t="shared" si="16"/>
        <v>4.1174004285041921E-2</v>
      </c>
      <c r="W128" s="23">
        <f t="shared" si="17"/>
        <v>3.36169169875844E-3</v>
      </c>
      <c r="X128" s="24">
        <v>3.8492806671451829E-2</v>
      </c>
      <c r="Y128" s="24">
        <f t="shared" si="18"/>
        <v>4.0275817491956856E-2</v>
      </c>
      <c r="Z128" s="23">
        <f t="shared" si="19"/>
        <v>3.2895178622533994E-3</v>
      </c>
      <c r="AA128" s="36"/>
    </row>
    <row r="129" spans="15:27" ht="13.9" customHeight="1" x14ac:dyDescent="0.3">
      <c r="O129" s="12">
        <f t="shared" si="13"/>
        <v>9.6666666666666661</v>
      </c>
      <c r="P129" s="13">
        <v>116</v>
      </c>
      <c r="Q129" s="22">
        <v>3.492729595652122E-2</v>
      </c>
      <c r="R129" s="19">
        <f t="shared" si="14"/>
        <v>3.6802093889620746E-2</v>
      </c>
      <c r="S129" s="22">
        <v>3.4927914182312891E-2</v>
      </c>
      <c r="T129" s="19">
        <f t="shared" si="15"/>
        <v>3.6787365393268878E-2</v>
      </c>
      <c r="U129" s="24">
        <v>3.9408234378631724E-2</v>
      </c>
      <c r="V129" s="24">
        <f t="shared" si="16"/>
        <v>4.1258463148428737E-2</v>
      </c>
      <c r="W129" s="23">
        <f t="shared" si="17"/>
        <v>3.3680698064344483E-3</v>
      </c>
      <c r="X129" s="24">
        <v>3.8508164387813348E-2</v>
      </c>
      <c r="Y129" s="24">
        <f t="shared" si="18"/>
        <v>4.0360378656616902E-2</v>
      </c>
      <c r="Z129" s="23">
        <f t="shared" si="19"/>
        <v>3.2959102001333118E-3</v>
      </c>
      <c r="AA129" s="36"/>
    </row>
    <row r="130" spans="15:27" ht="13.9" customHeight="1" x14ac:dyDescent="0.3">
      <c r="O130" s="12">
        <f t="shared" si="13"/>
        <v>9.75</v>
      </c>
      <c r="P130" s="13">
        <v>117</v>
      </c>
      <c r="Q130" s="22">
        <v>3.4943305497940003E-2</v>
      </c>
      <c r="R130" s="19">
        <f t="shared" si="14"/>
        <v>3.6894010925222487E-2</v>
      </c>
      <c r="S130" s="22">
        <v>3.4943792789374317E-2</v>
      </c>
      <c r="T130" s="19">
        <f t="shared" si="15"/>
        <v>3.6877198644680087E-2</v>
      </c>
      <c r="U130" s="24">
        <v>3.9424034361493554E-2</v>
      </c>
      <c r="V130" s="24">
        <f t="shared" si="16"/>
        <v>4.1347969545630026E-2</v>
      </c>
      <c r="W130" s="23">
        <f t="shared" si="17"/>
        <v>3.3748522283154614E-3</v>
      </c>
      <c r="X130" s="24">
        <v>3.8523981298747456E-2</v>
      </c>
      <c r="Y130" s="24">
        <f t="shared" si="18"/>
        <v>4.0449974371934205E-2</v>
      </c>
      <c r="Z130" s="23">
        <f t="shared" si="19"/>
        <v>3.3027062110688732E-3</v>
      </c>
      <c r="AA130" s="36"/>
    </row>
    <row r="131" spans="15:27" ht="13.9" customHeight="1" x14ac:dyDescent="0.3">
      <c r="O131" s="12">
        <f t="shared" si="13"/>
        <v>9.8333333333333339</v>
      </c>
      <c r="P131" s="13">
        <v>118</v>
      </c>
      <c r="Q131" s="22">
        <v>3.4959821471650665E-2</v>
      </c>
      <c r="R131" s="19">
        <f t="shared" si="14"/>
        <v>3.6991010041950156E-2</v>
      </c>
      <c r="S131" s="22">
        <v>3.4960162428814723E-2</v>
      </c>
      <c r="T131" s="19">
        <f t="shared" si="15"/>
        <v>3.6972007754368708E-2</v>
      </c>
      <c r="U131" s="24">
        <v>3.9440323953644496E-2</v>
      </c>
      <c r="V131" s="24">
        <f t="shared" si="16"/>
        <v>4.1442531356575607E-2</v>
      </c>
      <c r="W131" s="23">
        <f t="shared" si="17"/>
        <v>3.3820394392034547E-3</v>
      </c>
      <c r="X131" s="24">
        <v>3.8540288285708657E-2</v>
      </c>
      <c r="Y131" s="24">
        <f t="shared" si="18"/>
        <v>4.0544611497314476E-2</v>
      </c>
      <c r="Z131" s="23">
        <f t="shared" si="19"/>
        <v>3.3099062862795847E-3</v>
      </c>
      <c r="AA131" s="36"/>
    </row>
    <row r="132" spans="15:27" ht="13.9" customHeight="1" x14ac:dyDescent="0.3">
      <c r="O132" s="12">
        <f t="shared" si="13"/>
        <v>9.9166666666666661</v>
      </c>
      <c r="P132" s="13">
        <v>119</v>
      </c>
      <c r="Q132" s="22">
        <v>3.4976873696094479E-2</v>
      </c>
      <c r="R132" s="19">
        <f t="shared" si="14"/>
        <v>3.7093107305023576E-2</v>
      </c>
      <c r="S132" s="22">
        <v>3.4977052419204124E-2</v>
      </c>
      <c r="T132" s="19">
        <f t="shared" si="15"/>
        <v>3.7071795987919653E-2</v>
      </c>
      <c r="U132" s="24">
        <v>3.9457133177907666E-2</v>
      </c>
      <c r="V132" s="24">
        <f t="shared" si="16"/>
        <v>4.1542157326033502E-2</v>
      </c>
      <c r="W132" s="23">
        <f t="shared" si="17"/>
        <v>3.3896319760529092E-3</v>
      </c>
      <c r="X132" s="24">
        <v>3.855711524204386E-2</v>
      </c>
      <c r="Y132" s="24">
        <f t="shared" si="18"/>
        <v>4.0644297779246497E-2</v>
      </c>
      <c r="Z132" s="23">
        <f t="shared" si="19"/>
        <v>3.3175108812126819E-3</v>
      </c>
      <c r="AA132" s="36"/>
    </row>
    <row r="133" spans="15:27" ht="13.9" customHeight="1" x14ac:dyDescent="0.3">
      <c r="O133" s="12">
        <f t="shared" si="13"/>
        <v>10</v>
      </c>
      <c r="P133" s="13">
        <v>120</v>
      </c>
      <c r="Q133" s="22">
        <v>3.499449112108044E-2</v>
      </c>
      <c r="R133" s="19">
        <f t="shared" si="14"/>
        <v>3.7198807268730594E-2</v>
      </c>
      <c r="S133" s="22">
        <v>3.4994491121074223E-2</v>
      </c>
      <c r="T133" s="19">
        <f t="shared" si="15"/>
        <v>3.7175097088994802E-2</v>
      </c>
      <c r="U133" s="24">
        <v>3.9474491121072708E-2</v>
      </c>
      <c r="V133" s="24">
        <f t="shared" si="16"/>
        <v>4.1645389415420286E-2</v>
      </c>
      <c r="W133" s="23">
        <f t="shared" si="17"/>
        <v>3.397630439657906E-3</v>
      </c>
      <c r="X133" s="24">
        <v>3.8574491121092347E-2</v>
      </c>
      <c r="Y133" s="24">
        <f t="shared" si="18"/>
        <v>4.0747572759461059E-2</v>
      </c>
      <c r="Z133" s="23">
        <f t="shared" si="19"/>
        <v>3.325520517044156E-3</v>
      </c>
      <c r="AA133" s="36"/>
    </row>
    <row r="134" spans="15:27" ht="13.9" customHeight="1" x14ac:dyDescent="0.3">
      <c r="O134" s="12">
        <f t="shared" si="13"/>
        <v>10.083333333333334</v>
      </c>
      <c r="P134" s="13">
        <v>121</v>
      </c>
      <c r="Q134" s="22">
        <v>3.5012689397722063E-2</v>
      </c>
      <c r="R134" s="19">
        <f t="shared" si="14"/>
        <v>3.7302073280117032E-2</v>
      </c>
      <c r="S134" s="22">
        <v>3.5012493856611204E-2</v>
      </c>
      <c r="T134" s="19">
        <f t="shared" si="15"/>
        <v>3.7276038459981731E-2</v>
      </c>
      <c r="U134" s="24">
        <v>3.9492413875015897E-2</v>
      </c>
      <c r="V134" s="24">
        <f t="shared" si="16"/>
        <v>4.1746367470987478E-2</v>
      </c>
      <c r="W134" s="23">
        <f t="shared" si="17"/>
        <v>3.405917680516124E-3</v>
      </c>
      <c r="X134" s="24">
        <v>3.8592431865798194E-2</v>
      </c>
      <c r="Y134" s="24">
        <f t="shared" si="18"/>
        <v>4.0848570390592753E-2</v>
      </c>
      <c r="Z134" s="23">
        <f t="shared" si="19"/>
        <v>3.3338177574051553E-3</v>
      </c>
      <c r="AA134" s="36"/>
    </row>
    <row r="135" spans="15:27" ht="13.9" customHeight="1" x14ac:dyDescent="0.3">
      <c r="O135" s="12">
        <f t="shared" si="13"/>
        <v>10.166666666666666</v>
      </c>
      <c r="P135" s="13">
        <v>122</v>
      </c>
      <c r="Q135" s="22">
        <v>3.5031434285678342E-2</v>
      </c>
      <c r="R135" s="19">
        <f t="shared" si="14"/>
        <v>3.7401397599558184E-2</v>
      </c>
      <c r="S135" s="22">
        <v>3.5031027408205295E-2</v>
      </c>
      <c r="T135" s="19">
        <f t="shared" si="15"/>
        <v>3.7373166872955332E-2</v>
      </c>
      <c r="U135" s="24">
        <v>3.9510869067322929E-2</v>
      </c>
      <c r="V135" s="24">
        <f t="shared" si="16"/>
        <v>4.1843634911403083E-2</v>
      </c>
      <c r="W135" s="23">
        <f t="shared" si="17"/>
        <v>3.4140232442358975E-3</v>
      </c>
      <c r="X135" s="24">
        <v>3.8610904911709376E-2</v>
      </c>
      <c r="Y135" s="24">
        <f t="shared" si="18"/>
        <v>4.0945833990315261E-2</v>
      </c>
      <c r="Z135" s="23">
        <f t="shared" si="19"/>
        <v>3.3419313027860387E-3</v>
      </c>
      <c r="AA135" s="36"/>
    </row>
    <row r="136" spans="15:27" ht="13.9" customHeight="1" x14ac:dyDescent="0.3">
      <c r="O136" s="12">
        <f t="shared" si="13"/>
        <v>10.25</v>
      </c>
      <c r="P136" s="13">
        <v>123</v>
      </c>
      <c r="Q136" s="22">
        <v>3.5050680433206693E-2</v>
      </c>
      <c r="R136" s="19">
        <f t="shared" si="14"/>
        <v>3.7496783237827236E-2</v>
      </c>
      <c r="S136" s="22">
        <v>3.5050047855152311E-2</v>
      </c>
      <c r="T136" s="19">
        <f t="shared" si="15"/>
        <v>3.7466500170112882E-2</v>
      </c>
      <c r="U136" s="24">
        <v>3.9529813567378724E-2</v>
      </c>
      <c r="V136" s="24">
        <f t="shared" si="16"/>
        <v>4.1937202447303923E-2</v>
      </c>
      <c r="W136" s="23">
        <f t="shared" si="17"/>
        <v>3.4218302738786566E-3</v>
      </c>
      <c r="X136" s="24">
        <v>3.8629866941691127E-2</v>
      </c>
      <c r="Y136" s="24">
        <f t="shared" si="18"/>
        <v>4.1039375800236089E-2</v>
      </c>
      <c r="Z136" s="23">
        <f t="shared" si="19"/>
        <v>3.3497441963015184E-3</v>
      </c>
      <c r="AA136" s="36"/>
    </row>
    <row r="137" spans="15:27" ht="13.9" customHeight="1" x14ac:dyDescent="0.3">
      <c r="O137" s="12">
        <f t="shared" si="13"/>
        <v>10.333333333333334</v>
      </c>
      <c r="P137" s="13">
        <v>124</v>
      </c>
      <c r="Q137" s="22">
        <v>3.5070383983257125E-2</v>
      </c>
      <c r="R137" s="19">
        <f t="shared" si="14"/>
        <v>3.7588232669099275E-2</v>
      </c>
      <c r="S137" s="22">
        <v>3.5069512844179362E-2</v>
      </c>
      <c r="T137" s="19">
        <f t="shared" si="15"/>
        <v>3.755605553946606E-2</v>
      </c>
      <c r="U137" s="24">
        <v>3.9549205728961034E-2</v>
      </c>
      <c r="V137" s="24">
        <f t="shared" si="16"/>
        <v>4.2027080240902404E-2</v>
      </c>
      <c r="W137" s="23">
        <f t="shared" si="17"/>
        <v>3.4293397055991104E-3</v>
      </c>
      <c r="X137" s="24">
        <v>3.8649276141378586E-2</v>
      </c>
      <c r="Y137" s="24">
        <f t="shared" si="18"/>
        <v>4.1129207490146369E-2</v>
      </c>
      <c r="Z137" s="23">
        <f t="shared" si="19"/>
        <v>3.3572574983558034E-3</v>
      </c>
      <c r="AA137" s="36"/>
    </row>
    <row r="138" spans="15:27" ht="13.9" customHeight="1" x14ac:dyDescent="0.3">
      <c r="O138" s="12">
        <f t="shared" si="13"/>
        <v>10.416666666666666</v>
      </c>
      <c r="P138" s="13">
        <v>125</v>
      </c>
      <c r="Q138" s="22">
        <v>3.5090502508862809E-2</v>
      </c>
      <c r="R138" s="19">
        <f t="shared" si="14"/>
        <v>3.7675747843622709E-2</v>
      </c>
      <c r="S138" s="22">
        <v>3.5089381520991392E-2</v>
      </c>
      <c r="T138" s="19">
        <f t="shared" si="15"/>
        <v>3.7641849530005045E-2</v>
      </c>
      <c r="U138" s="24">
        <v>3.9569005325989393E-2</v>
      </c>
      <c r="V138" s="24">
        <f t="shared" si="16"/>
        <v>4.2113277918099046E-2</v>
      </c>
      <c r="W138" s="23">
        <f t="shared" si="17"/>
        <v>3.4365524283268556E-3</v>
      </c>
      <c r="X138" s="24">
        <v>3.8669092133994276E-2</v>
      </c>
      <c r="Y138" s="24">
        <f t="shared" si="18"/>
        <v>4.1215340170075443E-2</v>
      </c>
      <c r="Z138" s="23">
        <f t="shared" si="19"/>
        <v>3.3644722201335853E-3</v>
      </c>
      <c r="AA138" s="36"/>
    </row>
    <row r="139" spans="15:27" ht="13.9" customHeight="1" x14ac:dyDescent="0.3">
      <c r="O139" s="12">
        <f t="shared" si="13"/>
        <v>10.5</v>
      </c>
      <c r="P139" s="13">
        <v>126</v>
      </c>
      <c r="Q139" s="22">
        <v>3.5110994951726537E-2</v>
      </c>
      <c r="R139" s="19">
        <f t="shared" si="14"/>
        <v>3.7759342736342294E-2</v>
      </c>
      <c r="S139" s="22">
        <v>3.5109614465220762E-2</v>
      </c>
      <c r="T139" s="19">
        <f t="shared" si="15"/>
        <v>3.772389806647336E-2</v>
      </c>
      <c r="U139" s="24">
        <v>3.9589173491448415E-2</v>
      </c>
      <c r="V139" s="24">
        <f t="shared" si="16"/>
        <v>4.2195804580303697E-2</v>
      </c>
      <c r="W139" s="23">
        <f t="shared" si="17"/>
        <v>3.4434692847860049E-3</v>
      </c>
      <c r="X139" s="24">
        <v>3.8689275918388333E-2</v>
      </c>
      <c r="Y139" s="24">
        <f t="shared" si="18"/>
        <v>4.1297784404517479E-2</v>
      </c>
      <c r="Z139" s="23">
        <f t="shared" si="19"/>
        <v>3.371389324620111E-3</v>
      </c>
      <c r="AA139" s="36"/>
    </row>
    <row r="140" spans="15:27" ht="13.9" customHeight="1" x14ac:dyDescent="0.3">
      <c r="O140" s="12">
        <f t="shared" si="13"/>
        <v>10.583333333333334</v>
      </c>
      <c r="P140" s="13">
        <v>127</v>
      </c>
      <c r="Q140" s="22">
        <v>3.5131821662286455E-2</v>
      </c>
      <c r="R140" s="19">
        <f t="shared" si="14"/>
        <v>3.783906847501961E-2</v>
      </c>
      <c r="S140" s="22">
        <v>3.513017362858939E-2</v>
      </c>
      <c r="T140" s="19">
        <f t="shared" si="15"/>
        <v>3.7802216462240468E-2</v>
      </c>
      <c r="U140" s="24">
        <v>3.9609672659311368E-2</v>
      </c>
      <c r="V140" s="24">
        <f t="shared" si="16"/>
        <v>4.2274668817188443E-2</v>
      </c>
      <c r="W140" s="23">
        <f t="shared" si="17"/>
        <v>3.4500910724890588E-3</v>
      </c>
      <c r="X140" s="24">
        <v>3.8709789810135842E-2</v>
      </c>
      <c r="Y140" s="24">
        <f t="shared" si="18"/>
        <v>4.1376550222974373E-2</v>
      </c>
      <c r="Z140" s="23">
        <f t="shared" si="19"/>
        <v>3.378009727794673E-3</v>
      </c>
      <c r="AA140" s="36"/>
    </row>
    <row r="141" spans="15:27" ht="13.9" customHeight="1" x14ac:dyDescent="0.3">
      <c r="O141" s="12">
        <f t="shared" si="13"/>
        <v>10.666666666666666</v>
      </c>
      <c r="P141" s="13">
        <v>128</v>
      </c>
      <c r="Q141" s="22">
        <v>3.5152944633700001E-2</v>
      </c>
      <c r="R141" s="19">
        <f t="shared" si="14"/>
        <v>3.7914938168971402E-2</v>
      </c>
      <c r="S141" s="22">
        <v>3.5151022276090238E-2</v>
      </c>
      <c r="T141" s="19">
        <f t="shared" si="15"/>
        <v>3.7876819434323084E-2</v>
      </c>
      <c r="U141" s="24">
        <v>3.9630466509301021E-2</v>
      </c>
      <c r="V141" s="24">
        <f t="shared" si="16"/>
        <v>4.2349878717690803E-2</v>
      </c>
      <c r="W141" s="23">
        <f t="shared" si="17"/>
        <v>3.4564185448007212E-3</v>
      </c>
      <c r="X141" s="24">
        <v>3.8730597385497445E-2</v>
      </c>
      <c r="Y141" s="24">
        <f t="shared" si="18"/>
        <v>4.1451647133531777E-2</v>
      </c>
      <c r="Z141" s="23">
        <f t="shared" si="19"/>
        <v>3.38433429952123E-3</v>
      </c>
      <c r="AA141" s="36"/>
    </row>
    <row r="142" spans="15:27" ht="13.9" customHeight="1" x14ac:dyDescent="0.3">
      <c r="O142" s="12">
        <f t="shared" ref="O142:O205" si="20">P142/12</f>
        <v>10.75</v>
      </c>
      <c r="P142" s="13">
        <v>129</v>
      </c>
      <c r="Q142" s="22">
        <v>3.517432714371127E-2</v>
      </c>
      <c r="R142" s="19">
        <f t="shared" ref="R142:R205" si="21">(1+Q143)^P143/(1+Q142)^P142-1</f>
        <v>3.7986951932114543E-2</v>
      </c>
      <c r="S142" s="22">
        <v>3.5172124930040738E-2</v>
      </c>
      <c r="T142" s="19">
        <f t="shared" ref="T142:T205" si="22">(1+S143)^P143/(1+S142)^P142-1</f>
        <v>3.7947721116549982E-2</v>
      </c>
      <c r="U142" s="24">
        <v>3.9651519914323696E-2</v>
      </c>
      <c r="V142" s="24">
        <f t="shared" ref="V142:V205" si="23">(1+U143)^P143/(1+U142)^P142-1</f>
        <v>4.2421441882258604E-2</v>
      </c>
      <c r="W142" s="23">
        <f t="shared" si="17"/>
        <v>3.4624524118602729E-3</v>
      </c>
      <c r="X142" s="24">
        <v>3.8751663428108207E-2</v>
      </c>
      <c r="Y142" s="24">
        <f t="shared" si="18"/>
        <v>4.1523084134602151E-2</v>
      </c>
      <c r="Z142" s="23">
        <f t="shared" si="19"/>
        <v>3.390363864684609E-3</v>
      </c>
      <c r="AA142" s="36"/>
    </row>
    <row r="143" spans="15:27" ht="13.9" customHeight="1" x14ac:dyDescent="0.3">
      <c r="O143" s="12">
        <f t="shared" si="20"/>
        <v>10.833333333333334</v>
      </c>
      <c r="P143" s="13">
        <v>130</v>
      </c>
      <c r="Q143" s="22">
        <v>3.519593360510842E-2</v>
      </c>
      <c r="R143" s="19">
        <f t="shared" si="21"/>
        <v>3.8055109422741262E-2</v>
      </c>
      <c r="S143" s="22">
        <v>3.5193447316837601E-2</v>
      </c>
      <c r="T143" s="19">
        <f t="shared" si="22"/>
        <v>3.8014935072823386E-2</v>
      </c>
      <c r="U143" s="24">
        <v>3.9672798890437733E-2</v>
      </c>
      <c r="V143" s="24">
        <f t="shared" si="23"/>
        <v>4.2489365433530546E-2</v>
      </c>
      <c r="W143" s="23">
        <f t="shared" ref="W143:W206" si="24">(1+V142)^(1/12)-1</f>
        <v>3.4681933416012001E-3</v>
      </c>
      <c r="X143" s="24">
        <v>3.877295387823354E-2</v>
      </c>
      <c r="Y143" s="24">
        <f t="shared" ref="Y143:Y206" si="25">(1+X144)^P144/(1+X143)^P143-1</f>
        <v>4.1590869726255031E-2</v>
      </c>
      <c r="Z143" s="23">
        <f t="shared" ref="Z143:Z206" si="26">(1+Y142)^(1/12)-1</f>
        <v>3.3960992041734972E-3</v>
      </c>
      <c r="AA143" s="36"/>
    </row>
    <row r="144" spans="15:27" ht="13.9" customHeight="1" x14ac:dyDescent="0.3">
      <c r="O144" s="12">
        <f t="shared" si="20"/>
        <v>10.916666666666666</v>
      </c>
      <c r="P144" s="13">
        <v>131</v>
      </c>
      <c r="Q144" s="22">
        <v>3.5217729518529639E-2</v>
      </c>
      <c r="R144" s="19">
        <f t="shared" si="21"/>
        <v>3.8119409855240427E-2</v>
      </c>
      <c r="S144" s="22">
        <v>3.5214956316268031E-2</v>
      </c>
      <c r="T144" s="19">
        <f t="shared" si="22"/>
        <v>3.8078474310321075E-2</v>
      </c>
      <c r="U144" s="24">
        <v>3.9694270549210042E-2</v>
      </c>
      <c r="V144" s="24">
        <f t="shared" si="23"/>
        <v>4.255365602982808E-2</v>
      </c>
      <c r="W144" s="23">
        <f t="shared" si="24"/>
        <v>3.4736419606429259E-3</v>
      </c>
      <c r="X144" s="24">
        <v>3.8794435784450965E-2</v>
      </c>
      <c r="Y144" s="24">
        <f t="shared" si="25"/>
        <v>4.1655011922814955E-2</v>
      </c>
      <c r="Z144" s="23">
        <f t="shared" si="26"/>
        <v>3.401541055829016E-3</v>
      </c>
      <c r="AA144" s="36"/>
    </row>
    <row r="145" spans="15:27" ht="13.9" customHeight="1" x14ac:dyDescent="0.3">
      <c r="O145" s="12">
        <f t="shared" si="20"/>
        <v>11</v>
      </c>
      <c r="P145" s="13">
        <v>132</v>
      </c>
      <c r="Q145" s="22">
        <v>3.5239681427514435E-2</v>
      </c>
      <c r="R145" s="19">
        <f t="shared" si="21"/>
        <v>3.8179864375953887E-2</v>
      </c>
      <c r="S145" s="22">
        <v>3.5236619913241007E-2</v>
      </c>
      <c r="T145" s="19">
        <f t="shared" si="22"/>
        <v>3.8138351292566375E-2</v>
      </c>
      <c r="U145" s="24">
        <v>3.9715903052353507E-2</v>
      </c>
      <c r="V145" s="24">
        <f t="shared" si="23"/>
        <v>4.2614319873678808E-2</v>
      </c>
      <c r="W145" s="23">
        <f t="shared" si="24"/>
        <v>3.4787988554036975E-3</v>
      </c>
      <c r="X145" s="24">
        <v>3.881607725763625E-2</v>
      </c>
      <c r="Y145" s="24">
        <f t="shared" si="25"/>
        <v>4.1715518264096918E-2</v>
      </c>
      <c r="Z145" s="23">
        <f t="shared" si="26"/>
        <v>3.40669011549255E-3</v>
      </c>
      <c r="AA145" s="36"/>
    </row>
    <row r="146" spans="15:27" ht="13.9" customHeight="1" x14ac:dyDescent="0.3">
      <c r="O146" s="12">
        <f t="shared" si="20"/>
        <v>11.083333333333334</v>
      </c>
      <c r="P146" s="13">
        <v>133</v>
      </c>
      <c r="Q146" s="22">
        <v>3.5261756968385072E-2</v>
      </c>
      <c r="R146" s="19">
        <f t="shared" si="21"/>
        <v>3.8236520847032995E-2</v>
      </c>
      <c r="S146" s="22">
        <v>3.5258407151807836E-2</v>
      </c>
      <c r="T146" s="19">
        <f t="shared" si="22"/>
        <v>3.8194577952194386E-2</v>
      </c>
      <c r="U146" s="24">
        <v>3.9737665568487124E-2</v>
      </c>
      <c r="V146" s="24">
        <f t="shared" si="23"/>
        <v>4.2671362724866491E-2</v>
      </c>
      <c r="W146" s="23">
        <f t="shared" si="24"/>
        <v>3.4836645728157922E-3</v>
      </c>
      <c r="X146" s="24">
        <v>3.8837847427124039E-2</v>
      </c>
      <c r="Y146" s="24">
        <f t="shared" si="25"/>
        <v>4.1772395826622954E-2</v>
      </c>
      <c r="Z146" s="23">
        <f t="shared" si="26"/>
        <v>3.4115470379418866E-3</v>
      </c>
      <c r="AA146" s="36"/>
    </row>
    <row r="147" spans="15:27" ht="13.9" customHeight="1" x14ac:dyDescent="0.3">
      <c r="O147" s="12">
        <f t="shared" si="20"/>
        <v>11.166666666666666</v>
      </c>
      <c r="P147" s="13">
        <v>134</v>
      </c>
      <c r="Q147" s="22">
        <v>3.5283925102319369E-2</v>
      </c>
      <c r="R147" s="19">
        <f t="shared" si="21"/>
        <v>3.8289389706218202E-2</v>
      </c>
      <c r="S147" s="22">
        <v>3.5280288091351641E-2</v>
      </c>
      <c r="T147" s="19">
        <f t="shared" si="22"/>
        <v>3.8247165703448438E-2</v>
      </c>
      <c r="U147" s="24">
        <v>3.9759528231941843E-2</v>
      </c>
      <c r="V147" s="24">
        <f t="shared" si="23"/>
        <v>4.2724789911402272E-2</v>
      </c>
      <c r="W147" s="23">
        <f t="shared" si="24"/>
        <v>3.4882396213991029E-3</v>
      </c>
      <c r="X147" s="24">
        <v>3.8859716398926381E-2</v>
      </c>
      <c r="Y147" s="24">
        <f t="shared" si="25"/>
        <v>4.1825651235579908E-2</v>
      </c>
      <c r="Z147" s="23">
        <f t="shared" si="26"/>
        <v>3.4161124378233598E-3</v>
      </c>
      <c r="AA147" s="36"/>
    </row>
    <row r="148" spans="15:27" ht="13.9" customHeight="1" x14ac:dyDescent="0.3">
      <c r="O148" s="12">
        <f t="shared" si="20"/>
        <v>11.25</v>
      </c>
      <c r="P148" s="13">
        <v>135</v>
      </c>
      <c r="Q148" s="22">
        <v>3.5306155789479821E-2</v>
      </c>
      <c r="R148" s="19">
        <f t="shared" si="21"/>
        <v>3.8338468644488755E-2</v>
      </c>
      <c r="S148" s="22">
        <v>3.5302233764828106E-2</v>
      </c>
      <c r="T148" s="19">
        <f t="shared" si="22"/>
        <v>3.829612545427552E-2</v>
      </c>
      <c r="U148" s="24">
        <v>3.9781462103488208E-2</v>
      </c>
      <c r="V148" s="24">
        <f t="shared" si="23"/>
        <v>4.2774606339554877E-2</v>
      </c>
      <c r="W148" s="23">
        <f t="shared" si="24"/>
        <v>3.4925244721675242E-3</v>
      </c>
      <c r="X148" s="24">
        <v>3.8881655215907696E-2</v>
      </c>
      <c r="Y148" s="24">
        <f t="shared" si="25"/>
        <v>4.1875290676029131E-2</v>
      </c>
      <c r="Z148" s="23">
        <f t="shared" si="26"/>
        <v>3.4203868906403923E-3</v>
      </c>
      <c r="AA148" s="36"/>
    </row>
    <row r="149" spans="15:27" ht="13.9" customHeight="1" x14ac:dyDescent="0.3">
      <c r="O149" s="12">
        <f t="shared" si="20"/>
        <v>11.333333333333334</v>
      </c>
      <c r="P149" s="13">
        <v>136</v>
      </c>
      <c r="Q149" s="22">
        <v>3.5328419858497551E-2</v>
      </c>
      <c r="R149" s="19">
        <f t="shared" si="21"/>
        <v>3.838375497348312E-2</v>
      </c>
      <c r="S149" s="22">
        <v>3.5324216138949538E-2</v>
      </c>
      <c r="T149" s="19">
        <f t="shared" si="22"/>
        <v>3.8341467619256164E-2</v>
      </c>
      <c r="U149" s="24">
        <v>3.980343913288098E-2</v>
      </c>
      <c r="V149" s="24">
        <f t="shared" si="23"/>
        <v>4.2820816505768855E-2</v>
      </c>
      <c r="W149" s="23">
        <f t="shared" si="24"/>
        <v>3.4965195594558462E-3</v>
      </c>
      <c r="X149" s="24">
        <v>3.8903635819810045E-2</v>
      </c>
      <c r="Y149" s="24">
        <f t="shared" si="25"/>
        <v>4.1921319903403864E-2</v>
      </c>
      <c r="Z149" s="23">
        <f t="shared" si="26"/>
        <v>3.424370933682308E-3</v>
      </c>
      <c r="AA149" s="36"/>
    </row>
    <row r="150" spans="15:27" ht="13.9" customHeight="1" x14ac:dyDescent="0.3">
      <c r="O150" s="12">
        <f t="shared" si="20"/>
        <v>11.416666666666666</v>
      </c>
      <c r="P150" s="13">
        <v>137</v>
      </c>
      <c r="Q150" s="22">
        <v>3.5350688971701461E-2</v>
      </c>
      <c r="R150" s="19">
        <f t="shared" si="21"/>
        <v>3.8425245634157834E-2</v>
      </c>
      <c r="S150" s="22">
        <v>3.5346208076217245E-2</v>
      </c>
      <c r="T150" s="19">
        <f t="shared" si="22"/>
        <v>3.838320213087032E-2</v>
      </c>
      <c r="U150" s="24">
        <v>3.9825432123140159E-2</v>
      </c>
      <c r="V150" s="24">
        <f t="shared" si="23"/>
        <v>4.2863424506813574E-2</v>
      </c>
      <c r="W150" s="23">
        <f t="shared" si="24"/>
        <v>3.50022528189875E-3</v>
      </c>
      <c r="X150" s="24">
        <v>3.8925631015026996E-2</v>
      </c>
      <c r="Y150" s="24">
        <f t="shared" si="25"/>
        <v>4.1963744255094415E-2</v>
      </c>
      <c r="Z150" s="23">
        <f t="shared" si="26"/>
        <v>3.4280650668903068E-3</v>
      </c>
      <c r="AA150" s="36"/>
    </row>
    <row r="151" spans="15:27" ht="13.9" customHeight="1" x14ac:dyDescent="0.3">
      <c r="O151" s="12">
        <f t="shared" si="20"/>
        <v>11.5</v>
      </c>
      <c r="P151" s="13">
        <v>138</v>
      </c>
      <c r="Q151" s="22">
        <v>3.5372935591929666E-2</v>
      </c>
      <c r="R151" s="19">
        <f t="shared" si="21"/>
        <v>3.8462949403678559E-2</v>
      </c>
      <c r="S151" s="22">
        <v>3.5368183298698064E-2</v>
      </c>
      <c r="T151" s="19">
        <f t="shared" si="22"/>
        <v>3.8421338451718468E-2</v>
      </c>
      <c r="U151" s="24">
        <v>3.984741469646691E-2</v>
      </c>
      <c r="V151" s="24">
        <f t="shared" si="23"/>
        <v>4.2902434050844152E-2</v>
      </c>
      <c r="W151" s="23">
        <f t="shared" si="24"/>
        <v>3.5036420032639182E-3</v>
      </c>
      <c r="X151" s="24">
        <v>3.894761443404593E-2</v>
      </c>
      <c r="Y151" s="24">
        <f t="shared" si="25"/>
        <v>4.2002568661881012E-2</v>
      </c>
      <c r="Z151" s="23">
        <f t="shared" si="26"/>
        <v>3.4314697538129213E-3</v>
      </c>
      <c r="AA151" s="36"/>
    </row>
    <row r="152" spans="15:27" ht="13.9" customHeight="1" x14ac:dyDescent="0.3">
      <c r="O152" s="12">
        <f t="shared" si="20"/>
        <v>11.583333333333334</v>
      </c>
      <c r="P152" s="13">
        <v>139</v>
      </c>
      <c r="Q152" s="22">
        <v>3.5395133038339965E-2</v>
      </c>
      <c r="R152" s="19">
        <f t="shared" si="21"/>
        <v>3.8496911341336038E-2</v>
      </c>
      <c r="S152" s="22">
        <v>3.5390116353459344E-2</v>
      </c>
      <c r="T152" s="19">
        <f t="shared" si="22"/>
        <v>3.8455885587002525E-2</v>
      </c>
      <c r="U152" s="24">
        <v>3.986936126171825E-2</v>
      </c>
      <c r="V152" s="24">
        <f t="shared" si="23"/>
        <v>4.2937848468109552E-2</v>
      </c>
      <c r="W152" s="23">
        <f t="shared" si="24"/>
        <v>3.5067700533566448E-3</v>
      </c>
      <c r="X152" s="24">
        <v>3.89695605044722E-2</v>
      </c>
      <c r="Y152" s="24">
        <f t="shared" si="25"/>
        <v>4.2037797657497045E-2</v>
      </c>
      <c r="Z152" s="23">
        <f t="shared" si="26"/>
        <v>3.434585422542602E-3</v>
      </c>
      <c r="AA152" s="36"/>
    </row>
    <row r="153" spans="15:27" ht="13.9" customHeight="1" x14ac:dyDescent="0.3">
      <c r="O153" s="12">
        <f t="shared" si="20"/>
        <v>11.666666666666666</v>
      </c>
      <c r="P153" s="13">
        <v>140</v>
      </c>
      <c r="Q153" s="22">
        <v>3.5417255713927398E-2</v>
      </c>
      <c r="R153" s="19">
        <f t="shared" si="21"/>
        <v>3.8527139661539644E-2</v>
      </c>
      <c r="S153" s="22">
        <v>3.5411982579585555E-2</v>
      </c>
      <c r="T153" s="19">
        <f t="shared" si="22"/>
        <v>3.8486852094219426E-2</v>
      </c>
      <c r="U153" s="24">
        <v>3.9891246983360107E-2</v>
      </c>
      <c r="V153" s="24">
        <f t="shared" si="23"/>
        <v>4.2969670721570319E-2</v>
      </c>
      <c r="W153" s="23">
        <f t="shared" si="24"/>
        <v>3.5096097288955797E-3</v>
      </c>
      <c r="X153" s="24">
        <v>3.8991444417542764E-2</v>
      </c>
      <c r="Y153" s="24">
        <f t="shared" si="25"/>
        <v>4.2069435390747811E-2</v>
      </c>
      <c r="Z153" s="23">
        <f t="shared" si="26"/>
        <v>3.4374124665050854E-3</v>
      </c>
      <c r="AA153" s="36"/>
    </row>
    <row r="154" spans="15:27" ht="13.9" customHeight="1" x14ac:dyDescent="0.3">
      <c r="O154" s="12">
        <f t="shared" si="20"/>
        <v>11.75</v>
      </c>
      <c r="P154" s="13">
        <v>141</v>
      </c>
      <c r="Q154" s="22">
        <v>3.543927880627562E-2</v>
      </c>
      <c r="R154" s="19">
        <f t="shared" si="21"/>
        <v>3.8553630073713929E-2</v>
      </c>
      <c r="S154" s="22">
        <v>3.5433758076673927E-2</v>
      </c>
      <c r="T154" s="19">
        <f t="shared" si="22"/>
        <v>3.8514246096798654E-2</v>
      </c>
      <c r="U154" s="24">
        <v>3.9913047751822361E-2</v>
      </c>
      <c r="V154" s="24">
        <f t="shared" si="23"/>
        <v>4.2997903416531091E-2</v>
      </c>
      <c r="W154" s="23">
        <f t="shared" si="24"/>
        <v>3.5121612943778135E-3</v>
      </c>
      <c r="X154" s="24">
        <v>3.9013242098072443E-2</v>
      </c>
      <c r="Y154" s="24">
        <f t="shared" si="25"/>
        <v>4.2097485635444798E-2</v>
      </c>
      <c r="Z154" s="23">
        <f t="shared" si="26"/>
        <v>3.4399512454483805E-3</v>
      </c>
      <c r="AA154" s="36"/>
    </row>
    <row r="155" spans="15:27" ht="13.9" customHeight="1" x14ac:dyDescent="0.3">
      <c r="O155" s="12">
        <f t="shared" si="20"/>
        <v>11.833333333333334</v>
      </c>
      <c r="P155" s="13">
        <v>142</v>
      </c>
      <c r="Q155" s="22">
        <v>3.5461178171867003E-2</v>
      </c>
      <c r="R155" s="19">
        <f t="shared" si="21"/>
        <v>3.8576377977477927E-2</v>
      </c>
      <c r="S155" s="22">
        <v>3.5455419674764954E-2</v>
      </c>
      <c r="T155" s="19">
        <f t="shared" si="22"/>
        <v>3.8538075294167529E-2</v>
      </c>
      <c r="U155" s="24">
        <v>3.9934740155181947E-2</v>
      </c>
      <c r="V155" s="24">
        <f t="shared" si="23"/>
        <v>4.302254881266343E-2</v>
      </c>
      <c r="W155" s="23">
        <f t="shared" si="24"/>
        <v>3.5144249828651386E-3</v>
      </c>
      <c r="X155" s="24">
        <v>3.9034930175746441E-2</v>
      </c>
      <c r="Y155" s="24">
        <f t="shared" si="25"/>
        <v>4.2121951801024737E-2</v>
      </c>
      <c r="Z155" s="23">
        <f t="shared" si="26"/>
        <v>3.4422020862565628E-3</v>
      </c>
      <c r="AA155" s="36"/>
    </row>
    <row r="156" spans="15:27" ht="13.9" customHeight="1" x14ac:dyDescent="0.3">
      <c r="O156" s="12">
        <f t="shared" si="20"/>
        <v>11.916666666666666</v>
      </c>
      <c r="P156" s="13">
        <v>143</v>
      </c>
      <c r="Q156" s="22">
        <v>3.5482930310280381E-2</v>
      </c>
      <c r="R156" s="19">
        <f t="shared" si="21"/>
        <v>3.8595378472937369E-2</v>
      </c>
      <c r="S156" s="22">
        <v>3.5476944905612484E-2</v>
      </c>
      <c r="T156" s="19">
        <f t="shared" si="22"/>
        <v>3.8558346973547764E-2</v>
      </c>
      <c r="U156" s="24">
        <v>3.9956301452123144E-2</v>
      </c>
      <c r="V156" s="24">
        <f t="shared" si="23"/>
        <v>4.3043608833974512E-2</v>
      </c>
      <c r="W156" s="23">
        <f t="shared" si="24"/>
        <v>3.5164009969588239E-3</v>
      </c>
      <c r="X156" s="24">
        <v>3.9056485957698284E-2</v>
      </c>
      <c r="Y156" s="24">
        <f t="shared" si="25"/>
        <v>4.2142836944314421E-2</v>
      </c>
      <c r="Z156" s="23">
        <f t="shared" si="26"/>
        <v>3.4441652838164138E-3</v>
      </c>
      <c r="AA156" s="36"/>
    </row>
    <row r="157" spans="15:27" ht="13.9" customHeight="1" x14ac:dyDescent="0.3">
      <c r="O157" s="12">
        <f t="shared" si="20"/>
        <v>12</v>
      </c>
      <c r="P157" s="13">
        <v>144</v>
      </c>
      <c r="Q157" s="22">
        <v>3.550451233953833E-2</v>
      </c>
      <c r="R157" s="19">
        <f t="shared" si="21"/>
        <v>3.8610638400423225E-2</v>
      </c>
      <c r="S157" s="22">
        <v>3.5498311975238339E-2</v>
      </c>
      <c r="T157" s="19">
        <f t="shared" si="22"/>
        <v>3.857506802041355E-2</v>
      </c>
      <c r="U157" s="24">
        <v>3.997770954609936E-2</v>
      </c>
      <c r="V157" s="24">
        <f t="shared" si="23"/>
        <v>4.3061085077376049E-2</v>
      </c>
      <c r="W157" s="23">
        <f t="shared" si="24"/>
        <v>3.5180895096085241E-3</v>
      </c>
      <c r="X157" s="24">
        <v>3.9077887402316769E-2</v>
      </c>
      <c r="Y157" s="24">
        <f t="shared" si="25"/>
        <v>4.2160143777905557E-2</v>
      </c>
      <c r="Z157" s="23">
        <f t="shared" si="26"/>
        <v>3.445841101974656E-3</v>
      </c>
      <c r="AA157" s="36"/>
    </row>
    <row r="158" spans="15:27" ht="13.9" customHeight="1" x14ac:dyDescent="0.3">
      <c r="O158" s="12">
        <f t="shared" si="20"/>
        <v>12.083333333333334</v>
      </c>
      <c r="P158" s="13">
        <v>145</v>
      </c>
      <c r="Q158" s="22">
        <v>3.5525902055266068E-2</v>
      </c>
      <c r="R158" s="19">
        <f t="shared" si="21"/>
        <v>3.8622200447390398E-2</v>
      </c>
      <c r="S158" s="22">
        <v>3.5519499737702409E-2</v>
      </c>
      <c r="T158" s="19">
        <f t="shared" si="22"/>
        <v>3.8588244930457316E-2</v>
      </c>
      <c r="U158" s="24">
        <v>3.9998942960628003E-2</v>
      </c>
      <c r="V158" s="24">
        <f t="shared" si="23"/>
        <v>4.3074978826942001E-2</v>
      </c>
      <c r="W158" s="23">
        <f t="shared" si="24"/>
        <v>3.519490664808167E-3</v>
      </c>
      <c r="X158" s="24">
        <v>3.9099113094200888E-2</v>
      </c>
      <c r="Y158" s="24">
        <f t="shared" si="25"/>
        <v>4.217387468297451E-2</v>
      </c>
      <c r="Z158" s="23">
        <f t="shared" si="26"/>
        <v>3.4472297742202951E-3</v>
      </c>
      <c r="AA158" s="36"/>
    </row>
    <row r="159" spans="15:27" ht="13.9" customHeight="1" x14ac:dyDescent="0.3">
      <c r="O159" s="12">
        <f t="shared" si="20"/>
        <v>12.166666666666666</v>
      </c>
      <c r="P159" s="13">
        <v>146</v>
      </c>
      <c r="Q159" s="22">
        <v>3.5547078152054157E-2</v>
      </c>
      <c r="R159" s="19">
        <f t="shared" si="21"/>
        <v>3.8630071026401813E-2</v>
      </c>
      <c r="S159" s="22">
        <v>3.5540487670035814E-2</v>
      </c>
      <c r="T159" s="19">
        <f t="shared" si="22"/>
        <v>3.8597883819712075E-2</v>
      </c>
      <c r="U159" s="24">
        <v>4.0019980815703349E-2</v>
      </c>
      <c r="V159" s="24">
        <f t="shared" si="23"/>
        <v>4.3085291059243636E-2</v>
      </c>
      <c r="W159" s="23">
        <f t="shared" si="24"/>
        <v>3.5206045787461449E-3</v>
      </c>
      <c r="X159" s="24">
        <v>3.912014222023541E-2</v>
      </c>
      <c r="Y159" s="24">
        <f t="shared" si="25"/>
        <v>4.2184031717646953E-2</v>
      </c>
      <c r="Z159" s="23">
        <f t="shared" si="26"/>
        <v>3.4483315047248997E-3</v>
      </c>
      <c r="AA159" s="36"/>
    </row>
    <row r="160" spans="15:27" ht="13.9" customHeight="1" x14ac:dyDescent="0.3">
      <c r="O160" s="12">
        <f t="shared" si="20"/>
        <v>12.25</v>
      </c>
      <c r="P160" s="13">
        <v>147</v>
      </c>
      <c r="Q160" s="22">
        <v>3.5568019946633278E-2</v>
      </c>
      <c r="R160" s="19">
        <f t="shared" si="21"/>
        <v>3.8634244280511654E-2</v>
      </c>
      <c r="S160" s="22">
        <v>3.5561255848274076E-2</v>
      </c>
      <c r="T160" s="19">
        <f t="shared" si="22"/>
        <v>3.8603990435981395E-2</v>
      </c>
      <c r="U160" s="24">
        <v>4.0040802805211939E-2</v>
      </c>
      <c r="V160" s="24">
        <f t="shared" si="23"/>
        <v>4.3092022458812274E-2</v>
      </c>
      <c r="W160" s="23">
        <f t="shared" si="24"/>
        <v>3.5214313402374131E-3</v>
      </c>
      <c r="X160" s="24">
        <v>3.9140954546704965E-2</v>
      </c>
      <c r="Y160" s="24">
        <f t="shared" si="25"/>
        <v>4.219061662960133E-2</v>
      </c>
      <c r="Z160" s="23">
        <f t="shared" si="26"/>
        <v>3.4491464690200591E-3</v>
      </c>
      <c r="AA160" s="36"/>
    </row>
    <row r="161" spans="15:27" ht="13.9" customHeight="1" x14ac:dyDescent="0.3">
      <c r="O161" s="12">
        <f t="shared" si="20"/>
        <v>12.333333333333334</v>
      </c>
      <c r="P161" s="13">
        <v>148</v>
      </c>
      <c r="Q161" s="22">
        <v>3.5588707273983111E-2</v>
      </c>
      <c r="R161" s="19">
        <f t="shared" si="21"/>
        <v>3.8634714111330126E-2</v>
      </c>
      <c r="S161" s="22">
        <v>3.5581784924541005E-2</v>
      </c>
      <c r="T161" s="19">
        <f t="shared" si="22"/>
        <v>3.8606570168789878E-2</v>
      </c>
      <c r="U161" s="24">
        <v>4.0061389175372719E-2</v>
      </c>
      <c r="V161" s="24">
        <f t="shared" si="23"/>
        <v>4.3095173423789879E-2</v>
      </c>
      <c r="W161" s="23">
        <f t="shared" si="24"/>
        <v>3.5219710119696046E-3</v>
      </c>
      <c r="X161" s="24">
        <v>3.9161530397425315E-2</v>
      </c>
      <c r="Y161" s="24">
        <f t="shared" si="25"/>
        <v>4.2193630863858411E-2</v>
      </c>
      <c r="Z161" s="23">
        <f t="shared" si="26"/>
        <v>3.4496748150179002E-3</v>
      </c>
      <c r="AA161" s="36"/>
    </row>
    <row r="162" spans="15:27" ht="13.9" customHeight="1" x14ac:dyDescent="0.3">
      <c r="O162" s="12">
        <f t="shared" si="20"/>
        <v>12.416666666666666</v>
      </c>
      <c r="P162" s="13">
        <v>149</v>
      </c>
      <c r="Q162" s="22">
        <v>3.560912046811171E-2</v>
      </c>
      <c r="R162" s="19">
        <f t="shared" si="21"/>
        <v>3.863147418915025E-2</v>
      </c>
      <c r="S162" s="22">
        <v>3.5602056105129343E-2</v>
      </c>
      <c r="T162" s="19">
        <f t="shared" si="22"/>
        <v>3.8605628061061381E-2</v>
      </c>
      <c r="U162" s="24">
        <v>4.0081720704085999E-2</v>
      </c>
      <c r="V162" s="24">
        <f t="shared" si="23"/>
        <v>4.3094744079366532E-2</v>
      </c>
      <c r="W162" s="23">
        <f t="shared" si="24"/>
        <v>3.5222236309571109E-3</v>
      </c>
      <c r="X162" s="24">
        <v>3.9181850632810544E-2</v>
      </c>
      <c r="Y162" s="24">
        <f t="shared" si="25"/>
        <v>4.2193075575034156E-2</v>
      </c>
      <c r="Z162" s="23">
        <f t="shared" si="26"/>
        <v>3.4499166636399181E-3</v>
      </c>
      <c r="AA162" s="36"/>
    </row>
    <row r="163" spans="15:27" ht="13.9" customHeight="1" x14ac:dyDescent="0.3">
      <c r="O163" s="12">
        <f t="shared" si="20"/>
        <v>12.5</v>
      </c>
      <c r="P163" s="13">
        <v>150</v>
      </c>
      <c r="Q163" s="22">
        <v>3.5629240343671986E-2</v>
      </c>
      <c r="R163" s="19">
        <f t="shared" si="21"/>
        <v>3.8624529825040943E-2</v>
      </c>
      <c r="S163" s="22">
        <v>3.5622051129537979E-2</v>
      </c>
      <c r="T163" s="19">
        <f t="shared" si="22"/>
        <v>3.8601168819321297E-2</v>
      </c>
      <c r="U163" s="24">
        <v>4.0101778681201905E-2</v>
      </c>
      <c r="V163" s="24">
        <f t="shared" si="23"/>
        <v>4.3090734287088539E-2</v>
      </c>
      <c r="W163" s="23">
        <f t="shared" si="24"/>
        <v>3.5221892096213292E-3</v>
      </c>
      <c r="X163" s="24">
        <v>3.9201896629863731E-2</v>
      </c>
      <c r="Y163" s="24">
        <f t="shared" si="25"/>
        <v>4.218895163733638E-2</v>
      </c>
      <c r="Z163" s="23">
        <f t="shared" si="26"/>
        <v>3.4498721098064067E-3</v>
      </c>
      <c r="AA163" s="36"/>
    </row>
    <row r="164" spans="15:27" ht="13.9" customHeight="1" x14ac:dyDescent="0.3">
      <c r="O164" s="12">
        <f t="shared" si="20"/>
        <v>12.583333333333334</v>
      </c>
      <c r="P164" s="13">
        <v>151</v>
      </c>
      <c r="Q164" s="22">
        <v>3.5649048256709781E-2</v>
      </c>
      <c r="R164" s="19">
        <f t="shared" si="21"/>
        <v>3.8613921744767632E-2</v>
      </c>
      <c r="S164" s="22">
        <v>3.564175225041466E-2</v>
      </c>
      <c r="T164" s="19">
        <f t="shared" si="22"/>
        <v>3.8593196823154541E-2</v>
      </c>
      <c r="U164" s="24">
        <v>4.0121544889637928E-2</v>
      </c>
      <c r="V164" s="24">
        <f t="shared" si="23"/>
        <v>4.3083143654140343E-2</v>
      </c>
      <c r="W164" s="23">
        <f t="shared" si="24"/>
        <v>3.5218677365369544E-3</v>
      </c>
      <c r="X164" s="24">
        <v>3.9221650263030927E-2</v>
      </c>
      <c r="Y164" s="24">
        <f t="shared" si="25"/>
        <v>4.2181259653991221E-2</v>
      </c>
      <c r="Z164" s="23">
        <f t="shared" si="26"/>
        <v>3.4495412232398159E-3</v>
      </c>
      <c r="AA164" s="36"/>
    </row>
    <row r="165" spans="15:27" ht="13.9" customHeight="1" x14ac:dyDescent="0.3">
      <c r="O165" s="12">
        <f t="shared" si="20"/>
        <v>12.666666666666666</v>
      </c>
      <c r="P165" s="13">
        <v>152</v>
      </c>
      <c r="Q165" s="22">
        <v>3.5668526318991312E-2</v>
      </c>
      <c r="R165" s="19">
        <f t="shared" si="21"/>
        <v>3.8599654960259189E-2</v>
      </c>
      <c r="S165" s="22">
        <v>3.5661142214356012E-2</v>
      </c>
      <c r="T165" s="19">
        <f t="shared" si="22"/>
        <v>3.8581716138357924E-2</v>
      </c>
      <c r="U165" s="24">
        <v>4.014100158730427E-2</v>
      </c>
      <c r="V165" s="24">
        <f t="shared" si="23"/>
        <v>4.3071971545155296E-2</v>
      </c>
      <c r="W165" s="23">
        <f t="shared" si="24"/>
        <v>3.5212591771767165E-3</v>
      </c>
      <c r="X165" s="24">
        <v>3.9241093885876932E-2</v>
      </c>
      <c r="Y165" s="24">
        <f t="shared" si="25"/>
        <v>4.2169999968570071E-2</v>
      </c>
      <c r="Z165" s="23">
        <f t="shared" si="26"/>
        <v>3.4489240492254769E-3</v>
      </c>
      <c r="AA165" s="36"/>
    </row>
    <row r="166" spans="15:27" ht="13.9" customHeight="1" x14ac:dyDescent="0.3">
      <c r="O166" s="12">
        <f t="shared" si="20"/>
        <v>12.75</v>
      </c>
      <c r="P166" s="13">
        <v>153</v>
      </c>
      <c r="Q166" s="22">
        <v>3.5687657140383466E-2</v>
      </c>
      <c r="R166" s="19">
        <f t="shared" si="21"/>
        <v>3.858172244800917E-2</v>
      </c>
      <c r="S166" s="22">
        <v>3.5680204243549341E-2</v>
      </c>
      <c r="T166" s="19">
        <f t="shared" si="22"/>
        <v>3.856673052351578E-2</v>
      </c>
      <c r="U166" s="24">
        <v>4.0160131489819229E-2</v>
      </c>
      <c r="V166" s="24">
        <f t="shared" si="23"/>
        <v>4.3057217090902267E-2</v>
      </c>
      <c r="W166" s="23">
        <f t="shared" si="24"/>
        <v>3.5203634748557366E-3</v>
      </c>
      <c r="X166" s="24">
        <v>3.9260210313555755E-2</v>
      </c>
      <c r="Y166" s="24">
        <f t="shared" si="25"/>
        <v>4.2155172673814967E-2</v>
      </c>
      <c r="Z166" s="23">
        <f t="shared" si="26"/>
        <v>3.448020609519542E-3</v>
      </c>
      <c r="AA166" s="36"/>
    </row>
    <row r="167" spans="15:27" ht="13.9" customHeight="1" x14ac:dyDescent="0.3">
      <c r="O167" s="12">
        <f t="shared" si="20"/>
        <v>12.833333333333334</v>
      </c>
      <c r="P167" s="13">
        <v>154</v>
      </c>
      <c r="Q167" s="22">
        <v>3.5706423734566339E-2</v>
      </c>
      <c r="R167" s="19">
        <f t="shared" si="21"/>
        <v>3.8560117007043537E-2</v>
      </c>
      <c r="S167" s="22">
        <v>3.5698922018175594E-2</v>
      </c>
      <c r="T167" s="19">
        <f t="shared" si="22"/>
        <v>3.8548243444063157E-2</v>
      </c>
      <c r="U167" s="24">
        <v>4.0178917753955767E-2</v>
      </c>
      <c r="V167" s="24">
        <f t="shared" si="23"/>
        <v>4.3038879200028912E-2</v>
      </c>
      <c r="W167" s="23">
        <f t="shared" si="24"/>
        <v>3.5191805514258601E-3</v>
      </c>
      <c r="X167" s="24">
        <v>3.9278982806023821E-2</v>
      </c>
      <c r="Y167" s="24">
        <f t="shared" si="25"/>
        <v>4.2136777624004029E-2</v>
      </c>
      <c r="Z167" s="23">
        <f t="shared" si="26"/>
        <v>3.4468309030579736E-3</v>
      </c>
      <c r="AA167" s="36"/>
    </row>
    <row r="168" spans="15:27" ht="13.9" customHeight="1" x14ac:dyDescent="0.3">
      <c r="O168" s="12">
        <f t="shared" si="20"/>
        <v>12.916666666666666</v>
      </c>
      <c r="P168" s="13">
        <v>155</v>
      </c>
      <c r="Q168" s="22">
        <v>3.5724809504677602E-2</v>
      </c>
      <c r="R168" s="19">
        <f t="shared" si="21"/>
        <v>3.8534831271889169E-2</v>
      </c>
      <c r="S168" s="22">
        <v>3.571727965958682E-2</v>
      </c>
      <c r="T168" s="19">
        <f t="shared" si="22"/>
        <v>3.8526258080330944E-2</v>
      </c>
      <c r="U168" s="24">
        <v>4.0197343961807297E-2</v>
      </c>
      <c r="V168" s="24">
        <f t="shared" si="23"/>
        <v>4.3016956567985654E-2</v>
      </c>
      <c r="W168" s="23">
        <f t="shared" si="24"/>
        <v>3.5177103082146832E-3</v>
      </c>
      <c r="X168" s="24">
        <v>3.929739505198504E-2</v>
      </c>
      <c r="Y168" s="24">
        <f t="shared" si="25"/>
        <v>4.2114814442739457E-2</v>
      </c>
      <c r="Z168" s="23">
        <f t="shared" si="26"/>
        <v>3.4453549069481948E-3</v>
      </c>
      <c r="AA168" s="36"/>
    </row>
    <row r="169" spans="15:27" ht="13.9" customHeight="1" x14ac:dyDescent="0.3">
      <c r="O169" s="12">
        <f t="shared" si="20"/>
        <v>13</v>
      </c>
      <c r="P169" s="13">
        <v>156</v>
      </c>
      <c r="Q169" s="22">
        <v>3.5742798229592809E-2</v>
      </c>
      <c r="R169" s="19">
        <f t="shared" si="21"/>
        <v>3.850586942001355E-2</v>
      </c>
      <c r="S169" s="22">
        <v>3.5735261714185063E-2</v>
      </c>
      <c r="T169" s="19">
        <f t="shared" si="22"/>
        <v>3.8500777338351888E-2</v>
      </c>
      <c r="U169" s="24">
        <v>4.0215394105620916E-2</v>
      </c>
      <c r="V169" s="24">
        <f t="shared" si="23"/>
        <v>4.2991447687760864E-2</v>
      </c>
      <c r="W169" s="23">
        <f t="shared" si="24"/>
        <v>3.5159526267349861E-3</v>
      </c>
      <c r="X169" s="24">
        <v>3.9315431153505775E-2</v>
      </c>
      <c r="Y169" s="24">
        <f t="shared" si="25"/>
        <v>4.2089282534968575E-2</v>
      </c>
      <c r="Z169" s="23">
        <f t="shared" si="26"/>
        <v>3.4435925770908149E-3</v>
      </c>
      <c r="AA169" s="36"/>
    </row>
    <row r="170" spans="15:27" ht="13.9" customHeight="1" x14ac:dyDescent="0.3">
      <c r="O170" s="12">
        <f t="shared" si="20"/>
        <v>13.083333333333334</v>
      </c>
      <c r="P170" s="13">
        <v>157</v>
      </c>
      <c r="Q170" s="22">
        <v>3.5760374125103356E-2</v>
      </c>
      <c r="R170" s="19">
        <f t="shared" si="21"/>
        <v>3.8473270605736909E-2</v>
      </c>
      <c r="S170" s="22">
        <v>3.5752853137988261E-2</v>
      </c>
      <c r="T170" s="19">
        <f t="shared" si="22"/>
        <v>3.847180386061777E-2</v>
      </c>
      <c r="U170" s="24">
        <v>4.0233052573281247E-2</v>
      </c>
      <c r="V170" s="24">
        <f t="shared" si="23"/>
        <v>4.2962350860642484E-2</v>
      </c>
      <c r="W170" s="23">
        <f t="shared" si="24"/>
        <v>3.5139073695424905E-3</v>
      </c>
      <c r="X170" s="24">
        <v>3.9333075611295509E-2</v>
      </c>
      <c r="Y170" s="24">
        <f t="shared" si="25"/>
        <v>4.2060181097169247E-2</v>
      </c>
      <c r="Z170" s="23">
        <f t="shared" si="26"/>
        <v>3.4415438491419703E-3</v>
      </c>
      <c r="AA170" s="36"/>
    </row>
    <row r="171" spans="15:27" ht="13.9" customHeight="1" x14ac:dyDescent="0.3">
      <c r="O171" s="12">
        <f t="shared" si="20"/>
        <v>13.166666666666666</v>
      </c>
      <c r="P171" s="13">
        <v>158</v>
      </c>
      <c r="Q171" s="22">
        <v>3.5777522050721933E-2</v>
      </c>
      <c r="R171" s="19">
        <f t="shared" si="21"/>
        <v>3.8437038830868131E-2</v>
      </c>
      <c r="S171" s="22">
        <v>3.5770039281852295E-2</v>
      </c>
      <c r="T171" s="19">
        <f t="shared" si="22"/>
        <v>3.8439340034770231E-2</v>
      </c>
      <c r="U171" s="24">
        <v>4.0250304134414661E-2</v>
      </c>
      <c r="V171" s="24">
        <f t="shared" si="23"/>
        <v>4.2929664205422657E-2</v>
      </c>
      <c r="W171" s="23">
        <f t="shared" si="24"/>
        <v>3.5115743810911759E-3</v>
      </c>
      <c r="X171" s="24">
        <v>3.9350313310613005E-2</v>
      </c>
      <c r="Y171" s="24">
        <f t="shared" si="25"/>
        <v>4.2027509125015294E-2</v>
      </c>
      <c r="Z171" s="23">
        <f t="shared" si="26"/>
        <v>3.4392086393273402E-3</v>
      </c>
      <c r="AA171" s="36"/>
    </row>
    <row r="172" spans="15:27" ht="13.9" customHeight="1" x14ac:dyDescent="0.3">
      <c r="O172" s="12">
        <f t="shared" si="20"/>
        <v>13.25</v>
      </c>
      <c r="P172" s="13">
        <v>159</v>
      </c>
      <c r="Q172" s="22">
        <v>3.5794227268804102E-2</v>
      </c>
      <c r="R172" s="19">
        <f t="shared" si="21"/>
        <v>3.8397166289011242E-2</v>
      </c>
      <c r="S172" s="22">
        <v>3.578680587730787E-2</v>
      </c>
      <c r="T172" s="19">
        <f t="shared" si="22"/>
        <v>3.8403388006165828E-2</v>
      </c>
      <c r="U172" s="24">
        <v>4.0267133927077037E-2</v>
      </c>
      <c r="V172" s="24">
        <f t="shared" si="23"/>
        <v>4.2893385669415141E-2</v>
      </c>
      <c r="W172" s="23">
        <f t="shared" si="24"/>
        <v>3.5089534884646945E-3</v>
      </c>
      <c r="X172" s="24">
        <v>3.936712950775445E-2</v>
      </c>
      <c r="Y172" s="24">
        <f t="shared" si="25"/>
        <v>4.1991265427994362E-2</v>
      </c>
      <c r="Z172" s="23">
        <f t="shared" si="26"/>
        <v>3.4365868450518811E-3</v>
      </c>
      <c r="AA172" s="36"/>
    </row>
    <row r="173" spans="15:27" ht="13.9" customHeight="1" x14ac:dyDescent="0.3">
      <c r="O173" s="12">
        <f t="shared" si="20"/>
        <v>13.333333333333334</v>
      </c>
      <c r="P173" s="13">
        <v>160</v>
      </c>
      <c r="Q173" s="22">
        <v>3.5810475358186489E-2</v>
      </c>
      <c r="R173" s="19">
        <f t="shared" si="21"/>
        <v>3.8353645062814801E-2</v>
      </c>
      <c r="S173" s="22">
        <v>3.5803139023007802E-2</v>
      </c>
      <c r="T173" s="19">
        <f t="shared" si="22"/>
        <v>3.8363949685452869E-2</v>
      </c>
      <c r="U173" s="24">
        <v>4.0283527445011513E-2</v>
      </c>
      <c r="V173" s="24">
        <f t="shared" si="23"/>
        <v>4.2853513038912938E-2</v>
      </c>
      <c r="W173" s="23">
        <f t="shared" si="24"/>
        <v>3.5060445022541131E-3</v>
      </c>
      <c r="X173" s="24">
        <v>3.9383509817139561E-2</v>
      </c>
      <c r="Y173" s="24">
        <f t="shared" si="25"/>
        <v>4.1951448635754174E-2</v>
      </c>
      <c r="Z173" s="23">
        <f t="shared" si="26"/>
        <v>3.4336783460680032E-3</v>
      </c>
      <c r="AA173" s="36"/>
    </row>
    <row r="174" spans="15:27" ht="13.9" customHeight="1" x14ac:dyDescent="0.3">
      <c r="O174" s="12">
        <f t="shared" si="20"/>
        <v>13.416666666666666</v>
      </c>
      <c r="P174" s="13">
        <v>161</v>
      </c>
      <c r="Q174" s="22">
        <v>3.5826252203502662E-2</v>
      </c>
      <c r="R174" s="19">
        <f t="shared" si="21"/>
        <v>3.8306467135874156E-2</v>
      </c>
      <c r="S174" s="22">
        <v>3.5819025171729413E-2</v>
      </c>
      <c r="T174" s="19">
        <f t="shared" si="22"/>
        <v>3.8321026760385291E-2</v>
      </c>
      <c r="U174" s="24">
        <v>4.029947052544669E-2</v>
      </c>
      <c r="V174" s="24">
        <f t="shared" si="23"/>
        <v>4.2810043949044196E-2</v>
      </c>
      <c r="W174" s="23">
        <f t="shared" si="24"/>
        <v>3.5028472173865843E-3</v>
      </c>
      <c r="X174" s="24">
        <v>3.9399440198922164E-2</v>
      </c>
      <c r="Y174" s="24">
        <f t="shared" si="25"/>
        <v>4.1908057210110483E-2</v>
      </c>
      <c r="Z174" s="23">
        <f t="shared" si="26"/>
        <v>3.4304830049789459E-3</v>
      </c>
      <c r="AA174" s="36"/>
    </row>
    <row r="175" spans="15:27" ht="13.9" customHeight="1" x14ac:dyDescent="0.3">
      <c r="O175" s="12">
        <f t="shared" si="20"/>
        <v>13.5</v>
      </c>
      <c r="P175" s="13">
        <v>162</v>
      </c>
      <c r="Q175" s="22">
        <v>3.584154398496664E-2</v>
      </c>
      <c r="R175" s="19">
        <f t="shared" si="21"/>
        <v>3.8255635932285426E-2</v>
      </c>
      <c r="S175" s="22">
        <v>3.5834451117931598E-2</v>
      </c>
      <c r="T175" s="19">
        <f t="shared" si="22"/>
        <v>3.8274620704938922E-2</v>
      </c>
      <c r="U175" s="24">
        <v>4.0314949337408645E-2</v>
      </c>
      <c r="V175" s="24">
        <f t="shared" si="23"/>
        <v>4.2762975893526622E-2</v>
      </c>
      <c r="W175" s="23">
        <f t="shared" si="24"/>
        <v>3.4993614139078311E-3</v>
      </c>
      <c r="X175" s="24">
        <v>3.9414906947132122E-2</v>
      </c>
      <c r="Y175" s="24">
        <f t="shared" si="25"/>
        <v>4.1861089455231371E-2</v>
      </c>
      <c r="Z175" s="23">
        <f t="shared" si="26"/>
        <v>3.4270006681960119E-3</v>
      </c>
      <c r="AA175" s="36"/>
    </row>
    <row r="176" spans="15:27" ht="13.9" customHeight="1" x14ac:dyDescent="0.3">
      <c r="O176" s="12">
        <f t="shared" si="20"/>
        <v>13.583333333333334</v>
      </c>
      <c r="P176" s="13">
        <v>163</v>
      </c>
      <c r="Q176" s="22">
        <v>3.5856337239164704E-2</v>
      </c>
      <c r="R176" s="19">
        <f t="shared" si="21"/>
        <v>3.8201189418126447E-2</v>
      </c>
      <c r="S176" s="22">
        <v>3.5849403985827921E-2</v>
      </c>
      <c r="T176" s="19">
        <f t="shared" si="22"/>
        <v>3.8224732789878368E-2</v>
      </c>
      <c r="U176" s="24">
        <v>4.0329950370524559E-2</v>
      </c>
      <c r="V176" s="24">
        <f t="shared" si="23"/>
        <v>4.271230623683886E-2</v>
      </c>
      <c r="W176" s="23">
        <f t="shared" si="24"/>
        <v>3.4955868577559723E-3</v>
      </c>
      <c r="X176" s="24">
        <v>3.9429896678319531E-2</v>
      </c>
      <c r="Y176" s="24">
        <f t="shared" si="25"/>
        <v>4.1810543527742494E-2</v>
      </c>
      <c r="Z176" s="23">
        <f t="shared" si="26"/>
        <v>3.4232311667481419E-3</v>
      </c>
      <c r="AA176" s="36"/>
    </row>
    <row r="177" spans="15:27" ht="13.9" customHeight="1" x14ac:dyDescent="0.3">
      <c r="O177" s="12">
        <f t="shared" si="20"/>
        <v>13.666666666666666</v>
      </c>
      <c r="P177" s="13">
        <v>164</v>
      </c>
      <c r="Q177" s="22">
        <v>3.5870619058194109E-2</v>
      </c>
      <c r="R177" s="19">
        <f t="shared" si="21"/>
        <v>3.8143130960909266E-2</v>
      </c>
      <c r="S177" s="22">
        <v>3.5863871217961085E-2</v>
      </c>
      <c r="T177" s="19">
        <f t="shared" si="22"/>
        <v>3.8171364092661086E-2</v>
      </c>
      <c r="U177" s="24">
        <v>4.0344460424309947E-2</v>
      </c>
      <c r="V177" s="24">
        <f t="shared" si="23"/>
        <v>4.2658032223017006E-2</v>
      </c>
      <c r="W177" s="23">
        <f t="shared" si="24"/>
        <v>3.4915233017271952E-3</v>
      </c>
      <c r="X177" s="24">
        <v>3.9444396320674979E-2</v>
      </c>
      <c r="Y177" s="24">
        <f t="shared" si="25"/>
        <v>4.1756417446794813E-2</v>
      </c>
      <c r="Z177" s="23">
        <f t="shared" si="26"/>
        <v>3.4191743170857158E-3</v>
      </c>
      <c r="AA177" s="36"/>
    </row>
    <row r="178" spans="15:27" ht="13.9" customHeight="1" x14ac:dyDescent="0.3">
      <c r="O178" s="12">
        <f t="shared" si="20"/>
        <v>13.75</v>
      </c>
      <c r="P178" s="13">
        <v>165</v>
      </c>
      <c r="Q178" s="22">
        <v>3.5884376863514644E-2</v>
      </c>
      <c r="R178" s="19">
        <f t="shared" si="21"/>
        <v>3.8081452350154477E-2</v>
      </c>
      <c r="S178" s="22">
        <v>3.5877840564254804E-2</v>
      </c>
      <c r="T178" s="19">
        <f t="shared" si="22"/>
        <v>3.8114515507292834E-2</v>
      </c>
      <c r="U178" s="24">
        <v>4.0358466597900877E-2</v>
      </c>
      <c r="V178" s="24">
        <f t="shared" si="23"/>
        <v>4.2600150986716656E-2</v>
      </c>
      <c r="W178" s="23">
        <f t="shared" si="24"/>
        <v>3.4871704861711983E-3</v>
      </c>
      <c r="X178" s="24">
        <v>3.9458393103609435E-2</v>
      </c>
      <c r="Y178" s="24">
        <f t="shared" si="25"/>
        <v>4.1698709104874165E-2</v>
      </c>
      <c r="Z178" s="23">
        <f t="shared" si="26"/>
        <v>3.4148299218803579E-3</v>
      </c>
      <c r="AA178" s="36"/>
    </row>
    <row r="179" spans="15:27" ht="13.9" customHeight="1" x14ac:dyDescent="0.3">
      <c r="O179" s="12">
        <f t="shared" si="20"/>
        <v>13.833333333333334</v>
      </c>
      <c r="P179" s="13">
        <v>166</v>
      </c>
      <c r="Q179" s="22">
        <v>3.5897598326291913E-2</v>
      </c>
      <c r="R179" s="19">
        <f t="shared" si="21"/>
        <v>3.801614533005937E-2</v>
      </c>
      <c r="S179" s="22">
        <v>3.5891300071521082E-2</v>
      </c>
      <c r="T179" s="19">
        <f t="shared" si="22"/>
        <v>3.8054187754644753E-2</v>
      </c>
      <c r="U179" s="24">
        <v>4.0371956280223387E-2</v>
      </c>
      <c r="V179" s="24">
        <f t="shared" si="23"/>
        <v>4.2538659563315262E-2</v>
      </c>
      <c r="W179" s="23">
        <f t="shared" si="24"/>
        <v>3.4825281398684904E-3</v>
      </c>
      <c r="X179" s="24">
        <v>3.9471874547774233E-2</v>
      </c>
      <c r="Y179" s="24">
        <f t="shared" si="25"/>
        <v>4.1637416277763517E-2</v>
      </c>
      <c r="Z179" s="23">
        <f t="shared" si="26"/>
        <v>3.4101977708831388E-3</v>
      </c>
      <c r="AA179" s="36"/>
    </row>
    <row r="180" spans="15:27" ht="13.9" customHeight="1" x14ac:dyDescent="0.3">
      <c r="O180" s="12">
        <f t="shared" si="20"/>
        <v>13.916666666666666</v>
      </c>
      <c r="P180" s="13">
        <v>167</v>
      </c>
      <c r="Q180" s="22">
        <v>3.5910271359494539E-2</v>
      </c>
      <c r="R180" s="19">
        <f t="shared" si="21"/>
        <v>3.7947201608376169E-2</v>
      </c>
      <c r="S180" s="22">
        <v>3.5904238073407591E-2</v>
      </c>
      <c r="T180" s="19">
        <f t="shared" si="22"/>
        <v>3.7990381391895589E-2</v>
      </c>
      <c r="U180" s="24">
        <v>4.0384917140577903E-2</v>
      </c>
      <c r="V180" s="24">
        <f t="shared" si="23"/>
        <v>4.247355489975746E-2</v>
      </c>
      <c r="W180" s="23">
        <f t="shared" si="24"/>
        <v>3.4775959808297507E-3</v>
      </c>
      <c r="X180" s="24">
        <v>3.9484828455502052E-2</v>
      </c>
      <c r="Y180" s="24">
        <f t="shared" si="25"/>
        <v>4.1572536634875368E-2</v>
      </c>
      <c r="Z180" s="23">
        <f t="shared" si="26"/>
        <v>3.4052776417166086E-3</v>
      </c>
      <c r="AA180" s="36"/>
    </row>
    <row r="181" spans="15:27" ht="13.9" customHeight="1" x14ac:dyDescent="0.3">
      <c r="O181" s="12">
        <f t="shared" si="20"/>
        <v>14</v>
      </c>
      <c r="P181" s="13">
        <v>168</v>
      </c>
      <c r="Q181" s="22">
        <v>3.5922384110326444E-2</v>
      </c>
      <c r="R181" s="19">
        <f t="shared" si="21"/>
        <v>3.7874624231251763E-2</v>
      </c>
      <c r="S181" s="22">
        <v>3.5916643180761154E-2</v>
      </c>
      <c r="T181" s="19">
        <f t="shared" si="22"/>
        <v>3.7923096823405444E-2</v>
      </c>
      <c r="U181" s="24">
        <v>4.0397337119624899E-2</v>
      </c>
      <c r="V181" s="24">
        <f t="shared" si="23"/>
        <v>4.2404833865750335E-2</v>
      </c>
      <c r="W181" s="23">
        <f t="shared" si="24"/>
        <v>3.4723737171546976E-3</v>
      </c>
      <c r="X181" s="24">
        <v>3.9497242901650242E-2</v>
      </c>
      <c r="Y181" s="24">
        <f t="shared" si="25"/>
        <v>4.1504067750610441E-2</v>
      </c>
      <c r="Z181" s="23">
        <f t="shared" si="26"/>
        <v>3.4000693006932536E-3</v>
      </c>
      <c r="AA181" s="36"/>
    </row>
    <row r="182" spans="15:27" ht="13.9" customHeight="1" x14ac:dyDescent="0.3">
      <c r="O182" s="12">
        <f t="shared" si="20"/>
        <v>14.083333333333334</v>
      </c>
      <c r="P182" s="13">
        <v>169</v>
      </c>
      <c r="Q182" s="22">
        <v>3.5933925020108282E-2</v>
      </c>
      <c r="R182" s="19">
        <f t="shared" si="21"/>
        <v>3.7798450347298562E-2</v>
      </c>
      <c r="S182" s="22">
        <v>3.5928504272398021E-2</v>
      </c>
      <c r="T182" s="19">
        <f t="shared" si="22"/>
        <v>3.7852334309679048E-2</v>
      </c>
      <c r="U182" s="24">
        <v>4.0409204420757128E-2</v>
      </c>
      <c r="V182" s="24">
        <f t="shared" si="23"/>
        <v>4.2332493262019932E-2</v>
      </c>
      <c r="W182" s="23">
        <f t="shared" si="24"/>
        <v>3.4668610479187123E-3</v>
      </c>
      <c r="X182" s="24">
        <v>3.9509106224836721E-2</v>
      </c>
      <c r="Y182" s="24">
        <f t="shared" si="25"/>
        <v>4.1432007113034741E-2</v>
      </c>
      <c r="Z182" s="23">
        <f t="shared" si="26"/>
        <v>3.3945725037185515E-3</v>
      </c>
      <c r="AA182" s="36"/>
    </row>
    <row r="183" spans="15:27" ht="13.9" customHeight="1" x14ac:dyDescent="0.3">
      <c r="O183" s="12">
        <f t="shared" si="20"/>
        <v>14.166666666666666</v>
      </c>
      <c r="P183" s="13">
        <v>170</v>
      </c>
      <c r="Q183" s="22">
        <v>3.5944883015741613E-2</v>
      </c>
      <c r="R183" s="19">
        <f t="shared" si="21"/>
        <v>3.7718683061870095E-2</v>
      </c>
      <c r="S183" s="22">
        <v>3.5939810486253609E-2</v>
      </c>
      <c r="T183" s="19">
        <f t="shared" si="22"/>
        <v>3.7778093978615868E-2</v>
      </c>
      <c r="U183" s="24">
        <v>4.0420507501825353E-2</v>
      </c>
      <c r="V183" s="24">
        <f t="shared" si="23"/>
        <v>4.2256529834433953E-2</v>
      </c>
      <c r="W183" s="23">
        <f t="shared" si="24"/>
        <v>3.4610576638245405E-3</v>
      </c>
      <c r="X183" s="24">
        <v>3.9520407019038251E-2</v>
      </c>
      <c r="Y183" s="24">
        <f t="shared" si="25"/>
        <v>4.1356352135815122E-2</v>
      </c>
      <c r="Z183" s="23">
        <f t="shared" si="26"/>
        <v>3.3887869969777551E-3</v>
      </c>
      <c r="AA183" s="36"/>
    </row>
    <row r="184" spans="15:27" ht="13.9" customHeight="1" x14ac:dyDescent="0.3">
      <c r="O184" s="12">
        <f t="shared" si="20"/>
        <v>14.25</v>
      </c>
      <c r="P184" s="13">
        <v>171</v>
      </c>
      <c r="Q184" s="22">
        <v>3.595524729670907E-2</v>
      </c>
      <c r="R184" s="19">
        <f t="shared" si="21"/>
        <v>3.7635314132325126E-2</v>
      </c>
      <c r="S184" s="22">
        <v>3.5950551210909731E-2</v>
      </c>
      <c r="T184" s="19">
        <f t="shared" si="22"/>
        <v>3.7700375833890076E-2</v>
      </c>
      <c r="U184" s="24">
        <v>4.0431235067238003E-2</v>
      </c>
      <c r="V184" s="24">
        <f t="shared" si="23"/>
        <v>4.2176940280963304E-2</v>
      </c>
      <c r="W184" s="23">
        <f t="shared" si="24"/>
        <v>3.4549632483225068E-3</v>
      </c>
      <c r="X184" s="24">
        <v>3.9531134125551759E-2</v>
      </c>
      <c r="Y184" s="24">
        <f t="shared" si="25"/>
        <v>4.1277100168268355E-2</v>
      </c>
      <c r="Z184" s="23">
        <f t="shared" si="26"/>
        <v>3.3827125178838013E-3</v>
      </c>
      <c r="AA184" s="36"/>
    </row>
    <row r="185" spans="15:27" ht="13.9" customHeight="1" x14ac:dyDescent="0.3">
      <c r="O185" s="12">
        <f t="shared" si="20"/>
        <v>14.333333333333334</v>
      </c>
      <c r="P185" s="13">
        <v>172</v>
      </c>
      <c r="Q185" s="22">
        <v>3.5965007261157034E-2</v>
      </c>
      <c r="R185" s="19">
        <f t="shared" si="21"/>
        <v>3.7548335334314453E-2</v>
      </c>
      <c r="S185" s="22">
        <v>3.596071607746576E-2</v>
      </c>
      <c r="T185" s="19">
        <f t="shared" si="22"/>
        <v>3.7619179766343658E-2</v>
      </c>
      <c r="U185" s="24">
        <v>4.0441376060376122E-2</v>
      </c>
      <c r="V185" s="24">
        <f t="shared" si="23"/>
        <v>4.209372126507227E-2</v>
      </c>
      <c r="W185" s="23">
        <f t="shared" si="24"/>
        <v>3.448577478158743E-3</v>
      </c>
      <c r="X185" s="24">
        <v>3.9541276625296273E-2</v>
      </c>
      <c r="Y185" s="24">
        <f t="shared" si="25"/>
        <v>4.1194248505912912E-2</v>
      </c>
      <c r="Z185" s="23">
        <f t="shared" si="26"/>
        <v>3.3763487958735627E-3</v>
      </c>
      <c r="AA185" s="36"/>
    </row>
    <row r="186" spans="15:27" ht="13.9" customHeight="1" x14ac:dyDescent="0.3">
      <c r="O186" s="12">
        <f t="shared" si="20"/>
        <v>14.416666666666666</v>
      </c>
      <c r="P186" s="13">
        <v>173</v>
      </c>
      <c r="Q186" s="22">
        <v>3.5974152500115153E-2</v>
      </c>
      <c r="R186" s="19">
        <f t="shared" si="21"/>
        <v>3.7457738471714741E-2</v>
      </c>
      <c r="S186" s="22">
        <v>3.5970294951758408E-2</v>
      </c>
      <c r="T186" s="19">
        <f t="shared" si="22"/>
        <v>3.7534505563836751E-2</v>
      </c>
      <c r="U186" s="24">
        <v>4.0450919656350504E-2</v>
      </c>
      <c r="V186" s="24">
        <f t="shared" si="23"/>
        <v>4.2006869425479154E-2</v>
      </c>
      <c r="W186" s="23">
        <f t="shared" si="24"/>
        <v>3.4419000244372278E-3</v>
      </c>
      <c r="X186" s="24">
        <v>3.9550823831443038E-2</v>
      </c>
      <c r="Y186" s="24">
        <f t="shared" si="25"/>
        <v>4.1107794400881303E-2</v>
      </c>
      <c r="Z186" s="23">
        <f t="shared" si="26"/>
        <v>3.3696955532453998E-3</v>
      </c>
      <c r="AA186" s="36"/>
    </row>
    <row r="187" spans="15:27" ht="13.9" customHeight="1" x14ac:dyDescent="0.3">
      <c r="O187" s="12">
        <f t="shared" si="20"/>
        <v>14.5</v>
      </c>
      <c r="P187" s="13">
        <v>174</v>
      </c>
      <c r="Q187" s="22">
        <v>3.5982672791970094E-2</v>
      </c>
      <c r="R187" s="19">
        <f t="shared" si="21"/>
        <v>3.7363526582959938E-2</v>
      </c>
      <c r="S187" s="22">
        <v>3.5979277926907249E-2</v>
      </c>
      <c r="T187" s="19">
        <f t="shared" si="22"/>
        <v>3.7446352919837445E-2</v>
      </c>
      <c r="U187" s="24">
        <v>4.0459855255063237E-2</v>
      </c>
      <c r="V187" s="24">
        <f t="shared" si="23"/>
        <v>4.1916381386010393E-2</v>
      </c>
      <c r="W187" s="23">
        <f t="shared" si="24"/>
        <v>3.434930553391613E-3</v>
      </c>
      <c r="X187" s="24">
        <v>3.9559765282359383E-2</v>
      </c>
      <c r="Y187" s="24">
        <f t="shared" si="25"/>
        <v>4.1017735072229167E-2</v>
      </c>
      <c r="Z187" s="23">
        <f t="shared" si="26"/>
        <v>3.362752505984945E-3</v>
      </c>
      <c r="AA187" s="36"/>
    </row>
    <row r="188" spans="15:27" ht="13.9" customHeight="1" x14ac:dyDescent="0.3">
      <c r="O188" s="12">
        <f t="shared" si="20"/>
        <v>14.583333333333334</v>
      </c>
      <c r="P188" s="13">
        <v>175</v>
      </c>
      <c r="Q188" s="22">
        <v>3.5990558161081987E-2</v>
      </c>
      <c r="R188" s="19">
        <f t="shared" si="21"/>
        <v>3.7265736360506896E-2</v>
      </c>
      <c r="S188" s="22">
        <v>3.5987655316165101E-2</v>
      </c>
      <c r="T188" s="19">
        <f t="shared" si="22"/>
        <v>3.7354721445911565E-2</v>
      </c>
      <c r="U188" s="24">
        <v>4.0468172474565911E-2</v>
      </c>
      <c r="V188" s="24">
        <f t="shared" si="23"/>
        <v>4.1822253768868167E-2</v>
      </c>
      <c r="W188" s="23">
        <f t="shared" si="24"/>
        <v>3.4276687271650452E-3</v>
      </c>
      <c r="X188" s="24">
        <v>3.9568090734853678E-2</v>
      </c>
      <c r="Y188" s="24">
        <f t="shared" si="25"/>
        <v>4.0924067717798662E-2</v>
      </c>
      <c r="Z188" s="23">
        <f t="shared" si="26"/>
        <v>3.3555193645822268E-3</v>
      </c>
      <c r="AA188" s="36"/>
    </row>
    <row r="189" spans="15:27" ht="13.9" customHeight="1" x14ac:dyDescent="0.3">
      <c r="O189" s="12">
        <f t="shared" si="20"/>
        <v>14.666666666666666</v>
      </c>
      <c r="P189" s="13">
        <v>176</v>
      </c>
      <c r="Q189" s="22">
        <v>3.5997799061660896E-2</v>
      </c>
      <c r="R189" s="19">
        <f t="shared" si="21"/>
        <v>3.7164371014596576E-2</v>
      </c>
      <c r="S189" s="22">
        <v>3.5995417646083494E-2</v>
      </c>
      <c r="T189" s="19">
        <f t="shared" si="22"/>
        <v>3.7259610679012845E-2</v>
      </c>
      <c r="U189" s="24">
        <v>4.0475861144717795E-2</v>
      </c>
      <c r="V189" s="24">
        <f t="shared" si="23"/>
        <v>4.172448320267752E-2</v>
      </c>
      <c r="W189" s="23">
        <f t="shared" si="24"/>
        <v>3.4201142048624344E-3</v>
      </c>
      <c r="X189" s="24">
        <v>3.9575790157719615E-2</v>
      </c>
      <c r="Y189" s="24">
        <f t="shared" si="25"/>
        <v>4.0826789523242812E-2</v>
      </c>
      <c r="Z189" s="23">
        <f t="shared" si="26"/>
        <v>3.3479958349753591E-3</v>
      </c>
      <c r="AA189" s="36"/>
    </row>
    <row r="190" spans="15:27" ht="13.9" customHeight="1" x14ac:dyDescent="0.3">
      <c r="O190" s="12">
        <f t="shared" si="20"/>
        <v>14.75</v>
      </c>
      <c r="P190" s="13">
        <v>177</v>
      </c>
      <c r="Q190" s="22">
        <v>3.6004386176635483E-2</v>
      </c>
      <c r="R190" s="19">
        <f t="shared" si="21"/>
        <v>3.7059422637949924E-2</v>
      </c>
      <c r="S190" s="22">
        <v>3.6002555649951029E-2</v>
      </c>
      <c r="T190" s="19">
        <f t="shared" si="22"/>
        <v>3.7161020094087061E-2</v>
      </c>
      <c r="U190" s="24">
        <v>4.0482911301105817E-2</v>
      </c>
      <c r="V190" s="24">
        <f t="shared" si="23"/>
        <v>4.1623066334861791E-2</v>
      </c>
      <c r="W190" s="23">
        <f t="shared" si="24"/>
        <v>3.4122666431868343E-3</v>
      </c>
      <c r="X190" s="24">
        <v>3.9582853725548706E-2</v>
      </c>
      <c r="Y190" s="24">
        <f t="shared" si="25"/>
        <v>4.0725897674055656E-2</v>
      </c>
      <c r="Z190" s="23">
        <f t="shared" si="26"/>
        <v>3.340181619263527E-3</v>
      </c>
      <c r="AA190" s="36"/>
    </row>
    <row r="191" spans="15:27" ht="13.9" customHeight="1" x14ac:dyDescent="0.3">
      <c r="O191" s="12">
        <f t="shared" si="20"/>
        <v>14.833333333333334</v>
      </c>
      <c r="P191" s="13">
        <v>178</v>
      </c>
      <c r="Q191" s="22">
        <v>3.6010310348723262E-2</v>
      </c>
      <c r="R191" s="19">
        <f t="shared" si="21"/>
        <v>3.6950883403453538E-2</v>
      </c>
      <c r="S191" s="22">
        <v>3.6009060261525505E-2</v>
      </c>
      <c r="T191" s="19">
        <f t="shared" si="22"/>
        <v>3.7058949112086959E-2</v>
      </c>
      <c r="U191" s="24">
        <v>4.0489313179239428E-2</v>
      </c>
      <c r="V191" s="24">
        <f t="shared" si="23"/>
        <v>4.1517999842925368E-2</v>
      </c>
      <c r="W191" s="23">
        <f t="shared" si="24"/>
        <v>3.4041256974208789E-3</v>
      </c>
      <c r="X191" s="24">
        <v>3.958927181282057E-2</v>
      </c>
      <c r="Y191" s="24">
        <f t="shared" si="25"/>
        <v>4.0621389365432359E-2</v>
      </c>
      <c r="Z191" s="23">
        <f t="shared" si="26"/>
        <v>3.3320764166653305E-3</v>
      </c>
      <c r="AA191" s="36"/>
    </row>
    <row r="192" spans="15:27" ht="13.9" customHeight="1" x14ac:dyDescent="0.3">
      <c r="O192" s="12">
        <f t="shared" si="20"/>
        <v>14.916666666666666</v>
      </c>
      <c r="P192" s="13">
        <v>179</v>
      </c>
      <c r="Q192" s="22">
        <v>3.6015562576278359E-2</v>
      </c>
      <c r="R192" s="19">
        <f t="shared" si="21"/>
        <v>3.6838745577882692E-2</v>
      </c>
      <c r="S192" s="22">
        <v>3.6014922609018951E-2</v>
      </c>
      <c r="T192" s="19">
        <f t="shared" si="22"/>
        <v>3.6953397111245678E-2</v>
      </c>
      <c r="U192" s="24">
        <v>4.0495057209003038E-2</v>
      </c>
      <c r="V192" s="24">
        <f t="shared" si="23"/>
        <v>4.1409280444136387E-2</v>
      </c>
      <c r="W192" s="23">
        <f t="shared" si="24"/>
        <v>3.3956910223220671E-3</v>
      </c>
      <c r="X192" s="24">
        <v>3.9595034988246125E-2</v>
      </c>
      <c r="Y192" s="24">
        <f t="shared" si="25"/>
        <v>4.05132618135573E-2</v>
      </c>
      <c r="Z192" s="23">
        <f t="shared" si="26"/>
        <v>3.3236799242999382E-3</v>
      </c>
      <c r="AA192" s="36"/>
    </row>
    <row r="193" spans="15:27" ht="13.9" customHeight="1" x14ac:dyDescent="0.3">
      <c r="O193" s="12">
        <f t="shared" si="20"/>
        <v>15</v>
      </c>
      <c r="P193" s="13">
        <v>180</v>
      </c>
      <c r="Q193" s="22">
        <v>3.6020134009353111E-2</v>
      </c>
      <c r="R193" s="19">
        <f t="shared" si="21"/>
        <v>3.6723880980846779E-2</v>
      </c>
      <c r="S193" s="22">
        <v>3.6020134009348448E-2</v>
      </c>
      <c r="T193" s="19">
        <f t="shared" si="22"/>
        <v>3.6845141271514725E-2</v>
      </c>
      <c r="U193" s="24">
        <v>4.0500134009346933E-2</v>
      </c>
      <c r="V193" s="24">
        <f t="shared" si="23"/>
        <v>4.1297738655124094E-2</v>
      </c>
      <c r="W193" s="23">
        <f t="shared" si="24"/>
        <v>3.3869622728905924E-3</v>
      </c>
      <c r="X193" s="24">
        <v>3.9600134009362131E-2</v>
      </c>
      <c r="Y193" s="24">
        <f t="shared" si="25"/>
        <v>4.0402335828711111E-2</v>
      </c>
      <c r="Z193" s="23">
        <f t="shared" si="26"/>
        <v>3.3149918380859233E-3</v>
      </c>
      <c r="AA193" s="36"/>
    </row>
    <row r="194" spans="15:27" ht="13.9" customHeight="1" x14ac:dyDescent="0.3">
      <c r="O194" s="12">
        <f t="shared" si="20"/>
        <v>15.083333333333334</v>
      </c>
      <c r="P194" s="13">
        <v>181</v>
      </c>
      <c r="Q194" s="22">
        <v>3.6024020801502132E-2</v>
      </c>
      <c r="R194" s="19">
        <f t="shared" si="21"/>
        <v>3.6609801078222093E-2</v>
      </c>
      <c r="S194" s="22">
        <v>3.6024690256660552E-2</v>
      </c>
      <c r="T194" s="19">
        <f t="shared" si="22"/>
        <v>3.6737288649574706E-2</v>
      </c>
      <c r="U194" s="24">
        <v>4.0504538986054772E-2</v>
      </c>
      <c r="V194" s="24">
        <f t="shared" si="23"/>
        <v>4.1186704774462957E-2</v>
      </c>
      <c r="W194" s="23">
        <f t="shared" si="24"/>
        <v>3.3780060541788171E-3</v>
      </c>
      <c r="X194" s="24">
        <v>3.9604564363946659E-2</v>
      </c>
      <c r="Y194" s="24">
        <f t="shared" si="25"/>
        <v>4.0291900982618145E-2</v>
      </c>
      <c r="Z194" s="23">
        <f t="shared" si="26"/>
        <v>3.3060780367586418E-3</v>
      </c>
      <c r="AA194" s="36"/>
    </row>
    <row r="195" spans="15:27" ht="13.9" customHeight="1" x14ac:dyDescent="0.3">
      <c r="O195" s="12">
        <f t="shared" si="20"/>
        <v>15.166666666666666</v>
      </c>
      <c r="P195" s="13">
        <v>182</v>
      </c>
      <c r="Q195" s="22">
        <v>3.6027238469880984E-2</v>
      </c>
      <c r="R195" s="19">
        <f t="shared" si="21"/>
        <v>3.6497381321765054E-2</v>
      </c>
      <c r="S195" s="22">
        <v>3.6028604293919742E-2</v>
      </c>
      <c r="T195" s="19">
        <f t="shared" si="22"/>
        <v>3.6630606682434452E-2</v>
      </c>
      <c r="U195" s="24">
        <v>4.0508285928342769E-2</v>
      </c>
      <c r="V195" s="24">
        <f t="shared" si="23"/>
        <v>4.1077005436848113E-2</v>
      </c>
      <c r="W195" s="23">
        <f t="shared" si="24"/>
        <v>3.3690897443650059E-3</v>
      </c>
      <c r="X195" s="24">
        <v>3.9608339697734696E-2</v>
      </c>
      <c r="Y195" s="24">
        <f t="shared" si="25"/>
        <v>4.0182772948794687E-2</v>
      </c>
      <c r="Z195" s="23">
        <f t="shared" si="26"/>
        <v>3.2972028369664397E-3</v>
      </c>
      <c r="AA195" s="36"/>
    </row>
    <row r="196" spans="15:27" ht="13.9" customHeight="1" x14ac:dyDescent="0.3">
      <c r="O196" s="12">
        <f t="shared" si="20"/>
        <v>15.25</v>
      </c>
      <c r="P196" s="13">
        <v>183</v>
      </c>
      <c r="Q196" s="22">
        <v>3.6029806976945578E-2</v>
      </c>
      <c r="R196" s="19">
        <f t="shared" si="21"/>
        <v>3.6386618059763842E-2</v>
      </c>
      <c r="S196" s="22">
        <v>3.6031892974299318E-2</v>
      </c>
      <c r="T196" s="19">
        <f t="shared" si="22"/>
        <v>3.6525084172950306E-2</v>
      </c>
      <c r="U196" s="24">
        <v>4.0511392840851146E-2</v>
      </c>
      <c r="V196" s="24">
        <f t="shared" si="23"/>
        <v>4.0968633223990247E-2</v>
      </c>
      <c r="W196" s="23">
        <f t="shared" si="24"/>
        <v>3.3602797458311962E-3</v>
      </c>
      <c r="X196" s="24">
        <v>3.9611477815086227E-2</v>
      </c>
      <c r="Y196" s="24">
        <f t="shared" si="25"/>
        <v>4.0074943427416576E-2</v>
      </c>
      <c r="Z196" s="23">
        <f t="shared" si="26"/>
        <v>3.2884318119388301E-3</v>
      </c>
      <c r="AA196" s="36"/>
    </row>
    <row r="197" spans="15:27" ht="13.9" customHeight="1" x14ac:dyDescent="0.3">
      <c r="O197" s="12">
        <f t="shared" si="20"/>
        <v>15.333333333333334</v>
      </c>
      <c r="P197" s="13">
        <v>184</v>
      </c>
      <c r="Q197" s="22">
        <v>3.6031745835573004E-2</v>
      </c>
      <c r="R197" s="19">
        <f t="shared" si="21"/>
        <v>3.6277507614635551E-2</v>
      </c>
      <c r="S197" s="22">
        <v>3.6034572726932668E-2</v>
      </c>
      <c r="T197" s="19">
        <f t="shared" si="22"/>
        <v>3.6420709967997844E-2</v>
      </c>
      <c r="U197" s="24">
        <v>4.0513877300057066E-2</v>
      </c>
      <c r="V197" s="24">
        <f t="shared" si="23"/>
        <v>4.0861580723143387E-2</v>
      </c>
      <c r="W197" s="23">
        <f t="shared" si="24"/>
        <v>3.3515754936093156E-3</v>
      </c>
      <c r="X197" s="24">
        <v>3.9613996091696135E-2</v>
      </c>
      <c r="Y197" s="24">
        <f t="shared" si="25"/>
        <v>3.9968404133271296E-2</v>
      </c>
      <c r="Z197" s="23">
        <f t="shared" si="26"/>
        <v>3.2797643246251784E-3</v>
      </c>
      <c r="AA197" s="36"/>
    </row>
    <row r="198" spans="15:27" ht="13.9" customHeight="1" x14ac:dyDescent="0.3">
      <c r="O198" s="12">
        <f t="shared" si="20"/>
        <v>15.416666666666666</v>
      </c>
      <c r="P198" s="13">
        <v>185</v>
      </c>
      <c r="Q198" s="22">
        <v>3.6033074120935593E-2</v>
      </c>
      <c r="R198" s="19">
        <f t="shared" si="21"/>
        <v>3.6170046282947732E-2</v>
      </c>
      <c r="S198" s="22">
        <v>3.6036659568498886E-2</v>
      </c>
      <c r="T198" s="19">
        <f t="shared" si="22"/>
        <v>3.6317472959600305E-2</v>
      </c>
      <c r="U198" s="24">
        <v>4.0515756465758557E-2</v>
      </c>
      <c r="V198" s="24">
        <f t="shared" si="23"/>
        <v>4.0755840528252207E-2</v>
      </c>
      <c r="W198" s="23">
        <f t="shared" si="24"/>
        <v>3.3429764225865188E-3</v>
      </c>
      <c r="X198" s="24">
        <v>3.9615911486140742E-2</v>
      </c>
      <c r="Y198" s="24">
        <f t="shared" si="25"/>
        <v>3.9863146796840887E-2</v>
      </c>
      <c r="Z198" s="23">
        <f t="shared" si="26"/>
        <v>3.2711997385466152E-3</v>
      </c>
      <c r="AA198" s="36"/>
    </row>
    <row r="199" spans="15:27" ht="13.9" customHeight="1" x14ac:dyDescent="0.3">
      <c r="O199" s="12">
        <f t="shared" si="20"/>
        <v>15.5</v>
      </c>
      <c r="P199" s="13">
        <v>186</v>
      </c>
      <c r="Q199" s="22">
        <v>3.6033810481995054E-2</v>
      </c>
      <c r="R199" s="19">
        <f t="shared" si="21"/>
        <v>3.6064226082045625E-2</v>
      </c>
      <c r="S199" s="22">
        <v>3.6038169114444463E-2</v>
      </c>
      <c r="T199" s="19">
        <f t="shared" si="22"/>
        <v>3.621536208665499E-2</v>
      </c>
      <c r="U199" s="24">
        <v>4.0517047092197611E-2</v>
      </c>
      <c r="V199" s="24">
        <f t="shared" si="23"/>
        <v>4.06514052417839E-2</v>
      </c>
      <c r="W199" s="23">
        <f t="shared" si="24"/>
        <v>3.3344819676035531E-3</v>
      </c>
      <c r="X199" s="24">
        <v>3.9617240551061972E-2</v>
      </c>
      <c r="Y199" s="24">
        <f t="shared" si="25"/>
        <v>3.9759163165935307E-2</v>
      </c>
      <c r="Z199" s="23">
        <f t="shared" si="26"/>
        <v>3.2627374178935131E-3</v>
      </c>
      <c r="AA199" s="36"/>
    </row>
    <row r="200" spans="15:27" ht="13.9" customHeight="1" x14ac:dyDescent="0.3">
      <c r="O200" s="12">
        <f t="shared" si="20"/>
        <v>15.583333333333334</v>
      </c>
      <c r="P200" s="13">
        <v>187</v>
      </c>
      <c r="Q200" s="22">
        <v>3.6033973129887986E-2</v>
      </c>
      <c r="R200" s="19">
        <f t="shared" si="21"/>
        <v>3.5960026229365116E-2</v>
      </c>
      <c r="S200" s="22">
        <v>3.6039116589858144E-2</v>
      </c>
      <c r="T200" s="19">
        <f t="shared" si="22"/>
        <v>3.6114366333317882E-2</v>
      </c>
      <c r="U200" s="24">
        <v>4.0517765538840012E-2</v>
      </c>
      <c r="V200" s="24">
        <f t="shared" si="23"/>
        <v>4.0548267474858513E-2</v>
      </c>
      <c r="W200" s="23">
        <f t="shared" si="24"/>
        <v>3.3260915636097454E-3</v>
      </c>
      <c r="X200" s="24">
        <v>3.9617999444004903E-2</v>
      </c>
      <c r="Y200" s="24">
        <f t="shared" si="25"/>
        <v>3.9656445006370999E-2</v>
      </c>
      <c r="Z200" s="23">
        <f t="shared" si="26"/>
        <v>3.2543767276624891E-3</v>
      </c>
      <c r="AA200" s="36"/>
    </row>
    <row r="201" spans="15:27" ht="13.9" customHeight="1" x14ac:dyDescent="0.3">
      <c r="O201" s="12">
        <f t="shared" si="20"/>
        <v>15.666666666666666</v>
      </c>
      <c r="P201" s="13">
        <v>188</v>
      </c>
      <c r="Q201" s="22">
        <v>3.603357978134758E-2</v>
      </c>
      <c r="R201" s="19">
        <f t="shared" si="21"/>
        <v>3.5857438690931609E-2</v>
      </c>
      <c r="S201" s="22">
        <v>3.6039516839992958E-2</v>
      </c>
      <c r="T201" s="19">
        <f t="shared" si="22"/>
        <v>3.6014474732675161E-2</v>
      </c>
      <c r="U201" s="24">
        <v>4.0517927780815199E-2</v>
      </c>
      <c r="V201" s="24">
        <f t="shared" si="23"/>
        <v>4.0446419851008386E-2</v>
      </c>
      <c r="W201" s="23">
        <f t="shared" si="24"/>
        <v>3.3178046456783239E-3</v>
      </c>
      <c r="X201" s="24">
        <v>3.9618203937916041E-2</v>
      </c>
      <c r="Y201" s="24">
        <f t="shared" si="25"/>
        <v>3.9554984103911117E-2</v>
      </c>
      <c r="Z201" s="23">
        <f t="shared" si="26"/>
        <v>3.2461170337192424E-3</v>
      </c>
      <c r="AA201" s="36"/>
    </row>
    <row r="202" spans="15:27" ht="13.9" customHeight="1" x14ac:dyDescent="0.3">
      <c r="O202" s="12">
        <f t="shared" si="20"/>
        <v>15.75</v>
      </c>
      <c r="P202" s="13">
        <v>189</v>
      </c>
      <c r="Q202" s="22">
        <v>3.6032647739092649E-2</v>
      </c>
      <c r="R202" s="19">
        <f t="shared" si="21"/>
        <v>3.5756459675250651E-2</v>
      </c>
      <c r="S202" s="22">
        <v>3.603938434047782E-2</v>
      </c>
      <c r="T202" s="19">
        <f t="shared" si="22"/>
        <v>3.5915676365794846E-2</v>
      </c>
      <c r="U202" s="24">
        <v>4.0517549419047727E-2</v>
      </c>
      <c r="V202" s="24">
        <f t="shared" si="23"/>
        <v>4.0345855005491593E-2</v>
      </c>
      <c r="W202" s="23">
        <f t="shared" si="24"/>
        <v>3.3096206493172797E-3</v>
      </c>
      <c r="X202" s="24">
        <v>3.9617869431322728E-2</v>
      </c>
      <c r="Y202" s="24">
        <f t="shared" si="25"/>
        <v>3.945477226526628E-2</v>
      </c>
      <c r="Z202" s="23">
        <f t="shared" si="26"/>
        <v>3.2379577029626461E-3</v>
      </c>
      <c r="AA202" s="36"/>
    </row>
    <row r="203" spans="15:27" ht="13.9" customHeight="1" x14ac:dyDescent="0.3">
      <c r="O203" s="12">
        <f t="shared" si="20"/>
        <v>15.833333333333334</v>
      </c>
      <c r="P203" s="13">
        <v>190</v>
      </c>
      <c r="Q203" s="22">
        <v>3.6031193924934701E-2</v>
      </c>
      <c r="R203" s="19">
        <f t="shared" si="21"/>
        <v>3.5657085375861541E-2</v>
      </c>
      <c r="S203" s="22">
        <v>3.6038733207203855E-2</v>
      </c>
      <c r="T203" s="19">
        <f t="shared" si="22"/>
        <v>3.5817960361962164E-2</v>
      </c>
      <c r="U203" s="24">
        <v>4.0516645690068298E-2</v>
      </c>
      <c r="V203" s="24">
        <f t="shared" si="23"/>
        <v>4.0246565587079175E-2</v>
      </c>
      <c r="W203" s="23">
        <f t="shared" si="24"/>
        <v>3.3015390104196296E-3</v>
      </c>
      <c r="X203" s="24">
        <v>3.9617010958198806E-2</v>
      </c>
      <c r="Y203" s="24">
        <f t="shared" si="25"/>
        <v>3.9355801319185701E-2</v>
      </c>
      <c r="Z203" s="23">
        <f t="shared" si="26"/>
        <v>3.2298981034126761E-3</v>
      </c>
      <c r="AA203" s="36"/>
    </row>
    <row r="204" spans="15:27" ht="13.9" customHeight="1" x14ac:dyDescent="0.3">
      <c r="O204" s="12">
        <f t="shared" si="20"/>
        <v>15.916666666666666</v>
      </c>
      <c r="P204" s="13">
        <v>191</v>
      </c>
      <c r="Q204" s="22">
        <v>3.6029234889560557E-2</v>
      </c>
      <c r="R204" s="19">
        <f t="shared" si="21"/>
        <v>3.555931197585549E-2</v>
      </c>
      <c r="S204" s="22">
        <v>3.6037577205905391E-2</v>
      </c>
      <c r="T204" s="19">
        <f t="shared" si="22"/>
        <v>3.5721315901134698E-2</v>
      </c>
      <c r="U204" s="24">
        <v>4.0515231475529268E-2</v>
      </c>
      <c r="V204" s="24">
        <f t="shared" si="23"/>
        <v>4.014854426038017E-2</v>
      </c>
      <c r="W204" s="23">
        <f t="shared" si="24"/>
        <v>3.2935591654137397E-3</v>
      </c>
      <c r="X204" s="24">
        <v>3.9615643197529415E-2</v>
      </c>
      <c r="Y204" s="24">
        <f t="shared" si="25"/>
        <v>3.925806311758806E-2</v>
      </c>
      <c r="Z204" s="23">
        <f t="shared" si="26"/>
        <v>3.2219376043047809E-3</v>
      </c>
      <c r="AA204" s="36"/>
    </row>
    <row r="205" spans="15:27" ht="13.9" customHeight="1" x14ac:dyDescent="0.3">
      <c r="O205" s="12">
        <f t="shared" si="20"/>
        <v>16</v>
      </c>
      <c r="P205" s="13">
        <v>192</v>
      </c>
      <c r="Q205" s="22">
        <v>3.6026786822036527E-2</v>
      </c>
      <c r="R205" s="19">
        <f t="shared" si="21"/>
        <v>3.5463131459217534E-2</v>
      </c>
      <c r="S205" s="22">
        <v>3.6035929761456753E-2</v>
      </c>
      <c r="T205" s="19">
        <f t="shared" si="22"/>
        <v>3.5625732213040218E-2</v>
      </c>
      <c r="U205" s="24">
        <v>4.0513321311437256E-2</v>
      </c>
      <c r="V205" s="24">
        <f t="shared" si="23"/>
        <v>4.0051783705377764E-2</v>
      </c>
      <c r="W205" s="23">
        <f t="shared" si="24"/>
        <v>3.285680551458281E-3</v>
      </c>
      <c r="X205" s="24">
        <v>3.961378048258557E-2</v>
      </c>
      <c r="Y205" s="24">
        <f t="shared" si="25"/>
        <v>3.9161549537640949E-2</v>
      </c>
      <c r="Z205" s="23">
        <f t="shared" si="26"/>
        <v>3.2140755761904671E-3</v>
      </c>
      <c r="AA205" s="36"/>
    </row>
    <row r="206" spans="15:27" ht="13.9" customHeight="1" x14ac:dyDescent="0.3">
      <c r="O206" s="12">
        <f t="shared" ref="O206:O269" si="27">P206/12</f>
        <v>16.083333333333332</v>
      </c>
      <c r="P206" s="13">
        <v>193</v>
      </c>
      <c r="Q206" s="22">
        <v>3.6023865537304633E-2</v>
      </c>
      <c r="R206" s="19">
        <f t="shared" ref="R206:R269" si="28">(1+Q207)^P207/(1+Q206)^P206-1</f>
        <v>3.5368523226611437E-2</v>
      </c>
      <c r="S206" s="22">
        <v>3.6033803966878164E-2</v>
      </c>
      <c r="T206" s="19">
        <f t="shared" ref="T206:T269" si="29">(1+S207)^P207/(1+S206)^P206-1</f>
        <v>3.5531198578353518E-2</v>
      </c>
      <c r="U206" s="24">
        <v>4.0510929397099327E-2</v>
      </c>
      <c r="V206" s="24">
        <f t="shared" ref="V206:V269" si="30">(1+U207)^P207/(1+U206)^P206-1</f>
        <v>3.9956276620586761E-2</v>
      </c>
      <c r="W206" s="23">
        <f t="shared" si="24"/>
        <v>3.2779026064095884E-3</v>
      </c>
      <c r="X206" s="24">
        <v>3.9611436809924294E-2</v>
      </c>
      <c r="Y206" s="24">
        <f t="shared" si="25"/>
        <v>3.9066252480992603E-2</v>
      </c>
      <c r="Z206" s="23">
        <f t="shared" si="26"/>
        <v>3.2063113911102725E-3</v>
      </c>
      <c r="AA206" s="36"/>
    </row>
    <row r="207" spans="15:27" ht="13.9" customHeight="1" x14ac:dyDescent="0.3">
      <c r="O207" s="12">
        <f t="shared" si="27"/>
        <v>16.166666666666668</v>
      </c>
      <c r="P207" s="13">
        <v>194</v>
      </c>
      <c r="Q207" s="22">
        <v>3.6020486420814013E-2</v>
      </c>
      <c r="R207" s="19">
        <f t="shared" si="28"/>
        <v>3.5275479240722385E-2</v>
      </c>
      <c r="S207" s="22">
        <v>3.6031212592072315E-2</v>
      </c>
      <c r="T207" s="19">
        <f t="shared" si="29"/>
        <v>3.5437704329753794E-2</v>
      </c>
      <c r="U207" s="24">
        <v>4.0508069603812036E-2</v>
      </c>
      <c r="V207" s="24">
        <f t="shared" si="30"/>
        <v>3.9862015723450606E-2</v>
      </c>
      <c r="W207" s="23">
        <f t="shared" ref="W207:W270" si="31">(1+V206)^(1/12)-1</f>
        <v>3.270224769084118E-3</v>
      </c>
      <c r="X207" s="24">
        <v>3.960862584810898E-2</v>
      </c>
      <c r="Y207" s="24">
        <f t="shared" ref="Y207:Y270" si="32">(1+X208)^P208/(1+X207)^P207-1</f>
        <v>3.8972163877384114E-2</v>
      </c>
      <c r="Z207" s="23">
        <f t="shared" ref="Z207:Z270" si="33">(1+Y206)^(1/12)-1</f>
        <v>3.1986444225404753E-3</v>
      </c>
      <c r="AA207" s="36"/>
    </row>
    <row r="208" spans="15:27" ht="13.9" customHeight="1" x14ac:dyDescent="0.3">
      <c r="O208" s="12">
        <f t="shared" si="27"/>
        <v>16.25</v>
      </c>
      <c r="P208" s="13">
        <v>195</v>
      </c>
      <c r="Q208" s="22">
        <v>3.601666450387575E-2</v>
      </c>
      <c r="R208" s="19">
        <f t="shared" si="28"/>
        <v>3.518399565189978E-2</v>
      </c>
      <c r="S208" s="22">
        <v>3.6028168092299584E-2</v>
      </c>
      <c r="T208" s="19">
        <f t="shared" si="29"/>
        <v>3.5345238851113958E-2</v>
      </c>
      <c r="U208" s="24">
        <v>4.0504755483286914E-2</v>
      </c>
      <c r="V208" s="24">
        <f t="shared" si="30"/>
        <v>3.9768993750218362E-2</v>
      </c>
      <c r="W208" s="23">
        <f t="shared" si="31"/>
        <v>3.262646479296194E-3</v>
      </c>
      <c r="X208" s="24">
        <v>3.9605360946182167E-2</v>
      </c>
      <c r="Y208" s="24">
        <f t="shared" si="32"/>
        <v>3.887927568345817E-2</v>
      </c>
      <c r="Z208" s="23">
        <f t="shared" si="33"/>
        <v>3.191074045691078E-3</v>
      </c>
      <c r="AA208" s="36"/>
    </row>
    <row r="209" spans="15:27" ht="13.9" customHeight="1" x14ac:dyDescent="0.3">
      <c r="O209" s="12">
        <f t="shared" si="27"/>
        <v>16.333333333333332</v>
      </c>
      <c r="P209" s="13">
        <v>196</v>
      </c>
      <c r="Q209" s="22">
        <v>3.6012414493979295E-2</v>
      </c>
      <c r="R209" s="19">
        <f t="shared" si="28"/>
        <v>3.5094068608889861E-2</v>
      </c>
      <c r="S209" s="22">
        <v>3.6024682616393022E-2</v>
      </c>
      <c r="T209" s="19">
        <f t="shared" si="29"/>
        <v>3.5253791579610727E-2</v>
      </c>
      <c r="U209" s="24">
        <v>4.0501000275819932E-2</v>
      </c>
      <c r="V209" s="24">
        <f t="shared" si="30"/>
        <v>3.9677203460202648E-2</v>
      </c>
      <c r="W209" s="23">
        <f t="shared" si="31"/>
        <v>3.2551671778551228E-3</v>
      </c>
      <c r="X209" s="24">
        <v>3.9601655141876302E-2</v>
      </c>
      <c r="Y209" s="24">
        <f t="shared" si="32"/>
        <v>3.8787579885020573E-2</v>
      </c>
      <c r="Z209" s="23">
        <f t="shared" si="33"/>
        <v>3.1835996374172115E-3</v>
      </c>
      <c r="AA209" s="36"/>
    </row>
    <row r="210" spans="15:27" ht="13.9" customHeight="1" x14ac:dyDescent="0.3">
      <c r="O210" s="12">
        <f t="shared" si="27"/>
        <v>16.416666666666668</v>
      </c>
      <c r="P210" s="13">
        <v>197</v>
      </c>
      <c r="Q210" s="22">
        <v>3.6007750782915293E-2</v>
      </c>
      <c r="R210" s="19">
        <f t="shared" si="28"/>
        <v>3.5005694262238096E-2</v>
      </c>
      <c r="S210" s="22">
        <v>3.6020768014734861E-2</v>
      </c>
      <c r="T210" s="19">
        <f t="shared" si="29"/>
        <v>3.5163352005614934E-2</v>
      </c>
      <c r="U210" s="24">
        <v>4.0496816918236922E-2</v>
      </c>
      <c r="V210" s="24">
        <f t="shared" si="30"/>
        <v>3.9586637633739707E-2</v>
      </c>
      <c r="W210" s="23">
        <f t="shared" si="31"/>
        <v>3.2477863069135804E-3</v>
      </c>
      <c r="X210" s="24">
        <v>3.9597521169587591E-2</v>
      </c>
      <c r="Y210" s="24">
        <f t="shared" si="32"/>
        <v>3.869706849836807E-2</v>
      </c>
      <c r="Z210" s="23">
        <f t="shared" si="33"/>
        <v>3.1762205764089835E-3</v>
      </c>
      <c r="AA210" s="36"/>
    </row>
    <row r="211" spans="15:27" ht="13.9" customHeight="1" x14ac:dyDescent="0.3">
      <c r="O211" s="12">
        <f t="shared" si="27"/>
        <v>16.5</v>
      </c>
      <c r="P211" s="13">
        <v>198</v>
      </c>
      <c r="Q211" s="22">
        <v>3.6002687454670612E-2</v>
      </c>
      <c r="R211" s="19">
        <f t="shared" si="28"/>
        <v>3.4918864641975578E-2</v>
      </c>
      <c r="S211" s="22">
        <v>3.6016435846994987E-2</v>
      </c>
      <c r="T211" s="19">
        <f t="shared" si="29"/>
        <v>3.5073909672515224E-2</v>
      </c>
      <c r="U211" s="24">
        <v>4.0492218051589424E-2</v>
      </c>
      <c r="V211" s="24">
        <f t="shared" si="30"/>
        <v>3.9497289075231867E-2</v>
      </c>
      <c r="W211" s="23">
        <f t="shared" si="31"/>
        <v>3.2405033098115155E-3</v>
      </c>
      <c r="X211" s="24">
        <v>3.9592971468117133E-2</v>
      </c>
      <c r="Y211" s="24">
        <f t="shared" si="32"/>
        <v>3.8607733570058089E-2</v>
      </c>
      <c r="Z211" s="23">
        <f t="shared" si="33"/>
        <v>3.1689362433051649E-3</v>
      </c>
      <c r="AA211" s="36"/>
    </row>
    <row r="212" spans="15:27" ht="13.9" customHeight="1" x14ac:dyDescent="0.3">
      <c r="O212" s="12">
        <f t="shared" si="27"/>
        <v>16.583333333333332</v>
      </c>
      <c r="P212" s="13">
        <v>199</v>
      </c>
      <c r="Q212" s="22">
        <v>3.5997238272350573E-2</v>
      </c>
      <c r="R212" s="19">
        <f t="shared" si="28"/>
        <v>3.4833559409850334E-2</v>
      </c>
      <c r="S212" s="22">
        <v>3.6011697389635611E-2</v>
      </c>
      <c r="T212" s="19">
        <f t="shared" si="29"/>
        <v>3.4985454177903774E-2</v>
      </c>
      <c r="U212" s="24">
        <v>4.0487216028636475E-2</v>
      </c>
      <c r="V212" s="24">
        <f t="shared" si="30"/>
        <v>3.9409150614333699E-2</v>
      </c>
      <c r="W212" s="23">
        <f t="shared" si="31"/>
        <v>3.2333176313261713E-3</v>
      </c>
      <c r="X212" s="24">
        <v>3.9588018188180696E-2</v>
      </c>
      <c r="Y212" s="24">
        <f t="shared" si="32"/>
        <v>3.8519567178723069E-2</v>
      </c>
      <c r="Z212" s="23">
        <f t="shared" si="33"/>
        <v>3.1617460206827541E-3</v>
      </c>
      <c r="AA212" s="36"/>
    </row>
    <row r="213" spans="15:27" ht="13.9" customHeight="1" x14ac:dyDescent="0.3">
      <c r="O213" s="12">
        <f t="shared" si="27"/>
        <v>16.666666666666668</v>
      </c>
      <c r="P213" s="13">
        <v>200</v>
      </c>
      <c r="Q213" s="22">
        <v>3.5991416624204575E-2</v>
      </c>
      <c r="R213" s="19">
        <f t="shared" si="28"/>
        <v>3.4749770602112262E-2</v>
      </c>
      <c r="S213" s="22">
        <v>3.6006563643199874E-2</v>
      </c>
      <c r="T213" s="19">
        <f t="shared" si="29"/>
        <v>3.4897975174075446E-2</v>
      </c>
      <c r="U213" s="24">
        <v>4.0481822921109467E-2</v>
      </c>
      <c r="V213" s="24">
        <f t="shared" si="30"/>
        <v>3.9322215105684455E-2</v>
      </c>
      <c r="W213" s="23">
        <f t="shared" si="31"/>
        <v>3.2262287177753368E-3</v>
      </c>
      <c r="X213" s="24">
        <v>3.95826731997031E-2</v>
      </c>
      <c r="Y213" s="24">
        <f t="shared" si="32"/>
        <v>3.8432561436705148E-2</v>
      </c>
      <c r="Z213" s="23">
        <f t="shared" si="33"/>
        <v>3.1546492932099657E-3</v>
      </c>
      <c r="AA213" s="36"/>
    </row>
    <row r="214" spans="15:27" ht="13.9" customHeight="1" x14ac:dyDescent="0.3">
      <c r="O214" s="12">
        <f t="shared" si="27"/>
        <v>16.75</v>
      </c>
      <c r="P214" s="13">
        <v>201</v>
      </c>
      <c r="Q214" s="22">
        <v>3.5985235594485854E-2</v>
      </c>
      <c r="R214" s="19">
        <f t="shared" si="28"/>
        <v>3.4667494387302877E-2</v>
      </c>
      <c r="S214" s="22">
        <v>3.6001045339387749E-2</v>
      </c>
      <c r="T214" s="19">
        <f t="shared" si="29"/>
        <v>3.4811462368137924E-2</v>
      </c>
      <c r="U214" s="24">
        <v>4.0476050526762064E-2</v>
      </c>
      <c r="V214" s="24">
        <f t="shared" si="30"/>
        <v>3.9236475431260187E-2</v>
      </c>
      <c r="W214" s="23">
        <f t="shared" si="31"/>
        <v>3.219236017001581E-3</v>
      </c>
      <c r="X214" s="24">
        <v>3.9576948098906328E-2</v>
      </c>
      <c r="Y214" s="24">
        <f t="shared" si="32"/>
        <v>3.8346708489232384E-2</v>
      </c>
      <c r="Z214" s="23">
        <f t="shared" si="33"/>
        <v>3.147645447785008E-3</v>
      </c>
      <c r="AA214" s="36"/>
    </row>
    <row r="215" spans="15:27" ht="13.9" customHeight="1" x14ac:dyDescent="0.3">
      <c r="O215" s="12">
        <f t="shared" si="27"/>
        <v>16.833333333333332</v>
      </c>
      <c r="P215" s="13">
        <v>202</v>
      </c>
      <c r="Q215" s="22">
        <v>3.5978707991379588E-2</v>
      </c>
      <c r="R215" s="19">
        <f t="shared" si="28"/>
        <v>3.4586726944249691E-2</v>
      </c>
      <c r="S215" s="22">
        <v>3.5995152947922771E-2</v>
      </c>
      <c r="T215" s="19">
        <f t="shared" si="29"/>
        <v>3.472590552224486E-2</v>
      </c>
      <c r="U215" s="24">
        <v>4.0469910376222495E-2</v>
      </c>
      <c r="V215" s="24">
        <f t="shared" si="30"/>
        <v>3.915192450107785E-2</v>
      </c>
      <c r="W215" s="23">
        <f t="shared" si="31"/>
        <v>3.2123389785683187E-3</v>
      </c>
      <c r="X215" s="24">
        <v>3.9570854215184248E-2</v>
      </c>
      <c r="Y215" s="24">
        <f t="shared" si="32"/>
        <v>3.8262000517143457E-2</v>
      </c>
      <c r="Z215" s="23">
        <f t="shared" si="33"/>
        <v>3.1407338734772416E-3</v>
      </c>
      <c r="AA215" s="36"/>
    </row>
    <row r="216" spans="15:27" ht="13.9" customHeight="1" x14ac:dyDescent="0.3">
      <c r="O216" s="12">
        <f t="shared" si="27"/>
        <v>16.916666666666668</v>
      </c>
      <c r="P216" s="13">
        <v>203</v>
      </c>
      <c r="Q216" s="22">
        <v>3.5971846353780812E-2</v>
      </c>
      <c r="R216" s="19">
        <f t="shared" si="28"/>
        <v>3.4507464463946036E-2</v>
      </c>
      <c r="S216" s="22">
        <v>3.5988896683220695E-2</v>
      </c>
      <c r="T216" s="19">
        <f t="shared" si="29"/>
        <v>3.4641294454156091E-2</v>
      </c>
      <c r="U216" s="24">
        <v>4.0463413739650456E-2</v>
      </c>
      <c r="V216" s="24">
        <f t="shared" si="30"/>
        <v>3.9068555253113146E-2</v>
      </c>
      <c r="W216" s="23">
        <f t="shared" si="31"/>
        <v>3.2055370538233152E-3</v>
      </c>
      <c r="X216" s="24">
        <v>3.9564402617789485E-2</v>
      </c>
      <c r="Y216" s="24">
        <f t="shared" si="32"/>
        <v>3.8178429735988395E-2</v>
      </c>
      <c r="Z216" s="23">
        <f t="shared" si="33"/>
        <v>3.1339139617532208E-3</v>
      </c>
      <c r="AA216" s="36"/>
    </row>
    <row r="217" spans="15:27" ht="13.9" customHeight="1" x14ac:dyDescent="0.3">
      <c r="O217" s="12">
        <f t="shared" si="27"/>
        <v>17</v>
      </c>
      <c r="P217" s="13">
        <v>204</v>
      </c>
      <c r="Q217" s="22">
        <v>3.5964662957885141E-2</v>
      </c>
      <c r="R217" s="19">
        <f t="shared" si="28"/>
        <v>3.4429699095389843E-2</v>
      </c>
      <c r="S217" s="22">
        <v>3.5982286510865436E-2</v>
      </c>
      <c r="T217" s="19">
        <f t="shared" si="29"/>
        <v>3.4557619037548948E-2</v>
      </c>
      <c r="U217" s="24">
        <v>4.0456571633198823E-2</v>
      </c>
      <c r="V217" s="24">
        <f t="shared" si="30"/>
        <v>3.8986360657045749E-2</v>
      </c>
      <c r="W217" s="23">
        <f t="shared" si="31"/>
        <v>3.1988296958984641E-3</v>
      </c>
      <c r="X217" s="24">
        <v>3.9557604122321788E-2</v>
      </c>
      <c r="Y217" s="24">
        <f t="shared" si="32"/>
        <v>3.809598839912165E-2</v>
      </c>
      <c r="Z217" s="23">
        <f t="shared" si="33"/>
        <v>3.1271851064127443E-3</v>
      </c>
      <c r="AA217" s="36"/>
    </row>
    <row r="218" spans="15:27" ht="13.9" customHeight="1" x14ac:dyDescent="0.3">
      <c r="O218" s="12">
        <f t="shared" si="27"/>
        <v>17.083333333333332</v>
      </c>
      <c r="P218" s="13">
        <v>205</v>
      </c>
      <c r="Q218" s="22">
        <v>3.5957169803781941E-2</v>
      </c>
      <c r="R218" s="19">
        <f t="shared" si="28"/>
        <v>3.4353410830877396E-2</v>
      </c>
      <c r="S218" s="22">
        <v>3.5975332153899364E-2</v>
      </c>
      <c r="T218" s="19">
        <f t="shared" si="29"/>
        <v>3.4474869202833158E-2</v>
      </c>
      <c r="U218" s="24">
        <v>4.0449394825306184E-2</v>
      </c>
      <c r="V218" s="24">
        <f t="shared" si="30"/>
        <v>3.8905333712176526E-2</v>
      </c>
      <c r="W218" s="23">
        <f t="shared" si="31"/>
        <v>3.1922163600168751E-3</v>
      </c>
      <c r="X218" s="24">
        <v>3.9550469297042312E-2</v>
      </c>
      <c r="Y218" s="24">
        <f t="shared" si="32"/>
        <v>3.8014668796357842E-2</v>
      </c>
      <c r="Z218" s="23">
        <f t="shared" si="33"/>
        <v>3.1205467038435408E-3</v>
      </c>
      <c r="AA218" s="36"/>
    </row>
    <row r="219" spans="15:27" ht="13.9" customHeight="1" x14ac:dyDescent="0.3">
      <c r="O219" s="12">
        <f t="shared" si="27"/>
        <v>17.166666666666668</v>
      </c>
      <c r="P219" s="13">
        <v>206</v>
      </c>
      <c r="Q219" s="22">
        <v>3.5949378562981638E-2</v>
      </c>
      <c r="R219" s="19">
        <f t="shared" si="28"/>
        <v>3.4278591850669615E-2</v>
      </c>
      <c r="S219" s="22">
        <v>3.5968043098935309E-2</v>
      </c>
      <c r="T219" s="19">
        <f t="shared" si="29"/>
        <v>3.4393034935982003E-2</v>
      </c>
      <c r="U219" s="24">
        <v>4.0441893842798171E-2</v>
      </c>
      <c r="V219" s="24">
        <f t="shared" si="30"/>
        <v>3.882546745001636E-2</v>
      </c>
      <c r="W219" s="23">
        <f t="shared" si="31"/>
        <v>3.1856965033334461E-3</v>
      </c>
      <c r="X219" s="24">
        <v>3.9543008469000274E-2</v>
      </c>
      <c r="Y219" s="24">
        <f t="shared" si="32"/>
        <v>3.793446325576344E-2</v>
      </c>
      <c r="Z219" s="23">
        <f t="shared" si="33"/>
        <v>3.1139981529206828E-3</v>
      </c>
      <c r="AA219" s="36"/>
    </row>
    <row r="220" spans="15:27" ht="13.9" customHeight="1" x14ac:dyDescent="0.3">
      <c r="O220" s="12">
        <f t="shared" si="27"/>
        <v>17.25</v>
      </c>
      <c r="P220" s="13">
        <v>207</v>
      </c>
      <c r="Q220" s="22">
        <v>3.5941300645243146E-2</v>
      </c>
      <c r="R220" s="19">
        <f t="shared" si="28"/>
        <v>3.4205238409561911E-2</v>
      </c>
      <c r="S220" s="22">
        <v>3.5960428602088257E-2</v>
      </c>
      <c r="T220" s="19">
        <f t="shared" si="29"/>
        <v>3.4312106280314669E-2</v>
      </c>
      <c r="U220" s="24">
        <v>4.0434078976825605E-2</v>
      </c>
      <c r="V220" s="24">
        <f t="shared" si="30"/>
        <v>3.874675493512747E-2</v>
      </c>
      <c r="W220" s="23">
        <f t="shared" si="31"/>
        <v>3.1792695851478037E-3</v>
      </c>
      <c r="X220" s="24">
        <v>3.9535231729991516E-2</v>
      </c>
      <c r="Y220" s="24">
        <f t="shared" si="32"/>
        <v>3.7855364145343851E-2</v>
      </c>
      <c r="Z220" s="23">
        <f t="shared" si="33"/>
        <v>3.1075388551580208E-3</v>
      </c>
      <c r="AA220" s="36"/>
    </row>
    <row r="221" spans="15:27" ht="13.9" customHeight="1" x14ac:dyDescent="0.3">
      <c r="O221" s="12">
        <f t="shared" si="27"/>
        <v>17.333333333333332</v>
      </c>
      <c r="P221" s="13">
        <v>208</v>
      </c>
      <c r="Q221" s="22">
        <v>3.5932947224422085E-2</v>
      </c>
      <c r="R221" s="19">
        <f t="shared" si="28"/>
        <v>3.4133346783674634E-2</v>
      </c>
      <c r="S221" s="22">
        <v>3.5952497694745622E-2</v>
      </c>
      <c r="T221" s="19">
        <f t="shared" si="29"/>
        <v>3.4232073336205593E-2</v>
      </c>
      <c r="U221" s="24">
        <v>4.0425960288637652E-2</v>
      </c>
      <c r="V221" s="24">
        <f t="shared" si="30"/>
        <v>3.86691892655735E-2</v>
      </c>
      <c r="W221" s="23">
        <f t="shared" si="31"/>
        <v>3.1729350669797984E-3</v>
      </c>
      <c r="X221" s="24">
        <v>3.9527148942355206E-2</v>
      </c>
      <c r="Y221" s="24">
        <f t="shared" si="32"/>
        <v>3.7777363871741132E-2</v>
      </c>
      <c r="Z221" s="23">
        <f t="shared" si="33"/>
        <v>3.1011682148509578E-3</v>
      </c>
      <c r="AA221" s="36"/>
    </row>
    <row r="222" spans="15:27" ht="13.9" customHeight="1" x14ac:dyDescent="0.3">
      <c r="O222" s="12">
        <f t="shared" si="27"/>
        <v>17.416666666666668</v>
      </c>
      <c r="P222" s="13">
        <v>209</v>
      </c>
      <c r="Q222" s="22">
        <v>3.5924329244159114E-2</v>
      </c>
      <c r="R222" s="19">
        <f t="shared" si="28"/>
        <v>3.4062913271684092E-2</v>
      </c>
      <c r="S222" s="22">
        <v>3.5944259189172101E-2</v>
      </c>
      <c r="T222" s="19">
        <f t="shared" si="29"/>
        <v>3.4152926261016514E-2</v>
      </c>
      <c r="U222" s="24">
        <v>4.0417547615191785E-2</v>
      </c>
      <c r="V222" s="24">
        <f t="shared" si="30"/>
        <v>3.8592763574675004E-2</v>
      </c>
      <c r="W222" s="23">
        <f t="shared" si="31"/>
        <v>3.1666924126112495E-3</v>
      </c>
      <c r="X222" s="24">
        <v>3.951876974459978E-2</v>
      </c>
      <c r="Y222" s="24">
        <f t="shared" si="32"/>
        <v>3.7700454882843237E-2</v>
      </c>
      <c r="Z222" s="23">
        <f t="shared" si="33"/>
        <v>3.0948856389780843E-3</v>
      </c>
      <c r="AA222" s="36"/>
    </row>
    <row r="223" spans="15:27" ht="13.9" customHeight="1" x14ac:dyDescent="0.3">
      <c r="O223" s="12">
        <f t="shared" si="27"/>
        <v>17.5</v>
      </c>
      <c r="P223" s="13">
        <v>210</v>
      </c>
      <c r="Q223" s="22">
        <v>3.591545742341129E-2</v>
      </c>
      <c r="R223" s="19">
        <f t="shared" si="28"/>
        <v>3.3993930206689615E-2</v>
      </c>
      <c r="S223" s="22">
        <v>3.5935721683955091E-2</v>
      </c>
      <c r="T223" s="19">
        <f t="shared" si="29"/>
        <v>3.407465526964204E-2</v>
      </c>
      <c r="U223" s="24">
        <v>4.0408850574614963E-2</v>
      </c>
      <c r="V223" s="24">
        <f t="shared" si="30"/>
        <v>3.8517471030530714E-2</v>
      </c>
      <c r="W223" s="23">
        <f t="shared" si="31"/>
        <v>3.1605410882342699E-3</v>
      </c>
      <c r="X223" s="24">
        <v>3.9510103556881448E-2</v>
      </c>
      <c r="Y223" s="24">
        <f t="shared" si="32"/>
        <v>3.7624629667840415E-2</v>
      </c>
      <c r="Z223" s="23">
        <f t="shared" si="33"/>
        <v>3.0886905374187812E-3</v>
      </c>
      <c r="AA223" s="36"/>
    </row>
    <row r="224" spans="15:27" ht="13.9" customHeight="1" x14ac:dyDescent="0.3">
      <c r="O224" s="12">
        <f t="shared" si="27"/>
        <v>17.583333333333332</v>
      </c>
      <c r="P224" s="13">
        <v>211</v>
      </c>
      <c r="Q224" s="22">
        <v>3.5906342242893352E-2</v>
      </c>
      <c r="R224" s="19">
        <f t="shared" si="28"/>
        <v>3.3926377973841682E-2</v>
      </c>
      <c r="S224" s="22">
        <v>3.5926893569300455E-2</v>
      </c>
      <c r="T224" s="19">
        <f t="shared" si="29"/>
        <v>3.3997250634397735E-2</v>
      </c>
      <c r="U224" s="24">
        <v>4.0399878571507175E-2</v>
      </c>
      <c r="V224" s="24">
        <f t="shared" si="30"/>
        <v>3.8443304837957992E-2</v>
      </c>
      <c r="W224" s="23">
        <f t="shared" si="31"/>
        <v>3.1544805624179606E-3</v>
      </c>
      <c r="X224" s="24">
        <v>3.9501159586328827E-2</v>
      </c>
      <c r="Y224" s="24">
        <f t="shared" si="32"/>
        <v>3.7549880757536735E-2</v>
      </c>
      <c r="Z224" s="23">
        <f t="shared" si="33"/>
        <v>3.0825823229636562E-3</v>
      </c>
      <c r="AA224" s="36"/>
    </row>
    <row r="225" spans="15:27" ht="13.9" customHeight="1" x14ac:dyDescent="0.3">
      <c r="O225" s="12">
        <f t="shared" si="27"/>
        <v>17.666666666666668</v>
      </c>
      <c r="P225" s="13">
        <v>212</v>
      </c>
      <c r="Q225" s="22">
        <v>3.5896993894172446E-2</v>
      </c>
      <c r="R225" s="19">
        <f t="shared" si="28"/>
        <v>3.3860248959382888E-2</v>
      </c>
      <c r="S225" s="22">
        <v>3.5917783032177519E-2</v>
      </c>
      <c r="T225" s="19">
        <f t="shared" si="29"/>
        <v>3.3920702685724446E-2</v>
      </c>
      <c r="U225" s="24">
        <v>4.039064080210597E-2</v>
      </c>
      <c r="V225" s="24">
        <f t="shared" si="30"/>
        <v>3.8370258239491362E-2</v>
      </c>
      <c r="W225" s="23">
        <f t="shared" si="31"/>
        <v>3.1485103062720565E-3</v>
      </c>
      <c r="X225" s="24">
        <v>3.9491946832220348E-2</v>
      </c>
      <c r="Y225" s="24">
        <f t="shared" si="32"/>
        <v>3.7476200726231923E-2</v>
      </c>
      <c r="Z225" s="23">
        <f t="shared" si="33"/>
        <v>3.0765604113474065E-3</v>
      </c>
      <c r="AA225" s="36"/>
    </row>
    <row r="226" spans="15:27" ht="13.9" customHeight="1" x14ac:dyDescent="0.3">
      <c r="O226" s="12">
        <f t="shared" si="27"/>
        <v>17.75</v>
      </c>
      <c r="P226" s="13">
        <v>213</v>
      </c>
      <c r="Q226" s="22">
        <v>3.5887422342843145E-2</v>
      </c>
      <c r="R226" s="19">
        <f t="shared" si="28"/>
        <v>3.379553956675263E-2</v>
      </c>
      <c r="S226" s="22">
        <v>3.590839806132573E-2</v>
      </c>
      <c r="T226" s="19">
        <f t="shared" si="29"/>
        <v>3.3845001811484199E-2</v>
      </c>
      <c r="U226" s="24">
        <v>4.0381146259311773E-2</v>
      </c>
      <c r="V226" s="24">
        <f t="shared" si="30"/>
        <v>3.8298324514711046E-2</v>
      </c>
      <c r="W226" s="23">
        <f t="shared" si="31"/>
        <v>3.1426297935328584E-3</v>
      </c>
      <c r="X226" s="24">
        <v>3.9482474091024899E-2</v>
      </c>
      <c r="Y226" s="24">
        <f t="shared" si="32"/>
        <v>3.7403582190500551E-2</v>
      </c>
      <c r="Z226" s="23">
        <f t="shared" si="33"/>
        <v>3.0706242214064705E-3</v>
      </c>
      <c r="AA226" s="36"/>
    </row>
    <row r="227" spans="15:27" ht="13.9" customHeight="1" x14ac:dyDescent="0.3">
      <c r="O227" s="12">
        <f t="shared" si="27"/>
        <v>17.833333333333332</v>
      </c>
      <c r="P227" s="13">
        <v>214</v>
      </c>
      <c r="Q227" s="22">
        <v>3.587763735256333E-2</v>
      </c>
      <c r="R227" s="19">
        <f t="shared" si="28"/>
        <v>3.3732246230876006E-2</v>
      </c>
      <c r="S227" s="22">
        <v>3.5898746452116548E-2</v>
      </c>
      <c r="T227" s="19">
        <f t="shared" si="29"/>
        <v>3.3770138457839494E-2</v>
      </c>
      <c r="U227" s="24">
        <v>4.0371403737570422E-2</v>
      </c>
      <c r="V227" s="24">
        <f t="shared" si="30"/>
        <v>3.8227496983513021E-2</v>
      </c>
      <c r="W227" s="23">
        <f t="shared" si="31"/>
        <v>3.136838500515049E-3</v>
      </c>
      <c r="X227" s="24">
        <v>3.947274996129746E-2</v>
      </c>
      <c r="Y227" s="24">
        <f t="shared" si="32"/>
        <v>3.7332017812137019E-2</v>
      </c>
      <c r="Z227" s="23">
        <f t="shared" si="33"/>
        <v>3.064773174986879E-3</v>
      </c>
      <c r="AA227" s="36"/>
    </row>
    <row r="228" spans="15:27" ht="13.9" customHeight="1" x14ac:dyDescent="0.3">
      <c r="O228" s="12">
        <f t="shared" si="27"/>
        <v>17.916666666666668</v>
      </c>
      <c r="P228" s="13">
        <v>215</v>
      </c>
      <c r="Q228" s="22">
        <v>3.5867648489849469E-2</v>
      </c>
      <c r="R228" s="19">
        <f t="shared" si="28"/>
        <v>3.3670365417323822E-2</v>
      </c>
      <c r="S228" s="22">
        <v>3.5888835811287656E-2</v>
      </c>
      <c r="T228" s="19">
        <f t="shared" si="29"/>
        <v>3.3696103129146948E-2</v>
      </c>
      <c r="U228" s="24">
        <v>4.0361421837635136E-2</v>
      </c>
      <c r="V228" s="24">
        <f t="shared" si="30"/>
        <v>3.8157769003762221E-2</v>
      </c>
      <c r="W228" s="23">
        <f t="shared" si="31"/>
        <v>3.1311359063819211E-3</v>
      </c>
      <c r="X228" s="24">
        <v>3.9462782848453282E-2</v>
      </c>
      <c r="Y228" s="24">
        <f t="shared" si="32"/>
        <v>3.7261500296573047E-2</v>
      </c>
      <c r="Z228" s="23">
        <f t="shared" si="33"/>
        <v>3.0590066971891705E-3</v>
      </c>
      <c r="AA228" s="36"/>
    </row>
    <row r="229" spans="15:27" ht="13.9" customHeight="1" x14ac:dyDescent="0.3">
      <c r="O229" s="12">
        <f t="shared" si="27"/>
        <v>18</v>
      </c>
      <c r="P229" s="13">
        <v>216</v>
      </c>
      <c r="Q229" s="22">
        <v>3.5857465128736221E-2</v>
      </c>
      <c r="R229" s="19">
        <f t="shared" si="28"/>
        <v>3.3609889700337181E-2</v>
      </c>
      <c r="S229" s="22">
        <v>3.5878673561543728E-2</v>
      </c>
      <c r="T229" s="19">
        <f t="shared" si="29"/>
        <v>3.3622886387598916E-2</v>
      </c>
      <c r="U229" s="24">
        <v>4.0351208971187935E-2</v>
      </c>
      <c r="V229" s="24">
        <f t="shared" si="30"/>
        <v>3.8089133975245382E-2</v>
      </c>
      <c r="W229" s="23">
        <f t="shared" si="31"/>
        <v>3.125521492961747E-3</v>
      </c>
      <c r="X229" s="24">
        <v>3.9452580969402407E-2</v>
      </c>
      <c r="Y229" s="24">
        <f t="shared" si="32"/>
        <v>3.7192022395354574E-2</v>
      </c>
      <c r="Z229" s="23">
        <f t="shared" si="33"/>
        <v>3.053324216246267E-3</v>
      </c>
      <c r="AA229" s="36"/>
    </row>
    <row r="230" spans="15:27" ht="13.9" customHeight="1" x14ac:dyDescent="0.3">
      <c r="O230" s="12">
        <f t="shared" si="27"/>
        <v>18.083333333333332</v>
      </c>
      <c r="P230" s="13">
        <v>217</v>
      </c>
      <c r="Q230" s="22">
        <v>3.5847096437195747E-2</v>
      </c>
      <c r="R230" s="19">
        <f t="shared" si="28"/>
        <v>3.3550799915454066E-2</v>
      </c>
      <c r="S230" s="22">
        <v>3.5868266946031513E-2</v>
      </c>
      <c r="T230" s="19">
        <f t="shared" si="29"/>
        <v>3.3550478854099453E-2</v>
      </c>
      <c r="U230" s="24">
        <v>4.0340773365351135E-2</v>
      </c>
      <c r="V230" s="24">
        <f t="shared" si="30"/>
        <v>3.802158533813027E-2</v>
      </c>
      <c r="W230" s="23">
        <f t="shared" si="31"/>
        <v>3.1199947450721854E-3</v>
      </c>
      <c r="X230" s="24">
        <v>3.9442152357069604E-2</v>
      </c>
      <c r="Y230" s="24">
        <f t="shared" si="32"/>
        <v>3.7123576905669697E-2</v>
      </c>
      <c r="Z230" s="23">
        <f t="shared" si="33"/>
        <v>3.0477251637299752E-3</v>
      </c>
      <c r="AA230" s="36"/>
    </row>
    <row r="231" spans="15:27" ht="13.9" customHeight="1" x14ac:dyDescent="0.3">
      <c r="O231" s="12">
        <f t="shared" si="27"/>
        <v>18.166666666666668</v>
      </c>
      <c r="P231" s="13">
        <v>218</v>
      </c>
      <c r="Q231" s="22">
        <v>3.5836551327850241E-2</v>
      </c>
      <c r="R231" s="19">
        <f t="shared" si="28"/>
        <v>3.3493088709893204E-2</v>
      </c>
      <c r="S231" s="22">
        <v>3.5857623032695463E-2</v>
      </c>
      <c r="T231" s="19">
        <f t="shared" si="29"/>
        <v>3.3478871207389904E-2</v>
      </c>
      <c r="U231" s="24">
        <v>4.0330123067069845E-2</v>
      </c>
      <c r="V231" s="24">
        <f t="shared" si="30"/>
        <v>3.7955116574390102E-2</v>
      </c>
      <c r="W231" s="23">
        <f t="shared" si="31"/>
        <v>3.1145551504025981E-3</v>
      </c>
      <c r="X231" s="24">
        <v>3.9431504864788192E-2</v>
      </c>
      <c r="Y231" s="24">
        <f t="shared" si="32"/>
        <v>3.705615667106299E-2</v>
      </c>
      <c r="Z231" s="23">
        <f t="shared" si="33"/>
        <v>3.0422089745192338E-3</v>
      </c>
      <c r="AA231" s="36"/>
    </row>
    <row r="232" spans="15:27" ht="13.9" customHeight="1" x14ac:dyDescent="0.3">
      <c r="O232" s="12">
        <f t="shared" si="27"/>
        <v>18.25</v>
      </c>
      <c r="P232" s="13">
        <v>219</v>
      </c>
      <c r="Q232" s="22">
        <v>3.5825838517804298E-2</v>
      </c>
      <c r="R232" s="19">
        <f t="shared" si="28"/>
        <v>3.3436752691979654E-2</v>
      </c>
      <c r="S232" s="22">
        <v>3.5846748718512345E-2</v>
      </c>
      <c r="T232" s="19">
        <f t="shared" si="29"/>
        <v>3.3408054184940861E-2</v>
      </c>
      <c r="U232" s="24">
        <v>4.0319265947381444E-2</v>
      </c>
      <c r="V232" s="24">
        <f t="shared" si="30"/>
        <v>3.788972120901124E-2</v>
      </c>
      <c r="W232" s="23">
        <f t="shared" si="31"/>
        <v>3.1092021996341757E-3</v>
      </c>
      <c r="X232" s="24">
        <v>3.9420646170578388E-2</v>
      </c>
      <c r="Y232" s="24">
        <f t="shared" si="32"/>
        <v>3.6989754582241519E-2</v>
      </c>
      <c r="Z232" s="23">
        <f t="shared" si="33"/>
        <v>3.036775086863841E-3</v>
      </c>
      <c r="AA232" s="36"/>
    </row>
    <row r="233" spans="15:27" ht="13.9" customHeight="1" x14ac:dyDescent="0.3">
      <c r="O233" s="12">
        <f t="shared" si="27"/>
        <v>18.333333333333332</v>
      </c>
      <c r="P233" s="13">
        <v>220</v>
      </c>
      <c r="Q233" s="22">
        <v>3.5814966551091176E-2</v>
      </c>
      <c r="R233" s="19">
        <f t="shared" si="28"/>
        <v>3.3381788508607846E-2</v>
      </c>
      <c r="S233" s="22">
        <v>3.5835650733613722E-2</v>
      </c>
      <c r="T233" s="19">
        <f t="shared" si="29"/>
        <v>3.3338018582272033E-2</v>
      </c>
      <c r="U233" s="24">
        <v>4.030820970557536E-2</v>
      </c>
      <c r="V233" s="24">
        <f t="shared" si="30"/>
        <v>3.7825392809988534E-2</v>
      </c>
      <c r="W233" s="23">
        <f t="shared" si="31"/>
        <v>3.1039353865429664E-3</v>
      </c>
      <c r="X233" s="24">
        <v>3.9409583781312651E-2</v>
      </c>
      <c r="Y233" s="24">
        <f t="shared" si="32"/>
        <v>3.6924363577118147E-2</v>
      </c>
      <c r="Z233" s="23">
        <f t="shared" si="33"/>
        <v>3.0314229424557304E-3</v>
      </c>
      <c r="AA233" s="36"/>
    </row>
    <row r="234" spans="15:27" ht="13.9" customHeight="1" x14ac:dyDescent="0.3">
      <c r="O234" s="12">
        <f t="shared" si="27"/>
        <v>18.416666666666668</v>
      </c>
      <c r="P234" s="13">
        <v>221</v>
      </c>
      <c r="Q234" s="22">
        <v>3.5803943802725113E-2</v>
      </c>
      <c r="R234" s="19">
        <f t="shared" si="28"/>
        <v>3.3328192846126647E-2</v>
      </c>
      <c r="S234" s="22">
        <v>3.5824335645296301E-2</v>
      </c>
      <c r="T234" s="19">
        <f t="shared" si="29"/>
        <v>3.3268755253778481E-2</v>
      </c>
      <c r="U234" s="24">
        <v>4.0296961873240944E-2</v>
      </c>
      <c r="V234" s="24">
        <f t="shared" si="30"/>
        <v>3.7762124989618284E-2</v>
      </c>
      <c r="W234" s="23">
        <f t="shared" si="31"/>
        <v>3.0987542080056496E-3</v>
      </c>
      <c r="X234" s="24">
        <v>3.9398325036771098E-2</v>
      </c>
      <c r="Y234" s="24">
        <f t="shared" si="32"/>
        <v>3.6859976642903858E-2</v>
      </c>
      <c r="Z234" s="23">
        <f t="shared" si="33"/>
        <v>3.0261519864385189E-3</v>
      </c>
      <c r="AA234" s="36"/>
    </row>
    <row r="235" spans="15:27" ht="13.9" customHeight="1" x14ac:dyDescent="0.3">
      <c r="O235" s="12">
        <f t="shared" si="27"/>
        <v>18.5</v>
      </c>
      <c r="P235" s="13">
        <v>222</v>
      </c>
      <c r="Q235" s="22">
        <v>3.5792778482648169E-2</v>
      </c>
      <c r="R235" s="19">
        <f t="shared" si="28"/>
        <v>3.327595857294563E-2</v>
      </c>
      <c r="S235" s="22">
        <v>3.5812809861927031E-2</v>
      </c>
      <c r="T235" s="19">
        <f t="shared" si="29"/>
        <v>3.3200255111364374E-2</v>
      </c>
      <c r="U235" s="24">
        <v>4.0285529818212318E-2</v>
      </c>
      <c r="V235" s="24">
        <f t="shared" si="30"/>
        <v>3.7699911404226016E-2</v>
      </c>
      <c r="W235" s="23">
        <f t="shared" si="31"/>
        <v>3.0936581641094474E-3</v>
      </c>
      <c r="X235" s="24">
        <v>3.9386877113595009E-2</v>
      </c>
      <c r="Y235" s="24">
        <f t="shared" si="32"/>
        <v>3.6796586814133558E-2</v>
      </c>
      <c r="Z235" s="23">
        <f t="shared" si="33"/>
        <v>3.0209616675822559E-3</v>
      </c>
      <c r="AA235" s="36"/>
    </row>
    <row r="236" spans="15:27" ht="13.9" customHeight="1" x14ac:dyDescent="0.3">
      <c r="O236" s="12">
        <f t="shared" si="27"/>
        <v>18.583333333333332</v>
      </c>
      <c r="P236" s="13">
        <v>223</v>
      </c>
      <c r="Q236" s="22">
        <v>3.5781478622232132E-2</v>
      </c>
      <c r="R236" s="19">
        <f t="shared" si="28"/>
        <v>3.3225067023889832E-2</v>
      </c>
      <c r="S236" s="22">
        <v>3.5801079636738953E-2</v>
      </c>
      <c r="T236" s="19">
        <f t="shared" si="29"/>
        <v>3.3132509126119647E-2</v>
      </c>
      <c r="U236" s="24">
        <v>4.0273920748407521E-2</v>
      </c>
      <c r="V236" s="24">
        <f t="shared" si="30"/>
        <v>3.7638745756030989E-2</v>
      </c>
      <c r="W236" s="23">
        <f t="shared" si="31"/>
        <v>3.0886467581354715E-3</v>
      </c>
      <c r="X236" s="24">
        <v>3.9375247029128646E-2</v>
      </c>
      <c r="Y236" s="24">
        <f t="shared" si="32"/>
        <v>3.6734187174764843E-2</v>
      </c>
      <c r="Z236" s="23">
        <f t="shared" si="33"/>
        <v>3.0158514381299906E-3</v>
      </c>
      <c r="AA236" s="36"/>
    </row>
    <row r="237" spans="15:27" ht="13.9" customHeight="1" x14ac:dyDescent="0.3">
      <c r="O237" s="12">
        <f t="shared" si="27"/>
        <v>18.666666666666668</v>
      </c>
      <c r="P237" s="13">
        <v>224</v>
      </c>
      <c r="Q237" s="22">
        <v>3.5770052026610433E-2</v>
      </c>
      <c r="R237" s="19">
        <f t="shared" si="28"/>
        <v>3.3175511156286808E-2</v>
      </c>
      <c r="S237" s="22">
        <v>3.578915107153291E-2</v>
      </c>
      <c r="T237" s="19">
        <f t="shared" si="29"/>
        <v>3.3065508326633353E-2</v>
      </c>
      <c r="U237" s="24">
        <v>4.0262141715573296E-2</v>
      </c>
      <c r="V237" s="24">
        <f t="shared" si="30"/>
        <v>3.7578621792934142E-2</v>
      </c>
      <c r="W237" s="23">
        <f t="shared" si="31"/>
        <v>3.0837194967145987E-3</v>
      </c>
      <c r="X237" s="24">
        <v>3.9363441645167141E-2</v>
      </c>
      <c r="Y237" s="24">
        <f t="shared" si="32"/>
        <v>3.6672770859055293E-2</v>
      </c>
      <c r="Z237" s="23">
        <f t="shared" si="33"/>
        <v>3.010820753973853E-3</v>
      </c>
      <c r="AA237" s="36"/>
    </row>
    <row r="238" spans="15:27" ht="13.9" customHeight="1" x14ac:dyDescent="0.3">
      <c r="O238" s="12">
        <f t="shared" si="27"/>
        <v>18.75</v>
      </c>
      <c r="P238" s="13">
        <v>225</v>
      </c>
      <c r="Q238" s="22">
        <v>3.5758506331446949E-2</v>
      </c>
      <c r="R238" s="19">
        <f t="shared" si="28"/>
        <v>3.3127287833327301E-2</v>
      </c>
      <c r="S238" s="22">
        <v>3.5777030120274667E-2</v>
      </c>
      <c r="T238" s="19">
        <f t="shared" si="29"/>
        <v>3.2999243800524214E-2</v>
      </c>
      <c r="U238" s="24">
        <v>4.0250199618930615E-2</v>
      </c>
      <c r="V238" s="24">
        <f t="shared" si="30"/>
        <v>3.7519533309111619E-2</v>
      </c>
      <c r="W238" s="23">
        <f t="shared" si="31"/>
        <v>3.0788758898163682E-3</v>
      </c>
      <c r="X238" s="24">
        <v>3.9351467671608686E-2</v>
      </c>
      <c r="Y238" s="24">
        <f t="shared" si="32"/>
        <v>3.6612331050593916E-2</v>
      </c>
      <c r="Z238" s="23">
        <f t="shared" si="33"/>
        <v>3.0058690747301053E-3</v>
      </c>
      <c r="AA238" s="36"/>
    </row>
    <row r="239" spans="15:27" ht="13.9" customHeight="1" x14ac:dyDescent="0.3">
      <c r="O239" s="12">
        <f t="shared" si="27"/>
        <v>18.833333333333332</v>
      </c>
      <c r="P239" s="13">
        <v>226</v>
      </c>
      <c r="Q239" s="22">
        <v>3.5746849023975402E-2</v>
      </c>
      <c r="R239" s="19">
        <f t="shared" si="28"/>
        <v>3.3080393962374055E-2</v>
      </c>
      <c r="S239" s="22">
        <v>3.5764722592603437E-2</v>
      </c>
      <c r="T239" s="19">
        <f t="shared" si="29"/>
        <v>3.2933706692527709E-2</v>
      </c>
      <c r="U239" s="24">
        <v>4.0238101208726507E-2</v>
      </c>
      <c r="V239" s="24">
        <f t="shared" si="30"/>
        <v>3.746147414580614E-2</v>
      </c>
      <c r="W239" s="23">
        <f t="shared" si="31"/>
        <v>3.0741154508013846E-3</v>
      </c>
      <c r="X239" s="24">
        <v>3.9339331670008137E-2</v>
      </c>
      <c r="Y239" s="24">
        <f t="shared" si="32"/>
        <v>3.6552860983721791E-2</v>
      </c>
      <c r="Z239" s="23">
        <f t="shared" si="33"/>
        <v>3.0009958636678657E-3</v>
      </c>
      <c r="AA239" s="36"/>
    </row>
    <row r="240" spans="15:27" ht="13.9" customHeight="1" x14ac:dyDescent="0.3">
      <c r="O240" s="12">
        <f t="shared" si="27"/>
        <v>18.916666666666668</v>
      </c>
      <c r="P240" s="13">
        <v>227</v>
      </c>
      <c r="Q240" s="22">
        <v>3.5735087446433278E-2</v>
      </c>
      <c r="R240" s="19">
        <f t="shared" si="28"/>
        <v>3.3034826499467096E-2</v>
      </c>
      <c r="S240" s="22">
        <v>3.575223415724027E-2</v>
      </c>
      <c r="T240" s="19">
        <f t="shared" si="29"/>
        <v>3.2868888206591507E-2</v>
      </c>
      <c r="U240" s="24">
        <v>4.0225853089695951E-2</v>
      </c>
      <c r="V240" s="24">
        <f t="shared" si="30"/>
        <v>3.7404438192568445E-2</v>
      </c>
      <c r="W240" s="23">
        <f t="shared" si="31"/>
        <v>3.0694376964919279E-3</v>
      </c>
      <c r="X240" s="24">
        <v>3.9327040057041573E-2</v>
      </c>
      <c r="Y240" s="24">
        <f t="shared" si="32"/>
        <v>3.6494353943975266E-2</v>
      </c>
      <c r="Z240" s="23">
        <f t="shared" si="33"/>
        <v>2.9962005878294562E-3</v>
      </c>
      <c r="AA240" s="36"/>
    </row>
    <row r="241" spans="15:27" ht="13.9" customHeight="1" x14ac:dyDescent="0.3">
      <c r="O241" s="12">
        <f t="shared" si="27"/>
        <v>19</v>
      </c>
      <c r="P241" s="13">
        <v>228</v>
      </c>
      <c r="Q241" s="22">
        <v>3.5723228799423579E-2</v>
      </c>
      <c r="R241" s="19">
        <f t="shared" si="28"/>
        <v>3.2990578652931202E-2</v>
      </c>
      <c r="S241" s="22">
        <v>3.5739570345316718E-2</v>
      </c>
      <c r="T241" s="19">
        <f t="shared" si="29"/>
        <v>3.2804779603664569E-2</v>
      </c>
      <c r="U241" s="24">
        <v>4.0213461724440513E-2</v>
      </c>
      <c r="V241" s="24">
        <f t="shared" si="30"/>
        <v>3.734841938635447E-2</v>
      </c>
      <c r="W241" s="23">
        <f t="shared" si="31"/>
        <v>3.0648421472758702E-3</v>
      </c>
      <c r="X241" s="24">
        <v>3.9314599107884707E-2</v>
      </c>
      <c r="Y241" s="24">
        <f t="shared" si="32"/>
        <v>3.6436803267561713E-2</v>
      </c>
      <c r="Z241" s="23">
        <f t="shared" si="33"/>
        <v>2.9914827180714809E-3</v>
      </c>
      <c r="AA241" s="36"/>
    </row>
    <row r="242" spans="15:27" ht="13.9" customHeight="1" x14ac:dyDescent="0.3">
      <c r="O242" s="12">
        <f t="shared" si="27"/>
        <v>19.083333333333332</v>
      </c>
      <c r="P242" s="13">
        <v>229</v>
      </c>
      <c r="Q242" s="22">
        <v>3.5711280128568834E-2</v>
      </c>
      <c r="R242" s="19">
        <f t="shared" si="28"/>
        <v>3.2947632298647056E-2</v>
      </c>
      <c r="S242" s="22">
        <v>3.5726736553607807E-2</v>
      </c>
      <c r="T242" s="19">
        <f t="shared" si="29"/>
        <v>3.2741372202923946E-2</v>
      </c>
      <c r="U242" s="24">
        <v>4.0200933436712827E-2</v>
      </c>
      <c r="V242" s="24">
        <f t="shared" si="30"/>
        <v>3.7293411713498648E-2</v>
      </c>
      <c r="W242" s="23">
        <f t="shared" si="31"/>
        <v>3.0603283270400627E-3</v>
      </c>
      <c r="X242" s="24">
        <v>3.9302014959498921E-2</v>
      </c>
      <c r="Y242" s="24">
        <f t="shared" si="32"/>
        <v>3.6380202343442081E-2</v>
      </c>
      <c r="Z242" s="23">
        <f t="shared" si="33"/>
        <v>2.9868417290275229E-3</v>
      </c>
      <c r="AA242" s="36"/>
    </row>
    <row r="243" spans="15:27" ht="13.9" customHeight="1" x14ac:dyDescent="0.3">
      <c r="O243" s="12">
        <f t="shared" si="27"/>
        <v>19.166666666666668</v>
      </c>
      <c r="P243" s="13">
        <v>230</v>
      </c>
      <c r="Q243" s="22">
        <v>3.5699248278446394E-2</v>
      </c>
      <c r="R243" s="19">
        <f t="shared" si="28"/>
        <v>3.2905980750974617E-2</v>
      </c>
      <c r="S243" s="22">
        <v>3.5713738047685517E-2</v>
      </c>
      <c r="T243" s="19">
        <f t="shared" si="29"/>
        <v>3.2678657381166376E-2</v>
      </c>
      <c r="U243" s="24">
        <v>4.018827441462669E-2</v>
      </c>
      <c r="V243" s="24">
        <f t="shared" si="30"/>
        <v>3.7239409209699925E-2</v>
      </c>
      <c r="W243" s="23">
        <f t="shared" si="31"/>
        <v>3.0558957633346484E-3</v>
      </c>
      <c r="X243" s="24">
        <v>3.9289293613843368E-2</v>
      </c>
      <c r="Y243" s="24">
        <f t="shared" si="32"/>
        <v>3.6324544611884946E-2</v>
      </c>
      <c r="Z243" s="23">
        <f t="shared" si="33"/>
        <v>2.9822770992828929E-3</v>
      </c>
      <c r="AA243" s="36"/>
    </row>
    <row r="244" spans="15:27" ht="13.9" customHeight="1" x14ac:dyDescent="0.3">
      <c r="O244" s="12">
        <f t="shared" si="27"/>
        <v>19.25</v>
      </c>
      <c r="P244" s="13">
        <v>231</v>
      </c>
      <c r="Q244" s="22">
        <v>3.5687139946555257E-2</v>
      </c>
      <c r="R244" s="19">
        <f t="shared" si="28"/>
        <v>3.2865621170154791E-2</v>
      </c>
      <c r="S244" s="22">
        <v>3.5700579964989654E-2</v>
      </c>
      <c r="T244" s="19">
        <f t="shared" si="29"/>
        <v>3.2616626572871121E-2</v>
      </c>
      <c r="U244" s="24">
        <v>4.0175490713784123E-2</v>
      </c>
      <c r="V244" s="24">
        <f t="shared" si="30"/>
        <v>3.7186405959637403E-2</v>
      </c>
      <c r="W244" s="23">
        <f t="shared" si="31"/>
        <v>3.0515439873761707E-3</v>
      </c>
      <c r="X244" s="24">
        <v>3.9276440940996693E-2</v>
      </c>
      <c r="Y244" s="24">
        <f t="shared" si="32"/>
        <v>3.6269823565835413E-2</v>
      </c>
      <c r="Z244" s="23">
        <f t="shared" si="33"/>
        <v>2.9777883112622749E-3</v>
      </c>
      <c r="AA244" s="36"/>
    </row>
    <row r="245" spans="15:27" ht="13.9" customHeight="1" x14ac:dyDescent="0.3">
      <c r="O245" s="12">
        <f t="shared" si="27"/>
        <v>19.333333333333332</v>
      </c>
      <c r="P245" s="13">
        <v>232</v>
      </c>
      <c r="Q245" s="22">
        <v>3.5674961703079155E-2</v>
      </c>
      <c r="R245" s="19">
        <f t="shared" si="28"/>
        <v>3.2826550769597063E-2</v>
      </c>
      <c r="S245" s="22">
        <v>3.568726731781946E-2</v>
      </c>
      <c r="T245" s="19">
        <f t="shared" si="29"/>
        <v>3.2555271270182207E-2</v>
      </c>
      <c r="U245" s="24">
        <v>4.0162588260319376E-2</v>
      </c>
      <c r="V245" s="24">
        <f t="shared" si="30"/>
        <v>3.7134396099523626E-2</v>
      </c>
      <c r="W245" s="23">
        <f t="shared" si="31"/>
        <v>3.0472725340231488E-3</v>
      </c>
      <c r="X245" s="24">
        <v>3.9263462682205708E-2</v>
      </c>
      <c r="Y245" s="24">
        <f t="shared" si="32"/>
        <v>3.621603275156593E-2</v>
      </c>
      <c r="Z245" s="23">
        <f t="shared" si="33"/>
        <v>2.9733748513460778E-3</v>
      </c>
      <c r="AA245" s="36"/>
    </row>
    <row r="246" spans="15:27" ht="13.9" customHeight="1" x14ac:dyDescent="0.3">
      <c r="O246" s="12">
        <f t="shared" si="27"/>
        <v>19.416666666666668</v>
      </c>
      <c r="P246" s="13">
        <v>233</v>
      </c>
      <c r="Q246" s="22">
        <v>3.5662719993821534E-2</v>
      </c>
      <c r="R246" s="19">
        <f t="shared" si="28"/>
        <v>3.2788766815398773E-2</v>
      </c>
      <c r="S246" s="22">
        <v>3.5673804996249059E-2</v>
      </c>
      <c r="T246" s="19">
        <f t="shared" si="29"/>
        <v>3.2494583021425827E-2</v>
      </c>
      <c r="U246" s="24">
        <v>4.0149572853877658E-2</v>
      </c>
      <c r="V246" s="24">
        <f t="shared" si="30"/>
        <v>3.7083373815491649E-2</v>
      </c>
      <c r="W246" s="23">
        <f t="shared" si="31"/>
        <v>3.0430809419859095E-3</v>
      </c>
      <c r="X246" s="24">
        <v>3.9250364452858122E-2</v>
      </c>
      <c r="Y246" s="24">
        <f t="shared" si="32"/>
        <v>3.6163165767908234E-2</v>
      </c>
      <c r="Z246" s="23">
        <f t="shared" si="33"/>
        <v>2.9690362099279444E-3</v>
      </c>
      <c r="AA246" s="36"/>
    </row>
    <row r="247" spans="15:27" ht="13.9" customHeight="1" x14ac:dyDescent="0.3">
      <c r="O247" s="12">
        <f t="shared" si="27"/>
        <v>19.5</v>
      </c>
      <c r="P247" s="13">
        <v>234</v>
      </c>
      <c r="Q247" s="22">
        <v>3.5650421143063271E-2</v>
      </c>
      <c r="R247" s="19">
        <f t="shared" si="28"/>
        <v>3.2752262898507967E-2</v>
      </c>
      <c r="S247" s="22">
        <v>3.5660197770962077E-2</v>
      </c>
      <c r="T247" s="19">
        <f t="shared" si="29"/>
        <v>3.2434553433827062E-2</v>
      </c>
      <c r="U247" s="24">
        <v>4.0136450170510374E-2</v>
      </c>
      <c r="V247" s="24">
        <f t="shared" si="30"/>
        <v>3.7033333345627195E-2</v>
      </c>
      <c r="W247" s="23">
        <f t="shared" si="31"/>
        <v>3.0389687537013543E-3</v>
      </c>
      <c r="X247" s="24">
        <v>3.9237151745376897E-2</v>
      </c>
      <c r="Y247" s="24">
        <f t="shared" si="32"/>
        <v>3.6111216268089885E-2</v>
      </c>
      <c r="Z247" s="23">
        <f t="shared" si="33"/>
        <v>2.9647718813585744E-3</v>
      </c>
      <c r="AA247" s="36"/>
    </row>
    <row r="248" spans="15:27" ht="13.9" customHeight="1" x14ac:dyDescent="0.3">
      <c r="O248" s="12">
        <f t="shared" si="27"/>
        <v>19.583333333333332</v>
      </c>
      <c r="P248" s="13">
        <v>235</v>
      </c>
      <c r="Q248" s="22">
        <v>3.5638071340440503E-2</v>
      </c>
      <c r="R248" s="19">
        <f t="shared" si="28"/>
        <v>3.2717021474194086E-2</v>
      </c>
      <c r="S248" s="22">
        <v>3.5646450296026977E-2</v>
      </c>
      <c r="T248" s="19">
        <f t="shared" si="29"/>
        <v>3.2375174169596121E-2</v>
      </c>
      <c r="U248" s="24">
        <v>4.0123225765506199E-2</v>
      </c>
      <c r="V248" s="24">
        <f t="shared" si="30"/>
        <v>3.6984268979403989E-2</v>
      </c>
      <c r="W248" s="23">
        <f t="shared" si="31"/>
        <v>3.0349355155032676E-3</v>
      </c>
      <c r="X248" s="24">
        <v>3.922382993204887E-2</v>
      </c>
      <c r="Y248" s="24">
        <f t="shared" si="32"/>
        <v>3.6060177958292083E-2</v>
      </c>
      <c r="Z248" s="23">
        <f t="shared" si="33"/>
        <v>2.9605813640982692E-3</v>
      </c>
      <c r="AA248" s="36"/>
    </row>
    <row r="249" spans="15:27" ht="13.9" customHeight="1" x14ac:dyDescent="0.3">
      <c r="O249" s="12">
        <f t="shared" si="27"/>
        <v>19.666666666666668</v>
      </c>
      <c r="P249" s="13">
        <v>236</v>
      </c>
      <c r="Q249" s="22">
        <v>3.5625676596454214E-2</v>
      </c>
      <c r="R249" s="19">
        <f t="shared" si="28"/>
        <v>3.2683036252491249E-2</v>
      </c>
      <c r="S249" s="22">
        <v>3.5632567111583802E-2</v>
      </c>
      <c r="T249" s="19">
        <f t="shared" si="29"/>
        <v>3.2316436949104022E-2</v>
      </c>
      <c r="U249" s="24">
        <v>4.0109905076147978E-2</v>
      </c>
      <c r="V249" s="24">
        <f t="shared" si="30"/>
        <v>3.6936175058501997E-2</v>
      </c>
      <c r="W249" s="23">
        <f t="shared" si="31"/>
        <v>3.0309807775792397E-3</v>
      </c>
      <c r="X249" s="24">
        <v>3.9210404267776555E-2</v>
      </c>
      <c r="Y249" s="24">
        <f t="shared" si="32"/>
        <v>3.6010044599508184E-2</v>
      </c>
      <c r="Z249" s="23">
        <f t="shared" si="33"/>
        <v>2.9564641606056874E-3</v>
      </c>
      <c r="AA249" s="36"/>
    </row>
    <row r="250" spans="15:27" ht="13.9" customHeight="1" x14ac:dyDescent="0.3">
      <c r="O250" s="12">
        <f t="shared" si="27"/>
        <v>19.75</v>
      </c>
      <c r="P250" s="13">
        <v>237</v>
      </c>
      <c r="Q250" s="22">
        <v>3.5613242793844258E-2</v>
      </c>
      <c r="R250" s="19">
        <f t="shared" si="28"/>
        <v>3.2650304731002278E-2</v>
      </c>
      <c r="S250" s="22">
        <v>3.5618552646479618E-2</v>
      </c>
      <c r="T250" s="19">
        <f t="shared" si="29"/>
        <v>3.2258333548516704E-2</v>
      </c>
      <c r="U250" s="24">
        <v>4.0096493424404134E-2</v>
      </c>
      <c r="V250" s="24">
        <f t="shared" si="30"/>
        <v>3.6889045977847923E-2</v>
      </c>
      <c r="W250" s="23">
        <f t="shared" si="31"/>
        <v>3.0271040940434979E-3</v>
      </c>
      <c r="X250" s="24">
        <v>3.9196879892767766E-2</v>
      </c>
      <c r="Y250" s="24">
        <f t="shared" si="32"/>
        <v>3.596081000662732E-2</v>
      </c>
      <c r="Z250" s="23">
        <f t="shared" si="33"/>
        <v>2.9524197774934979E-3</v>
      </c>
      <c r="AA250" s="36"/>
    </row>
    <row r="251" spans="15:27" ht="13.9" customHeight="1" x14ac:dyDescent="0.3">
      <c r="O251" s="12">
        <f t="shared" si="27"/>
        <v>19.833333333333332</v>
      </c>
      <c r="P251" s="13">
        <v>238</v>
      </c>
      <c r="Q251" s="22">
        <v>3.5600775706209786E-2</v>
      </c>
      <c r="R251" s="19">
        <f t="shared" si="28"/>
        <v>3.2618824466589258E-2</v>
      </c>
      <c r="S251" s="22">
        <v>3.5604411220825583E-2</v>
      </c>
      <c r="T251" s="19">
        <f t="shared" si="29"/>
        <v>3.2200855800429196E-2</v>
      </c>
      <c r="U251" s="24">
        <v>4.0082996019556782E-2</v>
      </c>
      <c r="V251" s="24">
        <f t="shared" si="30"/>
        <v>3.6842876185078532E-2</v>
      </c>
      <c r="W251" s="23">
        <f t="shared" si="31"/>
        <v>3.0233050230248359E-3</v>
      </c>
      <c r="X251" s="24">
        <v>3.9183261835154859E-2</v>
      </c>
      <c r="Y251" s="24">
        <f t="shared" si="32"/>
        <v>3.5912468050311563E-2</v>
      </c>
      <c r="Z251" s="23">
        <f t="shared" si="33"/>
        <v>2.9484477254586583E-3</v>
      </c>
      <c r="AA251" s="36"/>
    </row>
    <row r="252" spans="15:27" ht="13.9" customHeight="1" x14ac:dyDescent="0.3">
      <c r="O252" s="12">
        <f t="shared" si="27"/>
        <v>19.916666666666668</v>
      </c>
      <c r="P252" s="13">
        <v>239</v>
      </c>
      <c r="Q252" s="22">
        <v>3.5588281000519029E-2</v>
      </c>
      <c r="R252" s="19">
        <f t="shared" si="28"/>
        <v>3.2588593075803196E-2</v>
      </c>
      <c r="S252" s="22">
        <v>3.5590147048494503E-2</v>
      </c>
      <c r="T252" s="19">
        <f t="shared" si="29"/>
        <v>3.214399559385317E-2</v>
      </c>
      <c r="U252" s="24">
        <v>4.0069417960763243E-2</v>
      </c>
      <c r="V252" s="24">
        <f t="shared" si="30"/>
        <v>3.6797660180945657E-2</v>
      </c>
      <c r="W252" s="23">
        <f t="shared" si="31"/>
        <v>3.0195831266270901E-3</v>
      </c>
      <c r="X252" s="24">
        <v>3.9169555013556456E-2</v>
      </c>
      <c r="Y252" s="24">
        <f t="shared" si="32"/>
        <v>3.5865012654939799E-2</v>
      </c>
      <c r="Z252" s="23">
        <f t="shared" si="33"/>
        <v>2.9445475194391779E-3</v>
      </c>
      <c r="AA252" s="36"/>
    </row>
    <row r="253" spans="15:27" ht="13.9" customHeight="1" x14ac:dyDescent="0.3">
      <c r="O253" s="12">
        <f t="shared" si="27"/>
        <v>20</v>
      </c>
      <c r="P253" s="13">
        <v>240</v>
      </c>
      <c r="Q253" s="22">
        <v>3.5575764239559549E-2</v>
      </c>
      <c r="R253" s="19">
        <f t="shared" si="28"/>
        <v>3.2559455007796112E-2</v>
      </c>
      <c r="S253" s="22">
        <v>3.5575764239555552E-2</v>
      </c>
      <c r="T253" s="19">
        <f t="shared" si="29"/>
        <v>3.208845613149891E-2</v>
      </c>
      <c r="U253" s="24">
        <v>4.0055764239554259E-2</v>
      </c>
      <c r="V253" s="24">
        <f t="shared" si="30"/>
        <v>3.675372457582049E-2</v>
      </c>
      <c r="W253" s="23">
        <f t="shared" si="31"/>
        <v>3.0159379709682188E-3</v>
      </c>
      <c r="X253" s="24">
        <v>3.9155764239567015E-2</v>
      </c>
      <c r="Y253" s="24">
        <f t="shared" si="32"/>
        <v>3.5818842101093651E-2</v>
      </c>
      <c r="Z253" s="23">
        <f t="shared" si="33"/>
        <v>2.9407186784526917E-3</v>
      </c>
      <c r="AA253" s="36"/>
    </row>
    <row r="254" spans="15:27" ht="13.9" customHeight="1" x14ac:dyDescent="0.3">
      <c r="O254" s="12">
        <f t="shared" si="27"/>
        <v>20.083333333333332</v>
      </c>
      <c r="P254" s="13">
        <v>241</v>
      </c>
      <c r="Q254" s="22">
        <v>3.55632302466804E-2</v>
      </c>
      <c r="R254" s="19">
        <f t="shared" si="28"/>
        <v>3.2530795197829754E-2</v>
      </c>
      <c r="S254" s="22">
        <v>3.5561269763856096E-2</v>
      </c>
      <c r="T254" s="19">
        <f t="shared" si="29"/>
        <v>3.2037069269880147E-2</v>
      </c>
      <c r="U254" s="24">
        <v>4.0042041124469296E-2</v>
      </c>
      <c r="V254" s="24">
        <f t="shared" si="30"/>
        <v>3.671239079920352E-2</v>
      </c>
      <c r="W254" s="23">
        <f t="shared" si="31"/>
        <v>3.0123958969929809E-3</v>
      </c>
      <c r="X254" s="24">
        <v>3.9141895903170631E-2</v>
      </c>
      <c r="Y254" s="24">
        <f t="shared" si="32"/>
        <v>3.5775565672638621E-2</v>
      </c>
      <c r="Z254" s="23">
        <f t="shared" si="33"/>
        <v>2.9369933479397314E-3</v>
      </c>
      <c r="AA254" s="36"/>
    </row>
    <row r="255" spans="15:27" ht="13.9" customHeight="1" x14ac:dyDescent="0.3">
      <c r="O255" s="12">
        <f t="shared" si="27"/>
        <v>20.166666666666668</v>
      </c>
      <c r="P255" s="13">
        <v>242</v>
      </c>
      <c r="Q255" s="22">
        <v>3.5550681216648394E-2</v>
      </c>
      <c r="R255" s="19">
        <f t="shared" si="28"/>
        <v>3.2502458478188556E-2</v>
      </c>
      <c r="S255" s="22">
        <v>3.554668221834989E-2</v>
      </c>
      <c r="T255" s="19">
        <f t="shared" si="29"/>
        <v>3.1990524336400927E-2</v>
      </c>
      <c r="U255" s="24">
        <v>4.0028260258765824E-2</v>
      </c>
      <c r="V255" s="24">
        <f t="shared" si="30"/>
        <v>3.6673981808617251E-2</v>
      </c>
      <c r="W255" s="23">
        <f t="shared" si="31"/>
        <v>3.0090634559543084E-3</v>
      </c>
      <c r="X255" s="24">
        <v>3.9127962960639362E-2</v>
      </c>
      <c r="Y255" s="24">
        <f t="shared" si="32"/>
        <v>3.5735576509332123E-2</v>
      </c>
      <c r="Z255" s="23">
        <f t="shared" si="33"/>
        <v>2.9335013954512323E-3</v>
      </c>
      <c r="AA255" s="36"/>
    </row>
    <row r="256" spans="15:27" ht="13.9" customHeight="1" x14ac:dyDescent="0.3">
      <c r="O256" s="12">
        <f t="shared" si="27"/>
        <v>20.25</v>
      </c>
      <c r="P256" s="13">
        <v>243</v>
      </c>
      <c r="Q256" s="22">
        <v>3.5538118667744367E-2</v>
      </c>
      <c r="R256" s="19">
        <f t="shared" si="28"/>
        <v>3.2474442951255345E-2</v>
      </c>
      <c r="S256" s="22">
        <v>3.5532022741965097E-2</v>
      </c>
      <c r="T256" s="19">
        <f t="shared" si="29"/>
        <v>3.1948798549869872E-2</v>
      </c>
      <c r="U256" s="24">
        <v>4.0014434428094603E-2</v>
      </c>
      <c r="V256" s="24">
        <f t="shared" si="30"/>
        <v>3.6638488347756182E-2</v>
      </c>
      <c r="W256" s="23">
        <f t="shared" si="31"/>
        <v>3.0059667099162635E-3</v>
      </c>
      <c r="X256" s="24">
        <v>3.9113979778979902E-2</v>
      </c>
      <c r="Y256" s="24">
        <f t="shared" si="32"/>
        <v>3.5698863197009212E-2</v>
      </c>
      <c r="Z256" s="23">
        <f t="shared" si="33"/>
        <v>2.9302745717860734E-3</v>
      </c>
      <c r="AA256" s="36"/>
    </row>
    <row r="257" spans="15:27" ht="13.9" customHeight="1" x14ac:dyDescent="0.3">
      <c r="O257" s="12">
        <f t="shared" si="27"/>
        <v>20.333333333333332</v>
      </c>
      <c r="P257" s="13">
        <v>244</v>
      </c>
      <c r="Q257" s="22">
        <v>3.5525544085604377E-2</v>
      </c>
      <c r="R257" s="19">
        <f t="shared" si="28"/>
        <v>3.2446746734116738E-2</v>
      </c>
      <c r="S257" s="22">
        <v>3.5517312034985649E-2</v>
      </c>
      <c r="T257" s="19">
        <f t="shared" si="29"/>
        <v>3.1911869577561758E-2</v>
      </c>
      <c r="U257" s="24">
        <v>4.0000576171151048E-2</v>
      </c>
      <c r="V257" s="24">
        <f t="shared" si="30"/>
        <v>3.6605901352811276E-2</v>
      </c>
      <c r="W257" s="23">
        <f t="shared" si="31"/>
        <v>3.0031049365661922E-3</v>
      </c>
      <c r="X257" s="24">
        <v>3.9099960443587989E-2</v>
      </c>
      <c r="Y257" s="24">
        <f t="shared" si="32"/>
        <v>3.5665414556457886E-2</v>
      </c>
      <c r="Z257" s="23">
        <f t="shared" si="33"/>
        <v>2.9273119840156347E-3</v>
      </c>
      <c r="AA257" s="36"/>
    </row>
    <row r="258" spans="15:27" ht="13.9" customHeight="1" x14ac:dyDescent="0.3">
      <c r="O258" s="12">
        <f t="shared" si="27"/>
        <v>20.416666666666668</v>
      </c>
      <c r="P258" s="13">
        <v>245</v>
      </c>
      <c r="Q258" s="22">
        <v>3.5512958923944904E-2</v>
      </c>
      <c r="R258" s="19">
        <f t="shared" si="28"/>
        <v>3.2419367959803269E-2</v>
      </c>
      <c r="S258" s="22">
        <v>3.5502570369543074E-2</v>
      </c>
      <c r="T258" s="19">
        <f t="shared" si="29"/>
        <v>3.1879715550338528E-2</v>
      </c>
      <c r="U258" s="24">
        <v>3.9986697785394876E-2</v>
      </c>
      <c r="V258" s="24">
        <f t="shared" si="30"/>
        <v>3.6576211956164784E-2</v>
      </c>
      <c r="W258" s="23">
        <f t="shared" si="31"/>
        <v>3.0004774272009982E-3</v>
      </c>
      <c r="X258" s="24">
        <v>3.9085918764820482E-2</v>
      </c>
      <c r="Y258" s="24">
        <f t="shared" si="32"/>
        <v>3.5635219650406169E-2</v>
      </c>
      <c r="Z258" s="23">
        <f t="shared" si="33"/>
        <v>2.9246127557518431E-3</v>
      </c>
      <c r="AA258" s="36"/>
    </row>
    <row r="259" spans="15:27" ht="13.9" customHeight="1" x14ac:dyDescent="0.3">
      <c r="O259" s="12">
        <f t="shared" si="27"/>
        <v>20.5</v>
      </c>
      <c r="P259" s="13">
        <v>246</v>
      </c>
      <c r="Q259" s="22">
        <v>3.5500364605274282E-2</v>
      </c>
      <c r="R259" s="19">
        <f t="shared" si="28"/>
        <v>3.2392303751954676E-2</v>
      </c>
      <c r="S259" s="22">
        <v>3.5487817599921589E-2</v>
      </c>
      <c r="T259" s="19">
        <f t="shared" si="29"/>
        <v>3.1852315079406335E-2</v>
      </c>
      <c r="U259" s="24">
        <v>3.9972811332648739E-2</v>
      </c>
      <c r="V259" s="24">
        <f t="shared" si="30"/>
        <v>3.654941149567037E-2</v>
      </c>
      <c r="W259" s="23">
        <f t="shared" si="31"/>
        <v>2.9980834870446671E-3</v>
      </c>
      <c r="X259" s="24">
        <v>3.9071868284440647E-2</v>
      </c>
      <c r="Y259" s="24">
        <f t="shared" si="32"/>
        <v>3.560826779264703E-2</v>
      </c>
      <c r="Z259" s="23">
        <f t="shared" si="33"/>
        <v>2.9221760277389208E-3</v>
      </c>
      <c r="AA259" s="36"/>
    </row>
    <row r="260" spans="15:27" ht="13.9" customHeight="1" x14ac:dyDescent="0.3">
      <c r="O260" s="12">
        <f t="shared" si="27"/>
        <v>20.583333333333332</v>
      </c>
      <c r="P260" s="13">
        <v>247</v>
      </c>
      <c r="Q260" s="22">
        <v>3.5487762517424359E-2</v>
      </c>
      <c r="R260" s="19">
        <f t="shared" si="28"/>
        <v>3.2365548173300951E-2</v>
      </c>
      <c r="S260" s="22">
        <v>3.5473073172689329E-2</v>
      </c>
      <c r="T260" s="19">
        <f t="shared" si="29"/>
        <v>3.1829647268669881E-2</v>
      </c>
      <c r="U260" s="24">
        <v>3.9958928644600489E-2</v>
      </c>
      <c r="V260" s="24">
        <f t="shared" si="30"/>
        <v>3.6525491516774977E-2</v>
      </c>
      <c r="W260" s="23">
        <f t="shared" si="31"/>
        <v>2.9959224360167624E-3</v>
      </c>
      <c r="X260" s="24">
        <v>3.9057822281944876E-2</v>
      </c>
      <c r="Y260" s="24">
        <f t="shared" si="32"/>
        <v>3.5584548552822115E-2</v>
      </c>
      <c r="Z260" s="23">
        <f t="shared" si="33"/>
        <v>2.9200009586169973E-3</v>
      </c>
      <c r="AA260" s="36"/>
    </row>
    <row r="261" spans="15:27" ht="13.9" customHeight="1" x14ac:dyDescent="0.3">
      <c r="O261" s="12">
        <f t="shared" si="27"/>
        <v>20.666666666666668</v>
      </c>
      <c r="P261" s="13">
        <v>248</v>
      </c>
      <c r="Q261" s="22">
        <v>3.5475154001868292E-2</v>
      </c>
      <c r="R261" s="19">
        <f t="shared" si="28"/>
        <v>3.2339098380906206E-2</v>
      </c>
      <c r="S261" s="22">
        <v>3.5458356136642166E-2</v>
      </c>
      <c r="T261" s="19">
        <f t="shared" si="29"/>
        <v>3.1811691731836289E-2</v>
      </c>
      <c r="U261" s="24">
        <v>3.9945061328183318E-2</v>
      </c>
      <c r="V261" s="24">
        <f t="shared" si="30"/>
        <v>3.650444378176565E-2</v>
      </c>
      <c r="W261" s="23">
        <f t="shared" si="31"/>
        <v>2.9939936089240504E-3</v>
      </c>
      <c r="X261" s="24">
        <v>3.9043793780761282E-2</v>
      </c>
      <c r="Y261" s="24">
        <f t="shared" si="32"/>
        <v>3.5564051765212712E-2</v>
      </c>
      <c r="Z261" s="23">
        <f t="shared" si="33"/>
        <v>2.9180867253355558E-3</v>
      </c>
      <c r="AA261" s="36"/>
    </row>
    <row r="262" spans="15:27" ht="13.9" customHeight="1" x14ac:dyDescent="0.3">
      <c r="O262" s="12">
        <f t="shared" si="27"/>
        <v>20.75</v>
      </c>
      <c r="P262" s="13">
        <v>249</v>
      </c>
      <c r="Q262" s="22">
        <v>3.5462540367113382E-2</v>
      </c>
      <c r="R262" s="19">
        <f t="shared" si="28"/>
        <v>3.2312952572484788E-2</v>
      </c>
      <c r="S262" s="22">
        <v>3.5443685152584781E-2</v>
      </c>
      <c r="T262" s="19">
        <f t="shared" si="29"/>
        <v>3.179842860593185E-2</v>
      </c>
      <c r="U262" s="24">
        <v>3.9931220770865972E-2</v>
      </c>
      <c r="V262" s="24">
        <f t="shared" si="30"/>
        <v>3.6486260272557969E-2</v>
      </c>
      <c r="W262" s="23">
        <f t="shared" si="31"/>
        <v>2.9922963562238891E-3</v>
      </c>
      <c r="X262" s="24">
        <v>3.90297955543355E-2</v>
      </c>
      <c r="Y262" s="24">
        <f t="shared" si="32"/>
        <v>3.5546767535761692E-2</v>
      </c>
      <c r="Z262" s="23">
        <f t="shared" si="33"/>
        <v>2.9164325238892896E-3</v>
      </c>
      <c r="AA262" s="36"/>
    </row>
    <row r="263" spans="15:27" ht="13.9" customHeight="1" x14ac:dyDescent="0.3">
      <c r="O263" s="12">
        <f t="shared" si="27"/>
        <v>20.833333333333332</v>
      </c>
      <c r="P263" s="13">
        <v>250</v>
      </c>
      <c r="Q263" s="22">
        <v>3.5449922893534769E-2</v>
      </c>
      <c r="R263" s="19">
        <f t="shared" si="28"/>
        <v>3.2287108961879252E-2</v>
      </c>
      <c r="S263" s="22">
        <v>3.5429078502937417E-2</v>
      </c>
      <c r="T263" s="19">
        <f t="shared" si="29"/>
        <v>3.1789838565008388E-2</v>
      </c>
      <c r="U263" s="24">
        <v>3.9917418145829497E-2</v>
      </c>
      <c r="V263" s="24">
        <f t="shared" si="30"/>
        <v>3.6470933198196942E-2</v>
      </c>
      <c r="W263" s="23">
        <f t="shared" si="31"/>
        <v>2.9908300442678115E-3</v>
      </c>
      <c r="X263" s="24">
        <v>3.9015840132101909E-2</v>
      </c>
      <c r="Y263" s="24">
        <f t="shared" si="32"/>
        <v>3.5532686248457512E-2</v>
      </c>
      <c r="Z263" s="23">
        <f t="shared" si="33"/>
        <v>2.9150375699089626E-3</v>
      </c>
      <c r="AA263" s="36"/>
    </row>
    <row r="264" spans="15:27" ht="13.9" customHeight="1" x14ac:dyDescent="0.3">
      <c r="O264" s="12">
        <f t="shared" si="27"/>
        <v>20.916666666666668</v>
      </c>
      <c r="P264" s="13">
        <v>251</v>
      </c>
      <c r="Q264" s="22">
        <v>3.5437302833998041E-2</v>
      </c>
      <c r="R264" s="19">
        <f t="shared" si="28"/>
        <v>3.2261565778231693E-2</v>
      </c>
      <c r="S264" s="22">
        <v>3.5414554101175666E-2</v>
      </c>
      <c r="T264" s="19">
        <f t="shared" si="29"/>
        <v>3.178590283573679E-2</v>
      </c>
      <c r="U264" s="24">
        <v>3.9903664417051843E-2</v>
      </c>
      <c r="V264" s="24">
        <f t="shared" si="30"/>
        <v>3.645845499979794E-2</v>
      </c>
      <c r="W264" s="23">
        <f t="shared" si="31"/>
        <v>2.9895940559245826E-3</v>
      </c>
      <c r="X264" s="24">
        <v>3.9001939805341168E-2</v>
      </c>
      <c r="Y264" s="24">
        <f t="shared" si="32"/>
        <v>3.5521798572110796E-2</v>
      </c>
      <c r="Z264" s="23">
        <f t="shared" si="33"/>
        <v>2.9139010992020875E-3</v>
      </c>
      <c r="AA264" s="36"/>
    </row>
    <row r="265" spans="15:27" ht="13.9" customHeight="1" x14ac:dyDescent="0.3">
      <c r="O265" s="12">
        <f t="shared" si="27"/>
        <v>21</v>
      </c>
      <c r="P265" s="13">
        <v>252</v>
      </c>
      <c r="Q265" s="22">
        <v>3.5424681414465198E-2</v>
      </c>
      <c r="R265" s="19">
        <f t="shared" si="28"/>
        <v>3.2236320256970652E-2</v>
      </c>
      <c r="S265" s="22">
        <v>3.5400129501113042E-2</v>
      </c>
      <c r="T265" s="19">
        <f t="shared" si="29"/>
        <v>3.1786603210176789E-2</v>
      </c>
      <c r="U265" s="24">
        <v>3.9889970344293202E-2</v>
      </c>
      <c r="V265" s="24">
        <f t="shared" si="30"/>
        <v>3.6448818355973245E-2</v>
      </c>
      <c r="W265" s="23">
        <f t="shared" si="31"/>
        <v>2.9885877909949787E-3</v>
      </c>
      <c r="X265" s="24">
        <v>3.8988106632927177E-2</v>
      </c>
      <c r="Y265" s="24">
        <f t="shared" si="32"/>
        <v>3.5514095468382356E-2</v>
      </c>
      <c r="Z265" s="23">
        <f t="shared" si="33"/>
        <v>2.913022368322471E-3</v>
      </c>
      <c r="AA265" s="36"/>
    </row>
    <row r="266" spans="15:27" ht="13.9" customHeight="1" x14ac:dyDescent="0.3">
      <c r="O266" s="12">
        <f t="shared" si="27"/>
        <v>21.083333333333332</v>
      </c>
      <c r="P266" s="13">
        <v>253</v>
      </c>
      <c r="Q266" s="22">
        <v>3.541205983058493E-2</v>
      </c>
      <c r="R266" s="19">
        <f t="shared" si="28"/>
        <v>3.2211366626843096E-2</v>
      </c>
      <c r="S266" s="22">
        <v>3.5385821906021464E-2</v>
      </c>
      <c r="T266" s="19">
        <f t="shared" si="29"/>
        <v>3.1791922060353528E-2</v>
      </c>
      <c r="U266" s="24">
        <v>3.9876346487987213E-2</v>
      </c>
      <c r="V266" s="24">
        <f t="shared" si="30"/>
        <v>3.6442016188901416E-2</v>
      </c>
      <c r="W266" s="23">
        <f t="shared" si="31"/>
        <v>2.9878106666665349E-3</v>
      </c>
      <c r="X266" s="24">
        <v>3.8974352446971672E-2</v>
      </c>
      <c r="Y266" s="24">
        <f t="shared" si="32"/>
        <v>3.5509568198004438E-2</v>
      </c>
      <c r="Z266" s="23">
        <f t="shared" si="33"/>
        <v>2.9124006552410098E-3</v>
      </c>
      <c r="AA266" s="36"/>
    </row>
    <row r="267" spans="15:27" ht="13.9" customHeight="1" x14ac:dyDescent="0.3">
      <c r="O267" s="12">
        <f t="shared" si="27"/>
        <v>21.166666666666668</v>
      </c>
      <c r="P267" s="13">
        <v>254</v>
      </c>
      <c r="Q267" s="22">
        <v>3.5399439236414088E-2</v>
      </c>
      <c r="R267" s="19">
        <f t="shared" si="28"/>
        <v>3.2186702155512004E-2</v>
      </c>
      <c r="S267" s="22">
        <v>3.5371648177598303E-2</v>
      </c>
      <c r="T267" s="19">
        <f t="shared" si="29"/>
        <v>3.1801842351881549E-2</v>
      </c>
      <c r="U267" s="24">
        <v>3.9862803214041564E-2</v>
      </c>
      <c r="V267" s="24">
        <f t="shared" si="30"/>
        <v>3.6438041669408783E-2</v>
      </c>
      <c r="W267" s="23">
        <f t="shared" si="31"/>
        <v>2.9872621180180303E-3</v>
      </c>
      <c r="X267" s="24">
        <v>3.8960688858363568E-2</v>
      </c>
      <c r="Y267" s="24">
        <f t="shared" si="32"/>
        <v>3.5508208327021951E-2</v>
      </c>
      <c r="Z267" s="23">
        <f t="shared" si="33"/>
        <v>2.9120352598686061E-3</v>
      </c>
      <c r="AA267" s="36"/>
    </row>
    <row r="268" spans="15:27" ht="13.9" customHeight="1" x14ac:dyDescent="0.3">
      <c r="O268" s="12">
        <f t="shared" si="27"/>
        <v>21.25</v>
      </c>
      <c r="P268" s="13">
        <v>255</v>
      </c>
      <c r="Q268" s="22">
        <v>3.5386820757185689E-2</v>
      </c>
      <c r="R268" s="19">
        <f t="shared" si="28"/>
        <v>3.2162325137143233E-2</v>
      </c>
      <c r="S268" s="22">
        <v>3.5357624844782887E-2</v>
      </c>
      <c r="T268" s="19">
        <f t="shared" si="29"/>
        <v>3.1816347657101618E-2</v>
      </c>
      <c r="U268" s="24">
        <v>3.9849350698547559E-2</v>
      </c>
      <c r="V268" s="24">
        <f t="shared" si="30"/>
        <v>3.6436888222377783E-2</v>
      </c>
      <c r="W268" s="23">
        <f t="shared" si="31"/>
        <v>2.9869415984449255E-3</v>
      </c>
      <c r="X268" s="24">
        <v>3.8947127262203951E-2</v>
      </c>
      <c r="Y268" s="24">
        <f t="shared" si="32"/>
        <v>3.5510007734754323E-2</v>
      </c>
      <c r="Z268" s="23">
        <f t="shared" si="33"/>
        <v>2.9119255045817471E-3</v>
      </c>
      <c r="AA268" s="36"/>
    </row>
    <row r="269" spans="15:27" ht="13.9" customHeight="1" x14ac:dyDescent="0.3">
      <c r="O269" s="12">
        <f t="shared" si="27"/>
        <v>21.333333333333332</v>
      </c>
      <c r="P269" s="13">
        <v>256</v>
      </c>
      <c r="Q269" s="22">
        <v>3.5374205493892585E-2</v>
      </c>
      <c r="R269" s="19">
        <f t="shared" si="28"/>
        <v>3.2138233878398204E-2</v>
      </c>
      <c r="S269" s="22">
        <v>3.534376811242268E-2</v>
      </c>
      <c r="T269" s="19">
        <f t="shared" si="29"/>
        <v>3.1835422168964067E-2</v>
      </c>
      <c r="U269" s="24">
        <v>3.9835998932402639E-2</v>
      </c>
      <c r="V269" s="24">
        <f t="shared" si="30"/>
        <v>3.6438549532888054E-2</v>
      </c>
      <c r="W269" s="23">
        <f t="shared" si="31"/>
        <v>2.9868485801092248E-3</v>
      </c>
      <c r="X269" s="24">
        <v>3.8933678843147579E-2</v>
      </c>
      <c r="Y269" s="24">
        <f t="shared" si="32"/>
        <v>3.5514958619729864E-2</v>
      </c>
      <c r="Z269" s="23">
        <f t="shared" si="33"/>
        <v>2.9120707348837538E-3</v>
      </c>
      <c r="AA269" s="36"/>
    </row>
    <row r="270" spans="15:27" ht="13.9" customHeight="1" x14ac:dyDescent="0.3">
      <c r="O270" s="12">
        <f t="shared" ref="O270:O333" si="34">P270/12</f>
        <v>21.416666666666668</v>
      </c>
      <c r="P270" s="13">
        <v>257</v>
      </c>
      <c r="Q270" s="22">
        <v>3.5361594523807272E-2</v>
      </c>
      <c r="R270" s="19">
        <f t="shared" ref="R270:R333" si="35">(1+Q271)^P271/(1+Q270)^P270-1</f>
        <v>3.2114426701825183E-2</v>
      </c>
      <c r="S270" s="22">
        <v>3.533009386979602E-2</v>
      </c>
      <c r="T270" s="19">
        <f t="shared" ref="T270:T333" si="36">(1+S271)^P271/(1+S270)^P270-1</f>
        <v>3.1859050714377446E-2</v>
      </c>
      <c r="U270" s="24">
        <v>3.9822757725850311E-2</v>
      </c>
      <c r="V270" s="24">
        <f t="shared" ref="V270:V333" si="37">(1+U271)^P271/(1+U270)^P270-1</f>
        <v>3.644301955100171E-2</v>
      </c>
      <c r="W270" s="23">
        <f t="shared" si="31"/>
        <v>2.986982554448625E-3</v>
      </c>
      <c r="X270" s="24">
        <v>3.8920354580644023E-2</v>
      </c>
      <c r="Y270" s="24">
        <f t="shared" si="32"/>
        <v>3.5523053506864466E-2</v>
      </c>
      <c r="Z270" s="23">
        <f t="shared" si="33"/>
        <v>2.9124703199017166E-3</v>
      </c>
      <c r="AA270" s="36"/>
    </row>
    <row r="271" spans="15:27" ht="13.9" customHeight="1" x14ac:dyDescent="0.3">
      <c r="O271" s="12">
        <f t="shared" si="34"/>
        <v>21.5</v>
      </c>
      <c r="P271" s="13">
        <v>258</v>
      </c>
      <c r="Q271" s="22">
        <v>3.5348988901001688E-2</v>
      </c>
      <c r="R271" s="19">
        <f t="shared" si="35"/>
        <v>3.2090900953874568E-2</v>
      </c>
      <c r="S271" s="22">
        <v>3.5316617698994079E-2</v>
      </c>
      <c r="T271" s="19">
        <f t="shared" si="36"/>
        <v>3.1887218767636005E-2</v>
      </c>
      <c r="U271" s="24">
        <v>3.9809636712933916E-2</v>
      </c>
      <c r="V271" s="24">
        <f t="shared" si="37"/>
        <v>3.6450292496825298E-2</v>
      </c>
      <c r="W271" s="23">
        <f t="shared" ref="W271:W334" si="38">(1+V270)^(1/12)-1</f>
        <v>2.9873430325750849E-3</v>
      </c>
      <c r="X271" s="24">
        <v>3.8907165254087994E-2</v>
      </c>
      <c r="Y271" s="24">
        <f t="shared" ref="Y271:Y334" si="39">(1+X272)^P272/(1+X271)^P271-1</f>
        <v>3.5534285253331799E-2</v>
      </c>
      <c r="Z271" s="23">
        <f t="shared" ref="Z271:Z334" si="40">(1+Y270)^(1/12)-1</f>
        <v>2.9131236529849058E-3</v>
      </c>
      <c r="AA271" s="36"/>
    </row>
    <row r="272" spans="15:27" ht="13.9" customHeight="1" x14ac:dyDescent="0.3">
      <c r="O272" s="12">
        <f t="shared" si="34"/>
        <v>21.583333333333332</v>
      </c>
      <c r="P272" s="13">
        <v>259</v>
      </c>
      <c r="Q272" s="22">
        <v>3.5336389653013667E-2</v>
      </c>
      <c r="R272" s="19">
        <f t="shared" si="35"/>
        <v>3.2067651024544563E-2</v>
      </c>
      <c r="S272" s="22">
        <v>3.5303354883164051E-2</v>
      </c>
      <c r="T272" s="19">
        <f t="shared" si="36"/>
        <v>3.1919912462972322E-2</v>
      </c>
      <c r="U272" s="24">
        <v>3.9796645355869575E-2</v>
      </c>
      <c r="V272" s="24">
        <f t="shared" si="37"/>
        <v>3.6460362867611229E-2</v>
      </c>
      <c r="W272" s="23">
        <f t="shared" si="38"/>
        <v>2.987929545694934E-3</v>
      </c>
      <c r="X272" s="24">
        <v>3.8894121447874408E-2</v>
      </c>
      <c r="Y272" s="24">
        <f t="shared" si="39"/>
        <v>3.5548647056873328E-2</v>
      </c>
      <c r="Z272" s="23">
        <f t="shared" si="40"/>
        <v>2.9140301521928258E-3</v>
      </c>
      <c r="AA272" s="36"/>
    </row>
    <row r="273" spans="15:27" ht="13.9" customHeight="1" x14ac:dyDescent="0.3">
      <c r="O273" s="12">
        <f t="shared" si="34"/>
        <v>21.666666666666668</v>
      </c>
      <c r="P273" s="13">
        <v>260</v>
      </c>
      <c r="Q273" s="22">
        <v>3.5323797769949428E-2</v>
      </c>
      <c r="R273" s="19">
        <f t="shared" si="35"/>
        <v>3.2044674292141195E-2</v>
      </c>
      <c r="S273" s="22">
        <v>3.5290320414615994E-2</v>
      </c>
      <c r="T273" s="19">
        <f t="shared" si="36"/>
        <v>3.1957118608707979E-2</v>
      </c>
      <c r="U273" s="24">
        <v>3.9783792949345642E-2</v>
      </c>
      <c r="V273" s="24">
        <f t="shared" si="37"/>
        <v>3.6473225440704082E-2</v>
      </c>
      <c r="W273" s="23">
        <f t="shared" si="38"/>
        <v>2.9887416456928495E-3</v>
      </c>
      <c r="X273" s="24">
        <v>3.8881233556369743E-2</v>
      </c>
      <c r="Y273" s="24">
        <f t="shared" si="39"/>
        <v>3.556613246029694E-2</v>
      </c>
      <c r="Z273" s="23">
        <f t="shared" si="40"/>
        <v>2.9151892609831087E-3</v>
      </c>
      <c r="AA273" s="36"/>
    </row>
    <row r="274" spans="15:27" ht="13.9" customHeight="1" x14ac:dyDescent="0.3">
      <c r="O274" s="12">
        <f t="shared" si="34"/>
        <v>21.75</v>
      </c>
      <c r="P274" s="13">
        <v>261</v>
      </c>
      <c r="Q274" s="22">
        <v>3.5311214216684483E-2</v>
      </c>
      <c r="R274" s="19">
        <f t="shared" si="35"/>
        <v>3.2021969141343254E-2</v>
      </c>
      <c r="S274" s="22">
        <v>3.5277529002800456E-2</v>
      </c>
      <c r="T274" s="19">
        <f t="shared" si="36"/>
        <v>3.1998824699351669E-2</v>
      </c>
      <c r="U274" s="24">
        <v>3.9771088624736883E-2</v>
      </c>
      <c r="V274" s="24">
        <f t="shared" si="37"/>
        <v>3.648887528172895E-2</v>
      </c>
      <c r="W274" s="23">
        <f t="shared" si="38"/>
        <v>2.9897789053798807E-3</v>
      </c>
      <c r="X274" s="24">
        <v>3.8868511788789695E-2</v>
      </c>
      <c r="Y274" s="24">
        <f t="shared" si="39"/>
        <v>3.5586735360470856E-2</v>
      </c>
      <c r="Z274" s="23">
        <f t="shared" si="40"/>
        <v>2.9166004485874364E-3</v>
      </c>
      <c r="AA274" s="36"/>
    </row>
    <row r="275" spans="15:27" ht="13.9" customHeight="1" x14ac:dyDescent="0.3">
      <c r="O275" s="12">
        <f t="shared" si="34"/>
        <v>21.833333333333332</v>
      </c>
      <c r="P275" s="13">
        <v>262</v>
      </c>
      <c r="Q275" s="22">
        <v>3.5298639937197951E-2</v>
      </c>
      <c r="R275" s="19">
        <f t="shared" si="35"/>
        <v>3.1999533971142746E-2</v>
      </c>
      <c r="S275" s="22">
        <v>3.5264995082153971E-2</v>
      </c>
      <c r="T275" s="19">
        <f t="shared" si="36"/>
        <v>3.2045018929574232E-2</v>
      </c>
      <c r="U275" s="24">
        <v>3.9758541354254051E-2</v>
      </c>
      <c r="V275" s="24">
        <f t="shared" si="37"/>
        <v>3.6507307747216888E-2</v>
      </c>
      <c r="W275" s="23">
        <f t="shared" si="38"/>
        <v>2.9910409191635789E-3</v>
      </c>
      <c r="X275" s="24">
        <v>3.8855966173999779E-2</v>
      </c>
      <c r="Y275" s="24">
        <f t="shared" si="39"/>
        <v>3.5610450012562023E-2</v>
      </c>
      <c r="Z275" s="23">
        <f t="shared" si="40"/>
        <v>2.9182632107500606E-3</v>
      </c>
      <c r="AA275" s="36"/>
    </row>
    <row r="276" spans="15:27" ht="13.9" customHeight="1" x14ac:dyDescent="0.3">
      <c r="O276" s="12">
        <f t="shared" si="34"/>
        <v>21.916666666666668</v>
      </c>
      <c r="P276" s="13">
        <v>263</v>
      </c>
      <c r="Q276" s="22">
        <v>3.528607585502308E-2</v>
      </c>
      <c r="R276" s="19">
        <f t="shared" si="35"/>
        <v>3.1977367196205808E-2</v>
      </c>
      <c r="S276" s="22">
        <v>3.5252732819821775E-2</v>
      </c>
      <c r="T276" s="19">
        <f t="shared" si="36"/>
        <v>3.2095690207013083E-2</v>
      </c>
      <c r="U276" s="24">
        <v>3.9746159955010185E-2</v>
      </c>
      <c r="V276" s="24">
        <f t="shared" si="37"/>
        <v>3.6528518491921957E-2</v>
      </c>
      <c r="W276" s="23">
        <f t="shared" si="38"/>
        <v>2.9925273032678223E-3</v>
      </c>
      <c r="X276" s="24">
        <v>3.8843606565224453E-2</v>
      </c>
      <c r="Y276" s="24">
        <f t="shared" si="39"/>
        <v>3.5637271039143492E-2</v>
      </c>
      <c r="Z276" s="23">
        <f t="shared" si="40"/>
        <v>2.9201770700830743E-3</v>
      </c>
      <c r="AA276" s="36"/>
    </row>
    <row r="277" spans="15:27" ht="13.9" customHeight="1" x14ac:dyDescent="0.3">
      <c r="O277" s="12">
        <f t="shared" si="34"/>
        <v>22</v>
      </c>
      <c r="P277" s="13">
        <v>264</v>
      </c>
      <c r="Q277" s="22">
        <v>3.5273522873693341E-2</v>
      </c>
      <c r="R277" s="19">
        <f t="shared" si="35"/>
        <v>3.1955466269807165E-2</v>
      </c>
      <c r="S277" s="22">
        <v>3.5240756123257722E-2</v>
      </c>
      <c r="T277" s="19">
        <f t="shared" si="36"/>
        <v>3.2150828164242418E-2</v>
      </c>
      <c r="U277" s="24">
        <v>3.9733953093023633E-2</v>
      </c>
      <c r="V277" s="24">
        <f t="shared" si="37"/>
        <v>3.6552503473611608E-2</v>
      </c>
      <c r="W277" s="23">
        <f t="shared" si="38"/>
        <v>2.9942376963305595E-3</v>
      </c>
      <c r="X277" s="24">
        <v>3.8831442644685188E-2</v>
      </c>
      <c r="Y277" s="24">
        <f t="shared" si="39"/>
        <v>3.5667193434574251E-2</v>
      </c>
      <c r="Z277" s="23">
        <f t="shared" si="40"/>
        <v>2.9223415768104832E-3</v>
      </c>
      <c r="AA277" s="36"/>
    </row>
    <row r="278" spans="15:27" ht="13.9" customHeight="1" x14ac:dyDescent="0.3">
      <c r="O278" s="12">
        <f t="shared" si="34"/>
        <v>22.083333333333332</v>
      </c>
      <c r="P278" s="13">
        <v>265</v>
      </c>
      <c r="Q278" s="22">
        <v>3.5260981873479258E-2</v>
      </c>
      <c r="R278" s="19">
        <f t="shared" si="35"/>
        <v>3.1933825740066091E-2</v>
      </c>
      <c r="S278" s="22">
        <v>3.5229078647698975E-2</v>
      </c>
      <c r="T278" s="19">
        <f t="shared" si="36"/>
        <v>3.2210423173939073E-2</v>
      </c>
      <c r="U278" s="24">
        <v>3.9721929287148461E-2</v>
      </c>
      <c r="V278" s="24">
        <f t="shared" si="37"/>
        <v>3.6579258957929683E-2</v>
      </c>
      <c r="W278" s="23">
        <f t="shared" si="38"/>
        <v>2.9961717597983828E-3</v>
      </c>
      <c r="X278" s="24">
        <v>3.8819483928151488E-2</v>
      </c>
      <c r="Y278" s="24">
        <f t="shared" si="39"/>
        <v>3.5700212573108736E-2</v>
      </c>
      <c r="Z278" s="23">
        <f t="shared" si="40"/>
        <v>2.924756309131249E-3</v>
      </c>
      <c r="AA278" s="36"/>
    </row>
    <row r="279" spans="15:27" ht="13.9" customHeight="1" x14ac:dyDescent="0.3">
      <c r="O279" s="12">
        <f t="shared" si="34"/>
        <v>22.166666666666668</v>
      </c>
      <c r="P279" s="13">
        <v>266</v>
      </c>
      <c r="Q279" s="22">
        <v>3.5248453700868598E-2</v>
      </c>
      <c r="R279" s="19">
        <f t="shared" si="35"/>
        <v>3.191244309295227E-2</v>
      </c>
      <c r="S279" s="22">
        <v>3.521771380353278E-2</v>
      </c>
      <c r="T279" s="19">
        <f t="shared" si="36"/>
        <v>3.2274466360070253E-2</v>
      </c>
      <c r="U279" s="24">
        <v>3.9710096912937365E-2</v>
      </c>
      <c r="V279" s="24">
        <f t="shared" si="37"/>
        <v>3.6608781525010459E-2</v>
      </c>
      <c r="W279" s="23">
        <f t="shared" si="38"/>
        <v>2.9983291783228783E-3</v>
      </c>
      <c r="X279" s="24">
        <v>3.8807739769420646E-2</v>
      </c>
      <c r="Y279" s="24">
        <f t="shared" si="39"/>
        <v>3.5736324215226434E-2</v>
      </c>
      <c r="Z279" s="23">
        <f t="shared" si="40"/>
        <v>2.9274208738825358E-3</v>
      </c>
      <c r="AA279" s="36"/>
    </row>
    <row r="280" spans="15:27" ht="13.9" customHeight="1" x14ac:dyDescent="0.3">
      <c r="O280" s="12">
        <f t="shared" si="34"/>
        <v>22.25</v>
      </c>
      <c r="P280" s="13">
        <v>267</v>
      </c>
      <c r="Q280" s="22">
        <v>3.5235939180235709E-2</v>
      </c>
      <c r="R280" s="19">
        <f t="shared" si="35"/>
        <v>3.1891316801679448E-2</v>
      </c>
      <c r="S280" s="22">
        <v>3.5206674763541779E-2</v>
      </c>
      <c r="T280" s="19">
        <f t="shared" si="36"/>
        <v>3.234294961211015E-2</v>
      </c>
      <c r="U280" s="24">
        <v>3.9698464206441075E-2</v>
      </c>
      <c r="V280" s="24">
        <f t="shared" si="37"/>
        <v>3.6641068073989702E-2</v>
      </c>
      <c r="W280" s="23">
        <f t="shared" si="38"/>
        <v>3.0007096603001937E-3</v>
      </c>
      <c r="X280" s="24">
        <v>3.8796219364721551E-2</v>
      </c>
      <c r="Y280" s="24">
        <f t="shared" si="39"/>
        <v>3.5775524514122248E-2</v>
      </c>
      <c r="Z280" s="23">
        <f t="shared" si="40"/>
        <v>2.9303349070561868E-3</v>
      </c>
      <c r="AA280" s="36"/>
    </row>
    <row r="281" spans="15:27" ht="13.9" customHeight="1" x14ac:dyDescent="0.3">
      <c r="O281" s="12">
        <f t="shared" si="34"/>
        <v>22.333333333333332</v>
      </c>
      <c r="P281" s="13">
        <v>268</v>
      </c>
      <c r="Q281" s="22">
        <v>3.5223439117949562E-2</v>
      </c>
      <c r="R281" s="19">
        <f t="shared" si="35"/>
        <v>3.1870445355912436E-2</v>
      </c>
      <c r="S281" s="22">
        <v>3.5195974470042746E-2</v>
      </c>
      <c r="T281" s="19">
        <f t="shared" si="36"/>
        <v>3.2415865597544835E-2</v>
      </c>
      <c r="U281" s="24">
        <v>3.9687039267942259E-2</v>
      </c>
      <c r="V281" s="24">
        <f t="shared" si="37"/>
        <v>3.6676115828247591E-2</v>
      </c>
      <c r="W281" s="23">
        <f t="shared" si="38"/>
        <v>3.0033129382385226E-3</v>
      </c>
      <c r="X281" s="24">
        <v>3.8784931757045893E-2</v>
      </c>
      <c r="Y281" s="24">
        <f t="shared" si="39"/>
        <v>3.5817810022785057E-2</v>
      </c>
      <c r="Z281" s="23">
        <f t="shared" si="40"/>
        <v>2.9334980743283001E-3</v>
      </c>
      <c r="AA281" s="36"/>
    </row>
    <row r="282" spans="15:27" ht="13.9" customHeight="1" x14ac:dyDescent="0.3">
      <c r="O282" s="12">
        <f t="shared" si="34"/>
        <v>22.416666666666668</v>
      </c>
      <c r="P282" s="13">
        <v>269</v>
      </c>
      <c r="Q282" s="22">
        <v>3.5210954302768549E-2</v>
      </c>
      <c r="R282" s="19">
        <f t="shared" si="35"/>
        <v>3.1849827257030672E-2</v>
      </c>
      <c r="S282" s="22">
        <v>3.5185625641913187E-2</v>
      </c>
      <c r="T282" s="19">
        <f t="shared" si="36"/>
        <v>3.24932077753608E-2</v>
      </c>
      <c r="U282" s="24">
        <v>3.9675830065625473E-2</v>
      </c>
      <c r="V282" s="24">
        <f t="shared" si="37"/>
        <v>3.6713922341472749E-2</v>
      </c>
      <c r="W282" s="23">
        <f t="shared" si="38"/>
        <v>3.0061387691846519E-3</v>
      </c>
      <c r="X282" s="24">
        <v>3.8773885840408973E-2</v>
      </c>
      <c r="Y282" s="24">
        <f t="shared" si="39"/>
        <v>3.5863177699673843E-2</v>
      </c>
      <c r="Z282" s="23">
        <f t="shared" si="40"/>
        <v>2.9369100716349905E-3</v>
      </c>
      <c r="AA282" s="36"/>
    </row>
    <row r="283" spans="15:27" ht="13.9" customHeight="1" x14ac:dyDescent="0.3">
      <c r="O283" s="12">
        <f t="shared" si="34"/>
        <v>22.5</v>
      </c>
      <c r="P283" s="13">
        <v>270</v>
      </c>
      <c r="Q283" s="22">
        <v>3.5198485506210186E-2</v>
      </c>
      <c r="R283" s="19">
        <f t="shared" si="35"/>
        <v>3.1829460064550341E-2</v>
      </c>
      <c r="S283" s="22">
        <v>3.5175640781516027E-2</v>
      </c>
      <c r="T283" s="19">
        <f t="shared" si="36"/>
        <v>3.2574970410008453E-2</v>
      </c>
      <c r="U283" s="24">
        <v>3.966484443918894E-2</v>
      </c>
      <c r="V283" s="24">
        <f t="shared" si="37"/>
        <v>3.6754485503733836E-2</v>
      </c>
      <c r="W283" s="23">
        <f t="shared" si="38"/>
        <v>3.0091869352135703E-3</v>
      </c>
      <c r="X283" s="24">
        <v>3.8763090364038799E-2</v>
      </c>
      <c r="Y283" s="24">
        <f t="shared" si="39"/>
        <v>3.5911624917555951E-2</v>
      </c>
      <c r="Z283" s="23">
        <f t="shared" si="40"/>
        <v>2.9405706256317998E-3</v>
      </c>
      <c r="AA283" s="36"/>
    </row>
    <row r="284" spans="15:27" ht="13.9" customHeight="1" x14ac:dyDescent="0.3">
      <c r="O284" s="12">
        <f t="shared" si="34"/>
        <v>22.583333333333332</v>
      </c>
      <c r="P284" s="13">
        <v>271</v>
      </c>
      <c r="Q284" s="22">
        <v>3.5186033479380763E-2</v>
      </c>
      <c r="R284" s="19">
        <f t="shared" si="35"/>
        <v>3.1809338480727201E-2</v>
      </c>
      <c r="S284" s="22">
        <v>3.5166032181521034E-2</v>
      </c>
      <c r="T284" s="19">
        <f t="shared" si="36"/>
        <v>3.2661148583851718E-2</v>
      </c>
      <c r="U284" s="24">
        <v>3.9654090103399264E-2</v>
      </c>
      <c r="V284" s="24">
        <f t="shared" si="37"/>
        <v>3.6797803544992291E-2</v>
      </c>
      <c r="W284" s="23">
        <f t="shared" si="38"/>
        <v>3.0124572439209629E-3</v>
      </c>
      <c r="X284" s="24">
        <v>3.8752553936504563E-2</v>
      </c>
      <c r="Y284" s="24">
        <f t="shared" si="39"/>
        <v>3.5963149468313915E-2</v>
      </c>
      <c r="Z284" s="23">
        <f t="shared" si="40"/>
        <v>2.9444794944095687E-3</v>
      </c>
      <c r="AA284" s="36"/>
    </row>
    <row r="285" spans="15:27" ht="13.9" customHeight="1" x14ac:dyDescent="0.3">
      <c r="O285" s="12">
        <f t="shared" si="34"/>
        <v>22.666666666666668</v>
      </c>
      <c r="P285" s="13">
        <v>272</v>
      </c>
      <c r="Q285" s="22">
        <v>3.5173598942811468E-2</v>
      </c>
      <c r="R285" s="19">
        <f t="shared" si="35"/>
        <v>3.1789460094928668E-2</v>
      </c>
      <c r="S285" s="22">
        <v>3.5156811931625231E-2</v>
      </c>
      <c r="T285" s="19">
        <f t="shared" si="36"/>
        <v>3.2751738210991643E-2</v>
      </c>
      <c r="U285" s="24">
        <v>3.9643574651581082E-2</v>
      </c>
      <c r="V285" s="24">
        <f t="shared" si="37"/>
        <v>3.6843875043188534E-2</v>
      </c>
      <c r="W285" s="23">
        <f t="shared" si="38"/>
        <v>3.0159495287052085E-3</v>
      </c>
      <c r="X285" s="24">
        <v>3.8742285029773393E-2</v>
      </c>
      <c r="Y285" s="24">
        <f t="shared" si="39"/>
        <v>3.6017749570840918E-2</v>
      </c>
      <c r="Z285" s="23">
        <f t="shared" si="40"/>
        <v>2.9486364678814603E-3</v>
      </c>
      <c r="AA285" s="36"/>
    </row>
    <row r="286" spans="15:27" ht="13.9" customHeight="1" x14ac:dyDescent="0.3">
      <c r="O286" s="12">
        <f t="shared" si="34"/>
        <v>22.75</v>
      </c>
      <c r="P286" s="13">
        <v>273</v>
      </c>
      <c r="Q286" s="22">
        <v>3.5161182597627905E-2</v>
      </c>
      <c r="R286" s="19">
        <f t="shared" si="35"/>
        <v>3.1769823468559055E-2</v>
      </c>
      <c r="S286" s="22">
        <v>3.5147991925175814E-2</v>
      </c>
      <c r="T286" s="19">
        <f t="shared" si="36"/>
        <v>3.2846736050841097E-2</v>
      </c>
      <c r="U286" s="24">
        <v>3.9633305559060306E-2</v>
      </c>
      <c r="V286" s="24">
        <f t="shared" si="37"/>
        <v>3.6892698927288192E-2</v>
      </c>
      <c r="W286" s="23">
        <f t="shared" si="38"/>
        <v>3.0196636494195239E-3</v>
      </c>
      <c r="X286" s="24">
        <v>3.8732291983207157E-2</v>
      </c>
      <c r="Y286" s="24">
        <f t="shared" si="39"/>
        <v>3.607542387744278E-2</v>
      </c>
      <c r="Z286" s="23">
        <f t="shared" si="40"/>
        <v>2.95304136841823E-3</v>
      </c>
      <c r="AA286" s="36"/>
    </row>
    <row r="287" spans="15:27" ht="13.9" customHeight="1" x14ac:dyDescent="0.3">
      <c r="O287" s="12">
        <f t="shared" si="34"/>
        <v>22.833333333333332</v>
      </c>
      <c r="P287" s="13">
        <v>274</v>
      </c>
      <c r="Q287" s="22">
        <v>3.5148785129462068E-2</v>
      </c>
      <c r="R287" s="19">
        <f t="shared" si="35"/>
        <v>3.1750427176136187E-2</v>
      </c>
      <c r="S287" s="22">
        <v>3.5139583865698709E-2</v>
      </c>
      <c r="T287" s="19">
        <f t="shared" si="36"/>
        <v>3.2946139723002199E-2</v>
      </c>
      <c r="U287" s="24">
        <v>3.9623290186544091E-2</v>
      </c>
      <c r="V287" s="24">
        <f t="shared" si="37"/>
        <v>3.6944274485364526E-2</v>
      </c>
      <c r="W287" s="23">
        <f t="shared" si="38"/>
        <v>3.0235994926146592E-3</v>
      </c>
      <c r="X287" s="24">
        <v>3.8722583007495093E-2</v>
      </c>
      <c r="Y287" s="24">
        <f t="shared" si="39"/>
        <v>3.6136171481391033E-2</v>
      </c>
      <c r="Z287" s="23">
        <f t="shared" si="40"/>
        <v>2.9576940513622585E-3</v>
      </c>
      <c r="AA287" s="36"/>
    </row>
    <row r="288" spans="15:27" ht="13.9" customHeight="1" x14ac:dyDescent="0.3">
      <c r="O288" s="12">
        <f t="shared" si="34"/>
        <v>22.916666666666668</v>
      </c>
      <c r="P288" s="13">
        <v>275</v>
      </c>
      <c r="Q288" s="22">
        <v>3.5136407208781417E-2</v>
      </c>
      <c r="R288" s="19">
        <f t="shared" si="35"/>
        <v>3.1731269805947315E-2</v>
      </c>
      <c r="S288" s="22">
        <v>3.5131599273339864E-2</v>
      </c>
      <c r="T288" s="19">
        <f t="shared" si="36"/>
        <v>3.3049947719592021E-2</v>
      </c>
      <c r="U288" s="24">
        <v>3.9613535783454834E-2</v>
      </c>
      <c r="V288" s="24">
        <f t="shared" si="37"/>
        <v>3.6998601368553041E-2</v>
      </c>
      <c r="W288" s="23">
        <f t="shared" si="38"/>
        <v>3.0277569721877118E-3</v>
      </c>
      <c r="X288" s="24">
        <v>3.8713166188529158E-2</v>
      </c>
      <c r="Y288" s="24">
        <f t="shared" si="39"/>
        <v>3.6199991923812069E-2</v>
      </c>
      <c r="Z288" s="23">
        <f t="shared" si="40"/>
        <v>2.9625944056321796E-3</v>
      </c>
      <c r="AA288" s="36"/>
    </row>
    <row r="289" spans="15:27" ht="13.9" customHeight="1" x14ac:dyDescent="0.3">
      <c r="O289" s="12">
        <f t="shared" si="34"/>
        <v>23</v>
      </c>
      <c r="P289" s="13">
        <v>276</v>
      </c>
      <c r="Q289" s="22">
        <v>3.5124049491213727E-2</v>
      </c>
      <c r="R289" s="19">
        <f t="shared" si="35"/>
        <v>3.1712349018335084E-2</v>
      </c>
      <c r="S289" s="22">
        <v>3.5124049491210396E-2</v>
      </c>
      <c r="T289" s="19">
        <f t="shared" si="36"/>
        <v>3.3157215591787192E-2</v>
      </c>
      <c r="U289" s="24">
        <v>3.9604049491209103E-2</v>
      </c>
      <c r="V289" s="24">
        <f t="shared" si="37"/>
        <v>3.7055126075279166E-2</v>
      </c>
      <c r="W289" s="23">
        <f t="shared" si="38"/>
        <v>3.0321360296974298E-3</v>
      </c>
      <c r="X289" s="24">
        <v>3.8704049491220083E-2</v>
      </c>
      <c r="Y289" s="24">
        <f t="shared" si="39"/>
        <v>3.626625746308898E-2</v>
      </c>
      <c r="Z289" s="23">
        <f t="shared" si="40"/>
        <v>2.967742354271774E-3</v>
      </c>
      <c r="AA289" s="36"/>
    </row>
    <row r="290" spans="15:27" ht="13.9" customHeight="1" x14ac:dyDescent="0.3">
      <c r="O290" s="12">
        <f t="shared" si="34"/>
        <v>23.083333333333332</v>
      </c>
      <c r="P290" s="13">
        <v>277</v>
      </c>
      <c r="Q290" s="22">
        <v>3.5111712614452895E-2</v>
      </c>
      <c r="R290" s="19">
        <f t="shared" si="35"/>
        <v>3.1693659667353602E-2</v>
      </c>
      <c r="S290" s="22">
        <v>3.5116942277864993E-2</v>
      </c>
      <c r="T290" s="19">
        <f t="shared" si="36"/>
        <v>3.3264173385045614E-2</v>
      </c>
      <c r="U290" s="24">
        <v>3.9594836343277873E-2</v>
      </c>
      <c r="V290" s="24">
        <f t="shared" si="37"/>
        <v>3.7111636729009856E-2</v>
      </c>
      <c r="W290" s="23">
        <f t="shared" si="38"/>
        <v>3.0366920211319925E-3</v>
      </c>
      <c r="X290" s="24">
        <v>3.8695238491744277E-2</v>
      </c>
      <c r="Y290" s="24">
        <f t="shared" si="39"/>
        <v>3.6332459935081163E-2</v>
      </c>
      <c r="Z290" s="23">
        <f t="shared" si="40"/>
        <v>2.9730872242188511E-3</v>
      </c>
      <c r="AA290" s="36"/>
    </row>
    <row r="291" spans="15:27" ht="13.9" customHeight="1" x14ac:dyDescent="0.3">
      <c r="O291" s="12">
        <f t="shared" si="34"/>
        <v>23.166666666666668</v>
      </c>
      <c r="P291" s="13">
        <v>278</v>
      </c>
      <c r="Q291" s="22">
        <v>3.5099397188453008E-2</v>
      </c>
      <c r="R291" s="19">
        <f t="shared" si="35"/>
        <v>3.1675199442778412E-2</v>
      </c>
      <c r="S291" s="22">
        <v>3.5110271691368267E-2</v>
      </c>
      <c r="T291" s="19">
        <f t="shared" si="36"/>
        <v>3.3369892126314138E-2</v>
      </c>
      <c r="U291" s="24">
        <v>3.9585893323978993E-2</v>
      </c>
      <c r="V291" s="24">
        <f t="shared" si="37"/>
        <v>3.7167585438971695E-2</v>
      </c>
      <c r="W291" s="23">
        <f t="shared" si="38"/>
        <v>3.0412466523301873E-3</v>
      </c>
      <c r="X291" s="24">
        <v>3.8686729641661755E-2</v>
      </c>
      <c r="Y291" s="24">
        <f t="shared" si="39"/>
        <v>3.6397978763202055E-2</v>
      </c>
      <c r="Z291" s="23">
        <f t="shared" si="40"/>
        <v>2.9784266944150595E-3</v>
      </c>
      <c r="AA291" s="36"/>
    </row>
    <row r="292" spans="15:27" ht="13.9" customHeight="1" x14ac:dyDescent="0.3">
      <c r="O292" s="12">
        <f t="shared" si="34"/>
        <v>23.25</v>
      </c>
      <c r="P292" s="13">
        <v>279</v>
      </c>
      <c r="Q292" s="22">
        <v>3.5087103806122455E-2</v>
      </c>
      <c r="R292" s="19">
        <f t="shared" si="35"/>
        <v>3.1656966989508817E-2</v>
      </c>
      <c r="S292" s="22">
        <v>3.5104028540668519E-2</v>
      </c>
      <c r="T292" s="19">
        <f t="shared" si="36"/>
        <v>3.3474387825884966E-2</v>
      </c>
      <c r="U292" s="24">
        <v>3.95772154927585E-2</v>
      </c>
      <c r="V292" s="24">
        <f t="shared" si="37"/>
        <v>3.7222978261693296E-2</v>
      </c>
      <c r="W292" s="23">
        <f t="shared" si="38"/>
        <v>3.0457557680221292E-3</v>
      </c>
      <c r="X292" s="24">
        <v>3.8678517214538966E-2</v>
      </c>
      <c r="Y292" s="24">
        <f t="shared" si="39"/>
        <v>3.6462821647422983E-2</v>
      </c>
      <c r="Z292" s="23">
        <f t="shared" si="40"/>
        <v>2.9837107184125244E-3</v>
      </c>
      <c r="AA292" s="36"/>
    </row>
    <row r="293" spans="15:27" ht="13.9" customHeight="1" x14ac:dyDescent="0.3">
      <c r="O293" s="12">
        <f t="shared" si="34"/>
        <v>23.333333333333332</v>
      </c>
      <c r="P293" s="13">
        <v>280</v>
      </c>
      <c r="Q293" s="22">
        <v>3.507483304705028E-2</v>
      </c>
      <c r="R293" s="19">
        <f t="shared" si="35"/>
        <v>3.1638960966147378E-2</v>
      </c>
      <c r="S293" s="22">
        <v>3.5098203825290275E-2</v>
      </c>
      <c r="T293" s="19">
        <f t="shared" si="36"/>
        <v>3.3577676250879263E-2</v>
      </c>
      <c r="U293" s="24">
        <v>3.9568798001917926E-2</v>
      </c>
      <c r="V293" s="24">
        <f t="shared" si="37"/>
        <v>3.7277821178713699E-2</v>
      </c>
      <c r="W293" s="23">
        <f t="shared" si="38"/>
        <v>3.0502198630319999E-3</v>
      </c>
      <c r="X293" s="24">
        <v>3.867059559410424E-2</v>
      </c>
      <c r="Y293" s="24">
        <f t="shared" si="39"/>
        <v>3.6526996188301242E-2</v>
      </c>
      <c r="Z293" s="23">
        <f t="shared" si="40"/>
        <v>2.9889399267748473E-3</v>
      </c>
      <c r="AA293" s="36"/>
    </row>
    <row r="294" spans="15:27" ht="13.9" customHeight="1" x14ac:dyDescent="0.3">
      <c r="O294" s="12">
        <f t="shared" si="34"/>
        <v>23.416666666666668</v>
      </c>
      <c r="P294" s="13">
        <v>281</v>
      </c>
      <c r="Q294" s="22">
        <v>3.506258547779173E-2</v>
      </c>
      <c r="R294" s="19">
        <f t="shared" si="35"/>
        <v>3.1621180043079455E-2</v>
      </c>
      <c r="S294" s="22">
        <v>3.5092788731007962E-2</v>
      </c>
      <c r="T294" s="19">
        <f t="shared" si="36"/>
        <v>3.3679772930496066E-2</v>
      </c>
      <c r="U294" s="24">
        <v>3.9560636094677193E-2</v>
      </c>
      <c r="V294" s="24">
        <f t="shared" si="37"/>
        <v>3.733212009874487E-2</v>
      </c>
      <c r="W294" s="23">
        <f t="shared" si="38"/>
        <v>3.0546394259773901E-3</v>
      </c>
      <c r="X294" s="24">
        <v>3.8662959271909214E-2</v>
      </c>
      <c r="Y294" s="24">
        <f t="shared" si="39"/>
        <v>3.6590509889319778E-2</v>
      </c>
      <c r="Z294" s="23">
        <f t="shared" si="40"/>
        <v>2.9941149418060142E-3</v>
      </c>
      <c r="AA294" s="36"/>
    </row>
    <row r="295" spans="15:27" ht="13.9" customHeight="1" x14ac:dyDescent="0.3">
      <c r="O295" s="12">
        <f t="shared" si="34"/>
        <v>23.5</v>
      </c>
      <c r="P295" s="13">
        <v>282</v>
      </c>
      <c r="Q295" s="22">
        <v>3.5050361652140483E-2</v>
      </c>
      <c r="R295" s="19">
        <f t="shared" si="35"/>
        <v>3.1603621980838215E-2</v>
      </c>
      <c r="S295" s="22">
        <v>3.5087774625633505E-2</v>
      </c>
      <c r="T295" s="19">
        <f t="shared" si="36"/>
        <v>3.3780693160094799E-2</v>
      </c>
      <c r="U295" s="24">
        <v>3.9552725103287001E-2</v>
      </c>
      <c r="V295" s="24">
        <f t="shared" si="37"/>
        <v>3.7385880858849196E-2</v>
      </c>
      <c r="W295" s="23">
        <f t="shared" si="38"/>
        <v>3.0590149394473798E-3</v>
      </c>
      <c r="X295" s="24">
        <v>3.8655602845048209E-2</v>
      </c>
      <c r="Y295" s="24">
        <f t="shared" si="39"/>
        <v>3.6653370157385901E-2</v>
      </c>
      <c r="Z295" s="23">
        <f t="shared" si="40"/>
        <v>2.999236377744241E-3</v>
      </c>
      <c r="AA295" s="36"/>
    </row>
    <row r="296" spans="15:27" ht="13.9" customHeight="1" x14ac:dyDescent="0.3">
      <c r="O296" s="12">
        <f t="shared" si="34"/>
        <v>23.583333333333332</v>
      </c>
      <c r="P296" s="13">
        <v>283</v>
      </c>
      <c r="Q296" s="22">
        <v>3.5038162108128601E-2</v>
      </c>
      <c r="R296" s="19">
        <f t="shared" si="35"/>
        <v>3.1586281777943981E-2</v>
      </c>
      <c r="S296" s="22">
        <v>3.5083153054908944E-2</v>
      </c>
      <c r="T296" s="19">
        <f t="shared" si="36"/>
        <v>3.3880452005175865E-2</v>
      </c>
      <c r="U296" s="24">
        <v>3.9545060447185865E-2</v>
      </c>
      <c r="V296" s="24">
        <f t="shared" si="37"/>
        <v>3.7439109225053446E-2</v>
      </c>
      <c r="W296" s="23">
        <f t="shared" si="38"/>
        <v>3.0633468801017916E-3</v>
      </c>
      <c r="X296" s="24">
        <v>3.8648521013929349E-2</v>
      </c>
      <c r="Y296" s="24">
        <f t="shared" si="39"/>
        <v>3.6715584304105153E-2</v>
      </c>
      <c r="Z296" s="23">
        <f t="shared" si="40"/>
        <v>3.0043048408097128E-3</v>
      </c>
      <c r="AA296" s="36"/>
    </row>
    <row r="297" spans="15:27" ht="13.9" customHeight="1" x14ac:dyDescent="0.3">
      <c r="O297" s="12">
        <f t="shared" si="34"/>
        <v>23.666666666666668</v>
      </c>
      <c r="P297" s="13">
        <v>284</v>
      </c>
      <c r="Q297" s="22">
        <v>3.5025987358545008E-2</v>
      </c>
      <c r="R297" s="19">
        <f t="shared" si="35"/>
        <v>3.1569157223631406E-2</v>
      </c>
      <c r="S297" s="22">
        <v>3.5078915738502303E-2</v>
      </c>
      <c r="T297" s="19">
        <f t="shared" si="36"/>
        <v>3.3979064305968754E-2</v>
      </c>
      <c r="U297" s="24">
        <v>3.9537637631198219E-2</v>
      </c>
      <c r="V297" s="24">
        <f t="shared" si="37"/>
        <v>3.7491810893281574E-2</v>
      </c>
      <c r="W297" s="23">
        <f t="shared" si="38"/>
        <v>3.0676357187238157E-3</v>
      </c>
      <c r="X297" s="24">
        <v>3.8641708580098078E-2</v>
      </c>
      <c r="Y297" s="24">
        <f t="shared" si="39"/>
        <v>3.6777159549414629E-2</v>
      </c>
      <c r="Z297" s="23">
        <f t="shared" si="40"/>
        <v>3.0093209293116097E-3</v>
      </c>
      <c r="AA297" s="36"/>
    </row>
    <row r="298" spans="15:27" ht="13.9" customHeight="1" x14ac:dyDescent="0.3">
      <c r="O298" s="12">
        <f t="shared" si="34"/>
        <v>23.75</v>
      </c>
      <c r="P298" s="13">
        <v>285</v>
      </c>
      <c r="Q298" s="22">
        <v>3.5013837901203271E-2</v>
      </c>
      <c r="R298" s="19">
        <f t="shared" si="35"/>
        <v>3.1552247042881731E-2</v>
      </c>
      <c r="S298" s="22">
        <v>3.5075054566106045E-2</v>
      </c>
      <c r="T298" s="19">
        <f t="shared" si="36"/>
        <v>3.4076544681131304E-2</v>
      </c>
      <c r="U298" s="24">
        <v>3.9530452243775382E-2</v>
      </c>
      <c r="V298" s="24">
        <f t="shared" si="37"/>
        <v>3.7543991490079032E-2</v>
      </c>
      <c r="W298" s="23">
        <f t="shared" si="38"/>
        <v>3.0718819202990577E-3</v>
      </c>
      <c r="X298" s="24">
        <v>3.8635160444118188E-2</v>
      </c>
      <c r="Y298" s="24">
        <f t="shared" si="39"/>
        <v>3.6838103018729917E-2</v>
      </c>
      <c r="Z298" s="23">
        <f t="shared" si="40"/>
        <v>3.0142852339472004E-3</v>
      </c>
      <c r="AA298" s="36"/>
    </row>
    <row r="299" spans="15:27" ht="13.9" customHeight="1" x14ac:dyDescent="0.3">
      <c r="O299" s="12">
        <f t="shared" si="34"/>
        <v>23.833333333333332</v>
      </c>
      <c r="P299" s="13">
        <v>286</v>
      </c>
      <c r="Q299" s="22">
        <v>3.5001714222485214E-2</v>
      </c>
      <c r="R299" s="19">
        <f t="shared" si="35"/>
        <v>3.1535549975246324E-2</v>
      </c>
      <c r="S299" s="22">
        <v>3.5071561593632117E-2</v>
      </c>
      <c r="T299" s="19">
        <f t="shared" si="36"/>
        <v>3.4172907531976993E-2</v>
      </c>
      <c r="U299" s="24">
        <v>3.9523499955275154E-2</v>
      </c>
      <c r="V299" s="24">
        <f t="shared" si="37"/>
        <v>3.7595656575098779E-2</v>
      </c>
      <c r="W299" s="23">
        <f t="shared" si="38"/>
        <v>3.076085944077489E-3</v>
      </c>
      <c r="X299" s="24">
        <v>3.86288716034906E-2</v>
      </c>
      <c r="Y299" s="24">
        <f t="shared" si="39"/>
        <v>3.6898421749667509E-2</v>
      </c>
      <c r="Z299" s="23">
        <f t="shared" si="40"/>
        <v>3.0191983375773557E-3</v>
      </c>
      <c r="AA299" s="36"/>
    </row>
    <row r="300" spans="15:27" ht="13.9" customHeight="1" x14ac:dyDescent="0.3">
      <c r="O300" s="12">
        <f t="shared" si="34"/>
        <v>23.916666666666668</v>
      </c>
      <c r="P300" s="13">
        <v>287</v>
      </c>
      <c r="Q300" s="22">
        <v>3.4989616797590939E-2</v>
      </c>
      <c r="R300" s="19">
        <f t="shared" si="35"/>
        <v>3.1519064770359373E-2</v>
      </c>
      <c r="S300" s="22">
        <v>3.5068429039503135E-2</v>
      </c>
      <c r="T300" s="19">
        <f t="shared" si="36"/>
        <v>3.4268167046229481E-2</v>
      </c>
      <c r="U300" s="24">
        <v>3.9516776516287155E-2</v>
      </c>
      <c r="V300" s="24">
        <f t="shared" si="37"/>
        <v>3.7646811639959976E-2</v>
      </c>
      <c r="W300" s="23">
        <f t="shared" si="38"/>
        <v>3.0802482437763956E-3</v>
      </c>
      <c r="X300" s="24">
        <v>3.8622837150636968E-2</v>
      </c>
      <c r="Y300" s="24">
        <f t="shared" si="39"/>
        <v>3.6958122688251605E-2</v>
      </c>
      <c r="Z300" s="23">
        <f t="shared" si="40"/>
        <v>3.0240608157732218E-3</v>
      </c>
      <c r="AA300" s="36"/>
    </row>
    <row r="301" spans="15:27" ht="13.9" customHeight="1" x14ac:dyDescent="0.3">
      <c r="O301" s="12">
        <f t="shared" si="34"/>
        <v>24</v>
      </c>
      <c r="P301" s="13">
        <v>288</v>
      </c>
      <c r="Q301" s="22">
        <v>3.4977546090767975E-2</v>
      </c>
      <c r="R301" s="19">
        <f t="shared" si="35"/>
        <v>3.1502789284008959E-2</v>
      </c>
      <c r="S301" s="22">
        <v>3.5065649281035505E-2</v>
      </c>
      <c r="T301" s="19">
        <f t="shared" si="36"/>
        <v>3.4362337202143323E-2</v>
      </c>
      <c r="U301" s="24">
        <v>3.9510277755989032E-2</v>
      </c>
      <c r="V301" s="24">
        <f t="shared" si="37"/>
        <v>3.7697462111265567E-2</v>
      </c>
      <c r="W301" s="23">
        <f t="shared" si="38"/>
        <v>3.0843692674931145E-3</v>
      </c>
      <c r="X301" s="24">
        <v>3.8617052270915053E-2</v>
      </c>
      <c r="Y301" s="24">
        <f t="shared" si="39"/>
        <v>3.7017212694885337E-2</v>
      </c>
      <c r="Z301" s="23">
        <f t="shared" si="40"/>
        <v>3.0288732365169047E-3</v>
      </c>
      <c r="AA301" s="36"/>
    </row>
    <row r="302" spans="15:27" ht="13.9" customHeight="1" x14ac:dyDescent="0.3">
      <c r="O302" s="12">
        <f t="shared" si="34"/>
        <v>24.083333333333332</v>
      </c>
      <c r="P302" s="13">
        <v>289</v>
      </c>
      <c r="Q302" s="22">
        <v>3.4965502552396499E-2</v>
      </c>
      <c r="R302" s="19">
        <f t="shared" si="35"/>
        <v>3.1486718658265023E-2</v>
      </c>
      <c r="S302" s="22">
        <v>3.5063214850914459E-2</v>
      </c>
      <c r="T302" s="19">
        <f t="shared" si="36"/>
        <v>3.4455431771374778E-2</v>
      </c>
      <c r="U302" s="24">
        <v>3.9503999580548621E-2</v>
      </c>
      <c r="V302" s="24">
        <f t="shared" si="37"/>
        <v>3.7747613349498721E-2</v>
      </c>
      <c r="W302" s="23">
        <f t="shared" si="38"/>
        <v>3.0884494579501709E-3</v>
      </c>
      <c r="X302" s="24">
        <v>3.8611512240694923E-2</v>
      </c>
      <c r="Y302" s="24">
        <f t="shared" si="39"/>
        <v>3.7075698541594093E-2</v>
      </c>
      <c r="Z302" s="23">
        <f t="shared" si="40"/>
        <v>3.0336361606864148E-3</v>
      </c>
      <c r="AA302" s="36"/>
    </row>
    <row r="303" spans="15:27" ht="13.9" customHeight="1" x14ac:dyDescent="0.3">
      <c r="O303" s="12">
        <f t="shared" si="34"/>
        <v>24.166666666666668</v>
      </c>
      <c r="P303" s="13">
        <v>290</v>
      </c>
      <c r="Q303" s="22">
        <v>3.4953486609839768E-2</v>
      </c>
      <c r="R303" s="19">
        <f t="shared" si="35"/>
        <v>3.1470850775701109E-2</v>
      </c>
      <c r="S303" s="22">
        <v>3.5061118433752148E-2</v>
      </c>
      <c r="T303" s="19">
        <f t="shared" si="36"/>
        <v>3.4547464323822386E-2</v>
      </c>
      <c r="U303" s="24">
        <v>3.9497937971554098E-2</v>
      </c>
      <c r="V303" s="24">
        <f t="shared" si="37"/>
        <v>3.7797270651293902E-2</v>
      </c>
      <c r="W303" s="23">
        <f t="shared" si="38"/>
        <v>3.0924892524102354E-3</v>
      </c>
      <c r="X303" s="24">
        <v>3.8606212425466691E-2</v>
      </c>
      <c r="Y303" s="24">
        <f t="shared" si="39"/>
        <v>3.7133586916010985E-2</v>
      </c>
      <c r="Z303" s="23">
        <f t="shared" si="40"/>
        <v>3.0383501418389525E-3</v>
      </c>
      <c r="AA303" s="36"/>
    </row>
    <row r="304" spans="15:27" ht="13.9" customHeight="1" x14ac:dyDescent="0.3">
      <c r="O304" s="12">
        <f t="shared" si="34"/>
        <v>24.25</v>
      </c>
      <c r="P304" s="13">
        <v>291</v>
      </c>
      <c r="Q304" s="22">
        <v>3.4941498677288019E-2</v>
      </c>
      <c r="R304" s="19">
        <f t="shared" si="35"/>
        <v>3.1455184439985961E-2</v>
      </c>
      <c r="S304" s="22">
        <v>3.5059352862736315E-2</v>
      </c>
      <c r="T304" s="19">
        <f t="shared" si="36"/>
        <v>3.4638448230709606E-2</v>
      </c>
      <c r="U304" s="24">
        <v>3.9492088984486529E-2</v>
      </c>
      <c r="V304" s="24">
        <f t="shared" si="37"/>
        <v>3.7846439250689423E-2</v>
      </c>
      <c r="W304" s="23">
        <f t="shared" si="38"/>
        <v>3.0964890828619751E-3</v>
      </c>
      <c r="X304" s="24">
        <v>3.860114827800154E-2</v>
      </c>
      <c r="Y304" s="24">
        <f t="shared" si="39"/>
        <v>3.7190884422284354E-2</v>
      </c>
      <c r="Z304" s="23">
        <f t="shared" si="40"/>
        <v>3.0430157265375346E-3</v>
      </c>
      <c r="AA304" s="36"/>
    </row>
    <row r="305" spans="15:27" ht="13.9" customHeight="1" x14ac:dyDescent="0.3">
      <c r="O305" s="12">
        <f t="shared" si="34"/>
        <v>24.333333333333332</v>
      </c>
      <c r="P305" s="13">
        <v>292</v>
      </c>
      <c r="Q305" s="22">
        <v>3.492953915914887E-2</v>
      </c>
      <c r="R305" s="19">
        <f t="shared" si="35"/>
        <v>3.1439718466744093E-2</v>
      </c>
      <c r="S305" s="22">
        <v>3.5057911116359586E-2</v>
      </c>
      <c r="T305" s="19">
        <f t="shared" si="36"/>
        <v>3.4728396667475625E-2</v>
      </c>
      <c r="U305" s="24">
        <v>3.9486448747227065E-2</v>
      </c>
      <c r="V305" s="24">
        <f t="shared" si="37"/>
        <v>3.7895124318475082E-2</v>
      </c>
      <c r="W305" s="23">
        <f t="shared" si="38"/>
        <v>3.1004493761244145E-3</v>
      </c>
      <c r="X305" s="24">
        <v>3.859631533655361E-2</v>
      </c>
      <c r="Y305" s="24">
        <f t="shared" si="39"/>
        <v>3.724759758099272E-2</v>
      </c>
      <c r="Z305" s="23">
        <f t="shared" si="40"/>
        <v>3.0476334544282668E-3</v>
      </c>
      <c r="AA305" s="36"/>
    </row>
    <row r="306" spans="15:27" ht="13.9" customHeight="1" x14ac:dyDescent="0.3">
      <c r="O306" s="12">
        <f t="shared" si="34"/>
        <v>24.416666666666668</v>
      </c>
      <c r="P306" s="13">
        <v>293</v>
      </c>
      <c r="Q306" s="22">
        <v>3.4917608450254933E-2</v>
      </c>
      <c r="R306" s="19">
        <f t="shared" si="35"/>
        <v>3.1424451684047394E-2</v>
      </c>
      <c r="S306" s="22">
        <v>3.5056786315226462E-2</v>
      </c>
      <c r="T306" s="19">
        <f t="shared" si="36"/>
        <v>3.4817322618063917E-2</v>
      </c>
      <c r="U306" s="24">
        <v>3.9481013458593672E-2</v>
      </c>
      <c r="V306" s="24">
        <f t="shared" si="37"/>
        <v>3.7943330964297139E-2</v>
      </c>
      <c r="W306" s="23">
        <f t="shared" si="38"/>
        <v>3.1043705537965316E-3</v>
      </c>
      <c r="X306" s="24">
        <v>3.8591709223099846E-2</v>
      </c>
      <c r="Y306" s="24">
        <f t="shared" si="39"/>
        <v>3.7303732831440284E-2</v>
      </c>
      <c r="Z306" s="23">
        <f t="shared" si="40"/>
        <v>3.0522038582376787E-3</v>
      </c>
      <c r="AA306" s="36"/>
    </row>
    <row r="307" spans="15:27" ht="13.9" customHeight="1" x14ac:dyDescent="0.3">
      <c r="O307" s="12">
        <f t="shared" si="34"/>
        <v>24.5</v>
      </c>
      <c r="P307" s="13">
        <v>294</v>
      </c>
      <c r="Q307" s="22">
        <v>3.4905706936068981E-2</v>
      </c>
      <c r="R307" s="19">
        <f t="shared" si="35"/>
        <v>3.1409382037453248E-2</v>
      </c>
      <c r="S307" s="22">
        <v>3.5055971718942258E-2</v>
      </c>
      <c r="T307" s="19">
        <f t="shared" si="36"/>
        <v>3.4905238877522171E-2</v>
      </c>
      <c r="U307" s="24">
        <v>3.9475779386914267E-2</v>
      </c>
      <c r="V307" s="24">
        <f t="shared" si="37"/>
        <v>3.7991064236563066E-2</v>
      </c>
      <c r="W307" s="23">
        <f t="shared" si="38"/>
        <v>3.1082530324306745E-3</v>
      </c>
      <c r="X307" s="24">
        <v>3.8587325641622927E-2</v>
      </c>
      <c r="Y307" s="24">
        <f t="shared" si="39"/>
        <v>3.7359296532669228E-2</v>
      </c>
      <c r="Z307" s="23">
        <f t="shared" si="40"/>
        <v>3.056727463963016E-3</v>
      </c>
      <c r="AA307" s="36"/>
    </row>
    <row r="308" spans="15:27" ht="13.9" customHeight="1" x14ac:dyDescent="0.3">
      <c r="O308" s="12">
        <f t="shared" si="34"/>
        <v>24.583333333333332</v>
      </c>
      <c r="P308" s="13">
        <v>295</v>
      </c>
      <c r="Q308" s="22">
        <v>3.4893834989840888E-2</v>
      </c>
      <c r="R308" s="19">
        <f t="shared" si="35"/>
        <v>3.1394504809503898E-2</v>
      </c>
      <c r="S308" s="22">
        <v>3.5055460723075527E-2</v>
      </c>
      <c r="T308" s="19">
        <f t="shared" si="36"/>
        <v>3.4992158056574185E-2</v>
      </c>
      <c r="U308" s="24">
        <v>3.9470742868630504E-2</v>
      </c>
      <c r="V308" s="24">
        <f t="shared" si="37"/>
        <v>3.8038329125005932E-2</v>
      </c>
      <c r="W308" s="23">
        <f t="shared" si="38"/>
        <v>3.1120972235270106E-3</v>
      </c>
      <c r="X308" s="24">
        <v>3.8583160376434389E-2</v>
      </c>
      <c r="Y308" s="24">
        <f t="shared" si="39"/>
        <v>3.741429496515325E-2</v>
      </c>
      <c r="Z308" s="23">
        <f t="shared" si="40"/>
        <v>3.0612047909581719E-3</v>
      </c>
      <c r="AA308" s="36"/>
    </row>
    <row r="309" spans="15:27" ht="13.9" customHeight="1" x14ac:dyDescent="0.3">
      <c r="O309" s="12">
        <f t="shared" si="34"/>
        <v>24.666666666666668</v>
      </c>
      <c r="P309" s="13">
        <v>296</v>
      </c>
      <c r="Q309" s="22">
        <v>3.4881992963786246E-2</v>
      </c>
      <c r="R309" s="19">
        <f t="shared" si="35"/>
        <v>3.1379817972500668E-2</v>
      </c>
      <c r="S309" s="22">
        <v>3.5055246856197764E-2</v>
      </c>
      <c r="T309" s="19">
        <f t="shared" si="36"/>
        <v>3.5078092582929266E-2</v>
      </c>
      <c r="U309" s="24">
        <v>3.9465900306936863E-2</v>
      </c>
      <c r="V309" s="24">
        <f t="shared" si="37"/>
        <v>3.8085130559855074E-2</v>
      </c>
      <c r="W309" s="23">
        <f t="shared" si="38"/>
        <v>3.1159035337429142E-3</v>
      </c>
      <c r="X309" s="24">
        <v>3.8579209290536154E-2</v>
      </c>
      <c r="Y309" s="24">
        <f t="shared" si="39"/>
        <v>3.746873433079001E-2</v>
      </c>
      <c r="Z309" s="23">
        <f t="shared" si="40"/>
        <v>3.0656363520733532E-3</v>
      </c>
      <c r="AA309" s="36"/>
    </row>
    <row r="310" spans="15:27" ht="13.9" customHeight="1" x14ac:dyDescent="0.3">
      <c r="O310" s="12">
        <f t="shared" si="34"/>
        <v>24.75</v>
      </c>
      <c r="P310" s="13">
        <v>297</v>
      </c>
      <c r="Q310" s="22">
        <v>3.4870181198527472E-2</v>
      </c>
      <c r="R310" s="19">
        <f t="shared" si="35"/>
        <v>3.1365320405528641E-2</v>
      </c>
      <c r="S310" s="22">
        <v>3.505532377699061E-2</v>
      </c>
      <c r="T310" s="19">
        <f t="shared" si="36"/>
        <v>3.5163054706006447E-2</v>
      </c>
      <c r="U310" s="24">
        <v>3.9461248170446162E-2</v>
      </c>
      <c r="V310" s="24">
        <f t="shared" si="37"/>
        <v>3.8131473412485795E-2</v>
      </c>
      <c r="W310" s="23">
        <f t="shared" si="38"/>
        <v>3.1196723648294622E-3</v>
      </c>
      <c r="X310" s="24">
        <v>3.857546832401737E-2</v>
      </c>
      <c r="Y310" s="24">
        <f t="shared" si="39"/>
        <v>3.7522620754395497E-2</v>
      </c>
      <c r="Z310" s="23">
        <f t="shared" si="40"/>
        <v>3.0700226536599651E-3</v>
      </c>
      <c r="AA310" s="36"/>
    </row>
    <row r="311" spans="15:27" ht="13.9" customHeight="1" x14ac:dyDescent="0.3">
      <c r="O311" s="12">
        <f t="shared" si="34"/>
        <v>24.833333333333332</v>
      </c>
      <c r="P311" s="13">
        <v>298</v>
      </c>
      <c r="Q311" s="22">
        <v>3.4858400026341663E-2</v>
      </c>
      <c r="R311" s="19">
        <f t="shared" si="35"/>
        <v>3.1351010997792805E-2</v>
      </c>
      <c r="S311" s="22">
        <v>3.5055685271426107E-2</v>
      </c>
      <c r="T311" s="19">
        <f t="shared" si="36"/>
        <v>3.5247056499429164E-2</v>
      </c>
      <c r="U311" s="24">
        <v>3.9456782991884376E-2</v>
      </c>
      <c r="V311" s="24">
        <f t="shared" si="37"/>
        <v>3.8177362497417766E-2</v>
      </c>
      <c r="W311" s="23">
        <f t="shared" si="38"/>
        <v>3.1234041136858348E-3</v>
      </c>
      <c r="X311" s="24">
        <v>3.8571933492487664E-2</v>
      </c>
      <c r="Y311" s="24">
        <f t="shared" si="39"/>
        <v>3.7575960285971322E-2</v>
      </c>
      <c r="Z311" s="23">
        <f t="shared" si="40"/>
        <v>3.0743641956942902E-3</v>
      </c>
      <c r="AA311" s="36"/>
    </row>
    <row r="312" spans="15:27" ht="13.9" customHeight="1" x14ac:dyDescent="0.3">
      <c r="O312" s="12">
        <f t="shared" si="34"/>
        <v>24.916666666666668</v>
      </c>
      <c r="P312" s="13">
        <v>299</v>
      </c>
      <c r="Q312" s="22">
        <v>3.484664977133356E-2</v>
      </c>
      <c r="R312" s="19">
        <f t="shared" si="35"/>
        <v>3.1336888650682404E-2</v>
      </c>
      <c r="S312" s="22">
        <v>3.5056325250014897E-2</v>
      </c>
      <c r="T312" s="19">
        <f t="shared" si="36"/>
        <v>3.5330109863858983E-2</v>
      </c>
      <c r="U312" s="24">
        <v>3.9452501366817438E-2</v>
      </c>
      <c r="V312" s="24">
        <f t="shared" si="37"/>
        <v>3.8222802573331993E-2</v>
      </c>
      <c r="W312" s="23">
        <f t="shared" si="38"/>
        <v>3.1270991725231845E-3</v>
      </c>
      <c r="X312" s="24">
        <v>3.8568600885550586E-2</v>
      </c>
      <c r="Y312" s="24">
        <f t="shared" si="39"/>
        <v>3.7628758900610126E-2</v>
      </c>
      <c r="Z312" s="23">
        <f t="shared" si="40"/>
        <v>3.0786614719644501E-3</v>
      </c>
      <c r="AA312" s="36"/>
    </row>
    <row r="313" spans="15:27" ht="13.9" customHeight="1" x14ac:dyDescent="0.3">
      <c r="O313" s="12">
        <f t="shared" si="34"/>
        <v>25</v>
      </c>
      <c r="P313" s="13">
        <v>300</v>
      </c>
      <c r="Q313" s="22">
        <v>3.4834930749612081E-2</v>
      </c>
      <c r="R313" s="19">
        <f t="shared" si="35"/>
        <v>3.1322951399349375E-2</v>
      </c>
      <c r="S313" s="22">
        <v>3.5057237745119041E-2</v>
      </c>
      <c r="T313" s="19">
        <f t="shared" si="36"/>
        <v>3.5412226530531665E-2</v>
      </c>
      <c r="U313" s="24">
        <v>3.9448399952408453E-2</v>
      </c>
      <c r="V313" s="24">
        <f t="shared" si="37"/>
        <v>3.8267798341964143E-2</v>
      </c>
      <c r="W313" s="23">
        <f t="shared" si="38"/>
        <v>3.1307579289483467E-3</v>
      </c>
      <c r="X313" s="24">
        <v>3.8565466665307024E-2</v>
      </c>
      <c r="Y313" s="24">
        <f t="shared" si="39"/>
        <v>3.7681022499247652E-2</v>
      </c>
      <c r="Z313" s="23">
        <f t="shared" si="40"/>
        <v>3.0829149700659642E-3</v>
      </c>
      <c r="AA313" s="36"/>
    </row>
    <row r="314" spans="15:27" ht="13.9" customHeight="1" x14ac:dyDescent="0.3">
      <c r="O314" s="12">
        <f t="shared" si="34"/>
        <v>25.083333333333332</v>
      </c>
      <c r="P314" s="13">
        <v>301</v>
      </c>
      <c r="Q314" s="22">
        <v>3.4823243266536075E-2</v>
      </c>
      <c r="R314" s="19">
        <f t="shared" si="35"/>
        <v>3.1309194658909467E-2</v>
      </c>
      <c r="S314" s="22">
        <v>3.5058416908331891E-2</v>
      </c>
      <c r="T314" s="19">
        <f t="shared" si="36"/>
        <v>3.5493418063261339E-2</v>
      </c>
      <c r="U314" s="24">
        <v>3.9444475466195783E-2</v>
      </c>
      <c r="V314" s="24">
        <f t="shared" si="37"/>
        <v>3.831235445061143E-2</v>
      </c>
      <c r="W314" s="23">
        <f t="shared" si="38"/>
        <v>3.1343807658785749E-3</v>
      </c>
      <c r="X314" s="24">
        <v>3.856252706489216E-2</v>
      </c>
      <c r="Y314" s="24">
        <f t="shared" si="39"/>
        <v>3.7732756911670107E-2</v>
      </c>
      <c r="Z314" s="23">
        <f t="shared" si="40"/>
        <v>3.0871251714672532E-3</v>
      </c>
      <c r="AA314" s="36"/>
    </row>
    <row r="315" spans="15:27" ht="13.9" customHeight="1" x14ac:dyDescent="0.3">
      <c r="O315" s="12">
        <f t="shared" si="34"/>
        <v>25.166666666666668</v>
      </c>
      <c r="P315" s="13">
        <v>302</v>
      </c>
      <c r="Q315" s="22">
        <v>3.4811587608186034E-2</v>
      </c>
      <c r="R315" s="19">
        <f t="shared" si="35"/>
        <v>3.1295616490926381E-2</v>
      </c>
      <c r="S315" s="22">
        <v>3.5059857007917028E-2</v>
      </c>
      <c r="T315" s="19">
        <f t="shared" si="36"/>
        <v>3.5573695861929711E-2</v>
      </c>
      <c r="U315" s="24">
        <v>3.9440724684903783E-2</v>
      </c>
      <c r="V315" s="24">
        <f t="shared" si="37"/>
        <v>3.835647549195853E-2</v>
      </c>
      <c r="W315" s="23">
        <f t="shared" si="38"/>
        <v>3.1379680617442673E-3</v>
      </c>
      <c r="X315" s="24">
        <v>3.8559778387050825E-2</v>
      </c>
      <c r="Y315" s="24">
        <f t="shared" si="39"/>
        <v>3.7783967894508441E-2</v>
      </c>
      <c r="Z315" s="23">
        <f t="shared" si="40"/>
        <v>3.0912925517549983E-3</v>
      </c>
      <c r="AA315" s="36"/>
    </row>
    <row r="316" spans="15:27" ht="13.9" customHeight="1" x14ac:dyDescent="0.3">
      <c r="O316" s="12">
        <f t="shared" si="34"/>
        <v>25.25</v>
      </c>
      <c r="P316" s="13">
        <v>303</v>
      </c>
      <c r="Q316" s="22">
        <v>3.4799964050447052E-2</v>
      </c>
      <c r="R316" s="19">
        <f t="shared" si="35"/>
        <v>3.1282215845230832E-2</v>
      </c>
      <c r="S316" s="22">
        <v>3.5061552426311149E-2</v>
      </c>
      <c r="T316" s="19">
        <f t="shared" si="36"/>
        <v>3.565307116583627E-2</v>
      </c>
      <c r="U316" s="24">
        <v>3.9437144443277061E-2</v>
      </c>
      <c r="V316" s="24">
        <f t="shared" si="37"/>
        <v>3.8400166005398972E-2</v>
      </c>
      <c r="W316" s="23">
        <f t="shared" si="38"/>
        <v>3.1415201904785306E-3</v>
      </c>
      <c r="X316" s="24">
        <v>3.8557217002735733E-2</v>
      </c>
      <c r="Y316" s="24">
        <f t="shared" si="39"/>
        <v>3.7834661136026071E-2</v>
      </c>
      <c r="Z316" s="23">
        <f t="shared" si="40"/>
        <v>3.0954175804758233E-3</v>
      </c>
      <c r="AA316" s="36"/>
    </row>
    <row r="317" spans="15:27" ht="13.9" customHeight="1" x14ac:dyDescent="0.3">
      <c r="O317" s="12">
        <f t="shared" si="34"/>
        <v>25.333333333333332</v>
      </c>
      <c r="P317" s="13">
        <v>304</v>
      </c>
      <c r="Q317" s="22">
        <v>3.4788372862107009E-2</v>
      </c>
      <c r="R317" s="19">
        <f t="shared" si="35"/>
        <v>3.1268991681272507E-2</v>
      </c>
      <c r="S317" s="22">
        <v>3.5063497657687792E-2</v>
      </c>
      <c r="T317" s="19">
        <f t="shared" si="36"/>
        <v>3.5731555054595132E-2</v>
      </c>
      <c r="U317" s="24">
        <v>3.9433731632942504E-2</v>
      </c>
      <c r="V317" s="24">
        <f t="shared" si="37"/>
        <v>3.8443430477923313E-2</v>
      </c>
      <c r="W317" s="23">
        <f t="shared" si="38"/>
        <v>3.1450375216250936E-3</v>
      </c>
      <c r="X317" s="24">
        <v>3.8554839349748793E-2</v>
      </c>
      <c r="Y317" s="24">
        <f t="shared" si="39"/>
        <v>3.788484225333244E-2</v>
      </c>
      <c r="Z317" s="23">
        <f t="shared" si="40"/>
        <v>3.0995007215259829E-3</v>
      </c>
      <c r="AA317" s="36"/>
    </row>
    <row r="318" spans="15:27" ht="13.9" customHeight="1" x14ac:dyDescent="0.3">
      <c r="O318" s="12">
        <f t="shared" si="34"/>
        <v>25.416666666666668</v>
      </c>
      <c r="P318" s="13">
        <v>305</v>
      </c>
      <c r="Q318" s="22">
        <v>3.4776814305005566E-2</v>
      </c>
      <c r="R318" s="19">
        <f t="shared" si="35"/>
        <v>3.1255942971547324E-2</v>
      </c>
      <c r="S318" s="22">
        <v>3.5065687305573245E-2</v>
      </c>
      <c r="T318" s="19">
        <f t="shared" si="36"/>
        <v>3.5809158452814405E-2</v>
      </c>
      <c r="U318" s="24">
        <v>3.9430483201295941E-2</v>
      </c>
      <c r="V318" s="24">
        <f t="shared" si="37"/>
        <v>3.8486273343273369E-2</v>
      </c>
      <c r="W318" s="23">
        <f t="shared" si="38"/>
        <v>3.1485204204124706E-3</v>
      </c>
      <c r="X318" s="24">
        <v>3.8552641931400844E-2</v>
      </c>
      <c r="Y318" s="24">
        <f t="shared" si="39"/>
        <v>3.7934516796538365E-2</v>
      </c>
      <c r="Z318" s="23">
        <f t="shared" si="40"/>
        <v>3.1035424329302064E-3</v>
      </c>
      <c r="AA318" s="36"/>
    </row>
    <row r="319" spans="15:27" ht="13.9" customHeight="1" x14ac:dyDescent="0.3">
      <c r="O319" s="12">
        <f t="shared" si="34"/>
        <v>25.5</v>
      </c>
      <c r="P319" s="13">
        <v>306</v>
      </c>
      <c r="Q319" s="22">
        <v>3.4765288634189373E-2</v>
      </c>
      <c r="R319" s="19">
        <f t="shared" si="35"/>
        <v>3.1243067835611482E-2</v>
      </c>
      <c r="S319" s="22">
        <v>3.5068116080525069E-2</v>
      </c>
      <c r="T319" s="19">
        <f t="shared" si="36"/>
        <v>3.5885892131042096E-2</v>
      </c>
      <c r="U319" s="24">
        <v>3.9427396150409466E-2</v>
      </c>
      <c r="V319" s="24">
        <f t="shared" si="37"/>
        <v>3.8528698984807042E-2</v>
      </c>
      <c r="W319" s="23">
        <f t="shared" si="38"/>
        <v>3.1519692476880135E-3</v>
      </c>
      <c r="X319" s="24">
        <v>3.8550621315211142E-2</v>
      </c>
      <c r="Y319" s="24">
        <f t="shared" si="39"/>
        <v>3.798369024706405E-2</v>
      </c>
      <c r="Z319" s="23">
        <f t="shared" si="40"/>
        <v>3.1075431671798714E-3</v>
      </c>
      <c r="AA319" s="36"/>
    </row>
    <row r="320" spans="15:27" ht="13.9" customHeight="1" x14ac:dyDescent="0.3">
      <c r="O320" s="12">
        <f t="shared" si="34"/>
        <v>25.583333333333332</v>
      </c>
      <c r="P320" s="13">
        <v>307</v>
      </c>
      <c r="Q320" s="22">
        <v>3.4753796095235545E-2</v>
      </c>
      <c r="R320" s="19">
        <f t="shared" si="35"/>
        <v>3.1230361819704067E-2</v>
      </c>
      <c r="S320" s="22">
        <v>3.5070778797860358E-2</v>
      </c>
      <c r="T320" s="19">
        <f t="shared" si="36"/>
        <v>3.5961766709871723E-2</v>
      </c>
      <c r="U320" s="24">
        <v>3.9424467535968288E-2</v>
      </c>
      <c r="V320" s="24">
        <f t="shared" si="37"/>
        <v>3.8570711734973173E-2</v>
      </c>
      <c r="W320" s="23">
        <f t="shared" si="38"/>
        <v>3.1553843601506149E-3</v>
      </c>
      <c r="X320" s="24">
        <v>3.8548774131627273E-2</v>
      </c>
      <c r="Y320" s="24">
        <f t="shared" si="39"/>
        <v>3.8032368021159613E-2</v>
      </c>
      <c r="Z320" s="23">
        <f t="shared" si="40"/>
        <v>3.1115033710995554E-3</v>
      </c>
      <c r="AA320" s="36"/>
    </row>
    <row r="321" spans="15:27" ht="13.9" customHeight="1" x14ac:dyDescent="0.3">
      <c r="O321" s="12">
        <f t="shared" si="34"/>
        <v>25.666666666666668</v>
      </c>
      <c r="P321" s="13">
        <v>308</v>
      </c>
      <c r="Q321" s="22">
        <v>3.4742336916021355E-2</v>
      </c>
      <c r="R321" s="19">
        <f t="shared" si="35"/>
        <v>3.1217823068725004E-2</v>
      </c>
      <c r="S321" s="22">
        <v>3.5073670375442179E-2</v>
      </c>
      <c r="T321" s="19">
        <f t="shared" si="36"/>
        <v>3.6036792661119144E-2</v>
      </c>
      <c r="U321" s="24">
        <v>3.9421694466228008E-2</v>
      </c>
      <c r="V321" s="24">
        <f t="shared" si="37"/>
        <v>3.8612315875587111E-2</v>
      </c>
      <c r="W321" s="23">
        <f t="shared" si="38"/>
        <v>3.158766110310296E-3</v>
      </c>
      <c r="X321" s="24">
        <v>3.85470970727817E-2</v>
      </c>
      <c r="Y321" s="24">
        <f t="shared" si="39"/>
        <v>3.8080555468579913E-2</v>
      </c>
      <c r="Z321" s="23">
        <f t="shared" si="40"/>
        <v>3.115423486134361E-3</v>
      </c>
      <c r="AA321" s="36"/>
    </row>
    <row r="322" spans="15:27" ht="13.9" customHeight="1" x14ac:dyDescent="0.3">
      <c r="O322" s="12">
        <f t="shared" si="34"/>
        <v>25.75</v>
      </c>
      <c r="P322" s="13">
        <v>309</v>
      </c>
      <c r="Q322" s="22">
        <v>3.4730911315449253E-2</v>
      </c>
      <c r="R322" s="19">
        <f t="shared" si="35"/>
        <v>3.1205450600191087E-2</v>
      </c>
      <c r="S322" s="22">
        <v>3.5076785831513302E-2</v>
      </c>
      <c r="T322" s="19">
        <f t="shared" si="36"/>
        <v>3.6110980311227836E-2</v>
      </c>
      <c r="U322" s="24">
        <v>3.9419074100992324E-2</v>
      </c>
      <c r="V322" s="24">
        <f t="shared" si="37"/>
        <v>3.8653515640293623E-2</v>
      </c>
      <c r="W322" s="23">
        <f t="shared" si="38"/>
        <v>3.1621148465135196E-3</v>
      </c>
      <c r="X322" s="24">
        <v>3.8545586891268968E-2</v>
      </c>
      <c r="Y322" s="24">
        <f t="shared" si="39"/>
        <v>3.812825787536811E-2</v>
      </c>
      <c r="Z322" s="23">
        <f t="shared" si="40"/>
        <v>3.1193039482455553E-3</v>
      </c>
      <c r="AA322" s="36"/>
    </row>
    <row r="323" spans="15:27" ht="13.9" customHeight="1" x14ac:dyDescent="0.3">
      <c r="O323" s="12">
        <f t="shared" si="34"/>
        <v>25.833333333333332</v>
      </c>
      <c r="P323" s="13">
        <v>310</v>
      </c>
      <c r="Q323" s="22">
        <v>3.4719519506416274E-2</v>
      </c>
      <c r="R323" s="19">
        <f t="shared" si="35"/>
        <v>3.1193243442103169E-2</v>
      </c>
      <c r="S323" s="22">
        <v>3.5080120282584559E-2</v>
      </c>
      <c r="T323" s="19">
        <f t="shared" si="36"/>
        <v>3.6184339842826763E-2</v>
      </c>
      <c r="U323" s="24">
        <v>3.9416603650619164E-2</v>
      </c>
      <c r="V323" s="24">
        <f t="shared" si="37"/>
        <v>3.8694315212890462E-2</v>
      </c>
      <c r="W323" s="23">
        <f t="shared" si="38"/>
        <v>3.165430913141476E-3</v>
      </c>
      <c r="X323" s="24">
        <v>3.8544240398954432E-2</v>
      </c>
      <c r="Y323" s="24">
        <f t="shared" si="39"/>
        <v>3.8175480462823819E-2</v>
      </c>
      <c r="Z323" s="23">
        <f t="shared" si="40"/>
        <v>3.1231451881386096E-3</v>
      </c>
      <c r="AA323" s="36"/>
    </row>
    <row r="324" spans="15:27" ht="13.9" customHeight="1" x14ac:dyDescent="0.3">
      <c r="O324" s="12">
        <f t="shared" si="34"/>
        <v>25.916666666666668</v>
      </c>
      <c r="P324" s="13">
        <v>311</v>
      </c>
      <c r="Q324" s="22">
        <v>3.4708161695944151E-2</v>
      </c>
      <c r="R324" s="19">
        <f t="shared" si="35"/>
        <v>3.1181200633727757E-2</v>
      </c>
      <c r="S324" s="22">
        <v>3.5083668941369162E-2</v>
      </c>
      <c r="T324" s="19">
        <f t="shared" si="36"/>
        <v>3.6256881297963783E-2</v>
      </c>
      <c r="U324" s="24">
        <v>3.9414280375040578E-2</v>
      </c>
      <c r="V324" s="24">
        <f t="shared" si="37"/>
        <v>3.8734718729267037E-2</v>
      </c>
      <c r="W324" s="23">
        <f t="shared" si="38"/>
        <v>3.1687146504797425E-3</v>
      </c>
      <c r="X324" s="24">
        <v>3.8543054465804749E-2</v>
      </c>
      <c r="Y324" s="24">
        <f t="shared" si="39"/>
        <v>3.8222228390386581E-2</v>
      </c>
      <c r="Z324" s="23">
        <f t="shared" si="40"/>
        <v>3.1269476311825972E-3</v>
      </c>
      <c r="AA324" s="36"/>
    </row>
    <row r="325" spans="15:27" ht="13.9" customHeight="1" x14ac:dyDescent="0.3">
      <c r="O325" s="12">
        <f t="shared" si="34"/>
        <v>26</v>
      </c>
      <c r="P325" s="13">
        <v>312</v>
      </c>
      <c r="Q325" s="22">
        <v>3.4696838085309212E-2</v>
      </c>
      <c r="R325" s="19">
        <f t="shared" si="35"/>
        <v>3.1169320375970422E-2</v>
      </c>
      <c r="S325" s="22">
        <v>3.5087427114767422E-2</v>
      </c>
      <c r="T325" s="19">
        <f t="shared" si="36"/>
        <v>3.6328614579587581E-2</v>
      </c>
      <c r="U325" s="24">
        <v>3.941210158280839E-2</v>
      </c>
      <c r="V325" s="24">
        <f t="shared" si="37"/>
        <v>3.8774730279096836E-2</v>
      </c>
      <c r="W325" s="23">
        <f t="shared" si="38"/>
        <v>3.1719663948732713E-3</v>
      </c>
      <c r="X325" s="24">
        <v>3.8542026018748787E-2</v>
      </c>
      <c r="Y325" s="24">
        <f t="shared" si="39"/>
        <v>3.8268506755335885E-2</v>
      </c>
      <c r="Z325" s="23">
        <f t="shared" si="40"/>
        <v>3.1307116976451166E-3</v>
      </c>
      <c r="AA325" s="36"/>
    </row>
    <row r="326" spans="15:27" ht="13.9" customHeight="1" x14ac:dyDescent="0.3">
      <c r="O326" s="12">
        <f t="shared" si="34"/>
        <v>26.083333333333332</v>
      </c>
      <c r="P326" s="13">
        <v>313</v>
      </c>
      <c r="Q326" s="22">
        <v>3.4685548867447125E-2</v>
      </c>
      <c r="R326" s="19">
        <f t="shared" si="35"/>
        <v>3.115759834102616E-2</v>
      </c>
      <c r="S326" s="22">
        <v>3.5091390201896555E-2</v>
      </c>
      <c r="T326" s="19">
        <f t="shared" si="36"/>
        <v>3.6399549455008229E-2</v>
      </c>
      <c r="U326" s="24">
        <v>3.9410064630162722E-2</v>
      </c>
      <c r="V326" s="24">
        <f t="shared" si="37"/>
        <v>3.8814353904013998E-2</v>
      </c>
      <c r="W326" s="23">
        <f t="shared" si="38"/>
        <v>3.1751864788676087E-3</v>
      </c>
      <c r="X326" s="24">
        <v>3.8541152040560966E-2</v>
      </c>
      <c r="Y326" s="24">
        <f t="shared" si="39"/>
        <v>3.8314320594074136E-2</v>
      </c>
      <c r="Z326" s="23">
        <f t="shared" si="40"/>
        <v>3.1344378026716413E-3</v>
      </c>
      <c r="AA326" s="36"/>
    </row>
    <row r="327" spans="15:27" ht="13.9" customHeight="1" x14ac:dyDescent="0.3">
      <c r="O327" s="12">
        <f t="shared" si="34"/>
        <v>26.166666666666668</v>
      </c>
      <c r="P327" s="13">
        <v>314</v>
      </c>
      <c r="Q327" s="22">
        <v>3.4674294219004365E-2</v>
      </c>
      <c r="R327" s="19">
        <f t="shared" si="35"/>
        <v>3.1146032754616026E-2</v>
      </c>
      <c r="S327" s="22">
        <v>3.5095553692169101E-2</v>
      </c>
      <c r="T327" s="19">
        <f t="shared" si="36"/>
        <v>3.6469695556388348E-2</v>
      </c>
      <c r="U327" s="24">
        <v>3.9408166920113397E-2</v>
      </c>
      <c r="V327" s="24">
        <f t="shared" si="37"/>
        <v>3.8853593599420755E-2</v>
      </c>
      <c r="W327" s="23">
        <f t="shared" si="38"/>
        <v>3.1783752310607927E-3</v>
      </c>
      <c r="X327" s="24">
        <v>3.8540429568768797E-2</v>
      </c>
      <c r="Y327" s="24">
        <f t="shared" si="39"/>
        <v>3.8359674882112893E-2</v>
      </c>
      <c r="Z327" s="23">
        <f t="shared" si="40"/>
        <v>3.1381263563907691E-3</v>
      </c>
      <c r="AA327" s="36"/>
    </row>
    <row r="328" spans="15:27" ht="13.9" customHeight="1" x14ac:dyDescent="0.3">
      <c r="O328" s="12">
        <f t="shared" si="34"/>
        <v>26.25</v>
      </c>
      <c r="P328" s="13">
        <v>315</v>
      </c>
      <c r="Q328" s="22">
        <v>3.4663074308731279E-2</v>
      </c>
      <c r="R328" s="19">
        <f t="shared" si="35"/>
        <v>3.1134622698980818E-2</v>
      </c>
      <c r="S328" s="22">
        <v>3.5099913163410212E-2</v>
      </c>
      <c r="T328" s="19">
        <f t="shared" si="36"/>
        <v>3.6539062384460363E-2</v>
      </c>
      <c r="U328" s="24">
        <v>3.9406405901545316E-2</v>
      </c>
      <c r="V328" s="24">
        <f t="shared" si="37"/>
        <v>3.8892453316551778E-2</v>
      </c>
      <c r="W328" s="23">
        <f t="shared" si="38"/>
        <v>3.1815329762536759E-3</v>
      </c>
      <c r="X328" s="24">
        <v>3.8539855694583292E-2</v>
      </c>
      <c r="Y328" s="24">
        <f t="shared" si="39"/>
        <v>3.8404574536266667E-2</v>
      </c>
      <c r="Z328" s="23">
        <f t="shared" si="40"/>
        <v>3.1417777639168865E-3</v>
      </c>
      <c r="AA328" s="36"/>
    </row>
    <row r="329" spans="15:27" ht="13.9" customHeight="1" x14ac:dyDescent="0.3">
      <c r="O329" s="12">
        <f t="shared" si="34"/>
        <v>26.333333333333332</v>
      </c>
      <c r="P329" s="13">
        <v>316</v>
      </c>
      <c r="Q329" s="22">
        <v>3.4651889300326477E-2</v>
      </c>
      <c r="R329" s="19">
        <f t="shared" si="35"/>
        <v>3.1123367266852942E-2</v>
      </c>
      <c r="S329" s="22">
        <v>3.5104464280023562E-2</v>
      </c>
      <c r="T329" s="19">
        <f t="shared" si="36"/>
        <v>3.6607659310061935E-2</v>
      </c>
      <c r="U329" s="24">
        <v>3.9404779068346052E-2</v>
      </c>
      <c r="V329" s="24">
        <f t="shared" si="37"/>
        <v>3.893093695999994E-2</v>
      </c>
      <c r="W329" s="23">
        <f t="shared" si="38"/>
        <v>3.1846600356155719E-3</v>
      </c>
      <c r="X329" s="24">
        <v>3.8539427561855133E-2</v>
      </c>
      <c r="Y329" s="24">
        <f t="shared" si="39"/>
        <v>3.8449024414997757E-2</v>
      </c>
      <c r="Z329" s="23">
        <f t="shared" si="40"/>
        <v>3.1453924255278043E-3</v>
      </c>
      <c r="AA329" s="36"/>
    </row>
    <row r="330" spans="15:27" ht="13.9" customHeight="1" x14ac:dyDescent="0.3">
      <c r="O330" s="12">
        <f t="shared" si="34"/>
        <v>26.416666666666668</v>
      </c>
      <c r="P330" s="13">
        <v>317</v>
      </c>
      <c r="Q330" s="22">
        <v>3.4640739352549632E-2</v>
      </c>
      <c r="R330" s="19">
        <f t="shared" si="35"/>
        <v>3.1112265560437447E-2</v>
      </c>
      <c r="S330" s="22">
        <v>3.5109202791197003E-2</v>
      </c>
      <c r="T330" s="19">
        <f t="shared" si="36"/>
        <v>3.6675495576024675E-2</v>
      </c>
      <c r="U330" s="24">
        <v>3.94032839585432E-2</v>
      </c>
      <c r="V330" s="24">
        <f t="shared" si="37"/>
        <v>3.896904839143156E-2</v>
      </c>
      <c r="W330" s="23">
        <f t="shared" si="38"/>
        <v>3.1877567264877449E-3</v>
      </c>
      <c r="X330" s="24">
        <v>3.8539142366052603E-2</v>
      </c>
      <c r="Y330" s="24">
        <f t="shared" si="39"/>
        <v>3.8493029318853456E-2</v>
      </c>
      <c r="Z330" s="23">
        <f t="shared" si="40"/>
        <v>3.1489707366967323E-3</v>
      </c>
      <c r="AA330" s="36"/>
    </row>
    <row r="331" spans="15:27" ht="13.9" customHeight="1" x14ac:dyDescent="0.3">
      <c r="O331" s="12">
        <f t="shared" si="34"/>
        <v>26.5</v>
      </c>
      <c r="P331" s="13">
        <v>318</v>
      </c>
      <c r="Q331" s="22">
        <v>3.4629624619328947E-2</v>
      </c>
      <c r="R331" s="19">
        <f t="shared" si="35"/>
        <v>3.1101315859541012E-2</v>
      </c>
      <c r="S331" s="22">
        <v>3.5114124529149082E-2</v>
      </c>
      <c r="T331" s="19">
        <f t="shared" si="36"/>
        <v>3.6742580299792271E-2</v>
      </c>
      <c r="U331" s="24">
        <v>3.9401918153470383E-2</v>
      </c>
      <c r="V331" s="24">
        <f t="shared" si="37"/>
        <v>3.9006791427831589E-2</v>
      </c>
      <c r="W331" s="23">
        <f t="shared" si="38"/>
        <v>3.1908233626840588E-3</v>
      </c>
      <c r="X331" s="24">
        <v>3.8538997353260829E-2</v>
      </c>
      <c r="Y331" s="24">
        <f t="shared" si="39"/>
        <v>3.8536593991140178E-2</v>
      </c>
      <c r="Z331" s="23">
        <f t="shared" si="40"/>
        <v>3.1525130881293606E-3</v>
      </c>
      <c r="AA331" s="36"/>
    </row>
    <row r="332" spans="15:27" ht="13.9" customHeight="1" x14ac:dyDescent="0.3">
      <c r="O332" s="12">
        <f t="shared" si="34"/>
        <v>26.583333333333332</v>
      </c>
      <c r="P332" s="13">
        <v>319</v>
      </c>
      <c r="Q332" s="22">
        <v>3.4618545247250276E-2</v>
      </c>
      <c r="R332" s="19">
        <f t="shared" si="35"/>
        <v>3.1090513957988897E-2</v>
      </c>
      <c r="S332" s="22">
        <v>3.511922540741641E-2</v>
      </c>
      <c r="T332" s="19">
        <f t="shared" si="36"/>
        <v>3.6808922474927952E-2</v>
      </c>
      <c r="U332" s="24">
        <v>3.940067927694213E-2</v>
      </c>
      <c r="V332" s="24">
        <f t="shared" si="37"/>
        <v>3.9044169842992638E-2</v>
      </c>
      <c r="W332" s="23">
        <f t="shared" si="38"/>
        <v>3.1938602543515326E-3</v>
      </c>
      <c r="X332" s="24">
        <v>3.8538989819201674E-2</v>
      </c>
      <c r="Y332" s="24">
        <f t="shared" si="39"/>
        <v>3.8579723118949971E-2</v>
      </c>
      <c r="Z332" s="23">
        <f t="shared" si="40"/>
        <v>3.1560198658202587E-3</v>
      </c>
      <c r="AA332" s="36"/>
    </row>
    <row r="333" spans="15:27" ht="13.9" customHeight="1" x14ac:dyDescent="0.3">
      <c r="O333" s="12">
        <f t="shared" si="34"/>
        <v>26.666666666666668</v>
      </c>
      <c r="P333" s="13">
        <v>320</v>
      </c>
      <c r="Q333" s="22">
        <v>3.4607501367875937E-2</v>
      </c>
      <c r="R333" s="19">
        <f t="shared" si="35"/>
        <v>3.1079858158369555E-2</v>
      </c>
      <c r="S333" s="22">
        <v>3.5124501419179444E-2</v>
      </c>
      <c r="T333" s="19">
        <f t="shared" si="36"/>
        <v>3.6874530973281194E-2</v>
      </c>
      <c r="U333" s="24">
        <v>3.939956499445052E-2</v>
      </c>
      <c r="V333" s="24">
        <f t="shared" si="37"/>
        <v>3.9081187369242265E-2</v>
      </c>
      <c r="W333" s="23">
        <f t="shared" si="38"/>
        <v>3.1968677080909114E-3</v>
      </c>
      <c r="X333" s="24">
        <v>3.8539117108274956E-2</v>
      </c>
      <c r="Y333" s="24">
        <f t="shared" si="39"/>
        <v>3.8622421334921331E-2</v>
      </c>
      <c r="Z333" s="23">
        <f t="shared" si="40"/>
        <v>3.1594914511385852E-3</v>
      </c>
      <c r="AA333" s="36"/>
    </row>
    <row r="334" spans="15:27" ht="13.9" customHeight="1" x14ac:dyDescent="0.3">
      <c r="O334" s="12">
        <f t="shared" ref="O334:O397" si="41">P334/12</f>
        <v>26.75</v>
      </c>
      <c r="P334" s="13">
        <v>321</v>
      </c>
      <c r="Q334" s="22">
        <v>3.4596493105821802E-2</v>
      </c>
      <c r="R334" s="19">
        <f t="shared" ref="R334:R397" si="42">(1+Q335)^P335/(1+Q334)^P334-1</f>
        <v>3.1069347605003239E-2</v>
      </c>
      <c r="S334" s="22">
        <v>3.5129948635626462E-2</v>
      </c>
      <c r="T334" s="19">
        <f t="shared" ref="T334:T397" si="43">(1+S335)^P335/(1+S334)^P334-1</f>
        <v>3.6939414546842908E-2</v>
      </c>
      <c r="U334" s="24">
        <v>3.9398573012381366E-2</v>
      </c>
      <c r="V334" s="24">
        <f t="shared" ref="V334:V397" si="44">(1+U335)^P335/(1+U334)^P334-1</f>
        <v>3.9117847694881691E-2</v>
      </c>
      <c r="W334" s="23">
        <f t="shared" si="38"/>
        <v>3.1998460270989959E-3</v>
      </c>
      <c r="X334" s="24">
        <v>3.8539376612624521E-2</v>
      </c>
      <c r="Y334" s="24">
        <f t="shared" si="39"/>
        <v>3.8664693216399648E-2</v>
      </c>
      <c r="Z334" s="23">
        <f t="shared" si="40"/>
        <v>3.1629282209710841E-3</v>
      </c>
      <c r="AA334" s="36"/>
    </row>
    <row r="335" spans="15:27" ht="13.9" customHeight="1" x14ac:dyDescent="0.3">
      <c r="O335" s="12">
        <f t="shared" si="41"/>
        <v>26.833333333333332</v>
      </c>
      <c r="P335" s="13">
        <v>322</v>
      </c>
      <c r="Q335" s="22">
        <v>3.4585520581487117E-2</v>
      </c>
      <c r="R335" s="19">
        <f t="shared" si="42"/>
        <v>3.1058981451259626E-2</v>
      </c>
      <c r="S335" s="22">
        <v>3.5135563204354181E-2</v>
      </c>
      <c r="T335" s="19">
        <f t="shared" si="43"/>
        <v>3.70035818301655E-2</v>
      </c>
      <c r="U335" s="24">
        <v>3.9397701077237501E-2</v>
      </c>
      <c r="V335" s="24">
        <f t="shared" si="44"/>
        <v>3.9154154468499014E-2</v>
      </c>
      <c r="W335" s="23">
        <f t="shared" ref="W335:W398" si="45">(1+V334)^(1/12)-1</f>
        <v>3.2027955109616979E-3</v>
      </c>
      <c r="X335" s="24">
        <v>3.8539765771218093E-2</v>
      </c>
      <c r="Y335" s="24">
        <f t="shared" ref="Y335:Y398" si="46">(1+X336)^P336/(1+X335)^P335-1</f>
        <v>3.8706543286808781E-2</v>
      </c>
      <c r="Z335" s="23">
        <f t="shared" ref="Z335:Z398" si="47">(1+Y334)^(1/12)-1</f>
        <v>3.1663305476583581E-3</v>
      </c>
      <c r="AA335" s="36"/>
    </row>
    <row r="336" spans="15:27" ht="13.9" customHeight="1" x14ac:dyDescent="0.3">
      <c r="O336" s="12">
        <f t="shared" si="41"/>
        <v>26.916666666666668</v>
      </c>
      <c r="P336" s="13">
        <v>323</v>
      </c>
      <c r="Q336" s="22">
        <v>3.4574583911148649E-2</v>
      </c>
      <c r="R336" s="19">
        <f t="shared" si="42"/>
        <v>3.1048758860068304E-2</v>
      </c>
      <c r="S336" s="22">
        <v>3.5141341347805888E-2</v>
      </c>
      <c r="T336" s="19">
        <f t="shared" si="43"/>
        <v>3.7067041341149132E-2</v>
      </c>
      <c r="U336" s="24">
        <v>3.9396946974890268E-2</v>
      </c>
      <c r="V336" s="24">
        <f t="shared" si="44"/>
        <v>3.9190111296582009E-2</v>
      </c>
      <c r="W336" s="23">
        <f t="shared" si="45"/>
        <v>3.2057164560046481E-3</v>
      </c>
      <c r="X336" s="24">
        <v>3.8540282068949328E-2</v>
      </c>
      <c r="Y336" s="24">
        <f t="shared" si="46"/>
        <v>3.8747976016749952E-2</v>
      </c>
      <c r="Z336" s="23">
        <f t="shared" si="47"/>
        <v>3.1696987991063352E-3</v>
      </c>
      <c r="AA336" s="36"/>
    </row>
    <row r="337" spans="15:27" ht="13.9" customHeight="1" x14ac:dyDescent="0.3">
      <c r="O337" s="12">
        <f t="shared" si="41"/>
        <v>27</v>
      </c>
      <c r="P337" s="13">
        <v>324</v>
      </c>
      <c r="Q337" s="22">
        <v>3.4563683207053497E-2</v>
      </c>
      <c r="R337" s="19">
        <f t="shared" si="42"/>
        <v>3.1038678186374957E-2</v>
      </c>
      <c r="S337" s="22">
        <v>3.5147279361742223E-2</v>
      </c>
      <c r="T337" s="19">
        <f t="shared" si="43"/>
        <v>3.712980148412881E-2</v>
      </c>
      <c r="U337" s="24">
        <v>3.9396308529836999E-2</v>
      </c>
      <c r="V337" s="24">
        <f t="shared" si="44"/>
        <v>3.9225721745406394E-2</v>
      </c>
      <c r="W337" s="23">
        <f t="shared" si="45"/>
        <v>3.2086091551020157E-3</v>
      </c>
      <c r="X337" s="24">
        <v>3.8540923035760066E-2</v>
      </c>
      <c r="Y337" s="24">
        <f t="shared" si="46"/>
        <v>3.8788995824239336E-2</v>
      </c>
      <c r="Z337" s="23">
        <f t="shared" si="47"/>
        <v>3.1730333388773069E-3</v>
      </c>
      <c r="AA337" s="36"/>
    </row>
    <row r="338" spans="15:27" ht="13.9" customHeight="1" x14ac:dyDescent="0.3">
      <c r="O338" s="12">
        <f t="shared" si="41"/>
        <v>27.083333333333332</v>
      </c>
      <c r="P338" s="13">
        <v>325</v>
      </c>
      <c r="Q338" s="22">
        <v>3.4552818574986377E-2</v>
      </c>
      <c r="R338" s="19">
        <f t="shared" si="42"/>
        <v>3.1028735340950631E-2</v>
      </c>
      <c r="S338" s="22">
        <v>3.5153373613749261E-2</v>
      </c>
      <c r="T338" s="19">
        <f t="shared" si="43"/>
        <v>3.7191870550853157E-2</v>
      </c>
      <c r="U338" s="24">
        <v>3.9395783604479151E-2</v>
      </c>
      <c r="V338" s="24">
        <f t="shared" si="44"/>
        <v>3.926098934210942E-2</v>
      </c>
      <c r="W338" s="23">
        <f t="shared" si="45"/>
        <v>3.2114738978288315E-3</v>
      </c>
      <c r="X338" s="24">
        <v>3.8541686245779028E-2</v>
      </c>
      <c r="Y338" s="24">
        <f t="shared" si="46"/>
        <v>3.88296070757852E-2</v>
      </c>
      <c r="Z338" s="23">
        <f t="shared" si="47"/>
        <v>3.1763345262108E-3</v>
      </c>
      <c r="AA338" s="36"/>
    </row>
    <row r="339" spans="15:27" ht="13.9" customHeight="1" x14ac:dyDescent="0.3">
      <c r="O339" s="12">
        <f t="shared" si="41"/>
        <v>27.166666666666668</v>
      </c>
      <c r="P339" s="13">
        <v>326</v>
      </c>
      <c r="Q339" s="22">
        <v>3.4541990106845999E-2</v>
      </c>
      <c r="R339" s="19">
        <f t="shared" si="42"/>
        <v>3.1018928700357717E-2</v>
      </c>
      <c r="S339" s="22">
        <v>3.5159620541777903E-2</v>
      </c>
      <c r="T339" s="19">
        <f t="shared" si="43"/>
        <v>3.7253256722262762E-2</v>
      </c>
      <c r="U339" s="24">
        <v>3.9395370098415539E-2</v>
      </c>
      <c r="V339" s="24">
        <f t="shared" si="44"/>
        <v>3.9295917572508277E-2</v>
      </c>
      <c r="W339" s="23">
        <f t="shared" si="45"/>
        <v>3.2143109705504713E-3</v>
      </c>
      <c r="X339" s="24">
        <v>3.8542569316480924E-2</v>
      </c>
      <c r="Y339" s="24">
        <f t="shared" si="46"/>
        <v>3.8869814086695875E-2</v>
      </c>
      <c r="Z339" s="23">
        <f t="shared" si="47"/>
        <v>3.1796027161132834E-3</v>
      </c>
      <c r="AA339" s="36"/>
    </row>
    <row r="340" spans="15:27" ht="13.9" customHeight="1" x14ac:dyDescent="0.3">
      <c r="O340" s="12">
        <f t="shared" si="41"/>
        <v>27.25</v>
      </c>
      <c r="P340" s="13">
        <v>327</v>
      </c>
      <c r="Q340" s="22">
        <v>3.4531197888423515E-2</v>
      </c>
      <c r="R340" s="19">
        <f t="shared" si="42"/>
        <v>3.1009257467343954E-2</v>
      </c>
      <c r="S340" s="22">
        <v>3.5166016652716126E-2</v>
      </c>
      <c r="T340" s="19">
        <f t="shared" si="43"/>
        <v>3.7313968070501913E-2</v>
      </c>
      <c r="U340" s="24">
        <v>3.9395065947744001E-2</v>
      </c>
      <c r="V340" s="24">
        <f t="shared" si="44"/>
        <v>3.9330509885642018E-2</v>
      </c>
      <c r="W340" s="23">
        <f t="shared" si="45"/>
        <v>3.2171206562470189E-3</v>
      </c>
      <c r="X340" s="24">
        <v>3.8543569907860897E-2</v>
      </c>
      <c r="Y340" s="24">
        <f t="shared" si="46"/>
        <v>3.8909621121805626E-2</v>
      </c>
      <c r="Z340" s="23">
        <f t="shared" si="47"/>
        <v>3.1828382593837024E-3</v>
      </c>
      <c r="AA340" s="36"/>
    </row>
    <row r="341" spans="15:27" ht="13.9" customHeight="1" x14ac:dyDescent="0.3">
      <c r="O341" s="12">
        <f t="shared" si="41"/>
        <v>27.333333333333332</v>
      </c>
      <c r="P341" s="13">
        <v>328</v>
      </c>
      <c r="Q341" s="22">
        <v>3.4520442002023088E-2</v>
      </c>
      <c r="R341" s="19">
        <f t="shared" si="42"/>
        <v>3.099972085330438E-2</v>
      </c>
      <c r="S341" s="22">
        <v>3.5172558520993435E-2</v>
      </c>
      <c r="T341" s="19">
        <f t="shared" si="43"/>
        <v>3.7374012561430137E-2</v>
      </c>
      <c r="U341" s="24">
        <v>3.9394869124387721E-2</v>
      </c>
      <c r="V341" s="24">
        <f t="shared" si="44"/>
        <v>3.9364769690749757E-2</v>
      </c>
      <c r="W341" s="23">
        <f t="shared" si="45"/>
        <v>3.219903234880972E-3</v>
      </c>
      <c r="X341" s="24">
        <v>3.8544685721627392E-2</v>
      </c>
      <c r="Y341" s="24">
        <f t="shared" si="46"/>
        <v>3.8949032397192163E-2</v>
      </c>
      <c r="Z341" s="23">
        <f t="shared" si="47"/>
        <v>3.1860415026754296E-3</v>
      </c>
      <c r="AA341" s="36"/>
    </row>
    <row r="342" spans="15:27" ht="13.9" customHeight="1" x14ac:dyDescent="0.3">
      <c r="O342" s="12">
        <f t="shared" si="41"/>
        <v>27.416666666666668</v>
      </c>
      <c r="P342" s="13">
        <v>329</v>
      </c>
      <c r="Q342" s="22">
        <v>3.4509722526541387E-2</v>
      </c>
      <c r="R342" s="19">
        <f t="shared" si="42"/>
        <v>3.0990318078674806E-2</v>
      </c>
      <c r="S342" s="22">
        <v>3.5179242787219067E-2</v>
      </c>
      <c r="T342" s="19">
        <f t="shared" si="43"/>
        <v>3.743339805350332E-2</v>
      </c>
      <c r="U342" s="24">
        <v>3.939477763542687E-2</v>
      </c>
      <c r="V342" s="24">
        <f t="shared" si="44"/>
        <v>3.9398700359584371E-2</v>
      </c>
      <c r="W342" s="23">
        <f t="shared" si="45"/>
        <v>3.2226589831549912E-3</v>
      </c>
      <c r="X342" s="24">
        <v>3.854591450041478E-2</v>
      </c>
      <c r="Y342" s="24">
        <f t="shared" si="46"/>
        <v>3.8988052078905211E-2</v>
      </c>
      <c r="Z342" s="23">
        <f t="shared" si="47"/>
        <v>3.189212788635043E-3</v>
      </c>
      <c r="AA342" s="36"/>
    </row>
    <row r="343" spans="15:27" ht="13.9" customHeight="1" x14ac:dyDescent="0.3">
      <c r="O343" s="12">
        <f t="shared" si="41"/>
        <v>27.5</v>
      </c>
      <c r="P343" s="13">
        <v>330</v>
      </c>
      <c r="Q343" s="22">
        <v>3.4499039537546849E-2</v>
      </c>
      <c r="R343" s="19">
        <f t="shared" si="42"/>
        <v>3.0981047568460207E-2</v>
      </c>
      <c r="S343" s="22">
        <v>3.5186066156842388E-2</v>
      </c>
      <c r="T343" s="19">
        <f t="shared" si="43"/>
        <v>3.7492132303238446E-2</v>
      </c>
      <c r="U343" s="24">
        <v>3.9394789522447349E-2</v>
      </c>
      <c r="V343" s="24">
        <f t="shared" si="44"/>
        <v>3.9432305226559494E-2</v>
      </c>
      <c r="W343" s="23">
        <f t="shared" si="45"/>
        <v>3.2253881746995283E-3</v>
      </c>
      <c r="X343" s="24">
        <v>3.8547254027006206E-2</v>
      </c>
      <c r="Y343" s="24">
        <f t="shared" si="46"/>
        <v>3.9026684285119906E-2</v>
      </c>
      <c r="Z343" s="23">
        <f t="shared" si="47"/>
        <v>3.1923524558024052E-3</v>
      </c>
      <c r="AA343" s="36"/>
    </row>
    <row r="344" spans="15:27" ht="13.9" customHeight="1" x14ac:dyDescent="0.3">
      <c r="O344" s="12">
        <f t="shared" si="41"/>
        <v>27.583333333333332</v>
      </c>
      <c r="P344" s="13">
        <v>331</v>
      </c>
      <c r="Q344" s="22">
        <v>3.4488393104917803E-2</v>
      </c>
      <c r="R344" s="19">
        <f t="shared" si="42"/>
        <v>3.0971905349022277E-2</v>
      </c>
      <c r="S344" s="22">
        <v>3.5193025398853495E-2</v>
      </c>
      <c r="T344" s="19">
        <f t="shared" si="43"/>
        <v>3.7550222963669277E-2</v>
      </c>
      <c r="U344" s="24">
        <v>3.9394902860903969E-2</v>
      </c>
      <c r="V344" s="24">
        <f t="shared" si="44"/>
        <v>3.9465587588431328E-2</v>
      </c>
      <c r="W344" s="23">
        <f t="shared" si="45"/>
        <v>3.2280910800859264E-3</v>
      </c>
      <c r="X344" s="24">
        <v>3.8548702123578193E-2</v>
      </c>
      <c r="Y344" s="24">
        <f t="shared" si="46"/>
        <v>3.9064933086517373E-2</v>
      </c>
      <c r="Z344" s="23">
        <f t="shared" si="47"/>
        <v>3.1954608387860794E-3</v>
      </c>
      <c r="AA344" s="36"/>
    </row>
    <row r="345" spans="15:27" ht="13.9" customHeight="1" x14ac:dyDescent="0.3">
      <c r="O345" s="12">
        <f t="shared" si="41"/>
        <v>27.666666666666668</v>
      </c>
      <c r="P345" s="13">
        <v>332</v>
      </c>
      <c r="Q345" s="22">
        <v>3.4477783285679742E-2</v>
      </c>
      <c r="R345" s="19">
        <f t="shared" si="42"/>
        <v>3.0962889865527865E-2</v>
      </c>
      <c r="S345" s="22">
        <v>3.520011734450379E-2</v>
      </c>
      <c r="T345" s="19">
        <f t="shared" si="43"/>
        <v>3.7607677587986554E-2</v>
      </c>
      <c r="U345" s="24">
        <v>3.9395115759492505E-2</v>
      </c>
      <c r="V345" s="24">
        <f t="shared" si="44"/>
        <v>3.9498550706714264E-2</v>
      </c>
      <c r="W345" s="23">
        <f t="shared" si="45"/>
        <v>3.230767966801773E-3</v>
      </c>
      <c r="X345" s="24">
        <v>3.8550256650958792E-2</v>
      </c>
      <c r="Y345" s="24">
        <f t="shared" si="46"/>
        <v>3.9102802506600476E-2</v>
      </c>
      <c r="Z345" s="23">
        <f t="shared" si="47"/>
        <v>3.1985382682957475E-3</v>
      </c>
      <c r="AA345" s="36"/>
    </row>
    <row r="346" spans="15:27" ht="13.9" customHeight="1" x14ac:dyDescent="0.3">
      <c r="O346" s="12">
        <f t="shared" si="41"/>
        <v>27.75</v>
      </c>
      <c r="P346" s="13">
        <v>333</v>
      </c>
      <c r="Q346" s="22">
        <v>3.4467210131486237E-2</v>
      </c>
      <c r="R346" s="19">
        <f t="shared" si="42"/>
        <v>3.0954000376440804E-2</v>
      </c>
      <c r="S346" s="22">
        <v>3.5207338886060757E-2</v>
      </c>
      <c r="T346" s="19">
        <f t="shared" si="43"/>
        <v>3.7664503629544877E-2</v>
      </c>
      <c r="U346" s="24">
        <v>3.9395426359541741E-2</v>
      </c>
      <c r="V346" s="24">
        <f t="shared" si="44"/>
        <v>3.9531197805690477E-2</v>
      </c>
      <c r="W346" s="23">
        <f t="shared" si="45"/>
        <v>3.2334190994467438E-3</v>
      </c>
      <c r="X346" s="24">
        <v>3.8551915507901269E-2</v>
      </c>
      <c r="Y346" s="24">
        <f t="shared" si="46"/>
        <v>3.9140296522326201E-2</v>
      </c>
      <c r="Z346" s="23">
        <f t="shared" si="47"/>
        <v>3.2015850711690774E-3</v>
      </c>
      <c r="AA346" s="36"/>
    </row>
    <row r="347" spans="15:27" ht="13.9" customHeight="1" x14ac:dyDescent="0.3">
      <c r="O347" s="12">
        <f t="shared" si="41"/>
        <v>27.833333333333332</v>
      </c>
      <c r="P347" s="13">
        <v>334</v>
      </c>
      <c r="Q347" s="22">
        <v>3.4456673691142914E-2</v>
      </c>
      <c r="R347" s="19">
        <f t="shared" si="42"/>
        <v>3.0945236148443911E-2</v>
      </c>
      <c r="S347" s="22">
        <v>3.5214686975584941E-2</v>
      </c>
      <c r="T347" s="19">
        <f t="shared" si="43"/>
        <v>3.7720708444369588E-2</v>
      </c>
      <c r="U347" s="24">
        <v>3.9395832834409505E-2</v>
      </c>
      <c r="V347" s="24">
        <f t="shared" si="44"/>
        <v>3.9563532074545993E-2</v>
      </c>
      <c r="W347" s="23">
        <f t="shared" si="45"/>
        <v>3.236044739573174E-3</v>
      </c>
      <c r="X347" s="24">
        <v>3.855367663037268E-2</v>
      </c>
      <c r="Y347" s="24">
        <f t="shared" si="46"/>
        <v>3.9177419064724495E-2</v>
      </c>
      <c r="Z347" s="23">
        <f t="shared" si="47"/>
        <v>3.204601570424126E-3</v>
      </c>
      <c r="AA347" s="36"/>
    </row>
    <row r="348" spans="15:27" ht="13.9" customHeight="1" x14ac:dyDescent="0.3">
      <c r="O348" s="12">
        <f t="shared" si="41"/>
        <v>27.916666666666668</v>
      </c>
      <c r="P348" s="13">
        <v>335</v>
      </c>
      <c r="Q348" s="22">
        <v>3.4446174010674291E-2</v>
      </c>
      <c r="R348" s="19">
        <f t="shared" si="42"/>
        <v>3.0936596455069187E-2</v>
      </c>
      <c r="S348" s="22">
        <v>3.5222158623737565E-2</v>
      </c>
      <c r="T348" s="19">
        <f t="shared" si="43"/>
        <v>3.7776299292471727E-2</v>
      </c>
      <c r="U348" s="24">
        <v>3.9396333388897364E-2</v>
      </c>
      <c r="V348" s="24">
        <f t="shared" si="44"/>
        <v>3.9595556667335829E-2</v>
      </c>
      <c r="W348" s="23">
        <f t="shared" si="45"/>
        <v>3.2386451458601417E-3</v>
      </c>
      <c r="X348" s="24">
        <v>3.8555537990856648E-2</v>
      </c>
      <c r="Y348" s="24">
        <f t="shared" si="46"/>
        <v>3.9214174020861137E-2</v>
      </c>
      <c r="Z348" s="23">
        <f t="shared" si="47"/>
        <v>3.2075880853117411E-3</v>
      </c>
      <c r="AA348" s="36"/>
    </row>
    <row r="349" spans="15:27" ht="13.9" customHeight="1" x14ac:dyDescent="0.3">
      <c r="O349" s="12">
        <f t="shared" si="41"/>
        <v>28</v>
      </c>
      <c r="P349" s="13">
        <v>336</v>
      </c>
      <c r="Q349" s="22">
        <v>3.4435711133385727E-2</v>
      </c>
      <c r="R349" s="19">
        <f t="shared" si="42"/>
        <v>3.0928079790737195E-2</v>
      </c>
      <c r="S349" s="22">
        <v>3.5229750898613243E-2</v>
      </c>
      <c r="T349" s="19">
        <f t="shared" si="43"/>
        <v>3.7831283338626509E-2</v>
      </c>
      <c r="U349" s="24">
        <v>3.939692625867397E-2</v>
      </c>
      <c r="V349" s="24">
        <f t="shared" si="44"/>
        <v>3.9627274703231352E-2</v>
      </c>
      <c r="W349" s="23">
        <f t="shared" si="45"/>
        <v>3.2412205741103595E-3</v>
      </c>
      <c r="X349" s="24">
        <v>3.8557497597675017E-2</v>
      </c>
      <c r="Y349" s="24">
        <f t="shared" si="46"/>
        <v>3.9250565231005563E-2</v>
      </c>
      <c r="Z349" s="23">
        <f t="shared" si="47"/>
        <v>3.210544931474546E-3</v>
      </c>
      <c r="AA349" s="36"/>
    </row>
    <row r="350" spans="15:27" ht="13.9" customHeight="1" x14ac:dyDescent="0.3">
      <c r="O350" s="12">
        <f t="shared" si="41"/>
        <v>28.083333333333332</v>
      </c>
      <c r="P350" s="13">
        <v>337</v>
      </c>
      <c r="Q350" s="22">
        <v>3.4425285097584357E-2</v>
      </c>
      <c r="R350" s="19">
        <f t="shared" si="42"/>
        <v>3.0919682289997308E-2</v>
      </c>
      <c r="S350" s="22">
        <v>3.5237460924595343E-2</v>
      </c>
      <c r="T350" s="19">
        <f t="shared" si="43"/>
        <v>3.7885667655604305E-2</v>
      </c>
      <c r="U350" s="24">
        <v>3.9397609709710846E-2</v>
      </c>
      <c r="V350" s="24">
        <f t="shared" si="44"/>
        <v>3.9658689267384251E-2</v>
      </c>
      <c r="W350" s="23">
        <f t="shared" si="45"/>
        <v>3.2437712772721561E-3</v>
      </c>
      <c r="X350" s="24">
        <v>3.8559553494313503E-2</v>
      </c>
      <c r="Y350" s="24">
        <f t="shared" si="46"/>
        <v>3.9286596493588011E-2</v>
      </c>
      <c r="Z350" s="23">
        <f t="shared" si="47"/>
        <v>3.2134724207202314E-3</v>
      </c>
      <c r="AA350" s="36"/>
    </row>
    <row r="351" spans="15:27" ht="13.9" customHeight="1" x14ac:dyDescent="0.3">
      <c r="O351" s="12">
        <f t="shared" si="41"/>
        <v>28.166666666666668</v>
      </c>
      <c r="P351" s="13">
        <v>338</v>
      </c>
      <c r="Q351" s="22">
        <v>3.4414895929646638E-2</v>
      </c>
      <c r="R351" s="19">
        <f t="shared" si="42"/>
        <v>3.0911402464938176E-2</v>
      </c>
      <c r="S351" s="22">
        <v>3.5245285881242872E-2</v>
      </c>
      <c r="T351" s="19">
        <f t="shared" si="43"/>
        <v>3.7939459223262029E-2</v>
      </c>
      <c r="U351" s="24">
        <v>3.9398382037730606E-2</v>
      </c>
      <c r="V351" s="24">
        <f t="shared" si="44"/>
        <v>3.9689803410926316E-2</v>
      </c>
      <c r="W351" s="23">
        <f t="shared" si="45"/>
        <v>3.2462975055096432E-3</v>
      </c>
      <c r="X351" s="24">
        <v>3.8561703758773103E-2</v>
      </c>
      <c r="Y351" s="24">
        <f t="shared" si="46"/>
        <v>3.9322271562341138E-2</v>
      </c>
      <c r="Z351" s="23">
        <f t="shared" si="47"/>
        <v>3.2163708614230124E-3</v>
      </c>
      <c r="AA351" s="36"/>
    </row>
    <row r="352" spans="15:27" ht="13.9" customHeight="1" x14ac:dyDescent="0.3">
      <c r="O352" s="12">
        <f t="shared" si="41"/>
        <v>28.25</v>
      </c>
      <c r="P352" s="13">
        <v>339</v>
      </c>
      <c r="Q352" s="22">
        <v>3.4404543651232578E-2</v>
      </c>
      <c r="R352" s="19">
        <f t="shared" si="42"/>
        <v>3.0903239627107393E-2</v>
      </c>
      <c r="S352" s="22">
        <v>3.5253223002193579E-2</v>
      </c>
      <c r="T352" s="19">
        <f t="shared" si="43"/>
        <v>3.7992664931222997E-2</v>
      </c>
      <c r="U352" s="24">
        <v>3.9399241567664722E-2</v>
      </c>
      <c r="V352" s="24">
        <f t="shared" si="44"/>
        <v>3.972062015169775E-2</v>
      </c>
      <c r="W352" s="23">
        <f t="shared" si="45"/>
        <v>3.2487995062040476E-3</v>
      </c>
      <c r="X352" s="24">
        <v>3.8563946502925939E-2</v>
      </c>
      <c r="Y352" s="24">
        <f t="shared" si="46"/>
        <v>3.9357594148379027E-2</v>
      </c>
      <c r="Z352" s="23">
        <f t="shared" si="47"/>
        <v>3.2192405582947003E-3</v>
      </c>
      <c r="AA352" s="36"/>
    </row>
    <row r="353" spans="15:27" ht="13.9" customHeight="1" x14ac:dyDescent="0.3">
      <c r="O353" s="12">
        <f t="shared" si="41"/>
        <v>28.333333333333332</v>
      </c>
      <c r="P353" s="13">
        <v>340</v>
      </c>
      <c r="Q353" s="22">
        <v>3.439422828171379E-2</v>
      </c>
      <c r="R353" s="19">
        <f t="shared" si="42"/>
        <v>3.0895193093773088E-2</v>
      </c>
      <c r="S353" s="22">
        <v>3.5261269574095477E-2</v>
      </c>
      <c r="T353" s="19">
        <f t="shared" si="43"/>
        <v>3.8045291580141916E-2</v>
      </c>
      <c r="U353" s="24">
        <v>3.9400186653123059E-2</v>
      </c>
      <c r="V353" s="24">
        <f t="shared" si="44"/>
        <v>3.975114247426248E-2</v>
      </c>
      <c r="W353" s="23">
        <f t="shared" si="45"/>
        <v>3.2512775240127745E-3</v>
      </c>
      <c r="X353" s="24">
        <v>3.8566279871887987E-2</v>
      </c>
      <c r="Y353" s="24">
        <f t="shared" si="46"/>
        <v>3.9392567920719879E-2</v>
      </c>
      <c r="Z353" s="23">
        <f t="shared" si="47"/>
        <v>3.2220818125532347E-3</v>
      </c>
      <c r="AA353" s="36"/>
    </row>
    <row r="354" spans="15:27" ht="13.9" customHeight="1" x14ac:dyDescent="0.3">
      <c r="O354" s="12">
        <f t="shared" si="41"/>
        <v>28.416666666666668</v>
      </c>
      <c r="P354" s="13">
        <v>341</v>
      </c>
      <c r="Q354" s="22">
        <v>3.4383949838224126E-2</v>
      </c>
      <c r="R354" s="19">
        <f t="shared" si="42"/>
        <v>3.088726219050919E-2</v>
      </c>
      <c r="S354" s="22">
        <v>3.5269422935560124E-2</v>
      </c>
      <c r="T354" s="19">
        <f t="shared" si="43"/>
        <v>3.8097345883382205E-2</v>
      </c>
      <c r="U354" s="24">
        <v>3.9401215675872736E-2</v>
      </c>
      <c r="V354" s="24">
        <f t="shared" si="44"/>
        <v>3.9781373331309711E-2</v>
      </c>
      <c r="W354" s="23">
        <f t="shared" si="45"/>
        <v>3.2537318008722949E-3</v>
      </c>
      <c r="X354" s="24">
        <v>3.8568702043404013E-2</v>
      </c>
      <c r="Y354" s="24">
        <f t="shared" si="46"/>
        <v>3.9427196506803819E-2</v>
      </c>
      <c r="Z354" s="23">
        <f t="shared" si="47"/>
        <v>3.2248949219664258E-3</v>
      </c>
      <c r="AA354" s="36"/>
    </row>
    <row r="355" spans="15:27" ht="13.9" customHeight="1" x14ac:dyDescent="0.3">
      <c r="O355" s="12">
        <f t="shared" si="41"/>
        <v>28.5</v>
      </c>
      <c r="P355" s="13">
        <v>342</v>
      </c>
      <c r="Q355" s="22">
        <v>3.4373708335716735E-2</v>
      </c>
      <c r="R355" s="19">
        <f t="shared" si="42"/>
        <v>3.0879445475326506E-2</v>
      </c>
      <c r="S355" s="22">
        <v>3.5277680476140549E-2</v>
      </c>
      <c r="T355" s="19">
        <f t="shared" si="43"/>
        <v>3.8148834467431225E-2</v>
      </c>
      <c r="U355" s="24">
        <v>3.940232704533142E-2</v>
      </c>
      <c r="V355" s="24">
        <f t="shared" si="44"/>
        <v>3.9811315642305223E-2</v>
      </c>
      <c r="W355" s="23">
        <f t="shared" si="45"/>
        <v>3.2561625761116098E-3</v>
      </c>
      <c r="X355" s="24">
        <v>3.8571211227246271E-2</v>
      </c>
      <c r="Y355" s="24">
        <f t="shared" si="46"/>
        <v>3.9461483492278626E-2</v>
      </c>
      <c r="Z355" s="23">
        <f t="shared" si="47"/>
        <v>3.2276801808954758E-3</v>
      </c>
      <c r="AA355" s="36"/>
    </row>
    <row r="356" spans="15:27" ht="13.9" customHeight="1" x14ac:dyDescent="0.3">
      <c r="O356" s="12">
        <f t="shared" si="41"/>
        <v>28.583333333333332</v>
      </c>
      <c r="P356" s="13">
        <v>343</v>
      </c>
      <c r="Q356" s="22">
        <v>3.4363503784750282E-2</v>
      </c>
      <c r="R356" s="19">
        <f t="shared" si="42"/>
        <v>3.0871739188761183E-2</v>
      </c>
      <c r="S356" s="22">
        <v>3.5286039635327171E-2</v>
      </c>
      <c r="T356" s="19">
        <f t="shared" si="43"/>
        <v>3.8199763873391523E-2</v>
      </c>
      <c r="U356" s="24">
        <v>3.9403519198063952E-2</v>
      </c>
      <c r="V356" s="24">
        <f t="shared" si="44"/>
        <v>3.9840972295692945E-2</v>
      </c>
      <c r="W356" s="23">
        <f t="shared" si="45"/>
        <v>3.2585700863445588E-3</v>
      </c>
      <c r="X356" s="24">
        <v>3.8573805664622096E-2</v>
      </c>
      <c r="Y356" s="24">
        <f t="shared" si="46"/>
        <v>3.9495432422440135E-2</v>
      </c>
      <c r="Z356" s="23">
        <f t="shared" si="47"/>
        <v>3.2304378802783251E-3</v>
      </c>
      <c r="AA356" s="36"/>
    </row>
    <row r="357" spans="15:27" ht="13.9" customHeight="1" x14ac:dyDescent="0.3">
      <c r="O357" s="12">
        <f t="shared" si="41"/>
        <v>28.666666666666668</v>
      </c>
      <c r="P357" s="13">
        <v>344</v>
      </c>
      <c r="Q357" s="22">
        <v>3.4353336184793637E-2</v>
      </c>
      <c r="R357" s="19">
        <f t="shared" si="42"/>
        <v>3.0864141906957965E-2</v>
      </c>
      <c r="S357" s="22">
        <v>3.5294497901567468E-2</v>
      </c>
      <c r="T357" s="19">
        <f t="shared" si="43"/>
        <v>3.8250140559113577E-2</v>
      </c>
      <c r="U357" s="24">
        <v>3.9404790597295403E-2</v>
      </c>
      <c r="V357" s="24">
        <f t="shared" si="44"/>
        <v>3.9870346148109359E-2</v>
      </c>
      <c r="W357" s="23">
        <f t="shared" si="45"/>
        <v>3.2609545656476779E-3</v>
      </c>
      <c r="X357" s="24">
        <v>3.8576483627596136E-2</v>
      </c>
      <c r="Y357" s="24">
        <f t="shared" si="46"/>
        <v>3.9529046802408541E-2</v>
      </c>
      <c r="Z357" s="23">
        <f t="shared" si="47"/>
        <v>3.2331683077473361E-3</v>
      </c>
      <c r="AA357" s="36"/>
    </row>
    <row r="358" spans="15:27" ht="13.9" customHeight="1" x14ac:dyDescent="0.3">
      <c r="O358" s="12">
        <f t="shared" si="41"/>
        <v>28.75</v>
      </c>
      <c r="P358" s="13">
        <v>345</v>
      </c>
      <c r="Q358" s="22">
        <v>3.4343205531178977E-2</v>
      </c>
      <c r="R358" s="19">
        <f t="shared" si="42"/>
        <v>3.085665298940965E-2</v>
      </c>
      <c r="S358" s="22">
        <v>3.5303052811307412E-2</v>
      </c>
      <c r="T358" s="19">
        <f t="shared" si="43"/>
        <v>3.8299970899642988E-2</v>
      </c>
      <c r="U358" s="24">
        <v>3.9406139732430123E-2</v>
      </c>
      <c r="V358" s="24">
        <f t="shared" si="44"/>
        <v>3.9899440025858324E-2</v>
      </c>
      <c r="W358" s="23">
        <f t="shared" si="45"/>
        <v>3.2633162454989151E-3</v>
      </c>
      <c r="X358" s="24">
        <v>3.8579243418523923E-2</v>
      </c>
      <c r="Y358" s="24">
        <f t="shared" si="46"/>
        <v>3.9562330097969722E-2</v>
      </c>
      <c r="Z358" s="23">
        <f t="shared" si="47"/>
        <v>3.2358717476452803E-3</v>
      </c>
      <c r="AA358" s="36"/>
    </row>
    <row r="359" spans="15:27" ht="13.9" customHeight="1" x14ac:dyDescent="0.3">
      <c r="O359" s="12">
        <f t="shared" si="41"/>
        <v>28.833333333333332</v>
      </c>
      <c r="P359" s="13">
        <v>346</v>
      </c>
      <c r="Q359" s="22">
        <v>3.4333111817433926E-2</v>
      </c>
      <c r="R359" s="19">
        <f t="shared" si="42"/>
        <v>3.0849271802456668E-2</v>
      </c>
      <c r="S359" s="22">
        <v>3.5311701948052665E-2</v>
      </c>
      <c r="T359" s="19">
        <f t="shared" si="43"/>
        <v>3.8349261188553196E-2</v>
      </c>
      <c r="U359" s="24">
        <v>3.940756511858301E-2</v>
      </c>
      <c r="V359" s="24">
        <f t="shared" si="44"/>
        <v>3.9928256723622324E-2</v>
      </c>
      <c r="W359" s="23">
        <f t="shared" si="45"/>
        <v>3.2656553548957579E-3</v>
      </c>
      <c r="X359" s="24">
        <v>3.85820833694972E-2</v>
      </c>
      <c r="Y359" s="24">
        <f t="shared" si="46"/>
        <v>3.9595285735254837E-2</v>
      </c>
      <c r="Z359" s="23">
        <f t="shared" si="47"/>
        <v>3.2385484810937282E-3</v>
      </c>
      <c r="AA359" s="36"/>
    </row>
    <row r="360" spans="15:27" ht="13.9" customHeight="1" x14ac:dyDescent="0.3">
      <c r="O360" s="12">
        <f t="shared" si="41"/>
        <v>28.916666666666668</v>
      </c>
      <c r="P360" s="13">
        <v>347</v>
      </c>
      <c r="Q360" s="22">
        <v>3.4323055035326622E-2</v>
      </c>
      <c r="R360" s="19">
        <f t="shared" si="42"/>
        <v>3.0841997720124192E-2</v>
      </c>
      <c r="S360" s="22">
        <v>3.5320442941448427E-2</v>
      </c>
      <c r="T360" s="19">
        <f t="shared" si="43"/>
        <v>3.8398017639204252E-2</v>
      </c>
      <c r="U360" s="24">
        <v>3.9409065296115875E-2</v>
      </c>
      <c r="V360" s="24">
        <f t="shared" si="44"/>
        <v>3.9956799006673149E-2</v>
      </c>
      <c r="W360" s="23">
        <f t="shared" si="45"/>
        <v>3.2679721202537593E-3</v>
      </c>
      <c r="X360" s="24">
        <v>3.8585001841798139E-2</v>
      </c>
      <c r="Y360" s="24">
        <f t="shared" si="46"/>
        <v>3.9627917102521115E-2</v>
      </c>
      <c r="Z360" s="23">
        <f t="shared" si="47"/>
        <v>3.2411987859686242E-3</v>
      </c>
      <c r="AA360" s="36"/>
    </row>
    <row r="361" spans="15:27" ht="13.9" customHeight="1" x14ac:dyDescent="0.3">
      <c r="O361" s="12">
        <f t="shared" si="41"/>
        <v>29</v>
      </c>
      <c r="P361" s="13">
        <v>348</v>
      </c>
      <c r="Q361" s="22">
        <v>3.4313035174913686E-2</v>
      </c>
      <c r="R361" s="19">
        <f t="shared" si="42"/>
        <v>3.0834829361110261E-2</v>
      </c>
      <c r="S361" s="22">
        <v>3.5329273466380373E-2</v>
      </c>
      <c r="T361" s="19">
        <f t="shared" si="43"/>
        <v>3.844624638610239E-2</v>
      </c>
      <c r="U361" s="24">
        <v>3.9410638830188027E-2</v>
      </c>
      <c r="V361" s="24">
        <f t="shared" si="44"/>
        <v>3.9985069609829837E-2</v>
      </c>
      <c r="W361" s="23">
        <f t="shared" si="45"/>
        <v>3.2702667655841733E-3</v>
      </c>
      <c r="X361" s="24">
        <v>3.8587997225368209E-2</v>
      </c>
      <c r="Y361" s="24">
        <f t="shared" si="46"/>
        <v>3.9660227548534488E-2</v>
      </c>
      <c r="Z361" s="23">
        <f t="shared" si="47"/>
        <v>3.2438229370448379E-3</v>
      </c>
      <c r="AA361" s="36"/>
    </row>
    <row r="362" spans="15:27" ht="13.9" customHeight="1" x14ac:dyDescent="0.3">
      <c r="O362" s="12">
        <f t="shared" si="41"/>
        <v>29.083333333333332</v>
      </c>
      <c r="P362" s="13">
        <v>349</v>
      </c>
      <c r="Q362" s="22">
        <v>3.4303052222392827E-2</v>
      </c>
      <c r="R362" s="19">
        <f t="shared" si="42"/>
        <v>3.0827763067651448E-2</v>
      </c>
      <c r="S362" s="22">
        <v>3.5338191242094252E-2</v>
      </c>
      <c r="T362" s="19">
        <f t="shared" si="43"/>
        <v>3.8493953485484234E-2</v>
      </c>
      <c r="U362" s="24">
        <v>3.9412284310311074E-2</v>
      </c>
      <c r="V362" s="24">
        <f t="shared" si="44"/>
        <v>4.0013071238993891E-2</v>
      </c>
      <c r="W362" s="23">
        <f t="shared" si="45"/>
        <v>3.2725395124115764E-3</v>
      </c>
      <c r="X362" s="24">
        <v>3.8591067938281931E-2</v>
      </c>
      <c r="Y362" s="24">
        <f t="shared" si="46"/>
        <v>3.9692220386173815E-2</v>
      </c>
      <c r="Z362" s="23">
        <f t="shared" si="47"/>
        <v>3.246421205867378E-3</v>
      </c>
      <c r="AA362" s="36"/>
    </row>
    <row r="363" spans="15:27" ht="13.9" customHeight="1" x14ac:dyDescent="0.3">
      <c r="O363" s="12">
        <f t="shared" si="41"/>
        <v>29.166666666666668</v>
      </c>
      <c r="P363" s="13">
        <v>350</v>
      </c>
      <c r="Q363" s="22">
        <v>3.4293106153632236E-2</v>
      </c>
      <c r="R363" s="19">
        <f t="shared" si="42"/>
        <v>3.0820797476290185E-2</v>
      </c>
      <c r="S363" s="22">
        <v>3.534719403133324E-2</v>
      </c>
      <c r="T363" s="19">
        <f t="shared" si="43"/>
        <v>3.8541144917606296E-2</v>
      </c>
      <c r="U363" s="24">
        <v>3.9414000349916822E-2</v>
      </c>
      <c r="V363" s="24">
        <f t="shared" si="44"/>
        <v>4.0040806570122101E-2</v>
      </c>
      <c r="W363" s="23">
        <f t="shared" si="45"/>
        <v>3.2747905798979904E-3</v>
      </c>
      <c r="X363" s="24">
        <v>3.8594212426239283E-2</v>
      </c>
      <c r="Y363" s="24">
        <f t="shared" si="46"/>
        <v>3.9723898889972409E-2</v>
      </c>
      <c r="Z363" s="23">
        <f t="shared" si="47"/>
        <v>3.248993861042937E-3</v>
      </c>
      <c r="AA363" s="36"/>
    </row>
    <row r="364" spans="15:27" ht="13.9" customHeight="1" x14ac:dyDescent="0.3">
      <c r="O364" s="12">
        <f t="shared" si="41"/>
        <v>29.25</v>
      </c>
      <c r="P364" s="13">
        <v>351</v>
      </c>
      <c r="Q364" s="22">
        <v>3.4283196940876115E-2</v>
      </c>
      <c r="R364" s="19">
        <f t="shared" si="42"/>
        <v>3.0813931992670129E-2</v>
      </c>
      <c r="S364" s="22">
        <v>3.5356279639495503E-2</v>
      </c>
      <c r="T364" s="19">
        <f t="shared" si="43"/>
        <v>3.8587826586666596E-2</v>
      </c>
      <c r="U364" s="24">
        <v>3.9415785585928953E-2</v>
      </c>
      <c r="V364" s="24">
        <f t="shared" si="44"/>
        <v>4.0068278251116585E-2</v>
      </c>
      <c r="W364" s="23">
        <f t="shared" si="45"/>
        <v>3.2770201847611702E-3</v>
      </c>
      <c r="X364" s="24">
        <v>3.8597429162060548E-2</v>
      </c>
      <c r="Y364" s="24">
        <f t="shared" si="46"/>
        <v>3.9755266298098668E-2</v>
      </c>
      <c r="Z364" s="23">
        <f t="shared" si="47"/>
        <v>3.2515411680424933E-3</v>
      </c>
      <c r="AA364" s="36"/>
    </row>
    <row r="365" spans="15:27" ht="13.9" customHeight="1" x14ac:dyDescent="0.3">
      <c r="O365" s="12">
        <f t="shared" si="41"/>
        <v>29.333333333333332</v>
      </c>
      <c r="P365" s="13">
        <v>352</v>
      </c>
      <c r="Q365" s="22">
        <v>3.4273324554988882E-2</v>
      </c>
      <c r="R365" s="19">
        <f t="shared" si="42"/>
        <v>3.0807166028164579E-2</v>
      </c>
      <c r="S365" s="22">
        <v>3.5365445913807525E-2</v>
      </c>
      <c r="T365" s="19">
        <f t="shared" si="43"/>
        <v>3.8634004322351201E-2</v>
      </c>
      <c r="U365" s="24">
        <v>3.9417638678347577E-2</v>
      </c>
      <c r="V365" s="24">
        <f t="shared" si="44"/>
        <v>4.0095488900967258E-2</v>
      </c>
      <c r="W365" s="23">
        <f t="shared" si="45"/>
        <v>3.2792285414273703E-3</v>
      </c>
      <c r="X365" s="24">
        <v>3.8600716645195376E-2</v>
      </c>
      <c r="Y365" s="24">
        <f t="shared" si="46"/>
        <v>3.9786325812675383E-2</v>
      </c>
      <c r="Z365" s="23">
        <f t="shared" si="47"/>
        <v>3.2540633893620718E-3</v>
      </c>
      <c r="AA365" s="36"/>
    </row>
    <row r="366" spans="15:27" ht="13.9" customHeight="1" x14ac:dyDescent="0.3">
      <c r="O366" s="12">
        <f t="shared" si="41"/>
        <v>29.416666666666668</v>
      </c>
      <c r="P366" s="13">
        <v>353</v>
      </c>
      <c r="Q366" s="22">
        <v>3.4263488965490474E-2</v>
      </c>
      <c r="R366" s="19">
        <f t="shared" si="42"/>
        <v>3.0800499002486825E-2</v>
      </c>
      <c r="S366" s="22">
        <v>3.5374690742515202E-2</v>
      </c>
      <c r="T366" s="19">
        <f t="shared" si="43"/>
        <v>3.8679683880882054E-2</v>
      </c>
      <c r="U366" s="24">
        <v>3.9419558309838676E-2</v>
      </c>
      <c r="V366" s="24">
        <f t="shared" si="44"/>
        <v>4.0122441110974405E-2</v>
      </c>
      <c r="W366" s="23">
        <f t="shared" si="45"/>
        <v>3.2814158619629552E-3</v>
      </c>
      <c r="X366" s="24">
        <v>3.8604073401240502E-2</v>
      </c>
      <c r="Y366" s="24">
        <f t="shared" si="46"/>
        <v>3.981708059982636E-2</v>
      </c>
      <c r="Z366" s="23">
        <f t="shared" si="47"/>
        <v>3.2565607845500555E-3</v>
      </c>
      <c r="AA366" s="36"/>
    </row>
    <row r="367" spans="15:27" ht="13.9" customHeight="1" x14ac:dyDescent="0.3">
      <c r="O367" s="12">
        <f t="shared" si="41"/>
        <v>29.5</v>
      </c>
      <c r="P367" s="13">
        <v>354</v>
      </c>
      <c r="Q367" s="22">
        <v>3.4253690140599202E-2</v>
      </c>
      <c r="R367" s="19">
        <f t="shared" si="42"/>
        <v>3.0793929591850899E-2</v>
      </c>
      <c r="S367" s="22">
        <v>3.5384012054091807E-2</v>
      </c>
      <c r="T367" s="19">
        <f t="shared" si="43"/>
        <v>3.8724870946970968E-2</v>
      </c>
      <c r="U367" s="24">
        <v>3.942154318533353E-2</v>
      </c>
      <c r="V367" s="24">
        <f t="shared" si="44"/>
        <v>4.014913744411075E-2</v>
      </c>
      <c r="W367" s="23">
        <f t="shared" si="45"/>
        <v>3.2835823561736532E-3</v>
      </c>
      <c r="X367" s="24">
        <v>3.8607497981467009E-2</v>
      </c>
      <c r="Y367" s="24">
        <f t="shared" si="46"/>
        <v>3.9847533790730916E-2</v>
      </c>
      <c r="Z367" s="23">
        <f t="shared" si="47"/>
        <v>3.2590336102114037E-3</v>
      </c>
      <c r="AA367" s="36"/>
    </row>
    <row r="368" spans="15:27" ht="13.9" customHeight="1" x14ac:dyDescent="0.3">
      <c r="O368" s="12">
        <f t="shared" si="41"/>
        <v>29.583333333333332</v>
      </c>
      <c r="P368" s="13">
        <v>355</v>
      </c>
      <c r="Q368" s="22">
        <v>3.4243928045148975E-2</v>
      </c>
      <c r="R368" s="19">
        <f t="shared" si="42"/>
        <v>3.0787454236815615E-2</v>
      </c>
      <c r="S368" s="22">
        <v>3.539340781646505E-2</v>
      </c>
      <c r="T368" s="19">
        <f t="shared" si="43"/>
        <v>3.8769571132356129E-2</v>
      </c>
      <c r="U368" s="24">
        <v>3.9423592031634147E-2</v>
      </c>
      <c r="V368" s="24">
        <f t="shared" si="44"/>
        <v>4.0175580436567326E-2</v>
      </c>
      <c r="W368" s="23">
        <f t="shared" si="45"/>
        <v>3.2857282315539305E-3</v>
      </c>
      <c r="X368" s="24">
        <v>3.8610988962357373E-2</v>
      </c>
      <c r="Y368" s="24">
        <f t="shared" si="46"/>
        <v>3.9877688480634887E-2</v>
      </c>
      <c r="Z368" s="23">
        <f t="shared" si="47"/>
        <v>3.261482120093806E-3</v>
      </c>
      <c r="AA368" s="36"/>
    </row>
    <row r="369" spans="15:27" ht="13.9" customHeight="1" x14ac:dyDescent="0.3">
      <c r="O369" s="12">
        <f t="shared" si="41"/>
        <v>29.666666666666668</v>
      </c>
      <c r="P369" s="13">
        <v>356</v>
      </c>
      <c r="Q369" s="22">
        <v>3.4234202634335409E-2</v>
      </c>
      <c r="R369" s="19">
        <f t="shared" si="42"/>
        <v>3.0781071630040291E-2</v>
      </c>
      <c r="S369" s="22">
        <v>3.5402876036253916E-2</v>
      </c>
      <c r="T369" s="19">
        <f t="shared" si="43"/>
        <v>3.881378998054319E-2</v>
      </c>
      <c r="U369" s="24">
        <v>3.9425703597028239E-2</v>
      </c>
      <c r="V369" s="24">
        <f t="shared" si="44"/>
        <v>4.0201772596592411E-2</v>
      </c>
      <c r="W369" s="23">
        <f t="shared" si="45"/>
        <v>3.2878536934124458E-3</v>
      </c>
      <c r="X369" s="24">
        <v>3.861454494514871E-2</v>
      </c>
      <c r="Y369" s="24">
        <f t="shared" si="46"/>
        <v>3.9907547732272119E-2</v>
      </c>
      <c r="Z369" s="23">
        <f t="shared" si="47"/>
        <v>3.2639065650090782E-3</v>
      </c>
      <c r="AA369" s="36"/>
    </row>
    <row r="370" spans="15:27" ht="13.9" customHeight="1" x14ac:dyDescent="0.3">
      <c r="O370" s="12">
        <f t="shared" si="41"/>
        <v>29.75</v>
      </c>
      <c r="P370" s="13">
        <v>357</v>
      </c>
      <c r="Q370" s="22">
        <v>3.4224513860180883E-2</v>
      </c>
      <c r="R370" s="19">
        <f t="shared" si="42"/>
        <v>3.0774781220581193E-2</v>
      </c>
      <c r="S370" s="22">
        <v>3.5412414758030364E-2</v>
      </c>
      <c r="T370" s="19">
        <f t="shared" si="43"/>
        <v>3.8857532964033936E-2</v>
      </c>
      <c r="U370" s="24">
        <v>3.9427876650909077E-2</v>
      </c>
      <c r="V370" s="24">
        <f t="shared" si="44"/>
        <v>4.022771640667111E-2</v>
      </c>
      <c r="W370" s="23">
        <f t="shared" si="45"/>
        <v>3.2899589447785704E-3</v>
      </c>
      <c r="X370" s="24">
        <v>3.8618164555392243E-2</v>
      </c>
      <c r="Y370" s="24">
        <f t="shared" si="46"/>
        <v>3.9937114572687449E-2</v>
      </c>
      <c r="Z370" s="23">
        <f t="shared" si="47"/>
        <v>3.2663071931096077E-3</v>
      </c>
      <c r="AA370" s="36"/>
    </row>
    <row r="371" spans="15:27" ht="13.9" customHeight="1" x14ac:dyDescent="0.3">
      <c r="O371" s="12">
        <f t="shared" si="41"/>
        <v>29.833333333333332</v>
      </c>
      <c r="P371" s="13">
        <v>358</v>
      </c>
      <c r="Q371" s="22">
        <v>3.4214861673698804E-2</v>
      </c>
      <c r="R371" s="19">
        <f t="shared" si="42"/>
        <v>3.0768582463136962E-2</v>
      </c>
      <c r="S371" s="22">
        <v>3.5422022063587244E-2</v>
      </c>
      <c r="T371" s="19">
        <f t="shared" si="43"/>
        <v>3.8900805487956047E-2</v>
      </c>
      <c r="U371" s="24">
        <v>3.943010998340668E-2</v>
      </c>
      <c r="V371" s="24">
        <f t="shared" si="44"/>
        <v>4.0253414321864023E-2</v>
      </c>
      <c r="W371" s="23">
        <f t="shared" si="45"/>
        <v>3.292044186578913E-3</v>
      </c>
      <c r="X371" s="24">
        <v>3.8621846442512542E-2</v>
      </c>
      <c r="Y371" s="24">
        <f t="shared" si="46"/>
        <v>3.9966391996210771E-2</v>
      </c>
      <c r="Z371" s="23">
        <f t="shared" si="47"/>
        <v>3.2686842496336688E-3</v>
      </c>
      <c r="AA371" s="36"/>
    </row>
    <row r="372" spans="15:27" ht="13.9" customHeight="1" x14ac:dyDescent="0.3">
      <c r="O372" s="12">
        <f t="shared" si="41"/>
        <v>29.916666666666668</v>
      </c>
      <c r="P372" s="13">
        <v>359</v>
      </c>
      <c r="Q372" s="22">
        <v>3.4205246024923142E-2</v>
      </c>
      <c r="R372" s="19">
        <f t="shared" si="42"/>
        <v>3.0762474818718522E-2</v>
      </c>
      <c r="S372" s="22">
        <v>3.5431696071227758E-2</v>
      </c>
      <c r="T372" s="19">
        <f t="shared" si="43"/>
        <v>3.8943612890281143E-2</v>
      </c>
      <c r="U372" s="24">
        <v>3.9432402405020994E-2</v>
      </c>
      <c r="V372" s="24">
        <f t="shared" si="44"/>
        <v>4.0278868772043008E-2</v>
      </c>
      <c r="W372" s="23">
        <f t="shared" si="45"/>
        <v>3.294109617504537E-3</v>
      </c>
      <c r="X372" s="24">
        <v>3.8625589279381423E-2</v>
      </c>
      <c r="Y372" s="24">
        <f t="shared" si="46"/>
        <v>3.9995382963418757E-2</v>
      </c>
      <c r="Z372" s="23">
        <f t="shared" si="47"/>
        <v>3.2710379771456743E-3</v>
      </c>
      <c r="AA372" s="36"/>
    </row>
    <row r="373" spans="15:27" ht="13.9" customHeight="1" x14ac:dyDescent="0.3">
      <c r="O373" s="12">
        <f t="shared" si="41"/>
        <v>30</v>
      </c>
      <c r="P373" s="13">
        <v>360</v>
      </c>
      <c r="Q373" s="22">
        <v>3.4195666862939955E-2</v>
      </c>
      <c r="R373" s="19">
        <f t="shared" si="42"/>
        <v>3.0756469292746225E-2</v>
      </c>
      <c r="S373" s="22">
        <v>3.5441434935067795E-2</v>
      </c>
      <c r="T373" s="19">
        <f t="shared" si="43"/>
        <v>3.8985960442113887E-2</v>
      </c>
      <c r="U373" s="24">
        <v>3.9434752746267732E-2</v>
      </c>
      <c r="V373" s="24">
        <f t="shared" si="44"/>
        <v>4.0304082160599775E-2</v>
      </c>
      <c r="W373" s="23">
        <f t="shared" si="45"/>
        <v>3.2961554341908172E-3</v>
      </c>
      <c r="X373" s="24">
        <v>3.8629391761896725E-2</v>
      </c>
      <c r="Y373" s="24">
        <f t="shared" si="46"/>
        <v>4.0024090403307344E-2</v>
      </c>
      <c r="Z373" s="23">
        <f t="shared" si="47"/>
        <v>3.2733686154533537E-3</v>
      </c>
      <c r="AA373" s="36"/>
    </row>
    <row r="374" spans="15:27" ht="13.9" customHeight="1" x14ac:dyDescent="0.3">
      <c r="O374" s="12">
        <f t="shared" si="41"/>
        <v>30.083333333333332</v>
      </c>
      <c r="P374" s="13">
        <v>361</v>
      </c>
      <c r="Q374" s="22">
        <v>3.4186124167985499E-2</v>
      </c>
      <c r="R374" s="19">
        <f t="shared" si="42"/>
        <v>3.0750611494080315E-2</v>
      </c>
      <c r="S374" s="22">
        <v>3.545123684435092E-2</v>
      </c>
      <c r="T374" s="19">
        <f t="shared" si="43"/>
        <v>3.9027853349160591E-2</v>
      </c>
      <c r="U374" s="24">
        <v>3.9437159857325987E-2</v>
      </c>
      <c r="V374" s="24">
        <f t="shared" si="44"/>
        <v>4.032905686528987E-2</v>
      </c>
      <c r="W374" s="23">
        <f t="shared" si="45"/>
        <v>3.2981818311150768E-3</v>
      </c>
      <c r="X374" s="24">
        <v>3.8633252608573976E-2</v>
      </c>
      <c r="Y374" s="24">
        <f t="shared" si="46"/>
        <v>4.0052517210654281E-2</v>
      </c>
      <c r="Z374" s="23">
        <f t="shared" si="47"/>
        <v>3.2756764017840556E-3</v>
      </c>
      <c r="AA374" s="36"/>
    </row>
    <row r="375" spans="15:27" ht="13.9" customHeight="1" x14ac:dyDescent="0.3">
      <c r="O375" s="12">
        <f t="shared" si="41"/>
        <v>30.166666666666668</v>
      </c>
      <c r="P375" s="13">
        <v>362</v>
      </c>
      <c r="Q375" s="22">
        <v>3.417661804692318E-2</v>
      </c>
      <c r="R375" s="19">
        <f t="shared" si="42"/>
        <v>3.0744912388973145E-2</v>
      </c>
      <c r="S375" s="22">
        <v>3.5461100022778913E-2</v>
      </c>
      <c r="T375" s="19">
        <f t="shared" si="43"/>
        <v>3.9069296753325267E-2</v>
      </c>
      <c r="U375" s="24">
        <v>3.9439622607694291E-2</v>
      </c>
      <c r="V375" s="24">
        <f t="shared" si="44"/>
        <v>4.0353795239105539E-2</v>
      </c>
      <c r="W375" s="23">
        <f t="shared" si="45"/>
        <v>3.3001890006636447E-3</v>
      </c>
      <c r="X375" s="24">
        <v>3.8637170560137601E-2</v>
      </c>
      <c r="Y375" s="24">
        <f t="shared" si="46"/>
        <v>4.0080666250618124E-2</v>
      </c>
      <c r="Z375" s="23">
        <f t="shared" si="47"/>
        <v>3.2779615705726961E-3</v>
      </c>
      <c r="AA375" s="36"/>
    </row>
    <row r="376" spans="15:27" ht="13.9" customHeight="1" x14ac:dyDescent="0.3">
      <c r="O376" s="12">
        <f t="shared" si="41"/>
        <v>30.25</v>
      </c>
      <c r="P376" s="13">
        <v>363</v>
      </c>
      <c r="Q376" s="22">
        <v>3.416714863574466E-2</v>
      </c>
      <c r="R376" s="19">
        <f t="shared" si="42"/>
        <v>3.0739371411367511E-2</v>
      </c>
      <c r="S376" s="22">
        <v>3.5471022727857626E-2</v>
      </c>
      <c r="T376" s="19">
        <f t="shared" si="43"/>
        <v>3.9110295732379008E-2</v>
      </c>
      <c r="U376" s="24">
        <v>3.9442139885855099E-2</v>
      </c>
      <c r="V376" s="24">
        <f t="shared" si="44"/>
        <v>4.0378299610259072E-2</v>
      </c>
      <c r="W376" s="23">
        <f t="shared" si="45"/>
        <v>3.3021771332049088E-3</v>
      </c>
      <c r="X376" s="24">
        <v>3.8641144379131465E-2</v>
      </c>
      <c r="Y376" s="24">
        <f t="shared" si="46"/>
        <v>4.0108540354956146E-2</v>
      </c>
      <c r="Z376" s="23">
        <f t="shared" si="47"/>
        <v>3.2802243538334608E-3</v>
      </c>
      <c r="AA376" s="36"/>
    </row>
    <row r="377" spans="15:27" ht="13.9" customHeight="1" x14ac:dyDescent="0.3">
      <c r="O377" s="12">
        <f t="shared" si="41"/>
        <v>30.333333333333332</v>
      </c>
      <c r="P377" s="13">
        <v>364</v>
      </c>
      <c r="Q377" s="22">
        <v>3.4157716067382271E-2</v>
      </c>
      <c r="R377" s="19">
        <f t="shared" si="42"/>
        <v>3.0733988005114954E-2</v>
      </c>
      <c r="S377" s="22">
        <v>3.5481003250252829E-2</v>
      </c>
      <c r="T377" s="19">
        <f t="shared" si="43"/>
        <v>3.9150855301666843E-2</v>
      </c>
      <c r="U377" s="24">
        <v>3.944471059894461E-2</v>
      </c>
      <c r="V377" s="24">
        <f t="shared" si="44"/>
        <v>4.0402572281798665E-2</v>
      </c>
      <c r="W377" s="23">
        <f t="shared" si="45"/>
        <v>3.3041464170864288E-3</v>
      </c>
      <c r="X377" s="24">
        <v>3.8645172849526066E-2</v>
      </c>
      <c r="Y377" s="24">
        <f t="shared" si="46"/>
        <v>4.0136142325498003E-2</v>
      </c>
      <c r="Z377" s="23">
        <f t="shared" si="47"/>
        <v>3.2824649808553819E-3</v>
      </c>
      <c r="AA377" s="36"/>
    </row>
    <row r="378" spans="15:27" ht="13.9" customHeight="1" x14ac:dyDescent="0.3">
      <c r="O378" s="12">
        <f t="shared" si="41"/>
        <v>30.416666666666668</v>
      </c>
      <c r="P378" s="13">
        <v>365</v>
      </c>
      <c r="Q378" s="22">
        <v>3.4148320471777627E-2</v>
      </c>
      <c r="R378" s="19">
        <f t="shared" si="42"/>
        <v>3.0728761625441026E-2</v>
      </c>
      <c r="S378" s="22">
        <v>3.5491039913162048E-2</v>
      </c>
      <c r="T378" s="19">
        <f t="shared" si="43"/>
        <v>3.9190980414387955E-2</v>
      </c>
      <c r="U378" s="24">
        <v>3.9447333672426588E-2</v>
      </c>
      <c r="V378" s="24">
        <f t="shared" si="44"/>
        <v>4.0426615532543009E-2</v>
      </c>
      <c r="W378" s="23">
        <f t="shared" si="45"/>
        <v>3.3060970386058486E-3</v>
      </c>
      <c r="X378" s="24">
        <v>3.8649254776340847E-2</v>
      </c>
      <c r="Y378" s="24">
        <f t="shared" si="46"/>
        <v>4.0163474931917298E-2</v>
      </c>
      <c r="Z378" s="23">
        <f t="shared" si="47"/>
        <v>3.2846836784838906E-3</v>
      </c>
      <c r="AA378" s="36"/>
    </row>
    <row r="379" spans="15:27" ht="13.9" customHeight="1" x14ac:dyDescent="0.3">
      <c r="O379" s="12">
        <f t="shared" si="41"/>
        <v>30.5</v>
      </c>
      <c r="P379" s="13">
        <v>366</v>
      </c>
      <c r="Q379" s="22">
        <v>3.4138961975953785E-2</v>
      </c>
      <c r="R379" s="19">
        <f t="shared" si="42"/>
        <v>3.0723690809402182E-2</v>
      </c>
      <c r="S379" s="22">
        <v>3.5501131071696834E-2</v>
      </c>
      <c r="T379" s="19">
        <f t="shared" si="43"/>
        <v>3.9230675963659589E-2</v>
      </c>
      <c r="U379" s="24">
        <v>3.945000804977461E-2</v>
      </c>
      <c r="V379" s="24">
        <f t="shared" si="44"/>
        <v>4.0450431617450988E-2</v>
      </c>
      <c r="W379" s="23">
        <f t="shared" si="45"/>
        <v>3.3080291820861696E-3</v>
      </c>
      <c r="X379" s="24">
        <v>3.86533889852676E-2</v>
      </c>
      <c r="Y379" s="24">
        <f t="shared" si="46"/>
        <v>4.0190540915714168E-2</v>
      </c>
      <c r="Z379" s="23">
        <f t="shared" si="47"/>
        <v>3.2868806709414056E-3</v>
      </c>
      <c r="AA379" s="36"/>
    </row>
    <row r="380" spans="15:27" ht="13.9" customHeight="1" x14ac:dyDescent="0.3">
      <c r="O380" s="12">
        <f t="shared" si="41"/>
        <v>30.583333333333332</v>
      </c>
      <c r="P380" s="13">
        <v>367</v>
      </c>
      <c r="Q380" s="22">
        <v>3.4129640701545227E-2</v>
      </c>
      <c r="R380" s="19">
        <f t="shared" si="42"/>
        <v>3.0718771319408367E-2</v>
      </c>
      <c r="S380" s="22">
        <v>3.5511275112281027E-2</v>
      </c>
      <c r="T380" s="19">
        <f t="shared" si="43"/>
        <v>3.9269946781630871E-2</v>
      </c>
      <c r="U380" s="24">
        <v>3.9452732692160764E-2</v>
      </c>
      <c r="V380" s="24">
        <f t="shared" si="44"/>
        <v>4.0474022768180129E-2</v>
      </c>
      <c r="W380" s="23">
        <f t="shared" si="45"/>
        <v>3.3099430299061705E-3</v>
      </c>
      <c r="X380" s="24">
        <v>3.8657574322309873E-2</v>
      </c>
      <c r="Y380" s="24">
        <f t="shared" si="46"/>
        <v>4.0217342986210936E-2</v>
      </c>
      <c r="Z380" s="23">
        <f t="shared" si="47"/>
        <v>3.2890561801490747E-3</v>
      </c>
      <c r="AA380" s="36"/>
    </row>
    <row r="381" spans="15:27" ht="13.9" customHeight="1" x14ac:dyDescent="0.3">
      <c r="O381" s="12">
        <f t="shared" si="41"/>
        <v>30.666666666666668</v>
      </c>
      <c r="P381" s="13">
        <v>368</v>
      </c>
      <c r="Q381" s="22">
        <v>3.4120356757305847E-2</v>
      </c>
      <c r="R381" s="19">
        <f t="shared" si="42"/>
        <v>3.0714001718459949E-2</v>
      </c>
      <c r="S381" s="22">
        <v>3.5521470452057224E-2</v>
      </c>
      <c r="T381" s="19">
        <f t="shared" si="43"/>
        <v>3.9308797641857796E-2</v>
      </c>
      <c r="U381" s="24">
        <v>3.9455506578150112E-2</v>
      </c>
      <c r="V381" s="24">
        <f t="shared" si="44"/>
        <v>4.0497391192036325E-2</v>
      </c>
      <c r="W381" s="23">
        <f t="shared" si="45"/>
        <v>3.3118387625461487E-3</v>
      </c>
      <c r="X381" s="24">
        <v>3.866180965341881E-2</v>
      </c>
      <c r="Y381" s="24">
        <f t="shared" si="46"/>
        <v>4.0243883824299331E-2</v>
      </c>
      <c r="Z381" s="23">
        <f t="shared" si="47"/>
        <v>3.2912104254048113E-3</v>
      </c>
      <c r="AA381" s="36"/>
    </row>
    <row r="382" spans="15:27" ht="13.9" customHeight="1" x14ac:dyDescent="0.3">
      <c r="O382" s="12">
        <f t="shared" si="41"/>
        <v>30.75</v>
      </c>
      <c r="P382" s="13">
        <v>369</v>
      </c>
      <c r="Q382" s="22">
        <v>3.411111024689828E-2</v>
      </c>
      <c r="R382" s="19">
        <f t="shared" si="42"/>
        <v>3.0709381507503464E-2</v>
      </c>
      <c r="S382" s="22">
        <v>3.553171553830814E-2</v>
      </c>
      <c r="T382" s="19">
        <f t="shared" si="43"/>
        <v>3.9347233259252823E-2</v>
      </c>
      <c r="U382" s="24">
        <v>3.9458328703398049E-2</v>
      </c>
      <c r="V382" s="24">
        <f t="shared" si="44"/>
        <v>4.052053907338049E-2</v>
      </c>
      <c r="W382" s="23">
        <f t="shared" si="45"/>
        <v>3.3137165585033213E-3</v>
      </c>
      <c r="X382" s="24">
        <v>3.8666093864143658E-2</v>
      </c>
      <c r="Y382" s="24">
        <f t="shared" si="46"/>
        <v>4.027016608139955E-2</v>
      </c>
      <c r="Z382" s="23">
        <f t="shared" si="47"/>
        <v>3.2933436236861624E-3</v>
      </c>
      <c r="AA382" s="36"/>
    </row>
    <row r="383" spans="15:27" ht="13.9" customHeight="1" x14ac:dyDescent="0.3">
      <c r="O383" s="12">
        <f t="shared" si="41"/>
        <v>30.833333333333332</v>
      </c>
      <c r="P383" s="13">
        <v>370</v>
      </c>
      <c r="Q383" s="22">
        <v>3.4101901271506918E-2</v>
      </c>
      <c r="R383" s="19">
        <f t="shared" si="42"/>
        <v>3.0704910197924207E-2</v>
      </c>
      <c r="S383" s="22">
        <v>3.5542008847888829E-2</v>
      </c>
      <c r="T383" s="19">
        <f t="shared" si="43"/>
        <v>3.938525829103412E-2</v>
      </c>
      <c r="U383" s="24">
        <v>3.9461198080356308E-2</v>
      </c>
      <c r="V383" s="24">
        <f t="shared" si="44"/>
        <v>4.0543468574077979E-2</v>
      </c>
      <c r="W383" s="23">
        <f t="shared" si="45"/>
        <v>3.3155765944063997E-3</v>
      </c>
      <c r="X383" s="24">
        <v>3.8670425859286039E-2</v>
      </c>
      <c r="Y383" s="24">
        <f t="shared" si="46"/>
        <v>4.0296192379699391E-2</v>
      </c>
      <c r="Z383" s="23">
        <f t="shared" si="47"/>
        <v>3.2954559895672642E-3</v>
      </c>
      <c r="AA383" s="36"/>
    </row>
    <row r="384" spans="15:27" ht="13.9" customHeight="1" x14ac:dyDescent="0.3">
      <c r="O384" s="12">
        <f t="shared" si="41"/>
        <v>30.916666666666668</v>
      </c>
      <c r="P384" s="13">
        <v>371</v>
      </c>
      <c r="Q384" s="22">
        <v>3.4092729929898535E-2</v>
      </c>
      <c r="R384" s="19">
        <f t="shared" si="42"/>
        <v>3.0700587311278227E-2</v>
      </c>
      <c r="S384" s="22">
        <v>3.555234888666936E-2</v>
      </c>
      <c r="T384" s="19">
        <f t="shared" si="43"/>
        <v>3.9422877338292084E-2</v>
      </c>
      <c r="U384" s="24">
        <v>3.9464113737984752E-2</v>
      </c>
      <c r="V384" s="24">
        <f t="shared" si="44"/>
        <v>4.0566181832847548E-2</v>
      </c>
      <c r="W384" s="23">
        <f t="shared" si="45"/>
        <v>3.3174190450513397E-3</v>
      </c>
      <c r="X384" s="24">
        <v>3.8674804562560672E-2</v>
      </c>
      <c r="Y384" s="24">
        <f t="shared" si="46"/>
        <v>4.0321965313300456E-2</v>
      </c>
      <c r="Z384" s="23">
        <f t="shared" si="47"/>
        <v>3.2975477352381599E-3</v>
      </c>
      <c r="AA384" s="36"/>
    </row>
    <row r="385" spans="15:27" ht="13.9" customHeight="1" x14ac:dyDescent="0.3">
      <c r="O385" s="12">
        <f t="shared" si="41"/>
        <v>31</v>
      </c>
      <c r="P385" s="13">
        <v>372</v>
      </c>
      <c r="Q385" s="22">
        <v>3.4083596318482901E-2</v>
      </c>
      <c r="R385" s="19">
        <f t="shared" si="42"/>
        <v>3.0696411466597295E-2</v>
      </c>
      <c r="S385" s="22">
        <v>3.5562734188991474E-2</v>
      </c>
      <c r="T385" s="19">
        <f t="shared" si="43"/>
        <v>3.9460094944978596E-2</v>
      </c>
      <c r="U385" s="24">
        <v>3.9467074721466044E-2</v>
      </c>
      <c r="V385" s="24">
        <f t="shared" si="44"/>
        <v>4.0588680966464175E-2</v>
      </c>
      <c r="W385" s="23">
        <f t="shared" si="45"/>
        <v>3.319244083349826E-3</v>
      </c>
      <c r="X385" s="24">
        <v>3.867922891626363E-2</v>
      </c>
      <c r="Y385" s="24">
        <f t="shared" si="46"/>
        <v>4.0347487447983221E-2</v>
      </c>
      <c r="Z385" s="23">
        <f t="shared" si="47"/>
        <v>3.299619070598947E-3</v>
      </c>
      <c r="AA385" s="36"/>
    </row>
    <row r="386" spans="15:27" ht="13.9" customHeight="1" x14ac:dyDescent="0.3">
      <c r="O386" s="12">
        <f t="shared" si="41"/>
        <v>31.083333333333332</v>
      </c>
      <c r="P386" s="13">
        <v>373</v>
      </c>
      <c r="Q386" s="22">
        <v>3.407450052891603E-2</v>
      </c>
      <c r="R386" s="19">
        <f t="shared" si="42"/>
        <v>3.0692378559046052E-2</v>
      </c>
      <c r="S386" s="22">
        <v>3.5573163317131673E-2</v>
      </c>
      <c r="T386" s="19">
        <f t="shared" si="43"/>
        <v>3.9496915600943927E-2</v>
      </c>
      <c r="U386" s="24">
        <v>3.9470080091928317E-2</v>
      </c>
      <c r="V386" s="24">
        <f t="shared" si="44"/>
        <v>4.0610968068811371E-2</v>
      </c>
      <c r="W386" s="23">
        <f t="shared" si="45"/>
        <v>3.3210518804271949E-3</v>
      </c>
      <c r="X386" s="24">
        <v>3.868369788094661E-2</v>
      </c>
      <c r="Y386" s="24">
        <f t="shared" si="46"/>
        <v>4.0372761321322947E-2</v>
      </c>
      <c r="Z386" s="23">
        <f t="shared" si="47"/>
        <v>3.3016702032402367E-3</v>
      </c>
      <c r="AA386" s="36"/>
    </row>
    <row r="387" spans="15:27" ht="13.9" customHeight="1" x14ac:dyDescent="0.3">
      <c r="O387" s="12">
        <f t="shared" si="41"/>
        <v>31.166666666666668</v>
      </c>
      <c r="P387" s="13">
        <v>374</v>
      </c>
      <c r="Q387" s="22">
        <v>3.4065442640857535E-2</v>
      </c>
      <c r="R387" s="19">
        <f t="shared" si="42"/>
        <v>3.0688487231614436E-2</v>
      </c>
      <c r="S387" s="22">
        <v>3.5583634860780311E-2</v>
      </c>
      <c r="T387" s="19">
        <f t="shared" si="43"/>
        <v>3.9533343740980609E-2</v>
      </c>
      <c r="U387" s="24">
        <v>3.9473128926170054E-2</v>
      </c>
      <c r="V387" s="24">
        <f t="shared" si="44"/>
        <v>4.0633045212761898E-2</v>
      </c>
      <c r="W387" s="23">
        <f t="shared" si="45"/>
        <v>3.3228426055456062E-3</v>
      </c>
      <c r="X387" s="24">
        <v>3.8688210435095627E-2</v>
      </c>
      <c r="Y387" s="24">
        <f t="shared" si="46"/>
        <v>4.0397789443472165E-2</v>
      </c>
      <c r="Z387" s="23">
        <f t="shared" si="47"/>
        <v>3.3037013384540348E-3</v>
      </c>
      <c r="AA387" s="36"/>
    </row>
    <row r="388" spans="15:27" ht="13.9" customHeight="1" x14ac:dyDescent="0.3">
      <c r="O388" s="12">
        <f t="shared" si="41"/>
        <v>31.25</v>
      </c>
      <c r="P388" s="13">
        <v>375</v>
      </c>
      <c r="Q388" s="22">
        <v>3.405642272948195E-2</v>
      </c>
      <c r="R388" s="19">
        <f t="shared" si="42"/>
        <v>3.0684737050300726E-2</v>
      </c>
      <c r="S388" s="22">
        <v>3.5594147436527335E-2</v>
      </c>
      <c r="T388" s="19">
        <f t="shared" si="43"/>
        <v>3.9569383746393738E-2</v>
      </c>
      <c r="U388" s="24">
        <v>3.9476220316393862E-2</v>
      </c>
      <c r="V388" s="24">
        <f t="shared" si="44"/>
        <v>4.0654914449260726E-2</v>
      </c>
      <c r="W388" s="23">
        <f t="shared" si="45"/>
        <v>3.3246164262559219E-3</v>
      </c>
      <c r="X388" s="24">
        <v>3.8692765574818377E-2</v>
      </c>
      <c r="Y388" s="24">
        <f t="shared" si="46"/>
        <v>4.0422574298064395E-2</v>
      </c>
      <c r="Z388" s="23">
        <f t="shared" si="47"/>
        <v>3.3057126792968017E-3</v>
      </c>
      <c r="AA388" s="36"/>
    </row>
    <row r="389" spans="15:27" ht="13.9" customHeight="1" x14ac:dyDescent="0.3">
      <c r="O389" s="12">
        <f t="shared" si="41"/>
        <v>31.333333333333332</v>
      </c>
      <c r="P389" s="13">
        <v>376</v>
      </c>
      <c r="Q389" s="22">
        <v>3.4047440868001377E-2</v>
      </c>
      <c r="R389" s="19">
        <f t="shared" si="42"/>
        <v>3.0681127591209334E-2</v>
      </c>
      <c r="S389" s="22">
        <v>3.5604699687359576E-2</v>
      </c>
      <c r="T389" s="19">
        <f t="shared" si="43"/>
        <v>3.9605039945265652E-2</v>
      </c>
      <c r="U389" s="24">
        <v>3.9479353369942016E-2</v>
      </c>
      <c r="V389" s="24">
        <f t="shared" si="44"/>
        <v>4.0676577807459369E-2</v>
      </c>
      <c r="W389" s="23">
        <f t="shared" si="45"/>
        <v>3.326373508325764E-3</v>
      </c>
      <c r="X389" s="24">
        <v>3.8697362313537376E-2</v>
      </c>
      <c r="Y389" s="24">
        <f t="shared" si="46"/>
        <v>4.0447118340672938E-2</v>
      </c>
      <c r="Z389" s="23">
        <f t="shared" si="47"/>
        <v>3.3077044266638378E-3</v>
      </c>
      <c r="AA389" s="36"/>
    </row>
    <row r="390" spans="15:27" ht="13.9" customHeight="1" x14ac:dyDescent="0.3">
      <c r="O390" s="12">
        <f t="shared" si="41"/>
        <v>31.416666666666668</v>
      </c>
      <c r="P390" s="13">
        <v>377</v>
      </c>
      <c r="Q390" s="22">
        <v>3.4038497127717893E-2</v>
      </c>
      <c r="R390" s="19">
        <f t="shared" si="42"/>
        <v>3.0677658438658106E-2</v>
      </c>
      <c r="S390" s="22">
        <v>3.5615290282168255E-2</v>
      </c>
      <c r="T390" s="19">
        <f t="shared" si="43"/>
        <v>3.9640316613875015E-2</v>
      </c>
      <c r="U390" s="24">
        <v>3.9482527209037999E-2</v>
      </c>
      <c r="V390" s="24">
        <f t="shared" si="44"/>
        <v>4.0698037296277967E-2</v>
      </c>
      <c r="W390" s="23">
        <f t="shared" si="45"/>
        <v>3.3281140157488398E-3</v>
      </c>
      <c r="X390" s="24">
        <v>3.8701999681684862E-2</v>
      </c>
      <c r="Y390" s="24">
        <f t="shared" si="46"/>
        <v>4.0471424001789158E-2</v>
      </c>
      <c r="Z390" s="23">
        <f t="shared" si="47"/>
        <v>3.3096767791647164E-3</v>
      </c>
      <c r="AA390" s="36"/>
    </row>
    <row r="391" spans="15:27" ht="13.9" customHeight="1" x14ac:dyDescent="0.3">
      <c r="O391" s="12">
        <f t="shared" si="41"/>
        <v>31.5</v>
      </c>
      <c r="P391" s="13">
        <v>378</v>
      </c>
      <c r="Q391" s="22">
        <v>3.4029591578071505E-2</v>
      </c>
      <c r="R391" s="19">
        <f t="shared" si="42"/>
        <v>3.0674328292366049E-2</v>
      </c>
      <c r="S391" s="22">
        <v>3.5625917915266259E-2</v>
      </c>
      <c r="T391" s="19">
        <f t="shared" si="43"/>
        <v>3.967521797614415E-2</v>
      </c>
      <c r="U391" s="24">
        <v>3.9485740970533811E-2</v>
      </c>
      <c r="V391" s="24">
        <f t="shared" si="44"/>
        <v>4.0719294902240577E-2</v>
      </c>
      <c r="W391" s="23">
        <f t="shared" si="45"/>
        <v>3.3298381108723962E-3</v>
      </c>
      <c r="X391" s="24">
        <v>3.8706676726411038E-2</v>
      </c>
      <c r="Y391" s="24">
        <f t="shared" si="46"/>
        <v>4.0495493684163053E-2</v>
      </c>
      <c r="Z391" s="23">
        <f t="shared" si="47"/>
        <v>3.3116299333639798E-3</v>
      </c>
      <c r="AA391" s="36"/>
    </row>
    <row r="392" spans="15:27" ht="13.9" customHeight="1" x14ac:dyDescent="0.3">
      <c r="O392" s="12">
        <f t="shared" si="41"/>
        <v>31.583333333333332</v>
      </c>
      <c r="P392" s="13">
        <v>379</v>
      </c>
      <c r="Q392" s="22">
        <v>3.4020724284322013E-2</v>
      </c>
      <c r="R392" s="19">
        <f t="shared" si="42"/>
        <v>3.0671133172943899E-2</v>
      </c>
      <c r="S392" s="22">
        <v>3.5636581305913406E-2</v>
      </c>
      <c r="T392" s="19">
        <f t="shared" si="43"/>
        <v>3.9709748206519624E-2</v>
      </c>
      <c r="U392" s="24">
        <v>3.9488993805658401E-2</v>
      </c>
      <c r="V392" s="24">
        <f t="shared" si="44"/>
        <v>4.0740352593131801E-2</v>
      </c>
      <c r="W392" s="23">
        <f t="shared" si="45"/>
        <v>3.3315459542226922E-3</v>
      </c>
      <c r="X392" s="24">
        <v>3.8711392511288079E-2</v>
      </c>
      <c r="Y392" s="24">
        <f t="shared" si="46"/>
        <v>4.0519329765466905E-2</v>
      </c>
      <c r="Z392" s="23">
        <f t="shared" si="47"/>
        <v>3.313564083568199E-3</v>
      </c>
      <c r="AA392" s="36"/>
    </row>
    <row r="393" spans="15:27" ht="13.9" customHeight="1" x14ac:dyDescent="0.3">
      <c r="O393" s="12">
        <f t="shared" si="41"/>
        <v>31.666666666666668</v>
      </c>
      <c r="P393" s="13">
        <v>380</v>
      </c>
      <c r="Q393" s="22">
        <v>3.4011895300531725E-2</v>
      </c>
      <c r="R393" s="19">
        <f t="shared" si="42"/>
        <v>3.06680718029122E-2</v>
      </c>
      <c r="S393" s="22">
        <v>3.5647279197855708E-2</v>
      </c>
      <c r="T393" s="19">
        <f t="shared" si="43"/>
        <v>3.9743911427608802E-2</v>
      </c>
      <c r="U393" s="24">
        <v>3.9492284879776962E-2</v>
      </c>
      <c r="V393" s="24">
        <f t="shared" si="44"/>
        <v>4.0761212315078454E-2</v>
      </c>
      <c r="W393" s="23">
        <f t="shared" si="45"/>
        <v>3.3332377048007622E-3</v>
      </c>
      <c r="X393" s="24">
        <v>3.8716146116028138E-2</v>
      </c>
      <c r="Y393" s="24">
        <f t="shared" si="46"/>
        <v>4.0542934598293057E-2</v>
      </c>
      <c r="Z393" s="23">
        <f t="shared" si="47"/>
        <v>3.3154794220402461E-3</v>
      </c>
      <c r="AA393" s="36"/>
    </row>
    <row r="394" spans="15:27" ht="13.9" customHeight="1" x14ac:dyDescent="0.3">
      <c r="O394" s="12">
        <f t="shared" si="41"/>
        <v>31.75</v>
      </c>
      <c r="P394" s="13">
        <v>381</v>
      </c>
      <c r="Q394" s="22">
        <v>3.4003104676826768E-2</v>
      </c>
      <c r="R394" s="19">
        <f t="shared" si="42"/>
        <v>3.0665143809981865E-2</v>
      </c>
      <c r="S394" s="22">
        <v>3.5658010358866621E-2</v>
      </c>
      <c r="T394" s="19">
        <f t="shared" si="43"/>
        <v>3.9777711714161779E-2</v>
      </c>
      <c r="U394" s="24">
        <v>3.949561337214913E-2</v>
      </c>
      <c r="V394" s="24">
        <f t="shared" si="44"/>
        <v>4.0781875993935346E-2</v>
      </c>
      <c r="W394" s="23">
        <f t="shared" si="45"/>
        <v>3.334913519846161E-3</v>
      </c>
      <c r="X394" s="24">
        <v>3.8720936636204017E-2</v>
      </c>
      <c r="Y394" s="24">
        <f t="shared" si="46"/>
        <v>4.0566310508712622E-2</v>
      </c>
      <c r="Z394" s="23">
        <f t="shared" si="47"/>
        <v>3.3173761390004053E-3</v>
      </c>
      <c r="AA394" s="36"/>
    </row>
    <row r="395" spans="15:27" ht="13.9" customHeight="1" x14ac:dyDescent="0.3">
      <c r="O395" s="12">
        <f t="shared" si="41"/>
        <v>31.833333333333332</v>
      </c>
      <c r="P395" s="13">
        <v>382</v>
      </c>
      <c r="Q395" s="22">
        <v>3.3994352461826249E-2</v>
      </c>
      <c r="R395" s="19">
        <f t="shared" si="42"/>
        <v>3.0662348830458708E-2</v>
      </c>
      <c r="S395" s="22">
        <v>3.5668773580304958E-2</v>
      </c>
      <c r="T395" s="19">
        <f t="shared" si="43"/>
        <v>3.9811153090865137E-2</v>
      </c>
      <c r="U395" s="24">
        <v>3.9498978475692059E-2</v>
      </c>
      <c r="V395" s="24">
        <f t="shared" si="44"/>
        <v>4.0802345536996354E-2</v>
      </c>
      <c r="W395" s="23">
        <f t="shared" si="45"/>
        <v>3.3365735549508724E-3</v>
      </c>
      <c r="X395" s="24">
        <v>3.8725763182971384E-2</v>
      </c>
      <c r="Y395" s="24">
        <f t="shared" si="46"/>
        <v>4.0589459798788141E-2</v>
      </c>
      <c r="Z395" s="23">
        <f t="shared" si="47"/>
        <v>3.3192544225100207E-3</v>
      </c>
      <c r="AA395" s="36"/>
    </row>
    <row r="396" spans="15:27" ht="13.9" customHeight="1" x14ac:dyDescent="0.3">
      <c r="O396" s="12">
        <f t="shared" si="41"/>
        <v>31.916666666666668</v>
      </c>
      <c r="P396" s="13">
        <v>383</v>
      </c>
      <c r="Q396" s="22">
        <v>3.3985638702684007E-2</v>
      </c>
      <c r="R396" s="19">
        <f t="shared" si="42"/>
        <v>3.0659686511530282E-2</v>
      </c>
      <c r="S396" s="22">
        <v>3.5679567676675017E-2</v>
      </c>
      <c r="T396" s="19">
        <f t="shared" si="43"/>
        <v>3.9844239534808867E-2</v>
      </c>
      <c r="U396" s="24">
        <v>3.9502379396753495E-2</v>
      </c>
      <c r="V396" s="24">
        <f t="shared" si="44"/>
        <v>4.0822622829647992E-2</v>
      </c>
      <c r="W396" s="23">
        <f t="shared" si="45"/>
        <v>3.3382179641956444E-3</v>
      </c>
      <c r="X396" s="24">
        <v>3.8730624882801656E-2</v>
      </c>
      <c r="Y396" s="24">
        <f t="shared" si="46"/>
        <v>4.0612384744987962E-2</v>
      </c>
      <c r="Z396" s="23">
        <f t="shared" si="47"/>
        <v>3.3211144586751118E-3</v>
      </c>
      <c r="AA396" s="36"/>
    </row>
    <row r="397" spans="15:27" ht="13.9" customHeight="1" x14ac:dyDescent="0.3">
      <c r="O397" s="12">
        <f t="shared" si="41"/>
        <v>32</v>
      </c>
      <c r="P397" s="13">
        <v>384</v>
      </c>
      <c r="Q397" s="22">
        <v>3.3976963445136343E-2</v>
      </c>
      <c r="R397" s="19">
        <f t="shared" si="42"/>
        <v>3.065715562671123E-2</v>
      </c>
      <c r="S397" s="22">
        <v>3.5690391485199369E-2</v>
      </c>
      <c r="T397" s="19">
        <f t="shared" si="43"/>
        <v>3.9876974975920021E-2</v>
      </c>
      <c r="U397" s="24">
        <v>3.950581535487907E-2</v>
      </c>
      <c r="V397" s="24">
        <f t="shared" si="44"/>
        <v>4.0842709740324556E-2</v>
      </c>
      <c r="W397" s="23">
        <f t="shared" si="45"/>
        <v>3.3398468998828701E-3</v>
      </c>
      <c r="X397" s="24">
        <v>3.8735520877215102E-2</v>
      </c>
      <c r="Y397" s="24">
        <f t="shared" si="46"/>
        <v>4.0635087600696673E-2</v>
      </c>
      <c r="Z397" s="23">
        <f t="shared" si="47"/>
        <v>3.3229564315193638E-3</v>
      </c>
      <c r="AA397" s="36"/>
    </row>
    <row r="398" spans="15:27" ht="13.9" customHeight="1" x14ac:dyDescent="0.3">
      <c r="O398" s="12">
        <f t="shared" ref="O398:O461" si="48">P398/12</f>
        <v>32.083333333333336</v>
      </c>
      <c r="P398" s="13">
        <v>385</v>
      </c>
      <c r="Q398" s="22">
        <v>3.3968326731243836E-2</v>
      </c>
      <c r="R398" s="19">
        <f t="shared" ref="R398:R461" si="49">(1+Q399)^P399/(1+Q398)^P398-1</f>
        <v>3.0654752321592316E-2</v>
      </c>
      <c r="S398" s="22">
        <v>3.5701243865400079E-2</v>
      </c>
      <c r="T398" s="19">
        <f t="shared" ref="T398:T461" si="50">(1+S399)^P399/(1+S398)^P398-1</f>
        <v>3.9909363296833034E-2</v>
      </c>
      <c r="U398" s="24">
        <v>3.950928558259581E-2</v>
      </c>
      <c r="V398" s="24">
        <f t="shared" ref="V398:V461" si="51">(1+U399)^P399/(1+U398)^P398-1</f>
        <v>4.0862608115792121E-2</v>
      </c>
      <c r="W398" s="23">
        <f t="shared" si="45"/>
        <v>3.3414605129338248E-3</v>
      </c>
      <c r="X398" s="24">
        <v>3.8740450322524378E-2</v>
      </c>
      <c r="Y398" s="24">
        <f t="shared" si="46"/>
        <v>4.065757059428865E-2</v>
      </c>
      <c r="Z398" s="23">
        <f t="shared" si="47"/>
        <v>3.3247805231853E-3</v>
      </c>
      <c r="AA398" s="36"/>
    </row>
    <row r="399" spans="15:27" ht="13.9" customHeight="1" x14ac:dyDescent="0.3">
      <c r="O399" s="12">
        <f t="shared" si="48"/>
        <v>32.166666666666664</v>
      </c>
      <c r="P399" s="13">
        <v>386</v>
      </c>
      <c r="Q399" s="22">
        <v>3.3959728592608984E-2</v>
      </c>
      <c r="R399" s="19">
        <f t="shared" si="49"/>
        <v>3.065247539334548E-2</v>
      </c>
      <c r="S399" s="22">
        <v>3.5712123698685927E-2</v>
      </c>
      <c r="T399" s="19">
        <f t="shared" si="50"/>
        <v>3.9941408333387551E-2</v>
      </c>
      <c r="U399" s="24">
        <v>3.9512789325187869E-2</v>
      </c>
      <c r="V399" s="24">
        <f t="shared" si="51"/>
        <v>4.0882319785288113E-2</v>
      </c>
      <c r="W399" s="23">
        <f t="shared" ref="W399:W462" si="52">(1+V398)^(1/12)-1</f>
        <v>3.3430589525109689E-3</v>
      </c>
      <c r="X399" s="24">
        <v>3.8745412389577405E-2</v>
      </c>
      <c r="Y399" s="24">
        <f t="shared" ref="Y399:Y462" si="53">(1+X400)^P400/(1+X399)^P399-1</f>
        <v>4.0679835929577024E-2</v>
      </c>
      <c r="Z399" s="23">
        <f t="shared" ref="Z399:Z462" si="54">(1+Y398)^(1/12)-1</f>
        <v>3.3265869137819593E-3</v>
      </c>
      <c r="AA399" s="36"/>
    </row>
    <row r="400" spans="15:27" ht="13.9" customHeight="1" x14ac:dyDescent="0.3">
      <c r="O400" s="12">
        <f t="shared" si="48"/>
        <v>32.25</v>
      </c>
      <c r="P400" s="13">
        <v>387</v>
      </c>
      <c r="Q400" s="22">
        <v>3.3951169057385489E-2</v>
      </c>
      <c r="R400" s="19">
        <f t="shared" si="49"/>
        <v>3.0650324528200379E-2</v>
      </c>
      <c r="S400" s="22">
        <v>3.5723029887946733E-2</v>
      </c>
      <c r="T400" s="19">
        <f t="shared" si="50"/>
        <v>3.9973113877560307E-2</v>
      </c>
      <c r="U400" s="24">
        <v>3.9516325840484479E-2</v>
      </c>
      <c r="V400" s="24">
        <f t="shared" si="51"/>
        <v>4.0901846559164401E-2</v>
      </c>
      <c r="W400" s="23">
        <f t="shared" si="52"/>
        <v>3.3446423663505698E-3</v>
      </c>
      <c r="X400" s="24">
        <v>3.8750406263505344E-2</v>
      </c>
      <c r="Y400" s="24">
        <f t="shared" si="53"/>
        <v>4.0701885789075298E-2</v>
      </c>
      <c r="Z400" s="23">
        <f t="shared" si="54"/>
        <v>3.3283757814195347E-3</v>
      </c>
      <c r="AA400" s="36"/>
    </row>
    <row r="401" spans="15:27" ht="13.9" customHeight="1" x14ac:dyDescent="0.3">
      <c r="O401" s="12">
        <f t="shared" si="48"/>
        <v>32.333333333333336</v>
      </c>
      <c r="P401" s="13">
        <v>388</v>
      </c>
      <c r="Q401" s="22">
        <v>3.3942648152620603E-2</v>
      </c>
      <c r="R401" s="19">
        <f t="shared" si="49"/>
        <v>3.0648299421994984E-2</v>
      </c>
      <c r="S401" s="22">
        <v>3.5733961357162558E-2</v>
      </c>
      <c r="T401" s="19">
        <f t="shared" si="50"/>
        <v>4.0004483674010105E-2</v>
      </c>
      <c r="U401" s="24">
        <v>3.9519894398650335E-2</v>
      </c>
      <c r="V401" s="24">
        <f t="shared" si="51"/>
        <v>4.0921190227977799E-2</v>
      </c>
      <c r="W401" s="23">
        <f t="shared" si="52"/>
        <v>3.346210900654123E-3</v>
      </c>
      <c r="X401" s="24">
        <v>3.8755431143482566E-2</v>
      </c>
      <c r="Y401" s="24">
        <f t="shared" si="53"/>
        <v>4.0723722329776502E-2</v>
      </c>
      <c r="Z401" s="23">
        <f t="shared" si="54"/>
        <v>3.3301473024736072E-3</v>
      </c>
      <c r="AA401" s="36"/>
    </row>
    <row r="402" spans="15:27" ht="13.9" customHeight="1" x14ac:dyDescent="0.3">
      <c r="O402" s="12">
        <f t="shared" si="48"/>
        <v>32.416666666666664</v>
      </c>
      <c r="P402" s="13">
        <v>389</v>
      </c>
      <c r="Q402" s="22">
        <v>3.3934165904295099E-2</v>
      </c>
      <c r="R402" s="19">
        <f t="shared" si="49"/>
        <v>3.0646399778733402E-2</v>
      </c>
      <c r="S402" s="22">
        <v>3.5744917051009795E-2</v>
      </c>
      <c r="T402" s="19">
        <f t="shared" si="50"/>
        <v>4.0035521425362708E-2</v>
      </c>
      <c r="U402" s="24">
        <v>3.9523494281974436E-2</v>
      </c>
      <c r="V402" s="24">
        <f t="shared" si="51"/>
        <v>4.0940352565780325E-2</v>
      </c>
      <c r="W402" s="23">
        <f t="shared" si="52"/>
        <v>3.347764700016187E-3</v>
      </c>
      <c r="X402" s="24">
        <v>3.8760486242479963E-2</v>
      </c>
      <c r="Y402" s="24">
        <f t="shared" si="53"/>
        <v>4.0745347686884648E-2</v>
      </c>
      <c r="Z402" s="23">
        <f t="shared" si="54"/>
        <v>3.3319016512451949E-3</v>
      </c>
      <c r="AA402" s="36"/>
    </row>
    <row r="403" spans="15:27" ht="13.9" customHeight="1" x14ac:dyDescent="0.3">
      <c r="O403" s="12">
        <f t="shared" si="48"/>
        <v>32.5</v>
      </c>
      <c r="P403" s="13">
        <v>390</v>
      </c>
      <c r="Q403" s="22">
        <v>3.3925722337357245E-2</v>
      </c>
      <c r="R403" s="19">
        <f t="shared" si="49"/>
        <v>3.064462444651328E-2</v>
      </c>
      <c r="S403" s="22">
        <v>3.5755895934486581E-2</v>
      </c>
      <c r="T403" s="19">
        <f t="shared" si="50"/>
        <v>4.0066230788089019E-2</v>
      </c>
      <c r="U403" s="24">
        <v>3.9527124784672463E-2</v>
      </c>
      <c r="V403" s="24">
        <f t="shared" si="51"/>
        <v>4.0959335326529622E-2</v>
      </c>
      <c r="W403" s="23">
        <f t="shared" si="52"/>
        <v>3.3493039076877285E-3</v>
      </c>
      <c r="X403" s="24">
        <v>3.8765570787031578E-2</v>
      </c>
      <c r="Y403" s="24">
        <f t="shared" si="53"/>
        <v>4.0766763972701181E-2</v>
      </c>
      <c r="Z403" s="23">
        <f t="shared" si="54"/>
        <v>3.3336390002622895E-3</v>
      </c>
      <c r="AA403" s="36"/>
    </row>
    <row r="404" spans="15:27" ht="13.9" customHeight="1" x14ac:dyDescent="0.3">
      <c r="O404" s="12">
        <f t="shared" si="48"/>
        <v>32.583333333333336</v>
      </c>
      <c r="P404" s="13">
        <v>391</v>
      </c>
      <c r="Q404" s="22">
        <v>3.391731747354032E-2</v>
      </c>
      <c r="R404" s="19">
        <f t="shared" si="49"/>
        <v>3.0642969689506305E-2</v>
      </c>
      <c r="S404" s="22">
        <v>3.5766896992533548E-2</v>
      </c>
      <c r="T404" s="19">
        <f t="shared" si="50"/>
        <v>4.0096615377563483E-2</v>
      </c>
      <c r="U404" s="24">
        <v>3.9530785212681385E-2</v>
      </c>
      <c r="V404" s="24">
        <f t="shared" si="51"/>
        <v>4.0978140247118322E-2</v>
      </c>
      <c r="W404" s="23">
        <f t="shared" si="52"/>
        <v>3.3508286652899066E-3</v>
      </c>
      <c r="X404" s="24">
        <v>3.8770684017001456E-2</v>
      </c>
      <c r="Y404" s="24">
        <f t="shared" si="53"/>
        <v>4.0787973276703582E-2</v>
      </c>
      <c r="Z404" s="23">
        <f t="shared" si="54"/>
        <v>3.3353595201899289E-3</v>
      </c>
      <c r="AA404" s="36"/>
    </row>
    <row r="405" spans="15:27" ht="13.9" customHeight="1" x14ac:dyDescent="0.3">
      <c r="O405" s="12">
        <f t="shared" si="48"/>
        <v>32.666666666666664</v>
      </c>
      <c r="P405" s="13">
        <v>392</v>
      </c>
      <c r="Q405" s="22">
        <v>3.3908951324791214E-2</v>
      </c>
      <c r="R405" s="19">
        <f t="shared" si="49"/>
        <v>3.0641434376860621E-2</v>
      </c>
      <c r="S405" s="22">
        <v>3.5777919229673882E-2</v>
      </c>
      <c r="T405" s="19">
        <f t="shared" si="50"/>
        <v>4.0126678764988988E-2</v>
      </c>
      <c r="U405" s="24">
        <v>3.9534474883466952E-2</v>
      </c>
      <c r="V405" s="24">
        <f t="shared" si="51"/>
        <v>4.0996769046805825E-2</v>
      </c>
      <c r="W405" s="23">
        <f t="shared" si="52"/>
        <v>3.352339113056324E-3</v>
      </c>
      <c r="X405" s="24">
        <v>3.8775825185355162E-2</v>
      </c>
      <c r="Y405" s="24">
        <f t="shared" si="53"/>
        <v>4.0808977666768387E-2</v>
      </c>
      <c r="Z405" s="23">
        <f t="shared" si="54"/>
        <v>3.3370633798375238E-3</v>
      </c>
      <c r="AA405" s="36"/>
    </row>
    <row r="406" spans="15:27" ht="13.9" customHeight="1" x14ac:dyDescent="0.3">
      <c r="O406" s="12">
        <f t="shared" si="48"/>
        <v>32.75</v>
      </c>
      <c r="P406" s="13">
        <v>393</v>
      </c>
      <c r="Q406" s="22">
        <v>3.3900623900044113E-2</v>
      </c>
      <c r="R406" s="19">
        <f t="shared" si="49"/>
        <v>3.0640018251712808E-2</v>
      </c>
      <c r="S406" s="22">
        <v>3.5788961669650288E-2</v>
      </c>
      <c r="T406" s="19">
        <f t="shared" si="50"/>
        <v>4.0156424480192188E-2</v>
      </c>
      <c r="U406" s="24">
        <v>3.9538193125830734E-2</v>
      </c>
      <c r="V406" s="24">
        <f t="shared" si="51"/>
        <v>4.1015223427214975E-2</v>
      </c>
      <c r="W406" s="23">
        <f t="shared" si="52"/>
        <v>3.3538353897881734E-3</v>
      </c>
      <c r="X406" s="24">
        <v>3.8780993557937071E-2</v>
      </c>
      <c r="Y406" s="24">
        <f t="shared" si="53"/>
        <v>4.082977918871955E-2</v>
      </c>
      <c r="Z406" s="23">
        <f t="shared" si="54"/>
        <v>3.3387507462572241E-3</v>
      </c>
      <c r="AA406" s="36"/>
    </row>
    <row r="407" spans="15:27" ht="13.9" customHeight="1" x14ac:dyDescent="0.3">
      <c r="O407" s="12">
        <f t="shared" si="48"/>
        <v>32.833333333333336</v>
      </c>
      <c r="P407" s="13">
        <v>394</v>
      </c>
      <c r="Q407" s="22">
        <v>3.3892335207484692E-2</v>
      </c>
      <c r="R407" s="19">
        <f t="shared" si="49"/>
        <v>3.0638721065437302E-2</v>
      </c>
      <c r="S407" s="22">
        <v>3.5800023355075261E-2</v>
      </c>
      <c r="T407" s="19">
        <f t="shared" si="50"/>
        <v>4.0185856011106802E-2</v>
      </c>
      <c r="U407" s="24">
        <v>3.9541939279720939E-2</v>
      </c>
      <c r="V407" s="24">
        <f t="shared" si="51"/>
        <v>4.10335050719004E-2</v>
      </c>
      <c r="W407" s="23">
        <f t="shared" si="52"/>
        <v>3.3553176328546819E-3</v>
      </c>
      <c r="X407" s="24">
        <v>3.8786188413250322E-2</v>
      </c>
      <c r="Y407" s="24">
        <f t="shared" si="53"/>
        <v>4.08503798660238E-2</v>
      </c>
      <c r="Z407" s="23">
        <f t="shared" si="54"/>
        <v>3.3404217847088358E-3</v>
      </c>
      <c r="AA407" s="36"/>
    </row>
    <row r="408" spans="15:27" ht="13.9" customHeight="1" x14ac:dyDescent="0.3">
      <c r="O408" s="12">
        <f t="shared" si="48"/>
        <v>32.916666666666664</v>
      </c>
      <c r="P408" s="13">
        <v>395</v>
      </c>
      <c r="Q408" s="22">
        <v>3.3884085254579865E-2</v>
      </c>
      <c r="R408" s="19">
        <f t="shared" si="49"/>
        <v>3.06375425776928E-2</v>
      </c>
      <c r="S408" s="22">
        <v>3.5811103347084927E-2</v>
      </c>
      <c r="T408" s="19">
        <f t="shared" si="50"/>
        <v>4.0214976805113212E-2</v>
      </c>
      <c r="U408" s="24">
        <v>3.9545712696045676E-2</v>
      </c>
      <c r="V408" s="24">
        <f t="shared" si="51"/>
        <v>4.1051615647604622E-2</v>
      </c>
      <c r="W408" s="23">
        <f t="shared" si="52"/>
        <v>3.3567859781580278E-3</v>
      </c>
      <c r="X408" s="24">
        <v>3.8791409042239655E-2</v>
      </c>
      <c r="Y408" s="24">
        <f t="shared" si="53"/>
        <v>4.0870781701521475E-2</v>
      </c>
      <c r="Z408" s="23">
        <f t="shared" si="54"/>
        <v>3.3420766586345074E-3</v>
      </c>
      <c r="AA408" s="36"/>
    </row>
    <row r="409" spans="15:27" ht="13.9" customHeight="1" x14ac:dyDescent="0.3">
      <c r="O409" s="12">
        <f t="shared" si="48"/>
        <v>33</v>
      </c>
      <c r="P409" s="13">
        <v>396</v>
      </c>
      <c r="Q409" s="22">
        <v>3.3875874048108434E-2</v>
      </c>
      <c r="R409" s="19">
        <f t="shared" si="49"/>
        <v>3.0636481706369123E-2</v>
      </c>
      <c r="S409" s="22">
        <v>3.5822200725002196E-2</v>
      </c>
      <c r="T409" s="19">
        <f t="shared" si="50"/>
        <v>4.0243790268444268E-2</v>
      </c>
      <c r="U409" s="24">
        <v>3.9549512736491099E-2</v>
      </c>
      <c r="V409" s="24">
        <f t="shared" si="51"/>
        <v>4.1069556804889773E-2</v>
      </c>
      <c r="W409" s="23">
        <f t="shared" si="52"/>
        <v>3.3582405602357035E-3</v>
      </c>
      <c r="X409" s="24">
        <v>3.8796654748081361E-2</v>
      </c>
      <c r="Y409" s="24">
        <f t="shared" si="53"/>
        <v>4.0890986677003083E-2</v>
      </c>
      <c r="Z409" s="23">
        <f t="shared" si="54"/>
        <v>3.343715529799729E-3</v>
      </c>
      <c r="AA409" s="36"/>
    </row>
    <row r="410" spans="15:27" ht="13.9" customHeight="1" x14ac:dyDescent="0.3">
      <c r="O410" s="12">
        <f t="shared" si="48"/>
        <v>33.083333333333336</v>
      </c>
      <c r="P410" s="13">
        <v>397</v>
      </c>
      <c r="Q410" s="22">
        <v>3.3867701592042332E-2</v>
      </c>
      <c r="R410" s="19">
        <f t="shared" si="49"/>
        <v>3.0635534831706224E-2</v>
      </c>
      <c r="S410" s="22">
        <v>3.5833314586002585E-2</v>
      </c>
      <c r="T410" s="19">
        <f t="shared" si="50"/>
        <v>4.0272299768025599E-2</v>
      </c>
      <c r="U410" s="24">
        <v>3.9553338773344215E-2</v>
      </c>
      <c r="V410" s="24">
        <f t="shared" si="51"/>
        <v>4.1087330176278636E-2</v>
      </c>
      <c r="W410" s="23">
        <f t="shared" si="52"/>
        <v>3.359681512310031E-3</v>
      </c>
      <c r="X410" s="24">
        <v>3.8801924845975666E-2</v>
      </c>
      <c r="Y410" s="24">
        <f t="shared" si="53"/>
        <v>4.0910996752224094E-2</v>
      </c>
      <c r="Z410" s="23">
        <f t="shared" si="54"/>
        <v>3.3453385582586925E-3</v>
      </c>
      <c r="AA410" s="36"/>
    </row>
    <row r="411" spans="15:27" ht="13.9" customHeight="1" x14ac:dyDescent="0.3">
      <c r="O411" s="12">
        <f t="shared" si="48"/>
        <v>33.166666666666664</v>
      </c>
      <c r="P411" s="13">
        <v>398</v>
      </c>
      <c r="Q411" s="22">
        <v>3.3859567881185715E-2</v>
      </c>
      <c r="R411" s="19">
        <f t="shared" si="49"/>
        <v>3.0634700892599787E-2</v>
      </c>
      <c r="S411" s="22">
        <v>3.5844444044790702E-2</v>
      </c>
      <c r="T411" s="19">
        <f t="shared" si="50"/>
        <v>4.0300508630797482E-2</v>
      </c>
      <c r="U411" s="24">
        <v>3.9557190189314584E-2</v>
      </c>
      <c r="V411" s="24">
        <f t="shared" si="51"/>
        <v>4.1104937377838047E-2</v>
      </c>
      <c r="W411" s="23">
        <f t="shared" si="52"/>
        <v>3.3611089661402804E-3</v>
      </c>
      <c r="X411" s="24">
        <v>3.8807218662939791E-2</v>
      </c>
      <c r="Y411" s="24">
        <f t="shared" si="53"/>
        <v>4.093081386760189E-2</v>
      </c>
      <c r="Z411" s="23">
        <f t="shared" si="54"/>
        <v>3.3469459022761328E-3</v>
      </c>
      <c r="AA411" s="36"/>
    </row>
    <row r="412" spans="15:27" ht="13.9" customHeight="1" x14ac:dyDescent="0.3">
      <c r="O412" s="12">
        <f t="shared" si="48"/>
        <v>33.25</v>
      </c>
      <c r="P412" s="13">
        <v>399</v>
      </c>
      <c r="Q412" s="22">
        <v>3.3851472907723945E-2</v>
      </c>
      <c r="R412" s="19">
        <f t="shared" si="49"/>
        <v>3.0633979684720813E-2</v>
      </c>
      <c r="S412" s="22">
        <v>3.585558823327939E-2</v>
      </c>
      <c r="T412" s="19">
        <f t="shared" si="50"/>
        <v>4.0328420145800958E-2</v>
      </c>
      <c r="U412" s="24">
        <v>3.9561066377361565E-2</v>
      </c>
      <c r="V412" s="24">
        <f t="shared" si="51"/>
        <v>4.1122380010396364E-2</v>
      </c>
      <c r="W412" s="23">
        <f t="shared" si="52"/>
        <v>3.3625230521501237E-3</v>
      </c>
      <c r="X412" s="24">
        <v>3.8812535537610771E-2</v>
      </c>
      <c r="Y412" s="24">
        <f t="shared" si="53"/>
        <v>4.0950439942396555E-2</v>
      </c>
      <c r="Z412" s="23">
        <f t="shared" si="54"/>
        <v>3.3485377185435983E-3</v>
      </c>
      <c r="AA412" s="36"/>
    </row>
    <row r="413" spans="15:27" ht="13.9" customHeight="1" x14ac:dyDescent="0.3">
      <c r="O413" s="12">
        <f t="shared" si="48"/>
        <v>33.333333333333336</v>
      </c>
      <c r="P413" s="13">
        <v>400</v>
      </c>
      <c r="Q413" s="22">
        <v>3.3843416663403625E-2</v>
      </c>
      <c r="R413" s="19">
        <f t="shared" si="49"/>
        <v>3.0633371014019195E-2</v>
      </c>
      <c r="S413" s="22">
        <v>3.5866746300279084E-2</v>
      </c>
      <c r="T413" s="19">
        <f t="shared" si="50"/>
        <v>4.035603756218209E-2</v>
      </c>
      <c r="U413" s="24">
        <v>3.9564966740527341E-2</v>
      </c>
      <c r="V413" s="24">
        <f t="shared" si="51"/>
        <v>4.1139659657124295E-2</v>
      </c>
      <c r="W413" s="23">
        <f t="shared" si="52"/>
        <v>3.3639238995251119E-3</v>
      </c>
      <c r="X413" s="24">
        <v>3.8817874820046727E-2</v>
      </c>
      <c r="Y413" s="24">
        <f t="shared" si="53"/>
        <v>4.0969876875507572E-2</v>
      </c>
      <c r="Z413" s="23">
        <f t="shared" si="54"/>
        <v>3.3501141620351227E-3</v>
      </c>
      <c r="AA413" s="36"/>
    </row>
    <row r="414" spans="15:27" ht="13.9" customHeight="1" x14ac:dyDescent="0.3">
      <c r="O414" s="12">
        <f t="shared" si="48"/>
        <v>33.416666666666664</v>
      </c>
      <c r="P414" s="13">
        <v>401</v>
      </c>
      <c r="Q414" s="22">
        <v>3.383539913956457E-2</v>
      </c>
      <c r="R414" s="19">
        <f t="shared" si="49"/>
        <v>3.0632874691967071E-2</v>
      </c>
      <c r="S414" s="22">
        <v>3.5877917411186733E-2</v>
      </c>
      <c r="T414" s="19">
        <f t="shared" si="50"/>
        <v>4.0383364092666074E-2</v>
      </c>
      <c r="U414" s="24">
        <v>3.9568890691767278E-2</v>
      </c>
      <c r="V414" s="24">
        <f t="shared" si="51"/>
        <v>4.115677788563632E-2</v>
      </c>
      <c r="W414" s="23">
        <f t="shared" si="52"/>
        <v>3.3653116360190527E-3</v>
      </c>
      <c r="X414" s="24">
        <v>3.8823235871533246E-2</v>
      </c>
      <c r="Y414" s="24">
        <f t="shared" si="53"/>
        <v>4.0989126546742805E-2</v>
      </c>
      <c r="Z414" s="23">
        <f t="shared" si="54"/>
        <v>3.3516753860705073E-3</v>
      </c>
      <c r="AA414" s="36"/>
    </row>
    <row r="415" spans="15:27" ht="13.9" customHeight="1" x14ac:dyDescent="0.3">
      <c r="O415" s="12">
        <f t="shared" si="48"/>
        <v>33.5</v>
      </c>
      <c r="P415" s="13">
        <v>402</v>
      </c>
      <c r="Q415" s="22">
        <v>3.3827420327158464E-2</v>
      </c>
      <c r="R415" s="19">
        <f t="shared" si="49"/>
        <v>3.0632489704832677E-2</v>
      </c>
      <c r="S415" s="22">
        <v>3.5889100747688474E-2</v>
      </c>
      <c r="T415" s="19">
        <f t="shared" si="50"/>
        <v>4.0410402911259524E-2</v>
      </c>
      <c r="U415" s="24">
        <v>3.9572837653787385E-2</v>
      </c>
      <c r="V415" s="24">
        <f t="shared" si="51"/>
        <v>4.117373624786147E-2</v>
      </c>
      <c r="W415" s="23">
        <f t="shared" si="52"/>
        <v>3.3666863881229858E-3</v>
      </c>
      <c r="X415" s="24">
        <v>3.8828618064395748E-2</v>
      </c>
      <c r="Y415" s="24">
        <f t="shared" si="53"/>
        <v>4.1008190814767032E-2</v>
      </c>
      <c r="Z415" s="23">
        <f t="shared" si="54"/>
        <v>3.3532215424176837E-3</v>
      </c>
      <c r="AA415" s="36"/>
    </row>
    <row r="416" spans="15:27" ht="13.9" customHeight="1" x14ac:dyDescent="0.3">
      <c r="O416" s="12">
        <f t="shared" si="48"/>
        <v>33.583333333333336</v>
      </c>
      <c r="P416" s="13">
        <v>403</v>
      </c>
      <c r="Q416" s="22">
        <v>3.3819480214699604E-2</v>
      </c>
      <c r="R416" s="19">
        <f t="shared" si="49"/>
        <v>3.0632212544538184E-2</v>
      </c>
      <c r="S416" s="22">
        <v>3.5900295507460322E-2</v>
      </c>
      <c r="T416" s="19">
        <f t="shared" si="50"/>
        <v>4.0437157156522074E-2</v>
      </c>
      <c r="U416" s="24">
        <v>3.9576807058883556E-2</v>
      </c>
      <c r="V416" s="24">
        <f t="shared" si="51"/>
        <v>4.1190536279765322E-2</v>
      </c>
      <c r="W416" s="23">
        <f t="shared" si="52"/>
        <v>3.3680482810554135E-3</v>
      </c>
      <c r="X416" s="24">
        <v>3.8834020781809642E-2</v>
      </c>
      <c r="Y416" s="24">
        <f t="shared" si="53"/>
        <v>4.1027071520458147E-2</v>
      </c>
      <c r="Z416" s="23">
        <f t="shared" si="54"/>
        <v>3.3547527811290667E-3</v>
      </c>
      <c r="AA416" s="36"/>
    </row>
    <row r="417" spans="15:27" ht="13.9" customHeight="1" x14ac:dyDescent="0.3">
      <c r="O417" s="12">
        <f t="shared" si="48"/>
        <v>33.666666666666664</v>
      </c>
      <c r="P417" s="13">
        <v>404</v>
      </c>
      <c r="Q417" s="22">
        <v>3.3811578782102059E-2</v>
      </c>
      <c r="R417" s="19">
        <f t="shared" si="49"/>
        <v>3.0632042215914979E-2</v>
      </c>
      <c r="S417" s="22">
        <v>3.5911500903882176E-2</v>
      </c>
      <c r="T417" s="19">
        <f t="shared" si="50"/>
        <v>4.0463629928985334E-2</v>
      </c>
      <c r="U417" s="24">
        <v>3.9580798348783475E-2</v>
      </c>
      <c r="V417" s="24">
        <f t="shared" si="51"/>
        <v>4.1207179501684399E-2</v>
      </c>
      <c r="W417" s="23">
        <f t="shared" si="52"/>
        <v>3.3693974387394299E-3</v>
      </c>
      <c r="X417" s="24">
        <v>3.8839443417621355E-2</v>
      </c>
      <c r="Y417" s="24">
        <f t="shared" si="53"/>
        <v>4.1045770483865374E-2</v>
      </c>
      <c r="Z417" s="23">
        <f t="shared" si="54"/>
        <v>3.3562692508104508E-3</v>
      </c>
      <c r="AA417" s="36"/>
    </row>
    <row r="418" spans="15:27" ht="13.9" customHeight="1" x14ac:dyDescent="0.3">
      <c r="O418" s="12">
        <f t="shared" si="48"/>
        <v>33.75</v>
      </c>
      <c r="P418" s="13">
        <v>405</v>
      </c>
      <c r="Q418" s="22">
        <v>3.380371600700971E-2</v>
      </c>
      <c r="R418" s="19">
        <f t="shared" si="49"/>
        <v>3.0631978567286833E-2</v>
      </c>
      <c r="S418" s="22">
        <v>3.5922716165749158E-2</v>
      </c>
      <c r="T418" s="19">
        <f t="shared" si="50"/>
        <v>4.0489824294088761E-2</v>
      </c>
      <c r="U418" s="24">
        <v>3.9584810974490958E-2</v>
      </c>
      <c r="V418" s="24">
        <f t="shared" si="51"/>
        <v>4.1223667418985865E-2</v>
      </c>
      <c r="W418" s="23">
        <f t="shared" si="52"/>
        <v>3.3707339838309203E-3</v>
      </c>
      <c r="X418" s="24">
        <v>3.8844885376164706E-2</v>
      </c>
      <c r="Y418" s="24">
        <f t="shared" si="53"/>
        <v>4.1064289506855367E-2</v>
      </c>
      <c r="Z418" s="23">
        <f t="shared" si="54"/>
        <v>3.3577710983785369E-3</v>
      </c>
      <c r="AA418" s="36"/>
    </row>
    <row r="419" spans="15:27" ht="13.9" customHeight="1" x14ac:dyDescent="0.3">
      <c r="O419" s="12">
        <f t="shared" si="48"/>
        <v>33.833333333333336</v>
      </c>
      <c r="P419" s="13">
        <v>406</v>
      </c>
      <c r="Q419" s="22">
        <v>3.3795891866908345E-2</v>
      </c>
      <c r="R419" s="19">
        <f t="shared" si="49"/>
        <v>3.0632021453963487E-2</v>
      </c>
      <c r="S419" s="22">
        <v>3.5933940536995168E-2</v>
      </c>
      <c r="T419" s="19">
        <f t="shared" si="50"/>
        <v>4.0515743282045547E-2</v>
      </c>
      <c r="U419" s="24">
        <v>3.9588844396134526E-2</v>
      </c>
      <c r="V419" s="24">
        <f t="shared" si="51"/>
        <v>4.1240001521236636E-2</v>
      </c>
      <c r="W419" s="23">
        <f t="shared" si="52"/>
        <v>3.372058037770298E-3</v>
      </c>
      <c r="X419" s="24">
        <v>3.8850346072086817E-2</v>
      </c>
      <c r="Y419" s="24">
        <f t="shared" si="53"/>
        <v>4.1082630372372364E-2</v>
      </c>
      <c r="Z419" s="23">
        <f t="shared" si="54"/>
        <v>3.3592584692720973E-3</v>
      </c>
      <c r="AA419" s="36"/>
    </row>
    <row r="420" spans="15:27" ht="13.9" customHeight="1" x14ac:dyDescent="0.3">
      <c r="O420" s="12">
        <f t="shared" si="48"/>
        <v>33.916666666666664</v>
      </c>
      <c r="P420" s="13">
        <v>407</v>
      </c>
      <c r="Q420" s="22">
        <v>3.3788106339144974E-2</v>
      </c>
      <c r="R420" s="19">
        <f t="shared" si="49"/>
        <v>3.0632170739004261E-2</v>
      </c>
      <c r="S420" s="22">
        <v>3.5945173276419107E-2</v>
      </c>
      <c r="T420" s="19">
        <f t="shared" si="50"/>
        <v>4.0541389886959545E-2</v>
      </c>
      <c r="U420" s="24">
        <v>3.9592898082816186E-2</v>
      </c>
      <c r="V420" s="24">
        <f t="shared" si="51"/>
        <v>4.1256183283729042E-2</v>
      </c>
      <c r="W420" s="23">
        <f t="shared" si="52"/>
        <v>3.3733697207183333E-3</v>
      </c>
      <c r="X420" s="24">
        <v>3.8855824930174254E-2</v>
      </c>
      <c r="Y420" s="24">
        <f t="shared" si="53"/>
        <v>4.1100794844037836E-2</v>
      </c>
      <c r="Z420" s="23">
        <f t="shared" si="54"/>
        <v>3.3607315073942434E-3</v>
      </c>
      <c r="AA420" s="36"/>
    </row>
    <row r="421" spans="15:27" ht="13.9" customHeight="1" x14ac:dyDescent="0.3">
      <c r="O421" s="12">
        <f t="shared" si="48"/>
        <v>34</v>
      </c>
      <c r="P421" s="13">
        <v>408</v>
      </c>
      <c r="Q421" s="22">
        <v>3.3780359400948257E-2</v>
      </c>
      <c r="R421" s="19">
        <f t="shared" si="49"/>
        <v>3.063242547332079E-2</v>
      </c>
      <c r="S421" s="22">
        <v>3.5956413657414421E-2</v>
      </c>
      <c r="T421" s="19">
        <f t="shared" si="50"/>
        <v>4.0566767069503573E-2</v>
      </c>
      <c r="U421" s="24">
        <v>3.9596971512465773E-2</v>
      </c>
      <c r="V421" s="24">
        <f t="shared" si="51"/>
        <v>4.1272214165911869E-2</v>
      </c>
      <c r="W421" s="23">
        <f t="shared" si="52"/>
        <v>3.3746691516762795E-3</v>
      </c>
      <c r="X421" s="24">
        <v>3.8861321385180725E-2</v>
      </c>
      <c r="Y421" s="24">
        <f t="shared" si="53"/>
        <v>4.1118784668278563E-2</v>
      </c>
      <c r="Z421" s="23">
        <f t="shared" si="54"/>
        <v>3.3621903550802301E-3</v>
      </c>
      <c r="AA421" s="36"/>
    </row>
    <row r="422" spans="15:27" ht="13.9" customHeight="1" x14ac:dyDescent="0.3">
      <c r="O422" s="12">
        <f t="shared" si="48"/>
        <v>34.083333333333336</v>
      </c>
      <c r="P422" s="13">
        <v>409</v>
      </c>
      <c r="Q422" s="22">
        <v>3.3772651027438316E-2</v>
      </c>
      <c r="R422" s="19">
        <f t="shared" si="49"/>
        <v>3.0632782256055702E-2</v>
      </c>
      <c r="S422" s="22">
        <v>3.5967660967707538E-2</v>
      </c>
      <c r="T422" s="19">
        <f t="shared" si="50"/>
        <v>4.0591877755250749E-2</v>
      </c>
      <c r="U422" s="24">
        <v>3.96010641716944E-2</v>
      </c>
      <c r="V422" s="24">
        <f t="shared" si="51"/>
        <v>4.1288095613375875E-2</v>
      </c>
      <c r="W422" s="23">
        <f t="shared" si="52"/>
        <v>3.375956448361972E-3</v>
      </c>
      <c r="X422" s="24">
        <v>3.8866834881663648E-2</v>
      </c>
      <c r="Y422" s="24">
        <f t="shared" si="53"/>
        <v>4.1136601572061782E-2</v>
      </c>
      <c r="Z422" s="23">
        <f t="shared" si="54"/>
        <v>3.3636351532679853E-3</v>
      </c>
      <c r="AA422" s="36"/>
    </row>
    <row r="423" spans="15:27" ht="13.9" customHeight="1" x14ac:dyDescent="0.3">
      <c r="O423" s="12">
        <f t="shared" si="48"/>
        <v>34.166666666666664</v>
      </c>
      <c r="P423" s="13">
        <v>410</v>
      </c>
      <c r="Q423" s="22">
        <v>3.376498118565463E-2</v>
      </c>
      <c r="R423" s="19">
        <f t="shared" si="49"/>
        <v>3.0633240158062458E-2</v>
      </c>
      <c r="S423" s="22">
        <v>3.5978914509097848E-2</v>
      </c>
      <c r="T423" s="19">
        <f t="shared" si="50"/>
        <v>4.061672483643064E-2</v>
      </c>
      <c r="U423" s="24">
        <v>3.9605175555654348E-2</v>
      </c>
      <c r="V423" s="24">
        <f t="shared" si="51"/>
        <v>4.130382905686103E-2</v>
      </c>
      <c r="W423" s="23">
        <f t="shared" si="52"/>
        <v>3.3772317273692565E-3</v>
      </c>
      <c r="X423" s="24">
        <v>3.8872364873815846E-2</v>
      </c>
      <c r="Y423" s="24">
        <f t="shared" si="53"/>
        <v>4.1154247265417832E-2</v>
      </c>
      <c r="Z423" s="23">
        <f t="shared" si="54"/>
        <v>3.3650660413178102E-3</v>
      </c>
      <c r="AA423" s="36"/>
    </row>
    <row r="424" spans="15:27" ht="13.9" customHeight="1" x14ac:dyDescent="0.3">
      <c r="O424" s="12">
        <f t="shared" si="48"/>
        <v>34.25</v>
      </c>
      <c r="P424" s="13">
        <v>411</v>
      </c>
      <c r="Q424" s="22">
        <v>3.3757349840686013E-2</v>
      </c>
      <c r="R424" s="19">
        <f t="shared" si="49"/>
        <v>3.0633799075149293E-2</v>
      </c>
      <c r="S424" s="22">
        <v>3.5990173597204134E-2</v>
      </c>
      <c r="T424" s="19">
        <f t="shared" si="50"/>
        <v>4.0641311172036731E-2</v>
      </c>
      <c r="U424" s="24">
        <v>3.960930516789829E-2</v>
      </c>
      <c r="V424" s="24">
        <f t="shared" si="51"/>
        <v>4.1319415912747681E-2</v>
      </c>
      <c r="W424" s="23">
        <f t="shared" si="52"/>
        <v>3.3784951040876088E-3</v>
      </c>
      <c r="X424" s="24">
        <v>3.8877910825307227E-2</v>
      </c>
      <c r="Y424" s="24">
        <f t="shared" si="53"/>
        <v>4.1171723439844765E-2</v>
      </c>
      <c r="Z424" s="23">
        <f t="shared" si="54"/>
        <v>3.3664831572148834E-3</v>
      </c>
      <c r="AA424" s="36"/>
    </row>
    <row r="425" spans="15:27" ht="13.9" customHeight="1" x14ac:dyDescent="0.3">
      <c r="O425" s="12">
        <f t="shared" si="48"/>
        <v>34.333333333333336</v>
      </c>
      <c r="P425" s="13">
        <v>412</v>
      </c>
      <c r="Q425" s="22">
        <v>3.374975695770388E-2</v>
      </c>
      <c r="R425" s="19">
        <f t="shared" si="49"/>
        <v>3.0634458911562579E-2</v>
      </c>
      <c r="S425" s="22">
        <v>3.6001437561216321E-2</v>
      </c>
      <c r="T425" s="19">
        <f t="shared" si="50"/>
        <v>4.0665639587758484E-2</v>
      </c>
      <c r="U425" s="24">
        <v>3.9613452520242731E-2</v>
      </c>
      <c r="V425" s="24">
        <f t="shared" si="51"/>
        <v>4.1334857582801865E-2</v>
      </c>
      <c r="W425" s="23">
        <f t="shared" si="52"/>
        <v>3.3797466927425468E-3</v>
      </c>
      <c r="X425" s="24">
        <v>3.8883472209124248E-2</v>
      </c>
      <c r="Y425" s="24">
        <f t="shared" si="53"/>
        <v>4.1189031769081508E-2</v>
      </c>
      <c r="Z425" s="23">
        <f t="shared" si="54"/>
        <v>3.3678866374402538E-3</v>
      </c>
      <c r="AA425" s="36"/>
    </row>
    <row r="426" spans="15:27" ht="13.9" customHeight="1" x14ac:dyDescent="0.3">
      <c r="O426" s="12">
        <f t="shared" si="48"/>
        <v>34.416666666666664</v>
      </c>
      <c r="P426" s="13">
        <v>413</v>
      </c>
      <c r="Q426" s="22">
        <v>3.3742202501980456E-2</v>
      </c>
      <c r="R426" s="19">
        <f t="shared" si="49"/>
        <v>3.063521957826687E-2</v>
      </c>
      <c r="S426" s="22">
        <v>3.6012705743649898E-2</v>
      </c>
      <c r="T426" s="19">
        <f t="shared" si="50"/>
        <v>4.0689712877655992E-2</v>
      </c>
      <c r="U426" s="24">
        <v>3.9617617132631899E-2</v>
      </c>
      <c r="V426" s="24">
        <f t="shared" si="51"/>
        <v>4.135015545548848E-2</v>
      </c>
      <c r="W426" s="23">
        <f t="shared" si="52"/>
        <v>3.3809866063758687E-3</v>
      </c>
      <c r="X426" s="24">
        <v>3.8889048507414037E-2</v>
      </c>
      <c r="Y426" s="24">
        <f t="shared" si="53"/>
        <v>4.1206173910755872E-2</v>
      </c>
      <c r="Z426" s="23">
        <f t="shared" si="54"/>
        <v>3.3692766170354549E-3</v>
      </c>
      <c r="AA426" s="36"/>
    </row>
    <row r="427" spans="15:27" ht="13.9" customHeight="1" x14ac:dyDescent="0.3">
      <c r="O427" s="12">
        <f t="shared" si="48"/>
        <v>34.5</v>
      </c>
      <c r="P427" s="13">
        <v>414</v>
      </c>
      <c r="Q427" s="22">
        <v>3.3734686438904982E-2</v>
      </c>
      <c r="R427" s="19">
        <f t="shared" si="49"/>
        <v>3.063608018816022E-2</v>
      </c>
      <c r="S427" s="22">
        <v>3.6023977500107662E-2</v>
      </c>
      <c r="T427" s="19">
        <f t="shared" si="50"/>
        <v>4.0713533802936297E-2</v>
      </c>
      <c r="U427" s="24">
        <v>3.9621798533007624E-2</v>
      </c>
      <c r="V427" s="24">
        <f t="shared" si="51"/>
        <v>4.1365310904810215E-2</v>
      </c>
      <c r="W427" s="23">
        <f t="shared" si="52"/>
        <v>3.3822149569495696E-3</v>
      </c>
      <c r="X427" s="24">
        <v>3.889463921133407E-2</v>
      </c>
      <c r="Y427" s="24">
        <f t="shared" si="53"/>
        <v>4.1223151503652744E-2</v>
      </c>
      <c r="Z427" s="23">
        <f t="shared" si="54"/>
        <v>3.3706532297332892E-3</v>
      </c>
      <c r="AA427" s="36"/>
    </row>
    <row r="428" spans="15:27" ht="13.9" customHeight="1" x14ac:dyDescent="0.3">
      <c r="O428" s="12">
        <f t="shared" si="48"/>
        <v>34.583333333333336</v>
      </c>
      <c r="P428" s="13">
        <v>415</v>
      </c>
      <c r="Q428" s="22">
        <v>3.3727208732052372E-2</v>
      </c>
      <c r="R428" s="19">
        <f t="shared" si="49"/>
        <v>3.0637037447031279E-2</v>
      </c>
      <c r="S428" s="22">
        <v>3.6035252199043688E-2</v>
      </c>
      <c r="T428" s="19">
        <f t="shared" si="50"/>
        <v>4.0737105093040515E-2</v>
      </c>
      <c r="U428" s="24">
        <v>3.9625996257176999E-2</v>
      </c>
      <c r="V428" s="24">
        <f t="shared" si="51"/>
        <v>4.1380325290984565E-2</v>
      </c>
      <c r="W428" s="23">
        <f t="shared" si="52"/>
        <v>3.3834318552550258E-3</v>
      </c>
      <c r="X428" s="24">
        <v>3.8900243820898517E-2</v>
      </c>
      <c r="Y428" s="24">
        <f t="shared" si="53"/>
        <v>4.1239966170984355E-2</v>
      </c>
      <c r="Z428" s="23">
        <f t="shared" si="54"/>
        <v>3.3720166077393365E-3</v>
      </c>
      <c r="AA428" s="36"/>
    </row>
    <row r="429" spans="15:27" ht="13.9" customHeight="1" x14ac:dyDescent="0.3">
      <c r="O429" s="12">
        <f t="shared" si="48"/>
        <v>34.666666666666664</v>
      </c>
      <c r="P429" s="13">
        <v>416</v>
      </c>
      <c r="Q429" s="22">
        <v>3.3719769337402283E-2</v>
      </c>
      <c r="R429" s="19">
        <f t="shared" si="49"/>
        <v>3.0638090485092029E-2</v>
      </c>
      <c r="S429" s="22">
        <v>3.6046529221530843E-2</v>
      </c>
      <c r="T429" s="19">
        <f t="shared" si="50"/>
        <v>4.0760429446970337E-2</v>
      </c>
      <c r="U429" s="24">
        <v>3.9630209848685372E-2</v>
      </c>
      <c r="V429" s="24">
        <f t="shared" si="51"/>
        <v>4.1395199960630569E-2</v>
      </c>
      <c r="W429" s="23">
        <f t="shared" si="52"/>
        <v>3.3846374109660626E-3</v>
      </c>
      <c r="X429" s="24">
        <v>3.8905861844833245E-2</v>
      </c>
      <c r="Y429" s="24">
        <f t="shared" si="53"/>
        <v>4.1256619517846982E-2</v>
      </c>
      <c r="Z429" s="23">
        <f t="shared" si="54"/>
        <v>3.3733668819952989E-3</v>
      </c>
      <c r="AA429" s="36"/>
    </row>
    <row r="430" spans="15:27" ht="13.9" customHeight="1" x14ac:dyDescent="0.3">
      <c r="O430" s="12">
        <f t="shared" si="48"/>
        <v>34.75</v>
      </c>
      <c r="P430" s="13">
        <v>417</v>
      </c>
      <c r="Q430" s="22">
        <v>3.371236820926149E-2</v>
      </c>
      <c r="R430" s="19">
        <f t="shared" si="49"/>
        <v>3.0639239246140759E-2</v>
      </c>
      <c r="S430" s="22">
        <v>3.605780796103697E-2</v>
      </c>
      <c r="T430" s="19">
        <f t="shared" si="50"/>
        <v>4.0783509532583029E-2</v>
      </c>
      <c r="U430" s="24">
        <v>3.9634438858690224E-2</v>
      </c>
      <c r="V430" s="24">
        <f t="shared" si="51"/>
        <v>4.1409936247037926E-2</v>
      </c>
      <c r="W430" s="23">
        <f t="shared" si="52"/>
        <v>3.3858317326544984E-3</v>
      </c>
      <c r="X430" s="24">
        <v>3.8911492800428382E-2</v>
      </c>
      <c r="Y430" s="24">
        <f t="shared" si="53"/>
        <v>4.1273113133783124E-2</v>
      </c>
      <c r="Z430" s="23">
        <f t="shared" si="54"/>
        <v>3.3747041819747192E-3</v>
      </c>
      <c r="AA430" s="36"/>
    </row>
    <row r="431" spans="15:27" ht="13.9" customHeight="1" x14ac:dyDescent="0.3">
      <c r="O431" s="12">
        <f t="shared" si="48"/>
        <v>34.833333333333336</v>
      </c>
      <c r="P431" s="13">
        <v>418</v>
      </c>
      <c r="Q431" s="22">
        <v>3.3705005302235858E-2</v>
      </c>
      <c r="R431" s="19">
        <f t="shared" si="49"/>
        <v>3.0640483680196562E-2</v>
      </c>
      <c r="S431" s="22">
        <v>3.6069087823201285E-2</v>
      </c>
      <c r="T431" s="19">
        <f t="shared" si="50"/>
        <v>4.0806347986533709E-2</v>
      </c>
      <c r="U431" s="24">
        <v>3.9638682845837714E-2</v>
      </c>
      <c r="V431" s="24">
        <f t="shared" si="51"/>
        <v>4.1424535470466095E-2</v>
      </c>
      <c r="W431" s="23">
        <f t="shared" si="52"/>
        <v>3.3870149278123485E-3</v>
      </c>
      <c r="X431" s="24">
        <v>3.8917136213397763E-2</v>
      </c>
      <c r="Y431" s="24">
        <f t="shared" si="53"/>
        <v>4.1289448591465217E-2</v>
      </c>
      <c r="Z431" s="23">
        <f t="shared" si="54"/>
        <v>3.376028635888817E-3</v>
      </c>
      <c r="AA431" s="36"/>
    </row>
    <row r="432" spans="15:27" ht="13.9" customHeight="1" x14ac:dyDescent="0.3">
      <c r="O432" s="12">
        <f t="shared" si="48"/>
        <v>34.916666666666664</v>
      </c>
      <c r="P432" s="13">
        <v>419</v>
      </c>
      <c r="Q432" s="22">
        <v>3.3697680571242117E-2</v>
      </c>
      <c r="R432" s="19">
        <f t="shared" si="49"/>
        <v>3.0641823744407048E-2</v>
      </c>
      <c r="S432" s="22">
        <v>3.6080368225615E-2</v>
      </c>
      <c r="T432" s="19">
        <f t="shared" si="50"/>
        <v>4.0828947416286177E-2</v>
      </c>
      <c r="U432" s="24">
        <v>3.9642941376142549E-2</v>
      </c>
      <c r="V432" s="24">
        <f t="shared" si="51"/>
        <v>4.1438998937343818E-2</v>
      </c>
      <c r="W432" s="23">
        <f t="shared" si="52"/>
        <v>3.3881871028758059E-3</v>
      </c>
      <c r="X432" s="24">
        <v>3.8922791617738595E-2</v>
      </c>
      <c r="Y432" s="24">
        <f t="shared" si="53"/>
        <v>4.1305627447073778E-2</v>
      </c>
      <c r="Z432" s="23">
        <f t="shared" si="54"/>
        <v>3.3773403705812388E-3</v>
      </c>
      <c r="AA432" s="36"/>
    </row>
    <row r="433" spans="15:27" ht="13.9" customHeight="1" x14ac:dyDescent="0.3">
      <c r="O433" s="12">
        <f t="shared" si="48"/>
        <v>35</v>
      </c>
      <c r="P433" s="13">
        <v>420</v>
      </c>
      <c r="Q433" s="22">
        <v>3.3690393971520738E-2</v>
      </c>
      <c r="R433" s="19">
        <f t="shared" si="49"/>
        <v>3.0643258611820379E-2</v>
      </c>
      <c r="S433" s="22">
        <v>3.6091648597608605E-2</v>
      </c>
      <c r="T433" s="19">
        <f t="shared" si="50"/>
        <v>4.0851310399129481E-2</v>
      </c>
      <c r="U433" s="24">
        <v>3.964721402286675E-2</v>
      </c>
      <c r="V433" s="24">
        <f t="shared" si="51"/>
        <v>4.1453327941068041E-2</v>
      </c>
      <c r="W433" s="23">
        <f t="shared" si="52"/>
        <v>3.3893483631606269E-3</v>
      </c>
      <c r="X433" s="24">
        <v>3.8928458555592238E-2</v>
      </c>
      <c r="Y433" s="24">
        <f t="shared" si="53"/>
        <v>4.1321651241363666E-2</v>
      </c>
      <c r="Z433" s="23">
        <f t="shared" si="54"/>
        <v>3.378639511559145E-3</v>
      </c>
      <c r="AA433" s="36"/>
    </row>
    <row r="434" spans="15:27" ht="13.9" customHeight="1" x14ac:dyDescent="0.3">
      <c r="O434" s="12">
        <f t="shared" si="48"/>
        <v>35.083333333333336</v>
      </c>
      <c r="P434" s="13">
        <v>421</v>
      </c>
      <c r="Q434" s="22">
        <v>3.3683145456764318E-2</v>
      </c>
      <c r="R434" s="19">
        <f t="shared" si="49"/>
        <v>3.0644785088799864E-2</v>
      </c>
      <c r="S434" s="22">
        <v>3.6102928380040478E-2</v>
      </c>
      <c r="T434" s="19">
        <f t="shared" si="50"/>
        <v>4.0873439483302132E-2</v>
      </c>
      <c r="U434" s="24">
        <v>3.9651500366402415E-2</v>
      </c>
      <c r="V434" s="24">
        <f t="shared" si="51"/>
        <v>4.1467523763158542E-2</v>
      </c>
      <c r="W434" s="23">
        <f t="shared" si="52"/>
        <v>3.3904988129274116E-3</v>
      </c>
      <c r="X434" s="24">
        <v>3.8934136577111866E-2</v>
      </c>
      <c r="Y434" s="24">
        <f t="shared" si="53"/>
        <v>4.1337521498275409E-2</v>
      </c>
      <c r="Z434" s="23">
        <f t="shared" si="54"/>
        <v>3.3799261830780303E-3</v>
      </c>
      <c r="AA434" s="36"/>
    </row>
    <row r="435" spans="15:27" ht="13.9" customHeight="1" x14ac:dyDescent="0.3">
      <c r="O435" s="12">
        <f t="shared" si="48"/>
        <v>35.166666666666664</v>
      </c>
      <c r="P435" s="13">
        <v>422</v>
      </c>
      <c r="Q435" s="22">
        <v>3.3675934973511401E-2</v>
      </c>
      <c r="R435" s="19">
        <f t="shared" si="49"/>
        <v>3.0646402366030001E-2</v>
      </c>
      <c r="S435" s="22">
        <v>3.611420702509216E-2</v>
      </c>
      <c r="T435" s="19">
        <f t="shared" si="50"/>
        <v>4.0895337187865533E-2</v>
      </c>
      <c r="U435" s="24">
        <v>3.9655799994158913E-2</v>
      </c>
      <c r="V435" s="24">
        <f t="shared" si="51"/>
        <v>4.148158767119936E-2</v>
      </c>
      <c r="W435" s="23">
        <f t="shared" si="52"/>
        <v>3.3916385554744188E-3</v>
      </c>
      <c r="X435" s="24">
        <v>3.8939825240326353E-2</v>
      </c>
      <c r="Y435" s="24">
        <f t="shared" si="53"/>
        <v>4.1353239727491609E-2</v>
      </c>
      <c r="Z435" s="23">
        <f t="shared" si="54"/>
        <v>3.3812005080313678E-3</v>
      </c>
      <c r="AA435" s="36"/>
    </row>
    <row r="436" spans="15:27" ht="13.9" customHeight="1" x14ac:dyDescent="0.3">
      <c r="O436" s="12">
        <f t="shared" si="48"/>
        <v>35.25</v>
      </c>
      <c r="P436" s="13">
        <v>423</v>
      </c>
      <c r="Q436" s="22">
        <v>3.3668762466883884E-2</v>
      </c>
      <c r="R436" s="19">
        <f t="shared" si="49"/>
        <v>3.064811043093707E-2</v>
      </c>
      <c r="S436" s="22">
        <v>3.6125483996063856E-2</v>
      </c>
      <c r="T436" s="19">
        <f t="shared" si="50"/>
        <v>4.0917006002977097E-2</v>
      </c>
      <c r="U436" s="24">
        <v>3.9660112500446765E-2</v>
      </c>
      <c r="V436" s="24">
        <f t="shared" si="51"/>
        <v>4.1495520920424855E-2</v>
      </c>
      <c r="W436" s="23">
        <f t="shared" si="52"/>
        <v>3.3927676929712547E-3</v>
      </c>
      <c r="X436" s="24">
        <v>3.8945524111013707E-2</v>
      </c>
      <c r="Y436" s="24">
        <f t="shared" si="53"/>
        <v>4.1368807421297671E-2</v>
      </c>
      <c r="Z436" s="23">
        <f t="shared" si="54"/>
        <v>3.3824626081564446E-3</v>
      </c>
      <c r="AA436" s="36"/>
    </row>
    <row r="437" spans="15:27" ht="13.9" customHeight="1" x14ac:dyDescent="0.3">
      <c r="O437" s="12">
        <f t="shared" si="48"/>
        <v>35.333333333333336</v>
      </c>
      <c r="P437" s="13">
        <v>424</v>
      </c>
      <c r="Q437" s="22">
        <v>3.3661627882489276E-2</v>
      </c>
      <c r="R437" s="19">
        <f t="shared" si="49"/>
        <v>3.0649909278342768E-2</v>
      </c>
      <c r="S437" s="22">
        <v>3.6136758767176147E-2</v>
      </c>
      <c r="T437" s="19">
        <f t="shared" si="50"/>
        <v>4.093844839120675E-2</v>
      </c>
      <c r="U437" s="24">
        <v>3.9664437486366833E-2</v>
      </c>
      <c r="V437" s="24">
        <f t="shared" si="51"/>
        <v>4.1509324754165799E-2</v>
      </c>
      <c r="W437" s="23">
        <f t="shared" si="52"/>
        <v>3.3938863265876584E-3</v>
      </c>
      <c r="X437" s="24">
        <v>3.8951232762568733E-2</v>
      </c>
      <c r="Y437" s="24">
        <f t="shared" si="53"/>
        <v>4.13842260580215E-2</v>
      </c>
      <c r="Z437" s="23">
        <f t="shared" si="54"/>
        <v>3.3837126037812304E-3</v>
      </c>
      <c r="AA437" s="36"/>
    </row>
    <row r="438" spans="15:27" ht="13.9" customHeight="1" x14ac:dyDescent="0.3">
      <c r="O438" s="12">
        <f t="shared" si="48"/>
        <v>35.416666666666664</v>
      </c>
      <c r="P438" s="13">
        <v>425</v>
      </c>
      <c r="Q438" s="22">
        <v>3.3654531166431578E-2</v>
      </c>
      <c r="R438" s="19">
        <f t="shared" si="49"/>
        <v>3.0651798908459593E-2</v>
      </c>
      <c r="S438" s="22">
        <v>3.6148030823375699E-2</v>
      </c>
      <c r="T438" s="19">
        <f t="shared" si="50"/>
        <v>4.0959666786385629E-2</v>
      </c>
      <c r="U438" s="24">
        <v>3.9668774559702635E-2</v>
      </c>
      <c r="V438" s="24">
        <f t="shared" si="51"/>
        <v>4.1523000402593713E-2</v>
      </c>
      <c r="W438" s="23">
        <f t="shared" si="52"/>
        <v>3.3949945565294737E-3</v>
      </c>
      <c r="X438" s="24">
        <v>3.8956950775879795E-2</v>
      </c>
      <c r="Y438" s="24">
        <f t="shared" si="53"/>
        <v>4.1399497100449212E-2</v>
      </c>
      <c r="Z438" s="23">
        <f t="shared" si="54"/>
        <v>3.3849506141017116E-3</v>
      </c>
      <c r="AA438" s="36"/>
    </row>
    <row r="439" spans="15:27" ht="13.9" customHeight="1" x14ac:dyDescent="0.3">
      <c r="O439" s="12">
        <f t="shared" si="48"/>
        <v>35.5</v>
      </c>
      <c r="P439" s="13">
        <v>426</v>
      </c>
      <c r="Q439" s="22">
        <v>3.3647472265318834E-2</v>
      </c>
      <c r="R439" s="19">
        <f t="shared" si="49"/>
        <v>3.0653778551841704E-2</v>
      </c>
      <c r="S439" s="22">
        <v>3.6159299660142086E-2</v>
      </c>
      <c r="T439" s="19">
        <f t="shared" si="50"/>
        <v>4.0980663595981515E-2</v>
      </c>
      <c r="U439" s="24">
        <v>3.967312333480999E-2</v>
      </c>
      <c r="V439" s="24">
        <f t="shared" si="51"/>
        <v>4.1536549084635555E-2</v>
      </c>
      <c r="W439" s="23">
        <f t="shared" si="52"/>
        <v>3.396092481936952E-3</v>
      </c>
      <c r="X439" s="24">
        <v>3.8962677739204254E-2</v>
      </c>
      <c r="Y439" s="24">
        <f t="shared" si="53"/>
        <v>4.1414621996107348E-2</v>
      </c>
      <c r="Z439" s="23">
        <f t="shared" si="54"/>
        <v>3.3861767570551038E-3</v>
      </c>
      <c r="AA439" s="36"/>
    </row>
    <row r="440" spans="15:27" ht="13.9" customHeight="1" x14ac:dyDescent="0.3">
      <c r="O440" s="12">
        <f t="shared" si="48"/>
        <v>35.583333333333336</v>
      </c>
      <c r="P440" s="13">
        <v>427</v>
      </c>
      <c r="Q440" s="22">
        <v>3.36404511244488E-2</v>
      </c>
      <c r="R440" s="19">
        <f t="shared" si="49"/>
        <v>3.0655845114762936E-2</v>
      </c>
      <c r="S440" s="22">
        <v>3.6170564783302162E-2</v>
      </c>
      <c r="T440" s="19">
        <f t="shared" si="50"/>
        <v>4.1001441198812216E-2</v>
      </c>
      <c r="U440" s="24">
        <v>3.9677483432514427E-2</v>
      </c>
      <c r="V440" s="24">
        <f t="shared" si="51"/>
        <v>4.1549972006093672E-2</v>
      </c>
      <c r="W440" s="23">
        <f t="shared" si="52"/>
        <v>3.3971802010399621E-3</v>
      </c>
      <c r="X440" s="24">
        <v>3.8968413248046563E-2</v>
      </c>
      <c r="Y440" s="24">
        <f t="shared" si="53"/>
        <v>4.1429602177799119E-2</v>
      </c>
      <c r="Z440" s="23">
        <f t="shared" si="54"/>
        <v>3.3873911493425002E-3</v>
      </c>
      <c r="AA440" s="36"/>
    </row>
    <row r="441" spans="15:27" ht="13.9" customHeight="1" x14ac:dyDescent="0.3">
      <c r="O441" s="12">
        <f t="shared" si="48"/>
        <v>35.666666666666664</v>
      </c>
      <c r="P441" s="13">
        <v>428</v>
      </c>
      <c r="Q441" s="22">
        <v>3.3633467682378626E-2</v>
      </c>
      <c r="R441" s="19">
        <f t="shared" si="49"/>
        <v>3.0657997843439588E-2</v>
      </c>
      <c r="S441" s="22">
        <v>3.618182570884243E-2</v>
      </c>
      <c r="T441" s="19">
        <f t="shared" si="50"/>
        <v>4.1022001947635278E-2</v>
      </c>
      <c r="U441" s="24">
        <v>3.9681854480004164E-2</v>
      </c>
      <c r="V441" s="24">
        <f t="shared" si="51"/>
        <v>4.1563270360765125E-2</v>
      </c>
      <c r="W441" s="23">
        <f t="shared" si="52"/>
        <v>3.3982578110061112E-3</v>
      </c>
      <c r="X441" s="24">
        <v>3.8974156905038804E-2</v>
      </c>
      <c r="Y441" s="24">
        <f t="shared" si="53"/>
        <v>4.1444439063634153E-2</v>
      </c>
      <c r="Z441" s="23">
        <f t="shared" si="54"/>
        <v>3.3885939064715043E-3</v>
      </c>
      <c r="AA441" s="36"/>
    </row>
    <row r="442" spans="15:27" ht="13.9" customHeight="1" x14ac:dyDescent="0.3">
      <c r="O442" s="12">
        <f t="shared" si="48"/>
        <v>35.75</v>
      </c>
      <c r="P442" s="13">
        <v>429</v>
      </c>
      <c r="Q442" s="22">
        <v>3.3626521876473525E-2</v>
      </c>
      <c r="R442" s="19">
        <f t="shared" si="49"/>
        <v>3.0660236768492277E-2</v>
      </c>
      <c r="S442" s="22">
        <v>3.6193081962729634E-2</v>
      </c>
      <c r="T442" s="19">
        <f t="shared" si="50"/>
        <v>4.1042348168678577E-2</v>
      </c>
      <c r="U442" s="24">
        <v>3.968623611072819E-2</v>
      </c>
      <c r="V442" s="24">
        <f t="shared" si="51"/>
        <v>4.1576445332207168E-2</v>
      </c>
      <c r="W442" s="23">
        <f t="shared" si="52"/>
        <v>3.3993254080317836E-3</v>
      </c>
      <c r="X442" s="24">
        <v>3.8979908319823231E-2</v>
      </c>
      <c r="Y442" s="24">
        <f t="shared" si="53"/>
        <v>4.1459134057446168E-2</v>
      </c>
      <c r="Z442" s="23">
        <f t="shared" si="54"/>
        <v>3.3897851427600045E-3</v>
      </c>
      <c r="AA442" s="36"/>
    </row>
    <row r="443" spans="15:27" ht="13.9" customHeight="1" x14ac:dyDescent="0.3">
      <c r="O443" s="12">
        <f t="shared" si="48"/>
        <v>35.833333333333336</v>
      </c>
      <c r="P443" s="13">
        <v>430</v>
      </c>
      <c r="Q443" s="22">
        <v>3.3619613644750412E-2</v>
      </c>
      <c r="R443" s="19">
        <f t="shared" si="49"/>
        <v>3.0662561926175114E-2</v>
      </c>
      <c r="S443" s="22">
        <v>3.6204333080732676E-2</v>
      </c>
      <c r="T443" s="19">
        <f t="shared" si="50"/>
        <v>4.1062482161540625E-2</v>
      </c>
      <c r="U443" s="24">
        <v>3.969062796429923E-2</v>
      </c>
      <c r="V443" s="24">
        <f t="shared" si="51"/>
        <v>4.1589498090325971E-2</v>
      </c>
      <c r="W443" s="23">
        <f t="shared" si="52"/>
        <v>3.4003830874826946E-3</v>
      </c>
      <c r="X443" s="24">
        <v>3.898566710893725E-2</v>
      </c>
      <c r="Y443" s="24">
        <f t="shared" si="53"/>
        <v>4.1473688548040233E-2</v>
      </c>
      <c r="Z443" s="23">
        <f t="shared" si="54"/>
        <v>3.3909649713690371E-3</v>
      </c>
      <c r="AA443" s="36"/>
    </row>
    <row r="444" spans="15:27" ht="13.9" customHeight="1" x14ac:dyDescent="0.3">
      <c r="O444" s="12">
        <f t="shared" si="48"/>
        <v>35.916666666666664</v>
      </c>
      <c r="P444" s="13">
        <v>431</v>
      </c>
      <c r="Q444" s="22">
        <v>3.3612742925882788E-2</v>
      </c>
      <c r="R444" s="19">
        <f t="shared" si="49"/>
        <v>3.0664973359506131E-2</v>
      </c>
      <c r="S444" s="22">
        <v>3.6215578608247201E-2</v>
      </c>
      <c r="T444" s="19">
        <f t="shared" si="50"/>
        <v>4.1082406200139143E-2</v>
      </c>
      <c r="U444" s="24">
        <v>3.9695029686390271E-2</v>
      </c>
      <c r="V444" s="24">
        <f t="shared" si="51"/>
        <v>4.1602429794769469E-2</v>
      </c>
      <c r="W444" s="23">
        <f t="shared" si="52"/>
        <v>3.4014309436218859E-3</v>
      </c>
      <c r="X444" s="24">
        <v>3.8991432895698619E-2</v>
      </c>
      <c r="Y444" s="24">
        <f t="shared" si="53"/>
        <v>4.1488103910779284E-2</v>
      </c>
      <c r="Z444" s="23">
        <f t="shared" si="54"/>
        <v>3.3921335042430556E-3</v>
      </c>
      <c r="AA444" s="36"/>
    </row>
    <row r="445" spans="15:27" ht="13.9" customHeight="1" x14ac:dyDescent="0.3">
      <c r="O445" s="12">
        <f t="shared" si="48"/>
        <v>36</v>
      </c>
      <c r="P445" s="13">
        <v>432</v>
      </c>
      <c r="Q445" s="22">
        <v>3.3605909659209621E-2</v>
      </c>
      <c r="R445" s="19">
        <f t="shared" si="49"/>
        <v>3.0667470353515247E-2</v>
      </c>
      <c r="S445" s="22">
        <v>3.6226818100124625E-2</v>
      </c>
      <c r="T445" s="19">
        <f t="shared" si="50"/>
        <v>4.1102122533067886E-2</v>
      </c>
      <c r="U445" s="24">
        <v>3.9699440928640861E-2</v>
      </c>
      <c r="V445" s="24">
        <f t="shared" si="51"/>
        <v>4.1615241592954266E-2</v>
      </c>
      <c r="W445" s="23">
        <f t="shared" si="52"/>
        <v>3.4024690698806204E-3</v>
      </c>
      <c r="X445" s="24">
        <v>3.8997205310095318E-2</v>
      </c>
      <c r="Y445" s="24">
        <f t="shared" si="53"/>
        <v>4.1502381506750341E-2</v>
      </c>
      <c r="Z445" s="23">
        <f t="shared" si="54"/>
        <v>3.393290852237385E-3</v>
      </c>
      <c r="AA445" s="36"/>
    </row>
    <row r="446" spans="15:27" ht="13.9" customHeight="1" x14ac:dyDescent="0.3">
      <c r="O446" s="12">
        <f t="shared" si="48"/>
        <v>36.083333333333336</v>
      </c>
      <c r="P446" s="13">
        <v>433</v>
      </c>
      <c r="Q446" s="22">
        <v>3.3599113782971424E-2</v>
      </c>
      <c r="R446" s="19">
        <f t="shared" si="49"/>
        <v>3.067004991051081E-2</v>
      </c>
      <c r="S446" s="22">
        <v>3.6238051120504045E-2</v>
      </c>
      <c r="T446" s="19">
        <f t="shared" si="50"/>
        <v>4.112163338281527E-2</v>
      </c>
      <c r="U446" s="24">
        <v>3.9703861348559633E-2</v>
      </c>
      <c r="V446" s="24">
        <f t="shared" si="51"/>
        <v>4.1627934621416118E-2</v>
      </c>
      <c r="W446" s="23">
        <f t="shared" si="52"/>
        <v>3.4034975587016181E-3</v>
      </c>
      <c r="X446" s="24">
        <v>3.9002983988675854E-2</v>
      </c>
      <c r="Y446" s="24">
        <f t="shared" si="53"/>
        <v>4.1516522682474299E-2</v>
      </c>
      <c r="Z446" s="23">
        <f t="shared" si="54"/>
        <v>3.394437125051164E-3</v>
      </c>
      <c r="AA446" s="36"/>
    </row>
    <row r="447" spans="15:27" ht="13.9" customHeight="1" x14ac:dyDescent="0.3">
      <c r="O447" s="12">
        <f t="shared" si="48"/>
        <v>36.166666666666664</v>
      </c>
      <c r="P447" s="13">
        <v>434</v>
      </c>
      <c r="Q447" s="22">
        <v>3.3592355229048687E-2</v>
      </c>
      <c r="R447" s="19">
        <f t="shared" si="49"/>
        <v>3.0672711331435343E-2</v>
      </c>
      <c r="S447" s="22">
        <v>3.6249277242645483E-2</v>
      </c>
      <c r="T447" s="19">
        <f t="shared" si="50"/>
        <v>4.1140940947902882E-2</v>
      </c>
      <c r="U447" s="24">
        <v>3.9708290609431485E-2</v>
      </c>
      <c r="V447" s="24">
        <f t="shared" si="51"/>
        <v>4.1640510005049203E-2</v>
      </c>
      <c r="W447" s="23">
        <f t="shared" si="52"/>
        <v>3.4045165016465262E-3</v>
      </c>
      <c r="X447" s="24">
        <v>3.9008768574439578E-2</v>
      </c>
      <c r="Y447" s="24">
        <f t="shared" si="53"/>
        <v>4.1530528772000475E-2</v>
      </c>
      <c r="Z447" s="23">
        <f t="shared" si="54"/>
        <v>3.3955724312051405E-3</v>
      </c>
      <c r="AA447" s="36"/>
    </row>
    <row r="448" spans="15:27" ht="13.9" customHeight="1" x14ac:dyDescent="0.3">
      <c r="O448" s="12">
        <f t="shared" si="48"/>
        <v>36.25</v>
      </c>
      <c r="P448" s="13">
        <v>435</v>
      </c>
      <c r="Q448" s="22">
        <v>3.3585633928334468E-2</v>
      </c>
      <c r="R448" s="19">
        <f t="shared" si="49"/>
        <v>3.0675454687400405E-2</v>
      </c>
      <c r="S448" s="22">
        <v>3.6260496048769353E-2</v>
      </c>
      <c r="T448" s="19">
        <f t="shared" si="50"/>
        <v>4.1160047401424649E-2</v>
      </c>
      <c r="U448" s="24">
        <v>3.9712728380224105E-2</v>
      </c>
      <c r="V448" s="24">
        <f t="shared" si="51"/>
        <v>4.1652968858357342E-2</v>
      </c>
      <c r="W448" s="23">
        <f t="shared" si="52"/>
        <v>3.4055259893350787E-3</v>
      </c>
      <c r="X448" s="24">
        <v>3.9014558716733871E-2</v>
      </c>
      <c r="Y448" s="24">
        <f t="shared" si="53"/>
        <v>4.1544401094558481E-2</v>
      </c>
      <c r="Z448" s="23">
        <f t="shared" si="54"/>
        <v>3.3966968782086493E-3</v>
      </c>
      <c r="AA448" s="36"/>
    </row>
    <row r="449" spans="15:27" ht="13.9" customHeight="1" x14ac:dyDescent="0.3">
      <c r="O449" s="12">
        <f t="shared" si="48"/>
        <v>36.333333333333336</v>
      </c>
      <c r="P449" s="13">
        <v>436</v>
      </c>
      <c r="Q449" s="22">
        <v>3.3578949812516745E-2</v>
      </c>
      <c r="R449" s="19">
        <f t="shared" si="49"/>
        <v>3.067828005489881E-2</v>
      </c>
      <c r="S449" s="22">
        <v>3.6271707129895692E-2</v>
      </c>
      <c r="T449" s="19">
        <f t="shared" si="50"/>
        <v>4.1178954892526765E-2</v>
      </c>
      <c r="U449" s="24">
        <v>3.9717174335499372E-2</v>
      </c>
      <c r="V449" s="24">
        <f t="shared" si="51"/>
        <v>4.1665312283931E-2</v>
      </c>
      <c r="W449" s="23">
        <f t="shared" si="52"/>
        <v>3.4065261115465706E-3</v>
      </c>
      <c r="X449" s="24">
        <v>3.9020354071147345E-2</v>
      </c>
      <c r="Y449" s="24">
        <f t="shared" si="53"/>
        <v>4.1558140956567957E-2</v>
      </c>
      <c r="Z449" s="23">
        <f t="shared" si="54"/>
        <v>3.3978105723728724E-3</v>
      </c>
      <c r="AA449" s="36"/>
    </row>
    <row r="450" spans="15:27" ht="13.9" customHeight="1" x14ac:dyDescent="0.3">
      <c r="O450" s="12">
        <f t="shared" si="48"/>
        <v>36.416666666666664</v>
      </c>
      <c r="P450" s="13">
        <v>437</v>
      </c>
      <c r="Q450" s="22">
        <v>3.3572302814082189E-2</v>
      </c>
      <c r="R450" s="19">
        <f t="shared" si="49"/>
        <v>3.0681187516618857E-2</v>
      </c>
      <c r="S450" s="22">
        <v>3.6282910085688291E-2</v>
      </c>
      <c r="T450" s="19">
        <f t="shared" si="50"/>
        <v>4.1197665546282236E-2</v>
      </c>
      <c r="U450" s="24">
        <v>3.9721628155321209E-2</v>
      </c>
      <c r="V450" s="24">
        <f t="shared" si="51"/>
        <v>4.1677541374400828E-2</v>
      </c>
      <c r="W450" s="23">
        <f t="shared" si="52"/>
        <v>3.4075169570966235E-3</v>
      </c>
      <c r="X450" s="24">
        <v>3.9026154299408589E-2</v>
      </c>
      <c r="Y450" s="24">
        <f t="shared" si="53"/>
        <v>4.1571749651188927E-2</v>
      </c>
      <c r="Z450" s="23">
        <f t="shared" si="54"/>
        <v>3.3989136189709335E-3</v>
      </c>
      <c r="AA450" s="36"/>
    </row>
    <row r="451" spans="15:27" ht="13.9" customHeight="1" x14ac:dyDescent="0.3">
      <c r="O451" s="12">
        <f t="shared" si="48"/>
        <v>36.5</v>
      </c>
      <c r="P451" s="13">
        <v>438</v>
      </c>
      <c r="Q451" s="22">
        <v>3.3565692866320829E-2</v>
      </c>
      <c r="R451" s="19">
        <f t="shared" si="49"/>
        <v>3.0684176410936903E-2</v>
      </c>
      <c r="S451" s="22">
        <v>3.6294104524301485E-2</v>
      </c>
      <c r="T451" s="19">
        <f t="shared" si="50"/>
        <v>4.1216181463185064E-2</v>
      </c>
      <c r="U451" s="24">
        <v>3.9726089525170316E-2</v>
      </c>
      <c r="V451" s="24">
        <f t="shared" si="51"/>
        <v>4.168965721080764E-2</v>
      </c>
      <c r="W451" s="23">
        <f t="shared" si="52"/>
        <v>3.4084986139952811E-3</v>
      </c>
      <c r="X451" s="24">
        <v>3.9031959069286248E-2</v>
      </c>
      <c r="Y451" s="24">
        <f t="shared" si="53"/>
        <v>4.1585228458032031E-2</v>
      </c>
      <c r="Z451" s="23">
        <f t="shared" si="54"/>
        <v>3.4000061222032585E-3</v>
      </c>
      <c r="AA451" s="36"/>
    </row>
    <row r="452" spans="15:27" ht="13.9" customHeight="1" x14ac:dyDescent="0.3">
      <c r="O452" s="12">
        <f t="shared" si="48"/>
        <v>36.583333333333336</v>
      </c>
      <c r="P452" s="13">
        <v>439</v>
      </c>
      <c r="Q452" s="22">
        <v>3.3559119901616752E-2</v>
      </c>
      <c r="R452" s="19">
        <f t="shared" si="49"/>
        <v>3.068724383351995E-2</v>
      </c>
      <c r="S452" s="22">
        <v>3.6305290062226714E-2</v>
      </c>
      <c r="T452" s="19">
        <f t="shared" si="50"/>
        <v>4.123450472207657E-2</v>
      </c>
      <c r="U452" s="24">
        <v>3.9730558135856242E-2</v>
      </c>
      <c r="V452" s="24">
        <f t="shared" si="51"/>
        <v>4.1701660864082335E-2</v>
      </c>
      <c r="W452" s="23">
        <f t="shared" si="52"/>
        <v>3.4094711693148927E-3</v>
      </c>
      <c r="X452" s="24">
        <v>3.9037768054488664E-2</v>
      </c>
      <c r="Y452" s="24">
        <f t="shared" si="53"/>
        <v>4.1598578644217232E-2</v>
      </c>
      <c r="Z452" s="23">
        <f t="shared" si="54"/>
        <v>3.4010881851733732E-3</v>
      </c>
      <c r="AA452" s="36"/>
    </row>
    <row r="453" spans="15:27" ht="13.9" customHeight="1" x14ac:dyDescent="0.3">
      <c r="O453" s="12">
        <f t="shared" si="48"/>
        <v>36.666666666666664</v>
      </c>
      <c r="P453" s="13">
        <v>440</v>
      </c>
      <c r="Q453" s="22">
        <v>3.3552583846347295E-2</v>
      </c>
      <c r="R453" s="19">
        <f t="shared" si="49"/>
        <v>3.0690389137410401E-2</v>
      </c>
      <c r="S453" s="22">
        <v>3.6316466324149088E-2</v>
      </c>
      <c r="T453" s="19">
        <f t="shared" si="50"/>
        <v>4.1252637376086643E-2</v>
      </c>
      <c r="U453" s="24">
        <v>3.9735033683433008E-2</v>
      </c>
      <c r="V453" s="24">
        <f t="shared" si="51"/>
        <v>4.1713553394725489E-2</v>
      </c>
      <c r="W453" s="23">
        <f t="shared" si="52"/>
        <v>3.4104347093102394E-3</v>
      </c>
      <c r="X453" s="24">
        <v>3.9043580934568167E-2</v>
      </c>
      <c r="Y453" s="24">
        <f t="shared" si="53"/>
        <v>4.1611801463324882E-2</v>
      </c>
      <c r="Z453" s="23">
        <f t="shared" si="54"/>
        <v>3.4021599099738342E-3</v>
      </c>
      <c r="AA453" s="36"/>
    </row>
    <row r="454" spans="15:27" ht="13.9" customHeight="1" x14ac:dyDescent="0.3">
      <c r="O454" s="12">
        <f t="shared" si="48"/>
        <v>36.75</v>
      </c>
      <c r="P454" s="13">
        <v>441</v>
      </c>
      <c r="Q454" s="22">
        <v>3.3546084626084216E-2</v>
      </c>
      <c r="R454" s="19">
        <f t="shared" si="49"/>
        <v>3.0693612432843853E-2</v>
      </c>
      <c r="S454" s="22">
        <v>3.6327632942796173E-2</v>
      </c>
      <c r="T454" s="19">
        <f t="shared" si="50"/>
        <v>4.1270581457726552E-2</v>
      </c>
      <c r="U454" s="24">
        <v>3.9739515869116504E-2</v>
      </c>
      <c r="V454" s="24">
        <f t="shared" si="51"/>
        <v>4.172533585242677E-2</v>
      </c>
      <c r="W454" s="23">
        <f t="shared" si="52"/>
        <v>3.4113893193929989E-3</v>
      </c>
      <c r="X454" s="24">
        <v>3.9049397394824048E-2</v>
      </c>
      <c r="Y454" s="24">
        <f t="shared" si="53"/>
        <v>4.1624898156911616E-2</v>
      </c>
      <c r="Z454" s="23">
        <f t="shared" si="54"/>
        <v>3.4032213976018522E-3</v>
      </c>
      <c r="AA454" s="36"/>
    </row>
    <row r="455" spans="15:27" ht="13.9" customHeight="1" x14ac:dyDescent="0.3">
      <c r="O455" s="12">
        <f t="shared" si="48"/>
        <v>36.833333333333336</v>
      </c>
      <c r="P455" s="13">
        <v>442</v>
      </c>
      <c r="Q455" s="22">
        <v>3.353962216732076E-2</v>
      </c>
      <c r="R455" s="19">
        <f t="shared" si="49"/>
        <v>3.0696913834255213E-2</v>
      </c>
      <c r="S455" s="22">
        <v>3.6338789558799656E-2</v>
      </c>
      <c r="T455" s="19">
        <f t="shared" si="50"/>
        <v>4.128833897540618E-2</v>
      </c>
      <c r="U455" s="24">
        <v>3.9744004399201227E-2</v>
      </c>
      <c r="V455" s="24">
        <f t="shared" si="51"/>
        <v>4.1737009276886727E-2</v>
      </c>
      <c r="W455" s="23">
        <f t="shared" si="52"/>
        <v>3.4123350840999933E-3</v>
      </c>
      <c r="X455" s="24">
        <v>3.9055217126210184E-2</v>
      </c>
      <c r="Y455" s="24">
        <f t="shared" si="53"/>
        <v>4.1637869953648377E-2</v>
      </c>
      <c r="Z455" s="23">
        <f t="shared" si="54"/>
        <v>3.4042727480814161E-3</v>
      </c>
      <c r="AA455" s="36"/>
    </row>
    <row r="456" spans="15:27" ht="13.9" customHeight="1" x14ac:dyDescent="0.3">
      <c r="O456" s="12">
        <f t="shared" si="48"/>
        <v>36.916666666666664</v>
      </c>
      <c r="P456" s="13">
        <v>443</v>
      </c>
      <c r="Q456" s="22">
        <v>3.3533196397470766E-2</v>
      </c>
      <c r="R456" s="19">
        <f t="shared" si="49"/>
        <v>3.0700293462786687E-2</v>
      </c>
      <c r="S456" s="22">
        <v>3.634993582055257E-2</v>
      </c>
      <c r="T456" s="19">
        <f t="shared" si="50"/>
        <v>4.1305911916009741E-2</v>
      </c>
      <c r="U456" s="24">
        <v>3.9748498984980341E-2</v>
      </c>
      <c r="V456" s="24">
        <f t="shared" si="51"/>
        <v>4.1748574697355156E-2</v>
      </c>
      <c r="W456" s="23">
        <f t="shared" si="52"/>
        <v>3.4132720871604683E-3</v>
      </c>
      <c r="X456" s="24">
        <v>3.9061039825241783E-2</v>
      </c>
      <c r="Y456" s="24">
        <f t="shared" si="53"/>
        <v>4.1650718069892623E-2</v>
      </c>
      <c r="Z456" s="23">
        <f t="shared" si="54"/>
        <v>3.4053140603940157E-3</v>
      </c>
      <c r="AA456" s="36"/>
    </row>
    <row r="457" spans="15:27" ht="13.9" customHeight="1" x14ac:dyDescent="0.3">
      <c r="O457" s="12">
        <f t="shared" si="48"/>
        <v>37</v>
      </c>
      <c r="P457" s="13">
        <v>444</v>
      </c>
      <c r="Q457" s="22">
        <v>3.3526807244873558E-2</v>
      </c>
      <c r="R457" s="19">
        <f t="shared" si="49"/>
        <v>3.070375070837561E-2</v>
      </c>
      <c r="S457" s="22">
        <v>3.6361071384072741E-2</v>
      </c>
      <c r="T457" s="19">
        <f t="shared" si="50"/>
        <v>4.1323302243495119E-2</v>
      </c>
      <c r="U457" s="24">
        <v>3.9752999342665962E-2</v>
      </c>
      <c r="V457" s="24">
        <f t="shared" si="51"/>
        <v>4.1760033133257934E-2</v>
      </c>
      <c r="W457" s="23">
        <f t="shared" si="52"/>
        <v>3.414200411459456E-3</v>
      </c>
      <c r="X457" s="24">
        <v>3.9066865193905231E-2</v>
      </c>
      <c r="Y457" s="24">
        <f t="shared" si="53"/>
        <v>4.1663443708952252E-2</v>
      </c>
      <c r="Z457" s="23">
        <f t="shared" si="54"/>
        <v>3.4063454325248266E-3</v>
      </c>
      <c r="AA457" s="36"/>
    </row>
    <row r="458" spans="15:27" ht="13.9" customHeight="1" x14ac:dyDescent="0.3">
      <c r="O458" s="12">
        <f t="shared" si="48"/>
        <v>37.083333333333336</v>
      </c>
      <c r="P458" s="13">
        <v>445</v>
      </c>
      <c r="Q458" s="22">
        <v>3.3520454637135488E-2</v>
      </c>
      <c r="R458" s="19">
        <f t="shared" si="49"/>
        <v>3.0707282756239129E-2</v>
      </c>
      <c r="S458" s="22">
        <v>3.6372195912866223E-2</v>
      </c>
      <c r="T458" s="19">
        <f t="shared" si="50"/>
        <v>4.1340511900714194E-2</v>
      </c>
      <c r="U458" s="24">
        <v>3.9757505193311005E-2</v>
      </c>
      <c r="V458" s="24">
        <f t="shared" si="51"/>
        <v>4.1771385593525778E-2</v>
      </c>
      <c r="W458" s="23">
        <f t="shared" si="52"/>
        <v>3.4151201390866248E-3</v>
      </c>
      <c r="X458" s="24">
        <v>3.9072692939567277E-2</v>
      </c>
      <c r="Y458" s="24">
        <f t="shared" si="53"/>
        <v>4.1676048063117976E-2</v>
      </c>
      <c r="Z458" s="23">
        <f t="shared" si="54"/>
        <v>3.4073669614038682E-3</v>
      </c>
      <c r="AA458" s="36"/>
    </row>
    <row r="459" spans="15:27" ht="13.9" customHeight="1" x14ac:dyDescent="0.3">
      <c r="O459" s="12">
        <f t="shared" si="48"/>
        <v>37.166666666666664</v>
      </c>
      <c r="P459" s="13">
        <v>446</v>
      </c>
      <c r="Q459" s="22">
        <v>3.3514138496181678E-2</v>
      </c>
      <c r="R459" s="19">
        <f t="shared" si="49"/>
        <v>3.0710889010763243E-2</v>
      </c>
      <c r="S459" s="22">
        <v>3.638330907779519E-2</v>
      </c>
      <c r="T459" s="19">
        <f t="shared" si="50"/>
        <v>4.1357542808493575E-2</v>
      </c>
      <c r="U459" s="24">
        <v>3.9762016262732569E-2</v>
      </c>
      <c r="V459" s="24">
        <f t="shared" si="51"/>
        <v>4.1782633078059295E-2</v>
      </c>
      <c r="W459" s="23">
        <f t="shared" si="52"/>
        <v>3.416031351284099E-3</v>
      </c>
      <c r="X459" s="24">
        <v>3.9078522774889324E-2</v>
      </c>
      <c r="Y459" s="24">
        <f t="shared" si="53"/>
        <v>4.1688532311848769E-2</v>
      </c>
      <c r="Z459" s="23">
        <f t="shared" si="54"/>
        <v>3.408378743069207E-3</v>
      </c>
      <c r="AA459" s="36"/>
    </row>
    <row r="460" spans="15:27" ht="13.9" customHeight="1" x14ac:dyDescent="0.3">
      <c r="O460" s="12">
        <f t="shared" si="48"/>
        <v>37.25</v>
      </c>
      <c r="P460" s="13">
        <v>447</v>
      </c>
      <c r="Q460" s="22">
        <v>3.3507858743297758E-2</v>
      </c>
      <c r="R460" s="19">
        <f t="shared" si="49"/>
        <v>3.0714569618308429E-2</v>
      </c>
      <c r="S460" s="22">
        <v>3.6394410556947143E-2</v>
      </c>
      <c r="T460" s="19">
        <f t="shared" si="50"/>
        <v>4.1374396866440621E-2</v>
      </c>
      <c r="U460" s="24">
        <v>3.9766532281436895E-2</v>
      </c>
      <c r="V460" s="24">
        <f t="shared" si="51"/>
        <v>4.1793776576389829E-2</v>
      </c>
      <c r="W460" s="23">
        <f t="shared" si="52"/>
        <v>3.4169341285634758E-3</v>
      </c>
      <c r="X460" s="24">
        <v>3.9084354417740164E-2</v>
      </c>
      <c r="Y460" s="24">
        <f t="shared" si="53"/>
        <v>4.1700897622799937E-2</v>
      </c>
      <c r="Z460" s="23">
        <f t="shared" si="54"/>
        <v>3.4093808725215169E-3</v>
      </c>
      <c r="AA460" s="36"/>
    </row>
    <row r="461" spans="15:27" ht="13.9" customHeight="1" x14ac:dyDescent="0.3">
      <c r="O461" s="12">
        <f t="shared" si="48"/>
        <v>37.333333333333336</v>
      </c>
      <c r="P461" s="13">
        <v>448</v>
      </c>
      <c r="Q461" s="22">
        <v>3.3501615300797871E-2</v>
      </c>
      <c r="R461" s="19">
        <f t="shared" si="49"/>
        <v>3.0718324731454638E-2</v>
      </c>
      <c r="S461" s="22">
        <v>3.6405500035506577E-2</v>
      </c>
      <c r="T461" s="19">
        <f t="shared" si="50"/>
        <v>4.1391075953656209E-2</v>
      </c>
      <c r="U461" s="24">
        <v>3.9771052984544975E-2</v>
      </c>
      <c r="V461" s="24">
        <f t="shared" si="51"/>
        <v>4.1804817068178179E-2</v>
      </c>
      <c r="W461" s="23">
        <f t="shared" si="52"/>
        <v>3.4178285505985784E-3</v>
      </c>
      <c r="X461" s="24">
        <v>3.9090187591110936E-2</v>
      </c>
      <c r="Y461" s="24">
        <f t="shared" si="53"/>
        <v>4.1713145152285191E-2</v>
      </c>
      <c r="Z461" s="23">
        <f t="shared" si="54"/>
        <v>3.4103734438064581E-3</v>
      </c>
      <c r="AA461" s="36"/>
    </row>
    <row r="462" spans="15:27" ht="13.9" customHeight="1" x14ac:dyDescent="0.3">
      <c r="O462" s="12">
        <f t="shared" ref="O462:O525" si="55">P462/12</f>
        <v>37.416666666666664</v>
      </c>
      <c r="P462" s="13">
        <v>449</v>
      </c>
      <c r="Q462" s="22">
        <v>3.349540809202689E-2</v>
      </c>
      <c r="R462" s="19">
        <f t="shared" ref="R462:R525" si="56">(1+Q463)^P463/(1+Q462)^P462-1</f>
        <v>3.0722154506832799E-2</v>
      </c>
      <c r="S462" s="22">
        <v>3.6416577205630407E-2</v>
      </c>
      <c r="T462" s="19">
        <f t="shared" ref="T462:T525" si="57">(1+S463)^P463/(1+S462)^P462-1</f>
        <v>4.1407581927074721E-2</v>
      </c>
      <c r="U462" s="24">
        <v>3.977557811171839E-2</v>
      </c>
      <c r="V462" s="24">
        <f t="shared" ref="V462:V525" si="58">(1+U463)^P463/(1+U462)^P462-1</f>
        <v>4.1815755524202247E-2</v>
      </c>
      <c r="W462" s="23">
        <f t="shared" si="52"/>
        <v>3.4187146962649795E-3</v>
      </c>
      <c r="X462" s="24">
        <v>3.9096022023032972E-2</v>
      </c>
      <c r="Y462" s="24">
        <f t="shared" si="53"/>
        <v>4.1725276044176862E-2</v>
      </c>
      <c r="Z462" s="23">
        <f t="shared" si="54"/>
        <v>3.4113565500528686E-3</v>
      </c>
      <c r="AA462" s="36"/>
    </row>
    <row r="463" spans="15:27" ht="13.9" customHeight="1" x14ac:dyDescent="0.3">
      <c r="O463" s="12">
        <f t="shared" si="55"/>
        <v>37.5</v>
      </c>
      <c r="P463" s="13">
        <v>450</v>
      </c>
      <c r="Q463" s="22">
        <v>3.34892370413582E-2</v>
      </c>
      <c r="R463" s="19">
        <f t="shared" si="56"/>
        <v>3.0726058383648835E-2</v>
      </c>
      <c r="S463" s="22">
        <v>3.6427641766320962E-2</v>
      </c>
      <c r="T463" s="19">
        <f t="shared" si="57"/>
        <v>4.1423916624470314E-2</v>
      </c>
      <c r="U463" s="24">
        <v>3.9780107407089149E-2</v>
      </c>
      <c r="V463" s="24">
        <f t="shared" si="58"/>
        <v>4.1826592905084281E-2</v>
      </c>
      <c r="W463" s="23">
        <f t="shared" ref="W463:W526" si="59">(1+V462)^(1/12)-1</f>
        <v>3.4195926437210478E-3</v>
      </c>
      <c r="X463" s="24">
        <v>3.910185744649386E-2</v>
      </c>
      <c r="Y463" s="24">
        <f t="shared" ref="Y463:Y526" si="60">(1+X464)^P464/(1+X463)^P463-1</f>
        <v>4.1737291431369838E-2</v>
      </c>
      <c r="Z463" s="23">
        <f t="shared" ref="Z463:Z526" si="61">(1+Y462)^(1/12)-1</f>
        <v>3.4123302833832803E-3</v>
      </c>
      <c r="AA463" s="36"/>
    </row>
    <row r="464" spans="15:27" ht="13.9" customHeight="1" x14ac:dyDescent="0.3">
      <c r="O464" s="12">
        <f t="shared" si="55"/>
        <v>37.583333333333336</v>
      </c>
      <c r="P464" s="13">
        <v>451</v>
      </c>
      <c r="Q464" s="22">
        <v>3.3483102072586979E-2</v>
      </c>
      <c r="R464" s="19">
        <f t="shared" si="56"/>
        <v>3.0730033635714582E-2</v>
      </c>
      <c r="S464" s="22">
        <v>3.6438693423308077E-2</v>
      </c>
      <c r="T464" s="19">
        <f t="shared" si="57"/>
        <v>4.1440081862645917E-2</v>
      </c>
      <c r="U464" s="24">
        <v>3.9784640619187961E-2</v>
      </c>
      <c r="V464" s="24">
        <f t="shared" si="58"/>
        <v>4.1837330162656228E-2</v>
      </c>
      <c r="W464" s="23">
        <f t="shared" si="59"/>
        <v>3.4204624703040309E-3</v>
      </c>
      <c r="X464" s="24">
        <v>3.9107693599358395E-2</v>
      </c>
      <c r="Y464" s="24">
        <f t="shared" si="60"/>
        <v>4.1749192435414972E-2</v>
      </c>
      <c r="Z464" s="23">
        <f t="shared" si="61"/>
        <v>3.4132947350327125E-3</v>
      </c>
      <c r="AA464" s="36"/>
    </row>
    <row r="465" spans="15:27" ht="13.9" customHeight="1" x14ac:dyDescent="0.3">
      <c r="O465" s="12">
        <f t="shared" si="55"/>
        <v>37.666666666666664</v>
      </c>
      <c r="P465" s="13">
        <v>452</v>
      </c>
      <c r="Q465" s="22">
        <v>3.3477003104133374E-2</v>
      </c>
      <c r="R465" s="19">
        <f t="shared" si="56"/>
        <v>3.0734079715112772E-2</v>
      </c>
      <c r="S465" s="22">
        <v>3.6449731888928083E-2</v>
      </c>
      <c r="T465" s="19">
        <f t="shared" si="57"/>
        <v>4.1456079438289439E-2</v>
      </c>
      <c r="U465" s="24">
        <v>3.9789177500875406E-2</v>
      </c>
      <c r="V465" s="24">
        <f t="shared" si="58"/>
        <v>4.1847968238822419E-2</v>
      </c>
      <c r="W465" s="23">
        <f t="shared" si="59"/>
        <v>3.421324252640634E-3</v>
      </c>
      <c r="X465" s="24">
        <v>3.9113530224289095E-2</v>
      </c>
      <c r="Y465" s="24">
        <f t="shared" si="60"/>
        <v>4.1760980166074768E-2</v>
      </c>
      <c r="Z465" s="23">
        <f t="shared" si="61"/>
        <v>3.4142499953184746E-3</v>
      </c>
      <c r="AA465" s="36"/>
    </row>
    <row r="466" spans="15:27" ht="13.9" customHeight="1" x14ac:dyDescent="0.3">
      <c r="O466" s="12">
        <f t="shared" si="55"/>
        <v>37.75</v>
      </c>
      <c r="P466" s="13">
        <v>453</v>
      </c>
      <c r="Q466" s="22">
        <v>3.3470940053923259E-2</v>
      </c>
      <c r="R466" s="19">
        <f t="shared" si="56"/>
        <v>3.0738196804857676E-2</v>
      </c>
      <c r="S466" s="22">
        <v>3.646075688200634E-2</v>
      </c>
      <c r="T466" s="19">
        <f t="shared" si="57"/>
        <v>4.1471911128346139E-2</v>
      </c>
      <c r="U466" s="24">
        <v>3.9793717809272655E-2</v>
      </c>
      <c r="V466" s="24">
        <f t="shared" si="58"/>
        <v>4.1858508067048827E-2</v>
      </c>
      <c r="W466" s="23">
        <f t="shared" si="59"/>
        <v>3.4221780665557588E-3</v>
      </c>
      <c r="X466" s="24">
        <v>3.9119367068667366E-2</v>
      </c>
      <c r="Y466" s="24">
        <f t="shared" si="60"/>
        <v>4.1772655722516427E-2</v>
      </c>
      <c r="Z466" s="23">
        <f t="shared" si="61"/>
        <v>3.4151961536055264E-3</v>
      </c>
      <c r="AA466" s="36"/>
    </row>
    <row r="467" spans="15:27" ht="13.9" customHeight="1" x14ac:dyDescent="0.3">
      <c r="O467" s="12">
        <f t="shared" si="55"/>
        <v>37.833333333333336</v>
      </c>
      <c r="P467" s="13">
        <v>454</v>
      </c>
      <c r="Q467" s="22">
        <v>3.3464912841008054E-2</v>
      </c>
      <c r="R467" s="19">
        <f t="shared" si="56"/>
        <v>3.0742385091571123E-2</v>
      </c>
      <c r="S467" s="22">
        <v>3.6471768127742665E-2</v>
      </c>
      <c r="T467" s="19">
        <f t="shared" si="57"/>
        <v>4.1487578690126981E-2</v>
      </c>
      <c r="U467" s="24">
        <v>3.9798261305695748E-2</v>
      </c>
      <c r="V467" s="24">
        <f t="shared" si="58"/>
        <v>4.1868950570976615E-2</v>
      </c>
      <c r="W467" s="23">
        <f t="shared" si="59"/>
        <v>3.4230239871924084E-3</v>
      </c>
      <c r="X467" s="24">
        <v>3.9125203884518234E-2</v>
      </c>
      <c r="Y467" s="24">
        <f t="shared" si="60"/>
        <v>4.1784220192154775E-2</v>
      </c>
      <c r="Z467" s="23">
        <f t="shared" si="61"/>
        <v>3.4161332984017356E-3</v>
      </c>
      <c r="AA467" s="36"/>
    </row>
    <row r="468" spans="15:27" ht="13.9" customHeight="1" x14ac:dyDescent="0.3">
      <c r="O468" s="12">
        <f t="shared" si="55"/>
        <v>37.916666666666664</v>
      </c>
      <c r="P468" s="13">
        <v>455</v>
      </c>
      <c r="Q468" s="22">
        <v>3.3458921385560281E-2</v>
      </c>
      <c r="R468" s="19">
        <f t="shared" si="56"/>
        <v>3.0746644767639664E-2</v>
      </c>
      <c r="S468" s="22">
        <v>3.6482765357598312E-2</v>
      </c>
      <c r="T468" s="19">
        <f t="shared" si="57"/>
        <v>4.1503083861826662E-2</v>
      </c>
      <c r="U468" s="24">
        <v>3.9802807755587644E-2</v>
      </c>
      <c r="V468" s="24">
        <f t="shared" si="58"/>
        <v>4.1879296665857435E-2</v>
      </c>
      <c r="W468" s="23">
        <f t="shared" si="59"/>
        <v>3.4238620888997762E-3</v>
      </c>
      <c r="X468" s="24">
        <v>3.9131040428433295E-2</v>
      </c>
      <c r="Y468" s="24">
        <f t="shared" si="60"/>
        <v>4.1795674652242321E-2</v>
      </c>
      <c r="Z468" s="23">
        <f t="shared" si="61"/>
        <v>3.4170615172655072E-3</v>
      </c>
      <c r="AA468" s="36"/>
    </row>
    <row r="469" spans="15:27" ht="13.9" customHeight="1" x14ac:dyDescent="0.3">
      <c r="O469" s="12">
        <f t="shared" si="55"/>
        <v>38</v>
      </c>
      <c r="P469" s="13">
        <v>456</v>
      </c>
      <c r="Q469" s="22">
        <v>3.3452965608873564E-2</v>
      </c>
      <c r="R469" s="19">
        <f t="shared" si="56"/>
        <v>3.0750975319917551E-2</v>
      </c>
      <c r="S469" s="22">
        <v>3.6493748309184504E-2</v>
      </c>
      <c r="T469" s="19">
        <f t="shared" si="57"/>
        <v>4.1518428362198545E-2</v>
      </c>
      <c r="U469" s="24">
        <v>3.980735692845494E-2</v>
      </c>
      <c r="V469" s="24">
        <f t="shared" si="58"/>
        <v>4.1889547257984772E-2</v>
      </c>
      <c r="W469" s="23">
        <f t="shared" si="59"/>
        <v>3.4246924453493754E-3</v>
      </c>
      <c r="X469" s="24">
        <v>3.9136876461498105E-2</v>
      </c>
      <c r="Y469" s="24">
        <f t="shared" si="60"/>
        <v>4.1807020168977305E-2</v>
      </c>
      <c r="Z469" s="23">
        <f t="shared" si="61"/>
        <v>3.417980896933237E-3</v>
      </c>
      <c r="AA469" s="36"/>
    </row>
    <row r="470" spans="15:27" ht="13.9" customHeight="1" x14ac:dyDescent="0.3">
      <c r="O470" s="12">
        <f t="shared" si="55"/>
        <v>38.083333333333336</v>
      </c>
      <c r="P470" s="13">
        <v>457</v>
      </c>
      <c r="Q470" s="22">
        <v>3.3447045431803213E-2</v>
      </c>
      <c r="R470" s="19">
        <f t="shared" si="56"/>
        <v>3.0755374106702371E-2</v>
      </c>
      <c r="S470" s="22">
        <v>3.6504716726153852E-2</v>
      </c>
      <c r="T470" s="19">
        <f t="shared" si="57"/>
        <v>4.1533613890976984E-2</v>
      </c>
      <c r="U470" s="24">
        <v>3.9811908597803036E-2</v>
      </c>
      <c r="V470" s="24">
        <f t="shared" si="58"/>
        <v>4.1899703244097974E-2</v>
      </c>
      <c r="W470" s="23">
        <f t="shared" si="59"/>
        <v>3.4255151294888542E-3</v>
      </c>
      <c r="X470" s="24">
        <v>3.914271174921935E-2</v>
      </c>
      <c r="Y470" s="24">
        <f t="shared" si="60"/>
        <v>4.181825779740489E-2</v>
      </c>
      <c r="Z470" s="23">
        <f t="shared" si="61"/>
        <v>3.4188915232478134E-3</v>
      </c>
      <c r="AA470" s="36"/>
    </row>
    <row r="471" spans="15:27" ht="13.9" customHeight="1" x14ac:dyDescent="0.3">
      <c r="O471" s="12">
        <f t="shared" si="55"/>
        <v>38.166666666666664</v>
      </c>
      <c r="P471" s="13">
        <v>458</v>
      </c>
      <c r="Q471" s="22">
        <v>3.3441160770110612E-2</v>
      </c>
      <c r="R471" s="19">
        <f t="shared" si="56"/>
        <v>3.0759840628686419E-2</v>
      </c>
      <c r="S471" s="22">
        <v>3.6515670358092223E-2</v>
      </c>
      <c r="T471" s="19">
        <f t="shared" si="57"/>
        <v>4.1548642129474622E-2</v>
      </c>
      <c r="U471" s="24">
        <v>3.9816462541072406E-2</v>
      </c>
      <c r="V471" s="24">
        <f t="shared" si="58"/>
        <v>4.1909765513041597E-2</v>
      </c>
      <c r="W471" s="23">
        <f t="shared" si="59"/>
        <v>3.4263302134944773E-3</v>
      </c>
      <c r="X471" s="24">
        <v>3.914854606145135E-2</v>
      </c>
      <c r="Y471" s="24">
        <f t="shared" si="60"/>
        <v>4.1829388582617089E-2</v>
      </c>
      <c r="Z471" s="23">
        <f t="shared" si="61"/>
        <v>3.4197934811517339E-3</v>
      </c>
      <c r="AA471" s="36"/>
    </row>
    <row r="472" spans="15:27" ht="13.9" customHeight="1" x14ac:dyDescent="0.3">
      <c r="O472" s="12">
        <f t="shared" si="55"/>
        <v>38.25</v>
      </c>
      <c r="P472" s="13">
        <v>459</v>
      </c>
      <c r="Q472" s="22">
        <v>3.3435311539198986E-2</v>
      </c>
      <c r="R472" s="19">
        <f t="shared" si="56"/>
        <v>3.0764375100567731E-2</v>
      </c>
      <c r="S472" s="22">
        <v>3.6526608960414153E-2</v>
      </c>
      <c r="T472" s="19">
        <f t="shared" si="57"/>
        <v>4.1563514740185825E-2</v>
      </c>
      <c r="U472" s="24">
        <v>3.9821018539577979E-2</v>
      </c>
      <c r="V472" s="24">
        <f t="shared" si="58"/>
        <v>4.1919734945072173E-2</v>
      </c>
      <c r="W472" s="23">
        <f t="shared" si="59"/>
        <v>3.4271377689047977E-3</v>
      </c>
      <c r="X472" s="24">
        <v>3.9154379172327669E-2</v>
      </c>
      <c r="Y472" s="24">
        <f t="shared" si="60"/>
        <v>4.184041355845558E-2</v>
      </c>
      <c r="Z472" s="23">
        <f t="shared" si="61"/>
        <v>3.420686854781918E-3</v>
      </c>
      <c r="AA472" s="36"/>
    </row>
    <row r="473" spans="15:27" ht="13.9" customHeight="1" x14ac:dyDescent="0.3">
      <c r="O473" s="12">
        <f t="shared" si="55"/>
        <v>38.333333333333336</v>
      </c>
      <c r="P473" s="13">
        <v>460</v>
      </c>
      <c r="Q473" s="22">
        <v>3.3429497655673712E-2</v>
      </c>
      <c r="R473" s="19">
        <f t="shared" si="56"/>
        <v>3.076897774481524E-2</v>
      </c>
      <c r="S473" s="22">
        <v>3.6537532294258934E-2</v>
      </c>
      <c r="T473" s="19">
        <f t="shared" si="57"/>
        <v>4.157823336814559E-2</v>
      </c>
      <c r="U473" s="24">
        <v>3.9825576378448302E-2</v>
      </c>
      <c r="V473" s="24">
        <f t="shared" si="58"/>
        <v>4.192961241127402E-2</v>
      </c>
      <c r="W473" s="23">
        <f t="shared" si="59"/>
        <v>3.4279378665642568E-3</v>
      </c>
      <c r="X473" s="24">
        <v>3.9160210860190059E-2</v>
      </c>
      <c r="Y473" s="24">
        <f t="shared" si="60"/>
        <v>4.1851333749643782E-2</v>
      </c>
      <c r="Z473" s="23">
        <f t="shared" si="61"/>
        <v>3.4215717273669011E-3</v>
      </c>
      <c r="AA473" s="36"/>
    </row>
    <row r="474" spans="15:27" ht="13.9" customHeight="1" x14ac:dyDescent="0.3">
      <c r="O474" s="12">
        <f t="shared" si="55"/>
        <v>38.416666666666664</v>
      </c>
      <c r="P474" s="13">
        <v>461</v>
      </c>
      <c r="Q474" s="22">
        <v>3.3423719037345645E-2</v>
      </c>
      <c r="R474" s="19">
        <f t="shared" si="56"/>
        <v>3.0773648786995178E-2</v>
      </c>
      <c r="S474" s="22">
        <v>3.6548440126390025E-2</v>
      </c>
      <c r="T474" s="19">
        <f t="shared" si="57"/>
        <v>4.1592799639287747E-2</v>
      </c>
      <c r="U474" s="24">
        <v>3.9830135846564252E-2</v>
      </c>
      <c r="V474" s="24">
        <f t="shared" si="58"/>
        <v>4.1939398774572867E-2</v>
      </c>
      <c r="W474" s="23">
        <f t="shared" si="59"/>
        <v>3.4287305765769993E-3</v>
      </c>
      <c r="X474" s="24">
        <v>3.9166040907522293E-2</v>
      </c>
      <c r="Y474" s="24">
        <f t="shared" si="60"/>
        <v>4.1862150169479806E-2</v>
      </c>
      <c r="Z474" s="23">
        <f t="shared" si="61"/>
        <v>3.4224481813982521E-3</v>
      </c>
      <c r="AA474" s="36"/>
    </row>
    <row r="475" spans="15:27" ht="13.9" customHeight="1" x14ac:dyDescent="0.3">
      <c r="O475" s="12">
        <f t="shared" si="55"/>
        <v>38.5</v>
      </c>
      <c r="P475" s="13">
        <v>462</v>
      </c>
      <c r="Q475" s="22">
        <v>3.3417975603225125E-2</v>
      </c>
      <c r="R475" s="19">
        <f t="shared" si="56"/>
        <v>3.0778387759043735E-2</v>
      </c>
      <c r="S475" s="22">
        <v>3.6559332229093799E-2</v>
      </c>
      <c r="T475" s="19">
        <f t="shared" si="57"/>
        <v>4.160721516228949E-2</v>
      </c>
      <c r="U475" s="24">
        <v>3.9834696736500863E-2</v>
      </c>
      <c r="V475" s="24">
        <f t="shared" si="58"/>
        <v>4.1949094889579985E-2</v>
      </c>
      <c r="W475" s="23">
        <f t="shared" si="59"/>
        <v>3.4295159683885856E-3</v>
      </c>
      <c r="X475" s="24">
        <v>3.9171869100881329E-2</v>
      </c>
      <c r="Y475" s="24">
        <f t="shared" si="60"/>
        <v>4.1872863821227568E-2</v>
      </c>
      <c r="Z475" s="23">
        <f t="shared" si="61"/>
        <v>3.4233162984442789E-3</v>
      </c>
      <c r="AA475" s="36"/>
    </row>
    <row r="476" spans="15:27" ht="13.9" customHeight="1" x14ac:dyDescent="0.3">
      <c r="O476" s="12">
        <f t="shared" si="55"/>
        <v>38.583333333333336</v>
      </c>
      <c r="P476" s="13">
        <v>463</v>
      </c>
      <c r="Q476" s="22">
        <v>3.3412267272006968E-2</v>
      </c>
      <c r="R476" s="19">
        <f t="shared" si="56"/>
        <v>3.0783192103072787E-2</v>
      </c>
      <c r="S476" s="22">
        <v>3.657020838008207E-2</v>
      </c>
      <c r="T476" s="19">
        <f t="shared" si="57"/>
        <v>4.1621481528221427E-2</v>
      </c>
      <c r="U476" s="24">
        <v>3.9839258844469594E-2</v>
      </c>
      <c r="V476" s="24">
        <f t="shared" si="58"/>
        <v>4.1958701602914372E-2</v>
      </c>
      <c r="W476" s="23">
        <f t="shared" si="59"/>
        <v>3.4302941107724472E-3</v>
      </c>
      <c r="X476" s="24">
        <v>3.9177695230831588E-2</v>
      </c>
      <c r="Y476" s="24">
        <f t="shared" si="60"/>
        <v>4.1883475699223238E-2</v>
      </c>
      <c r="Z476" s="23">
        <f t="shared" si="61"/>
        <v>3.4241761592632702E-3</v>
      </c>
      <c r="AA476" s="36"/>
    </row>
    <row r="477" spans="15:27" ht="13.9" customHeight="1" x14ac:dyDescent="0.3">
      <c r="O477" s="12">
        <f t="shared" si="55"/>
        <v>38.666666666666664</v>
      </c>
      <c r="P477" s="13">
        <v>464</v>
      </c>
      <c r="Q477" s="22">
        <v>3.3406593957558295E-2</v>
      </c>
      <c r="R477" s="19">
        <f t="shared" si="56"/>
        <v>3.0788061364412478E-2</v>
      </c>
      <c r="S477" s="22">
        <v>3.6581068362395941E-2</v>
      </c>
      <c r="T477" s="19">
        <f t="shared" si="57"/>
        <v>4.1635600310765852E-2</v>
      </c>
      <c r="U477" s="24">
        <v>3.9843821970261262E-2</v>
      </c>
      <c r="V477" s="24">
        <f t="shared" si="58"/>
        <v>4.1968219752447578E-2</v>
      </c>
      <c r="W477" s="23">
        <f t="shared" si="59"/>
        <v>3.4310650718569757E-3</v>
      </c>
      <c r="X477" s="24">
        <v>3.9183519091881891E-2</v>
      </c>
      <c r="Y477" s="24">
        <f t="shared" si="60"/>
        <v>4.1893986786291748E-2</v>
      </c>
      <c r="Z477" s="23">
        <f t="shared" si="61"/>
        <v>3.425027843890982E-3</v>
      </c>
      <c r="AA477" s="36"/>
    </row>
    <row r="478" spans="15:27" ht="13.9" customHeight="1" x14ac:dyDescent="0.3">
      <c r="O478" s="12">
        <f t="shared" si="55"/>
        <v>38.75</v>
      </c>
      <c r="P478" s="13">
        <v>465</v>
      </c>
      <c r="Q478" s="22">
        <v>3.3400955573505531E-2</v>
      </c>
      <c r="R478" s="19">
        <f t="shared" si="56"/>
        <v>3.0792995791974587E-2</v>
      </c>
      <c r="S478" s="22">
        <v>3.6591911964311219E-2</v>
      </c>
      <c r="T478" s="19">
        <f t="shared" si="57"/>
        <v>4.1649573065638767E-2</v>
      </c>
      <c r="U478" s="24">
        <v>3.98483859171892E-2</v>
      </c>
      <c r="V478" s="24">
        <f t="shared" si="58"/>
        <v>4.1977650168522729E-2</v>
      </c>
      <c r="W478" s="23">
        <f t="shared" si="59"/>
        <v>3.4318289190646833E-3</v>
      </c>
      <c r="X478" s="24">
        <v>3.9189340482418844E-2</v>
      </c>
      <c r="Y478" s="24">
        <f t="shared" si="60"/>
        <v>4.1904398056941572E-2</v>
      </c>
      <c r="Z478" s="23">
        <f t="shared" si="61"/>
        <v>3.4258714314348016E-3</v>
      </c>
      <c r="AA478" s="36"/>
    </row>
    <row r="479" spans="15:27" ht="13.9" customHeight="1" x14ac:dyDescent="0.3">
      <c r="O479" s="12">
        <f t="shared" si="55"/>
        <v>38.833333333333336</v>
      </c>
      <c r="P479" s="13">
        <v>466</v>
      </c>
      <c r="Q479" s="22">
        <v>3.3395352034750525E-2</v>
      </c>
      <c r="R479" s="19">
        <f t="shared" si="56"/>
        <v>3.0797995638800924E-2</v>
      </c>
      <c r="S479" s="22">
        <v>3.6602738979243821E-2</v>
      </c>
      <c r="T479" s="19">
        <f t="shared" si="57"/>
        <v>4.1663401333023709E-2</v>
      </c>
      <c r="U479" s="24">
        <v>3.9852950492035077E-2</v>
      </c>
      <c r="V479" s="24">
        <f t="shared" si="58"/>
        <v>4.1986993672497697E-2</v>
      </c>
      <c r="W479" s="23">
        <f t="shared" si="59"/>
        <v>3.4325857192094578E-3</v>
      </c>
      <c r="X479" s="24">
        <v>3.919515920464689E-2</v>
      </c>
      <c r="Y479" s="24">
        <f t="shared" si="60"/>
        <v>4.1914710474693972E-2</v>
      </c>
      <c r="Z479" s="23">
        <f t="shared" si="61"/>
        <v>3.4267070003290989E-3</v>
      </c>
      <c r="AA479" s="36"/>
    </row>
    <row r="480" spans="15:27" ht="13.9" customHeight="1" x14ac:dyDescent="0.3">
      <c r="O480" s="12">
        <f t="shared" si="55"/>
        <v>38.916666666666664</v>
      </c>
      <c r="P480" s="13">
        <v>467</v>
      </c>
      <c r="Q480" s="22">
        <v>3.3389783257465444E-2</v>
      </c>
      <c r="R480" s="19">
        <f t="shared" si="56"/>
        <v>3.0803061163608758E-2</v>
      </c>
      <c r="S480" s="22">
        <v>3.6613549205661178E-2</v>
      </c>
      <c r="T480" s="19">
        <f t="shared" si="57"/>
        <v>4.1677086634563709E-2</v>
      </c>
      <c r="U480" s="24">
        <v>3.9857515504992724E-2</v>
      </c>
      <c r="V480" s="24">
        <f t="shared" si="58"/>
        <v>4.1996251078859403E-2</v>
      </c>
      <c r="W480" s="23">
        <f t="shared" si="59"/>
        <v>3.4333355383810993E-3</v>
      </c>
      <c r="X480" s="24">
        <v>3.9200975064524579E-2</v>
      </c>
      <c r="Y480" s="24">
        <f t="shared" si="60"/>
        <v>4.1924924994396262E-2</v>
      </c>
      <c r="Z480" s="23">
        <f t="shared" si="61"/>
        <v>3.4275346281216201E-3</v>
      </c>
      <c r="AA480" s="36"/>
    </row>
    <row r="481" spans="15:27" ht="13.9" customHeight="1" x14ac:dyDescent="0.3">
      <c r="O481" s="12">
        <f t="shared" si="55"/>
        <v>39</v>
      </c>
      <c r="P481" s="13">
        <v>468</v>
      </c>
      <c r="Q481" s="22">
        <v>3.3384249159091883E-2</v>
      </c>
      <c r="R481" s="19">
        <f t="shared" si="56"/>
        <v>3.0808191942811147E-2</v>
      </c>
      <c r="S481" s="22">
        <v>3.6624342446989644E-2</v>
      </c>
      <c r="T481" s="19">
        <f t="shared" si="57"/>
        <v>4.1690630476824753E-2</v>
      </c>
      <c r="U481" s="24">
        <v>3.9862080769616615E-2</v>
      </c>
      <c r="V481" s="24">
        <f t="shared" si="58"/>
        <v>4.2005423194121372E-2</v>
      </c>
      <c r="W481" s="23">
        <f t="shared" si="59"/>
        <v>3.4340784421131865E-3</v>
      </c>
      <c r="X481" s="24">
        <v>3.920678787170484E-2</v>
      </c>
      <c r="Y481" s="24">
        <f t="shared" si="60"/>
        <v>4.1935042560621083E-2</v>
      </c>
      <c r="Z481" s="23">
        <f t="shared" si="61"/>
        <v>3.4283543916593384E-3</v>
      </c>
      <c r="AA481" s="36"/>
    </row>
    <row r="482" spans="15:27" ht="13.9" customHeight="1" x14ac:dyDescent="0.3">
      <c r="O482" s="12">
        <f t="shared" si="55"/>
        <v>39.083333333333336</v>
      </c>
      <c r="P482" s="13">
        <v>469</v>
      </c>
      <c r="Q482" s="22">
        <v>3.3378749656868267E-2</v>
      </c>
      <c r="R482" s="19">
        <f t="shared" si="56"/>
        <v>3.0813385499387946E-2</v>
      </c>
      <c r="S482" s="22">
        <v>3.6635118511528342E-2</v>
      </c>
      <c r="T482" s="19">
        <f t="shared" si="57"/>
        <v>4.170403434870007E-2</v>
      </c>
      <c r="U482" s="24">
        <v>3.9866646102769021E-2</v>
      </c>
      <c r="V482" s="24">
        <f t="shared" si="58"/>
        <v>4.2014510815972184E-2</v>
      </c>
      <c r="W482" s="23">
        <f t="shared" si="59"/>
        <v>3.4348144952967008E-3</v>
      </c>
      <c r="X482" s="24">
        <v>3.9212597439474806E-2</v>
      </c>
      <c r="Y482" s="24">
        <f t="shared" si="60"/>
        <v>4.1945064109309316E-2</v>
      </c>
      <c r="Z482" s="23">
        <f t="shared" si="61"/>
        <v>3.4291663669594463E-3</v>
      </c>
      <c r="AA482" s="36"/>
    </row>
    <row r="483" spans="15:27" ht="13.9" customHeight="1" x14ac:dyDescent="0.3">
      <c r="O483" s="12">
        <f t="shared" si="55"/>
        <v>39.166666666666664</v>
      </c>
      <c r="P483" s="13">
        <v>470</v>
      </c>
      <c r="Q483" s="22">
        <v>3.3373284663452463E-2</v>
      </c>
      <c r="R483" s="19">
        <f t="shared" si="56"/>
        <v>3.0818641422587723E-2</v>
      </c>
      <c r="S483" s="22">
        <v>3.6645877212360789E-2</v>
      </c>
      <c r="T483" s="19">
        <f t="shared" si="57"/>
        <v>4.1717299723719625E-2</v>
      </c>
      <c r="U483" s="24">
        <v>3.9871211324566502E-2</v>
      </c>
      <c r="V483" s="24">
        <f t="shared" si="58"/>
        <v>4.2023514735330281E-2</v>
      </c>
      <c r="W483" s="23">
        <f t="shared" si="59"/>
        <v>3.4355437621103047E-3</v>
      </c>
      <c r="X483" s="24">
        <v>3.9218403584698081E-2</v>
      </c>
      <c r="Y483" s="24">
        <f t="shared" si="60"/>
        <v>4.1954990566473116E-2</v>
      </c>
      <c r="Z483" s="23">
        <f t="shared" si="61"/>
        <v>3.4299706293419163E-3</v>
      </c>
      <c r="AA483" s="36"/>
    </row>
    <row r="484" spans="15:27" ht="13.9" customHeight="1" x14ac:dyDescent="0.3">
      <c r="O484" s="12">
        <f t="shared" si="55"/>
        <v>39.25</v>
      </c>
      <c r="P484" s="13">
        <v>471</v>
      </c>
      <c r="Q484" s="22">
        <v>3.3367854091368665E-2</v>
      </c>
      <c r="R484" s="19">
        <f t="shared" si="56"/>
        <v>3.0823959991980399E-2</v>
      </c>
      <c r="S484" s="22">
        <v>3.6656618367271188E-2</v>
      </c>
      <c r="T484" s="19">
        <f t="shared" si="57"/>
        <v>4.1730428059090219E-2</v>
      </c>
      <c r="U484" s="24">
        <v>3.9875776258330387E-2</v>
      </c>
      <c r="V484" s="24">
        <f t="shared" si="58"/>
        <v>4.2032435735886997E-2</v>
      </c>
      <c r="W484" s="23">
        <f t="shared" si="59"/>
        <v>3.4362663061857646E-3</v>
      </c>
      <c r="X484" s="24">
        <v>3.9224206127755679E-2</v>
      </c>
      <c r="Y484" s="24">
        <f t="shared" si="60"/>
        <v>4.1964822849104966E-2</v>
      </c>
      <c r="Z484" s="23">
        <f t="shared" si="61"/>
        <v>3.4307672533251399E-3</v>
      </c>
      <c r="AA484" s="36"/>
    </row>
    <row r="485" spans="15:27" ht="13.9" customHeight="1" x14ac:dyDescent="0.3">
      <c r="O485" s="12">
        <f t="shared" si="55"/>
        <v>39.333333333333336</v>
      </c>
      <c r="P485" s="13">
        <v>472</v>
      </c>
      <c r="Q485" s="22">
        <v>3.3362457854474448E-2</v>
      </c>
      <c r="R485" s="19">
        <f t="shared" si="56"/>
        <v>3.0829341493245455E-2</v>
      </c>
      <c r="S485" s="22">
        <v>3.6667341798660047E-2</v>
      </c>
      <c r="T485" s="19">
        <f t="shared" si="57"/>
        <v>4.1743420795920416E-2</v>
      </c>
      <c r="U485" s="24">
        <v>3.98803407305377E-2</v>
      </c>
      <c r="V485" s="24">
        <f t="shared" si="58"/>
        <v>4.2041274592295563E-2</v>
      </c>
      <c r="W485" s="23">
        <f t="shared" si="59"/>
        <v>3.4369821905715359E-3</v>
      </c>
      <c r="X485" s="24">
        <v>3.9230004892489845E-2</v>
      </c>
      <c r="Y485" s="24">
        <f t="shared" si="60"/>
        <v>4.1974561865276261E-2</v>
      </c>
      <c r="Z485" s="23">
        <f t="shared" si="61"/>
        <v>3.4315563126994242E-3</v>
      </c>
      <c r="AA485" s="36"/>
    </row>
    <row r="486" spans="15:27" ht="13.9" customHeight="1" x14ac:dyDescent="0.3">
      <c r="O486" s="12">
        <f t="shared" si="55"/>
        <v>39.416666666666664</v>
      </c>
      <c r="P486" s="13">
        <v>473</v>
      </c>
      <c r="Q486" s="22">
        <v>3.3357095867960096E-2</v>
      </c>
      <c r="R486" s="19">
        <f t="shared" si="56"/>
        <v>3.0834786215004018E-2</v>
      </c>
      <c r="S486" s="22">
        <v>3.6678047333461583E-2</v>
      </c>
      <c r="T486" s="19">
        <f t="shared" si="57"/>
        <v>4.1756279359979498E-2</v>
      </c>
      <c r="U486" s="24">
        <v>3.9884904570768764E-2</v>
      </c>
      <c r="V486" s="24">
        <f t="shared" si="58"/>
        <v>4.2050032073412735E-2</v>
      </c>
      <c r="W486" s="23">
        <f t="shared" si="59"/>
        <v>3.4376914775873235E-3</v>
      </c>
      <c r="X486" s="24">
        <v>3.9235799706148544E-2</v>
      </c>
      <c r="Y486" s="24">
        <f t="shared" si="60"/>
        <v>4.1984208513822674E-2</v>
      </c>
      <c r="Z486" s="23">
        <f t="shared" si="61"/>
        <v>3.4323378805345417E-3</v>
      </c>
      <c r="AA486" s="36"/>
    </row>
    <row r="487" spans="15:27" ht="13.9" customHeight="1" x14ac:dyDescent="0.3">
      <c r="O487" s="12">
        <f t="shared" si="55"/>
        <v>39.5</v>
      </c>
      <c r="P487" s="13">
        <v>474</v>
      </c>
      <c r="Q487" s="22">
        <v>3.3351768048340391E-2</v>
      </c>
      <c r="R487" s="19">
        <f t="shared" si="56"/>
        <v>3.0840293776900563E-2</v>
      </c>
      <c r="S487" s="22">
        <v>3.6688734803063783E-2</v>
      </c>
      <c r="T487" s="19">
        <f t="shared" si="57"/>
        <v>4.1769005161249151E-2</v>
      </c>
      <c r="U487" s="24">
        <v>3.98894676116619E-2</v>
      </c>
      <c r="V487" s="24">
        <f t="shared" si="58"/>
        <v>4.2058708939104683E-2</v>
      </c>
      <c r="W487" s="23">
        <f t="shared" si="59"/>
        <v>3.4383942290840963E-3</v>
      </c>
      <c r="X487" s="24">
        <v>3.9241590399330173E-2</v>
      </c>
      <c r="Y487" s="24">
        <f t="shared" si="60"/>
        <v>4.199376368423513E-2</v>
      </c>
      <c r="Z487" s="23">
        <f t="shared" si="61"/>
        <v>3.4331120291546391E-3</v>
      </c>
      <c r="AA487" s="36"/>
    </row>
    <row r="488" spans="15:27" ht="13.9" customHeight="1" x14ac:dyDescent="0.3">
      <c r="O488" s="12">
        <f t="shared" si="55"/>
        <v>39.583333333333336</v>
      </c>
      <c r="P488" s="13">
        <v>475</v>
      </c>
      <c r="Q488" s="22">
        <v>3.3346474312029306E-2</v>
      </c>
      <c r="R488" s="19">
        <f t="shared" si="56"/>
        <v>3.0845861781363615E-2</v>
      </c>
      <c r="S488" s="22">
        <v>3.6699404043228023E-2</v>
      </c>
      <c r="T488" s="19">
        <f t="shared" si="57"/>
        <v>4.1781599594514551E-2</v>
      </c>
      <c r="U488" s="24">
        <v>3.9894029688862798E-2</v>
      </c>
      <c r="V488" s="24">
        <f t="shared" si="58"/>
        <v>4.2067305943552125E-2</v>
      </c>
      <c r="W488" s="23">
        <f t="shared" si="59"/>
        <v>3.4390905061885135E-3</v>
      </c>
      <c r="X488" s="24">
        <v>3.9247376805928269E-2</v>
      </c>
      <c r="Y488" s="24">
        <f t="shared" si="60"/>
        <v>4.2003228258111758E-2</v>
      </c>
      <c r="Z488" s="23">
        <f t="shared" si="61"/>
        <v>3.4338788301295775E-3</v>
      </c>
      <c r="AA488" s="36"/>
    </row>
    <row r="489" spans="15:27" ht="13.9" customHeight="1" x14ac:dyDescent="0.3">
      <c r="O489" s="12">
        <f t="shared" si="55"/>
        <v>39.666666666666664</v>
      </c>
      <c r="P489" s="13">
        <v>476</v>
      </c>
      <c r="Q489" s="22">
        <v>3.334121457109207E-2</v>
      </c>
      <c r="R489" s="19">
        <f t="shared" si="56"/>
        <v>3.0851489858853443E-2</v>
      </c>
      <c r="S489" s="22">
        <v>3.6710054894011579E-2</v>
      </c>
      <c r="T489" s="19">
        <f t="shared" si="57"/>
        <v>4.1794064039555323E-2</v>
      </c>
      <c r="U489" s="24">
        <v>3.9898590640980336E-2</v>
      </c>
      <c r="V489" s="24">
        <f t="shared" si="58"/>
        <v>4.2075823832161685E-2</v>
      </c>
      <c r="W489" s="23">
        <f t="shared" si="59"/>
        <v>3.4397803695676021E-3</v>
      </c>
      <c r="X489" s="24">
        <v>3.9253158763080442E-2</v>
      </c>
      <c r="Y489" s="24">
        <f t="shared" si="60"/>
        <v>4.2012603108189772E-2</v>
      </c>
      <c r="Z489" s="23">
        <f t="shared" si="61"/>
        <v>3.4346383543921721E-3</v>
      </c>
      <c r="AA489" s="36"/>
    </row>
    <row r="490" spans="15:27" ht="13.9" customHeight="1" x14ac:dyDescent="0.3">
      <c r="O490" s="12">
        <f t="shared" si="55"/>
        <v>39.75</v>
      </c>
      <c r="P490" s="13">
        <v>477</v>
      </c>
      <c r="Q490" s="22">
        <v>3.3335988737553723E-2</v>
      </c>
      <c r="R490" s="19">
        <f t="shared" si="56"/>
        <v>3.0857178320766288E-2</v>
      </c>
      <c r="S490" s="22">
        <v>3.6720687199691238E-2</v>
      </c>
      <c r="T490" s="19">
        <f t="shared" si="57"/>
        <v>4.1806399860958132E-2</v>
      </c>
      <c r="U490" s="24">
        <v>3.9903150309537727E-2</v>
      </c>
      <c r="V490" s="24">
        <f t="shared" si="58"/>
        <v>4.2084263344139838E-2</v>
      </c>
      <c r="W490" s="23">
        <f t="shared" si="59"/>
        <v>3.4404638791807329E-3</v>
      </c>
      <c r="X490" s="24">
        <v>3.9258936111115972E-2</v>
      </c>
      <c r="Y490" s="24">
        <f t="shared" si="60"/>
        <v>4.2021889097118459E-2</v>
      </c>
      <c r="Z490" s="23">
        <f t="shared" si="61"/>
        <v>3.4353906721595884E-3</v>
      </c>
      <c r="AA490" s="36"/>
    </row>
    <row r="491" spans="15:27" ht="13.9" customHeight="1" x14ac:dyDescent="0.3">
      <c r="O491" s="12">
        <f t="shared" si="55"/>
        <v>39.833333333333336</v>
      </c>
      <c r="P491" s="13">
        <v>478</v>
      </c>
      <c r="Q491" s="22">
        <v>3.3330796724827305E-2</v>
      </c>
      <c r="R491" s="19">
        <f t="shared" si="56"/>
        <v>3.0862927481639657E-2</v>
      </c>
      <c r="S491" s="22">
        <v>3.673130080868714E-2</v>
      </c>
      <c r="T491" s="19">
        <f t="shared" si="57"/>
        <v>4.1818608408880742E-2</v>
      </c>
      <c r="U491" s="24">
        <v>3.9907708538928555E-2</v>
      </c>
      <c r="V491" s="24">
        <f t="shared" si="58"/>
        <v>4.2092625211595402E-2</v>
      </c>
      <c r="W491" s="23">
        <f t="shared" si="59"/>
        <v>3.4411410944872323E-3</v>
      </c>
      <c r="X491" s="24">
        <v>3.9264708693501182E-2</v>
      </c>
      <c r="Y491" s="24">
        <f t="shared" si="60"/>
        <v>4.2031087081049634E-2</v>
      </c>
      <c r="Z491" s="23">
        <f t="shared" si="61"/>
        <v>3.4361358528354202E-3</v>
      </c>
      <c r="AA491" s="36"/>
    </row>
    <row r="492" spans="15:27" ht="13.9" customHeight="1" x14ac:dyDescent="0.3">
      <c r="O492" s="12">
        <f t="shared" si="55"/>
        <v>39.916666666666664</v>
      </c>
      <c r="P492" s="13">
        <v>479</v>
      </c>
      <c r="Q492" s="22">
        <v>3.3325638447705641E-2</v>
      </c>
      <c r="R492" s="19">
        <f t="shared" si="56"/>
        <v>3.0868737661097434E-2</v>
      </c>
      <c r="S492" s="22">
        <v>3.6741895573489947E-2</v>
      </c>
      <c r="T492" s="19">
        <f t="shared" si="57"/>
        <v>4.1830691018221122E-2</v>
      </c>
      <c r="U492" s="24">
        <v>3.9912265176372141E-2</v>
      </c>
      <c r="V492" s="24">
        <f t="shared" si="58"/>
        <v>4.2100910159208027E-2</v>
      </c>
      <c r="W492" s="23">
        <f t="shared" si="59"/>
        <v>3.4418120743731073E-3</v>
      </c>
      <c r="X492" s="24">
        <v>3.9270476356793038E-2</v>
      </c>
      <c r="Y492" s="24">
        <f t="shared" si="60"/>
        <v>4.2040197905893306E-2</v>
      </c>
      <c r="Z492" s="23">
        <f t="shared" si="61"/>
        <v>3.4368739652981262E-3</v>
      </c>
      <c r="AA492" s="36"/>
    </row>
    <row r="493" spans="15:27" ht="13.9" customHeight="1" x14ac:dyDescent="0.3">
      <c r="O493" s="12">
        <f t="shared" si="55"/>
        <v>40</v>
      </c>
      <c r="P493" s="13">
        <v>480</v>
      </c>
      <c r="Q493" s="22">
        <v>3.3320513822357789E-2</v>
      </c>
      <c r="R493" s="19">
        <f t="shared" si="56"/>
        <v>3.0874608519783076E-2</v>
      </c>
      <c r="S493" s="22">
        <v>3.6752471350586458E-2</v>
      </c>
      <c r="T493" s="19">
        <f t="shared" si="57"/>
        <v>4.1842649009751653E-2</v>
      </c>
      <c r="U493" s="24">
        <v>3.9916820071868697E-2</v>
      </c>
      <c r="V493" s="24">
        <f t="shared" si="58"/>
        <v>4.2109118904065435E-2</v>
      </c>
      <c r="W493" s="23">
        <f t="shared" si="59"/>
        <v>3.4424768771261771E-3</v>
      </c>
      <c r="X493" s="24">
        <v>3.9276238950585629E-2</v>
      </c>
      <c r="Y493" s="24">
        <f t="shared" si="60"/>
        <v>4.2049222410398768E-2</v>
      </c>
      <c r="Z493" s="23">
        <f t="shared" si="61"/>
        <v>3.4376050776003808E-3</v>
      </c>
      <c r="AA493" s="36"/>
    </row>
    <row r="494" spans="15:27" ht="13.9" customHeight="1" x14ac:dyDescent="0.3">
      <c r="O494" s="12">
        <f t="shared" si="55"/>
        <v>40.083333333333336</v>
      </c>
      <c r="P494" s="13">
        <v>481</v>
      </c>
      <c r="Q494" s="22">
        <v>3.331542276494126E-2</v>
      </c>
      <c r="R494" s="19">
        <f t="shared" si="56"/>
        <v>3.0880537736641234E-2</v>
      </c>
      <c r="S494" s="22">
        <v>3.6763028000388998E-2</v>
      </c>
      <c r="T494" s="19">
        <f t="shared" si="57"/>
        <v>4.1854483690498823E-2</v>
      </c>
      <c r="U494" s="24">
        <v>3.9921373078154465E-2</v>
      </c>
      <c r="V494" s="24">
        <f t="shared" si="58"/>
        <v>4.211725215843054E-2</v>
      </c>
      <c r="W494" s="23">
        <f t="shared" si="59"/>
        <v>3.4431355604209735E-3</v>
      </c>
      <c r="X494" s="24">
        <v>3.9281996327463986E-2</v>
      </c>
      <c r="Y494" s="24">
        <f t="shared" si="60"/>
        <v>4.2058161424617158E-2</v>
      </c>
      <c r="Z494" s="23">
        <f t="shared" si="61"/>
        <v>3.4383292572162105E-3</v>
      </c>
      <c r="AA494" s="36"/>
    </row>
    <row r="495" spans="15:27" ht="13.9" customHeight="1" x14ac:dyDescent="0.3">
      <c r="O495" s="12">
        <f t="shared" si="55"/>
        <v>40.166666666666664</v>
      </c>
      <c r="P495" s="13">
        <v>482</v>
      </c>
      <c r="Q495" s="22">
        <v>3.3310365187481317E-2</v>
      </c>
      <c r="R495" s="19">
        <f t="shared" si="56"/>
        <v>3.0886524984362396E-2</v>
      </c>
      <c r="S495" s="22">
        <v>3.6773565387166141E-2</v>
      </c>
      <c r="T495" s="19">
        <f t="shared" si="57"/>
        <v>4.1866196352255747E-2</v>
      </c>
      <c r="U495" s="24">
        <v>3.992592405066353E-2</v>
      </c>
      <c r="V495" s="24">
        <f t="shared" si="58"/>
        <v>4.2125310625543477E-2</v>
      </c>
      <c r="W495" s="23">
        <f t="shared" si="59"/>
        <v>3.443788181543006E-3</v>
      </c>
      <c r="X495" s="24">
        <v>3.9287748342954343E-2</v>
      </c>
      <c r="Y495" s="24">
        <f t="shared" si="60"/>
        <v>4.2067015770168137E-2</v>
      </c>
      <c r="Z495" s="23">
        <f t="shared" si="61"/>
        <v>3.4390465709184248E-3</v>
      </c>
      <c r="AA495" s="36"/>
    </row>
    <row r="496" spans="15:27" ht="13.9" customHeight="1" x14ac:dyDescent="0.3">
      <c r="O496" s="12">
        <f t="shared" si="55"/>
        <v>40.25</v>
      </c>
      <c r="P496" s="13">
        <v>483</v>
      </c>
      <c r="Q496" s="22">
        <v>3.3305341002051181E-2</v>
      </c>
      <c r="R496" s="19">
        <f t="shared" si="56"/>
        <v>3.0892570603316294E-2</v>
      </c>
      <c r="S496" s="22">
        <v>3.6784083378971211E-2</v>
      </c>
      <c r="T496" s="19">
        <f t="shared" si="57"/>
        <v>4.1877788273754435E-2</v>
      </c>
      <c r="U496" s="24">
        <v>3.9930472847480969E-2</v>
      </c>
      <c r="V496" s="24">
        <f t="shared" si="58"/>
        <v>4.2133295002963145E-2</v>
      </c>
      <c r="W496" s="23">
        <f t="shared" si="59"/>
        <v>3.4444347970501443E-3</v>
      </c>
      <c r="X496" s="24">
        <v>3.9293494855477284E-2</v>
      </c>
      <c r="Y496" s="24">
        <f t="shared" si="60"/>
        <v>4.2075786260710624E-2</v>
      </c>
      <c r="Z496" s="23">
        <f t="shared" si="61"/>
        <v>3.4397570847990444E-3</v>
      </c>
      <c r="AA496" s="36"/>
    </row>
    <row r="497" spans="15:27" ht="13.9" customHeight="1" x14ac:dyDescent="0.3">
      <c r="O497" s="12">
        <f t="shared" si="55"/>
        <v>40.333333333333336</v>
      </c>
      <c r="P497" s="13">
        <v>484</v>
      </c>
      <c r="Q497" s="22">
        <v>3.3300350122154487E-2</v>
      </c>
      <c r="R497" s="19">
        <f t="shared" si="56"/>
        <v>3.089867493618681E-2</v>
      </c>
      <c r="S497" s="22">
        <v>3.6794581847576779E-2</v>
      </c>
      <c r="T497" s="19">
        <f t="shared" si="57"/>
        <v>4.1889260719579768E-2</v>
      </c>
      <c r="U497" s="24">
        <v>3.9935019329303767E-2</v>
      </c>
      <c r="V497" s="24">
        <f t="shared" si="58"/>
        <v>4.214120598161708E-2</v>
      </c>
      <c r="W497" s="23">
        <f t="shared" si="59"/>
        <v>3.4450754630424019E-3</v>
      </c>
      <c r="X497" s="24">
        <v>3.929923572630023E-2</v>
      </c>
      <c r="Y497" s="24">
        <f t="shared" si="60"/>
        <v>4.2084473701974767E-2</v>
      </c>
      <c r="Z497" s="23">
        <f t="shared" si="61"/>
        <v>3.440460864307715E-3</v>
      </c>
      <c r="AA497" s="36"/>
    </row>
    <row r="498" spans="15:27" ht="13.9" customHeight="1" x14ac:dyDescent="0.3">
      <c r="O498" s="12">
        <f t="shared" si="55"/>
        <v>40.416666666666664</v>
      </c>
      <c r="P498" s="13">
        <v>485</v>
      </c>
      <c r="Q498" s="22">
        <v>3.3295392462715068E-2</v>
      </c>
      <c r="R498" s="19">
        <f t="shared" si="56"/>
        <v>3.0904838333002616E-2</v>
      </c>
      <c r="S498" s="22">
        <v>3.6805060668406719E-2</v>
      </c>
      <c r="T498" s="19">
        <f t="shared" si="57"/>
        <v>4.190061494058539E-2</v>
      </c>
      <c r="U498" s="24">
        <v>3.993956335940041E-2</v>
      </c>
      <c r="V498" s="24">
        <f t="shared" si="58"/>
        <v>4.2149044245556322E-2</v>
      </c>
      <c r="W498" s="23">
        <f t="shared" si="59"/>
        <v>3.4457102350842206E-3</v>
      </c>
      <c r="X498" s="24">
        <v>3.930497081949258E-2</v>
      </c>
      <c r="Y498" s="24">
        <f t="shared" si="60"/>
        <v>4.2093078891704883E-2</v>
      </c>
      <c r="Z498" s="23">
        <f t="shared" si="61"/>
        <v>3.441157974255038E-3</v>
      </c>
      <c r="AA498" s="36"/>
    </row>
    <row r="499" spans="15:27" ht="13.9" customHeight="1" x14ac:dyDescent="0.3">
      <c r="O499" s="12">
        <f t="shared" si="55"/>
        <v>40.5</v>
      </c>
      <c r="P499" s="13">
        <v>486</v>
      </c>
      <c r="Q499" s="22">
        <v>3.3290467940077617E-2</v>
      </c>
      <c r="R499" s="19">
        <f t="shared" si="56"/>
        <v>3.0911060494029918E-2</v>
      </c>
      <c r="S499" s="22">
        <v>3.6815519720470924E-2</v>
      </c>
      <c r="T499" s="19">
        <f t="shared" si="57"/>
        <v>4.1911852174456588E-2</v>
      </c>
      <c r="U499" s="24">
        <v>3.9944104803569802E-2</v>
      </c>
      <c r="V499" s="24">
        <f t="shared" si="58"/>
        <v>4.2156810472232298E-2</v>
      </c>
      <c r="W499" s="23">
        <f t="shared" si="59"/>
        <v>3.4463391681858191E-3</v>
      </c>
      <c r="X499" s="24">
        <v>3.9310700001879972E-2</v>
      </c>
      <c r="Y499" s="24">
        <f t="shared" si="60"/>
        <v>4.210160261943674E-2</v>
      </c>
      <c r="Z499" s="23">
        <f t="shared" si="61"/>
        <v>3.4418484788067971E-3</v>
      </c>
      <c r="AA499" s="36"/>
    </row>
    <row r="500" spans="15:27" ht="13.9" customHeight="1" x14ac:dyDescent="0.3">
      <c r="O500" s="12">
        <f t="shared" si="55"/>
        <v>40.583333333333336</v>
      </c>
      <c r="P500" s="13">
        <v>487</v>
      </c>
      <c r="Q500" s="22">
        <v>3.3285576470655887E-2</v>
      </c>
      <c r="R500" s="19">
        <f t="shared" si="56"/>
        <v>3.0917339173726965E-2</v>
      </c>
      <c r="S500" s="22">
        <v>3.6825958886301136E-2</v>
      </c>
      <c r="T500" s="19">
        <f t="shared" si="57"/>
        <v>4.1922973644860528E-2</v>
      </c>
      <c r="U500" s="24">
        <v>3.994864353010219E-2</v>
      </c>
      <c r="V500" s="24">
        <f t="shared" si="58"/>
        <v>4.2164505332870084E-2</v>
      </c>
      <c r="W500" s="23">
        <f t="shared" si="59"/>
        <v>3.4469623168253971E-3</v>
      </c>
      <c r="X500" s="24">
        <v>3.9316423142999657E-2</v>
      </c>
      <c r="Y500" s="24">
        <f t="shared" si="60"/>
        <v>4.2110045667389517E-2</v>
      </c>
      <c r="Z500" s="23">
        <f t="shared" si="61"/>
        <v>3.4425324414664171E-3</v>
      </c>
      <c r="AA500" s="36"/>
    </row>
    <row r="501" spans="15:27" ht="13.9" customHeight="1" x14ac:dyDescent="0.3">
      <c r="O501" s="12">
        <f t="shared" si="55"/>
        <v>40.666666666666664</v>
      </c>
      <c r="P501" s="13">
        <v>488</v>
      </c>
      <c r="Q501" s="22">
        <v>3.3280717966935214E-2</v>
      </c>
      <c r="R501" s="19">
        <f t="shared" si="56"/>
        <v>3.0923674084151864E-2</v>
      </c>
      <c r="S501" s="22">
        <v>3.6836378051886554E-2</v>
      </c>
      <c r="T501" s="19">
        <f t="shared" si="57"/>
        <v>4.1933980563184425E-2</v>
      </c>
      <c r="U501" s="24">
        <v>3.9953179409740747E-2</v>
      </c>
      <c r="V501" s="24">
        <f t="shared" si="58"/>
        <v>4.217212949200988E-2</v>
      </c>
      <c r="W501" s="23">
        <f t="shared" si="59"/>
        <v>3.4475797349786674E-3</v>
      </c>
      <c r="X501" s="24">
        <v>3.9322140115056969E-2</v>
      </c>
      <c r="Y501" s="24">
        <f t="shared" si="60"/>
        <v>4.2118408810021268E-2</v>
      </c>
      <c r="Z501" s="23">
        <f t="shared" si="61"/>
        <v>3.4432099251475723E-3</v>
      </c>
      <c r="AA501" s="36"/>
    </row>
    <row r="502" spans="15:27" ht="13.9" customHeight="1" x14ac:dyDescent="0.3">
      <c r="O502" s="12">
        <f t="shared" si="55"/>
        <v>40.75</v>
      </c>
      <c r="P502" s="13">
        <v>489</v>
      </c>
      <c r="Q502" s="22">
        <v>3.3275892341525504E-2</v>
      </c>
      <c r="R502" s="19">
        <f t="shared" si="56"/>
        <v>3.093006559441358E-2</v>
      </c>
      <c r="S502" s="22">
        <v>3.684677710661366E-2</v>
      </c>
      <c r="T502" s="19">
        <f t="shared" si="57"/>
        <v>4.1944874127115783E-2</v>
      </c>
      <c r="U502" s="24">
        <v>3.9957712315642713E-2</v>
      </c>
      <c r="V502" s="24">
        <f t="shared" si="58"/>
        <v>4.2179683607763474E-2</v>
      </c>
      <c r="W502" s="23">
        <f t="shared" si="59"/>
        <v>3.4481914760831067E-3</v>
      </c>
      <c r="X502" s="24">
        <v>3.9327850792882924E-2</v>
      </c>
      <c r="Y502" s="24">
        <f t="shared" si="60"/>
        <v>4.212669281368786E-2</v>
      </c>
      <c r="Z502" s="23">
        <f t="shared" si="61"/>
        <v>3.4438809921377711E-3</v>
      </c>
      <c r="AA502" s="36"/>
    </row>
    <row r="503" spans="15:27" ht="13.9" customHeight="1" x14ac:dyDescent="0.3">
      <c r="O503" s="12">
        <f t="shared" si="55"/>
        <v>40.833333333333336</v>
      </c>
      <c r="P503" s="13">
        <v>490</v>
      </c>
      <c r="Q503" s="22">
        <v>3.3271099508503932E-2</v>
      </c>
      <c r="R503" s="19">
        <f t="shared" si="56"/>
        <v>3.0936514075905697E-2</v>
      </c>
      <c r="S503" s="22">
        <v>3.6857155943202935E-2</v>
      </c>
      <c r="T503" s="19">
        <f t="shared" si="57"/>
        <v>4.1955655521708879E-2</v>
      </c>
      <c r="U503" s="24">
        <v>3.9962242123341651E-2</v>
      </c>
      <c r="V503" s="24">
        <f t="shared" si="58"/>
        <v>4.2187168332819214E-2</v>
      </c>
      <c r="W503" s="23">
        <f t="shared" si="59"/>
        <v>3.4487975930568293E-3</v>
      </c>
      <c r="X503" s="24">
        <v>3.9333555053890468E-2</v>
      </c>
      <c r="Y503" s="24">
        <f t="shared" si="60"/>
        <v>4.2134898437614199E-2</v>
      </c>
      <c r="Z503" s="23">
        <f t="shared" si="61"/>
        <v>3.4445457040708227E-3</v>
      </c>
      <c r="AA503" s="36"/>
    </row>
    <row r="504" spans="15:27" ht="13.9" customHeight="1" x14ac:dyDescent="0.3">
      <c r="O504" s="12">
        <f t="shared" si="55"/>
        <v>40.916666666666664</v>
      </c>
      <c r="P504" s="13">
        <v>491</v>
      </c>
      <c r="Q504" s="22">
        <v>3.3266339383404286E-2</v>
      </c>
      <c r="R504" s="19">
        <f t="shared" si="56"/>
        <v>3.0943019906019664E-2</v>
      </c>
      <c r="S504" s="22">
        <v>3.6867514457650241E-2</v>
      </c>
      <c r="T504" s="19">
        <f t="shared" si="57"/>
        <v>4.1966325919108982E-2</v>
      </c>
      <c r="U504" s="24">
        <v>3.9966768710712142E-2</v>
      </c>
      <c r="V504" s="24">
        <f t="shared" si="58"/>
        <v>4.2194584312439165E-2</v>
      </c>
      <c r="W504" s="23">
        <f t="shared" si="59"/>
        <v>3.4493981383814099E-3</v>
      </c>
      <c r="X504" s="24">
        <v>3.9339252778033851E-2</v>
      </c>
      <c r="Y504" s="24">
        <f t="shared" si="60"/>
        <v>4.2143026433802078E-2</v>
      </c>
      <c r="Z504" s="23">
        <f t="shared" si="61"/>
        <v>3.4452041220054408E-3</v>
      </c>
      <c r="AA504" s="36"/>
    </row>
    <row r="505" spans="15:27" ht="13.9" customHeight="1" x14ac:dyDescent="0.3">
      <c r="O505" s="12">
        <f t="shared" si="55"/>
        <v>41</v>
      </c>
      <c r="P505" s="13">
        <v>492</v>
      </c>
      <c r="Q505" s="22">
        <v>3.3261611883215192E-2</v>
      </c>
      <c r="R505" s="19">
        <f t="shared" si="56"/>
        <v>3.0949582824783883E-2</v>
      </c>
      <c r="S505" s="22">
        <v>3.6877852549166645E-2</v>
      </c>
      <c r="T505" s="19">
        <f t="shared" si="57"/>
        <v>4.1976886479121012E-2</v>
      </c>
      <c r="U505" s="24">
        <v>3.9971291957931143E-2</v>
      </c>
      <c r="V505" s="24">
        <f t="shared" si="58"/>
        <v>4.2201932186446633E-2</v>
      </c>
      <c r="W505" s="23">
        <f t="shared" si="59"/>
        <v>3.4499931639393466E-3</v>
      </c>
      <c r="X505" s="24">
        <v>3.9344943847767766E-2</v>
      </c>
      <c r="Y505" s="24">
        <f t="shared" si="60"/>
        <v>4.2151077545977245E-2</v>
      </c>
      <c r="Z505" s="23">
        <f t="shared" si="61"/>
        <v>3.445856306418138E-3</v>
      </c>
      <c r="AA505" s="36"/>
    </row>
    <row r="506" spans="15:27" ht="13.9" customHeight="1" x14ac:dyDescent="0.3">
      <c r="O506" s="12">
        <f t="shared" si="55"/>
        <v>41.083333333333336</v>
      </c>
      <c r="P506" s="13">
        <v>493</v>
      </c>
      <c r="Q506" s="22">
        <v>3.3256916925068492E-2</v>
      </c>
      <c r="R506" s="19">
        <f t="shared" si="56"/>
        <v>3.0956200659453925E-2</v>
      </c>
      <c r="S506" s="22">
        <v>3.6888170120121133E-2</v>
      </c>
      <c r="T506" s="19">
        <f t="shared" si="57"/>
        <v>4.1987338348731917E-2</v>
      </c>
      <c r="U506" s="24">
        <v>3.9975811747443357E-2</v>
      </c>
      <c r="V506" s="24">
        <f t="shared" si="58"/>
        <v>4.220921258805399E-2</v>
      </c>
      <c r="W506" s="23">
        <f t="shared" si="59"/>
        <v>3.4505827211750439E-3</v>
      </c>
      <c r="X506" s="24">
        <v>3.9350628148005828E-2</v>
      </c>
      <c r="Y506" s="24">
        <f t="shared" si="60"/>
        <v>4.2159052511272499E-2</v>
      </c>
      <c r="Z506" s="23">
        <f t="shared" si="61"/>
        <v>3.4465023171175169E-3</v>
      </c>
      <c r="AA506" s="36"/>
    </row>
    <row r="507" spans="15:27" ht="13.9" customHeight="1" x14ac:dyDescent="0.3">
      <c r="O507" s="12">
        <f t="shared" si="55"/>
        <v>41.166666666666664</v>
      </c>
      <c r="P507" s="13">
        <v>494</v>
      </c>
      <c r="Q507" s="22">
        <v>3.325225442235813E-2</v>
      </c>
      <c r="R507" s="19">
        <f t="shared" si="56"/>
        <v>3.0962873162370119E-2</v>
      </c>
      <c r="S507" s="22">
        <v>3.6898467075983099E-2</v>
      </c>
      <c r="T507" s="19">
        <f t="shared" si="57"/>
        <v>4.1997682663047931E-2</v>
      </c>
      <c r="U507" s="24">
        <v>3.9980327963925033E-2</v>
      </c>
      <c r="V507" s="24">
        <f t="shared" si="58"/>
        <v>4.2216426145281982E-2</v>
      </c>
      <c r="W507" s="23">
        <f t="shared" si="59"/>
        <v>3.4511668609995549E-3</v>
      </c>
      <c r="X507" s="24">
        <v>3.9356305566081939E-2</v>
      </c>
      <c r="Y507" s="24">
        <f t="shared" si="60"/>
        <v>4.2166952059534912E-2</v>
      </c>
      <c r="Z507" s="23">
        <f t="shared" si="61"/>
        <v>3.4471422133808272E-3</v>
      </c>
      <c r="AA507" s="36"/>
    </row>
    <row r="508" spans="15:27" ht="13.9" customHeight="1" x14ac:dyDescent="0.3">
      <c r="O508" s="12">
        <f t="shared" si="55"/>
        <v>41.25</v>
      </c>
      <c r="P508" s="13">
        <v>495</v>
      </c>
      <c r="Q508" s="22">
        <v>3.3247624288674782E-2</v>
      </c>
      <c r="R508" s="19">
        <f t="shared" si="56"/>
        <v>3.0969600728284918E-2</v>
      </c>
      <c r="S508" s="22">
        <v>3.6908743325266835E-2</v>
      </c>
      <c r="T508" s="19">
        <f t="shared" si="57"/>
        <v>4.2007920544459898E-2</v>
      </c>
      <c r="U508" s="24">
        <v>3.9984840494250662E-2</v>
      </c>
      <c r="V508" s="24">
        <f t="shared" si="58"/>
        <v>4.2223573479418519E-2</v>
      </c>
      <c r="W508" s="23">
        <f t="shared" si="59"/>
        <v>3.4517456339053787E-3</v>
      </c>
      <c r="X508" s="24">
        <v>3.9361975991711207E-2</v>
      </c>
      <c r="Y508" s="24">
        <f t="shared" si="60"/>
        <v>4.2174776913243006E-2</v>
      </c>
      <c r="Z508" s="23">
        <f t="shared" si="61"/>
        <v>3.4477760538977886E-3</v>
      </c>
      <c r="AA508" s="36"/>
    </row>
    <row r="509" spans="15:27" ht="13.9" customHeight="1" x14ac:dyDescent="0.3">
      <c r="O509" s="12">
        <f t="shared" si="55"/>
        <v>41.333333333333336</v>
      </c>
      <c r="P509" s="13">
        <v>496</v>
      </c>
      <c r="Q509" s="22">
        <v>3.3243026439103263E-2</v>
      </c>
      <c r="R509" s="19">
        <f t="shared" si="56"/>
        <v>3.0976383757956638E-2</v>
      </c>
      <c r="S509" s="22">
        <v>3.6918998779475132E-2</v>
      </c>
      <c r="T509" s="19">
        <f t="shared" si="57"/>
        <v>4.2018053104053488E-2</v>
      </c>
      <c r="U509" s="24">
        <v>3.9989349227457671E-2</v>
      </c>
      <c r="V509" s="24">
        <f t="shared" si="58"/>
        <v>4.2230655205944601E-2</v>
      </c>
      <c r="W509" s="23">
        <f t="shared" si="59"/>
        <v>3.4523190898430034E-3</v>
      </c>
      <c r="X509" s="24">
        <v>3.9367639316950864E-2</v>
      </c>
      <c r="Y509" s="24">
        <f t="shared" si="60"/>
        <v>4.2182527787423929E-2</v>
      </c>
      <c r="Z509" s="23">
        <f t="shared" si="61"/>
        <v>3.4484038967634856E-3</v>
      </c>
      <c r="AA509" s="36"/>
    </row>
    <row r="510" spans="15:27" ht="13.9" customHeight="1" x14ac:dyDescent="0.3">
      <c r="O510" s="12">
        <f t="shared" si="55"/>
        <v>41.416666666666664</v>
      </c>
      <c r="P510" s="13">
        <v>497</v>
      </c>
      <c r="Q510" s="22">
        <v>3.3238460790218083E-2</v>
      </c>
      <c r="R510" s="19">
        <f t="shared" si="56"/>
        <v>3.0983222654437981E-2</v>
      </c>
      <c r="S510" s="22">
        <v>3.6929233353046875E-2</v>
      </c>
      <c r="T510" s="19">
        <f t="shared" si="57"/>
        <v>4.2028081439858145E-2</v>
      </c>
      <c r="U510" s="24">
        <v>3.9993854054712674E-2</v>
      </c>
      <c r="V510" s="24">
        <f t="shared" si="58"/>
        <v>4.2237671934389764E-2</v>
      </c>
      <c r="W510" s="23">
        <f t="shared" si="59"/>
        <v>3.4528872782941811E-3</v>
      </c>
      <c r="X510" s="24">
        <v>3.9373295436162303E-2</v>
      </c>
      <c r="Y510" s="24">
        <f t="shared" si="60"/>
        <v>4.2190205391070545E-2</v>
      </c>
      <c r="Z510" s="23">
        <f t="shared" si="61"/>
        <v>3.4490257994734819E-3</v>
      </c>
      <c r="AA510" s="36"/>
    </row>
    <row r="511" spans="15:27" ht="13.9" customHeight="1" x14ac:dyDescent="0.3">
      <c r="O511" s="12">
        <f t="shared" si="55"/>
        <v>41.5</v>
      </c>
      <c r="P511" s="13">
        <v>498</v>
      </c>
      <c r="Q511" s="22">
        <v>3.3233927260074125E-2</v>
      </c>
      <c r="R511" s="19">
        <f t="shared" si="56"/>
        <v>3.0990117197445155E-2</v>
      </c>
      <c r="S511" s="22">
        <v>3.6939446963301759E-2</v>
      </c>
      <c r="T511" s="19">
        <f t="shared" si="57"/>
        <v>4.2038006639843806E-2</v>
      </c>
      <c r="U511" s="24">
        <v>3.9998354869278163E-2</v>
      </c>
      <c r="V511" s="24">
        <f t="shared" si="58"/>
        <v>4.224462426961928E-2</v>
      </c>
      <c r="W511" s="23">
        <f t="shared" si="59"/>
        <v>3.4534502482612695E-3</v>
      </c>
      <c r="X511" s="24">
        <v>3.9378944245975323E-2</v>
      </c>
      <c r="Y511" s="24">
        <f t="shared" si="60"/>
        <v>4.2197810425290028E-2</v>
      </c>
      <c r="Z511" s="23">
        <f t="shared" si="61"/>
        <v>3.4496418190350653E-3</v>
      </c>
      <c r="AA511" s="36"/>
    </row>
    <row r="512" spans="15:27" ht="13.9" customHeight="1" x14ac:dyDescent="0.3">
      <c r="O512" s="12">
        <f t="shared" si="55"/>
        <v>41.583333333333336</v>
      </c>
      <c r="P512" s="13">
        <v>499</v>
      </c>
      <c r="Q512" s="22">
        <v>3.3229425766939658E-2</v>
      </c>
      <c r="R512" s="19">
        <f t="shared" si="56"/>
        <v>3.0997065285509606E-2</v>
      </c>
      <c r="S512" s="22">
        <v>3.6949639530390321E-2</v>
      </c>
      <c r="T512" s="19">
        <f t="shared" si="57"/>
        <v>4.2047829778520285E-2</v>
      </c>
      <c r="U512" s="24">
        <v>4.0002851566482311E-2</v>
      </c>
      <c r="V512" s="24">
        <f t="shared" si="58"/>
        <v>4.2251512808628933E-2</v>
      </c>
      <c r="W512" s="23">
        <f t="shared" si="59"/>
        <v>3.4540080483702607E-3</v>
      </c>
      <c r="X512" s="24">
        <v>3.9384585645249715E-2</v>
      </c>
      <c r="Y512" s="24">
        <f t="shared" si="60"/>
        <v>4.2205343584753363E-2</v>
      </c>
      <c r="Z512" s="23">
        <f t="shared" si="61"/>
        <v>3.4502520118211422E-3</v>
      </c>
      <c r="AA512" s="36"/>
    </row>
    <row r="513" spans="15:27" ht="13.9" customHeight="1" x14ac:dyDescent="0.3">
      <c r="O513" s="12">
        <f t="shared" si="55"/>
        <v>41.666666666666664</v>
      </c>
      <c r="P513" s="13">
        <v>500</v>
      </c>
      <c r="Q513" s="22">
        <v>3.3224956225523128E-2</v>
      </c>
      <c r="R513" s="19">
        <f t="shared" si="56"/>
        <v>3.1004066708243627E-2</v>
      </c>
      <c r="S513" s="22">
        <v>3.6959810977239993E-2</v>
      </c>
      <c r="T513" s="19">
        <f t="shared" si="57"/>
        <v>4.2057551919942648E-2</v>
      </c>
      <c r="U513" s="24">
        <v>4.0007344043682336E-2</v>
      </c>
      <c r="V513" s="24">
        <f t="shared" si="58"/>
        <v>4.225833814526192E-2</v>
      </c>
      <c r="W513" s="23">
        <f t="shared" si="59"/>
        <v>3.4545607266136535E-3</v>
      </c>
      <c r="X513" s="24">
        <v>3.9390219535040405E-2</v>
      </c>
      <c r="Y513" s="24">
        <f t="shared" si="60"/>
        <v>4.2212805557331867E-2</v>
      </c>
      <c r="Z513" s="23">
        <f t="shared" si="61"/>
        <v>3.4508564336852565E-3</v>
      </c>
      <c r="AA513" s="36"/>
    </row>
    <row r="514" spans="15:27" ht="13.9" customHeight="1" x14ac:dyDescent="0.3">
      <c r="O514" s="12">
        <f t="shared" si="55"/>
        <v>41.75</v>
      </c>
      <c r="P514" s="13">
        <v>501</v>
      </c>
      <c r="Q514" s="22">
        <v>3.3220518550792333E-2</v>
      </c>
      <c r="R514" s="19">
        <f t="shared" si="56"/>
        <v>3.1011121888534721E-2</v>
      </c>
      <c r="S514" s="22">
        <v>3.6969961229506021E-2</v>
      </c>
      <c r="T514" s="19">
        <f t="shared" si="57"/>
        <v>4.2067174116647621E-2</v>
      </c>
      <c r="U514" s="24">
        <v>4.0011832200238295E-2</v>
      </c>
      <c r="V514" s="24">
        <f t="shared" si="58"/>
        <v>4.2265100864679939E-2</v>
      </c>
      <c r="W514" s="23">
        <f t="shared" si="59"/>
        <v>3.4551083307294839E-3</v>
      </c>
      <c r="X514" s="24">
        <v>3.9395845818561481E-2</v>
      </c>
      <c r="Y514" s="24">
        <f t="shared" si="60"/>
        <v>4.2220197023699058E-2</v>
      </c>
      <c r="Z514" s="23">
        <f t="shared" si="61"/>
        <v>3.4514551399325022E-3</v>
      </c>
      <c r="AA514" s="36"/>
    </row>
    <row r="515" spans="15:27" ht="13.9" customHeight="1" x14ac:dyDescent="0.3">
      <c r="O515" s="12">
        <f t="shared" si="55"/>
        <v>41.833333333333336</v>
      </c>
      <c r="P515" s="13">
        <v>502</v>
      </c>
      <c r="Q515" s="22">
        <v>3.3216112659235852E-2</v>
      </c>
      <c r="R515" s="19">
        <f t="shared" si="56"/>
        <v>3.1018231252970541E-2</v>
      </c>
      <c r="S515" s="22">
        <v>3.6980090215521288E-2</v>
      </c>
      <c r="T515" s="19">
        <f t="shared" si="57"/>
        <v>4.2076697409910713E-2</v>
      </c>
      <c r="U515" s="24">
        <v>4.0016315937475566E-2</v>
      </c>
      <c r="V515" s="24">
        <f t="shared" si="58"/>
        <v>4.2271801549616184E-2</v>
      </c>
      <c r="W515" s="23">
        <f t="shared" si="59"/>
        <v>3.4556509077563469E-3</v>
      </c>
      <c r="X515" s="24">
        <v>3.9401464401150665E-2</v>
      </c>
      <c r="Y515" s="24">
        <f t="shared" si="60"/>
        <v>4.2227518658398688E-2</v>
      </c>
      <c r="Z515" s="23">
        <f t="shared" si="61"/>
        <v>3.4520481852886586E-3</v>
      </c>
      <c r="AA515" s="36"/>
    </row>
    <row r="516" spans="15:27" ht="13.9" customHeight="1" x14ac:dyDescent="0.3">
      <c r="O516" s="12">
        <f t="shared" si="55"/>
        <v>41.916666666666664</v>
      </c>
      <c r="P516" s="13">
        <v>503</v>
      </c>
      <c r="Q516" s="22">
        <v>3.3211738468854834E-2</v>
      </c>
      <c r="R516" s="19">
        <f t="shared" si="56"/>
        <v>3.1025395231741637E-2</v>
      </c>
      <c r="S516" s="22">
        <v>3.6990197866247909E-2</v>
      </c>
      <c r="T516" s="19">
        <f t="shared" si="57"/>
        <v>4.2086122829464445E-2</v>
      </c>
      <c r="U516" s="24">
        <v>4.0020795158660416E-2</v>
      </c>
      <c r="V516" s="24">
        <f t="shared" si="58"/>
        <v>4.2278440775404214E-2</v>
      </c>
      <c r="W516" s="23">
        <f t="shared" si="59"/>
        <v>3.4561885045369944E-3</v>
      </c>
      <c r="X516" s="24">
        <v>3.9407075190236229E-2</v>
      </c>
      <c r="Y516" s="24">
        <f t="shared" si="60"/>
        <v>4.2234771129487703E-2</v>
      </c>
      <c r="Z516" s="23">
        <f t="shared" si="61"/>
        <v>3.4526356239845679E-3</v>
      </c>
      <c r="AA516" s="36"/>
    </row>
    <row r="517" spans="15:27" ht="13.9" customHeight="1" x14ac:dyDescent="0.3">
      <c r="O517" s="12">
        <f t="shared" si="55"/>
        <v>42</v>
      </c>
      <c r="P517" s="13">
        <v>504</v>
      </c>
      <c r="Q517" s="22">
        <v>3.3207395899155667E-2</v>
      </c>
      <c r="R517" s="19">
        <f t="shared" si="56"/>
        <v>3.1032613641689188E-2</v>
      </c>
      <c r="S517" s="22">
        <v>3.7000284115228155E-2</v>
      </c>
      <c r="T517" s="19">
        <f t="shared" si="57"/>
        <v>4.2095451394723593E-2</v>
      </c>
      <c r="U517" s="24">
        <v>4.0025269768966476E-2</v>
      </c>
      <c r="V517" s="24">
        <f t="shared" si="58"/>
        <v>4.2285019111914179E-2</v>
      </c>
      <c r="W517" s="23">
        <f t="shared" si="59"/>
        <v>3.4567211673175446E-3</v>
      </c>
      <c r="X517" s="24">
        <v>3.94126780953028E-2</v>
      </c>
      <c r="Y517" s="24">
        <f t="shared" si="60"/>
        <v>4.2241955097681583E-2</v>
      </c>
      <c r="Z517" s="23">
        <f t="shared" si="61"/>
        <v>3.453217509728157E-3</v>
      </c>
      <c r="AA517" s="36"/>
    </row>
    <row r="518" spans="15:27" ht="13.9" customHeight="1" x14ac:dyDescent="0.3">
      <c r="O518" s="12">
        <f t="shared" si="55"/>
        <v>42.083333333333336</v>
      </c>
      <c r="P518" s="13">
        <v>505</v>
      </c>
      <c r="Q518" s="22">
        <v>3.3203084869917632E-2</v>
      </c>
      <c r="R518" s="19">
        <f t="shared" si="56"/>
        <v>3.1039884451575572E-2</v>
      </c>
      <c r="S518" s="22">
        <v>3.701034889853827E-2</v>
      </c>
      <c r="T518" s="19">
        <f t="shared" si="57"/>
        <v>4.2104684113617896E-2</v>
      </c>
      <c r="U518" s="24">
        <v>4.0029739675444542E-2</v>
      </c>
      <c r="V518" s="24">
        <f t="shared" si="58"/>
        <v>4.2291537124797829E-2</v>
      </c>
      <c r="W518" s="23">
        <f t="shared" si="59"/>
        <v>3.4572489419051333E-3</v>
      </c>
      <c r="X518" s="24">
        <v>3.9418273027857165E-2</v>
      </c>
      <c r="Y518" s="24">
        <f t="shared" si="60"/>
        <v>4.2249071217809187E-2</v>
      </c>
      <c r="Z518" s="23">
        <f t="shared" si="61"/>
        <v>3.4537938956367142E-3</v>
      </c>
      <c r="AA518" s="36"/>
    </row>
    <row r="519" spans="15:27" ht="13.9" customHeight="1" x14ac:dyDescent="0.3">
      <c r="O519" s="12">
        <f t="shared" si="55"/>
        <v>42.166666666666664</v>
      </c>
      <c r="P519" s="13">
        <v>506</v>
      </c>
      <c r="Q519" s="22">
        <v>3.3198805297530054E-2</v>
      </c>
      <c r="R519" s="19">
        <f t="shared" si="56"/>
        <v>3.104720748895784E-2</v>
      </c>
      <c r="S519" s="22">
        <v>3.7020392154741399E-2</v>
      </c>
      <c r="T519" s="19">
        <f t="shared" si="57"/>
        <v>4.2113821983793986E-2</v>
      </c>
      <c r="U519" s="24">
        <v>4.0034204786996153E-2</v>
      </c>
      <c r="V519" s="24">
        <f t="shared" si="58"/>
        <v>4.2297995372988506E-2</v>
      </c>
      <c r="W519" s="23">
        <f t="shared" si="59"/>
        <v>3.4577718737656138E-3</v>
      </c>
      <c r="X519" s="24">
        <v>3.9423859901396296E-2</v>
      </c>
      <c r="Y519" s="24">
        <f t="shared" si="60"/>
        <v>4.2256120138746356E-2</v>
      </c>
      <c r="Z519" s="23">
        <f t="shared" si="61"/>
        <v>3.4543648343519084E-3</v>
      </c>
      <c r="AA519" s="36"/>
    </row>
    <row r="520" spans="15:27" ht="13.9" customHeight="1" x14ac:dyDescent="0.3">
      <c r="O520" s="12">
        <f t="shared" si="55"/>
        <v>42.25</v>
      </c>
      <c r="P520" s="13">
        <v>507</v>
      </c>
      <c r="Q520" s="22">
        <v>3.319455709870045E-2</v>
      </c>
      <c r="R520" s="19">
        <f t="shared" si="56"/>
        <v>3.105458320215404E-2</v>
      </c>
      <c r="S520" s="22">
        <v>3.7030413824842512E-2</v>
      </c>
      <c r="T520" s="19">
        <f t="shared" si="57"/>
        <v>4.212286599189996E-2</v>
      </c>
      <c r="U520" s="24">
        <v>4.0038665014341612E-2</v>
      </c>
      <c r="V520" s="24">
        <f t="shared" si="58"/>
        <v>4.2304394411190271E-2</v>
      </c>
      <c r="W520" s="23">
        <f t="shared" si="59"/>
        <v>3.4582900078243828E-3</v>
      </c>
      <c r="X520" s="24">
        <v>3.9429438631375824E-2</v>
      </c>
      <c r="Y520" s="24">
        <f t="shared" si="60"/>
        <v>4.2263102501843397E-2</v>
      </c>
      <c r="Z520" s="23">
        <f t="shared" si="61"/>
        <v>3.4549303780362361E-3</v>
      </c>
      <c r="AA520" s="36"/>
    </row>
    <row r="521" spans="15:27" ht="13.9" customHeight="1" x14ac:dyDescent="0.3">
      <c r="O521" s="12">
        <f t="shared" si="55"/>
        <v>42.333333333333336</v>
      </c>
      <c r="P521" s="13">
        <v>508</v>
      </c>
      <c r="Q521" s="22">
        <v>3.3190340191675105E-2</v>
      </c>
      <c r="R521" s="19">
        <f t="shared" si="56"/>
        <v>3.1062012044169807E-2</v>
      </c>
      <c r="S521" s="22">
        <v>3.704041385224266E-2</v>
      </c>
      <c r="T521" s="19">
        <f t="shared" si="57"/>
        <v>4.2131817114069436E-2</v>
      </c>
      <c r="U521" s="24">
        <v>4.0043120269994237E-2</v>
      </c>
      <c r="V521" s="24">
        <f t="shared" si="58"/>
        <v>4.2310734787732729E-2</v>
      </c>
      <c r="W521" s="23">
        <f t="shared" si="59"/>
        <v>3.4588033886659986E-3</v>
      </c>
      <c r="X521" s="24">
        <v>3.943500913517628E-2</v>
      </c>
      <c r="Y521" s="24">
        <f t="shared" si="60"/>
        <v>4.2270018943155296E-2</v>
      </c>
      <c r="Z521" s="23">
        <f t="shared" si="61"/>
        <v>3.4554905782457901E-3</v>
      </c>
      <c r="AA521" s="36"/>
    </row>
    <row r="522" spans="15:27" ht="13.9" customHeight="1" x14ac:dyDescent="0.3">
      <c r="O522" s="12">
        <f t="shared" si="55"/>
        <v>42.416666666666664</v>
      </c>
      <c r="P522" s="13">
        <v>509</v>
      </c>
      <c r="Q522" s="22">
        <v>3.3186154496233522E-2</v>
      </c>
      <c r="R522" s="19">
        <f t="shared" si="56"/>
        <v>3.1069494470916448E-2</v>
      </c>
      <c r="S522" s="22">
        <v>3.7050392182695457E-2</v>
      </c>
      <c r="T522" s="19">
        <f t="shared" si="57"/>
        <v>4.2140676316455572E-2</v>
      </c>
      <c r="U522" s="24">
        <v>4.0047570468229932E-2</v>
      </c>
      <c r="V522" s="24">
        <f t="shared" si="58"/>
        <v>4.231701704680213E-2</v>
      </c>
      <c r="W522" s="23">
        <f t="shared" si="59"/>
        <v>3.4593120603612082E-3</v>
      </c>
      <c r="X522" s="24">
        <v>3.9440571332074015E-2</v>
      </c>
      <c r="Y522" s="24">
        <f t="shared" si="60"/>
        <v>4.2276870091938923E-2</v>
      </c>
      <c r="Z522" s="23">
        <f t="shared" si="61"/>
        <v>3.4560454861094492E-3</v>
      </c>
      <c r="AA522" s="36"/>
    </row>
    <row r="523" spans="15:27" ht="13.9" customHeight="1" x14ac:dyDescent="0.3">
      <c r="O523" s="12">
        <f t="shared" si="55"/>
        <v>42.5</v>
      </c>
      <c r="P523" s="13">
        <v>510</v>
      </c>
      <c r="Q523" s="22">
        <v>3.3181999933679318E-2</v>
      </c>
      <c r="R523" s="19">
        <f t="shared" si="56"/>
        <v>3.1077030336543521E-2</v>
      </c>
      <c r="S523" s="22">
        <v>3.7060348764264006E-2</v>
      </c>
      <c r="T523" s="19">
        <f t="shared" si="57"/>
        <v>4.2149444554785642E-2</v>
      </c>
      <c r="U523" s="24">
        <v>4.0052015525061879E-2</v>
      </c>
      <c r="V523" s="24">
        <f t="shared" si="58"/>
        <v>4.2323241727207028E-2</v>
      </c>
      <c r="W523" s="23">
        <f t="shared" si="59"/>
        <v>3.4598160666474698E-3</v>
      </c>
      <c r="X523" s="24">
        <v>3.9446125143208555E-2</v>
      </c>
      <c r="Y523" s="24">
        <f t="shared" si="60"/>
        <v>4.2283656572187356E-2</v>
      </c>
      <c r="Z523" s="23">
        <f t="shared" si="61"/>
        <v>3.4565951522091964E-3</v>
      </c>
      <c r="AA523" s="36"/>
    </row>
    <row r="524" spans="15:27" ht="13.9" customHeight="1" x14ac:dyDescent="0.3">
      <c r="O524" s="12">
        <f t="shared" si="55"/>
        <v>42.583333333333336</v>
      </c>
      <c r="P524" s="13">
        <v>511</v>
      </c>
      <c r="Q524" s="22">
        <v>3.3177876425644737E-2</v>
      </c>
      <c r="R524" s="19">
        <f t="shared" si="56"/>
        <v>3.1084617678385218E-2</v>
      </c>
      <c r="S524" s="22">
        <v>3.707028354727826E-2</v>
      </c>
      <c r="T524" s="19">
        <f t="shared" si="57"/>
        <v>4.2158122773676476E-2</v>
      </c>
      <c r="U524" s="24">
        <v>4.0056455358213006E-2</v>
      </c>
      <c r="V524" s="24">
        <f t="shared" si="58"/>
        <v>4.2329409362529269E-2</v>
      </c>
      <c r="W524" s="23">
        <f t="shared" si="59"/>
        <v>3.4603154508283662E-3</v>
      </c>
      <c r="X524" s="24">
        <v>3.9451670491554847E-2</v>
      </c>
      <c r="Y524" s="24">
        <f t="shared" si="60"/>
        <v>4.2290379000259559E-2</v>
      </c>
      <c r="Z524" s="23">
        <f t="shared" si="61"/>
        <v>3.4571396267017995E-3</v>
      </c>
      <c r="AA524" s="36"/>
    </row>
    <row r="525" spans="15:27" ht="13.9" customHeight="1" x14ac:dyDescent="0.3">
      <c r="O525" s="12">
        <f t="shared" si="55"/>
        <v>42.666666666666664</v>
      </c>
      <c r="P525" s="13">
        <v>512</v>
      </c>
      <c r="Q525" s="22">
        <v>3.3173783890531938E-2</v>
      </c>
      <c r="R525" s="19">
        <f t="shared" si="56"/>
        <v>3.1092256360830239E-2</v>
      </c>
      <c r="S525" s="22">
        <v>3.7080196484291283E-2</v>
      </c>
      <c r="T525" s="19">
        <f t="shared" si="57"/>
        <v>4.2166711909487509E-2</v>
      </c>
      <c r="U525" s="24">
        <v>4.0060889887088891E-2</v>
      </c>
      <c r="V525" s="24">
        <f t="shared" si="58"/>
        <v>4.2335520480579758E-2</v>
      </c>
      <c r="W525" s="23">
        <f t="shared" si="59"/>
        <v>3.460810255786928E-3</v>
      </c>
      <c r="X525" s="24">
        <v>3.9457207301889952E-2</v>
      </c>
      <c r="Y525" s="24">
        <f t="shared" si="60"/>
        <v>4.2297037988574537E-2</v>
      </c>
      <c r="Z525" s="23">
        <f t="shared" si="61"/>
        <v>3.4576789591300727E-3</v>
      </c>
      <c r="AA525" s="36"/>
    </row>
    <row r="526" spans="15:27" ht="13.9" customHeight="1" x14ac:dyDescent="0.3">
      <c r="O526" s="12">
        <f t="shared" ref="O526:O589" si="62">P526/12</f>
        <v>42.75</v>
      </c>
      <c r="P526" s="13">
        <v>513</v>
      </c>
      <c r="Q526" s="22">
        <v>3.3169722247113453E-2</v>
      </c>
      <c r="R526" s="19">
        <f t="shared" ref="R526:R589" si="63">(1+Q527)^P527/(1+Q526)^P526-1</f>
        <v>3.1099946857042537E-2</v>
      </c>
      <c r="S526" s="22">
        <v>3.7090087530041504E-2</v>
      </c>
      <c r="T526" s="19">
        <f t="shared" ref="T526:T589" si="64">(1+S527)^P527/(1+S526)^P526-1</f>
        <v>4.2175212887033631E-2</v>
      </c>
      <c r="U526" s="24">
        <v>4.0065319032750679E-2</v>
      </c>
      <c r="V526" s="24">
        <f t="shared" ref="V526:V589" si="65">(1+U527)^P527/(1+U526)^P526-1</f>
        <v>4.2341575605270743E-2</v>
      </c>
      <c r="W526" s="23">
        <f t="shared" si="59"/>
        <v>3.4613005239414463E-3</v>
      </c>
      <c r="X526" s="24">
        <v>3.9462735500767954E-2</v>
      </c>
      <c r="Y526" s="24">
        <f t="shared" si="60"/>
        <v>4.2303634141558133E-2</v>
      </c>
      <c r="Z526" s="23">
        <f t="shared" si="61"/>
        <v>3.4582131987179743E-3</v>
      </c>
      <c r="AA526" s="36"/>
    </row>
    <row r="527" spans="15:27" ht="13.9" customHeight="1" x14ac:dyDescent="0.3">
      <c r="O527" s="12">
        <f t="shared" si="62"/>
        <v>42.833333333333336</v>
      </c>
      <c r="P527" s="13">
        <v>514</v>
      </c>
      <c r="Q527" s="22">
        <v>3.3165691415715459E-2</v>
      </c>
      <c r="R527" s="19">
        <f t="shared" si="63"/>
        <v>3.1107689646121761E-2</v>
      </c>
      <c r="S527" s="22">
        <v>3.7099956641408971E-2</v>
      </c>
      <c r="T527" s="19">
        <f t="shared" si="64"/>
        <v>4.2183626622027681E-2</v>
      </c>
      <c r="U527" s="24">
        <v>4.0069742717890877E-2</v>
      </c>
      <c r="V527" s="24">
        <f t="shared" si="65"/>
        <v>4.234757525543742E-2</v>
      </c>
      <c r="W527" s="23">
        <f t="shared" ref="W527:W590" si="66">(1+V526)^(1/12)-1</f>
        <v>3.461786297396019E-3</v>
      </c>
      <c r="X527" s="24">
        <v>3.9468255016487319E-2</v>
      </c>
      <c r="Y527" s="24">
        <f t="shared" ref="Y527:Y590" si="67">(1+X528)^P528/(1+X527)^P527-1</f>
        <v>4.2310168058693476E-2</v>
      </c>
      <c r="Z527" s="23">
        <f t="shared" ref="Z527:Z590" si="68">(1+Y526)^(1/12)-1</f>
        <v>3.4587423940470874E-3</v>
      </c>
      <c r="AA527" s="36"/>
    </row>
    <row r="528" spans="15:27" ht="13.9" customHeight="1" x14ac:dyDescent="0.3">
      <c r="O528" s="12">
        <f t="shared" si="62"/>
        <v>42.916666666666664</v>
      </c>
      <c r="P528" s="13">
        <v>515</v>
      </c>
      <c r="Q528" s="22">
        <v>3.3161691318213782E-2</v>
      </c>
      <c r="R528" s="19">
        <f t="shared" si="63"/>
        <v>3.1115485210549743E-2</v>
      </c>
      <c r="S528" s="22">
        <v>3.7109803777377381E-2</v>
      </c>
      <c r="T528" s="19">
        <f t="shared" si="64"/>
        <v>4.2191954020517342E-2</v>
      </c>
      <c r="U528" s="24">
        <v>4.0074160866807595E-2</v>
      </c>
      <c r="V528" s="24">
        <f t="shared" si="65"/>
        <v>4.2353519944100526E-2</v>
      </c>
      <c r="W528" s="23">
        <f t="shared" si="66"/>
        <v>3.4622676178457379E-3</v>
      </c>
      <c r="X528" s="24">
        <v>3.9473765779064252E-2</v>
      </c>
      <c r="Y528" s="24">
        <f t="shared" si="67"/>
        <v>4.2316640334329358E-2</v>
      </c>
      <c r="Z528" s="23">
        <f t="shared" si="68"/>
        <v>3.4592665932999811E-3</v>
      </c>
      <c r="AA528" s="36"/>
    </row>
    <row r="529" spans="15:27" ht="13.9" customHeight="1" x14ac:dyDescent="0.3">
      <c r="O529" s="12">
        <f t="shared" si="62"/>
        <v>43</v>
      </c>
      <c r="P529" s="13">
        <v>516</v>
      </c>
      <c r="Q529" s="22">
        <v>3.3157721878025681E-2</v>
      </c>
      <c r="R529" s="19">
        <f t="shared" si="63"/>
        <v>3.1123333439162959E-2</v>
      </c>
      <c r="S529" s="22">
        <v>3.7119628898994561E-2</v>
      </c>
      <c r="T529" s="19">
        <f t="shared" si="64"/>
        <v>4.2200195978160604E-2</v>
      </c>
      <c r="U529" s="24">
        <v>4.0078573405378348E-2</v>
      </c>
      <c r="V529" s="24">
        <f t="shared" si="65"/>
        <v>4.2359410180247803E-2</v>
      </c>
      <c r="W529" s="23">
        <f t="shared" si="66"/>
        <v>3.4627445265176249E-3</v>
      </c>
      <c r="X529" s="24">
        <v>3.9479267720205824E-2</v>
      </c>
      <c r="Y529" s="24">
        <f t="shared" si="67"/>
        <v>4.2323051555127611E-2</v>
      </c>
      <c r="Z529" s="23">
        <f t="shared" si="68"/>
        <v>3.4597858442451113E-3</v>
      </c>
      <c r="AA529" s="36"/>
    </row>
    <row r="530" spans="15:27" ht="13.9" customHeight="1" x14ac:dyDescent="0.3">
      <c r="O530" s="12">
        <f t="shared" si="62"/>
        <v>43.083333333333336</v>
      </c>
      <c r="P530" s="13">
        <v>517</v>
      </c>
      <c r="Q530" s="22">
        <v>3.3153783018944338E-2</v>
      </c>
      <c r="R530" s="19">
        <f t="shared" si="63"/>
        <v>3.1131232437391132E-2</v>
      </c>
      <c r="S530" s="22">
        <v>3.712943196933316E-2</v>
      </c>
      <c r="T530" s="19">
        <f t="shared" si="64"/>
        <v>4.2208353382322539E-2</v>
      </c>
      <c r="U530" s="24">
        <v>4.0082980261036294E-2</v>
      </c>
      <c r="V530" s="24">
        <f t="shared" si="65"/>
        <v>4.2365246468198281E-2</v>
      </c>
      <c r="W530" s="23">
        <f t="shared" si="66"/>
        <v>3.4632170643138505E-3</v>
      </c>
      <c r="X530" s="24">
        <v>3.9484760773279559E-2</v>
      </c>
      <c r="Y530" s="24">
        <f t="shared" si="67"/>
        <v>4.232940230433524E-2</v>
      </c>
      <c r="Z530" s="23">
        <f t="shared" si="68"/>
        <v>3.4603001940327616E-3</v>
      </c>
      <c r="AA530" s="36"/>
    </row>
    <row r="531" spans="15:27" ht="13.9" customHeight="1" x14ac:dyDescent="0.3">
      <c r="O531" s="12">
        <f t="shared" si="62"/>
        <v>43.166666666666664</v>
      </c>
      <c r="P531" s="13">
        <v>518</v>
      </c>
      <c r="Q531" s="22">
        <v>3.3149874661685841E-2</v>
      </c>
      <c r="R531" s="19">
        <f t="shared" si="63"/>
        <v>3.1139182105402119E-2</v>
      </c>
      <c r="S531" s="22">
        <v>3.7139212953454459E-2</v>
      </c>
      <c r="T531" s="19">
        <f t="shared" si="64"/>
        <v>4.2216427109885268E-2</v>
      </c>
      <c r="U531" s="24">
        <v>4.0087381362746477E-2</v>
      </c>
      <c r="V531" s="24">
        <f t="shared" si="65"/>
        <v>4.2371029306564001E-2</v>
      </c>
      <c r="W531" s="23">
        <f t="shared" si="66"/>
        <v>3.4636852717602196E-3</v>
      </c>
      <c r="X531" s="24">
        <v>3.949024487328967E-2</v>
      </c>
      <c r="Y531" s="24">
        <f t="shared" si="67"/>
        <v>4.2335693157081522E-2</v>
      </c>
      <c r="Z531" s="23">
        <f t="shared" si="68"/>
        <v>3.4608096895374363E-3</v>
      </c>
      <c r="AA531" s="36"/>
    </row>
    <row r="532" spans="15:27" ht="13.9" customHeight="1" x14ac:dyDescent="0.3">
      <c r="O532" s="12">
        <f t="shared" si="62"/>
        <v>43.25</v>
      </c>
      <c r="P532" s="13">
        <v>519</v>
      </c>
      <c r="Q532" s="22">
        <v>3.3145996727383054E-2</v>
      </c>
      <c r="R532" s="19">
        <f t="shared" si="63"/>
        <v>3.114718294217389E-2</v>
      </c>
      <c r="S532" s="22">
        <v>3.7148971818369514E-2</v>
      </c>
      <c r="T532" s="19">
        <f t="shared" si="64"/>
        <v>4.2224418029381372E-2</v>
      </c>
      <c r="U532" s="24">
        <v>4.0091776640980514E-2</v>
      </c>
      <c r="V532" s="24">
        <f t="shared" si="65"/>
        <v>4.2376759190662971E-2</v>
      </c>
      <c r="W532" s="23">
        <f t="shared" si="66"/>
        <v>3.464149188923793E-3</v>
      </c>
      <c r="X532" s="24">
        <v>3.9495719956846864E-2</v>
      </c>
      <c r="Y532" s="24">
        <f t="shared" si="67"/>
        <v>4.2341924685584509E-2</v>
      </c>
      <c r="Z532" s="23">
        <f t="shared" si="68"/>
        <v>3.4613143769803845E-3</v>
      </c>
      <c r="AA532" s="36"/>
    </row>
    <row r="533" spans="15:27" ht="13.9" customHeight="1" x14ac:dyDescent="0.3">
      <c r="O533" s="12">
        <f t="shared" si="62"/>
        <v>43.333333333333336</v>
      </c>
      <c r="P533" s="13">
        <v>520</v>
      </c>
      <c r="Q533" s="22">
        <v>3.3142149138736254E-2</v>
      </c>
      <c r="R533" s="19">
        <f t="shared" si="63"/>
        <v>3.1155235451552965E-2</v>
      </c>
      <c r="S533" s="22">
        <v>3.7158708533004514E-2</v>
      </c>
      <c r="T533" s="19">
        <f t="shared" si="64"/>
        <v>4.2232326998896896E-2</v>
      </c>
      <c r="U533" s="24">
        <v>4.0096166027694835E-2</v>
      </c>
      <c r="V533" s="24">
        <f t="shared" si="65"/>
        <v>4.2382436609228469E-2</v>
      </c>
      <c r="W533" s="23">
        <f t="shared" si="66"/>
        <v>3.464608855605622E-3</v>
      </c>
      <c r="X533" s="24">
        <v>3.9501185962146579E-2</v>
      </c>
      <c r="Y533" s="24">
        <f t="shared" si="67"/>
        <v>4.2348097453950295E-2</v>
      </c>
      <c r="Z533" s="23">
        <f t="shared" si="68"/>
        <v>3.4618143023472658E-3</v>
      </c>
      <c r="AA533" s="36"/>
    </row>
    <row r="534" spans="15:27" ht="13.9" customHeight="1" x14ac:dyDescent="0.3">
      <c r="O534" s="12">
        <f t="shared" si="62"/>
        <v>43.416666666666664</v>
      </c>
      <c r="P534" s="13">
        <v>521</v>
      </c>
      <c r="Q534" s="22">
        <v>3.3138331820006917E-2</v>
      </c>
      <c r="R534" s="19">
        <f t="shared" si="63"/>
        <v>3.1163340141095119E-2</v>
      </c>
      <c r="S534" s="22">
        <v>3.7168423068162149E-2</v>
      </c>
      <c r="T534" s="19">
        <f t="shared" si="64"/>
        <v>4.2240154868706359E-2</v>
      </c>
      <c r="U534" s="24">
        <v>4.0100549456304702E-2</v>
      </c>
      <c r="V534" s="24">
        <f t="shared" si="65"/>
        <v>4.2388062048491104E-2</v>
      </c>
      <c r="W534" s="23">
        <f t="shared" si="66"/>
        <v>3.4650643110769597E-3</v>
      </c>
      <c r="X534" s="24">
        <v>3.9506642828938343E-2</v>
      </c>
      <c r="Y534" s="24">
        <f t="shared" si="67"/>
        <v>4.2354212022525761E-2</v>
      </c>
      <c r="Z534" s="23">
        <f t="shared" si="68"/>
        <v>3.4623095109720392E-3</v>
      </c>
      <c r="AA534" s="36"/>
    </row>
    <row r="535" spans="15:27" ht="13.9" customHeight="1" x14ac:dyDescent="0.3">
      <c r="O535" s="12">
        <f t="shared" si="62"/>
        <v>43.5</v>
      </c>
      <c r="P535" s="13">
        <v>522</v>
      </c>
      <c r="Q535" s="22">
        <v>3.3134544697009938E-2</v>
      </c>
      <c r="R535" s="19">
        <f t="shared" si="63"/>
        <v>3.1171496935323173E-2</v>
      </c>
      <c r="S535" s="22">
        <v>3.7178115396488964E-2</v>
      </c>
      <c r="T535" s="19">
        <f t="shared" si="64"/>
        <v>4.2247902479335409E-2</v>
      </c>
      <c r="U535" s="24">
        <v>4.0104926861665113E-2</v>
      </c>
      <c r="V535" s="24">
        <f t="shared" si="65"/>
        <v>4.2393635988490885E-2</v>
      </c>
      <c r="W535" s="23">
        <f t="shared" si="66"/>
        <v>3.4655155944072202E-3</v>
      </c>
      <c r="X535" s="24">
        <v>3.9512090498504016E-2</v>
      </c>
      <c r="Y535" s="24">
        <f t="shared" si="67"/>
        <v>4.2360268945467405E-2</v>
      </c>
      <c r="Z535" s="23">
        <f t="shared" si="68"/>
        <v>3.4628000478842402E-3</v>
      </c>
      <c r="AA535" s="36"/>
    </row>
    <row r="536" spans="15:27" ht="13.9" customHeight="1" x14ac:dyDescent="0.3">
      <c r="O536" s="12">
        <f t="shared" si="62"/>
        <v>43.583333333333336</v>
      </c>
      <c r="P536" s="13">
        <v>523</v>
      </c>
      <c r="Q536" s="22">
        <v>3.3130787695981878E-2</v>
      </c>
      <c r="R536" s="19">
        <f t="shared" si="63"/>
        <v>3.1179704006457643E-2</v>
      </c>
      <c r="S536" s="22">
        <v>3.7187785492439396E-2</v>
      </c>
      <c r="T536" s="19">
        <f t="shared" si="64"/>
        <v>4.2255570662290243E-2</v>
      </c>
      <c r="U536" s="24">
        <v>4.0109298180044828E-2</v>
      </c>
      <c r="V536" s="24">
        <f t="shared" si="65"/>
        <v>4.2399158905489287E-2</v>
      </c>
      <c r="W536" s="23">
        <f t="shared" si="66"/>
        <v>3.4659627441677721E-3</v>
      </c>
      <c r="X536" s="24">
        <v>3.9517528913630917E-2</v>
      </c>
      <c r="Y536" s="24">
        <f t="shared" si="67"/>
        <v>4.2366268771825144E-2</v>
      </c>
      <c r="Z536" s="23">
        <f t="shared" si="68"/>
        <v>3.4632859576162467E-3</v>
      </c>
      <c r="AA536" s="36"/>
    </row>
    <row r="537" spans="15:27" ht="13.9" customHeight="1" x14ac:dyDescent="0.3">
      <c r="O537" s="12">
        <f t="shared" si="62"/>
        <v>43.666666666666664</v>
      </c>
      <c r="P537" s="13">
        <v>524</v>
      </c>
      <c r="Q537" s="22">
        <v>3.3127060740226533E-2</v>
      </c>
      <c r="R537" s="19">
        <f t="shared" si="63"/>
        <v>3.1187961289459887E-2</v>
      </c>
      <c r="S537" s="22">
        <v>3.7197433332240903E-2</v>
      </c>
      <c r="T537" s="19">
        <f t="shared" si="64"/>
        <v>4.2263160241332809E-2</v>
      </c>
      <c r="U537" s="24">
        <v>4.0113663349106599E-2</v>
      </c>
      <c r="V537" s="24">
        <f t="shared" si="65"/>
        <v>4.2404631271424131E-2</v>
      </c>
      <c r="W537" s="23">
        <f t="shared" si="66"/>
        <v>3.4664057986253383E-3</v>
      </c>
      <c r="X537" s="24">
        <v>3.952295801858785E-2</v>
      </c>
      <c r="Y537" s="24">
        <f t="shared" si="67"/>
        <v>4.2372212045261648E-2</v>
      </c>
      <c r="Z537" s="23">
        <f t="shared" si="68"/>
        <v>3.4637672842878775E-3</v>
      </c>
      <c r="AA537" s="36"/>
    </row>
    <row r="538" spans="15:27" ht="13.9" customHeight="1" x14ac:dyDescent="0.3">
      <c r="O538" s="12">
        <f t="shared" si="62"/>
        <v>43.75</v>
      </c>
      <c r="P538" s="13">
        <v>525</v>
      </c>
      <c r="Q538" s="22">
        <v>3.3123363753506441E-2</v>
      </c>
      <c r="R538" s="19">
        <f t="shared" si="63"/>
        <v>3.1196269308832569E-2</v>
      </c>
      <c r="S538" s="22">
        <v>3.7207058893862666E-2</v>
      </c>
      <c r="T538" s="19">
        <f t="shared" si="64"/>
        <v>4.2270672029765866E-2</v>
      </c>
      <c r="U538" s="24">
        <v>4.0118022307884527E-2</v>
      </c>
      <c r="V538" s="24">
        <f t="shared" si="65"/>
        <v>4.2410053552846438E-2</v>
      </c>
      <c r="W538" s="23">
        <f t="shared" si="66"/>
        <v>3.4668447956989201E-3</v>
      </c>
      <c r="X538" s="24">
        <v>3.9528377759100897E-2</v>
      </c>
      <c r="Y538" s="24">
        <f t="shared" si="67"/>
        <v>4.2378099303415073E-2</v>
      </c>
      <c r="Z538" s="23">
        <f t="shared" si="68"/>
        <v>3.4642440715864087E-3</v>
      </c>
      <c r="AA538" s="36"/>
    </row>
    <row r="539" spans="15:27" ht="13.9" customHeight="1" x14ac:dyDescent="0.3">
      <c r="O539" s="12">
        <f t="shared" si="62"/>
        <v>43.833333333333336</v>
      </c>
      <c r="P539" s="13">
        <v>526</v>
      </c>
      <c r="Q539" s="22">
        <v>3.3119696661162434E-2</v>
      </c>
      <c r="R539" s="19">
        <f t="shared" si="63"/>
        <v>3.1204628593020312E-2</v>
      </c>
      <c r="S539" s="22">
        <v>3.7216662156979385E-2</v>
      </c>
      <c r="T539" s="19">
        <f t="shared" si="64"/>
        <v>4.2278106834416684E-2</v>
      </c>
      <c r="U539" s="24">
        <v>4.0122374996761856E-2</v>
      </c>
      <c r="V539" s="24">
        <f t="shared" si="65"/>
        <v>4.2415426213023633E-2</v>
      </c>
      <c r="W539" s="23">
        <f t="shared" si="66"/>
        <v>3.4672797728736438E-3</v>
      </c>
      <c r="X539" s="24">
        <v>3.9533788082328325E-2</v>
      </c>
      <c r="Y539" s="24">
        <f t="shared" si="67"/>
        <v>4.2383931080540505E-2</v>
      </c>
      <c r="Z539" s="23">
        <f t="shared" si="68"/>
        <v>3.4647163627132826E-3</v>
      </c>
      <c r="AA539" s="36"/>
    </row>
    <row r="540" spans="15:27" ht="13.9" customHeight="1" x14ac:dyDescent="0.3">
      <c r="O540" s="12">
        <f t="shared" si="62"/>
        <v>43.916666666666664</v>
      </c>
      <c r="P540" s="13">
        <v>527</v>
      </c>
      <c r="Q540" s="22">
        <v>3.3116059390105201E-2</v>
      </c>
      <c r="R540" s="19">
        <f t="shared" si="63"/>
        <v>3.1213039674251597E-2</v>
      </c>
      <c r="S540" s="22">
        <v>3.7226243102942647E-2</v>
      </c>
      <c r="T540" s="19">
        <f t="shared" si="64"/>
        <v>4.2285465451466164E-2</v>
      </c>
      <c r="U540" s="24">
        <v>4.0126721357451212E-2</v>
      </c>
      <c r="V540" s="24">
        <f t="shared" si="65"/>
        <v>4.2420749710149419E-2</v>
      </c>
      <c r="W540" s="23">
        <f t="shared" si="66"/>
        <v>3.4677107673706242E-3</v>
      </c>
      <c r="X540" s="24">
        <v>3.953918893683972E-2</v>
      </c>
      <c r="Y540" s="24">
        <f t="shared" si="67"/>
        <v>4.2389707903709217E-2</v>
      </c>
      <c r="Z540" s="23">
        <f t="shared" si="68"/>
        <v>3.4651842005974931E-3</v>
      </c>
      <c r="AA540" s="36"/>
    </row>
    <row r="541" spans="15:27" ht="13.9" customHeight="1" x14ac:dyDescent="0.3">
      <c r="O541" s="12">
        <f t="shared" si="62"/>
        <v>44</v>
      </c>
      <c r="P541" s="13">
        <v>528</v>
      </c>
      <c r="Q541" s="22">
        <v>3.3112451868807735E-2</v>
      </c>
      <c r="R541" s="19">
        <f t="shared" si="63"/>
        <v>3.122150251335043E-2</v>
      </c>
      <c r="S541" s="22">
        <v>3.7235801714745387E-2</v>
      </c>
      <c r="T541" s="19">
        <f t="shared" si="64"/>
        <v>4.2292748670266223E-2</v>
      </c>
      <c r="U541" s="24">
        <v>4.0131061332972617E-2</v>
      </c>
      <c r="V541" s="24">
        <f t="shared" si="65"/>
        <v>4.2426024498628978E-2</v>
      </c>
      <c r="W541" s="23">
        <f t="shared" si="66"/>
        <v>3.4681378160017484E-3</v>
      </c>
      <c r="X541" s="24">
        <v>3.9544580272590224E-2</v>
      </c>
      <c r="Y541" s="24">
        <f t="shared" si="67"/>
        <v>4.2395430296051417E-2</v>
      </c>
      <c r="Z541" s="23">
        <f t="shared" si="68"/>
        <v>3.4656476275898296E-3</v>
      </c>
      <c r="AA541" s="36"/>
    </row>
    <row r="542" spans="15:27" ht="13.9" customHeight="1" x14ac:dyDescent="0.3">
      <c r="O542" s="12">
        <f t="shared" si="62"/>
        <v>44.083333333333336</v>
      </c>
      <c r="P542" s="13">
        <v>529</v>
      </c>
      <c r="Q542" s="22">
        <v>3.3108874026208657E-2</v>
      </c>
      <c r="R542" s="19">
        <f t="shared" si="63"/>
        <v>3.1230015346344731E-2</v>
      </c>
      <c r="S542" s="22">
        <v>3.7245337976992809E-2</v>
      </c>
      <c r="T542" s="19">
        <f t="shared" si="64"/>
        <v>4.229995727093705E-2</v>
      </c>
      <c r="U542" s="24">
        <v>4.0135394867634178E-2</v>
      </c>
      <c r="V542" s="24">
        <f t="shared" si="65"/>
        <v>4.2431251027831962E-2</v>
      </c>
      <c r="W542" s="23">
        <f t="shared" si="66"/>
        <v>3.4685609552744801E-3</v>
      </c>
      <c r="X542" s="24">
        <v>3.9549962040899223E-2</v>
      </c>
      <c r="Y542" s="24">
        <f t="shared" si="67"/>
        <v>4.2401098775392665E-2</v>
      </c>
      <c r="Z542" s="23">
        <f t="shared" si="68"/>
        <v>3.4661066857237799E-3</v>
      </c>
      <c r="AA542" s="36"/>
    </row>
    <row r="543" spans="15:27" ht="13.9" customHeight="1" x14ac:dyDescent="0.3">
      <c r="O543" s="12">
        <f t="shared" si="62"/>
        <v>44.166666666666664</v>
      </c>
      <c r="P543" s="13">
        <v>530</v>
      </c>
      <c r="Q543" s="22">
        <v>3.3105325788447271E-2</v>
      </c>
      <c r="R543" s="19">
        <f t="shared" si="63"/>
        <v>3.1238578144121343E-2</v>
      </c>
      <c r="S543" s="22">
        <v>3.7254851875870632E-2</v>
      </c>
      <c r="T543" s="19">
        <f t="shared" si="64"/>
        <v>4.2307092025801296E-2</v>
      </c>
      <c r="U543" s="24">
        <v>4.0139721907010317E-2</v>
      </c>
      <c r="V543" s="24">
        <f t="shared" si="65"/>
        <v>4.2436429743577309E-2</v>
      </c>
      <c r="W543" s="23">
        <f t="shared" si="66"/>
        <v>3.4689802212914955E-3</v>
      </c>
      <c r="X543" s="24">
        <v>3.9555334194427472E-2</v>
      </c>
      <c r="Y543" s="24">
        <f t="shared" si="67"/>
        <v>4.2406713854059364E-2</v>
      </c>
      <c r="Z543" s="23">
        <f t="shared" si="68"/>
        <v>3.466561416605618E-3</v>
      </c>
      <c r="AA543" s="36"/>
    </row>
    <row r="544" spans="15:27" ht="13.9" customHeight="1" x14ac:dyDescent="0.3">
      <c r="O544" s="12">
        <f t="shared" si="62"/>
        <v>44.25</v>
      </c>
      <c r="P544" s="13">
        <v>531</v>
      </c>
      <c r="Q544" s="22">
        <v>3.310180708216337E-2</v>
      </c>
      <c r="R544" s="19">
        <f t="shared" si="63"/>
        <v>3.1247191455619827E-2</v>
      </c>
      <c r="S544" s="22">
        <v>3.7264343399115107E-2</v>
      </c>
      <c r="T544" s="19">
        <f t="shared" si="64"/>
        <v>4.2314153698934431E-2</v>
      </c>
      <c r="U544" s="24">
        <v>4.014404239792313E-2</v>
      </c>
      <c r="V544" s="24">
        <f t="shared" si="65"/>
        <v>4.2441561087777746E-2</v>
      </c>
      <c r="W544" s="23">
        <f t="shared" si="66"/>
        <v>3.4693956498685896E-3</v>
      </c>
      <c r="X544" s="24">
        <v>3.9560696687154673E-2</v>
      </c>
      <c r="Y544" s="24">
        <f t="shared" si="67"/>
        <v>4.2412276040445507E-2</v>
      </c>
      <c r="Z544" s="23">
        <f t="shared" si="68"/>
        <v>3.467011861398861E-3</v>
      </c>
      <c r="AA544" s="36"/>
    </row>
    <row r="545" spans="15:27" ht="13.9" customHeight="1" x14ac:dyDescent="0.3">
      <c r="O545" s="12">
        <f t="shared" si="62"/>
        <v>44.333333333333336</v>
      </c>
      <c r="P545" s="13">
        <v>532</v>
      </c>
      <c r="Q545" s="22">
        <v>3.3098317835580815E-2</v>
      </c>
      <c r="R545" s="19">
        <f t="shared" si="63"/>
        <v>3.1255855834203983E-2</v>
      </c>
      <c r="S545" s="22">
        <v>3.7273812535983497E-2</v>
      </c>
      <c r="T545" s="19">
        <f t="shared" si="64"/>
        <v>4.2321143046378351E-2</v>
      </c>
      <c r="U545" s="24">
        <v>4.0148356288423281E-2</v>
      </c>
      <c r="V545" s="24">
        <f t="shared" si="65"/>
        <v>4.2446645496956759E-2</v>
      </c>
      <c r="W545" s="23">
        <f t="shared" si="66"/>
        <v>3.469807276507364E-3</v>
      </c>
      <c r="X545" s="24">
        <v>3.9566049474359266E-2</v>
      </c>
      <c r="Y545" s="24">
        <f t="shared" si="67"/>
        <v>4.2417785837175925E-2</v>
      </c>
      <c r="Z545" s="23">
        <f t="shared" si="68"/>
        <v>3.4674580609506123E-3</v>
      </c>
      <c r="AA545" s="36"/>
    </row>
    <row r="546" spans="15:27" ht="13.9" customHeight="1" x14ac:dyDescent="0.3">
      <c r="O546" s="12">
        <f t="shared" si="62"/>
        <v>44.416666666666664</v>
      </c>
      <c r="P546" s="13">
        <v>533</v>
      </c>
      <c r="Q546" s="22">
        <v>3.3094857978501091E-2</v>
      </c>
      <c r="R546" s="19">
        <f t="shared" si="63"/>
        <v>3.1264571837247734E-2</v>
      </c>
      <c r="S546" s="22">
        <v>3.728325927722409E-2</v>
      </c>
      <c r="T546" s="19">
        <f t="shared" si="64"/>
        <v>4.2328060815993052E-2</v>
      </c>
      <c r="U546" s="24">
        <v>4.0152663527768473E-2</v>
      </c>
      <c r="V546" s="24">
        <f t="shared" si="65"/>
        <v>4.2451683404618024E-2</v>
      </c>
      <c r="W546" s="23">
        <f t="shared" si="66"/>
        <v>3.4702151362766553E-3</v>
      </c>
      <c r="X546" s="24">
        <v>3.957139251259556E-2</v>
      </c>
      <c r="Y546" s="24">
        <f t="shared" si="67"/>
        <v>4.2423243741921857E-2</v>
      </c>
      <c r="Z546" s="23">
        <f t="shared" si="68"/>
        <v>3.467900055643458E-3</v>
      </c>
      <c r="AA546" s="36"/>
    </row>
    <row r="547" spans="15:27" ht="13.9" customHeight="1" x14ac:dyDescent="0.3">
      <c r="O547" s="12">
        <f t="shared" si="62"/>
        <v>44.5</v>
      </c>
      <c r="P547" s="13">
        <v>534</v>
      </c>
      <c r="Q547" s="22">
        <v>3.3091427442295762E-2</v>
      </c>
      <c r="R547" s="19">
        <f t="shared" si="63"/>
        <v>3.1273339458501415E-2</v>
      </c>
      <c r="S547" s="22">
        <v>3.7292683615047784E-2</v>
      </c>
      <c r="T547" s="19">
        <f t="shared" si="64"/>
        <v>4.2334907747820116E-2</v>
      </c>
      <c r="U547" s="24">
        <v>4.0156964066406564E-2</v>
      </c>
      <c r="V547" s="24">
        <f t="shared" si="65"/>
        <v>4.2456675239771036E-2</v>
      </c>
      <c r="W547" s="23">
        <f t="shared" si="66"/>
        <v>3.4706192640008293E-3</v>
      </c>
      <c r="X547" s="24">
        <v>3.9576725759672415E-2</v>
      </c>
      <c r="Y547" s="24">
        <f t="shared" si="67"/>
        <v>4.2428650248224731E-2</v>
      </c>
      <c r="Z547" s="23">
        <f t="shared" si="68"/>
        <v>3.4683378854614144E-3</v>
      </c>
      <c r="AA547" s="36"/>
    </row>
    <row r="548" spans="15:27" ht="13.9" customHeight="1" x14ac:dyDescent="0.3">
      <c r="O548" s="12">
        <f t="shared" si="62"/>
        <v>44.583333333333336</v>
      </c>
      <c r="P548" s="13">
        <v>535</v>
      </c>
      <c r="Q548" s="22">
        <v>3.3088026158836881E-2</v>
      </c>
      <c r="R548" s="19">
        <f t="shared" si="63"/>
        <v>3.1282157001044419E-2</v>
      </c>
      <c r="S548" s="22">
        <v>3.7302085543099217E-2</v>
      </c>
      <c r="T548" s="19">
        <f t="shared" si="64"/>
        <v>4.2341684574628058E-2</v>
      </c>
      <c r="U548" s="24">
        <v>4.0161257855955812E-2</v>
      </c>
      <c r="V548" s="24">
        <f t="shared" si="65"/>
        <v>4.2461621427677843E-2</v>
      </c>
      <c r="W548" s="23">
        <f t="shared" si="66"/>
        <v>3.4710196941438731E-3</v>
      </c>
      <c r="X548" s="24">
        <v>3.9582049174634149E-2</v>
      </c>
      <c r="Y548" s="24">
        <f t="shared" si="67"/>
        <v>4.2434005844254719E-2</v>
      </c>
      <c r="Z548" s="23">
        <f t="shared" si="68"/>
        <v>3.4687715900554306E-3</v>
      </c>
      <c r="AA548" s="36"/>
    </row>
    <row r="549" spans="15:27" ht="13.9" customHeight="1" x14ac:dyDescent="0.3">
      <c r="O549" s="12">
        <f t="shared" si="62"/>
        <v>44.666666666666664</v>
      </c>
      <c r="P549" s="13">
        <v>536</v>
      </c>
      <c r="Q549" s="22">
        <v>3.3084654057331742E-2</v>
      </c>
      <c r="R549" s="19">
        <f t="shared" si="63"/>
        <v>3.1291024468627082E-2</v>
      </c>
      <c r="S549" s="22">
        <v>3.7311465056430793E-2</v>
      </c>
      <c r="T549" s="19">
        <f t="shared" si="64"/>
        <v>4.2348392020489012E-2</v>
      </c>
      <c r="U549" s="24">
        <v>4.0165544849187329E-2</v>
      </c>
      <c r="V549" s="24">
        <f t="shared" si="65"/>
        <v>4.2466522389267292E-2</v>
      </c>
      <c r="W549" s="23">
        <f t="shared" si="66"/>
        <v>3.4714164608669051E-3</v>
      </c>
      <c r="X549" s="24">
        <v>3.9587362717738772E-2</v>
      </c>
      <c r="Y549" s="24">
        <f t="shared" si="67"/>
        <v>4.2439311013839909E-2</v>
      </c>
      <c r="Z549" s="23">
        <f t="shared" si="68"/>
        <v>3.469201208644801E-3</v>
      </c>
      <c r="AA549" s="36"/>
    </row>
    <row r="550" spans="15:27" ht="13.9" customHeight="1" x14ac:dyDescent="0.3">
      <c r="O550" s="12">
        <f t="shared" si="62"/>
        <v>44.75</v>
      </c>
      <c r="P550" s="13">
        <v>537</v>
      </c>
      <c r="Q550" s="22">
        <v>3.3081311067521435E-2</v>
      </c>
      <c r="R550" s="19">
        <f t="shared" si="63"/>
        <v>3.1299942435525141E-2</v>
      </c>
      <c r="S550" s="22">
        <v>3.7320822151472255E-2</v>
      </c>
      <c r="T550" s="19">
        <f t="shared" si="64"/>
        <v>4.2355030802863736E-2</v>
      </c>
      <c r="U550" s="24">
        <v>4.0169825000005988E-2</v>
      </c>
      <c r="V550" s="24">
        <f t="shared" si="65"/>
        <v>4.2471378541744098E-2</v>
      </c>
      <c r="W550" s="23">
        <f t="shared" si="66"/>
        <v>3.4718095979835439E-3</v>
      </c>
      <c r="X550" s="24">
        <v>3.9592666350438455E-2</v>
      </c>
      <c r="Y550" s="24">
        <f t="shared" si="67"/>
        <v>4.2444566236100822E-2</v>
      </c>
      <c r="Z550" s="23">
        <f t="shared" si="68"/>
        <v>3.4696267800988778E-3</v>
      </c>
      <c r="AA550" s="36"/>
    </row>
    <row r="551" spans="15:27" ht="13.9" customHeight="1" x14ac:dyDescent="0.3">
      <c r="O551" s="12">
        <f t="shared" si="62"/>
        <v>44.833333333333336</v>
      </c>
      <c r="P551" s="13">
        <v>538</v>
      </c>
      <c r="Q551" s="22">
        <v>3.3077997120737113E-2</v>
      </c>
      <c r="R551" s="19">
        <f t="shared" si="63"/>
        <v>3.1308911479632773E-2</v>
      </c>
      <c r="S551" s="22">
        <v>3.7330156826006711E-2</v>
      </c>
      <c r="T551" s="19">
        <f t="shared" si="64"/>
        <v>4.2361601630884538E-2</v>
      </c>
      <c r="U551" s="24">
        <v>4.0174098263432878E-2</v>
      </c>
      <c r="V551" s="24">
        <f t="shared" si="65"/>
        <v>4.2476190298184724E-2</v>
      </c>
      <c r="W551" s="23">
        <f t="shared" si="66"/>
        <v>3.4721991390067597E-3</v>
      </c>
      <c r="X551" s="24">
        <v>3.959796003535998E-2</v>
      </c>
      <c r="Y551" s="24">
        <f t="shared" si="67"/>
        <v>4.2449771984776952E-2</v>
      </c>
      <c r="Z551" s="23">
        <f t="shared" si="68"/>
        <v>3.4700483429084272E-3</v>
      </c>
      <c r="AA551" s="36"/>
    </row>
    <row r="552" spans="15:27" ht="13.9" customHeight="1" x14ac:dyDescent="0.3">
      <c r="O552" s="12">
        <f t="shared" si="62"/>
        <v>44.916666666666664</v>
      </c>
      <c r="P552" s="13">
        <v>539</v>
      </c>
      <c r="Q552" s="22">
        <v>3.3074712149892216E-2</v>
      </c>
      <c r="R552" s="19">
        <f t="shared" si="63"/>
        <v>3.1317932182380659E-2</v>
      </c>
      <c r="S552" s="22">
        <v>3.7339469079142207E-2</v>
      </c>
      <c r="T552" s="19">
        <f t="shared" si="64"/>
        <v>4.2368105206735285E-2</v>
      </c>
      <c r="U552" s="24">
        <v>4.017836459558799E-2</v>
      </c>
      <c r="V552" s="24">
        <f t="shared" si="65"/>
        <v>4.2480958067782959E-2</v>
      </c>
      <c r="W552" s="23">
        <f t="shared" si="66"/>
        <v>3.4725851171177879E-3</v>
      </c>
      <c r="X552" s="24">
        <v>3.9603243736284099E-2</v>
      </c>
      <c r="Y552" s="24">
        <f t="shared" si="67"/>
        <v>4.2454928730660813E-2</v>
      </c>
      <c r="Z552" s="23">
        <f t="shared" si="68"/>
        <v>3.4704659351310063E-3</v>
      </c>
      <c r="AA552" s="36"/>
    </row>
    <row r="553" spans="15:27" ht="13.9" customHeight="1" x14ac:dyDescent="0.3">
      <c r="O553" s="12">
        <f t="shared" si="62"/>
        <v>45</v>
      </c>
      <c r="P553" s="13">
        <v>540</v>
      </c>
      <c r="Q553" s="22">
        <v>3.3071456089474927E-2</v>
      </c>
      <c r="R553" s="19">
        <f t="shared" si="63"/>
        <v>3.1327004573461492E-2</v>
      </c>
      <c r="S553" s="22">
        <v>3.7348758911287083E-2</v>
      </c>
      <c r="T553" s="19">
        <f t="shared" si="64"/>
        <v>4.2374542224864253E-2</v>
      </c>
      <c r="U553" s="24">
        <v>4.0182623953671781E-2</v>
      </c>
      <c r="V553" s="24">
        <f t="shared" si="65"/>
        <v>4.2485682256714341E-2</v>
      </c>
      <c r="W553" s="23">
        <f t="shared" si="66"/>
        <v>3.4729675651854475E-3</v>
      </c>
      <c r="X553" s="24">
        <v>3.9608517418128653E-2</v>
      </c>
      <c r="Y553" s="24">
        <f t="shared" si="67"/>
        <v>4.246003693834699E-2</v>
      </c>
      <c r="Z553" s="23">
        <f t="shared" si="68"/>
        <v>3.4708795945865845E-3</v>
      </c>
      <c r="AA553" s="36"/>
    </row>
    <row r="554" spans="15:27" ht="13.9" customHeight="1" x14ac:dyDescent="0.3">
      <c r="O554" s="12">
        <f t="shared" si="62"/>
        <v>45.083333333333336</v>
      </c>
      <c r="P554" s="13">
        <v>541</v>
      </c>
      <c r="Q554" s="22">
        <v>3.3068228874510996E-2</v>
      </c>
      <c r="R554" s="19">
        <f t="shared" si="63"/>
        <v>3.1336127018313897E-2</v>
      </c>
      <c r="S554" s="22">
        <v>3.7358026324122884E-2</v>
      </c>
      <c r="T554" s="19">
        <f t="shared" si="64"/>
        <v>4.2380913372797036E-2</v>
      </c>
      <c r="U554" s="24">
        <v>4.0186876295950746E-2</v>
      </c>
      <c r="V554" s="24">
        <f t="shared" si="65"/>
        <v>4.2490363266247E-2</v>
      </c>
      <c r="W554" s="23">
        <f t="shared" si="66"/>
        <v>3.4733465158354182E-3</v>
      </c>
      <c r="X554" s="24">
        <v>3.9613781046927254E-2</v>
      </c>
      <c r="Y554" s="24">
        <f t="shared" si="67"/>
        <v>4.2465097068333346E-2</v>
      </c>
      <c r="Z554" s="23">
        <f t="shared" si="68"/>
        <v>3.471289358597085E-3</v>
      </c>
      <c r="AA554" s="36"/>
    </row>
    <row r="555" spans="15:27" ht="13.9" customHeight="1" x14ac:dyDescent="0.3">
      <c r="O555" s="12">
        <f t="shared" si="62"/>
        <v>45.166666666666664</v>
      </c>
      <c r="P555" s="13">
        <v>542</v>
      </c>
      <c r="Q555" s="22">
        <v>3.3065030437483767E-2</v>
      </c>
      <c r="R555" s="19">
        <f t="shared" si="63"/>
        <v>3.1345299555467276E-2</v>
      </c>
      <c r="S555" s="22">
        <v>3.7367271320580819E-2</v>
      </c>
      <c r="T555" s="19">
        <f t="shared" si="64"/>
        <v>4.2387219330211057E-2</v>
      </c>
      <c r="U555" s="24">
        <v>4.0191121581737654E-2</v>
      </c>
      <c r="V555" s="24">
        <f t="shared" si="65"/>
        <v>4.2495001493816797E-2</v>
      </c>
      <c r="W555" s="23">
        <f t="shared" si="66"/>
        <v>3.4737220012988068E-3</v>
      </c>
      <c r="X555" s="24">
        <v>3.961903458981153E-2</v>
      </c>
      <c r="Y555" s="24">
        <f t="shared" si="67"/>
        <v>4.2470109577734005E-2</v>
      </c>
      <c r="Z555" s="23">
        <f t="shared" si="68"/>
        <v>3.4716952641542509E-3</v>
      </c>
      <c r="AA555" s="36"/>
    </row>
    <row r="556" spans="15:27" ht="13.9" customHeight="1" x14ac:dyDescent="0.3">
      <c r="O556" s="12">
        <f t="shared" si="62"/>
        <v>45.25</v>
      </c>
      <c r="P556" s="13">
        <v>543</v>
      </c>
      <c r="Q556" s="22">
        <v>3.3061860711443902E-2</v>
      </c>
      <c r="R556" s="19">
        <f t="shared" si="63"/>
        <v>3.1354522784135419E-2</v>
      </c>
      <c r="S556" s="22">
        <v>3.7376493904815788E-2</v>
      </c>
      <c r="T556" s="19">
        <f t="shared" si="64"/>
        <v>4.2393460770534741E-2</v>
      </c>
      <c r="U556" s="24">
        <v>4.0195359771375339E-2</v>
      </c>
      <c r="V556" s="24">
        <f t="shared" si="65"/>
        <v>4.2499597334510586E-2</v>
      </c>
      <c r="W556" s="23">
        <f t="shared" si="66"/>
        <v>3.4740940534983E-3</v>
      </c>
      <c r="X556" s="24">
        <v>3.9624278014994241E-2</v>
      </c>
      <c r="Y556" s="24">
        <f t="shared" si="67"/>
        <v>4.2475074918104871E-2</v>
      </c>
      <c r="Z556" s="23">
        <f t="shared" si="68"/>
        <v>3.4720973479773765E-3</v>
      </c>
      <c r="AA556" s="36"/>
    </row>
    <row r="557" spans="15:27" ht="13.9" customHeight="1" x14ac:dyDescent="0.3">
      <c r="O557" s="12">
        <f t="shared" si="62"/>
        <v>45.333333333333336</v>
      </c>
      <c r="P557" s="13">
        <v>544</v>
      </c>
      <c r="Q557" s="22">
        <v>3.3058719631036126E-2</v>
      </c>
      <c r="R557" s="19">
        <f t="shared" si="63"/>
        <v>3.136379730643557E-2</v>
      </c>
      <c r="S557" s="22">
        <v>3.7385694082183063E-2</v>
      </c>
      <c r="T557" s="19">
        <f t="shared" si="64"/>
        <v>4.2399638359402969E-2</v>
      </c>
      <c r="U557" s="24">
        <v>4.0199590826222931E-2</v>
      </c>
      <c r="V557" s="24">
        <f t="shared" si="65"/>
        <v>4.2504151178665017E-2</v>
      </c>
      <c r="W557" s="23">
        <f t="shared" si="66"/>
        <v>3.4744627041674025E-3</v>
      </c>
      <c r="X557" s="24">
        <v>3.962951129174952E-2</v>
      </c>
      <c r="Y557" s="24">
        <f t="shared" si="67"/>
        <v>4.2479993536765015E-2</v>
      </c>
      <c r="Z557" s="23">
        <f t="shared" si="68"/>
        <v>3.4724956463387802E-3</v>
      </c>
      <c r="AA557" s="36"/>
    </row>
    <row r="558" spans="15:27" ht="13.9" customHeight="1" x14ac:dyDescent="0.3">
      <c r="O558" s="12">
        <f t="shared" si="62"/>
        <v>45.416666666666664</v>
      </c>
      <c r="P558" s="13">
        <v>545</v>
      </c>
      <c r="Q558" s="22">
        <v>3.3055607132490561E-2</v>
      </c>
      <c r="R558" s="19">
        <f t="shared" si="63"/>
        <v>3.1373123729099284E-2</v>
      </c>
      <c r="S558" s="22">
        <v>3.7394871859213641E-2</v>
      </c>
      <c r="T558" s="19">
        <f t="shared" si="64"/>
        <v>4.2405752755754866E-2</v>
      </c>
      <c r="U558" s="24">
        <v>4.0203814708637431E-2</v>
      </c>
      <c r="V558" s="24">
        <f t="shared" si="65"/>
        <v>4.2508663412734293E-2</v>
      </c>
      <c r="W558" s="23">
        <f t="shared" si="66"/>
        <v>3.4748279846577024E-3</v>
      </c>
      <c r="X558" s="24">
        <v>3.9634734390395554E-2</v>
      </c>
      <c r="Y558" s="24">
        <f t="shared" si="67"/>
        <v>4.2484865877431721E-2</v>
      </c>
      <c r="Z558" s="23">
        <f t="shared" si="68"/>
        <v>3.472890195169942E-3</v>
      </c>
      <c r="AA558" s="36"/>
    </row>
    <row r="559" spans="15:27" ht="13.9" customHeight="1" x14ac:dyDescent="0.3">
      <c r="O559" s="12">
        <f t="shared" si="62"/>
        <v>45.5</v>
      </c>
      <c r="P559" s="13">
        <v>546</v>
      </c>
      <c r="Q559" s="22">
        <v>3.3052523153615843E-2</v>
      </c>
      <c r="R559" s="19">
        <f t="shared" si="63"/>
        <v>3.1382502115457234E-2</v>
      </c>
      <c r="S559" s="22">
        <v>3.7404027243591154E-2</v>
      </c>
      <c r="T559" s="19">
        <f t="shared" si="64"/>
        <v>4.2411804611130366E-2</v>
      </c>
      <c r="U559" s="24">
        <v>4.0208031381957943E-2</v>
      </c>
      <c r="V559" s="24">
        <f t="shared" si="65"/>
        <v>4.2513134420034904E-2</v>
      </c>
      <c r="W559" s="23">
        <f t="shared" si="66"/>
        <v>3.4751899260081487E-3</v>
      </c>
      <c r="X559" s="24">
        <v>3.9639947282277932E-2</v>
      </c>
      <c r="Y559" s="24">
        <f t="shared" si="67"/>
        <v>4.2489692378052668E-2</v>
      </c>
      <c r="Z559" s="23">
        <f t="shared" si="68"/>
        <v>3.4732810301123518E-3</v>
      </c>
      <c r="AA559" s="36"/>
    </row>
    <row r="560" spans="15:27" ht="13.9" customHeight="1" x14ac:dyDescent="0.3">
      <c r="O560" s="12">
        <f t="shared" si="62"/>
        <v>45.583333333333336</v>
      </c>
      <c r="P560" s="13">
        <v>547</v>
      </c>
      <c r="Q560" s="22">
        <v>3.3049467632790375E-2</v>
      </c>
      <c r="R560" s="19">
        <f t="shared" si="63"/>
        <v>3.1391930894104192E-2</v>
      </c>
      <c r="S560" s="22">
        <v>3.7413160244127885E-2</v>
      </c>
      <c r="T560" s="19">
        <f t="shared" si="64"/>
        <v>4.2417794571641743E-2</v>
      </c>
      <c r="U560" s="24">
        <v>4.0212240810490796E-2</v>
      </c>
      <c r="V560" s="24">
        <f t="shared" si="65"/>
        <v>4.2517564580607514E-2</v>
      </c>
      <c r="W560" s="23">
        <f t="shared" si="66"/>
        <v>3.475548559005448E-3</v>
      </c>
      <c r="X560" s="24">
        <v>3.9645149939750324E-2</v>
      </c>
      <c r="Y560" s="24">
        <f t="shared" si="67"/>
        <v>4.2494473475083838E-2</v>
      </c>
      <c r="Z560" s="23">
        <f t="shared" si="68"/>
        <v>3.473668186343204E-3</v>
      </c>
      <c r="AA560" s="36"/>
    </row>
    <row r="561" spans="15:27" ht="13.9" customHeight="1" x14ac:dyDescent="0.3">
      <c r="O561" s="12">
        <f t="shared" si="62"/>
        <v>45.666666666666664</v>
      </c>
      <c r="P561" s="13">
        <v>548</v>
      </c>
      <c r="Q561" s="22">
        <v>3.3046440505968722E-2</v>
      </c>
      <c r="R561" s="19">
        <f t="shared" si="63"/>
        <v>3.1401410138412356E-2</v>
      </c>
      <c r="S561" s="22">
        <v>3.7422270870744345E-2</v>
      </c>
      <c r="T561" s="19">
        <f t="shared" si="64"/>
        <v>4.2423723274812364E-2</v>
      </c>
      <c r="U561" s="24">
        <v>4.0216442959494669E-2</v>
      </c>
      <c r="V561" s="24">
        <f t="shared" si="65"/>
        <v>4.2521954270862583E-2</v>
      </c>
      <c r="W561" s="23">
        <f t="shared" si="66"/>
        <v>3.475903914172962E-3</v>
      </c>
      <c r="X561" s="24">
        <v>3.9650342336161826E-2</v>
      </c>
      <c r="Y561" s="24">
        <f t="shared" si="67"/>
        <v>4.2499209597800736E-2</v>
      </c>
      <c r="Z561" s="23">
        <f t="shared" si="68"/>
        <v>3.4740516989193448E-3</v>
      </c>
      <c r="AA561" s="36"/>
    </row>
    <row r="562" spans="15:27" ht="13.9" customHeight="1" x14ac:dyDescent="0.3">
      <c r="O562" s="12">
        <f t="shared" si="62"/>
        <v>45.75</v>
      </c>
      <c r="P562" s="13">
        <v>549</v>
      </c>
      <c r="Q562" s="22">
        <v>3.3043441709704524E-2</v>
      </c>
      <c r="R562" s="19">
        <f t="shared" si="63"/>
        <v>3.141094047184545E-2</v>
      </c>
      <c r="S562" s="22">
        <v>3.7431359134444397E-2</v>
      </c>
      <c r="T562" s="19">
        <f t="shared" si="64"/>
        <v>4.2429591352492135E-2</v>
      </c>
      <c r="U562" s="24">
        <v>4.022063779516527E-2</v>
      </c>
      <c r="V562" s="24">
        <f t="shared" si="65"/>
        <v>4.2526303862155057E-2</v>
      </c>
      <c r="W562" s="23">
        <f t="shared" si="66"/>
        <v>3.4762560217411753E-3</v>
      </c>
      <c r="X562" s="24">
        <v>3.9655524445835866E-2</v>
      </c>
      <c r="Y562" s="24">
        <f t="shared" si="67"/>
        <v>4.2503901172705305E-2</v>
      </c>
      <c r="Z562" s="23">
        <f t="shared" si="68"/>
        <v>3.4744316023207489E-3</v>
      </c>
      <c r="AA562" s="36"/>
    </row>
    <row r="563" spans="15:27" ht="13.9" customHeight="1" x14ac:dyDescent="0.3">
      <c r="O563" s="12">
        <f t="shared" si="62"/>
        <v>45.833333333333336</v>
      </c>
      <c r="P563" s="13">
        <v>550</v>
      </c>
      <c r="Q563" s="22">
        <v>3.3040471182147035E-2</v>
      </c>
      <c r="R563" s="19">
        <f t="shared" si="63"/>
        <v>3.1420522521460548E-2</v>
      </c>
      <c r="S563" s="22">
        <v>3.7440425047294168E-2</v>
      </c>
      <c r="T563" s="19">
        <f t="shared" si="64"/>
        <v>4.2435399429492815E-2</v>
      </c>
      <c r="U563" s="24">
        <v>4.0224825284618015E-2</v>
      </c>
      <c r="V563" s="24">
        <f t="shared" si="65"/>
        <v>4.2530613724279798E-2</v>
      </c>
      <c r="W563" s="23">
        <f t="shared" si="66"/>
        <v>3.4766049115353415E-3</v>
      </c>
      <c r="X563" s="24">
        <v>3.9660696244055105E-2</v>
      </c>
      <c r="Y563" s="24">
        <f t="shared" si="67"/>
        <v>4.2508548621975173E-2</v>
      </c>
      <c r="Z563" s="23">
        <f t="shared" si="68"/>
        <v>3.4748079308033475E-3</v>
      </c>
      <c r="AA563" s="36"/>
    </row>
    <row r="564" spans="15:27" ht="13.9" customHeight="1" x14ac:dyDescent="0.3">
      <c r="O564" s="12">
        <f t="shared" si="62"/>
        <v>45.916666666666664</v>
      </c>
      <c r="P564" s="13">
        <v>551</v>
      </c>
      <c r="Q564" s="22">
        <v>3.3037528863033128E-2</v>
      </c>
      <c r="R564" s="19">
        <f t="shared" si="63"/>
        <v>3.1430156918420993E-2</v>
      </c>
      <c r="S564" s="22">
        <v>3.7449468622400284E-2</v>
      </c>
      <c r="T564" s="19">
        <f t="shared" si="64"/>
        <v>4.2441148124988226E-2</v>
      </c>
      <c r="U564" s="24">
        <v>4.0229005395876261E-2</v>
      </c>
      <c r="V564" s="24">
        <f t="shared" si="65"/>
        <v>4.2534884223288216E-2</v>
      </c>
      <c r="W564" s="23">
        <f t="shared" si="66"/>
        <v>3.4769506132537042E-3</v>
      </c>
      <c r="X564" s="24">
        <v>3.9665857707046115E-2</v>
      </c>
      <c r="Y564" s="24">
        <f t="shared" si="67"/>
        <v>4.2513152364766382E-2</v>
      </c>
      <c r="Z564" s="23">
        <f t="shared" si="68"/>
        <v>3.4751807182760164E-3</v>
      </c>
      <c r="AA564" s="36"/>
    </row>
    <row r="565" spans="15:27" ht="13.9" customHeight="1" x14ac:dyDescent="0.3">
      <c r="O565" s="12">
        <f t="shared" si="62"/>
        <v>46</v>
      </c>
      <c r="P565" s="13">
        <v>552</v>
      </c>
      <c r="Q565" s="22">
        <v>3.3034614693679965E-2</v>
      </c>
      <c r="R565" s="19">
        <f t="shared" si="63"/>
        <v>3.1439843760812547E-2</v>
      </c>
      <c r="S565" s="22">
        <v>3.7458489873890333E-2</v>
      </c>
      <c r="T565" s="19">
        <f t="shared" si="64"/>
        <v>4.2446838050926639E-2</v>
      </c>
      <c r="U565" s="24">
        <v>4.0233178097857092E-2</v>
      </c>
      <c r="V565" s="24">
        <f t="shared" si="65"/>
        <v>4.2539115721641707E-2</v>
      </c>
      <c r="W565" s="23">
        <f t="shared" si="66"/>
        <v>3.4772931562945253E-3</v>
      </c>
      <c r="X565" s="24">
        <v>3.9671008811964503E-2</v>
      </c>
      <c r="Y565" s="24">
        <f t="shared" si="67"/>
        <v>4.2517712814704067E-2</v>
      </c>
      <c r="Z565" s="23">
        <f t="shared" si="68"/>
        <v>3.4755499984038263E-3</v>
      </c>
      <c r="AA565" s="36"/>
    </row>
    <row r="566" spans="15:27" ht="13.9" customHeight="1" x14ac:dyDescent="0.3">
      <c r="O566" s="12">
        <f t="shared" si="62"/>
        <v>46.083333333333336</v>
      </c>
      <c r="P566" s="13">
        <v>553</v>
      </c>
      <c r="Q566" s="22">
        <v>3.3031728616005562E-2</v>
      </c>
      <c r="R566" s="19">
        <f t="shared" si="63"/>
        <v>3.1449581539520599E-2</v>
      </c>
      <c r="S566" s="22">
        <v>3.7467488816890437E-2</v>
      </c>
      <c r="T566" s="19">
        <f t="shared" si="64"/>
        <v>4.2452469812058968E-2</v>
      </c>
      <c r="U566" s="24">
        <v>4.0237343360355782E-2</v>
      </c>
      <c r="V566" s="24">
        <f t="shared" si="65"/>
        <v>4.2543308576729499E-2</v>
      </c>
      <c r="W566" s="23">
        <f t="shared" si="66"/>
        <v>3.477632569766298E-3</v>
      </c>
      <c r="X566" s="24">
        <v>3.9676149536876926E-2</v>
      </c>
      <c r="Y566" s="24">
        <f t="shared" si="67"/>
        <v>4.2522230381603743E-2</v>
      </c>
      <c r="Z566" s="23">
        <f t="shared" si="68"/>
        <v>3.4759158044068705E-3</v>
      </c>
      <c r="AA566" s="36"/>
    </row>
    <row r="567" spans="15:27" ht="13.9" customHeight="1" x14ac:dyDescent="0.3">
      <c r="O567" s="12">
        <f t="shared" si="62"/>
        <v>46.166666666666664</v>
      </c>
      <c r="P567" s="13">
        <v>554</v>
      </c>
      <c r="Q567" s="22">
        <v>3.3028870569617563E-2</v>
      </c>
      <c r="R567" s="19">
        <f t="shared" si="63"/>
        <v>3.1459370362298067E-2</v>
      </c>
      <c r="S567" s="22">
        <v>3.7476465467503495E-2</v>
      </c>
      <c r="T567" s="19">
        <f t="shared" si="64"/>
        <v>4.245804400831088E-2</v>
      </c>
      <c r="U567" s="24">
        <v>4.024150115402958E-2</v>
      </c>
      <c r="V567" s="24">
        <f t="shared" si="65"/>
        <v>4.2547463145097053E-2</v>
      </c>
      <c r="W567" s="23">
        <f t="shared" si="66"/>
        <v>3.4779688823705079E-3</v>
      </c>
      <c r="X567" s="24">
        <v>3.9681279860745766E-2</v>
      </c>
      <c r="Y567" s="24">
        <f t="shared" si="67"/>
        <v>4.2526705471983561E-2</v>
      </c>
      <c r="Z567" s="23">
        <f t="shared" si="68"/>
        <v>3.4762781691994871E-3</v>
      </c>
      <c r="AA567" s="36"/>
    </row>
    <row r="568" spans="15:27" ht="13.9" customHeight="1" x14ac:dyDescent="0.3">
      <c r="O568" s="12">
        <f t="shared" si="62"/>
        <v>46.25</v>
      </c>
      <c r="P568" s="13">
        <v>555</v>
      </c>
      <c r="Q568" s="22">
        <v>3.3026040494751996E-2</v>
      </c>
      <c r="R568" s="19">
        <f t="shared" si="63"/>
        <v>3.1469210877334453E-2</v>
      </c>
      <c r="S568" s="22">
        <v>3.7485419842791412E-2</v>
      </c>
      <c r="T568" s="19">
        <f t="shared" si="64"/>
        <v>4.2463561233062608E-2</v>
      </c>
      <c r="U568" s="24">
        <v>4.0245651450388165E-2</v>
      </c>
      <c r="V568" s="24">
        <f t="shared" si="65"/>
        <v>4.2551579779621207E-2</v>
      </c>
      <c r="W568" s="23">
        <f t="shared" si="66"/>
        <v>3.4783021227404731E-3</v>
      </c>
      <c r="X568" s="24">
        <v>3.9686399763415592E-2</v>
      </c>
      <c r="Y568" s="24">
        <f t="shared" si="67"/>
        <v>4.2531138489131592E-2</v>
      </c>
      <c r="Z568" s="23">
        <f t="shared" si="68"/>
        <v>3.4766371254304484E-3</v>
      </c>
      <c r="AA568" s="36"/>
    </row>
    <row r="569" spans="15:27" ht="13.9" customHeight="1" x14ac:dyDescent="0.3">
      <c r="O569" s="12">
        <f t="shared" si="62"/>
        <v>46.333333333333336</v>
      </c>
      <c r="P569" s="13">
        <v>556</v>
      </c>
      <c r="Q569" s="22">
        <v>3.3023238333240945E-2</v>
      </c>
      <c r="R569" s="19">
        <f t="shared" si="63"/>
        <v>3.1479103736740566E-2</v>
      </c>
      <c r="S569" s="22">
        <v>3.7494351960755345E-2</v>
      </c>
      <c r="T569" s="19">
        <f t="shared" si="64"/>
        <v>4.2469022072638252E-2</v>
      </c>
      <c r="U569" s="24">
        <v>4.0249794221778989E-2</v>
      </c>
      <c r="V569" s="24">
        <f t="shared" si="65"/>
        <v>4.2555658828070442E-2</v>
      </c>
      <c r="W569" s="23">
        <f t="shared" si="66"/>
        <v>3.478632319213748E-3</v>
      </c>
      <c r="X569" s="24">
        <v>3.969150922559872E-2</v>
      </c>
      <c r="Y569" s="24">
        <f t="shared" si="67"/>
        <v>4.2535529830642682E-2</v>
      </c>
      <c r="Z569" s="23">
        <f t="shared" si="68"/>
        <v>3.4769927054878469E-3</v>
      </c>
      <c r="AA569" s="36"/>
    </row>
    <row r="570" spans="15:27" ht="13.9" customHeight="1" x14ac:dyDescent="0.3">
      <c r="O570" s="12">
        <f t="shared" si="62"/>
        <v>46.416666666666664</v>
      </c>
      <c r="P570" s="13">
        <v>557</v>
      </c>
      <c r="Q570" s="22">
        <v>3.3020464028505447E-2</v>
      </c>
      <c r="R570" s="19">
        <f t="shared" si="63"/>
        <v>3.1489049596513219E-2</v>
      </c>
      <c r="S570" s="22">
        <v>3.750326184031394E-2</v>
      </c>
      <c r="T570" s="19">
        <f t="shared" si="64"/>
        <v>4.2474427107520141E-2</v>
      </c>
      <c r="U570" s="24">
        <v>4.0253929441371517E-2</v>
      </c>
      <c r="V570" s="24">
        <f t="shared" si="65"/>
        <v>4.255970063639225E-2</v>
      </c>
      <c r="W570" s="23">
        <f t="shared" si="66"/>
        <v>3.4789594997179929E-3</v>
      </c>
      <c r="X570" s="24">
        <v>3.9696608228857899E-2</v>
      </c>
      <c r="Y570" s="24">
        <f t="shared" si="67"/>
        <v>4.2539879891128285E-2</v>
      </c>
      <c r="Z570" s="23">
        <f t="shared" si="68"/>
        <v>3.4773449413030288E-3</v>
      </c>
      <c r="AA570" s="36"/>
    </row>
    <row r="571" spans="15:27" ht="13.9" customHeight="1" x14ac:dyDescent="0.3">
      <c r="O571" s="12">
        <f t="shared" si="62"/>
        <v>46.5</v>
      </c>
      <c r="P571" s="13">
        <v>558</v>
      </c>
      <c r="Q571" s="22">
        <v>3.301771752554794E-2</v>
      </c>
      <c r="R571" s="19">
        <f t="shared" si="63"/>
        <v>3.1499048590039935E-2</v>
      </c>
      <c r="S571" s="22">
        <v>3.7512149501285563E-2</v>
      </c>
      <c r="T571" s="19">
        <f t="shared" si="64"/>
        <v>4.2479776912467182E-2</v>
      </c>
      <c r="U571" s="24">
        <v>4.0258057083145449E-2</v>
      </c>
      <c r="V571" s="24">
        <f t="shared" si="65"/>
        <v>4.2563705546611708E-2</v>
      </c>
      <c r="W571" s="23">
        <f t="shared" si="66"/>
        <v>3.4792836920338743E-3</v>
      </c>
      <c r="X571" s="24">
        <v>3.9701696755593208E-2</v>
      </c>
      <c r="Y571" s="24">
        <f t="shared" si="67"/>
        <v>4.2544189061264559E-2</v>
      </c>
      <c r="Z571" s="23">
        <f t="shared" si="68"/>
        <v>3.4776938645670885E-3</v>
      </c>
      <c r="AA571" s="36"/>
    </row>
    <row r="572" spans="15:27" ht="13.9" customHeight="1" x14ac:dyDescent="0.3">
      <c r="O572" s="12">
        <f t="shared" si="62"/>
        <v>46.583333333333336</v>
      </c>
      <c r="P572" s="13">
        <v>559</v>
      </c>
      <c r="Q572" s="22">
        <v>3.3014998770001913E-2</v>
      </c>
      <c r="R572" s="19">
        <f t="shared" si="63"/>
        <v>3.1509099268920648E-2</v>
      </c>
      <c r="S572" s="22">
        <v>3.7521014964369215E-2</v>
      </c>
      <c r="T572" s="19">
        <f t="shared" si="64"/>
        <v>4.2485072056281936E-2</v>
      </c>
      <c r="U572" s="24">
        <v>4.0262177121877407E-2</v>
      </c>
      <c r="V572" s="24">
        <f t="shared" si="65"/>
        <v>4.2567673899256642E-2</v>
      </c>
      <c r="W572" s="23">
        <f t="shared" si="66"/>
        <v>3.4796049236269777E-3</v>
      </c>
      <c r="X572" s="24">
        <v>3.9706774789027177E-2</v>
      </c>
      <c r="Y572" s="24">
        <f t="shared" si="67"/>
        <v>4.2548457729257638E-2</v>
      </c>
      <c r="Z572" s="23">
        <f t="shared" si="68"/>
        <v>3.4780395066540404E-3</v>
      </c>
      <c r="AA572" s="36"/>
    </row>
    <row r="573" spans="15:27" ht="13.9" customHeight="1" x14ac:dyDescent="0.3">
      <c r="O573" s="12">
        <f t="shared" si="62"/>
        <v>46.666666666666664</v>
      </c>
      <c r="P573" s="13">
        <v>560</v>
      </c>
      <c r="Q573" s="22">
        <v>3.3012307705297506E-2</v>
      </c>
      <c r="R573" s="19">
        <f t="shared" si="63"/>
        <v>3.1519201775761063E-2</v>
      </c>
      <c r="S573" s="22">
        <v>3.7529858251126758E-2</v>
      </c>
      <c r="T573" s="19">
        <f t="shared" si="64"/>
        <v>4.2490313102148347E-2</v>
      </c>
      <c r="U573" s="24">
        <v>4.0266289533130717E-2</v>
      </c>
      <c r="V573" s="24">
        <f t="shared" si="65"/>
        <v>4.2571606029722764E-2</v>
      </c>
      <c r="W573" s="23">
        <f t="shared" si="66"/>
        <v>3.4799232218418741E-3</v>
      </c>
      <c r="X573" s="24">
        <v>3.9711842313193468E-2</v>
      </c>
      <c r="Y573" s="24">
        <f t="shared" si="67"/>
        <v>4.2552686278171548E-2</v>
      </c>
      <c r="Z573" s="23">
        <f t="shared" si="68"/>
        <v>3.4783818987396131E-3</v>
      </c>
      <c r="AA573" s="36"/>
    </row>
    <row r="574" spans="15:27" ht="13.9" customHeight="1" x14ac:dyDescent="0.3">
      <c r="O574" s="12">
        <f t="shared" si="62"/>
        <v>46.75</v>
      </c>
      <c r="P574" s="13">
        <v>561</v>
      </c>
      <c r="Q574" s="22">
        <v>3.3009644275521E-2</v>
      </c>
      <c r="R574" s="19">
        <f t="shared" si="63"/>
        <v>3.1529356783996265E-2</v>
      </c>
      <c r="S574" s="22">
        <v>3.7538679383965157E-2</v>
      </c>
      <c r="T574" s="19">
        <f t="shared" si="64"/>
        <v>4.2495500605485237E-2</v>
      </c>
      <c r="U574" s="24">
        <v>4.027039429323942E-2</v>
      </c>
      <c r="V574" s="24">
        <f t="shared" si="65"/>
        <v>4.2575502270031818E-2</v>
      </c>
      <c r="W574" s="23">
        <f t="shared" si="66"/>
        <v>3.4802386136110197E-3</v>
      </c>
      <c r="X574" s="24">
        <v>3.9716899312920217E-2</v>
      </c>
      <c r="Y574" s="24">
        <f t="shared" si="67"/>
        <v>4.2556875086429358E-2</v>
      </c>
      <c r="Z574" s="23">
        <f t="shared" si="68"/>
        <v>3.4787210715860883E-3</v>
      </c>
      <c r="AA574" s="36"/>
    </row>
    <row r="575" spans="15:27" ht="13.9" customHeight="1" x14ac:dyDescent="0.3">
      <c r="O575" s="12">
        <f t="shared" si="62"/>
        <v>46.833333333333336</v>
      </c>
      <c r="P575" s="13">
        <v>562</v>
      </c>
      <c r="Q575" s="22">
        <v>3.3007008426355622E-2</v>
      </c>
      <c r="R575" s="19">
        <f t="shared" si="63"/>
        <v>3.1539564971419853E-2</v>
      </c>
      <c r="S575" s="22">
        <v>3.7547478386114719E-2</v>
      </c>
      <c r="T575" s="19">
        <f t="shared" si="64"/>
        <v>4.2500635117900032E-2</v>
      </c>
      <c r="U575" s="24">
        <v>4.0274491379295174E-2</v>
      </c>
      <c r="V575" s="24">
        <f t="shared" si="65"/>
        <v>4.2579362950929012E-2</v>
      </c>
      <c r="W575" s="23">
        <f t="shared" si="66"/>
        <v>3.4805511255955324E-3</v>
      </c>
      <c r="X575" s="24">
        <v>3.9721945773815159E-2</v>
      </c>
      <c r="Y575" s="24">
        <f t="shared" si="67"/>
        <v>4.2561024531850178E-2</v>
      </c>
      <c r="Z575" s="23">
        <f t="shared" si="68"/>
        <v>3.4790570555822686E-3</v>
      </c>
      <c r="AA575" s="36"/>
    </row>
    <row r="576" spans="15:27" ht="13.9" customHeight="1" x14ac:dyDescent="0.3">
      <c r="O576" s="12">
        <f t="shared" si="62"/>
        <v>46.916666666666664</v>
      </c>
      <c r="P576" s="13">
        <v>563</v>
      </c>
      <c r="Q576" s="22">
        <v>3.3004400105074438E-2</v>
      </c>
      <c r="R576" s="19">
        <f t="shared" si="63"/>
        <v>3.1549827019303756E-2</v>
      </c>
      <c r="S576" s="22">
        <v>3.7556255281615547E-2</v>
      </c>
      <c r="T576" s="19">
        <f t="shared" si="64"/>
        <v>4.2505717185329583E-2</v>
      </c>
      <c r="U576" s="24">
        <v>4.0278580769138594E-2</v>
      </c>
      <c r="V576" s="24">
        <f t="shared" si="65"/>
        <v>4.2583188399550442E-2</v>
      </c>
      <c r="W576" s="23">
        <f t="shared" si="66"/>
        <v>3.4808607843532791E-3</v>
      </c>
      <c r="X576" s="24">
        <v>3.9726981682256968E-2</v>
      </c>
      <c r="Y576" s="24">
        <f t="shared" si="67"/>
        <v>4.2565134986120468E-2</v>
      </c>
      <c r="Z576" s="23">
        <f t="shared" si="68"/>
        <v>3.4793898810681068E-3</v>
      </c>
      <c r="AA576" s="36"/>
    </row>
    <row r="577" spans="15:27" ht="13.9" customHeight="1" x14ac:dyDescent="0.3">
      <c r="O577" s="12">
        <f t="shared" si="62"/>
        <v>47</v>
      </c>
      <c r="P577" s="13">
        <v>564</v>
      </c>
      <c r="Q577" s="22">
        <v>3.3001819260532361E-2</v>
      </c>
      <c r="R577" s="19">
        <f t="shared" si="63"/>
        <v>3.1560143094458537E-2</v>
      </c>
      <c r="S577" s="22">
        <v>3.7565010095300666E-2</v>
      </c>
      <c r="T577" s="19">
        <f t="shared" si="64"/>
        <v>4.2510747346390598E-2</v>
      </c>
      <c r="U577" s="24">
        <v>4.0282662441346151E-2</v>
      </c>
      <c r="V577" s="24">
        <f t="shared" si="65"/>
        <v>4.2586978939310072E-2</v>
      </c>
      <c r="W577" s="23">
        <f t="shared" si="66"/>
        <v>3.4811676161523586E-3</v>
      </c>
      <c r="X577" s="24">
        <v>3.9732007025378158E-2</v>
      </c>
      <c r="Y577" s="24">
        <f t="shared" si="67"/>
        <v>4.2569206818586114E-2</v>
      </c>
      <c r="Z577" s="23">
        <f t="shared" si="68"/>
        <v>3.4797195778910606E-3</v>
      </c>
      <c r="AA577" s="36"/>
    </row>
    <row r="578" spans="15:27" ht="13.9" customHeight="1" x14ac:dyDescent="0.3">
      <c r="O578" s="12">
        <f t="shared" si="62"/>
        <v>47.083333333333336</v>
      </c>
      <c r="P578" s="13">
        <v>565</v>
      </c>
      <c r="Q578" s="22">
        <v>3.2999265842240666E-2</v>
      </c>
      <c r="R578" s="19">
        <f t="shared" si="63"/>
        <v>3.1570511811525259E-2</v>
      </c>
      <c r="S578" s="22">
        <v>3.7573742852775149E-2</v>
      </c>
      <c r="T578" s="19">
        <f t="shared" si="64"/>
        <v>4.2515726135231802E-2</v>
      </c>
      <c r="U578" s="24">
        <v>4.0286736375216847E-2</v>
      </c>
      <c r="V578" s="24">
        <f t="shared" si="65"/>
        <v>4.2590734890187498E-2</v>
      </c>
      <c r="W578" s="23">
        <f t="shared" si="66"/>
        <v>3.4814716469615536E-3</v>
      </c>
      <c r="X578" s="24">
        <v>3.9737021791053984E-2</v>
      </c>
      <c r="Y578" s="24">
        <f t="shared" si="67"/>
        <v>4.257324039353394E-2</v>
      </c>
      <c r="Z578" s="23">
        <f t="shared" si="68"/>
        <v>3.4800461757096279E-3</v>
      </c>
      <c r="AA578" s="36"/>
    </row>
    <row r="579" spans="15:27" ht="13.9" customHeight="1" x14ac:dyDescent="0.3">
      <c r="O579" s="12">
        <f t="shared" si="62"/>
        <v>47.166666666666664</v>
      </c>
      <c r="P579" s="13">
        <v>566</v>
      </c>
      <c r="Q579" s="22">
        <v>3.2996739797614749E-2</v>
      </c>
      <c r="R579" s="19">
        <f t="shared" si="63"/>
        <v>3.1580933346840645E-2</v>
      </c>
      <c r="S579" s="22">
        <v>3.7582453580402353E-2</v>
      </c>
      <c r="T579" s="19">
        <f t="shared" si="64"/>
        <v>4.2520654080209663E-2</v>
      </c>
      <c r="U579" s="24">
        <v>4.0290802550760008E-2</v>
      </c>
      <c r="V579" s="24">
        <f t="shared" si="65"/>
        <v>4.2594456570436368E-2</v>
      </c>
      <c r="W579" s="23">
        <f t="shared" si="66"/>
        <v>3.4817729024736455E-3</v>
      </c>
      <c r="X579" s="24">
        <v>3.974202596788734E-2</v>
      </c>
      <c r="Y579" s="24">
        <f t="shared" si="67"/>
        <v>4.2577236074134106E-2</v>
      </c>
      <c r="Z579" s="23">
        <f t="shared" si="68"/>
        <v>3.4803697037761872E-3</v>
      </c>
      <c r="AA579" s="36"/>
    </row>
    <row r="580" spans="15:27" ht="13.9" customHeight="1" x14ac:dyDescent="0.3">
      <c r="O580" s="12">
        <f t="shared" si="62"/>
        <v>47.25</v>
      </c>
      <c r="P580" s="13">
        <v>567</v>
      </c>
      <c r="Q580" s="22">
        <v>3.2994241074750796E-2</v>
      </c>
      <c r="R580" s="19">
        <f t="shared" si="63"/>
        <v>3.1591408400505783E-2</v>
      </c>
      <c r="S580" s="22">
        <v>3.7591142305286596E-2</v>
      </c>
      <c r="T580" s="19">
        <f t="shared" si="64"/>
        <v>4.2525531704524777E-2</v>
      </c>
      <c r="U580" s="24">
        <v>4.0294860948685951E-2</v>
      </c>
      <c r="V580" s="24">
        <f t="shared" si="65"/>
        <v>4.259814429563713E-2</v>
      </c>
      <c r="W580" s="23">
        <f t="shared" si="66"/>
        <v>3.4820714082421933E-3</v>
      </c>
      <c r="X580" s="24">
        <v>3.9747019545199658E-2</v>
      </c>
      <c r="Y580" s="24">
        <f t="shared" si="67"/>
        <v>4.258119421826434E-2</v>
      </c>
      <c r="Z580" s="23">
        <f t="shared" si="68"/>
        <v>3.4806901912527444E-3</v>
      </c>
      <c r="AA580" s="36"/>
    </row>
    <row r="581" spans="15:27" ht="13.9" customHeight="1" x14ac:dyDescent="0.3">
      <c r="O581" s="12">
        <f t="shared" si="62"/>
        <v>47.333333333333336</v>
      </c>
      <c r="P581" s="13">
        <v>568</v>
      </c>
      <c r="Q581" s="22">
        <v>3.2991769623343048E-2</v>
      </c>
      <c r="R581" s="19">
        <f t="shared" si="63"/>
        <v>3.1601937674346825E-2</v>
      </c>
      <c r="S581" s="22">
        <v>3.7599809055257838E-2</v>
      </c>
      <c r="T581" s="19">
        <f t="shared" si="64"/>
        <v>4.2530359525020822E-2</v>
      </c>
      <c r="U581" s="24">
        <v>4.0298911550395111E-2</v>
      </c>
      <c r="V581" s="24">
        <f t="shared" si="65"/>
        <v>4.260179837636513E-2</v>
      </c>
      <c r="W581" s="23">
        <f t="shared" si="66"/>
        <v>3.4823671896062613E-3</v>
      </c>
      <c r="X581" s="24">
        <v>3.9752002513016027E-2</v>
      </c>
      <c r="Y581" s="24">
        <f t="shared" si="67"/>
        <v>4.2585115180719724E-2</v>
      </c>
      <c r="Z581" s="23">
        <f t="shared" si="68"/>
        <v>3.4810076668758683E-3</v>
      </c>
      <c r="AA581" s="36"/>
    </row>
    <row r="582" spans="15:27" ht="13.9" customHeight="1" x14ac:dyDescent="0.3">
      <c r="O582" s="12">
        <f t="shared" si="62"/>
        <v>47.416666666666664</v>
      </c>
      <c r="P582" s="13">
        <v>569</v>
      </c>
      <c r="Q582" s="22">
        <v>3.2989325394673141E-2</v>
      </c>
      <c r="R582" s="19">
        <f t="shared" si="63"/>
        <v>3.1612521876831279E-2</v>
      </c>
      <c r="S582" s="22">
        <v>3.7608453858854363E-2</v>
      </c>
      <c r="T582" s="19">
        <f t="shared" si="64"/>
        <v>4.2535138053608978E-2</v>
      </c>
      <c r="U582" s="24">
        <v>4.0302954337963159E-2</v>
      </c>
      <c r="V582" s="24">
        <f t="shared" si="65"/>
        <v>4.2605419121966914E-2</v>
      </c>
      <c r="W582" s="23">
        <f t="shared" si="66"/>
        <v>3.4826602715019028E-3</v>
      </c>
      <c r="X582" s="24">
        <v>3.9756974862053207E-2</v>
      </c>
      <c r="Y582" s="24">
        <f t="shared" si="67"/>
        <v>4.2588999312958231E-2</v>
      </c>
      <c r="Z582" s="23">
        <f t="shared" si="68"/>
        <v>3.4813221591343257E-3</v>
      </c>
      <c r="AA582" s="36"/>
    </row>
    <row r="583" spans="15:27" ht="13.9" customHeight="1" x14ac:dyDescent="0.3">
      <c r="O583" s="12">
        <f t="shared" si="62"/>
        <v>47.5</v>
      </c>
      <c r="P583" s="13">
        <v>570</v>
      </c>
      <c r="Q583" s="22">
        <v>3.2986908341607224E-2</v>
      </c>
      <c r="R583" s="19">
        <f t="shared" si="63"/>
        <v>3.1623161208840456E-2</v>
      </c>
      <c r="S583" s="22">
        <v>3.7617076745307232E-2</v>
      </c>
      <c r="T583" s="19">
        <f t="shared" si="64"/>
        <v>4.2539867797456665E-2</v>
      </c>
      <c r="U583" s="24">
        <v>4.0306989294132789E-2</v>
      </c>
      <c r="V583" s="24">
        <f t="shared" si="65"/>
        <v>4.2609006838388419E-2</v>
      </c>
      <c r="W583" s="23">
        <f t="shared" si="66"/>
        <v>3.4829506787674713E-3</v>
      </c>
      <c r="X583" s="24">
        <v>3.976193658370808E-2</v>
      </c>
      <c r="Y583" s="24">
        <f t="shared" si="67"/>
        <v>4.2592846963626751E-2</v>
      </c>
      <c r="Z583" s="23">
        <f t="shared" si="68"/>
        <v>3.4816336962488759E-3</v>
      </c>
      <c r="AA583" s="36"/>
    </row>
    <row r="584" spans="15:27" ht="13.9" customHeight="1" x14ac:dyDescent="0.3">
      <c r="O584" s="12">
        <f t="shared" si="62"/>
        <v>47.583333333333336</v>
      </c>
      <c r="P584" s="13">
        <v>571</v>
      </c>
      <c r="Q584" s="22">
        <v>3.2984518417692676E-2</v>
      </c>
      <c r="R584" s="19">
        <f t="shared" si="63"/>
        <v>3.1633854347010049E-2</v>
      </c>
      <c r="S584" s="22">
        <v>3.7625677744526742E-2</v>
      </c>
      <c r="T584" s="19">
        <f t="shared" si="64"/>
        <v>4.2544549257993669E-2</v>
      </c>
      <c r="U584" s="24">
        <v>4.0311016402302391E-2</v>
      </c>
      <c r="V584" s="24">
        <f t="shared" si="65"/>
        <v>4.2612561829878048E-2</v>
      </c>
      <c r="W584" s="23">
        <f t="shared" si="66"/>
        <v>3.4832384359664292E-3</v>
      </c>
      <c r="X584" s="24">
        <v>3.9766887670046103E-2</v>
      </c>
      <c r="Y584" s="24">
        <f t="shared" si="67"/>
        <v>4.2596658477575655E-2</v>
      </c>
      <c r="Z584" s="23">
        <f t="shared" si="68"/>
        <v>3.4819423062131261E-3</v>
      </c>
      <c r="AA584" s="36"/>
    </row>
    <row r="585" spans="15:27" ht="13.9" customHeight="1" x14ac:dyDescent="0.3">
      <c r="O585" s="12">
        <f t="shared" si="62"/>
        <v>47.666666666666664</v>
      </c>
      <c r="P585" s="13">
        <v>572</v>
      </c>
      <c r="Q585" s="22">
        <v>3.2982155574482697E-2</v>
      </c>
      <c r="R585" s="19">
        <f t="shared" si="63"/>
        <v>3.1644601502280434E-2</v>
      </c>
      <c r="S585" s="22">
        <v>3.7634256887086437E-2</v>
      </c>
      <c r="T585" s="19">
        <f t="shared" si="64"/>
        <v>4.2549182930747831E-2</v>
      </c>
      <c r="U585" s="24">
        <v>4.031503564651695E-2</v>
      </c>
      <c r="V585" s="24">
        <f t="shared" si="65"/>
        <v>4.2616084395720177E-2</v>
      </c>
      <c r="W585" s="23">
        <f t="shared" si="66"/>
        <v>3.4835235675270138E-3</v>
      </c>
      <c r="X585" s="24">
        <v>3.9771828113789764E-2</v>
      </c>
      <c r="Y585" s="24">
        <f t="shared" si="67"/>
        <v>4.2600434196585768E-2</v>
      </c>
      <c r="Z585" s="23">
        <f t="shared" si="68"/>
        <v>3.4822480167169267E-3</v>
      </c>
      <c r="AA585" s="36"/>
    </row>
    <row r="586" spans="15:27" ht="13.9" customHeight="1" x14ac:dyDescent="0.3">
      <c r="O586" s="12">
        <f t="shared" si="62"/>
        <v>47.75</v>
      </c>
      <c r="P586" s="13">
        <v>573</v>
      </c>
      <c r="Q586" s="22">
        <v>3.297981976423614E-2</v>
      </c>
      <c r="R586" s="19">
        <f t="shared" si="63"/>
        <v>3.165540340044859E-2</v>
      </c>
      <c r="S586" s="22">
        <v>3.7642814204206676E-2</v>
      </c>
      <c r="T586" s="19">
        <f t="shared" si="64"/>
        <v>4.2553769306872713E-2</v>
      </c>
      <c r="U586" s="24">
        <v>4.0319047011453613E-2</v>
      </c>
      <c r="V586" s="24">
        <f t="shared" si="65"/>
        <v>4.261957483327139E-2</v>
      </c>
      <c r="W586" s="23">
        <f t="shared" si="66"/>
        <v>3.4838060974777818E-3</v>
      </c>
      <c r="X586" s="24">
        <v>3.9776757908306593E-2</v>
      </c>
      <c r="Y586" s="24">
        <f t="shared" si="67"/>
        <v>4.2604174457581578E-2</v>
      </c>
      <c r="Z586" s="23">
        <f t="shared" si="68"/>
        <v>3.4825508552018825E-3</v>
      </c>
      <c r="AA586" s="36"/>
    </row>
    <row r="587" spans="15:27" ht="13.9" customHeight="1" x14ac:dyDescent="0.3">
      <c r="O587" s="12">
        <f t="shared" si="62"/>
        <v>47.833333333333336</v>
      </c>
      <c r="P587" s="13">
        <v>574</v>
      </c>
      <c r="Q587" s="22">
        <v>3.2977510940808585E-2</v>
      </c>
      <c r="R587" s="19">
        <f t="shared" si="63"/>
        <v>3.1666260770681687E-2</v>
      </c>
      <c r="S587" s="22">
        <v>3.7651349727741534E-2</v>
      </c>
      <c r="T587" s="19">
        <f t="shared" si="64"/>
        <v>4.25583088728263E-2</v>
      </c>
      <c r="U587" s="24">
        <v>4.0323050482413469E-2</v>
      </c>
      <c r="V587" s="24">
        <f t="shared" si="65"/>
        <v>4.2623033438437874E-2</v>
      </c>
      <c r="W587" s="23">
        <f t="shared" si="66"/>
        <v>3.4840860496927473E-3</v>
      </c>
      <c r="X587" s="24">
        <v>3.9781677047595831E-2</v>
      </c>
      <c r="Y587" s="24">
        <f t="shared" si="67"/>
        <v>4.2607879597148735E-2</v>
      </c>
      <c r="Z587" s="23">
        <f t="shared" si="68"/>
        <v>3.4828508487205756E-3</v>
      </c>
      <c r="AA587" s="36"/>
    </row>
    <row r="588" spans="15:27" ht="13.9" customHeight="1" x14ac:dyDescent="0.3">
      <c r="O588" s="12">
        <f t="shared" si="62"/>
        <v>47.916666666666664</v>
      </c>
      <c r="P588" s="13">
        <v>575</v>
      </c>
      <c r="Q588" s="22">
        <v>3.2975229059645006E-2</v>
      </c>
      <c r="R588" s="19">
        <f t="shared" si="63"/>
        <v>3.1677174346474324E-2</v>
      </c>
      <c r="S588" s="22">
        <v>3.7659863490165479E-2</v>
      </c>
      <c r="T588" s="19">
        <f t="shared" si="64"/>
        <v>4.2562802108982556E-2</v>
      </c>
      <c r="U588" s="24">
        <v>4.0327046045312898E-2</v>
      </c>
      <c r="V588" s="24">
        <f t="shared" si="65"/>
        <v>4.2626460503036423E-2</v>
      </c>
      <c r="W588" s="23">
        <f t="shared" si="66"/>
        <v>3.4843634479284624E-3</v>
      </c>
      <c r="X588" s="24">
        <v>3.9786585526282003E-2</v>
      </c>
      <c r="Y588" s="24">
        <f t="shared" si="67"/>
        <v>4.2611549946822036E-2</v>
      </c>
      <c r="Z588" s="23">
        <f t="shared" si="68"/>
        <v>3.4831480242971669E-3</v>
      </c>
      <c r="AA588" s="36"/>
    </row>
    <row r="589" spans="15:27" ht="13.9" customHeight="1" x14ac:dyDescent="0.3">
      <c r="O589" s="12">
        <f t="shared" si="62"/>
        <v>48</v>
      </c>
      <c r="P589" s="13">
        <v>576</v>
      </c>
      <c r="Q589" s="22">
        <v>3.2972974077772665E-2</v>
      </c>
      <c r="R589" s="19">
        <f t="shared" si="63"/>
        <v>3.168814436490508E-2</v>
      </c>
      <c r="S589" s="22">
        <v>3.7668355524557162E-2</v>
      </c>
      <c r="T589" s="19">
        <f t="shared" si="64"/>
        <v>4.2567249491032966E-2</v>
      </c>
      <c r="U589" s="24">
        <v>4.0331033686671791E-2</v>
      </c>
      <c r="V589" s="24">
        <f t="shared" si="65"/>
        <v>4.2629856315815395E-2</v>
      </c>
      <c r="W589" s="23">
        <f t="shared" si="66"/>
        <v>3.4846383156135197E-3</v>
      </c>
      <c r="X589" s="24">
        <v>3.9791483339600919E-2</v>
      </c>
      <c r="Y589" s="24">
        <f t="shared" si="67"/>
        <v>4.2615185834887326E-2</v>
      </c>
      <c r="Z589" s="23">
        <f t="shared" si="68"/>
        <v>3.4834424085501414E-3</v>
      </c>
      <c r="AA589" s="36"/>
    </row>
    <row r="590" spans="15:27" ht="13.9" customHeight="1" x14ac:dyDescent="0.3">
      <c r="O590" s="12">
        <f t="shared" ref="O590:O653" si="69">P590/12</f>
        <v>48.083333333333336</v>
      </c>
      <c r="P590" s="13">
        <v>577</v>
      </c>
      <c r="Q590" s="22">
        <v>3.2970745952926483E-2</v>
      </c>
      <c r="R590" s="19">
        <f t="shared" ref="R590:R653" si="70">(1+Q591)^P591/(1+Q590)^P590-1</f>
        <v>3.1699169563093044E-2</v>
      </c>
      <c r="S590" s="22">
        <v>3.7676825864586538E-2</v>
      </c>
      <c r="T590" s="19">
        <f t="shared" ref="T590:T653" si="71">(1+S591)^P591/(1+S590)^P590-1</f>
        <v>4.2571651490285412E-2</v>
      </c>
      <c r="U590" s="24">
        <v>4.0335013393602459E-2</v>
      </c>
      <c r="V590" s="24">
        <f t="shared" ref="V590:V653" si="72">(1+U591)^P591/(1+U590)^P590-1</f>
        <v>4.263322116449908E-2</v>
      </c>
      <c r="W590" s="23">
        <f t="shared" si="66"/>
        <v>3.4849106759300419E-3</v>
      </c>
      <c r="X590" s="24">
        <v>3.9796370483388355E-2</v>
      </c>
      <c r="Y590" s="24">
        <f t="shared" si="67"/>
        <v>4.2618787586943929E-2</v>
      </c>
      <c r="Z590" s="23">
        <f t="shared" si="68"/>
        <v>3.4837340278370821E-3</v>
      </c>
      <c r="AA590" s="36"/>
    </row>
    <row r="591" spans="15:27" ht="13.9" customHeight="1" x14ac:dyDescent="0.3">
      <c r="O591" s="12">
        <f t="shared" si="69"/>
        <v>48.166666666666664</v>
      </c>
      <c r="P591" s="13">
        <v>578</v>
      </c>
      <c r="Q591" s="22">
        <v>3.2968544640944231E-2</v>
      </c>
      <c r="R591" s="19">
        <f t="shared" si="70"/>
        <v>3.1710250188659916E-2</v>
      </c>
      <c r="S591" s="22">
        <v>3.7685274544501546E-2</v>
      </c>
      <c r="T591" s="19">
        <f t="shared" si="71"/>
        <v>4.2576008572256185E-2</v>
      </c>
      <c r="U591" s="24">
        <v>4.0338985153802964E-2</v>
      </c>
      <c r="V591" s="24">
        <f t="shared" si="72"/>
        <v>4.2636555331555748E-2</v>
      </c>
      <c r="W591" s="23">
        <f t="shared" ref="W591:W654" si="73">(1+V590)^(1/12)-1</f>
        <v>3.4851805519766632E-3</v>
      </c>
      <c r="X591" s="24">
        <v>3.9801246954070946E-2</v>
      </c>
      <c r="Y591" s="24">
        <f t="shared" ref="Y591:Y654" si="74">(1+X592)^P592/(1+X591)^P591-1</f>
        <v>4.2622355525447686E-2</v>
      </c>
      <c r="Z591" s="23">
        <f t="shared" ref="Z591:Z654" si="75">(1+Y590)^(1/12)-1</f>
        <v>3.4840229082990781E-3</v>
      </c>
      <c r="AA591" s="36"/>
    </row>
    <row r="592" spans="15:27" ht="13.9" customHeight="1" x14ac:dyDescent="0.3">
      <c r="O592" s="12">
        <f t="shared" si="69"/>
        <v>48.25</v>
      </c>
      <c r="P592" s="13">
        <v>579</v>
      </c>
      <c r="Q592" s="22">
        <v>3.2966370098395315E-2</v>
      </c>
      <c r="R592" s="19">
        <f t="shared" si="70"/>
        <v>3.1721386992247247E-2</v>
      </c>
      <c r="S592" s="22">
        <v>3.7693701599113671E-2</v>
      </c>
      <c r="T592" s="19">
        <f t="shared" si="71"/>
        <v>4.2580321198617765E-2</v>
      </c>
      <c r="U592" s="24">
        <v>4.0342948955543356E-2</v>
      </c>
      <c r="V592" s="24">
        <f t="shared" si="72"/>
        <v>4.2639859100452204E-2</v>
      </c>
      <c r="W592" s="23">
        <f t="shared" si="73"/>
        <v>3.4854479664310212E-3</v>
      </c>
      <c r="X592" s="24">
        <v>3.9806112748654865E-2</v>
      </c>
      <c r="Y592" s="24">
        <f t="shared" si="74"/>
        <v>4.2625889970235642E-2</v>
      </c>
      <c r="Z592" s="23">
        <f t="shared" si="75"/>
        <v>3.4843090758249762E-3</v>
      </c>
      <c r="AA592" s="36"/>
    </row>
    <row r="593" spans="15:27" ht="13.9" customHeight="1" x14ac:dyDescent="0.3">
      <c r="O593" s="12">
        <f t="shared" si="69"/>
        <v>48.333333333333336</v>
      </c>
      <c r="P593" s="13">
        <v>580</v>
      </c>
      <c r="Q593" s="22">
        <v>3.2964222283442535E-2</v>
      </c>
      <c r="R593" s="19">
        <f t="shared" si="70"/>
        <v>3.1732580731252735E-2</v>
      </c>
      <c r="S593" s="22">
        <v>3.7702107063786627E-2</v>
      </c>
      <c r="T593" s="19">
        <f t="shared" si="71"/>
        <v>4.2584589825125141E-2</v>
      </c>
      <c r="U593" s="24">
        <v>4.0346904787661675E-2</v>
      </c>
      <c r="V593" s="24">
        <f t="shared" si="72"/>
        <v>4.2643132748259927E-2</v>
      </c>
      <c r="W593" s="23">
        <f t="shared" si="73"/>
        <v>3.4857129420498012E-3</v>
      </c>
      <c r="X593" s="24">
        <v>3.981096786471694E-2</v>
      </c>
      <c r="Y593" s="24">
        <f t="shared" si="74"/>
        <v>4.2629391236875813E-2</v>
      </c>
      <c r="Z593" s="23">
        <f t="shared" si="75"/>
        <v>3.4845925560929025E-3</v>
      </c>
      <c r="AA593" s="36"/>
    </row>
    <row r="594" spans="15:27" ht="13.9" customHeight="1" x14ac:dyDescent="0.3">
      <c r="O594" s="12">
        <f t="shared" si="69"/>
        <v>48.416666666666664</v>
      </c>
      <c r="P594" s="13">
        <v>581</v>
      </c>
      <c r="Q594" s="22">
        <v>3.2962101155840084E-2</v>
      </c>
      <c r="R594" s="19">
        <f t="shared" si="70"/>
        <v>3.1743832166168717E-2</v>
      </c>
      <c r="S594" s="22">
        <v>3.7710490974421029E-2</v>
      </c>
      <c r="T594" s="19">
        <f t="shared" si="71"/>
        <v>4.2588814903666838E-2</v>
      </c>
      <c r="U594" s="24">
        <v>4.0350852639548851E-2</v>
      </c>
      <c r="V594" s="24">
        <f t="shared" si="72"/>
        <v>4.2646376552016418E-2</v>
      </c>
      <c r="W594" s="23">
        <f t="shared" si="73"/>
        <v>3.4859755010763216E-3</v>
      </c>
      <c r="X594" s="24">
        <v>3.9815812300392217E-2</v>
      </c>
      <c r="Y594" s="24">
        <f t="shared" si="74"/>
        <v>4.2632859638732201E-2</v>
      </c>
      <c r="Z594" s="23">
        <f t="shared" si="75"/>
        <v>3.4848733744377025E-3</v>
      </c>
      <c r="AA594" s="36"/>
    </row>
    <row r="595" spans="15:27" ht="13.9" customHeight="1" x14ac:dyDescent="0.3">
      <c r="O595" s="12">
        <f t="shared" si="69"/>
        <v>48.5</v>
      </c>
      <c r="P595" s="13">
        <v>582</v>
      </c>
      <c r="Q595" s="22">
        <v>3.2960006676925113E-2</v>
      </c>
      <c r="R595" s="19">
        <f t="shared" si="70"/>
        <v>3.1755141568901912E-2</v>
      </c>
      <c r="S595" s="22">
        <v>3.7718853367443295E-2</v>
      </c>
      <c r="T595" s="19">
        <f t="shared" si="71"/>
        <v>4.2592996881615219E-2</v>
      </c>
      <c r="U595" s="24">
        <v>4.0354792501143377E-2</v>
      </c>
      <c r="V595" s="24">
        <f t="shared" si="72"/>
        <v>4.2649590785561298E-2</v>
      </c>
      <c r="W595" s="23">
        <f t="shared" si="73"/>
        <v>3.486235665750792E-3</v>
      </c>
      <c r="X595" s="24">
        <v>3.9820646054365305E-2</v>
      </c>
      <c r="Y595" s="24">
        <f t="shared" si="74"/>
        <v>4.2636295486985665E-2</v>
      </c>
      <c r="Z595" s="23">
        <f t="shared" si="75"/>
        <v>3.4851515560172519E-3</v>
      </c>
      <c r="AA595" s="36"/>
    </row>
    <row r="596" spans="15:27" ht="13.9" customHeight="1" x14ac:dyDescent="0.3">
      <c r="O596" s="12">
        <f t="shared" si="69"/>
        <v>48.583333333333336</v>
      </c>
      <c r="P596" s="13">
        <v>583</v>
      </c>
      <c r="Q596" s="22">
        <v>3.2957938808764631E-2</v>
      </c>
      <c r="R596" s="19">
        <f t="shared" si="70"/>
        <v>3.176650773903078E-2</v>
      </c>
      <c r="S596" s="22">
        <v>3.7727194279793652E-2</v>
      </c>
      <c r="T596" s="19">
        <f t="shared" si="71"/>
        <v>4.2597136200559937E-2</v>
      </c>
      <c r="U596" s="24">
        <v>4.0358724362921539E-2</v>
      </c>
      <c r="V596" s="24">
        <f t="shared" si="72"/>
        <v>4.2652775719304925E-2</v>
      </c>
      <c r="W596" s="23">
        <f t="shared" si="73"/>
        <v>3.4864934580567386E-3</v>
      </c>
      <c r="X596" s="24">
        <v>3.9825469125861934E-2</v>
      </c>
      <c r="Y596" s="24">
        <f t="shared" si="74"/>
        <v>4.263969908764742E-2</v>
      </c>
      <c r="Z596" s="23">
        <f t="shared" si="75"/>
        <v>3.4854271258135672E-3</v>
      </c>
      <c r="AA596" s="36"/>
    </row>
    <row r="597" spans="15:27" ht="13.9" customHeight="1" x14ac:dyDescent="0.3">
      <c r="O597" s="12">
        <f t="shared" si="69"/>
        <v>48.666666666666664</v>
      </c>
      <c r="P597" s="13">
        <v>584</v>
      </c>
      <c r="Q597" s="22">
        <v>3.2955897511625976E-2</v>
      </c>
      <c r="R597" s="19">
        <f t="shared" si="70"/>
        <v>3.1777930958460709E-2</v>
      </c>
      <c r="S597" s="22">
        <v>3.7735513748912153E-2</v>
      </c>
      <c r="T597" s="19">
        <f t="shared" si="71"/>
        <v>4.2601233298421803E-2</v>
      </c>
      <c r="U597" s="24">
        <v>4.0362648215886532E-2</v>
      </c>
      <c r="V597" s="24">
        <f t="shared" si="72"/>
        <v>4.2655931622409327E-2</v>
      </c>
      <c r="W597" s="23">
        <f t="shared" si="73"/>
        <v>3.486748899701686E-3</v>
      </c>
      <c r="X597" s="24">
        <v>3.9830281514635857E-2</v>
      </c>
      <c r="Y597" s="24">
        <f t="shared" si="74"/>
        <v>4.2643070746190226E-2</v>
      </c>
      <c r="Z597" s="23">
        <f t="shared" si="75"/>
        <v>3.4857001083938854E-3</v>
      </c>
      <c r="AA597" s="36"/>
    </row>
    <row r="598" spans="15:27" ht="13.9" customHeight="1" x14ac:dyDescent="0.3">
      <c r="O598" s="12">
        <f t="shared" si="69"/>
        <v>48.75</v>
      </c>
      <c r="P598" s="13">
        <v>585</v>
      </c>
      <c r="Q598" s="22">
        <v>3.2953882746528551E-2</v>
      </c>
      <c r="R598" s="19">
        <f t="shared" si="70"/>
        <v>3.1789412007101392E-2</v>
      </c>
      <c r="S598" s="22">
        <v>3.7743811812727124E-2</v>
      </c>
      <c r="T598" s="19">
        <f t="shared" si="71"/>
        <v>4.2605288608358327E-2</v>
      </c>
      <c r="U598" s="24">
        <v>4.0366564051562248E-2</v>
      </c>
      <c r="V598" s="24">
        <f t="shared" si="72"/>
        <v>4.2659058760334601E-2</v>
      </c>
      <c r="W598" s="23">
        <f t="shared" si="73"/>
        <v>3.4870020122930168E-3</v>
      </c>
      <c r="X598" s="24">
        <v>3.983508322096263E-2</v>
      </c>
      <c r="Y598" s="24">
        <f t="shared" si="74"/>
        <v>4.2646410763283127E-2</v>
      </c>
      <c r="Z598" s="23">
        <f t="shared" si="75"/>
        <v>3.4859705282810349E-3</v>
      </c>
      <c r="AA598" s="36"/>
    </row>
    <row r="599" spans="15:27" ht="13.9" customHeight="1" x14ac:dyDescent="0.3">
      <c r="O599" s="12">
        <f t="shared" si="69"/>
        <v>48.833333333333336</v>
      </c>
      <c r="P599" s="13">
        <v>586</v>
      </c>
      <c r="Q599" s="22">
        <v>3.2951894476088261E-2</v>
      </c>
      <c r="R599" s="19">
        <f t="shared" si="70"/>
        <v>3.1800951669108013E-2</v>
      </c>
      <c r="S599" s="22">
        <v>3.7752088509644066E-2</v>
      </c>
      <c r="T599" s="19">
        <f t="shared" si="71"/>
        <v>4.2609302559131201E-2</v>
      </c>
      <c r="U599" s="24">
        <v>4.0370471861982171E-2</v>
      </c>
      <c r="V599" s="24">
        <f t="shared" si="72"/>
        <v>4.2662157397894029E-2</v>
      </c>
      <c r="W599" s="23">
        <f t="shared" si="73"/>
        <v>3.4872528171410178E-3</v>
      </c>
      <c r="X599" s="24">
        <v>3.9839874245627849E-2</v>
      </c>
      <c r="Y599" s="24">
        <f t="shared" si="74"/>
        <v>4.2649719438151212E-2</v>
      </c>
      <c r="Z599" s="23">
        <f t="shared" si="75"/>
        <v>3.4862384096128185E-3</v>
      </c>
      <c r="AA599" s="36"/>
    </row>
    <row r="600" spans="15:27" ht="13.9" customHeight="1" x14ac:dyDescent="0.3">
      <c r="O600" s="12">
        <f t="shared" si="69"/>
        <v>48.916666666666664</v>
      </c>
      <c r="P600" s="13">
        <v>587</v>
      </c>
      <c r="Q600" s="22">
        <v>3.2949932664511072E-2</v>
      </c>
      <c r="R600" s="19">
        <f t="shared" si="70"/>
        <v>3.181255073213296E-2</v>
      </c>
      <c r="S600" s="22">
        <v>3.7760343878533664E-2</v>
      </c>
      <c r="T600" s="19">
        <f t="shared" si="71"/>
        <v>4.2613275575103859E-2</v>
      </c>
      <c r="U600" s="24">
        <v>4.037437163968427E-2</v>
      </c>
      <c r="V600" s="24">
        <f t="shared" si="72"/>
        <v>4.2665227794977723E-2</v>
      </c>
      <c r="W600" s="23">
        <f t="shared" si="73"/>
        <v>3.4875013355029072E-3</v>
      </c>
      <c r="X600" s="24">
        <v>3.9844654589920037E-2</v>
      </c>
      <c r="Y600" s="24">
        <f t="shared" si="74"/>
        <v>4.2652997066362497E-2</v>
      </c>
      <c r="Z600" s="23">
        <f t="shared" si="75"/>
        <v>3.4865037764104656E-3</v>
      </c>
      <c r="AA600" s="36"/>
    </row>
    <row r="601" spans="15:27" ht="13.9" customHeight="1" x14ac:dyDescent="0.3">
      <c r="O601" s="12">
        <f t="shared" si="69"/>
        <v>49</v>
      </c>
      <c r="P601" s="13">
        <v>588</v>
      </c>
      <c r="Q601" s="22">
        <v>3.2947997277585239E-2</v>
      </c>
      <c r="R601" s="19">
        <f t="shared" si="70"/>
        <v>3.1824209505454615E-2</v>
      </c>
      <c r="S601" s="22">
        <v>3.776857795872024E-2</v>
      </c>
      <c r="T601" s="19">
        <f t="shared" si="71"/>
        <v>4.2617208075315771E-2</v>
      </c>
      <c r="U601" s="24">
        <v>4.037826337769812E-2</v>
      </c>
      <c r="V601" s="24">
        <f t="shared" si="72"/>
        <v>4.2668270211035697E-2</v>
      </c>
      <c r="W601" s="23">
        <f t="shared" si="73"/>
        <v>3.4877475882415521E-3</v>
      </c>
      <c r="X601" s="24">
        <v>3.9849424255619992E-2</v>
      </c>
      <c r="Y601" s="24">
        <f t="shared" si="74"/>
        <v>4.2656243940079719E-2</v>
      </c>
      <c r="Z601" s="23">
        <f t="shared" si="75"/>
        <v>3.4867666524012186E-3</v>
      </c>
      <c r="AA601" s="36"/>
    </row>
    <row r="602" spans="15:27" ht="13.9" customHeight="1" x14ac:dyDescent="0.3">
      <c r="O602" s="12">
        <f t="shared" si="69"/>
        <v>49.083333333333336</v>
      </c>
      <c r="P602" s="13">
        <v>589</v>
      </c>
      <c r="Q602" s="22">
        <v>3.2946088281855301E-2</v>
      </c>
      <c r="R602" s="19">
        <f t="shared" si="70"/>
        <v>3.1835926849295149E-2</v>
      </c>
      <c r="S602" s="22">
        <v>3.7776790789969095E-2</v>
      </c>
      <c r="T602" s="19">
        <f t="shared" si="71"/>
        <v>4.2621100476175178E-2</v>
      </c>
      <c r="U602" s="24">
        <v>4.038214706954002E-2</v>
      </c>
      <c r="V602" s="24">
        <f t="shared" si="72"/>
        <v>4.2671284902625839E-2</v>
      </c>
      <c r="W602" s="23">
        <f t="shared" si="73"/>
        <v>3.487991596183182E-3</v>
      </c>
      <c r="X602" s="24">
        <v>3.9854183244990793E-2</v>
      </c>
      <c r="Y602" s="24">
        <f t="shared" si="74"/>
        <v>4.2659460350811473E-2</v>
      </c>
      <c r="Z602" s="23">
        <f t="shared" si="75"/>
        <v>3.487027061038761E-3</v>
      </c>
      <c r="AA602" s="36"/>
    </row>
    <row r="603" spans="15:27" ht="13.9" customHeight="1" x14ac:dyDescent="0.3">
      <c r="O603" s="12">
        <f t="shared" si="69"/>
        <v>49.166666666666664</v>
      </c>
      <c r="P603" s="13">
        <v>590</v>
      </c>
      <c r="Q603" s="22">
        <v>3.2944205642156055E-2</v>
      </c>
      <c r="R603" s="19">
        <f t="shared" si="70"/>
        <v>3.1847703083352608E-2</v>
      </c>
      <c r="S603" s="22">
        <v>3.7784982412478518E-2</v>
      </c>
      <c r="T603" s="19">
        <f t="shared" si="71"/>
        <v>4.2624953188354908E-2</v>
      </c>
      <c r="U603" s="24">
        <v>4.0386022709203884E-2</v>
      </c>
      <c r="V603" s="24">
        <f t="shared" si="72"/>
        <v>4.2674272123468082E-2</v>
      </c>
      <c r="W603" s="23">
        <f t="shared" si="73"/>
        <v>3.4882333799226561E-3</v>
      </c>
      <c r="X603" s="24">
        <v>3.9858931560773136E-2</v>
      </c>
      <c r="Y603" s="24">
        <f t="shared" si="74"/>
        <v>4.2662646585131414E-2</v>
      </c>
      <c r="Z603" s="23">
        <f t="shared" si="75"/>
        <v>3.4872850257243737E-3</v>
      </c>
      <c r="AA603" s="36"/>
    </row>
    <row r="604" spans="15:27" ht="13.9" customHeight="1" x14ac:dyDescent="0.3">
      <c r="O604" s="12">
        <f t="shared" si="69"/>
        <v>49.25</v>
      </c>
      <c r="P604" s="13">
        <v>591</v>
      </c>
      <c r="Q604" s="22">
        <v>3.2942349324100118E-2</v>
      </c>
      <c r="R604" s="19">
        <f t="shared" si="70"/>
        <v>3.185953901443983E-2</v>
      </c>
      <c r="S604" s="22">
        <v>3.7793152866866242E-2</v>
      </c>
      <c r="T604" s="19">
        <f t="shared" si="71"/>
        <v>4.2628766618537428E-2</v>
      </c>
      <c r="U604" s="24">
        <v>4.0389890291152808E-2</v>
      </c>
      <c r="V604" s="24">
        <f t="shared" si="72"/>
        <v>4.2677232125077458E-2</v>
      </c>
      <c r="W604" s="23">
        <f t="shared" si="73"/>
        <v>3.4884729598261277E-3</v>
      </c>
      <c r="X604" s="24">
        <v>3.9863669206172458E-2</v>
      </c>
      <c r="Y604" s="24">
        <f t="shared" si="74"/>
        <v>4.2665802927529306E-2</v>
      </c>
      <c r="Z604" s="23">
        <f t="shared" si="75"/>
        <v>3.4875405694620998E-3</v>
      </c>
      <c r="AA604" s="36"/>
    </row>
    <row r="605" spans="15:27" ht="13.9" customHeight="1" x14ac:dyDescent="0.3">
      <c r="O605" s="12">
        <f t="shared" si="69"/>
        <v>49.333333333333336</v>
      </c>
      <c r="P605" s="13">
        <v>592</v>
      </c>
      <c r="Q605" s="22">
        <v>3.2940519294894388E-2</v>
      </c>
      <c r="R605" s="19">
        <f t="shared" si="70"/>
        <v>3.1871435455346653E-2</v>
      </c>
      <c r="S605" s="22">
        <v>3.7801302194159225E-2</v>
      </c>
      <c r="T605" s="19">
        <f t="shared" si="71"/>
        <v>4.2632541169905336E-2</v>
      </c>
      <c r="U605" s="24">
        <v>4.0393749810310853E-2</v>
      </c>
      <c r="V605" s="24">
        <f t="shared" si="72"/>
        <v>4.2680165156673722E-2</v>
      </c>
      <c r="W605" s="23">
        <f t="shared" si="73"/>
        <v>3.4887103560827804E-3</v>
      </c>
      <c r="X605" s="24">
        <v>3.9868396184851607E-2</v>
      </c>
      <c r="Y605" s="24">
        <f t="shared" si="74"/>
        <v>4.2668929660324206E-2</v>
      </c>
      <c r="Z605" s="23">
        <f t="shared" si="75"/>
        <v>3.4877937150892269E-3</v>
      </c>
      <c r="AA605" s="36"/>
    </row>
    <row r="606" spans="15:27" ht="13.9" customHeight="1" x14ac:dyDescent="0.3">
      <c r="O606" s="12">
        <f t="shared" si="69"/>
        <v>49.416666666666664</v>
      </c>
      <c r="P606" s="13">
        <v>593</v>
      </c>
      <c r="Q606" s="22">
        <v>3.2938715523336937E-2</v>
      </c>
      <c r="R606" s="19">
        <f t="shared" si="70"/>
        <v>3.1883393223638201E-2</v>
      </c>
      <c r="S606" s="22">
        <v>3.780943043578433E-2</v>
      </c>
      <c r="T606" s="19">
        <f t="shared" si="71"/>
        <v>4.2636277240435394E-2</v>
      </c>
      <c r="U606" s="24">
        <v>4.0397601262055938E-2</v>
      </c>
      <c r="V606" s="24">
        <f t="shared" si="72"/>
        <v>4.2683071465918987E-2</v>
      </c>
      <c r="W606" s="23">
        <f t="shared" si="73"/>
        <v>3.4889455886975007E-3</v>
      </c>
      <c r="X606" s="24">
        <v>3.9873112500923513E-2</v>
      </c>
      <c r="Y606" s="24">
        <f t="shared" si="74"/>
        <v>4.2672027062473639E-2</v>
      </c>
      <c r="Z606" s="23">
        <f t="shared" si="75"/>
        <v>3.4880444852682935E-3</v>
      </c>
      <c r="AA606" s="36"/>
    </row>
    <row r="607" spans="15:27" ht="13.9" customHeight="1" x14ac:dyDescent="0.3">
      <c r="O607" s="12">
        <f t="shared" si="69"/>
        <v>49.5</v>
      </c>
      <c r="P607" s="13">
        <v>594</v>
      </c>
      <c r="Q607" s="22">
        <v>3.2936937979811454E-2</v>
      </c>
      <c r="R607" s="19">
        <f t="shared" si="70"/>
        <v>3.1895412664245004E-2</v>
      </c>
      <c r="S607" s="22">
        <v>3.7817537633556553E-2</v>
      </c>
      <c r="T607" s="19">
        <f t="shared" si="71"/>
        <v>4.263997522535834E-2</v>
      </c>
      <c r="U607" s="24">
        <v>4.0401444642212514E-2</v>
      </c>
      <c r="V607" s="24">
        <f t="shared" si="72"/>
        <v>4.2685951297561031E-2</v>
      </c>
      <c r="W607" s="23">
        <f t="shared" si="73"/>
        <v>3.4891786775497202E-3</v>
      </c>
      <c r="X607" s="24">
        <v>3.9877818158941647E-2</v>
      </c>
      <c r="Y607" s="24">
        <f t="shared" si="74"/>
        <v>4.2675095410800834E-2</v>
      </c>
      <c r="Z607" s="23">
        <f t="shared" si="75"/>
        <v>3.4882929023918319E-3</v>
      </c>
      <c r="AA607" s="36"/>
    </row>
    <row r="608" spans="15:27" ht="13.9" customHeight="1" x14ac:dyDescent="0.3">
      <c r="O608" s="12">
        <f t="shared" si="69"/>
        <v>49.583333333333336</v>
      </c>
      <c r="P608" s="13">
        <v>595</v>
      </c>
      <c r="Q608" s="22">
        <v>3.2935186635478786E-2</v>
      </c>
      <c r="R608" s="19">
        <f t="shared" si="70"/>
        <v>3.1907492699869477E-2</v>
      </c>
      <c r="S608" s="22">
        <v>3.7825623829670585E-2</v>
      </c>
      <c r="T608" s="19">
        <f t="shared" si="71"/>
        <v>4.2643635513589517E-2</v>
      </c>
      <c r="U608" s="24">
        <v>4.0405279947044015E-2</v>
      </c>
      <c r="V608" s="24">
        <f t="shared" si="72"/>
        <v>4.2688804892982324E-2</v>
      </c>
      <c r="W608" s="23">
        <f t="shared" si="73"/>
        <v>3.4894096422846133E-3</v>
      </c>
      <c r="X608" s="24">
        <v>3.9882513163892686E-2</v>
      </c>
      <c r="Y608" s="24">
        <f t="shared" si="74"/>
        <v>4.2678134979071025E-2</v>
      </c>
      <c r="Z608" s="23">
        <f t="shared" si="75"/>
        <v>3.4885389886802898E-3</v>
      </c>
      <c r="AA608" s="36"/>
    </row>
    <row r="609" spans="15:27" ht="13.9" customHeight="1" x14ac:dyDescent="0.3">
      <c r="O609" s="12">
        <f t="shared" si="69"/>
        <v>49.666666666666664</v>
      </c>
      <c r="P609" s="13">
        <v>596</v>
      </c>
      <c r="Q609" s="22">
        <v>3.2933461459881519E-2</v>
      </c>
      <c r="R609" s="19">
        <f t="shared" si="70"/>
        <v>3.1919633686957161E-2</v>
      </c>
      <c r="S609" s="22">
        <v>3.7833689066687715E-2</v>
      </c>
      <c r="T609" s="19">
        <f t="shared" si="71"/>
        <v>4.2647258492698459E-2</v>
      </c>
      <c r="U609" s="24">
        <v>4.040910717324242E-2</v>
      </c>
      <c r="V609" s="24">
        <f t="shared" si="72"/>
        <v>4.2691632493137011E-2</v>
      </c>
      <c r="W609" s="23">
        <f t="shared" si="73"/>
        <v>3.48963850227757E-3</v>
      </c>
      <c r="X609" s="24">
        <v>3.9887197521187856E-2</v>
      </c>
      <c r="Y609" s="24">
        <f t="shared" si="74"/>
        <v>4.2681146038409112E-2</v>
      </c>
      <c r="Z609" s="23">
        <f t="shared" si="75"/>
        <v>3.4887827661091997E-3</v>
      </c>
      <c r="AA609" s="36"/>
    </row>
    <row r="610" spans="15:27" ht="13.9" customHeight="1" x14ac:dyDescent="0.3">
      <c r="O610" s="12">
        <f t="shared" si="69"/>
        <v>49.75</v>
      </c>
      <c r="P610" s="13">
        <v>597</v>
      </c>
      <c r="Q610" s="22">
        <v>3.2931762423361821E-2</v>
      </c>
      <c r="R610" s="19">
        <f t="shared" si="70"/>
        <v>3.1931836462533836E-2</v>
      </c>
      <c r="S610" s="22">
        <v>3.784173338752983E-2</v>
      </c>
      <c r="T610" s="19">
        <f t="shared" si="71"/>
        <v>4.2650844543928201E-2</v>
      </c>
      <c r="U610" s="24">
        <v>4.0412926317924924E-2</v>
      </c>
      <c r="V610" s="24">
        <f t="shared" si="72"/>
        <v>4.2694434336572273E-2</v>
      </c>
      <c r="W610" s="23">
        <f t="shared" si="73"/>
        <v>3.4898652768688976E-3</v>
      </c>
      <c r="X610" s="24">
        <v>3.9891871236654941E-2</v>
      </c>
      <c r="Y610" s="24">
        <f t="shared" si="74"/>
        <v>4.2684128858173631E-2</v>
      </c>
      <c r="Z610" s="23">
        <f t="shared" si="75"/>
        <v>3.4890242564413754E-3</v>
      </c>
      <c r="AA610" s="36"/>
    </row>
    <row r="611" spans="15:27" ht="13.9" customHeight="1" x14ac:dyDescent="0.3">
      <c r="O611" s="12">
        <f t="shared" si="69"/>
        <v>49.833333333333336</v>
      </c>
      <c r="P611" s="13">
        <v>598</v>
      </c>
      <c r="Q611" s="22">
        <v>3.2930089497859028E-2</v>
      </c>
      <c r="R611" s="19">
        <f t="shared" si="70"/>
        <v>3.1944101868050856E-2</v>
      </c>
      <c r="S611" s="22">
        <v>3.7849756835466986E-2</v>
      </c>
      <c r="T611" s="19">
        <f t="shared" si="71"/>
        <v>4.2654394046863997E-2</v>
      </c>
      <c r="U611" s="24">
        <v>4.0416737378625722E-2</v>
      </c>
      <c r="V611" s="24">
        <f t="shared" si="72"/>
        <v>4.2697210658055207E-2</v>
      </c>
      <c r="W611" s="23">
        <f t="shared" si="73"/>
        <v>3.4900899852055023E-3</v>
      </c>
      <c r="X611" s="24">
        <v>3.989653431653184E-2</v>
      </c>
      <c r="Y611" s="24">
        <f t="shared" si="74"/>
        <v>4.2687083704021633E-2</v>
      </c>
      <c r="Z611" s="23">
        <f t="shared" si="75"/>
        <v>3.4892634812979662E-3</v>
      </c>
      <c r="AA611" s="36"/>
    </row>
    <row r="612" spans="15:27" ht="13.9" customHeight="1" x14ac:dyDescent="0.3">
      <c r="O612" s="12">
        <f t="shared" si="69"/>
        <v>49.916666666666664</v>
      </c>
      <c r="P612" s="13">
        <v>599</v>
      </c>
      <c r="Q612" s="22">
        <v>3.2928442656903423E-2</v>
      </c>
      <c r="R612" s="19">
        <f t="shared" si="70"/>
        <v>3.1956430750710307E-2</v>
      </c>
      <c r="S612" s="22">
        <v>3.7857759454110296E-2</v>
      </c>
      <c r="T612" s="19">
        <f t="shared" si="71"/>
        <v>4.265790737423325E-2</v>
      </c>
      <c r="U612" s="24">
        <v>4.042054035328646E-2</v>
      </c>
      <c r="V612" s="24">
        <f t="shared" si="72"/>
        <v>4.2699961691984534E-2</v>
      </c>
      <c r="W612" s="23">
        <f t="shared" si="73"/>
        <v>3.4903126461309775E-3</v>
      </c>
      <c r="X612" s="24">
        <v>3.990118676745702E-2</v>
      </c>
      <c r="Y612" s="24">
        <f t="shared" si="74"/>
        <v>4.2690010839627535E-2</v>
      </c>
      <c r="Z612" s="23">
        <f t="shared" si="75"/>
        <v>3.4895004620023595E-3</v>
      </c>
      <c r="AA612" s="36"/>
    </row>
    <row r="613" spans="15:27" ht="13.9" customHeight="1" x14ac:dyDescent="0.3">
      <c r="O613" s="12">
        <f t="shared" si="69"/>
        <v>50</v>
      </c>
      <c r="P613" s="13">
        <v>600</v>
      </c>
      <c r="Q613" s="22">
        <v>3.2926821875612911E-2</v>
      </c>
      <c r="R613" s="19">
        <f t="shared" si="70"/>
        <v>3.1968795495114222E-2</v>
      </c>
      <c r="S613" s="22">
        <v>3.7865741287399057E-2</v>
      </c>
      <c r="T613" s="19">
        <f t="shared" si="71"/>
        <v>4.2661384897435761E-2</v>
      </c>
      <c r="U613" s="24">
        <v>4.0424335240252462E-2</v>
      </c>
      <c r="V613" s="24">
        <f t="shared" si="72"/>
        <v>4.2702687669301964E-2</v>
      </c>
      <c r="W613" s="23">
        <f t="shared" si="73"/>
        <v>3.4905332784593845E-3</v>
      </c>
      <c r="X613" s="24">
        <v>3.9905828596462856E-2</v>
      </c>
      <c r="Y613" s="24">
        <f t="shared" si="74"/>
        <v>4.2692910526048511E-2</v>
      </c>
      <c r="Z613" s="23">
        <f t="shared" si="75"/>
        <v>3.4897352197189591E-3</v>
      </c>
      <c r="AA613" s="36"/>
    </row>
    <row r="614" spans="15:27" ht="13.9" customHeight="1" x14ac:dyDescent="0.3">
      <c r="O614" s="12">
        <f t="shared" si="69"/>
        <v>50.083333333333336</v>
      </c>
      <c r="P614" s="13">
        <v>601</v>
      </c>
      <c r="Q614" s="22">
        <v>3.292522708327672E-2</v>
      </c>
      <c r="R614" s="19">
        <f t="shared" si="70"/>
        <v>3.198108311364467E-2</v>
      </c>
      <c r="S614" s="22">
        <v>3.7873702379594976E-2</v>
      </c>
      <c r="T614" s="19">
        <f t="shared" si="71"/>
        <v>4.266482698364582E-2</v>
      </c>
      <c r="U614" s="24">
        <v>4.0428122038262959E-2</v>
      </c>
      <c r="V614" s="24">
        <f t="shared" si="72"/>
        <v>4.2705388819548995E-2</v>
      </c>
      <c r="W614" s="23">
        <f t="shared" si="73"/>
        <v>3.4907519007265631E-3</v>
      </c>
      <c r="X614" s="24">
        <v>3.9910459810967858E-2</v>
      </c>
      <c r="Y614" s="24">
        <f t="shared" si="74"/>
        <v>4.2695783022733469E-2</v>
      </c>
      <c r="Z614" s="23">
        <f t="shared" si="75"/>
        <v>3.4899677754018921E-3</v>
      </c>
      <c r="AA614" s="36"/>
    </row>
    <row r="615" spans="15:27" ht="13.9" customHeight="1" x14ac:dyDescent="0.3">
      <c r="O615" s="12">
        <f t="shared" si="69"/>
        <v>50.166666666666664</v>
      </c>
      <c r="P615" s="13">
        <v>602</v>
      </c>
      <c r="Q615" s="22">
        <v>3.2923658021794866E-2</v>
      </c>
      <c r="R615" s="19">
        <f t="shared" si="70"/>
        <v>3.1993266056315361E-2</v>
      </c>
      <c r="S615" s="22">
        <v>3.7881642775272839E-2</v>
      </c>
      <c r="T615" s="19">
        <f t="shared" si="71"/>
        <v>4.2668233994999305E-2</v>
      </c>
      <c r="U615" s="24">
        <v>4.0431900746446425E-2</v>
      </c>
      <c r="V615" s="24">
        <f t="shared" si="72"/>
        <v>4.2708065370182569E-2</v>
      </c>
      <c r="W615" s="23">
        <f t="shared" si="73"/>
        <v>3.4909685313557759E-3</v>
      </c>
      <c r="X615" s="24">
        <v>3.9915080418771343E-2</v>
      </c>
      <c r="Y615" s="24">
        <f t="shared" si="74"/>
        <v>4.2698628585240206E-2</v>
      </c>
      <c r="Z615" s="23">
        <f t="shared" si="75"/>
        <v>3.4901981498756118E-3</v>
      </c>
      <c r="AA615" s="36"/>
    </row>
    <row r="616" spans="15:27" ht="13.9" customHeight="1" x14ac:dyDescent="0.3">
      <c r="O616" s="12">
        <f t="shared" si="69"/>
        <v>50.25</v>
      </c>
      <c r="P616" s="13">
        <v>603</v>
      </c>
      <c r="Q616" s="22">
        <v>3.2922114389057233E-2</v>
      </c>
      <c r="R616" s="19">
        <f t="shared" si="70"/>
        <v>3.2005345236702398E-2</v>
      </c>
      <c r="S616" s="22">
        <v>3.7889562519309639E-2</v>
      </c>
      <c r="T616" s="19">
        <f t="shared" si="71"/>
        <v>4.2671606290243469E-2</v>
      </c>
      <c r="U616" s="24">
        <v>4.0435671364313031E-2</v>
      </c>
      <c r="V616" s="24">
        <f t="shared" si="72"/>
        <v>4.2710717545896282E-2</v>
      </c>
      <c r="W616" s="23">
        <f t="shared" si="73"/>
        <v>3.4911831886035305E-3</v>
      </c>
      <c r="X616" s="24">
        <v>3.9919690428042998E-2</v>
      </c>
      <c r="Y616" s="24">
        <f t="shared" si="74"/>
        <v>4.2701447466747755E-2</v>
      </c>
      <c r="Z616" s="23">
        <f t="shared" si="75"/>
        <v>3.4904263636523769E-3</v>
      </c>
      <c r="AA616" s="36"/>
    </row>
    <row r="617" spans="15:27" ht="13.9" customHeight="1" x14ac:dyDescent="0.3">
      <c r="O617" s="12">
        <f t="shared" si="69"/>
        <v>50.333333333333336</v>
      </c>
      <c r="P617" s="13">
        <v>604</v>
      </c>
      <c r="Q617" s="22">
        <v>3.2920595886477999E-2</v>
      </c>
      <c r="R617" s="19">
        <f t="shared" si="70"/>
        <v>3.2017321561532919E-2</v>
      </c>
      <c r="S617" s="22">
        <v>3.7897461656876574E-2</v>
      </c>
      <c r="T617" s="19">
        <f t="shared" si="71"/>
        <v>4.2674944225876921E-2</v>
      </c>
      <c r="U617" s="24">
        <v>4.0439433891747534E-2</v>
      </c>
      <c r="V617" s="24">
        <f t="shared" si="72"/>
        <v>4.2713345569595607E-2</v>
      </c>
      <c r="W617" s="23">
        <f t="shared" si="73"/>
        <v>3.4913958905038456E-3</v>
      </c>
      <c r="X617" s="24">
        <v>3.9924289847316885E-2</v>
      </c>
      <c r="Y617" s="24">
        <f t="shared" si="74"/>
        <v>4.2704239919521658E-2</v>
      </c>
      <c r="Z617" s="23">
        <f t="shared" si="75"/>
        <v>3.4906524370532654E-3</v>
      </c>
      <c r="AA617" s="36"/>
    </row>
    <row r="618" spans="15:27" ht="13.9" customHeight="1" x14ac:dyDescent="0.3">
      <c r="O618" s="12">
        <f t="shared" si="69"/>
        <v>50.416666666666664</v>
      </c>
      <c r="P618" s="13">
        <v>605</v>
      </c>
      <c r="Q618" s="22">
        <v>3.2919102218953666E-2</v>
      </c>
      <c r="R618" s="19">
        <f t="shared" si="70"/>
        <v>3.2029195927944398E-2</v>
      </c>
      <c r="S618" s="22">
        <v>3.7905340233432394E-2</v>
      </c>
      <c r="T618" s="19">
        <f t="shared" si="71"/>
        <v>4.2678248153328324E-2</v>
      </c>
      <c r="U618" s="24">
        <v>4.0443188329002844E-2</v>
      </c>
      <c r="V618" s="24">
        <f t="shared" si="72"/>
        <v>4.2715949663065134E-2</v>
      </c>
      <c r="W618" s="23">
        <f t="shared" si="73"/>
        <v>3.491606654946855E-3</v>
      </c>
      <c r="X618" s="24">
        <v>3.9928878685485891E-2</v>
      </c>
      <c r="Y618" s="24">
        <f t="shared" si="74"/>
        <v>4.2707006192510555E-2</v>
      </c>
      <c r="Z618" s="23">
        <f t="shared" si="75"/>
        <v>3.4908763903258588E-3</v>
      </c>
      <c r="AA618" s="36"/>
    </row>
    <row r="619" spans="15:27" ht="13.9" customHeight="1" x14ac:dyDescent="0.3">
      <c r="O619" s="12">
        <f t="shared" si="69"/>
        <v>50.5</v>
      </c>
      <c r="P619" s="13">
        <v>606</v>
      </c>
      <c r="Q619" s="22">
        <v>3.2917633094819321E-2</v>
      </c>
      <c r="R619" s="19">
        <f t="shared" si="70"/>
        <v>3.2040969225225702E-2</v>
      </c>
      <c r="S619" s="22">
        <v>3.7913198294713402E-2</v>
      </c>
      <c r="T619" s="19">
        <f t="shared" si="71"/>
        <v>4.2681518420262021E-2</v>
      </c>
      <c r="U619" s="24">
        <v>4.0446934676695356E-2</v>
      </c>
      <c r="V619" s="24">
        <f t="shared" si="72"/>
        <v>4.2718530044725922E-2</v>
      </c>
      <c r="W619" s="23">
        <f t="shared" si="73"/>
        <v>3.4918154997329864E-3</v>
      </c>
      <c r="X619" s="24">
        <v>3.9933456951794177E-2</v>
      </c>
      <c r="Y619" s="24">
        <f t="shared" si="74"/>
        <v>4.27097465321018E-2</v>
      </c>
      <c r="Z619" s="23">
        <f t="shared" si="75"/>
        <v>3.4910982434508409E-3</v>
      </c>
      <c r="AA619" s="36"/>
    </row>
    <row r="620" spans="15:27" ht="13.9" customHeight="1" x14ac:dyDescent="0.3">
      <c r="O620" s="12">
        <f t="shared" si="69"/>
        <v>50.583333333333336</v>
      </c>
      <c r="P620" s="13">
        <v>607</v>
      </c>
      <c r="Q620" s="22">
        <v>3.2916188225807108E-2</v>
      </c>
      <c r="R620" s="19">
        <f t="shared" si="70"/>
        <v>3.2052642335169912E-2</v>
      </c>
      <c r="S620" s="22">
        <v>3.7921035886724574E-2</v>
      </c>
      <c r="T620" s="19">
        <f t="shared" si="71"/>
        <v>4.2684755371282357E-2</v>
      </c>
      <c r="U620" s="24">
        <v>4.0450672935796517E-2</v>
      </c>
      <c r="V620" s="24">
        <f t="shared" si="72"/>
        <v>4.272108693096599E-2</v>
      </c>
      <c r="W620" s="23">
        <f t="shared" si="73"/>
        <v>3.4920224423924395E-3</v>
      </c>
      <c r="X620" s="24">
        <v>3.9938024655829407E-2</v>
      </c>
      <c r="Y620" s="24">
        <f t="shared" si="74"/>
        <v>4.2712461181862116E-2</v>
      </c>
      <c r="Z620" s="23">
        <f t="shared" si="75"/>
        <v>3.4913180162039481E-3</v>
      </c>
      <c r="AA620" s="36"/>
    </row>
    <row r="621" spans="15:27" ht="13.9" customHeight="1" x14ac:dyDescent="0.3">
      <c r="O621" s="12">
        <f t="shared" si="69"/>
        <v>50.666666666666664</v>
      </c>
      <c r="P621" s="13">
        <v>608</v>
      </c>
      <c r="Q621" s="22">
        <v>3.2914767327005157E-2</v>
      </c>
      <c r="R621" s="19">
        <f t="shared" si="70"/>
        <v>3.2064216130876844E-2</v>
      </c>
      <c r="S621" s="22">
        <v>3.7928853055732681E-2</v>
      </c>
      <c r="T621" s="19">
        <f t="shared" si="71"/>
        <v>4.2687959347541771E-2</v>
      </c>
      <c r="U621" s="24">
        <v>4.0454403107626158E-2</v>
      </c>
      <c r="V621" s="24">
        <f t="shared" si="72"/>
        <v>4.2723620537331364E-2</v>
      </c>
      <c r="W621" s="23">
        <f t="shared" si="73"/>
        <v>3.492227500292211E-3</v>
      </c>
      <c r="X621" s="24">
        <v>3.9942581807516087E-2</v>
      </c>
      <c r="Y621" s="24">
        <f t="shared" si="74"/>
        <v>4.271515038445961E-2</v>
      </c>
      <c r="Z621" s="23">
        <f t="shared" si="75"/>
        <v>3.4915357281339876E-3</v>
      </c>
      <c r="AA621" s="36"/>
    </row>
    <row r="622" spans="15:27" ht="13.9" customHeight="1" x14ac:dyDescent="0.3">
      <c r="O622" s="12">
        <f t="shared" si="69"/>
        <v>50.75</v>
      </c>
      <c r="P622" s="13">
        <v>609</v>
      </c>
      <c r="Q622" s="22">
        <v>3.2913370116816054E-2</v>
      </c>
      <c r="R622" s="19">
        <f t="shared" si="70"/>
        <v>3.2075691477389867E-2</v>
      </c>
      <c r="S622" s="22">
        <v>3.7936649848258064E-2</v>
      </c>
      <c r="T622" s="19">
        <f t="shared" si="71"/>
        <v>4.2691130686828727E-2</v>
      </c>
      <c r="U622" s="24">
        <v>4.0458125193848726E-2</v>
      </c>
      <c r="V622" s="24">
        <f t="shared" si="72"/>
        <v>4.2726131077014617E-2</v>
      </c>
      <c r="W622" s="23">
        <f t="shared" si="73"/>
        <v>3.4924306907311298E-3</v>
      </c>
      <c r="X622" s="24">
        <v>3.9947128417110456E-2</v>
      </c>
      <c r="Y622" s="24">
        <f t="shared" si="74"/>
        <v>4.2717814380062169E-2</v>
      </c>
      <c r="Z622" s="23">
        <f t="shared" si="75"/>
        <v>3.4917513987171578E-3</v>
      </c>
      <c r="AA622" s="36"/>
    </row>
    <row r="623" spans="15:27" ht="13.9" customHeight="1" x14ac:dyDescent="0.3">
      <c r="O623" s="12">
        <f t="shared" si="69"/>
        <v>50.833333333333336</v>
      </c>
      <c r="P623" s="13">
        <v>610</v>
      </c>
      <c r="Q623" s="22">
        <v>3.2911996316916214E-2</v>
      </c>
      <c r="R623" s="19">
        <f t="shared" si="70"/>
        <v>3.2087069232404675E-2</v>
      </c>
      <c r="S623" s="22">
        <v>3.7944426311067536E-2</v>
      </c>
      <c r="T623" s="19">
        <f t="shared" si="71"/>
        <v>4.2694269722554523E-2</v>
      </c>
      <c r="U623" s="24">
        <v>4.0461839196466398E-2</v>
      </c>
      <c r="V623" s="24">
        <f t="shared" si="72"/>
        <v>4.2728618760285331E-2</v>
      </c>
      <c r="W623" s="23">
        <f t="shared" si="73"/>
        <v>3.4926320308192871E-3</v>
      </c>
      <c r="X623" s="24">
        <v>3.995166449519405E-2</v>
      </c>
      <c r="Y623" s="24">
        <f t="shared" si="74"/>
        <v>4.2720453404664571E-2</v>
      </c>
      <c r="Z623" s="23">
        <f t="shared" si="75"/>
        <v>3.4919650472289288E-3</v>
      </c>
      <c r="AA623" s="36"/>
    </row>
    <row r="624" spans="15:27" ht="13.9" customHeight="1" x14ac:dyDescent="0.3">
      <c r="O624" s="12">
        <f t="shared" si="69"/>
        <v>50.916666666666664</v>
      </c>
      <c r="P624" s="13">
        <v>611</v>
      </c>
      <c r="Q624" s="22">
        <v>3.2910645652217019E-2</v>
      </c>
      <c r="R624" s="19">
        <f t="shared" si="70"/>
        <v>3.2098350245423068E-2</v>
      </c>
      <c r="S624" s="22">
        <v>3.7952182491164832E-2</v>
      </c>
      <c r="T624" s="19">
        <f t="shared" si="71"/>
        <v>4.2697376785198804E-2</v>
      </c>
      <c r="U624" s="24">
        <v>4.046554511781153E-2</v>
      </c>
      <c r="V624" s="24">
        <f t="shared" si="72"/>
        <v>4.2731083796444747E-2</v>
      </c>
      <c r="W624" s="23">
        <f t="shared" si="73"/>
        <v>3.4928315374322949E-3</v>
      </c>
      <c r="X624" s="24">
        <v>3.9956190052664597E-2</v>
      </c>
      <c r="Y624" s="24">
        <f t="shared" si="74"/>
        <v>4.2723067693956951E-2</v>
      </c>
      <c r="Z624" s="23">
        <f t="shared" si="75"/>
        <v>3.4921766926101494E-3</v>
      </c>
      <c r="AA624" s="36"/>
    </row>
    <row r="625" spans="15:27" ht="13.9" customHeight="1" x14ac:dyDescent="0.3">
      <c r="O625" s="12">
        <f t="shared" si="69"/>
        <v>51</v>
      </c>
      <c r="P625" s="13">
        <v>612</v>
      </c>
      <c r="Q625" s="22">
        <v>3.2909317850824404E-2</v>
      </c>
      <c r="R625" s="19">
        <f t="shared" si="70"/>
        <v>3.2109535358437524E-2</v>
      </c>
      <c r="S625" s="22">
        <v>3.7959918435784168E-2</v>
      </c>
      <c r="T625" s="19">
        <f t="shared" si="71"/>
        <v>4.2700452202164341E-2</v>
      </c>
      <c r="U625" s="24">
        <v>4.0469242960542218E-2</v>
      </c>
      <c r="V625" s="24">
        <f t="shared" si="72"/>
        <v>4.27335263920956E-2</v>
      </c>
      <c r="W625" s="23">
        <f t="shared" si="73"/>
        <v>3.4930292273673835E-3</v>
      </c>
      <c r="X625" s="24">
        <v>3.9960705100732463E-2</v>
      </c>
      <c r="Y625" s="24">
        <f t="shared" si="74"/>
        <v>4.2725657481099688E-2</v>
      </c>
      <c r="Z625" s="23">
        <f t="shared" si="75"/>
        <v>3.4923863537765776E-3</v>
      </c>
      <c r="AA625" s="36"/>
    </row>
    <row r="626" spans="15:27" ht="13.9" customHeight="1" x14ac:dyDescent="0.3">
      <c r="O626" s="12">
        <f t="shared" si="69"/>
        <v>51.083333333333336</v>
      </c>
      <c r="P626" s="13">
        <v>613</v>
      </c>
      <c r="Q626" s="22">
        <v>3.2908012644000673E-2</v>
      </c>
      <c r="R626" s="19">
        <f t="shared" si="70"/>
        <v>3.2120625405505754E-2</v>
      </c>
      <c r="S626" s="22">
        <v>3.7967634192383359E-2</v>
      </c>
      <c r="T626" s="19">
        <f t="shared" si="71"/>
        <v>4.270349629736514E-2</v>
      </c>
      <c r="U626" s="24">
        <v>4.0472932727635857E-2</v>
      </c>
      <c r="V626" s="24">
        <f t="shared" si="72"/>
        <v>4.2735946753784892E-2</v>
      </c>
      <c r="W626" s="23">
        <f t="shared" si="73"/>
        <v>3.4932251172052897E-3</v>
      </c>
      <c r="X626" s="24">
        <v>3.9965209650913991E-2</v>
      </c>
      <c r="Y626" s="24">
        <f t="shared" si="74"/>
        <v>4.2728222996635701E-2</v>
      </c>
      <c r="Z626" s="23">
        <f t="shared" si="75"/>
        <v>3.4925940494408003E-3</v>
      </c>
      <c r="AA626" s="36"/>
    </row>
    <row r="627" spans="15:27" ht="13.9" customHeight="1" x14ac:dyDescent="0.3">
      <c r="O627" s="12">
        <f t="shared" si="69"/>
        <v>51.166666666666664</v>
      </c>
      <c r="P627" s="13">
        <v>614</v>
      </c>
      <c r="Q627" s="22">
        <v>3.2906729766125853E-2</v>
      </c>
      <c r="R627" s="19">
        <f t="shared" si="70"/>
        <v>3.2131621213397077E-2</v>
      </c>
      <c r="S627" s="22">
        <v>3.7975329808636271E-2</v>
      </c>
      <c r="T627" s="19">
        <f t="shared" si="71"/>
        <v>4.2706509390658676E-2</v>
      </c>
      <c r="U627" s="24">
        <v>4.0476614422385593E-2</v>
      </c>
      <c r="V627" s="24">
        <f t="shared" si="72"/>
        <v>4.2738345083444651E-2</v>
      </c>
      <c r="W627" s="23">
        <f t="shared" si="73"/>
        <v>3.4934192235223094E-3</v>
      </c>
      <c r="X627" s="24">
        <v>3.9969703715025062E-2</v>
      </c>
      <c r="Y627" s="24">
        <f t="shared" si="74"/>
        <v>4.273076446897095E-2</v>
      </c>
      <c r="Z627" s="23">
        <f t="shared" si="75"/>
        <v>3.4927997981053505E-3</v>
      </c>
      <c r="AA627" s="36"/>
    </row>
    <row r="628" spans="15:27" ht="13.9" customHeight="1" x14ac:dyDescent="0.3">
      <c r="O628" s="12">
        <f t="shared" si="69"/>
        <v>51.25</v>
      </c>
      <c r="P628" s="13">
        <v>615</v>
      </c>
      <c r="Q628" s="22">
        <v>3.2905468954659955E-2</v>
      </c>
      <c r="R628" s="19">
        <f t="shared" si="70"/>
        <v>3.2142523601440987E-2</v>
      </c>
      <c r="S628" s="22">
        <v>3.7983005332424602E-2</v>
      </c>
      <c r="T628" s="19">
        <f t="shared" si="71"/>
        <v>4.2709491799071797E-2</v>
      </c>
      <c r="U628" s="24">
        <v>4.0480288048391211E-2</v>
      </c>
      <c r="V628" s="24">
        <f t="shared" si="72"/>
        <v>4.2740721582554819E-2</v>
      </c>
      <c r="W628" s="23">
        <f t="shared" si="73"/>
        <v>3.493611562524146E-3</v>
      </c>
      <c r="X628" s="24">
        <v>3.9974187305175102E-2</v>
      </c>
      <c r="Y628" s="24">
        <f t="shared" si="74"/>
        <v>4.2733282123966321E-2</v>
      </c>
      <c r="Z628" s="23">
        <f t="shared" si="75"/>
        <v>3.4930036181006763E-3</v>
      </c>
      <c r="AA628" s="36"/>
    </row>
    <row r="629" spans="15:27" ht="13.9" customHeight="1" x14ac:dyDescent="0.3">
      <c r="O629" s="12">
        <f t="shared" si="69"/>
        <v>51.333333333333336</v>
      </c>
      <c r="P629" s="13">
        <v>616</v>
      </c>
      <c r="Q629" s="22">
        <v>3.290422995010589E-2</v>
      </c>
      <c r="R629" s="19">
        <f t="shared" si="70"/>
        <v>3.2153333381693683E-2</v>
      </c>
      <c r="S629" s="22">
        <v>3.7990660811831445E-2</v>
      </c>
      <c r="T629" s="19">
        <f t="shared" si="71"/>
        <v>4.2712443836840919E-2</v>
      </c>
      <c r="U629" s="24">
        <v>4.0483953609554701E-2</v>
      </c>
      <c r="V629" s="24">
        <f t="shared" si="72"/>
        <v>4.2743076451339901E-2</v>
      </c>
      <c r="W629" s="23">
        <f t="shared" si="73"/>
        <v>3.4938021503798655E-3</v>
      </c>
      <c r="X629" s="24">
        <v>3.9978660433760194E-2</v>
      </c>
      <c r="Y629" s="24">
        <f t="shared" si="74"/>
        <v>4.2735776186053842E-2</v>
      </c>
      <c r="Z629" s="23">
        <f t="shared" si="75"/>
        <v>3.4932055275536111E-3</v>
      </c>
      <c r="AA629" s="36"/>
    </row>
    <row r="630" spans="15:27" ht="13.9" customHeight="1" x14ac:dyDescent="0.3">
      <c r="O630" s="12">
        <f t="shared" si="69"/>
        <v>51.416666666666664</v>
      </c>
      <c r="P630" s="13">
        <v>617</v>
      </c>
      <c r="Q630" s="22">
        <v>3.290301249597305E-2</v>
      </c>
      <c r="R630" s="19">
        <f t="shared" si="70"/>
        <v>3.2164051357456369E-2</v>
      </c>
      <c r="S630" s="22">
        <v>3.7998296295135514E-2</v>
      </c>
      <c r="T630" s="19">
        <f t="shared" si="71"/>
        <v>4.2715365814815165E-2</v>
      </c>
      <c r="U630" s="24">
        <v>4.0487611110077371E-2</v>
      </c>
      <c r="V630" s="24">
        <f t="shared" si="72"/>
        <v>4.2745409887737118E-2</v>
      </c>
      <c r="W630" s="23">
        <f t="shared" si="73"/>
        <v>3.493991003157948E-3</v>
      </c>
      <c r="X630" s="24">
        <v>3.9983123113459307E-2</v>
      </c>
      <c r="Y630" s="24">
        <f t="shared" si="74"/>
        <v>4.2738246878009756E-2</v>
      </c>
      <c r="Z630" s="23">
        <f t="shared" si="75"/>
        <v>3.4934055444753032E-3</v>
      </c>
      <c r="AA630" s="36"/>
    </row>
    <row r="631" spans="15:27" ht="13.9" customHeight="1" x14ac:dyDescent="0.3">
      <c r="O631" s="12">
        <f t="shared" si="69"/>
        <v>51.5</v>
      </c>
      <c r="P631" s="13">
        <v>618</v>
      </c>
      <c r="Q631" s="22">
        <v>3.2901816338738454E-2</v>
      </c>
      <c r="R631" s="19">
        <f t="shared" si="70"/>
        <v>3.2174678326974959E-2</v>
      </c>
      <c r="S631" s="22">
        <v>3.8005911830803596E-2</v>
      </c>
      <c r="T631" s="19">
        <f t="shared" si="71"/>
        <v>4.2718258039494694E-2</v>
      </c>
      <c r="U631" s="24">
        <v>4.0491260554452069E-2</v>
      </c>
      <c r="V631" s="24">
        <f t="shared" si="72"/>
        <v>4.2747722086443174E-2</v>
      </c>
      <c r="W631" s="23">
        <f t="shared" si="73"/>
        <v>3.4941781367430202E-3</v>
      </c>
      <c r="X631" s="24">
        <v>3.99875753572283E-2</v>
      </c>
      <c r="Y631" s="24">
        <f t="shared" si="74"/>
        <v>4.2740694418543779E-2</v>
      </c>
      <c r="Z631" s="23">
        <f t="shared" si="75"/>
        <v>3.4936036867443399E-3</v>
      </c>
      <c r="AA631" s="36"/>
    </row>
    <row r="632" spans="15:27" ht="13.9" customHeight="1" x14ac:dyDescent="0.3">
      <c r="O632" s="12">
        <f t="shared" si="69"/>
        <v>51.583333333333336</v>
      </c>
      <c r="P632" s="13">
        <v>619</v>
      </c>
      <c r="Q632" s="22">
        <v>3.2900641227814331E-2</v>
      </c>
      <c r="R632" s="19">
        <f t="shared" si="70"/>
        <v>3.2185215079385765E-2</v>
      </c>
      <c r="S632" s="22">
        <v>3.8013507467482555E-2</v>
      </c>
      <c r="T632" s="19">
        <f t="shared" si="71"/>
        <v>4.2721120815442992E-2</v>
      </c>
      <c r="U632" s="24">
        <v>4.0494901947456974E-2</v>
      </c>
      <c r="V632" s="24">
        <f t="shared" si="72"/>
        <v>4.2750013242404128E-2</v>
      </c>
      <c r="W632" s="23">
        <f t="shared" si="73"/>
        <v>3.494363566759473E-3</v>
      </c>
      <c r="X632" s="24">
        <v>3.9992017178291928E-2</v>
      </c>
      <c r="Y632" s="24">
        <f t="shared" si="74"/>
        <v>4.2743119025894671E-2</v>
      </c>
      <c r="Z632" s="23">
        <f t="shared" si="75"/>
        <v>3.4937999719126811E-3</v>
      </c>
      <c r="AA632" s="36"/>
    </row>
    <row r="633" spans="15:27" ht="13.9" customHeight="1" x14ac:dyDescent="0.3">
      <c r="O633" s="12">
        <f t="shared" si="69"/>
        <v>51.666666666666664</v>
      </c>
      <c r="P633" s="13">
        <v>620</v>
      </c>
      <c r="Q633" s="22">
        <v>3.2899486915510145E-2</v>
      </c>
      <c r="R633" s="19">
        <f t="shared" si="70"/>
        <v>3.2195662398089242E-2</v>
      </c>
      <c r="S633" s="22">
        <v>3.8021083253994448E-2</v>
      </c>
      <c r="T633" s="19">
        <f t="shared" si="71"/>
        <v>4.2723954443777634E-2</v>
      </c>
      <c r="U633" s="24">
        <v>4.0498535294152704E-2</v>
      </c>
      <c r="V633" s="24">
        <f t="shared" si="72"/>
        <v>4.2752283547360159E-2</v>
      </c>
      <c r="W633" s="23">
        <f t="shared" si="73"/>
        <v>3.494547308851681E-3</v>
      </c>
      <c r="X633" s="24">
        <v>3.999644859014051E-2</v>
      </c>
      <c r="Y633" s="24">
        <f t="shared" si="74"/>
        <v>4.2745520916058544E-2</v>
      </c>
      <c r="Z633" s="23">
        <f t="shared" si="75"/>
        <v>3.4939944174945392E-3</v>
      </c>
      <c r="AA633" s="36"/>
    </row>
    <row r="634" spans="15:27" ht="13.9" customHeight="1" x14ac:dyDescent="0.3">
      <c r="O634" s="12">
        <f t="shared" si="69"/>
        <v>51.75</v>
      </c>
      <c r="P634" s="13">
        <v>621</v>
      </c>
      <c r="Q634" s="22">
        <v>3.2898353156999072E-2</v>
      </c>
      <c r="R634" s="19">
        <f t="shared" si="70"/>
        <v>3.2206021058227563E-2</v>
      </c>
      <c r="S634" s="22">
        <v>3.8028639239329864E-2</v>
      </c>
      <c r="T634" s="19">
        <f t="shared" si="71"/>
        <v>4.2726759222975863E-2</v>
      </c>
      <c r="U634" s="24">
        <v>4.0502160599875658E-2</v>
      </c>
      <c r="V634" s="24">
        <f t="shared" si="72"/>
        <v>4.275453319266953E-2</v>
      </c>
      <c r="W634" s="23">
        <f t="shared" si="73"/>
        <v>3.4947293784066691E-3</v>
      </c>
      <c r="X634" s="24">
        <v>4.0000869606524381E-2</v>
      </c>
      <c r="Y634" s="24">
        <f t="shared" si="74"/>
        <v>4.2747900302932074E-2</v>
      </c>
      <c r="Z634" s="23">
        <f t="shared" si="75"/>
        <v>3.4941870408233822E-3</v>
      </c>
      <c r="AA634" s="36"/>
    </row>
    <row r="635" spans="15:27" ht="13.9" customHeight="1" x14ac:dyDescent="0.3">
      <c r="O635" s="12">
        <f t="shared" si="69"/>
        <v>51.833333333333336</v>
      </c>
      <c r="P635" s="13">
        <v>622</v>
      </c>
      <c r="Q635" s="22">
        <v>3.2897239710282467E-2</v>
      </c>
      <c r="R635" s="19">
        <f t="shared" si="70"/>
        <v>3.2216291828559562E-2</v>
      </c>
      <c r="S635" s="22">
        <v>3.8036175472641931E-2</v>
      </c>
      <c r="T635" s="19">
        <f t="shared" si="71"/>
        <v>4.2729535446790479E-2</v>
      </c>
      <c r="U635" s="24">
        <v>4.0505777870234683E-2</v>
      </c>
      <c r="V635" s="24">
        <f t="shared" si="72"/>
        <v>4.2756762366406464E-2</v>
      </c>
      <c r="W635" s="23">
        <f t="shared" si="73"/>
        <v>3.4949097907805982E-3</v>
      </c>
      <c r="X635" s="24">
        <v>4.0005280241448338E-2</v>
      </c>
      <c r="Y635" s="24">
        <f t="shared" si="74"/>
        <v>4.2750257397460523E-2</v>
      </c>
      <c r="Z635" s="23">
        <f t="shared" si="75"/>
        <v>3.4943778590650343E-3</v>
      </c>
      <c r="AA635" s="36"/>
    </row>
    <row r="636" spans="15:27" ht="13.9" customHeight="1" x14ac:dyDescent="0.3">
      <c r="O636" s="12">
        <f t="shared" si="69"/>
        <v>51.916666666666664</v>
      </c>
      <c r="P636" s="13">
        <v>623</v>
      </c>
      <c r="Q636" s="22">
        <v>3.2896146336156118E-2</v>
      </c>
      <c r="R636" s="19">
        <f t="shared" si="70"/>
        <v>3.2226475471126115E-2</v>
      </c>
      <c r="S636" s="22">
        <v>3.8043692003238094E-2</v>
      </c>
      <c r="T636" s="19">
        <f t="shared" si="71"/>
        <v>4.2732283408118077E-2</v>
      </c>
      <c r="U636" s="24">
        <v>4.0509387111103745E-2</v>
      </c>
      <c r="V636" s="24">
        <f t="shared" si="72"/>
        <v>4.2758971255549172E-2</v>
      </c>
      <c r="W636" s="23">
        <f t="shared" si="73"/>
        <v>3.495088561066062E-3</v>
      </c>
      <c r="X636" s="24">
        <v>4.000968050916498E-2</v>
      </c>
      <c r="Y636" s="24">
        <f t="shared" si="74"/>
        <v>4.2752592409531109E-2</v>
      </c>
      <c r="Z636" s="23">
        <f t="shared" si="75"/>
        <v>3.4945668891472881E-3</v>
      </c>
      <c r="AA636" s="36"/>
    </row>
    <row r="637" spans="15:27" ht="13.9" customHeight="1" x14ac:dyDescent="0.3">
      <c r="O637" s="12">
        <f t="shared" si="69"/>
        <v>52</v>
      </c>
      <c r="P637" s="13">
        <v>624</v>
      </c>
      <c r="Q637" s="22">
        <v>3.2895072798176939E-2</v>
      </c>
      <c r="R637" s="19">
        <f t="shared" si="70"/>
        <v>3.2236572740561353E-2</v>
      </c>
      <c r="S637" s="22">
        <v>3.8051188880576792E-2</v>
      </c>
      <c r="T637" s="19">
        <f t="shared" si="71"/>
        <v>4.2735003395149018E-2</v>
      </c>
      <c r="U637" s="24">
        <v>4.051298832861816E-2</v>
      </c>
      <c r="V637" s="24">
        <f t="shared" si="72"/>
        <v>4.2761160046157487E-2</v>
      </c>
      <c r="W637" s="23">
        <f t="shared" si="73"/>
        <v>3.4952657042672808E-3</v>
      </c>
      <c r="X637" s="24">
        <v>4.0014070424170933E-2</v>
      </c>
      <c r="Y637" s="24">
        <f t="shared" si="74"/>
        <v>4.2754905548020528E-2</v>
      </c>
      <c r="Z637" s="23">
        <f t="shared" si="75"/>
        <v>3.4947541479135591E-3</v>
      </c>
      <c r="AA637" s="36"/>
    </row>
    <row r="638" spans="15:27" ht="13.9" customHeight="1" x14ac:dyDescent="0.3">
      <c r="O638" s="12">
        <f t="shared" si="69"/>
        <v>52.083333333333336</v>
      </c>
      <c r="P638" s="13">
        <v>625</v>
      </c>
      <c r="Q638" s="22">
        <v>3.2894018862629659E-2</v>
      </c>
      <c r="R638" s="19">
        <f t="shared" si="70"/>
        <v>3.2246584384886035E-2</v>
      </c>
      <c r="S638" s="22">
        <v>3.8058666154259457E-2</v>
      </c>
      <c r="T638" s="19">
        <f t="shared" si="71"/>
        <v>4.2737695694260669E-2</v>
      </c>
      <c r="U638" s="24">
        <v>4.0516581529171036E-2</v>
      </c>
      <c r="V638" s="24">
        <f t="shared" si="72"/>
        <v>4.2763328921068711E-2</v>
      </c>
      <c r="W638" s="23">
        <f t="shared" si="73"/>
        <v>3.4954412353154218E-3</v>
      </c>
      <c r="X638" s="24">
        <v>4.0018450001203076E-2</v>
      </c>
      <c r="Y638" s="24">
        <f t="shared" si="74"/>
        <v>4.2757197016558113E-2</v>
      </c>
      <c r="Z638" s="23">
        <f t="shared" si="75"/>
        <v>3.4949396521257725E-3</v>
      </c>
      <c r="AA638" s="36"/>
    </row>
    <row r="639" spans="15:27" ht="13.9" customHeight="1" x14ac:dyDescent="0.3">
      <c r="O639" s="12">
        <f t="shared" si="69"/>
        <v>52.166666666666664</v>
      </c>
      <c r="P639" s="13">
        <v>626</v>
      </c>
      <c r="Q639" s="22">
        <v>3.28929842984933E-2</v>
      </c>
      <c r="R639" s="19">
        <f t="shared" si="70"/>
        <v>3.2256511145330125E-2</v>
      </c>
      <c r="S639" s="22">
        <v>3.8066123874025859E-2</v>
      </c>
      <c r="T639" s="19">
        <f t="shared" si="71"/>
        <v>4.2740360587925741E-2</v>
      </c>
      <c r="U639" s="24">
        <v>4.0520166719405726E-2</v>
      </c>
      <c r="V639" s="24">
        <f t="shared" si="72"/>
        <v>4.2765478062697371E-2</v>
      </c>
      <c r="W639" s="23">
        <f t="shared" si="73"/>
        <v>3.4956151688818604E-3</v>
      </c>
      <c r="X639" s="24">
        <v>4.0022819255228992E-2</v>
      </c>
      <c r="Y639" s="24">
        <f t="shared" si="74"/>
        <v>4.275946702071276E-2</v>
      </c>
      <c r="Z639" s="23">
        <f t="shared" si="75"/>
        <v>3.495123418125079E-3</v>
      </c>
      <c r="AA639" s="36"/>
    </row>
    <row r="640" spans="15:27" ht="13.9" customHeight="1" x14ac:dyDescent="0.3">
      <c r="O640" s="12">
        <f t="shared" si="69"/>
        <v>52.25</v>
      </c>
      <c r="P640" s="13">
        <v>627</v>
      </c>
      <c r="Q640" s="22">
        <v>3.2891968877409417E-2</v>
      </c>
      <c r="R640" s="19">
        <f t="shared" si="70"/>
        <v>3.2266353757186561E-2</v>
      </c>
      <c r="S640" s="22">
        <v>3.8073562089747437E-2</v>
      </c>
      <c r="T640" s="19">
        <f t="shared" si="71"/>
        <v>4.2742998356183115E-2</v>
      </c>
      <c r="U640" s="24">
        <v>4.0523743906213827E-2</v>
      </c>
      <c r="V640" s="24">
        <f t="shared" si="72"/>
        <v>4.2767607650259887E-2</v>
      </c>
      <c r="W640" s="23">
        <f t="shared" si="73"/>
        <v>3.4957875196048871E-3</v>
      </c>
      <c r="X640" s="24">
        <v>4.0027178201447411E-2</v>
      </c>
      <c r="Y640" s="24">
        <f t="shared" si="74"/>
        <v>4.2761715761179708E-2</v>
      </c>
      <c r="Z640" s="23">
        <f t="shared" si="75"/>
        <v>3.4953054624073943E-3</v>
      </c>
      <c r="AA640" s="36"/>
    </row>
    <row r="641" spans="15:27" ht="13.9" customHeight="1" x14ac:dyDescent="0.3">
      <c r="O641" s="12">
        <f t="shared" si="69"/>
        <v>52.333333333333336</v>
      </c>
      <c r="P641" s="13">
        <v>628</v>
      </c>
      <c r="Q641" s="22">
        <v>3.2890972373651239E-2</v>
      </c>
      <c r="R641" s="19">
        <f t="shared" si="70"/>
        <v>3.2276112947757563E-2</v>
      </c>
      <c r="S641" s="22">
        <v>3.8080980851421975E-2</v>
      </c>
      <c r="T641" s="19">
        <f t="shared" si="71"/>
        <v>4.2745609276864327E-2</v>
      </c>
      <c r="U641" s="24">
        <v>4.0527313096727635E-2</v>
      </c>
      <c r="V641" s="24">
        <f t="shared" si="72"/>
        <v>4.2769717864091117E-2</v>
      </c>
      <c r="W641" s="23">
        <f t="shared" si="73"/>
        <v>3.4959583018654428E-3</v>
      </c>
      <c r="X641" s="24">
        <v>4.0031526855278887E-2</v>
      </c>
      <c r="Y641" s="24">
        <f t="shared" si="74"/>
        <v>4.2763943438890673E-2</v>
      </c>
      <c r="Z641" s="23">
        <f t="shared" si="75"/>
        <v>3.4954858010778356E-3</v>
      </c>
      <c r="AA641" s="36"/>
    </row>
    <row r="642" spans="15:27" ht="13.9" customHeight="1" x14ac:dyDescent="0.3">
      <c r="O642" s="12">
        <f t="shared" si="69"/>
        <v>52.416666666666664</v>
      </c>
      <c r="P642" s="13">
        <v>629</v>
      </c>
      <c r="Q642" s="22">
        <v>3.2889994564089697E-2</v>
      </c>
      <c r="R642" s="19">
        <f t="shared" si="70"/>
        <v>3.2285789438876167E-2</v>
      </c>
      <c r="S642" s="22">
        <v>3.8088380209169159E-2</v>
      </c>
      <c r="T642" s="19">
        <f t="shared" si="71"/>
        <v>4.2748193623448172E-2</v>
      </c>
      <c r="U642" s="24">
        <v>4.0530874298319919E-2</v>
      </c>
      <c r="V642" s="24">
        <f t="shared" si="72"/>
        <v>4.2771808879944695E-2</v>
      </c>
      <c r="W642" s="23">
        <f t="shared" si="73"/>
        <v>3.4961275301343964E-3</v>
      </c>
      <c r="X642" s="24">
        <v>4.0035865232364687E-2</v>
      </c>
      <c r="Y642" s="24">
        <f t="shared" si="74"/>
        <v>4.2766150251267732E-2</v>
      </c>
      <c r="Z642" s="23">
        <f t="shared" si="75"/>
        <v>3.495664450260394E-3</v>
      </c>
      <c r="AA642" s="36"/>
    </row>
    <row r="643" spans="15:27" ht="13.9" customHeight="1" x14ac:dyDescent="0.3">
      <c r="O643" s="12">
        <f t="shared" si="69"/>
        <v>52.5</v>
      </c>
      <c r="P643" s="13">
        <v>630</v>
      </c>
      <c r="Q643" s="22">
        <v>3.288903522816411E-2</v>
      </c>
      <c r="R643" s="19">
        <f t="shared" si="70"/>
        <v>3.2295383945590173E-2</v>
      </c>
      <c r="S643" s="22">
        <v>3.8095760213222807E-2</v>
      </c>
      <c r="T643" s="19">
        <f t="shared" si="71"/>
        <v>4.2750751667371079E-2</v>
      </c>
      <c r="U643" s="24">
        <v>4.0534427518595262E-2</v>
      </c>
      <c r="V643" s="24">
        <f t="shared" si="72"/>
        <v>4.2773880872845949E-2</v>
      </c>
      <c r="W643" s="23">
        <f t="shared" si="73"/>
        <v>3.496295218514911E-3</v>
      </c>
      <c r="X643" s="24">
        <v>4.0040193348559239E-2</v>
      </c>
      <c r="Y643" s="24">
        <f t="shared" si="74"/>
        <v>4.2768336393743001E-2</v>
      </c>
      <c r="Z643" s="23">
        <f t="shared" si="75"/>
        <v>3.4958414257972859E-3</v>
      </c>
      <c r="AA643" s="36"/>
    </row>
    <row r="644" spans="15:27" ht="13.9" customHeight="1" x14ac:dyDescent="0.3">
      <c r="O644" s="12">
        <f t="shared" si="69"/>
        <v>52.583333333333336</v>
      </c>
      <c r="P644" s="13">
        <v>631</v>
      </c>
      <c r="Q644" s="22">
        <v>3.2888094147851099E-2</v>
      </c>
      <c r="R644" s="19">
        <f t="shared" si="70"/>
        <v>3.230489717633156E-2</v>
      </c>
      <c r="S644" s="22">
        <v>3.8103120913926869E-2</v>
      </c>
      <c r="T644" s="19">
        <f t="shared" si="71"/>
        <v>4.2753283678042653E-2</v>
      </c>
      <c r="U644" s="24">
        <v>4.053797276538651E-2</v>
      </c>
      <c r="V644" s="24">
        <f t="shared" si="72"/>
        <v>4.2775934017212247E-2</v>
      </c>
      <c r="W644" s="23">
        <f t="shared" si="73"/>
        <v>3.4964613810515299E-3</v>
      </c>
      <c r="X644" s="24">
        <v>4.004451121992525E-2</v>
      </c>
      <c r="Y644" s="24">
        <f t="shared" si="74"/>
        <v>4.2770502062293714E-2</v>
      </c>
      <c r="Z644" s="23">
        <f t="shared" si="75"/>
        <v>3.4960167433708556E-3</v>
      </c>
      <c r="AA644" s="36"/>
    </row>
    <row r="645" spans="15:27" ht="13.9" customHeight="1" x14ac:dyDescent="0.3">
      <c r="O645" s="12">
        <f t="shared" si="69"/>
        <v>52.666666666666664</v>
      </c>
      <c r="P645" s="13">
        <v>632</v>
      </c>
      <c r="Q645" s="22">
        <v>3.2887171107633728E-2</v>
      </c>
      <c r="R645" s="19">
        <f t="shared" si="70"/>
        <v>3.2314329833491362E-2</v>
      </c>
      <c r="S645" s="22">
        <v>3.8110462361731212E-2</v>
      </c>
      <c r="T645" s="19">
        <f t="shared" si="71"/>
        <v>4.2755789920872145E-2</v>
      </c>
      <c r="U645" s="24">
        <v>4.0541510046752549E-2</v>
      </c>
      <c r="V645" s="24">
        <f t="shared" si="72"/>
        <v>4.2777968485116169E-2</v>
      </c>
      <c r="W645" s="23">
        <f t="shared" si="73"/>
        <v>3.4966260317399467E-3</v>
      </c>
      <c r="X645" s="24">
        <v>4.0048818862733038E-2</v>
      </c>
      <c r="Y645" s="24">
        <f t="shared" si="74"/>
        <v>4.2772647448143575E-2</v>
      </c>
      <c r="Z645" s="23">
        <f t="shared" si="75"/>
        <v>3.4961904187069681E-3</v>
      </c>
      <c r="AA645" s="36"/>
    </row>
    <row r="646" spans="15:27" ht="13.9" customHeight="1" x14ac:dyDescent="0.3">
      <c r="O646" s="12">
        <f t="shared" si="69"/>
        <v>52.75</v>
      </c>
      <c r="P646" s="13">
        <v>633</v>
      </c>
      <c r="Q646" s="22">
        <v>3.2886265894472189E-2</v>
      </c>
      <c r="R646" s="19">
        <f t="shared" si="70"/>
        <v>3.2323682613002669E-2</v>
      </c>
      <c r="S646" s="22">
        <v>3.8117784607184291E-2</v>
      </c>
      <c r="T646" s="19">
        <f t="shared" si="71"/>
        <v>4.2758270658947328E-2</v>
      </c>
      <c r="U646" s="24">
        <v>4.0545039370972313E-2</v>
      </c>
      <c r="V646" s="24">
        <f t="shared" si="72"/>
        <v>4.2779984446863484E-2</v>
      </c>
      <c r="W646" s="23">
        <f t="shared" si="73"/>
        <v>3.4967891843873389E-3</v>
      </c>
      <c r="X646" s="24">
        <v>4.005311629345143E-2</v>
      </c>
      <c r="Y646" s="24">
        <f t="shared" si="74"/>
        <v>4.2774772742723233E-2</v>
      </c>
      <c r="Z646" s="23">
        <f t="shared" si="75"/>
        <v>3.496362467150238E-3</v>
      </c>
      <c r="AA646" s="36"/>
    </row>
    <row r="647" spans="15:27" ht="13.9" customHeight="1" x14ac:dyDescent="0.3">
      <c r="O647" s="12">
        <f t="shared" si="69"/>
        <v>52.833333333333336</v>
      </c>
      <c r="P647" s="13">
        <v>634</v>
      </c>
      <c r="Q647" s="22">
        <v>3.2885378297773826E-2</v>
      </c>
      <c r="R647" s="19">
        <f t="shared" si="70"/>
        <v>3.2332956204548902E-2</v>
      </c>
      <c r="S647" s="22">
        <v>3.8125087700929372E-2</v>
      </c>
      <c r="T647" s="19">
        <f t="shared" si="71"/>
        <v>4.276072615262172E-2</v>
      </c>
      <c r="U647" s="24">
        <v>4.0548560746540563E-2</v>
      </c>
      <c r="V647" s="24">
        <f t="shared" si="72"/>
        <v>4.2781982071170122E-2</v>
      </c>
      <c r="W647" s="23">
        <f t="shared" si="73"/>
        <v>3.4969508526594417E-3</v>
      </c>
      <c r="X647" s="24">
        <v>4.0057403528746427E-2</v>
      </c>
      <c r="Y647" s="24">
        <f t="shared" si="74"/>
        <v>4.2776878133749419E-2</v>
      </c>
      <c r="Z647" s="23">
        <f t="shared" si="75"/>
        <v>3.4965329040612669E-3</v>
      </c>
      <c r="AA647" s="36"/>
    </row>
    <row r="648" spans="15:27" ht="13.9" customHeight="1" x14ac:dyDescent="0.3">
      <c r="O648" s="12">
        <f t="shared" si="69"/>
        <v>52.916666666666664</v>
      </c>
      <c r="P648" s="13">
        <v>635</v>
      </c>
      <c r="Q648" s="22">
        <v>3.2884508109364052E-2</v>
      </c>
      <c r="R648" s="19">
        <f t="shared" si="70"/>
        <v>3.2342151291630428E-2</v>
      </c>
      <c r="S648" s="22">
        <v>3.8132371693698985E-2</v>
      </c>
      <c r="T648" s="19">
        <f t="shared" si="71"/>
        <v>4.2763156660205137E-2</v>
      </c>
      <c r="U648" s="24">
        <v>4.0552074182163667E-2</v>
      </c>
      <c r="V648" s="24">
        <f t="shared" si="72"/>
        <v>4.2783961525590719E-2</v>
      </c>
      <c r="W648" s="23">
        <f t="shared" si="73"/>
        <v>3.4971110500940927E-3</v>
      </c>
      <c r="X648" s="24">
        <v>4.006168058547388E-2</v>
      </c>
      <c r="Y648" s="24">
        <f t="shared" si="74"/>
        <v>4.2778963809164017E-2</v>
      </c>
      <c r="Z648" s="23">
        <f t="shared" si="75"/>
        <v>3.4967017445031168E-3</v>
      </c>
      <c r="AA648" s="36"/>
    </row>
    <row r="649" spans="15:27" ht="13.9" customHeight="1" x14ac:dyDescent="0.3">
      <c r="O649" s="12">
        <f t="shared" si="69"/>
        <v>53</v>
      </c>
      <c r="P649" s="13">
        <v>636</v>
      </c>
      <c r="Q649" s="22">
        <v>3.28836551234577E-2</v>
      </c>
      <c r="R649" s="19">
        <f t="shared" si="70"/>
        <v>3.2351268551755519E-2</v>
      </c>
      <c r="S649" s="22">
        <v>3.8139636636310925E-2</v>
      </c>
      <c r="T649" s="19">
        <f t="shared" si="71"/>
        <v>4.2765562436884563E-2</v>
      </c>
      <c r="U649" s="24">
        <v>4.0555579686756049E-2</v>
      </c>
      <c r="V649" s="24">
        <f t="shared" si="72"/>
        <v>4.2785922976502855E-2</v>
      </c>
      <c r="W649" s="23">
        <f t="shared" si="73"/>
        <v>3.4972697901358707E-3</v>
      </c>
      <c r="X649" s="24">
        <v>4.0065947480678377E-2</v>
      </c>
      <c r="Y649" s="24">
        <f t="shared" si="74"/>
        <v>4.2781029954697125E-2</v>
      </c>
      <c r="Z649" s="23">
        <f t="shared" si="75"/>
        <v>3.4968690035561689E-3</v>
      </c>
      <c r="AA649" s="36"/>
    </row>
    <row r="650" spans="15:27" ht="13.9" customHeight="1" x14ac:dyDescent="0.3">
      <c r="O650" s="12">
        <f t="shared" si="69"/>
        <v>53.083333333333336</v>
      </c>
      <c r="P650" s="13">
        <v>637</v>
      </c>
      <c r="Q650" s="22">
        <v>3.2882819136629937E-2</v>
      </c>
      <c r="R650" s="19">
        <f t="shared" si="70"/>
        <v>3.2360308655721148E-2</v>
      </c>
      <c r="S650" s="22">
        <v>3.8146882579663144E-2</v>
      </c>
      <c r="T650" s="19">
        <f t="shared" si="71"/>
        <v>4.2767943734126401E-2</v>
      </c>
      <c r="U650" s="24">
        <v>4.0559077269436861E-2</v>
      </c>
      <c r="V650" s="24">
        <f t="shared" si="72"/>
        <v>4.2787866587239209E-2</v>
      </c>
      <c r="W650" s="23">
        <f t="shared" si="73"/>
        <v>3.4974270861347634E-3</v>
      </c>
      <c r="X650" s="24">
        <v>4.0070204231588136E-2</v>
      </c>
      <c r="Y650" s="24">
        <f t="shared" si="74"/>
        <v>4.2783076752327176E-2</v>
      </c>
      <c r="Z650" s="23">
        <f t="shared" si="75"/>
        <v>3.4970346961240573E-3</v>
      </c>
      <c r="AA650" s="36"/>
    </row>
    <row r="651" spans="15:27" ht="13.9" customHeight="1" x14ac:dyDescent="0.3">
      <c r="O651" s="12">
        <f t="shared" si="69"/>
        <v>53.166666666666664</v>
      </c>
      <c r="P651" s="13">
        <v>638</v>
      </c>
      <c r="Q651" s="22">
        <v>3.2881999947788287E-2</v>
      </c>
      <c r="R651" s="19">
        <f t="shared" si="70"/>
        <v>3.2369272269913152E-2</v>
      </c>
      <c r="S651" s="22">
        <v>3.8154109574727091E-2</v>
      </c>
      <c r="T651" s="19">
        <f t="shared" si="71"/>
        <v>4.2770300802707384E-2</v>
      </c>
      <c r="U651" s="24">
        <v>4.0562566939523315E-2</v>
      </c>
      <c r="V651" s="24">
        <f t="shared" si="72"/>
        <v>4.2789792521329417E-2</v>
      </c>
      <c r="W651" s="23">
        <f t="shared" si="73"/>
        <v>3.4975829511965095E-3</v>
      </c>
      <c r="X651" s="24">
        <v>4.0074450855607902E-2</v>
      </c>
      <c r="Y651" s="24">
        <f t="shared" si="74"/>
        <v>4.2785104385009376E-2</v>
      </c>
      <c r="Z651" s="23">
        <f t="shared" si="75"/>
        <v>3.4971988368086571E-3</v>
      </c>
      <c r="AA651" s="36"/>
    </row>
    <row r="652" spans="15:27" ht="13.9" customHeight="1" x14ac:dyDescent="0.3">
      <c r="O652" s="12">
        <f t="shared" si="69"/>
        <v>53.25</v>
      </c>
      <c r="P652" s="13">
        <v>639</v>
      </c>
      <c r="Q652" s="22">
        <v>3.2881197358146652E-2</v>
      </c>
      <c r="R652" s="19">
        <f t="shared" si="70"/>
        <v>3.2378160053108562E-2</v>
      </c>
      <c r="S652" s="22">
        <v>3.8161317672546158E-2</v>
      </c>
      <c r="T652" s="19">
        <f t="shared" si="71"/>
        <v>4.2772633890037159E-2</v>
      </c>
      <c r="U652" s="24">
        <v>4.05660487065298E-2</v>
      </c>
      <c r="V652" s="24">
        <f t="shared" si="72"/>
        <v>4.2791700939922128E-2</v>
      </c>
      <c r="W652" s="23">
        <f t="shared" si="73"/>
        <v>3.497737398442391E-3</v>
      </c>
      <c r="X652" s="24">
        <v>4.0078687370319166E-2</v>
      </c>
      <c r="Y652" s="24">
        <f t="shared" si="74"/>
        <v>4.278711303264604E-2</v>
      </c>
      <c r="Z652" s="23">
        <f t="shared" si="75"/>
        <v>3.4973614402900033E-3</v>
      </c>
      <c r="AA652" s="36"/>
    </row>
    <row r="653" spans="15:27" ht="13.9" customHeight="1" x14ac:dyDescent="0.3">
      <c r="O653" s="12">
        <f t="shared" si="69"/>
        <v>53.333333333333336</v>
      </c>
      <c r="P653" s="13">
        <v>640</v>
      </c>
      <c r="Q653" s="22">
        <v>3.2880411171195334E-2</v>
      </c>
      <c r="R653" s="19">
        <f t="shared" si="70"/>
        <v>3.23869726588768E-2</v>
      </c>
      <c r="S653" s="22">
        <v>3.8168506924229684E-2</v>
      </c>
      <c r="T653" s="19">
        <f t="shared" si="71"/>
        <v>4.2774943240804664E-2</v>
      </c>
      <c r="U653" s="24">
        <v>4.0569522580162332E-2</v>
      </c>
      <c r="V653" s="24">
        <f t="shared" si="72"/>
        <v>4.2793592003282699E-2</v>
      </c>
      <c r="W653" s="23">
        <f t="shared" si="73"/>
        <v>3.4978904408025091E-3</v>
      </c>
      <c r="X653" s="24">
        <v>4.0082913793473729E-2</v>
      </c>
      <c r="Y653" s="24">
        <f t="shared" si="74"/>
        <v>4.2789102873748153E-2</v>
      </c>
      <c r="Z653" s="23">
        <f t="shared" si="75"/>
        <v>3.4975225210034377E-3</v>
      </c>
      <c r="AA653" s="36"/>
    </row>
    <row r="654" spans="15:27" ht="13.9" customHeight="1" x14ac:dyDescent="0.3">
      <c r="O654" s="12">
        <f t="shared" ref="O654:O717" si="76">P654/12</f>
        <v>53.416666666666664</v>
      </c>
      <c r="P654" s="13">
        <v>641</v>
      </c>
      <c r="Q654" s="22">
        <v>3.2879641192675502E-2</v>
      </c>
      <c r="R654" s="19">
        <f t="shared" ref="R654:R717" si="77">(1+Q655)^P655/(1+Q654)^P654-1</f>
        <v>3.2395710734763439E-2</v>
      </c>
      <c r="S654" s="22">
        <v>3.8175677380948514E-2</v>
      </c>
      <c r="T654" s="19">
        <f t="shared" ref="T654:T717" si="78">(1+S655)^P655/(1+S654)^P654-1</f>
        <v>4.2777229096754743E-2</v>
      </c>
      <c r="U654" s="24">
        <v>4.0572988570315882E-2</v>
      </c>
      <c r="V654" s="24">
        <f t="shared" ref="V654:V717" si="79">(1+U655)^P655/(1+U654)^P654-1</f>
        <v>4.2795465869037264E-2</v>
      </c>
      <c r="W654" s="23">
        <f t="shared" si="73"/>
        <v>3.4980420911365773E-3</v>
      </c>
      <c r="X654" s="24">
        <v>4.0087130142990368E-2</v>
      </c>
      <c r="Y654" s="24">
        <f t="shared" si="74"/>
        <v>4.2791074084276293E-2</v>
      </c>
      <c r="Z654" s="23">
        <f t="shared" si="75"/>
        <v>3.4976820932726138E-3</v>
      </c>
      <c r="AA654" s="36"/>
    </row>
    <row r="655" spans="15:27" ht="13.9" customHeight="1" x14ac:dyDescent="0.3">
      <c r="O655" s="12">
        <f t="shared" si="76"/>
        <v>53.5</v>
      </c>
      <c r="P655" s="13">
        <v>642</v>
      </c>
      <c r="Q655" s="22">
        <v>3.2878887230551657E-2</v>
      </c>
      <c r="R655" s="19">
        <f t="shared" si="77"/>
        <v>3.2404374923019175E-2</v>
      </c>
      <c r="S655" s="22">
        <v>3.8182829093929671E-2</v>
      </c>
      <c r="T655" s="19">
        <f t="shared" si="78"/>
        <v>4.2779491698283101E-2</v>
      </c>
      <c r="U655" s="24">
        <v>4.0576446687068612E-2</v>
      </c>
      <c r="V655" s="24">
        <f t="shared" si="79"/>
        <v>4.2797322693995499E-2</v>
      </c>
      <c r="W655" s="23">
        <f t="shared" ref="W655:W718" si="80">(1+V654)^(1/12)-1</f>
        <v>3.49819236209159E-3</v>
      </c>
      <c r="X655" s="24">
        <v>4.009133643694951E-2</v>
      </c>
      <c r="Y655" s="24">
        <f t="shared" ref="Y655:Y718" si="81">(1+X656)^P656/(1+X655)^P655-1</f>
        <v>4.2793026839773152E-2</v>
      </c>
      <c r="Z655" s="23">
        <f t="shared" ref="Z655:Z718" si="82">(1+Y654)^(1/12)-1</f>
        <v>3.4978401712160156E-3</v>
      </c>
      <c r="AA655" s="36"/>
    </row>
    <row r="656" spans="15:27" ht="13.9" customHeight="1" x14ac:dyDescent="0.3">
      <c r="O656" s="12">
        <f t="shared" si="76"/>
        <v>53.583333333333336</v>
      </c>
      <c r="P656" s="13">
        <v>643</v>
      </c>
      <c r="Q656" s="22">
        <v>3.2878149094986098E-2</v>
      </c>
      <c r="R656" s="19">
        <f t="shared" si="77"/>
        <v>3.2412965859675236E-2</v>
      </c>
      <c r="S656" s="22">
        <v>3.8189962114453913E-2</v>
      </c>
      <c r="T656" s="19">
        <f t="shared" si="78"/>
        <v>4.2781731282670377E-2</v>
      </c>
      <c r="U656" s="24">
        <v>4.0579896940679649E-2</v>
      </c>
      <c r="V656" s="24">
        <f t="shared" si="79"/>
        <v>4.2799162634791887E-2</v>
      </c>
      <c r="W656" s="23">
        <f t="shared" si="80"/>
        <v>3.4983412662494828E-3</v>
      </c>
      <c r="X656" s="24">
        <v>4.0095532693591451E-2</v>
      </c>
      <c r="Y656" s="24">
        <f t="shared" si="81"/>
        <v>4.2794961313746605E-2</v>
      </c>
      <c r="Z656" s="23">
        <f t="shared" si="82"/>
        <v>3.4979967689190428E-3</v>
      </c>
      <c r="AA656" s="36"/>
    </row>
    <row r="657" spans="15:27" ht="13.9" customHeight="1" x14ac:dyDescent="0.3">
      <c r="O657" s="12">
        <f t="shared" si="76"/>
        <v>53.666666666666664</v>
      </c>
      <c r="P657" s="13">
        <v>644</v>
      </c>
      <c r="Q657" s="22">
        <v>3.287742659831272E-2</v>
      </c>
      <c r="R657" s="19">
        <f t="shared" si="77"/>
        <v>3.2421484174694148E-2</v>
      </c>
      <c r="S657" s="22">
        <v>3.8197076493850846E-2</v>
      </c>
      <c r="T657" s="19">
        <f t="shared" si="78"/>
        <v>4.2783948084714973E-2</v>
      </c>
      <c r="U657" s="24">
        <v>4.0583339341586644E-2</v>
      </c>
      <c r="V657" s="24">
        <f t="shared" si="79"/>
        <v>4.280098584476133E-2</v>
      </c>
      <c r="W657" s="23">
        <f t="shared" si="80"/>
        <v>3.4984888161777583E-3</v>
      </c>
      <c r="X657" s="24">
        <v>4.0099718931312145E-2</v>
      </c>
      <c r="Y657" s="24">
        <f t="shared" si="81"/>
        <v>4.2796877677677703E-2</v>
      </c>
      <c r="Z657" s="23">
        <f t="shared" si="82"/>
        <v>3.4981519003030037E-3</v>
      </c>
      <c r="AA657" s="36"/>
    </row>
    <row r="658" spans="15:27" ht="13.9" customHeight="1" x14ac:dyDescent="0.3">
      <c r="O658" s="12">
        <f t="shared" si="76"/>
        <v>53.75</v>
      </c>
      <c r="P658" s="13">
        <v>645</v>
      </c>
      <c r="Q658" s="22">
        <v>3.2876719555009926E-2</v>
      </c>
      <c r="R658" s="19">
        <f t="shared" si="77"/>
        <v>3.2429930494481507E-2</v>
      </c>
      <c r="S658" s="22">
        <v>3.8204172283494264E-2</v>
      </c>
      <c r="T658" s="19">
        <f t="shared" si="78"/>
        <v>4.2786142336592059E-2</v>
      </c>
      <c r="U658" s="24">
        <v>4.0586773900399997E-2</v>
      </c>
      <c r="V658" s="24">
        <f t="shared" si="79"/>
        <v>4.2802792475719054E-2</v>
      </c>
      <c r="W658" s="23">
        <f t="shared" si="80"/>
        <v>3.498635024179686E-3</v>
      </c>
      <c r="X658" s="24">
        <v>4.010389516865831E-2</v>
      </c>
      <c r="Y658" s="24">
        <f t="shared" si="81"/>
        <v>4.2798776101384162E-2</v>
      </c>
      <c r="Z658" s="23">
        <f t="shared" si="82"/>
        <v>3.4983055791273365E-3</v>
      </c>
      <c r="AA658" s="36"/>
    </row>
    <row r="659" spans="15:27" ht="13.9" customHeight="1" x14ac:dyDescent="0.3">
      <c r="O659" s="12">
        <f t="shared" si="76"/>
        <v>53.833333333333336</v>
      </c>
      <c r="P659" s="13">
        <v>646</v>
      </c>
      <c r="Q659" s="22">
        <v>3.2876027781678641E-2</v>
      </c>
      <c r="R659" s="19">
        <f t="shared" si="77"/>
        <v>3.2438305436547799E-2</v>
      </c>
      <c r="S659" s="22">
        <v>3.8211249534797931E-2</v>
      </c>
      <c r="T659" s="19">
        <f t="shared" si="78"/>
        <v>4.2788314268824346E-2</v>
      </c>
      <c r="U659" s="24">
        <v>4.0590200627898865E-2</v>
      </c>
      <c r="V659" s="24">
        <f t="shared" si="79"/>
        <v>4.2804582680089798E-2</v>
      </c>
      <c r="W659" s="23">
        <f t="shared" si="80"/>
        <v>3.4987799024359667E-3</v>
      </c>
      <c r="X659" s="24">
        <v>4.0108061424324104E-2</v>
      </c>
      <c r="Y659" s="24">
        <f t="shared" si="81"/>
        <v>4.2800656753535948E-2</v>
      </c>
      <c r="Z659" s="23">
        <f t="shared" si="82"/>
        <v>3.4984578190173643E-3</v>
      </c>
      <c r="AA659" s="36"/>
    </row>
    <row r="660" spans="15:27" ht="13.9" customHeight="1" x14ac:dyDescent="0.3">
      <c r="O660" s="12">
        <f t="shared" si="76"/>
        <v>53.916666666666664</v>
      </c>
      <c r="P660" s="13">
        <v>647</v>
      </c>
      <c r="Q660" s="22">
        <v>3.287535109701234E-2</v>
      </c>
      <c r="R660" s="19">
        <f t="shared" si="77"/>
        <v>3.2446609616355149E-2</v>
      </c>
      <c r="S660" s="22">
        <v>3.8218308299212689E-2</v>
      </c>
      <c r="T660" s="19">
        <f t="shared" si="78"/>
        <v>4.2790464109072168E-2</v>
      </c>
      <c r="U660" s="24">
        <v>4.0593619535030712E-2</v>
      </c>
      <c r="V660" s="24">
        <f t="shared" si="79"/>
        <v>4.2806356607811624E-2</v>
      </c>
      <c r="W660" s="23">
        <f t="shared" si="80"/>
        <v>3.4989234631759292E-3</v>
      </c>
      <c r="X660" s="24">
        <v>4.0112217717148235E-2</v>
      </c>
      <c r="Y660" s="24">
        <f t="shared" si="81"/>
        <v>4.2802519801549588E-2</v>
      </c>
      <c r="Z660" s="23">
        <f t="shared" si="82"/>
        <v>3.4986086335062616E-3</v>
      </c>
      <c r="AA660" s="36"/>
    </row>
    <row r="661" spans="15:27" ht="13.9" customHeight="1" x14ac:dyDescent="0.3">
      <c r="O661" s="12">
        <f t="shared" si="76"/>
        <v>54</v>
      </c>
      <c r="P661" s="13">
        <v>648</v>
      </c>
      <c r="Q661" s="22">
        <v>3.2874689321777506E-2</v>
      </c>
      <c r="R661" s="19">
        <f t="shared" si="77"/>
        <v>3.2454843640769671E-2</v>
      </c>
      <c r="S661" s="22">
        <v>3.8225348628222022E-2</v>
      </c>
      <c r="T661" s="19">
        <f t="shared" si="78"/>
        <v>4.2792592082906422E-2</v>
      </c>
      <c r="U661" s="24">
        <v>4.0597030632906206E-2</v>
      </c>
      <c r="V661" s="24">
        <f t="shared" si="79"/>
        <v>4.2808114406341691E-2</v>
      </c>
      <c r="W661" s="23">
        <f t="shared" si="80"/>
        <v>3.4990657184301721E-3</v>
      </c>
      <c r="X661" s="24">
        <v>4.0116364066110632E-2</v>
      </c>
      <c r="Y661" s="24">
        <f t="shared" si="81"/>
        <v>4.280436541020638E-2</v>
      </c>
      <c r="Z661" s="23">
        <f t="shared" si="82"/>
        <v>3.4987580360268389E-3</v>
      </c>
      <c r="AA661" s="36"/>
    </row>
    <row r="662" spans="15:27" ht="13.9" customHeight="1" x14ac:dyDescent="0.3">
      <c r="O662" s="12">
        <f t="shared" si="76"/>
        <v>54.083333333333336</v>
      </c>
      <c r="P662" s="13">
        <v>649</v>
      </c>
      <c r="Q662" s="22">
        <v>3.2874042278784321E-2</v>
      </c>
      <c r="R662" s="19">
        <f t="shared" si="77"/>
        <v>3.2463008114328007E-2</v>
      </c>
      <c r="S662" s="22">
        <v>3.8232370573338281E-2</v>
      </c>
      <c r="T662" s="19">
        <f t="shared" si="78"/>
        <v>4.2794698412731869E-2</v>
      </c>
      <c r="U662" s="24">
        <v>4.0600433932794555E-2</v>
      </c>
      <c r="V662" s="24">
        <f t="shared" si="79"/>
        <v>4.2809856223553711E-2</v>
      </c>
      <c r="W662" s="23">
        <f t="shared" si="80"/>
        <v>3.4992066800292321E-3</v>
      </c>
      <c r="X662" s="24">
        <v>4.012050049032756E-2</v>
      </c>
      <c r="Y662" s="24">
        <f t="shared" si="81"/>
        <v>4.2806193743243792E-2</v>
      </c>
      <c r="Z662" s="23">
        <f t="shared" si="82"/>
        <v>3.498906039800076E-3</v>
      </c>
      <c r="AA662" s="36"/>
    </row>
    <row r="663" spans="15:27" ht="13.9" customHeight="1" x14ac:dyDescent="0.3">
      <c r="O663" s="12">
        <f t="shared" si="76"/>
        <v>54.166666666666664</v>
      </c>
      <c r="P663" s="13">
        <v>650</v>
      </c>
      <c r="Q663" s="22">
        <v>3.2873409792867125E-2</v>
      </c>
      <c r="R663" s="19">
        <f t="shared" si="77"/>
        <v>3.2471103633253451E-2</v>
      </c>
      <c r="S663" s="22">
        <v>3.8239374186097796E-2</v>
      </c>
      <c r="T663" s="19">
        <f t="shared" si="78"/>
        <v>4.2796783319583254E-2</v>
      </c>
      <c r="U663" s="24">
        <v>4.0603829446122397E-2</v>
      </c>
      <c r="V663" s="24">
        <f t="shared" si="79"/>
        <v>4.2811582204662191E-2</v>
      </c>
      <c r="W663" s="23">
        <f t="shared" si="80"/>
        <v>3.4993463598378405E-3</v>
      </c>
      <c r="X663" s="24">
        <v>4.0124627009048952E-2</v>
      </c>
      <c r="Y663" s="24">
        <f t="shared" si="81"/>
        <v>4.280800496265158E-2</v>
      </c>
      <c r="Z663" s="23">
        <f t="shared" si="82"/>
        <v>3.499052657963464E-3</v>
      </c>
      <c r="AA663" s="36"/>
    </row>
    <row r="664" spans="15:27" ht="13.9" customHeight="1" x14ac:dyDescent="0.3">
      <c r="O664" s="12">
        <f t="shared" si="76"/>
        <v>54.25</v>
      </c>
      <c r="P664" s="13">
        <v>651</v>
      </c>
      <c r="Q664" s="22">
        <v>3.2872791690856218E-2</v>
      </c>
      <c r="R664" s="19">
        <f t="shared" si="77"/>
        <v>3.2479130790657118E-2</v>
      </c>
      <c r="S664" s="22">
        <v>3.8246359518058659E-2</v>
      </c>
      <c r="T664" s="19">
        <f t="shared" si="78"/>
        <v>4.2798847023102438E-2</v>
      </c>
      <c r="U664" s="24">
        <v>4.0607217184468691E-2</v>
      </c>
      <c r="V664" s="24">
        <f t="shared" si="79"/>
        <v>4.2813292495045729E-2</v>
      </c>
      <c r="W664" s="23">
        <f t="shared" si="80"/>
        <v>3.4994847695064557E-3</v>
      </c>
      <c r="X664" s="24">
        <v>4.0128743641654641E-2</v>
      </c>
      <c r="Y664" s="24">
        <f t="shared" si="81"/>
        <v>4.2809799229971857E-2</v>
      </c>
      <c r="Z664" s="23">
        <f t="shared" si="82"/>
        <v>3.4991979035137177E-3</v>
      </c>
      <c r="AA664" s="36"/>
    </row>
    <row r="665" spans="15:27" ht="13.9" customHeight="1" x14ac:dyDescent="0.3">
      <c r="O665" s="12">
        <f t="shared" si="76"/>
        <v>54.333333333333336</v>
      </c>
      <c r="P665" s="13">
        <v>652</v>
      </c>
      <c r="Q665" s="22">
        <v>3.2872187801557873E-2</v>
      </c>
      <c r="R665" s="19">
        <f t="shared" si="77"/>
        <v>3.2487090173089817E-2</v>
      </c>
      <c r="S665" s="22">
        <v>3.8253326620798056E-2</v>
      </c>
      <c r="T665" s="19">
        <f t="shared" si="78"/>
        <v>4.2800889738235037E-2</v>
      </c>
      <c r="U665" s="24">
        <v>4.0610597159564055E-2</v>
      </c>
      <c r="V665" s="24">
        <f t="shared" si="79"/>
        <v>4.2814987236452939E-2</v>
      </c>
      <c r="W665" s="23">
        <f t="shared" si="80"/>
        <v>3.4996219206993029E-3</v>
      </c>
      <c r="X665" s="24">
        <v>4.0132850407652798E-2</v>
      </c>
      <c r="Y665" s="24">
        <f t="shared" si="81"/>
        <v>4.2811576703603693E-2</v>
      </c>
      <c r="Z665" s="23">
        <f t="shared" si="82"/>
        <v>3.4993417894118028E-3</v>
      </c>
      <c r="AA665" s="36"/>
    </row>
    <row r="666" spans="15:27" ht="13.9" customHeight="1" x14ac:dyDescent="0.3">
      <c r="O666" s="12">
        <f t="shared" si="76"/>
        <v>54.416666666666664</v>
      </c>
      <c r="P666" s="13">
        <v>653</v>
      </c>
      <c r="Q666" s="22">
        <v>3.2871597955728582E-2</v>
      </c>
      <c r="R666" s="19">
        <f t="shared" si="77"/>
        <v>3.2494982363227898E-2</v>
      </c>
      <c r="S666" s="22">
        <v>3.8260275545905609E-2</v>
      </c>
      <c r="T666" s="19">
        <f t="shared" si="78"/>
        <v>4.2802911679105327E-2</v>
      </c>
      <c r="U666" s="24">
        <v>4.0613969383283433E-2</v>
      </c>
      <c r="V666" s="24">
        <f t="shared" si="79"/>
        <v>4.2816666571539708E-2</v>
      </c>
      <c r="W666" s="23">
        <f t="shared" si="80"/>
        <v>3.4997578247890626E-3</v>
      </c>
      <c r="X666" s="24">
        <v>4.0136947326673722E-2</v>
      </c>
      <c r="Y666" s="24">
        <f t="shared" si="81"/>
        <v>4.2813337541204977E-2</v>
      </c>
      <c r="Z666" s="23">
        <f t="shared" si="82"/>
        <v>3.4994843283666643E-3</v>
      </c>
      <c r="AA666" s="36"/>
    </row>
    <row r="667" spans="15:27" ht="13.9" customHeight="1" x14ac:dyDescent="0.3">
      <c r="O667" s="12">
        <f t="shared" si="76"/>
        <v>54.5</v>
      </c>
      <c r="P667" s="13">
        <v>654</v>
      </c>
      <c r="Q667" s="22">
        <v>3.2871021986054627E-2</v>
      </c>
      <c r="R667" s="19">
        <f t="shared" si="77"/>
        <v>3.2502807937186073E-2</v>
      </c>
      <c r="S667" s="22">
        <v>3.8267206344981375E-2</v>
      </c>
      <c r="T667" s="19">
        <f t="shared" si="78"/>
        <v>4.2804913058166916E-2</v>
      </c>
      <c r="U667" s="24">
        <v>4.0617333867647432E-2</v>
      </c>
      <c r="V667" s="24">
        <f t="shared" si="79"/>
        <v>4.2818330640670199E-2</v>
      </c>
      <c r="W667" s="23">
        <f t="shared" si="80"/>
        <v>3.499892493220802E-3</v>
      </c>
      <c r="X667" s="24">
        <v>4.0141034418468502E-2</v>
      </c>
      <c r="Y667" s="24">
        <f t="shared" si="81"/>
        <v>4.2815081899209462E-2</v>
      </c>
      <c r="Z667" s="23">
        <f t="shared" si="82"/>
        <v>3.4996255330272952E-3</v>
      </c>
      <c r="AA667" s="36"/>
    </row>
    <row r="668" spans="15:27" ht="13.9" customHeight="1" x14ac:dyDescent="0.3">
      <c r="O668" s="12">
        <f t="shared" si="76"/>
        <v>54.583333333333336</v>
      </c>
      <c r="P668" s="13">
        <v>655</v>
      </c>
      <c r="Q668" s="22">
        <v>3.2870459727126988E-2</v>
      </c>
      <c r="R668" s="19">
        <f t="shared" si="77"/>
        <v>3.2510567466228935E-2</v>
      </c>
      <c r="S668" s="22">
        <v>3.827411906963385E-2</v>
      </c>
      <c r="T668" s="19">
        <f t="shared" si="78"/>
        <v>4.280689408520777E-2</v>
      </c>
      <c r="U668" s="24">
        <v>4.0620690624816325E-2</v>
      </c>
      <c r="V668" s="24">
        <f t="shared" si="79"/>
        <v>4.281997958283057E-2</v>
      </c>
      <c r="W668" s="23">
        <f t="shared" si="80"/>
        <v>3.5000259372564013E-3</v>
      </c>
      <c r="X668" s="24">
        <v>4.0145111702905467E-2</v>
      </c>
      <c r="Y668" s="24">
        <f t="shared" si="81"/>
        <v>4.2816809932254785E-2</v>
      </c>
      <c r="Z668" s="23">
        <f t="shared" si="82"/>
        <v>3.4997654159445446E-3</v>
      </c>
      <c r="AA668" s="36"/>
    </row>
    <row r="669" spans="15:27" ht="13.9" customHeight="1" x14ac:dyDescent="0.3">
      <c r="O669" s="12">
        <f t="shared" si="76"/>
        <v>54.666666666666664</v>
      </c>
      <c r="P669" s="13">
        <v>656</v>
      </c>
      <c r="Q669" s="22">
        <v>3.2869911015419584E-2</v>
      </c>
      <c r="R669" s="19">
        <f t="shared" si="77"/>
        <v>3.2518261517430203E-2</v>
      </c>
      <c r="S669" s="22">
        <v>3.8281013771475081E-2</v>
      </c>
      <c r="T669" s="19">
        <f t="shared" si="78"/>
        <v>4.2808854967512522E-2</v>
      </c>
      <c r="U669" s="24">
        <v>4.0624039667088274E-2</v>
      </c>
      <c r="V669" s="24">
        <f t="shared" si="79"/>
        <v>4.2821613536726089E-2</v>
      </c>
      <c r="W669" s="23">
        <f t="shared" si="80"/>
        <v>3.5001581680464966E-3</v>
      </c>
      <c r="X669" s="24">
        <v>4.01491791999673E-2</v>
      </c>
      <c r="Y669" s="24">
        <f t="shared" si="81"/>
        <v>4.2818521794107056E-2</v>
      </c>
      <c r="Z669" s="23">
        <f t="shared" si="82"/>
        <v>3.4999039895251549E-3</v>
      </c>
      <c r="AA669" s="36"/>
    </row>
    <row r="670" spans="15:27" ht="13.9" customHeight="1" x14ac:dyDescent="0.3">
      <c r="O670" s="12">
        <f t="shared" si="76"/>
        <v>54.75</v>
      </c>
      <c r="P670" s="13">
        <v>657</v>
      </c>
      <c r="Q670" s="22">
        <v>3.2869375689268177E-2</v>
      </c>
      <c r="R670" s="19">
        <f t="shared" si="77"/>
        <v>3.2525890652612244E-2</v>
      </c>
      <c r="S670" s="22">
        <v>3.8287890502117783E-2</v>
      </c>
      <c r="T670" s="19">
        <f t="shared" si="78"/>
        <v>4.2810795909714816E-2</v>
      </c>
      <c r="U670" s="24">
        <v>4.062738100689689E-2</v>
      </c>
      <c r="V670" s="24">
        <f t="shared" si="79"/>
        <v>4.2823232637005937E-2</v>
      </c>
      <c r="W670" s="23">
        <f t="shared" si="80"/>
        <v>3.5002891967192973E-3</v>
      </c>
      <c r="X670" s="24">
        <v>4.0153236929748148E-2</v>
      </c>
      <c r="Y670" s="24">
        <f t="shared" si="81"/>
        <v>4.2820217634872426E-2</v>
      </c>
      <c r="Z670" s="23">
        <f t="shared" si="82"/>
        <v>3.5000412661059244E-3</v>
      </c>
      <c r="AA670" s="36"/>
    </row>
    <row r="671" spans="15:27" ht="13.9" customHeight="1" x14ac:dyDescent="0.3">
      <c r="O671" s="12">
        <f t="shared" si="76"/>
        <v>54.833333333333336</v>
      </c>
      <c r="P671" s="13">
        <v>658</v>
      </c>
      <c r="Q671" s="22">
        <v>3.286885358884839E-2</v>
      </c>
      <c r="R671" s="19">
        <f t="shared" si="77"/>
        <v>3.2533455427534275E-2</v>
      </c>
      <c r="S671" s="22">
        <v>3.8294749313170673E-2</v>
      </c>
      <c r="T671" s="19">
        <f t="shared" si="78"/>
        <v>4.2812717116675225E-2</v>
      </c>
      <c r="U671" s="24">
        <v>4.0630714656804567E-2</v>
      </c>
      <c r="V671" s="24">
        <f t="shared" si="79"/>
        <v>4.2824837021674167E-2</v>
      </c>
      <c r="W671" s="23">
        <f t="shared" si="80"/>
        <v>3.5004190340777175E-3</v>
      </c>
      <c r="X671" s="24">
        <v>4.0157284912447855E-2</v>
      </c>
      <c r="Y671" s="24">
        <f t="shared" si="81"/>
        <v>4.2821897606771353E-2</v>
      </c>
      <c r="Z671" s="23">
        <f t="shared" si="82"/>
        <v>3.5001772577296641E-3</v>
      </c>
      <c r="AA671" s="36"/>
    </row>
    <row r="672" spans="15:27" ht="13.9" customHeight="1" x14ac:dyDescent="0.3">
      <c r="O672" s="12">
        <f t="shared" si="76"/>
        <v>54.916666666666664</v>
      </c>
      <c r="P672" s="13">
        <v>659</v>
      </c>
      <c r="Q672" s="22">
        <v>3.2868344556152618E-2</v>
      </c>
      <c r="R672" s="19">
        <f t="shared" si="77"/>
        <v>3.2540956394236487E-2</v>
      </c>
      <c r="S672" s="22">
        <v>3.8301590256238915E-2</v>
      </c>
      <c r="T672" s="19">
        <f t="shared" si="78"/>
        <v>4.2814618788798553E-2</v>
      </c>
      <c r="U672" s="24">
        <v>4.0634040629506041E-2</v>
      </c>
      <c r="V672" s="24">
        <f t="shared" si="79"/>
        <v>4.2826426823346919E-2</v>
      </c>
      <c r="W672" s="23">
        <f t="shared" si="80"/>
        <v>3.5005476911933453E-3</v>
      </c>
      <c r="X672" s="24">
        <v>4.016132316837373E-2</v>
      </c>
      <c r="Y672" s="24">
        <f t="shared" si="81"/>
        <v>4.2823561857987302E-2</v>
      </c>
      <c r="Z672" s="23">
        <f t="shared" si="82"/>
        <v>3.5003119766090496E-3</v>
      </c>
      <c r="AA672" s="36"/>
    </row>
    <row r="673" spans="15:27" ht="13.9" customHeight="1" x14ac:dyDescent="0.3">
      <c r="O673" s="12">
        <f t="shared" si="76"/>
        <v>55</v>
      </c>
      <c r="P673" s="13">
        <v>660</v>
      </c>
      <c r="Q673" s="22">
        <v>3.2867848434970259E-2</v>
      </c>
      <c r="R673" s="19">
        <f t="shared" si="77"/>
        <v>3.2548394099083389E-2</v>
      </c>
      <c r="S673" s="22">
        <v>3.8308413382917683E-2</v>
      </c>
      <c r="T673" s="19">
        <f t="shared" si="78"/>
        <v>4.281650112487756E-2</v>
      </c>
      <c r="U673" s="24">
        <v>4.0637358937820167E-2</v>
      </c>
      <c r="V673" s="24">
        <f t="shared" si="79"/>
        <v>4.2828002174577939E-2</v>
      </c>
      <c r="W673" s="23">
        <f t="shared" si="80"/>
        <v>3.5006751787061141E-3</v>
      </c>
      <c r="X673" s="24">
        <v>4.0165351717934339E-2</v>
      </c>
      <c r="Y673" s="24">
        <f t="shared" si="81"/>
        <v>4.2825210535672564E-2</v>
      </c>
      <c r="Z673" s="23">
        <f t="shared" si="82"/>
        <v>3.5004454346327929E-3</v>
      </c>
      <c r="AA673" s="36"/>
    </row>
    <row r="674" spans="15:27" ht="13.9" customHeight="1" x14ac:dyDescent="0.3">
      <c r="O674" s="12">
        <f t="shared" si="76"/>
        <v>55.083333333333336</v>
      </c>
      <c r="P674" s="13">
        <v>661</v>
      </c>
      <c r="Q674" s="22">
        <v>3.2867365070865739E-2</v>
      </c>
      <c r="R674" s="19">
        <f t="shared" si="77"/>
        <v>3.2555769085098829E-2</v>
      </c>
      <c r="S674" s="22">
        <v>3.8315218744789714E-2</v>
      </c>
      <c r="T674" s="19">
        <f t="shared" si="78"/>
        <v>4.2818364322707581E-2</v>
      </c>
      <c r="U674" s="24">
        <v>4.0640669594687928E-2</v>
      </c>
      <c r="V674" s="24">
        <f t="shared" si="79"/>
        <v>4.2829563208521604E-2</v>
      </c>
      <c r="W674" s="23">
        <f t="shared" si="80"/>
        <v>3.5008015072499621E-3</v>
      </c>
      <c r="X674" s="24">
        <v>4.016937058163661E-2</v>
      </c>
      <c r="Y674" s="24">
        <f t="shared" si="81"/>
        <v>4.2826843786590407E-2</v>
      </c>
      <c r="Z674" s="23">
        <f t="shared" si="82"/>
        <v>3.5005776436063396E-3</v>
      </c>
      <c r="AA674" s="36"/>
    </row>
    <row r="675" spans="15:27" ht="13.9" customHeight="1" x14ac:dyDescent="0.3">
      <c r="O675" s="12">
        <f t="shared" si="76"/>
        <v>55.166666666666664</v>
      </c>
      <c r="P675" s="13">
        <v>662</v>
      </c>
      <c r="Q675" s="22">
        <v>3.2866894311159633E-2</v>
      </c>
      <c r="R675" s="19">
        <f t="shared" si="77"/>
        <v>3.2563081888304257E-2</v>
      </c>
      <c r="S675" s="22">
        <v>3.8322006393423758E-2</v>
      </c>
      <c r="T675" s="19">
        <f t="shared" si="78"/>
        <v>4.2820208576823893E-2</v>
      </c>
      <c r="U675" s="24">
        <v>4.0643972613172874E-2</v>
      </c>
      <c r="V675" s="24">
        <f t="shared" si="79"/>
        <v>4.2831110054012411E-2</v>
      </c>
      <c r="W675" s="23">
        <f t="shared" si="80"/>
        <v>3.5009266875078993E-3</v>
      </c>
      <c r="X675" s="24">
        <v>4.0173379780084506E-2</v>
      </c>
      <c r="Y675" s="24">
        <f t="shared" si="81"/>
        <v>4.2828461754804259E-2</v>
      </c>
      <c r="Z675" s="23">
        <f t="shared" si="82"/>
        <v>3.500708615304271E-3</v>
      </c>
      <c r="AA675" s="36"/>
    </row>
    <row r="676" spans="15:27" ht="13.9" customHeight="1" x14ac:dyDescent="0.3">
      <c r="O676" s="12">
        <f t="shared" si="76"/>
        <v>55.25</v>
      </c>
      <c r="P676" s="13">
        <v>663</v>
      </c>
      <c r="Q676" s="22">
        <v>3.2866436004905353E-2</v>
      </c>
      <c r="R676" s="19">
        <f t="shared" si="77"/>
        <v>3.2570333041622712E-2</v>
      </c>
      <c r="S676" s="22">
        <v>3.8328776380369911E-2</v>
      </c>
      <c r="T676" s="19">
        <f t="shared" si="78"/>
        <v>4.2822034081260396E-2</v>
      </c>
      <c r="U676" s="24">
        <v>4.0647268006453796E-2</v>
      </c>
      <c r="V676" s="24">
        <f t="shared" si="79"/>
        <v>4.2832642842157265E-2</v>
      </c>
      <c r="W676" s="23">
        <f t="shared" si="80"/>
        <v>3.5010507298156579E-3</v>
      </c>
      <c r="X676" s="24">
        <v>4.0177379333975027E-2</v>
      </c>
      <c r="Y676" s="24">
        <f t="shared" si="81"/>
        <v>4.2830064584922667E-2</v>
      </c>
      <c r="Z676" s="23">
        <f t="shared" si="82"/>
        <v>3.500838361284675E-3</v>
      </c>
      <c r="AA676" s="36"/>
    </row>
    <row r="677" spans="15:27" ht="13.9" customHeight="1" x14ac:dyDescent="0.3">
      <c r="O677" s="12">
        <f t="shared" si="76"/>
        <v>55.333333333333336</v>
      </c>
      <c r="P677" s="13">
        <v>664</v>
      </c>
      <c r="Q677" s="22">
        <v>3.2865990002870715E-2</v>
      </c>
      <c r="R677" s="19">
        <f t="shared" si="77"/>
        <v>3.2577523072410797E-2</v>
      </c>
      <c r="S677" s="22">
        <v>3.8335528757158954E-2</v>
      </c>
      <c r="T677" s="19">
        <f t="shared" si="78"/>
        <v>4.2823841025960263E-2</v>
      </c>
      <c r="U677" s="24">
        <v>4.0650555787827169E-2</v>
      </c>
      <c r="V677" s="24">
        <f t="shared" si="79"/>
        <v>4.2834161699542683E-2</v>
      </c>
      <c r="W677" s="23">
        <f t="shared" si="80"/>
        <v>3.501173644691713E-3</v>
      </c>
      <c r="X677" s="24">
        <v>4.01813692640971E-2</v>
      </c>
      <c r="Y677" s="24">
        <f t="shared" si="81"/>
        <v>4.2831652417420596E-2</v>
      </c>
      <c r="Z677" s="23">
        <f t="shared" si="82"/>
        <v>3.5009668931489379E-3</v>
      </c>
      <c r="AA677" s="36"/>
    </row>
    <row r="678" spans="15:27" ht="13.9" customHeight="1" x14ac:dyDescent="0.3">
      <c r="O678" s="12">
        <f t="shared" si="76"/>
        <v>55.416666666666664</v>
      </c>
      <c r="P678" s="13">
        <v>665</v>
      </c>
      <c r="Q678" s="22">
        <v>3.2865556157517295E-2</v>
      </c>
      <c r="R678" s="19">
        <f t="shared" si="77"/>
        <v>3.2584652504255018E-2</v>
      </c>
      <c r="S678" s="22">
        <v>3.8342263575296798E-2</v>
      </c>
      <c r="T678" s="19">
        <f t="shared" si="78"/>
        <v>4.2825629600670378E-2</v>
      </c>
      <c r="U678" s="24">
        <v>4.0653835970698937E-2</v>
      </c>
      <c r="V678" s="24">
        <f t="shared" si="79"/>
        <v>4.2835666753646251E-2</v>
      </c>
      <c r="W678" s="23">
        <f t="shared" si="80"/>
        <v>3.5012954422910525E-3</v>
      </c>
      <c r="X678" s="24">
        <v>4.0185349591325803E-2</v>
      </c>
      <c r="Y678" s="24">
        <f t="shared" si="81"/>
        <v>4.2833225393943852E-2</v>
      </c>
      <c r="Z678" s="23">
        <f t="shared" si="82"/>
        <v>3.5010942221667118E-3</v>
      </c>
      <c r="AA678" s="36"/>
    </row>
    <row r="679" spans="15:27" ht="13.9" customHeight="1" x14ac:dyDescent="0.3">
      <c r="O679" s="12">
        <f t="shared" si="76"/>
        <v>55.5</v>
      </c>
      <c r="P679" s="13">
        <v>666</v>
      </c>
      <c r="Q679" s="22">
        <v>3.2865134322981548E-2</v>
      </c>
      <c r="R679" s="19">
        <f t="shared" si="77"/>
        <v>3.2591721855560696E-2</v>
      </c>
      <c r="S679" s="22">
        <v>3.8348980886263373E-2</v>
      </c>
      <c r="T679" s="19">
        <f t="shared" si="78"/>
        <v>4.2827399993131454E-2</v>
      </c>
      <c r="U679" s="24">
        <v>4.0657108568586287E-2</v>
      </c>
      <c r="V679" s="24">
        <f t="shared" si="79"/>
        <v>4.2837158130791142E-2</v>
      </c>
      <c r="W679" s="23">
        <f t="shared" si="80"/>
        <v>3.501416132841273E-3</v>
      </c>
      <c r="X679" s="24">
        <v>4.0189320336622814E-2</v>
      </c>
      <c r="Y679" s="24">
        <f t="shared" si="81"/>
        <v>4.2834783653807218E-2</v>
      </c>
      <c r="Z679" s="23">
        <f t="shared" si="82"/>
        <v>3.5012203597020175E-3</v>
      </c>
      <c r="AA679" s="36"/>
    </row>
    <row r="680" spans="15:27" ht="13.9" customHeight="1" x14ac:dyDescent="0.3">
      <c r="O680" s="12">
        <f t="shared" si="76"/>
        <v>55.583333333333336</v>
      </c>
      <c r="P680" s="13">
        <v>667</v>
      </c>
      <c r="Q680" s="22">
        <v>3.2864724355054387E-2</v>
      </c>
      <c r="R680" s="19">
        <f t="shared" si="77"/>
        <v>3.2598731639573053E-2</v>
      </c>
      <c r="S680" s="22">
        <v>3.8355680741510856E-2</v>
      </c>
      <c r="T680" s="19">
        <f t="shared" si="78"/>
        <v>4.2829152387539038E-2</v>
      </c>
      <c r="U680" s="24">
        <v>4.0660373595113652E-2</v>
      </c>
      <c r="V680" s="24">
        <f t="shared" si="79"/>
        <v>4.2838635954676629E-2</v>
      </c>
      <c r="W680" s="23">
        <f t="shared" si="80"/>
        <v>3.5015357264760461E-3</v>
      </c>
      <c r="X680" s="24">
        <v>4.0193281521032409E-2</v>
      </c>
      <c r="Y680" s="24">
        <f t="shared" si="81"/>
        <v>4.2836327334702329E-2</v>
      </c>
      <c r="Z680" s="23">
        <f t="shared" si="82"/>
        <v>3.501345316931026E-3</v>
      </c>
      <c r="AA680" s="36"/>
    </row>
    <row r="681" spans="15:27" ht="13.9" customHeight="1" x14ac:dyDescent="0.3">
      <c r="O681" s="12">
        <f t="shared" si="76"/>
        <v>55.666666666666664</v>
      </c>
      <c r="P681" s="13">
        <v>668</v>
      </c>
      <c r="Q681" s="22">
        <v>3.2864326111161413E-2</v>
      </c>
      <c r="R681" s="19">
        <f t="shared" si="77"/>
        <v>3.2605682366720012E-2</v>
      </c>
      <c r="S681" s="22">
        <v>3.8362363192458337E-2</v>
      </c>
      <c r="T681" s="19">
        <f t="shared" si="78"/>
        <v>4.2830886968119763E-2</v>
      </c>
      <c r="U681" s="24">
        <v>4.0663631064009165E-2</v>
      </c>
      <c r="V681" s="24">
        <f t="shared" si="79"/>
        <v>4.2840100349117449E-2</v>
      </c>
      <c r="W681" s="23">
        <f t="shared" si="80"/>
        <v>3.5016542331196554E-3</v>
      </c>
      <c r="X681" s="24">
        <v>4.0197233165678581E-2</v>
      </c>
      <c r="Y681" s="24">
        <f t="shared" si="81"/>
        <v>4.2837856573956667E-2</v>
      </c>
      <c r="Z681" s="23">
        <f t="shared" si="82"/>
        <v>3.5014691049004565E-3</v>
      </c>
      <c r="AA681" s="36"/>
    </row>
    <row r="682" spans="15:27" ht="13.9" customHeight="1" x14ac:dyDescent="0.3">
      <c r="O682" s="12">
        <f t="shared" si="76"/>
        <v>55.75</v>
      </c>
      <c r="P682" s="13">
        <v>669</v>
      </c>
      <c r="Q682" s="22">
        <v>3.2863939450346047E-2</v>
      </c>
      <c r="R682" s="19">
        <f t="shared" si="77"/>
        <v>3.2612574540710204E-2</v>
      </c>
      <c r="S682" s="22">
        <v>3.8369028290491602E-2</v>
      </c>
      <c r="T682" s="19">
        <f t="shared" si="78"/>
        <v>4.2832603916237444E-2</v>
      </c>
      <c r="U682" s="24">
        <v>4.0666880989103316E-2</v>
      </c>
      <c r="V682" s="24">
        <f t="shared" si="79"/>
        <v>4.2841551437181824E-2</v>
      </c>
      <c r="W682" s="23">
        <f t="shared" si="80"/>
        <v>3.5017716627046003E-3</v>
      </c>
      <c r="X682" s="24">
        <v>4.0201175291763702E-2</v>
      </c>
      <c r="Y682" s="24">
        <f t="shared" si="81"/>
        <v>4.2839371506091739E-2</v>
      </c>
      <c r="Z682" s="23">
        <f t="shared" si="82"/>
        <v>3.501591734627274E-3</v>
      </c>
      <c r="AA682" s="36"/>
    </row>
    <row r="683" spans="15:27" ht="13.9" customHeight="1" x14ac:dyDescent="0.3">
      <c r="O683" s="12">
        <f t="shared" si="76"/>
        <v>55.833333333333336</v>
      </c>
      <c r="P683" s="13">
        <v>670</v>
      </c>
      <c r="Q683" s="22">
        <v>3.2863564233247766E-2</v>
      </c>
      <c r="R683" s="19">
        <f t="shared" si="77"/>
        <v>3.2619408662935001E-2</v>
      </c>
      <c r="S683" s="22">
        <v>3.8375676086959798E-2</v>
      </c>
      <c r="T683" s="19">
        <f t="shared" si="78"/>
        <v>4.28343034115235E-2</v>
      </c>
      <c r="U683" s="24">
        <v>4.0670123384327184E-2</v>
      </c>
      <c r="V683" s="24">
        <f t="shared" si="79"/>
        <v>4.2842989339028081E-2</v>
      </c>
      <c r="W683" s="23">
        <f t="shared" si="80"/>
        <v>3.501888025103872E-3</v>
      </c>
      <c r="X683" s="24">
        <v>4.0205107920564087E-2</v>
      </c>
      <c r="Y683" s="24">
        <f t="shared" si="81"/>
        <v>4.2840872266494134E-2</v>
      </c>
      <c r="Z683" s="23">
        <f t="shared" si="82"/>
        <v>3.5017132169032905E-3</v>
      </c>
      <c r="AA683" s="36"/>
    </row>
    <row r="684" spans="15:27" ht="13.9" customHeight="1" x14ac:dyDescent="0.3">
      <c r="O684" s="12">
        <f t="shared" si="76"/>
        <v>55.916666666666664</v>
      </c>
      <c r="P684" s="13">
        <v>671</v>
      </c>
      <c r="Q684" s="22">
        <v>3.2863200322086117E-2</v>
      </c>
      <c r="R684" s="19">
        <f t="shared" si="77"/>
        <v>3.2626185229216009E-2</v>
      </c>
      <c r="S684" s="22">
        <v>3.8382306633172547E-2</v>
      </c>
      <c r="T684" s="19">
        <f t="shared" si="78"/>
        <v>4.2835985632091012E-2</v>
      </c>
      <c r="U684" s="24">
        <v>4.0673358263707993E-2</v>
      </c>
      <c r="V684" s="24">
        <f t="shared" si="79"/>
        <v>4.2844414175537304E-2</v>
      </c>
      <c r="W684" s="23">
        <f t="shared" si="80"/>
        <v>3.502003329957315E-3</v>
      </c>
      <c r="X684" s="24">
        <v>4.0209031073430213E-2</v>
      </c>
      <c r="Y684" s="24">
        <f t="shared" si="81"/>
        <v>4.2842358987300821E-2</v>
      </c>
      <c r="Z684" s="23">
        <f t="shared" si="82"/>
        <v>3.5018335625900399E-3</v>
      </c>
      <c r="AA684" s="36"/>
    </row>
    <row r="685" spans="15:27" ht="13.9" customHeight="1" x14ac:dyDescent="0.3">
      <c r="O685" s="12">
        <f t="shared" si="76"/>
        <v>56</v>
      </c>
      <c r="P685" s="13">
        <v>672</v>
      </c>
      <c r="Q685" s="22">
        <v>3.2862847580641175E-2</v>
      </c>
      <c r="R685" s="19">
        <f t="shared" si="77"/>
        <v>3.2632904731066503E-2</v>
      </c>
      <c r="S685" s="22">
        <v>3.8388919980398839E-2</v>
      </c>
      <c r="T685" s="19">
        <f t="shared" si="78"/>
        <v>4.2837650752922674E-2</v>
      </c>
      <c r="U685" s="24">
        <v>4.0676585641368446E-2</v>
      </c>
      <c r="V685" s="24">
        <f t="shared" si="79"/>
        <v>4.2845826065113668E-2</v>
      </c>
      <c r="W685" s="23">
        <f t="shared" si="80"/>
        <v>3.5021175869618393E-3</v>
      </c>
      <c r="X685" s="24">
        <v>4.0212944771781833E-2</v>
      </c>
      <c r="Y685" s="24">
        <f t="shared" si="81"/>
        <v>4.2843831799723286E-2</v>
      </c>
      <c r="Z685" s="23">
        <f t="shared" si="82"/>
        <v>3.5019527822874874E-3</v>
      </c>
      <c r="AA685" s="36"/>
    </row>
    <row r="686" spans="15:27" ht="13.9" customHeight="1" x14ac:dyDescent="0.3">
      <c r="O686" s="12">
        <f t="shared" si="76"/>
        <v>56.083333333333336</v>
      </c>
      <c r="P686" s="13">
        <v>673</v>
      </c>
      <c r="Q686" s="22">
        <v>3.2862505874235559E-2</v>
      </c>
      <c r="R686" s="19">
        <f t="shared" si="77"/>
        <v>3.2639567655892598E-2</v>
      </c>
      <c r="S686" s="22">
        <v>3.8395516179861477E-2</v>
      </c>
      <c r="T686" s="19">
        <f t="shared" si="78"/>
        <v>4.2839298949658211E-2</v>
      </c>
      <c r="U686" s="24">
        <v>4.0679805531523172E-2</v>
      </c>
      <c r="V686" s="24">
        <f t="shared" si="79"/>
        <v>4.2847225126456667E-2</v>
      </c>
      <c r="W686" s="23">
        <f t="shared" si="80"/>
        <v>3.5022308056167351E-3</v>
      </c>
      <c r="X686" s="24">
        <v>4.0216849037105984E-2</v>
      </c>
      <c r="Y686" s="24">
        <f t="shared" si="81"/>
        <v>4.2845290835797467E-2</v>
      </c>
      <c r="Z686" s="23">
        <f t="shared" si="82"/>
        <v>3.5020708865223238E-3</v>
      </c>
      <c r="AA686" s="36"/>
    </row>
    <row r="687" spans="15:27" ht="13.9" customHeight="1" x14ac:dyDescent="0.3">
      <c r="O687" s="12">
        <f t="shared" si="76"/>
        <v>56.166666666666664</v>
      </c>
      <c r="P687" s="13">
        <v>674</v>
      </c>
      <c r="Q687" s="22">
        <v>3.2862175069716004E-2</v>
      </c>
      <c r="R687" s="19">
        <f t="shared" si="77"/>
        <v>3.2646174486784529E-2</v>
      </c>
      <c r="S687" s="22">
        <v>3.8402095282739745E-2</v>
      </c>
      <c r="T687" s="19">
        <f t="shared" si="78"/>
        <v>4.2840930393912569E-2</v>
      </c>
      <c r="U687" s="24">
        <v>4.0683017948478062E-2</v>
      </c>
      <c r="V687" s="24">
        <f t="shared" si="79"/>
        <v>4.2848611475907905E-2</v>
      </c>
      <c r="W687" s="23">
        <f t="shared" si="80"/>
        <v>3.5023429954439411E-3</v>
      </c>
      <c r="X687" s="24">
        <v>4.02207438909572E-2</v>
      </c>
      <c r="Y687" s="24">
        <f t="shared" si="81"/>
        <v>4.2846736223052018E-2</v>
      </c>
      <c r="Z687" s="23">
        <f t="shared" si="82"/>
        <v>3.5021878858865207E-3</v>
      </c>
      <c r="AA687" s="36"/>
    </row>
    <row r="688" spans="15:27" ht="13.9" customHeight="1" x14ac:dyDescent="0.3">
      <c r="O688" s="12">
        <f t="shared" si="76"/>
        <v>56.25</v>
      </c>
      <c r="P688" s="13">
        <v>675</v>
      </c>
      <c r="Q688" s="22">
        <v>3.2861855035436704E-2</v>
      </c>
      <c r="R688" s="19">
        <f t="shared" si="77"/>
        <v>3.2652725703290697E-2</v>
      </c>
      <c r="S688" s="22">
        <v>3.8408657340162744E-2</v>
      </c>
      <c r="T688" s="19">
        <f t="shared" si="78"/>
        <v>4.2842545256345677E-2</v>
      </c>
      <c r="U688" s="24">
        <v>4.068622290662649E-2</v>
      </c>
      <c r="V688" s="24">
        <f t="shared" si="79"/>
        <v>4.2849985228899712E-2</v>
      </c>
      <c r="W688" s="23">
        <f t="shared" si="80"/>
        <v>3.5024541657764363E-3</v>
      </c>
      <c r="X688" s="24">
        <v>4.0224629354951302E-2</v>
      </c>
      <c r="Y688" s="24">
        <f t="shared" si="81"/>
        <v>4.2848168090424021E-2</v>
      </c>
      <c r="Z688" s="23">
        <f t="shared" si="82"/>
        <v>3.5023037906107835E-3</v>
      </c>
      <c r="AA688" s="36"/>
    </row>
    <row r="689" spans="15:27" ht="13.9" customHeight="1" x14ac:dyDescent="0.3">
      <c r="O689" s="12">
        <f t="shared" si="76"/>
        <v>56.333333333333336</v>
      </c>
      <c r="P689" s="13">
        <v>676</v>
      </c>
      <c r="Q689" s="22">
        <v>3.2861545641242218E-2</v>
      </c>
      <c r="R689" s="19">
        <f t="shared" si="77"/>
        <v>3.2659221779103076E-2</v>
      </c>
      <c r="S689" s="22">
        <v>3.8415202403208726E-2</v>
      </c>
      <c r="T689" s="19">
        <f t="shared" si="78"/>
        <v>4.2844143706187499E-2</v>
      </c>
      <c r="U689" s="24">
        <v>4.0689420420446654E-2</v>
      </c>
      <c r="V689" s="24">
        <f t="shared" si="79"/>
        <v>4.285134650111444E-2</v>
      </c>
      <c r="W689" s="23">
        <f t="shared" si="80"/>
        <v>3.5025643258748129E-3</v>
      </c>
      <c r="X689" s="24">
        <v>4.0228505450766061E-2</v>
      </c>
      <c r="Y689" s="24">
        <f t="shared" si="81"/>
        <v>4.2849586564068121E-2</v>
      </c>
      <c r="Z689" s="23">
        <f t="shared" si="82"/>
        <v>3.5024186110386157E-3</v>
      </c>
      <c r="AA689" s="36"/>
    </row>
    <row r="690" spans="15:27" ht="13.9" customHeight="1" x14ac:dyDescent="0.3">
      <c r="O690" s="12">
        <f t="shared" si="76"/>
        <v>56.416666666666664</v>
      </c>
      <c r="P690" s="13">
        <v>677</v>
      </c>
      <c r="Q690" s="22">
        <v>3.2861246758447926E-2</v>
      </c>
      <c r="R690" s="19">
        <f t="shared" si="77"/>
        <v>3.2665663185047933E-2</v>
      </c>
      <c r="S690" s="22">
        <v>3.8421730522903541E-2</v>
      </c>
      <c r="T690" s="19">
        <f t="shared" si="78"/>
        <v>4.2845725910440668E-2</v>
      </c>
      <c r="U690" s="24">
        <v>4.0692610504502014E-2</v>
      </c>
      <c r="V690" s="24">
        <f t="shared" si="79"/>
        <v>4.2852695405536601E-2</v>
      </c>
      <c r="W690" s="23">
        <f t="shared" si="80"/>
        <v>3.5026734850187591E-3</v>
      </c>
      <c r="X690" s="24">
        <v>4.0232372200137423E-2</v>
      </c>
      <c r="Y690" s="24">
        <f t="shared" si="81"/>
        <v>4.285099177026952E-2</v>
      </c>
      <c r="Z690" s="23">
        <f t="shared" si="82"/>
        <v>3.5025323572905886E-3</v>
      </c>
      <c r="AA690" s="36"/>
    </row>
    <row r="691" spans="15:27" ht="13.9" customHeight="1" x14ac:dyDescent="0.3">
      <c r="O691" s="12">
        <f t="shared" si="76"/>
        <v>56.5</v>
      </c>
      <c r="P691" s="13">
        <v>678</v>
      </c>
      <c r="Q691" s="22">
        <v>3.2860958259824935E-2</v>
      </c>
      <c r="R691" s="19">
        <f t="shared" si="77"/>
        <v>3.2672050387701823E-2</v>
      </c>
      <c r="S691" s="22">
        <v>3.8428241750217529E-2</v>
      </c>
      <c r="T691" s="19">
        <f t="shared" si="78"/>
        <v>4.2847292034764672E-2</v>
      </c>
      <c r="U691" s="24">
        <v>4.0695793173436412E-2</v>
      </c>
      <c r="V691" s="24">
        <f t="shared" si="79"/>
        <v>4.2854032055145597E-2</v>
      </c>
      <c r="W691" s="23">
        <f t="shared" si="80"/>
        <v>3.5027816522723576E-3</v>
      </c>
      <c r="X691" s="24">
        <v>4.0236229624858844E-2</v>
      </c>
      <c r="Y691" s="24">
        <f t="shared" si="81"/>
        <v>4.285238383331369E-2</v>
      </c>
      <c r="Z691" s="23">
        <f t="shared" si="82"/>
        <v>3.5026450394970432E-3</v>
      </c>
      <c r="AA691" s="36"/>
    </row>
    <row r="692" spans="15:27" ht="13.9" customHeight="1" x14ac:dyDescent="0.3">
      <c r="O692" s="12">
        <f t="shared" si="76"/>
        <v>56.583333333333336</v>
      </c>
      <c r="P692" s="13">
        <v>679</v>
      </c>
      <c r="Q692" s="22">
        <v>3.2860680019583199E-2</v>
      </c>
      <c r="R692" s="19">
        <f t="shared" si="77"/>
        <v>3.2678383849838566E-2</v>
      </c>
      <c r="S692" s="22">
        <v>3.8434736136064185E-2</v>
      </c>
      <c r="T692" s="19">
        <f t="shared" si="78"/>
        <v>4.2848842242231289E-2</v>
      </c>
      <c r="U692" s="24">
        <v>4.0698968441973404E-2</v>
      </c>
      <c r="V692" s="24">
        <f t="shared" si="79"/>
        <v>4.2855356561138258E-2</v>
      </c>
      <c r="W692" s="23">
        <f t="shared" si="80"/>
        <v>3.502888836698359E-3</v>
      </c>
      <c r="X692" s="24">
        <v>4.0240077746777736E-2</v>
      </c>
      <c r="Y692" s="24">
        <f t="shared" si="81"/>
        <v>4.2853762875461276E-2</v>
      </c>
      <c r="Z692" s="23">
        <f t="shared" si="82"/>
        <v>3.5027566676286703E-3</v>
      </c>
      <c r="AA692" s="36"/>
    </row>
    <row r="693" spans="15:27" ht="13.9" customHeight="1" x14ac:dyDescent="0.3">
      <c r="O693" s="12">
        <f t="shared" si="76"/>
        <v>56.666666666666664</v>
      </c>
      <c r="P693" s="13">
        <v>680</v>
      </c>
      <c r="Q693" s="22">
        <v>3.286041191335487E-2</v>
      </c>
      <c r="R693" s="19">
        <f t="shared" si="77"/>
        <v>3.2684664028578725E-2</v>
      </c>
      <c r="S693" s="22">
        <v>3.8441213731296608E-2</v>
      </c>
      <c r="T693" s="19">
        <f t="shared" si="78"/>
        <v>4.2850376695922732E-2</v>
      </c>
      <c r="U693" s="24">
        <v>4.0702136324913152E-2</v>
      </c>
      <c r="V693" s="24">
        <f t="shared" si="79"/>
        <v>4.2856669034315731E-2</v>
      </c>
      <c r="W693" s="23">
        <f t="shared" si="80"/>
        <v>3.5029950472174054E-3</v>
      </c>
      <c r="X693" s="24">
        <v>4.0243916587792805E-2</v>
      </c>
      <c r="Y693" s="24">
        <f t="shared" si="81"/>
        <v>4.285512901959887E-2</v>
      </c>
      <c r="Z693" s="23">
        <f t="shared" si="82"/>
        <v>3.5028672514929582E-3</v>
      </c>
      <c r="AA693" s="36"/>
    </row>
    <row r="694" spans="15:27" ht="13.9" customHeight="1" x14ac:dyDescent="0.3">
      <c r="O694" s="12">
        <f t="shared" si="76"/>
        <v>56.75</v>
      </c>
      <c r="P694" s="13">
        <v>681</v>
      </c>
      <c r="Q694" s="22">
        <v>3.2860153818175863E-2</v>
      </c>
      <c r="R694" s="19">
        <f t="shared" si="77"/>
        <v>3.2690891378795994E-2</v>
      </c>
      <c r="S694" s="22">
        <v>3.8447674586707725E-2</v>
      </c>
      <c r="T694" s="19">
        <f t="shared" si="78"/>
        <v>4.2851895556332398E-2</v>
      </c>
      <c r="U694" s="24">
        <v>4.0705296837131089E-2</v>
      </c>
      <c r="V694" s="24">
        <f t="shared" si="79"/>
        <v>4.2857969584569888E-2</v>
      </c>
      <c r="W694" s="23">
        <f t="shared" si="80"/>
        <v>3.5031002927177202E-3</v>
      </c>
      <c r="X694" s="24">
        <v>4.0247746169853826E-2</v>
      </c>
      <c r="Y694" s="24">
        <f t="shared" si="81"/>
        <v>4.2856482386988137E-2</v>
      </c>
      <c r="Z694" s="23">
        <f t="shared" si="82"/>
        <v>3.5029768009480211E-3</v>
      </c>
      <c r="AA694" s="36"/>
    </row>
    <row r="695" spans="15:27" ht="13.9" customHeight="1" x14ac:dyDescent="0.3">
      <c r="O695" s="12">
        <f t="shared" si="76"/>
        <v>56.833333333333336</v>
      </c>
      <c r="P695" s="13">
        <v>682</v>
      </c>
      <c r="Q695" s="22">
        <v>3.285990561247254E-2</v>
      </c>
      <c r="R695" s="19">
        <f t="shared" si="77"/>
        <v>3.2697066350766857E-2</v>
      </c>
      <c r="S695" s="22">
        <v>3.84541187530274E-2</v>
      </c>
      <c r="T695" s="19">
        <f t="shared" si="78"/>
        <v>4.2853398981112178E-2</v>
      </c>
      <c r="U695" s="24">
        <v>4.070844999357659E-2</v>
      </c>
      <c r="V695" s="24">
        <f t="shared" si="79"/>
        <v>4.2859258320163685E-2</v>
      </c>
      <c r="W695" s="23">
        <f t="shared" si="80"/>
        <v>3.5032045820146962E-3</v>
      </c>
      <c r="X695" s="24">
        <v>4.0251566514959425E-2</v>
      </c>
      <c r="Y695" s="24">
        <f t="shared" si="81"/>
        <v>4.2857823096662973E-2</v>
      </c>
      <c r="Z695" s="23">
        <f t="shared" si="82"/>
        <v>3.5030853257211891E-3</v>
      </c>
      <c r="AA695" s="36"/>
    </row>
    <row r="696" spans="15:27" ht="13.9" customHeight="1" x14ac:dyDescent="0.3">
      <c r="O696" s="12">
        <f t="shared" si="76"/>
        <v>56.916666666666664</v>
      </c>
      <c r="P696" s="13">
        <v>683</v>
      </c>
      <c r="Q696" s="22">
        <v>3.2859667176043938E-2</v>
      </c>
      <c r="R696" s="19">
        <f t="shared" si="77"/>
        <v>3.2703189391450227E-2</v>
      </c>
      <c r="S696" s="22">
        <v>3.8460546280918884E-2</v>
      </c>
      <c r="T696" s="19">
        <f t="shared" si="78"/>
        <v>4.2854887128607411E-2</v>
      </c>
      <c r="U696" s="24">
        <v>4.0711595809269419E-2</v>
      </c>
      <c r="V696" s="24">
        <f>(1+U697)^P697/(1+U696)^P696-1</f>
        <v>4.2860535348549611E-2</v>
      </c>
      <c r="W696" s="23">
        <f t="shared" si="80"/>
        <v>3.5033079237931641E-3</v>
      </c>
      <c r="X696" s="24">
        <v>4.0255377645153301E-2</v>
      </c>
      <c r="Y696" s="24">
        <f t="shared" si="81"/>
        <v>4.2859151267824469E-2</v>
      </c>
      <c r="Z696" s="23">
        <f t="shared" si="82"/>
        <v>3.5031928353612685E-3</v>
      </c>
      <c r="AA696" s="36"/>
    </row>
    <row r="697" spans="15:27" ht="13.9" customHeight="1" x14ac:dyDescent="0.3">
      <c r="O697" s="12">
        <f t="shared" si="76"/>
        <v>57</v>
      </c>
      <c r="P697" s="13">
        <v>684</v>
      </c>
      <c r="Q697" s="22">
        <v>3.2859438390047346E-2</v>
      </c>
      <c r="R697" s="19">
        <f t="shared" si="77"/>
        <v>3.2709260941955476E-2</v>
      </c>
      <c r="S697" s="22">
        <v>3.8466957220979481E-2</v>
      </c>
      <c r="T697" s="19">
        <f t="shared" si="78"/>
        <v>4.2856360153741724E-2</v>
      </c>
      <c r="U697" s="24">
        <v>4.0714734299298172E-2</v>
      </c>
      <c r="V697" s="24">
        <f t="shared" si="79"/>
        <v>4.286180077641899E-2</v>
      </c>
      <c r="W697" s="23">
        <f t="shared" si="80"/>
        <v>3.5034103266724514E-3</v>
      </c>
      <c r="X697" s="24">
        <v>4.0259179582524007E-2</v>
      </c>
      <c r="Y697" s="24">
        <f t="shared" si="81"/>
        <v>4.2860467017154846E-2</v>
      </c>
      <c r="Z697" s="23">
        <f t="shared" si="82"/>
        <v>3.50329933943061E-3</v>
      </c>
      <c r="AA697" s="36"/>
    </row>
    <row r="698" spans="15:27" ht="13.9" customHeight="1" x14ac:dyDescent="0.3">
      <c r="O698" s="12">
        <f t="shared" si="76"/>
        <v>57.083333333333336</v>
      </c>
      <c r="P698" s="13">
        <v>685</v>
      </c>
      <c r="Q698" s="22">
        <v>3.2859219136980089E-2</v>
      </c>
      <c r="R698" s="19">
        <f t="shared" si="77"/>
        <v>3.2715281441984434E-2</v>
      </c>
      <c r="S698" s="22">
        <v>3.8473351623736995E-2</v>
      </c>
      <c r="T698" s="19">
        <f t="shared" si="78"/>
        <v>4.2857818210657816E-2</v>
      </c>
      <c r="U698" s="24">
        <v>4.0717865478819171E-2</v>
      </c>
      <c r="V698" s="24">
        <f t="shared" si="79"/>
        <v>4.2863054709586068E-2</v>
      </c>
      <c r="W698" s="23">
        <f t="shared" si="80"/>
        <v>3.5035117992114895E-3</v>
      </c>
      <c r="X698" s="24">
        <v>4.0262972349201176E-2</v>
      </c>
      <c r="Y698" s="24">
        <f t="shared" si="81"/>
        <v>4.2861770462262694E-2</v>
      </c>
      <c r="Z698" s="23">
        <f t="shared" si="82"/>
        <v>3.503404847289282E-3</v>
      </c>
      <c r="AA698" s="36"/>
    </row>
    <row r="699" spans="15:27" ht="13.9" customHeight="1" x14ac:dyDescent="0.3">
      <c r="O699" s="12">
        <f t="shared" si="76"/>
        <v>57.166666666666664</v>
      </c>
      <c r="P699" s="13">
        <v>686</v>
      </c>
      <c r="Q699" s="22">
        <v>3.2859009300667097E-2</v>
      </c>
      <c r="R699" s="19">
        <f t="shared" si="77"/>
        <v>3.2721251325550815E-2</v>
      </c>
      <c r="S699" s="22">
        <v>3.8479729539648622E-2</v>
      </c>
      <c r="T699" s="19">
        <f t="shared" si="78"/>
        <v>4.2859261452472763E-2</v>
      </c>
      <c r="U699" s="24">
        <v>4.0720989363053794E-2</v>
      </c>
      <c r="V699" s="24">
        <f t="shared" si="79"/>
        <v>4.2864297253008887E-2</v>
      </c>
      <c r="W699" s="23">
        <f t="shared" si="80"/>
        <v>3.5036123498981553E-3</v>
      </c>
      <c r="X699" s="24">
        <v>4.0266755967356405E-2</v>
      </c>
      <c r="Y699" s="24">
        <f t="shared" si="81"/>
        <v>4.2863061717745676E-2</v>
      </c>
      <c r="Z699" s="23">
        <f t="shared" si="82"/>
        <v>3.5035093683715157E-3</v>
      </c>
      <c r="AA699" s="36"/>
    </row>
    <row r="700" spans="15:27" ht="13.9" customHeight="1" x14ac:dyDescent="0.3">
      <c r="O700" s="12">
        <f t="shared" si="76"/>
        <v>57.25</v>
      </c>
      <c r="P700" s="13">
        <v>687</v>
      </c>
      <c r="Q700" s="22">
        <v>3.285880876624292E-2</v>
      </c>
      <c r="R700" s="19">
        <f t="shared" si="77"/>
        <v>3.2727171024198309E-2</v>
      </c>
      <c r="S700" s="22">
        <v>3.8486091019099833E-2</v>
      </c>
      <c r="T700" s="19">
        <f t="shared" si="78"/>
        <v>4.2860690028522663E-2</v>
      </c>
      <c r="U700" s="24">
        <v>4.0724105967287816E-2</v>
      </c>
      <c r="V700" s="24">
        <f t="shared" si="79"/>
        <v>4.2865528508789774E-2</v>
      </c>
      <c r="W700" s="23">
        <f t="shared" si="80"/>
        <v>3.5037119871521583E-3</v>
      </c>
      <c r="X700" s="24">
        <v>4.0270530459198595E-2</v>
      </c>
      <c r="Y700" s="24">
        <f t="shared" si="81"/>
        <v>4.2864340897643016E-2</v>
      </c>
      <c r="Z700" s="23">
        <f t="shared" si="82"/>
        <v>3.5036129118699577E-3</v>
      </c>
      <c r="AA700" s="36"/>
    </row>
    <row r="701" spans="15:27" ht="13.9" customHeight="1" x14ac:dyDescent="0.3">
      <c r="O701" s="12">
        <f t="shared" si="76"/>
        <v>57.333333333333336</v>
      </c>
      <c r="P701" s="13">
        <v>688</v>
      </c>
      <c r="Q701" s="22">
        <v>3.2858617420139513E-2</v>
      </c>
      <c r="R701" s="19">
        <f t="shared" si="77"/>
        <v>3.2733040965042148E-2</v>
      </c>
      <c r="S701" s="22">
        <v>3.8492436112399941E-2</v>
      </c>
      <c r="T701" s="19">
        <f t="shared" si="78"/>
        <v>4.2862104089393949E-2</v>
      </c>
      <c r="U701" s="24">
        <v>4.0727215306865849E-2</v>
      </c>
      <c r="V701" s="24">
        <f t="shared" si="79"/>
        <v>4.286674858156525E-2</v>
      </c>
      <c r="W701" s="23">
        <f t="shared" si="80"/>
        <v>3.5038107191638357E-3</v>
      </c>
      <c r="X701" s="24">
        <v>4.0274295846973063E-2</v>
      </c>
      <c r="Y701" s="24">
        <f t="shared" si="81"/>
        <v>4.2865608115539633E-2</v>
      </c>
      <c r="Z701" s="23">
        <f t="shared" si="82"/>
        <v>3.5037154869326237E-3</v>
      </c>
      <c r="AA701" s="36"/>
    </row>
    <row r="702" spans="15:27" ht="13.9" customHeight="1" x14ac:dyDescent="0.3">
      <c r="O702" s="12">
        <f t="shared" si="76"/>
        <v>57.416666666666664</v>
      </c>
      <c r="P702" s="13">
        <v>689</v>
      </c>
      <c r="Q702" s="22">
        <v>3.2858435150069143E-2</v>
      </c>
      <c r="R702" s="19">
        <f t="shared" si="77"/>
        <v>3.2738861571250055E-2</v>
      </c>
      <c r="S702" s="22">
        <v>3.8498764869784097E-2</v>
      </c>
      <c r="T702" s="19">
        <f t="shared" si="78"/>
        <v>4.2863503782430312E-2</v>
      </c>
      <c r="U702" s="24">
        <v>4.0730317397195126E-2</v>
      </c>
      <c r="V702" s="24">
        <f t="shared" si="79"/>
        <v>4.2867957572243931E-2</v>
      </c>
      <c r="W702" s="23">
        <f t="shared" si="80"/>
        <v>3.5039085543264736E-3</v>
      </c>
      <c r="X702" s="24">
        <v>4.0278052152960209E-2</v>
      </c>
      <c r="Y702" s="24">
        <f t="shared" si="81"/>
        <v>4.2866863483417728E-2</v>
      </c>
      <c r="Z702" s="23">
        <f t="shared" si="82"/>
        <v>3.503817102670892E-3</v>
      </c>
      <c r="AA702" s="36"/>
    </row>
    <row r="703" spans="15:27" ht="13.9" customHeight="1" x14ac:dyDescent="0.3">
      <c r="O703" s="12">
        <f t="shared" si="76"/>
        <v>57.5</v>
      </c>
      <c r="P703" s="13">
        <v>690</v>
      </c>
      <c r="Q703" s="22">
        <v>3.2858261845009951E-2</v>
      </c>
      <c r="R703" s="19">
        <f t="shared" si="77"/>
        <v>3.2744633262329126E-2</v>
      </c>
      <c r="S703" s="22">
        <v>3.8505077341409066E-2</v>
      </c>
      <c r="T703" s="19">
        <f t="shared" si="78"/>
        <v>4.2864889254140115E-2</v>
      </c>
      <c r="U703" s="24">
        <v>4.0733412253739498E-2</v>
      </c>
      <c r="V703" s="24">
        <f t="shared" si="79"/>
        <v>4.2869155582058172E-2</v>
      </c>
      <c r="W703" s="23">
        <f t="shared" si="80"/>
        <v>3.5040055007347082E-3</v>
      </c>
      <c r="X703" s="24">
        <v>4.0281799399473739E-2</v>
      </c>
      <c r="Y703" s="24">
        <f t="shared" si="81"/>
        <v>4.2868107112889131E-2</v>
      </c>
      <c r="Z703" s="23">
        <f t="shared" si="82"/>
        <v>3.503917768067577E-3</v>
      </c>
      <c r="AA703" s="36"/>
    </row>
    <row r="704" spans="15:27" ht="13.9" customHeight="1" x14ac:dyDescent="0.3">
      <c r="O704" s="12">
        <f t="shared" si="76"/>
        <v>57.583333333333336</v>
      </c>
      <c r="P704" s="13">
        <v>691</v>
      </c>
      <c r="Q704" s="22">
        <v>3.2858097395191743E-2</v>
      </c>
      <c r="R704" s="19">
        <f t="shared" si="77"/>
        <v>3.2750356455572893E-2</v>
      </c>
      <c r="S704" s="22">
        <v>3.8511373577353014E-2</v>
      </c>
      <c r="T704" s="19">
        <f t="shared" si="78"/>
        <v>4.2866260648989352E-2</v>
      </c>
      <c r="U704" s="24">
        <v>4.0736499892019662E-2</v>
      </c>
      <c r="V704" s="24">
        <f t="shared" si="79"/>
        <v>4.2870342710632281E-2</v>
      </c>
      <c r="W704" s="23">
        <f t="shared" si="80"/>
        <v>3.5041015665089326E-3</v>
      </c>
      <c r="X704" s="24">
        <v>4.0285537608858668E-2</v>
      </c>
      <c r="Y704" s="24">
        <f t="shared" si="81"/>
        <v>4.2869339112768579E-2</v>
      </c>
      <c r="Z704" s="23">
        <f t="shared" si="82"/>
        <v>3.5040174920759615E-3</v>
      </c>
      <c r="AA704" s="36"/>
    </row>
    <row r="705" spans="15:27" ht="13.9" customHeight="1" x14ac:dyDescent="0.3">
      <c r="O705" s="12">
        <f t="shared" si="76"/>
        <v>57.666666666666664</v>
      </c>
      <c r="P705" s="13">
        <v>692</v>
      </c>
      <c r="Q705" s="22">
        <v>3.2857941692082893E-2</v>
      </c>
      <c r="R705" s="19">
        <f t="shared" si="77"/>
        <v>3.2756031562170662E-2</v>
      </c>
      <c r="S705" s="22">
        <v>3.8517653627612614E-2</v>
      </c>
      <c r="T705" s="19">
        <f t="shared" si="78"/>
        <v>4.2867618110318917E-2</v>
      </c>
      <c r="U705" s="24">
        <v>4.0739580327610048E-2</v>
      </c>
      <c r="V705" s="24">
        <f t="shared" si="79"/>
        <v>4.2871519056631335E-2</v>
      </c>
      <c r="W705" s="23">
        <f t="shared" si="80"/>
        <v>3.5041967596407542E-3</v>
      </c>
      <c r="X705" s="24">
        <v>4.0289266803488211E-2</v>
      </c>
      <c r="Y705" s="24">
        <f t="shared" si="81"/>
        <v>4.2870559592607105E-2</v>
      </c>
      <c r="Z705" s="23">
        <f t="shared" si="82"/>
        <v>3.5041162834243966E-3</v>
      </c>
      <c r="AA705" s="36"/>
    </row>
    <row r="706" spans="15:27" ht="13.9" customHeight="1" x14ac:dyDescent="0.3">
      <c r="O706" s="12">
        <f t="shared" si="76"/>
        <v>57.75</v>
      </c>
      <c r="P706" s="13">
        <v>693</v>
      </c>
      <c r="Q706" s="22">
        <v>3.285779462837346E-2</v>
      </c>
      <c r="R706" s="19">
        <f t="shared" si="77"/>
        <v>3.2761658991822928E-2</v>
      </c>
      <c r="S706" s="22">
        <v>3.8523917542102382E-2</v>
      </c>
      <c r="T706" s="19">
        <f t="shared" si="78"/>
        <v>4.2868961780490045E-2</v>
      </c>
      <c r="U706" s="24">
        <v>4.0742653576137489E-2</v>
      </c>
      <c r="V706" s="24">
        <f t="shared" si="79"/>
        <v>4.2872684719688081E-2</v>
      </c>
      <c r="W706" s="23">
        <f t="shared" si="80"/>
        <v>3.5042910880445088E-3</v>
      </c>
      <c r="X706" s="24">
        <v>4.0292987005764225E-2</v>
      </c>
      <c r="Y706" s="24">
        <f t="shared" si="81"/>
        <v>4.2871768661275622E-2</v>
      </c>
      <c r="Z706" s="23">
        <f t="shared" si="82"/>
        <v>3.5042141509007418E-3</v>
      </c>
      <c r="AA706" s="36"/>
    </row>
    <row r="707" spans="15:27" ht="13.9" customHeight="1" x14ac:dyDescent="0.3">
      <c r="O707" s="12">
        <f t="shared" si="76"/>
        <v>57.833333333333336</v>
      </c>
      <c r="P707" s="13">
        <v>694</v>
      </c>
      <c r="Q707" s="22">
        <v>3.285765609796365E-2</v>
      </c>
      <c r="R707" s="19">
        <f t="shared" si="77"/>
        <v>3.276723914966384E-2</v>
      </c>
      <c r="S707" s="22">
        <v>3.8530165370654013E-2</v>
      </c>
      <c r="T707" s="19">
        <f t="shared" si="78"/>
        <v>4.2870291799004701E-2</v>
      </c>
      <c r="U707" s="24">
        <v>4.0745719653281887E-2</v>
      </c>
      <c r="V707" s="24">
        <f t="shared" si="79"/>
        <v>4.2873839795131152E-2</v>
      </c>
      <c r="W707" s="23">
        <f t="shared" si="80"/>
        <v>3.504384559712026E-3</v>
      </c>
      <c r="X707" s="24">
        <v>4.0296698238115658E-2</v>
      </c>
      <c r="Y707" s="24">
        <f t="shared" si="81"/>
        <v>4.2872966424097214E-2</v>
      </c>
      <c r="Z707" s="23">
        <f t="shared" si="82"/>
        <v>3.5043111032380114E-3</v>
      </c>
      <c r="AA707" s="36"/>
    </row>
    <row r="708" spans="15:27" ht="13.9" customHeight="1" x14ac:dyDescent="0.3">
      <c r="O708" s="12">
        <f t="shared" si="76"/>
        <v>57.916666666666664</v>
      </c>
      <c r="P708" s="13">
        <v>695</v>
      </c>
      <c r="Q708" s="22">
        <v>3.2857525995948711E-2</v>
      </c>
      <c r="R708" s="19">
        <f t="shared" si="77"/>
        <v>3.2772772437416053E-2</v>
      </c>
      <c r="S708" s="22">
        <v>3.8536397163012159E-2</v>
      </c>
      <c r="T708" s="19">
        <f t="shared" si="78"/>
        <v>4.2871608305552034E-2</v>
      </c>
      <c r="U708" s="24">
        <v>4.0748778574769995E-2</v>
      </c>
      <c r="V708" s="24">
        <f t="shared" si="79"/>
        <v>4.2874984380845804E-2</v>
      </c>
      <c r="W708" s="23">
        <f t="shared" si="80"/>
        <v>3.5044771822905219E-3</v>
      </c>
      <c r="X708" s="24">
        <v>4.0300400522993884E-2</v>
      </c>
      <c r="Y708" s="24">
        <f t="shared" si="81"/>
        <v>4.287415298803321E-2</v>
      </c>
      <c r="Z708" s="23">
        <f t="shared" si="82"/>
        <v>3.5044071488847806E-3</v>
      </c>
      <c r="AA708" s="36"/>
    </row>
    <row r="709" spans="15:27" ht="13.9" customHeight="1" x14ac:dyDescent="0.3">
      <c r="O709" s="12">
        <f t="shared" si="76"/>
        <v>58</v>
      </c>
      <c r="P709" s="13">
        <v>696</v>
      </c>
      <c r="Q709" s="22">
        <v>3.2857404218605168E-2</v>
      </c>
      <c r="R709" s="19">
        <f t="shared" si="77"/>
        <v>3.2778259253629871E-2</v>
      </c>
      <c r="S709" s="22">
        <v>3.854261296883621E-2</v>
      </c>
      <c r="T709" s="19">
        <f t="shared" si="78"/>
        <v>4.2872911437110917E-2</v>
      </c>
      <c r="U709" s="24">
        <v>4.0751830356378305E-2</v>
      </c>
      <c r="V709" s="24">
        <f t="shared" si="79"/>
        <v>4.2876118571084865E-2</v>
      </c>
      <c r="W709" s="23">
        <f t="shared" si="80"/>
        <v>3.5045689636312716E-3</v>
      </c>
      <c r="X709" s="24">
        <v>4.0304093882874481E-2</v>
      </c>
      <c r="Y709" s="24">
        <f t="shared" si="81"/>
        <v>4.287532845719122E-2</v>
      </c>
      <c r="Z709" s="23">
        <f t="shared" si="82"/>
        <v>3.5045022964208528E-3</v>
      </c>
      <c r="AA709" s="36"/>
    </row>
    <row r="710" spans="15:27" ht="13.9" customHeight="1" x14ac:dyDescent="0.3">
      <c r="O710" s="12">
        <f t="shared" si="76"/>
        <v>58.083333333333336</v>
      </c>
      <c r="P710" s="13">
        <v>697</v>
      </c>
      <c r="Q710" s="22">
        <v>3.2857290663378391E-2</v>
      </c>
      <c r="R710" s="19">
        <f t="shared" si="77"/>
        <v>3.2783699992976478E-2</v>
      </c>
      <c r="S710" s="22">
        <v>3.8548812837696289E-2</v>
      </c>
      <c r="T710" s="19">
        <f t="shared" si="78"/>
        <v>4.287420133045905E-2</v>
      </c>
      <c r="U710" s="24">
        <v>4.0754875013927938E-2</v>
      </c>
      <c r="V710" s="24">
        <f t="shared" si="79"/>
        <v>4.2877242461630383E-2</v>
      </c>
      <c r="W710" s="23">
        <f t="shared" si="80"/>
        <v>3.504659911294894E-3</v>
      </c>
      <c r="X710" s="24">
        <v>4.0307778340253231E-2</v>
      </c>
      <c r="Y710" s="24">
        <f t="shared" si="81"/>
        <v>4.2876492936686494E-2</v>
      </c>
      <c r="Z710" s="23">
        <f t="shared" si="82"/>
        <v>3.5045965541971036E-3</v>
      </c>
      <c r="AA710" s="36"/>
    </row>
    <row r="711" spans="15:27" ht="13.9" customHeight="1" x14ac:dyDescent="0.3">
      <c r="O711" s="12">
        <f t="shared" si="76"/>
        <v>58.166666666666664</v>
      </c>
      <c r="P711" s="13">
        <v>698</v>
      </c>
      <c r="Q711" s="22">
        <v>3.2857185228867714E-2</v>
      </c>
      <c r="R711" s="19">
        <f t="shared" si="77"/>
        <v>3.2789095047041528E-2</v>
      </c>
      <c r="S711" s="22">
        <v>3.8554996819074372E-2</v>
      </c>
      <c r="T711" s="19">
        <f t="shared" si="78"/>
        <v>4.2875478119794419E-2</v>
      </c>
      <c r="U711" s="24">
        <v>4.0757912563286203E-2</v>
      </c>
      <c r="V711" s="24">
        <f t="shared" si="79"/>
        <v>4.2878356145373608E-2</v>
      </c>
      <c r="W711" s="23">
        <f t="shared" si="80"/>
        <v>3.5047500329643544E-3</v>
      </c>
      <c r="X711" s="24">
        <v>4.0311453917647011E-2</v>
      </c>
      <c r="Y711" s="24">
        <f t="shared" si="81"/>
        <v>4.2877646528691304E-2</v>
      </c>
      <c r="Z711" s="23">
        <f t="shared" si="82"/>
        <v>3.5046899306452328E-3</v>
      </c>
      <c r="AA711" s="36"/>
    </row>
    <row r="712" spans="15:27" ht="13.9" customHeight="1" x14ac:dyDescent="0.3">
      <c r="O712" s="12">
        <f t="shared" si="76"/>
        <v>58.25</v>
      </c>
      <c r="P712" s="13">
        <v>699</v>
      </c>
      <c r="Q712" s="22">
        <v>3.2857087814814667E-2</v>
      </c>
      <c r="R712" s="19">
        <f t="shared" si="77"/>
        <v>3.2794444803568634E-2</v>
      </c>
      <c r="S712" s="22">
        <v>3.8561164962360506E-2</v>
      </c>
      <c r="T712" s="19">
        <f t="shared" si="78"/>
        <v>4.2876741938346674E-2</v>
      </c>
      <c r="U712" s="24">
        <v>4.0760943020362372E-2</v>
      </c>
      <c r="V712" s="24">
        <f t="shared" si="79"/>
        <v>4.2879459715087664E-2</v>
      </c>
      <c r="W712" s="23">
        <f t="shared" si="80"/>
        <v>3.5048393360908037E-3</v>
      </c>
      <c r="X712" s="24">
        <v>4.0315120637590018E-2</v>
      </c>
      <c r="Y712" s="24">
        <f t="shared" si="81"/>
        <v>4.287878933469158E-2</v>
      </c>
      <c r="Z712" s="23">
        <f t="shared" si="82"/>
        <v>3.5047824339609068E-3</v>
      </c>
      <c r="AA712" s="36"/>
    </row>
    <row r="713" spans="15:27" ht="13.9" customHeight="1" x14ac:dyDescent="0.3">
      <c r="O713" s="12">
        <f t="shared" si="76"/>
        <v>58.333333333333336</v>
      </c>
      <c r="P713" s="13">
        <v>700</v>
      </c>
      <c r="Q713" s="22">
        <v>3.2856998322088549E-2</v>
      </c>
      <c r="R713" s="19">
        <f t="shared" si="77"/>
        <v>3.2799749647832943E-2</v>
      </c>
      <c r="S713" s="22">
        <v>3.8567317316852368E-2</v>
      </c>
      <c r="T713" s="19">
        <f t="shared" si="78"/>
        <v>4.2877992919100549E-2</v>
      </c>
      <c r="U713" s="24">
        <v>4.0763966401107021E-2</v>
      </c>
      <c r="V713" s="24">
        <f t="shared" si="79"/>
        <v>4.2880553263644483E-2</v>
      </c>
      <c r="W713" s="23">
        <f t="shared" si="80"/>
        <v>3.5049278281158447E-3</v>
      </c>
      <c r="X713" s="24">
        <v>4.0318778522632215E-2</v>
      </c>
      <c r="Y713" s="24">
        <f t="shared" si="81"/>
        <v>4.2879921457080972E-2</v>
      </c>
      <c r="Z713" s="23">
        <f t="shared" si="82"/>
        <v>3.5048740722845029E-3</v>
      </c>
      <c r="AA713" s="36"/>
    </row>
    <row r="714" spans="15:27" ht="13.9" customHeight="1" x14ac:dyDescent="0.3">
      <c r="O714" s="12">
        <f t="shared" si="76"/>
        <v>58.416666666666664</v>
      </c>
      <c r="P714" s="13">
        <v>701</v>
      </c>
      <c r="Q714" s="22">
        <v>3.2856916652675316E-2</v>
      </c>
      <c r="R714" s="19">
        <f t="shared" si="77"/>
        <v>3.2805009960442444E-2</v>
      </c>
      <c r="S714" s="22">
        <v>3.8573453931755708E-2</v>
      </c>
      <c r="T714" s="19">
        <f t="shared" si="78"/>
        <v>4.2879231191253808E-2</v>
      </c>
      <c r="U714" s="24">
        <v>4.0766982721511802E-2</v>
      </c>
      <c r="V714" s="24">
        <f t="shared" si="79"/>
        <v>4.2881636881702212E-2</v>
      </c>
      <c r="W714" s="23">
        <f t="shared" si="80"/>
        <v>3.5050155164890739E-3</v>
      </c>
      <c r="X714" s="24">
        <v>4.0322427595340438E-2</v>
      </c>
      <c r="Y714" s="24">
        <f t="shared" si="81"/>
        <v>4.2881042994955321E-2</v>
      </c>
      <c r="Z714" s="23">
        <f t="shared" si="82"/>
        <v>3.5049648538292288E-3</v>
      </c>
      <c r="AA714" s="36"/>
    </row>
    <row r="715" spans="15:27" ht="13.9" customHeight="1" x14ac:dyDescent="0.3">
      <c r="O715" s="12">
        <f t="shared" si="76"/>
        <v>58.5</v>
      </c>
      <c r="P715" s="13">
        <v>702</v>
      </c>
      <c r="Q715" s="22">
        <v>3.2856842709662937E-2</v>
      </c>
      <c r="R715" s="19">
        <f t="shared" si="77"/>
        <v>3.281022611999207E-2</v>
      </c>
      <c r="S715" s="22">
        <v>3.8579574856179688E-2</v>
      </c>
      <c r="T715" s="19">
        <f t="shared" si="78"/>
        <v>4.2880456885620921E-2</v>
      </c>
      <c r="U715" s="24">
        <v>4.0769991997606558E-2</v>
      </c>
      <c r="V715" s="24">
        <f t="shared" si="79"/>
        <v>4.2882710659215117E-2</v>
      </c>
      <c r="W715" s="23">
        <f t="shared" si="80"/>
        <v>3.5051024084820082E-3</v>
      </c>
      <c r="X715" s="24">
        <v>4.0326067878294403E-2</v>
      </c>
      <c r="Y715" s="24">
        <f t="shared" si="81"/>
        <v>4.2882154047725773E-2</v>
      </c>
      <c r="Z715" s="23">
        <f t="shared" si="82"/>
        <v>3.5050547865440596E-3</v>
      </c>
      <c r="AA715" s="36"/>
    </row>
    <row r="716" spans="15:27" ht="13.9" customHeight="1" x14ac:dyDescent="0.3">
      <c r="O716" s="12">
        <f t="shared" si="76"/>
        <v>58.583333333333336</v>
      </c>
      <c r="P716" s="13">
        <v>703</v>
      </c>
      <c r="Q716" s="22">
        <v>3.2856776397230281E-2</v>
      </c>
      <c r="R716" s="19">
        <f t="shared" si="77"/>
        <v>3.2815398500706028E-2</v>
      </c>
      <c r="S716" s="22">
        <v>3.8585680139139322E-2</v>
      </c>
      <c r="T716" s="19">
        <f t="shared" si="78"/>
        <v>4.2881670129162996E-2</v>
      </c>
      <c r="U716" s="24">
        <v>4.0772994245457106E-2</v>
      </c>
      <c r="V716" s="24">
        <f t="shared" si="79"/>
        <v>4.2883774686715226E-2</v>
      </c>
      <c r="W716" s="23">
        <f t="shared" si="80"/>
        <v>3.5051885113106529E-3</v>
      </c>
      <c r="X716" s="24">
        <v>4.0329699394085816E-2</v>
      </c>
      <c r="Y716" s="24">
        <f t="shared" si="81"/>
        <v>4.2883254713668162E-2</v>
      </c>
      <c r="Z716" s="23">
        <f t="shared" si="82"/>
        <v>3.5051438784028388E-3</v>
      </c>
      <c r="AA716" s="36"/>
    </row>
    <row r="717" spans="15:27" ht="13.9" customHeight="1" x14ac:dyDescent="0.3">
      <c r="O717" s="12">
        <f t="shared" si="76"/>
        <v>58.666666666666664</v>
      </c>
      <c r="P717" s="13">
        <v>704</v>
      </c>
      <c r="Q717" s="22">
        <v>3.2856717620633358E-2</v>
      </c>
      <c r="R717" s="19">
        <f t="shared" si="77"/>
        <v>3.2820527474537009E-2</v>
      </c>
      <c r="S717" s="22">
        <v>3.8591769829551481E-2</v>
      </c>
      <c r="T717" s="19">
        <f t="shared" si="78"/>
        <v>4.2882871048627536E-2</v>
      </c>
      <c r="U717" s="24">
        <v>4.0775989481166786E-2</v>
      </c>
      <c r="V717" s="24">
        <f t="shared" si="79"/>
        <v>4.2884829051824003E-2</v>
      </c>
      <c r="W717" s="23">
        <f t="shared" si="80"/>
        <v>3.5052738322360888E-3</v>
      </c>
      <c r="X717" s="24">
        <v>4.0333322165317709E-2</v>
      </c>
      <c r="Y717" s="24">
        <f t="shared" si="81"/>
        <v>4.2884345089469811E-2</v>
      </c>
      <c r="Z717" s="23">
        <f t="shared" si="82"/>
        <v>3.5052321372883721E-3</v>
      </c>
      <c r="AA717" s="36"/>
    </row>
    <row r="718" spans="15:27" ht="13.9" customHeight="1" x14ac:dyDescent="0.3">
      <c r="O718" s="12">
        <f t="shared" ref="O718:O781" si="83">P718/12</f>
        <v>58.75</v>
      </c>
      <c r="P718" s="13">
        <v>705</v>
      </c>
      <c r="Q718" s="22">
        <v>3.2856666286194658E-2</v>
      </c>
      <c r="R718" s="19">
        <f t="shared" ref="R718:R781" si="84">(1+Q719)^P719/(1+Q718)^P718-1</f>
        <v>3.2825613409789289E-2</v>
      </c>
      <c r="S718" s="22">
        <v>3.8597843976234669E-2</v>
      </c>
      <c r="T718" s="19">
        <f t="shared" ref="T718:T781" si="85">(1+S719)^P719/(1+S718)^P718-1</f>
        <v>4.2884059770311733E-2</v>
      </c>
      <c r="U718" s="24">
        <v>4.0778977720871357E-2</v>
      </c>
      <c r="V718" s="24">
        <f t="shared" ref="V718:V781" si="86">(1+U719)^P719/(1+U718)^P718-1</f>
        <v>4.2885873843433897E-2</v>
      </c>
      <c r="W718" s="23">
        <f t="shared" si="80"/>
        <v>3.5053583782871378E-3</v>
      </c>
      <c r="X718" s="24">
        <v>4.0336936214601771E-2</v>
      </c>
      <c r="Y718" s="24">
        <f t="shared" si="81"/>
        <v>4.2885425273020417E-2</v>
      </c>
      <c r="Z718" s="23">
        <f t="shared" si="82"/>
        <v>3.5053195709562335E-3</v>
      </c>
      <c r="AA718" s="36"/>
    </row>
    <row r="719" spans="15:27" ht="13.9" customHeight="1" x14ac:dyDescent="0.3">
      <c r="O719" s="12">
        <f t="shared" si="83"/>
        <v>58.833333333333336</v>
      </c>
      <c r="P719" s="13">
        <v>706</v>
      </c>
      <c r="Q719" s="22">
        <v>3.2856622301290273E-2</v>
      </c>
      <c r="R719" s="19">
        <f t="shared" si="84"/>
        <v>3.2830656670999714E-2</v>
      </c>
      <c r="S719" s="22">
        <v>3.8603902627909248E-2</v>
      </c>
      <c r="T719" s="19">
        <f t="shared" si="85"/>
        <v>4.2885236417142591E-2</v>
      </c>
      <c r="U719" s="24">
        <v>4.0781958980740995E-2</v>
      </c>
      <c r="V719" s="24">
        <f t="shared" si="86"/>
        <v>4.2886909147772379E-2</v>
      </c>
      <c r="W719" s="23">
        <f t="shared" ref="W719:W782" si="87">(1+V718)^(1/12)-1</f>
        <v>3.5054421565936522E-3</v>
      </c>
      <c r="X719" s="24">
        <v>4.0340541564559906E-2</v>
      </c>
      <c r="Y719" s="24">
        <f t="shared" ref="Y719:Y782" si="88">(1+X720)^P720/(1+X719)^P719-1</f>
        <v>4.2886495357706167E-2</v>
      </c>
      <c r="Z719" s="23">
        <f t="shared" ref="Z719:Z782" si="89">(1+Y718)^(1/12)-1</f>
        <v>3.5054061872583642E-3</v>
      </c>
      <c r="AA719" s="36"/>
    </row>
    <row r="720" spans="15:27" ht="13.9" customHeight="1" x14ac:dyDescent="0.3">
      <c r="O720" s="12">
        <f t="shared" si="83"/>
        <v>58.916666666666664</v>
      </c>
      <c r="P720" s="13">
        <v>707</v>
      </c>
      <c r="Q720" s="22">
        <v>3.2856585574336572E-2</v>
      </c>
      <c r="R720" s="19">
        <f t="shared" si="84"/>
        <v>3.2835657620440717E-2</v>
      </c>
      <c r="S720" s="22">
        <v>3.860994583319366E-2</v>
      </c>
      <c r="T720" s="19">
        <f t="shared" si="85"/>
        <v>4.2886401112547601E-2</v>
      </c>
      <c r="U720" s="24">
        <v>4.0784933276976076E-2</v>
      </c>
      <c r="V720" s="24">
        <f t="shared" si="86"/>
        <v>4.2887935051586501E-2</v>
      </c>
      <c r="W720" s="23">
        <f t="shared" si="87"/>
        <v>3.5055251740718774E-3</v>
      </c>
      <c r="X720" s="24">
        <v>4.0344138237817573E-2</v>
      </c>
      <c r="Y720" s="24">
        <f t="shared" si="88"/>
        <v>4.2887555439622416E-2</v>
      </c>
      <c r="Z720" s="23">
        <f t="shared" si="89"/>
        <v>3.5054919936849949E-3</v>
      </c>
      <c r="AA720" s="36"/>
    </row>
    <row r="721" spans="15:27" ht="13.9" customHeight="1" x14ac:dyDescent="0.3">
      <c r="O721" s="12">
        <f t="shared" si="83"/>
        <v>59</v>
      </c>
      <c r="P721" s="13">
        <v>708</v>
      </c>
      <c r="Q721" s="22">
        <v>3.2856556014780658E-2</v>
      </c>
      <c r="R721" s="19">
        <f t="shared" si="84"/>
        <v>3.2840616616683693E-2</v>
      </c>
      <c r="S721" s="22">
        <v>3.8615973640605539E-2</v>
      </c>
      <c r="T721" s="19">
        <f t="shared" si="85"/>
        <v>4.2887553978288695E-2</v>
      </c>
      <c r="U721" s="24">
        <v>4.0787900625807838E-2</v>
      </c>
      <c r="V721" s="24">
        <f t="shared" si="86"/>
        <v>4.288895164074602E-2</v>
      </c>
      <c r="W721" s="23">
        <f t="shared" si="87"/>
        <v>3.5056074376802471E-3</v>
      </c>
      <c r="X721" s="24">
        <v>4.0347726257008221E-2</v>
      </c>
      <c r="Y721" s="24">
        <f t="shared" si="88"/>
        <v>4.2888605612174224E-2</v>
      </c>
      <c r="Z721" s="23">
        <f t="shared" si="89"/>
        <v>3.505576997944404E-3</v>
      </c>
      <c r="AA721" s="36"/>
    </row>
    <row r="722" spans="15:27" ht="13.9" customHeight="1" x14ac:dyDescent="0.3">
      <c r="O722" s="12">
        <f t="shared" si="83"/>
        <v>59.083333333333336</v>
      </c>
      <c r="P722" s="13">
        <v>709</v>
      </c>
      <c r="Q722" s="22">
        <v>3.2856533533086818E-2</v>
      </c>
      <c r="R722" s="19">
        <f t="shared" si="84"/>
        <v>3.2845534016508138E-2</v>
      </c>
      <c r="S722" s="22">
        <v>3.8621986098560157E-2</v>
      </c>
      <c r="T722" s="19">
        <f t="shared" si="85"/>
        <v>4.2888695134430055E-2</v>
      </c>
      <c r="U722" s="24">
        <v>4.0790861043496607E-2</v>
      </c>
      <c r="V722" s="24">
        <f t="shared" si="86"/>
        <v>4.2889958999172695E-2</v>
      </c>
      <c r="W722" s="23">
        <f t="shared" si="87"/>
        <v>3.5056889543059189E-3</v>
      </c>
      <c r="X722" s="24">
        <v>4.0351305644769075E-2</v>
      </c>
      <c r="Y722" s="24">
        <f t="shared" si="88"/>
        <v>4.2889645967721268E-2</v>
      </c>
      <c r="Z722" s="23">
        <f t="shared" si="89"/>
        <v>3.5056612075283766E-3</v>
      </c>
      <c r="AA722" s="36"/>
    </row>
    <row r="723" spans="15:27" ht="13.9" customHeight="1" x14ac:dyDescent="0.3">
      <c r="O723" s="12">
        <f t="shared" si="83"/>
        <v>59.166666666666664</v>
      </c>
      <c r="P723" s="13">
        <v>710</v>
      </c>
      <c r="Q723" s="22">
        <v>3.2856518040727645E-2</v>
      </c>
      <c r="R723" s="19">
        <f t="shared" si="84"/>
        <v>3.2850410170607747E-2</v>
      </c>
      <c r="S723" s="22">
        <v>3.8627983255368648E-2</v>
      </c>
      <c r="T723" s="19">
        <f t="shared" si="85"/>
        <v>4.2889824700131252E-2</v>
      </c>
      <c r="U723" s="24">
        <v>4.0793814546329354E-2</v>
      </c>
      <c r="V723" s="24">
        <f t="shared" si="86"/>
        <v>4.2890957211515257E-2</v>
      </c>
      <c r="W723" s="23">
        <f t="shared" si="87"/>
        <v>3.505769730680619E-3</v>
      </c>
      <c r="X723" s="24">
        <v>4.0354876423739361E-2</v>
      </c>
      <c r="Y723" s="24">
        <f t="shared" si="88"/>
        <v>4.2890676598491995E-2</v>
      </c>
      <c r="Z723" s="23">
        <f t="shared" si="89"/>
        <v>3.5057446298452088E-3</v>
      </c>
      <c r="AA723" s="36"/>
    </row>
    <row r="724" spans="15:27" ht="13.9" customHeight="1" x14ac:dyDescent="0.3">
      <c r="O724" s="12">
        <f t="shared" si="83"/>
        <v>59.25</v>
      </c>
      <c r="P724" s="13">
        <v>711</v>
      </c>
      <c r="Q724" s="22">
        <v>3.2856509450167604E-2</v>
      </c>
      <c r="R724" s="19">
        <f t="shared" si="84"/>
        <v>3.2855245429961988E-2</v>
      </c>
      <c r="S724" s="22">
        <v>3.8633965159238004E-2</v>
      </c>
      <c r="T724" s="19">
        <f t="shared" si="85"/>
        <v>4.2890942793538889E-2</v>
      </c>
      <c r="U724" s="24">
        <v>4.0796761150620142E-2</v>
      </c>
      <c r="V724" s="24">
        <f t="shared" si="86"/>
        <v>4.2891946359941091E-2</v>
      </c>
      <c r="W724" s="23">
        <f t="shared" si="87"/>
        <v>3.5058497735938055E-3</v>
      </c>
      <c r="X724" s="24">
        <v>4.0358438616560743E-2</v>
      </c>
      <c r="Y724" s="24">
        <f t="shared" si="88"/>
        <v>4.2891697595536016E-2</v>
      </c>
      <c r="Z724" s="23">
        <f t="shared" si="89"/>
        <v>3.5058272722923167E-3</v>
      </c>
      <c r="AA724" s="36"/>
    </row>
    <row r="725" spans="15:27" ht="13.9" customHeight="1" x14ac:dyDescent="0.3">
      <c r="O725" s="12">
        <f t="shared" si="83"/>
        <v>59.333333333333336</v>
      </c>
      <c r="P725" s="13">
        <v>712</v>
      </c>
      <c r="Q725" s="22">
        <v>3.285650767485726E-2</v>
      </c>
      <c r="R725" s="19">
        <f t="shared" si="84"/>
        <v>3.2860040140673341E-2</v>
      </c>
      <c r="S725" s="22">
        <v>3.8639931858269527E-2</v>
      </c>
      <c r="T725" s="19">
        <f t="shared" si="85"/>
        <v>4.289204953106851E-2</v>
      </c>
      <c r="U725" s="24">
        <v>4.0799700872706568E-2</v>
      </c>
      <c r="V725" s="24">
        <f t="shared" si="86"/>
        <v>4.2892926528943942E-2</v>
      </c>
      <c r="W725" s="23">
        <f t="shared" si="87"/>
        <v>3.5059290896362061E-3</v>
      </c>
      <c r="X725" s="24">
        <v>4.0361992245875111E-2</v>
      </c>
      <c r="Y725" s="24">
        <f t="shared" si="88"/>
        <v>4.2892709049112909E-2</v>
      </c>
      <c r="Z725" s="23">
        <f t="shared" si="89"/>
        <v>3.5059091421731914E-3</v>
      </c>
      <c r="AA725" s="36"/>
    </row>
    <row r="726" spans="15:27" ht="13.9" customHeight="1" x14ac:dyDescent="0.3">
      <c r="O726" s="12">
        <f t="shared" si="83"/>
        <v>59.416666666666664</v>
      </c>
      <c r="P726" s="13">
        <v>713</v>
      </c>
      <c r="Q726" s="22">
        <v>3.2856512629218848E-2</v>
      </c>
      <c r="R726" s="19">
        <f t="shared" si="84"/>
        <v>3.2864794646128681E-2</v>
      </c>
      <c r="S726" s="22">
        <v>3.8645883400457937E-2</v>
      </c>
      <c r="T726" s="19">
        <f t="shared" si="85"/>
        <v>4.2893145028527702E-2</v>
      </c>
      <c r="U726" s="24">
        <v>4.0802633728952875E-2</v>
      </c>
      <c r="V726" s="24">
        <f t="shared" si="86"/>
        <v>4.2893897797992908E-2</v>
      </c>
      <c r="W726" s="23">
        <f t="shared" si="87"/>
        <v>3.5060076855848443E-3</v>
      </c>
      <c r="X726" s="24">
        <v>4.0365537334323687E-2</v>
      </c>
      <c r="Y726" s="24">
        <f t="shared" si="88"/>
        <v>4.2893711048484606E-2</v>
      </c>
      <c r="Z726" s="23">
        <f t="shared" si="89"/>
        <v>3.505990246726931E-3</v>
      </c>
      <c r="AA726" s="36"/>
    </row>
    <row r="727" spans="15:27" ht="13.9" customHeight="1" x14ac:dyDescent="0.3">
      <c r="O727" s="12">
        <f t="shared" si="83"/>
        <v>59.5</v>
      </c>
      <c r="P727" s="13">
        <v>714</v>
      </c>
      <c r="Q727" s="22">
        <v>3.2856524228635831E-2</v>
      </c>
      <c r="R727" s="19">
        <f t="shared" si="84"/>
        <v>3.2869509287580811E-2</v>
      </c>
      <c r="S727" s="22">
        <v>3.8651819833690926E-2</v>
      </c>
      <c r="T727" s="19">
        <f t="shared" si="85"/>
        <v>4.2894229399600858E-2</v>
      </c>
      <c r="U727" s="24">
        <v>4.0805559735742847E-2</v>
      </c>
      <c r="V727" s="24">
        <f t="shared" si="86"/>
        <v>4.2894860248883449E-2</v>
      </c>
      <c r="W727" s="23">
        <f t="shared" si="87"/>
        <v>3.5060855678139546E-3</v>
      </c>
      <c r="X727" s="24">
        <v>4.0369073904545916E-2</v>
      </c>
      <c r="Y727" s="24">
        <f t="shared" si="88"/>
        <v>4.2894703681926272E-2</v>
      </c>
      <c r="Z727" s="23">
        <f t="shared" si="89"/>
        <v>3.506070593113586E-3</v>
      </c>
      <c r="AA727" s="36"/>
    </row>
    <row r="728" spans="15:27" ht="13.9" customHeight="1" x14ac:dyDescent="0.3">
      <c r="O728" s="12">
        <f t="shared" si="83"/>
        <v>59.583333333333336</v>
      </c>
      <c r="P728" s="13">
        <v>715</v>
      </c>
      <c r="Q728" s="22">
        <v>3.2856542389443355E-2</v>
      </c>
      <c r="R728" s="19">
        <f t="shared" si="84"/>
        <v>3.2874184401036954E-2</v>
      </c>
      <c r="S728" s="22">
        <v>3.8657741205746943E-2</v>
      </c>
      <c r="T728" s="19">
        <f t="shared" si="85"/>
        <v>4.2895302758304998E-2</v>
      </c>
      <c r="U728" s="24">
        <v>4.0808478909482693E-2</v>
      </c>
      <c r="V728" s="24">
        <f t="shared" si="86"/>
        <v>4.2895813962184892E-2</v>
      </c>
      <c r="W728" s="23">
        <f t="shared" si="87"/>
        <v>3.5061627428840669E-3</v>
      </c>
      <c r="X728" s="24">
        <v>4.0372601979177247E-2</v>
      </c>
      <c r="Y728" s="24">
        <f t="shared" si="88"/>
        <v>4.2895687037551866E-2</v>
      </c>
      <c r="Z728" s="23">
        <f t="shared" si="89"/>
        <v>3.5061501884132706E-3</v>
      </c>
      <c r="AA728" s="36"/>
    </row>
    <row r="729" spans="15:27" ht="13.9" customHeight="1" x14ac:dyDescent="0.3">
      <c r="O729" s="12">
        <f t="shared" si="83"/>
        <v>59.666666666666664</v>
      </c>
      <c r="P729" s="13">
        <v>716</v>
      </c>
      <c r="Q729" s="22">
        <v>3.2856567028914263E-2</v>
      </c>
      <c r="R729" s="19">
        <f t="shared" si="84"/>
        <v>3.2878820323258839E-2</v>
      </c>
      <c r="S729" s="22">
        <v>3.86636475642963E-2</v>
      </c>
      <c r="T729" s="19">
        <f t="shared" si="85"/>
        <v>4.2896365216440913E-2</v>
      </c>
      <c r="U729" s="24">
        <v>4.0811391266599273E-2</v>
      </c>
      <c r="V729" s="24">
        <f t="shared" si="86"/>
        <v>4.289675901695289E-2</v>
      </c>
      <c r="W729" s="23">
        <f t="shared" si="87"/>
        <v>3.5062392172577894E-3</v>
      </c>
      <c r="X729" s="24">
        <v>4.0376121580850244E-2</v>
      </c>
      <c r="Y729" s="24">
        <f t="shared" si="88"/>
        <v>4.289666120223834E-2</v>
      </c>
      <c r="Z729" s="23">
        <f t="shared" si="89"/>
        <v>3.5062290396936646E-3</v>
      </c>
      <c r="AA729" s="36"/>
    </row>
    <row r="730" spans="15:27" ht="13.9" customHeight="1" x14ac:dyDescent="0.3">
      <c r="O730" s="12">
        <f t="shared" si="83"/>
        <v>59.75</v>
      </c>
      <c r="P730" s="13">
        <v>717</v>
      </c>
      <c r="Q730" s="22">
        <v>3.2856598065253095E-2</v>
      </c>
      <c r="R730" s="19">
        <f t="shared" si="84"/>
        <v>3.2883417384894198E-2</v>
      </c>
      <c r="S730" s="22">
        <v>3.8669538956899396E-2</v>
      </c>
      <c r="T730" s="19">
        <f t="shared" si="85"/>
        <v>4.2897416884349004E-2</v>
      </c>
      <c r="U730" s="24">
        <v>4.0814296823538099E-2</v>
      </c>
      <c r="V730" s="24">
        <f t="shared" si="86"/>
        <v>4.289769549246869E-2</v>
      </c>
      <c r="W730" s="23">
        <f t="shared" si="87"/>
        <v>3.5063149972756058E-3</v>
      </c>
      <c r="X730" s="24">
        <v>4.0379632732191473E-2</v>
      </c>
      <c r="Y730" s="24">
        <f t="shared" si="88"/>
        <v>4.2897626261506172E-2</v>
      </c>
      <c r="Z730" s="23">
        <f t="shared" si="89"/>
        <v>3.5063071539227497E-3</v>
      </c>
      <c r="AA730" s="36"/>
    </row>
    <row r="731" spans="15:27" ht="13.9" customHeight="1" x14ac:dyDescent="0.3">
      <c r="O731" s="12">
        <f t="shared" si="83"/>
        <v>59.833333333333336</v>
      </c>
      <c r="P731" s="13">
        <v>718</v>
      </c>
      <c r="Q731" s="22">
        <v>3.2856635417581659E-2</v>
      </c>
      <c r="R731" s="19">
        <f t="shared" si="84"/>
        <v>3.2887975914746237E-2</v>
      </c>
      <c r="S731" s="22">
        <v>3.8675415431004723E-2</v>
      </c>
      <c r="T731" s="19">
        <f t="shared" si="85"/>
        <v>4.2898457872101448E-2</v>
      </c>
      <c r="U731" s="24">
        <v>4.081719559676289E-2</v>
      </c>
      <c r="V731" s="24">
        <f t="shared" si="86"/>
        <v>4.2898623465296382E-2</v>
      </c>
      <c r="W731" s="23">
        <f t="shared" si="87"/>
        <v>3.5063900892968736E-3</v>
      </c>
      <c r="X731" s="24">
        <v>4.038313545582084E-2</v>
      </c>
      <c r="Y731" s="24">
        <f t="shared" si="88"/>
        <v>4.2898582301145405E-2</v>
      </c>
      <c r="Z731" s="23">
        <f t="shared" si="89"/>
        <v>3.5063845379601499E-3</v>
      </c>
      <c r="AA731" s="36"/>
    </row>
    <row r="732" spans="15:27" ht="13.9" customHeight="1" x14ac:dyDescent="0.3">
      <c r="O732" s="12">
        <f t="shared" si="83"/>
        <v>59.916666666666664</v>
      </c>
      <c r="P732" s="13">
        <v>719</v>
      </c>
      <c r="Q732" s="22">
        <v>3.2856679005929923E-2</v>
      </c>
      <c r="R732" s="19">
        <f t="shared" si="84"/>
        <v>3.2892496239765423E-2</v>
      </c>
      <c r="S732" s="22">
        <v>3.8681277033949746E-2</v>
      </c>
      <c r="T732" s="19">
        <f t="shared" si="85"/>
        <v>4.2899488288551613E-2</v>
      </c>
      <c r="U732" s="24">
        <v>4.0820087602752464E-2</v>
      </c>
      <c r="V732" s="24">
        <f t="shared" si="86"/>
        <v>4.2899543014197405E-2</v>
      </c>
      <c r="W732" s="23">
        <f t="shared" si="87"/>
        <v>3.5064644994624583E-3</v>
      </c>
      <c r="X732" s="24">
        <v>4.0386629774351146E-2</v>
      </c>
      <c r="Y732" s="24">
        <f t="shared" si="88"/>
        <v>4.2899529405426184E-2</v>
      </c>
      <c r="Z732" s="23">
        <f t="shared" si="89"/>
        <v>3.5064611986868055E-3</v>
      </c>
      <c r="AA732" s="36"/>
    </row>
    <row r="733" spans="15:27" ht="13.9" customHeight="1" x14ac:dyDescent="0.3">
      <c r="O733" s="12">
        <f t="shared" si="83"/>
        <v>60</v>
      </c>
      <c r="P733" s="13">
        <v>720</v>
      </c>
      <c r="Q733" s="22">
        <v>3.2856728751226694E-2</v>
      </c>
      <c r="R733" s="19">
        <f t="shared" si="84"/>
        <v>3.2896978681979938E-2</v>
      </c>
      <c r="S733" s="22">
        <v>3.8687123812959801E-2</v>
      </c>
      <c r="T733" s="19">
        <f t="shared" si="85"/>
        <v>4.290050824125391E-2</v>
      </c>
      <c r="U733" s="24">
        <v>4.0822972858003181E-2</v>
      </c>
      <c r="V733" s="24">
        <f t="shared" si="86"/>
        <v>4.2900454215878625E-2</v>
      </c>
      <c r="W733" s="23">
        <f t="shared" si="87"/>
        <v>3.5065382340897511E-3</v>
      </c>
      <c r="X733" s="24">
        <v>4.0390115710386532E-2</v>
      </c>
      <c r="Y733" s="24">
        <f t="shared" si="88"/>
        <v>4.2900467657766006E-2</v>
      </c>
      <c r="Z733" s="23">
        <f t="shared" si="89"/>
        <v>3.5065371428619763E-3</v>
      </c>
      <c r="AA733" s="36"/>
    </row>
    <row r="734" spans="15:27" ht="13.9" customHeight="1" x14ac:dyDescent="0.3">
      <c r="O734" s="12">
        <f t="shared" si="83"/>
        <v>60.083333333333336</v>
      </c>
      <c r="P734" s="13">
        <v>721</v>
      </c>
      <c r="Q734" s="22">
        <v>3.2856784575287179E-2</v>
      </c>
      <c r="R734" s="19">
        <f t="shared" si="84"/>
        <v>3.2901423564051901E-2</v>
      </c>
      <c r="S734" s="22">
        <v>3.8692955815147423E-2</v>
      </c>
      <c r="T734" s="19">
        <f t="shared" si="85"/>
        <v>4.290151783604701E-2</v>
      </c>
      <c r="U734" s="24">
        <v>4.0825851379026057E-2</v>
      </c>
      <c r="V734" s="24">
        <f t="shared" si="86"/>
        <v>4.2901357144907504E-2</v>
      </c>
      <c r="W734" s="23">
        <f t="shared" si="87"/>
        <v>3.5066112993307197E-3</v>
      </c>
      <c r="X734" s="24">
        <v>4.0393593286521368E-2</v>
      </c>
      <c r="Y734" s="24">
        <f t="shared" si="88"/>
        <v>4.2901397141452247E-2</v>
      </c>
      <c r="Z734" s="23">
        <f t="shared" si="89"/>
        <v>3.5066123771758662E-3</v>
      </c>
      <c r="AA734" s="36"/>
    </row>
    <row r="735" spans="15:27" ht="13.9" customHeight="1" x14ac:dyDescent="0.3">
      <c r="O735" s="12">
        <f t="shared" si="83"/>
        <v>60.166666666666664</v>
      </c>
      <c r="P735" s="13">
        <v>722</v>
      </c>
      <c r="Q735" s="22">
        <v>3.2856846400807216E-2</v>
      </c>
      <c r="R735" s="19">
        <f t="shared" si="84"/>
        <v>3.2905831200991109E-2</v>
      </c>
      <c r="S735" s="22">
        <v>3.869877308751013E-2</v>
      </c>
      <c r="T735" s="19">
        <f t="shared" si="85"/>
        <v>4.2902517178453836E-2</v>
      </c>
      <c r="U735" s="24">
        <v>4.0828723182343651E-2</v>
      </c>
      <c r="V735" s="24">
        <f t="shared" si="86"/>
        <v>4.2902251877706021E-2</v>
      </c>
      <c r="W735" s="23">
        <f t="shared" si="87"/>
        <v>3.5066837011665797E-3</v>
      </c>
      <c r="X735" s="24">
        <v>4.0397062525339811E-2</v>
      </c>
      <c r="Y735" s="24">
        <f t="shared" si="88"/>
        <v>4.2902317938104062E-2</v>
      </c>
      <c r="Z735" s="23">
        <f t="shared" si="89"/>
        <v>3.5066869083091312E-3</v>
      </c>
      <c r="AA735" s="36"/>
    </row>
    <row r="736" spans="15:27" ht="13.9" customHeight="1" x14ac:dyDescent="0.3">
      <c r="O736" s="12">
        <f t="shared" si="83"/>
        <v>60.25</v>
      </c>
      <c r="P736" s="13">
        <v>723</v>
      </c>
      <c r="Q736" s="22">
        <v>3.2856914151347061E-2</v>
      </c>
      <c r="R736" s="19">
        <f t="shared" si="84"/>
        <v>3.2910201910169912E-2</v>
      </c>
      <c r="S736" s="22">
        <v>3.8704575676931308E-2</v>
      </c>
      <c r="T736" s="19">
        <f t="shared" si="85"/>
        <v>4.2903506373233924E-2</v>
      </c>
      <c r="U736" s="24">
        <v>4.0831588284492737E-2</v>
      </c>
      <c r="V736" s="24">
        <f t="shared" si="86"/>
        <v>4.2903138488069148E-2</v>
      </c>
      <c r="W736" s="23">
        <f t="shared" si="87"/>
        <v>3.5067554457268724E-3</v>
      </c>
      <c r="X736" s="24">
        <v>4.0400523449413805E-2</v>
      </c>
      <c r="Y736" s="24">
        <f t="shared" si="88"/>
        <v>4.2903230129459846E-2</v>
      </c>
      <c r="Z736" s="23">
        <f t="shared" si="89"/>
        <v>3.5067607428078684E-3</v>
      </c>
      <c r="AA736" s="36"/>
    </row>
    <row r="737" spans="15:27" ht="13.9" customHeight="1" x14ac:dyDescent="0.3">
      <c r="O737" s="12">
        <f t="shared" si="83"/>
        <v>60.333333333333336</v>
      </c>
      <c r="P737" s="13">
        <v>724</v>
      </c>
      <c r="Q737" s="22">
        <v>3.2856987751327837E-2</v>
      </c>
      <c r="R737" s="19">
        <f t="shared" si="84"/>
        <v>3.2914536002649708E-2</v>
      </c>
      <c r="S737" s="22">
        <v>3.8710363630179767E-2</v>
      </c>
      <c r="T737" s="19">
        <f t="shared" si="85"/>
        <v>4.2904485523185043E-2</v>
      </c>
      <c r="U737" s="24">
        <v>4.0834446702020522E-2</v>
      </c>
      <c r="V737" s="24">
        <f t="shared" si="86"/>
        <v>4.2904017050642507E-2</v>
      </c>
      <c r="W737" s="23">
        <f t="shared" si="87"/>
        <v>3.5068265389301967E-3</v>
      </c>
      <c r="X737" s="24">
        <v>4.0403976081303306E-2</v>
      </c>
      <c r="Y737" s="24">
        <f t="shared" si="88"/>
        <v>4.2904133795570898E-2</v>
      </c>
      <c r="Z737" s="23">
        <f t="shared" si="89"/>
        <v>3.5068338872281668E-3</v>
      </c>
      <c r="AA737" s="36"/>
    </row>
    <row r="738" spans="15:27" ht="13.9" customHeight="1" x14ac:dyDescent="0.3">
      <c r="O738" s="12">
        <f t="shared" si="83"/>
        <v>60.416666666666664</v>
      </c>
      <c r="P738" s="13">
        <v>725</v>
      </c>
      <c r="Q738" s="22">
        <v>3.2857067126017991E-2</v>
      </c>
      <c r="R738" s="19">
        <f t="shared" si="84"/>
        <v>3.2918833787707324E-2</v>
      </c>
      <c r="S738" s="22">
        <v>3.8716136993907746E-2</v>
      </c>
      <c r="T738" s="19">
        <f t="shared" si="85"/>
        <v>4.2905454730595816E-2</v>
      </c>
      <c r="U738" s="24">
        <v>4.083729845148576E-2</v>
      </c>
      <c r="V738" s="24">
        <f t="shared" si="86"/>
        <v>4.2904887637978728E-2</v>
      </c>
      <c r="W738" s="23">
        <f t="shared" si="87"/>
        <v>3.5068969867635413E-3</v>
      </c>
      <c r="X738" s="24">
        <v>4.0407420443554054E-2</v>
      </c>
      <c r="Y738" s="24">
        <f t="shared" si="88"/>
        <v>4.2905029017332064E-2</v>
      </c>
      <c r="Z738" s="23">
        <f t="shared" si="89"/>
        <v>3.5069063479906681E-3</v>
      </c>
      <c r="AA738" s="36"/>
    </row>
    <row r="739" spans="15:27" ht="13.9" customHeight="1" x14ac:dyDescent="0.3">
      <c r="O739" s="12">
        <f t="shared" si="83"/>
        <v>60.5</v>
      </c>
      <c r="P739" s="13">
        <v>726</v>
      </c>
      <c r="Q739" s="22">
        <v>3.2857152201524187E-2</v>
      </c>
      <c r="R739" s="19">
        <f t="shared" si="84"/>
        <v>3.2923095574062478E-2</v>
      </c>
      <c r="S739" s="22">
        <v>3.8721895814651353E-2</v>
      </c>
      <c r="T739" s="19">
        <f t="shared" si="85"/>
        <v>4.2906414096006484E-2</v>
      </c>
      <c r="U739" s="24">
        <v>4.0840143549455421E-2</v>
      </c>
      <c r="V739" s="24">
        <f t="shared" si="86"/>
        <v>4.2905750322132397E-2</v>
      </c>
      <c r="W739" s="23">
        <f t="shared" si="87"/>
        <v>3.5069667950464734E-3</v>
      </c>
      <c r="X739" s="24">
        <v>4.0410856558698693E-2</v>
      </c>
      <c r="Y739" s="24">
        <f t="shared" si="88"/>
        <v>4.2905915871868761E-2</v>
      </c>
      <c r="Z739" s="23">
        <f t="shared" si="89"/>
        <v>3.5069781315832937E-3</v>
      </c>
      <c r="AA739" s="36"/>
    </row>
    <row r="740" spans="15:27" ht="13.9" customHeight="1" x14ac:dyDescent="0.3">
      <c r="O740" s="12">
        <f t="shared" si="83"/>
        <v>60.583333333333336</v>
      </c>
      <c r="P740" s="13">
        <v>727</v>
      </c>
      <c r="Q740" s="22">
        <v>3.2857242904784645E-2</v>
      </c>
      <c r="R740" s="19">
        <f t="shared" si="84"/>
        <v>3.2927321663987819E-2</v>
      </c>
      <c r="S740" s="22">
        <v>3.8727640138828567E-2</v>
      </c>
      <c r="T740" s="19">
        <f t="shared" si="85"/>
        <v>4.2907363720417813E-2</v>
      </c>
      <c r="U740" s="24">
        <v>4.0842982012504692E-2</v>
      </c>
      <c r="V740" s="24">
        <f t="shared" si="86"/>
        <v>4.290660517622169E-2</v>
      </c>
      <c r="W740" s="23">
        <f t="shared" si="87"/>
        <v>3.5070359695577036E-3</v>
      </c>
      <c r="X740" s="24">
        <v>4.041428444925188E-2</v>
      </c>
      <c r="Y740" s="24">
        <f t="shared" si="88"/>
        <v>4.2906794439403706E-2</v>
      </c>
      <c r="Z740" s="23">
        <f t="shared" si="89"/>
        <v>3.5070492441922063E-3</v>
      </c>
      <c r="AA740" s="36"/>
    </row>
    <row r="741" spans="15:27" ht="13.9" customHeight="1" x14ac:dyDescent="0.3">
      <c r="O741" s="12">
        <f t="shared" si="83"/>
        <v>60.666666666666664</v>
      </c>
      <c r="P741" s="13">
        <v>728</v>
      </c>
      <c r="Q741" s="22">
        <v>3.2857339163555599E-2</v>
      </c>
      <c r="R741" s="19">
        <f t="shared" si="84"/>
        <v>3.2931512360744097E-2</v>
      </c>
      <c r="S741" s="22">
        <v>3.8733370012740798E-2</v>
      </c>
      <c r="T741" s="19">
        <f t="shared" si="85"/>
        <v>4.2908303702364092E-2</v>
      </c>
      <c r="U741" s="24">
        <v>4.0845813857217639E-2</v>
      </c>
      <c r="V741" s="24">
        <f t="shared" si="86"/>
        <v>4.2907452270722013E-2</v>
      </c>
      <c r="W741" s="23">
        <f t="shared" si="87"/>
        <v>3.5071045161616521E-3</v>
      </c>
      <c r="X741" s="24">
        <v>4.0417704137714727E-2</v>
      </c>
      <c r="Y741" s="24">
        <f t="shared" si="88"/>
        <v>4.2907664796387746E-2</v>
      </c>
      <c r="Z741" s="23">
        <f t="shared" si="89"/>
        <v>3.5071196922515924E-3</v>
      </c>
      <c r="AA741" s="36"/>
    </row>
    <row r="742" spans="15:27" ht="13.9" customHeight="1" x14ac:dyDescent="0.3">
      <c r="O742" s="12">
        <f t="shared" si="83"/>
        <v>60.75</v>
      </c>
      <c r="P742" s="13">
        <v>729</v>
      </c>
      <c r="Q742" s="22">
        <v>3.2857440906405522E-2</v>
      </c>
      <c r="R742" s="19">
        <f t="shared" si="84"/>
        <v>3.2935667962030291E-2</v>
      </c>
      <c r="S742" s="22">
        <v>3.8739085482570434E-2</v>
      </c>
      <c r="T742" s="19">
        <f t="shared" si="85"/>
        <v>4.2909234139681507E-2</v>
      </c>
      <c r="U742" s="24">
        <v>4.0848639100184103E-2</v>
      </c>
      <c r="V742" s="24">
        <f t="shared" si="86"/>
        <v>4.2908291675974652E-2</v>
      </c>
      <c r="W742" s="23">
        <f t="shared" si="87"/>
        <v>3.5071724405111304E-3</v>
      </c>
      <c r="X742" s="24">
        <v>4.042111564656925E-2</v>
      </c>
      <c r="Y742" s="24">
        <f t="shared" si="88"/>
        <v>4.2908527019968501E-2</v>
      </c>
      <c r="Z742" s="23">
        <f t="shared" si="89"/>
        <v>3.5071894818929916E-3</v>
      </c>
      <c r="AA742" s="36"/>
    </row>
    <row r="743" spans="15:27" ht="13.9" customHeight="1" x14ac:dyDescent="0.3">
      <c r="O743" s="12">
        <f t="shared" si="83"/>
        <v>60.833333333333336</v>
      </c>
      <c r="P743" s="13">
        <v>730</v>
      </c>
      <c r="Q743" s="22">
        <v>3.2857548062703357E-2</v>
      </c>
      <c r="R743" s="19">
        <f t="shared" si="84"/>
        <v>3.2939788765467437E-2</v>
      </c>
      <c r="S743" s="22">
        <v>3.8744786594380853E-2</v>
      </c>
      <c r="T743" s="19">
        <f t="shared" si="85"/>
        <v>4.2910155129908478E-2</v>
      </c>
      <c r="U743" s="24">
        <v>4.0851457757999032E-2</v>
      </c>
      <c r="V743" s="24">
        <f t="shared" si="86"/>
        <v>4.2909123461694287E-2</v>
      </c>
      <c r="W743" s="23">
        <f t="shared" si="87"/>
        <v>3.5072397482478479E-3</v>
      </c>
      <c r="X743" s="24">
        <v>4.0424518998279924E-2</v>
      </c>
      <c r="Y743" s="24">
        <f t="shared" si="88"/>
        <v>4.290938118630816E-2</v>
      </c>
      <c r="Z743" s="23">
        <f t="shared" si="89"/>
        <v>3.5072586193043431E-3</v>
      </c>
      <c r="AA743" s="36"/>
    </row>
    <row r="744" spans="15:27" ht="13.9" customHeight="1" x14ac:dyDescent="0.3">
      <c r="O744" s="12">
        <f t="shared" si="83"/>
        <v>60.916666666666664</v>
      </c>
      <c r="P744" s="13">
        <v>731</v>
      </c>
      <c r="Q744" s="22">
        <v>3.2857660562612079E-2</v>
      </c>
      <c r="R744" s="19">
        <f t="shared" si="84"/>
        <v>3.2943875064669337E-2</v>
      </c>
      <c r="S744" s="22">
        <v>3.8750473394116192E-2</v>
      </c>
      <c r="T744" s="19">
        <f t="shared" si="85"/>
        <v>4.2911066768424488E-2</v>
      </c>
      <c r="U744" s="24">
        <v>4.0854269847261815E-2</v>
      </c>
      <c r="V744" s="24">
        <f t="shared" si="86"/>
        <v>4.2909947698169359E-2</v>
      </c>
      <c r="W744" s="23">
        <f t="shared" si="87"/>
        <v>3.5073064449628877E-3</v>
      </c>
      <c r="X744" s="24">
        <v>4.0427914215292349E-2</v>
      </c>
      <c r="Y744" s="24">
        <f t="shared" si="88"/>
        <v>4.2910227370692722E-2</v>
      </c>
      <c r="Z744" s="23">
        <f t="shared" si="89"/>
        <v>3.507327110594094E-3</v>
      </c>
      <c r="AA744" s="36"/>
    </row>
    <row r="745" spans="15:27" ht="13.9" customHeight="1" x14ac:dyDescent="0.3">
      <c r="O745" s="12">
        <f t="shared" si="83"/>
        <v>61</v>
      </c>
      <c r="P745" s="13">
        <v>732</v>
      </c>
      <c r="Q745" s="22">
        <v>3.2857778337077814E-2</v>
      </c>
      <c r="R745" s="19">
        <f t="shared" si="84"/>
        <v>3.2947927151024459E-2</v>
      </c>
      <c r="S745" s="22">
        <v>3.8756145927600016E-2</v>
      </c>
      <c r="T745" s="19">
        <f t="shared" si="85"/>
        <v>4.2911969151402829E-2</v>
      </c>
      <c r="U745" s="24">
        <v>4.0857075384577168E-2</v>
      </c>
      <c r="V745" s="24">
        <f t="shared" si="86"/>
        <v>4.2910764453730099E-2</v>
      </c>
      <c r="W745" s="23">
        <f t="shared" si="87"/>
        <v>3.5073725362939623E-3</v>
      </c>
      <c r="X745" s="24">
        <v>4.0431301320032142E-2</v>
      </c>
      <c r="Y745" s="24">
        <f t="shared" si="88"/>
        <v>4.291106564825431E-2</v>
      </c>
      <c r="Z745" s="23">
        <f t="shared" si="89"/>
        <v>3.5073949618003031E-3</v>
      </c>
      <c r="AA745" s="36"/>
    </row>
    <row r="746" spans="15:27" ht="13.9" customHeight="1" x14ac:dyDescent="0.3">
      <c r="O746" s="12">
        <f t="shared" si="83"/>
        <v>61.083333333333336</v>
      </c>
      <c r="P746" s="13">
        <v>733</v>
      </c>
      <c r="Q746" s="22">
        <v>3.2857901317821847E-2</v>
      </c>
      <c r="R746" s="19">
        <f t="shared" si="84"/>
        <v>3.2951945313464348E-2</v>
      </c>
      <c r="S746" s="22">
        <v>3.8761804240536657E-2</v>
      </c>
      <c r="T746" s="19">
        <f t="shared" si="85"/>
        <v>4.2912862371700555E-2</v>
      </c>
      <c r="U746" s="24">
        <v>4.0859874386552031E-2</v>
      </c>
      <c r="V746" s="24">
        <f t="shared" si="86"/>
        <v>4.2911573795164859E-2</v>
      </c>
      <c r="W746" s="23">
        <f t="shared" si="87"/>
        <v>3.5074380277211326E-3</v>
      </c>
      <c r="X746" s="24">
        <v>4.0434680334904938E-2</v>
      </c>
      <c r="Y746" s="24">
        <f t="shared" si="88"/>
        <v>4.2911896091812229E-2</v>
      </c>
      <c r="Z746" s="23">
        <f t="shared" si="89"/>
        <v>3.507462178949039E-3</v>
      </c>
      <c r="AA746" s="36"/>
    </row>
    <row r="747" spans="15:27" ht="13.9" customHeight="1" x14ac:dyDescent="0.3">
      <c r="O747" s="12">
        <f t="shared" si="83"/>
        <v>61.166666666666664</v>
      </c>
      <c r="P747" s="13">
        <v>734</v>
      </c>
      <c r="Q747" s="22">
        <v>3.2858029437331737E-2</v>
      </c>
      <c r="R747" s="19">
        <f t="shared" si="84"/>
        <v>3.295592983855955E-2</v>
      </c>
      <c r="S747" s="22">
        <v>3.8767448378507874E-2</v>
      </c>
      <c r="T747" s="19">
        <f t="shared" si="85"/>
        <v>4.2913746523116414E-2</v>
      </c>
      <c r="U747" s="24">
        <v>4.0862666869793784E-2</v>
      </c>
      <c r="V747" s="24">
        <f t="shared" si="86"/>
        <v>4.291237579119711E-2</v>
      </c>
      <c r="W747" s="23">
        <f t="shared" si="87"/>
        <v>3.5075029246014466E-3</v>
      </c>
      <c r="X747" s="24">
        <v>4.0438051282293275E-2</v>
      </c>
      <c r="Y747" s="24">
        <f t="shared" si="88"/>
        <v>4.2912718776529024E-2</v>
      </c>
      <c r="Z747" s="23">
        <f t="shared" si="89"/>
        <v>3.5075287678805189E-3</v>
      </c>
      <c r="AA747" s="36"/>
    </row>
    <row r="748" spans="15:27" ht="13.9" customHeight="1" x14ac:dyDescent="0.3">
      <c r="O748" s="12">
        <f t="shared" si="83"/>
        <v>61.25</v>
      </c>
      <c r="P748" s="13">
        <v>735</v>
      </c>
      <c r="Q748" s="22">
        <v>3.2858162628852883E-2</v>
      </c>
      <c r="R748" s="19">
        <f t="shared" si="84"/>
        <v>3.2959881009938741E-2</v>
      </c>
      <c r="S748" s="22">
        <v>3.8773078386974635E-2</v>
      </c>
      <c r="T748" s="19">
        <f t="shared" si="85"/>
        <v>4.291462169833804E-2</v>
      </c>
      <c r="U748" s="24">
        <v>4.086545285091292E-2</v>
      </c>
      <c r="V748" s="24">
        <f t="shared" si="86"/>
        <v>4.2913170508405374E-2</v>
      </c>
      <c r="W748" s="23">
        <f t="shared" si="87"/>
        <v>3.5075672324467178E-3</v>
      </c>
      <c r="X748" s="24">
        <v>4.044141418455971E-2</v>
      </c>
      <c r="Y748" s="24">
        <f t="shared" si="88"/>
        <v>4.2913533773385693E-2</v>
      </c>
      <c r="Z748" s="23">
        <f t="shared" si="89"/>
        <v>3.5075947346232539E-3</v>
      </c>
      <c r="AA748" s="36"/>
    </row>
    <row r="749" spans="15:27" ht="13.9" customHeight="1" x14ac:dyDescent="0.3">
      <c r="O749" s="12">
        <f t="shared" si="83"/>
        <v>61.333333333333336</v>
      </c>
      <c r="P749" s="13">
        <v>736</v>
      </c>
      <c r="Q749" s="22">
        <v>3.2858300826379416E-2</v>
      </c>
      <c r="R749" s="19">
        <f t="shared" si="84"/>
        <v>3.2963799110088621E-2</v>
      </c>
      <c r="S749" s="22">
        <v>3.8778694311276674E-2</v>
      </c>
      <c r="T749" s="19">
        <f t="shared" si="85"/>
        <v>4.2915487987192247E-2</v>
      </c>
      <c r="U749" s="24">
        <v>4.0868232346519706E-2</v>
      </c>
      <c r="V749" s="24">
        <f t="shared" si="86"/>
        <v>4.2913958012250619E-2</v>
      </c>
      <c r="W749" s="23">
        <f t="shared" si="87"/>
        <v>3.5076309565964525E-3</v>
      </c>
      <c r="X749" s="24">
        <v>4.044476906404193E-2</v>
      </c>
      <c r="Y749" s="24">
        <f t="shared" si="88"/>
        <v>4.291434115471171E-2</v>
      </c>
      <c r="Z749" s="23">
        <f t="shared" si="89"/>
        <v>3.5076600848700235E-3</v>
      </c>
      <c r="AA749" s="36"/>
    </row>
    <row r="750" spans="15:27" ht="13.9" customHeight="1" x14ac:dyDescent="0.3">
      <c r="O750" s="12">
        <f t="shared" si="83"/>
        <v>61.416666666666664</v>
      </c>
      <c r="P750" s="13">
        <v>737</v>
      </c>
      <c r="Q750" s="22">
        <v>3.2858443964647321E-2</v>
      </c>
      <c r="R750" s="19">
        <f t="shared" si="84"/>
        <v>3.2967684416945753E-2</v>
      </c>
      <c r="S750" s="22">
        <v>3.8784296196629597E-2</v>
      </c>
      <c r="T750" s="19">
        <f t="shared" si="85"/>
        <v>4.291634548146539E-2</v>
      </c>
      <c r="U750" s="24">
        <v>4.0871005373223301E-2</v>
      </c>
      <c r="V750" s="24">
        <f t="shared" si="86"/>
        <v>4.2914738369045136E-2</v>
      </c>
      <c r="W750" s="23">
        <f t="shared" si="87"/>
        <v>3.5076941023011177E-3</v>
      </c>
      <c r="X750" s="24">
        <v>4.0448115943054308E-2</v>
      </c>
      <c r="Y750" s="24">
        <f t="shared" si="88"/>
        <v>4.2915140992167311E-2</v>
      </c>
      <c r="Z750" s="23">
        <f t="shared" si="89"/>
        <v>3.507724824421965E-3</v>
      </c>
      <c r="AA750" s="36"/>
    </row>
    <row r="751" spans="15:27" ht="13.9" customHeight="1" x14ac:dyDescent="0.3">
      <c r="O751" s="12">
        <f t="shared" si="83"/>
        <v>61.5</v>
      </c>
      <c r="P751" s="13">
        <v>738</v>
      </c>
      <c r="Q751" s="22">
        <v>3.2858591979123775E-2</v>
      </c>
      <c r="R751" s="19">
        <f t="shared" si="84"/>
        <v>3.297153720820134E-2</v>
      </c>
      <c r="S751" s="22">
        <v>3.878988408812778E-2</v>
      </c>
      <c r="T751" s="19">
        <f t="shared" si="85"/>
        <v>4.2917194269513237E-2</v>
      </c>
      <c r="U751" s="24">
        <v>4.0873771947632198E-2</v>
      </c>
      <c r="V751" s="24">
        <f t="shared" si="86"/>
        <v>4.2915511643210502E-2</v>
      </c>
      <c r="W751" s="23">
        <f t="shared" si="87"/>
        <v>3.5077566748791256E-3</v>
      </c>
      <c r="X751" s="24">
        <v>4.0451454843887014E-2</v>
      </c>
      <c r="Y751" s="24">
        <f t="shared" si="88"/>
        <v>4.2915933356142855E-2</v>
      </c>
      <c r="Z751" s="23">
        <f t="shared" si="89"/>
        <v>3.507788959026259E-3</v>
      </c>
      <c r="AA751" s="36"/>
    </row>
    <row r="752" spans="15:27" ht="13.9" customHeight="1" x14ac:dyDescent="0.3">
      <c r="O752" s="12">
        <f t="shared" si="83"/>
        <v>61.583333333333336</v>
      </c>
      <c r="P752" s="13">
        <v>739</v>
      </c>
      <c r="Q752" s="22">
        <v>3.2858744806001372E-2</v>
      </c>
      <c r="R752" s="19">
        <f t="shared" si="84"/>
        <v>3.297535775773075E-2</v>
      </c>
      <c r="S752" s="22">
        <v>3.8795458030741248E-2</v>
      </c>
      <c r="T752" s="19">
        <f t="shared" si="85"/>
        <v>4.2918034440496022E-2</v>
      </c>
      <c r="U752" s="24">
        <v>4.0876532086352224E-2</v>
      </c>
      <c r="V752" s="24">
        <f t="shared" si="86"/>
        <v>4.2916277899450517E-2</v>
      </c>
      <c r="W752" s="23">
        <f t="shared" si="87"/>
        <v>3.5078186794970101E-3</v>
      </c>
      <c r="X752" s="24">
        <v>4.0454785788804903E-2</v>
      </c>
      <c r="Y752" s="24">
        <f t="shared" si="88"/>
        <v>4.2916718316493574E-2</v>
      </c>
      <c r="Z752" s="23">
        <f t="shared" si="89"/>
        <v>3.5078524943283895E-3</v>
      </c>
      <c r="AA752" s="36"/>
    </row>
    <row r="753" spans="15:27" ht="13.9" customHeight="1" x14ac:dyDescent="0.3">
      <c r="O753" s="12">
        <f t="shared" si="83"/>
        <v>61.666666666666664</v>
      </c>
      <c r="P753" s="13">
        <v>740</v>
      </c>
      <c r="Q753" s="22">
        <v>3.2858902382187916E-2</v>
      </c>
      <c r="R753" s="19">
        <f t="shared" si="84"/>
        <v>3.2979146337848153E-2</v>
      </c>
      <c r="S753" s="22">
        <v>3.8801018069317239E-2</v>
      </c>
      <c r="T753" s="19">
        <f t="shared" si="85"/>
        <v>4.2918866081917972E-2</v>
      </c>
      <c r="U753" s="24">
        <v>4.0879285805986765E-2</v>
      </c>
      <c r="V753" s="24">
        <f t="shared" si="86"/>
        <v>4.2917037201509967E-2</v>
      </c>
      <c r="W753" s="23">
        <f t="shared" si="87"/>
        <v>3.5078801213446198E-3</v>
      </c>
      <c r="X753" s="24">
        <v>4.0458108800046411E-2</v>
      </c>
      <c r="Y753" s="24">
        <f t="shared" si="88"/>
        <v>4.2917495942631945E-2</v>
      </c>
      <c r="Z753" s="23">
        <f t="shared" si="89"/>
        <v>3.5079154359312081E-3</v>
      </c>
      <c r="AA753" s="36"/>
    </row>
    <row r="754" spans="15:27" ht="13.9" customHeight="1" x14ac:dyDescent="0.3">
      <c r="O754" s="12">
        <f t="shared" si="83"/>
        <v>61.75</v>
      </c>
      <c r="P754" s="13">
        <v>741</v>
      </c>
      <c r="Q754" s="22">
        <v>3.2859064645300418E-2</v>
      </c>
      <c r="R754" s="19">
        <f t="shared" si="84"/>
        <v>3.2982903218084614E-2</v>
      </c>
      <c r="S754" s="22">
        <v>3.8806564248578646E-2</v>
      </c>
      <c r="T754" s="19">
        <f t="shared" si="85"/>
        <v>4.2919689279880435E-2</v>
      </c>
      <c r="U754" s="24">
        <v>4.0882033123135431E-2</v>
      </c>
      <c r="V754" s="24">
        <f t="shared" si="86"/>
        <v>4.291778961238979E-2</v>
      </c>
      <c r="W754" s="23">
        <f t="shared" si="87"/>
        <v>3.5079410055338656E-3</v>
      </c>
      <c r="X754" s="24">
        <v>4.0461423899823989E-2</v>
      </c>
      <c r="Y754" s="24">
        <f t="shared" si="88"/>
        <v>4.2918266302722774E-2</v>
      </c>
      <c r="Z754" s="23">
        <f t="shared" si="89"/>
        <v>3.5079777894013731E-3</v>
      </c>
      <c r="AA754" s="36"/>
    </row>
    <row r="755" spans="15:27" ht="13.9" customHeight="1" x14ac:dyDescent="0.3">
      <c r="O755" s="12">
        <f t="shared" si="83"/>
        <v>61.833333333333336</v>
      </c>
      <c r="P755" s="13">
        <v>742</v>
      </c>
      <c r="Q755" s="22">
        <v>3.2859231533655331E-2</v>
      </c>
      <c r="R755" s="19">
        <f t="shared" si="84"/>
        <v>3.298662866590818E-2</v>
      </c>
      <c r="S755" s="22">
        <v>3.881209661312357E-2</v>
      </c>
      <c r="T755" s="19">
        <f t="shared" si="85"/>
        <v>4.2920504121167102E-2</v>
      </c>
      <c r="U755" s="24">
        <v>4.0884774054393169E-2</v>
      </c>
      <c r="V755" s="24">
        <f t="shared" si="86"/>
        <v>4.2918535195425767E-2</v>
      </c>
      <c r="W755" s="23">
        <f t="shared" si="87"/>
        <v>3.5080013371180385E-3</v>
      </c>
      <c r="X755" s="24">
        <v>4.046473111032145E-2</v>
      </c>
      <c r="Y755" s="24">
        <f t="shared" si="88"/>
        <v>4.2919029465846581E-2</v>
      </c>
      <c r="Z755" s="23">
        <f t="shared" si="89"/>
        <v>3.5080395602060666E-3</v>
      </c>
      <c r="AA755" s="36"/>
    </row>
    <row r="756" spans="15:27" ht="13.9" customHeight="1" x14ac:dyDescent="0.3">
      <c r="O756" s="12">
        <f t="shared" si="83"/>
        <v>61.916666666666664</v>
      </c>
      <c r="P756" s="13">
        <v>743</v>
      </c>
      <c r="Q756" s="22">
        <v>3.2859402986261887E-2</v>
      </c>
      <c r="R756" s="19">
        <f t="shared" si="84"/>
        <v>3.2990322946331752E-2</v>
      </c>
      <c r="S756" s="22">
        <v>3.8817615207426215E-2</v>
      </c>
      <c r="T756" s="19">
        <f t="shared" si="85"/>
        <v>4.2921310689874037E-2</v>
      </c>
      <c r="U756" s="24">
        <v>4.0887508616350488E-2</v>
      </c>
      <c r="V756" s="24">
        <f t="shared" si="86"/>
        <v>4.2919274011227193E-2</v>
      </c>
      <c r="W756" s="23">
        <f t="shared" si="87"/>
        <v>3.508061121176409E-3</v>
      </c>
      <c r="X756" s="24">
        <v>4.0468030453696402E-2</v>
      </c>
      <c r="Y756" s="24">
        <f t="shared" si="88"/>
        <v>4.2919785497548268E-2</v>
      </c>
      <c r="Z756" s="23">
        <f t="shared" si="89"/>
        <v>3.5081007538855236E-3</v>
      </c>
      <c r="AA756" s="36"/>
    </row>
    <row r="757" spans="15:27" ht="13.9" customHeight="1" x14ac:dyDescent="0.3">
      <c r="O757" s="12">
        <f t="shared" si="83"/>
        <v>62</v>
      </c>
      <c r="P757" s="13">
        <v>744</v>
      </c>
      <c r="Q757" s="22">
        <v>3.2859578942813661E-2</v>
      </c>
      <c r="R757" s="19">
        <f t="shared" si="84"/>
        <v>3.2993986322302993E-2</v>
      </c>
      <c r="S757" s="22">
        <v>3.8823120075835105E-2</v>
      </c>
      <c r="T757" s="19">
        <f t="shared" si="85"/>
        <v>4.2922109070666181E-2</v>
      </c>
      <c r="U757" s="24">
        <v>4.0890236825590343E-2</v>
      </c>
      <c r="V757" s="24">
        <f t="shared" si="86"/>
        <v>4.2920006122463494E-2</v>
      </c>
      <c r="W757" s="23">
        <f t="shared" si="87"/>
        <v>3.5081203625701995E-3</v>
      </c>
      <c r="X757" s="24">
        <v>4.0471321952075368E-2</v>
      </c>
      <c r="Y757" s="24">
        <f t="shared" si="88"/>
        <v>4.2920534466384774E-2</v>
      </c>
      <c r="Z757" s="23">
        <f t="shared" si="89"/>
        <v>3.5081613756966501E-3</v>
      </c>
      <c r="AA757" s="36"/>
    </row>
    <row r="758" spans="15:27" ht="13.9" customHeight="1" x14ac:dyDescent="0.3">
      <c r="O758" s="12">
        <f t="shared" si="83"/>
        <v>62.083333333333336</v>
      </c>
      <c r="P758" s="13">
        <v>745</v>
      </c>
      <c r="Q758" s="22">
        <v>3.2859759343681683E-2</v>
      </c>
      <c r="R758" s="19">
        <f t="shared" si="84"/>
        <v>3.2997619053924065E-2</v>
      </c>
      <c r="S758" s="22">
        <v>3.8828611262573753E-2</v>
      </c>
      <c r="T758" s="19">
        <f t="shared" si="85"/>
        <v>4.292289934630622E-2</v>
      </c>
      <c r="U758" s="24">
        <v>4.0892958698690585E-2</v>
      </c>
      <c r="V758" s="24">
        <f t="shared" si="86"/>
        <v>4.2920731590192718E-2</v>
      </c>
      <c r="W758" s="23">
        <f t="shared" si="87"/>
        <v>3.5081790663256118E-3</v>
      </c>
      <c r="X758" s="24">
        <v>4.0474605627557558E-2</v>
      </c>
      <c r="Y758" s="24">
        <f t="shared" si="88"/>
        <v>4.2921276437350109E-2</v>
      </c>
      <c r="Z758" s="23">
        <f t="shared" si="89"/>
        <v>3.5082214311377147E-3</v>
      </c>
      <c r="AA758" s="36"/>
    </row>
    <row r="759" spans="15:27" ht="13.9" customHeight="1" x14ac:dyDescent="0.3">
      <c r="O759" s="12">
        <f t="shared" si="83"/>
        <v>62.166666666666664</v>
      </c>
      <c r="P759" s="13">
        <v>746</v>
      </c>
      <c r="Q759" s="22">
        <v>3.2859944129905561E-2</v>
      </c>
      <c r="R759" s="19">
        <f t="shared" si="84"/>
        <v>3.3001221400467351E-2</v>
      </c>
      <c r="S759" s="22">
        <v>3.8834088811739775E-2</v>
      </c>
      <c r="T759" s="19">
        <f t="shared" si="85"/>
        <v>4.2923681599106978E-2</v>
      </c>
      <c r="U759" s="24">
        <v>4.0895674252221736E-2</v>
      </c>
      <c r="V759" s="24">
        <f t="shared" si="86"/>
        <v>4.2921450473684342E-2</v>
      </c>
      <c r="W759" s="23">
        <f t="shared" si="87"/>
        <v>3.5082372373391735E-3</v>
      </c>
      <c r="X759" s="24">
        <v>4.0477881502211099E-2</v>
      </c>
      <c r="Y759" s="24">
        <f t="shared" si="88"/>
        <v>4.2922011476178135E-2</v>
      </c>
      <c r="Z759" s="23">
        <f t="shared" si="89"/>
        <v>3.5082809254214364E-3</v>
      </c>
      <c r="AA759" s="36"/>
    </row>
    <row r="760" spans="15:27" ht="13.9" customHeight="1" x14ac:dyDescent="0.3">
      <c r="O760" s="12">
        <f t="shared" si="83"/>
        <v>62.25</v>
      </c>
      <c r="P760" s="13">
        <v>747</v>
      </c>
      <c r="Q760" s="22">
        <v>3.2860133243188372E-2</v>
      </c>
      <c r="R760" s="19">
        <f t="shared" si="84"/>
        <v>3.3004793617214201E-2</v>
      </c>
      <c r="S760" s="22">
        <v>3.8839552767304442E-2</v>
      </c>
      <c r="T760" s="19">
        <f t="shared" si="85"/>
        <v>4.2924455911704795E-2</v>
      </c>
      <c r="U760" s="24">
        <v>4.0898383502744995E-2</v>
      </c>
      <c r="V760" s="24">
        <f t="shared" si="86"/>
        <v>4.2922162834404975E-2</v>
      </c>
      <c r="W760" s="23">
        <f t="shared" si="87"/>
        <v>3.5082948803648595E-3</v>
      </c>
      <c r="X760" s="24">
        <v>4.0481149598073474E-2</v>
      </c>
      <c r="Y760" s="24">
        <f t="shared" si="88"/>
        <v>4.2922739647731412E-2</v>
      </c>
      <c r="Z760" s="23">
        <f t="shared" si="89"/>
        <v>3.5083398638195984E-3</v>
      </c>
      <c r="AA760" s="36"/>
    </row>
    <row r="761" spans="15:27" ht="13.9" customHeight="1" x14ac:dyDescent="0.3">
      <c r="O761" s="12">
        <f t="shared" si="83"/>
        <v>62.333333333333336</v>
      </c>
      <c r="P761" s="13">
        <v>748</v>
      </c>
      <c r="Q761" s="22">
        <v>3.2860326625886449E-2</v>
      </c>
      <c r="R761" s="19">
        <f t="shared" si="84"/>
        <v>3.3008335958413015E-2</v>
      </c>
      <c r="S761" s="22">
        <v>3.8845003173114234E-2</v>
      </c>
      <c r="T761" s="19">
        <f t="shared" si="85"/>
        <v>4.2925222362746096E-2</v>
      </c>
      <c r="U761" s="24">
        <v>4.0901086466814895E-2</v>
      </c>
      <c r="V761" s="24">
        <f t="shared" si="86"/>
        <v>4.292286872904616E-2</v>
      </c>
      <c r="W761" s="23">
        <f t="shared" si="87"/>
        <v>3.5083520003320601E-3</v>
      </c>
      <c r="X761" s="24">
        <v>4.04844099371513E-2</v>
      </c>
      <c r="Y761" s="24">
        <f t="shared" si="88"/>
        <v>4.292346101606892E-2</v>
      </c>
      <c r="Z761" s="23">
        <f t="shared" si="89"/>
        <v>3.5083982515340395E-3</v>
      </c>
      <c r="AA761" s="36"/>
    </row>
    <row r="762" spans="15:27" ht="13.9" customHeight="1" x14ac:dyDescent="0.3">
      <c r="O762" s="12">
        <f t="shared" si="83"/>
        <v>62.416666666666664</v>
      </c>
      <c r="P762" s="13">
        <v>749</v>
      </c>
      <c r="Q762" s="22">
        <v>3.2860524221003606E-2</v>
      </c>
      <c r="R762" s="19">
        <f t="shared" si="84"/>
        <v>3.3011848675747801E-2</v>
      </c>
      <c r="S762" s="22">
        <v>3.8850440072886849E-2</v>
      </c>
      <c r="T762" s="19">
        <f t="shared" si="85"/>
        <v>4.2925981034413141E-2</v>
      </c>
      <c r="U762" s="24">
        <v>4.0903783160973317E-2</v>
      </c>
      <c r="V762" s="24">
        <f t="shared" si="86"/>
        <v>4.2923568219229935E-2</v>
      </c>
      <c r="W762" s="23">
        <f t="shared" si="87"/>
        <v>3.5084086017875826E-3</v>
      </c>
      <c r="X762" s="24">
        <v>4.0487662541418556E-2</v>
      </c>
      <c r="Y762" s="24">
        <f t="shared" si="88"/>
        <v>4.2924175645130402E-2</v>
      </c>
      <c r="Z762" s="23">
        <f t="shared" si="89"/>
        <v>3.5084560937026499E-3</v>
      </c>
      <c r="AA762" s="36"/>
    </row>
    <row r="763" spans="15:27" ht="13.9" customHeight="1" x14ac:dyDescent="0.3">
      <c r="O763" s="12">
        <f t="shared" si="83"/>
        <v>62.5</v>
      </c>
      <c r="P763" s="13">
        <v>750</v>
      </c>
      <c r="Q763" s="22">
        <v>3.2860725972184035E-2</v>
      </c>
      <c r="R763" s="19">
        <f t="shared" si="84"/>
        <v>3.3015332018926369E-2</v>
      </c>
      <c r="S763" s="22">
        <v>3.8855863510215638E-2</v>
      </c>
      <c r="T763" s="19">
        <f t="shared" si="85"/>
        <v>4.2926732004210599E-2</v>
      </c>
      <c r="U763" s="24">
        <v>4.0906473601755922E-2</v>
      </c>
      <c r="V763" s="24">
        <f t="shared" si="86"/>
        <v>4.2924261361877214E-2</v>
      </c>
      <c r="W763" s="23">
        <f t="shared" si="87"/>
        <v>3.5084646896732519E-3</v>
      </c>
      <c r="X763" s="24">
        <v>4.0490907432817691E-2</v>
      </c>
      <c r="Y763" s="24">
        <f t="shared" si="88"/>
        <v>4.2924883597974306E-2</v>
      </c>
      <c r="Z763" s="23">
        <f t="shared" si="89"/>
        <v>3.5085133954533276E-3</v>
      </c>
      <c r="AA763" s="36"/>
    </row>
    <row r="764" spans="15:27" ht="13.9" customHeight="1" x14ac:dyDescent="0.3">
      <c r="O764" s="12">
        <f t="shared" si="83"/>
        <v>62.583333333333336</v>
      </c>
      <c r="P764" s="13">
        <v>751</v>
      </c>
      <c r="Q764" s="22">
        <v>3.2860931823704753E-2</v>
      </c>
      <c r="R764" s="19">
        <f t="shared" si="84"/>
        <v>3.3018786235742281E-2</v>
      </c>
      <c r="S764" s="22">
        <v>3.8861273528565388E-2</v>
      </c>
      <c r="T764" s="19">
        <f t="shared" si="85"/>
        <v>4.2927475350834188E-2</v>
      </c>
      <c r="U764" s="24">
        <v>4.0909157805685936E-2</v>
      </c>
      <c r="V764" s="24">
        <f t="shared" si="86"/>
        <v>4.2924948213765024E-2</v>
      </c>
      <c r="W764" s="23">
        <f t="shared" si="87"/>
        <v>3.5085202685545269E-3</v>
      </c>
      <c r="X764" s="24">
        <v>4.0494144633257623E-2</v>
      </c>
      <c r="Y764" s="24">
        <f t="shared" si="88"/>
        <v>4.2925584936557071E-2</v>
      </c>
      <c r="Z764" s="23">
        <f t="shared" si="89"/>
        <v>3.5085701618431386E-3</v>
      </c>
      <c r="AA764" s="36"/>
    </row>
    <row r="765" spans="15:27" ht="13.9" customHeight="1" x14ac:dyDescent="0.3">
      <c r="O765" s="12">
        <f t="shared" si="83"/>
        <v>62.666666666666664</v>
      </c>
      <c r="P765" s="13">
        <v>752</v>
      </c>
      <c r="Q765" s="22">
        <v>3.2861141720468945E-2</v>
      </c>
      <c r="R765" s="19">
        <f t="shared" si="84"/>
        <v>3.3022211570951088E-2</v>
      </c>
      <c r="S765" s="22">
        <v>3.8866670171274098E-2</v>
      </c>
      <c r="T765" s="19">
        <f t="shared" si="85"/>
        <v>4.2928211152000406E-2</v>
      </c>
      <c r="U765" s="24">
        <v>4.0911835789273931E-2</v>
      </c>
      <c r="V765" s="24">
        <f t="shared" si="86"/>
        <v>4.2925628834205254E-2</v>
      </c>
      <c r="W765" s="23">
        <f t="shared" si="87"/>
        <v>3.5085753429848765E-3</v>
      </c>
      <c r="X765" s="24">
        <v>4.049737416461352E-2</v>
      </c>
      <c r="Y765" s="24">
        <f t="shared" si="88"/>
        <v>4.2926279723494387E-2</v>
      </c>
      <c r="Z765" s="23">
        <f t="shared" si="89"/>
        <v>3.5086263978414411E-3</v>
      </c>
      <c r="AA765" s="36"/>
    </row>
    <row r="766" spans="15:27" ht="13.9" customHeight="1" x14ac:dyDescent="0.3">
      <c r="O766" s="12">
        <f t="shared" si="83"/>
        <v>62.75</v>
      </c>
      <c r="P766" s="13">
        <v>753</v>
      </c>
      <c r="Q766" s="22">
        <v>3.2861355607997966E-2</v>
      </c>
      <c r="R766" s="19">
        <f t="shared" si="84"/>
        <v>3.3025608267594375E-2</v>
      </c>
      <c r="S766" s="22">
        <v>3.887205348155276E-2</v>
      </c>
      <c r="T766" s="19">
        <f t="shared" si="85"/>
        <v>4.2928939483945161E-2</v>
      </c>
      <c r="U766" s="24">
        <v>4.0914507569021819E-2</v>
      </c>
      <c r="V766" s="24">
        <f t="shared" si="86"/>
        <v>4.2926303277263766E-2</v>
      </c>
      <c r="W766" s="23">
        <f t="shared" si="87"/>
        <v>3.5086299177207181E-3</v>
      </c>
      <c r="X766" s="24">
        <v>4.0500596048727022E-2</v>
      </c>
      <c r="Y766" s="24">
        <f t="shared" si="88"/>
        <v>4.2926968019196154E-2</v>
      </c>
      <c r="Z766" s="23">
        <f t="shared" si="89"/>
        <v>3.5086821084693298E-3</v>
      </c>
      <c r="AA766" s="36"/>
    </row>
    <row r="767" spans="15:27" ht="13.9" customHeight="1" x14ac:dyDescent="0.3">
      <c r="O767" s="12">
        <f t="shared" si="83"/>
        <v>62.833333333333336</v>
      </c>
      <c r="P767" s="13">
        <v>754</v>
      </c>
      <c r="Q767" s="22">
        <v>3.2861573432425129E-2</v>
      </c>
      <c r="R767" s="19">
        <f t="shared" si="84"/>
        <v>3.3028976568213908E-2</v>
      </c>
      <c r="S767" s="22">
        <v>3.8877423502484021E-2</v>
      </c>
      <c r="T767" s="19">
        <f t="shared" si="85"/>
        <v>4.2929660423073113E-2</v>
      </c>
      <c r="U767" s="24">
        <v>4.0917173161415299E-2</v>
      </c>
      <c r="V767" s="24">
        <f t="shared" si="86"/>
        <v>4.2926971601268349E-2</v>
      </c>
      <c r="W767" s="23">
        <f t="shared" si="87"/>
        <v>3.5086839970985828E-3</v>
      </c>
      <c r="X767" s="24">
        <v>4.050381030740402E-2</v>
      </c>
      <c r="Y767" s="24">
        <f t="shared" si="88"/>
        <v>4.2927649885120323E-2</v>
      </c>
      <c r="Z767" s="23">
        <f t="shared" si="89"/>
        <v>3.508737298572262E-3</v>
      </c>
      <c r="AA767" s="36"/>
    </row>
    <row r="768" spans="15:27" ht="13.9" customHeight="1" x14ac:dyDescent="0.3">
      <c r="O768" s="12">
        <f t="shared" si="83"/>
        <v>62.916666666666664</v>
      </c>
      <c r="P768" s="13">
        <v>755</v>
      </c>
      <c r="Q768" s="22">
        <v>3.2861795140490146E-2</v>
      </c>
      <c r="R768" s="19">
        <f t="shared" si="84"/>
        <v>3.3032316710353893E-2</v>
      </c>
      <c r="S768" s="22">
        <v>3.8882780277023521E-2</v>
      </c>
      <c r="T768" s="19">
        <f t="shared" si="85"/>
        <v>4.2930374043863351E-2</v>
      </c>
      <c r="U768" s="24">
        <v>4.091983258292986E-2</v>
      </c>
      <c r="V768" s="24">
        <f t="shared" si="86"/>
        <v>4.2927633860411873E-2</v>
      </c>
      <c r="W768" s="23">
        <f t="shared" si="87"/>
        <v>3.5087375857960623E-3</v>
      </c>
      <c r="X768" s="24">
        <v>4.0507016962416209E-2</v>
      </c>
      <c r="Y768" s="24">
        <f t="shared" si="88"/>
        <v>4.2928325381087484E-2</v>
      </c>
      <c r="Z768" s="23">
        <f t="shared" si="89"/>
        <v>3.5087919730787398E-3</v>
      </c>
      <c r="AA768" s="36"/>
    </row>
    <row r="769" spans="15:27" ht="13.9" customHeight="1" x14ac:dyDescent="0.3">
      <c r="O769" s="12">
        <f t="shared" si="83"/>
        <v>63</v>
      </c>
      <c r="P769" s="13">
        <v>756</v>
      </c>
      <c r="Q769" s="22">
        <v>3.2862020679529591E-2</v>
      </c>
      <c r="R769" s="19">
        <f t="shared" si="84"/>
        <v>3.30356289325342E-2</v>
      </c>
      <c r="S769" s="22">
        <v>3.8888123847998113E-2</v>
      </c>
      <c r="T769" s="19">
        <f t="shared" si="85"/>
        <v>4.2931080420939738E-2</v>
      </c>
      <c r="U769" s="24">
        <v>4.0922485850025669E-2</v>
      </c>
      <c r="V769" s="24">
        <f t="shared" si="86"/>
        <v>4.2928290110480383E-2</v>
      </c>
      <c r="W769" s="23">
        <f t="shared" si="87"/>
        <v>3.5087906881592357E-3</v>
      </c>
      <c r="X769" s="24">
        <v>4.0510216035499091E-2</v>
      </c>
      <c r="Y769" s="24">
        <f t="shared" si="88"/>
        <v>4.292899456649768E-2</v>
      </c>
      <c r="Z769" s="23">
        <f t="shared" si="89"/>
        <v>3.5088461367864809E-3</v>
      </c>
      <c r="AA769" s="36"/>
    </row>
    <row r="770" spans="15:27" ht="13.9" customHeight="1" x14ac:dyDescent="0.3">
      <c r="O770" s="12">
        <f t="shared" si="83"/>
        <v>63.083333333333336</v>
      </c>
      <c r="P770" s="13">
        <v>757</v>
      </c>
      <c r="Q770" s="22">
        <v>3.2862249997473336E-2</v>
      </c>
      <c r="R770" s="19">
        <f t="shared" si="84"/>
        <v>3.3038913468460551E-2</v>
      </c>
      <c r="S770" s="22">
        <v>3.8893454258106752E-2</v>
      </c>
      <c r="T770" s="19">
        <f t="shared" si="85"/>
        <v>4.2931779628662126E-2</v>
      </c>
      <c r="U770" s="24">
        <v>4.0925132979149126E-2</v>
      </c>
      <c r="V770" s="24">
        <f t="shared" si="86"/>
        <v>4.2928940405806193E-2</v>
      </c>
      <c r="W770" s="23">
        <f t="shared" si="87"/>
        <v>3.5088433086625237E-3</v>
      </c>
      <c r="X770" s="24">
        <v>4.0513407548351532E-2</v>
      </c>
      <c r="Y770" s="24">
        <f t="shared" si="88"/>
        <v>4.2929657500720086E-2</v>
      </c>
      <c r="Z770" s="23">
        <f t="shared" si="89"/>
        <v>3.5088997944592304E-3</v>
      </c>
      <c r="AA770" s="36"/>
    </row>
    <row r="771" spans="15:27" ht="13.9" customHeight="1" x14ac:dyDescent="0.3">
      <c r="O771" s="12">
        <f t="shared" si="83"/>
        <v>63.166666666666664</v>
      </c>
      <c r="P771" s="13">
        <v>758</v>
      </c>
      <c r="Q771" s="22">
        <v>3.2862483042835011E-2</v>
      </c>
      <c r="R771" s="19">
        <f t="shared" si="84"/>
        <v>3.3042170551856431E-2</v>
      </c>
      <c r="S771" s="22">
        <v>3.8898771549921163E-2</v>
      </c>
      <c r="T771" s="19">
        <f t="shared" si="85"/>
        <v>4.2932471738768685E-2</v>
      </c>
      <c r="U771" s="24">
        <v>4.0927773986731752E-2</v>
      </c>
      <c r="V771" s="24">
        <f t="shared" si="86"/>
        <v>4.2929584800310172E-2</v>
      </c>
      <c r="W771" s="23">
        <f t="shared" si="87"/>
        <v>3.5088954516628856E-3</v>
      </c>
      <c r="X771" s="24">
        <v>4.0516591522636425E-2</v>
      </c>
      <c r="Y771" s="24">
        <f t="shared" si="88"/>
        <v>4.2930314242043188E-2</v>
      </c>
      <c r="Z771" s="23">
        <f t="shared" si="89"/>
        <v>3.5089529508582906E-3</v>
      </c>
      <c r="AA771" s="36"/>
    </row>
    <row r="772" spans="15:27" ht="13.9" customHeight="1" x14ac:dyDescent="0.3">
      <c r="O772" s="12">
        <f t="shared" si="83"/>
        <v>63.25</v>
      </c>
      <c r="P772" s="13">
        <v>759</v>
      </c>
      <c r="Q772" s="22">
        <v>3.286271976470756E-2</v>
      </c>
      <c r="R772" s="19">
        <f t="shared" si="84"/>
        <v>3.3045400414102089E-2</v>
      </c>
      <c r="S772" s="22">
        <v>3.8904075765883173E-2</v>
      </c>
      <c r="T772" s="19">
        <f t="shared" si="85"/>
        <v>4.2933156823818708E-2</v>
      </c>
      <c r="U772" s="24">
        <v>4.0930408889189307E-2</v>
      </c>
      <c r="V772" s="24">
        <f t="shared" si="86"/>
        <v>4.2930223348472074E-2</v>
      </c>
      <c r="W772" s="23">
        <f t="shared" si="87"/>
        <v>3.5089471214850843E-3</v>
      </c>
      <c r="X772" s="24">
        <v>4.0519767979978916E-2</v>
      </c>
      <c r="Y772" s="24">
        <f t="shared" si="88"/>
        <v>4.2930964848627351E-2</v>
      </c>
      <c r="Z772" s="23">
        <f t="shared" si="89"/>
        <v>3.5090056106583667E-3</v>
      </c>
      <c r="AA772" s="36"/>
    </row>
    <row r="773" spans="15:27" ht="13.9" customHeight="1" x14ac:dyDescent="0.3">
      <c r="O773" s="12">
        <f t="shared" si="83"/>
        <v>63.333333333333336</v>
      </c>
      <c r="P773" s="13">
        <v>760</v>
      </c>
      <c r="Q773" s="22">
        <v>3.2862960112756801E-2</v>
      </c>
      <c r="R773" s="19">
        <f t="shared" si="84"/>
        <v>3.3048603283623024E-2</v>
      </c>
      <c r="S773" s="22">
        <v>3.8909366948306934E-2</v>
      </c>
      <c r="T773" s="19">
        <f t="shared" si="85"/>
        <v>4.2933834955398487E-2</v>
      </c>
      <c r="U773" s="24">
        <v>4.093303770292267E-2</v>
      </c>
      <c r="V773" s="24">
        <f t="shared" si="86"/>
        <v>4.2930856102179504E-2</v>
      </c>
      <c r="W773" s="23">
        <f t="shared" si="87"/>
        <v>3.5089983224980692E-3</v>
      </c>
      <c r="X773" s="24">
        <v>4.0522936941966847E-2</v>
      </c>
      <c r="Y773" s="24">
        <f t="shared" si="88"/>
        <v>4.2931609377057978E-2</v>
      </c>
      <c r="Z773" s="23">
        <f t="shared" si="89"/>
        <v>3.5090577785237276E-3</v>
      </c>
      <c r="AA773" s="36"/>
    </row>
    <row r="774" spans="15:27" ht="13.9" customHeight="1" x14ac:dyDescent="0.3">
      <c r="O774" s="12">
        <f t="shared" si="83"/>
        <v>63.416666666666664</v>
      </c>
      <c r="P774" s="13">
        <v>761</v>
      </c>
      <c r="Q774" s="22">
        <v>3.2863204037213212E-2</v>
      </c>
      <c r="R774" s="19">
        <f t="shared" si="84"/>
        <v>3.3051779387904823E-2</v>
      </c>
      <c r="S774" s="22">
        <v>3.8914645139377591E-2</v>
      </c>
      <c r="T774" s="19">
        <f t="shared" si="85"/>
        <v>4.2934506203713196E-2</v>
      </c>
      <c r="U774" s="24">
        <v>4.0935660444314736E-2</v>
      </c>
      <c r="V774" s="24">
        <f t="shared" si="86"/>
        <v>4.2931483114716507E-2</v>
      </c>
      <c r="W774" s="23">
        <f t="shared" si="87"/>
        <v>3.5090490588629564E-3</v>
      </c>
      <c r="X774" s="24">
        <v>4.0526098430148982E-2</v>
      </c>
      <c r="Y774" s="24">
        <f t="shared" si="88"/>
        <v>4.2932247885263175E-2</v>
      </c>
      <c r="Z774" s="23">
        <f t="shared" si="89"/>
        <v>3.509109458992743E-3</v>
      </c>
      <c r="AA774" s="36"/>
    </row>
    <row r="775" spans="15:27" ht="13.9" customHeight="1" x14ac:dyDescent="0.3">
      <c r="O775" s="12">
        <f t="shared" si="83"/>
        <v>63.5</v>
      </c>
      <c r="P775" s="13">
        <v>762</v>
      </c>
      <c r="Q775" s="22">
        <v>3.2863451488867712E-2</v>
      </c>
      <c r="R775" s="19">
        <f t="shared" si="84"/>
        <v>3.3054928952494178E-2</v>
      </c>
      <c r="S775" s="22">
        <v>3.8919910381151501E-2</v>
      </c>
      <c r="T775" s="19">
        <f t="shared" si="85"/>
        <v>4.2935170638965126E-2</v>
      </c>
      <c r="U775" s="24">
        <v>4.0938277129732192E-2</v>
      </c>
      <c r="V775" s="24">
        <f t="shared" si="86"/>
        <v>4.2932104438357044E-2</v>
      </c>
      <c r="W775" s="23">
        <f t="shared" si="87"/>
        <v>3.5090993348534383E-3</v>
      </c>
      <c r="X775" s="24">
        <v>4.0529252466036558E-2</v>
      </c>
      <c r="Y775" s="24">
        <f t="shared" si="88"/>
        <v>4.2932880428834919E-2</v>
      </c>
      <c r="Z775" s="23">
        <f t="shared" si="89"/>
        <v>3.509160656710586E-3</v>
      </c>
      <c r="AA775" s="36"/>
    </row>
    <row r="776" spans="15:27" ht="13.9" customHeight="1" x14ac:dyDescent="0.3">
      <c r="O776" s="12">
        <f t="shared" si="83"/>
        <v>63.583333333333336</v>
      </c>
      <c r="P776" s="13">
        <v>763</v>
      </c>
      <c r="Q776" s="22">
        <v>3.2863702419065E-2</v>
      </c>
      <c r="R776" s="19">
        <f t="shared" si="84"/>
        <v>3.3058052199733234E-2</v>
      </c>
      <c r="S776" s="22">
        <v>3.8925162715556461E-2</v>
      </c>
      <c r="T776" s="19">
        <f t="shared" si="85"/>
        <v>4.2935828330215031E-2</v>
      </c>
      <c r="U776" s="24">
        <v>4.0940887775524182E-2</v>
      </c>
      <c r="V776" s="24">
        <f t="shared" si="86"/>
        <v>4.2932720124216894E-2</v>
      </c>
      <c r="W776" s="23">
        <f t="shared" si="87"/>
        <v>3.5091491546617171E-3</v>
      </c>
      <c r="X776" s="24">
        <v>4.0532399071101288E-2</v>
      </c>
      <c r="Y776" s="24">
        <f t="shared" si="88"/>
        <v>4.2933507063798615E-2</v>
      </c>
      <c r="Z776" s="23">
        <f t="shared" si="89"/>
        <v>3.5092113761361343E-3</v>
      </c>
      <c r="AA776" s="36"/>
    </row>
    <row r="777" spans="15:27" ht="13.9" customHeight="1" x14ac:dyDescent="0.3">
      <c r="O777" s="12">
        <f t="shared" si="83"/>
        <v>63.666666666666664</v>
      </c>
      <c r="P777" s="13">
        <v>764</v>
      </c>
      <c r="Q777" s="22">
        <v>3.286395677969578E-2</v>
      </c>
      <c r="R777" s="19">
        <f t="shared" si="84"/>
        <v>3.3061149352095365E-2</v>
      </c>
      <c r="S777" s="22">
        <v>3.8930402184390811E-2</v>
      </c>
      <c r="T777" s="19">
        <f t="shared" si="85"/>
        <v>4.2936479346706413E-2</v>
      </c>
      <c r="U777" s="24">
        <v>4.0943492398021419E-2</v>
      </c>
      <c r="V777" s="24">
        <f t="shared" si="86"/>
        <v>4.2933330224625976E-2</v>
      </c>
      <c r="W777" s="23">
        <f t="shared" si="87"/>
        <v>3.5091985223869582E-3</v>
      </c>
      <c r="X777" s="24">
        <v>4.0535538266775362E-2</v>
      </c>
      <c r="Y777" s="24">
        <f t="shared" si="88"/>
        <v>4.2934127845316583E-2</v>
      </c>
      <c r="Z777" s="23">
        <f t="shared" si="89"/>
        <v>3.5092616217620165E-3</v>
      </c>
      <c r="AA777" s="36"/>
    </row>
    <row r="778" spans="15:27" ht="13.9" customHeight="1" x14ac:dyDescent="0.3">
      <c r="O778" s="12">
        <f t="shared" si="83"/>
        <v>63.75</v>
      </c>
      <c r="P778" s="13">
        <v>765</v>
      </c>
      <c r="Q778" s="22">
        <v>3.2864214523193214E-2</v>
      </c>
      <c r="R778" s="19">
        <f t="shared" si="84"/>
        <v>3.3064220627624152E-2</v>
      </c>
      <c r="S778" s="22">
        <v>3.8935628829324997E-2</v>
      </c>
      <c r="T778" s="19">
        <f t="shared" si="85"/>
        <v>4.2937123754813067E-2</v>
      </c>
      <c r="U778" s="24">
        <v>4.09460910135373E-2</v>
      </c>
      <c r="V778" s="24">
        <f t="shared" si="86"/>
        <v>4.293393478877805E-2</v>
      </c>
      <c r="W778" s="23">
        <f t="shared" si="87"/>
        <v>3.5092474422258046E-3</v>
      </c>
      <c r="X778" s="24">
        <v>4.0538670074451E-2</v>
      </c>
      <c r="Y778" s="24">
        <f t="shared" si="88"/>
        <v>4.2934742827948291E-2</v>
      </c>
      <c r="Z778" s="23">
        <f t="shared" si="89"/>
        <v>3.5093113980124713E-3</v>
      </c>
      <c r="AA778" s="36"/>
    </row>
    <row r="779" spans="15:27" ht="13.9" customHeight="1" x14ac:dyDescent="0.3">
      <c r="O779" s="12">
        <f t="shared" si="83"/>
        <v>63.833333333333336</v>
      </c>
      <c r="P779" s="13">
        <v>766</v>
      </c>
      <c r="Q779" s="22">
        <v>3.2864475602524035E-2</v>
      </c>
      <c r="R779" s="19">
        <f t="shared" si="84"/>
        <v>3.3067266245834004E-2</v>
      </c>
      <c r="S779" s="22">
        <v>3.8940842691898681E-2</v>
      </c>
      <c r="T779" s="19">
        <f t="shared" si="85"/>
        <v>4.2937761622821702E-2</v>
      </c>
      <c r="U779" s="24">
        <v>4.0948683638364125E-2</v>
      </c>
      <c r="V779" s="24">
        <f t="shared" si="86"/>
        <v>4.2934533867910352E-2</v>
      </c>
      <c r="W779" s="23">
        <f t="shared" si="87"/>
        <v>3.5092959181237671E-3</v>
      </c>
      <c r="X779" s="24">
        <v>4.054179451547979E-2</v>
      </c>
      <c r="Y779" s="24">
        <f t="shared" si="88"/>
        <v>4.2935352066305832E-2</v>
      </c>
      <c r="Z779" s="23">
        <f t="shared" si="89"/>
        <v>3.5093607092626655E-3</v>
      </c>
      <c r="AA779" s="36"/>
    </row>
    <row r="780" spans="15:27" ht="13.9" customHeight="1" x14ac:dyDescent="0.3">
      <c r="O780" s="12">
        <f t="shared" si="83"/>
        <v>63.916666666666664</v>
      </c>
      <c r="P780" s="13">
        <v>767</v>
      </c>
      <c r="Q780" s="22">
        <v>3.2864739971186552E-2</v>
      </c>
      <c r="R780" s="19">
        <f t="shared" si="84"/>
        <v>3.3070286420987971E-2</v>
      </c>
      <c r="S780" s="22">
        <v>3.8946043813523401E-2</v>
      </c>
      <c r="T780" s="19">
        <f t="shared" si="85"/>
        <v>4.2938393017114329E-2</v>
      </c>
      <c r="U780" s="24">
        <v>4.0951270288776209E-2</v>
      </c>
      <c r="V780" s="24">
        <f t="shared" si="86"/>
        <v>4.2935127512097715E-2</v>
      </c>
      <c r="W780" s="23">
        <f t="shared" si="87"/>
        <v>3.5093439541897808E-3</v>
      </c>
      <c r="X780" s="24">
        <v>4.0544911611173351E-2</v>
      </c>
      <c r="Y780" s="24">
        <f t="shared" si="88"/>
        <v>4.293595561404917E-2</v>
      </c>
      <c r="Z780" s="23">
        <f t="shared" si="89"/>
        <v>3.5094095598928732E-3</v>
      </c>
      <c r="AA780" s="36"/>
    </row>
    <row r="781" spans="15:27" ht="13.9" customHeight="1" x14ac:dyDescent="0.3">
      <c r="O781" s="12">
        <f t="shared" si="83"/>
        <v>64</v>
      </c>
      <c r="P781" s="13">
        <v>768</v>
      </c>
      <c r="Q781" s="22">
        <v>3.2865007583200434E-2</v>
      </c>
      <c r="R781" s="19">
        <f t="shared" si="84"/>
        <v>3.3073281368005469E-2</v>
      </c>
      <c r="S781" s="22">
        <v>3.8951232235481914E-2</v>
      </c>
      <c r="T781" s="19">
        <f t="shared" si="85"/>
        <v>4.293901800288169E-2</v>
      </c>
      <c r="U781" s="24">
        <v>4.0953850981027884E-2</v>
      </c>
      <c r="V781" s="24">
        <f t="shared" si="86"/>
        <v>4.2935715769641059E-2</v>
      </c>
      <c r="W781" s="23">
        <f t="shared" si="87"/>
        <v>3.5093915544397447E-3</v>
      </c>
      <c r="X781" s="24">
        <v>4.054802138280178E-2</v>
      </c>
      <c r="Y781" s="24">
        <f t="shared" si="88"/>
        <v>4.2936553523886811E-2</v>
      </c>
      <c r="Z781" s="23">
        <f t="shared" si="89"/>
        <v>3.5094579542058746E-3</v>
      </c>
      <c r="AA781" s="36"/>
    </row>
    <row r="782" spans="15:27" ht="13.9" customHeight="1" x14ac:dyDescent="0.3">
      <c r="O782" s="12">
        <f t="shared" ref="O782:O845" si="90">P782/12</f>
        <v>64.083333333333329</v>
      </c>
      <c r="P782" s="13">
        <v>769</v>
      </c>
      <c r="Q782" s="22">
        <v>3.2865278393104269E-2</v>
      </c>
      <c r="R782" s="19">
        <f t="shared" ref="R782:R845" si="91">(1+Q783)^P783/(1+Q782)^P782-1</f>
        <v>3.3076251297715409E-2</v>
      </c>
      <c r="S782" s="22">
        <v>3.8956407998926856E-2</v>
      </c>
      <c r="T782" s="19">
        <f t="shared" ref="T782:T845" si="92">(1+S783)^P783/(1+S782)^P782-1</f>
        <v>4.2939636645396906E-2</v>
      </c>
      <c r="U782" s="24">
        <v>4.0956425731351942E-2</v>
      </c>
      <c r="V782" s="24">
        <f t="shared" ref="V782:V845" si="93">(1+U783)^P783/(1+U782)^P782-1</f>
        <v>4.2936298690503305E-2</v>
      </c>
      <c r="W782" s="23">
        <f t="shared" si="87"/>
        <v>3.5094387227470047E-3</v>
      </c>
      <c r="X782" s="24">
        <v>4.0551123851593207E-2</v>
      </c>
      <c r="Y782" s="24">
        <f t="shared" si="88"/>
        <v>4.2937145849115677E-2</v>
      </c>
      <c r="Z782" s="23">
        <f t="shared" si="89"/>
        <v>3.5095058964289549E-3</v>
      </c>
      <c r="AA782" s="36"/>
    </row>
    <row r="783" spans="15:27" ht="13.9" customHeight="1" x14ac:dyDescent="0.3">
      <c r="O783" s="12">
        <f t="shared" si="90"/>
        <v>64.166666666666671</v>
      </c>
      <c r="P783" s="13">
        <v>770</v>
      </c>
      <c r="Q783" s="22">
        <v>3.2865552355946903E-2</v>
      </c>
      <c r="R783" s="19">
        <f t="shared" si="91"/>
        <v>3.3079196421943902E-2</v>
      </c>
      <c r="S783" s="22">
        <v>3.8961571144881857E-2</v>
      </c>
      <c r="T783" s="19">
        <f t="shared" si="92"/>
        <v>4.2940249009674192E-2</v>
      </c>
      <c r="U783" s="24">
        <v>4.0958994555961636E-2</v>
      </c>
      <c r="V783" s="24">
        <f t="shared" si="93"/>
        <v>4.2936876322567041E-2</v>
      </c>
      <c r="W783" s="23">
        <f t="shared" ref="W783:W846" si="94">(1+V782)^(1/12)-1</f>
        <v>3.5094854631187999E-3</v>
      </c>
      <c r="X783" s="24">
        <v>4.0554219038734463E-2</v>
      </c>
      <c r="Y783" s="24">
        <f t="shared" ref="Y783:Y846" si="95">(1+X784)^P784/(1+X783)^P783-1</f>
        <v>4.2937732641734616E-2</v>
      </c>
      <c r="Z783" s="23">
        <f t="shared" ref="Z783:Z846" si="96">(1+Y782)^(1/12)-1</f>
        <v>3.5095533908364729E-3</v>
      </c>
      <c r="AA783" s="36"/>
    </row>
    <row r="784" spans="15:27" ht="13.9" customHeight="1" x14ac:dyDescent="0.3">
      <c r="O784" s="12">
        <f t="shared" si="90"/>
        <v>64.25</v>
      </c>
      <c r="P784" s="13">
        <v>771</v>
      </c>
      <c r="Q784" s="22">
        <v>3.2865829427285442E-2</v>
      </c>
      <c r="R784" s="19">
        <f t="shared" si="91"/>
        <v>3.3082116948142559E-2</v>
      </c>
      <c r="S784" s="22">
        <v>3.8966721714241759E-2</v>
      </c>
      <c r="T784" s="19">
        <f t="shared" si="92"/>
        <v>4.2940855158833724E-2</v>
      </c>
      <c r="U784" s="24">
        <v>4.0961557471048016E-2</v>
      </c>
      <c r="V784" s="24">
        <f t="shared" si="93"/>
        <v>4.2937448714591264E-2</v>
      </c>
      <c r="W784" s="23">
        <f t="shared" si="94"/>
        <v>3.5095317793951697E-3</v>
      </c>
      <c r="X784" s="24">
        <v>4.0557306965369966E-2</v>
      </c>
      <c r="Y784" s="24">
        <f t="shared" si="95"/>
        <v>4.2938313953465146E-2</v>
      </c>
      <c r="Z784" s="23">
        <f t="shared" si="96"/>
        <v>3.5096004415982041E-3</v>
      </c>
      <c r="AA784" s="36"/>
    </row>
    <row r="785" spans="15:27" ht="13.9" customHeight="1" x14ac:dyDescent="0.3">
      <c r="O785" s="12">
        <f t="shared" si="90"/>
        <v>64.333333333333329</v>
      </c>
      <c r="P785" s="13">
        <v>772</v>
      </c>
      <c r="Q785" s="22">
        <v>3.2866109563175927E-2</v>
      </c>
      <c r="R785" s="19">
        <f t="shared" si="91"/>
        <v>3.3085013083262504E-2</v>
      </c>
      <c r="S785" s="22">
        <v>3.8971859747771731E-2</v>
      </c>
      <c r="T785" s="19">
        <f t="shared" si="92"/>
        <v>4.2941455155850683E-2</v>
      </c>
      <c r="U785" s="24">
        <v>4.0964114492781256E-2</v>
      </c>
      <c r="V785" s="24">
        <f t="shared" si="93"/>
        <v>4.2938015912541427E-2</v>
      </c>
      <c r="W785" s="23">
        <f t="shared" si="94"/>
        <v>3.5095776754858754E-3</v>
      </c>
      <c r="X785" s="24">
        <v>4.0560387652601504E-2</v>
      </c>
      <c r="Y785" s="24">
        <f t="shared" si="95"/>
        <v>4.2938889835266281E-2</v>
      </c>
      <c r="Z785" s="23">
        <f t="shared" si="96"/>
        <v>3.5096470528623858E-3</v>
      </c>
      <c r="AA785" s="36"/>
    </row>
    <row r="786" spans="15:27" ht="13.9" customHeight="1" x14ac:dyDescent="0.3">
      <c r="O786" s="12">
        <f t="shared" si="90"/>
        <v>64.416666666666671</v>
      </c>
      <c r="P786" s="13">
        <v>773</v>
      </c>
      <c r="Q786" s="22">
        <v>3.2866392720170001E-2</v>
      </c>
      <c r="R786" s="19">
        <f t="shared" si="91"/>
        <v>3.308788503266924E-2</v>
      </c>
      <c r="S786" s="22">
        <v>3.8976985286107046E-2</v>
      </c>
      <c r="T786" s="19">
        <f t="shared" si="92"/>
        <v>4.2942049063977583E-2</v>
      </c>
      <c r="U786" s="24">
        <v>4.0966665637307553E-2</v>
      </c>
      <c r="V786" s="24">
        <f t="shared" si="93"/>
        <v>4.2938577965445868E-2</v>
      </c>
      <c r="W786" s="23">
        <f t="shared" si="94"/>
        <v>3.5096231550777457E-3</v>
      </c>
      <c r="X786" s="24">
        <v>4.0563461121487343E-2</v>
      </c>
      <c r="Y786" s="24">
        <f t="shared" si="95"/>
        <v>4.2939460338523805E-2</v>
      </c>
      <c r="Z786" s="23">
        <f t="shared" si="96"/>
        <v>3.5096932287155269E-3</v>
      </c>
      <c r="AA786" s="36"/>
    </row>
    <row r="787" spans="15:27" ht="13.9" customHeight="1" x14ac:dyDescent="0.3">
      <c r="O787" s="12">
        <f t="shared" si="90"/>
        <v>64.5</v>
      </c>
      <c r="P787" s="13">
        <v>774</v>
      </c>
      <c r="Q787" s="22">
        <v>3.2866678855309139E-2</v>
      </c>
      <c r="R787" s="19">
        <f t="shared" si="91"/>
        <v>3.3090732999374373E-2</v>
      </c>
      <c r="S787" s="22">
        <v>3.898209836975508E-2</v>
      </c>
      <c r="T787" s="19">
        <f t="shared" si="92"/>
        <v>4.2942636944711676E-2</v>
      </c>
      <c r="U787" s="24">
        <v>4.0969210920752674E-2</v>
      </c>
      <c r="V787" s="24">
        <f t="shared" si="93"/>
        <v>4.2939134919203203E-2</v>
      </c>
      <c r="W787" s="23">
        <f t="shared" si="94"/>
        <v>3.5096682221025244E-3</v>
      </c>
      <c r="X787" s="24">
        <v>4.0566527393043561E-2</v>
      </c>
      <c r="Y787" s="24">
        <f t="shared" si="95"/>
        <v>4.2940025513460212E-2</v>
      </c>
      <c r="Z787" s="23">
        <f t="shared" si="96"/>
        <v>3.5097389732785533E-3</v>
      </c>
      <c r="AA787" s="36"/>
    </row>
    <row r="788" spans="15:27" ht="13.9" customHeight="1" x14ac:dyDescent="0.3">
      <c r="O788" s="12">
        <f t="shared" si="90"/>
        <v>64.583333333333329</v>
      </c>
      <c r="P788" s="13">
        <v>775</v>
      </c>
      <c r="Q788" s="22">
        <v>3.2866967926118873E-2</v>
      </c>
      <c r="R788" s="19">
        <f t="shared" si="91"/>
        <v>3.3093557184486588E-2</v>
      </c>
      <c r="S788" s="22">
        <v>3.898719903909309E-2</v>
      </c>
      <c r="T788" s="19">
        <f t="shared" si="92"/>
        <v>4.2943218859126553E-2</v>
      </c>
      <c r="U788" s="24">
        <v>4.0971750359218406E-2</v>
      </c>
      <c r="V788" s="24">
        <f t="shared" si="93"/>
        <v>4.2939686820280487E-2</v>
      </c>
      <c r="W788" s="23">
        <f t="shared" si="94"/>
        <v>3.5097128802408228E-3</v>
      </c>
      <c r="X788" s="24">
        <v>4.0569586488242049E-2</v>
      </c>
      <c r="Y788" s="24">
        <f t="shared" si="95"/>
        <v>4.2940585409064536E-2</v>
      </c>
      <c r="Z788" s="23">
        <f t="shared" si="96"/>
        <v>3.5097842905791321E-3</v>
      </c>
      <c r="AA788" s="36"/>
    </row>
    <row r="789" spans="15:27" ht="13.9" customHeight="1" x14ac:dyDescent="0.3">
      <c r="O789" s="12">
        <f t="shared" si="90"/>
        <v>64.666666666666671</v>
      </c>
      <c r="P789" s="13">
        <v>776</v>
      </c>
      <c r="Q789" s="22">
        <v>3.2867259890602796E-2</v>
      </c>
      <c r="R789" s="19">
        <f t="shared" si="91"/>
        <v>3.309635778850506E-2</v>
      </c>
      <c r="S789" s="22">
        <v>3.8992287334369324E-2</v>
      </c>
      <c r="T789" s="19">
        <f t="shared" si="92"/>
        <v>4.2943794867746021E-2</v>
      </c>
      <c r="U789" s="24">
        <v>4.0974283968783221E-2</v>
      </c>
      <c r="V789" s="24">
        <f t="shared" si="93"/>
        <v>4.2940233714234388E-2</v>
      </c>
      <c r="W789" s="23">
        <f t="shared" si="94"/>
        <v>3.5097571332192157E-3</v>
      </c>
      <c r="X789" s="24">
        <v>4.0572638428010066E-2</v>
      </c>
      <c r="Y789" s="24">
        <f t="shared" si="95"/>
        <v>4.2941140075505091E-2</v>
      </c>
      <c r="Z789" s="23">
        <f t="shared" si="96"/>
        <v>3.5098291845458984E-3</v>
      </c>
      <c r="AA789" s="36"/>
    </row>
    <row r="790" spans="15:27" ht="13.9" customHeight="1" x14ac:dyDescent="0.3">
      <c r="O790" s="12">
        <f t="shared" si="90"/>
        <v>64.75</v>
      </c>
      <c r="P790" s="13">
        <v>777</v>
      </c>
      <c r="Q790" s="22">
        <v>3.2867554707239233E-2</v>
      </c>
      <c r="R790" s="19">
        <f t="shared" si="91"/>
        <v>3.3099135008856972E-2</v>
      </c>
      <c r="S790" s="22">
        <v>3.8997363295702359E-2</v>
      </c>
      <c r="T790" s="19">
        <f t="shared" si="92"/>
        <v>4.2944365030851639E-2</v>
      </c>
      <c r="U790" s="24">
        <v>4.0976811765501608E-2</v>
      </c>
      <c r="V790" s="24">
        <f t="shared" si="93"/>
        <v>4.2940775646618912E-2</v>
      </c>
      <c r="W790" s="23">
        <f t="shared" si="94"/>
        <v>3.5098009846914469E-3</v>
      </c>
      <c r="X790" s="24">
        <v>4.0575683233231574E-2</v>
      </c>
      <c r="Y790" s="24">
        <f t="shared" si="95"/>
        <v>4.2941689561162288E-2</v>
      </c>
      <c r="Z790" s="23">
        <f t="shared" si="96"/>
        <v>3.5098736592023005E-3</v>
      </c>
      <c r="AA790" s="36"/>
    </row>
    <row r="791" spans="15:27" ht="13.9" customHeight="1" x14ac:dyDescent="0.3">
      <c r="O791" s="12">
        <f t="shared" si="90"/>
        <v>64.833333333333329</v>
      </c>
      <c r="P791" s="13">
        <v>778</v>
      </c>
      <c r="Q791" s="22">
        <v>3.2867852334973691E-2</v>
      </c>
      <c r="R791" s="19">
        <f t="shared" si="91"/>
        <v>3.3101889042386201E-2</v>
      </c>
      <c r="S791" s="22">
        <v>3.9002426963082204E-2</v>
      </c>
      <c r="T791" s="19">
        <f t="shared" si="92"/>
        <v>4.294492940801331E-2</v>
      </c>
      <c r="U791" s="24">
        <v>4.0979333765403858E-2</v>
      </c>
      <c r="V791" s="24">
        <f t="shared" si="93"/>
        <v>4.2941312663099307E-2</v>
      </c>
      <c r="W791" s="23">
        <f t="shared" si="94"/>
        <v>3.5098444383103722E-3</v>
      </c>
      <c r="X791" s="24">
        <v>4.0578720924745015E-2</v>
      </c>
      <c r="Y791" s="24">
        <f t="shared" si="95"/>
        <v>4.2942233915551853E-2</v>
      </c>
      <c r="Z791" s="23">
        <f t="shared" si="96"/>
        <v>3.5099177184279018E-3</v>
      </c>
      <c r="AA791" s="36"/>
    </row>
    <row r="792" spans="15:27" ht="13.9" customHeight="1" x14ac:dyDescent="0.3">
      <c r="O792" s="12">
        <f t="shared" si="90"/>
        <v>64.916666666666671</v>
      </c>
      <c r="P792" s="13">
        <v>779</v>
      </c>
      <c r="Q792" s="22">
        <v>3.2868152733215528E-2</v>
      </c>
      <c r="R792" s="19">
        <f t="shared" si="91"/>
        <v>3.3104620083735492E-2</v>
      </c>
      <c r="S792" s="22">
        <v>3.9007478376370086E-2</v>
      </c>
      <c r="T792" s="19">
        <f t="shared" si="92"/>
        <v>4.2945488057199999E-2</v>
      </c>
      <c r="U792" s="24">
        <v>4.0981849984496499E-2</v>
      </c>
      <c r="V792" s="24">
        <f t="shared" si="93"/>
        <v>4.2941844807008467E-2</v>
      </c>
      <c r="W792" s="23">
        <f t="shared" si="94"/>
        <v>3.5098874977381733E-3</v>
      </c>
      <c r="X792" s="24">
        <v>4.0581751523345533E-2</v>
      </c>
      <c r="Y792" s="24">
        <f t="shared" si="95"/>
        <v>4.2942773184808214E-2</v>
      </c>
      <c r="Z792" s="23">
        <f t="shared" si="96"/>
        <v>3.5099613661939699E-3</v>
      </c>
      <c r="AA792" s="36"/>
    </row>
    <row r="793" spans="15:27" ht="13.9" customHeight="1" x14ac:dyDescent="0.3">
      <c r="O793" s="12">
        <f t="shared" si="90"/>
        <v>65</v>
      </c>
      <c r="P793" s="13">
        <v>780</v>
      </c>
      <c r="Q793" s="22">
        <v>3.2868455861831736E-2</v>
      </c>
      <c r="R793" s="19">
        <f t="shared" si="91"/>
        <v>3.3107328325874041E-2</v>
      </c>
      <c r="S793" s="22">
        <v>3.901251757529689E-2</v>
      </c>
      <c r="T793" s="19">
        <f t="shared" si="92"/>
        <v>4.2946041037178029E-2</v>
      </c>
      <c r="U793" s="24">
        <v>4.0984360438759637E-2</v>
      </c>
      <c r="V793" s="24">
        <f t="shared" si="93"/>
        <v>4.2942372124364026E-2</v>
      </c>
      <c r="W793" s="23">
        <f t="shared" si="94"/>
        <v>3.5099301664500704E-3</v>
      </c>
      <c r="X793" s="24">
        <v>4.0584775049780752E-2</v>
      </c>
      <c r="Y793" s="24">
        <f t="shared" si="95"/>
        <v>4.2943307417957044E-2</v>
      </c>
      <c r="Z793" s="23">
        <f t="shared" si="96"/>
        <v>3.5100046061999901E-3</v>
      </c>
      <c r="AA793" s="36"/>
    </row>
    <row r="794" spans="15:27" ht="13.9" customHeight="1" x14ac:dyDescent="0.3">
      <c r="O794" s="12">
        <f t="shared" si="90"/>
        <v>65.083333333333329</v>
      </c>
      <c r="P794" s="13">
        <v>781</v>
      </c>
      <c r="Q794" s="22">
        <v>3.2868761681142278E-2</v>
      </c>
      <c r="R794" s="19">
        <f t="shared" si="91"/>
        <v>3.3110013960632623E-2</v>
      </c>
      <c r="S794" s="22">
        <v>3.9017544599465603E-2</v>
      </c>
      <c r="T794" s="19">
        <f t="shared" si="92"/>
        <v>4.294658840548049E-2</v>
      </c>
      <c r="U794" s="24">
        <v>4.0986865144150064E-2</v>
      </c>
      <c r="V794" s="24">
        <f t="shared" si="93"/>
        <v>4.294289465766532E-2</v>
      </c>
      <c r="W794" s="23">
        <f t="shared" si="94"/>
        <v>3.5099724481364447E-3</v>
      </c>
      <c r="X794" s="24">
        <v>4.0587791524754779E-2</v>
      </c>
      <c r="Y794" s="24">
        <f t="shared" si="95"/>
        <v>4.2943836661646806E-2</v>
      </c>
      <c r="Z794" s="23">
        <f t="shared" si="96"/>
        <v>3.5100474423777062E-3</v>
      </c>
      <c r="AA794" s="36"/>
    </row>
    <row r="795" spans="15:27" ht="13.9" customHeight="1" x14ac:dyDescent="0.3">
      <c r="O795" s="12">
        <f t="shared" si="90"/>
        <v>65.166666666666671</v>
      </c>
      <c r="P795" s="13">
        <v>782</v>
      </c>
      <c r="Q795" s="22">
        <v>3.2869070151915425E-2</v>
      </c>
      <c r="R795" s="19">
        <f t="shared" si="91"/>
        <v>3.3112677177149497E-2</v>
      </c>
      <c r="S795" s="22">
        <v>3.9022559488349984E-2</v>
      </c>
      <c r="T795" s="19">
        <f t="shared" si="92"/>
        <v>4.2947130218959906E-2</v>
      </c>
      <c r="U795" s="24">
        <v>4.0989364116597482E-2</v>
      </c>
      <c r="V795" s="24">
        <f t="shared" si="93"/>
        <v>4.2943412450236584E-2</v>
      </c>
      <c r="W795" s="23">
        <f t="shared" si="94"/>
        <v>3.510014346205681E-3</v>
      </c>
      <c r="X795" s="24">
        <v>4.0590800968925089E-2</v>
      </c>
      <c r="Y795" s="24">
        <f t="shared" si="95"/>
        <v>4.2944360961979067E-2</v>
      </c>
      <c r="Z795" s="23">
        <f t="shared" si="96"/>
        <v>3.5100898784681256E-3</v>
      </c>
      <c r="AA795" s="36"/>
    </row>
    <row r="796" spans="15:27" ht="13.9" customHeight="1" x14ac:dyDescent="0.3">
      <c r="O796" s="12">
        <f t="shared" si="90"/>
        <v>65.25</v>
      </c>
      <c r="P796" s="13">
        <v>783</v>
      </c>
      <c r="Q796" s="22">
        <v>3.2869381235361761E-2</v>
      </c>
      <c r="R796" s="19">
        <f t="shared" si="91"/>
        <v>3.3115318164027574E-2</v>
      </c>
      <c r="S796" s="22">
        <v>3.9027562281294781E-2</v>
      </c>
      <c r="T796" s="19">
        <f t="shared" si="92"/>
        <v>4.2947666534467688E-2</v>
      </c>
      <c r="U796" s="24">
        <v>4.0991857372005613E-2</v>
      </c>
      <c r="V796" s="24">
        <f t="shared" si="93"/>
        <v>4.2943925546435224E-2</v>
      </c>
      <c r="W796" s="23">
        <f t="shared" si="94"/>
        <v>3.510055864131667E-3</v>
      </c>
      <c r="X796" s="24">
        <v>4.0593803402902973E-2</v>
      </c>
      <c r="Y796" s="24">
        <f t="shared" si="95"/>
        <v>4.2944880366102334E-2</v>
      </c>
      <c r="Z796" s="23">
        <f t="shared" si="96"/>
        <v>3.510131918168069E-3</v>
      </c>
      <c r="AA796" s="36"/>
    </row>
    <row r="797" spans="15:27" ht="13.9" customHeight="1" x14ac:dyDescent="0.3">
      <c r="O797" s="12">
        <f t="shared" si="90"/>
        <v>65.333333333333329</v>
      </c>
      <c r="P797" s="13">
        <v>784</v>
      </c>
      <c r="Q797" s="22">
        <v>3.2869694893130408E-2</v>
      </c>
      <c r="R797" s="19">
        <f t="shared" si="91"/>
        <v>3.3117937107939754E-2</v>
      </c>
      <c r="S797" s="22">
        <v>3.9032553017516625E-2</v>
      </c>
      <c r="T797" s="19">
        <f t="shared" si="92"/>
        <v>4.2948197406730948E-2</v>
      </c>
      <c r="U797" s="24">
        <v>4.099434492625309E-2</v>
      </c>
      <c r="V797" s="24">
        <f t="shared" si="93"/>
        <v>4.2944433987605946E-2</v>
      </c>
      <c r="W797" s="23">
        <f t="shared" si="94"/>
        <v>3.5100970054720015E-3</v>
      </c>
      <c r="X797" s="24">
        <v>4.0596798847254201E-2</v>
      </c>
      <c r="Y797" s="24">
        <f t="shared" si="95"/>
        <v>4.2945394919266411E-2</v>
      </c>
      <c r="Z797" s="23">
        <f t="shared" si="96"/>
        <v>3.510173565258734E-3</v>
      </c>
      <c r="AA797" s="36"/>
    </row>
    <row r="798" spans="15:27" ht="13.9" customHeight="1" x14ac:dyDescent="0.3">
      <c r="O798" s="12">
        <f t="shared" si="90"/>
        <v>65.416666666666671</v>
      </c>
      <c r="P798" s="13">
        <v>785</v>
      </c>
      <c r="Q798" s="22">
        <v>3.2870011087303697E-2</v>
      </c>
      <c r="R798" s="19">
        <f t="shared" si="91"/>
        <v>3.3120534193975315E-2</v>
      </c>
      <c r="S798" s="22">
        <v>3.9037531736102249E-2</v>
      </c>
      <c r="T798" s="19">
        <f t="shared" si="92"/>
        <v>4.2948722892629076E-2</v>
      </c>
      <c r="U798" s="24">
        <v>4.0996826795190788E-2</v>
      </c>
      <c r="V798" s="24">
        <f t="shared" si="93"/>
        <v>4.2944937816822959E-2</v>
      </c>
      <c r="W798" s="23">
        <f t="shared" si="94"/>
        <v>3.5101377735422545E-3</v>
      </c>
      <c r="X798" s="24">
        <v>4.0599787322497471E-2</v>
      </c>
      <c r="Y798" s="24">
        <f t="shared" si="95"/>
        <v>4.2945904666855661E-2</v>
      </c>
      <c r="Z798" s="23">
        <f t="shared" si="96"/>
        <v>3.5102148233689956E-3</v>
      </c>
      <c r="AA798" s="36"/>
    </row>
    <row r="799" spans="15:27" ht="13.9" customHeight="1" x14ac:dyDescent="0.3">
      <c r="O799" s="12">
        <f t="shared" si="90"/>
        <v>65.5</v>
      </c>
      <c r="P799" s="13">
        <v>786</v>
      </c>
      <c r="Q799" s="22">
        <v>3.2870329780392726E-2</v>
      </c>
      <c r="R799" s="19">
        <f t="shared" si="91"/>
        <v>3.3123109605549317E-2</v>
      </c>
      <c r="S799" s="22">
        <v>3.9042498476011378E-2</v>
      </c>
      <c r="T799" s="19">
        <f t="shared" si="92"/>
        <v>4.2949243045438568E-2</v>
      </c>
      <c r="U799" s="24">
        <v>4.0999302994643383E-2</v>
      </c>
      <c r="V799" s="24">
        <f t="shared" si="93"/>
        <v>4.2945437075340598E-2</v>
      </c>
      <c r="W799" s="23">
        <f t="shared" si="94"/>
        <v>3.5101781717967739E-3</v>
      </c>
      <c r="X799" s="24">
        <v>4.0602768849104853E-2</v>
      </c>
      <c r="Y799" s="24">
        <f t="shared" si="95"/>
        <v>4.2946409653842998E-2</v>
      </c>
      <c r="Z799" s="23">
        <f t="shared" si="96"/>
        <v>3.5102556961383868E-3</v>
      </c>
      <c r="AA799" s="36"/>
    </row>
    <row r="800" spans="15:27" ht="13.9" customHeight="1" x14ac:dyDescent="0.3">
      <c r="O800" s="12">
        <f t="shared" si="90"/>
        <v>65.583333333333329</v>
      </c>
      <c r="P800" s="13">
        <v>787</v>
      </c>
      <c r="Q800" s="22">
        <v>3.2870650935332257E-2</v>
      </c>
      <c r="R800" s="19">
        <f t="shared" si="91"/>
        <v>3.3125663523879023E-2</v>
      </c>
      <c r="S800" s="22">
        <v>3.9047453276074062E-2</v>
      </c>
      <c r="T800" s="19">
        <f t="shared" si="92"/>
        <v>4.2949757919814591E-2</v>
      </c>
      <c r="U800" s="24">
        <v>4.1001773540407349E-2</v>
      </c>
      <c r="V800" s="24">
        <f t="shared" si="93"/>
        <v>4.2945931805113302E-2</v>
      </c>
      <c r="W800" s="23">
        <f t="shared" si="94"/>
        <v>3.5102182035435803E-3</v>
      </c>
      <c r="X800" s="24">
        <v>4.0605743447501341E-2</v>
      </c>
      <c r="Y800" s="24">
        <f t="shared" si="95"/>
        <v>4.2946909924468368E-2</v>
      </c>
      <c r="Z800" s="23">
        <f t="shared" si="96"/>
        <v>3.5102961871733562E-3</v>
      </c>
      <c r="AA800" s="36"/>
    </row>
    <row r="801" spans="15:27" ht="13.9" customHeight="1" x14ac:dyDescent="0.3">
      <c r="O801" s="12">
        <f t="shared" si="90"/>
        <v>65.666666666666671</v>
      </c>
      <c r="P801" s="13">
        <v>788</v>
      </c>
      <c r="Q801" s="22">
        <v>3.2870974515475382E-2</v>
      </c>
      <c r="R801" s="19">
        <f t="shared" si="91"/>
        <v>3.3128196130359999E-2</v>
      </c>
      <c r="S801" s="22">
        <v>3.905239617499201E-2</v>
      </c>
      <c r="T801" s="19">
        <f t="shared" si="92"/>
        <v>4.2950267569960676E-2</v>
      </c>
      <c r="U801" s="24">
        <v>4.1004238448252517E-2</v>
      </c>
      <c r="V801" s="24">
        <f t="shared" si="93"/>
        <v>4.294642204705057E-2</v>
      </c>
      <c r="W801" s="23">
        <f t="shared" si="94"/>
        <v>3.5102578721475375E-3</v>
      </c>
      <c r="X801" s="24">
        <v>4.0608711138064413E-2</v>
      </c>
      <c r="Y801" s="24">
        <f t="shared" si="95"/>
        <v>4.2947405523348525E-2</v>
      </c>
      <c r="Z801" s="23">
        <f t="shared" si="96"/>
        <v>3.5103363000215104E-3</v>
      </c>
      <c r="AA801" s="36"/>
    </row>
    <row r="802" spans="15:27" ht="13.9" customHeight="1" x14ac:dyDescent="0.3">
      <c r="O802" s="12">
        <f t="shared" si="90"/>
        <v>65.75</v>
      </c>
      <c r="P802" s="13">
        <v>789</v>
      </c>
      <c r="Q802" s="22">
        <v>3.287130048459086E-2</v>
      </c>
      <c r="R802" s="19">
        <f t="shared" si="91"/>
        <v>3.3130707603165943E-2</v>
      </c>
      <c r="S802" s="22">
        <v>3.9057327211339921E-2</v>
      </c>
      <c r="T802" s="19">
        <f t="shared" si="92"/>
        <v>4.2950772047924302E-2</v>
      </c>
      <c r="U802" s="24">
        <v>4.1006697733920294E-2</v>
      </c>
      <c r="V802" s="24">
        <f t="shared" si="93"/>
        <v>4.2946907841894255E-2</v>
      </c>
      <c r="W802" s="23">
        <f t="shared" si="94"/>
        <v>3.5102971808893546E-3</v>
      </c>
      <c r="X802" s="24">
        <v>4.0611671941124694E-2</v>
      </c>
      <c r="Y802" s="24">
        <f t="shared" si="95"/>
        <v>4.2947896493947813E-2</v>
      </c>
      <c r="Z802" s="23">
        <f t="shared" si="96"/>
        <v>3.5103760382610982E-3</v>
      </c>
      <c r="AA802" s="36"/>
    </row>
    <row r="803" spans="15:27" ht="13.9" customHeight="1" x14ac:dyDescent="0.3">
      <c r="O803" s="12">
        <f t="shared" si="90"/>
        <v>65.833333333333329</v>
      </c>
      <c r="P803" s="13">
        <v>790</v>
      </c>
      <c r="Q803" s="22">
        <v>3.2871628806856679E-2</v>
      </c>
      <c r="R803" s="19">
        <f t="shared" si="91"/>
        <v>3.3133198119801976E-2</v>
      </c>
      <c r="S803" s="22">
        <v>3.9062246423563041E-2</v>
      </c>
      <c r="T803" s="19">
        <f t="shared" si="92"/>
        <v>4.295127140705346E-2</v>
      </c>
      <c r="U803" s="24">
        <v>4.1009151413124112E-2</v>
      </c>
      <c r="V803" s="24">
        <f t="shared" si="93"/>
        <v>4.2947389230432176E-2</v>
      </c>
      <c r="W803" s="23">
        <f t="shared" si="94"/>
        <v>3.5103361330359739E-3</v>
      </c>
      <c r="X803" s="24">
        <v>4.0614625876964849E-2</v>
      </c>
      <c r="Y803" s="24">
        <f t="shared" si="95"/>
        <v>4.2948382879175906E-2</v>
      </c>
      <c r="Z803" s="23">
        <f t="shared" si="96"/>
        <v>3.5104154053777759E-3</v>
      </c>
      <c r="AA803" s="36"/>
    </row>
    <row r="804" spans="15:27" ht="13.9" customHeight="1" x14ac:dyDescent="0.3">
      <c r="O804" s="12">
        <f t="shared" si="90"/>
        <v>65.916666666666671</v>
      </c>
      <c r="P804" s="13">
        <v>791</v>
      </c>
      <c r="Q804" s="22">
        <v>3.2871959446856502E-2</v>
      </c>
      <c r="R804" s="19">
        <f t="shared" si="91"/>
        <v>3.3135667856261319E-2</v>
      </c>
      <c r="S804" s="22">
        <v>3.9067153849979386E-2</v>
      </c>
      <c r="T804" s="19">
        <f t="shared" si="92"/>
        <v>4.2951765698769462E-2</v>
      </c>
      <c r="U804" s="24">
        <v>4.1011599501549201E-2</v>
      </c>
      <c r="V804" s="24">
        <f t="shared" si="93"/>
        <v>4.2947866252075917E-2</v>
      </c>
      <c r="W804" s="23">
        <f t="shared" si="94"/>
        <v>3.5103747318585565E-3</v>
      </c>
      <c r="X804" s="24">
        <v>4.0617572965819138E-2</v>
      </c>
      <c r="Y804" s="24">
        <f t="shared" si="95"/>
        <v>4.2948864722225144E-2</v>
      </c>
      <c r="Z804" s="23">
        <f t="shared" si="96"/>
        <v>3.5104544048121245E-3</v>
      </c>
      <c r="AA804" s="36"/>
    </row>
    <row r="805" spans="15:27" ht="13.9" customHeight="1" x14ac:dyDescent="0.3">
      <c r="O805" s="12">
        <f t="shared" si="90"/>
        <v>66</v>
      </c>
      <c r="P805" s="13">
        <v>792</v>
      </c>
      <c r="Q805" s="22">
        <v>3.2872292369575229E-2</v>
      </c>
      <c r="R805" s="19">
        <f t="shared" si="91"/>
        <v>3.3138116986308086E-2</v>
      </c>
      <c r="S805" s="22">
        <v>3.9072049528778852E-2</v>
      </c>
      <c r="T805" s="19">
        <f t="shared" si="92"/>
        <v>4.2952254974858661E-2</v>
      </c>
      <c r="U805" s="24">
        <v>4.1014042014851482E-2</v>
      </c>
      <c r="V805" s="24">
        <f t="shared" si="93"/>
        <v>4.2948338946677378E-2</v>
      </c>
      <c r="W805" s="23">
        <f t="shared" si="94"/>
        <v>3.5104129805174633E-3</v>
      </c>
      <c r="X805" s="24">
        <v>4.06205132278743E-2</v>
      </c>
      <c r="Y805" s="24">
        <f t="shared" si="95"/>
        <v>4.2949342065295326E-2</v>
      </c>
      <c r="Z805" s="23">
        <f t="shared" si="96"/>
        <v>3.5104930400282619E-3</v>
      </c>
      <c r="AA805" s="36"/>
    </row>
    <row r="806" spans="15:27" ht="13.9" customHeight="1" x14ac:dyDescent="0.3">
      <c r="O806" s="12">
        <f t="shared" si="90"/>
        <v>66.083333333333329</v>
      </c>
      <c r="P806" s="13">
        <v>793</v>
      </c>
      <c r="Q806" s="22">
        <v>3.287262754039344E-2</v>
      </c>
      <c r="R806" s="19">
        <f t="shared" si="91"/>
        <v>3.3140545683575828E-2</v>
      </c>
      <c r="S806" s="22">
        <v>3.9076933498023658E-2</v>
      </c>
      <c r="T806" s="19">
        <f t="shared" si="92"/>
        <v>4.2952739286127528E-2</v>
      </c>
      <c r="U806" s="24">
        <v>4.101647896865801E-2</v>
      </c>
      <c r="V806" s="24">
        <f t="shared" si="93"/>
        <v>4.2948807353714535E-2</v>
      </c>
      <c r="W806" s="23">
        <f t="shared" si="94"/>
        <v>3.5104508822088043E-3</v>
      </c>
      <c r="X806" s="24">
        <v>4.0623446683268227E-2</v>
      </c>
      <c r="Y806" s="24">
        <f t="shared" si="95"/>
        <v>4.2949814950814069E-2</v>
      </c>
      <c r="Z806" s="23">
        <f t="shared" si="96"/>
        <v>3.51053131441037E-3</v>
      </c>
      <c r="AA806" s="36"/>
    </row>
    <row r="807" spans="15:27" ht="13.9" customHeight="1" x14ac:dyDescent="0.3">
      <c r="O807" s="12">
        <f t="shared" si="90"/>
        <v>66.166666666666671</v>
      </c>
      <c r="P807" s="13">
        <v>794</v>
      </c>
      <c r="Q807" s="22">
        <v>3.2872964925084958E-2</v>
      </c>
      <c r="R807" s="19">
        <f t="shared" si="91"/>
        <v>3.3142954118399626E-2</v>
      </c>
      <c r="S807" s="22">
        <v>3.9081805795648572E-2</v>
      </c>
      <c r="T807" s="19">
        <f t="shared" si="92"/>
        <v>4.2953218682944216E-2</v>
      </c>
      <c r="U807" s="24">
        <v>4.1018910378566975E-2</v>
      </c>
      <c r="V807" s="24">
        <f t="shared" si="93"/>
        <v>4.2949271511633746E-2</v>
      </c>
      <c r="W807" s="23">
        <f t="shared" si="94"/>
        <v>3.5104884400980474E-3</v>
      </c>
      <c r="X807" s="24">
        <v>4.062637335209085E-2</v>
      </c>
      <c r="Y807" s="24">
        <f t="shared" si="95"/>
        <v>4.295028342004592E-2</v>
      </c>
      <c r="Z807" s="23">
        <f t="shared" si="96"/>
        <v>3.5105692313606163E-3</v>
      </c>
      <c r="AA807" s="36"/>
    </row>
    <row r="808" spans="15:27" ht="13.9" customHeight="1" x14ac:dyDescent="0.3">
      <c r="O808" s="12">
        <f t="shared" si="90"/>
        <v>66.25</v>
      </c>
      <c r="P808" s="13">
        <v>795</v>
      </c>
      <c r="Q808" s="22">
        <v>3.2873304489810407E-2</v>
      </c>
      <c r="R808" s="19">
        <f t="shared" si="91"/>
        <v>3.3145342461932126E-2</v>
      </c>
      <c r="S808" s="22">
        <v>3.9086666459460684E-2</v>
      </c>
      <c r="T808" s="19">
        <f t="shared" si="92"/>
        <v>4.2953693215141087E-2</v>
      </c>
      <c r="U808" s="24">
        <v>4.1021336260146146E-2</v>
      </c>
      <c r="V808" s="24">
        <f t="shared" si="93"/>
        <v>4.2949731459509755E-2</v>
      </c>
      <c r="W808" s="23">
        <f t="shared" si="94"/>
        <v>3.510525657268726E-3</v>
      </c>
      <c r="X808" s="24">
        <v>4.0629293254382803E-2</v>
      </c>
      <c r="Y808" s="24">
        <f t="shared" si="95"/>
        <v>4.2950747514566956E-2</v>
      </c>
      <c r="Z808" s="23">
        <f t="shared" si="96"/>
        <v>3.5106067941881314E-3</v>
      </c>
      <c r="AA808" s="36"/>
    </row>
    <row r="809" spans="15:27" ht="13.9" customHeight="1" x14ac:dyDescent="0.3">
      <c r="O809" s="12">
        <f t="shared" si="90"/>
        <v>66.333333333333329</v>
      </c>
      <c r="P809" s="13">
        <v>796</v>
      </c>
      <c r="Q809" s="22">
        <v>3.2873646201115436E-2</v>
      </c>
      <c r="R809" s="19">
        <f t="shared" si="91"/>
        <v>3.3147710881302084E-2</v>
      </c>
      <c r="S809" s="22">
        <v>3.9091515527140075E-2</v>
      </c>
      <c r="T809" s="19">
        <f t="shared" si="92"/>
        <v>4.295416293220522E-2</v>
      </c>
      <c r="U809" s="24">
        <v>4.1023756628934205E-2</v>
      </c>
      <c r="V809" s="24">
        <f t="shared" si="93"/>
        <v>4.2950187235741399E-2</v>
      </c>
      <c r="W809" s="23">
        <f t="shared" si="94"/>
        <v>3.5105625368543336E-3</v>
      </c>
      <c r="X809" s="24">
        <v>4.0632206410136318E-2</v>
      </c>
      <c r="Y809" s="24">
        <f t="shared" si="95"/>
        <v>4.2951207275473857E-2</v>
      </c>
      <c r="Z809" s="23">
        <f t="shared" si="96"/>
        <v>3.5106440062271371E-3</v>
      </c>
      <c r="AA809" s="36"/>
    </row>
    <row r="810" spans="15:27" ht="13.9" customHeight="1" x14ac:dyDescent="0.3">
      <c r="O810" s="12">
        <f t="shared" si="90"/>
        <v>66.416666666666671</v>
      </c>
      <c r="P810" s="13">
        <v>797</v>
      </c>
      <c r="Q810" s="22">
        <v>3.2873990025923172E-2</v>
      </c>
      <c r="R810" s="19">
        <f t="shared" si="91"/>
        <v>3.3150059544889254E-2</v>
      </c>
      <c r="S810" s="22">
        <v>3.9096353036239595E-2</v>
      </c>
      <c r="T810" s="19">
        <f t="shared" si="92"/>
        <v>4.2954627883503127E-2</v>
      </c>
      <c r="U810" s="24">
        <v>4.1026171500440078E-2</v>
      </c>
      <c r="V810" s="24">
        <f t="shared" si="93"/>
        <v>4.2950638877137237E-2</v>
      </c>
      <c r="W810" s="23">
        <f t="shared" si="94"/>
        <v>3.5105990819337407E-3</v>
      </c>
      <c r="X810" s="24">
        <v>4.0635112839294774E-2</v>
      </c>
      <c r="Y810" s="24">
        <f t="shared" si="95"/>
        <v>4.295166274241935E-2</v>
      </c>
      <c r="Z810" s="23">
        <f t="shared" si="96"/>
        <v>3.5106808707732196E-3</v>
      </c>
      <c r="AA810" s="36"/>
    </row>
    <row r="811" spans="15:27" ht="13.9" customHeight="1" x14ac:dyDescent="0.3">
      <c r="O811" s="12">
        <f t="shared" si="90"/>
        <v>66.5</v>
      </c>
      <c r="P811" s="13">
        <v>798</v>
      </c>
      <c r="Q811" s="22">
        <v>3.2874335931533993E-2</v>
      </c>
      <c r="R811" s="19">
        <f t="shared" si="91"/>
        <v>3.3152388617551543E-2</v>
      </c>
      <c r="S811" s="22">
        <v>3.910117902418575E-2</v>
      </c>
      <c r="T811" s="19">
        <f t="shared" si="92"/>
        <v>4.2955088116332307E-2</v>
      </c>
      <c r="U811" s="24">
        <v>4.1028580890140942E-2</v>
      </c>
      <c r="V811" s="24">
        <f t="shared" si="93"/>
        <v>4.2951086422281293E-2</v>
      </c>
      <c r="W811" s="23">
        <f t="shared" si="94"/>
        <v>3.5106352954592523E-3</v>
      </c>
      <c r="X811" s="24">
        <v>4.0638012561751147E-2</v>
      </c>
      <c r="Y811" s="24">
        <f t="shared" si="95"/>
        <v>4.2952113956289395E-2</v>
      </c>
      <c r="Z811" s="23">
        <f t="shared" si="96"/>
        <v>3.5107173910062794E-3</v>
      </c>
      <c r="AA811" s="36"/>
    </row>
    <row r="812" spans="15:27" ht="13.9" customHeight="1" x14ac:dyDescent="0.3">
      <c r="O812" s="12">
        <f t="shared" si="90"/>
        <v>66.583333333333329</v>
      </c>
      <c r="P812" s="13">
        <v>799</v>
      </c>
      <c r="Q812" s="22">
        <v>3.2874683885618206E-2</v>
      </c>
      <c r="R812" s="19">
        <f t="shared" si="91"/>
        <v>3.3154698263326177E-2</v>
      </c>
      <c r="S812" s="22">
        <v>3.910599352827715E-2</v>
      </c>
      <c r="T812" s="19">
        <f t="shared" si="92"/>
        <v>4.2955543679670916E-2</v>
      </c>
      <c r="U812" s="24">
        <v>4.1030984813484661E-2</v>
      </c>
      <c r="V812" s="24">
        <f t="shared" si="93"/>
        <v>4.2951529907899522E-2</v>
      </c>
      <c r="W812" s="23">
        <f t="shared" si="94"/>
        <v>3.5106711805248381E-3</v>
      </c>
      <c r="X812" s="24">
        <v>4.0640905597350008E-2</v>
      </c>
      <c r="Y812" s="24">
        <f t="shared" si="95"/>
        <v>4.2952560956412089E-2</v>
      </c>
      <c r="Z812" s="23">
        <f t="shared" si="96"/>
        <v>3.5107535702048054E-3</v>
      </c>
      <c r="AA812" s="36"/>
    </row>
    <row r="813" spans="15:27" ht="13.9" customHeight="1" x14ac:dyDescent="0.3">
      <c r="O813" s="12">
        <f t="shared" si="90"/>
        <v>66.666666666666671</v>
      </c>
      <c r="P813" s="13">
        <v>800</v>
      </c>
      <c r="Q813" s="22">
        <v>3.2875033856212932E-2</v>
      </c>
      <c r="R813" s="19">
        <f t="shared" si="91"/>
        <v>3.3156988645823393E-2</v>
      </c>
      <c r="S813" s="22">
        <v>3.9110796585686947E-2</v>
      </c>
      <c r="T813" s="19">
        <f t="shared" si="92"/>
        <v>4.2955994620644145E-2</v>
      </c>
      <c r="U813" s="24">
        <v>4.1033383285888014E-2</v>
      </c>
      <c r="V813" s="24">
        <f t="shared" si="93"/>
        <v>4.2951969371252341E-2</v>
      </c>
      <c r="W813" s="23">
        <f t="shared" si="94"/>
        <v>3.5107067400754755E-3</v>
      </c>
      <c r="X813" s="24">
        <v>4.0643791965885967E-2</v>
      </c>
      <c r="Y813" s="24">
        <f t="shared" si="95"/>
        <v>4.2953003782745247E-2</v>
      </c>
      <c r="Z813" s="23">
        <f t="shared" si="96"/>
        <v>3.510789411522941E-3</v>
      </c>
      <c r="AA813" s="36"/>
    </row>
    <row r="814" spans="15:27" ht="13.9" customHeight="1" x14ac:dyDescent="0.3">
      <c r="O814" s="12">
        <f t="shared" si="90"/>
        <v>66.75</v>
      </c>
      <c r="P814" s="13">
        <v>801</v>
      </c>
      <c r="Q814" s="22">
        <v>3.2875385811719227E-2</v>
      </c>
      <c r="R814" s="19">
        <f t="shared" si="91"/>
        <v>3.3159259926049067E-2</v>
      </c>
      <c r="S814" s="22">
        <v>3.9115588233461729E-2</v>
      </c>
      <c r="T814" s="19">
        <f t="shared" si="92"/>
        <v>4.2956440985905564E-2</v>
      </c>
      <c r="U814" s="24">
        <v>4.1035776322736917E-2</v>
      </c>
      <c r="V814" s="24">
        <f t="shared" si="93"/>
        <v>4.2952404848591419E-2</v>
      </c>
      <c r="W814" s="23">
        <f t="shared" si="94"/>
        <v>3.5107419770992188E-3</v>
      </c>
      <c r="X814" s="24">
        <v>4.0646671687104563E-2</v>
      </c>
      <c r="Y814" s="24">
        <f t="shared" si="95"/>
        <v>4.295344247384425E-2</v>
      </c>
      <c r="Z814" s="23">
        <f t="shared" si="96"/>
        <v>3.5108249181647899E-3</v>
      </c>
      <c r="AA814" s="36"/>
    </row>
    <row r="815" spans="15:27" ht="13.9" customHeight="1" x14ac:dyDescent="0.3">
      <c r="O815" s="12">
        <f t="shared" si="90"/>
        <v>66.833333333333329</v>
      </c>
      <c r="P815" s="13">
        <v>802</v>
      </c>
      <c r="Q815" s="22">
        <v>3.2875739720896746E-2</v>
      </c>
      <c r="R815" s="19">
        <f t="shared" si="91"/>
        <v>3.3161512263989446E-2</v>
      </c>
      <c r="S815" s="22">
        <v>3.9120368508521519E-2</v>
      </c>
      <c r="T815" s="19">
        <f t="shared" si="92"/>
        <v>4.2956882821827636E-2</v>
      </c>
      <c r="U815" s="24">
        <v>4.1038163939385974E-2</v>
      </c>
      <c r="V815" s="24">
        <f t="shared" si="93"/>
        <v>4.2952836375447445E-2</v>
      </c>
      <c r="W815" s="23">
        <f t="shared" si="94"/>
        <v>3.510776894503298E-3</v>
      </c>
      <c r="X815" s="24">
        <v>4.0649544780700708E-2</v>
      </c>
      <c r="Y815" s="24">
        <f t="shared" si="95"/>
        <v>4.2953877068074631E-2</v>
      </c>
      <c r="Z815" s="23">
        <f t="shared" si="96"/>
        <v>3.5108600932223233E-3</v>
      </c>
      <c r="AA815" s="36"/>
    </row>
    <row r="816" spans="15:27" ht="13.9" customHeight="1" x14ac:dyDescent="0.3">
      <c r="O816" s="12">
        <f t="shared" si="90"/>
        <v>66.916666666666671</v>
      </c>
      <c r="P816" s="13">
        <v>803</v>
      </c>
      <c r="Q816" s="22">
        <v>3.2876095552859752E-2</v>
      </c>
      <c r="R816" s="19">
        <f t="shared" si="91"/>
        <v>3.3163745818590495E-2</v>
      </c>
      <c r="S816" s="22">
        <v>3.9125137447660219E-2</v>
      </c>
      <c r="T816" s="19">
        <f t="shared" si="92"/>
        <v>4.2957320174822566E-2</v>
      </c>
      <c r="U816" s="24">
        <v>4.1040546151157375E-2</v>
      </c>
      <c r="V816" s="24">
        <f t="shared" si="93"/>
        <v>4.2953263989039092E-2</v>
      </c>
      <c r="W816" s="23">
        <f t="shared" si="94"/>
        <v>3.5108114951367675E-3</v>
      </c>
      <c r="X816" s="24">
        <v>4.0652411266319133E-2</v>
      </c>
      <c r="Y816" s="24">
        <f t="shared" si="95"/>
        <v>4.2954307604509578E-2</v>
      </c>
      <c r="Z816" s="23">
        <f t="shared" si="96"/>
        <v>3.5108949397719691E-3</v>
      </c>
      <c r="AA816" s="36"/>
    </row>
    <row r="817" spans="15:27" ht="13.9" customHeight="1" x14ac:dyDescent="0.3">
      <c r="O817" s="12">
        <f t="shared" si="90"/>
        <v>67</v>
      </c>
      <c r="P817" s="13">
        <v>804</v>
      </c>
      <c r="Q817" s="22">
        <v>3.2876453277074225E-2</v>
      </c>
      <c r="R817" s="19">
        <f t="shared" si="91"/>
        <v>3.3165960747391754E-2</v>
      </c>
      <c r="S817" s="22">
        <v>3.9129895087546496E-2</v>
      </c>
      <c r="T817" s="19">
        <f t="shared" si="92"/>
        <v>4.2957753090320239E-2</v>
      </c>
      <c r="U817" s="24">
        <v>4.1042922973343332E-2</v>
      </c>
      <c r="V817" s="24">
        <f t="shared" si="93"/>
        <v>4.2953687723636946E-2</v>
      </c>
      <c r="W817" s="23">
        <f t="shared" si="94"/>
        <v>3.5108457819845729E-3</v>
      </c>
      <c r="X817" s="24">
        <v>4.0655271163555495E-2</v>
      </c>
      <c r="Y817" s="24">
        <f t="shared" si="95"/>
        <v>4.295473412024009E-2</v>
      </c>
      <c r="Z817" s="23">
        <f t="shared" si="96"/>
        <v>3.5109294609469988E-3</v>
      </c>
      <c r="AA817" s="36"/>
    </row>
    <row r="818" spans="15:27" ht="13.9" customHeight="1" x14ac:dyDescent="0.3">
      <c r="O818" s="12">
        <f t="shared" si="90"/>
        <v>67.083333333333329</v>
      </c>
      <c r="P818" s="13">
        <v>805</v>
      </c>
      <c r="Q818" s="22">
        <v>3.2876812863353644E-2</v>
      </c>
      <c r="R818" s="19">
        <f t="shared" si="91"/>
        <v>3.3168157206141302E-2</v>
      </c>
      <c r="S818" s="22">
        <v>3.9134641464723119E-2</v>
      </c>
      <c r="T818" s="19">
        <f t="shared" si="92"/>
        <v>4.2958181613188096E-2</v>
      </c>
      <c r="U818" s="24">
        <v>4.1045294421202749E-2</v>
      </c>
      <c r="V818" s="24">
        <f t="shared" si="93"/>
        <v>4.295410761544094E-2</v>
      </c>
      <c r="W818" s="23">
        <f t="shared" si="94"/>
        <v>3.5108797577947382E-3</v>
      </c>
      <c r="X818" s="24">
        <v>4.065812449195394E-2</v>
      </c>
      <c r="Y818" s="24">
        <f t="shared" si="95"/>
        <v>4.2955156653855964E-2</v>
      </c>
      <c r="Z818" s="23">
        <f t="shared" si="96"/>
        <v>3.5109636597221439E-3</v>
      </c>
      <c r="AA818" s="36"/>
    </row>
    <row r="819" spans="15:27" ht="13.9" customHeight="1" x14ac:dyDescent="0.3">
      <c r="O819" s="12">
        <f t="shared" si="90"/>
        <v>67.166666666666671</v>
      </c>
      <c r="P819" s="13">
        <v>806</v>
      </c>
      <c r="Q819" s="22">
        <v>3.2877174281854327E-2</v>
      </c>
      <c r="R819" s="19">
        <f t="shared" si="91"/>
        <v>3.3170335349775204E-2</v>
      </c>
      <c r="S819" s="22">
        <v>3.9139376615607624E-2</v>
      </c>
      <c r="T819" s="19">
        <f t="shared" si="92"/>
        <v>4.2958605787908333E-2</v>
      </c>
      <c r="U819" s="24">
        <v>4.1047660509963446E-2</v>
      </c>
      <c r="V819" s="24">
        <f t="shared" si="93"/>
        <v>4.295452369834174E-2</v>
      </c>
      <c r="W819" s="23">
        <f t="shared" si="94"/>
        <v>3.5109134254702745E-3</v>
      </c>
      <c r="X819" s="24">
        <v>4.0660971271009538E-2</v>
      </c>
      <c r="Y819" s="24">
        <f t="shared" si="95"/>
        <v>4.2955575240952948E-2</v>
      </c>
      <c r="Z819" s="23">
        <f t="shared" si="96"/>
        <v>3.510997539191596E-3</v>
      </c>
      <c r="AA819" s="36"/>
    </row>
    <row r="820" spans="15:27" ht="13.9" customHeight="1" x14ac:dyDescent="0.3">
      <c r="O820" s="12">
        <f t="shared" si="90"/>
        <v>67.25</v>
      </c>
      <c r="P820" s="13">
        <v>807</v>
      </c>
      <c r="Q820" s="22">
        <v>3.2877537503072984E-2</v>
      </c>
      <c r="R820" s="19">
        <f t="shared" si="91"/>
        <v>3.3172495331144525E-2</v>
      </c>
      <c r="S820" s="22">
        <v>3.9144100576491869E-2</v>
      </c>
      <c r="T820" s="19">
        <f t="shared" si="92"/>
        <v>4.2959025658915628E-2</v>
      </c>
      <c r="U820" s="24">
        <v>4.1050021254819935E-2</v>
      </c>
      <c r="V820" s="24">
        <f t="shared" si="93"/>
        <v>4.2954936007469691E-2</v>
      </c>
      <c r="W820" s="23">
        <f t="shared" si="94"/>
        <v>3.5109467877290079E-3</v>
      </c>
      <c r="X820" s="24">
        <v>4.0663811520164961E-2</v>
      </c>
      <c r="Y820" s="24">
        <f t="shared" si="95"/>
        <v>4.2955989919957638E-2</v>
      </c>
      <c r="Z820" s="23">
        <f t="shared" si="96"/>
        <v>3.5110311022099605E-3</v>
      </c>
      <c r="AA820" s="36"/>
    </row>
    <row r="821" spans="15:27" ht="13.9" customHeight="1" x14ac:dyDescent="0.3">
      <c r="O821" s="12">
        <f t="shared" si="90"/>
        <v>67.333333333333329</v>
      </c>
      <c r="P821" s="13">
        <v>808</v>
      </c>
      <c r="Q821" s="22">
        <v>3.2877902497841394E-2</v>
      </c>
      <c r="R821" s="19">
        <f t="shared" si="91"/>
        <v>3.3174637303925225E-2</v>
      </c>
      <c r="S821" s="22">
        <v>3.9148813383543368E-2</v>
      </c>
      <c r="T821" s="19">
        <f t="shared" si="92"/>
        <v>4.2959441269977638E-2</v>
      </c>
      <c r="U821" s="24">
        <v>4.1052376670934976E-2</v>
      </c>
      <c r="V821" s="24">
        <f t="shared" si="93"/>
        <v>4.2955344577291887E-2</v>
      </c>
      <c r="W821" s="23">
        <f t="shared" si="94"/>
        <v>3.5109798473877962E-3</v>
      </c>
      <c r="X821" s="24">
        <v>4.0666645258813805E-2</v>
      </c>
      <c r="Y821" s="24">
        <f t="shared" si="95"/>
        <v>4.2956400726838595E-2</v>
      </c>
      <c r="Z821" s="23">
        <f t="shared" si="96"/>
        <v>3.5110643518587725E-3</v>
      </c>
      <c r="AA821" s="36"/>
    </row>
    <row r="822" spans="15:27" ht="13.9" customHeight="1" x14ac:dyDescent="0.3">
      <c r="O822" s="12">
        <f t="shared" si="90"/>
        <v>67.416666666666671</v>
      </c>
      <c r="P822" s="13">
        <v>809</v>
      </c>
      <c r="Q822" s="22">
        <v>3.2878269237325286E-2</v>
      </c>
      <c r="R822" s="19">
        <f t="shared" si="91"/>
        <v>3.3176761417551326E-2</v>
      </c>
      <c r="S822" s="22">
        <v>3.9153515072804623E-2</v>
      </c>
      <c r="T822" s="19">
        <f t="shared" si="92"/>
        <v>4.2959852663866593E-2</v>
      </c>
      <c r="U822" s="24">
        <v>4.1054726773438688E-2</v>
      </c>
      <c r="V822" s="24">
        <f t="shared" si="93"/>
        <v>4.2955749441316637E-2</v>
      </c>
      <c r="W822" s="23">
        <f t="shared" si="94"/>
        <v>3.5110126072106507E-3</v>
      </c>
      <c r="X822" s="24">
        <v>4.0669472506298598E-2</v>
      </c>
      <c r="Y822" s="24">
        <f t="shared" si="95"/>
        <v>4.2956807697691168E-2</v>
      </c>
      <c r="Z822" s="23">
        <f t="shared" si="96"/>
        <v>3.5110972910223914E-3</v>
      </c>
      <c r="AA822" s="36"/>
    </row>
    <row r="823" spans="15:27" ht="13.9" customHeight="1" x14ac:dyDescent="0.3">
      <c r="O823" s="12">
        <f t="shared" si="90"/>
        <v>67.5</v>
      </c>
      <c r="P823" s="13">
        <v>810</v>
      </c>
      <c r="Q823" s="22">
        <v>3.2878637693017909E-2</v>
      </c>
      <c r="R823" s="19">
        <f t="shared" si="91"/>
        <v>3.3178867822209357E-2</v>
      </c>
      <c r="S823" s="22">
        <v>3.915820568019357E-2</v>
      </c>
      <c r="T823" s="19">
        <f t="shared" si="92"/>
        <v>4.296025988393426E-2</v>
      </c>
      <c r="U823" s="24">
        <v>4.1057071577428106E-2</v>
      </c>
      <c r="V823" s="24">
        <f t="shared" si="93"/>
        <v>4.2956150633612689E-2</v>
      </c>
      <c r="W823" s="23">
        <f t="shared" si="94"/>
        <v>3.5110450698849771E-3</v>
      </c>
      <c r="X823" s="24">
        <v>4.0672293281910576E-2</v>
      </c>
      <c r="Y823" s="24">
        <f t="shared" si="95"/>
        <v>4.2957210868371565E-2</v>
      </c>
      <c r="Z823" s="23">
        <f t="shared" si="96"/>
        <v>3.5111299225953907E-3</v>
      </c>
      <c r="AA823" s="36"/>
    </row>
    <row r="824" spans="15:27" ht="13.9" customHeight="1" x14ac:dyDescent="0.3">
      <c r="O824" s="12">
        <f t="shared" si="90"/>
        <v>67.583333333333329</v>
      </c>
      <c r="P824" s="13">
        <v>811</v>
      </c>
      <c r="Q824" s="22">
        <v>3.2879007836738028E-2</v>
      </c>
      <c r="R824" s="19">
        <f t="shared" si="91"/>
        <v>3.3180956665426864E-2</v>
      </c>
      <c r="S824" s="22">
        <v>3.916288524150402E-2</v>
      </c>
      <c r="T824" s="19">
        <f t="shared" si="92"/>
        <v>4.2960662972196362E-2</v>
      </c>
      <c r="U824" s="24">
        <v>4.1059411097967402E-2</v>
      </c>
      <c r="V824" s="24">
        <f t="shared" si="93"/>
        <v>4.2956548186608767E-2</v>
      </c>
      <c r="W824" s="23">
        <f t="shared" si="94"/>
        <v>3.5110772381423683E-3</v>
      </c>
      <c r="X824" s="24">
        <v>4.0675107604890348E-2</v>
      </c>
      <c r="Y824" s="24">
        <f t="shared" si="95"/>
        <v>4.2957610274531932E-2</v>
      </c>
      <c r="Z824" s="23">
        <f t="shared" si="96"/>
        <v>3.5111622494528039E-3</v>
      </c>
      <c r="AA824" s="36"/>
    </row>
    <row r="825" spans="15:27" ht="13.9" customHeight="1" x14ac:dyDescent="0.3">
      <c r="O825" s="12">
        <f t="shared" si="90"/>
        <v>67.666666666666671</v>
      </c>
      <c r="P825" s="13">
        <v>812</v>
      </c>
      <c r="Q825" s="22">
        <v>3.2879379640625039E-2</v>
      </c>
      <c r="R825" s="19">
        <f t="shared" si="91"/>
        <v>3.3183028095736589E-2</v>
      </c>
      <c r="S825" s="22">
        <v>3.9167553792405441E-2</v>
      </c>
      <c r="T825" s="19">
        <f t="shared" si="92"/>
        <v>4.2961061970713255E-2</v>
      </c>
      <c r="U825" s="24">
        <v>4.1061745350086998E-2</v>
      </c>
      <c r="V825" s="24">
        <f t="shared" si="93"/>
        <v>4.2956942134553477E-2</v>
      </c>
      <c r="W825" s="23">
        <f t="shared" si="94"/>
        <v>3.5111091145836326E-3</v>
      </c>
      <c r="X825" s="24">
        <v>4.067791549442723E-2</v>
      </c>
      <c r="Y825" s="24">
        <f t="shared" si="95"/>
        <v>4.2958005951125422E-2</v>
      </c>
      <c r="Z825" s="23">
        <f t="shared" si="96"/>
        <v>3.5111942744538993E-3</v>
      </c>
      <c r="AA825" s="36"/>
    </row>
    <row r="826" spans="15:27" ht="13.9" customHeight="1" x14ac:dyDescent="0.3">
      <c r="O826" s="12">
        <f t="shared" si="90"/>
        <v>67.75</v>
      </c>
      <c r="P826" s="13">
        <v>813</v>
      </c>
      <c r="Q826" s="22">
        <v>3.2879753077138085E-2</v>
      </c>
      <c r="R826" s="19">
        <f t="shared" si="91"/>
        <v>3.3185082257970899E-2</v>
      </c>
      <c r="S826" s="22">
        <v>3.9172211368443843E-2</v>
      </c>
      <c r="T826" s="19">
        <f t="shared" si="92"/>
        <v>4.2961456921379204E-2</v>
      </c>
      <c r="U826" s="24">
        <v>4.1064074348784896E-2</v>
      </c>
      <c r="V826" s="24">
        <f t="shared" si="93"/>
        <v>4.2957332509643065E-2</v>
      </c>
      <c r="W826" s="23">
        <f t="shared" si="94"/>
        <v>3.5111407019552399E-3</v>
      </c>
      <c r="X826" s="24">
        <v>4.0680716969659469E-2</v>
      </c>
      <c r="Y826" s="24">
        <f t="shared" si="95"/>
        <v>4.2958397933498205E-2</v>
      </c>
      <c r="Z826" s="23">
        <f t="shared" si="96"/>
        <v>3.5112260004015461E-3</v>
      </c>
      <c r="AA826" s="36"/>
    </row>
    <row r="827" spans="15:27" ht="13.9" customHeight="1" x14ac:dyDescent="0.3">
      <c r="O827" s="12">
        <f t="shared" si="90"/>
        <v>67.833333333333329</v>
      </c>
      <c r="P827" s="13">
        <v>814</v>
      </c>
      <c r="Q827" s="22">
        <v>3.2880128119049612E-2</v>
      </c>
      <c r="R827" s="19">
        <f t="shared" si="91"/>
        <v>3.3187119296306022E-2</v>
      </c>
      <c r="S827" s="22">
        <v>3.9176858005041781E-2</v>
      </c>
      <c r="T827" s="19">
        <f t="shared" si="92"/>
        <v>4.296184786415691E-2</v>
      </c>
      <c r="U827" s="24">
        <v>4.1066398109025126E-2</v>
      </c>
      <c r="V827" s="24">
        <f t="shared" si="93"/>
        <v>4.2957719343638123E-2</v>
      </c>
      <c r="W827" s="23">
        <f t="shared" si="94"/>
        <v>3.5111720028386806E-3</v>
      </c>
      <c r="X827" s="24">
        <v>4.0683512049674464E-2</v>
      </c>
      <c r="Y827" s="24">
        <f t="shared" si="95"/>
        <v>4.2958786255286929E-2</v>
      </c>
      <c r="Z827" s="23">
        <f t="shared" si="96"/>
        <v>3.5112574301301436E-3</v>
      </c>
      <c r="AA827" s="36"/>
    </row>
    <row r="828" spans="15:27" ht="13.9" customHeight="1" x14ac:dyDescent="0.3">
      <c r="O828" s="12">
        <f t="shared" si="90"/>
        <v>67.916666666666671</v>
      </c>
      <c r="P828" s="13">
        <v>815</v>
      </c>
      <c r="Q828" s="22">
        <v>3.2880504739442928E-2</v>
      </c>
      <c r="R828" s="19">
        <f t="shared" si="91"/>
        <v>3.3189139355220387E-2</v>
      </c>
      <c r="S828" s="22">
        <v>3.9181493737497242E-2</v>
      </c>
      <c r="T828" s="19">
        <f t="shared" si="92"/>
        <v>4.2962234841251279E-2</v>
      </c>
      <c r="U828" s="24">
        <v>4.1068716645737524E-2</v>
      </c>
      <c r="V828" s="24">
        <f t="shared" si="93"/>
        <v>4.2958102669796494E-2</v>
      </c>
      <c r="W828" s="23">
        <f t="shared" si="94"/>
        <v>3.5112030197810284E-3</v>
      </c>
      <c r="X828" s="24">
        <v>4.068630075350721E-2</v>
      </c>
      <c r="Y828" s="24">
        <f t="shared" si="95"/>
        <v>4.2959170951432979E-2</v>
      </c>
      <c r="Z828" s="23">
        <f t="shared" si="96"/>
        <v>3.5112885663368676E-3</v>
      </c>
      <c r="AA828" s="36"/>
    </row>
    <row r="829" spans="15:27" ht="13.9" customHeight="1" x14ac:dyDescent="0.3">
      <c r="O829" s="12">
        <f t="shared" si="90"/>
        <v>68</v>
      </c>
      <c r="P829" s="13">
        <v>816</v>
      </c>
      <c r="Q829" s="22">
        <v>3.2880882911709985E-2</v>
      </c>
      <c r="R829" s="19">
        <f t="shared" si="91"/>
        <v>3.31911425759297E-2</v>
      </c>
      <c r="S829" s="22">
        <v>3.9186118600986974E-2</v>
      </c>
      <c r="T829" s="19">
        <f t="shared" si="92"/>
        <v>4.2962617891628474E-2</v>
      </c>
      <c r="U829" s="24">
        <v>4.1071029973819062E-2</v>
      </c>
      <c r="V829" s="24">
        <f t="shared" si="93"/>
        <v>4.2958482519165342E-2</v>
      </c>
      <c r="W829" s="23">
        <f t="shared" si="94"/>
        <v>3.5112337554492612E-3</v>
      </c>
      <c r="X829" s="24">
        <v>4.0689083100142298E-2</v>
      </c>
      <c r="Y829" s="24">
        <f t="shared" si="95"/>
        <v>4.2959552055685357E-2</v>
      </c>
      <c r="Z829" s="23">
        <f t="shared" si="96"/>
        <v>3.511319411823921E-3</v>
      </c>
      <c r="AA829" s="36"/>
    </row>
    <row r="830" spans="15:27" ht="13.9" customHeight="1" x14ac:dyDescent="0.3">
      <c r="O830" s="12">
        <f t="shared" si="90"/>
        <v>68.083333333333329</v>
      </c>
      <c r="P830" s="13">
        <v>817</v>
      </c>
      <c r="Q830" s="22">
        <v>3.2881262609546269E-2</v>
      </c>
      <c r="R830" s="19">
        <f t="shared" si="91"/>
        <v>3.319312910039196E-2</v>
      </c>
      <c r="S830" s="22">
        <v>3.9190732630563163E-2</v>
      </c>
      <c r="T830" s="19">
        <f t="shared" si="92"/>
        <v>4.2962997056193997E-2</v>
      </c>
      <c r="U830" s="24">
        <v>4.1073338108131852E-2</v>
      </c>
      <c r="V830" s="24">
        <f t="shared" si="93"/>
        <v>4.2958858923813903E-2</v>
      </c>
      <c r="W830" s="23">
        <f t="shared" si="94"/>
        <v>3.5112642123329429E-3</v>
      </c>
      <c r="X830" s="24">
        <v>4.0691859108512585E-2</v>
      </c>
      <c r="Y830" s="24">
        <f t="shared" si="95"/>
        <v>4.2959929601626534E-2</v>
      </c>
      <c r="Z830" s="23">
        <f t="shared" si="96"/>
        <v>3.5113499692973615E-3</v>
      </c>
      <c r="AA830" s="36"/>
    </row>
    <row r="831" spans="15:27" ht="13.9" customHeight="1" x14ac:dyDescent="0.3">
      <c r="O831" s="12">
        <f t="shared" si="90"/>
        <v>68.166666666666671</v>
      </c>
      <c r="P831" s="13">
        <v>818</v>
      </c>
      <c r="Q831" s="22">
        <v>3.2881643806949246E-2</v>
      </c>
      <c r="R831" s="19">
        <f t="shared" si="91"/>
        <v>3.3195099066892775E-2</v>
      </c>
      <c r="S831" s="22">
        <v>3.9195335861156755E-2</v>
      </c>
      <c r="T831" s="19">
        <f t="shared" si="92"/>
        <v>4.2963372373517217E-2</v>
      </c>
      <c r="U831" s="24">
        <v>4.1075641063504698E-2</v>
      </c>
      <c r="V831" s="24">
        <f t="shared" si="93"/>
        <v>4.2959231914800666E-2</v>
      </c>
      <c r="W831" s="23">
        <f t="shared" si="94"/>
        <v>3.5112943930040164E-3</v>
      </c>
      <c r="X831" s="24">
        <v>4.0694628797499188E-2</v>
      </c>
      <c r="Y831" s="24">
        <f t="shared" si="95"/>
        <v>4.2960303622260332E-2</v>
      </c>
      <c r="Z831" s="23">
        <f t="shared" si="96"/>
        <v>3.5113802414503681E-3</v>
      </c>
      <c r="AA831" s="36"/>
    </row>
    <row r="832" spans="15:27" ht="13.9" customHeight="1" x14ac:dyDescent="0.3">
      <c r="O832" s="12">
        <f t="shared" si="90"/>
        <v>68.25</v>
      </c>
      <c r="P832" s="13">
        <v>819</v>
      </c>
      <c r="Q832" s="22">
        <v>3.2882026478212367E-2</v>
      </c>
      <c r="R832" s="19">
        <f t="shared" si="91"/>
        <v>3.3197052615741685E-2</v>
      </c>
      <c r="S832" s="22">
        <v>3.9199928327575462E-2</v>
      </c>
      <c r="T832" s="19">
        <f t="shared" si="92"/>
        <v>4.2963743882966199E-2</v>
      </c>
      <c r="U832" s="24">
        <v>4.1077938854731544E-2</v>
      </c>
      <c r="V832" s="24">
        <f t="shared" si="93"/>
        <v>4.2959601522611246E-2</v>
      </c>
      <c r="W832" s="23">
        <f t="shared" si="94"/>
        <v>3.5113242999529337E-3</v>
      </c>
      <c r="X832" s="24">
        <v>4.0697392185931713E-2</v>
      </c>
      <c r="Y832" s="24">
        <f t="shared" si="95"/>
        <v>4.2960674150258837E-2</v>
      </c>
      <c r="Z832" s="23">
        <f t="shared" si="96"/>
        <v>3.5114102309294903E-3</v>
      </c>
      <c r="AA832" s="36"/>
    </row>
    <row r="833" spans="15:27" ht="13.9" customHeight="1" x14ac:dyDescent="0.3">
      <c r="O833" s="12">
        <f t="shared" si="90"/>
        <v>68.333333333333329</v>
      </c>
      <c r="P833" s="13">
        <v>820</v>
      </c>
      <c r="Q833" s="22">
        <v>3.2882410597925515E-2</v>
      </c>
      <c r="R833" s="19">
        <f t="shared" si="91"/>
        <v>3.3198989883137964E-2</v>
      </c>
      <c r="S833" s="22">
        <v>3.9204510064505094E-2</v>
      </c>
      <c r="T833" s="19">
        <f t="shared" si="92"/>
        <v>4.296411162362701E-2</v>
      </c>
      <c r="U833" s="24">
        <v>4.1080231496571695E-2</v>
      </c>
      <c r="V833" s="24">
        <f t="shared" si="93"/>
        <v>4.295996777903599E-2</v>
      </c>
      <c r="W833" s="23">
        <f t="shared" si="94"/>
        <v>3.5113539356241841E-3</v>
      </c>
      <c r="X833" s="24">
        <v>4.0700149292587584E-2</v>
      </c>
      <c r="Y833" s="24">
        <f t="shared" si="95"/>
        <v>4.296104121941946E-2</v>
      </c>
      <c r="Z833" s="23">
        <f t="shared" si="96"/>
        <v>3.5114399403548546E-3</v>
      </c>
      <c r="AA833" s="36"/>
    </row>
    <row r="834" spans="15:27" ht="13.9" customHeight="1" x14ac:dyDescent="0.3">
      <c r="O834" s="12">
        <f t="shared" si="90"/>
        <v>68.416666666666671</v>
      </c>
      <c r="P834" s="13">
        <v>821</v>
      </c>
      <c r="Q834" s="22">
        <v>3.2882796140968562E-2</v>
      </c>
      <c r="R834" s="19">
        <f t="shared" si="91"/>
        <v>3.3200911005763611E-2</v>
      </c>
      <c r="S834" s="22">
        <v>3.9209081106510002E-2</v>
      </c>
      <c r="T834" s="19">
        <f t="shared" si="92"/>
        <v>4.2964475632810251E-2</v>
      </c>
      <c r="U834" s="24">
        <v>4.1082519003750928E-2</v>
      </c>
      <c r="V834" s="24">
        <f t="shared" si="93"/>
        <v>4.2960330713182726E-2</v>
      </c>
      <c r="W834" s="23">
        <f t="shared" si="94"/>
        <v>3.5113833025670615E-3</v>
      </c>
      <c r="X834" s="24">
        <v>4.0702900136193598E-2</v>
      </c>
      <c r="Y834" s="24">
        <f t="shared" si="95"/>
        <v>4.2961404860434538E-2</v>
      </c>
      <c r="Z834" s="23">
        <f t="shared" si="96"/>
        <v>3.5114693724362933E-3</v>
      </c>
      <c r="AA834" s="36"/>
    </row>
    <row r="835" spans="15:27" ht="13.9" customHeight="1" x14ac:dyDescent="0.3">
      <c r="O835" s="12">
        <f t="shared" si="90"/>
        <v>68.5</v>
      </c>
      <c r="P835" s="13">
        <v>822</v>
      </c>
      <c r="Q835" s="22">
        <v>3.2883183082509593E-2</v>
      </c>
      <c r="R835" s="19">
        <f t="shared" si="91"/>
        <v>3.32028161188751E-2</v>
      </c>
      <c r="S835" s="22">
        <v>3.9213641488032192E-2</v>
      </c>
      <c r="T835" s="19">
        <f t="shared" si="92"/>
        <v>4.2964835949381719E-2</v>
      </c>
      <c r="U835" s="24">
        <v>4.1084801390959047E-2</v>
      </c>
      <c r="V835" s="24">
        <f t="shared" si="93"/>
        <v>4.2960690356404818E-2</v>
      </c>
      <c r="W835" s="23">
        <f t="shared" si="94"/>
        <v>3.5114124031159211E-3</v>
      </c>
      <c r="X835" s="24">
        <v>4.0705644735423041E-2</v>
      </c>
      <c r="Y835" s="24">
        <f t="shared" si="95"/>
        <v>4.2961765106838135E-2</v>
      </c>
      <c r="Z835" s="23">
        <f t="shared" si="96"/>
        <v>3.5114985296351708E-3</v>
      </c>
      <c r="AA835" s="36"/>
    </row>
    <row r="836" spans="15:27" ht="13.9" customHeight="1" x14ac:dyDescent="0.3">
      <c r="O836" s="12">
        <f t="shared" si="90"/>
        <v>68.583333333333329</v>
      </c>
      <c r="P836" s="13">
        <v>823</v>
      </c>
      <c r="Q836" s="22">
        <v>3.2883571398002021E-2</v>
      </c>
      <c r="R836" s="19">
        <f t="shared" si="91"/>
        <v>3.3204705355932562E-2</v>
      </c>
      <c r="S836" s="22">
        <v>3.9218191243393319E-2</v>
      </c>
      <c r="T836" s="19">
        <f t="shared" si="92"/>
        <v>4.2965192610231462E-2</v>
      </c>
      <c r="U836" s="24">
        <v>4.1087078672852329E-2</v>
      </c>
      <c r="V836" s="24">
        <f t="shared" si="93"/>
        <v>4.2961046737834518E-2</v>
      </c>
      <c r="W836" s="23">
        <f t="shared" si="94"/>
        <v>3.5114412397847516E-3</v>
      </c>
      <c r="X836" s="24">
        <v>4.0708383108899238E-2</v>
      </c>
      <c r="Y836" s="24">
        <f t="shared" si="95"/>
        <v>4.2962121989415403E-2</v>
      </c>
      <c r="Z836" s="23">
        <f t="shared" si="96"/>
        <v>3.5115274146406694E-3</v>
      </c>
      <c r="AA836" s="36"/>
    </row>
    <row r="837" spans="15:27" ht="13.9" customHeight="1" x14ac:dyDescent="0.3">
      <c r="O837" s="12">
        <f t="shared" si="90"/>
        <v>68.666666666666671</v>
      </c>
      <c r="P837" s="13">
        <v>824</v>
      </c>
      <c r="Q837" s="22">
        <v>3.2883961063180367E-2</v>
      </c>
      <c r="R837" s="19">
        <f t="shared" si="91"/>
        <v>3.3206578849990898E-2</v>
      </c>
      <c r="S837" s="22">
        <v>3.922273040679336E-2</v>
      </c>
      <c r="T837" s="19">
        <f t="shared" si="92"/>
        <v>4.2965545652809078E-2</v>
      </c>
      <c r="U837" s="24">
        <v>4.1089350864051077E-2</v>
      </c>
      <c r="V837" s="24">
        <f t="shared" si="93"/>
        <v>4.2961399887107676E-2</v>
      </c>
      <c r="W837" s="23">
        <f t="shared" si="94"/>
        <v>3.5114698149099066E-3</v>
      </c>
      <c r="X837" s="24">
        <v>4.0711115275192222E-2</v>
      </c>
      <c r="Y837" s="24">
        <f t="shared" si="95"/>
        <v>4.2962475539789047E-2</v>
      </c>
      <c r="Z837" s="23">
        <f t="shared" si="96"/>
        <v>3.511556029921481E-3</v>
      </c>
      <c r="AA837" s="36"/>
    </row>
    <row r="838" spans="15:27" ht="13.9" customHeight="1" x14ac:dyDescent="0.3">
      <c r="O838" s="12">
        <f t="shared" si="90"/>
        <v>68.75</v>
      </c>
      <c r="P838" s="13">
        <v>825</v>
      </c>
      <c r="Q838" s="22">
        <v>3.2884352054058041E-2</v>
      </c>
      <c r="R838" s="19">
        <f t="shared" si="91"/>
        <v>3.3208436733661362E-2</v>
      </c>
      <c r="S838" s="22">
        <v>3.9227259012311944E-2</v>
      </c>
      <c r="T838" s="19">
        <f t="shared" si="92"/>
        <v>4.2965895113340702E-2</v>
      </c>
      <c r="U838" s="24">
        <v>4.1091617979141182E-2</v>
      </c>
      <c r="V838" s="24">
        <f t="shared" si="93"/>
        <v>4.2961749833804408E-2</v>
      </c>
      <c r="W838" s="23">
        <f t="shared" si="94"/>
        <v>3.5114981308677073E-3</v>
      </c>
      <c r="X838" s="24">
        <v>4.0713841252820515E-2</v>
      </c>
      <c r="Y838" s="24">
        <f t="shared" si="95"/>
        <v>4.296282578920696E-2</v>
      </c>
      <c r="Z838" s="23">
        <f t="shared" si="96"/>
        <v>3.5115843780131328E-3</v>
      </c>
      <c r="AA838" s="36"/>
    </row>
    <row r="839" spans="15:27" ht="13.9" customHeight="1" x14ac:dyDescent="0.3">
      <c r="O839" s="12">
        <f t="shared" si="90"/>
        <v>68.833333333333329</v>
      </c>
      <c r="P839" s="13">
        <v>826</v>
      </c>
      <c r="Q839" s="22">
        <v>3.2884744346925121E-2</v>
      </c>
      <c r="R839" s="19">
        <f t="shared" si="91"/>
        <v>3.3210279135840404E-2</v>
      </c>
      <c r="S839" s="22">
        <v>3.9231777093907683E-2</v>
      </c>
      <c r="T839" s="19">
        <f t="shared" si="92"/>
        <v>4.2966241028709273E-2</v>
      </c>
      <c r="U839" s="24">
        <v>4.1093880032673002E-2</v>
      </c>
      <c r="V839" s="24">
        <f t="shared" si="93"/>
        <v>4.2962096606963929E-2</v>
      </c>
      <c r="W839" s="23">
        <f t="shared" si="94"/>
        <v>3.5115261900300343E-3</v>
      </c>
      <c r="X839" s="24">
        <v>4.0716561060250678E-2</v>
      </c>
      <c r="Y839" s="24">
        <f t="shared" si="95"/>
        <v>4.2963172768639257E-2</v>
      </c>
      <c r="Z839" s="23">
        <f t="shared" si="96"/>
        <v>3.5116124614216204E-3</v>
      </c>
      <c r="AA839" s="36"/>
    </row>
    <row r="840" spans="15:27" ht="13.9" customHeight="1" x14ac:dyDescent="0.3">
      <c r="O840" s="12">
        <f t="shared" si="90"/>
        <v>68.916666666666671</v>
      </c>
      <c r="P840" s="13">
        <v>827</v>
      </c>
      <c r="Q840" s="22">
        <v>3.2885137918342577E-2</v>
      </c>
      <c r="R840" s="19">
        <f t="shared" si="91"/>
        <v>3.3212106187256563E-2</v>
      </c>
      <c r="S840" s="22">
        <v>3.9236284685419509E-2</v>
      </c>
      <c r="T840" s="19">
        <f t="shared" si="92"/>
        <v>4.2966583434997263E-2</v>
      </c>
      <c r="U840" s="24">
        <v>4.1096137039162262E-2</v>
      </c>
      <c r="V840" s="24">
        <f t="shared" si="93"/>
        <v>4.2962440235633892E-2</v>
      </c>
      <c r="W840" s="23">
        <f t="shared" si="94"/>
        <v>3.5115539947256913E-3</v>
      </c>
      <c r="X840" s="24">
        <v>4.0719274715897313E-2</v>
      </c>
      <c r="Y840" s="24">
        <f t="shared" si="95"/>
        <v>4.2963516508310651E-2</v>
      </c>
      <c r="Z840" s="23">
        <f t="shared" si="96"/>
        <v>3.5116402826302906E-3</v>
      </c>
      <c r="AA840" s="36"/>
    </row>
    <row r="841" spans="15:27" ht="13.9" customHeight="1" x14ac:dyDescent="0.3">
      <c r="O841" s="12">
        <f t="shared" si="90"/>
        <v>69</v>
      </c>
      <c r="P841" s="13">
        <v>828</v>
      </c>
      <c r="Q841" s="22">
        <v>3.2885532745142276E-2</v>
      </c>
      <c r="R841" s="19">
        <f t="shared" si="91"/>
        <v>3.321391801607132E-2</v>
      </c>
      <c r="S841" s="22">
        <v>3.9240781820566673E-2</v>
      </c>
      <c r="T841" s="19">
        <f t="shared" si="92"/>
        <v>4.2966922366946658E-2</v>
      </c>
      <c r="U841" s="24">
        <v>4.1098389013088932E-2</v>
      </c>
      <c r="V841" s="24">
        <f t="shared" si="93"/>
        <v>4.2962780747631379E-2</v>
      </c>
      <c r="W841" s="23">
        <f t="shared" si="94"/>
        <v>3.5115815472841483E-3</v>
      </c>
      <c r="X841" s="24">
        <v>4.0721982238122845E-2</v>
      </c>
      <c r="Y841" s="24">
        <f t="shared" si="95"/>
        <v>4.2963857038684106E-2</v>
      </c>
      <c r="Z841" s="23">
        <f t="shared" si="96"/>
        <v>3.5116678440627602E-3</v>
      </c>
      <c r="AA841" s="36"/>
    </row>
    <row r="842" spans="15:27" ht="13.9" customHeight="1" x14ac:dyDescent="0.3">
      <c r="O842" s="12">
        <f t="shared" si="90"/>
        <v>69.083333333333329</v>
      </c>
      <c r="P842" s="13">
        <v>829</v>
      </c>
      <c r="Q842" s="22">
        <v>3.2885928804422315E-2</v>
      </c>
      <c r="R842" s="19">
        <f t="shared" si="91"/>
        <v>3.321571474988616E-2</v>
      </c>
      <c r="S842" s="22">
        <v>3.924526853294763E-2</v>
      </c>
      <c r="T842" s="19">
        <f t="shared" si="92"/>
        <v>4.2967257860668351E-2</v>
      </c>
      <c r="U842" s="24">
        <v>4.1100635968897237E-2</v>
      </c>
      <c r="V842" s="24">
        <f t="shared" si="93"/>
        <v>4.2963118171553072E-2</v>
      </c>
      <c r="W842" s="23">
        <f t="shared" si="94"/>
        <v>3.5116088499358433E-3</v>
      </c>
      <c r="X842" s="24">
        <v>4.0724683645237514E-2</v>
      </c>
      <c r="Y842" s="24">
        <f t="shared" si="95"/>
        <v>4.2964194389366828E-2</v>
      </c>
      <c r="Z842" s="23">
        <f t="shared" si="96"/>
        <v>3.511695148161964E-3</v>
      </c>
      <c r="AA842" s="36"/>
    </row>
    <row r="843" spans="15:27" ht="13.9" customHeight="1" x14ac:dyDescent="0.3">
      <c r="O843" s="12">
        <f t="shared" si="90"/>
        <v>69.166666666666671</v>
      </c>
      <c r="P843" s="13">
        <v>830</v>
      </c>
      <c r="Q843" s="22">
        <v>3.2886326073545247E-2</v>
      </c>
      <c r="R843" s="19">
        <f t="shared" si="91"/>
        <v>3.3217496514229117E-2</v>
      </c>
      <c r="S843" s="22">
        <v>3.9249744856042712E-2</v>
      </c>
      <c r="T843" s="19">
        <f t="shared" si="92"/>
        <v>4.2967589951032448E-2</v>
      </c>
      <c r="U843" s="24">
        <v>4.1102877920996095E-2</v>
      </c>
      <c r="V843" s="24">
        <f t="shared" si="93"/>
        <v>4.2963452535908608E-2</v>
      </c>
      <c r="W843" s="23">
        <f t="shared" si="94"/>
        <v>3.511635904973831E-3</v>
      </c>
      <c r="X843" s="24">
        <v>4.0727378955499161E-2</v>
      </c>
      <c r="Y843" s="24">
        <f t="shared" si="95"/>
        <v>4.2964528590945683E-2</v>
      </c>
      <c r="Z843" s="23">
        <f t="shared" si="96"/>
        <v>3.511722197302003E-3</v>
      </c>
      <c r="AA843" s="36"/>
    </row>
    <row r="844" spans="15:27" ht="13.9" customHeight="1" x14ac:dyDescent="0.3">
      <c r="O844" s="12">
        <f t="shared" si="90"/>
        <v>69.25</v>
      </c>
      <c r="P844" s="13">
        <v>831</v>
      </c>
      <c r="Q844" s="22">
        <v>3.2886724530133638E-2</v>
      </c>
      <c r="R844" s="19">
        <f t="shared" si="91"/>
        <v>3.3219263434756341E-2</v>
      </c>
      <c r="S844" s="22">
        <v>3.9254210823212787E-2</v>
      </c>
      <c r="T844" s="19">
        <f t="shared" si="92"/>
        <v>4.2967918671944494E-2</v>
      </c>
      <c r="U844" s="24">
        <v>4.110511488375912E-2</v>
      </c>
      <c r="V844" s="24">
        <f t="shared" si="93"/>
        <v>4.2963783867910443E-2</v>
      </c>
      <c r="W844" s="23">
        <f t="shared" si="94"/>
        <v>3.5116627146845047E-3</v>
      </c>
      <c r="X844" s="24">
        <v>4.0730068187114554E-2</v>
      </c>
      <c r="Y844" s="24">
        <f t="shared" si="95"/>
        <v>4.2964859672121714E-2</v>
      </c>
      <c r="Z844" s="23">
        <f t="shared" si="96"/>
        <v>3.5117489939355817E-3</v>
      </c>
      <c r="AA844" s="36"/>
    </row>
    <row r="845" spans="15:27" ht="13.9" customHeight="1" x14ac:dyDescent="0.3">
      <c r="O845" s="12">
        <f t="shared" si="90"/>
        <v>69.333333333333329</v>
      </c>
      <c r="P845" s="13">
        <v>832</v>
      </c>
      <c r="Q845" s="22">
        <v>3.2887124152068514E-2</v>
      </c>
      <c r="R845" s="19">
        <f t="shared" si="91"/>
        <v>3.3221015635595874E-2</v>
      </c>
      <c r="S845" s="22">
        <v>3.9258666467699488E-2</v>
      </c>
      <c r="T845" s="19">
        <f t="shared" si="92"/>
        <v>4.2968244058344984E-2</v>
      </c>
      <c r="U845" s="24">
        <v>4.1107346871523731E-2</v>
      </c>
      <c r="V845" s="24">
        <f t="shared" si="93"/>
        <v>4.2964112195126081E-2</v>
      </c>
      <c r="W845" s="23">
        <f t="shared" si="94"/>
        <v>3.5116892812496747E-3</v>
      </c>
      <c r="X845" s="24">
        <v>4.0732751358237174E-2</v>
      </c>
      <c r="Y845" s="24">
        <f t="shared" si="95"/>
        <v>4.2965187662265869E-2</v>
      </c>
      <c r="Z845" s="23">
        <f t="shared" si="96"/>
        <v>3.5117755403641926E-3</v>
      </c>
      <c r="AA845" s="36"/>
    </row>
    <row r="846" spans="15:27" ht="13.9" customHeight="1" x14ac:dyDescent="0.3">
      <c r="O846" s="12">
        <f t="shared" ref="O846:O909" si="97">P846/12</f>
        <v>69.416666666666671</v>
      </c>
      <c r="P846" s="13">
        <v>833</v>
      </c>
      <c r="Q846" s="22">
        <v>3.2887524917486255E-2</v>
      </c>
      <c r="R846" s="19">
        <f t="shared" ref="R846:R909" si="98">(1+Q847)^P847/(1+Q846)^P846-1</f>
        <v>3.3222753239859903E-2</v>
      </c>
      <c r="S846" s="22">
        <v>3.9263111822626762E-2</v>
      </c>
      <c r="T846" s="19">
        <f t="shared" ref="T846:T909" si="99">(1+S847)^P847/(1+S846)^P846-1</f>
        <v>4.2968566143381626E-2</v>
      </c>
      <c r="U846" s="24">
        <v>4.11095738985916E-2</v>
      </c>
      <c r="V846" s="24">
        <f t="shared" ref="V846:V909" si="100">(1+U847)^P847/(1+U846)^P846-1</f>
        <v>4.2964437544965595E-2</v>
      </c>
      <c r="W846" s="23">
        <f t="shared" si="94"/>
        <v>3.5117156068802391E-3</v>
      </c>
      <c r="X846" s="24">
        <v>4.0735428486968983E-2</v>
      </c>
      <c r="Y846" s="24">
        <f t="shared" si="95"/>
        <v>4.2965512589850041E-2</v>
      </c>
      <c r="Z846" s="23">
        <f t="shared" si="96"/>
        <v>3.5118018389432848E-3</v>
      </c>
      <c r="AA846" s="36"/>
    </row>
    <row r="847" spans="15:27" ht="13.9" customHeight="1" x14ac:dyDescent="0.3">
      <c r="O847" s="12">
        <f t="shared" si="97"/>
        <v>69.5</v>
      </c>
      <c r="P847" s="13">
        <v>834</v>
      </c>
      <c r="Q847" s="22">
        <v>3.2887926804775702E-2</v>
      </c>
      <c r="R847" s="19">
        <f t="shared" si="98"/>
        <v>3.3224476369410505E-2</v>
      </c>
      <c r="S847" s="22">
        <v>3.9267546920999541E-2</v>
      </c>
      <c r="T847" s="19">
        <f t="shared" si="99"/>
        <v>4.2968884961315901E-2</v>
      </c>
      <c r="U847" s="24">
        <v>4.1111795979228427E-2</v>
      </c>
      <c r="V847" s="24">
        <f t="shared" si="100"/>
        <v>4.2964759944491115E-2</v>
      </c>
      <c r="W847" s="23">
        <f t="shared" ref="W847:W910" si="101">(1+V846)^(1/12)-1</f>
        <v>3.5117416937739954E-3</v>
      </c>
      <c r="X847" s="24">
        <v>4.07380995913591E-2</v>
      </c>
      <c r="Y847" s="24">
        <f t="shared" ref="Y847:Y910" si="102">(1+X848)^P848/(1+X847)^P847-1</f>
        <v>4.2965834483871923E-2</v>
      </c>
      <c r="Z847" s="23">
        <f t="shared" ref="Z847:Z910" si="103">(1+Y846)^(1/12)-1</f>
        <v>3.5118278919556989E-3</v>
      </c>
      <c r="AA847" s="36"/>
    </row>
    <row r="848" spans="15:27" ht="13.9" customHeight="1" x14ac:dyDescent="0.3">
      <c r="O848" s="12">
        <f t="shared" si="97"/>
        <v>69.583333333333329</v>
      </c>
      <c r="P848" s="13">
        <v>835</v>
      </c>
      <c r="Q848" s="22">
        <v>3.2888329792575277E-2</v>
      </c>
      <c r="R848" s="19">
        <f t="shared" si="98"/>
        <v>3.3226185145397213E-2</v>
      </c>
      <c r="S848" s="22">
        <v>3.927197179570574E-2</v>
      </c>
      <c r="T848" s="19">
        <f t="shared" si="99"/>
        <v>4.2969200544763053E-2</v>
      </c>
      <c r="U848" s="24">
        <v>4.1114013127664162E-2</v>
      </c>
      <c r="V848" s="24">
        <f t="shared" si="100"/>
        <v>4.2965079420673735E-2</v>
      </c>
      <c r="W848" s="23">
        <f t="shared" si="101"/>
        <v>3.5117675441012075E-3</v>
      </c>
      <c r="X848" s="24">
        <v>4.0740764689404685E-2</v>
      </c>
      <c r="Y848" s="24">
        <f t="shared" si="102"/>
        <v>4.2966153373272142E-2</v>
      </c>
      <c r="Z848" s="23">
        <f t="shared" si="103"/>
        <v>3.511853701726686E-3</v>
      </c>
      <c r="AA848" s="36"/>
    </row>
    <row r="849" spans="15:27" ht="13.9" customHeight="1" x14ac:dyDescent="0.3">
      <c r="O849" s="12">
        <f t="shared" si="97"/>
        <v>69.666666666666671</v>
      </c>
      <c r="P849" s="13">
        <v>836</v>
      </c>
      <c r="Q849" s="22">
        <v>3.2888733859770314E-2</v>
      </c>
      <c r="R849" s="19">
        <f t="shared" si="98"/>
        <v>3.3227879688049855E-2</v>
      </c>
      <c r="S849" s="22">
        <v>3.9276386479515146E-2</v>
      </c>
      <c r="T849" s="19">
        <f t="shared" si="99"/>
        <v>4.2969512926511078E-2</v>
      </c>
      <c r="U849" s="24">
        <v>4.1116225358093006E-2</v>
      </c>
      <c r="V849" s="24">
        <f t="shared" si="100"/>
        <v>4.2965395999088773E-2</v>
      </c>
      <c r="W849" s="23">
        <f t="shared" si="101"/>
        <v>3.51179316002459E-3</v>
      </c>
      <c r="X849" s="24">
        <v>4.0743423799051603E-2</v>
      </c>
      <c r="Y849" s="24">
        <f t="shared" si="102"/>
        <v>4.2966469284524411E-2</v>
      </c>
      <c r="Z849" s="23">
        <f t="shared" si="103"/>
        <v>3.5118792705770563E-3</v>
      </c>
      <c r="AA849" s="36"/>
    </row>
    <row r="850" spans="15:27" ht="13.9" customHeight="1" x14ac:dyDescent="0.3">
      <c r="O850" s="12">
        <f t="shared" si="97"/>
        <v>69.75</v>
      </c>
      <c r="P850" s="13">
        <v>837</v>
      </c>
      <c r="Q850" s="22">
        <v>3.2889138985491062E-2</v>
      </c>
      <c r="R850" s="19">
        <f t="shared" si="98"/>
        <v>3.3229560115868528E-2</v>
      </c>
      <c r="S850" s="22">
        <v>3.9280791005080085E-2</v>
      </c>
      <c r="T850" s="19">
        <f t="shared" si="99"/>
        <v>4.2969822139389713E-2</v>
      </c>
      <c r="U850" s="24">
        <v>4.1118432684671635E-2</v>
      </c>
      <c r="V850" s="24">
        <f t="shared" si="100"/>
        <v>4.2965709706904942E-2</v>
      </c>
      <c r="W850" s="23">
        <f t="shared" si="101"/>
        <v>3.5118185435949467E-3</v>
      </c>
      <c r="X850" s="24">
        <v>4.0746076938191766E-2</v>
      </c>
      <c r="Y850" s="24">
        <f t="shared" si="102"/>
        <v>4.2966782246836033E-2</v>
      </c>
      <c r="Z850" s="23">
        <f t="shared" si="103"/>
        <v>3.5119046006295562E-3</v>
      </c>
      <c r="AA850" s="36"/>
    </row>
    <row r="851" spans="15:27" ht="13.9" customHeight="1" x14ac:dyDescent="0.3">
      <c r="O851" s="12">
        <f t="shared" si="97"/>
        <v>69.833333333333329</v>
      </c>
      <c r="P851" s="13">
        <v>838</v>
      </c>
      <c r="Q851" s="22">
        <v>3.2889545149108468E-2</v>
      </c>
      <c r="R851" s="19">
        <f t="shared" si="98"/>
        <v>3.3231226547391746E-2</v>
      </c>
      <c r="S851" s="22">
        <v>3.9285185404936307E-2</v>
      </c>
      <c r="T851" s="19">
        <f t="shared" si="99"/>
        <v>4.2970128215373826E-2</v>
      </c>
      <c r="U851" s="24">
        <v>4.1120635121521643E-2</v>
      </c>
      <c r="V851" s="24">
        <f t="shared" si="100"/>
        <v>4.296602057007326E-2</v>
      </c>
      <c r="W851" s="23">
        <f t="shared" si="101"/>
        <v>3.5118436969907574E-3</v>
      </c>
      <c r="X851" s="24">
        <v>4.0748724124666014E-2</v>
      </c>
      <c r="Y851" s="24">
        <f t="shared" si="102"/>
        <v>4.2967092287450548E-2</v>
      </c>
      <c r="Z851" s="23">
        <f t="shared" si="103"/>
        <v>3.5119296942265343E-3</v>
      </c>
      <c r="AA851" s="36"/>
    </row>
    <row r="852" spans="15:27" ht="13.9" customHeight="1" x14ac:dyDescent="0.3">
      <c r="O852" s="12">
        <f t="shared" si="97"/>
        <v>69.916666666666671</v>
      </c>
      <c r="P852" s="13">
        <v>839</v>
      </c>
      <c r="Q852" s="22">
        <v>3.2889952330233285E-2</v>
      </c>
      <c r="R852" s="19">
        <f t="shared" si="98"/>
        <v>3.3232879099190038E-2</v>
      </c>
      <c r="S852" s="22">
        <v>3.928956971150277E-2</v>
      </c>
      <c r="T852" s="19">
        <f t="shared" si="99"/>
        <v>4.2970431186366564E-2</v>
      </c>
      <c r="U852" s="24">
        <v>4.1122832682728205E-2</v>
      </c>
      <c r="V852" s="24">
        <f t="shared" si="100"/>
        <v>4.2966328614202132E-2</v>
      </c>
      <c r="W852" s="23">
        <f t="shared" si="101"/>
        <v>3.511868622293246E-3</v>
      </c>
      <c r="X852" s="24">
        <v>4.0751365376263227E-2</v>
      </c>
      <c r="Y852" s="24">
        <f t="shared" si="102"/>
        <v>4.2967399433189835E-2</v>
      </c>
      <c r="Z852" s="23">
        <f t="shared" si="103"/>
        <v>3.5119545535522434E-3</v>
      </c>
      <c r="AA852" s="36"/>
    </row>
    <row r="853" spans="15:27" ht="13.9" customHeight="1" x14ac:dyDescent="0.3">
      <c r="O853" s="12">
        <f t="shared" si="97"/>
        <v>70</v>
      </c>
      <c r="P853" s="13">
        <v>840</v>
      </c>
      <c r="Q853" s="22">
        <v>3.289036050871208E-2</v>
      </c>
      <c r="R853" s="19">
        <f t="shared" si="98"/>
        <v>3.3234517887289039E-2</v>
      </c>
      <c r="S853" s="22">
        <v>3.9293943957082078E-2</v>
      </c>
      <c r="T853" s="19">
        <f t="shared" si="99"/>
        <v>4.2970731083829206E-2</v>
      </c>
      <c r="U853" s="24">
        <v>4.1125025382340086E-2</v>
      </c>
      <c r="V853" s="24">
        <f t="shared" si="100"/>
        <v>4.2966633865326065E-2</v>
      </c>
      <c r="W853" s="23">
        <f t="shared" si="101"/>
        <v>3.5118933215556591E-3</v>
      </c>
      <c r="X853" s="24">
        <v>4.0754000710718996E-2</v>
      </c>
      <c r="Y853" s="24">
        <f t="shared" si="102"/>
        <v>4.2967703711783489E-2</v>
      </c>
      <c r="Z853" s="23">
        <f t="shared" si="103"/>
        <v>3.5119791807578515E-3</v>
      </c>
      <c r="AA853" s="36"/>
    </row>
    <row r="854" spans="15:27" ht="13.9" customHeight="1" x14ac:dyDescent="0.3">
      <c r="O854" s="12">
        <f t="shared" si="97"/>
        <v>70.083333333333329</v>
      </c>
      <c r="P854" s="13">
        <v>841</v>
      </c>
      <c r="Q854" s="22">
        <v>3.2890769664625452E-2</v>
      </c>
      <c r="R854" s="19">
        <f t="shared" si="98"/>
        <v>3.3236143027582488E-2</v>
      </c>
      <c r="S854" s="22">
        <v>3.9298308173860486E-2</v>
      </c>
      <c r="T854" s="19">
        <f t="shared" si="99"/>
        <v>4.2971027938669693E-2</v>
      </c>
      <c r="U854" s="24">
        <v>4.1127213234369853E-2</v>
      </c>
      <c r="V854" s="24">
        <f t="shared" si="100"/>
        <v>4.2966936347607287E-2</v>
      </c>
      <c r="W854" s="23">
        <f t="shared" si="101"/>
        <v>3.5119177968656601E-3</v>
      </c>
      <c r="X854" s="24">
        <v>4.0756630145717843E-2</v>
      </c>
      <c r="Y854" s="24">
        <f t="shared" si="102"/>
        <v>4.2968005149187638E-2</v>
      </c>
      <c r="Z854" s="23">
        <f t="shared" si="103"/>
        <v>3.5120035780666914E-3</v>
      </c>
      <c r="AA854" s="36"/>
    </row>
    <row r="855" spans="15:27" ht="13.9" customHeight="1" x14ac:dyDescent="0.3">
      <c r="O855" s="12">
        <f t="shared" si="97"/>
        <v>70.166666666666671</v>
      </c>
      <c r="P855" s="13">
        <v>842</v>
      </c>
      <c r="Q855" s="22">
        <v>3.2891179778286039E-2</v>
      </c>
      <c r="R855" s="19">
        <f t="shared" si="98"/>
        <v>3.3237754632586158E-2</v>
      </c>
      <c r="S855" s="22">
        <v>3.9302662393908561E-2</v>
      </c>
      <c r="T855" s="19">
        <f t="shared" si="99"/>
        <v>4.2971321782679928E-2</v>
      </c>
      <c r="U855" s="24">
        <v>4.1129396252792549E-2</v>
      </c>
      <c r="V855" s="24">
        <f t="shared" si="100"/>
        <v>4.2967236087700922E-2</v>
      </c>
      <c r="W855" s="23">
        <f t="shared" si="101"/>
        <v>3.5119420501610321E-3</v>
      </c>
      <c r="X855" s="24">
        <v>4.0759253698890996E-2</v>
      </c>
      <c r="Y855" s="24">
        <f t="shared" si="102"/>
        <v>4.2968303772981331E-2</v>
      </c>
      <c r="Z855" s="23">
        <f t="shared" si="103"/>
        <v>3.5120277475602091E-3</v>
      </c>
      <c r="AA855" s="36"/>
    </row>
    <row r="856" spans="15:27" ht="13.9" customHeight="1" x14ac:dyDescent="0.3">
      <c r="O856" s="12">
        <f t="shared" si="97"/>
        <v>70.25</v>
      </c>
      <c r="P856" s="13">
        <v>843</v>
      </c>
      <c r="Q856" s="22">
        <v>3.2891590830233408E-2</v>
      </c>
      <c r="R856" s="19">
        <f t="shared" si="98"/>
        <v>3.3239352816690326E-2</v>
      </c>
      <c r="S856" s="22">
        <v>3.9307006649182297E-2</v>
      </c>
      <c r="T856" s="19">
        <f t="shared" si="99"/>
        <v>4.2971612645686497E-2</v>
      </c>
      <c r="U856" s="24">
        <v>4.1131574451548136E-2</v>
      </c>
      <c r="V856" s="24">
        <f t="shared" si="100"/>
        <v>4.2967533109640188E-2</v>
      </c>
      <c r="W856" s="23">
        <f t="shared" si="101"/>
        <v>3.5119660835789546E-3</v>
      </c>
      <c r="X856" s="24">
        <v>4.0761871387818616E-2</v>
      </c>
      <c r="Y856" s="24">
        <f t="shared" si="102"/>
        <v>4.296859960868904E-2</v>
      </c>
      <c r="Z856" s="23">
        <f t="shared" si="103"/>
        <v>3.5120516914497468E-3</v>
      </c>
      <c r="AA856" s="36"/>
    </row>
    <row r="857" spans="15:27" ht="13.9" customHeight="1" x14ac:dyDescent="0.3">
      <c r="O857" s="12">
        <f t="shared" si="97"/>
        <v>70.333333333333329</v>
      </c>
      <c r="P857" s="13">
        <v>844</v>
      </c>
      <c r="Q857" s="22">
        <v>3.2892002801234943E-2</v>
      </c>
      <c r="R857" s="19">
        <f t="shared" si="98"/>
        <v>3.3240937691592309E-2</v>
      </c>
      <c r="S857" s="22">
        <v>3.9311340971521558E-2</v>
      </c>
      <c r="T857" s="19">
        <f t="shared" si="99"/>
        <v>4.2971900557761789E-2</v>
      </c>
      <c r="U857" s="24">
        <v>4.113374784453927E-2</v>
      </c>
      <c r="V857" s="24">
        <f t="shared" si="100"/>
        <v>4.2967827437800921E-2</v>
      </c>
      <c r="W857" s="23">
        <f t="shared" si="101"/>
        <v>3.5119898990467746E-3</v>
      </c>
      <c r="X857" s="24">
        <v>4.0764483230028015E-2</v>
      </c>
      <c r="Y857" s="24">
        <f t="shared" si="102"/>
        <v>4.2968892682241799E-2</v>
      </c>
      <c r="Z857" s="23">
        <f t="shared" si="103"/>
        <v>3.5120754117823338E-3</v>
      </c>
      <c r="AA857" s="36"/>
    </row>
    <row r="858" spans="15:27" ht="13.9" customHeight="1" x14ac:dyDescent="0.3">
      <c r="O858" s="12">
        <f t="shared" si="97"/>
        <v>70.416666666666671</v>
      </c>
      <c r="P858" s="13">
        <v>845</v>
      </c>
      <c r="Q858" s="22">
        <v>3.2892415672281405E-2</v>
      </c>
      <c r="R858" s="19">
        <f t="shared" si="98"/>
        <v>3.3242509368686335E-2</v>
      </c>
      <c r="S858" s="22">
        <v>3.9315665392651411E-2</v>
      </c>
      <c r="T858" s="19">
        <f t="shared" si="99"/>
        <v>4.2972185549187136E-2</v>
      </c>
      <c r="U858" s="24">
        <v>4.1135916445631526E-2</v>
      </c>
      <c r="V858" s="24">
        <f t="shared" si="100"/>
        <v>4.2968119097453794E-2</v>
      </c>
      <c r="W858" s="23">
        <f t="shared" si="101"/>
        <v>3.5120134985191509E-3</v>
      </c>
      <c r="X858" s="24">
        <v>4.0767089242994103E-2</v>
      </c>
      <c r="Y858" s="24">
        <f t="shared" si="102"/>
        <v>4.2969183019848645E-2</v>
      </c>
      <c r="Z858" s="23">
        <f t="shared" si="103"/>
        <v>3.5120989106369738E-3</v>
      </c>
      <c r="AA858" s="36"/>
    </row>
    <row r="859" spans="15:27" ht="13.9" customHeight="1" x14ac:dyDescent="0.3">
      <c r="O859" s="12">
        <f t="shared" si="97"/>
        <v>70.5</v>
      </c>
      <c r="P859" s="13">
        <v>846</v>
      </c>
      <c r="Q859" s="22">
        <v>3.2892829424584713E-2</v>
      </c>
      <c r="R859" s="19">
        <f t="shared" si="98"/>
        <v>3.3244067958213108E-2</v>
      </c>
      <c r="S859" s="22">
        <v>3.9319979944182792E-2</v>
      </c>
      <c r="T859" s="19">
        <f t="shared" si="99"/>
        <v>4.2972467649714075E-2</v>
      </c>
      <c r="U859" s="24">
        <v>4.1138080268654731E-2</v>
      </c>
      <c r="V859" s="24">
        <f t="shared" si="100"/>
        <v>4.2968408112495915E-2</v>
      </c>
      <c r="W859" s="23">
        <f t="shared" si="101"/>
        <v>3.5120368840222405E-3</v>
      </c>
      <c r="X859" s="24">
        <v>4.0769689444140278E-2</v>
      </c>
      <c r="Y859" s="24">
        <f t="shared" si="102"/>
        <v>4.29694706472874E-2</v>
      </c>
      <c r="Z859" s="23">
        <f t="shared" si="103"/>
        <v>3.5121221901155408E-3</v>
      </c>
      <c r="AA859" s="36"/>
    </row>
    <row r="860" spans="15:27" ht="13.9" customHeight="1" x14ac:dyDescent="0.3">
      <c r="O860" s="12">
        <f t="shared" si="97"/>
        <v>70.583333333333329</v>
      </c>
      <c r="P860" s="13">
        <v>847</v>
      </c>
      <c r="Q860" s="22">
        <v>3.2893244039576164E-2</v>
      </c>
      <c r="R860" s="19">
        <f t="shared" si="98"/>
        <v>3.3245613568816168E-2</v>
      </c>
      <c r="S860" s="22">
        <v>3.9324284657612285E-2</v>
      </c>
      <c r="T860" s="19">
        <f t="shared" si="99"/>
        <v>4.2972746888659152E-2</v>
      </c>
      <c r="U860" s="24">
        <v>4.1140239327401629E-2</v>
      </c>
      <c r="V860" s="24">
        <f t="shared" si="100"/>
        <v>4.2968694506267058E-2</v>
      </c>
      <c r="W860" s="23">
        <f t="shared" si="101"/>
        <v>3.5120600574722882E-3</v>
      </c>
      <c r="X860" s="24">
        <v>4.0772283850837754E-2</v>
      </c>
      <c r="Y860" s="24">
        <f t="shared" si="102"/>
        <v>4.2969755589207681E-2</v>
      </c>
      <c r="Z860" s="23">
        <f t="shared" si="103"/>
        <v>3.5121452522850483E-3</v>
      </c>
      <c r="AA860" s="36"/>
    </row>
    <row r="861" spans="15:27" ht="13.9" customHeight="1" x14ac:dyDescent="0.3">
      <c r="O861" s="12">
        <f t="shared" si="97"/>
        <v>70.666666666666671</v>
      </c>
      <c r="P861" s="13">
        <v>848</v>
      </c>
      <c r="Q861" s="22">
        <v>3.2893659498902439E-2</v>
      </c>
      <c r="R861" s="19">
        <f t="shared" si="98"/>
        <v>3.3247146310027675E-2</v>
      </c>
      <c r="S861" s="22">
        <v>3.9328579564323007E-2</v>
      </c>
      <c r="T861" s="19">
        <f t="shared" si="99"/>
        <v>4.2973023294773371E-2</v>
      </c>
      <c r="U861" s="24">
        <v>4.1142393635627661E-2</v>
      </c>
      <c r="V861" s="24">
        <f t="shared" si="100"/>
        <v>4.2968978303579375E-2</v>
      </c>
      <c r="W861" s="23">
        <f t="shared" si="101"/>
        <v>3.5120830207411302E-3</v>
      </c>
      <c r="X861" s="24">
        <v>4.0774872480405344E-2</v>
      </c>
      <c r="Y861" s="24">
        <f t="shared" si="102"/>
        <v>4.2970037871032263E-2</v>
      </c>
      <c r="Z861" s="23">
        <f t="shared" si="103"/>
        <v>3.5121680991221371E-3</v>
      </c>
      <c r="AA861" s="36"/>
    </row>
    <row r="862" spans="15:27" ht="13.9" customHeight="1" x14ac:dyDescent="0.3">
      <c r="O862" s="12">
        <f t="shared" si="97"/>
        <v>70.75</v>
      </c>
      <c r="P862" s="13">
        <v>849</v>
      </c>
      <c r="Q862" s="22">
        <v>3.2894075784425825E-2</v>
      </c>
      <c r="R862" s="19">
        <f t="shared" si="98"/>
        <v>3.3248666289104944E-2</v>
      </c>
      <c r="S862" s="22">
        <v>3.9332864695583947E-2</v>
      </c>
      <c r="T862" s="19">
        <f t="shared" si="99"/>
        <v>4.2973296896794189E-2</v>
      </c>
      <c r="U862" s="24">
        <v>4.1144543207052298E-2</v>
      </c>
      <c r="V862" s="24">
        <f t="shared" si="100"/>
        <v>4.296925952689068E-2</v>
      </c>
      <c r="W862" s="23">
        <f t="shared" si="101"/>
        <v>3.5121057758182861E-3</v>
      </c>
      <c r="X862" s="24">
        <v>4.0777455350109904E-2</v>
      </c>
      <c r="Y862" s="24">
        <f t="shared" si="102"/>
        <v>4.2970317517398549E-2</v>
      </c>
      <c r="Z862" s="23">
        <f t="shared" si="103"/>
        <v>3.5121907326651769E-3</v>
      </c>
      <c r="AA862" s="36"/>
    </row>
    <row r="863" spans="15:27" ht="13.9" customHeight="1" x14ac:dyDescent="0.3">
      <c r="O863" s="12">
        <f t="shared" si="97"/>
        <v>70.833333333333329</v>
      </c>
      <c r="P863" s="13">
        <v>850</v>
      </c>
      <c r="Q863" s="22">
        <v>3.2894492878219994E-2</v>
      </c>
      <c r="R863" s="19">
        <f t="shared" si="98"/>
        <v>3.3250173611761191E-2</v>
      </c>
      <c r="S863" s="22">
        <v>3.9337140082550848E-2</v>
      </c>
      <c r="T863" s="19">
        <f t="shared" si="99"/>
        <v>4.2973567723769701E-2</v>
      </c>
      <c r="U863" s="24">
        <v>4.1146688055357039E-2</v>
      </c>
      <c r="V863" s="24">
        <f t="shared" si="100"/>
        <v>4.2969538200859914E-2</v>
      </c>
      <c r="W863" s="23">
        <f t="shared" si="101"/>
        <v>3.5121283245043156E-3</v>
      </c>
      <c r="X863" s="24">
        <v>4.0780032477166106E-2</v>
      </c>
      <c r="Y863" s="24">
        <f t="shared" si="102"/>
        <v>4.2970594553591202E-2</v>
      </c>
      <c r="Z863" s="23">
        <f t="shared" si="103"/>
        <v>3.5122131548899205E-3</v>
      </c>
      <c r="AA863" s="36"/>
    </row>
    <row r="864" spans="15:27" ht="13.9" customHeight="1" x14ac:dyDescent="0.3">
      <c r="O864" s="12">
        <f t="shared" si="97"/>
        <v>70.916666666666671</v>
      </c>
      <c r="P864" s="13">
        <v>851</v>
      </c>
      <c r="Q864" s="22">
        <v>3.2894910762567342E-2</v>
      </c>
      <c r="R864" s="19">
        <f t="shared" si="98"/>
        <v>3.3251668384859601E-2</v>
      </c>
      <c r="S864" s="22">
        <v>3.9341405756267323E-2</v>
      </c>
      <c r="T864" s="19">
        <f t="shared" si="99"/>
        <v>4.2973835803060689E-2</v>
      </c>
      <c r="U864" s="24">
        <v>4.1148828194188081E-2</v>
      </c>
      <c r="V864" s="24">
        <f t="shared" si="100"/>
        <v>4.2969814347560753E-2</v>
      </c>
      <c r="W864" s="23">
        <f t="shared" si="101"/>
        <v>3.5121506687769699E-3</v>
      </c>
      <c r="X864" s="24">
        <v>4.0782603878737334E-2</v>
      </c>
      <c r="Y864" s="24">
        <f t="shared" si="102"/>
        <v>4.2970869003273071E-2</v>
      </c>
      <c r="Z864" s="23">
        <f t="shared" si="103"/>
        <v>3.5122353678238571E-3</v>
      </c>
      <c r="AA864" s="36"/>
    </row>
    <row r="865" spans="15:27" ht="13.9" customHeight="1" x14ac:dyDescent="0.3">
      <c r="O865" s="12">
        <f t="shared" si="97"/>
        <v>71</v>
      </c>
      <c r="P865" s="13">
        <v>852</v>
      </c>
      <c r="Q865" s="22">
        <v>3.2895329419958763E-2</v>
      </c>
      <c r="R865" s="19">
        <f t="shared" si="98"/>
        <v>3.3253150712568402E-2</v>
      </c>
      <c r="S865" s="22">
        <v>3.9345661747663518E-2</v>
      </c>
      <c r="T865" s="19">
        <f t="shared" si="99"/>
        <v>4.2974101163095302E-2</v>
      </c>
      <c r="U865" s="24">
        <v>4.1150963637153426E-2</v>
      </c>
      <c r="V865" s="24">
        <f t="shared" si="100"/>
        <v>4.2970087990375605E-2</v>
      </c>
      <c r="W865" s="23">
        <f t="shared" si="101"/>
        <v>3.5121728104061667E-3</v>
      </c>
      <c r="X865" s="24">
        <v>4.0785169571934343E-2</v>
      </c>
      <c r="Y865" s="24">
        <f t="shared" si="102"/>
        <v>4.2971140890728288E-2</v>
      </c>
      <c r="Z865" s="23">
        <f t="shared" si="103"/>
        <v>3.5122573733643581E-3</v>
      </c>
      <c r="AA865" s="36"/>
    </row>
    <row r="866" spans="15:27" ht="13.9" customHeight="1" x14ac:dyDescent="0.3">
      <c r="O866" s="12">
        <f t="shared" si="97"/>
        <v>71.083333333333329</v>
      </c>
      <c r="P866" s="13">
        <v>853</v>
      </c>
      <c r="Q866" s="22">
        <v>3.2895748833089211E-2</v>
      </c>
      <c r="R866" s="19">
        <f t="shared" si="98"/>
        <v>3.3254620699346926E-2</v>
      </c>
      <c r="S866" s="22">
        <v>3.9349908087557672E-2</v>
      </c>
      <c r="T866" s="19">
        <f t="shared" si="99"/>
        <v>4.2974363831499662E-2</v>
      </c>
      <c r="U866" s="24">
        <v>4.1153094397824663E-2</v>
      </c>
      <c r="V866" s="24">
        <f t="shared" si="100"/>
        <v>4.2970359151531135E-2</v>
      </c>
      <c r="W866" s="23">
        <f t="shared" si="101"/>
        <v>3.5121947512666285E-3</v>
      </c>
      <c r="X866" s="24">
        <v>4.0787729573816156E-2</v>
      </c>
      <c r="Y866" s="24">
        <f t="shared" si="102"/>
        <v>4.2971410240084662E-2</v>
      </c>
      <c r="Z866" s="23">
        <f t="shared" si="103"/>
        <v>3.5122791734587544E-3</v>
      </c>
      <c r="AA866" s="36"/>
    </row>
    <row r="867" spans="15:27" ht="13.9" customHeight="1" x14ac:dyDescent="0.3">
      <c r="O867" s="12">
        <f t="shared" si="97"/>
        <v>71.166666666666671</v>
      </c>
      <c r="P867" s="13">
        <v>854</v>
      </c>
      <c r="Q867" s="22">
        <v>3.2896168984857477E-2</v>
      </c>
      <c r="R867" s="19">
        <f t="shared" si="98"/>
        <v>3.3256078447873039E-2</v>
      </c>
      <c r="S867" s="22">
        <v>3.9354144806656555E-2</v>
      </c>
      <c r="T867" s="19">
        <f t="shared" si="99"/>
        <v>4.2974623834945103E-2</v>
      </c>
      <c r="U867" s="24">
        <v>4.1155220489735855E-2</v>
      </c>
      <c r="V867" s="24">
        <f t="shared" si="100"/>
        <v>4.2970627854542975E-2</v>
      </c>
      <c r="W867" s="23">
        <f t="shared" si="101"/>
        <v>3.5122164931409294E-3</v>
      </c>
      <c r="X867" s="24">
        <v>4.0790283901389834E-2</v>
      </c>
      <c r="Y867" s="24">
        <f t="shared" si="102"/>
        <v>4.2971677075074544E-2</v>
      </c>
      <c r="Z867" s="23">
        <f t="shared" si="103"/>
        <v>3.5123007700419429E-3</v>
      </c>
      <c r="AA867" s="36"/>
    </row>
    <row r="868" spans="15:27" ht="13.9" customHeight="1" x14ac:dyDescent="0.3">
      <c r="O868" s="12">
        <f t="shared" si="97"/>
        <v>71.25</v>
      </c>
      <c r="P868" s="13">
        <v>855</v>
      </c>
      <c r="Q868" s="22">
        <v>3.2896589858361747E-2</v>
      </c>
      <c r="R868" s="19">
        <f t="shared" si="98"/>
        <v>3.3257524060209542E-2</v>
      </c>
      <c r="S868" s="22">
        <v>3.9358371935554359E-2</v>
      </c>
      <c r="T868" s="19">
        <f t="shared" si="99"/>
        <v>4.2974881201476522E-2</v>
      </c>
      <c r="U868" s="24">
        <v>4.1157341926385094E-2</v>
      </c>
      <c r="V868" s="24">
        <f t="shared" si="100"/>
        <v>4.2970894120874625E-2</v>
      </c>
      <c r="W868" s="23">
        <f t="shared" si="101"/>
        <v>3.5122380379144502E-3</v>
      </c>
      <c r="X868" s="24">
        <v>4.0792832571610926E-2</v>
      </c>
      <c r="Y868" s="24">
        <f t="shared" si="102"/>
        <v>4.2971941419022164E-2</v>
      </c>
      <c r="Z868" s="23">
        <f t="shared" si="103"/>
        <v>3.5123221650166236E-3</v>
      </c>
      <c r="AA868" s="36"/>
    </row>
    <row r="869" spans="15:27" ht="13.9" customHeight="1" x14ac:dyDescent="0.3">
      <c r="O869" s="12">
        <f t="shared" si="97"/>
        <v>71.333333333333329</v>
      </c>
      <c r="P869" s="13">
        <v>856</v>
      </c>
      <c r="Q869" s="22">
        <v>3.289701143689916E-2</v>
      </c>
      <c r="R869" s="19">
        <f t="shared" si="98"/>
        <v>3.3258957638278908E-2</v>
      </c>
      <c r="S869" s="22">
        <v>3.9362589504735146E-2</v>
      </c>
      <c r="T869" s="19">
        <f t="shared" si="99"/>
        <v>4.2975135956845767E-2</v>
      </c>
      <c r="U869" s="24">
        <v>4.1159458721232722E-2</v>
      </c>
      <c r="V869" s="24">
        <f t="shared" si="100"/>
        <v>4.2971157972542473E-2</v>
      </c>
      <c r="W869" s="23">
        <f t="shared" si="101"/>
        <v>3.5122593873084806E-3</v>
      </c>
      <c r="X869" s="24">
        <v>4.0795375601383022E-2</v>
      </c>
      <c r="Y869" s="24">
        <f t="shared" si="102"/>
        <v>4.2972203294809441E-2</v>
      </c>
      <c r="Z869" s="23">
        <f t="shared" si="103"/>
        <v>3.5123433602533005E-3</v>
      </c>
      <c r="AA869" s="36"/>
    </row>
    <row r="870" spans="15:27" ht="13.9" customHeight="1" x14ac:dyDescent="0.3">
      <c r="O870" s="12">
        <f t="shared" si="97"/>
        <v>71.416666666666671</v>
      </c>
      <c r="P870" s="13">
        <v>857</v>
      </c>
      <c r="Q870" s="22">
        <v>3.2897433703963141E-2</v>
      </c>
      <c r="R870" s="19">
        <f t="shared" si="98"/>
        <v>3.3260379281695229E-2</v>
      </c>
      <c r="S870" s="22">
        <v>3.9366797544570842E-2</v>
      </c>
      <c r="T870" s="19">
        <f t="shared" si="99"/>
        <v>4.2975388128350778E-2</v>
      </c>
      <c r="U870" s="24">
        <v>4.1161570887701782E-2</v>
      </c>
      <c r="V870" s="24">
        <f t="shared" si="100"/>
        <v>4.2971419431895086E-2</v>
      </c>
      <c r="W870" s="23">
        <f t="shared" si="101"/>
        <v>3.5122805430884974E-3</v>
      </c>
      <c r="X870" s="24">
        <v>4.0797913007557307E-2</v>
      </c>
      <c r="Y870" s="24">
        <f t="shared" si="102"/>
        <v>4.2972462726884597E-2</v>
      </c>
      <c r="Z870" s="23">
        <f t="shared" si="103"/>
        <v>3.512364357586728E-3</v>
      </c>
      <c r="AA870" s="36"/>
    </row>
    <row r="871" spans="15:27" ht="13.9" customHeight="1" x14ac:dyDescent="0.3">
      <c r="O871" s="12">
        <f t="shared" si="97"/>
        <v>71.5</v>
      </c>
      <c r="P871" s="13">
        <v>858</v>
      </c>
      <c r="Q871" s="22">
        <v>3.289785664324052E-2</v>
      </c>
      <c r="R871" s="19">
        <f t="shared" si="98"/>
        <v>3.3261789091504124E-2</v>
      </c>
      <c r="S871" s="22">
        <v>3.9370996085323906E-2</v>
      </c>
      <c r="T871" s="19">
        <f t="shared" si="99"/>
        <v>4.2975637741688999E-2</v>
      </c>
      <c r="U871" s="24">
        <v>4.1163678439178897E-2</v>
      </c>
      <c r="V871" s="24">
        <f t="shared" si="100"/>
        <v>4.2971678520971501E-2</v>
      </c>
      <c r="W871" s="23">
        <f t="shared" si="101"/>
        <v>3.5123015070464003E-3</v>
      </c>
      <c r="X871" s="24">
        <v>4.080044480693501E-2</v>
      </c>
      <c r="Y871" s="24">
        <f t="shared" si="102"/>
        <v>4.2972719736058984E-2</v>
      </c>
      <c r="Z871" s="23">
        <f t="shared" si="103"/>
        <v>3.512385158977116E-3</v>
      </c>
      <c r="AA871" s="36"/>
    </row>
    <row r="872" spans="15:27" ht="13.9" customHeight="1" x14ac:dyDescent="0.3">
      <c r="O872" s="12">
        <f t="shared" si="97"/>
        <v>71.583333333333329</v>
      </c>
      <c r="P872" s="13">
        <v>859</v>
      </c>
      <c r="Q872" s="22">
        <v>3.2898280238611521E-2</v>
      </c>
      <c r="R872" s="19">
        <f t="shared" si="98"/>
        <v>3.3263187165192276E-2</v>
      </c>
      <c r="S872" s="22">
        <v>3.9375185157145776E-2</v>
      </c>
      <c r="T872" s="19">
        <f t="shared" si="99"/>
        <v>4.2975884823013066E-2</v>
      </c>
      <c r="U872" s="24">
        <v>4.1165781389013834E-2</v>
      </c>
      <c r="V872" s="24">
        <f t="shared" si="100"/>
        <v>4.2971935260350147E-2</v>
      </c>
      <c r="W872" s="23">
        <f t="shared" si="101"/>
        <v>3.5123222809494425E-3</v>
      </c>
      <c r="X872" s="24">
        <v>4.0802971016263623E-2</v>
      </c>
      <c r="Y872" s="24">
        <f t="shared" si="102"/>
        <v>4.2972974346833892E-2</v>
      </c>
      <c r="Z872" s="23">
        <f t="shared" si="103"/>
        <v>3.5124057660935737E-3</v>
      </c>
      <c r="AA872" s="36"/>
    </row>
    <row r="873" spans="15:27" ht="13.9" customHeight="1" x14ac:dyDescent="0.3">
      <c r="O873" s="12">
        <f t="shared" si="97"/>
        <v>71.666666666666671</v>
      </c>
      <c r="P873" s="13">
        <v>860</v>
      </c>
      <c r="Q873" s="22">
        <v>3.2898704474144891E-2</v>
      </c>
      <c r="R873" s="19">
        <f t="shared" si="98"/>
        <v>3.3264573601013758E-2</v>
      </c>
      <c r="S873" s="22">
        <v>3.9379364790077975E-2</v>
      </c>
      <c r="T873" s="19">
        <f t="shared" si="99"/>
        <v>4.2976129398065499E-2</v>
      </c>
      <c r="U873" s="24">
        <v>4.1167879750518388E-2</v>
      </c>
      <c r="V873" s="24">
        <f t="shared" si="100"/>
        <v>4.2972189671968586E-2</v>
      </c>
      <c r="W873" s="23">
        <f t="shared" si="101"/>
        <v>3.5123428664478595E-3</v>
      </c>
      <c r="X873" s="24">
        <v>4.0805491652240677E-2</v>
      </c>
      <c r="Y873" s="24">
        <f t="shared" si="102"/>
        <v>4.2973226580297119E-2</v>
      </c>
      <c r="Z873" s="23">
        <f t="shared" si="103"/>
        <v>3.5124261809007518E-3</v>
      </c>
      <c r="AA873" s="36"/>
    </row>
    <row r="874" spans="15:27" ht="13.9" customHeight="1" x14ac:dyDescent="0.3">
      <c r="O874" s="12">
        <f t="shared" si="97"/>
        <v>71.75</v>
      </c>
      <c r="P874" s="13">
        <v>861</v>
      </c>
      <c r="Q874" s="22">
        <v>3.2899129334097443E-2</v>
      </c>
      <c r="R874" s="19">
        <f t="shared" si="98"/>
        <v>3.3265948496685516E-2</v>
      </c>
      <c r="S874" s="22">
        <v>3.9383535014052784E-2</v>
      </c>
      <c r="T874" s="19">
        <f t="shared" si="99"/>
        <v>4.2976371492261523E-2</v>
      </c>
      <c r="U874" s="24">
        <v>4.1169973536967719E-2</v>
      </c>
      <c r="V874" s="24">
        <f t="shared" si="100"/>
        <v>4.297244177650783E-2</v>
      </c>
      <c r="W874" s="23">
        <f t="shared" si="101"/>
        <v>3.5123632653004666E-3</v>
      </c>
      <c r="X874" s="24">
        <v>4.0808006731511082E-2</v>
      </c>
      <c r="Y874" s="24">
        <f t="shared" si="102"/>
        <v>4.2973476459142734E-2</v>
      </c>
      <c r="Z874" s="23">
        <f t="shared" si="103"/>
        <v>3.5124464050895199E-3</v>
      </c>
      <c r="AA874" s="36"/>
    </row>
    <row r="875" spans="15:27" ht="13.9" customHeight="1" x14ac:dyDescent="0.3">
      <c r="O875" s="12">
        <f t="shared" si="97"/>
        <v>71.833333333333329</v>
      </c>
      <c r="P875" s="13">
        <v>862</v>
      </c>
      <c r="Q875" s="22">
        <v>3.2899554802912068E-2</v>
      </c>
      <c r="R875" s="19">
        <f t="shared" si="98"/>
        <v>3.3267311948186107E-2</v>
      </c>
      <c r="S875" s="22">
        <v>3.9387695858893013E-2</v>
      </c>
      <c r="T875" s="19">
        <f t="shared" si="99"/>
        <v>4.2976611130727038E-2</v>
      </c>
      <c r="U875" s="24">
        <v>4.1172062761599681E-2</v>
      </c>
      <c r="V875" s="24">
        <f t="shared" si="100"/>
        <v>4.2972691595622337E-2</v>
      </c>
      <c r="W875" s="23">
        <f t="shared" si="101"/>
        <v>3.512383479165937E-3</v>
      </c>
      <c r="X875" s="24">
        <v>4.0810516270668895E-2</v>
      </c>
      <c r="Y875" s="24">
        <f t="shared" si="102"/>
        <v>4.2973724005645142E-2</v>
      </c>
      <c r="Z875" s="23">
        <f t="shared" si="103"/>
        <v>3.5124664404795336E-3</v>
      </c>
      <c r="AA875" s="36"/>
    </row>
    <row r="876" spans="15:27" ht="13.9" customHeight="1" x14ac:dyDescent="0.3">
      <c r="O876" s="12">
        <f t="shared" si="97"/>
        <v>71.916666666666671</v>
      </c>
      <c r="P876" s="13">
        <v>863</v>
      </c>
      <c r="Q876" s="22">
        <v>3.2899980865215506E-2</v>
      </c>
      <c r="R876" s="19">
        <f t="shared" si="98"/>
        <v>3.3268664051013142E-2</v>
      </c>
      <c r="S876" s="22">
        <v>3.9391847354312448E-2</v>
      </c>
      <c r="T876" s="19">
        <f t="shared" si="99"/>
        <v>4.297684833819404E-2</v>
      </c>
      <c r="U876" s="24">
        <v>4.1174147437615716E-2</v>
      </c>
      <c r="V876" s="24">
        <f t="shared" si="100"/>
        <v>4.2972939149303224E-2</v>
      </c>
      <c r="W876" s="23">
        <f t="shared" si="101"/>
        <v>3.5124035097804374E-3</v>
      </c>
      <c r="X876" s="24">
        <v>4.0813020286256663E-2</v>
      </c>
      <c r="Y876" s="24">
        <f t="shared" si="102"/>
        <v>4.2973969241237642E-2</v>
      </c>
      <c r="Z876" s="23">
        <f t="shared" si="103"/>
        <v>3.5124862888569197E-3</v>
      </c>
      <c r="AA876" s="36"/>
    </row>
    <row r="877" spans="15:27" ht="13.9" customHeight="1" x14ac:dyDescent="0.3">
      <c r="O877" s="12">
        <f t="shared" si="97"/>
        <v>72</v>
      </c>
      <c r="P877" s="13">
        <v>864</v>
      </c>
      <c r="Q877" s="22">
        <v>3.290040750581591E-2</v>
      </c>
      <c r="R877" s="19">
        <f t="shared" si="98"/>
        <v>3.3270004900024741E-2</v>
      </c>
      <c r="S877" s="22">
        <v>3.9395989529916298E-2</v>
      </c>
      <c r="T877" s="19">
        <f t="shared" si="99"/>
        <v>4.2977083139842165E-2</v>
      </c>
      <c r="U877" s="24">
        <v>4.1176227578179292E-2</v>
      </c>
      <c r="V877" s="24">
        <f t="shared" si="100"/>
        <v>4.2973184458318991E-2</v>
      </c>
      <c r="W877" s="23">
        <f t="shared" si="101"/>
        <v>3.5124233587471299E-3</v>
      </c>
      <c r="X877" s="24">
        <v>4.0815518794765415E-2</v>
      </c>
      <c r="Y877" s="24">
        <f t="shared" si="102"/>
        <v>4.2974212187072647E-2</v>
      </c>
      <c r="Z877" s="23">
        <f t="shared" si="103"/>
        <v>3.5125059519403035E-3</v>
      </c>
      <c r="AA877" s="36"/>
    </row>
    <row r="878" spans="15:27" ht="13.9" customHeight="1" x14ac:dyDescent="0.3">
      <c r="O878" s="12">
        <f t="shared" si="97"/>
        <v>72.083333333333329</v>
      </c>
      <c r="P878" s="13">
        <v>865</v>
      </c>
      <c r="Q878" s="22">
        <v>3.2900834709701288E-2</v>
      </c>
      <c r="R878" s="19">
        <f t="shared" si="98"/>
        <v>3.3271334589111579E-2</v>
      </c>
      <c r="S878" s="22">
        <v>3.9400122415201633E-2</v>
      </c>
      <c r="T878" s="19">
        <f t="shared" si="99"/>
        <v>4.2977315559162177E-2</v>
      </c>
      <c r="U878" s="24">
        <v>4.1178303196417021E-2</v>
      </c>
      <c r="V878" s="24">
        <f t="shared" si="100"/>
        <v>4.2973427543067544E-2</v>
      </c>
      <c r="W878" s="23">
        <f t="shared" si="101"/>
        <v>3.512443027731349E-3</v>
      </c>
      <c r="X878" s="24">
        <v>4.0818011812634669E-2</v>
      </c>
      <c r="Y878" s="24">
        <f t="shared" si="102"/>
        <v>4.2974452865582435E-2</v>
      </c>
      <c r="Z878" s="23">
        <f t="shared" si="103"/>
        <v>3.5125254314258836E-3</v>
      </c>
      <c r="AA878" s="36"/>
    </row>
    <row r="879" spans="15:27" ht="13.9" customHeight="1" x14ac:dyDescent="0.3">
      <c r="O879" s="12">
        <f t="shared" si="97"/>
        <v>72.166666666666671</v>
      </c>
      <c r="P879" s="13">
        <v>866</v>
      </c>
      <c r="Q879" s="22">
        <v>3.2901262462037506E-2</v>
      </c>
      <c r="R879" s="19">
        <f t="shared" si="98"/>
        <v>3.3272653211499081E-2</v>
      </c>
      <c r="S879" s="22">
        <v>3.9404246039556945E-2</v>
      </c>
      <c r="T879" s="19">
        <f t="shared" si="99"/>
        <v>4.2977545621622149E-2</v>
      </c>
      <c r="U879" s="24">
        <v>4.1180374305418432E-2</v>
      </c>
      <c r="V879" s="24">
        <f t="shared" si="100"/>
        <v>4.2973668424068467E-2</v>
      </c>
      <c r="W879" s="23">
        <f t="shared" si="101"/>
        <v>3.5124625183684532E-3</v>
      </c>
      <c r="X879" s="24">
        <v>4.0820499356253315E-2</v>
      </c>
      <c r="Y879" s="24">
        <f t="shared" si="102"/>
        <v>4.297469129697995E-2</v>
      </c>
      <c r="Z879" s="23">
        <f t="shared" si="103"/>
        <v>3.5125447291124434E-3</v>
      </c>
      <c r="AA879" s="36"/>
    </row>
    <row r="880" spans="15:27" ht="13.9" customHeight="1" x14ac:dyDescent="0.3">
      <c r="O880" s="12">
        <f t="shared" si="97"/>
        <v>72.25</v>
      </c>
      <c r="P880" s="13">
        <v>867</v>
      </c>
      <c r="Q880" s="22">
        <v>3.290169074816629E-2</v>
      </c>
      <c r="R880" s="19">
        <f t="shared" si="98"/>
        <v>3.3273960859708573E-2</v>
      </c>
      <c r="S880" s="22">
        <v>3.9408360432264367E-2</v>
      </c>
      <c r="T880" s="19">
        <f t="shared" si="99"/>
        <v>4.2977773349857529E-2</v>
      </c>
      <c r="U880" s="24">
        <v>4.1182440918236196E-2</v>
      </c>
      <c r="V880" s="24">
        <f t="shared" si="100"/>
        <v>4.2973907120815502E-2</v>
      </c>
      <c r="W880" s="23">
        <f t="shared" si="101"/>
        <v>3.5124818323042373E-3</v>
      </c>
      <c r="X880" s="24">
        <v>4.0822981441958506E-2</v>
      </c>
      <c r="Y880" s="24">
        <f t="shared" si="102"/>
        <v>4.2974927502992921E-2</v>
      </c>
      <c r="Z880" s="23">
        <f t="shared" si="103"/>
        <v>3.5125638466209086E-3</v>
      </c>
      <c r="AA880" s="36"/>
    </row>
    <row r="881" spans="15:27" ht="13.9" customHeight="1" x14ac:dyDescent="0.3">
      <c r="O881" s="12">
        <f t="shared" si="97"/>
        <v>72.333333333333329</v>
      </c>
      <c r="P881" s="13">
        <v>868</v>
      </c>
      <c r="Q881" s="22">
        <v>3.290211955360367E-2</v>
      </c>
      <c r="R881" s="19">
        <f t="shared" si="98"/>
        <v>3.3275257624755694E-2</v>
      </c>
      <c r="S881" s="22">
        <v>3.941246562249745E-2</v>
      </c>
      <c r="T881" s="19">
        <f t="shared" si="99"/>
        <v>4.2977998768712888E-2</v>
      </c>
      <c r="U881" s="24">
        <v>4.1184503047885679E-2</v>
      </c>
      <c r="V881" s="24">
        <f t="shared" si="100"/>
        <v>4.2974143652948271E-2</v>
      </c>
      <c r="W881" s="23">
        <f t="shared" si="101"/>
        <v>3.512500971101451E-3</v>
      </c>
      <c r="X881" s="24">
        <v>4.082545808603677E-2</v>
      </c>
      <c r="Y881" s="24">
        <f t="shared" si="102"/>
        <v>4.2975161503947978E-2</v>
      </c>
      <c r="Z881" s="23">
        <f t="shared" si="103"/>
        <v>3.512582785693219E-3</v>
      </c>
      <c r="AA881" s="36"/>
    </row>
    <row r="882" spans="15:27" ht="13.9" customHeight="1" x14ac:dyDescent="0.3">
      <c r="O882" s="12">
        <f t="shared" si="97"/>
        <v>72.416666666666671</v>
      </c>
      <c r="P882" s="13">
        <v>869</v>
      </c>
      <c r="Q882" s="22">
        <v>3.2902548864036874E-2</v>
      </c>
      <c r="R882" s="19">
        <f t="shared" si="98"/>
        <v>3.3276543598092179E-2</v>
      </c>
      <c r="S882" s="22">
        <v>3.9416561639323833E-2</v>
      </c>
      <c r="T882" s="19">
        <f t="shared" si="99"/>
        <v>4.2978221900612512E-2</v>
      </c>
      <c r="U882" s="24">
        <v>4.1186560707344499E-2</v>
      </c>
      <c r="V882" s="24">
        <f t="shared" si="100"/>
        <v>4.2974378041048311E-2</v>
      </c>
      <c r="W882" s="23">
        <f t="shared" si="101"/>
        <v>3.5125199363352788E-3</v>
      </c>
      <c r="X882" s="24">
        <v>4.0827929304723343E-2</v>
      </c>
      <c r="Y882" s="24">
        <f t="shared" si="102"/>
        <v>4.2975393320289212E-2</v>
      </c>
      <c r="Z882" s="23">
        <f t="shared" si="103"/>
        <v>3.5126015479594042E-3</v>
      </c>
      <c r="AA882" s="36"/>
    </row>
    <row r="883" spans="15:27" ht="13.9" customHeight="1" x14ac:dyDescent="0.3">
      <c r="O883" s="12">
        <f t="shared" si="97"/>
        <v>72.5</v>
      </c>
      <c r="P883" s="13">
        <v>870</v>
      </c>
      <c r="Q883" s="22">
        <v>3.2902978665324101E-2</v>
      </c>
      <c r="R883" s="19">
        <f t="shared" si="98"/>
        <v>3.3277818869446474E-2</v>
      </c>
      <c r="S883" s="22">
        <v>3.9420648511703904E-2</v>
      </c>
      <c r="T883" s="19">
        <f t="shared" si="99"/>
        <v>4.2978442769511904E-2</v>
      </c>
      <c r="U883" s="24">
        <v>4.1188613909554528E-2</v>
      </c>
      <c r="V883" s="24">
        <f t="shared" si="100"/>
        <v>4.2974610303819771E-2</v>
      </c>
      <c r="W883" s="23">
        <f t="shared" si="101"/>
        <v>3.5125387296557342E-3</v>
      </c>
      <c r="X883" s="24">
        <v>4.0830395114202167E-2</v>
      </c>
      <c r="Y883" s="24">
        <f t="shared" si="102"/>
        <v>4.2975622973110195E-2</v>
      </c>
      <c r="Z883" s="23">
        <f t="shared" si="103"/>
        <v>3.5126201350588193E-3</v>
      </c>
      <c r="AA883" s="36"/>
    </row>
    <row r="884" spans="15:27" ht="13.9" customHeight="1" x14ac:dyDescent="0.3">
      <c r="O884" s="12">
        <f t="shared" si="97"/>
        <v>72.583333333333329</v>
      </c>
      <c r="P884" s="13">
        <v>871</v>
      </c>
      <c r="Q884" s="22">
        <v>3.2903408943491641E-2</v>
      </c>
      <c r="R884" s="19">
        <f t="shared" si="98"/>
        <v>3.3279083528090503E-2</v>
      </c>
      <c r="S884" s="22">
        <v>3.9424726268492361E-2</v>
      </c>
      <c r="T884" s="19">
        <f t="shared" si="99"/>
        <v>4.2978661397692353E-2</v>
      </c>
      <c r="U884" s="24">
        <v>4.1190662667419664E-2</v>
      </c>
      <c r="V884" s="24">
        <f t="shared" si="100"/>
        <v>4.2974840460530128E-2</v>
      </c>
      <c r="W884" s="23">
        <f t="shared" si="101"/>
        <v>3.5125573525629505E-3</v>
      </c>
      <c r="X884" s="24">
        <v>4.0832855530607226E-2</v>
      </c>
      <c r="Y884" s="24">
        <f t="shared" si="102"/>
        <v>4.2975850481818956E-2</v>
      </c>
      <c r="Z884" s="23">
        <f t="shared" si="103"/>
        <v>3.5126385486827783E-3</v>
      </c>
      <c r="AA884" s="36"/>
    </row>
    <row r="885" spans="15:27" ht="13.9" customHeight="1" x14ac:dyDescent="0.3">
      <c r="O885" s="12">
        <f t="shared" si="97"/>
        <v>72.666666666666671</v>
      </c>
      <c r="P885" s="13">
        <v>872</v>
      </c>
      <c r="Q885" s="22">
        <v>3.2903839684732095E-2</v>
      </c>
      <c r="R885" s="19">
        <f t="shared" si="98"/>
        <v>3.3280337662849213E-2</v>
      </c>
      <c r="S885" s="22">
        <v>3.9428794938437095E-2</v>
      </c>
      <c r="T885" s="19">
        <f t="shared" si="99"/>
        <v>4.2978877808500293E-2</v>
      </c>
      <c r="U885" s="24">
        <v>4.1192706993806505E-2</v>
      </c>
      <c r="V885" s="24">
        <f t="shared" si="100"/>
        <v>4.2975068530446192E-2</v>
      </c>
      <c r="W885" s="23">
        <f t="shared" si="101"/>
        <v>3.5125758066016921E-3</v>
      </c>
      <c r="X885" s="24">
        <v>4.0835310570020544E-2</v>
      </c>
      <c r="Y885" s="24">
        <f t="shared" si="102"/>
        <v>4.2976075866878016E-2</v>
      </c>
      <c r="Z885" s="23">
        <f t="shared" si="103"/>
        <v>3.5126567903875916E-3</v>
      </c>
      <c r="AA885" s="36"/>
    </row>
    <row r="886" spans="15:27" ht="13.9" customHeight="1" x14ac:dyDescent="0.3">
      <c r="O886" s="12">
        <f t="shared" si="97"/>
        <v>72.75</v>
      </c>
      <c r="P886" s="13">
        <v>873</v>
      </c>
      <c r="Q886" s="22">
        <v>3.2904270875403041E-2</v>
      </c>
      <c r="R886" s="19">
        <f t="shared" si="98"/>
        <v>3.3281581361205737E-2</v>
      </c>
      <c r="S886" s="22">
        <v>3.9432854550181418E-2</v>
      </c>
      <c r="T886" s="19">
        <f t="shared" si="99"/>
        <v>4.2979092024120202E-2</v>
      </c>
      <c r="U886" s="24">
        <v>4.119474690154501E-2</v>
      </c>
      <c r="V886" s="24">
        <f t="shared" si="100"/>
        <v>4.2975294532693331E-2</v>
      </c>
      <c r="W886" s="23">
        <f t="shared" si="101"/>
        <v>3.5125940933167232E-3</v>
      </c>
      <c r="X886" s="24">
        <v>4.0837760248474186E-2</v>
      </c>
      <c r="Y886" s="24">
        <f t="shared" si="102"/>
        <v>4.2976299148212993E-2</v>
      </c>
      <c r="Z886" s="23">
        <f t="shared" si="103"/>
        <v>3.512674861814169E-3</v>
      </c>
      <c r="AA886" s="36"/>
    </row>
    <row r="887" spans="15:27" ht="13.9" customHeight="1" x14ac:dyDescent="0.3">
      <c r="O887" s="12">
        <f t="shared" si="97"/>
        <v>72.833333333333329</v>
      </c>
      <c r="P887" s="13">
        <v>874</v>
      </c>
      <c r="Q887" s="22">
        <v>3.2904702502024819E-2</v>
      </c>
      <c r="R887" s="19">
        <f t="shared" si="98"/>
        <v>3.3282814710691611E-2</v>
      </c>
      <c r="S887" s="22">
        <v>3.9436905132262723E-2</v>
      </c>
      <c r="T887" s="19">
        <f t="shared" si="99"/>
        <v>4.2979304066975921E-2</v>
      </c>
      <c r="U887" s="24">
        <v>4.1196782403428278E-2</v>
      </c>
      <c r="V887" s="24">
        <f t="shared" si="100"/>
        <v>4.2975518485669051E-2</v>
      </c>
      <c r="W887" s="23">
        <f t="shared" si="101"/>
        <v>3.512612214241928E-3</v>
      </c>
      <c r="X887" s="24">
        <v>4.0840204581949369E-2</v>
      </c>
      <c r="Y887" s="24">
        <f t="shared" si="102"/>
        <v>4.2976520345139546E-2</v>
      </c>
      <c r="Z887" s="23">
        <f t="shared" si="103"/>
        <v>3.5126927645598993E-3</v>
      </c>
      <c r="AA887" s="36"/>
    </row>
    <row r="888" spans="15:27" ht="13.9" customHeight="1" x14ac:dyDescent="0.3">
      <c r="O888" s="12">
        <f t="shared" si="97"/>
        <v>72.916666666666671</v>
      </c>
      <c r="P888" s="13">
        <v>875</v>
      </c>
      <c r="Q888" s="22">
        <v>3.2905134551278969E-2</v>
      </c>
      <c r="R888" s="19">
        <f t="shared" si="98"/>
        <v>3.3284037797290944E-2</v>
      </c>
      <c r="S888" s="22">
        <v>3.9440946713114045E-2</v>
      </c>
      <c r="T888" s="19">
        <f t="shared" si="99"/>
        <v>4.2979513958904647E-2</v>
      </c>
      <c r="U888" s="24">
        <v>4.1198813512211663E-2</v>
      </c>
      <c r="V888" s="24">
        <f t="shared" si="100"/>
        <v>4.2975740408214946E-2</v>
      </c>
      <c r="W888" s="23">
        <f t="shared" si="101"/>
        <v>3.5126301708525709E-3</v>
      </c>
      <c r="X888" s="24">
        <v>4.0842643586376681E-2</v>
      </c>
      <c r="Y888" s="24">
        <f t="shared" si="102"/>
        <v>4.297673947727576E-2</v>
      </c>
      <c r="Z888" s="23">
        <f t="shared" si="103"/>
        <v>3.5127105001739878E-3</v>
      </c>
      <c r="AA888" s="36"/>
    </row>
    <row r="889" spans="15:27" ht="13.9" customHeight="1" x14ac:dyDescent="0.3">
      <c r="O889" s="12">
        <f t="shared" si="97"/>
        <v>73</v>
      </c>
      <c r="P889" s="13">
        <v>876</v>
      </c>
      <c r="Q889" s="22">
        <v>3.2905567010006465E-2</v>
      </c>
      <c r="R889" s="19">
        <f t="shared" si="98"/>
        <v>3.3285250706686531E-2</v>
      </c>
      <c r="S889" s="22">
        <v>3.9444979321063389E-2</v>
      </c>
      <c r="T889" s="19">
        <f t="shared" si="99"/>
        <v>4.2979721721934538E-2</v>
      </c>
      <c r="U889" s="24">
        <v>4.1200840240614323E-2</v>
      </c>
      <c r="V889" s="24">
        <f t="shared" si="100"/>
        <v>4.297596031844253E-2</v>
      </c>
      <c r="W889" s="23">
        <f t="shared" si="101"/>
        <v>3.5126479646592212E-3</v>
      </c>
      <c r="X889" s="24">
        <v>4.0845077277636088E-2</v>
      </c>
      <c r="Y889" s="24">
        <f t="shared" si="102"/>
        <v>4.2976956564064084E-2</v>
      </c>
      <c r="Z889" s="23">
        <f t="shared" si="103"/>
        <v>3.5127280702293984E-3</v>
      </c>
      <c r="AA889" s="36"/>
    </row>
    <row r="890" spans="15:27" ht="13.9" customHeight="1" x14ac:dyDescent="0.3">
      <c r="O890" s="12">
        <f t="shared" si="97"/>
        <v>73.083333333333329</v>
      </c>
      <c r="P890" s="13">
        <v>877</v>
      </c>
      <c r="Q890" s="22">
        <v>3.2905999865205704E-2</v>
      </c>
      <c r="R890" s="19">
        <f t="shared" si="98"/>
        <v>3.3286453523426962E-2</v>
      </c>
      <c r="S890" s="22">
        <v>3.9449002984334847E-2</v>
      </c>
      <c r="T890" s="19">
        <f t="shared" si="99"/>
        <v>4.2979927377593041E-2</v>
      </c>
      <c r="U890" s="24">
        <v>4.1202862601317447E-2</v>
      </c>
      <c r="V890" s="24">
        <f t="shared" si="100"/>
        <v>4.2976178235121454E-2</v>
      </c>
      <c r="W890" s="23">
        <f t="shared" si="101"/>
        <v>3.5126655971140508E-3</v>
      </c>
      <c r="X890" s="24">
        <v>4.0847505671557371E-2</v>
      </c>
      <c r="Y890" s="24">
        <f t="shared" si="102"/>
        <v>4.2977171624568156E-2</v>
      </c>
      <c r="Z890" s="23">
        <f t="shared" si="103"/>
        <v>3.5127454762851062E-3</v>
      </c>
      <c r="AA890" s="36"/>
    </row>
    <row r="891" spans="15:27" ht="13.9" customHeight="1" x14ac:dyDescent="0.3">
      <c r="O891" s="12">
        <f t="shared" si="97"/>
        <v>73.166666666666671</v>
      </c>
      <c r="P891" s="13">
        <v>878</v>
      </c>
      <c r="Q891" s="22">
        <v>3.2906433104030741E-2</v>
      </c>
      <c r="R891" s="19">
        <f t="shared" si="98"/>
        <v>3.3287646332959886E-2</v>
      </c>
      <c r="S891" s="22">
        <v>3.945301773104859E-2</v>
      </c>
      <c r="T891" s="19">
        <f t="shared" si="99"/>
        <v>4.2980130947260387E-2</v>
      </c>
      <c r="U891" s="24">
        <v>4.1204880606966254E-2</v>
      </c>
      <c r="V891" s="24">
        <f t="shared" si="100"/>
        <v>4.2976394175752164E-2</v>
      </c>
      <c r="W891" s="23">
        <f t="shared" si="101"/>
        <v>3.512683069722522E-3</v>
      </c>
      <c r="X891" s="24">
        <v>4.0849928783920131E-2</v>
      </c>
      <c r="Y891" s="24">
        <f t="shared" si="102"/>
        <v>4.2977384677061359E-2</v>
      </c>
      <c r="Z891" s="23">
        <f t="shared" si="103"/>
        <v>3.5127627198696665E-3</v>
      </c>
      <c r="AA891" s="36"/>
    </row>
    <row r="892" spans="15:27" ht="13.9" customHeight="1" x14ac:dyDescent="0.3">
      <c r="O892" s="12">
        <f t="shared" si="97"/>
        <v>73.25</v>
      </c>
      <c r="P892" s="13">
        <v>879</v>
      </c>
      <c r="Q892" s="22">
        <v>3.2906866713791061E-2</v>
      </c>
      <c r="R892" s="19">
        <f t="shared" si="98"/>
        <v>3.3288829217606564E-2</v>
      </c>
      <c r="S892" s="22">
        <v>3.9457023589221096E-2</v>
      </c>
      <c r="T892" s="19">
        <f t="shared" si="99"/>
        <v>4.2980332451995951E-2</v>
      </c>
      <c r="U892" s="24">
        <v>4.1206894270168215E-2</v>
      </c>
      <c r="V892" s="24">
        <f t="shared" si="100"/>
        <v>4.2976608158746155E-2</v>
      </c>
      <c r="W892" s="23">
        <f t="shared" si="101"/>
        <v>3.5127003838877346E-3</v>
      </c>
      <c r="X892" s="24">
        <v>4.0852346630452674E-2</v>
      </c>
      <c r="Y892" s="24">
        <f t="shared" si="102"/>
        <v>4.2977595740933294E-2</v>
      </c>
      <c r="Z892" s="23">
        <f t="shared" si="103"/>
        <v>3.5127798024485735E-3</v>
      </c>
      <c r="AA892" s="36"/>
    </row>
    <row r="893" spans="15:27" ht="13.9" customHeight="1" x14ac:dyDescent="0.3">
      <c r="O893" s="12">
        <f t="shared" si="97"/>
        <v>73.333333333333329</v>
      </c>
      <c r="P893" s="13">
        <v>880</v>
      </c>
      <c r="Q893" s="22">
        <v>3.2907300681947582E-2</v>
      </c>
      <c r="R893" s="19">
        <f t="shared" si="98"/>
        <v>3.329000226004375E-2</v>
      </c>
      <c r="S893" s="22">
        <v>3.9461020586765816E-2</v>
      </c>
      <c r="T893" s="19">
        <f t="shared" si="99"/>
        <v>4.2980531912824249E-2</v>
      </c>
      <c r="U893" s="24">
        <v>4.1208903603494385E-2</v>
      </c>
      <c r="V893" s="24">
        <f t="shared" si="100"/>
        <v>4.2976820201528598E-2</v>
      </c>
      <c r="W893" s="23">
        <f t="shared" si="101"/>
        <v>3.5127175410858413E-3</v>
      </c>
      <c r="X893" s="24">
        <v>4.0854759226834014E-2</v>
      </c>
      <c r="Y893" s="24">
        <f t="shared" si="102"/>
        <v>4.2977804835089284E-2</v>
      </c>
      <c r="Z893" s="23">
        <f t="shared" si="103"/>
        <v>3.5127967255761394E-3</v>
      </c>
      <c r="AA893" s="36"/>
    </row>
    <row r="894" spans="15:27" ht="13.9" customHeight="1" x14ac:dyDescent="0.3">
      <c r="O894" s="12">
        <f t="shared" si="97"/>
        <v>73.416666666666671</v>
      </c>
      <c r="P894" s="13">
        <v>881</v>
      </c>
      <c r="Q894" s="22">
        <v>3.2907734996111992E-2</v>
      </c>
      <c r="R894" s="19">
        <f t="shared" si="98"/>
        <v>3.329116554303102E-2</v>
      </c>
      <c r="S894" s="22">
        <v>3.9465008751493169E-2</v>
      </c>
      <c r="T894" s="19">
        <f t="shared" si="99"/>
        <v>4.2980729350569735E-2</v>
      </c>
      <c r="U894" s="24">
        <v>4.1210908619478515E-2</v>
      </c>
      <c r="V894" s="24">
        <f t="shared" si="100"/>
        <v>4.2977030321797782E-2</v>
      </c>
      <c r="W894" s="23">
        <f t="shared" si="101"/>
        <v>3.5127345427141687E-3</v>
      </c>
      <c r="X894" s="24">
        <v>4.0857166588693428E-2</v>
      </c>
      <c r="Y894" s="24">
        <f t="shared" si="102"/>
        <v>4.297801197705331E-2</v>
      </c>
      <c r="Z894" s="23">
        <f t="shared" si="103"/>
        <v>3.512813490768707E-3</v>
      </c>
      <c r="AA894" s="36"/>
    </row>
    <row r="895" spans="15:27" ht="13.9" customHeight="1" x14ac:dyDescent="0.3">
      <c r="O895" s="12">
        <f t="shared" si="97"/>
        <v>73.5</v>
      </c>
      <c r="P895" s="13">
        <v>882</v>
      </c>
      <c r="Q895" s="22">
        <v>3.2908169644045859E-2</v>
      </c>
      <c r="R895" s="19">
        <f t="shared" si="98"/>
        <v>3.3292319147820049E-2</v>
      </c>
      <c r="S895" s="22">
        <v>3.9468988111111436E-2</v>
      </c>
      <c r="T895" s="19">
        <f t="shared" si="99"/>
        <v>4.298092478591764E-2</v>
      </c>
      <c r="U895" s="24">
        <v>4.121290933061772E-2</v>
      </c>
      <c r="V895" s="24">
        <f t="shared" si="100"/>
        <v>4.2977238536933804E-2</v>
      </c>
      <c r="W895" s="23">
        <f t="shared" si="101"/>
        <v>3.512751390192026E-3</v>
      </c>
      <c r="X895" s="24">
        <v>4.0859568731609341E-2</v>
      </c>
      <c r="Y895" s="24">
        <f t="shared" si="102"/>
        <v>4.2978217185515755E-2</v>
      </c>
      <c r="Z895" s="23">
        <f t="shared" si="103"/>
        <v>3.5128300994311523E-3</v>
      </c>
      <c r="AA895" s="36"/>
    </row>
    <row r="896" spans="15:27" ht="13.9" customHeight="1" x14ac:dyDescent="0.3">
      <c r="O896" s="12">
        <f t="shared" si="97"/>
        <v>73.583333333333329</v>
      </c>
      <c r="P896" s="13">
        <v>883</v>
      </c>
      <c r="Q896" s="22">
        <v>3.2908604613658188E-2</v>
      </c>
      <c r="R896" s="19">
        <f t="shared" si="98"/>
        <v>3.3293463155355196E-2</v>
      </c>
      <c r="S896" s="22">
        <v>3.9472958693226534E-2</v>
      </c>
      <c r="T896" s="19">
        <f t="shared" si="99"/>
        <v>4.2981118238458738E-2</v>
      </c>
      <c r="U896" s="24">
        <v>4.1214905749372033E-2</v>
      </c>
      <c r="V896" s="24">
        <f t="shared" si="100"/>
        <v>4.2977444864325198E-2</v>
      </c>
      <c r="W896" s="23">
        <f t="shared" si="101"/>
        <v>3.512768084912965E-3</v>
      </c>
      <c r="X896" s="24">
        <v>4.0861965671110445E-2</v>
      </c>
      <c r="Y896" s="24">
        <f t="shared" si="102"/>
        <v>4.2978420478483992E-2</v>
      </c>
      <c r="Z896" s="23">
        <f t="shared" si="103"/>
        <v>3.5128465530622766E-3</v>
      </c>
      <c r="AA896" s="36"/>
    </row>
    <row r="897" spans="15:27" ht="13.9" customHeight="1" x14ac:dyDescent="0.3">
      <c r="O897" s="12">
        <f t="shared" si="97"/>
        <v>73.666666666666671</v>
      </c>
      <c r="P897" s="13">
        <v>884</v>
      </c>
      <c r="Q897" s="22">
        <v>3.290903989300431E-2</v>
      </c>
      <c r="R897" s="19">
        <f t="shared" si="98"/>
        <v>3.3294597644698332E-2</v>
      </c>
      <c r="S897" s="22">
        <v>3.9476920525342241E-2</v>
      </c>
      <c r="T897" s="19">
        <f t="shared" si="99"/>
        <v>4.2981309729201556E-2</v>
      </c>
      <c r="U897" s="24">
        <v>4.121689788816485E-2</v>
      </c>
      <c r="V897" s="24">
        <f t="shared" si="100"/>
        <v>4.2977649321344735E-2</v>
      </c>
      <c r="W897" s="23">
        <f t="shared" si="101"/>
        <v>3.5127846282712039E-3</v>
      </c>
      <c r="X897" s="24">
        <v>4.0864357422675912E-2</v>
      </c>
      <c r="Y897" s="24">
        <f t="shared" si="102"/>
        <v>4.2978621874154577E-2</v>
      </c>
      <c r="Z897" s="23">
        <f t="shared" si="103"/>
        <v>3.5128628531060357E-3</v>
      </c>
      <c r="AA897" s="36"/>
    </row>
    <row r="898" spans="15:27" ht="13.9" customHeight="1" x14ac:dyDescent="0.3">
      <c r="O898" s="12">
        <f t="shared" si="97"/>
        <v>73.75</v>
      </c>
      <c r="P898" s="13">
        <v>885</v>
      </c>
      <c r="Q898" s="22">
        <v>3.2909475470283001E-2</v>
      </c>
      <c r="R898" s="19">
        <f t="shared" si="98"/>
        <v>3.3295722696231156E-2</v>
      </c>
      <c r="S898" s="22">
        <v>3.9480873634861524E-2</v>
      </c>
      <c r="T898" s="19">
        <f t="shared" si="99"/>
        <v>4.2981499277746638E-2</v>
      </c>
      <c r="U898" s="24">
        <v>4.121888575938315E-2</v>
      </c>
      <c r="V898" s="24">
        <f t="shared" si="100"/>
        <v>4.2977851924647537E-2</v>
      </c>
      <c r="W898" s="23">
        <f t="shared" si="101"/>
        <v>3.5128010216598504E-3</v>
      </c>
      <c r="X898" s="24">
        <v>4.08667440017354E-2</v>
      </c>
      <c r="Y898" s="24">
        <f t="shared" si="102"/>
        <v>4.2978821389921151E-2</v>
      </c>
      <c r="Z898" s="23">
        <f t="shared" si="103"/>
        <v>3.512879001021485E-3</v>
      </c>
      <c r="AA898" s="36"/>
    </row>
    <row r="899" spans="15:27" ht="13.9" customHeight="1" x14ac:dyDescent="0.3">
      <c r="O899" s="12">
        <f t="shared" si="97"/>
        <v>73.833333333333329</v>
      </c>
      <c r="P899" s="13">
        <v>886</v>
      </c>
      <c r="Q899" s="22">
        <v>3.2909911333836694E-2</v>
      </c>
      <c r="R899" s="19">
        <f t="shared" si="98"/>
        <v>3.3296838388501726E-2</v>
      </c>
      <c r="S899" s="22">
        <v>3.9484818049085879E-2</v>
      </c>
      <c r="T899" s="19">
        <f t="shared" si="99"/>
        <v>4.2981686903469374E-2</v>
      </c>
      <c r="U899" s="24">
        <v>4.122086937537639E-2</v>
      </c>
      <c r="V899" s="24">
        <f t="shared" si="100"/>
        <v>4.2978052690592294E-2</v>
      </c>
      <c r="W899" s="23">
        <f t="shared" si="101"/>
        <v>3.5128172664142809E-3</v>
      </c>
      <c r="X899" s="24">
        <v>4.0869125423668384E-2</v>
      </c>
      <c r="Y899" s="24">
        <f t="shared" si="102"/>
        <v>4.2979019042833189E-2</v>
      </c>
      <c r="Z899" s="23">
        <f t="shared" si="103"/>
        <v>3.5128949982032864E-3</v>
      </c>
      <c r="AA899" s="36"/>
    </row>
    <row r="900" spans="15:27" ht="13.9" customHeight="1" x14ac:dyDescent="0.3">
      <c r="O900" s="12">
        <f t="shared" si="97"/>
        <v>73.916666666666671</v>
      </c>
      <c r="P900" s="13">
        <v>887</v>
      </c>
      <c r="Q900" s="22">
        <v>3.2910347472149271E-2</v>
      </c>
      <c r="R900" s="19">
        <f t="shared" si="98"/>
        <v>3.3297944799213663E-2</v>
      </c>
      <c r="S900" s="22">
        <v>3.948875379521577E-2</v>
      </c>
      <c r="T900" s="19">
        <f t="shared" si="99"/>
        <v>4.298187262619102E-2</v>
      </c>
      <c r="U900" s="24">
        <v>4.1222848748457386E-2</v>
      </c>
      <c r="V900" s="24">
        <f t="shared" si="100"/>
        <v>4.2978251636481168E-2</v>
      </c>
      <c r="W900" s="23">
        <f t="shared" si="101"/>
        <v>3.5128333638463349E-3</v>
      </c>
      <c r="X900" s="24">
        <v>4.0871501703804602E-2</v>
      </c>
      <c r="Y900" s="24">
        <f t="shared" si="102"/>
        <v>4.2979214851426972E-2</v>
      </c>
      <c r="Z900" s="23">
        <f t="shared" si="103"/>
        <v>3.5129108460185687E-3</v>
      </c>
      <c r="AA900" s="36"/>
    </row>
    <row r="901" spans="15:27" ht="13.9" customHeight="1" x14ac:dyDescent="0.3">
      <c r="O901" s="12">
        <f t="shared" si="97"/>
        <v>74</v>
      </c>
      <c r="P901" s="13">
        <v>888</v>
      </c>
      <c r="Q901" s="22">
        <v>3.2910783873843608E-2</v>
      </c>
      <c r="R901" s="19">
        <f t="shared" si="98"/>
        <v>3.3299042005938029E-2</v>
      </c>
      <c r="S901" s="22">
        <v>3.9492680900351518E-2</v>
      </c>
      <c r="T901" s="19">
        <f t="shared" si="99"/>
        <v>4.2982056465290519E-2</v>
      </c>
      <c r="U901" s="24">
        <v>4.122482389090254E-2</v>
      </c>
      <c r="V901" s="24">
        <f t="shared" si="100"/>
        <v>4.2978448779373402E-2</v>
      </c>
      <c r="W901" s="23">
        <f t="shared" si="101"/>
        <v>3.5128493153433471E-3</v>
      </c>
      <c r="X901" s="24">
        <v>4.0873872857425164E-2</v>
      </c>
      <c r="Y901" s="24">
        <f t="shared" si="102"/>
        <v>4.2979408831761434E-2</v>
      </c>
      <c r="Z901" s="23">
        <f t="shared" si="103"/>
        <v>3.5129265459536985E-3</v>
      </c>
      <c r="AA901" s="36"/>
    </row>
    <row r="902" spans="15:27" ht="13.9" customHeight="1" x14ac:dyDescent="0.3">
      <c r="O902" s="12">
        <f t="shared" si="97"/>
        <v>74.083333333333329</v>
      </c>
      <c r="P902" s="13">
        <v>889</v>
      </c>
      <c r="Q902" s="22">
        <v>3.2911220527681362E-2</v>
      </c>
      <c r="R902" s="19">
        <f t="shared" si="98"/>
        <v>3.3300130085673896E-2</v>
      </c>
      <c r="S902" s="22">
        <v>3.9496599391493525E-2</v>
      </c>
      <c r="T902" s="19">
        <f t="shared" si="99"/>
        <v>4.2982238439669418E-2</v>
      </c>
      <c r="U902" s="24">
        <v>4.1226794814952283E-2</v>
      </c>
      <c r="V902" s="24">
        <f t="shared" si="100"/>
        <v>4.2978644134090027E-2</v>
      </c>
      <c r="W902" s="23">
        <f t="shared" si="101"/>
        <v>3.5128651222731122E-3</v>
      </c>
      <c r="X902" s="24">
        <v>4.0876238899760997E-2</v>
      </c>
      <c r="Y902" s="24">
        <f t="shared" si="102"/>
        <v>4.2979601001927881E-2</v>
      </c>
      <c r="Z902" s="23">
        <f t="shared" si="103"/>
        <v>3.5129420992963123E-3</v>
      </c>
      <c r="AA902" s="36"/>
    </row>
    <row r="903" spans="15:27" ht="13.9" customHeight="1" x14ac:dyDescent="0.3">
      <c r="O903" s="12">
        <f t="shared" si="97"/>
        <v>74.166666666666671</v>
      </c>
      <c r="P903" s="13">
        <v>890</v>
      </c>
      <c r="Q903" s="22">
        <v>3.2911657422560969E-2</v>
      </c>
      <c r="R903" s="19">
        <f t="shared" si="98"/>
        <v>3.3301209113693941E-2</v>
      </c>
      <c r="S903" s="22">
        <v>3.950050929554183E-2</v>
      </c>
      <c r="T903" s="19">
        <f t="shared" si="99"/>
        <v>4.2982418568147773E-2</v>
      </c>
      <c r="U903" s="24">
        <v>4.1228761532808855E-2</v>
      </c>
      <c r="V903" s="24">
        <f t="shared" si="100"/>
        <v>4.2978837717934981E-2</v>
      </c>
      <c r="W903" s="23">
        <f t="shared" si="101"/>
        <v>3.512880785824235E-3</v>
      </c>
      <c r="X903" s="24">
        <v>4.0878599845994623E-2</v>
      </c>
      <c r="Y903" s="24">
        <f t="shared" si="102"/>
        <v>4.2979791377875998E-2</v>
      </c>
      <c r="Z903" s="23">
        <f t="shared" si="103"/>
        <v>3.5129575074970276E-3</v>
      </c>
      <c r="AA903" s="36"/>
    </row>
    <row r="904" spans="15:27" ht="13.9" customHeight="1" x14ac:dyDescent="0.3">
      <c r="O904" s="12">
        <f t="shared" si="97"/>
        <v>74.25</v>
      </c>
      <c r="P904" s="13">
        <v>891</v>
      </c>
      <c r="Q904" s="22">
        <v>3.2912094547515425E-2</v>
      </c>
      <c r="R904" s="19">
        <f t="shared" si="98"/>
        <v>3.3302279166894211E-2</v>
      </c>
      <c r="S904" s="22">
        <v>3.9504410639297438E-2</v>
      </c>
      <c r="T904" s="19">
        <f t="shared" si="99"/>
        <v>4.2982596869558964E-2</v>
      </c>
      <c r="U904" s="24">
        <v>4.1230724056638968E-2</v>
      </c>
      <c r="V904" s="24">
        <f t="shared" si="100"/>
        <v>4.2979029546339031E-2</v>
      </c>
      <c r="W904" s="23">
        <f t="shared" si="101"/>
        <v>3.5128963073840502E-3</v>
      </c>
      <c r="X904" s="24">
        <v>4.088095571125816E-2</v>
      </c>
      <c r="Y904" s="24">
        <f t="shared" si="102"/>
        <v>4.2979979977148197E-2</v>
      </c>
      <c r="Z904" s="23">
        <f t="shared" si="103"/>
        <v>3.5129727718348214E-3</v>
      </c>
      <c r="AA904" s="36"/>
    </row>
    <row r="905" spans="15:27" ht="13.9" customHeight="1" x14ac:dyDescent="0.3">
      <c r="O905" s="12">
        <f t="shared" si="97"/>
        <v>74.333333333333329</v>
      </c>
      <c r="P905" s="13">
        <v>892</v>
      </c>
      <c r="Q905" s="22">
        <v>3.2912531891712726E-2</v>
      </c>
      <c r="R905" s="19">
        <f t="shared" si="98"/>
        <v>3.3303340318321606E-2</v>
      </c>
      <c r="S905" s="22">
        <v>3.9508303449462101E-2</v>
      </c>
      <c r="T905" s="19">
        <f t="shared" si="99"/>
        <v>4.2982773363073212E-2</v>
      </c>
      <c r="U905" s="24">
        <v>4.1232682398572251E-2</v>
      </c>
      <c r="V905" s="24">
        <f t="shared" si="100"/>
        <v>4.2979219636192889E-2</v>
      </c>
      <c r="W905" s="23">
        <f t="shared" si="101"/>
        <v>3.5129116881900124E-3</v>
      </c>
      <c r="X905" s="24">
        <v>4.0883306510635986E-2</v>
      </c>
      <c r="Y905" s="24">
        <f t="shared" si="102"/>
        <v>4.2980166816065202E-2</v>
      </c>
      <c r="Z905" s="23">
        <f t="shared" si="103"/>
        <v>3.5129878937161241E-3</v>
      </c>
      <c r="AA905" s="36"/>
    </row>
    <row r="906" spans="15:27" ht="13.9" customHeight="1" x14ac:dyDescent="0.3">
      <c r="O906" s="12">
        <f t="shared" si="97"/>
        <v>74.416666666666671</v>
      </c>
      <c r="P906" s="13">
        <v>893</v>
      </c>
      <c r="Q906" s="22">
        <v>3.2912969444451434E-2</v>
      </c>
      <c r="R906" s="19">
        <f t="shared" si="98"/>
        <v>3.3304392644122327E-2</v>
      </c>
      <c r="S906" s="22">
        <v>3.9512187752639427E-2</v>
      </c>
      <c r="T906" s="19">
        <f t="shared" si="99"/>
        <v>4.2982948065721338E-2</v>
      </c>
      <c r="U906" s="24">
        <v>4.123463657070281E-2</v>
      </c>
      <c r="V906" s="24">
        <f t="shared" si="100"/>
        <v>4.2979408002605801E-2</v>
      </c>
      <c r="W906" s="23">
        <f t="shared" si="101"/>
        <v>3.5129269295963717E-3</v>
      </c>
      <c r="X906" s="24">
        <v>4.0885652259162963E-2</v>
      </c>
      <c r="Y906" s="24">
        <f t="shared" si="102"/>
        <v>4.2980351910815839E-2</v>
      </c>
      <c r="Z906" s="23">
        <f t="shared" si="103"/>
        <v>3.5130028744498887E-3</v>
      </c>
      <c r="AA906" s="36"/>
    </row>
    <row r="907" spans="15:27" ht="13.9" customHeight="1" x14ac:dyDescent="0.3">
      <c r="O907" s="12">
        <f t="shared" si="97"/>
        <v>74.5</v>
      </c>
      <c r="P907" s="13">
        <v>894</v>
      </c>
      <c r="Q907" s="22">
        <v>3.2913407195163114E-2</v>
      </c>
      <c r="R907" s="19">
        <f t="shared" si="98"/>
        <v>3.3305436216064965E-2</v>
      </c>
      <c r="S907" s="22">
        <v>3.9516063575333549E-2</v>
      </c>
      <c r="T907" s="19">
        <f t="shared" si="99"/>
        <v>4.2983120996881174E-2</v>
      </c>
      <c r="U907" s="24">
        <v>4.1236586585087442E-2</v>
      </c>
      <c r="V907" s="24">
        <f t="shared" si="100"/>
        <v>4.2979594660517595E-2</v>
      </c>
      <c r="W907" s="23">
        <f t="shared" si="101"/>
        <v>3.5129420328146033E-3</v>
      </c>
      <c r="X907" s="24">
        <v>4.0887992971824882E-2</v>
      </c>
      <c r="Y907" s="24">
        <f t="shared" si="102"/>
        <v>4.2980535277879151E-2</v>
      </c>
      <c r="Z907" s="23">
        <f t="shared" si="103"/>
        <v>3.5130177153341879E-3</v>
      </c>
      <c r="AA907" s="36"/>
    </row>
    <row r="908" spans="15:27" ht="13.9" customHeight="1" x14ac:dyDescent="0.3">
      <c r="O908" s="12">
        <f t="shared" si="97"/>
        <v>74.583333333333329</v>
      </c>
      <c r="P908" s="13">
        <v>895</v>
      </c>
      <c r="Q908" s="22">
        <v>3.2913845133406783E-2</v>
      </c>
      <c r="R908" s="19">
        <f t="shared" si="98"/>
        <v>3.3306471108229596E-2</v>
      </c>
      <c r="S908" s="22">
        <v>3.9519930943951564E-2</v>
      </c>
      <c r="T908" s="19">
        <f t="shared" si="99"/>
        <v>4.2983292174001209E-2</v>
      </c>
      <c r="U908" s="24">
        <v>4.1238532453746091E-2</v>
      </c>
      <c r="V908" s="24">
        <f t="shared" si="100"/>
        <v>4.297977962692423E-2</v>
      </c>
      <c r="W908" s="23">
        <f t="shared" si="101"/>
        <v>3.51295699904286E-3</v>
      </c>
      <c r="X908" s="24">
        <v>4.0890328663558906E-2</v>
      </c>
      <c r="Y908" s="24">
        <f t="shared" si="102"/>
        <v>4.2980716933465946E-2</v>
      </c>
      <c r="Z908" s="23">
        <f t="shared" si="103"/>
        <v>3.5130324176899652E-3</v>
      </c>
      <c r="AA908" s="36"/>
    </row>
    <row r="909" spans="15:27" ht="13.9" customHeight="1" x14ac:dyDescent="0.3">
      <c r="O909" s="12">
        <f t="shared" si="97"/>
        <v>74.666666666666671</v>
      </c>
      <c r="P909" s="13">
        <v>896</v>
      </c>
      <c r="Q909" s="22">
        <v>3.2914283248870468E-2</v>
      </c>
      <c r="R909" s="19">
        <f t="shared" si="98"/>
        <v>3.3307497393073593E-2</v>
      </c>
      <c r="S909" s="22">
        <v>3.9523789884802429E-2</v>
      </c>
      <c r="T909" s="19">
        <f t="shared" si="99"/>
        <v>4.2983461614608753E-2</v>
      </c>
      <c r="U909" s="24">
        <v>4.1240474188663612E-2</v>
      </c>
      <c r="V909" s="24">
        <f t="shared" si="100"/>
        <v>4.2979962916082748E-2</v>
      </c>
      <c r="W909" s="23">
        <f t="shared" si="101"/>
        <v>3.5129718296438295E-3</v>
      </c>
      <c r="X909" s="24">
        <v>4.0892659349253568E-2</v>
      </c>
      <c r="Y909" s="24">
        <f t="shared" si="102"/>
        <v>4.2980896893688003E-2</v>
      </c>
      <c r="Z909" s="23">
        <f t="shared" si="103"/>
        <v>3.5130469828175137E-3</v>
      </c>
      <c r="AA909" s="36"/>
    </row>
    <row r="910" spans="15:27" ht="13.9" customHeight="1" x14ac:dyDescent="0.3">
      <c r="O910" s="12">
        <f t="shared" ref="O910:O973" si="104">P910/12</f>
        <v>74.75</v>
      </c>
      <c r="P910" s="13">
        <v>897</v>
      </c>
      <c r="Q910" s="22">
        <v>3.2914721531369207E-2</v>
      </c>
      <c r="R910" s="19">
        <f t="shared" ref="R910:R973" si="105">(1+Q911)^P911/(1+Q910)^P910-1</f>
        <v>3.3308515141720063E-2</v>
      </c>
      <c r="S910" s="22">
        <v>3.9527640424097399E-2</v>
      </c>
      <c r="T910" s="19">
        <f t="shared" ref="T910:T973" si="106">(1+S911)^P911/(1+S910)^P910-1</f>
        <v>4.2983629337245643E-2</v>
      </c>
      <c r="U910" s="24">
        <v>4.124241180178756E-2</v>
      </c>
      <c r="V910" s="24">
        <f t="shared" ref="V910:V973" si="107">(1+U911)^P911/(1+U910)^P910-1</f>
        <v>4.2980144543818044E-2</v>
      </c>
      <c r="W910" s="23">
        <f t="shared" si="101"/>
        <v>3.5129865257608195E-3</v>
      </c>
      <c r="X910" s="24">
        <v>4.0894985043749221E-2</v>
      </c>
      <c r="Y910" s="24">
        <f t="shared" si="102"/>
        <v>4.2981075173717853E-2</v>
      </c>
      <c r="Z910" s="23">
        <f t="shared" si="103"/>
        <v>3.5130614120086889E-3</v>
      </c>
      <c r="AA910" s="36"/>
    </row>
    <row r="911" spans="15:27" ht="13.9" customHeight="1" x14ac:dyDescent="0.3">
      <c r="O911" s="12">
        <f t="shared" si="104"/>
        <v>74.833333333333329</v>
      </c>
      <c r="P911" s="13">
        <v>898</v>
      </c>
      <c r="Q911" s="22">
        <v>3.29151599708426E-2</v>
      </c>
      <c r="R911" s="19">
        <f t="shared" si="105"/>
        <v>3.3309524425598536E-2</v>
      </c>
      <c r="S911" s="22">
        <v>3.9531482587951583E-2</v>
      </c>
      <c r="T911" s="19">
        <f t="shared" si="106"/>
        <v>4.2983795358138677E-2</v>
      </c>
      <c r="U911" s="24">
        <v>4.1244345305029739E-2</v>
      </c>
      <c r="V911" s="24">
        <f t="shared" si="107"/>
        <v>4.2980324524424018E-2</v>
      </c>
      <c r="W911" s="23">
        <f t="shared" ref="W911:W974" si="108">(1+V910)^(1/12)-1</f>
        <v>3.5130010886625929E-3</v>
      </c>
      <c r="X911" s="24">
        <v>4.0897305761836922E-2</v>
      </c>
      <c r="Y911" s="24">
        <f t="shared" ref="Y911:Y974" si="109">(1+X912)^P912/(1+X911)^P911-1</f>
        <v>4.2981251789873998E-2</v>
      </c>
      <c r="Z911" s="23">
        <f t="shared" ref="Z911:Z974" si="110">(1+Y910)^(1/12)-1</f>
        <v>3.5130757064798512E-3</v>
      </c>
      <c r="AA911" s="36"/>
    </row>
    <row r="912" spans="15:27" ht="13.9" customHeight="1" x14ac:dyDescent="0.3">
      <c r="O912" s="12">
        <f t="shared" si="104"/>
        <v>74.916666666666671</v>
      </c>
      <c r="P912" s="13">
        <v>899</v>
      </c>
      <c r="Q912" s="22">
        <v>3.2915598557354153E-2</v>
      </c>
      <c r="R912" s="19">
        <f t="shared" si="105"/>
        <v>3.3310525315105588E-2</v>
      </c>
      <c r="S912" s="22">
        <v>3.9535316402382392E-2</v>
      </c>
      <c r="T912" s="19">
        <f t="shared" si="106"/>
        <v>4.2983959695334528E-2</v>
      </c>
      <c r="U912" s="24">
        <v>4.1246274710265318E-2</v>
      </c>
      <c r="V912" s="24">
        <f t="shared" si="107"/>
        <v>4.2980502873798399E-2</v>
      </c>
      <c r="W912" s="23">
        <f t="shared" si="108"/>
        <v>3.5130155194953439E-3</v>
      </c>
      <c r="X912" s="24">
        <v>4.0899621518259988E-2</v>
      </c>
      <c r="Y912" s="24">
        <f t="shared" si="109"/>
        <v>4.2981426757588537E-2</v>
      </c>
      <c r="Z912" s="23">
        <f t="shared" si="110"/>
        <v>3.5130898675395095E-3</v>
      </c>
      <c r="AA912" s="36"/>
    </row>
    <row r="913" spans="15:27" ht="13.9" customHeight="1" x14ac:dyDescent="0.3">
      <c r="O913" s="12">
        <f t="shared" si="104"/>
        <v>75</v>
      </c>
      <c r="P913" s="13">
        <v>900</v>
      </c>
      <c r="Q913" s="22">
        <v>3.291603728109016E-2</v>
      </c>
      <c r="R913" s="19">
        <f t="shared" si="105"/>
        <v>3.3311517880244557E-2</v>
      </c>
      <c r="S913" s="22">
        <v>3.9539141893311536E-2</v>
      </c>
      <c r="T913" s="19">
        <f t="shared" si="106"/>
        <v>4.2984122366118926E-2</v>
      </c>
      <c r="U913" s="24">
        <v>4.1248200029333715E-2</v>
      </c>
      <c r="V913" s="24">
        <f t="shared" si="107"/>
        <v>4.2980679606162475E-2</v>
      </c>
      <c r="W913" s="23">
        <f t="shared" si="108"/>
        <v>3.5130298195336085E-3</v>
      </c>
      <c r="X913" s="24">
        <v>4.0901932327713553E-2</v>
      </c>
      <c r="Y913" s="24">
        <f t="shared" si="109"/>
        <v>4.2981600092555361E-2</v>
      </c>
      <c r="Z913" s="23">
        <f t="shared" si="110"/>
        <v>3.5131038964253403E-3</v>
      </c>
      <c r="AA913" s="36"/>
    </row>
    <row r="914" spans="15:27" ht="13.9" customHeight="1" x14ac:dyDescent="0.3">
      <c r="O914" s="12">
        <f t="shared" si="104"/>
        <v>75.083333333333329</v>
      </c>
      <c r="P914" s="13">
        <v>901</v>
      </c>
      <c r="Q914" s="22">
        <v>3.2916476132357708E-2</v>
      </c>
      <c r="R914" s="19">
        <f t="shared" si="105"/>
        <v>3.3312502191075621E-2</v>
      </c>
      <c r="S914" s="22">
        <v>3.95429590865648E-2</v>
      </c>
      <c r="T914" s="19">
        <f t="shared" si="106"/>
        <v>4.2984283386487965E-2</v>
      </c>
      <c r="U914" s="24">
        <v>4.1250121274037932E-2</v>
      </c>
      <c r="V914" s="24">
        <f t="shared" si="107"/>
        <v>4.2980854736086371E-2</v>
      </c>
      <c r="W914" s="23">
        <f t="shared" si="108"/>
        <v>3.513043989918252E-3</v>
      </c>
      <c r="X914" s="24">
        <v>4.0904238204844789E-2</v>
      </c>
      <c r="Y914" s="24">
        <f t="shared" si="109"/>
        <v>4.2981771808886515E-2</v>
      </c>
      <c r="Z914" s="23">
        <f t="shared" si="110"/>
        <v>3.5131177943956704E-3</v>
      </c>
      <c r="AA914" s="36"/>
    </row>
    <row r="915" spans="15:27" ht="13.9" customHeight="1" x14ac:dyDescent="0.3">
      <c r="O915" s="12">
        <f t="shared" si="104"/>
        <v>75.166666666666671</v>
      </c>
      <c r="P915" s="13">
        <v>902</v>
      </c>
      <c r="Q915" s="22">
        <v>3.2916915101584898E-2</v>
      </c>
      <c r="R915" s="19">
        <f t="shared" si="105"/>
        <v>3.3313478315134093E-2</v>
      </c>
      <c r="S915" s="22">
        <v>3.9546768007871602E-2</v>
      </c>
      <c r="T915" s="19">
        <f t="shared" si="106"/>
        <v>4.2984442774159692E-2</v>
      </c>
      <c r="U915" s="24">
        <v>4.1252038456144779E-2</v>
      </c>
      <c r="V915" s="24">
        <f t="shared" si="107"/>
        <v>4.2981028278109568E-2</v>
      </c>
      <c r="W915" s="23">
        <f t="shared" si="108"/>
        <v>3.5130580318170068E-3</v>
      </c>
      <c r="X915" s="24">
        <v>4.0906539164251798E-2</v>
      </c>
      <c r="Y915" s="24">
        <f t="shared" si="109"/>
        <v>4.2981941923022404E-2</v>
      </c>
      <c r="Z915" s="23">
        <f t="shared" si="110"/>
        <v>3.5131315625818171E-3</v>
      </c>
      <c r="AA915" s="36"/>
    </row>
    <row r="916" spans="15:27" ht="13.9" customHeight="1" x14ac:dyDescent="0.3">
      <c r="O916" s="12">
        <f t="shared" si="104"/>
        <v>75.25</v>
      </c>
      <c r="P916" s="13">
        <v>903</v>
      </c>
      <c r="Q916" s="22">
        <v>3.2917354179316849E-2</v>
      </c>
      <c r="R916" s="19">
        <f t="shared" si="105"/>
        <v>3.3314446321672575E-2</v>
      </c>
      <c r="S916" s="22">
        <v>3.9550568682866993E-2</v>
      </c>
      <c r="T916" s="19">
        <f t="shared" si="106"/>
        <v>4.2984600544707208E-2</v>
      </c>
      <c r="U916" s="24">
        <v>4.1253951587385096E-2</v>
      </c>
      <c r="V916" s="24">
        <f t="shared" si="107"/>
        <v>4.2981200247266038E-2</v>
      </c>
      <c r="W916" s="23">
        <f t="shared" si="108"/>
        <v>3.5130719463958293E-3</v>
      </c>
      <c r="X916" s="24">
        <v>4.0908835220485829E-2</v>
      </c>
      <c r="Y916" s="24">
        <f t="shared" si="109"/>
        <v>4.2982110448909205E-2</v>
      </c>
      <c r="Z916" s="23">
        <f t="shared" si="110"/>
        <v>3.5131452023020593E-3</v>
      </c>
      <c r="AA916" s="36"/>
    </row>
    <row r="917" spans="15:27" ht="13.9" customHeight="1" x14ac:dyDescent="0.3">
      <c r="O917" s="12">
        <f t="shared" si="104"/>
        <v>75.333333333333329</v>
      </c>
      <c r="P917" s="13">
        <v>904</v>
      </c>
      <c r="Q917" s="22">
        <v>3.2917793356217029E-2</v>
      </c>
      <c r="R917" s="19">
        <f t="shared" si="105"/>
        <v>3.3315406278334736E-2</v>
      </c>
      <c r="S917" s="22">
        <v>3.9554361137089877E-2</v>
      </c>
      <c r="T917" s="19">
        <f t="shared" si="106"/>
        <v>4.2984756715562566E-2</v>
      </c>
      <c r="U917" s="24">
        <v>4.1255860679454193E-2</v>
      </c>
      <c r="V917" s="24">
        <f t="shared" si="107"/>
        <v>4.2981370657580564E-2</v>
      </c>
      <c r="W917" s="23">
        <f t="shared" si="108"/>
        <v>3.5130857348604216E-3</v>
      </c>
      <c r="X917" s="24">
        <v>4.0911126388049723E-2</v>
      </c>
      <c r="Y917" s="24">
        <f t="shared" si="109"/>
        <v>4.2982277402332958E-2</v>
      </c>
      <c r="Z917" s="23">
        <f t="shared" si="110"/>
        <v>3.5131587146748355E-3</v>
      </c>
      <c r="AA917" s="36"/>
    </row>
    <row r="918" spans="15:27" ht="13.9" customHeight="1" x14ac:dyDescent="0.3">
      <c r="O918" s="12">
        <f t="shared" si="104"/>
        <v>75.416666666666671</v>
      </c>
      <c r="P918" s="13">
        <v>905</v>
      </c>
      <c r="Q918" s="22">
        <v>3.2918232623065036E-2</v>
      </c>
      <c r="R918" s="19">
        <f t="shared" si="105"/>
        <v>3.3316358251372025E-2</v>
      </c>
      <c r="S918" s="22">
        <v>3.9558145395985678E-2</v>
      </c>
      <c r="T918" s="19">
        <f t="shared" si="106"/>
        <v>4.2984911302138329E-2</v>
      </c>
      <c r="U918" s="24">
        <v>4.125776574401141E-2</v>
      </c>
      <c r="V918" s="24">
        <f t="shared" si="107"/>
        <v>4.2981539522125356E-2</v>
      </c>
      <c r="W918" s="23">
        <f t="shared" si="108"/>
        <v>3.5130993983352177E-3</v>
      </c>
      <c r="X918" s="24">
        <v>4.0913412681399253E-2</v>
      </c>
      <c r="Y918" s="24">
        <f t="shared" si="109"/>
        <v>4.2982442797043552E-2</v>
      </c>
      <c r="Z918" s="23">
        <f t="shared" si="110"/>
        <v>3.5131721009660222E-3</v>
      </c>
      <c r="AA918" s="36"/>
    </row>
    <row r="919" spans="15:27" ht="13.9" customHeight="1" x14ac:dyDescent="0.3">
      <c r="O919" s="12">
        <f t="shared" si="104"/>
        <v>75.5</v>
      </c>
      <c r="P919" s="13">
        <v>906</v>
      </c>
      <c r="Q919" s="22">
        <v>3.2918671970754154E-2</v>
      </c>
      <c r="R919" s="19">
        <f t="shared" si="105"/>
        <v>3.3317302307753538E-2</v>
      </c>
      <c r="S919" s="22">
        <v>3.9561921484904561E-2</v>
      </c>
      <c r="T919" s="19">
        <f t="shared" si="106"/>
        <v>4.2985064321044986E-2</v>
      </c>
      <c r="U919" s="24">
        <v>4.1259666792679228E-2</v>
      </c>
      <c r="V919" s="24">
        <f t="shared" si="107"/>
        <v>4.2981706856501045E-2</v>
      </c>
      <c r="W919" s="23">
        <f t="shared" si="108"/>
        <v>3.5131129378682679E-3</v>
      </c>
      <c r="X919" s="24">
        <v>4.0915694114941781E-2</v>
      </c>
      <c r="Y919" s="24">
        <f t="shared" si="109"/>
        <v>4.2982606647887334E-2</v>
      </c>
      <c r="Z919" s="23">
        <f t="shared" si="110"/>
        <v>3.5131853622778486E-3</v>
      </c>
      <c r="AA919" s="36"/>
    </row>
    <row r="920" spans="15:27" ht="13.9" customHeight="1" x14ac:dyDescent="0.3">
      <c r="O920" s="12">
        <f t="shared" si="104"/>
        <v>75.583333333333329</v>
      </c>
      <c r="P920" s="13">
        <v>907</v>
      </c>
      <c r="Q920" s="22">
        <v>3.29191113902918E-2</v>
      </c>
      <c r="R920" s="19">
        <f t="shared" si="105"/>
        <v>3.3318238514135734E-2</v>
      </c>
      <c r="S920" s="22">
        <v>3.9565689429103434E-2</v>
      </c>
      <c r="T920" s="19">
        <f t="shared" si="106"/>
        <v>4.2985215787966657E-2</v>
      </c>
      <c r="U920" s="24">
        <v>4.126156383704549E-2</v>
      </c>
      <c r="V920" s="24">
        <f t="shared" si="107"/>
        <v>4.2981872673531152E-2</v>
      </c>
      <c r="W920" s="23">
        <f t="shared" si="108"/>
        <v>3.5131263547107938E-3</v>
      </c>
      <c r="X920" s="24">
        <v>4.0917970703037598E-2</v>
      </c>
      <c r="Y920" s="24">
        <f t="shared" si="109"/>
        <v>4.2982768969772156E-2</v>
      </c>
      <c r="Z920" s="23">
        <f t="shared" si="110"/>
        <v>3.513198499800918E-3</v>
      </c>
      <c r="AA920" s="36"/>
    </row>
    <row r="921" spans="15:27" ht="13.9" customHeight="1" x14ac:dyDescent="0.3">
      <c r="O921" s="12">
        <f t="shared" si="104"/>
        <v>75.666666666666671</v>
      </c>
      <c r="P921" s="13">
        <v>908</v>
      </c>
      <c r="Q921" s="22">
        <v>3.2919550872798187E-2</v>
      </c>
      <c r="R921" s="19">
        <f t="shared" si="105"/>
        <v>3.3319166935118494E-2</v>
      </c>
      <c r="S921" s="22">
        <v>3.9569449253745281E-2</v>
      </c>
      <c r="T921" s="19">
        <f t="shared" si="106"/>
        <v>4.2985365718267055E-2</v>
      </c>
      <c r="U921" s="24">
        <v>4.1263456888661842E-2</v>
      </c>
      <c r="V921" s="24">
        <f t="shared" si="107"/>
        <v>4.2982036987420091E-2</v>
      </c>
      <c r="W921" s="23">
        <f t="shared" si="108"/>
        <v>3.5131396498908618E-3</v>
      </c>
      <c r="X921" s="24">
        <v>4.0920242459999923E-2</v>
      </c>
      <c r="Y921" s="24">
        <f t="shared" si="109"/>
        <v>4.2982929776293144E-2</v>
      </c>
      <c r="Z921" s="23">
        <f t="shared" si="110"/>
        <v>3.5132115147304965E-3</v>
      </c>
      <c r="AA921" s="36"/>
    </row>
    <row r="922" spans="15:27" ht="13.9" customHeight="1" x14ac:dyDescent="0.3">
      <c r="O922" s="12">
        <f t="shared" si="104"/>
        <v>75.75</v>
      </c>
      <c r="P922" s="13">
        <v>909</v>
      </c>
      <c r="Q922" s="22">
        <v>3.2919990409503885E-2</v>
      </c>
      <c r="R922" s="19">
        <f t="shared" si="105"/>
        <v>3.3320087635291706E-2</v>
      </c>
      <c r="S922" s="22">
        <v>3.9573200983899381E-2</v>
      </c>
      <c r="T922" s="19">
        <f t="shared" si="106"/>
        <v>4.2985514128551339E-2</v>
      </c>
      <c r="U922" s="24">
        <v>4.1265345959044186E-2</v>
      </c>
      <c r="V922" s="24">
        <f t="shared" si="107"/>
        <v>4.2982199811136823E-2</v>
      </c>
      <c r="W922" s="23">
        <f t="shared" si="108"/>
        <v>3.5131528245473387E-3</v>
      </c>
      <c r="X922" s="24">
        <v>4.0922509400094231E-2</v>
      </c>
      <c r="Y922" s="24">
        <f t="shared" si="109"/>
        <v>4.2983089082356818E-2</v>
      </c>
      <c r="Z922" s="23">
        <f t="shared" si="110"/>
        <v>3.5132244081566011E-3</v>
      </c>
      <c r="AA922" s="36"/>
    </row>
    <row r="923" spans="15:27" ht="13.9" customHeight="1" x14ac:dyDescent="0.3">
      <c r="O923" s="12">
        <f t="shared" si="104"/>
        <v>75.833333333333329</v>
      </c>
      <c r="P923" s="13">
        <v>910</v>
      </c>
      <c r="Q923" s="22">
        <v>3.2920429991748934E-2</v>
      </c>
      <c r="R923" s="19">
        <f t="shared" si="105"/>
        <v>3.3321000680099688E-2</v>
      </c>
      <c r="S923" s="22">
        <v>3.9576944644542866E-2</v>
      </c>
      <c r="T923" s="19">
        <f t="shared" si="106"/>
        <v>4.2985661033070555E-2</v>
      </c>
      <c r="U923" s="24">
        <v>4.1267231059672449E-2</v>
      </c>
      <c r="V923" s="24">
        <f t="shared" si="107"/>
        <v>4.2982361159423332E-2</v>
      </c>
      <c r="W923" s="23">
        <f t="shared" si="108"/>
        <v>3.5131658797200593E-3</v>
      </c>
      <c r="X923" s="24">
        <v>4.0924771537539373E-2</v>
      </c>
      <c r="Y923" s="24">
        <f t="shared" si="109"/>
        <v>4.2983246900755168E-2</v>
      </c>
      <c r="Z923" s="23">
        <f t="shared" si="110"/>
        <v>3.5132371812749419E-3</v>
      </c>
      <c r="AA923" s="36"/>
    </row>
    <row r="924" spans="15:27" ht="13.9" customHeight="1" x14ac:dyDescent="0.3">
      <c r="O924" s="12">
        <f t="shared" si="104"/>
        <v>75.916666666666671</v>
      </c>
      <c r="P924" s="13">
        <v>911</v>
      </c>
      <c r="Q924" s="22">
        <v>3.2920869610982839E-2</v>
      </c>
      <c r="R924" s="19">
        <f t="shared" si="105"/>
        <v>3.3321906131962731E-2</v>
      </c>
      <c r="S924" s="22">
        <v>3.9580680260559609E-2</v>
      </c>
      <c r="T924" s="19">
        <f t="shared" si="106"/>
        <v>4.298580644804173E-2</v>
      </c>
      <c r="U924" s="24">
        <v>4.126911220199192E-2</v>
      </c>
      <c r="V924" s="24">
        <f t="shared" si="107"/>
        <v>4.2982521044990785E-2</v>
      </c>
      <c r="W924" s="23">
        <f t="shared" si="108"/>
        <v>3.5131788165914113E-3</v>
      </c>
      <c r="X924" s="24">
        <v>4.0927028886506234E-2</v>
      </c>
      <c r="Y924" s="24">
        <f t="shared" si="109"/>
        <v>4.2983403246967811E-2</v>
      </c>
      <c r="Z924" s="23">
        <f t="shared" si="110"/>
        <v>3.5132498351106989E-3</v>
      </c>
      <c r="AA924" s="36"/>
    </row>
    <row r="925" spans="15:27" ht="13.9" customHeight="1" x14ac:dyDescent="0.3">
      <c r="O925" s="12">
        <f t="shared" si="104"/>
        <v>76</v>
      </c>
      <c r="P925" s="13">
        <v>912</v>
      </c>
      <c r="Q925" s="22">
        <v>3.2921309258761688E-2</v>
      </c>
      <c r="R925" s="19">
        <f t="shared" si="105"/>
        <v>3.3322804055577748E-2</v>
      </c>
      <c r="S925" s="22">
        <v>3.9584407856741555E-2</v>
      </c>
      <c r="T925" s="19">
        <f t="shared" si="106"/>
        <v>4.2985950387858685E-2</v>
      </c>
      <c r="U925" s="24">
        <v>4.1270989397412139E-2</v>
      </c>
      <c r="V925" s="24">
        <f t="shared" si="107"/>
        <v>4.2982679480793928E-2</v>
      </c>
      <c r="W925" s="23">
        <f t="shared" si="108"/>
        <v>3.5131916361805793E-3</v>
      </c>
      <c r="X925" s="24">
        <v>4.0929281461120182E-2</v>
      </c>
      <c r="Y925" s="24">
        <f t="shared" si="109"/>
        <v>4.2983558133711908E-2</v>
      </c>
      <c r="Z925" s="23">
        <f t="shared" si="110"/>
        <v>3.5132623709053235E-3</v>
      </c>
      <c r="AA925" s="36"/>
    </row>
    <row r="926" spans="15:27" ht="13.9" customHeight="1" x14ac:dyDescent="0.3">
      <c r="O926" s="12">
        <f t="shared" si="104"/>
        <v>76.083333333333329</v>
      </c>
      <c r="P926" s="13">
        <v>913</v>
      </c>
      <c r="Q926" s="22">
        <v>3.2921748926748817E-2</v>
      </c>
      <c r="R926" s="19">
        <f t="shared" si="105"/>
        <v>3.3323694512653823E-2</v>
      </c>
      <c r="S926" s="22">
        <v>3.9588127457788502E-2</v>
      </c>
      <c r="T926" s="19">
        <f t="shared" si="106"/>
        <v>4.2986092867840053E-2</v>
      </c>
      <c r="U926" s="24">
        <v>4.1272862657306453E-2</v>
      </c>
      <c r="V926" s="24">
        <f t="shared" si="107"/>
        <v>4.2982836480007558E-2</v>
      </c>
      <c r="W926" s="23">
        <f t="shared" si="108"/>
        <v>3.5132043395260659E-3</v>
      </c>
      <c r="X926" s="24">
        <v>4.0931529275458844E-2</v>
      </c>
      <c r="Y926" s="24">
        <f t="shared" si="109"/>
        <v>4.2983711574242855E-2</v>
      </c>
      <c r="Z926" s="23">
        <f t="shared" si="110"/>
        <v>3.5132747896784444E-3</v>
      </c>
      <c r="AA926" s="36"/>
    </row>
    <row r="927" spans="15:27" ht="13.9" customHeight="1" x14ac:dyDescent="0.3">
      <c r="O927" s="12">
        <f t="shared" si="104"/>
        <v>76.166666666666671</v>
      </c>
      <c r="P927" s="13">
        <v>914</v>
      </c>
      <c r="Q927" s="22">
        <v>3.2922188606711922E-2</v>
      </c>
      <c r="R927" s="19">
        <f t="shared" si="105"/>
        <v>3.3324577565631675E-2</v>
      </c>
      <c r="S927" s="22">
        <v>3.9591839088308323E-2</v>
      </c>
      <c r="T927" s="19">
        <f t="shared" si="106"/>
        <v>4.2986233903151705E-2</v>
      </c>
      <c r="U927" s="24">
        <v>4.1274731993012903E-2</v>
      </c>
      <c r="V927" s="24">
        <f t="shared" si="107"/>
        <v>4.298299205650391E-2</v>
      </c>
      <c r="W927" s="23">
        <f t="shared" si="108"/>
        <v>3.5132169276843594E-3</v>
      </c>
      <c r="X927" s="24">
        <v>4.0933772343552777E-2</v>
      </c>
      <c r="Y927" s="24">
        <f t="shared" si="109"/>
        <v>4.2983863583091031E-2</v>
      </c>
      <c r="Z927" s="23">
        <f t="shared" si="110"/>
        <v>3.5132870924929893E-3</v>
      </c>
      <c r="AA927" s="36"/>
    </row>
    <row r="928" spans="15:27" ht="13.9" customHeight="1" x14ac:dyDescent="0.3">
      <c r="O928" s="12">
        <f t="shared" si="104"/>
        <v>76.25</v>
      </c>
      <c r="P928" s="13">
        <v>915</v>
      </c>
      <c r="Q928" s="22">
        <v>3.2922628290522615E-2</v>
      </c>
      <c r="R928" s="19">
        <f t="shared" si="105"/>
        <v>3.3325453276714878E-2</v>
      </c>
      <c r="S928" s="22">
        <v>3.9595542772818737E-2</v>
      </c>
      <c r="T928" s="19">
        <f t="shared" si="106"/>
        <v>4.2986373507470033E-2</v>
      </c>
      <c r="U928" s="24">
        <v>4.1276597415835559E-2</v>
      </c>
      <c r="V928" s="24">
        <f t="shared" si="107"/>
        <v>4.2983146222512314E-2</v>
      </c>
      <c r="W928" s="23">
        <f t="shared" si="108"/>
        <v>3.5132294017676813E-3</v>
      </c>
      <c r="X928" s="24">
        <v>4.0936010679387014E-2</v>
      </c>
      <c r="Y928" s="24">
        <f t="shared" si="109"/>
        <v>4.2984014172954943E-2</v>
      </c>
      <c r="Z928" s="23">
        <f t="shared" si="110"/>
        <v>3.5132992805140262E-3</v>
      </c>
      <c r="AA928" s="36"/>
    </row>
    <row r="929" spans="15:27" ht="13.9" customHeight="1" x14ac:dyDescent="0.3">
      <c r="O929" s="12">
        <f t="shared" si="104"/>
        <v>76.333333333333329</v>
      </c>
      <c r="P929" s="13">
        <v>916</v>
      </c>
      <c r="Q929" s="22">
        <v>3.2923067970156206E-2</v>
      </c>
      <c r="R929" s="19">
        <f t="shared" si="105"/>
        <v>3.3326321705652306E-2</v>
      </c>
      <c r="S929" s="22">
        <v>3.9599238535744874E-2</v>
      </c>
      <c r="T929" s="19">
        <f t="shared" si="106"/>
        <v>4.298651169649581E-2</v>
      </c>
      <c r="U929" s="24">
        <v>4.1278458937041851E-2</v>
      </c>
      <c r="V929" s="24">
        <f t="shared" si="107"/>
        <v>4.2983298990712626E-2</v>
      </c>
      <c r="W929" s="23">
        <f t="shared" si="108"/>
        <v>3.5132417627570245E-3</v>
      </c>
      <c r="X929" s="24">
        <v>4.0938244296899517E-2</v>
      </c>
      <c r="Y929" s="24">
        <f t="shared" si="109"/>
        <v>4.2984163358025462E-2</v>
      </c>
      <c r="Z929" s="23">
        <f t="shared" si="110"/>
        <v>3.5133113547596295E-3</v>
      </c>
      <c r="AA929" s="36"/>
    </row>
    <row r="930" spans="15:27" ht="13.9" customHeight="1" x14ac:dyDescent="0.3">
      <c r="O930" s="12">
        <f t="shared" si="104"/>
        <v>76.416666666666671</v>
      </c>
      <c r="P930" s="13">
        <v>917</v>
      </c>
      <c r="Q930" s="22">
        <v>3.2923507637687921E-2</v>
      </c>
      <c r="R930" s="19">
        <f t="shared" si="105"/>
        <v>3.3327182915276587E-2</v>
      </c>
      <c r="S930" s="22">
        <v>3.9602926401422822E-2</v>
      </c>
      <c r="T930" s="19">
        <f t="shared" si="106"/>
        <v>4.298664848340783E-2</v>
      </c>
      <c r="U930" s="24">
        <v>4.128031656786435E-2</v>
      </c>
      <c r="V930" s="24">
        <f t="shared" si="107"/>
        <v>4.298345037368545E-2</v>
      </c>
      <c r="W930" s="23">
        <f t="shared" si="108"/>
        <v>3.5132540116686872E-3</v>
      </c>
      <c r="X930" s="24">
        <v>4.0940473209982731E-2</v>
      </c>
      <c r="Y930" s="24">
        <f t="shared" si="109"/>
        <v>4.2984311149610877E-2</v>
      </c>
      <c r="Z930" s="23">
        <f t="shared" si="110"/>
        <v>3.5133233163677779E-3</v>
      </c>
      <c r="AA930" s="36"/>
    </row>
    <row r="931" spans="15:27" ht="13.9" customHeight="1" x14ac:dyDescent="0.3">
      <c r="O931" s="12">
        <f t="shared" si="104"/>
        <v>76.5</v>
      </c>
      <c r="P931" s="13">
        <v>918</v>
      </c>
      <c r="Q931" s="22">
        <v>3.2923947285296018E-2</v>
      </c>
      <c r="R931" s="19">
        <f t="shared" si="105"/>
        <v>3.3328036963914842E-2</v>
      </c>
      <c r="S931" s="22">
        <v>3.9606606394097188E-2</v>
      </c>
      <c r="T931" s="19">
        <f t="shared" si="106"/>
        <v>4.2986783883274704E-2</v>
      </c>
      <c r="U931" s="24">
        <v>4.1282170319500322E-2</v>
      </c>
      <c r="V931" s="24">
        <f t="shared" si="107"/>
        <v>4.298360038489113E-2</v>
      </c>
      <c r="W931" s="23">
        <f t="shared" si="108"/>
        <v>3.5132661495116402E-3</v>
      </c>
      <c r="X931" s="24">
        <v>4.0942697432481134E-2</v>
      </c>
      <c r="Y931" s="24">
        <f t="shared" si="109"/>
        <v>4.2984457562135203E-2</v>
      </c>
      <c r="Z931" s="23">
        <f t="shared" si="110"/>
        <v>3.5133351662455237E-3</v>
      </c>
      <c r="AA931" s="36"/>
    </row>
    <row r="932" spans="15:27" ht="13.9" customHeight="1" x14ac:dyDescent="0.3">
      <c r="O932" s="12">
        <f t="shared" si="104"/>
        <v>76.583333333333329</v>
      </c>
      <c r="P932" s="13">
        <v>919</v>
      </c>
      <c r="Q932" s="22">
        <v>3.2924386905256009E-2</v>
      </c>
      <c r="R932" s="19">
        <f t="shared" si="105"/>
        <v>3.332888391166966E-2</v>
      </c>
      <c r="S932" s="22">
        <v>3.9610278537923316E-2</v>
      </c>
      <c r="T932" s="19">
        <f t="shared" si="106"/>
        <v>4.298691791016962E-2</v>
      </c>
      <c r="U932" s="24">
        <v>4.1284020203112837E-2</v>
      </c>
      <c r="V932" s="24">
        <f t="shared" si="107"/>
        <v>4.298374903601232E-2</v>
      </c>
      <c r="W932" s="23">
        <f t="shared" si="108"/>
        <v>3.5132781773650201E-3</v>
      </c>
      <c r="X932" s="24">
        <v>4.0944916978194579E-2</v>
      </c>
      <c r="Y932" s="24">
        <f t="shared" si="109"/>
        <v>4.2984602608760802E-2</v>
      </c>
      <c r="Z932" s="23">
        <f t="shared" si="110"/>
        <v>3.5133469055488309E-3</v>
      </c>
      <c r="AA932" s="36"/>
    </row>
    <row r="933" spans="15:27" ht="13.9" customHeight="1" x14ac:dyDescent="0.3">
      <c r="O933" s="12">
        <f t="shared" si="104"/>
        <v>76.666666666666671</v>
      </c>
      <c r="P933" s="13">
        <v>920</v>
      </c>
      <c r="Q933" s="22">
        <v>3.2924826489942882E-2</v>
      </c>
      <c r="R933" s="19">
        <f t="shared" si="105"/>
        <v>3.3329723817900225E-2</v>
      </c>
      <c r="S933" s="22">
        <v>3.9613942856966844E-2</v>
      </c>
      <c r="T933" s="19">
        <f t="shared" si="106"/>
        <v>4.2987050577143471E-2</v>
      </c>
      <c r="U933" s="24">
        <v>4.1285866229829216E-2</v>
      </c>
      <c r="V933" s="24">
        <f t="shared" si="107"/>
        <v>4.2983896339080063E-2</v>
      </c>
      <c r="W933" s="23">
        <f t="shared" si="108"/>
        <v>3.5132900961658553E-3</v>
      </c>
      <c r="X933" s="24">
        <v>4.0947131860877173E-2</v>
      </c>
      <c r="Y933" s="24">
        <f t="shared" si="109"/>
        <v>4.2984746300792853E-2</v>
      </c>
      <c r="Z933" s="23">
        <f t="shared" si="110"/>
        <v>3.5133585353335217E-3</v>
      </c>
      <c r="AA933" s="36"/>
    </row>
    <row r="934" spans="15:27" ht="13.9" customHeight="1" x14ac:dyDescent="0.3">
      <c r="O934" s="12">
        <f t="shared" si="104"/>
        <v>76.75</v>
      </c>
      <c r="P934" s="13">
        <v>921</v>
      </c>
      <c r="Q934" s="22">
        <v>3.2925266031828659E-2</v>
      </c>
      <c r="R934" s="19">
        <f t="shared" si="105"/>
        <v>3.3330556741482775E-2</v>
      </c>
      <c r="S934" s="22">
        <v>3.9617599375203705E-2</v>
      </c>
      <c r="T934" s="19">
        <f t="shared" si="106"/>
        <v>4.2987181898948235E-2</v>
      </c>
      <c r="U934" s="24">
        <v>4.1287708410741475E-2</v>
      </c>
      <c r="V934" s="24">
        <f t="shared" si="107"/>
        <v>4.2984042307167236E-2</v>
      </c>
      <c r="W934" s="23">
        <f t="shared" si="108"/>
        <v>3.5133019068784854E-3</v>
      </c>
      <c r="X934" s="24">
        <v>4.094934209423573E-2</v>
      </c>
      <c r="Y934" s="24">
        <f t="shared" si="109"/>
        <v>4.2984888651985242E-2</v>
      </c>
      <c r="Z934" s="23">
        <f t="shared" si="110"/>
        <v>3.5133700565057602E-3</v>
      </c>
      <c r="AA934" s="36"/>
    </row>
    <row r="935" spans="15:27" ht="13.9" customHeight="1" x14ac:dyDescent="0.3">
      <c r="O935" s="12">
        <f t="shared" si="104"/>
        <v>76.833333333333329</v>
      </c>
      <c r="P935" s="13">
        <v>922</v>
      </c>
      <c r="Q935" s="22">
        <v>3.2925705523481952E-2</v>
      </c>
      <c r="R935" s="19">
        <f t="shared" si="105"/>
        <v>3.3331382740138693E-2</v>
      </c>
      <c r="S935" s="22">
        <v>3.9621248116521235E-2</v>
      </c>
      <c r="T935" s="19">
        <f t="shared" si="106"/>
        <v>4.2987311888941004E-2</v>
      </c>
      <c r="U935" s="24">
        <v>4.128954675690788E-2</v>
      </c>
      <c r="V935" s="24">
        <f t="shared" si="107"/>
        <v>4.2984186952024661E-2</v>
      </c>
      <c r="W935" s="23">
        <f t="shared" si="108"/>
        <v>3.5133136105514051E-3</v>
      </c>
      <c r="X935" s="24">
        <v>4.0951547691932655E-2</v>
      </c>
      <c r="Y935" s="24">
        <f t="shared" si="109"/>
        <v>4.2985029674592612E-2</v>
      </c>
      <c r="Z935" s="23">
        <f t="shared" si="110"/>
        <v>3.5133814701686639E-3</v>
      </c>
      <c r="AA935" s="36"/>
    </row>
    <row r="936" spans="15:27" ht="13.9" customHeight="1" x14ac:dyDescent="0.3">
      <c r="O936" s="12">
        <f t="shared" si="104"/>
        <v>76.916666666666671</v>
      </c>
      <c r="P936" s="13">
        <v>923</v>
      </c>
      <c r="Q936" s="22">
        <v>3.2926144957566184E-2</v>
      </c>
      <c r="R936" s="19">
        <f t="shared" si="105"/>
        <v>3.3332201871575151E-2</v>
      </c>
      <c r="S936" s="22">
        <v>3.9624889104718397E-2</v>
      </c>
      <c r="T936" s="19">
        <f t="shared" si="106"/>
        <v>4.2987440560426027E-2</v>
      </c>
      <c r="U936" s="24">
        <v>4.1291381279351169E-2</v>
      </c>
      <c r="V936" s="24">
        <f t="shared" si="107"/>
        <v>4.2984330285655847E-2</v>
      </c>
      <c r="W936" s="23">
        <f t="shared" si="108"/>
        <v>3.5133252081265276E-3</v>
      </c>
      <c r="X936" s="24">
        <v>4.0953748667583945E-2</v>
      </c>
      <c r="Y936" s="24">
        <f t="shared" si="109"/>
        <v>4.2985169381180466E-2</v>
      </c>
      <c r="Z936" s="23">
        <f t="shared" si="110"/>
        <v>3.5133927773047802E-3</v>
      </c>
      <c r="AA936" s="36"/>
    </row>
    <row r="937" spans="15:27" ht="13.9" customHeight="1" x14ac:dyDescent="0.3">
      <c r="O937" s="12">
        <f t="shared" si="104"/>
        <v>77</v>
      </c>
      <c r="P937" s="13">
        <v>924</v>
      </c>
      <c r="Q937" s="22">
        <v>3.2926584326838926E-2</v>
      </c>
      <c r="R937" s="19">
        <f t="shared" si="105"/>
        <v>3.3333014193118737E-2</v>
      </c>
      <c r="S937" s="22">
        <v>3.9628522363505336E-2</v>
      </c>
      <c r="T937" s="19">
        <f t="shared" si="106"/>
        <v>4.2987567926999093E-2</v>
      </c>
      <c r="U937" s="24">
        <v>4.1293211989059664E-2</v>
      </c>
      <c r="V937" s="24">
        <f t="shared" si="107"/>
        <v>4.2984472319451905E-2</v>
      </c>
      <c r="W937" s="23">
        <f t="shared" si="108"/>
        <v>3.5133367005666383E-3</v>
      </c>
      <c r="X937" s="24">
        <v>4.0955945034760743E-2</v>
      </c>
      <c r="Y937" s="24">
        <f t="shared" si="109"/>
        <v>4.2985307783445226E-2</v>
      </c>
      <c r="Z937" s="23">
        <f t="shared" si="110"/>
        <v>3.5134039789215255E-3</v>
      </c>
      <c r="AA937" s="36"/>
    </row>
    <row r="938" spans="15:27" ht="13.9" customHeight="1" x14ac:dyDescent="0.3">
      <c r="O938" s="12">
        <f t="shared" si="104"/>
        <v>77.083333333333329</v>
      </c>
      <c r="P938" s="13">
        <v>925</v>
      </c>
      <c r="Q938" s="22">
        <v>3.292702362415123E-2</v>
      </c>
      <c r="R938" s="19">
        <f t="shared" si="105"/>
        <v>3.3333819762074279E-2</v>
      </c>
      <c r="S938" s="22">
        <v>3.963214791650449E-2</v>
      </c>
      <c r="T938" s="19">
        <f t="shared" si="106"/>
        <v>4.2987694001623167E-2</v>
      </c>
      <c r="U938" s="24">
        <v>4.129503889698638E-2</v>
      </c>
      <c r="V938" s="24">
        <f t="shared" si="107"/>
        <v>4.2984613065801813E-2</v>
      </c>
      <c r="W938" s="23">
        <f t="shared" si="108"/>
        <v>3.5133480887850066E-3</v>
      </c>
      <c r="X938" s="24">
        <v>4.095813680698801E-2</v>
      </c>
      <c r="Y938" s="24">
        <f t="shared" si="109"/>
        <v>4.2985444893809399E-2</v>
      </c>
      <c r="Z938" s="23">
        <f t="shared" si="110"/>
        <v>3.5134150759570382E-3</v>
      </c>
      <c r="AA938" s="36"/>
    </row>
    <row r="939" spans="15:27" ht="13.9" customHeight="1" x14ac:dyDescent="0.3">
      <c r="O939" s="12">
        <f t="shared" si="104"/>
        <v>77.166666666666671</v>
      </c>
      <c r="P939" s="13">
        <v>926</v>
      </c>
      <c r="Q939" s="22">
        <v>3.292746284244652E-2</v>
      </c>
      <c r="R939" s="19">
        <f t="shared" si="105"/>
        <v>3.3334618632930857E-2</v>
      </c>
      <c r="S939" s="22">
        <v>3.9635765787250365E-2</v>
      </c>
      <c r="T939" s="19">
        <f t="shared" si="106"/>
        <v>4.2987818797927346E-2</v>
      </c>
      <c r="U939" s="24">
        <v>4.1296862014050584E-2</v>
      </c>
      <c r="V939" s="24">
        <f t="shared" si="107"/>
        <v>4.2984752536805226E-2</v>
      </c>
      <c r="W939" s="23">
        <f t="shared" si="108"/>
        <v>3.5133593737750601E-3</v>
      </c>
      <c r="X939" s="24">
        <v>4.0960323997745851E-2</v>
      </c>
      <c r="Y939" s="24">
        <f t="shared" si="109"/>
        <v>4.2985580725238837E-2</v>
      </c>
      <c r="Z939" s="23">
        <f t="shared" si="110"/>
        <v>3.5134260694069663E-3</v>
      </c>
      <c r="AA939" s="36"/>
    </row>
    <row r="940" spans="15:27" ht="13.9" customHeight="1" x14ac:dyDescent="0.3">
      <c r="O940" s="12">
        <f t="shared" si="104"/>
        <v>77.25</v>
      </c>
      <c r="P940" s="13">
        <v>927</v>
      </c>
      <c r="Q940" s="22">
        <v>3.2927901974757701E-2</v>
      </c>
      <c r="R940" s="19">
        <f t="shared" si="105"/>
        <v>3.3335410863586601E-2</v>
      </c>
      <c r="S940" s="22">
        <v>3.9639375999190873E-2</v>
      </c>
      <c r="T940" s="19">
        <f t="shared" si="106"/>
        <v>4.2987942328572171E-2</v>
      </c>
      <c r="U940" s="24">
        <v>4.1298681351137123E-2</v>
      </c>
      <c r="V940" s="24">
        <f t="shared" si="107"/>
        <v>4.2984890743202442E-2</v>
      </c>
      <c r="W940" s="23">
        <f t="shared" si="108"/>
        <v>3.5133705565069118E-3</v>
      </c>
      <c r="X940" s="24">
        <v>4.0962506620469963E-2</v>
      </c>
      <c r="Y940" s="24">
        <f t="shared" si="109"/>
        <v>4.2985715288707427E-2</v>
      </c>
      <c r="Z940" s="23">
        <f t="shared" si="110"/>
        <v>3.5134369603111448E-3</v>
      </c>
      <c r="AA940" s="36"/>
    </row>
    <row r="941" spans="15:27" ht="13.9" customHeight="1" x14ac:dyDescent="0.3">
      <c r="O941" s="12">
        <f t="shared" si="104"/>
        <v>77.333333333333329</v>
      </c>
      <c r="P941" s="13">
        <v>928</v>
      </c>
      <c r="Q941" s="22">
        <v>3.292834101421005E-2</v>
      </c>
      <c r="R941" s="19">
        <f t="shared" si="105"/>
        <v>3.333619650811559E-2</v>
      </c>
      <c r="S941" s="22">
        <v>3.9642978575686438E-2</v>
      </c>
      <c r="T941" s="19">
        <f t="shared" si="106"/>
        <v>4.2988064605797849E-2</v>
      </c>
      <c r="U941" s="24">
        <v>4.1300496919095764E-2</v>
      </c>
      <c r="V941" s="24">
        <f t="shared" si="107"/>
        <v>4.2985027696176292E-2</v>
      </c>
      <c r="W941" s="23">
        <f t="shared" si="108"/>
        <v>3.5133816378416505E-3</v>
      </c>
      <c r="X941" s="24">
        <v>4.0964684688550079E-2</v>
      </c>
      <c r="Y941" s="24">
        <f t="shared" si="109"/>
        <v>4.2985848595658904E-2</v>
      </c>
      <c r="Z941" s="23">
        <f t="shared" si="110"/>
        <v>3.5134477495495364E-3</v>
      </c>
      <c r="AA941" s="36"/>
    </row>
    <row r="942" spans="15:27" ht="13.9" customHeight="1" x14ac:dyDescent="0.3">
      <c r="O942" s="12">
        <f t="shared" si="104"/>
        <v>77.416666666666671</v>
      </c>
      <c r="P942" s="13">
        <v>929</v>
      </c>
      <c r="Q942" s="22">
        <v>3.292877995401633E-2</v>
      </c>
      <c r="R942" s="19">
        <f t="shared" si="105"/>
        <v>3.3336975621204301E-2</v>
      </c>
      <c r="S942" s="22">
        <v>3.9646573540010221E-2</v>
      </c>
      <c r="T942" s="19">
        <f t="shared" si="106"/>
        <v>4.2988185643474841E-2</v>
      </c>
      <c r="U942" s="24">
        <v>4.1302308728741632E-2</v>
      </c>
      <c r="V942" s="24">
        <f t="shared" si="107"/>
        <v>4.2985163408022498E-2</v>
      </c>
      <c r="W942" s="23">
        <f t="shared" si="108"/>
        <v>3.5133926186761144E-3</v>
      </c>
      <c r="X942" s="24">
        <v>4.0966858215330859E-2</v>
      </c>
      <c r="Y942" s="24">
        <f t="shared" si="109"/>
        <v>4.2985980659048462E-2</v>
      </c>
      <c r="Z942" s="23">
        <f t="shared" si="110"/>
        <v>3.5134584380396294E-3</v>
      </c>
      <c r="AA942" s="36"/>
    </row>
    <row r="943" spans="15:27" ht="13.9" customHeight="1" x14ac:dyDescent="0.3">
      <c r="O943" s="12">
        <f t="shared" si="104"/>
        <v>77.5</v>
      </c>
      <c r="P943" s="13">
        <v>930</v>
      </c>
      <c r="Q943" s="22">
        <v>3.2929218787477899E-2</v>
      </c>
      <c r="R943" s="19">
        <f t="shared" si="105"/>
        <v>3.3337748258420064E-2</v>
      </c>
      <c r="S943" s="22">
        <v>3.9650160915350341E-2</v>
      </c>
      <c r="T943" s="19">
        <f t="shared" si="106"/>
        <v>4.2988305453387277E-2</v>
      </c>
      <c r="U943" s="24">
        <v>4.1304116790856549E-2</v>
      </c>
      <c r="V943" s="24">
        <f t="shared" si="107"/>
        <v>4.2985297889728047E-2</v>
      </c>
      <c r="W943" s="23">
        <f t="shared" si="108"/>
        <v>3.5134034999961816E-3</v>
      </c>
      <c r="X943" s="24">
        <v>4.0969027214113218E-2</v>
      </c>
      <c r="Y943" s="24">
        <f t="shared" si="109"/>
        <v>4.2986111489396794E-2</v>
      </c>
      <c r="Z943" s="23">
        <f t="shared" si="110"/>
        <v>3.5134690268203705E-3</v>
      </c>
      <c r="AA943" s="36"/>
    </row>
    <row r="944" spans="15:27" ht="13.9" customHeight="1" x14ac:dyDescent="0.3">
      <c r="O944" s="12">
        <f t="shared" si="104"/>
        <v>77.583333333333329</v>
      </c>
      <c r="P944" s="13">
        <v>931</v>
      </c>
      <c r="Q944" s="22">
        <v>3.2929657507983823E-2</v>
      </c>
      <c r="R944" s="19">
        <f t="shared" si="105"/>
        <v>3.3338514471904945E-2</v>
      </c>
      <c r="S944" s="22">
        <v>3.9653740724808095E-2</v>
      </c>
      <c r="T944" s="19">
        <f t="shared" si="106"/>
        <v>4.2988424048338025E-2</v>
      </c>
      <c r="U944" s="24">
        <v>4.1305921116187694E-2</v>
      </c>
      <c r="V944" s="24">
        <f t="shared" si="107"/>
        <v>4.2985431152266829E-2</v>
      </c>
      <c r="W944" s="23">
        <f t="shared" si="108"/>
        <v>3.5134142826829251E-3</v>
      </c>
      <c r="X944" s="24">
        <v>4.0971191698152332E-2</v>
      </c>
      <c r="Y944" s="24">
        <f t="shared" si="109"/>
        <v>4.2986241099297384E-2</v>
      </c>
      <c r="Z944" s="23">
        <f t="shared" si="110"/>
        <v>3.5134795167350852E-3</v>
      </c>
      <c r="AA944" s="36"/>
    </row>
    <row r="945" spans="15:27" ht="13.9" customHeight="1" x14ac:dyDescent="0.3">
      <c r="O945" s="12">
        <f t="shared" si="104"/>
        <v>77.666666666666671</v>
      </c>
      <c r="P945" s="13">
        <v>932</v>
      </c>
      <c r="Q945" s="22">
        <v>3.2930096109008211E-2</v>
      </c>
      <c r="R945" s="19">
        <f t="shared" si="105"/>
        <v>3.3339274317260248E-2</v>
      </c>
      <c r="S945" s="22">
        <v>3.9657312991399296E-2</v>
      </c>
      <c r="T945" s="19">
        <f t="shared" si="106"/>
        <v>4.2988541440335482E-2</v>
      </c>
      <c r="U945" s="24">
        <v>4.1307721715448054E-2</v>
      </c>
      <c r="V945" s="24">
        <f t="shared" si="107"/>
        <v>4.298556320648439E-2</v>
      </c>
      <c r="W945" s="23">
        <f t="shared" si="108"/>
        <v>3.5134249676160856E-3</v>
      </c>
      <c r="X945" s="24">
        <v>4.0973351680660075E-2</v>
      </c>
      <c r="Y945" s="24">
        <f t="shared" si="109"/>
        <v>4.2986369498920318E-2</v>
      </c>
      <c r="Z945" s="23">
        <f t="shared" si="110"/>
        <v>3.5134899087938543E-3</v>
      </c>
      <c r="AA945" s="36"/>
    </row>
    <row r="946" spans="15:27" ht="13.9" customHeight="1" x14ac:dyDescent="0.3">
      <c r="O946" s="12">
        <f t="shared" si="104"/>
        <v>77.75</v>
      </c>
      <c r="P946" s="13">
        <v>933</v>
      </c>
      <c r="Q946" s="22">
        <v>3.2930534584111992E-2</v>
      </c>
      <c r="R946" s="19">
        <f t="shared" si="105"/>
        <v>3.3340027845727649E-2</v>
      </c>
      <c r="S946" s="22">
        <v>3.9660877738054268E-2</v>
      </c>
      <c r="T946" s="19">
        <f t="shared" si="106"/>
        <v>4.2988657641495731E-2</v>
      </c>
      <c r="U946" s="24">
        <v>4.1309518599316197E-2</v>
      </c>
      <c r="V946" s="24">
        <f t="shared" si="107"/>
        <v>4.2985694063618407E-2</v>
      </c>
      <c r="W946" s="23">
        <f t="shared" si="108"/>
        <v>3.5134355556651897E-3</v>
      </c>
      <c r="X946" s="24">
        <v>4.0975507174802583E-2</v>
      </c>
      <c r="Y946" s="24">
        <f t="shared" si="109"/>
        <v>4.2986496700325283E-2</v>
      </c>
      <c r="Z946" s="23">
        <f t="shared" si="110"/>
        <v>3.5135002038120255E-3</v>
      </c>
      <c r="AA946" s="36"/>
    </row>
    <row r="947" spans="15:27" ht="13.9" customHeight="1" x14ac:dyDescent="0.3">
      <c r="O947" s="12">
        <f t="shared" si="104"/>
        <v>77.833333333333329</v>
      </c>
      <c r="P947" s="13">
        <v>934</v>
      </c>
      <c r="Q947" s="22">
        <v>3.2930972926939139E-2</v>
      </c>
      <c r="R947" s="19">
        <f t="shared" si="105"/>
        <v>3.3340775110576759E-2</v>
      </c>
      <c r="S947" s="22">
        <v>3.9664434987618069E-2</v>
      </c>
      <c r="T947" s="19">
        <f t="shared" si="106"/>
        <v>4.2988772664789732E-2</v>
      </c>
      <c r="U947" s="24">
        <v>4.1311311778437165E-2</v>
      </c>
      <c r="V947" s="24">
        <f t="shared" si="107"/>
        <v>4.2985823735253392E-2</v>
      </c>
      <c r="W947" s="23">
        <f t="shared" si="108"/>
        <v>3.5134460477315166E-3</v>
      </c>
      <c r="X947" s="24">
        <v>4.0977658193702471E-2</v>
      </c>
      <c r="Y947" s="24">
        <f t="shared" si="109"/>
        <v>4.2986622715089684E-2</v>
      </c>
      <c r="Z947" s="23">
        <f t="shared" si="110"/>
        <v>3.5135104027563813E-3</v>
      </c>
      <c r="AA947" s="36"/>
    </row>
    <row r="948" spans="15:27" ht="13.9" customHeight="1" x14ac:dyDescent="0.3">
      <c r="O948" s="12">
        <f t="shared" si="104"/>
        <v>77.916666666666671</v>
      </c>
      <c r="P948" s="13">
        <v>935</v>
      </c>
      <c r="Q948" s="22">
        <v>3.2931411131217336E-2</v>
      </c>
      <c r="R948" s="19">
        <f t="shared" si="105"/>
        <v>3.3341516164175911E-2</v>
      </c>
      <c r="S948" s="22">
        <v>3.9667984762852049E-2</v>
      </c>
      <c r="T948" s="19">
        <f t="shared" si="106"/>
        <v>4.2988886521122982E-2</v>
      </c>
      <c r="U948" s="24">
        <v>4.1313101263422691E-2</v>
      </c>
      <c r="V948" s="24">
        <f t="shared" si="107"/>
        <v>4.2985952230227165E-2</v>
      </c>
      <c r="W948" s="23">
        <f t="shared" si="108"/>
        <v>3.5134564447438787E-3</v>
      </c>
      <c r="X948" s="24">
        <v>4.0979804750438831E-2</v>
      </c>
      <c r="Y948" s="24">
        <f t="shared" si="109"/>
        <v>4.2986747552830717E-2</v>
      </c>
      <c r="Z948" s="23">
        <f t="shared" si="110"/>
        <v>3.513520506555512E-3</v>
      </c>
      <c r="AA948" s="36"/>
    </row>
    <row r="949" spans="15:27" ht="13.9" customHeight="1" x14ac:dyDescent="0.3">
      <c r="O949" s="12">
        <f t="shared" si="104"/>
        <v>78</v>
      </c>
      <c r="P949" s="13">
        <v>936</v>
      </c>
      <c r="Q949" s="22">
        <v>3.2931849190757312E-2</v>
      </c>
      <c r="R949" s="19">
        <f t="shared" si="105"/>
        <v>3.3342251057953742E-2</v>
      </c>
      <c r="S949" s="22">
        <v>3.9671527086432068E-2</v>
      </c>
      <c r="T949" s="19">
        <f t="shared" si="106"/>
        <v>4.2988999222988156E-2</v>
      </c>
      <c r="U949" s="24">
        <v>4.131488706484876E-2</v>
      </c>
      <c r="V949" s="24">
        <f t="shared" si="107"/>
        <v>4.2986079561208257E-2</v>
      </c>
      <c r="W949" s="23">
        <f t="shared" si="108"/>
        <v>3.5134667474108205E-3</v>
      </c>
      <c r="X949" s="24">
        <v>4.0981946858045015E-2</v>
      </c>
      <c r="Y949" s="24">
        <f t="shared" si="109"/>
        <v>4.2986871225936696E-2</v>
      </c>
      <c r="Z949" s="23">
        <f t="shared" si="110"/>
        <v>3.5135305159801344E-3</v>
      </c>
      <c r="AA949" s="36"/>
    </row>
    <row r="950" spans="15:27" ht="13.9" customHeight="1" x14ac:dyDescent="0.3">
      <c r="O950" s="12">
        <f t="shared" si="104"/>
        <v>78.083333333333329</v>
      </c>
      <c r="P950" s="13">
        <v>937</v>
      </c>
      <c r="Q950" s="22">
        <v>3.2932287099450841E-2</v>
      </c>
      <c r="R950" s="19">
        <f t="shared" si="105"/>
        <v>3.3342979843355103E-2</v>
      </c>
      <c r="S950" s="22">
        <v>3.9675061980950499E-2</v>
      </c>
      <c r="T950" s="19">
        <f t="shared" si="106"/>
        <v>4.2989110781449069E-2</v>
      </c>
      <c r="U950" s="24">
        <v>4.1316669193259603E-2</v>
      </c>
      <c r="V950" s="24">
        <f t="shared" si="107"/>
        <v>4.2986205737358674E-2</v>
      </c>
      <c r="W950" s="23">
        <f t="shared" si="108"/>
        <v>3.5134769567484181E-3</v>
      </c>
      <c r="X950" s="24">
        <v>4.0984084529511744E-2</v>
      </c>
      <c r="Y950" s="24">
        <f t="shared" si="109"/>
        <v>4.2986993744632773E-2</v>
      </c>
      <c r="Z950" s="23">
        <f t="shared" si="110"/>
        <v>3.5135404320241204E-3</v>
      </c>
      <c r="AA950" s="36"/>
    </row>
    <row r="951" spans="15:27" ht="13.9" customHeight="1" x14ac:dyDescent="0.3">
      <c r="O951" s="12">
        <f t="shared" si="104"/>
        <v>78.166666666666671</v>
      </c>
      <c r="P951" s="13">
        <v>938</v>
      </c>
      <c r="Q951" s="22">
        <v>3.2932724851270745E-2</v>
      </c>
      <c r="R951" s="19">
        <f t="shared" si="105"/>
        <v>3.3343702571087208E-2</v>
      </c>
      <c r="S951" s="22">
        <v>3.9678589468915559E-2</v>
      </c>
      <c r="T951" s="19">
        <f t="shared" si="106"/>
        <v>4.2989221209051909E-2</v>
      </c>
      <c r="U951" s="24">
        <v>4.131844765916437E-2</v>
      </c>
      <c r="V951" s="24">
        <f t="shared" si="107"/>
        <v>4.29863307702536E-2</v>
      </c>
      <c r="W951" s="23">
        <f t="shared" si="108"/>
        <v>3.5134870734909729E-3</v>
      </c>
      <c r="X951" s="24">
        <v>4.0986217777785772E-2</v>
      </c>
      <c r="Y951" s="24">
        <f t="shared" si="109"/>
        <v>4.2987115120360908E-2</v>
      </c>
      <c r="Z951" s="23">
        <f t="shared" si="110"/>
        <v>3.5135502555070364E-3</v>
      </c>
      <c r="AA951" s="36"/>
    </row>
    <row r="952" spans="15:27" ht="13.9" customHeight="1" x14ac:dyDescent="0.3">
      <c r="O952" s="12">
        <f t="shared" si="104"/>
        <v>78.25</v>
      </c>
      <c r="P952" s="13">
        <v>939</v>
      </c>
      <c r="Q952" s="22">
        <v>3.2933162440269337E-2</v>
      </c>
      <c r="R952" s="19">
        <f t="shared" si="105"/>
        <v>3.3344419291438498E-2</v>
      </c>
      <c r="S952" s="22">
        <v>3.9682109572752644E-2</v>
      </c>
      <c r="T952" s="19">
        <f t="shared" si="106"/>
        <v>4.2989330516417068E-2</v>
      </c>
      <c r="U952" s="24">
        <v>4.1320222473039792E-2</v>
      </c>
      <c r="V952" s="24">
        <f t="shared" si="107"/>
        <v>4.2986454669495133E-2</v>
      </c>
      <c r="W952" s="23">
        <f t="shared" si="108"/>
        <v>3.5134970985668534E-3</v>
      </c>
      <c r="X952" s="24">
        <v>4.0988346615770554E-2</v>
      </c>
      <c r="Y952" s="24">
        <f t="shared" si="109"/>
        <v>4.2987235362697884E-2</v>
      </c>
      <c r="Z952" s="23">
        <f t="shared" si="110"/>
        <v>3.5135599873463708E-3</v>
      </c>
      <c r="AA952" s="36"/>
    </row>
    <row r="953" spans="15:27" ht="13.9" customHeight="1" x14ac:dyDescent="0.3">
      <c r="O953" s="12">
        <f t="shared" si="104"/>
        <v>78.333333333333329</v>
      </c>
      <c r="P953" s="13">
        <v>940</v>
      </c>
      <c r="Q953" s="22">
        <v>3.2933599860577978E-2</v>
      </c>
      <c r="R953" s="19">
        <f t="shared" si="105"/>
        <v>3.3345130054965422E-2</v>
      </c>
      <c r="S953" s="22">
        <v>3.9685622314803437E-2</v>
      </c>
      <c r="T953" s="19">
        <f t="shared" si="106"/>
        <v>4.2989438714706729E-2</v>
      </c>
      <c r="U953" s="24">
        <v>4.1321993645328181E-2</v>
      </c>
      <c r="V953" s="24">
        <f t="shared" si="107"/>
        <v>4.2986577445047303E-2</v>
      </c>
      <c r="W953" s="23">
        <f t="shared" si="108"/>
        <v>3.5135070327458884E-3</v>
      </c>
      <c r="X953" s="24">
        <v>4.0990471056324917E-2</v>
      </c>
      <c r="Y953" s="24">
        <f t="shared" si="109"/>
        <v>4.2987354482842521E-2</v>
      </c>
      <c r="Z953" s="23">
        <f t="shared" si="110"/>
        <v>3.5135696283097317E-3</v>
      </c>
      <c r="AA953" s="36"/>
    </row>
    <row r="954" spans="15:27" ht="13.9" customHeight="1" x14ac:dyDescent="0.3">
      <c r="O954" s="12">
        <f t="shared" si="104"/>
        <v>78.416666666666671</v>
      </c>
      <c r="P954" s="13">
        <v>941</v>
      </c>
      <c r="Q954" s="22">
        <v>3.2934037106406411E-2</v>
      </c>
      <c r="R954" s="19">
        <f t="shared" si="105"/>
        <v>3.3345834910868399E-2</v>
      </c>
      <c r="S954" s="22">
        <v>3.9689127717326578E-2</v>
      </c>
      <c r="T954" s="19">
        <f t="shared" si="106"/>
        <v>4.2989545816709551E-2</v>
      </c>
      <c r="U954" s="24">
        <v>4.1323761186438102E-2</v>
      </c>
      <c r="V954" s="24">
        <f t="shared" si="107"/>
        <v>4.2986699108455761E-2</v>
      </c>
      <c r="W954" s="23">
        <f t="shared" si="108"/>
        <v>3.5135168768267722E-3</v>
      </c>
      <c r="X954" s="24">
        <v>4.0992591112265053E-2</v>
      </c>
      <c r="Y954" s="24">
        <f t="shared" si="109"/>
        <v>4.2987472491621492E-2</v>
      </c>
      <c r="Z954" s="23">
        <f t="shared" si="110"/>
        <v>3.5135791792957338E-3</v>
      </c>
      <c r="AA954" s="36"/>
    </row>
    <row r="955" spans="15:27" ht="13.9" customHeight="1" x14ac:dyDescent="0.3">
      <c r="O955" s="12">
        <f t="shared" si="104"/>
        <v>78.5</v>
      </c>
      <c r="P955" s="13">
        <v>942</v>
      </c>
      <c r="Q955" s="22">
        <v>3.2934474172041206E-2</v>
      </c>
      <c r="R955" s="19">
        <f t="shared" si="105"/>
        <v>3.3346533907843146E-2</v>
      </c>
      <c r="S955" s="22">
        <v>3.9692625802499659E-2</v>
      </c>
      <c r="T955" s="19">
        <f t="shared" si="106"/>
        <v>4.2989651832022746E-2</v>
      </c>
      <c r="U955" s="24">
        <v>4.1325525106746142E-2</v>
      </c>
      <c r="V955" s="24">
        <f t="shared" si="107"/>
        <v>4.2986819668747067E-2</v>
      </c>
      <c r="W955" s="23">
        <f t="shared" si="108"/>
        <v>3.5135266317356528E-3</v>
      </c>
      <c r="X955" s="24">
        <v>4.0994706796364078E-2</v>
      </c>
      <c r="Y955" s="24">
        <f t="shared" si="109"/>
        <v>4.2987589398687298E-2</v>
      </c>
      <c r="Z955" s="23">
        <f t="shared" si="110"/>
        <v>3.5135886411716832E-3</v>
      </c>
      <c r="AA955" s="36"/>
    </row>
    <row r="956" spans="15:27" ht="13.9" customHeight="1" x14ac:dyDescent="0.3">
      <c r="O956" s="12">
        <f t="shared" si="104"/>
        <v>78.583333333333329</v>
      </c>
      <c r="P956" s="13">
        <v>943</v>
      </c>
      <c r="Q956" s="22">
        <v>3.2934911051845095E-2</v>
      </c>
      <c r="R956" s="19">
        <f t="shared" si="105"/>
        <v>3.3347227095754883E-2</v>
      </c>
      <c r="S956" s="22">
        <v>3.9696116592416564E-2</v>
      </c>
      <c r="T956" s="19">
        <f t="shared" si="106"/>
        <v>4.2989756772075394E-2</v>
      </c>
      <c r="U956" s="24">
        <v>4.1327285416594473E-2</v>
      </c>
      <c r="V956" s="24">
        <f t="shared" si="107"/>
        <v>4.2986939135965185E-2</v>
      </c>
      <c r="W956" s="23">
        <f t="shared" si="108"/>
        <v>3.5135362981961737E-3</v>
      </c>
      <c r="X956" s="24">
        <v>4.0996818121351364E-2</v>
      </c>
      <c r="Y956" s="24">
        <f t="shared" si="109"/>
        <v>4.2987705215063343E-2</v>
      </c>
      <c r="Z956" s="23">
        <f t="shared" si="110"/>
        <v>3.5135980147122936E-3</v>
      </c>
      <c r="AA956" s="36"/>
    </row>
    <row r="957" spans="15:27" ht="13.9" customHeight="1" x14ac:dyDescent="0.3">
      <c r="O957" s="12">
        <f t="shared" si="104"/>
        <v>78.666666666666671</v>
      </c>
      <c r="P957" s="13">
        <v>944</v>
      </c>
      <c r="Q957" s="22">
        <v>3.2935347740257193E-2</v>
      </c>
      <c r="R957" s="19">
        <f t="shared" si="105"/>
        <v>3.334791452208874E-2</v>
      </c>
      <c r="S957" s="22">
        <v>3.9699600109090127E-2</v>
      </c>
      <c r="T957" s="19">
        <f t="shared" si="106"/>
        <v>4.2989860647747236E-2</v>
      </c>
      <c r="U957" s="24">
        <v>4.1329042126292181E-2</v>
      </c>
      <c r="V957" s="24">
        <f t="shared" si="107"/>
        <v>4.2987057520143868E-2</v>
      </c>
      <c r="W957" s="23">
        <f t="shared" si="108"/>
        <v>3.5135458770136907E-3</v>
      </c>
      <c r="X957" s="24">
        <v>4.0998925099913874E-2</v>
      </c>
      <c r="Y957" s="24">
        <f t="shared" si="109"/>
        <v>4.2987819950114359E-2</v>
      </c>
      <c r="Z957" s="23">
        <f t="shared" si="110"/>
        <v>3.5136073008008584E-3</v>
      </c>
      <c r="AA957" s="36"/>
    </row>
    <row r="958" spans="15:27" ht="13.9" customHeight="1" x14ac:dyDescent="0.3">
      <c r="O958" s="12">
        <f t="shared" si="104"/>
        <v>78.75</v>
      </c>
      <c r="P958" s="13">
        <v>945</v>
      </c>
      <c r="Q958" s="22">
        <v>3.2935784231790333E-2</v>
      </c>
      <c r="R958" s="19">
        <f t="shared" si="105"/>
        <v>3.3348596235442507E-2</v>
      </c>
      <c r="S958" s="22">
        <v>3.970307637445103E-2</v>
      </c>
      <c r="T958" s="19">
        <f t="shared" si="106"/>
        <v>4.2989963470243309E-2</v>
      </c>
      <c r="U958" s="24">
        <v>4.1330795246115271E-2</v>
      </c>
      <c r="V958" s="24">
        <f t="shared" si="107"/>
        <v>4.2987174831305763E-2</v>
      </c>
      <c r="W958" s="23">
        <f t="shared" si="108"/>
        <v>3.5135553689926713E-3</v>
      </c>
      <c r="X958" s="24">
        <v>4.1001027744695051E-2</v>
      </c>
      <c r="Y958" s="24">
        <f t="shared" si="109"/>
        <v>4.2987933614276441E-2</v>
      </c>
      <c r="Z958" s="23">
        <f t="shared" si="110"/>
        <v>3.5136165001885544E-3</v>
      </c>
      <c r="AA958" s="36"/>
    </row>
    <row r="959" spans="15:27" ht="13.9" customHeight="1" x14ac:dyDescent="0.3">
      <c r="O959" s="12">
        <f t="shared" si="104"/>
        <v>78.833333333333329</v>
      </c>
      <c r="P959" s="13">
        <v>946</v>
      </c>
      <c r="Q959" s="22">
        <v>3.2936220521032178E-2</v>
      </c>
      <c r="R959" s="19">
        <f t="shared" si="105"/>
        <v>3.3349272282688913E-2</v>
      </c>
      <c r="S959" s="22">
        <v>3.970654541034957E-2</v>
      </c>
      <c r="T959" s="19">
        <f t="shared" si="106"/>
        <v>4.2990065250204434E-2</v>
      </c>
      <c r="U959" s="24">
        <v>4.133254478630688E-2</v>
      </c>
      <c r="V959" s="24">
        <f t="shared" si="107"/>
        <v>4.2987291079282119E-2</v>
      </c>
      <c r="W959" s="23">
        <f t="shared" si="108"/>
        <v>3.5135647749366949E-3</v>
      </c>
      <c r="X959" s="24">
        <v>4.1003126068295703E-2</v>
      </c>
      <c r="Y959" s="24">
        <f t="shared" si="109"/>
        <v>4.2988046218565223E-2</v>
      </c>
      <c r="Z959" s="23">
        <f t="shared" si="110"/>
        <v>3.5136256137120458E-3</v>
      </c>
      <c r="AA959" s="36"/>
    </row>
    <row r="960" spans="15:27" ht="13.9" customHeight="1" x14ac:dyDescent="0.3">
      <c r="O960" s="12">
        <f t="shared" si="104"/>
        <v>78.916666666666671</v>
      </c>
      <c r="P960" s="13">
        <v>947</v>
      </c>
      <c r="Q960" s="22">
        <v>3.2936656602642556E-2</v>
      </c>
      <c r="R960" s="19">
        <f t="shared" si="105"/>
        <v>3.3349942711278224E-2</v>
      </c>
      <c r="S960" s="22">
        <v>3.9710007238555001E-2</v>
      </c>
      <c r="T960" s="19">
        <f t="shared" si="106"/>
        <v>4.299016599702532E-2</v>
      </c>
      <c r="U960" s="24">
        <v>4.1334290757077286E-2</v>
      </c>
      <c r="V960" s="24">
        <f t="shared" si="107"/>
        <v>4.2987406273082396E-2</v>
      </c>
      <c r="W960" s="23">
        <f t="shared" si="108"/>
        <v>3.5135740956342421E-3</v>
      </c>
      <c r="X960" s="24">
        <v>4.1005220083275118E-2</v>
      </c>
      <c r="Y960" s="24">
        <f t="shared" si="109"/>
        <v>4.2988157770375457E-2</v>
      </c>
      <c r="Z960" s="23">
        <f t="shared" si="110"/>
        <v>3.5136346422546261E-3</v>
      </c>
      <c r="AA960" s="36"/>
    </row>
    <row r="961" spans="15:27" ht="13.9" customHeight="1" x14ac:dyDescent="0.3">
      <c r="O961" s="12">
        <f t="shared" si="104"/>
        <v>79</v>
      </c>
      <c r="P961" s="13">
        <v>948</v>
      </c>
      <c r="Q961" s="22">
        <v>3.2937092471353902E-2</v>
      </c>
      <c r="R961" s="19">
        <f t="shared" si="105"/>
        <v>3.3350607568224389E-2</v>
      </c>
      <c r="S961" s="22">
        <v>3.9713461880754641E-2</v>
      </c>
      <c r="T961" s="19">
        <f t="shared" si="106"/>
        <v>4.2990265722952392E-2</v>
      </c>
      <c r="U961" s="24">
        <v>4.1336033168603237E-2</v>
      </c>
      <c r="V961" s="24">
        <f t="shared" si="107"/>
        <v>4.2987520422902659E-2</v>
      </c>
      <c r="W961" s="23">
        <f t="shared" si="108"/>
        <v>3.5135833318074017E-3</v>
      </c>
      <c r="X961" s="24">
        <v>4.1007309802147507E-2</v>
      </c>
      <c r="Y961" s="24">
        <f t="shared" si="109"/>
        <v>4.2988268282353692E-2</v>
      </c>
      <c r="Z961" s="23">
        <f t="shared" si="110"/>
        <v>3.5136435864093762E-3</v>
      </c>
      <c r="AA961" s="36"/>
    </row>
    <row r="962" spans="15:27" ht="13.9" customHeight="1" x14ac:dyDescent="0.3">
      <c r="O962" s="12">
        <f t="shared" si="104"/>
        <v>79.083333333333329</v>
      </c>
      <c r="P962" s="13">
        <v>949</v>
      </c>
      <c r="Q962" s="22">
        <v>3.2937528121970372E-2</v>
      </c>
      <c r="R962" s="19">
        <f t="shared" si="105"/>
        <v>3.3351266899657839E-2</v>
      </c>
      <c r="S962" s="22">
        <v>3.9716909358557428E-2</v>
      </c>
      <c r="T962" s="19">
        <f t="shared" si="106"/>
        <v>4.2990364437151429E-2</v>
      </c>
      <c r="U962" s="24">
        <v>4.1337772031029507E-2</v>
      </c>
      <c r="V962" s="24">
        <f t="shared" si="107"/>
        <v>4.2987633537776349E-2</v>
      </c>
      <c r="W962" s="23">
        <f t="shared" si="108"/>
        <v>3.5135924842741861E-3</v>
      </c>
      <c r="X962" s="24">
        <v>4.1009395237387558E-2</v>
      </c>
      <c r="Y962" s="24">
        <f t="shared" si="109"/>
        <v>4.2988377762624097E-2</v>
      </c>
      <c r="Z962" s="23">
        <f t="shared" si="110"/>
        <v>3.513652447190152E-3</v>
      </c>
      <c r="AA962" s="36"/>
    </row>
    <row r="963" spans="15:27" ht="13.9" customHeight="1" x14ac:dyDescent="0.3">
      <c r="O963" s="12">
        <f t="shared" si="104"/>
        <v>79.166666666666671</v>
      </c>
      <c r="P963" s="13">
        <v>950</v>
      </c>
      <c r="Q963" s="22">
        <v>3.2937963549366511E-2</v>
      </c>
      <c r="R963" s="19">
        <f t="shared" si="105"/>
        <v>3.3351920751813369E-2</v>
      </c>
      <c r="S963" s="22">
        <v>3.9720349693491253E-2</v>
      </c>
      <c r="T963" s="19">
        <f t="shared" si="106"/>
        <v>4.2990462150046982E-2</v>
      </c>
      <c r="U963" s="24">
        <v>4.1339507354467342E-2</v>
      </c>
      <c r="V963" s="24">
        <f t="shared" si="107"/>
        <v>4.2987745627137697E-2</v>
      </c>
      <c r="W963" s="23">
        <f t="shared" si="108"/>
        <v>3.5136015537584608E-3</v>
      </c>
      <c r="X963" s="24">
        <v>4.1011476401426217E-2</v>
      </c>
      <c r="Y963" s="24">
        <f t="shared" si="109"/>
        <v>4.2988486220788324E-2</v>
      </c>
      <c r="Z963" s="23">
        <f t="shared" si="110"/>
        <v>3.5136612252484323E-3</v>
      </c>
      <c r="AA963" s="36"/>
    </row>
    <row r="964" spans="15:27" ht="13.9" customHeight="1" x14ac:dyDescent="0.3">
      <c r="O964" s="12">
        <f t="shared" si="104"/>
        <v>79.25</v>
      </c>
      <c r="P964" s="13">
        <v>951</v>
      </c>
      <c r="Q964" s="22">
        <v>3.293839874848703E-2</v>
      </c>
      <c r="R964" s="19">
        <f t="shared" si="105"/>
        <v>3.3352569169462942E-2</v>
      </c>
      <c r="S964" s="22">
        <v>3.972378290700429E-2</v>
      </c>
      <c r="T964" s="19">
        <f t="shared" si="106"/>
        <v>4.2990558872604501E-2</v>
      </c>
      <c r="U964" s="24">
        <v>4.1341239148995568E-2</v>
      </c>
      <c r="V964" s="24">
        <f t="shared" si="107"/>
        <v>4.2987856701094174E-2</v>
      </c>
      <c r="W964" s="23">
        <f t="shared" si="108"/>
        <v>3.5136105410169538E-3</v>
      </c>
      <c r="X964" s="24">
        <v>4.1013553306652017E-2</v>
      </c>
      <c r="Y964" s="24">
        <f t="shared" si="109"/>
        <v>4.2988593666940966E-2</v>
      </c>
      <c r="Z964" s="23">
        <f t="shared" si="110"/>
        <v>3.5136699213538236E-3</v>
      </c>
      <c r="AA964" s="36"/>
    </row>
    <row r="965" spans="15:27" ht="13.9" customHeight="1" x14ac:dyDescent="0.3">
      <c r="O965" s="12">
        <f t="shared" si="104"/>
        <v>79.333333333333329</v>
      </c>
      <c r="P965" s="13">
        <v>952</v>
      </c>
      <c r="Q965" s="22">
        <v>3.2938833714345028E-2</v>
      </c>
      <c r="R965" s="19">
        <f t="shared" si="105"/>
        <v>3.3353212199167981E-2</v>
      </c>
      <c r="S965" s="22">
        <v>3.9727209020466336E-2</v>
      </c>
      <c r="T965" s="19">
        <f t="shared" si="106"/>
        <v>4.2990654613261459E-2</v>
      </c>
      <c r="U965" s="24">
        <v>4.1342967424661259E-2</v>
      </c>
      <c r="V965" s="24">
        <f t="shared" si="107"/>
        <v>4.2987966767138452E-2</v>
      </c>
      <c r="W965" s="23">
        <f t="shared" si="108"/>
        <v>3.5136194468599058E-3</v>
      </c>
      <c r="X965" s="24">
        <v>4.1015625965412195E-2</v>
      </c>
      <c r="Y965" s="24">
        <f t="shared" si="109"/>
        <v>4.2988700110047295E-2</v>
      </c>
      <c r="Z965" s="23">
        <f t="shared" si="110"/>
        <v>3.5136785363161227E-3</v>
      </c>
      <c r="AA965" s="36"/>
    </row>
    <row r="966" spans="15:27" ht="13.9" customHeight="1" x14ac:dyDescent="0.3">
      <c r="O966" s="12">
        <f t="shared" si="104"/>
        <v>79.416666666666671</v>
      </c>
      <c r="P966" s="13">
        <v>953</v>
      </c>
      <c r="Q966" s="22">
        <v>3.2939268442023106E-2</v>
      </c>
      <c r="R966" s="19">
        <f t="shared" si="105"/>
        <v>3.3353849884580677E-2</v>
      </c>
      <c r="S966" s="22">
        <v>3.9730628055166362E-2</v>
      </c>
      <c r="T966" s="19">
        <f t="shared" si="106"/>
        <v>4.2990749384232085E-2</v>
      </c>
      <c r="U966" s="24">
        <v>4.1344692191477295E-2</v>
      </c>
      <c r="V966" s="24">
        <f t="shared" si="107"/>
        <v>4.298807583640718E-2</v>
      </c>
      <c r="W966" s="23">
        <f t="shared" si="108"/>
        <v>3.5136282718881695E-3</v>
      </c>
      <c r="X966" s="24">
        <v>4.1017694390011572E-2</v>
      </c>
      <c r="Y966" s="24">
        <f t="shared" si="109"/>
        <v>4.2988805560415067E-2</v>
      </c>
      <c r="Z966" s="23">
        <f t="shared" si="110"/>
        <v>3.5136870708540879E-3</v>
      </c>
      <c r="AA966" s="36"/>
    </row>
    <row r="967" spans="15:27" ht="13.9" customHeight="1" x14ac:dyDescent="0.3">
      <c r="O967" s="12">
        <f t="shared" si="104"/>
        <v>79.5</v>
      </c>
      <c r="P967" s="13">
        <v>954</v>
      </c>
      <c r="Q967" s="22">
        <v>3.2939702926670478E-2</v>
      </c>
      <c r="R967" s="19">
        <f t="shared" si="105"/>
        <v>3.3354482270887775E-2</v>
      </c>
      <c r="S967" s="22">
        <v>3.9734040032316953E-2</v>
      </c>
      <c r="T967" s="19">
        <f t="shared" si="106"/>
        <v>4.2990843193159378E-2</v>
      </c>
      <c r="U967" s="24">
        <v>4.1346413459426135E-2</v>
      </c>
      <c r="V967" s="24">
        <f t="shared" si="107"/>
        <v>4.2988183916706335E-2</v>
      </c>
      <c r="W967" s="23">
        <f t="shared" si="108"/>
        <v>3.5136370169950304E-3</v>
      </c>
      <c r="X967" s="24">
        <v>4.1019758592714339E-2</v>
      </c>
      <c r="Y967" s="24">
        <f t="shared" si="109"/>
        <v>4.2988910026268146E-2</v>
      </c>
      <c r="Z967" s="23">
        <f t="shared" si="110"/>
        <v>3.5136955257941693E-3</v>
      </c>
      <c r="AA967" s="36"/>
    </row>
    <row r="968" spans="15:27" ht="13.9" customHeight="1" x14ac:dyDescent="0.3">
      <c r="O968" s="12">
        <f t="shared" si="104"/>
        <v>79.583333333333329</v>
      </c>
      <c r="P968" s="13">
        <v>955</v>
      </c>
      <c r="Q968" s="22">
        <v>3.2940137163503858E-2</v>
      </c>
      <c r="R968" s="19">
        <f t="shared" si="105"/>
        <v>3.335510940179276E-2</v>
      </c>
      <c r="S968" s="22">
        <v>3.9737444973050096E-2</v>
      </c>
      <c r="T968" s="19">
        <f t="shared" si="106"/>
        <v>4.2990936050618211E-2</v>
      </c>
      <c r="U968" s="24">
        <v>4.1348131238456709E-2</v>
      </c>
      <c r="V968" s="24">
        <f t="shared" si="107"/>
        <v>4.2988291016912594E-2</v>
      </c>
      <c r="W968" s="23">
        <f t="shared" si="108"/>
        <v>3.5136456828057661E-3</v>
      </c>
      <c r="X968" s="24">
        <v>4.102181858574161E-2</v>
      </c>
      <c r="Y968" s="24">
        <f t="shared" si="109"/>
        <v>4.2989013517050534E-2</v>
      </c>
      <c r="Z968" s="23">
        <f t="shared" si="110"/>
        <v>3.5137039017956173E-3</v>
      </c>
      <c r="AA968" s="36"/>
    </row>
    <row r="969" spans="15:27" ht="13.9" customHeight="1" x14ac:dyDescent="0.3">
      <c r="O969" s="12">
        <f t="shared" si="104"/>
        <v>79.666666666666671</v>
      </c>
      <c r="P969" s="13">
        <v>956</v>
      </c>
      <c r="Q969" s="22">
        <v>3.2940571147805686E-2</v>
      </c>
      <c r="R969" s="19">
        <f t="shared" si="105"/>
        <v>3.3355731321224935E-2</v>
      </c>
      <c r="S969" s="22">
        <v>3.9740842898420503E-2</v>
      </c>
      <c r="T969" s="19">
        <f t="shared" si="106"/>
        <v>4.2991027967215434E-2</v>
      </c>
      <c r="U969" s="24">
        <v>4.134984553848553E-2</v>
      </c>
      <c r="V969" s="24">
        <f t="shared" si="107"/>
        <v>4.2988397146602297E-2</v>
      </c>
      <c r="W969" s="23">
        <f t="shared" si="108"/>
        <v>3.5136542700326956E-3</v>
      </c>
      <c r="X969" s="24">
        <v>4.102387438127364E-2</v>
      </c>
      <c r="Y969" s="24">
        <f t="shared" si="109"/>
        <v>4.2989116042245756E-2</v>
      </c>
      <c r="Z969" s="23">
        <f t="shared" si="110"/>
        <v>3.513712199615826E-3</v>
      </c>
      <c r="AA969" s="36"/>
    </row>
    <row r="970" spans="15:27" ht="13.9" customHeight="1" x14ac:dyDescent="0.3">
      <c r="O970" s="12">
        <f t="shared" si="104"/>
        <v>79.75</v>
      </c>
      <c r="P970" s="13">
        <v>957</v>
      </c>
      <c r="Q970" s="22">
        <v>3.2941004874923907E-2</v>
      </c>
      <c r="R970" s="19">
        <f t="shared" si="105"/>
        <v>3.3356348072946407E-2</v>
      </c>
      <c r="S970" s="22">
        <v>3.9744233829405839E-2</v>
      </c>
      <c r="T970" s="19">
        <f t="shared" si="106"/>
        <v>4.2991118950739704E-2</v>
      </c>
      <c r="U970" s="24">
        <v>4.1351556369397802E-2</v>
      </c>
      <c r="V970" s="24">
        <f t="shared" si="107"/>
        <v>4.2988502314307064E-2</v>
      </c>
      <c r="W970" s="23">
        <f t="shared" si="108"/>
        <v>3.5136627794432052E-3</v>
      </c>
      <c r="X970" s="24">
        <v>4.1025925991449608E-2</v>
      </c>
      <c r="Y970" s="24">
        <f t="shared" si="109"/>
        <v>4.2989217610158503E-2</v>
      </c>
      <c r="Z970" s="23">
        <f t="shared" si="110"/>
        <v>3.5137204200150762E-3</v>
      </c>
      <c r="AA970" s="36"/>
    </row>
    <row r="971" spans="15:27" ht="13.9" customHeight="1" x14ac:dyDescent="0.3">
      <c r="O971" s="12">
        <f t="shared" si="104"/>
        <v>79.833333333333329</v>
      </c>
      <c r="P971" s="13">
        <v>958</v>
      </c>
      <c r="Q971" s="22">
        <v>3.2941438340271745E-2</v>
      </c>
      <c r="R971" s="19">
        <f t="shared" si="105"/>
        <v>3.3356959698728428E-2</v>
      </c>
      <c r="S971" s="22">
        <v>3.9747617786904721E-2</v>
      </c>
      <c r="T971" s="19">
        <f t="shared" si="106"/>
        <v>4.2991209012341214E-2</v>
      </c>
      <c r="U971" s="24">
        <v>4.1353263741046087E-2</v>
      </c>
      <c r="V971" s="24">
        <f t="shared" si="107"/>
        <v>4.2988606528565843E-2</v>
      </c>
      <c r="W971" s="23">
        <f t="shared" si="108"/>
        <v>3.5136712117218583E-3</v>
      </c>
      <c r="X971" s="24">
        <v>4.1027973428366504E-2</v>
      </c>
      <c r="Y971" s="24">
        <f t="shared" si="109"/>
        <v>4.298931823082186E-2</v>
      </c>
      <c r="Z971" s="23">
        <f t="shared" si="110"/>
        <v>3.5137285636595017E-3</v>
      </c>
      <c r="AA971" s="36"/>
    </row>
    <row r="972" spans="15:27" ht="13.9" customHeight="1" x14ac:dyDescent="0.3">
      <c r="O972" s="12">
        <f t="shared" si="104"/>
        <v>79.916666666666671</v>
      </c>
      <c r="P972" s="13">
        <v>959</v>
      </c>
      <c r="Q972" s="22">
        <v>3.2941871539325041E-2</v>
      </c>
      <c r="R972" s="19">
        <f t="shared" si="105"/>
        <v>3.3357566242882886E-2</v>
      </c>
      <c r="S972" s="22">
        <v>3.9750994791740046E-2</v>
      </c>
      <c r="T972" s="19">
        <f t="shared" si="106"/>
        <v>4.2991298159822833E-2</v>
      </c>
      <c r="U972" s="24">
        <v>4.1354967663251196E-2</v>
      </c>
      <c r="V972" s="24">
        <f t="shared" si="107"/>
        <v>4.2988709798009284E-2</v>
      </c>
      <c r="W972" s="23">
        <f t="shared" si="108"/>
        <v>3.5136795675527743E-3</v>
      </c>
      <c r="X972" s="24">
        <v>4.1030016704081573E-2</v>
      </c>
      <c r="Y972" s="24">
        <f t="shared" si="109"/>
        <v>4.2989417911676098E-2</v>
      </c>
      <c r="Z972" s="23">
        <f t="shared" si="110"/>
        <v>3.513736631353348E-3</v>
      </c>
      <c r="AA972" s="36"/>
    </row>
    <row r="973" spans="15:27" ht="13.9" customHeight="1" x14ac:dyDescent="0.3">
      <c r="O973" s="12">
        <f t="shared" si="104"/>
        <v>80</v>
      </c>
      <c r="P973" s="13">
        <v>960</v>
      </c>
      <c r="Q973" s="22">
        <v>3.2942304467624473E-2</v>
      </c>
      <c r="R973" s="19">
        <f t="shared" si="105"/>
        <v>3.3358167745775713E-2</v>
      </c>
      <c r="S973" s="22">
        <v>3.9754364864656333E-2</v>
      </c>
      <c r="T973" s="19">
        <f t="shared" si="106"/>
        <v>4.2991386403708587E-2</v>
      </c>
      <c r="U973" s="24">
        <v>4.1356668145801745E-2</v>
      </c>
      <c r="V973" s="24">
        <f t="shared" si="107"/>
        <v>4.2988812131511178E-2</v>
      </c>
      <c r="W973" s="23">
        <f t="shared" si="108"/>
        <v>3.5136878476285105E-3</v>
      </c>
      <c r="X973" s="24">
        <v>4.1032055830609426E-2</v>
      </c>
      <c r="Y973" s="24">
        <f t="shared" si="109"/>
        <v>4.2989516662680138E-2</v>
      </c>
      <c r="Z973" s="23">
        <f t="shared" si="110"/>
        <v>3.5137446236934711E-3</v>
      </c>
      <c r="AA973" s="36"/>
    </row>
    <row r="974" spans="15:27" ht="13.9" customHeight="1" x14ac:dyDescent="0.3">
      <c r="O974" s="12">
        <f t="shared" ref="O974:O1037" si="111">P974/12</f>
        <v>80.083333333333329</v>
      </c>
      <c r="P974" s="13">
        <v>961</v>
      </c>
      <c r="Q974" s="22">
        <v>3.2942737120771559E-2</v>
      </c>
      <c r="R974" s="19">
        <f t="shared" ref="R974:R1037" si="112">(1+Q975)^P975/(1+Q974)^P974-1</f>
        <v>3.335876425127382E-2</v>
      </c>
      <c r="S974" s="22">
        <v>3.9757728026322825E-2</v>
      </c>
      <c r="T974" s="19">
        <f t="shared" ref="T974:T1037" si="113">(1+S975)^P975/(1+S974)^P974-1</f>
        <v>4.299147375259027E-2</v>
      </c>
      <c r="U974" s="24">
        <v>4.1358365198455038E-2</v>
      </c>
      <c r="V974" s="24">
        <f t="shared" ref="V974:V1037" si="114">(1+U975)^P975/(1+U974)^P974-1</f>
        <v>4.2988913537459927E-2</v>
      </c>
      <c r="W974" s="23">
        <f t="shared" si="108"/>
        <v>3.5136960526602756E-3</v>
      </c>
      <c r="X974" s="24">
        <v>4.1034090819925373E-2</v>
      </c>
      <c r="Y974" s="24">
        <f t="shared" si="109"/>
        <v>4.2989614492198847E-2</v>
      </c>
      <c r="Z974" s="23">
        <f t="shared" si="110"/>
        <v>3.5137525414778992E-3</v>
      </c>
      <c r="AA974" s="36"/>
    </row>
    <row r="975" spans="15:27" ht="13.9" customHeight="1" x14ac:dyDescent="0.3">
      <c r="O975" s="12">
        <f t="shared" si="111"/>
        <v>80.166666666666671</v>
      </c>
      <c r="P975" s="13">
        <v>962</v>
      </c>
      <c r="Q975" s="22">
        <v>3.2943169494431324E-2</v>
      </c>
      <c r="R975" s="19">
        <f t="shared" si="112"/>
        <v>3.3359355799810864E-2</v>
      </c>
      <c r="S975" s="22">
        <v>3.9761084297331717E-2</v>
      </c>
      <c r="T975" s="19">
        <f t="shared" si="113"/>
        <v>4.2991560215499103E-2</v>
      </c>
      <c r="U975" s="24">
        <v>4.1360058830936186E-2</v>
      </c>
      <c r="V975" s="24">
        <f t="shared" si="114"/>
        <v>4.2989014023859351E-2</v>
      </c>
      <c r="W975" s="23">
        <f t="shared" ref="W975:W1038" si="115">(1+V974)^(1/12)-1</f>
        <v>3.5137041833206428E-3</v>
      </c>
      <c r="X975" s="24">
        <v>4.10361216839632E-2</v>
      </c>
      <c r="Y975" s="24">
        <f t="shared" ref="Y975:Y1038" si="116">(1+X976)^P976/(1+X975)^P975-1</f>
        <v>4.2989711408306874E-2</v>
      </c>
      <c r="Z975" s="23">
        <f t="shared" ref="Z975:Z1038" si="117">(1+Y974)^(1/12)-1</f>
        <v>3.5137603853776511E-3</v>
      </c>
      <c r="AA975" s="36"/>
    </row>
    <row r="976" spans="15:27" ht="13.9" customHeight="1" x14ac:dyDescent="0.3">
      <c r="O976" s="12">
        <f t="shared" si="111"/>
        <v>80.25</v>
      </c>
      <c r="P976" s="13">
        <v>963</v>
      </c>
      <c r="Q976" s="22">
        <v>3.2943601584328963E-2</v>
      </c>
      <c r="R976" s="19">
        <f t="shared" si="112"/>
        <v>3.3359942432844791E-2</v>
      </c>
      <c r="S976" s="22">
        <v>3.9764433698199264E-2</v>
      </c>
      <c r="T976" s="19">
        <f t="shared" si="113"/>
        <v>4.2991645801726097E-2</v>
      </c>
      <c r="U976" s="24">
        <v>4.1361749052938546E-2</v>
      </c>
      <c r="V976" s="24">
        <f t="shared" si="114"/>
        <v>4.2989113599746664E-2</v>
      </c>
      <c r="W976" s="23">
        <f t="shared" si="115"/>
        <v>3.513712240251321E-3</v>
      </c>
      <c r="X976" s="24">
        <v>4.103814843461584E-2</v>
      </c>
      <c r="Y976" s="24">
        <f t="shared" si="116"/>
        <v>4.2989807420254378E-2</v>
      </c>
      <c r="Z976" s="23">
        <f t="shared" si="117"/>
        <v>3.513768156040209E-3</v>
      </c>
      <c r="AA976" s="36"/>
    </row>
    <row r="977" spans="15:27" ht="13.9" customHeight="1" x14ac:dyDescent="0.3">
      <c r="O977" s="12">
        <f t="shared" si="111"/>
        <v>80.333333333333329</v>
      </c>
      <c r="P977" s="13">
        <v>964</v>
      </c>
      <c r="Q977" s="22">
        <v>3.2944033386250515E-2</v>
      </c>
      <c r="R977" s="19">
        <f t="shared" si="112"/>
        <v>3.3360524191626606E-2</v>
      </c>
      <c r="S977" s="22">
        <v>3.9767776249366227E-2</v>
      </c>
      <c r="T977" s="19">
        <f t="shared" si="113"/>
        <v>4.2991730519771787E-2</v>
      </c>
      <c r="U977" s="24">
        <v>4.136343587412461E-2</v>
      </c>
      <c r="V977" s="24">
        <f t="shared" si="114"/>
        <v>4.2989212272663169E-2</v>
      </c>
      <c r="W977" s="23">
        <f t="shared" si="115"/>
        <v>3.5137202241772858E-3</v>
      </c>
      <c r="X977" s="24">
        <v>4.1040171083736476E-2</v>
      </c>
      <c r="Y977" s="24">
        <f t="shared" si="116"/>
        <v>4.2989902535893076E-2</v>
      </c>
      <c r="Z977" s="23">
        <f t="shared" si="117"/>
        <v>3.5137758542072017E-3</v>
      </c>
      <c r="AA977" s="36"/>
    </row>
    <row r="978" spans="15:27" ht="13.9" customHeight="1" x14ac:dyDescent="0.3">
      <c r="O978" s="12">
        <f t="shared" si="111"/>
        <v>80.416666666666671</v>
      </c>
      <c r="P978" s="13">
        <v>965</v>
      </c>
      <c r="Q978" s="22">
        <v>3.2944464896041969E-2</v>
      </c>
      <c r="R978" s="19">
        <f t="shared" si="112"/>
        <v>3.3361101115918945E-2</v>
      </c>
      <c r="S978" s="22">
        <v>3.9771111971197648E-2</v>
      </c>
      <c r="T978" s="19">
        <f t="shared" si="113"/>
        <v>4.2991814378806392E-2</v>
      </c>
      <c r="U978" s="24">
        <v>4.1365119304124676E-2</v>
      </c>
      <c r="V978" s="24">
        <f t="shared" si="114"/>
        <v>4.2989310051469332E-2</v>
      </c>
      <c r="W978" s="23">
        <f t="shared" si="115"/>
        <v>3.5137281357029426E-3</v>
      </c>
      <c r="X978" s="24">
        <v>4.1042189643137217E-2</v>
      </c>
      <c r="Y978" s="24">
        <f t="shared" si="116"/>
        <v>4.2989996764284166E-2</v>
      </c>
      <c r="Z978" s="23">
        <f t="shared" si="117"/>
        <v>3.5137834805081258E-3</v>
      </c>
      <c r="AA978" s="36"/>
    </row>
    <row r="979" spans="15:27" ht="13.9" customHeight="1" x14ac:dyDescent="0.3">
      <c r="O979" s="12">
        <f t="shared" si="111"/>
        <v>80.5</v>
      </c>
      <c r="P979" s="13">
        <v>966</v>
      </c>
      <c r="Q979" s="22">
        <v>3.2944896109607935E-2</v>
      </c>
      <c r="R979" s="19">
        <f t="shared" si="112"/>
        <v>3.3361673246920853E-2</v>
      </c>
      <c r="S979" s="22">
        <v>3.9774440883983742E-2</v>
      </c>
      <c r="T979" s="19">
        <f t="shared" si="113"/>
        <v>4.299189738745679E-2</v>
      </c>
      <c r="U979" s="24">
        <v>4.1366799352538175E-2</v>
      </c>
      <c r="V979" s="24">
        <f t="shared" si="114"/>
        <v>4.2989406943774622E-2</v>
      </c>
      <c r="W979" s="23">
        <f t="shared" si="115"/>
        <v>3.5137359755388342E-3</v>
      </c>
      <c r="X979" s="24">
        <v>4.1044204124590644E-2</v>
      </c>
      <c r="Y979" s="24">
        <f t="shared" si="116"/>
        <v>4.2990090112639656E-2</v>
      </c>
      <c r="Z979" s="23">
        <f t="shared" si="117"/>
        <v>3.5137910356695112E-3</v>
      </c>
      <c r="AA979" s="36"/>
    </row>
    <row r="980" spans="15:27" ht="13.9" customHeight="1" x14ac:dyDescent="0.3">
      <c r="O980" s="12">
        <f t="shared" si="111"/>
        <v>80.583333333333329</v>
      </c>
      <c r="P980" s="13">
        <v>967</v>
      </c>
      <c r="Q980" s="22">
        <v>3.2945327022912307E-2</v>
      </c>
      <c r="R980" s="19">
        <f t="shared" si="112"/>
        <v>3.3362240623689976E-2</v>
      </c>
      <c r="S980" s="22">
        <v>3.9777763007939893E-2</v>
      </c>
      <c r="T980" s="19">
        <f t="shared" si="113"/>
        <v>4.2991979554040549E-2</v>
      </c>
      <c r="U980" s="24">
        <v>4.1368476028932788E-2</v>
      </c>
      <c r="V980" s="24">
        <f t="shared" si="114"/>
        <v>4.2989502957697656E-2</v>
      </c>
      <c r="W980" s="23">
        <f t="shared" si="115"/>
        <v>3.5137437442949171E-3</v>
      </c>
      <c r="X980" s="24">
        <v>4.1046214539828263E-2</v>
      </c>
      <c r="Y980" s="24">
        <f t="shared" si="116"/>
        <v>4.2990182590117554E-2</v>
      </c>
      <c r="Z980" s="23">
        <f t="shared" si="117"/>
        <v>3.5137985202697841E-3</v>
      </c>
      <c r="AA980" s="36"/>
    </row>
    <row r="981" spans="15:27" ht="13.9" customHeight="1" x14ac:dyDescent="0.3">
      <c r="O981" s="12">
        <f t="shared" si="111"/>
        <v>80.666666666666671</v>
      </c>
      <c r="P981" s="13">
        <v>968</v>
      </c>
      <c r="Q981" s="22">
        <v>3.2945757631976047E-2</v>
      </c>
      <c r="R981" s="19">
        <f t="shared" si="112"/>
        <v>3.3362803286200782E-2</v>
      </c>
      <c r="S981" s="22">
        <v>3.9781078363206435E-2</v>
      </c>
      <c r="T981" s="19">
        <f t="shared" si="113"/>
        <v>4.2992060887603323E-2</v>
      </c>
      <c r="U981" s="24">
        <v>4.1370149342845108E-2</v>
      </c>
      <c r="V981" s="24">
        <f t="shared" si="114"/>
        <v>4.298959810145675E-2</v>
      </c>
      <c r="W981" s="23">
        <f t="shared" si="115"/>
        <v>3.5137514426222261E-3</v>
      </c>
      <c r="X981" s="24">
        <v>4.1048220900542498E-2</v>
      </c>
      <c r="Y981" s="24">
        <f t="shared" si="116"/>
        <v>4.2990274204989687E-2</v>
      </c>
      <c r="Z981" s="23">
        <f t="shared" si="117"/>
        <v>3.513805935043246E-3</v>
      </c>
      <c r="AA981" s="36"/>
    </row>
    <row r="982" spans="15:27" ht="13.9" customHeight="1" x14ac:dyDescent="0.3">
      <c r="O982" s="12">
        <f t="shared" si="111"/>
        <v>80.75</v>
      </c>
      <c r="P982" s="13">
        <v>969</v>
      </c>
      <c r="Q982" s="22">
        <v>3.2946187932877846E-2</v>
      </c>
      <c r="R982" s="19">
        <f t="shared" si="112"/>
        <v>3.3363361274036718E-2</v>
      </c>
      <c r="S982" s="22">
        <v>3.9784386969850427E-2</v>
      </c>
      <c r="T982" s="19">
        <f t="shared" si="113"/>
        <v>4.2992141396291927E-2</v>
      </c>
      <c r="U982" s="24">
        <v>4.1371819303780866E-2</v>
      </c>
      <c r="V982" s="24">
        <f t="shared" si="114"/>
        <v>4.2989692382974898E-2</v>
      </c>
      <c r="W982" s="23">
        <f t="shared" si="115"/>
        <v>3.5137590711800115E-3</v>
      </c>
      <c r="X982" s="24">
        <v>4.1050223218386028E-2</v>
      </c>
      <c r="Y982" s="24">
        <f t="shared" si="116"/>
        <v>4.2990364964189842E-2</v>
      </c>
      <c r="Z982" s="23">
        <f t="shared" si="117"/>
        <v>3.5138132806529221E-3</v>
      </c>
      <c r="AA982" s="36"/>
    </row>
    <row r="983" spans="15:27" ht="13.9" customHeight="1" x14ac:dyDescent="0.3">
      <c r="O983" s="12">
        <f t="shared" si="111"/>
        <v>80.833333333333329</v>
      </c>
      <c r="P983" s="13">
        <v>970</v>
      </c>
      <c r="Q983" s="22">
        <v>3.2946617921753463E-2</v>
      </c>
      <c r="R983" s="19">
        <f t="shared" si="112"/>
        <v>3.3363914624868096E-2</v>
      </c>
      <c r="S983" s="22">
        <v>3.97876888478641E-2</v>
      </c>
      <c r="T983" s="19">
        <f t="shared" si="113"/>
        <v>4.299222108824563E-2</v>
      </c>
      <c r="U983" s="24">
        <v>4.1373485921214703E-2</v>
      </c>
      <c r="V983" s="24">
        <f t="shared" si="114"/>
        <v>4.2989785809226522E-2</v>
      </c>
      <c r="W983" s="23">
        <f t="shared" si="115"/>
        <v>3.513766630603099E-3</v>
      </c>
      <c r="X983" s="24">
        <v>4.1052221504970898E-2</v>
      </c>
      <c r="Y983" s="24">
        <f t="shared" si="116"/>
        <v>4.2990454876806528E-2</v>
      </c>
      <c r="Z983" s="23">
        <f t="shared" si="117"/>
        <v>3.513820557654812E-3</v>
      </c>
      <c r="AA983" s="36"/>
    </row>
    <row r="984" spans="15:27" ht="13.9" customHeight="1" x14ac:dyDescent="0.3">
      <c r="O984" s="12">
        <f t="shared" si="111"/>
        <v>80.916666666666671</v>
      </c>
      <c r="P984" s="13">
        <v>971</v>
      </c>
      <c r="Q984" s="22">
        <v>3.2947047594793055E-2</v>
      </c>
      <c r="R984" s="19">
        <f t="shared" si="112"/>
        <v>3.3364463378785514E-2</v>
      </c>
      <c r="S984" s="22">
        <v>3.9790984017166187E-2</v>
      </c>
      <c r="T984" s="19">
        <f t="shared" si="113"/>
        <v>4.2992299972367976E-2</v>
      </c>
      <c r="U984" s="24">
        <v>4.1375149204589512E-2</v>
      </c>
      <c r="V984" s="24">
        <f t="shared" si="114"/>
        <v>4.2989878389013914E-2</v>
      </c>
      <c r="W984" s="23">
        <f t="shared" si="115"/>
        <v>3.513774121451041E-3</v>
      </c>
      <c r="X984" s="24">
        <v>4.1054215771870295E-2</v>
      </c>
      <c r="Y984" s="24">
        <f t="shared" si="116"/>
        <v>4.2990543950024218E-2</v>
      </c>
      <c r="Z984" s="23">
        <f t="shared" si="117"/>
        <v>3.5138277667778883E-3</v>
      </c>
      <c r="AA984" s="36"/>
    </row>
    <row r="985" spans="15:27" ht="13.9" customHeight="1" x14ac:dyDescent="0.3">
      <c r="O985" s="12">
        <f t="shared" si="111"/>
        <v>81</v>
      </c>
      <c r="P985" s="13">
        <v>972</v>
      </c>
      <c r="Q985" s="22">
        <v>3.2947476948243848E-2</v>
      </c>
      <c r="R985" s="19">
        <f t="shared" si="112"/>
        <v>3.3365007572737415E-2</v>
      </c>
      <c r="S985" s="22">
        <v>3.9794272497602812E-2</v>
      </c>
      <c r="T985" s="19">
        <f t="shared" si="113"/>
        <v>4.2992378056372127E-2</v>
      </c>
      <c r="U985" s="24">
        <v>4.1376809163318429E-2</v>
      </c>
      <c r="V985" s="24">
        <f t="shared" si="114"/>
        <v>4.2989970129928556E-2</v>
      </c>
      <c r="W985" s="23">
        <f t="shared" si="115"/>
        <v>3.5137815444294951E-3</v>
      </c>
      <c r="X985" s="24">
        <v>4.1056206030617437E-2</v>
      </c>
      <c r="Y985" s="24">
        <f t="shared" si="116"/>
        <v>4.2990632192141609E-2</v>
      </c>
      <c r="Z985" s="23">
        <f t="shared" si="117"/>
        <v>3.5138349085979126E-3</v>
      </c>
      <c r="AA985" s="36"/>
    </row>
    <row r="986" spans="15:27" ht="13.9" customHeight="1" x14ac:dyDescent="0.3">
      <c r="O986" s="12">
        <f t="shared" si="111"/>
        <v>81.083333333333329</v>
      </c>
      <c r="P986" s="13">
        <v>973</v>
      </c>
      <c r="Q986" s="22">
        <v>3.2947905978406578E-2</v>
      </c>
      <c r="R986" s="19">
        <f t="shared" si="112"/>
        <v>3.3365547245595373E-2</v>
      </c>
      <c r="S986" s="22">
        <v>3.9797554308945937E-2</v>
      </c>
      <c r="T986" s="19">
        <f t="shared" si="113"/>
        <v>4.2992455348701331E-2</v>
      </c>
      <c r="U986" s="24">
        <v>4.1378465806783504E-2</v>
      </c>
      <c r="V986" s="24">
        <f t="shared" si="114"/>
        <v>4.2990061038708616E-2</v>
      </c>
      <c r="W986" s="23">
        <f t="shared" si="115"/>
        <v>3.5137889001470857E-3</v>
      </c>
      <c r="X986" s="24">
        <v>4.1058192292706908E-2</v>
      </c>
      <c r="Y986" s="24">
        <f t="shared" si="116"/>
        <v>4.2990719610717543E-2</v>
      </c>
      <c r="Z986" s="23">
        <f t="shared" si="117"/>
        <v>3.5138419837803525E-3</v>
      </c>
      <c r="AA986" s="36"/>
    </row>
    <row r="987" spans="15:27" ht="13.9" customHeight="1" x14ac:dyDescent="0.3">
      <c r="O987" s="12">
        <f t="shared" si="111"/>
        <v>81.166666666666671</v>
      </c>
      <c r="P987" s="13">
        <v>974</v>
      </c>
      <c r="Q987" s="22">
        <v>3.2948334681636826E-2</v>
      </c>
      <c r="R987" s="19">
        <f t="shared" si="112"/>
        <v>3.3366082434622912E-2</v>
      </c>
      <c r="S987" s="22">
        <v>3.9800829470895804E-2</v>
      </c>
      <c r="T987" s="19">
        <f t="shared" si="113"/>
        <v>4.2992531856653082E-2</v>
      </c>
      <c r="U987" s="24">
        <v>4.1380119144335259E-2</v>
      </c>
      <c r="V987" s="24">
        <f t="shared" si="114"/>
        <v>4.2990151123646347E-2</v>
      </c>
      <c r="W987" s="23">
        <f t="shared" si="115"/>
        <v>3.5137961891442693E-3</v>
      </c>
      <c r="X987" s="24">
        <v>4.1060174569593322E-2</v>
      </c>
      <c r="Y987" s="24">
        <f t="shared" si="116"/>
        <v>4.2990806213475841E-2</v>
      </c>
      <c r="Z987" s="23">
        <f t="shared" si="117"/>
        <v>3.5138489929316119E-3</v>
      </c>
      <c r="AA987" s="36"/>
    </row>
    <row r="988" spans="15:27" ht="13.9" customHeight="1" x14ac:dyDescent="0.3">
      <c r="O988" s="12">
        <f t="shared" si="111"/>
        <v>81.25</v>
      </c>
      <c r="P988" s="13">
        <v>975</v>
      </c>
      <c r="Q988" s="22">
        <v>3.2948763054343466E-2</v>
      </c>
      <c r="R988" s="19">
        <f t="shared" si="112"/>
        <v>3.3366613176479376E-2</v>
      </c>
      <c r="S988" s="22">
        <v>3.9804098003078936E-2</v>
      </c>
      <c r="T988" s="19">
        <f t="shared" si="113"/>
        <v>4.2992607589037446E-2</v>
      </c>
      <c r="U988" s="24">
        <v>4.1381769185294681E-2</v>
      </c>
      <c r="V988" s="24">
        <f t="shared" si="114"/>
        <v>4.299024039192445E-2</v>
      </c>
      <c r="W988" s="23">
        <f t="shared" si="115"/>
        <v>3.5138034120856254E-3</v>
      </c>
      <c r="X988" s="24">
        <v>4.1062152872692659E-2</v>
      </c>
      <c r="Y988" s="24">
        <f t="shared" si="116"/>
        <v>4.2990892007895853E-2</v>
      </c>
      <c r="Z988" s="23">
        <f t="shared" si="117"/>
        <v>3.5138559366705291E-3</v>
      </c>
      <c r="AA988" s="36"/>
    </row>
    <row r="989" spans="15:27" ht="13.9" customHeight="1" x14ac:dyDescent="0.3">
      <c r="O989" s="12">
        <f t="shared" si="111"/>
        <v>81.333333333333329</v>
      </c>
      <c r="P989" s="13">
        <v>976</v>
      </c>
      <c r="Q989" s="22">
        <v>3.2949191092987773E-2</v>
      </c>
      <c r="R989" s="19">
        <f t="shared" si="112"/>
        <v>3.3367139509226762E-2</v>
      </c>
      <c r="S989" s="22">
        <v>3.98073599250508E-2</v>
      </c>
      <c r="T989" s="19">
        <f t="shared" si="113"/>
        <v>4.2992682553803618E-2</v>
      </c>
      <c r="U989" s="24">
        <v>4.1383415938951451E-2</v>
      </c>
      <c r="V989" s="24">
        <f t="shared" si="114"/>
        <v>4.2990328851265192E-2</v>
      </c>
      <c r="W989" s="23">
        <f t="shared" si="115"/>
        <v>3.5138105695473598E-3</v>
      </c>
      <c r="X989" s="24">
        <v>4.1064127213381818E-2</v>
      </c>
      <c r="Y989" s="24">
        <f t="shared" si="116"/>
        <v>4.2990977001805097E-2</v>
      </c>
      <c r="Z989" s="23">
        <f t="shared" si="117"/>
        <v>3.5138628155970686E-3</v>
      </c>
      <c r="AA989" s="36"/>
    </row>
    <row r="990" spans="15:27" ht="13.9" customHeight="1" x14ac:dyDescent="0.3">
      <c r="O990" s="12">
        <f t="shared" si="111"/>
        <v>81.416666666666671</v>
      </c>
      <c r="P990" s="13">
        <v>977</v>
      </c>
      <c r="Q990" s="22">
        <v>3.294961879408409E-2</v>
      </c>
      <c r="R990" s="19">
        <f t="shared" si="112"/>
        <v>3.336766146909298E-2</v>
      </c>
      <c r="S990" s="22">
        <v>3.9810615256294701E-2</v>
      </c>
      <c r="T990" s="19">
        <f t="shared" si="113"/>
        <v>4.2992756757560757E-2</v>
      </c>
      <c r="U990" s="24">
        <v>4.1385059414565495E-2</v>
      </c>
      <c r="V990" s="24">
        <f t="shared" si="114"/>
        <v>4.2990416508408513E-2</v>
      </c>
      <c r="W990" s="23">
        <f t="shared" si="115"/>
        <v>3.5138176621487549E-3</v>
      </c>
      <c r="X990" s="24">
        <v>4.1066097602998841E-2</v>
      </c>
      <c r="Y990" s="24">
        <f t="shared" si="116"/>
        <v>4.2991061202364733E-2</v>
      </c>
      <c r="Z990" s="23">
        <f t="shared" si="117"/>
        <v>3.5138696303389505E-3</v>
      </c>
      <c r="AA990" s="36"/>
    </row>
    <row r="991" spans="15:27" ht="13.9" customHeight="1" x14ac:dyDescent="0.3">
      <c r="O991" s="12">
        <f t="shared" si="111"/>
        <v>81.5</v>
      </c>
      <c r="P991" s="13">
        <v>978</v>
      </c>
      <c r="Q991" s="22">
        <v>3.2950046154198276E-2</v>
      </c>
      <c r="R991" s="19">
        <f t="shared" si="112"/>
        <v>3.3368179092306605E-2</v>
      </c>
      <c r="S991" s="22">
        <v>3.9813864016221556E-2</v>
      </c>
      <c r="T991" s="19">
        <f t="shared" si="113"/>
        <v>4.299283020909761E-2</v>
      </c>
      <c r="U991" s="24">
        <v>4.1386699621365652E-2</v>
      </c>
      <c r="V991" s="24">
        <f t="shared" si="114"/>
        <v>4.299050337123278E-2</v>
      </c>
      <c r="W991" s="23">
        <f t="shared" si="115"/>
        <v>3.5138246904298231E-3</v>
      </c>
      <c r="X991" s="24">
        <v>4.1068064052843134E-2</v>
      </c>
      <c r="Y991" s="24">
        <f t="shared" si="116"/>
        <v>4.299114461714959E-2</v>
      </c>
      <c r="Z991" s="23">
        <f t="shared" si="117"/>
        <v>3.5138763814699381E-3</v>
      </c>
      <c r="AA991" s="36"/>
    </row>
    <row r="992" spans="15:27" ht="13.9" customHeight="1" x14ac:dyDescent="0.3">
      <c r="O992" s="12">
        <f t="shared" si="111"/>
        <v>81.583333333333329</v>
      </c>
      <c r="P992" s="13">
        <v>979</v>
      </c>
      <c r="Q992" s="22">
        <v>3.2950473169947259E-2</v>
      </c>
      <c r="R992" s="19">
        <f t="shared" si="112"/>
        <v>3.3368692414960766E-2</v>
      </c>
      <c r="S992" s="22">
        <v>3.9817106224171672E-2</v>
      </c>
      <c r="T992" s="19">
        <f t="shared" si="113"/>
        <v>4.2992902915912179E-2</v>
      </c>
      <c r="U992" s="24">
        <v>4.138833656855101E-2</v>
      </c>
      <c r="V992" s="24">
        <f t="shared" si="114"/>
        <v>4.2990589446512351E-2</v>
      </c>
      <c r="W992" s="23">
        <f t="shared" si="115"/>
        <v>3.5138316550225035E-3</v>
      </c>
      <c r="X992" s="24">
        <v>4.1070026574175245E-2</v>
      </c>
      <c r="Y992" s="24">
        <f t="shared" si="116"/>
        <v>4.2991227253496689E-2</v>
      </c>
      <c r="Z992" s="23">
        <f t="shared" si="117"/>
        <v>3.5138830695979895E-3</v>
      </c>
      <c r="AA992" s="36"/>
    </row>
    <row r="993" spans="15:27" ht="13.9" customHeight="1" x14ac:dyDescent="0.3">
      <c r="O993" s="12">
        <f t="shared" si="111"/>
        <v>81.666666666666671</v>
      </c>
      <c r="P993" s="13">
        <v>980</v>
      </c>
      <c r="Q993" s="22">
        <v>3.2950899837998593E-2</v>
      </c>
      <c r="R993" s="19">
        <f t="shared" si="112"/>
        <v>3.3369201473147259E-2</v>
      </c>
      <c r="S993" s="22">
        <v>3.9820341899414302E-2</v>
      </c>
      <c r="T993" s="19">
        <f t="shared" si="113"/>
        <v>4.2992974885430302E-2</v>
      </c>
      <c r="U993" s="24">
        <v>4.1389970265290232E-2</v>
      </c>
      <c r="V993" s="24">
        <f t="shared" si="114"/>
        <v>4.299067474166085E-2</v>
      </c>
      <c r="W993" s="23">
        <f t="shared" si="115"/>
        <v>3.5138385564701391E-3</v>
      </c>
      <c r="X993" s="24">
        <v>4.1071985178217751E-2</v>
      </c>
      <c r="Y993" s="24">
        <f t="shared" si="116"/>
        <v>4.2991309118717957E-2</v>
      </c>
      <c r="Z993" s="23">
        <f t="shared" si="117"/>
        <v>3.5138896953108567E-3</v>
      </c>
      <c r="AA993" s="36"/>
    </row>
    <row r="994" spans="15:27" ht="13.9" customHeight="1" x14ac:dyDescent="0.3">
      <c r="O994" s="12">
        <f t="shared" si="111"/>
        <v>81.75</v>
      </c>
      <c r="P994" s="13">
        <v>981</v>
      </c>
      <c r="Q994" s="22">
        <v>3.2951326155070015E-2</v>
      </c>
      <c r="R994" s="19">
        <f t="shared" si="112"/>
        <v>3.3369706302067703E-2</v>
      </c>
      <c r="S994" s="22">
        <v>3.9823571061147867E-2</v>
      </c>
      <c r="T994" s="19">
        <f t="shared" si="113"/>
        <v>4.2993046124811141E-2</v>
      </c>
      <c r="U994" s="24">
        <v>4.139160072072201E-2</v>
      </c>
      <c r="V994" s="24">
        <f t="shared" si="114"/>
        <v>4.2990759264029954E-2</v>
      </c>
      <c r="W994" s="23">
        <f t="shared" si="115"/>
        <v>3.5138453953666993E-3</v>
      </c>
      <c r="X994" s="24">
        <v>4.1073939876154597E-2</v>
      </c>
      <c r="Y994" s="24">
        <f t="shared" si="116"/>
        <v>4.2991390219905501E-2</v>
      </c>
      <c r="Z994" s="23">
        <f t="shared" si="117"/>
        <v>3.5138962591949596E-3</v>
      </c>
      <c r="AA994" s="36"/>
    </row>
    <row r="995" spans="15:27" ht="13.9" customHeight="1" x14ac:dyDescent="0.3">
      <c r="O995" s="12">
        <f t="shared" si="111"/>
        <v>81.833333333333329</v>
      </c>
      <c r="P995" s="13">
        <v>982</v>
      </c>
      <c r="Q995" s="22">
        <v>3.2951752117928557E-2</v>
      </c>
      <c r="R995" s="19">
        <f t="shared" si="112"/>
        <v>3.3370206936584879E-2</v>
      </c>
      <c r="S995" s="22">
        <v>3.9826793728499732E-2</v>
      </c>
      <c r="T995" s="19">
        <f t="shared" si="113"/>
        <v>4.2993116641711016E-2</v>
      </c>
      <c r="U995" s="24">
        <v>4.139322794395528E-2</v>
      </c>
      <c r="V995" s="24">
        <f t="shared" si="114"/>
        <v>4.2990843019406144E-2</v>
      </c>
      <c r="W995" s="23">
        <f t="shared" si="115"/>
        <v>3.5138521723021565E-3</v>
      </c>
      <c r="X995" s="24">
        <v>4.1075890679131533E-2</v>
      </c>
      <c r="Y995" s="24">
        <f t="shared" si="116"/>
        <v>4.2991470563978673E-2</v>
      </c>
      <c r="Z995" s="23">
        <f t="shared" si="117"/>
        <v>3.5139027618191765E-3</v>
      </c>
      <c r="AA995" s="36"/>
    </row>
    <row r="996" spans="15:27" ht="13.9" customHeight="1" x14ac:dyDescent="0.3">
      <c r="O996" s="12">
        <f t="shared" si="111"/>
        <v>81.916666666666671</v>
      </c>
      <c r="P996" s="13">
        <v>983</v>
      </c>
      <c r="Q996" s="22">
        <v>3.2952177723389875E-2</v>
      </c>
      <c r="R996" s="19">
        <f t="shared" si="112"/>
        <v>3.337070341247883E-2</v>
      </c>
      <c r="S996" s="22">
        <v>3.9830009920527543E-2</v>
      </c>
      <c r="T996" s="19">
        <f t="shared" si="113"/>
        <v>4.2993186444018949E-2</v>
      </c>
      <c r="U996" s="24">
        <v>4.1394851944068112E-2</v>
      </c>
      <c r="V996" s="24">
        <f t="shared" si="114"/>
        <v>4.2990926016338804E-2</v>
      </c>
      <c r="W996" s="23">
        <f t="shared" si="115"/>
        <v>3.51385888774014E-3</v>
      </c>
      <c r="X996" s="24">
        <v>4.1077837598256117E-2</v>
      </c>
      <c r="Y996" s="24">
        <f t="shared" si="116"/>
        <v>4.2991550158511416E-2</v>
      </c>
      <c r="Z996" s="23">
        <f t="shared" si="117"/>
        <v>3.5139092037381747E-3</v>
      </c>
      <c r="AA996" s="36"/>
    </row>
    <row r="997" spans="15:27" ht="13.9" customHeight="1" x14ac:dyDescent="0.3">
      <c r="O997" s="12">
        <f t="shared" si="111"/>
        <v>82</v>
      </c>
      <c r="P997" s="13">
        <v>984</v>
      </c>
      <c r="Q997" s="22">
        <v>3.2952602968318923E-2</v>
      </c>
      <c r="R997" s="19">
        <f t="shared" si="112"/>
        <v>3.3371195763121753E-2</v>
      </c>
      <c r="S997" s="22">
        <v>3.9833219656219443E-2</v>
      </c>
      <c r="T997" s="19">
        <f t="shared" si="113"/>
        <v>4.2993255537960184E-2</v>
      </c>
      <c r="U997" s="24">
        <v>4.1396472730110156E-2</v>
      </c>
      <c r="V997" s="24">
        <f t="shared" si="114"/>
        <v>4.2991008260568675E-2</v>
      </c>
      <c r="W997" s="23">
        <f t="shared" si="115"/>
        <v>3.5138655423661014E-3</v>
      </c>
      <c r="X997" s="24">
        <v>4.1079780644598385E-2</v>
      </c>
      <c r="Y997" s="24">
        <f t="shared" si="116"/>
        <v>4.2991629010492138E-2</v>
      </c>
      <c r="Z997" s="23">
        <f t="shared" si="117"/>
        <v>3.5139155855590243E-3</v>
      </c>
      <c r="AA997" s="36"/>
    </row>
    <row r="998" spans="15:27" ht="13.9" customHeight="1" x14ac:dyDescent="0.3">
      <c r="O998" s="12">
        <f t="shared" si="111"/>
        <v>82.083333333333329</v>
      </c>
      <c r="P998" s="13">
        <v>985</v>
      </c>
      <c r="Q998" s="22">
        <v>3.2953027849627281E-2</v>
      </c>
      <c r="R998" s="19">
        <f t="shared" si="112"/>
        <v>3.3371684024527282E-2</v>
      </c>
      <c r="S998" s="22">
        <v>3.9836422954492967E-2</v>
      </c>
      <c r="T998" s="19">
        <f t="shared" si="113"/>
        <v>4.2993323931336924E-2</v>
      </c>
      <c r="U998" s="24">
        <v>4.1398090311099978E-2</v>
      </c>
      <c r="V998" s="24">
        <f t="shared" si="114"/>
        <v>4.2991089759591761E-2</v>
      </c>
      <c r="W998" s="23">
        <f t="shared" si="115"/>
        <v>3.5138721366407832E-3</v>
      </c>
      <c r="X998" s="24">
        <v>4.10817198291904E-2</v>
      </c>
      <c r="Y998" s="24">
        <f t="shared" si="116"/>
        <v>4.2991707126296852E-2</v>
      </c>
      <c r="Z998" s="23">
        <f t="shared" si="117"/>
        <v>3.5139219078423878E-3</v>
      </c>
      <c r="AA998" s="36"/>
    </row>
    <row r="999" spans="15:27" ht="13.9" customHeight="1" x14ac:dyDescent="0.3">
      <c r="O999" s="12">
        <f t="shared" si="111"/>
        <v>82.166666666666671</v>
      </c>
      <c r="P999" s="13">
        <v>986</v>
      </c>
      <c r="Q999" s="22">
        <v>3.2953452364275382E-2</v>
      </c>
      <c r="R999" s="19">
        <f t="shared" si="112"/>
        <v>3.3372168228751109E-2</v>
      </c>
      <c r="S999" s="22">
        <v>3.9839619834196816E-2</v>
      </c>
      <c r="T999" s="19">
        <f t="shared" si="113"/>
        <v>4.2993391631131583E-2</v>
      </c>
      <c r="U999" s="24">
        <v>4.1399704696027495E-2</v>
      </c>
      <c r="V999" s="24">
        <f t="shared" si="114"/>
        <v>4.2991170519568245E-2</v>
      </c>
      <c r="W999" s="23">
        <f t="shared" si="115"/>
        <v>3.5138786711648162E-3</v>
      </c>
      <c r="X999" s="24">
        <v>4.1083655163026256E-2</v>
      </c>
      <c r="Y999" s="24">
        <f t="shared" si="116"/>
        <v>4.2991784512829145E-2</v>
      </c>
      <c r="Z999" s="23">
        <f t="shared" si="117"/>
        <v>3.5139281710994119E-3</v>
      </c>
      <c r="AA999" s="36"/>
    </row>
    <row r="1000" spans="15:27" ht="13.9" customHeight="1" x14ac:dyDescent="0.3">
      <c r="O1000" s="12">
        <f t="shared" si="111"/>
        <v>82.25</v>
      </c>
      <c r="P1000" s="13">
        <v>987</v>
      </c>
      <c r="Q1000" s="22">
        <v>3.2953876509268731E-2</v>
      </c>
      <c r="R1000" s="19">
        <f t="shared" si="112"/>
        <v>3.3372648410270767E-2</v>
      </c>
      <c r="S1000" s="22">
        <v>3.9842810314110633E-2</v>
      </c>
      <c r="T1000" s="19">
        <f t="shared" si="113"/>
        <v>4.2993458644190685E-2</v>
      </c>
      <c r="U1000" s="24">
        <v>4.1401315893852209E-2</v>
      </c>
      <c r="V1000" s="24">
        <f t="shared" si="114"/>
        <v>4.2991250547444348E-2</v>
      </c>
      <c r="W1000" s="23">
        <f t="shared" si="115"/>
        <v>3.5138851464320275E-3</v>
      </c>
      <c r="X1000" s="24">
        <v>4.1085586657062301E-2</v>
      </c>
      <c r="Y1000" s="24">
        <f t="shared" si="116"/>
        <v>4.2991861177635426E-2</v>
      </c>
      <c r="Z1000" s="23">
        <f t="shared" si="117"/>
        <v>3.5139343758834318E-3</v>
      </c>
      <c r="AA1000" s="36"/>
    </row>
    <row r="1001" spans="15:27" ht="13.9" customHeight="1" x14ac:dyDescent="0.3">
      <c r="O1001" s="12">
        <f t="shared" si="111"/>
        <v>82.333333333333329</v>
      </c>
      <c r="P1001" s="13">
        <v>988</v>
      </c>
      <c r="Q1001" s="22">
        <v>3.2954300281659687E-2</v>
      </c>
      <c r="R1001" s="19">
        <f t="shared" si="112"/>
        <v>3.337312460365971E-2</v>
      </c>
      <c r="S1001" s="22">
        <v>3.9845994412944785E-2</v>
      </c>
      <c r="T1001" s="19">
        <f t="shared" si="113"/>
        <v>4.2993524978079511E-2</v>
      </c>
      <c r="U1001" s="24">
        <v>4.1402923913504752E-2</v>
      </c>
      <c r="V1001" s="24">
        <f t="shared" si="114"/>
        <v>4.2991329850465831E-2</v>
      </c>
      <c r="W1001" s="23">
        <f t="shared" si="115"/>
        <v>3.5138915629999712E-3</v>
      </c>
      <c r="X1001" s="24">
        <v>4.1087514322218244E-2</v>
      </c>
      <c r="Y1001" s="24">
        <f t="shared" si="116"/>
        <v>4.2991937126785063E-2</v>
      </c>
      <c r="Z1001" s="23">
        <f t="shared" si="117"/>
        <v>3.5139405227997411E-3</v>
      </c>
      <c r="AA1001" s="36"/>
    </row>
    <row r="1002" spans="15:27" ht="13.9" customHeight="1" x14ac:dyDescent="0.3">
      <c r="O1002" s="12">
        <f t="shared" si="111"/>
        <v>82.416666666666671</v>
      </c>
      <c r="P1002" s="13">
        <v>989</v>
      </c>
      <c r="Q1002" s="22">
        <v>3.295472367854746E-2</v>
      </c>
      <c r="R1002" s="19">
        <f t="shared" si="112"/>
        <v>3.3373596840439168E-2</v>
      </c>
      <c r="S1002" s="22">
        <v>3.9849172149341916E-2</v>
      </c>
      <c r="T1002" s="19">
        <f t="shared" si="113"/>
        <v>4.2993590638916501E-2</v>
      </c>
      <c r="U1002" s="24">
        <v>4.140452876388645E-2</v>
      </c>
      <c r="V1002" s="24">
        <f t="shared" si="114"/>
        <v>4.2991408434287948E-2</v>
      </c>
      <c r="W1002" s="23">
        <f t="shared" si="115"/>
        <v>3.5138979214488497E-3</v>
      </c>
      <c r="X1002" s="24">
        <v>4.1089438169375825E-2</v>
      </c>
      <c r="Y1002" s="24">
        <f t="shared" si="116"/>
        <v>4.299201236729E-2</v>
      </c>
      <c r="Z1002" s="23">
        <f t="shared" si="117"/>
        <v>3.5139466123350616E-3</v>
      </c>
      <c r="AA1002" s="36"/>
    </row>
    <row r="1003" spans="15:27" ht="13.9" customHeight="1" x14ac:dyDescent="0.3">
      <c r="O1003" s="12">
        <f t="shared" si="111"/>
        <v>82.5</v>
      </c>
      <c r="P1003" s="13">
        <v>990</v>
      </c>
      <c r="Q1003" s="22">
        <v>3.2955146697074778E-2</v>
      </c>
      <c r="R1003" s="19">
        <f t="shared" si="112"/>
        <v>3.3374065154524679E-2</v>
      </c>
      <c r="S1003" s="22">
        <v>3.9852343541875612E-2</v>
      </c>
      <c r="T1003" s="19">
        <f t="shared" si="113"/>
        <v>4.2993655634009142E-2</v>
      </c>
      <c r="U1003" s="24">
        <v>4.1406130453868872E-2</v>
      </c>
      <c r="V1003" s="24">
        <f t="shared" si="114"/>
        <v>4.2991486305489657E-2</v>
      </c>
      <c r="W1003" s="23">
        <f t="shared" si="115"/>
        <v>3.5139042222327443E-3</v>
      </c>
      <c r="X1003" s="24">
        <v>4.1091358209379925E-2</v>
      </c>
      <c r="Y1003" s="24">
        <f t="shared" si="116"/>
        <v>4.2992086905065063E-2</v>
      </c>
      <c r="Z1003" s="23">
        <f t="shared" si="117"/>
        <v>3.513952645051166E-3</v>
      </c>
      <c r="AA1003" s="36"/>
    </row>
    <row r="1004" spans="15:27" ht="13.9" customHeight="1" x14ac:dyDescent="0.3">
      <c r="O1004" s="12">
        <f t="shared" si="111"/>
        <v>82.583333333333329</v>
      </c>
      <c r="P1004" s="13">
        <v>991</v>
      </c>
      <c r="Q1004" s="22">
        <v>3.2955569334430113E-2</v>
      </c>
      <c r="R1004" s="19">
        <f t="shared" si="112"/>
        <v>3.3374529578087619E-2</v>
      </c>
      <c r="S1004" s="22">
        <v>3.9855508609051737E-2</v>
      </c>
      <c r="T1004" s="19">
        <f t="shared" si="113"/>
        <v>4.2993719969849575E-2</v>
      </c>
      <c r="U1004" s="24">
        <v>4.1407728992294057E-2</v>
      </c>
      <c r="V1004" s="24">
        <f t="shared" si="114"/>
        <v>4.2991563471478811E-2</v>
      </c>
      <c r="W1004" s="23">
        <f t="shared" si="115"/>
        <v>3.513910465878789E-3</v>
      </c>
      <c r="X1004" s="24">
        <v>4.1093274453037454E-2</v>
      </c>
      <c r="Y1004" s="24">
        <f t="shared" si="116"/>
        <v>4.2992160748148489E-2</v>
      </c>
      <c r="Z1004" s="23">
        <f t="shared" si="117"/>
        <v>3.5139586214230079E-3</v>
      </c>
      <c r="AA1004" s="36"/>
    </row>
    <row r="1005" spans="15:27" ht="13.9" customHeight="1" x14ac:dyDescent="0.3">
      <c r="O1005" s="12">
        <f t="shared" si="111"/>
        <v>82.666666666666671</v>
      </c>
      <c r="P1005" s="13">
        <v>992</v>
      </c>
      <c r="Q1005" s="22">
        <v>3.2955991587845901E-2</v>
      </c>
      <c r="R1005" s="19">
        <f t="shared" si="112"/>
        <v>3.3374990143862249E-2</v>
      </c>
      <c r="S1005" s="22">
        <v>3.9858667369308431E-2</v>
      </c>
      <c r="T1005" s="19">
        <f t="shared" si="113"/>
        <v>4.2993783653427098E-2</v>
      </c>
      <c r="U1005" s="24">
        <v>4.1409324387976065E-2</v>
      </c>
      <c r="V1005" s="24">
        <f t="shared" si="114"/>
        <v>4.2991639937329573E-2</v>
      </c>
      <c r="W1005" s="23">
        <f t="shared" si="115"/>
        <v>3.5139166529811749E-3</v>
      </c>
      <c r="X1005" s="24">
        <v>4.1095186911120019E-2</v>
      </c>
      <c r="Y1005" s="24">
        <f t="shared" si="116"/>
        <v>4.2992233901168797E-2</v>
      </c>
      <c r="Z1005" s="23">
        <f t="shared" si="117"/>
        <v>3.5139645420945165E-3</v>
      </c>
      <c r="AA1005" s="36"/>
    </row>
    <row r="1006" spans="15:27" ht="13.9" customHeight="1" x14ac:dyDescent="0.3">
      <c r="O1006" s="12">
        <f t="shared" si="111"/>
        <v>82.75</v>
      </c>
      <c r="P1006" s="13">
        <v>993</v>
      </c>
      <c r="Q1006" s="22">
        <v>3.2956413454598321E-2</v>
      </c>
      <c r="R1006" s="19">
        <f t="shared" si="112"/>
        <v>3.337544688339511E-2</v>
      </c>
      <c r="S1006" s="22">
        <v>3.9861819841016555E-2</v>
      </c>
      <c r="T1006" s="19">
        <f t="shared" si="113"/>
        <v>4.2993846691159021E-2</v>
      </c>
      <c r="U1006" s="24">
        <v>4.1410916649698759E-2</v>
      </c>
      <c r="V1006" s="24">
        <f t="shared" si="114"/>
        <v>4.2991715710654743E-2</v>
      </c>
      <c r="W1006" s="23">
        <f t="shared" si="115"/>
        <v>3.513922783946688E-3</v>
      </c>
      <c r="X1006" s="24">
        <v>4.1097095594360811E-2</v>
      </c>
      <c r="Y1006" s="24">
        <f t="shared" si="116"/>
        <v>4.2992306372251932E-2</v>
      </c>
      <c r="Z1006" s="23">
        <f t="shared" si="117"/>
        <v>3.5139704074369504E-3</v>
      </c>
      <c r="AA1006" s="36"/>
    </row>
    <row r="1007" spans="15:27" ht="13.9" customHeight="1" x14ac:dyDescent="0.3">
      <c r="O1007" s="12">
        <f t="shared" si="111"/>
        <v>82.833333333333329</v>
      </c>
      <c r="P1007" s="13">
        <v>994</v>
      </c>
      <c r="Q1007" s="22">
        <v>3.2956834932006629E-2</v>
      </c>
      <c r="R1007" s="19">
        <f t="shared" si="112"/>
        <v>3.3375899828762101E-2</v>
      </c>
      <c r="S1007" s="22">
        <v>3.9864966042479466E-2</v>
      </c>
      <c r="T1007" s="19">
        <f t="shared" si="113"/>
        <v>4.2993909089387605E-2</v>
      </c>
      <c r="U1007" s="24">
        <v>4.1412505786217801E-2</v>
      </c>
      <c r="V1007" s="24">
        <f t="shared" si="114"/>
        <v>4.2991790796662821E-2</v>
      </c>
      <c r="W1007" s="23">
        <f t="shared" si="115"/>
        <v>3.5139288593857287E-3</v>
      </c>
      <c r="X1007" s="24">
        <v>4.1099000513457495E-2</v>
      </c>
      <c r="Y1007" s="24">
        <f t="shared" si="116"/>
        <v>4.2992378166476053E-2</v>
      </c>
      <c r="Z1007" s="23">
        <f t="shared" si="117"/>
        <v>3.5139762181020107E-3</v>
      </c>
      <c r="AA1007" s="36"/>
    </row>
    <row r="1008" spans="15:27" ht="13.9" customHeight="1" x14ac:dyDescent="0.3">
      <c r="O1008" s="12">
        <f t="shared" si="111"/>
        <v>82.916666666666671</v>
      </c>
      <c r="P1008" s="13">
        <v>995</v>
      </c>
      <c r="Q1008" s="22">
        <v>3.2957256017432712E-2</v>
      </c>
      <c r="R1008" s="19">
        <f t="shared" si="112"/>
        <v>3.3376349011831952E-2</v>
      </c>
      <c r="S1008" s="22">
        <v>3.9868105991933689E-2</v>
      </c>
      <c r="T1008" s="19">
        <f t="shared" si="113"/>
        <v>4.2993970855067509E-2</v>
      </c>
      <c r="U1008" s="24">
        <v>4.1414091806259545E-2</v>
      </c>
      <c r="V1008" s="24">
        <f t="shared" si="114"/>
        <v>4.2991865202577362E-2</v>
      </c>
      <c r="W1008" s="23">
        <f t="shared" si="115"/>
        <v>3.513934879715741E-3</v>
      </c>
      <c r="X1008" s="24">
        <v>4.1100901679070212E-2</v>
      </c>
      <c r="Y1008" s="24">
        <f t="shared" si="116"/>
        <v>4.2992449291261892E-2</v>
      </c>
      <c r="Z1008" s="23">
        <f t="shared" si="117"/>
        <v>3.5139819744967049E-3</v>
      </c>
      <c r="AA1008" s="36"/>
    </row>
    <row r="1009" spans="15:27" ht="13.9" customHeight="1" x14ac:dyDescent="0.3">
      <c r="O1009" s="12">
        <f t="shared" si="111"/>
        <v>83</v>
      </c>
      <c r="P1009" s="13">
        <v>996</v>
      </c>
      <c r="Q1009" s="22">
        <v>3.2957676708281314E-2</v>
      </c>
      <c r="R1009" s="19">
        <f t="shared" si="112"/>
        <v>3.3376794463108039E-2</v>
      </c>
      <c r="S1009" s="22">
        <v>3.9871239707549355E-2</v>
      </c>
      <c r="T1009" s="19">
        <f t="shared" si="113"/>
        <v>4.2994031994240345E-2</v>
      </c>
      <c r="U1009" s="24">
        <v>4.1415674718521922E-2</v>
      </c>
      <c r="V1009" s="24">
        <f t="shared" si="114"/>
        <v>4.2991938933817586E-2</v>
      </c>
      <c r="W1009" s="23">
        <f t="shared" si="115"/>
        <v>3.5139408455160392E-3</v>
      </c>
      <c r="X1009" s="24">
        <v>4.1102799101823573E-2</v>
      </c>
      <c r="Y1009" s="24">
        <f t="shared" si="116"/>
        <v>4.2992519751862801E-2</v>
      </c>
      <c r="Z1009" s="23">
        <f t="shared" si="117"/>
        <v>3.5139876772161127E-3</v>
      </c>
      <c r="AA1009" s="36"/>
    </row>
    <row r="1010" spans="15:27" ht="13.9" customHeight="1" x14ac:dyDescent="0.3">
      <c r="O1010" s="12">
        <f t="shared" si="111"/>
        <v>83.083333333333329</v>
      </c>
      <c r="P1010" s="13">
        <v>997</v>
      </c>
      <c r="Q1010" s="22">
        <v>3.2958097001998032E-2</v>
      </c>
      <c r="R1010" s="19">
        <f t="shared" si="112"/>
        <v>3.3377236214969352E-2</v>
      </c>
      <c r="S1010" s="22">
        <v>3.9874367207429984E-2</v>
      </c>
      <c r="T1010" s="19">
        <f t="shared" si="113"/>
        <v>4.2994092513597648E-2</v>
      </c>
      <c r="U1010" s="24">
        <v>4.1417254531673997E-2</v>
      </c>
      <c r="V1010" s="24">
        <f t="shared" si="114"/>
        <v>4.2992011996497492E-2</v>
      </c>
      <c r="W1010" s="23">
        <f t="shared" si="115"/>
        <v>3.5139467572211647E-3</v>
      </c>
      <c r="X1010" s="24">
        <v>4.1104692792305109E-2</v>
      </c>
      <c r="Y1010" s="24">
        <f t="shared" si="116"/>
        <v>4.2992589554779137E-2</v>
      </c>
      <c r="Z1010" s="23">
        <f t="shared" si="117"/>
        <v>3.5139933266814527E-3</v>
      </c>
      <c r="AA1010" s="36"/>
    </row>
    <row r="1011" spans="15:27" ht="13.9" customHeight="1" x14ac:dyDescent="0.3">
      <c r="O1011" s="12">
        <f t="shared" si="111"/>
        <v>83.166666666666671</v>
      </c>
      <c r="P1011" s="13">
        <v>998</v>
      </c>
      <c r="Q1011" s="22">
        <v>3.2958516896071099E-2</v>
      </c>
      <c r="R1011" s="19">
        <f t="shared" si="112"/>
        <v>3.3377674296331428E-2</v>
      </c>
      <c r="S1011" s="22">
        <v>3.9877488509613146E-2</v>
      </c>
      <c r="T1011" s="19">
        <f t="shared" si="113"/>
        <v>4.2994152419284726E-2</v>
      </c>
      <c r="U1011" s="24">
        <v>4.141883125435597E-2</v>
      </c>
      <c r="V1011" s="24">
        <f t="shared" si="114"/>
        <v>4.2992084397201813E-2</v>
      </c>
      <c r="W1011" s="23">
        <f t="shared" si="115"/>
        <v>3.5139526153213918E-3</v>
      </c>
      <c r="X1011" s="24">
        <v>4.1106582761066157E-2</v>
      </c>
      <c r="Y1011" s="24">
        <f t="shared" si="116"/>
        <v>4.2992658706907827E-2</v>
      </c>
      <c r="Z1011" s="23">
        <f t="shared" si="117"/>
        <v>3.5139989234140856E-3</v>
      </c>
      <c r="AA1011" s="36"/>
    </row>
    <row r="1012" spans="15:27" ht="13.9" customHeight="1" x14ac:dyDescent="0.3">
      <c r="O1012" s="12">
        <f t="shared" si="111"/>
        <v>83.25</v>
      </c>
      <c r="P1012" s="13">
        <v>999</v>
      </c>
      <c r="Q1012" s="22">
        <v>3.2958936388027826E-2</v>
      </c>
      <c r="R1012" s="19">
        <f t="shared" si="112"/>
        <v>3.3378108739519741E-2</v>
      </c>
      <c r="S1012" s="22">
        <v>3.9880603632070466E-2</v>
      </c>
      <c r="T1012" s="19">
        <f t="shared" si="113"/>
        <v>4.2994211717177988E-2</v>
      </c>
      <c r="U1012" s="24">
        <v>4.1420404895179841E-2</v>
      </c>
      <c r="V1012" s="24">
        <f t="shared" si="114"/>
        <v>4.2992156141520965E-2</v>
      </c>
      <c r="W1012" s="23">
        <f t="shared" si="115"/>
        <v>3.5139584203447427E-3</v>
      </c>
      <c r="X1012" s="24">
        <v>4.1108469018622973E-2</v>
      </c>
      <c r="Y1012" s="24">
        <f t="shared" si="116"/>
        <v>4.2992727212985304E-2</v>
      </c>
      <c r="Z1012" s="23">
        <f t="shared" si="117"/>
        <v>3.5140044679664584E-3</v>
      </c>
      <c r="AA1012" s="36"/>
    </row>
    <row r="1013" spans="15:27" ht="13.9" customHeight="1" x14ac:dyDescent="0.3">
      <c r="O1013" s="12">
        <f t="shared" si="111"/>
        <v>83.333333333333329</v>
      </c>
      <c r="P1013" s="13">
        <v>1000</v>
      </c>
      <c r="Q1013" s="22">
        <v>3.2959355475437713E-2</v>
      </c>
      <c r="R1013" s="19">
        <f t="shared" si="112"/>
        <v>3.3378539573399868E-2</v>
      </c>
      <c r="S1013" s="22">
        <v>3.9883712592707843E-2</v>
      </c>
      <c r="T1013" s="19">
        <f t="shared" si="113"/>
        <v>4.2994270413831304E-2</v>
      </c>
      <c r="U1013" s="24">
        <v>4.1421975462729188E-2</v>
      </c>
      <c r="V1013" s="24">
        <f t="shared" si="114"/>
        <v>4.2992227235957303E-2</v>
      </c>
      <c r="W1013" s="23">
        <f t="shared" si="115"/>
        <v>3.5139641727393034E-3</v>
      </c>
      <c r="X1013" s="24">
        <v>4.1110351575454285E-2</v>
      </c>
      <c r="Y1013" s="24">
        <f t="shared" si="116"/>
        <v>4.2992795080451174E-2</v>
      </c>
      <c r="Z1013" s="23">
        <f t="shared" si="117"/>
        <v>3.5140099607189335E-3</v>
      </c>
      <c r="AA1013" s="36"/>
    </row>
    <row r="1014" spans="15:27" ht="13.9" customHeight="1" x14ac:dyDescent="0.3">
      <c r="O1014" s="12">
        <f t="shared" si="111"/>
        <v>83.416666666666671</v>
      </c>
      <c r="P1014" s="13">
        <v>1001</v>
      </c>
      <c r="Q1014" s="22">
        <v>3.2959774155908894E-2</v>
      </c>
      <c r="R1014" s="19">
        <f t="shared" si="112"/>
        <v>3.3378966829031409E-2</v>
      </c>
      <c r="S1014" s="22">
        <v>3.9886815409366116E-2</v>
      </c>
      <c r="T1014" s="19">
        <f t="shared" si="113"/>
        <v>4.2994328515111313E-2</v>
      </c>
      <c r="U1014" s="24">
        <v>4.142354296555939E-2</v>
      </c>
      <c r="V1014" s="24">
        <f t="shared" si="114"/>
        <v>4.2992297685321423E-2</v>
      </c>
      <c r="W1014" s="23">
        <f t="shared" si="115"/>
        <v>3.5139698730264346E-3</v>
      </c>
      <c r="X1014" s="24">
        <v>4.1112230442004627E-2</v>
      </c>
      <c r="Y1014" s="24">
        <f t="shared" si="116"/>
        <v>4.2992862313829372E-2</v>
      </c>
      <c r="Z1014" s="23">
        <f t="shared" si="117"/>
        <v>3.5140154022679226E-3</v>
      </c>
      <c r="AA1014" s="36"/>
    </row>
    <row r="1015" spans="15:27" ht="13.9" customHeight="1" x14ac:dyDescent="0.3">
      <c r="O1015" s="12">
        <f t="shared" si="111"/>
        <v>83.5</v>
      </c>
      <c r="P1015" s="13">
        <v>1002</v>
      </c>
      <c r="Q1015" s="22">
        <v>3.2960192427089696E-2</v>
      </c>
      <c r="R1015" s="19">
        <f t="shared" si="112"/>
        <v>3.3379390535068332E-2</v>
      </c>
      <c r="S1015" s="22">
        <v>3.9889912099820846E-2</v>
      </c>
      <c r="T1015" s="19">
        <f t="shared" si="113"/>
        <v>4.2994386027279896E-2</v>
      </c>
      <c r="U1015" s="24">
        <v>4.142510741219696E-2</v>
      </c>
      <c r="V1015" s="24">
        <f t="shared" si="114"/>
        <v>4.2992367496401895E-2</v>
      </c>
      <c r="W1015" s="23">
        <f t="shared" si="115"/>
        <v>3.5139755215918278E-3</v>
      </c>
      <c r="X1015" s="24">
        <v>4.111410562868123E-2</v>
      </c>
      <c r="Y1015" s="24">
        <f t="shared" si="116"/>
        <v>4.299292892033213E-2</v>
      </c>
      <c r="Z1015" s="23">
        <f t="shared" si="117"/>
        <v>3.5140207929760248E-3</v>
      </c>
      <c r="AA1015" s="36"/>
    </row>
    <row r="1016" spans="15:27" ht="13.9" customHeight="1" x14ac:dyDescent="0.3">
      <c r="O1016" s="12">
        <f t="shared" si="111"/>
        <v>83.583333333333329</v>
      </c>
      <c r="P1016" s="13">
        <v>1003</v>
      </c>
      <c r="Q1016" s="22">
        <v>3.2960610286666858E-2</v>
      </c>
      <c r="R1016" s="19">
        <f t="shared" si="112"/>
        <v>3.337981072247409E-2</v>
      </c>
      <c r="S1016" s="22">
        <v>3.9893002681782974E-2</v>
      </c>
      <c r="T1016" s="19">
        <f t="shared" si="113"/>
        <v>4.2994442956704626E-2</v>
      </c>
      <c r="U1016" s="24">
        <v>4.1426668811140654E-2</v>
      </c>
      <c r="V1016" s="24">
        <f t="shared" si="114"/>
        <v>4.2992436674868406E-2</v>
      </c>
      <c r="W1016" s="23">
        <f t="shared" si="115"/>
        <v>3.5139811189799364E-3</v>
      </c>
      <c r="X1016" s="24">
        <v>4.111597714585713E-2</v>
      </c>
      <c r="Y1016" s="24">
        <f t="shared" si="116"/>
        <v>4.2992994905198367E-2</v>
      </c>
      <c r="Z1016" s="23">
        <f t="shared" si="117"/>
        <v>3.514026133421444E-3</v>
      </c>
      <c r="AA1016" s="36"/>
    </row>
    <row r="1017" spans="15:27" ht="13.9" customHeight="1" x14ac:dyDescent="0.3">
      <c r="O1017" s="12">
        <f t="shared" si="111"/>
        <v>83.666666666666671</v>
      </c>
      <c r="P1017" s="13">
        <v>1004</v>
      </c>
      <c r="Q1017" s="22">
        <v>3.2961027732366643E-2</v>
      </c>
      <c r="R1017" s="19">
        <f t="shared" si="112"/>
        <v>3.3380227418624564E-2</v>
      </c>
      <c r="S1017" s="22">
        <v>3.9896087172899275E-2</v>
      </c>
      <c r="T1017" s="19">
        <f t="shared" si="113"/>
        <v>4.2994499307959844E-2</v>
      </c>
      <c r="U1017" s="24">
        <v>4.1428227170861476E-2</v>
      </c>
      <c r="V1017" s="24">
        <f t="shared" si="114"/>
        <v>4.2992505226040922E-2</v>
      </c>
      <c r="W1017" s="23">
        <f t="shared" si="115"/>
        <v>3.5139866656455077E-3</v>
      </c>
      <c r="X1017" s="24">
        <v>4.1117845003869169E-2</v>
      </c>
      <c r="Y1017" s="24">
        <f t="shared" si="116"/>
        <v>4.2993060273877948E-2</v>
      </c>
      <c r="Z1017" s="23">
        <f t="shared" si="117"/>
        <v>3.5140314240242887E-3</v>
      </c>
      <c r="AA1017" s="36"/>
    </row>
    <row r="1018" spans="15:27" ht="13.9" customHeight="1" x14ac:dyDescent="0.3">
      <c r="O1018" s="12">
        <f t="shared" si="111"/>
        <v>83.75</v>
      </c>
      <c r="P1018" s="13">
        <v>1005</v>
      </c>
      <c r="Q1018" s="22">
        <v>3.2961444761952174E-2</v>
      </c>
      <c r="R1018" s="19">
        <f t="shared" si="112"/>
        <v>3.3380640654501414E-2</v>
      </c>
      <c r="S1018" s="22">
        <v>3.989916559075124E-2</v>
      </c>
      <c r="T1018" s="19">
        <f t="shared" si="113"/>
        <v>4.2994555088372133E-2</v>
      </c>
      <c r="U1018" s="24">
        <v>4.1429782499801782E-2</v>
      </c>
      <c r="V1018" s="24">
        <f t="shared" si="114"/>
        <v>4.2992573155805847E-2</v>
      </c>
      <c r="W1018" s="23">
        <f t="shared" si="115"/>
        <v>3.5139921620146453E-3</v>
      </c>
      <c r="X1018" s="24">
        <v>4.1119709213018663E-2</v>
      </c>
      <c r="Y1018" s="24">
        <f t="shared" si="116"/>
        <v>4.2993125032713131E-2</v>
      </c>
      <c r="Z1018" s="23">
        <f t="shared" si="117"/>
        <v>3.5140366652215427E-3</v>
      </c>
      <c r="AA1018" s="36"/>
    </row>
    <row r="1019" spans="15:27" ht="13.9" customHeight="1" x14ac:dyDescent="0.3">
      <c r="O1019" s="12">
        <f t="shared" si="111"/>
        <v>83.833333333333329</v>
      </c>
      <c r="P1019" s="13">
        <v>1006</v>
      </c>
      <c r="Q1019" s="22">
        <v>3.2961861373225654E-2</v>
      </c>
      <c r="R1019" s="19">
        <f t="shared" si="112"/>
        <v>3.3381050457399919E-2</v>
      </c>
      <c r="S1019" s="22">
        <v>3.99022379528573E-2</v>
      </c>
      <c r="T1019" s="19">
        <f t="shared" si="113"/>
        <v>4.2994610302775627E-2</v>
      </c>
      <c r="U1019" s="24">
        <v>4.1431334806376174E-2</v>
      </c>
      <c r="V1019" s="24">
        <f t="shared" si="114"/>
        <v>4.2992640470057575E-2</v>
      </c>
      <c r="W1019" s="23">
        <f t="shared" si="115"/>
        <v>3.5139976085596381E-3</v>
      </c>
      <c r="X1019" s="24">
        <v>4.1121569783572065E-2</v>
      </c>
      <c r="Y1019" s="24">
        <f t="shared" si="116"/>
        <v>4.29931891875317E-2</v>
      </c>
      <c r="Z1019" s="23">
        <f t="shared" si="117"/>
        <v>3.5140418575219101E-3</v>
      </c>
      <c r="AA1019" s="36"/>
    </row>
    <row r="1020" spans="15:27" ht="13.9" customHeight="1" x14ac:dyDescent="0.3">
      <c r="O1020" s="12">
        <f t="shared" si="111"/>
        <v>83.916666666666671</v>
      </c>
      <c r="P1020" s="13">
        <v>1007</v>
      </c>
      <c r="Q1020" s="22">
        <v>3.2962277564025477E-2</v>
      </c>
      <c r="R1020" s="19">
        <f t="shared" si="112"/>
        <v>3.3381456856555802E-2</v>
      </c>
      <c r="S1020" s="22">
        <v>3.9905304276671716E-2</v>
      </c>
      <c r="T1020" s="19">
        <f t="shared" si="113"/>
        <v>4.2994664957543005E-2</v>
      </c>
      <c r="U1020" s="24">
        <v>4.1432884098971945E-2</v>
      </c>
      <c r="V1020" s="24">
        <f t="shared" si="114"/>
        <v>4.2992707174186906E-2</v>
      </c>
      <c r="W1020" s="23">
        <f t="shared" si="115"/>
        <v>3.514003005753219E-3</v>
      </c>
      <c r="X1020" s="24">
        <v>4.112342672576097E-2</v>
      </c>
      <c r="Y1020" s="24">
        <f t="shared" si="116"/>
        <v>4.2993252743216637E-2</v>
      </c>
      <c r="Z1020" s="23">
        <f t="shared" si="117"/>
        <v>3.5140470013923508E-3</v>
      </c>
      <c r="AA1020" s="36"/>
    </row>
    <row r="1021" spans="15:27" ht="13.9" customHeight="1" x14ac:dyDescent="0.3">
      <c r="O1021" s="12">
        <f t="shared" si="111"/>
        <v>84</v>
      </c>
      <c r="P1021" s="13">
        <v>1008</v>
      </c>
      <c r="Q1021" s="22">
        <v>3.2962693332227566E-2</v>
      </c>
      <c r="R1021" s="19">
        <f t="shared" si="112"/>
        <v>3.3381859880388332E-2</v>
      </c>
      <c r="S1021" s="22">
        <v>3.9908364579585465E-2</v>
      </c>
      <c r="T1021" s="19">
        <f t="shared" si="113"/>
        <v>4.2994719057708908E-2</v>
      </c>
      <c r="U1021" s="24">
        <v>4.1434430385948406E-2</v>
      </c>
      <c r="V1021" s="24">
        <f t="shared" si="114"/>
        <v>4.2992773273503371E-2</v>
      </c>
      <c r="W1021" s="23">
        <f t="shared" si="115"/>
        <v>3.5140083540272649E-3</v>
      </c>
      <c r="X1021" s="24">
        <v>4.1125280049781443E-2</v>
      </c>
      <c r="Y1021" s="24">
        <f t="shared" si="116"/>
        <v>4.2993315706283397E-2</v>
      </c>
      <c r="Z1021" s="23">
        <f t="shared" si="117"/>
        <v>3.5140520972247735E-3</v>
      </c>
      <c r="AA1021" s="36"/>
    </row>
    <row r="1022" spans="15:27" ht="13.9" customHeight="1" x14ac:dyDescent="0.3">
      <c r="O1022" s="12">
        <f t="shared" si="111"/>
        <v>84.083333333333329</v>
      </c>
      <c r="P1022" s="13">
        <v>1009</v>
      </c>
      <c r="Q1022" s="22">
        <v>3.2963108675744479E-2</v>
      </c>
      <c r="R1022" s="19">
        <f t="shared" si="112"/>
        <v>3.3382259556270499E-2</v>
      </c>
      <c r="S1022" s="22">
        <v>3.9911418878926019E-2</v>
      </c>
      <c r="T1022" s="19">
        <f t="shared" si="113"/>
        <v>4.2994772609277643E-2</v>
      </c>
      <c r="U1022" s="24">
        <v>4.1435973675636673E-2</v>
      </c>
      <c r="V1022" s="24">
        <f t="shared" si="114"/>
        <v>4.2992838773465269E-2</v>
      </c>
      <c r="W1022" s="23">
        <f t="shared" si="115"/>
        <v>3.5140136538076572E-3</v>
      </c>
      <c r="X1022" s="24">
        <v>4.1127129765795134E-2</v>
      </c>
      <c r="Y1022" s="24">
        <f t="shared" si="116"/>
        <v>4.2993378080903311E-2</v>
      </c>
      <c r="Z1022" s="23">
        <f t="shared" si="117"/>
        <v>3.5140571455412051E-3</v>
      </c>
      <c r="AA1022" s="36"/>
    </row>
    <row r="1023" spans="15:27" ht="13.9" customHeight="1" x14ac:dyDescent="0.3">
      <c r="O1023" s="12">
        <f t="shared" si="111"/>
        <v>84.166666666666671</v>
      </c>
      <c r="P1023" s="13">
        <v>1010</v>
      </c>
      <c r="Q1023" s="22">
        <v>3.2963523592523858E-2</v>
      </c>
      <c r="R1023" s="19">
        <f t="shared" si="112"/>
        <v>3.338265591289824E-2</v>
      </c>
      <c r="S1023" s="22">
        <v>3.9914467191957792E-2</v>
      </c>
      <c r="T1023" s="19">
        <f t="shared" si="113"/>
        <v>4.2994825618337229E-2</v>
      </c>
      <c r="U1023" s="24">
        <v>4.1437513976340767E-2</v>
      </c>
      <c r="V1023" s="24">
        <f t="shared" si="114"/>
        <v>4.2992903680135974E-2</v>
      </c>
      <c r="W1023" s="23">
        <f t="shared" si="115"/>
        <v>3.5140189055320459E-3</v>
      </c>
      <c r="X1023" s="24">
        <v>4.1128975883928165E-2</v>
      </c>
      <c r="Y1023" s="24">
        <f t="shared" si="116"/>
        <v>4.2993439874566164E-2</v>
      </c>
      <c r="Z1023" s="23">
        <f t="shared" si="117"/>
        <v>3.5140621466762667E-3</v>
      </c>
      <c r="AA1023" s="36"/>
    </row>
    <row r="1024" spans="15:27" ht="13.9" customHeight="1" x14ac:dyDescent="0.3">
      <c r="O1024" s="12">
        <f t="shared" si="111"/>
        <v>84.25</v>
      </c>
      <c r="P1024" s="13">
        <v>1011</v>
      </c>
      <c r="Q1024" s="22">
        <v>3.2963938080549982E-2</v>
      </c>
      <c r="R1024" s="19">
        <f t="shared" si="112"/>
        <v>3.3383048976874719E-2</v>
      </c>
      <c r="S1024" s="22">
        <v>3.9917509535883466E-2</v>
      </c>
      <c r="T1024" s="19">
        <f t="shared" si="113"/>
        <v>4.2994878089049449E-2</v>
      </c>
      <c r="U1024" s="24">
        <v>4.1439051296337626E-2</v>
      </c>
      <c r="V1024" s="24">
        <f t="shared" si="114"/>
        <v>4.2992967998592979E-2</v>
      </c>
      <c r="W1024" s="23">
        <f t="shared" si="115"/>
        <v>3.5140241096867086E-3</v>
      </c>
      <c r="X1024" s="24">
        <v>4.1130818414273573E-2</v>
      </c>
      <c r="Y1024" s="24">
        <f t="shared" si="116"/>
        <v>4.2993501090509145E-2</v>
      </c>
      <c r="Z1024" s="23">
        <f t="shared" si="117"/>
        <v>3.5140671012305891E-3</v>
      </c>
      <c r="AA1024" s="36"/>
    </row>
    <row r="1025" spans="15:27" ht="13.9" customHeight="1" x14ac:dyDescent="0.3">
      <c r="O1025" s="12">
        <f t="shared" si="111"/>
        <v>84.333333333333329</v>
      </c>
      <c r="P1025" s="13">
        <v>1012</v>
      </c>
      <c r="Q1025" s="22">
        <v>3.2964352137841546E-2</v>
      </c>
      <c r="R1025" s="19">
        <f t="shared" si="112"/>
        <v>3.3383438776674268E-2</v>
      </c>
      <c r="S1025" s="22">
        <v>3.9920545927841777E-2</v>
      </c>
      <c r="T1025" s="19">
        <f t="shared" si="113"/>
        <v>4.2994930028358525E-2</v>
      </c>
      <c r="U1025" s="24">
        <v>4.1440585643876426E-2</v>
      </c>
      <c r="V1025" s="24">
        <f t="shared" si="114"/>
        <v>4.2993031733898679E-2</v>
      </c>
      <c r="W1025" s="23">
        <f t="shared" si="115"/>
        <v>3.5140292666786532E-3</v>
      </c>
      <c r="X1025" s="24">
        <v>4.1132657366887981E-2</v>
      </c>
      <c r="Y1025" s="24">
        <f t="shared" si="116"/>
        <v>4.2993561736116126E-2</v>
      </c>
      <c r="Z1025" s="23">
        <f t="shared" si="117"/>
        <v>3.5140720094637423E-3</v>
      </c>
      <c r="AA1025" s="36"/>
    </row>
    <row r="1026" spans="15:27" ht="13.9" customHeight="1" x14ac:dyDescent="0.3">
      <c r="O1026" s="12">
        <f t="shared" si="111"/>
        <v>84.416666666666671</v>
      </c>
      <c r="P1026" s="13">
        <v>1013</v>
      </c>
      <c r="Q1026" s="22">
        <v>3.2964765762452997E-2</v>
      </c>
      <c r="R1026" s="19">
        <f t="shared" si="112"/>
        <v>3.3383825338627826E-2</v>
      </c>
      <c r="S1026" s="22">
        <v>3.9923576384910398E-2</v>
      </c>
      <c r="T1026" s="19">
        <f t="shared" si="113"/>
        <v>4.2994981440509061E-2</v>
      </c>
      <c r="U1026" s="24">
        <v>4.1442117027178815E-2</v>
      </c>
      <c r="V1026" s="24">
        <f t="shared" si="114"/>
        <v>4.2993094891367711E-2</v>
      </c>
      <c r="W1026" s="23">
        <f t="shared" si="115"/>
        <v>3.5140343769137772E-3</v>
      </c>
      <c r="X1026" s="24">
        <v>4.1134492751795371E-2</v>
      </c>
      <c r="Y1026" s="24">
        <f t="shared" si="116"/>
        <v>4.2993621815047289E-2</v>
      </c>
      <c r="Z1026" s="23">
        <f t="shared" si="117"/>
        <v>3.5140768719674753E-3</v>
      </c>
      <c r="AA1026" s="36"/>
    </row>
    <row r="1027" spans="15:27" ht="13.9" customHeight="1" x14ac:dyDescent="0.3">
      <c r="O1027" s="12">
        <f t="shared" si="111"/>
        <v>84.5</v>
      </c>
      <c r="P1027" s="13">
        <v>1014</v>
      </c>
      <c r="Q1027" s="22">
        <v>3.2965178952472307E-2</v>
      </c>
      <c r="R1027" s="19">
        <f t="shared" si="112"/>
        <v>3.3384208690000472E-2</v>
      </c>
      <c r="S1027" s="22">
        <v>3.9926600924104383E-2</v>
      </c>
      <c r="T1027" s="19">
        <f t="shared" si="113"/>
        <v>4.2995032331507144E-2</v>
      </c>
      <c r="U1027" s="24">
        <v>4.144364545443957E-2</v>
      </c>
      <c r="V1027" s="24">
        <f t="shared" si="114"/>
        <v>4.2993157476335808E-2</v>
      </c>
      <c r="W1027" s="23">
        <f t="shared" si="115"/>
        <v>3.5140394408181841E-3</v>
      </c>
      <c r="X1027" s="24">
        <v>4.1136324578984196E-2</v>
      </c>
      <c r="Y1027" s="24">
        <f t="shared" si="116"/>
        <v>4.2993681333712397E-2</v>
      </c>
      <c r="Z1027" s="23">
        <f t="shared" si="117"/>
        <v>3.5140816890355531E-3</v>
      </c>
      <c r="AA1027" s="36"/>
    </row>
    <row r="1028" spans="15:27" ht="13.9" customHeight="1" x14ac:dyDescent="0.3">
      <c r="O1028" s="12">
        <f t="shared" si="111"/>
        <v>84.583333333333329</v>
      </c>
      <c r="P1028" s="13">
        <v>1015</v>
      </c>
      <c r="Q1028" s="22">
        <v>3.296559170602209E-2</v>
      </c>
      <c r="R1028" s="19">
        <f t="shared" si="112"/>
        <v>3.3384588857358288E-2</v>
      </c>
      <c r="S1028" s="22">
        <v>3.9929619562377505E-2</v>
      </c>
      <c r="T1028" s="19">
        <f t="shared" si="113"/>
        <v>4.2995082706514864E-2</v>
      </c>
      <c r="U1028" s="24">
        <v>4.1445170933825937E-2</v>
      </c>
      <c r="V1028" s="24">
        <f t="shared" si="114"/>
        <v>4.2993219494149804E-2</v>
      </c>
      <c r="W1028" s="23">
        <f t="shared" si="115"/>
        <v>3.5140444588197539E-3</v>
      </c>
      <c r="X1028" s="24">
        <v>4.1138152858409605E-2</v>
      </c>
      <c r="Y1028" s="24">
        <f t="shared" si="116"/>
        <v>4.2993740297209149E-2</v>
      </c>
      <c r="Z1028" s="23">
        <f t="shared" si="117"/>
        <v>3.5140864611817868E-3</v>
      </c>
      <c r="AA1028" s="36"/>
    </row>
    <row r="1029" spans="15:27" ht="13.9" customHeight="1" x14ac:dyDescent="0.3">
      <c r="O1029" s="12">
        <f t="shared" si="111"/>
        <v>84.666666666666671</v>
      </c>
      <c r="P1029" s="13">
        <v>1016</v>
      </c>
      <c r="Q1029" s="22">
        <v>3.2966004021258266E-2</v>
      </c>
      <c r="R1029" s="19">
        <f t="shared" si="112"/>
        <v>3.3384965867055749E-2</v>
      </c>
      <c r="S1029" s="22">
        <v>3.9932632316621808E-2</v>
      </c>
      <c r="T1029" s="19">
        <f t="shared" si="113"/>
        <v>4.2995132570267991E-2</v>
      </c>
      <c r="U1029" s="24">
        <v>4.1446693473478735E-2</v>
      </c>
      <c r="V1029" s="24">
        <f t="shared" si="114"/>
        <v>4.2993280950169188E-2</v>
      </c>
      <c r="W1029" s="23">
        <f t="shared" si="115"/>
        <v>3.5140494313472548E-3</v>
      </c>
      <c r="X1029" s="24">
        <v>4.113997759999255E-2</v>
      </c>
      <c r="Y1029" s="24">
        <f t="shared" si="116"/>
        <v>4.2993798709783038E-2</v>
      </c>
      <c r="Z1029" s="23">
        <f t="shared" si="117"/>
        <v>3.5140911888149606E-3</v>
      </c>
      <c r="AA1029" s="36"/>
    </row>
    <row r="1030" spans="15:27" ht="13.9" customHeight="1" x14ac:dyDescent="0.3">
      <c r="O1030" s="12">
        <f t="shared" si="111"/>
        <v>84.75</v>
      </c>
      <c r="P1030" s="13">
        <v>1017</v>
      </c>
      <c r="Q1030" s="22">
        <v>3.296641589637006E-2</v>
      </c>
      <c r="R1030" s="19">
        <f t="shared" si="112"/>
        <v>3.3385339745436671E-2</v>
      </c>
      <c r="S1030" s="22">
        <v>3.9935639203667828E-2</v>
      </c>
      <c r="T1030" s="19">
        <f t="shared" si="113"/>
        <v>4.2995181928631165E-2</v>
      </c>
      <c r="U1030" s="24">
        <v>4.1448213081511698E-2</v>
      </c>
      <c r="V1030" s="24">
        <f t="shared" si="114"/>
        <v>4.2993341848432731E-2</v>
      </c>
      <c r="W1030" s="23">
        <f t="shared" si="115"/>
        <v>3.514054358830343E-3</v>
      </c>
      <c r="X1030" s="24">
        <v>4.1141798813619346E-2</v>
      </c>
      <c r="Y1030" s="24">
        <f t="shared" si="116"/>
        <v>4.2993856577463685E-2</v>
      </c>
      <c r="Z1030" s="23">
        <f t="shared" si="117"/>
        <v>3.5140958722754689E-3</v>
      </c>
      <c r="AA1030" s="36"/>
    </row>
    <row r="1031" spans="15:27" ht="13.9" customHeight="1" x14ac:dyDescent="0.3">
      <c r="O1031" s="12">
        <f t="shared" si="111"/>
        <v>84.833333333333329</v>
      </c>
      <c r="P1031" s="13">
        <v>1018</v>
      </c>
      <c r="Q1031" s="22">
        <v>3.2966827329579562E-2</v>
      </c>
      <c r="R1031" s="19">
        <f t="shared" si="112"/>
        <v>3.3385710518824885E-2</v>
      </c>
      <c r="S1031" s="22">
        <v>3.9938640240285928E-2</v>
      </c>
      <c r="T1031" s="19">
        <f t="shared" si="113"/>
        <v>4.2995230786639471E-2</v>
      </c>
      <c r="U1031" s="24">
        <v>4.1449729766011023E-2</v>
      </c>
      <c r="V1031" s="24">
        <f t="shared" si="114"/>
        <v>4.299340219518899E-2</v>
      </c>
      <c r="W1031" s="23">
        <f t="shared" si="115"/>
        <v>3.5140592415927596E-3</v>
      </c>
      <c r="X1031" s="24">
        <v>4.1143616509143444E-2</v>
      </c>
      <c r="Y1031" s="24">
        <f t="shared" si="116"/>
        <v>4.2993913905183145E-2</v>
      </c>
      <c r="Z1031" s="23">
        <f t="shared" si="117"/>
        <v>3.5141005120467028E-3</v>
      </c>
      <c r="AA1031" s="36"/>
    </row>
    <row r="1032" spans="15:27" ht="13.9" customHeight="1" x14ac:dyDescent="0.3">
      <c r="O1032" s="12">
        <f t="shared" si="111"/>
        <v>84.916666666666671</v>
      </c>
      <c r="P1032" s="13">
        <v>1019</v>
      </c>
      <c r="Q1032" s="22">
        <v>3.2967238319141723E-2</v>
      </c>
      <c r="R1032" s="19">
        <f t="shared" si="112"/>
        <v>3.3386078212860992E-2</v>
      </c>
      <c r="S1032" s="22">
        <v>3.9941635443185186E-2</v>
      </c>
      <c r="T1032" s="19">
        <f t="shared" si="113"/>
        <v>4.2995279148488219E-2</v>
      </c>
      <c r="U1032" s="24">
        <v>4.145124353503693E-2</v>
      </c>
      <c r="V1032" s="24">
        <f t="shared" si="114"/>
        <v>4.2993461994600413E-2</v>
      </c>
      <c r="W1032" s="23">
        <f t="shared" si="115"/>
        <v>3.5140640801358813E-3</v>
      </c>
      <c r="X1032" s="24">
        <v>4.11454306963841E-2</v>
      </c>
      <c r="Y1032" s="24">
        <f t="shared" si="116"/>
        <v>4.2993970697785544E-2</v>
      </c>
      <c r="Z1032" s="23">
        <f t="shared" si="117"/>
        <v>3.5141051085241237E-3</v>
      </c>
      <c r="AA1032" s="36"/>
    </row>
    <row r="1033" spans="15:27" ht="13.9" customHeight="1" x14ac:dyDescent="0.3">
      <c r="O1033" s="12">
        <f t="shared" si="111"/>
        <v>85</v>
      </c>
      <c r="P1033" s="13">
        <v>1020</v>
      </c>
      <c r="Q1033" s="22">
        <v>3.2967648863343468E-2</v>
      </c>
      <c r="R1033" s="19">
        <f t="shared" si="112"/>
        <v>3.3386442852784581E-2</v>
      </c>
      <c r="S1033" s="22">
        <v>3.9944624829014064E-2</v>
      </c>
      <c r="T1033" s="19">
        <f t="shared" si="113"/>
        <v>4.2995327020813212E-2</v>
      </c>
      <c r="U1033" s="24">
        <v>4.1452754396622327E-2</v>
      </c>
      <c r="V1033" s="24">
        <f t="shared" si="114"/>
        <v>4.2993521252601585E-2</v>
      </c>
      <c r="W1033" s="23">
        <f t="shared" si="115"/>
        <v>3.5140688747929971E-3</v>
      </c>
      <c r="X1033" s="24">
        <v>4.1147241385127264E-2</v>
      </c>
      <c r="Y1033" s="24">
        <f t="shared" si="116"/>
        <v>4.2994026961057585E-2</v>
      </c>
      <c r="Z1033" s="23">
        <f t="shared" si="117"/>
        <v>3.5141096620963097E-3</v>
      </c>
      <c r="AA1033" s="36"/>
    </row>
    <row r="1034" spans="15:27" ht="13.9" customHeight="1" x14ac:dyDescent="0.3">
      <c r="O1034" s="12">
        <f t="shared" si="111"/>
        <v>85.083333333333329</v>
      </c>
      <c r="P1034" s="13">
        <v>1021</v>
      </c>
      <c r="Q1034" s="22">
        <v>3.2968058960503255E-2</v>
      </c>
      <c r="R1034" s="19">
        <f t="shared" si="112"/>
        <v>3.3386804463909847E-2</v>
      </c>
      <c r="S1034" s="22">
        <v>3.9947608414361513E-2</v>
      </c>
      <c r="T1034" s="19">
        <f t="shared" si="113"/>
        <v>4.2995374406992193E-2</v>
      </c>
      <c r="U1034" s="24">
        <v>4.1454262358774585E-2</v>
      </c>
      <c r="V1034" s="24">
        <f t="shared" si="114"/>
        <v>4.2993579972576468E-2</v>
      </c>
      <c r="W1034" s="23">
        <f t="shared" si="115"/>
        <v>3.5140736260399486E-3</v>
      </c>
      <c r="X1034" s="24">
        <v>4.1149048585126025E-2</v>
      </c>
      <c r="Y1034" s="24">
        <f t="shared" si="116"/>
        <v>4.2994082698286196E-2</v>
      </c>
      <c r="Z1034" s="23">
        <f t="shared" si="117"/>
        <v>3.5141141732271119E-3</v>
      </c>
      <c r="AA1034" s="36"/>
    </row>
    <row r="1035" spans="15:27" ht="13.9" customHeight="1" x14ac:dyDescent="0.3">
      <c r="O1035" s="12">
        <f t="shared" si="111"/>
        <v>85.166666666666671</v>
      </c>
      <c r="P1035" s="13">
        <v>1022</v>
      </c>
      <c r="Q1035" s="22">
        <v>3.2968468608970625E-2</v>
      </c>
      <c r="R1035" s="19">
        <f t="shared" si="112"/>
        <v>3.3387163072635673E-2</v>
      </c>
      <c r="S1035" s="22">
        <v>3.9950586215755646E-2</v>
      </c>
      <c r="T1035" s="19">
        <f t="shared" si="113"/>
        <v>4.2995421312840509E-2</v>
      </c>
      <c r="U1035" s="24">
        <v>4.1455767429472878E-2</v>
      </c>
      <c r="V1035" s="24">
        <f t="shared" si="114"/>
        <v>4.2993638161464842E-2</v>
      </c>
      <c r="W1035" s="23">
        <f t="shared" si="115"/>
        <v>3.5140783341485182E-3</v>
      </c>
      <c r="X1035" s="24">
        <v>4.1150852306098606E-2</v>
      </c>
      <c r="Y1035" s="24">
        <f t="shared" si="116"/>
        <v>4.299413791613893E-2</v>
      </c>
      <c r="Z1035" s="23">
        <f t="shared" si="117"/>
        <v>3.5141186421798754E-3</v>
      </c>
      <c r="AA1035" s="36"/>
    </row>
    <row r="1036" spans="15:27" ht="13.9" customHeight="1" x14ac:dyDescent="0.3">
      <c r="O1036" s="12">
        <f t="shared" si="111"/>
        <v>85.25</v>
      </c>
      <c r="P1036" s="13">
        <v>1023</v>
      </c>
      <c r="Q1036" s="22">
        <v>3.2968877807127539E-2</v>
      </c>
      <c r="R1036" s="19">
        <f t="shared" si="112"/>
        <v>3.3387518702379548E-2</v>
      </c>
      <c r="S1036" s="22">
        <v>3.9953558249665511E-2</v>
      </c>
      <c r="T1036" s="19">
        <f t="shared" si="113"/>
        <v>4.2995467743222049E-2</v>
      </c>
      <c r="U1036" s="24">
        <v>4.1457269616671955E-2</v>
      </c>
      <c r="V1036" s="24">
        <f t="shared" si="114"/>
        <v>4.2993695821819111E-2</v>
      </c>
      <c r="W1036" s="23">
        <f t="shared" si="115"/>
        <v>3.5140829996747058E-3</v>
      </c>
      <c r="X1036" s="24">
        <v>4.1152652557731706E-2</v>
      </c>
      <c r="Y1036" s="24">
        <f t="shared" si="116"/>
        <v>4.2994192618444282E-2</v>
      </c>
      <c r="Z1036" s="23">
        <f t="shared" si="117"/>
        <v>3.5141230694895054E-3</v>
      </c>
      <c r="AA1036" s="36"/>
    </row>
    <row r="1037" spans="15:27" ht="13.9" customHeight="1" x14ac:dyDescent="0.3">
      <c r="O1037" s="12">
        <f t="shared" si="111"/>
        <v>85.333333333333329</v>
      </c>
      <c r="P1037" s="13">
        <v>1024</v>
      </c>
      <c r="Q1037" s="22">
        <v>3.2969286553385047E-2</v>
      </c>
      <c r="R1037" s="19">
        <f t="shared" si="112"/>
        <v>3.3387871378961265E-2</v>
      </c>
      <c r="S1037" s="22">
        <v>3.9956524532500426E-2</v>
      </c>
      <c r="T1037" s="19">
        <f t="shared" si="113"/>
        <v>4.2995513702464461E-2</v>
      </c>
      <c r="U1037" s="24">
        <v>4.145876892829814E-2</v>
      </c>
      <c r="V1037" s="24">
        <f t="shared" si="114"/>
        <v>4.2993752960184484E-2</v>
      </c>
      <c r="W1037" s="23">
        <f t="shared" si="115"/>
        <v>3.5140876228234585E-3</v>
      </c>
      <c r="X1037" s="24">
        <v>4.1154449349678046E-2</v>
      </c>
      <c r="Y1037" s="24">
        <f t="shared" si="116"/>
        <v>4.2994246809882508E-2</v>
      </c>
      <c r="Z1037" s="23">
        <f t="shared" si="117"/>
        <v>3.5141274554630897E-3</v>
      </c>
      <c r="AA1037" s="36"/>
    </row>
    <row r="1038" spans="15:27" ht="13.9" customHeight="1" x14ac:dyDescent="0.3">
      <c r="O1038" s="12">
        <f t="shared" ref="O1038:O1101" si="118">P1038/12</f>
        <v>85.416666666666671</v>
      </c>
      <c r="P1038" s="13">
        <v>1025</v>
      </c>
      <c r="Q1038" s="22">
        <v>3.2969694846185726E-2</v>
      </c>
      <c r="R1038" s="19">
        <f t="shared" ref="R1038:R1101" si="119">(1+Q1039)^P1039/(1+Q1038)^P1038-1</f>
        <v>3.3388221126092743E-2</v>
      </c>
      <c r="S1038" s="22">
        <v>3.9959485080610202E-2</v>
      </c>
      <c r="T1038" s="19">
        <f t="shared" ref="T1038:T1101" si="120">(1+S1039)^P1039/(1+S1038)^P1038-1</f>
        <v>4.2995559195989186E-2</v>
      </c>
      <c r="U1038" s="24">
        <v>4.1460265372253113E-2</v>
      </c>
      <c r="V1038" s="24">
        <f t="shared" ref="V1038:V1101" si="121">(1+U1039)^P1039/(1+U1038)^P1038-1</f>
        <v>4.29938095804272E-2</v>
      </c>
      <c r="W1038" s="23">
        <f t="shared" si="115"/>
        <v>3.5140922041194678E-3</v>
      </c>
      <c r="X1038" s="24">
        <v>4.1156242691557265E-2</v>
      </c>
      <c r="Y1038" s="24">
        <f t="shared" si="116"/>
        <v>4.2994300496351556E-2</v>
      </c>
      <c r="Z1038" s="23">
        <f t="shared" si="117"/>
        <v>3.5141318004754396E-3</v>
      </c>
      <c r="AA1038" s="36"/>
    </row>
    <row r="1039" spans="15:27" ht="13.9" customHeight="1" x14ac:dyDescent="0.3">
      <c r="O1039" s="12">
        <f t="shared" si="118"/>
        <v>85.5</v>
      </c>
      <c r="P1039" s="13">
        <v>1026</v>
      </c>
      <c r="Q1039" s="22">
        <v>3.2970102684001246E-2</v>
      </c>
      <c r="R1039" s="19">
        <f t="shared" si="119"/>
        <v>3.3388567969097949E-2</v>
      </c>
      <c r="S1039" s="22">
        <v>3.9962439910286252E-2</v>
      </c>
      <c r="T1039" s="19">
        <f t="shared" si="120"/>
        <v>4.2995604227862971E-2</v>
      </c>
      <c r="U1039" s="24">
        <v>4.1461758956411687E-2</v>
      </c>
      <c r="V1039" s="24">
        <f t="shared" si="121"/>
        <v>4.2993865687783961E-2</v>
      </c>
      <c r="W1039" s="23">
        <f t="shared" ref="W1039:W1102" si="122">(1+V1038)^(1/12)-1</f>
        <v>3.5140967438724857E-3</v>
      </c>
      <c r="X1039" s="24">
        <v>4.1158032592957028E-2</v>
      </c>
      <c r="Y1039" s="24">
        <f t="shared" ref="Y1039:Y1102" si="123">(1+X1040)^P1040/(1+X1039)^P1039-1</f>
        <v>4.2994353681358621E-2</v>
      </c>
      <c r="Z1039" s="23">
        <f t="shared" ref="Z1039:Z1102" si="124">(1+Y1038)^(1/12)-1</f>
        <v>3.5141361049997322E-3</v>
      </c>
      <c r="AA1039" s="36"/>
    </row>
    <row r="1040" spans="15:27" ht="13.9" customHeight="1" x14ac:dyDescent="0.3">
      <c r="O1040" s="12">
        <f t="shared" si="118"/>
        <v>85.583333333333329</v>
      </c>
      <c r="P1040" s="13">
        <v>1027</v>
      </c>
      <c r="Q1040" s="22">
        <v>3.2970510065333691E-2</v>
      </c>
      <c r="R1040" s="19">
        <f t="shared" si="119"/>
        <v>3.338891193103688E-2</v>
      </c>
      <c r="S1040" s="22">
        <v>3.9965389037760479E-2</v>
      </c>
      <c r="T1040" s="19">
        <f t="shared" si="120"/>
        <v>4.2995648803147102E-2</v>
      </c>
      <c r="U1040" s="24">
        <v>4.1463249688622916E-2</v>
      </c>
      <c r="V1040" s="24">
        <f t="shared" si="121"/>
        <v>4.2993921286285541E-2</v>
      </c>
      <c r="W1040" s="23">
        <f t="shared" si="122"/>
        <v>3.5141012425028428E-3</v>
      </c>
      <c r="X1040" s="24">
        <v>4.1159819063431469E-2</v>
      </c>
      <c r="Y1040" s="24">
        <f t="shared" si="123"/>
        <v>4.2994406370318927E-2</v>
      </c>
      <c r="Z1040" s="23">
        <f t="shared" si="124"/>
        <v>3.5141403693170759E-3</v>
      </c>
      <c r="AA1040" s="36"/>
    </row>
    <row r="1041" spans="15:27" ht="13.9" customHeight="1" x14ac:dyDescent="0.3">
      <c r="O1041" s="12">
        <f t="shared" si="118"/>
        <v>85.666666666666671</v>
      </c>
      <c r="P1041" s="13">
        <v>1028</v>
      </c>
      <c r="Q1041" s="22">
        <v>3.2970916988713794E-2</v>
      </c>
      <c r="R1041" s="19">
        <f t="shared" si="119"/>
        <v>3.3389253036775868E-2</v>
      </c>
      <c r="S1041" s="22">
        <v>3.9968332479206614E-2</v>
      </c>
      <c r="T1041" s="19">
        <f t="shared" si="120"/>
        <v>4.2995692926628193E-2</v>
      </c>
      <c r="U1041" s="24">
        <v>4.1464737576709432E-2</v>
      </c>
      <c r="V1041" s="24">
        <f t="shared" si="121"/>
        <v>4.2993976380716337E-2</v>
      </c>
      <c r="W1041" s="23">
        <f t="shared" si="122"/>
        <v>3.514105700333392E-3</v>
      </c>
      <c r="X1041" s="24">
        <v>4.1161602112502527E-2</v>
      </c>
      <c r="Y1041" s="24">
        <f t="shared" si="123"/>
        <v>4.2994458567036542E-2</v>
      </c>
      <c r="Z1041" s="23">
        <f t="shared" si="124"/>
        <v>3.5141445938617899E-3</v>
      </c>
      <c r="AA1041" s="36"/>
    </row>
    <row r="1042" spans="15:27" ht="13.9" customHeight="1" x14ac:dyDescent="0.3">
      <c r="O1042" s="12">
        <f t="shared" si="118"/>
        <v>85.75</v>
      </c>
      <c r="P1042" s="13">
        <v>1029</v>
      </c>
      <c r="Q1042" s="22">
        <v>3.2971323452701817E-2</v>
      </c>
      <c r="R1042" s="19">
        <f t="shared" si="119"/>
        <v>3.3389591309317401E-2</v>
      </c>
      <c r="S1042" s="22">
        <v>3.9971270250740432E-2</v>
      </c>
      <c r="T1042" s="19">
        <f t="shared" si="120"/>
        <v>4.2995736602295054E-2</v>
      </c>
      <c r="U1042" s="24">
        <v>4.1466222628467886E-2</v>
      </c>
      <c r="V1042" s="24">
        <f t="shared" si="121"/>
        <v>4.2994030976003073E-2</v>
      </c>
      <c r="W1042" s="23">
        <f t="shared" si="122"/>
        <v>3.5141101177478262E-3</v>
      </c>
      <c r="X1042" s="24">
        <v>4.1163381749659056E-2</v>
      </c>
      <c r="Y1042" s="24">
        <f t="shared" si="123"/>
        <v>4.2994510277210241E-2</v>
      </c>
      <c r="Z1042" s="23">
        <f t="shared" si="124"/>
        <v>3.5141487789389636E-3</v>
      </c>
      <c r="AA1042" s="36"/>
    </row>
    <row r="1043" spans="15:27" ht="13.9" customHeight="1" x14ac:dyDescent="0.3">
      <c r="O1043" s="12">
        <f t="shared" si="118"/>
        <v>85.833333333333329</v>
      </c>
      <c r="P1043" s="13">
        <v>1030</v>
      </c>
      <c r="Q1043" s="22">
        <v>3.2971729455886001E-2</v>
      </c>
      <c r="R1043" s="19">
        <f t="shared" si="119"/>
        <v>3.3389926772901424E-2</v>
      </c>
      <c r="S1043" s="22">
        <v>3.9974202368418865E-2</v>
      </c>
      <c r="T1043" s="19">
        <f t="shared" si="120"/>
        <v>4.2995779835447223E-2</v>
      </c>
      <c r="U1043" s="24">
        <v>4.1467704851669618E-2</v>
      </c>
      <c r="V1043" s="24">
        <f t="shared" si="121"/>
        <v>4.2994085076620392E-2</v>
      </c>
      <c r="W1043" s="23">
        <f t="shared" si="122"/>
        <v>3.5141144951411629E-3</v>
      </c>
      <c r="X1043" s="24">
        <v>4.1165157984358602E-2</v>
      </c>
      <c r="Y1043" s="24">
        <f t="shared" si="123"/>
        <v>4.2994561504817952E-2</v>
      </c>
      <c r="Z1043" s="23">
        <f t="shared" si="124"/>
        <v>3.5141529250051207E-3</v>
      </c>
      <c r="AA1043" s="36"/>
    </row>
    <row r="1044" spans="15:27" ht="13.9" customHeight="1" x14ac:dyDescent="0.3">
      <c r="O1044" s="12">
        <f t="shared" si="118"/>
        <v>85.916666666666671</v>
      </c>
      <c r="P1044" s="13">
        <v>1031</v>
      </c>
      <c r="Q1044" s="22">
        <v>3.2972134996883673E-2</v>
      </c>
      <c r="R1044" s="19">
        <f t="shared" si="119"/>
        <v>3.3390259450232218E-2</v>
      </c>
      <c r="S1044" s="22">
        <v>3.9977128848241783E-2</v>
      </c>
      <c r="T1044" s="19">
        <f t="shared" si="120"/>
        <v>4.2995822629723346E-2</v>
      </c>
      <c r="U1044" s="24">
        <v>4.146918425406021E-2</v>
      </c>
      <c r="V1044" s="24">
        <f t="shared" si="121"/>
        <v>4.2994138686264005E-2</v>
      </c>
      <c r="W1044" s="23">
        <f t="shared" si="122"/>
        <v>3.5141188328722262E-3</v>
      </c>
      <c r="X1044" s="24">
        <v>4.1166930826025627E-2</v>
      </c>
      <c r="Y1044" s="24">
        <f t="shared" si="123"/>
        <v>4.2994612254033449E-2</v>
      </c>
      <c r="Z1044" s="23">
        <f t="shared" si="124"/>
        <v>3.5141570323795612E-3</v>
      </c>
      <c r="AA1044" s="36"/>
    </row>
    <row r="1045" spans="15:27" ht="13.9" customHeight="1" x14ac:dyDescent="0.3">
      <c r="O1045" s="12">
        <f t="shared" si="118"/>
        <v>86</v>
      </c>
      <c r="P1045" s="13">
        <v>1032</v>
      </c>
      <c r="Q1045" s="22">
        <v>3.2972540074339474E-2</v>
      </c>
      <c r="R1045" s="19">
        <f t="shared" si="119"/>
        <v>3.3390589365186019E-2</v>
      </c>
      <c r="S1045" s="22">
        <v>3.9980049706150877E-2</v>
      </c>
      <c r="T1045" s="19">
        <f t="shared" si="120"/>
        <v>4.2995864990189592E-2</v>
      </c>
      <c r="U1045" s="24">
        <v>4.147066084335882E-2</v>
      </c>
      <c r="V1045" s="24">
        <f t="shared" si="121"/>
        <v>4.2994191810233229E-2</v>
      </c>
      <c r="W1045" s="23">
        <f t="shared" si="122"/>
        <v>3.5141231312374455E-3</v>
      </c>
      <c r="X1045" s="24">
        <v>4.1168700284052395E-2</v>
      </c>
      <c r="Y1045" s="24">
        <f t="shared" si="123"/>
        <v>4.2994662529798999E-2</v>
      </c>
      <c r="Z1045" s="23">
        <f t="shared" si="124"/>
        <v>3.5141611013969065E-3</v>
      </c>
      <c r="AA1045" s="36"/>
    </row>
    <row r="1046" spans="15:27" ht="13.9" customHeight="1" x14ac:dyDescent="0.3">
      <c r="O1046" s="12">
        <f t="shared" si="118"/>
        <v>86.083333333333329</v>
      </c>
      <c r="P1046" s="13">
        <v>1033</v>
      </c>
      <c r="Q1046" s="22">
        <v>3.2972944686926242E-2</v>
      </c>
      <c r="R1046" s="19">
        <f t="shared" si="119"/>
        <v>3.3390916539843607E-2</v>
      </c>
      <c r="S1046" s="22">
        <v>3.9982964958030776E-2</v>
      </c>
      <c r="T1046" s="19">
        <f t="shared" si="120"/>
        <v>4.2995906921496241E-2</v>
      </c>
      <c r="U1046" s="24">
        <v>4.1472134627259738E-2</v>
      </c>
      <c r="V1046" s="24">
        <f t="shared" si="121"/>
        <v>4.2994244453355535E-2</v>
      </c>
      <c r="W1046" s="23">
        <f t="shared" si="122"/>
        <v>3.5141273906615922E-3</v>
      </c>
      <c r="X1046" s="24">
        <v>4.1170466367799641E-2</v>
      </c>
      <c r="Y1046" s="24">
        <f t="shared" si="123"/>
        <v>4.2994712336693164E-2</v>
      </c>
      <c r="Z1046" s="23">
        <f t="shared" si="124"/>
        <v>3.5141651324532841E-3</v>
      </c>
      <c r="AA1046" s="36"/>
    </row>
    <row r="1047" spans="15:27" ht="13.9" customHeight="1" x14ac:dyDescent="0.3">
      <c r="O1047" s="12">
        <f t="shared" si="118"/>
        <v>86.166666666666671</v>
      </c>
      <c r="P1047" s="13">
        <v>1034</v>
      </c>
      <c r="Q1047" s="22">
        <v>3.2973348833343463E-2</v>
      </c>
      <c r="R1047" s="19">
        <f t="shared" si="119"/>
        <v>3.339124099757651E-2</v>
      </c>
      <c r="S1047" s="22">
        <v>3.9985874619709261E-2</v>
      </c>
      <c r="T1047" s="19">
        <f t="shared" si="120"/>
        <v>4.299594842697152E-2</v>
      </c>
      <c r="U1047" s="24">
        <v>4.1473605613432163E-2</v>
      </c>
      <c r="V1047" s="24">
        <f t="shared" si="121"/>
        <v>4.2994296618451333E-2</v>
      </c>
      <c r="W1047" s="23">
        <f t="shared" si="122"/>
        <v>3.514131611531468E-3</v>
      </c>
      <c r="X1047" s="24">
        <v>4.1172229086596124E-2</v>
      </c>
      <c r="Y1047" s="24">
        <f t="shared" si="123"/>
        <v>4.2994761678278426E-2</v>
      </c>
      <c r="Z1047" s="23">
        <f t="shared" si="124"/>
        <v>3.5141691259159558E-3</v>
      </c>
      <c r="AA1047" s="36"/>
    </row>
    <row r="1048" spans="15:27" ht="13.9" customHeight="1" x14ac:dyDescent="0.3">
      <c r="O1048" s="12">
        <f t="shared" si="118"/>
        <v>86.25</v>
      </c>
      <c r="P1048" s="13">
        <v>1035</v>
      </c>
      <c r="Q1048" s="22">
        <v>3.2973752512318377E-2</v>
      </c>
      <c r="R1048" s="19">
        <f t="shared" si="119"/>
        <v>3.339156276070443E-2</v>
      </c>
      <c r="S1048" s="22">
        <v>3.9988778706956607E-2</v>
      </c>
      <c r="T1048" s="19">
        <f t="shared" si="120"/>
        <v>4.2995989511875665E-2</v>
      </c>
      <c r="U1048" s="24">
        <v>4.1475073809518426E-2</v>
      </c>
      <c r="V1048" s="24">
        <f t="shared" si="121"/>
        <v>4.2994348311076847E-2</v>
      </c>
      <c r="W1048" s="23">
        <f t="shared" si="122"/>
        <v>3.5141357940737805E-3</v>
      </c>
      <c r="X1048" s="24">
        <v>4.1173988449738186E-2</v>
      </c>
      <c r="Y1048" s="24">
        <f t="shared" si="123"/>
        <v>4.2994810559527918E-2</v>
      </c>
      <c r="Z1048" s="23">
        <f t="shared" si="124"/>
        <v>3.5141730820704709E-3</v>
      </c>
      <c r="AA1048" s="36"/>
    </row>
    <row r="1049" spans="15:27" ht="13.9" customHeight="1" x14ac:dyDescent="0.3">
      <c r="O1049" s="12">
        <f t="shared" si="118"/>
        <v>86.333333333333329</v>
      </c>
      <c r="P1049" s="13">
        <v>1036</v>
      </c>
      <c r="Q1049" s="22">
        <v>3.2974155722604204E-2</v>
      </c>
      <c r="R1049" s="19">
        <f t="shared" si="119"/>
        <v>3.3391881852160132E-2</v>
      </c>
      <c r="S1049" s="22">
        <v>3.9991677235486911E-2</v>
      </c>
      <c r="T1049" s="19">
        <f t="shared" si="120"/>
        <v>4.2996030180145528E-2</v>
      </c>
      <c r="U1049" s="24">
        <v>4.1476539223136877E-2</v>
      </c>
      <c r="V1049" s="24">
        <f t="shared" si="121"/>
        <v>4.299439953496309E-2</v>
      </c>
      <c r="W1049" s="23">
        <f t="shared" si="122"/>
        <v>3.5141399387337291E-3</v>
      </c>
      <c r="X1049" s="24">
        <v>4.1175744466491082E-2</v>
      </c>
      <c r="Y1049" s="24">
        <f t="shared" si="123"/>
        <v>4.2994858984618745E-2</v>
      </c>
      <c r="Z1049" s="23">
        <f t="shared" si="124"/>
        <v>3.5141770013156215E-3</v>
      </c>
      <c r="AA1049" s="36"/>
    </row>
    <row r="1050" spans="15:27" ht="13.9" customHeight="1" x14ac:dyDescent="0.3">
      <c r="O1050" s="12">
        <f t="shared" si="118"/>
        <v>86.416666666666671</v>
      </c>
      <c r="P1050" s="13">
        <v>1037</v>
      </c>
      <c r="Q1050" s="22">
        <v>3.2974558462981474E-2</v>
      </c>
      <c r="R1050" s="19">
        <f t="shared" si="119"/>
        <v>3.3392198293155317E-2</v>
      </c>
      <c r="S1050" s="22">
        <v>3.9994570220957648E-2</v>
      </c>
      <c r="T1050" s="19">
        <f t="shared" si="120"/>
        <v>4.2996070435952438E-2</v>
      </c>
      <c r="U1050" s="24">
        <v>4.1478001861879887E-2</v>
      </c>
      <c r="V1050" s="24">
        <f t="shared" si="121"/>
        <v>4.2994450294888908E-2</v>
      </c>
      <c r="W1050" s="23">
        <f t="shared" si="122"/>
        <v>3.5141440458104078E-3</v>
      </c>
      <c r="X1050" s="24">
        <v>4.1177497146088315E-2</v>
      </c>
      <c r="Y1050" s="24">
        <f t="shared" si="123"/>
        <v>4.2994906958458534E-2</v>
      </c>
      <c r="Z1050" s="23">
        <f t="shared" si="124"/>
        <v>3.5141808839862509E-3</v>
      </c>
      <c r="AA1050" s="36"/>
    </row>
    <row r="1051" spans="15:27" ht="13.9" customHeight="1" x14ac:dyDescent="0.3">
      <c r="O1051" s="12">
        <f t="shared" si="118"/>
        <v>86.5</v>
      </c>
      <c r="P1051" s="13">
        <v>1038</v>
      </c>
      <c r="Q1051" s="22">
        <v>3.2974960732255809E-2</v>
      </c>
      <c r="R1051" s="19">
        <f t="shared" si="119"/>
        <v>3.3392512106750871E-2</v>
      </c>
      <c r="S1051" s="22">
        <v>3.9997457678970116E-2</v>
      </c>
      <c r="T1051" s="19">
        <f t="shared" si="120"/>
        <v>4.2996110283659794E-2</v>
      </c>
      <c r="U1051" s="24">
        <v>4.1479461733315404E-2</v>
      </c>
      <c r="V1051" s="24">
        <f t="shared" si="121"/>
        <v>4.2994500594715213E-2</v>
      </c>
      <c r="W1051" s="23">
        <f t="shared" si="122"/>
        <v>3.5141481156870658E-3</v>
      </c>
      <c r="X1051" s="24">
        <v>4.1179246497732525E-2</v>
      </c>
      <c r="Y1051" s="24">
        <f t="shared" si="123"/>
        <v>4.2994954484101289E-2</v>
      </c>
      <c r="Z1051" s="23">
        <f t="shared" si="124"/>
        <v>3.5141847304760443E-3</v>
      </c>
      <c r="AA1051" s="36"/>
    </row>
    <row r="1052" spans="15:27" ht="13.9" customHeight="1" x14ac:dyDescent="0.3">
      <c r="O1052" s="12">
        <f t="shared" si="118"/>
        <v>86.583333333333329</v>
      </c>
      <c r="P1052" s="13">
        <v>1039</v>
      </c>
      <c r="Q1052" s="22">
        <v>3.2975362529259256E-2</v>
      </c>
      <c r="R1052" s="19">
        <f t="shared" si="119"/>
        <v>3.3392823314231102E-2</v>
      </c>
      <c r="S1052" s="22">
        <v>4.0000339625069881E-2</v>
      </c>
      <c r="T1052" s="19">
        <f t="shared" si="120"/>
        <v>4.2996149726904243E-2</v>
      </c>
      <c r="U1052" s="24">
        <v>4.1480918844985615E-2</v>
      </c>
      <c r="V1052" s="24">
        <f t="shared" si="121"/>
        <v>4.299455043830136E-2</v>
      </c>
      <c r="W1052" s="23">
        <f t="shared" si="122"/>
        <v>3.514152148673233E-3</v>
      </c>
      <c r="X1052" s="24">
        <v>4.118099253059393E-2</v>
      </c>
      <c r="Y1052" s="24">
        <f t="shared" si="123"/>
        <v>4.2995001565640401E-2</v>
      </c>
      <c r="Z1052" s="23">
        <f t="shared" si="124"/>
        <v>3.5141885410294726E-3</v>
      </c>
      <c r="AA1052" s="36"/>
    </row>
    <row r="1053" spans="15:27" ht="13.9" customHeight="1" x14ac:dyDescent="0.3">
      <c r="O1053" s="12">
        <f t="shared" si="118"/>
        <v>86.666666666666671</v>
      </c>
      <c r="P1053" s="13">
        <v>1040</v>
      </c>
      <c r="Q1053" s="22">
        <v>3.2975763852849393E-2</v>
      </c>
      <c r="R1053" s="19">
        <f t="shared" si="119"/>
        <v>3.3393131937092813E-2</v>
      </c>
      <c r="S1053" s="22">
        <v>4.0003216074746106E-2</v>
      </c>
      <c r="T1053" s="19">
        <f t="shared" si="120"/>
        <v>4.2996188770660249E-2</v>
      </c>
      <c r="U1053" s="24">
        <v>4.1482373204407841E-2</v>
      </c>
      <c r="V1053" s="24">
        <f t="shared" si="121"/>
        <v>4.2994599830236346E-2</v>
      </c>
      <c r="W1053" s="23">
        <f t="shared" si="122"/>
        <v>3.5141561450782177E-3</v>
      </c>
      <c r="X1053" s="24">
        <v>4.1182735253811664E-2</v>
      </c>
      <c r="Y1053" s="24">
        <f t="shared" si="123"/>
        <v>4.2995048208971154E-2</v>
      </c>
      <c r="Z1053" s="23">
        <f t="shared" si="124"/>
        <v>3.514192315975162E-3</v>
      </c>
      <c r="AA1053" s="36"/>
    </row>
    <row r="1054" spans="15:27" ht="13.9" customHeight="1" x14ac:dyDescent="0.3">
      <c r="O1054" s="12">
        <f t="shared" si="118"/>
        <v>86.75</v>
      </c>
      <c r="P1054" s="13">
        <v>1041</v>
      </c>
      <c r="Q1054" s="22">
        <v>3.2976164701908228E-2</v>
      </c>
      <c r="R1054" s="19">
        <f t="shared" si="119"/>
        <v>3.3393437997174535E-2</v>
      </c>
      <c r="S1054" s="22">
        <v>4.0006087043433336E-2</v>
      </c>
      <c r="T1054" s="19">
        <f t="shared" si="120"/>
        <v>4.2996227418298005E-2</v>
      </c>
      <c r="U1054" s="24">
        <v>4.1483824819074755E-2</v>
      </c>
      <c r="V1054" s="24">
        <f t="shared" si="121"/>
        <v>4.2994648775021238E-2</v>
      </c>
      <c r="W1054" s="23">
        <f t="shared" si="122"/>
        <v>3.5141601052703919E-3</v>
      </c>
      <c r="X1054" s="24">
        <v>4.1184474676494887E-2</v>
      </c>
      <c r="Y1054" s="24">
        <f t="shared" si="123"/>
        <v>4.2995094416457658E-2</v>
      </c>
      <c r="Z1054" s="23">
        <f t="shared" si="124"/>
        <v>3.5141960557856233E-3</v>
      </c>
      <c r="AA1054" s="36"/>
    </row>
    <row r="1055" spans="15:27" ht="13.9" customHeight="1" x14ac:dyDescent="0.3">
      <c r="O1055" s="12">
        <f t="shared" si="118"/>
        <v>86.833333333333329</v>
      </c>
      <c r="P1055" s="13">
        <v>1042</v>
      </c>
      <c r="Q1055" s="22">
        <v>3.2976565075343522E-2</v>
      </c>
      <c r="R1055" s="19">
        <f t="shared" si="119"/>
        <v>3.3393741515880038E-2</v>
      </c>
      <c r="S1055" s="22">
        <v>4.0008952546510379E-2</v>
      </c>
      <c r="T1055" s="19">
        <f t="shared" si="120"/>
        <v>4.2996265674118073E-2</v>
      </c>
      <c r="U1055" s="24">
        <v>4.1485273696454383E-2</v>
      </c>
      <c r="V1055" s="24">
        <f t="shared" si="121"/>
        <v>4.2994697275432925E-2</v>
      </c>
      <c r="W1055" s="23">
        <f t="shared" si="122"/>
        <v>3.514164029610134E-3</v>
      </c>
      <c r="X1055" s="24">
        <v>4.1186210807720558E-2</v>
      </c>
      <c r="Y1055" s="24">
        <f t="shared" si="123"/>
        <v>4.2995140192942038E-2</v>
      </c>
      <c r="Z1055" s="23">
        <f t="shared" si="124"/>
        <v>3.5141997606504827E-3</v>
      </c>
      <c r="AA1055" s="36"/>
    </row>
    <row r="1056" spans="15:27" ht="13.9" customHeight="1" x14ac:dyDescent="0.3">
      <c r="O1056" s="12">
        <f t="shared" si="118"/>
        <v>86.916666666666671</v>
      </c>
      <c r="P1056" s="13">
        <v>1043</v>
      </c>
      <c r="Q1056" s="22">
        <v>3.2976964972087242E-2</v>
      </c>
      <c r="R1056" s="19">
        <f t="shared" si="119"/>
        <v>3.3394042513648969E-2</v>
      </c>
      <c r="S1056" s="22">
        <v>4.0011812599300978E-2</v>
      </c>
      <c r="T1056" s="19">
        <f t="shared" si="120"/>
        <v>4.2996303541436465E-2</v>
      </c>
      <c r="U1056" s="24">
        <v>4.1486719843989217E-2</v>
      </c>
      <c r="V1056" s="24">
        <f t="shared" si="121"/>
        <v>4.2994745336342843E-2</v>
      </c>
      <c r="W1056" s="23">
        <f t="shared" si="122"/>
        <v>3.5141679183205987E-3</v>
      </c>
      <c r="X1056" s="24">
        <v>4.1187943656535442E-2</v>
      </c>
      <c r="Y1056" s="24">
        <f t="shared" si="123"/>
        <v>4.2995185541542469E-2</v>
      </c>
      <c r="Z1056" s="23">
        <f t="shared" si="124"/>
        <v>3.514203430957874E-3</v>
      </c>
      <c r="AA1056" s="36"/>
    </row>
    <row r="1057" spans="15:27" ht="13.9" customHeight="1" x14ac:dyDescent="0.3">
      <c r="O1057" s="12">
        <f t="shared" si="118"/>
        <v>87</v>
      </c>
      <c r="P1057" s="13">
        <v>1044</v>
      </c>
      <c r="Q1057" s="22">
        <v>3.2977364391095554E-2</v>
      </c>
      <c r="R1057" s="19">
        <f t="shared" si="119"/>
        <v>3.339434101198302E-2</v>
      </c>
      <c r="S1057" s="22">
        <v>4.0014667217073585E-2</v>
      </c>
      <c r="T1057" s="19">
        <f t="shared" si="120"/>
        <v>4.299634102537464E-2</v>
      </c>
      <c r="U1057" s="24">
        <v>4.1488163269097544E-2</v>
      </c>
      <c r="V1057" s="24">
        <f t="shared" si="121"/>
        <v>4.2994792962056438E-2</v>
      </c>
      <c r="W1057" s="23">
        <f t="shared" si="122"/>
        <v>3.5141717717919185E-3</v>
      </c>
      <c r="X1057" s="24">
        <v>4.1189673231954327E-2</v>
      </c>
      <c r="Y1057" s="24">
        <f t="shared" si="123"/>
        <v>4.2995230467700374E-2</v>
      </c>
      <c r="Z1057" s="23">
        <f t="shared" si="124"/>
        <v>3.5142070669578196E-3</v>
      </c>
      <c r="AA1057" s="36"/>
    </row>
    <row r="1058" spans="15:27" ht="13.9" customHeight="1" x14ac:dyDescent="0.3">
      <c r="O1058" s="12">
        <f t="shared" si="118"/>
        <v>87.083333333333329</v>
      </c>
      <c r="P1058" s="13">
        <v>1045</v>
      </c>
      <c r="Q1058" s="22">
        <v>3.2977763331348831E-2</v>
      </c>
      <c r="R1058" s="19">
        <f t="shared" si="119"/>
        <v>3.3394637032109653E-2</v>
      </c>
      <c r="S1058" s="22">
        <v>4.0017516415043142E-2</v>
      </c>
      <c r="T1058" s="19">
        <f t="shared" si="120"/>
        <v>4.2996378128904E-2</v>
      </c>
      <c r="U1058" s="24">
        <v>4.1489603979173673E-2</v>
      </c>
      <c r="V1058" s="24">
        <f t="shared" si="121"/>
        <v>4.299484015600008E-2</v>
      </c>
      <c r="W1058" s="23">
        <f t="shared" si="122"/>
        <v>3.5141755903695948E-3</v>
      </c>
      <c r="X1058" s="24">
        <v>4.1191399542963136E-2</v>
      </c>
      <c r="Y1058" s="24">
        <f t="shared" si="123"/>
        <v>4.2995274974590991E-2</v>
      </c>
      <c r="Z1058" s="23">
        <f t="shared" si="124"/>
        <v>3.514210669086637E-3</v>
      </c>
      <c r="AA1058" s="36"/>
    </row>
    <row r="1059" spans="15:27" ht="13.9" customHeight="1" x14ac:dyDescent="0.3">
      <c r="O1059" s="12">
        <f t="shared" si="118"/>
        <v>87.166666666666671</v>
      </c>
      <c r="P1059" s="13">
        <v>1046</v>
      </c>
      <c r="Q1059" s="22">
        <v>3.2978161791851646E-2</v>
      </c>
      <c r="R1059" s="19">
        <f t="shared" si="119"/>
        <v>3.3394930593208638E-2</v>
      </c>
      <c r="S1059" s="22">
        <v>4.0020360208369299E-2</v>
      </c>
      <c r="T1059" s="19">
        <f t="shared" si="120"/>
        <v>4.2996414856536047E-2</v>
      </c>
      <c r="U1059" s="24">
        <v>4.1491041981586596E-2</v>
      </c>
      <c r="V1059" s="24">
        <f t="shared" si="121"/>
        <v>4.2994886921840836E-2</v>
      </c>
      <c r="W1059" s="23">
        <f t="shared" si="122"/>
        <v>3.5141793743282967E-3</v>
      </c>
      <c r="X1059" s="24">
        <v>4.1193122598516263E-2</v>
      </c>
      <c r="Y1059" s="24">
        <f t="shared" si="123"/>
        <v>4.2995319065975091E-2</v>
      </c>
      <c r="Z1059" s="23">
        <f t="shared" si="124"/>
        <v>3.5142142375990115E-3</v>
      </c>
      <c r="AA1059" s="36"/>
    </row>
    <row r="1060" spans="15:27" ht="13.9" customHeight="1" x14ac:dyDescent="0.3">
      <c r="O1060" s="12">
        <f t="shared" si="118"/>
        <v>87.25</v>
      </c>
      <c r="P1060" s="13">
        <v>1047</v>
      </c>
      <c r="Q1060" s="22">
        <v>3.2978559771630778E-2</v>
      </c>
      <c r="R1060" s="19">
        <f t="shared" si="119"/>
        <v>3.3395221717156254E-2</v>
      </c>
      <c r="S1060" s="22">
        <v>4.0023198612157973E-2</v>
      </c>
      <c r="T1060" s="19">
        <f t="shared" si="120"/>
        <v>4.2996451211304354E-2</v>
      </c>
      <c r="U1060" s="24">
        <v>4.1492477283681106E-2</v>
      </c>
      <c r="V1060" s="24">
        <f t="shared" si="121"/>
        <v>4.2994933264018265E-2</v>
      </c>
      <c r="W1060" s="23">
        <f t="shared" si="122"/>
        <v>3.5141831239620114E-3</v>
      </c>
      <c r="X1060" s="24">
        <v>4.1194842407537458E-2</v>
      </c>
      <c r="Y1060" s="24">
        <f t="shared" si="123"/>
        <v>4.2995362745752663E-2</v>
      </c>
      <c r="Z1060" s="23">
        <f t="shared" si="124"/>
        <v>3.5142177727964796E-3</v>
      </c>
      <c r="AA1060" s="36"/>
    </row>
    <row r="1061" spans="15:27" ht="13.9" customHeight="1" x14ac:dyDescent="0.3">
      <c r="O1061" s="12">
        <f t="shared" si="118"/>
        <v>87.333333333333329</v>
      </c>
      <c r="P1061" s="13">
        <v>1048</v>
      </c>
      <c r="Q1061" s="22">
        <v>3.2978957269737652E-2</v>
      </c>
      <c r="R1061" s="19">
        <f t="shared" si="119"/>
        <v>3.3395510423746666E-2</v>
      </c>
      <c r="S1061" s="22">
        <v>4.0026031641460902E-2</v>
      </c>
      <c r="T1061" s="19">
        <f t="shared" si="120"/>
        <v>4.2996487197551225E-2</v>
      </c>
      <c r="U1061" s="24">
        <v>4.1493909892777792E-2</v>
      </c>
      <c r="V1061" s="24">
        <f t="shared" si="121"/>
        <v>4.2994979185997151E-2</v>
      </c>
      <c r="W1061" s="23">
        <f t="shared" si="122"/>
        <v>3.5141868396266762E-3</v>
      </c>
      <c r="X1061" s="24">
        <v>4.1196558978920272E-2</v>
      </c>
      <c r="Y1061" s="24">
        <f t="shared" si="123"/>
        <v>4.2995406017948712E-2</v>
      </c>
      <c r="Z1061" s="23">
        <f t="shared" si="124"/>
        <v>3.5142212749914581E-3</v>
      </c>
      <c r="AA1061" s="36"/>
    </row>
    <row r="1062" spans="15:27" ht="13.9" customHeight="1" x14ac:dyDescent="0.3">
      <c r="O1062" s="12">
        <f t="shared" si="118"/>
        <v>87.416666666666671</v>
      </c>
      <c r="P1062" s="13">
        <v>1049</v>
      </c>
      <c r="Q1062" s="22">
        <v>3.2979354285245899E-2</v>
      </c>
      <c r="R1062" s="19">
        <f t="shared" si="119"/>
        <v>3.3395796732294869E-2</v>
      </c>
      <c r="S1062" s="22">
        <v>4.0028859311276088E-2</v>
      </c>
      <c r="T1062" s="19">
        <f t="shared" si="120"/>
        <v>4.2996522818937732E-2</v>
      </c>
      <c r="U1062" s="24">
        <v>4.1495339816172816E-2</v>
      </c>
      <c r="V1062" s="24">
        <f t="shared" si="121"/>
        <v>4.2995024692091155E-2</v>
      </c>
      <c r="W1062" s="23">
        <f t="shared" si="122"/>
        <v>3.5141905216002911E-3</v>
      </c>
      <c r="X1062" s="24">
        <v>4.1198272321528062E-2</v>
      </c>
      <c r="Y1062" s="24">
        <f t="shared" si="123"/>
        <v>4.2995448886644416E-2</v>
      </c>
      <c r="Z1062" s="23">
        <f t="shared" si="124"/>
        <v>3.5142247445070218E-3</v>
      </c>
      <c r="AA1062" s="36"/>
    </row>
    <row r="1063" spans="15:27" ht="13.9" customHeight="1" x14ac:dyDescent="0.3">
      <c r="O1063" s="12">
        <f t="shared" si="118"/>
        <v>87.5</v>
      </c>
      <c r="P1063" s="13">
        <v>1050</v>
      </c>
      <c r="Q1063" s="22">
        <v>3.2979750817251352E-2</v>
      </c>
      <c r="R1063" s="19">
        <f t="shared" si="119"/>
        <v>3.3396080663915528E-2</v>
      </c>
      <c r="S1063" s="22">
        <v>4.0031681636548244E-2</v>
      </c>
      <c r="T1063" s="19">
        <f t="shared" si="120"/>
        <v>4.2996558078893132E-2</v>
      </c>
      <c r="U1063" s="24">
        <v>4.1496767061138806E-2</v>
      </c>
      <c r="V1063" s="24">
        <f t="shared" si="121"/>
        <v>4.2995069785494167E-2</v>
      </c>
      <c r="W1063" s="23">
        <f t="shared" si="122"/>
        <v>3.5141941702283575E-3</v>
      </c>
      <c r="X1063" s="24">
        <v>4.1199982444194649E-2</v>
      </c>
      <c r="Y1063" s="24">
        <f t="shared" si="123"/>
        <v>4.2995491355136917E-2</v>
      </c>
      <c r="Z1063" s="23">
        <f t="shared" si="124"/>
        <v>3.5142281816702425E-3</v>
      </c>
      <c r="AA1063" s="36"/>
    </row>
    <row r="1064" spans="15:27" ht="13.9" customHeight="1" x14ac:dyDescent="0.3">
      <c r="O1064" s="12">
        <f t="shared" si="118"/>
        <v>87.583333333333329</v>
      </c>
      <c r="P1064" s="13">
        <v>1051</v>
      </c>
      <c r="Q1064" s="22">
        <v>3.2980146864873383E-2</v>
      </c>
      <c r="R1064" s="19">
        <f t="shared" si="119"/>
        <v>3.3396362237434252E-2</v>
      </c>
      <c r="S1064" s="22">
        <v>4.0034498632168569E-2</v>
      </c>
      <c r="T1064" s="19">
        <f t="shared" si="120"/>
        <v>4.299659298140357E-2</v>
      </c>
      <c r="U1064" s="24">
        <v>4.149819163492352E-2</v>
      </c>
      <c r="V1064" s="24">
        <f t="shared" si="121"/>
        <v>4.2995114469825291E-2</v>
      </c>
      <c r="W1064" s="23">
        <f t="shared" si="122"/>
        <v>3.5141977857673368E-3</v>
      </c>
      <c r="X1064" s="24">
        <v>4.1201689355722992E-2</v>
      </c>
      <c r="Y1064" s="24">
        <f t="shared" si="123"/>
        <v>4.2995533426955612E-2</v>
      </c>
      <c r="Z1064" s="23">
        <f t="shared" si="124"/>
        <v>3.5142315867455753E-3</v>
      </c>
      <c r="AA1064" s="36"/>
    </row>
    <row r="1065" spans="15:27" ht="13.9" customHeight="1" x14ac:dyDescent="0.3">
      <c r="O1065" s="12">
        <f t="shared" si="118"/>
        <v>87.666666666666671</v>
      </c>
      <c r="P1065" s="13">
        <v>1052</v>
      </c>
      <c r="Q1065" s="22">
        <v>3.2980542427252235E-2</v>
      </c>
      <c r="R1065" s="19">
        <f t="shared" si="119"/>
        <v>3.3396641473059985E-2</v>
      </c>
      <c r="S1065" s="22">
        <v>4.0037310312975416E-2</v>
      </c>
      <c r="T1065" s="19">
        <f t="shared" si="120"/>
        <v>4.2996627530232256E-2</v>
      </c>
      <c r="U1065" s="24">
        <v>4.1499613544750735E-2</v>
      </c>
      <c r="V1065" s="24">
        <f t="shared" si="121"/>
        <v>4.2995158749861817E-2</v>
      </c>
      <c r="W1065" s="23">
        <f t="shared" si="122"/>
        <v>3.5142013685072193E-3</v>
      </c>
      <c r="X1065" s="24">
        <v>4.1203393064886074E-2</v>
      </c>
      <c r="Y1065" s="24">
        <f t="shared" si="123"/>
        <v>4.2995575106987483E-2</v>
      </c>
      <c r="Z1065" s="23">
        <f t="shared" si="124"/>
        <v>3.514234960015683E-3</v>
      </c>
      <c r="AA1065" s="36"/>
    </row>
    <row r="1066" spans="15:27" ht="13.9" customHeight="1" x14ac:dyDescent="0.3">
      <c r="O1066" s="12">
        <f t="shared" si="118"/>
        <v>87.75</v>
      </c>
      <c r="P1066" s="13">
        <v>1053</v>
      </c>
      <c r="Q1066" s="22">
        <v>3.2980937503551022E-2</v>
      </c>
      <c r="R1066" s="19">
        <f t="shared" si="119"/>
        <v>3.3396918389744901E-2</v>
      </c>
      <c r="S1066" s="22">
        <v>4.0040116693754291E-2</v>
      </c>
      <c r="T1066" s="19">
        <f t="shared" si="120"/>
        <v>4.2996661728371688E-2</v>
      </c>
      <c r="U1066" s="24">
        <v>4.1501032797821358E-2</v>
      </c>
      <c r="V1066" s="24">
        <f t="shared" si="121"/>
        <v>4.2995202628471896E-2</v>
      </c>
      <c r="W1066" s="23">
        <f t="shared" si="122"/>
        <v>3.514204918831032E-3</v>
      </c>
      <c r="X1066" s="24">
        <v>4.1205093580428453E-2</v>
      </c>
      <c r="Y1066" s="24">
        <f t="shared" si="123"/>
        <v>4.299561639714633E-2</v>
      </c>
      <c r="Z1066" s="23">
        <f t="shared" si="124"/>
        <v>3.5142383018729184E-3</v>
      </c>
      <c r="AA1066" s="36"/>
    </row>
    <row r="1067" spans="15:27" ht="13.9" customHeight="1" x14ac:dyDescent="0.3">
      <c r="O1067" s="12">
        <f t="shared" si="118"/>
        <v>87.833333333333329</v>
      </c>
      <c r="P1067" s="13">
        <v>1054</v>
      </c>
      <c r="Q1067" s="22">
        <v>3.298133209295373E-2</v>
      </c>
      <c r="R1067" s="19">
        <f t="shared" si="119"/>
        <v>3.3397193007240977E-2</v>
      </c>
      <c r="S1067" s="22">
        <v>4.0042917789237631E-2</v>
      </c>
      <c r="T1067" s="19">
        <f t="shared" si="120"/>
        <v>4.2996695579961441E-2</v>
      </c>
      <c r="U1067" s="24">
        <v>4.1502449401311647E-2</v>
      </c>
      <c r="V1067" s="24">
        <f t="shared" si="121"/>
        <v>4.2995246108714635E-2</v>
      </c>
      <c r="W1067" s="23">
        <f t="shared" si="122"/>
        <v>3.5142084369685911E-3</v>
      </c>
      <c r="X1067" s="24">
        <v>4.1206790911063162E-2</v>
      </c>
      <c r="Y1067" s="24">
        <f t="shared" si="123"/>
        <v>4.299565730281163E-2</v>
      </c>
      <c r="Z1067" s="23">
        <f t="shared" si="124"/>
        <v>3.5142416124702702E-3</v>
      </c>
      <c r="AA1067" s="36"/>
    </row>
    <row r="1068" spans="15:27" ht="13.9" customHeight="1" x14ac:dyDescent="0.3">
      <c r="O1068" s="12">
        <f t="shared" si="118"/>
        <v>87.916666666666671</v>
      </c>
      <c r="P1068" s="13">
        <v>1055</v>
      </c>
      <c r="Q1068" s="22">
        <v>3.2981726194666328E-2</v>
      </c>
      <c r="R1068" s="19">
        <f t="shared" si="119"/>
        <v>3.3397465344627619E-2</v>
      </c>
      <c r="S1068" s="22">
        <v>4.0045713614105916E-2</v>
      </c>
      <c r="T1068" s="19">
        <f t="shared" si="120"/>
        <v>4.2996729088031316E-2</v>
      </c>
      <c r="U1068" s="24">
        <v>4.1503863362373661E-2</v>
      </c>
      <c r="V1068" s="24">
        <f t="shared" si="121"/>
        <v>4.2995289195528308E-2</v>
      </c>
      <c r="W1068" s="23">
        <f t="shared" si="122"/>
        <v>3.5142119231656999E-3</v>
      </c>
      <c r="X1068" s="24">
        <v>4.1208485065475031E-2</v>
      </c>
      <c r="Y1068" s="24">
        <f t="shared" si="123"/>
        <v>4.2995697826162971E-2</v>
      </c>
      <c r="Z1068" s="23">
        <f t="shared" si="124"/>
        <v>3.5142448922393932E-3</v>
      </c>
      <c r="AA1068" s="36"/>
    </row>
    <row r="1069" spans="15:27" ht="13.9" customHeight="1" x14ac:dyDescent="0.3">
      <c r="O1069" s="12">
        <f t="shared" si="118"/>
        <v>88</v>
      </c>
      <c r="P1069" s="13">
        <v>1056</v>
      </c>
      <c r="Q1069" s="22">
        <v>3.2982119807915655E-2</v>
      </c>
      <c r="R1069" s="19">
        <f t="shared" si="119"/>
        <v>3.3397735419951946E-2</v>
      </c>
      <c r="S1069" s="22">
        <v>4.0048504182987221E-2</v>
      </c>
      <c r="T1069" s="19">
        <f t="shared" si="120"/>
        <v>4.2996762256538146E-2</v>
      </c>
      <c r="U1069" s="24">
        <v>4.1505274688136806E-2</v>
      </c>
      <c r="V1069" s="24">
        <f t="shared" si="121"/>
        <v>4.2995331891540145E-2</v>
      </c>
      <c r="W1069" s="23">
        <f t="shared" si="122"/>
        <v>3.5142153778178198E-3</v>
      </c>
      <c r="X1069" s="24">
        <v>4.1210176052318692E-2</v>
      </c>
      <c r="Y1069" s="24">
        <f t="shared" si="123"/>
        <v>4.299573797185241E-2</v>
      </c>
      <c r="Z1069" s="23">
        <f t="shared" si="124"/>
        <v>3.5142481413548143E-3</v>
      </c>
      <c r="AA1069" s="36"/>
    </row>
    <row r="1070" spans="15:27" ht="13.9" customHeight="1" x14ac:dyDescent="0.3">
      <c r="O1070" s="12">
        <f t="shared" si="118"/>
        <v>88.083333333333329</v>
      </c>
      <c r="P1070" s="13">
        <v>1057</v>
      </c>
      <c r="Q1070" s="22">
        <v>3.298251293194876E-2</v>
      </c>
      <c r="R1070" s="19">
        <f t="shared" si="119"/>
        <v>3.339800325310005E-2</v>
      </c>
      <c r="S1070" s="22">
        <v>4.0051289510457888E-2</v>
      </c>
      <c r="T1070" s="19">
        <f t="shared" si="120"/>
        <v>4.299679508850951E-2</v>
      </c>
      <c r="U1070" s="24">
        <v>4.1506683385706289E-2</v>
      </c>
      <c r="V1070" s="24">
        <f t="shared" si="121"/>
        <v>4.2995374200631487E-2</v>
      </c>
      <c r="W1070" s="23">
        <f t="shared" si="122"/>
        <v>3.5142188011356712E-3</v>
      </c>
      <c r="X1070" s="24">
        <v>4.1211863880219912E-2</v>
      </c>
      <c r="Y1070" s="24">
        <f t="shared" si="123"/>
        <v>4.299577774249852E-2</v>
      </c>
      <c r="Z1070" s="23">
        <f t="shared" si="124"/>
        <v>3.5142513601895686E-3</v>
      </c>
      <c r="AA1070" s="36"/>
    </row>
    <row r="1071" spans="15:27" ht="13.9" customHeight="1" x14ac:dyDescent="0.3">
      <c r="O1071" s="12">
        <f t="shared" si="118"/>
        <v>88.166666666666671</v>
      </c>
      <c r="P1071" s="13">
        <v>1058</v>
      </c>
      <c r="Q1071" s="22">
        <v>3.2982905566034226E-2</v>
      </c>
      <c r="R1071" s="19">
        <f t="shared" si="119"/>
        <v>3.3398268861814406E-2</v>
      </c>
      <c r="S1071" s="22">
        <v>4.0054069611041854E-2</v>
      </c>
      <c r="T1071" s="19">
        <f t="shared" si="120"/>
        <v>4.299682758779011E-2</v>
      </c>
      <c r="U1071" s="24">
        <v>4.1508089462164E-2</v>
      </c>
      <c r="V1071" s="24">
        <f t="shared" si="121"/>
        <v>4.2995416126381469E-2</v>
      </c>
      <c r="W1071" s="23">
        <f t="shared" si="122"/>
        <v>3.5142221934307827E-3</v>
      </c>
      <c r="X1071" s="24">
        <v>4.1213548557774704E-2</v>
      </c>
      <c r="Y1071" s="24">
        <f t="shared" si="123"/>
        <v>4.2995817142186921E-2</v>
      </c>
      <c r="Z1071" s="23">
        <f t="shared" si="124"/>
        <v>3.5142545489539323E-3</v>
      </c>
      <c r="AA1071" s="36"/>
    </row>
    <row r="1072" spans="15:27" ht="13.9" customHeight="1" x14ac:dyDescent="0.3">
      <c r="O1072" s="12">
        <f t="shared" si="118"/>
        <v>88.25</v>
      </c>
      <c r="P1072" s="13">
        <v>1059</v>
      </c>
      <c r="Q1072" s="22">
        <v>3.298329770946018E-2</v>
      </c>
      <c r="R1072" s="19">
        <f t="shared" si="119"/>
        <v>3.339853226603573E-2</v>
      </c>
      <c r="S1072" s="22">
        <v>4.0056844499212207E-2</v>
      </c>
      <c r="T1072" s="19">
        <f t="shared" si="120"/>
        <v>4.299685975737888E-2</v>
      </c>
      <c r="U1072" s="24">
        <v>4.1509492924568514E-2</v>
      </c>
      <c r="V1072" s="24">
        <f t="shared" si="121"/>
        <v>4.2995457671598292E-2</v>
      </c>
      <c r="W1072" s="23">
        <f t="shared" si="122"/>
        <v>3.5142255549898138E-3</v>
      </c>
      <c r="X1072" s="24">
        <v>4.1215230093550215E-2</v>
      </c>
      <c r="Y1072" s="24">
        <f t="shared" si="123"/>
        <v>4.2995856174333102E-2</v>
      </c>
      <c r="Z1072" s="23">
        <f t="shared" si="124"/>
        <v>3.5142577079749771E-3</v>
      </c>
      <c r="AA1072" s="36"/>
    </row>
    <row r="1073" spans="15:27" ht="13.9" customHeight="1" x14ac:dyDescent="0.3">
      <c r="O1073" s="12">
        <f t="shared" si="118"/>
        <v>88.333333333333329</v>
      </c>
      <c r="P1073" s="13">
        <v>1060</v>
      </c>
      <c r="Q1073" s="22">
        <v>3.2983689361536062E-2</v>
      </c>
      <c r="R1073" s="19">
        <f t="shared" si="119"/>
        <v>3.3398793482272593E-2</v>
      </c>
      <c r="S1073" s="22">
        <v>4.0059614189390302E-2</v>
      </c>
      <c r="T1073" s="19">
        <f t="shared" si="120"/>
        <v>4.2996891600452836E-2</v>
      </c>
      <c r="U1073" s="24">
        <v>4.1510893779954428E-2</v>
      </c>
      <c r="V1073" s="24">
        <f t="shared" si="121"/>
        <v>4.2995498840809665E-2</v>
      </c>
      <c r="W1073" s="23">
        <f t="shared" si="122"/>
        <v>3.5142288860379178E-3</v>
      </c>
      <c r="X1073" s="24">
        <v>4.1216908496084503E-2</v>
      </c>
      <c r="Y1073" s="24">
        <f t="shared" si="123"/>
        <v>4.2995894841949989E-2</v>
      </c>
      <c r="Z1073" s="23">
        <f t="shared" si="124"/>
        <v>3.514260837526928E-3</v>
      </c>
      <c r="AA1073" s="36"/>
    </row>
    <row r="1074" spans="15:27" ht="13.9" customHeight="1" x14ac:dyDescent="0.3">
      <c r="O1074" s="12">
        <f t="shared" si="118"/>
        <v>88.416666666666671</v>
      </c>
      <c r="P1074" s="13">
        <v>1061</v>
      </c>
      <c r="Q1074" s="22">
        <v>3.2984080521589743E-2</v>
      </c>
      <c r="R1074" s="19">
        <f t="shared" si="119"/>
        <v>3.3399052529621498E-2</v>
      </c>
      <c r="S1074" s="22">
        <v>4.0062378695945977E-2</v>
      </c>
      <c r="T1074" s="19">
        <f t="shared" si="120"/>
        <v>4.2996923120953046E-2</v>
      </c>
      <c r="U1074" s="24">
        <v>4.1512292035334131E-2</v>
      </c>
      <c r="V1074" s="24">
        <f t="shared" si="121"/>
        <v>4.299553963657976E-2</v>
      </c>
      <c r="W1074" s="23">
        <f t="shared" si="122"/>
        <v>3.5142321869381377E-3</v>
      </c>
      <c r="X1074" s="24">
        <v>4.1218583773886763E-2</v>
      </c>
      <c r="Y1074" s="24">
        <f t="shared" si="123"/>
        <v>4.2995933148869403E-2</v>
      </c>
      <c r="Z1074" s="23">
        <f t="shared" si="124"/>
        <v>3.5142639378511475E-3</v>
      </c>
      <c r="AA1074" s="36"/>
    </row>
    <row r="1075" spans="15:27" ht="13.9" customHeight="1" x14ac:dyDescent="0.3">
      <c r="O1075" s="12">
        <f t="shared" si="118"/>
        <v>88.5</v>
      </c>
      <c r="P1075" s="13">
        <v>1062</v>
      </c>
      <c r="Q1075" s="22">
        <v>3.29844711889693E-2</v>
      </c>
      <c r="R1075" s="19">
        <f t="shared" si="119"/>
        <v>3.3399309426030532E-2</v>
      </c>
      <c r="S1075" s="22">
        <v>4.0065138033198888E-2</v>
      </c>
      <c r="T1075" s="19">
        <f t="shared" si="120"/>
        <v>4.2996954321787406E-2</v>
      </c>
      <c r="U1075" s="24">
        <v>4.1513687697696033E-2</v>
      </c>
      <c r="V1075" s="24">
        <f t="shared" si="121"/>
        <v>4.2995580062328731E-2</v>
      </c>
      <c r="W1075" s="23">
        <f t="shared" si="122"/>
        <v>3.5142354578963086E-3</v>
      </c>
      <c r="X1075" s="24">
        <v>4.12202559354371E-2</v>
      </c>
      <c r="Y1075" s="24">
        <f t="shared" si="123"/>
        <v>4.2995971098236607E-2</v>
      </c>
      <c r="Z1075" s="23">
        <f t="shared" si="124"/>
        <v>3.5142670092549455E-3</v>
      </c>
      <c r="AA1075" s="36"/>
    </row>
    <row r="1076" spans="15:27" ht="13.9" customHeight="1" x14ac:dyDescent="0.3">
      <c r="O1076" s="12">
        <f t="shared" si="118"/>
        <v>88.583333333333329</v>
      </c>
      <c r="P1076" s="13">
        <v>1063</v>
      </c>
      <c r="Q1076" s="22">
        <v>3.2984861363042572E-2</v>
      </c>
      <c r="R1076" s="19">
        <f t="shared" si="119"/>
        <v>3.3399564189257713E-2</v>
      </c>
      <c r="S1076" s="22">
        <v>4.0067892215417622E-2</v>
      </c>
      <c r="T1076" s="19">
        <f t="shared" si="120"/>
        <v>4.2996985206271932E-2</v>
      </c>
      <c r="U1076" s="24">
        <v>4.1515080774005231E-2</v>
      </c>
      <c r="V1076" s="24">
        <f t="shared" si="121"/>
        <v>4.2995620122361577E-2</v>
      </c>
      <c r="W1076" s="23">
        <f t="shared" si="122"/>
        <v>3.5142386991864338E-3</v>
      </c>
      <c r="X1076" s="24">
        <v>4.1221924989187197E-2</v>
      </c>
      <c r="Y1076" s="24">
        <f t="shared" si="123"/>
        <v>4.2996008693611643E-2</v>
      </c>
      <c r="Z1076" s="23">
        <f t="shared" si="124"/>
        <v>3.5142700519905645E-3</v>
      </c>
      <c r="AA1076" s="36"/>
    </row>
    <row r="1077" spans="15:27" ht="13.9" customHeight="1" x14ac:dyDescent="0.3">
      <c r="O1077" s="12">
        <f t="shared" si="118"/>
        <v>88.666666666666671</v>
      </c>
      <c r="P1077" s="13">
        <v>1064</v>
      </c>
      <c r="Q1077" s="22">
        <v>3.2985251043196051E-2</v>
      </c>
      <c r="R1077" s="19">
        <f t="shared" si="119"/>
        <v>3.3399816837593965E-2</v>
      </c>
      <c r="S1077" s="22">
        <v>4.0070641256820139E-2</v>
      </c>
      <c r="T1077" s="19">
        <f t="shared" si="120"/>
        <v>4.2997015777125336E-2</v>
      </c>
      <c r="U1077" s="24">
        <v>4.1516471271205058E-2</v>
      </c>
      <c r="V1077" s="24">
        <f t="shared" si="121"/>
        <v>4.2995659818791276E-2</v>
      </c>
      <c r="W1077" s="23">
        <f t="shared" si="122"/>
        <v>3.5142419111537926E-3</v>
      </c>
      <c r="X1077" s="24">
        <v>4.1223590943560096E-2</v>
      </c>
      <c r="Y1077" s="24">
        <f t="shared" si="123"/>
        <v>4.2996045938102467E-2</v>
      </c>
      <c r="Z1077" s="23">
        <f t="shared" si="124"/>
        <v>3.514273066343554E-3</v>
      </c>
      <c r="AA1077" s="36"/>
    </row>
    <row r="1078" spans="15:27" ht="13.9" customHeight="1" x14ac:dyDescent="0.3">
      <c r="O1078" s="12">
        <f t="shared" si="118"/>
        <v>88.75</v>
      </c>
      <c r="P1078" s="13">
        <v>1065</v>
      </c>
      <c r="Q1078" s="22">
        <v>3.2985640228835766E-2</v>
      </c>
      <c r="R1078" s="19">
        <f t="shared" si="119"/>
        <v>3.3400067387641119E-2</v>
      </c>
      <c r="S1078" s="22">
        <v>4.0073385171573772E-2</v>
      </c>
      <c r="T1078" s="19">
        <f t="shared" si="120"/>
        <v>4.2997046038541376E-2</v>
      </c>
      <c r="U1078" s="24">
        <v>4.1517859196214424E-2</v>
      </c>
      <c r="V1078" s="24">
        <f t="shared" si="121"/>
        <v>4.2995699155793821E-2</v>
      </c>
      <c r="W1078" s="23">
        <f t="shared" si="122"/>
        <v>3.5142450939678049E-3</v>
      </c>
      <c r="X1078" s="24">
        <v>4.1225253806950191E-2</v>
      </c>
      <c r="Y1078" s="24">
        <f t="shared" si="123"/>
        <v>4.2996082835032201E-2</v>
      </c>
      <c r="Z1078" s="23">
        <f t="shared" si="124"/>
        <v>3.5142760525628258E-3</v>
      </c>
      <c r="AA1078" s="36"/>
    </row>
    <row r="1079" spans="15:27" ht="13.9" customHeight="1" x14ac:dyDescent="0.3">
      <c r="O1079" s="12">
        <f t="shared" si="118"/>
        <v>88.833333333333329</v>
      </c>
      <c r="P1079" s="13">
        <v>1066</v>
      </c>
      <c r="Q1079" s="22">
        <v>3.2986028919385735E-2</v>
      </c>
      <c r="R1079" s="19">
        <f t="shared" si="119"/>
        <v>3.3400315857236906E-2</v>
      </c>
      <c r="S1079" s="22">
        <v>4.0076123973796784E-2</v>
      </c>
      <c r="T1079" s="19">
        <f t="shared" si="120"/>
        <v>4.2997075992852185E-2</v>
      </c>
      <c r="U1079" s="24">
        <v>4.1519244555930701E-2</v>
      </c>
      <c r="V1079" s="24">
        <f t="shared" si="121"/>
        <v>4.2995738136083927E-2</v>
      </c>
      <c r="W1079" s="23">
        <f t="shared" si="122"/>
        <v>3.5142482479630921E-3</v>
      </c>
      <c r="X1079" s="24">
        <v>4.1226913587723457E-2</v>
      </c>
      <c r="Y1079" s="24">
        <f t="shared" si="123"/>
        <v>4.2996119387520126E-2</v>
      </c>
      <c r="Z1079" s="23">
        <f t="shared" si="124"/>
        <v>3.5142790109148336E-3</v>
      </c>
      <c r="AA1079" s="36"/>
    </row>
    <row r="1080" spans="15:27" ht="13.9" customHeight="1" x14ac:dyDescent="0.3">
      <c r="O1080" s="12">
        <f t="shared" si="118"/>
        <v>88.916666666666671</v>
      </c>
      <c r="P1080" s="13">
        <v>1067</v>
      </c>
      <c r="Q1080" s="22">
        <v>3.2986417114288624E-2</v>
      </c>
      <c r="R1080" s="19">
        <f t="shared" si="119"/>
        <v>3.3400562264079614E-2</v>
      </c>
      <c r="S1080" s="22">
        <v>4.0078857677556368E-2</v>
      </c>
      <c r="T1080" s="19">
        <f t="shared" si="120"/>
        <v>4.2997105643334477E-2</v>
      </c>
      <c r="U1080" s="24">
        <v>4.152062735722728E-2</v>
      </c>
      <c r="V1080" s="24">
        <f t="shared" si="121"/>
        <v>4.2995776762681404E-2</v>
      </c>
      <c r="W1080" s="23">
        <f t="shared" si="122"/>
        <v>3.5142513733574798E-3</v>
      </c>
      <c r="X1080" s="24">
        <v>4.122857029421767E-2</v>
      </c>
      <c r="Y1080" s="24">
        <f t="shared" si="123"/>
        <v>4.2996155599207331E-2</v>
      </c>
      <c r="Z1080" s="23">
        <f t="shared" si="124"/>
        <v>3.5142819416500437E-3</v>
      </c>
      <c r="AA1080" s="36"/>
    </row>
    <row r="1081" spans="15:27" ht="13.9" customHeight="1" x14ac:dyDescent="0.3">
      <c r="O1081" s="12">
        <f t="shared" si="118"/>
        <v>89</v>
      </c>
      <c r="P1081" s="13">
        <v>1068</v>
      </c>
      <c r="Q1081" s="22">
        <v>3.2986804813005977E-2</v>
      </c>
      <c r="R1081" s="19">
        <f t="shared" si="119"/>
        <v>3.3400806624887869E-2</v>
      </c>
      <c r="S1081" s="22">
        <v>4.0081586296870642E-2</v>
      </c>
      <c r="T1081" s="19">
        <f t="shared" si="120"/>
        <v>4.2997134993407071E-2</v>
      </c>
      <c r="U1081" s="24">
        <v>4.1522007606955347E-2</v>
      </c>
      <c r="V1081" s="24">
        <f t="shared" si="121"/>
        <v>4.2995815039781116E-2</v>
      </c>
      <c r="W1081" s="23">
        <f t="shared" si="122"/>
        <v>3.5142544703932188E-3</v>
      </c>
      <c r="X1081" s="24">
        <v>4.1230223934742405E-2</v>
      </c>
      <c r="Y1081" s="24">
        <f t="shared" si="123"/>
        <v>4.2996191472953971E-2</v>
      </c>
      <c r="Z1081" s="23">
        <f t="shared" si="124"/>
        <v>3.5142848450600006E-3</v>
      </c>
      <c r="AA1081" s="36"/>
    </row>
    <row r="1082" spans="15:27" ht="13.9" customHeight="1" x14ac:dyDescent="0.3">
      <c r="O1082" s="12">
        <f t="shared" si="118"/>
        <v>89.083333333333329</v>
      </c>
      <c r="P1082" s="13">
        <v>1069</v>
      </c>
      <c r="Q1082" s="22">
        <v>3.2987192015016653E-2</v>
      </c>
      <c r="R1082" s="19">
        <f t="shared" si="119"/>
        <v>3.3401048956527957E-2</v>
      </c>
      <c r="S1082" s="22">
        <v>4.008430984570821E-2</v>
      </c>
      <c r="T1082" s="19">
        <f t="shared" si="120"/>
        <v>4.2997164045557312E-2</v>
      </c>
      <c r="U1082" s="24">
        <v>4.1523385311943883E-2</v>
      </c>
      <c r="V1082" s="24">
        <f t="shared" si="121"/>
        <v>4.2995852969725856E-2</v>
      </c>
      <c r="W1082" s="23">
        <f t="shared" si="122"/>
        <v>3.5142575394064846E-3</v>
      </c>
      <c r="X1082" s="24">
        <v>4.1231874517579259E-2</v>
      </c>
      <c r="Y1082" s="24">
        <f t="shared" si="123"/>
        <v>4.2996227011507626E-2</v>
      </c>
      <c r="Z1082" s="23">
        <f t="shared" si="124"/>
        <v>3.5142877213742985E-3</v>
      </c>
      <c r="AA1082" s="36"/>
    </row>
    <row r="1083" spans="15:27" ht="13.9" customHeight="1" x14ac:dyDescent="0.3">
      <c r="O1083" s="12">
        <f t="shared" si="118"/>
        <v>89.166666666666671</v>
      </c>
      <c r="P1083" s="13">
        <v>1070</v>
      </c>
      <c r="Q1083" s="22">
        <v>3.2987578719817723E-2</v>
      </c>
      <c r="R1083" s="19">
        <f t="shared" si="119"/>
        <v>3.3401289276078661E-2</v>
      </c>
      <c r="S1083" s="22">
        <v>4.008702833798794E-2</v>
      </c>
      <c r="T1083" s="19">
        <f t="shared" si="120"/>
        <v>4.2997192803543749E-2</v>
      </c>
      <c r="U1083" s="24">
        <v>4.1524760478998779E-2</v>
      </c>
      <c r="V1083" s="24">
        <f t="shared" si="121"/>
        <v>4.2995890556117189E-2</v>
      </c>
      <c r="W1083" s="23">
        <f t="shared" si="122"/>
        <v>3.5142605805851268E-3</v>
      </c>
      <c r="X1083" s="24">
        <v>4.1233522050981186E-2</v>
      </c>
      <c r="Y1083" s="24">
        <f t="shared" si="123"/>
        <v>4.2996262219116677E-2</v>
      </c>
      <c r="Z1083" s="23">
        <f t="shared" si="124"/>
        <v>3.5142905708132055E-3</v>
      </c>
      <c r="AA1083" s="36"/>
    </row>
    <row r="1084" spans="15:27" ht="13.9" customHeight="1" x14ac:dyDescent="0.3">
      <c r="O1084" s="12">
        <f t="shared" si="118"/>
        <v>89.25</v>
      </c>
      <c r="P1084" s="13">
        <v>1071</v>
      </c>
      <c r="Q1084" s="22">
        <v>3.2987964926923574E-2</v>
      </c>
      <c r="R1084" s="19">
        <f t="shared" si="119"/>
        <v>3.3401527600367631E-2</v>
      </c>
      <c r="S1084" s="22">
        <v>4.0089741787580291E-2</v>
      </c>
      <c r="T1084" s="19">
        <f t="shared" si="120"/>
        <v>4.2997221269229113E-2</v>
      </c>
      <c r="U1084" s="24">
        <v>4.1526133114903718E-2</v>
      </c>
      <c r="V1084" s="24">
        <f t="shared" si="121"/>
        <v>4.2995927800985267E-2</v>
      </c>
      <c r="W1084" s="23">
        <f t="shared" si="122"/>
        <v>3.5142635942180256E-3</v>
      </c>
      <c r="X1084" s="24">
        <v>4.1235166543174495E-2</v>
      </c>
      <c r="Y1084" s="24">
        <f t="shared" si="123"/>
        <v>4.2996297097469771E-2</v>
      </c>
      <c r="Z1084" s="23">
        <f t="shared" si="124"/>
        <v>3.5142933937171161E-3</v>
      </c>
      <c r="AA1084" s="36"/>
    </row>
    <row r="1085" spans="15:27" ht="13.9" customHeight="1" x14ac:dyDescent="0.3">
      <c r="O1085" s="12">
        <f t="shared" si="118"/>
        <v>89.333333333333329</v>
      </c>
      <c r="P1085" s="13">
        <v>1072</v>
      </c>
      <c r="Q1085" s="22">
        <v>3.2988350635866359E-2</v>
      </c>
      <c r="R1085" s="19">
        <f t="shared" si="119"/>
        <v>3.3401763945780871E-2</v>
      </c>
      <c r="S1085" s="22">
        <v>4.0092450208305763E-2</v>
      </c>
      <c r="T1085" s="19">
        <f t="shared" si="120"/>
        <v>4.2997249446502295E-2</v>
      </c>
      <c r="U1085" s="24">
        <v>4.1527503226419293E-2</v>
      </c>
      <c r="V1085" s="24">
        <f t="shared" si="121"/>
        <v>4.2995964709249934E-2</v>
      </c>
      <c r="W1085" s="23">
        <f t="shared" si="122"/>
        <v>3.5142665804679396E-3</v>
      </c>
      <c r="X1085" s="24">
        <v>4.1236808002356184E-2</v>
      </c>
      <c r="Y1085" s="24">
        <f t="shared" si="123"/>
        <v>4.2996331650905217E-2</v>
      </c>
      <c r="Z1085" s="23">
        <f t="shared" si="124"/>
        <v>3.5142961902216996E-3</v>
      </c>
      <c r="AA1085" s="36"/>
    </row>
    <row r="1086" spans="15:27" ht="13.9" customHeight="1" x14ac:dyDescent="0.3">
      <c r="O1086" s="12">
        <f t="shared" si="118"/>
        <v>89.416666666666671</v>
      </c>
      <c r="P1086" s="13">
        <v>1073</v>
      </c>
      <c r="Q1086" s="22">
        <v>3.2988735846195105E-2</v>
      </c>
      <c r="R1086" s="19">
        <f t="shared" si="119"/>
        <v>3.3401998328762117E-2</v>
      </c>
      <c r="S1086" s="22">
        <v>4.0095153613937118E-2</v>
      </c>
      <c r="T1086" s="19">
        <f t="shared" si="120"/>
        <v>4.2997277338512552E-2</v>
      </c>
      <c r="U1086" s="24">
        <v>4.1528870820285002E-2</v>
      </c>
      <c r="V1086" s="24">
        <f t="shared" si="121"/>
        <v>4.2996001282497698E-2</v>
      </c>
      <c r="W1086" s="23">
        <f t="shared" si="122"/>
        <v>3.5142695397292201E-3</v>
      </c>
      <c r="X1086" s="24">
        <v>4.1238446436697052E-2</v>
      </c>
      <c r="Y1086" s="24">
        <f t="shared" si="123"/>
        <v>4.2996365881538212E-2</v>
      </c>
      <c r="Z1086" s="23">
        <f t="shared" si="124"/>
        <v>3.5142989606746777E-3</v>
      </c>
      <c r="AA1086" s="36"/>
    </row>
    <row r="1087" spans="15:27" ht="13.9" customHeight="1" x14ac:dyDescent="0.3">
      <c r="O1087" s="12">
        <f t="shared" si="118"/>
        <v>89.5</v>
      </c>
      <c r="P1087" s="13">
        <v>1074</v>
      </c>
      <c r="Q1087" s="22">
        <v>3.2989120557475937E-2</v>
      </c>
      <c r="R1087" s="19">
        <f t="shared" si="119"/>
        <v>3.3402230765890994E-2</v>
      </c>
      <c r="S1087" s="22">
        <v>4.0097852018198488E-2</v>
      </c>
      <c r="T1087" s="19">
        <f t="shared" si="120"/>
        <v>4.2997304947004267E-2</v>
      </c>
      <c r="U1087" s="24">
        <v>4.153023590321725E-2</v>
      </c>
      <c r="V1087" s="24">
        <f t="shared" si="121"/>
        <v>4.2996037524638986E-2</v>
      </c>
      <c r="W1087" s="23">
        <f t="shared" si="122"/>
        <v>3.5142724721290985E-3</v>
      </c>
      <c r="X1087" s="24">
        <v>4.1240081854339028E-2</v>
      </c>
      <c r="Y1087" s="24">
        <f t="shared" si="123"/>
        <v>4.2996399792851525E-2</v>
      </c>
      <c r="Z1087" s="23">
        <f t="shared" si="124"/>
        <v>3.5143017052454706E-3</v>
      </c>
      <c r="AA1087" s="36"/>
    </row>
    <row r="1088" spans="15:27" ht="13.9" customHeight="1" x14ac:dyDescent="0.3">
      <c r="O1088" s="12">
        <f t="shared" si="118"/>
        <v>89.583333333333329</v>
      </c>
      <c r="P1088" s="13">
        <v>1075</v>
      </c>
      <c r="Q1088" s="22">
        <v>3.2989504769292077E-2</v>
      </c>
      <c r="R1088" s="19">
        <f t="shared" si="119"/>
        <v>3.3402461273255746E-2</v>
      </c>
      <c r="S1088" s="22">
        <v>4.0100545434765156E-2</v>
      </c>
      <c r="T1088" s="19">
        <f t="shared" si="120"/>
        <v>4.2997332276013323E-2</v>
      </c>
      <c r="U1088" s="24">
        <v>4.1531598481910681E-2</v>
      </c>
      <c r="V1088" s="24">
        <f t="shared" si="121"/>
        <v>4.2996073437795213E-2</v>
      </c>
      <c r="W1088" s="23">
        <f t="shared" si="122"/>
        <v>3.514275377981102E-3</v>
      </c>
      <c r="X1088" s="24">
        <v>4.12417142633974E-2</v>
      </c>
      <c r="Y1088" s="24">
        <f t="shared" si="123"/>
        <v>4.2996433387918698E-2</v>
      </c>
      <c r="Z1088" s="23">
        <f t="shared" si="124"/>
        <v>3.5143044242136323E-3</v>
      </c>
      <c r="AA1088" s="36"/>
    </row>
    <row r="1089" spans="15:27" ht="13.9" customHeight="1" x14ac:dyDescent="0.3">
      <c r="O1089" s="12">
        <f t="shared" si="118"/>
        <v>89.666666666666671</v>
      </c>
      <c r="P1089" s="13">
        <v>1076</v>
      </c>
      <c r="Q1089" s="22">
        <v>3.2989888481242957E-2</v>
      </c>
      <c r="R1089" s="19">
        <f t="shared" si="119"/>
        <v>3.3402689866244728E-2</v>
      </c>
      <c r="S1089" s="22">
        <v>4.0103233877264888E-2</v>
      </c>
      <c r="T1089" s="19">
        <f t="shared" si="120"/>
        <v>4.2997359327867635E-2</v>
      </c>
      <c r="U1089" s="24">
        <v>4.1532958563037292E-2</v>
      </c>
      <c r="V1089" s="24">
        <f t="shared" si="121"/>
        <v>4.299610902565898E-2</v>
      </c>
      <c r="W1089" s="23">
        <f t="shared" si="122"/>
        <v>3.5142782574555387E-3</v>
      </c>
      <c r="X1089" s="24">
        <v>4.124334367195992E-2</v>
      </c>
      <c r="Y1089" s="24">
        <f t="shared" si="123"/>
        <v>4.2996466669181999E-2</v>
      </c>
      <c r="Z1089" s="23">
        <f t="shared" si="124"/>
        <v>3.5143071178256324E-3</v>
      </c>
      <c r="AA1089" s="36"/>
    </row>
    <row r="1090" spans="15:27" ht="13.9" customHeight="1" x14ac:dyDescent="0.3">
      <c r="O1090" s="12">
        <f t="shared" si="118"/>
        <v>89.75</v>
      </c>
      <c r="P1090" s="13">
        <v>1077</v>
      </c>
      <c r="Q1090" s="22">
        <v>3.2990271692943995E-2</v>
      </c>
      <c r="R1090" s="19">
        <f t="shared" si="119"/>
        <v>3.3402916561445783E-2</v>
      </c>
      <c r="S1090" s="22">
        <v>4.0105917359277266E-2</v>
      </c>
      <c r="T1090" s="19">
        <f t="shared" si="120"/>
        <v>4.2997386104921542E-2</v>
      </c>
      <c r="U1090" s="24">
        <v>4.1534316153247763E-2</v>
      </c>
      <c r="V1090" s="24">
        <f t="shared" si="121"/>
        <v>4.2996144290917915E-2</v>
      </c>
      <c r="W1090" s="23">
        <f t="shared" si="122"/>
        <v>3.514281110848394E-3</v>
      </c>
      <c r="X1090" s="24">
        <v>4.1244970088086808E-2</v>
      </c>
      <c r="Y1090" s="24">
        <f t="shared" si="123"/>
        <v>4.2996499640102437E-2</v>
      </c>
      <c r="Z1090" s="23">
        <f t="shared" si="124"/>
        <v>3.5143097862770922E-3</v>
      </c>
      <c r="AA1090" s="36"/>
    </row>
    <row r="1091" spans="15:27" ht="13.9" customHeight="1" x14ac:dyDescent="0.3">
      <c r="O1091" s="12">
        <f t="shared" si="118"/>
        <v>89.833333333333329</v>
      </c>
      <c r="P1091" s="13">
        <v>1078</v>
      </c>
      <c r="Q1091" s="22">
        <v>3.2990654404027486E-2</v>
      </c>
      <c r="R1091" s="19">
        <f t="shared" si="119"/>
        <v>3.3403141374337642E-2</v>
      </c>
      <c r="S1091" s="22">
        <v>4.0108595894333909E-2</v>
      </c>
      <c r="T1091" s="19">
        <f t="shared" si="120"/>
        <v>4.2997412610898067E-2</v>
      </c>
      <c r="U1091" s="24">
        <v>4.1535671259170348E-2</v>
      </c>
      <c r="V1091" s="24">
        <f t="shared" si="121"/>
        <v>4.2996179236474585E-2</v>
      </c>
      <c r="W1091" s="23">
        <f t="shared" si="122"/>
        <v>3.5142839383748292E-3</v>
      </c>
      <c r="X1091" s="24">
        <v>4.1246593519811414E-2</v>
      </c>
      <c r="Y1091" s="24">
        <f t="shared" si="123"/>
        <v>4.2996532302803425E-2</v>
      </c>
      <c r="Z1091" s="23">
        <f t="shared" si="124"/>
        <v>3.5143124298453454E-3</v>
      </c>
      <c r="AA1091" s="36"/>
    </row>
    <row r="1092" spans="15:27" ht="13.9" customHeight="1" x14ac:dyDescent="0.3">
      <c r="O1092" s="12">
        <f t="shared" si="118"/>
        <v>89.916666666666671</v>
      </c>
      <c r="P1092" s="13">
        <v>1079</v>
      </c>
      <c r="Q1092" s="22">
        <v>3.2991036614141267E-2</v>
      </c>
      <c r="R1092" s="19">
        <f t="shared" si="119"/>
        <v>3.3403364320968354E-2</v>
      </c>
      <c r="S1092" s="22">
        <v>4.0111269495919366E-2</v>
      </c>
      <c r="T1092" s="19">
        <f t="shared" si="120"/>
        <v>4.2997438848067837E-2</v>
      </c>
      <c r="U1092" s="24">
        <v>4.1537023887411761E-2</v>
      </c>
      <c r="V1092" s="24">
        <f t="shared" si="121"/>
        <v>4.2996213865846178E-2</v>
      </c>
      <c r="W1092" s="23">
        <f t="shared" si="122"/>
        <v>3.5142867402679911E-3</v>
      </c>
      <c r="X1092" s="24">
        <v>4.1248213975139336E-2</v>
      </c>
      <c r="Y1092" s="24">
        <f t="shared" si="123"/>
        <v>4.2996564661559544E-2</v>
      </c>
      <c r="Z1092" s="23">
        <f t="shared" si="124"/>
        <v>3.5143150487011443E-3</v>
      </c>
      <c r="AA1092" s="36"/>
    </row>
    <row r="1093" spans="15:27" ht="13.9" customHeight="1" x14ac:dyDescent="0.3">
      <c r="O1093" s="12">
        <f t="shared" si="118"/>
        <v>90</v>
      </c>
      <c r="P1093" s="13">
        <v>1080</v>
      </c>
      <c r="Q1093" s="22">
        <v>3.2991418322949384E-2</v>
      </c>
      <c r="R1093" s="19">
        <f t="shared" si="119"/>
        <v>3.3403585416186488E-2</v>
      </c>
      <c r="S1093" s="22">
        <v>4.0113938177470665E-2</v>
      </c>
      <c r="T1093" s="19">
        <f t="shared" si="120"/>
        <v>4.2997464818884445E-2</v>
      </c>
      <c r="U1093" s="24">
        <v>4.153837404455718E-2</v>
      </c>
      <c r="V1093" s="24">
        <f t="shared" si="121"/>
        <v>4.2996248180603658E-2</v>
      </c>
      <c r="W1093" s="23">
        <f t="shared" si="122"/>
        <v>3.5142895168096544E-3</v>
      </c>
      <c r="X1093" s="24">
        <v>4.1249831462050635E-2</v>
      </c>
      <c r="Y1093" s="24">
        <f t="shared" si="123"/>
        <v>4.299659671785494E-2</v>
      </c>
      <c r="Z1093" s="23">
        <f t="shared" si="124"/>
        <v>3.5143176431866596E-3</v>
      </c>
      <c r="AA1093" s="36"/>
    </row>
    <row r="1094" spans="15:27" ht="13.9" customHeight="1" x14ac:dyDescent="0.3">
      <c r="O1094" s="12">
        <f t="shared" si="118"/>
        <v>90.083333333333329</v>
      </c>
      <c r="P1094" s="13">
        <v>1081</v>
      </c>
      <c r="Q1094" s="22">
        <v>3.2991799530130761E-2</v>
      </c>
      <c r="R1094" s="19">
        <f t="shared" si="119"/>
        <v>3.3403804676020554E-2</v>
      </c>
      <c r="S1094" s="22">
        <v>4.011660195237754E-2</v>
      </c>
      <c r="T1094" s="19">
        <f t="shared" si="120"/>
        <v>4.2997490526511362E-2</v>
      </c>
      <c r="U1094" s="24">
        <v>4.1539721737169133E-2</v>
      </c>
      <c r="V1094" s="24">
        <f t="shared" si="121"/>
        <v>4.2996282184654122E-2</v>
      </c>
      <c r="W1094" s="23">
        <f t="shared" si="122"/>
        <v>3.5142922681259403E-3</v>
      </c>
      <c r="X1094" s="24">
        <v>4.1251445988496949E-2</v>
      </c>
      <c r="Y1094" s="24">
        <f t="shared" si="123"/>
        <v>4.2996628475056253E-2</v>
      </c>
      <c r="Z1094" s="23">
        <f t="shared" si="124"/>
        <v>3.5143202134213514E-3</v>
      </c>
      <c r="AA1094" s="36"/>
    </row>
    <row r="1095" spans="15:27" ht="13.9" customHeight="1" x14ac:dyDescent="0.3">
      <c r="O1095" s="12">
        <f t="shared" si="118"/>
        <v>90.166666666666671</v>
      </c>
      <c r="P1095" s="13">
        <v>1082</v>
      </c>
      <c r="Q1095" s="22">
        <v>3.299218023538053E-2</v>
      </c>
      <c r="R1095" s="19">
        <f t="shared" si="119"/>
        <v>3.3404022115361531E-2</v>
      </c>
      <c r="S1095" s="22">
        <v>4.0119260833982873E-2</v>
      </c>
      <c r="T1095" s="19">
        <f t="shared" si="120"/>
        <v>4.2997515973800082E-2</v>
      </c>
      <c r="U1095" s="24">
        <v>4.1541066971789276E-2</v>
      </c>
      <c r="V1095" s="24">
        <f t="shared" si="121"/>
        <v>4.2996315880955205E-2</v>
      </c>
      <c r="W1095" s="23">
        <f t="shared" si="122"/>
        <v>3.5142949945299318E-3</v>
      </c>
      <c r="X1095" s="24">
        <v>4.1253057562403939E-2</v>
      </c>
      <c r="Y1095" s="24">
        <f t="shared" si="123"/>
        <v>4.2996659936076487E-2</v>
      </c>
      <c r="Z1095" s="23">
        <f t="shared" si="124"/>
        <v>3.5143227596750037E-3</v>
      </c>
      <c r="AA1095" s="36"/>
    </row>
    <row r="1096" spans="15:27" ht="13.9" customHeight="1" x14ac:dyDescent="0.3">
      <c r="O1096" s="12">
        <f t="shared" si="118"/>
        <v>90.25</v>
      </c>
      <c r="P1096" s="13">
        <v>1083</v>
      </c>
      <c r="Q1096" s="22">
        <v>3.299256043840848E-2</v>
      </c>
      <c r="R1096" s="19">
        <f t="shared" si="119"/>
        <v>3.3404237748982268E-2</v>
      </c>
      <c r="S1096" s="22">
        <v>4.0121914835583361E-2</v>
      </c>
      <c r="T1096" s="19">
        <f t="shared" si="120"/>
        <v>4.2997541162453023E-2</v>
      </c>
      <c r="U1096" s="24">
        <v>4.154240975493817E-2</v>
      </c>
      <c r="V1096" s="24">
        <f t="shared" si="121"/>
        <v>4.2996349270910672E-2</v>
      </c>
      <c r="W1096" s="23">
        <f t="shared" si="122"/>
        <v>3.5142976962589945E-3</v>
      </c>
      <c r="X1096" s="24">
        <v>4.1254666191670619E-2</v>
      </c>
      <c r="Y1096" s="24">
        <f t="shared" si="123"/>
        <v>4.2996691103308393E-2</v>
      </c>
      <c r="Z1096" s="23">
        <f t="shared" si="124"/>
        <v>3.5143252821809856E-3</v>
      </c>
      <c r="AA1096" s="36"/>
    </row>
    <row r="1097" spans="15:27" ht="13.9" customHeight="1" x14ac:dyDescent="0.3">
      <c r="O1097" s="12">
        <f t="shared" si="118"/>
        <v>90.333333333333329</v>
      </c>
      <c r="P1097" s="13">
        <v>1084</v>
      </c>
      <c r="Q1097" s="22">
        <v>3.2992940138939275E-2</v>
      </c>
      <c r="R1097" s="19">
        <f t="shared" si="119"/>
        <v>3.3404451592748963E-2</v>
      </c>
      <c r="S1097" s="22">
        <v>4.0124563970427962E-2</v>
      </c>
      <c r="T1097" s="19">
        <f t="shared" si="120"/>
        <v>4.2997566096033335E-2</v>
      </c>
      <c r="U1097" s="24">
        <v>4.1543750093113507E-2</v>
      </c>
      <c r="V1097" s="24">
        <f t="shared" si="121"/>
        <v>4.2996382359134833E-2</v>
      </c>
      <c r="W1097" s="23">
        <f t="shared" si="122"/>
        <v>3.514300373425483E-3</v>
      </c>
      <c r="X1097" s="24">
        <v>4.1256271884168916E-2</v>
      </c>
      <c r="Y1097" s="24">
        <f t="shared" si="123"/>
        <v>4.2996721979789987E-2</v>
      </c>
      <c r="Z1097" s="23">
        <f t="shared" si="124"/>
        <v>3.5143277811313656E-3</v>
      </c>
      <c r="AA1097" s="36"/>
    </row>
    <row r="1098" spans="15:27" ht="13.9" customHeight="1" x14ac:dyDescent="0.3">
      <c r="O1098" s="12">
        <f t="shared" si="118"/>
        <v>90.416666666666671</v>
      </c>
      <c r="P1098" s="13">
        <v>1085</v>
      </c>
      <c r="Q1098" s="22">
        <v>3.2993319336713123E-2</v>
      </c>
      <c r="R1098" s="19">
        <f t="shared" si="119"/>
        <v>3.3404663660966838E-2</v>
      </c>
      <c r="S1098" s="22">
        <v>4.0127208251720337E-2</v>
      </c>
      <c r="T1098" s="19">
        <f t="shared" si="120"/>
        <v>4.2997590776711281E-2</v>
      </c>
      <c r="U1098" s="24">
        <v>4.1545087992792995E-2</v>
      </c>
      <c r="V1098" s="24">
        <f t="shared" si="121"/>
        <v>4.2996415146842271E-2</v>
      </c>
      <c r="W1098" s="23">
        <f t="shared" si="122"/>
        <v>3.5143030263993236E-3</v>
      </c>
      <c r="X1098" s="24">
        <v>4.1257874647744774E-2</v>
      </c>
      <c r="Y1098" s="24">
        <f t="shared" si="123"/>
        <v>4.2996752568215113E-2</v>
      </c>
      <c r="Z1098" s="23">
        <f t="shared" si="124"/>
        <v>3.5143302567697265E-3</v>
      </c>
      <c r="AA1098" s="36"/>
    </row>
    <row r="1099" spans="15:27" ht="13.9" customHeight="1" x14ac:dyDescent="0.3">
      <c r="O1099" s="12">
        <f t="shared" si="118"/>
        <v>90.5</v>
      </c>
      <c r="P1099" s="13">
        <v>1086</v>
      </c>
      <c r="Q1099" s="22">
        <v>3.299369803148422E-2</v>
      </c>
      <c r="R1099" s="19">
        <f t="shared" si="119"/>
        <v>3.3404873968066129E-2</v>
      </c>
      <c r="S1099" s="22">
        <v>4.0129847692617293E-2</v>
      </c>
      <c r="T1099" s="19">
        <f t="shared" si="120"/>
        <v>4.2997615206880946E-2</v>
      </c>
      <c r="U1099" s="24">
        <v>4.1546423460431914E-2</v>
      </c>
      <c r="V1099" s="24">
        <f t="shared" si="121"/>
        <v>4.2996447637561497E-2</v>
      </c>
      <c r="W1099" s="23">
        <f t="shared" si="122"/>
        <v>3.5143056552782159E-3</v>
      </c>
      <c r="X1099" s="24">
        <v>4.1259474490217718E-2</v>
      </c>
      <c r="Y1099" s="24">
        <f t="shared" si="123"/>
        <v>4.299678287108466E-2</v>
      </c>
      <c r="Z1099" s="23">
        <f t="shared" si="124"/>
        <v>3.5143327093121179E-3</v>
      </c>
      <c r="AA1099" s="36"/>
    </row>
    <row r="1100" spans="15:27" ht="13.9" customHeight="1" x14ac:dyDescent="0.3">
      <c r="O1100" s="12">
        <f t="shared" si="118"/>
        <v>90.583333333333329</v>
      </c>
      <c r="P1100" s="13">
        <v>1087</v>
      </c>
      <c r="Q1100" s="22">
        <v>3.2994076223021196E-2</v>
      </c>
      <c r="R1100" s="19">
        <f t="shared" si="119"/>
        <v>3.340508252981178E-2</v>
      </c>
      <c r="S1100" s="22">
        <v>4.01324823062299E-2</v>
      </c>
      <c r="T1100" s="19">
        <f t="shared" si="120"/>
        <v>4.2997639389864117E-2</v>
      </c>
      <c r="U1100" s="24">
        <v>4.1547756502465116E-2</v>
      </c>
      <c r="V1100" s="24">
        <f t="shared" si="121"/>
        <v>4.299647983402477E-2</v>
      </c>
      <c r="W1100" s="23">
        <f t="shared" si="122"/>
        <v>3.5143082603446008E-3</v>
      </c>
      <c r="X1100" s="24">
        <v>4.1261071419380624E-2</v>
      </c>
      <c r="Y1100" s="24">
        <f t="shared" si="123"/>
        <v>4.2996812891278768E-2</v>
      </c>
      <c r="Z1100" s="23">
        <f t="shared" si="124"/>
        <v>3.514335138958824E-3</v>
      </c>
      <c r="AA1100" s="36"/>
    </row>
    <row r="1101" spans="15:27" ht="13.9" customHeight="1" x14ac:dyDescent="0.3">
      <c r="O1101" s="12">
        <f t="shared" si="118"/>
        <v>90.666666666666671</v>
      </c>
      <c r="P1101" s="13">
        <v>1088</v>
      </c>
      <c r="Q1101" s="22">
        <v>3.2994453911107779E-2</v>
      </c>
      <c r="R1101" s="19">
        <f t="shared" si="119"/>
        <v>3.3405289359568213E-2</v>
      </c>
      <c r="S1101" s="22">
        <v>4.0135112105623705E-2</v>
      </c>
      <c r="T1101" s="19">
        <f t="shared" si="120"/>
        <v>4.2997663326979518E-2</v>
      </c>
      <c r="U1101" s="24">
        <v>4.1549087125306139E-2</v>
      </c>
      <c r="V1101" s="24">
        <f t="shared" si="121"/>
        <v>4.299651173856156E-2</v>
      </c>
      <c r="W1101" s="23">
        <f t="shared" si="122"/>
        <v>3.5143108418180802E-3</v>
      </c>
      <c r="X1101" s="24">
        <v>4.1262665443000612E-2</v>
      </c>
      <c r="Y1101" s="24">
        <f t="shared" si="123"/>
        <v>4.2996842631230603E-2</v>
      </c>
      <c r="Z1101" s="23">
        <f t="shared" si="124"/>
        <v>3.5143375459407711E-3</v>
      </c>
      <c r="AA1101" s="36"/>
    </row>
    <row r="1102" spans="15:27" ht="13.9" customHeight="1" x14ac:dyDescent="0.3">
      <c r="O1102" s="12">
        <f t="shared" ref="O1102:O1165" si="125">P1102/12</f>
        <v>90.75</v>
      </c>
      <c r="P1102" s="13">
        <v>1089</v>
      </c>
      <c r="Q1102" s="22">
        <v>3.2994831095541022E-2</v>
      </c>
      <c r="R1102" s="19">
        <f t="shared" ref="R1102:R1165" si="126">(1+Q1103)^P1103/(1+Q1102)^P1102-1</f>
        <v>3.340549447200214E-2</v>
      </c>
      <c r="S1102" s="22">
        <v>4.013773710381785E-2</v>
      </c>
      <c r="T1102" s="19">
        <f t="shared" ref="T1102:T1165" si="127">(1+S1103)^P1103/(1+S1102)^P1102-1</f>
        <v>4.2997687021885556E-2</v>
      </c>
      <c r="U1102" s="24">
        <v>4.155041533534698E-2</v>
      </c>
      <c r="V1102" s="24">
        <f t="shared" ref="V1102:V1165" si="128">(1+U1103)^P1103/(1+U1102)^P1102-1</f>
        <v>4.2996543353529093E-2</v>
      </c>
      <c r="W1102" s="23">
        <f t="shared" si="122"/>
        <v>3.5143133998851717E-3</v>
      </c>
      <c r="X1102" s="24">
        <v>4.126425656881838E-2</v>
      </c>
      <c r="Y1102" s="24">
        <f t="shared" si="123"/>
        <v>4.2996872093914007E-2</v>
      </c>
      <c r="Z1102" s="23">
        <f t="shared" si="124"/>
        <v>3.5143399304533585E-3</v>
      </c>
      <c r="AA1102" s="36"/>
    </row>
    <row r="1103" spans="15:27" ht="13.9" customHeight="1" x14ac:dyDescent="0.3">
      <c r="O1103" s="12">
        <f t="shared" si="125"/>
        <v>90.833333333333329</v>
      </c>
      <c r="P1103" s="13">
        <v>1090</v>
      </c>
      <c r="Q1103" s="22">
        <v>3.2995207776131963E-2</v>
      </c>
      <c r="R1103" s="19">
        <f t="shared" si="126"/>
        <v>3.3405697881745189E-2</v>
      </c>
      <c r="S1103" s="22">
        <v>4.0140357313786845E-2</v>
      </c>
      <c r="T1103" s="19">
        <f t="shared" si="127"/>
        <v>4.2997710476080586E-2</v>
      </c>
      <c r="U1103" s="24">
        <v>4.1551741138958764E-2</v>
      </c>
      <c r="V1103" s="24">
        <f t="shared" si="128"/>
        <v>4.2996574682544697E-2</v>
      </c>
      <c r="W1103" s="23">
        <f t="shared" ref="W1103:W1166" si="129">(1+V1102)^(1/12)-1</f>
        <v>3.5143159347348352E-3</v>
      </c>
      <c r="X1103" s="24">
        <v>4.126584480454909E-2</v>
      </c>
      <c r="Y1103" s="24">
        <f t="shared" ref="Y1103:Y1166" si="130">(1+X1104)^P1104/(1+X1103)^P1103-1</f>
        <v>4.299690128103828E-2</v>
      </c>
      <c r="Z1103" s="23">
        <f t="shared" ref="Z1103:Z1166" si="131">(1+Y1102)^(1/12)-1</f>
        <v>3.51434229273484E-3</v>
      </c>
      <c r="AA1103" s="36"/>
    </row>
    <row r="1104" spans="15:27" ht="13.9" customHeight="1" x14ac:dyDescent="0.3">
      <c r="O1104" s="12">
        <f t="shared" si="125"/>
        <v>90.916666666666671</v>
      </c>
      <c r="P1104" s="13">
        <v>1091</v>
      </c>
      <c r="Q1104" s="22">
        <v>3.2995583952705632E-2</v>
      </c>
      <c r="R1104" s="19">
        <f t="shared" si="126"/>
        <v>3.3405899602147571E-2</v>
      </c>
      <c r="S1104" s="22">
        <v>4.014297274845946E-2</v>
      </c>
      <c r="T1104" s="19">
        <f t="shared" si="127"/>
        <v>4.2997733692454077E-2</v>
      </c>
      <c r="U1104" s="24">
        <v>4.1553064542492191E-2</v>
      </c>
      <c r="V1104" s="24">
        <f t="shared" si="128"/>
        <v>4.2996605727174897E-2</v>
      </c>
      <c r="W1104" s="23">
        <f t="shared" si="129"/>
        <v>3.5143184466570609E-3</v>
      </c>
      <c r="X1104" s="24">
        <v>4.1267430157881035E-2</v>
      </c>
      <c r="Y1104" s="24">
        <f t="shared" si="130"/>
        <v>4.2996930196805172E-2</v>
      </c>
      <c r="Z1104" s="23">
        <f t="shared" si="131"/>
        <v>3.5143446329222172E-3</v>
      </c>
      <c r="AA1104" s="36"/>
    </row>
    <row r="1105" spans="15:27" ht="13.9" customHeight="1" x14ac:dyDescent="0.3">
      <c r="O1105" s="12">
        <f t="shared" si="125"/>
        <v>91</v>
      </c>
      <c r="P1105" s="13">
        <v>1092</v>
      </c>
      <c r="Q1105" s="22">
        <v>3.2995959625100379E-2</v>
      </c>
      <c r="R1105" s="19">
        <f t="shared" si="126"/>
        <v>3.3406099648718435E-2</v>
      </c>
      <c r="S1105" s="22">
        <v>4.0145583420719388E-2</v>
      </c>
      <c r="T1105" s="19">
        <f t="shared" si="127"/>
        <v>4.2997756674025167E-2</v>
      </c>
      <c r="U1105" s="24">
        <v>4.1554385552276418E-2</v>
      </c>
      <c r="V1105" s="24">
        <f t="shared" si="128"/>
        <v>4.2996636490639784E-2</v>
      </c>
      <c r="W1105" s="23">
        <f t="shared" si="129"/>
        <v>3.5143209357775262E-3</v>
      </c>
      <c r="X1105" s="24">
        <v>4.1269012636478308E-2</v>
      </c>
      <c r="Y1105" s="24">
        <f t="shared" si="130"/>
        <v>4.2996958841723387E-2</v>
      </c>
      <c r="Z1105" s="23">
        <f t="shared" si="131"/>
        <v>3.5143469513523318E-3</v>
      </c>
      <c r="AA1105" s="36"/>
    </row>
    <row r="1106" spans="15:27" ht="13.9" customHeight="1" x14ac:dyDescent="0.3">
      <c r="O1106" s="12">
        <f t="shared" si="125"/>
        <v>91.083333333333329</v>
      </c>
      <c r="P1106" s="13">
        <v>1093</v>
      </c>
      <c r="Q1106" s="22">
        <v>3.2996334793168769E-2</v>
      </c>
      <c r="R1106" s="19">
        <f t="shared" si="126"/>
        <v>3.3406298033588078E-2</v>
      </c>
      <c r="S1106" s="22">
        <v>4.0148189343406138E-2</v>
      </c>
      <c r="T1106" s="19">
        <f t="shared" si="127"/>
        <v>4.2997779421673821E-2</v>
      </c>
      <c r="U1106" s="24">
        <v>4.1555704174620178E-2</v>
      </c>
      <c r="V1106" s="24">
        <f t="shared" si="128"/>
        <v>4.2996666974894904E-2</v>
      </c>
      <c r="W1106" s="23">
        <f t="shared" si="129"/>
        <v>3.514323402354691E-3</v>
      </c>
      <c r="X1106" s="24">
        <v>4.1270592247977467E-2</v>
      </c>
      <c r="Y1106" s="24">
        <f t="shared" si="130"/>
        <v>4.2996987219686034E-2</v>
      </c>
      <c r="Z1106" s="23">
        <f t="shared" si="131"/>
        <v>3.5143492480662619E-3</v>
      </c>
      <c r="AA1106" s="36"/>
    </row>
    <row r="1107" spans="15:27" ht="13.9" customHeight="1" x14ac:dyDescent="0.3">
      <c r="O1107" s="12">
        <f t="shared" si="125"/>
        <v>91.166666666666671</v>
      </c>
      <c r="P1107" s="13">
        <v>1094</v>
      </c>
      <c r="Q1107" s="22">
        <v>3.2996709456775353E-2</v>
      </c>
      <c r="R1107" s="19">
        <f t="shared" si="126"/>
        <v>3.3406494772126871E-2</v>
      </c>
      <c r="S1107" s="22">
        <v>4.0150790529313252E-2</v>
      </c>
      <c r="T1107" s="19">
        <f t="shared" si="127"/>
        <v>4.2997801939296698E-2</v>
      </c>
      <c r="U1107" s="24">
        <v>4.1557020415811108E-2</v>
      </c>
      <c r="V1107" s="24">
        <f t="shared" si="128"/>
        <v>4.299669718343524E-2</v>
      </c>
      <c r="W1107" s="23">
        <f t="shared" si="129"/>
        <v>3.5143258465448746E-3</v>
      </c>
      <c r="X1107" s="24">
        <v>4.1272168999990644E-2</v>
      </c>
      <c r="Y1107" s="24">
        <f t="shared" si="130"/>
        <v>4.2997015333256172E-2</v>
      </c>
      <c r="Z1107" s="23">
        <f t="shared" si="131"/>
        <v>3.5143515233759803E-3</v>
      </c>
      <c r="AA1107" s="36"/>
    </row>
    <row r="1108" spans="15:27" ht="13.9" customHeight="1" x14ac:dyDescent="0.3">
      <c r="O1108" s="12">
        <f t="shared" si="125"/>
        <v>91.25</v>
      </c>
      <c r="P1108" s="13">
        <v>1095</v>
      </c>
      <c r="Q1108" s="22">
        <v>3.2997083615799117E-2</v>
      </c>
      <c r="R1108" s="19">
        <f t="shared" si="126"/>
        <v>3.3406689876551265E-2</v>
      </c>
      <c r="S1108" s="22">
        <v>4.0153386991190976E-2</v>
      </c>
      <c r="T1108" s="19">
        <f t="shared" si="127"/>
        <v>4.2997824228461656E-2</v>
      </c>
      <c r="U1108" s="24">
        <v>4.1558334282117082E-2</v>
      </c>
      <c r="V1108" s="24">
        <f t="shared" si="128"/>
        <v>4.2996727118067346E-2</v>
      </c>
      <c r="W1108" s="23">
        <f t="shared" si="129"/>
        <v>3.5143282686285193E-3</v>
      </c>
      <c r="X1108" s="24">
        <v>4.127374290010466E-2</v>
      </c>
      <c r="Y1108" s="24">
        <f t="shared" si="130"/>
        <v>4.2997043184224149E-2</v>
      </c>
      <c r="Z1108" s="23">
        <f t="shared" si="131"/>
        <v>3.5143537774868783E-3</v>
      </c>
      <c r="AA1108" s="36"/>
    </row>
    <row r="1109" spans="15:27" ht="13.9" customHeight="1" x14ac:dyDescent="0.3">
      <c r="O1109" s="12">
        <f t="shared" si="125"/>
        <v>91.333333333333329</v>
      </c>
      <c r="P1109" s="13">
        <v>1096</v>
      </c>
      <c r="Q1109" s="22">
        <v>3.2997457270130592E-2</v>
      </c>
      <c r="R1109" s="19">
        <f t="shared" si="126"/>
        <v>3.3406883362038453E-2</v>
      </c>
      <c r="S1109" s="22">
        <v>4.0155978741744702E-2</v>
      </c>
      <c r="T1109" s="19">
        <f t="shared" si="127"/>
        <v>4.2997846291394248E-2</v>
      </c>
      <c r="U1109" s="24">
        <v>4.155964577978466E-2</v>
      </c>
      <c r="V1109" s="24">
        <f t="shared" si="128"/>
        <v>4.2996756781185752E-2</v>
      </c>
      <c r="W1109" s="23">
        <f t="shared" si="129"/>
        <v>3.5143306687506204E-3</v>
      </c>
      <c r="X1109" s="24">
        <v>4.1275313955880133E-2</v>
      </c>
      <c r="Y1109" s="24">
        <f t="shared" si="130"/>
        <v>4.2997070775073309E-2</v>
      </c>
      <c r="Z1109" s="23">
        <f t="shared" si="131"/>
        <v>3.5143560105426186E-3</v>
      </c>
      <c r="AA1109" s="36"/>
    </row>
    <row r="1110" spans="15:27" ht="13.9" customHeight="1" x14ac:dyDescent="0.3">
      <c r="O1110" s="12">
        <f t="shared" si="125"/>
        <v>91.416666666666671</v>
      </c>
      <c r="P1110" s="13">
        <v>1097</v>
      </c>
      <c r="Q1110" s="22">
        <v>3.2997830419674523E-2</v>
      </c>
      <c r="R1110" s="19">
        <f t="shared" si="126"/>
        <v>3.3407075240490469E-2</v>
      </c>
      <c r="S1110" s="22">
        <v>4.0158565793635415E-2</v>
      </c>
      <c r="T1110" s="19">
        <f t="shared" si="127"/>
        <v>4.2997868130524308E-2</v>
      </c>
      <c r="U1110" s="24">
        <v>4.1560954915039749E-2</v>
      </c>
      <c r="V1110" s="24">
        <f t="shared" si="128"/>
        <v>4.2996786175381274E-2</v>
      </c>
      <c r="W1110" s="23">
        <f t="shared" si="129"/>
        <v>3.5143330471028023E-3</v>
      </c>
      <c r="X1110" s="24">
        <v>4.1276882174852592E-2</v>
      </c>
      <c r="Y1110" s="24">
        <f t="shared" si="130"/>
        <v>4.2997098108461529E-2</v>
      </c>
      <c r="Z1110" s="23">
        <f t="shared" si="131"/>
        <v>3.5143582227421533E-3</v>
      </c>
      <c r="AA1110" s="36"/>
    </row>
    <row r="1111" spans="15:27" ht="13.9" customHeight="1" x14ac:dyDescent="0.3">
      <c r="O1111" s="12">
        <f t="shared" si="125"/>
        <v>91.5</v>
      </c>
      <c r="P1111" s="13">
        <v>1098</v>
      </c>
      <c r="Q1111" s="22">
        <v>3.2998203064346976E-2</v>
      </c>
      <c r="R1111" s="19">
        <f t="shared" si="126"/>
        <v>3.3407265525825958E-2</v>
      </c>
      <c r="S1111" s="22">
        <v>4.0161148159480353E-2</v>
      </c>
      <c r="T1111" s="19">
        <f t="shared" si="127"/>
        <v>4.2997889748829232E-2</v>
      </c>
      <c r="U1111" s="24">
        <v>4.1562261694088054E-2</v>
      </c>
      <c r="V1111" s="24">
        <f t="shared" si="128"/>
        <v>4.2996815303348423E-2</v>
      </c>
      <c r="W1111" s="23">
        <f t="shared" si="129"/>
        <v>3.5143354038931207E-3</v>
      </c>
      <c r="X1111" s="24">
        <v>4.127844756453225E-2</v>
      </c>
      <c r="Y1111" s="24">
        <f t="shared" si="130"/>
        <v>4.2997125187278273E-2</v>
      </c>
      <c r="Z1111" s="23">
        <f t="shared" si="131"/>
        <v>3.5143604142990892E-3</v>
      </c>
      <c r="AA1111" s="36"/>
    </row>
    <row r="1112" spans="15:27" ht="13.9" customHeight="1" x14ac:dyDescent="0.3">
      <c r="O1112" s="12">
        <f t="shared" si="125"/>
        <v>91.583333333333329</v>
      </c>
      <c r="P1112" s="13">
        <v>1099</v>
      </c>
      <c r="Q1112" s="22">
        <v>3.2998575204076896E-2</v>
      </c>
      <c r="R1112" s="19">
        <f t="shared" si="126"/>
        <v>3.3407454232138534E-2</v>
      </c>
      <c r="S1112" s="22">
        <v>4.016372585185346E-2</v>
      </c>
      <c r="T1112" s="19">
        <f t="shared" si="127"/>
        <v>4.2997911147333312E-2</v>
      </c>
      <c r="U1112" s="24">
        <v>4.1563566123115292E-2</v>
      </c>
      <c r="V1112" s="24">
        <f t="shared" si="128"/>
        <v>4.2996844167524584E-2</v>
      </c>
      <c r="W1112" s="23">
        <f t="shared" si="129"/>
        <v>3.5143377393376252E-3</v>
      </c>
      <c r="X1112" s="24">
        <v>4.1280010132404898E-2</v>
      </c>
      <c r="Y1112" s="24">
        <f t="shared" si="130"/>
        <v>4.2997152013081852E-2</v>
      </c>
      <c r="Z1112" s="23">
        <f t="shared" si="131"/>
        <v>3.5143625854445748E-3</v>
      </c>
      <c r="AA1112" s="36"/>
    </row>
    <row r="1113" spans="15:27" ht="13.9" customHeight="1" x14ac:dyDescent="0.3">
      <c r="O1113" s="12">
        <f t="shared" si="125"/>
        <v>91.666666666666671</v>
      </c>
      <c r="P1113" s="13">
        <v>1100</v>
      </c>
      <c r="Q1113" s="22">
        <v>3.2998946838806109E-2</v>
      </c>
      <c r="R1113" s="19">
        <f t="shared" si="126"/>
        <v>3.3407641371034691E-2</v>
      </c>
      <c r="S1113" s="22">
        <v>4.0166298883284046E-2</v>
      </c>
      <c r="T1113" s="19">
        <f t="shared" si="127"/>
        <v>4.2997932328885824E-2</v>
      </c>
      <c r="U1113" s="24">
        <v>4.1564868208286754E-2</v>
      </c>
      <c r="V1113" s="24">
        <f t="shared" si="128"/>
        <v>4.2996872769363925E-2</v>
      </c>
      <c r="W1113" s="23">
        <f t="shared" si="129"/>
        <v>3.5143400536314928E-3</v>
      </c>
      <c r="X1113" s="24">
        <v>4.1281569885930569E-2</v>
      </c>
      <c r="Y1113" s="24">
        <f t="shared" si="130"/>
        <v>4.2997178588599194E-2</v>
      </c>
      <c r="Z1113" s="23">
        <f t="shared" si="131"/>
        <v>3.5143647363036212E-3</v>
      </c>
      <c r="AA1113" s="36"/>
    </row>
    <row r="1114" spans="15:27" ht="13.9" customHeight="1" x14ac:dyDescent="0.3">
      <c r="O1114" s="12">
        <f t="shared" si="125"/>
        <v>91.75</v>
      </c>
      <c r="P1114" s="13">
        <v>1101</v>
      </c>
      <c r="Q1114" s="22">
        <v>3.299931796848754E-2</v>
      </c>
      <c r="R1114" s="19">
        <f t="shared" si="126"/>
        <v>3.3407826956775244E-2</v>
      </c>
      <c r="S1114" s="22">
        <v>4.0168867266258568E-2</v>
      </c>
      <c r="T1114" s="19">
        <f t="shared" si="127"/>
        <v>4.2997953295730973E-2</v>
      </c>
      <c r="U1114" s="24">
        <v>4.1566167955746636E-2</v>
      </c>
      <c r="V1114" s="24">
        <f t="shared" si="128"/>
        <v>4.2996901112819952E-2</v>
      </c>
      <c r="W1114" s="23">
        <f t="shared" si="129"/>
        <v>3.5143423468915191E-3</v>
      </c>
      <c r="X1114" s="24">
        <v>4.1283126832544426E-2</v>
      </c>
      <c r="Y1114" s="24">
        <f t="shared" si="130"/>
        <v>4.2997204915749876E-2</v>
      </c>
      <c r="Z1114" s="23">
        <f t="shared" si="131"/>
        <v>3.5143668670951644E-3</v>
      </c>
      <c r="AA1114" s="36"/>
    </row>
    <row r="1115" spans="15:27" ht="13.9" customHeight="1" x14ac:dyDescent="0.3">
      <c r="O1115" s="12">
        <f t="shared" si="125"/>
        <v>91.833333333333329</v>
      </c>
      <c r="P1115" s="13">
        <v>1102</v>
      </c>
      <c r="Q1115" s="22">
        <v>3.2999688593086995E-2</v>
      </c>
      <c r="R1115" s="19">
        <f t="shared" si="126"/>
        <v>3.3408011001303306E-2</v>
      </c>
      <c r="S1115" s="22">
        <v>4.0171431013220182E-2</v>
      </c>
      <c r="T1115" s="19">
        <f t="shared" si="127"/>
        <v>4.2997974050007493E-2</v>
      </c>
      <c r="U1115" s="24">
        <v>4.1567465371620482E-2</v>
      </c>
      <c r="V1115" s="24">
        <f t="shared" si="128"/>
        <v>4.2996929198682476E-2</v>
      </c>
      <c r="W1115" s="23">
        <f t="shared" si="129"/>
        <v>3.5143446194345618E-3</v>
      </c>
      <c r="X1115" s="24">
        <v>4.1284680979656541E-2</v>
      </c>
      <c r="Y1115" s="24">
        <f t="shared" si="130"/>
        <v>4.2997230997773972E-2</v>
      </c>
      <c r="Z1115" s="23">
        <f t="shared" si="131"/>
        <v>3.5143689779728593E-3</v>
      </c>
      <c r="AA1115" s="36"/>
    </row>
    <row r="1116" spans="15:27" ht="13.9" customHeight="1" x14ac:dyDescent="0.3">
      <c r="O1116" s="12">
        <f t="shared" si="125"/>
        <v>91.916666666666671</v>
      </c>
      <c r="P1116" s="13">
        <v>1103</v>
      </c>
      <c r="Q1116" s="22">
        <v>3.300005871258116E-2</v>
      </c>
      <c r="R1116" s="19">
        <f t="shared" si="126"/>
        <v>3.3408193518557949E-2</v>
      </c>
      <c r="S1116" s="22">
        <v>4.0173990136568971E-2</v>
      </c>
      <c r="T1116" s="19">
        <f t="shared" si="127"/>
        <v>4.2997994593709343E-2</v>
      </c>
      <c r="U1116" s="24">
        <v>4.15687604620123E-2</v>
      </c>
      <c r="V1116" s="24">
        <f t="shared" si="128"/>
        <v>4.2996957030395189E-2</v>
      </c>
      <c r="W1116" s="23">
        <f t="shared" si="129"/>
        <v>3.5143468713241255E-3</v>
      </c>
      <c r="X1116" s="24">
        <v>4.1286232334653228E-2</v>
      </c>
      <c r="Y1116" s="24">
        <f t="shared" si="130"/>
        <v>4.2997256836111664E-2</v>
      </c>
      <c r="Z1116" s="23">
        <f t="shared" si="131"/>
        <v>3.514371069196498E-3</v>
      </c>
      <c r="AA1116" s="36"/>
    </row>
    <row r="1117" spans="15:27" ht="13.9" customHeight="1" x14ac:dyDescent="0.3">
      <c r="O1117" s="12">
        <f t="shared" si="125"/>
        <v>92</v>
      </c>
      <c r="P1117" s="13">
        <v>1104</v>
      </c>
      <c r="Q1117" s="22">
        <v>3.3000428326959597E-2</v>
      </c>
      <c r="R1117" s="19">
        <f t="shared" si="126"/>
        <v>3.3408374519769524E-2</v>
      </c>
      <c r="S1117" s="22">
        <v>4.0176544648661938E-2</v>
      </c>
      <c r="T1117" s="19">
        <f t="shared" si="127"/>
        <v>4.2998014929462203E-2</v>
      </c>
      <c r="U1117" s="24">
        <v>4.157005323300722E-2</v>
      </c>
      <c r="V1117" s="24">
        <f t="shared" si="128"/>
        <v>4.299698460970558E-2</v>
      </c>
      <c r="W1117" s="23">
        <f t="shared" si="129"/>
        <v>3.5143491028362117E-3</v>
      </c>
      <c r="X1117" s="24">
        <v>4.1287780904895044E-2</v>
      </c>
      <c r="Y1117" s="24">
        <f t="shared" si="130"/>
        <v>4.2997282433520745E-2</v>
      </c>
      <c r="Z1117" s="23">
        <f t="shared" si="131"/>
        <v>3.5143731408815437E-3</v>
      </c>
      <c r="AA1117" s="36"/>
    </row>
    <row r="1118" spans="15:27" ht="13.9" customHeight="1" x14ac:dyDescent="0.3">
      <c r="O1118" s="12">
        <f t="shared" si="125"/>
        <v>92.083333333333329</v>
      </c>
      <c r="P1118" s="13">
        <v>1105</v>
      </c>
      <c r="Q1118" s="22">
        <v>3.3000797436222085E-2</v>
      </c>
      <c r="R1118" s="19">
        <f t="shared" si="126"/>
        <v>3.3408554018422798E-2</v>
      </c>
      <c r="S1118" s="22">
        <v>4.0179094561813677E-2</v>
      </c>
      <c r="T1118" s="19">
        <f t="shared" si="127"/>
        <v>4.2998035058316786E-2</v>
      </c>
      <c r="U1118" s="24">
        <v>4.1571343690669949E-2</v>
      </c>
      <c r="V1118" s="24">
        <f t="shared" si="128"/>
        <v>4.2997011939236662E-2</v>
      </c>
      <c r="W1118" s="23">
        <f t="shared" si="129"/>
        <v>3.5143513141109306E-3</v>
      </c>
      <c r="X1118" s="24">
        <v>4.1289326697718787E-2</v>
      </c>
      <c r="Y1118" s="24">
        <f t="shared" si="130"/>
        <v>4.2997307791757367E-2</v>
      </c>
      <c r="Z1118" s="23">
        <f t="shared" si="131"/>
        <v>3.514375193249375E-3</v>
      </c>
      <c r="AA1118" s="36"/>
    </row>
    <row r="1119" spans="15:27" ht="13.9" customHeight="1" x14ac:dyDescent="0.3">
      <c r="O1119" s="12">
        <f t="shared" si="125"/>
        <v>92.166666666666671</v>
      </c>
      <c r="P1119" s="13">
        <v>1106</v>
      </c>
      <c r="Q1119" s="22">
        <v>3.3001166040380614E-2</v>
      </c>
      <c r="R1119" s="19">
        <f t="shared" si="126"/>
        <v>3.3408732027774724E-2</v>
      </c>
      <c r="S1119" s="22">
        <v>4.0181639888295484E-2</v>
      </c>
      <c r="T1119" s="19">
        <f t="shared" si="127"/>
        <v>4.299805498357534E-2</v>
      </c>
      <c r="U1119" s="24">
        <v>4.1572631841045427E-2</v>
      </c>
      <c r="V1119" s="24">
        <f t="shared" si="128"/>
        <v>4.2997039020800987E-2</v>
      </c>
      <c r="W1119" s="23">
        <f t="shared" si="129"/>
        <v>3.5143535053585584E-3</v>
      </c>
      <c r="X1119" s="24">
        <v>4.1290869720435941E-2</v>
      </c>
      <c r="Y1119" s="24">
        <f t="shared" si="130"/>
        <v>4.2997332913961239E-2</v>
      </c>
      <c r="Z1119" s="23">
        <f t="shared" si="131"/>
        <v>3.514377226440546E-3</v>
      </c>
      <c r="AA1119" s="36"/>
    </row>
    <row r="1120" spans="15:27" ht="13.9" customHeight="1" x14ac:dyDescent="0.3">
      <c r="O1120" s="12">
        <f t="shared" si="125"/>
        <v>92.25</v>
      </c>
      <c r="P1120" s="13">
        <v>1107</v>
      </c>
      <c r="Q1120" s="22">
        <v>3.3001534139458721E-2</v>
      </c>
      <c r="R1120" s="19">
        <f t="shared" si="126"/>
        <v>3.340890855838996E-2</v>
      </c>
      <c r="S1120" s="22">
        <v>4.018418064033713E-2</v>
      </c>
      <c r="T1120" s="19">
        <f t="shared" si="127"/>
        <v>4.2998074706761091E-2</v>
      </c>
      <c r="U1120" s="24">
        <v>4.1573917690158613E-2</v>
      </c>
      <c r="V1120" s="24">
        <f t="shared" si="128"/>
        <v>4.2997065857057093E-2</v>
      </c>
      <c r="W1120" s="23">
        <f t="shared" si="129"/>
        <v>3.5143556767245343E-3</v>
      </c>
      <c r="X1120" s="24">
        <v>4.1292409980334677E-2</v>
      </c>
      <c r="Y1120" s="24">
        <f t="shared" si="130"/>
        <v>4.2997357801050518E-2</v>
      </c>
      <c r="Z1120" s="23">
        <f t="shared" si="131"/>
        <v>3.5143792407070773E-3</v>
      </c>
      <c r="AA1120" s="36"/>
    </row>
    <row r="1121" spans="15:27" ht="13.9" customHeight="1" x14ac:dyDescent="0.3">
      <c r="O1121" s="12">
        <f t="shared" si="125"/>
        <v>92.333333333333329</v>
      </c>
      <c r="P1121" s="13">
        <v>1108</v>
      </c>
      <c r="Q1121" s="22">
        <v>3.3001901733489714E-2</v>
      </c>
      <c r="R1121" s="19">
        <f t="shared" si="126"/>
        <v>3.3409083623832769E-2</v>
      </c>
      <c r="S1121" s="22">
        <v>4.0186716830125757E-2</v>
      </c>
      <c r="T1121" s="19">
        <f t="shared" si="127"/>
        <v>4.299809422981915E-2</v>
      </c>
      <c r="U1121" s="24">
        <v>4.1575201244015147E-2</v>
      </c>
      <c r="V1121" s="24">
        <f t="shared" si="128"/>
        <v>4.2997092450072216E-2</v>
      </c>
      <c r="W1121" s="23">
        <f t="shared" si="129"/>
        <v>3.5143578284217991E-3</v>
      </c>
      <c r="X1121" s="24">
        <v>4.1293947484677629E-2</v>
      </c>
      <c r="Y1121" s="24">
        <f t="shared" si="130"/>
        <v>4.2997382456376521E-2</v>
      </c>
      <c r="Z1121" s="23">
        <f t="shared" si="131"/>
        <v>3.5143812361220217E-3</v>
      </c>
      <c r="AA1121" s="36"/>
    </row>
    <row r="1122" spans="15:27" ht="13.9" customHeight="1" x14ac:dyDescent="0.3">
      <c r="O1122" s="12">
        <f t="shared" si="125"/>
        <v>92.416666666666671</v>
      </c>
      <c r="P1122" s="13">
        <v>1109</v>
      </c>
      <c r="Q1122" s="22">
        <v>3.300226882251911E-2</v>
      </c>
      <c r="R1122" s="19">
        <f t="shared" si="126"/>
        <v>3.34092572355007E-2</v>
      </c>
      <c r="S1122" s="22">
        <v>4.0189248469806316E-2</v>
      </c>
      <c r="T1122" s="19">
        <f t="shared" si="127"/>
        <v>4.2998113555005935E-2</v>
      </c>
      <c r="U1122" s="24">
        <v>4.1576482508600687E-2</v>
      </c>
      <c r="V1122" s="24">
        <f t="shared" si="128"/>
        <v>4.2997118801952672E-2</v>
      </c>
      <c r="W1122" s="23">
        <f t="shared" si="129"/>
        <v>3.5143599606164422E-3</v>
      </c>
      <c r="X1122" s="24">
        <v>4.129548224070434E-2</v>
      </c>
      <c r="Y1122" s="24">
        <f t="shared" si="130"/>
        <v>4.2997406881380318E-2</v>
      </c>
      <c r="Z1122" s="23">
        <f t="shared" si="131"/>
        <v>3.5143832129547192E-3</v>
      </c>
      <c r="AA1122" s="36"/>
    </row>
    <row r="1123" spans="15:27" ht="13.9" customHeight="1" x14ac:dyDescent="0.3">
      <c r="O1123" s="12">
        <f t="shared" si="125"/>
        <v>92.5</v>
      </c>
      <c r="P1123" s="13">
        <v>1110</v>
      </c>
      <c r="Q1123" s="22">
        <v>3.3002635406602421E-2</v>
      </c>
      <c r="R1123" s="19">
        <f t="shared" si="126"/>
        <v>3.3409429406577429E-2</v>
      </c>
      <c r="S1123" s="22">
        <v>4.0191775571482014E-2</v>
      </c>
      <c r="T1123" s="19">
        <f t="shared" si="127"/>
        <v>4.2998132684050949E-2</v>
      </c>
      <c r="U1123" s="24">
        <v>4.1577761489881349E-2</v>
      </c>
      <c r="V1123" s="24">
        <f t="shared" si="128"/>
        <v>4.29971449153006E-2</v>
      </c>
      <c r="W1123" s="23">
        <f t="shared" si="129"/>
        <v>3.5143620734769954E-3</v>
      </c>
      <c r="X1123" s="24">
        <v>4.1297014255629483E-2</v>
      </c>
      <c r="Y1123" s="24">
        <f t="shared" si="130"/>
        <v>4.2997431078253046E-2</v>
      </c>
      <c r="Z1123" s="23">
        <f t="shared" si="131"/>
        <v>3.514385171320189E-3</v>
      </c>
      <c r="AA1123" s="36"/>
    </row>
    <row r="1124" spans="15:27" ht="13.9" customHeight="1" x14ac:dyDescent="0.3">
      <c r="O1124" s="12">
        <f t="shared" si="125"/>
        <v>92.583333333333329</v>
      </c>
      <c r="P1124" s="13">
        <v>1111</v>
      </c>
      <c r="Q1124" s="22">
        <v>3.3003001485806482E-2</v>
      </c>
      <c r="R1124" s="19">
        <f t="shared" si="126"/>
        <v>3.3409600147823237E-2</v>
      </c>
      <c r="S1124" s="22">
        <v>4.0194298147214313E-2</v>
      </c>
      <c r="T1124" s="19">
        <f t="shared" si="127"/>
        <v>4.2998151619269009E-2</v>
      </c>
      <c r="U1124" s="24">
        <v>4.1579038193804152E-2</v>
      </c>
      <c r="V1124" s="24">
        <f t="shared" si="128"/>
        <v>4.2997170791738704E-2</v>
      </c>
      <c r="W1124" s="23">
        <f t="shared" si="129"/>
        <v>3.5143641672124026E-3</v>
      </c>
      <c r="X1124" s="24">
        <v>4.129854353664375E-2</v>
      </c>
      <c r="Y1124" s="24">
        <f t="shared" si="130"/>
        <v>4.2997455050333588E-2</v>
      </c>
      <c r="Z1124" s="23">
        <f t="shared" si="131"/>
        <v>3.5143871113945124E-3</v>
      </c>
      <c r="AA1124" s="36"/>
    </row>
    <row r="1125" spans="15:27" ht="13.9" customHeight="1" x14ac:dyDescent="0.3">
      <c r="O1125" s="12">
        <f t="shared" si="125"/>
        <v>92.666666666666671</v>
      </c>
      <c r="P1125" s="13">
        <v>1112</v>
      </c>
      <c r="Q1125" s="22">
        <v>3.3003367060208122E-2</v>
      </c>
      <c r="R1125" s="19">
        <f t="shared" si="126"/>
        <v>3.3409769471508977E-2</v>
      </c>
      <c r="S1125" s="22">
        <v>4.0196816209023378E-2</v>
      </c>
      <c r="T1125" s="19">
        <f t="shared" si="127"/>
        <v>4.2998170362320121E-2</v>
      </c>
      <c r="U1125" s="24">
        <v>4.1580312626296134E-2</v>
      </c>
      <c r="V1125" s="24">
        <f t="shared" si="128"/>
        <v>4.2997196433725682E-2</v>
      </c>
      <c r="W1125" s="23">
        <f t="shared" si="129"/>
        <v>3.5143662419525601E-3</v>
      </c>
      <c r="X1125" s="24">
        <v>4.1300070090914964E-2</v>
      </c>
      <c r="Y1125" s="24">
        <f t="shared" si="130"/>
        <v>4.2997478797592192E-2</v>
      </c>
      <c r="Z1125" s="23">
        <f t="shared" si="131"/>
        <v>3.5143890334452532E-3</v>
      </c>
      <c r="AA1125" s="36"/>
    </row>
    <row r="1126" spans="15:27" ht="13.9" customHeight="1" x14ac:dyDescent="0.3">
      <c r="O1126" s="12">
        <f t="shared" si="125"/>
        <v>92.75</v>
      </c>
      <c r="P1126" s="13">
        <v>1113</v>
      </c>
      <c r="Q1126" s="22">
        <v>3.3003732129894603E-2</v>
      </c>
      <c r="R1126" s="19">
        <f t="shared" si="126"/>
        <v>3.3409937389942357E-2</v>
      </c>
      <c r="S1126" s="22">
        <v>4.0199329768887404E-2</v>
      </c>
      <c r="T1126" s="19">
        <f t="shared" si="127"/>
        <v>4.2998188915404967E-2</v>
      </c>
      <c r="U1126" s="24">
        <v>4.1581584793265236E-2</v>
      </c>
      <c r="V1126" s="24">
        <f t="shared" si="128"/>
        <v>4.2997221842959288E-2</v>
      </c>
      <c r="W1126" s="23">
        <f t="shared" si="129"/>
        <v>3.5143682978948654E-3</v>
      </c>
      <c r="X1126" s="24">
        <v>4.1301593925585411E-2</v>
      </c>
      <c r="Y1126" s="24">
        <f t="shared" si="130"/>
        <v>4.2997502323770753E-2</v>
      </c>
      <c r="Z1126" s="23">
        <f t="shared" si="131"/>
        <v>3.5143909374699689E-3</v>
      </c>
      <c r="AA1126" s="36"/>
    </row>
    <row r="1127" spans="15:27" ht="13.9" customHeight="1" x14ac:dyDescent="0.3">
      <c r="O1127" s="12">
        <f t="shared" si="125"/>
        <v>92.833333333333329</v>
      </c>
      <c r="P1127" s="13">
        <v>1114</v>
      </c>
      <c r="Q1127" s="22">
        <v>3.3004096694963847E-2</v>
      </c>
      <c r="R1127" s="19">
        <f t="shared" si="126"/>
        <v>3.3410103913998235E-2</v>
      </c>
      <c r="S1127" s="22">
        <v>4.0201838838743953E-2</v>
      </c>
      <c r="T1127" s="19">
        <f t="shared" si="127"/>
        <v>4.2998207280211087E-2</v>
      </c>
      <c r="U1127" s="24">
        <v>4.1582854700599858E-2</v>
      </c>
      <c r="V1127" s="24">
        <f t="shared" si="128"/>
        <v>4.2997247022206198E-2</v>
      </c>
      <c r="W1127" s="23">
        <f t="shared" si="129"/>
        <v>3.5143703351749878E-3</v>
      </c>
      <c r="X1127" s="24">
        <v>4.130311504777473E-2</v>
      </c>
      <c r="Y1127" s="24">
        <f t="shared" si="130"/>
        <v>4.299752563004211E-2</v>
      </c>
      <c r="Z1127" s="23">
        <f t="shared" si="131"/>
        <v>3.5143928237688637E-3</v>
      </c>
      <c r="AA1127" s="36"/>
    </row>
    <row r="1128" spans="15:27" ht="13.9" customHeight="1" x14ac:dyDescent="0.3">
      <c r="O1128" s="12">
        <f t="shared" si="125"/>
        <v>92.916666666666671</v>
      </c>
      <c r="P1128" s="13">
        <v>1115</v>
      </c>
      <c r="Q1128" s="22">
        <v>3.3004460755523324E-2</v>
      </c>
      <c r="R1128" s="19">
        <f t="shared" si="126"/>
        <v>3.3410269055687669E-2</v>
      </c>
      <c r="S1128" s="22">
        <v>4.0204343430489287E-2</v>
      </c>
      <c r="T1128" s="19">
        <f t="shared" si="127"/>
        <v>4.2998225459328188E-2</v>
      </c>
      <c r="U1128" s="24">
        <v>4.1584122354169528E-2</v>
      </c>
      <c r="V1128" s="24">
        <f t="shared" si="128"/>
        <v>4.2997271973306717E-2</v>
      </c>
      <c r="W1128" s="23">
        <f t="shared" si="129"/>
        <v>3.5143723540151939E-3</v>
      </c>
      <c r="X1128" s="24">
        <v>4.1304633464578355E-2</v>
      </c>
      <c r="Y1128" s="24">
        <f t="shared" si="130"/>
        <v>4.2997548719392542E-2</v>
      </c>
      <c r="Z1128" s="23">
        <f t="shared" si="131"/>
        <v>3.5143946924356406E-3</v>
      </c>
      <c r="AA1128" s="36"/>
    </row>
    <row r="1129" spans="15:27" ht="13.9" customHeight="1" x14ac:dyDescent="0.3">
      <c r="O1129" s="12">
        <f t="shared" si="125"/>
        <v>93</v>
      </c>
      <c r="P1129" s="13">
        <v>1116</v>
      </c>
      <c r="Q1129" s="22">
        <v>3.3004824311690939E-2</v>
      </c>
      <c r="R1129" s="19">
        <f t="shared" si="126"/>
        <v>3.3410432826663339E-2</v>
      </c>
      <c r="S1129" s="22">
        <v>4.0206843555979033E-2</v>
      </c>
      <c r="T1129" s="19">
        <f t="shared" si="127"/>
        <v>4.2998243453544305E-2</v>
      </c>
      <c r="U1129" s="24">
        <v>4.1585387759824677E-2</v>
      </c>
      <c r="V1129" s="24">
        <f t="shared" si="128"/>
        <v>4.299729669812824E-2</v>
      </c>
      <c r="W1129" s="23">
        <f t="shared" si="129"/>
        <v>3.5143743545626993E-3</v>
      </c>
      <c r="X1129" s="24">
        <v>4.1306149183069074E-2</v>
      </c>
      <c r="Y1129" s="24">
        <f t="shared" si="130"/>
        <v>4.2997571593007322E-2</v>
      </c>
      <c r="Z1129" s="23">
        <f t="shared" si="131"/>
        <v>3.5143965437101077E-3</v>
      </c>
      <c r="AA1129" s="36"/>
    </row>
    <row r="1130" spans="15:27" ht="13.9" customHeight="1" x14ac:dyDescent="0.3">
      <c r="O1130" s="12">
        <f t="shared" si="125"/>
        <v>93.083333333333329</v>
      </c>
      <c r="P1130" s="13">
        <v>1117</v>
      </c>
      <c r="Q1130" s="22">
        <v>3.3005187363594368E-2</v>
      </c>
      <c r="R1130" s="19">
        <f t="shared" si="126"/>
        <v>3.3410595237697072E-2</v>
      </c>
      <c r="S1130" s="22">
        <v>4.0209339227027741E-2</v>
      </c>
      <c r="T1130" s="19">
        <f t="shared" si="127"/>
        <v>4.299826126516626E-2</v>
      </c>
      <c r="U1130" s="24">
        <v>4.1586650923396196E-2</v>
      </c>
      <c r="V1130" s="24">
        <f t="shared" si="128"/>
        <v>4.2997321198866567E-2</v>
      </c>
      <c r="W1130" s="23">
        <f t="shared" si="129"/>
        <v>3.5143763369676062E-3</v>
      </c>
      <c r="X1130" s="24">
        <v>4.1307662210295026E-2</v>
      </c>
      <c r="Y1130" s="24">
        <f t="shared" si="130"/>
        <v>4.2997594252837112E-2</v>
      </c>
      <c r="Z1130" s="23">
        <f t="shared" si="131"/>
        <v>3.514398377687078E-3</v>
      </c>
      <c r="AA1130" s="36"/>
    </row>
    <row r="1131" spans="15:27" ht="13.9" customHeight="1" x14ac:dyDescent="0.3">
      <c r="O1131" s="12">
        <f t="shared" si="125"/>
        <v>93.166666666666671</v>
      </c>
      <c r="P1131" s="13">
        <v>1118</v>
      </c>
      <c r="Q1131" s="22">
        <v>3.3005549911370613E-2</v>
      </c>
      <c r="R1131" s="19">
        <f t="shared" si="126"/>
        <v>3.3410756300949362E-2</v>
      </c>
      <c r="S1131" s="22">
        <v>4.0211830455409325E-2</v>
      </c>
      <c r="T1131" s="19">
        <f t="shared" si="127"/>
        <v>4.2998278896621445E-2</v>
      </c>
      <c r="U1131" s="24">
        <v>4.1587911850696324E-2</v>
      </c>
      <c r="V1131" s="24">
        <f t="shared" si="128"/>
        <v>4.2997345477582494E-2</v>
      </c>
      <c r="W1131" s="23">
        <f t="shared" si="129"/>
        <v>3.5143783014055519E-3</v>
      </c>
      <c r="X1131" s="24">
        <v>4.1309172553281259E-2</v>
      </c>
      <c r="Y1131" s="24">
        <f t="shared" si="130"/>
        <v>4.2997616701866415E-2</v>
      </c>
      <c r="Z1131" s="23">
        <f t="shared" si="131"/>
        <v>3.5144001945228709E-3</v>
      </c>
      <c r="AA1131" s="36"/>
    </row>
    <row r="1132" spans="15:27" ht="13.9" customHeight="1" x14ac:dyDescent="0.3">
      <c r="O1132" s="12">
        <f t="shared" si="125"/>
        <v>93.25</v>
      </c>
      <c r="P1132" s="13">
        <v>1119</v>
      </c>
      <c r="Q1132" s="22">
        <v>3.3005911955167111E-2</v>
      </c>
      <c r="R1132" s="19">
        <f t="shared" si="126"/>
        <v>3.341091602651991E-2</v>
      </c>
      <c r="S1132" s="22">
        <v>4.0214317252857956E-2</v>
      </c>
      <c r="T1132" s="19">
        <f t="shared" si="127"/>
        <v>4.299829634949881E-2</v>
      </c>
      <c r="U1132" s="24">
        <v>4.1589170547518206E-2</v>
      </c>
      <c r="V1132" s="24">
        <f t="shared" si="128"/>
        <v>4.2997369536161845E-2</v>
      </c>
      <c r="W1132" s="23">
        <f t="shared" si="129"/>
        <v>3.5143802480421815E-3</v>
      </c>
      <c r="X1132" s="24">
        <v>4.1310680219030171E-2</v>
      </c>
      <c r="Y1132" s="24">
        <f t="shared" si="130"/>
        <v>4.2997638940917682E-2</v>
      </c>
      <c r="Z1132" s="23">
        <f t="shared" si="131"/>
        <v>3.5144019944570726E-3</v>
      </c>
      <c r="AA1132" s="36"/>
    </row>
    <row r="1133" spans="15:27" ht="13.9" customHeight="1" x14ac:dyDescent="0.3">
      <c r="O1133" s="12">
        <f t="shared" si="125"/>
        <v>93.333333333333329</v>
      </c>
      <c r="P1133" s="13">
        <v>1120</v>
      </c>
      <c r="Q1133" s="22">
        <v>3.3006273495139737E-2</v>
      </c>
      <c r="R1133" s="19">
        <f t="shared" si="126"/>
        <v>3.3411074426171083E-2</v>
      </c>
      <c r="S1133" s="22">
        <v>4.021679963106739E-2</v>
      </c>
      <c r="T1133" s="19">
        <f t="shared" si="127"/>
        <v>4.2998313624616147E-2</v>
      </c>
      <c r="U1133" s="24">
        <v>4.1590427019636111E-2</v>
      </c>
      <c r="V1133" s="24">
        <f t="shared" si="128"/>
        <v>4.2997393377217419E-2</v>
      </c>
      <c r="W1133" s="23">
        <f t="shared" si="129"/>
        <v>3.5143821770282635E-3</v>
      </c>
      <c r="X1133" s="24">
        <v>4.1312185214520181E-2</v>
      </c>
      <c r="Y1133" s="24">
        <f t="shared" si="130"/>
        <v>4.2997660972943885E-2</v>
      </c>
      <c r="Z1133" s="23">
        <f t="shared" si="131"/>
        <v>3.5144037775554082E-3</v>
      </c>
      <c r="AA1133" s="36"/>
    </row>
    <row r="1134" spans="15:27" ht="13.9" customHeight="1" x14ac:dyDescent="0.3">
      <c r="O1134" s="12">
        <f t="shared" si="125"/>
        <v>93.416666666666671</v>
      </c>
      <c r="P1134" s="13">
        <v>1121</v>
      </c>
      <c r="Q1134" s="22">
        <v>3.3006634531454138E-2</v>
      </c>
      <c r="R1134" s="19">
        <f t="shared" si="126"/>
        <v>3.3411231511363715E-2</v>
      </c>
      <c r="S1134" s="22">
        <v>4.0219277601690528E-2</v>
      </c>
      <c r="T1134" s="19">
        <f t="shared" si="127"/>
        <v>4.2998330724949296E-2</v>
      </c>
      <c r="U1134" s="24">
        <v>4.159168127280588E-2</v>
      </c>
      <c r="V1134" s="24">
        <f t="shared" si="128"/>
        <v>4.2997417001596316E-2</v>
      </c>
      <c r="W1134" s="23">
        <f t="shared" si="129"/>
        <v>3.514384088573852E-3</v>
      </c>
      <c r="X1134" s="24">
        <v>4.1313687546707056E-2</v>
      </c>
      <c r="Y1134" s="24">
        <f t="shared" si="130"/>
        <v>4.2997682798851855E-2</v>
      </c>
      <c r="Z1134" s="23">
        <f t="shared" si="131"/>
        <v>3.5144055440547994E-3</v>
      </c>
      <c r="AA1134" s="36"/>
    </row>
    <row r="1135" spans="15:27" ht="13.9" customHeight="1" x14ac:dyDescent="0.3">
      <c r="O1135" s="12">
        <f t="shared" si="125"/>
        <v>93.5</v>
      </c>
      <c r="P1135" s="13">
        <v>1122</v>
      </c>
      <c r="Q1135" s="22">
        <v>3.3006995064285727E-2</v>
      </c>
      <c r="R1135" s="19">
        <f t="shared" si="126"/>
        <v>3.3411387292217709E-2</v>
      </c>
      <c r="S1135" s="22">
        <v>4.0221751176341192E-2</v>
      </c>
      <c r="T1135" s="19">
        <f t="shared" si="127"/>
        <v>4.2998347652288382E-2</v>
      </c>
      <c r="U1135" s="24">
        <v>4.1592933312763813E-2</v>
      </c>
      <c r="V1135" s="24">
        <f t="shared" si="128"/>
        <v>4.2997440411936427E-2</v>
      </c>
      <c r="W1135" s="23">
        <f t="shared" si="129"/>
        <v>3.5143859827462265E-3</v>
      </c>
      <c r="X1135" s="24">
        <v>4.1315187222523031E-2</v>
      </c>
      <c r="Y1135" s="24">
        <f t="shared" si="130"/>
        <v>4.2997704421459559E-2</v>
      </c>
      <c r="Z1135" s="23">
        <f t="shared" si="131"/>
        <v>3.5144072940276327E-3</v>
      </c>
      <c r="AA1135" s="36"/>
    </row>
    <row r="1136" spans="15:27" ht="13.9" customHeight="1" x14ac:dyDescent="0.3">
      <c r="O1136" s="12">
        <f t="shared" si="125"/>
        <v>93.583333333333329</v>
      </c>
      <c r="P1136" s="13">
        <v>1123</v>
      </c>
      <c r="Q1136" s="22">
        <v>3.3007355093818358E-2</v>
      </c>
      <c r="R1136" s="19">
        <f t="shared" si="126"/>
        <v>3.3411541779849951E-2</v>
      </c>
      <c r="S1136" s="22">
        <v>4.0224220366593677E-2</v>
      </c>
      <c r="T1136" s="19">
        <f t="shared" si="127"/>
        <v>4.2998364407479395E-2</v>
      </c>
      <c r="U1136" s="24">
        <v>4.1594183145228003E-2</v>
      </c>
      <c r="V1136" s="24">
        <f t="shared" si="128"/>
        <v>4.2997463609980802E-2</v>
      </c>
      <c r="W1136" s="23">
        <f t="shared" si="129"/>
        <v>3.5143878597574396E-3</v>
      </c>
      <c r="X1136" s="24">
        <v>4.1316684248877689E-2</v>
      </c>
      <c r="Y1136" s="24">
        <f t="shared" si="130"/>
        <v>4.2997725842173207E-2</v>
      </c>
      <c r="Z1136" s="23">
        <f t="shared" si="131"/>
        <v>3.5144090277003937E-3</v>
      </c>
      <c r="AA1136" s="36"/>
    </row>
    <row r="1137" spans="15:27" ht="13.9" customHeight="1" x14ac:dyDescent="0.3">
      <c r="O1137" s="12">
        <f t="shared" si="125"/>
        <v>93.666666666666671</v>
      </c>
      <c r="P1137" s="13">
        <v>1124</v>
      </c>
      <c r="Q1137" s="22">
        <v>3.3007714620244988E-2</v>
      </c>
      <c r="R1137" s="19">
        <f t="shared" si="126"/>
        <v>3.341169498468588E-2</v>
      </c>
      <c r="S1137" s="22">
        <v>4.022668518398187E-2</v>
      </c>
      <c r="T1137" s="19">
        <f t="shared" si="127"/>
        <v>4.2998380992580243E-2</v>
      </c>
      <c r="U1137" s="24">
        <v>4.159543077589789E-2</v>
      </c>
      <c r="V1137" s="24">
        <f t="shared" si="128"/>
        <v>4.2997486598361112E-2</v>
      </c>
      <c r="W1137" s="23">
        <f t="shared" si="129"/>
        <v>3.5143897197469354E-3</v>
      </c>
      <c r="X1137" s="24">
        <v>4.1318178632657743E-2</v>
      </c>
      <c r="Y1137" s="24">
        <f t="shared" si="130"/>
        <v>4.2997747062785585E-2</v>
      </c>
      <c r="Z1137" s="23">
        <f t="shared" si="131"/>
        <v>3.5144107451852147E-3</v>
      </c>
      <c r="AA1137" s="36"/>
    </row>
    <row r="1138" spans="15:27" ht="13.9" customHeight="1" x14ac:dyDescent="0.3">
      <c r="O1138" s="12">
        <f t="shared" si="125"/>
        <v>93.75</v>
      </c>
      <c r="P1138" s="13">
        <v>1125</v>
      </c>
      <c r="Q1138" s="22">
        <v>3.3008073643767233E-2</v>
      </c>
      <c r="R1138" s="19">
        <f t="shared" si="126"/>
        <v>3.3411846918383725E-2</v>
      </c>
      <c r="S1138" s="22">
        <v>4.0229145640000574E-2</v>
      </c>
      <c r="T1138" s="19">
        <f t="shared" si="127"/>
        <v>4.2998397410084044E-2</v>
      </c>
      <c r="U1138" s="24">
        <v>4.1596676210454708E-2</v>
      </c>
      <c r="V1138" s="24">
        <f t="shared" si="128"/>
        <v>4.2997509377678877E-2</v>
      </c>
      <c r="W1138" s="23">
        <f t="shared" si="129"/>
        <v>3.5143915629256561E-3</v>
      </c>
      <c r="X1138" s="24">
        <v>4.1319670380726814E-2</v>
      </c>
      <c r="Y1138" s="24">
        <f t="shared" si="130"/>
        <v>4.2997768085635713E-2</v>
      </c>
      <c r="Z1138" s="23">
        <f t="shared" si="131"/>
        <v>3.5144124466264248E-3</v>
      </c>
      <c r="AA1138" s="36"/>
    </row>
    <row r="1139" spans="15:27" ht="13.9" customHeight="1" x14ac:dyDescent="0.3">
      <c r="O1139" s="12">
        <f t="shared" si="125"/>
        <v>93.833333333333329</v>
      </c>
      <c r="P1139" s="13">
        <v>1126</v>
      </c>
      <c r="Q1139" s="22">
        <v>3.3008432164596258E-2</v>
      </c>
      <c r="R1139" s="19">
        <f t="shared" si="126"/>
        <v>3.3411997590332421E-2</v>
      </c>
      <c r="S1139" s="22">
        <v>4.0231601746105738E-2</v>
      </c>
      <c r="T1139" s="19">
        <f t="shared" si="127"/>
        <v>4.2998413660537471E-2</v>
      </c>
      <c r="U1139" s="24">
        <v>4.1597919454560373E-2</v>
      </c>
      <c r="V1139" s="24">
        <f t="shared" si="128"/>
        <v>4.2997531950902168E-2</v>
      </c>
      <c r="W1139" s="23">
        <f t="shared" si="129"/>
        <v>3.5143933893420076E-3</v>
      </c>
      <c r="X1139" s="24">
        <v>4.1321159499926319E-2</v>
      </c>
      <c r="Y1139" s="24">
        <f t="shared" si="130"/>
        <v>4.2997788912284118E-2</v>
      </c>
      <c r="Z1139" s="23">
        <f t="shared" si="131"/>
        <v>3.5144141322112077E-3</v>
      </c>
      <c r="AA1139" s="36"/>
    </row>
    <row r="1140" spans="15:27" ht="13.9" customHeight="1" x14ac:dyDescent="0.3">
      <c r="O1140" s="12">
        <f t="shared" si="125"/>
        <v>93.916666666666671</v>
      </c>
      <c r="P1140" s="13">
        <v>1127</v>
      </c>
      <c r="Q1140" s="22">
        <v>3.3008790182950998E-2</v>
      </c>
      <c r="R1140" s="19">
        <f t="shared" si="126"/>
        <v>3.3412147011506743E-2</v>
      </c>
      <c r="S1140" s="22">
        <v>4.0234053513713564E-2</v>
      </c>
      <c r="T1140" s="19">
        <f t="shared" si="127"/>
        <v>4.2998429746655686E-2</v>
      </c>
      <c r="U1140" s="24">
        <v>4.1599160513859257E-2</v>
      </c>
      <c r="V1140" s="24">
        <f t="shared" si="128"/>
        <v>4.299755431927843E-2</v>
      </c>
      <c r="W1140" s="23">
        <f t="shared" si="129"/>
        <v>3.5143951992340217E-3</v>
      </c>
      <c r="X1140" s="24">
        <v>4.1322645997074581E-2</v>
      </c>
      <c r="Y1140" s="24">
        <f t="shared" si="130"/>
        <v>4.2997809544444321E-2</v>
      </c>
      <c r="Z1140" s="23">
        <f t="shared" si="131"/>
        <v>3.5144158020645744E-3</v>
      </c>
      <c r="AA1140" s="36"/>
    </row>
    <row r="1141" spans="15:27" ht="13.9" customHeight="1" x14ac:dyDescent="0.3">
      <c r="O1141" s="12">
        <f t="shared" si="125"/>
        <v>94</v>
      </c>
      <c r="P1141" s="13">
        <v>1128</v>
      </c>
      <c r="Q1141" s="22">
        <v>3.3009147699059049E-2</v>
      </c>
      <c r="R1141" s="19">
        <f t="shared" si="126"/>
        <v>3.3412295192333685E-2</v>
      </c>
      <c r="S1141" s="22">
        <v>4.0236500954202059E-2</v>
      </c>
      <c r="T1141" s="19">
        <f t="shared" si="127"/>
        <v>4.2998445669454766E-2</v>
      </c>
      <c r="U1141" s="24">
        <v>4.1600399393976639E-2</v>
      </c>
      <c r="V1141" s="24">
        <f t="shared" si="128"/>
        <v>4.299757648539515E-2</v>
      </c>
      <c r="W1141" s="23">
        <f t="shared" si="129"/>
        <v>3.5143969927016183E-3</v>
      </c>
      <c r="X1141" s="24">
        <v>4.1324129878967497E-2</v>
      </c>
      <c r="Y1141" s="24">
        <f t="shared" si="130"/>
        <v>4.2997829984133817E-2</v>
      </c>
      <c r="Z1141" s="23">
        <f t="shared" si="131"/>
        <v>3.5144174563241926E-3</v>
      </c>
      <c r="AA1141" s="36"/>
    </row>
    <row r="1142" spans="15:27" ht="13.9" customHeight="1" x14ac:dyDescent="0.3">
      <c r="O1142" s="12">
        <f t="shared" si="125"/>
        <v>94.083333333333329</v>
      </c>
      <c r="P1142" s="13">
        <v>1129</v>
      </c>
      <c r="Q1142" s="22">
        <v>3.3009504713156668E-2</v>
      </c>
      <c r="R1142" s="19">
        <f t="shared" si="126"/>
        <v>3.3412442143015308E-2</v>
      </c>
      <c r="S1142" s="22">
        <v>4.0238944078909711E-2</v>
      </c>
      <c r="T1142" s="19">
        <f t="shared" si="127"/>
        <v>4.299846143045194E-2</v>
      </c>
      <c r="U1142" s="24">
        <v>4.1601636100520478E-2</v>
      </c>
      <c r="V1142" s="24">
        <f t="shared" si="128"/>
        <v>4.2997598450090768E-2</v>
      </c>
      <c r="W1142" s="23">
        <f t="shared" si="129"/>
        <v>3.5143987699524093E-3</v>
      </c>
      <c r="X1142" s="24">
        <v>4.1325611152378761E-2</v>
      </c>
      <c r="Y1142" s="24">
        <f t="shared" si="130"/>
        <v>4.2997850232938228E-2</v>
      </c>
      <c r="Z1142" s="23">
        <f t="shared" si="131"/>
        <v>3.5144190951519327E-3</v>
      </c>
      <c r="AA1142" s="36"/>
    </row>
    <row r="1143" spans="15:27" ht="13.9" customHeight="1" x14ac:dyDescent="0.3">
      <c r="O1143" s="12">
        <f t="shared" si="125"/>
        <v>94.166666666666671</v>
      </c>
      <c r="P1143" s="13">
        <v>1130</v>
      </c>
      <c r="Q1143" s="22">
        <v>3.3009861225488102E-2</v>
      </c>
      <c r="R1143" s="19">
        <f t="shared" si="126"/>
        <v>3.3412587874038113E-2</v>
      </c>
      <c r="S1143" s="22">
        <v>4.0241382899136591E-2</v>
      </c>
      <c r="T1143" s="19">
        <f t="shared" si="127"/>
        <v>4.2998477032477167E-2</v>
      </c>
      <c r="U1143" s="24">
        <v>4.1602870639079415E-2</v>
      </c>
      <c r="V1143" s="24">
        <f t="shared" si="128"/>
        <v>4.2997620215925458E-2</v>
      </c>
      <c r="W1143" s="23">
        <f t="shared" si="129"/>
        <v>3.51440053105323E-3</v>
      </c>
      <c r="X1143" s="24">
        <v>4.1327089824059193E-2</v>
      </c>
      <c r="Y1143" s="24">
        <f t="shared" si="130"/>
        <v>4.2997870293083773E-2</v>
      </c>
      <c r="Z1143" s="23">
        <f t="shared" si="131"/>
        <v>3.5144207186745824E-3</v>
      </c>
      <c r="AA1143" s="36"/>
    </row>
    <row r="1144" spans="15:27" ht="13.9" customHeight="1" x14ac:dyDescent="0.3">
      <c r="O1144" s="12">
        <f t="shared" si="125"/>
        <v>94.25</v>
      </c>
      <c r="P1144" s="13">
        <v>1131</v>
      </c>
      <c r="Q1144" s="22">
        <v>3.3010217236306261E-2</v>
      </c>
      <c r="R1144" s="19">
        <f t="shared" si="126"/>
        <v>3.3412732394934919E-2</v>
      </c>
      <c r="S1144" s="22">
        <v>4.0243817426145023E-2</v>
      </c>
      <c r="T1144" s="19">
        <f t="shared" si="127"/>
        <v>4.2998492475724071E-2</v>
      </c>
      <c r="U1144" s="24">
        <v>4.1604103015224769E-2</v>
      </c>
      <c r="V1144" s="24">
        <f t="shared" si="128"/>
        <v>4.2997641784598972E-2</v>
      </c>
      <c r="W1144" s="23">
        <f t="shared" si="129"/>
        <v>3.5144022762096938E-3</v>
      </c>
      <c r="X1144" s="24">
        <v>4.1328565900738079E-2</v>
      </c>
      <c r="Y1144" s="24">
        <f t="shared" si="130"/>
        <v>4.299789016631772E-2</v>
      </c>
      <c r="Z1144" s="23">
        <f t="shared" si="131"/>
        <v>3.5144223270706654E-3</v>
      </c>
      <c r="AA1144" s="36"/>
    </row>
    <row r="1145" spans="15:27" ht="13.9" customHeight="1" x14ac:dyDescent="0.3">
      <c r="O1145" s="12">
        <f t="shared" si="125"/>
        <v>94.333333333333329</v>
      </c>
      <c r="P1145" s="13">
        <v>1132</v>
      </c>
      <c r="Q1145" s="22">
        <v>3.301057274587138E-2</v>
      </c>
      <c r="R1145" s="19">
        <f t="shared" si="126"/>
        <v>3.3412875716257728E-2</v>
      </c>
      <c r="S1145" s="22">
        <v>4.0246247671158031E-2</v>
      </c>
      <c r="T1145" s="19">
        <f t="shared" si="127"/>
        <v>4.299850776222236E-2</v>
      </c>
      <c r="U1145" s="24">
        <v>4.1605333234509434E-2</v>
      </c>
      <c r="V1145" s="24">
        <f t="shared" si="128"/>
        <v>4.2997663157647414E-2</v>
      </c>
      <c r="W1145" s="23">
        <f t="shared" si="129"/>
        <v>3.514404005558136E-3</v>
      </c>
      <c r="X1145" s="24">
        <v>4.1330039389122053E-2</v>
      </c>
      <c r="Y1145" s="24">
        <f t="shared" si="130"/>
        <v>4.2997909853443872E-2</v>
      </c>
      <c r="Z1145" s="23">
        <f t="shared" si="131"/>
        <v>3.5144239204805139E-3</v>
      </c>
      <c r="AA1145" s="36"/>
    </row>
    <row r="1146" spans="15:27" ht="13.9" customHeight="1" x14ac:dyDescent="0.3">
      <c r="O1146" s="12">
        <f t="shared" si="125"/>
        <v>94.416666666666671</v>
      </c>
      <c r="P1146" s="13">
        <v>1133</v>
      </c>
      <c r="Q1146" s="22">
        <v>3.3010927754452135E-2</v>
      </c>
      <c r="R1146" s="19">
        <f t="shared" si="126"/>
        <v>3.3413017848252791E-2</v>
      </c>
      <c r="S1146" s="22">
        <v>4.0248673645360666E-2</v>
      </c>
      <c r="T1146" s="19">
        <f t="shared" si="127"/>
        <v>4.2998522894032165E-2</v>
      </c>
      <c r="U1146" s="24">
        <v>4.1606561302468315E-2</v>
      </c>
      <c r="V1146" s="24">
        <f t="shared" si="128"/>
        <v>4.2997684337360731E-2</v>
      </c>
      <c r="W1146" s="23">
        <f t="shared" si="129"/>
        <v>3.5144057192213474E-3</v>
      </c>
      <c r="X1146" s="24">
        <v>4.1331510295895324E-2</v>
      </c>
      <c r="Y1146" s="24">
        <f t="shared" si="130"/>
        <v>4.2997929357101228E-2</v>
      </c>
      <c r="Z1146" s="23">
        <f t="shared" si="131"/>
        <v>3.5144254989685209E-3</v>
      </c>
      <c r="AA1146" s="36"/>
    </row>
    <row r="1147" spans="15:27" ht="13.9" customHeight="1" x14ac:dyDescent="0.3">
      <c r="O1147" s="12">
        <f t="shared" si="125"/>
        <v>94.5</v>
      </c>
      <c r="P1147" s="13">
        <v>1134</v>
      </c>
      <c r="Q1147" s="22">
        <v>3.3011282262325192E-2</v>
      </c>
      <c r="R1147" s="19">
        <f t="shared" si="126"/>
        <v>3.3413158799567855E-2</v>
      </c>
      <c r="S1147" s="22">
        <v>4.0251095359900457E-2</v>
      </c>
      <c r="T1147" s="19">
        <f t="shared" si="127"/>
        <v>4.2998537872222409E-2</v>
      </c>
      <c r="U1147" s="24">
        <v>4.1607787224618553E-2</v>
      </c>
      <c r="V1147" s="24">
        <f t="shared" si="128"/>
        <v>4.2997705324348878E-2</v>
      </c>
      <c r="W1147" s="23">
        <f t="shared" si="129"/>
        <v>3.5144074173834028E-3</v>
      </c>
      <c r="X1147" s="24">
        <v>4.1332978627720562E-2</v>
      </c>
      <c r="Y1147" s="24">
        <f t="shared" si="130"/>
        <v>4.2997948678918485E-2</v>
      </c>
      <c r="Z1147" s="23">
        <f t="shared" si="131"/>
        <v>3.5144270627460727E-3</v>
      </c>
      <c r="AA1147" s="36"/>
    </row>
    <row r="1148" spans="15:27" ht="13.9" customHeight="1" x14ac:dyDescent="0.3">
      <c r="O1148" s="12">
        <f t="shared" si="125"/>
        <v>94.583333333333329</v>
      </c>
      <c r="P1148" s="13">
        <v>1135</v>
      </c>
      <c r="Q1148" s="22">
        <v>3.3011636269774103E-2</v>
      </c>
      <c r="R1148" s="19">
        <f t="shared" si="126"/>
        <v>3.3413298581373985E-2</v>
      </c>
      <c r="S1148" s="22">
        <v>4.0253512825886739E-2</v>
      </c>
      <c r="T1148" s="19">
        <f t="shared" si="127"/>
        <v>4.2998552699099024E-2</v>
      </c>
      <c r="U1148" s="24">
        <v>4.1609011006458863E-2</v>
      </c>
      <c r="V1148" s="24">
        <f t="shared" si="128"/>
        <v>4.2997726121936086E-2</v>
      </c>
      <c r="W1148" s="23">
        <f t="shared" si="129"/>
        <v>3.5144091000929301E-3</v>
      </c>
      <c r="X1148" s="24">
        <v>4.1334444391238234E-2</v>
      </c>
      <c r="Y1148" s="24">
        <f t="shared" si="130"/>
        <v>4.2997967820463057E-2</v>
      </c>
      <c r="Z1148" s="23">
        <f t="shared" si="131"/>
        <v>3.5144286119439538E-3</v>
      </c>
      <c r="AA1148" s="36"/>
    </row>
    <row r="1149" spans="15:27" ht="13.9" customHeight="1" x14ac:dyDescent="0.3">
      <c r="O1149" s="12">
        <f t="shared" si="125"/>
        <v>94.666666666666671</v>
      </c>
      <c r="P1149" s="13">
        <v>1136</v>
      </c>
      <c r="Q1149" s="22">
        <v>3.3011989777091078E-2</v>
      </c>
      <c r="R1149" s="19">
        <f t="shared" si="126"/>
        <v>3.3413437202598262E-2</v>
      </c>
      <c r="S1149" s="22">
        <v>4.0255926054391544E-2</v>
      </c>
      <c r="T1149" s="19">
        <f t="shared" si="127"/>
        <v>4.2998567374629815E-2</v>
      </c>
      <c r="U1149" s="24">
        <v>4.161023265347108E-2</v>
      </c>
      <c r="V1149" s="24">
        <f t="shared" si="128"/>
        <v>4.299774673068435E-2</v>
      </c>
      <c r="W1149" s="23">
        <f t="shared" si="129"/>
        <v>3.5144107676163827E-3</v>
      </c>
      <c r="X1149" s="24">
        <v>4.1335907593067267E-2</v>
      </c>
      <c r="Y1149" s="24">
        <f t="shared" si="130"/>
        <v>4.299798678337674E-2</v>
      </c>
      <c r="Z1149" s="23">
        <f t="shared" si="131"/>
        <v>3.5144301466878414E-3</v>
      </c>
      <c r="AA1149" s="36"/>
    </row>
    <row r="1150" spans="15:27" ht="13.9" customHeight="1" x14ac:dyDescent="0.3">
      <c r="O1150" s="12">
        <f t="shared" si="125"/>
        <v>94.75</v>
      </c>
      <c r="P1150" s="13">
        <v>1137</v>
      </c>
      <c r="Q1150" s="22">
        <v>3.301234278457521E-2</v>
      </c>
      <c r="R1150" s="19">
        <f t="shared" si="126"/>
        <v>3.3413574673275992E-2</v>
      </c>
      <c r="S1150" s="22">
        <v>4.0258335056448269E-2</v>
      </c>
      <c r="T1150" s="19">
        <f t="shared" si="127"/>
        <v>4.2998581902009336E-2</v>
      </c>
      <c r="U1150" s="24">
        <v>4.161145217111839E-2</v>
      </c>
      <c r="V1150" s="24">
        <f t="shared" si="128"/>
        <v>4.2997767152473276E-2</v>
      </c>
      <c r="W1150" s="23">
        <f t="shared" si="129"/>
        <v>3.5144124199990578E-3</v>
      </c>
      <c r="X1150" s="24">
        <v>4.1337368239804384E-2</v>
      </c>
      <c r="Y1150" s="24">
        <f t="shared" si="130"/>
        <v>4.299800556883282E-2</v>
      </c>
      <c r="Z1150" s="23">
        <f t="shared" si="131"/>
        <v>3.5144316671091858E-3</v>
      </c>
      <c r="AA1150" s="36"/>
    </row>
    <row r="1151" spans="15:27" ht="13.9" customHeight="1" x14ac:dyDescent="0.3">
      <c r="O1151" s="12">
        <f t="shared" si="125"/>
        <v>94.833333333333329</v>
      </c>
      <c r="P1151" s="13">
        <v>1138</v>
      </c>
      <c r="Q1151" s="22">
        <v>3.3012695292533145E-2</v>
      </c>
      <c r="R1151" s="19">
        <f t="shared" si="126"/>
        <v>3.3413711002634683E-2</v>
      </c>
      <c r="S1151" s="22">
        <v>4.0260739843054116E-2</v>
      </c>
      <c r="T1151" s="19">
        <f t="shared" si="127"/>
        <v>4.2998596282091128E-2</v>
      </c>
      <c r="U1151" s="24">
        <v>4.1612669564846438E-2</v>
      </c>
      <c r="V1151" s="24">
        <f t="shared" si="128"/>
        <v>4.2997787389437825E-2</v>
      </c>
      <c r="W1151" s="23">
        <f t="shared" si="129"/>
        <v>3.5144140573912797E-3</v>
      </c>
      <c r="X1151" s="24">
        <v>4.1338826338024326E-2</v>
      </c>
      <c r="Y1151" s="24">
        <f t="shared" si="130"/>
        <v>4.2998024179787153E-2</v>
      </c>
      <c r="Z1151" s="23">
        <f t="shared" si="131"/>
        <v>3.5144331733023559E-3</v>
      </c>
      <c r="AA1151" s="36"/>
    </row>
    <row r="1152" spans="15:27" ht="13.9" customHeight="1" x14ac:dyDescent="0.3">
      <c r="O1152" s="12">
        <f t="shared" si="125"/>
        <v>94.916666666666671</v>
      </c>
      <c r="P1152" s="13">
        <v>1139</v>
      </c>
      <c r="Q1152" s="22">
        <v>3.3013047301278853E-2</v>
      </c>
      <c r="R1152" s="19">
        <f t="shared" si="126"/>
        <v>3.341384620027199E-2</v>
      </c>
      <c r="S1152" s="22">
        <v>4.0263140425168764E-2</v>
      </c>
      <c r="T1152" s="19">
        <f t="shared" si="127"/>
        <v>4.299861051578957E-2</v>
      </c>
      <c r="U1152" s="24">
        <v>4.161388484008377E-2</v>
      </c>
      <c r="V1152" s="24">
        <f t="shared" si="128"/>
        <v>4.2997807442543223E-2</v>
      </c>
      <c r="W1152" s="23">
        <f t="shared" si="129"/>
        <v>3.5144156799646886E-3</v>
      </c>
      <c r="X1152" s="24">
        <v>4.1340281894281405E-2</v>
      </c>
      <c r="Y1152" s="24">
        <f t="shared" si="130"/>
        <v>4.2998042616470222E-2</v>
      </c>
      <c r="Z1152" s="23">
        <f t="shared" si="131"/>
        <v>3.5144346655040515E-3</v>
      </c>
      <c r="AA1152" s="36"/>
    </row>
    <row r="1153" spans="15:27" ht="13.9" customHeight="1" x14ac:dyDescent="0.3">
      <c r="O1153" s="12">
        <f t="shared" si="125"/>
        <v>95</v>
      </c>
      <c r="P1153" s="13">
        <v>1140</v>
      </c>
      <c r="Q1153" s="22">
        <v>3.301339881113341E-2</v>
      </c>
      <c r="R1153" s="19">
        <f t="shared" si="126"/>
        <v>3.3413980275756705E-2</v>
      </c>
      <c r="S1153" s="22">
        <v>4.026553681371392E-2</v>
      </c>
      <c r="T1153" s="19">
        <f t="shared" si="127"/>
        <v>4.2998624606076508E-2</v>
      </c>
      <c r="U1153" s="24">
        <v>4.1615098002240503E-2</v>
      </c>
      <c r="V1153" s="24">
        <f t="shared" si="128"/>
        <v>4.2997827314357862E-2</v>
      </c>
      <c r="W1153" s="23">
        <f t="shared" si="129"/>
        <v>3.5144172877965563E-3</v>
      </c>
      <c r="X1153" s="24">
        <v>4.1341734915107065E-2</v>
      </c>
      <c r="Y1153" s="24">
        <f t="shared" si="130"/>
        <v>4.2998060881149103E-2</v>
      </c>
      <c r="Z1153" s="23">
        <f t="shared" si="131"/>
        <v>3.5144361437329241E-3</v>
      </c>
      <c r="AA1153" s="36"/>
    </row>
    <row r="1154" spans="15:27" ht="13.9" customHeight="1" x14ac:dyDescent="0.3">
      <c r="O1154" s="12">
        <f t="shared" si="125"/>
        <v>95.083333333333329</v>
      </c>
      <c r="P1154" s="13">
        <v>1141</v>
      </c>
      <c r="Q1154" s="22">
        <v>3.3013749822425442E-2</v>
      </c>
      <c r="R1154" s="19">
        <f t="shared" si="126"/>
        <v>3.3414113238100285E-2</v>
      </c>
      <c r="S1154" s="22">
        <v>4.0267929019575988E-2</v>
      </c>
      <c r="T1154" s="19">
        <f t="shared" si="127"/>
        <v>4.2998638552290913E-2</v>
      </c>
      <c r="U1154" s="24">
        <v>4.1616309056710321E-2</v>
      </c>
      <c r="V1154" s="24">
        <f t="shared" si="128"/>
        <v>4.299784700567133E-2</v>
      </c>
      <c r="W1154" s="23">
        <f t="shared" si="129"/>
        <v>3.5144188810927179E-3</v>
      </c>
      <c r="X1154" s="24">
        <v>4.1343185407011873E-2</v>
      </c>
      <c r="Y1154" s="24">
        <f t="shared" si="130"/>
        <v>4.2998078975220011E-2</v>
      </c>
      <c r="Z1154" s="23">
        <f t="shared" si="131"/>
        <v>3.5144376081706064E-3</v>
      </c>
      <c r="AA1154" s="36"/>
    </row>
    <row r="1155" spans="15:27" ht="13.9" customHeight="1" x14ac:dyDescent="0.3">
      <c r="O1155" s="12">
        <f t="shared" si="125"/>
        <v>95.166666666666671</v>
      </c>
      <c r="P1155" s="13">
        <v>1142</v>
      </c>
      <c r="Q1155" s="22">
        <v>3.3014100335489793E-2</v>
      </c>
      <c r="R1155" s="19">
        <f t="shared" si="126"/>
        <v>3.3414245096770268E-2</v>
      </c>
      <c r="S1155" s="22">
        <v>4.0270317053602511E-2</v>
      </c>
      <c r="T1155" s="19">
        <f t="shared" si="127"/>
        <v>4.299865235789313E-2</v>
      </c>
      <c r="U1155" s="24">
        <v>4.1617518008868482E-2</v>
      </c>
      <c r="V1155" s="24">
        <f t="shared" si="128"/>
        <v>4.2997866518946992E-2</v>
      </c>
      <c r="W1155" s="23">
        <f t="shared" si="129"/>
        <v>3.5144204599164564E-3</v>
      </c>
      <c r="X1155" s="24">
        <v>4.1344633376484863E-2</v>
      </c>
      <c r="Y1155" s="24">
        <f t="shared" si="130"/>
        <v>4.2998096901263327E-2</v>
      </c>
      <c r="Z1155" s="23">
        <f t="shared" si="131"/>
        <v>3.5144390589292307E-3</v>
      </c>
      <c r="AA1155" s="36"/>
    </row>
    <row r="1156" spans="15:27" ht="13.9" customHeight="1" x14ac:dyDescent="0.3">
      <c r="O1156" s="12">
        <f t="shared" si="125"/>
        <v>95.25</v>
      </c>
      <c r="P1156" s="13">
        <v>1143</v>
      </c>
      <c r="Q1156" s="22">
        <v>3.3014450350668856E-2</v>
      </c>
      <c r="R1156" s="19">
        <f t="shared" si="126"/>
        <v>3.3414375861140932E-2</v>
      </c>
      <c r="S1156" s="22">
        <v>4.0272700926606175E-2</v>
      </c>
      <c r="T1156" s="19">
        <f t="shared" si="127"/>
        <v>4.2998666023805088E-2</v>
      </c>
      <c r="U1156" s="24">
        <v>4.1618724864073586E-2</v>
      </c>
      <c r="V1156" s="24">
        <f t="shared" si="128"/>
        <v>4.2997885855670548E-2</v>
      </c>
      <c r="W1156" s="23">
        <f t="shared" si="129"/>
        <v>3.5144220244653912E-3</v>
      </c>
      <c r="X1156" s="24">
        <v>4.1346078829994415E-2</v>
      </c>
      <c r="Y1156" s="24">
        <f t="shared" si="130"/>
        <v>4.2998114659635434E-2</v>
      </c>
      <c r="Z1156" s="23">
        <f t="shared" si="131"/>
        <v>3.5144404962155207E-3</v>
      </c>
      <c r="AA1156" s="36"/>
    </row>
    <row r="1157" spans="15:27" ht="13.9" customHeight="1" x14ac:dyDescent="0.3">
      <c r="O1157" s="12">
        <f t="shared" si="125"/>
        <v>95.333333333333329</v>
      </c>
      <c r="P1157" s="13">
        <v>1144</v>
      </c>
      <c r="Q1157" s="22">
        <v>3.3014799868311906E-2</v>
      </c>
      <c r="R1157" s="19">
        <f t="shared" si="126"/>
        <v>3.3414505539473893E-2</v>
      </c>
      <c r="S1157" s="22">
        <v>4.0275080649362804E-2</v>
      </c>
      <c r="T1157" s="19">
        <f t="shared" si="127"/>
        <v>4.2998679550301011E-2</v>
      </c>
      <c r="U1157" s="24">
        <v>4.161992962766714E-2</v>
      </c>
      <c r="V1157" s="24">
        <f t="shared" si="128"/>
        <v>4.2997905015784488E-2</v>
      </c>
      <c r="W1157" s="23">
        <f t="shared" si="129"/>
        <v>3.5144235748585384E-3</v>
      </c>
      <c r="X1157" s="24">
        <v>4.134752177398715E-2</v>
      </c>
      <c r="Y1157" s="24">
        <f t="shared" si="130"/>
        <v>4.2998132252004106E-2</v>
      </c>
      <c r="Z1157" s="23">
        <f t="shared" si="131"/>
        <v>3.5144419200583421E-3</v>
      </c>
      <c r="AA1157" s="36"/>
    </row>
    <row r="1158" spans="15:27" ht="13.9" customHeight="1" x14ac:dyDescent="0.3">
      <c r="O1158" s="12">
        <f t="shared" si="125"/>
        <v>95.416666666666671</v>
      </c>
      <c r="P1158" s="13">
        <v>1145</v>
      </c>
      <c r="Q1158" s="22">
        <v>3.3015148888774215E-2</v>
      </c>
      <c r="R1158" s="19">
        <f t="shared" si="126"/>
        <v>3.3414634141647914E-2</v>
      </c>
      <c r="S1158" s="22">
        <v>4.0277456232610698E-2</v>
      </c>
      <c r="T1158" s="19">
        <f t="shared" si="127"/>
        <v>4.2998692940039218E-2</v>
      </c>
      <c r="U1158" s="24">
        <v>4.1621132304971553E-2</v>
      </c>
      <c r="V1158" s="24">
        <f t="shared" si="128"/>
        <v>4.2997924003655985E-2</v>
      </c>
      <c r="W1158" s="23">
        <f t="shared" si="129"/>
        <v>3.514425111091235E-3</v>
      </c>
      <c r="X1158" s="24">
        <v>4.134896221488793E-2</v>
      </c>
      <c r="Y1158" s="24">
        <f t="shared" si="130"/>
        <v>4.2998149680506081E-2</v>
      </c>
      <c r="Z1158" s="23">
        <f t="shared" si="131"/>
        <v>3.5144433305911438E-3</v>
      </c>
      <c r="AA1158" s="36"/>
    </row>
    <row r="1159" spans="15:27" ht="13.9" customHeight="1" x14ac:dyDescent="0.3">
      <c r="O1159" s="12">
        <f t="shared" si="125"/>
        <v>95.5</v>
      </c>
      <c r="P1159" s="13">
        <v>1146</v>
      </c>
      <c r="Q1159" s="22">
        <v>3.3015497412418382E-2</v>
      </c>
      <c r="R1159" s="19">
        <f t="shared" si="126"/>
        <v>3.3414761676116012E-2</v>
      </c>
      <c r="S1159" s="22">
        <v>4.0279827687053293E-2</v>
      </c>
      <c r="T1159" s="19">
        <f t="shared" si="127"/>
        <v>4.2998706194023351E-2</v>
      </c>
      <c r="U1159" s="24">
        <v>4.1622332901294579E-2</v>
      </c>
      <c r="V1159" s="24">
        <f t="shared" si="128"/>
        <v>4.2997942818751245E-2</v>
      </c>
      <c r="W1159" s="23">
        <f t="shared" si="129"/>
        <v>3.5144266335138674E-3</v>
      </c>
      <c r="X1159" s="24">
        <v>4.135040015910163E-2</v>
      </c>
      <c r="Y1159" s="24">
        <f t="shared" si="130"/>
        <v>4.2998166946450311E-2</v>
      </c>
      <c r="Z1159" s="23">
        <f t="shared" si="131"/>
        <v>3.5144447279851221E-3</v>
      </c>
      <c r="AA1159" s="36"/>
    </row>
    <row r="1160" spans="15:27" ht="13.9" customHeight="1" x14ac:dyDescent="0.3">
      <c r="O1160" s="12">
        <f t="shared" si="125"/>
        <v>95.583333333333329</v>
      </c>
      <c r="P1160" s="13">
        <v>1147</v>
      </c>
      <c r="Q1160" s="22">
        <v>3.3015845439613001E-2</v>
      </c>
      <c r="R1160" s="19">
        <f t="shared" si="126"/>
        <v>3.3414888152413225E-2</v>
      </c>
      <c r="S1160" s="22">
        <v>4.0282195023357392E-2</v>
      </c>
      <c r="T1160" s="19">
        <f t="shared" si="127"/>
        <v>4.2998719313859013E-2</v>
      </c>
      <c r="U1160" s="24">
        <v>4.1623531421925319E-2</v>
      </c>
      <c r="V1160" s="24">
        <f t="shared" si="128"/>
        <v>4.299796146392687E-2</v>
      </c>
      <c r="W1160" s="23">
        <f t="shared" si="129"/>
        <v>3.514428142083359E-3</v>
      </c>
      <c r="X1160" s="24">
        <v>4.1351835613011811E-2</v>
      </c>
      <c r="Y1160" s="24">
        <f t="shared" si="130"/>
        <v>4.2998184051173505E-2</v>
      </c>
      <c r="Z1160" s="23">
        <f t="shared" si="131"/>
        <v>3.5144461123455262E-3</v>
      </c>
      <c r="AA1160" s="36"/>
    </row>
    <row r="1161" spans="15:27" ht="13.9" customHeight="1" x14ac:dyDescent="0.3">
      <c r="O1161" s="12">
        <f t="shared" si="125"/>
        <v>95.666666666666671</v>
      </c>
      <c r="P1161" s="13">
        <v>1148</v>
      </c>
      <c r="Q1161" s="22">
        <v>3.3016192970733993E-2</v>
      </c>
      <c r="R1161" s="19">
        <f t="shared" si="126"/>
        <v>3.3415013578045771E-2</v>
      </c>
      <c r="S1161" s="22">
        <v>4.0284558252154046E-2</v>
      </c>
      <c r="T1161" s="19">
        <f t="shared" si="127"/>
        <v>4.2998732300288944E-2</v>
      </c>
      <c r="U1161" s="24">
        <v>4.1624727872136447E-2</v>
      </c>
      <c r="V1161" s="24">
        <f t="shared" si="128"/>
        <v>4.299797993925325E-2</v>
      </c>
      <c r="W1161" s="23">
        <f t="shared" si="129"/>
        <v>3.5144296370290817E-3</v>
      </c>
      <c r="X1161" s="24">
        <v>4.1353268582980718E-2</v>
      </c>
      <c r="Y1161" s="24">
        <f t="shared" si="130"/>
        <v>4.2998200996171132E-2</v>
      </c>
      <c r="Z1161" s="23">
        <f t="shared" si="131"/>
        <v>3.5144474837796036E-3</v>
      </c>
      <c r="AA1161" s="36"/>
    </row>
    <row r="1162" spans="15:27" ht="13.9" customHeight="1" x14ac:dyDescent="0.3">
      <c r="O1162" s="12">
        <f t="shared" si="125"/>
        <v>95.75</v>
      </c>
      <c r="P1162" s="13">
        <v>1149</v>
      </c>
      <c r="Q1162" s="22">
        <v>3.3016540006162165E-2</v>
      </c>
      <c r="R1162" s="19">
        <f t="shared" si="126"/>
        <v>3.3415137963595409E-2</v>
      </c>
      <c r="S1162" s="22">
        <v>4.0286917384038112E-2</v>
      </c>
      <c r="T1162" s="19">
        <f t="shared" si="127"/>
        <v>4.2998745154471107E-2</v>
      </c>
      <c r="U1162" s="24">
        <v>4.1625922257182646E-2</v>
      </c>
      <c r="V1162" s="24">
        <f t="shared" si="128"/>
        <v>4.2997998247084057E-2</v>
      </c>
      <c r="W1162" s="23">
        <f t="shared" si="129"/>
        <v>3.5144311183563648E-3</v>
      </c>
      <c r="X1162" s="24">
        <v>4.1354699075350165E-2</v>
      </c>
      <c r="Y1162" s="24">
        <f t="shared" si="130"/>
        <v>4.299821778252233E-2</v>
      </c>
      <c r="Z1162" s="23">
        <f t="shared" si="131"/>
        <v>3.5144488424068143E-3</v>
      </c>
      <c r="AA1162" s="36"/>
    </row>
    <row r="1163" spans="15:27" ht="13.9" customHeight="1" x14ac:dyDescent="0.3">
      <c r="O1163" s="12">
        <f t="shared" si="125"/>
        <v>95.833333333333329</v>
      </c>
      <c r="P1163" s="13">
        <v>1150</v>
      </c>
      <c r="Q1163" s="22">
        <v>3.3016886546286317E-2</v>
      </c>
      <c r="R1163" s="19">
        <f t="shared" si="126"/>
        <v>3.3415261315449474E-2</v>
      </c>
      <c r="S1163" s="22">
        <v>4.0289272429568701E-2</v>
      </c>
      <c r="T1163" s="19">
        <f t="shared" si="127"/>
        <v>4.2998757879573413E-2</v>
      </c>
      <c r="U1163" s="24">
        <v>4.1627114582302394E-2</v>
      </c>
      <c r="V1163" s="24">
        <f t="shared" si="128"/>
        <v>4.2998016390130678E-2</v>
      </c>
      <c r="W1163" s="23">
        <f t="shared" si="129"/>
        <v>3.5144325862541681E-3</v>
      </c>
      <c r="X1163" s="24">
        <v>4.1356127096440654E-2</v>
      </c>
      <c r="Y1163" s="24">
        <f t="shared" si="130"/>
        <v>4.2998234413477832E-2</v>
      </c>
      <c r="Z1163" s="23">
        <f t="shared" si="131"/>
        <v>3.5144501883139778E-3</v>
      </c>
      <c r="AA1163" s="36"/>
    </row>
    <row r="1164" spans="15:27" ht="13.9" customHeight="1" x14ac:dyDescent="0.3">
      <c r="O1164" s="12">
        <f t="shared" si="125"/>
        <v>95.916666666666671</v>
      </c>
      <c r="P1164" s="13">
        <v>1151</v>
      </c>
      <c r="Q1164" s="22">
        <v>3.301723259149969E-2</v>
      </c>
      <c r="R1164" s="19">
        <f t="shared" si="126"/>
        <v>3.3415383644172403E-2</v>
      </c>
      <c r="S1164" s="22">
        <v>4.0291623399270948E-2</v>
      </c>
      <c r="T1164" s="19">
        <f t="shared" si="127"/>
        <v>4.2998770474776293E-2</v>
      </c>
      <c r="U1164" s="24">
        <v>4.1628304852718179E-2</v>
      </c>
      <c r="V1164" s="24">
        <f t="shared" si="128"/>
        <v>4.299803436771632E-2</v>
      </c>
      <c r="W1164" s="23">
        <f t="shared" si="129"/>
        <v>3.5144340409396513E-3</v>
      </c>
      <c r="X1164" s="24">
        <v>4.1357552652553364E-2</v>
      </c>
      <c r="Y1164" s="24">
        <f t="shared" si="130"/>
        <v>4.299825088830378E-2</v>
      </c>
      <c r="Z1164" s="23">
        <f t="shared" si="131"/>
        <v>3.5144515217617744E-3</v>
      </c>
      <c r="AA1164" s="36"/>
    </row>
    <row r="1165" spans="15:27" ht="13.9" customHeight="1" x14ac:dyDescent="0.3">
      <c r="O1165" s="12">
        <f t="shared" si="125"/>
        <v>96</v>
      </c>
      <c r="P1165" s="13">
        <v>1152</v>
      </c>
      <c r="Q1165" s="22">
        <v>3.3017578142203075E-2</v>
      </c>
      <c r="R1165" s="19">
        <f t="shared" si="126"/>
        <v>3.3415504957191589E-2</v>
      </c>
      <c r="S1165" s="22">
        <v>4.0293970303632687E-2</v>
      </c>
      <c r="T1165" s="19">
        <f t="shared" si="127"/>
        <v>4.2998782942575975E-2</v>
      </c>
      <c r="U1165" s="24">
        <v>4.1629493073634061E-2</v>
      </c>
      <c r="V1165" s="24">
        <f t="shared" si="128"/>
        <v>4.2998052182713575E-2</v>
      </c>
      <c r="W1165" s="23">
        <f t="shared" si="129"/>
        <v>3.5144354823586355E-3</v>
      </c>
      <c r="X1165" s="24">
        <v>4.1358975749967275E-2</v>
      </c>
      <c r="Y1165" s="24">
        <f t="shared" si="130"/>
        <v>4.2998267209688912E-2</v>
      </c>
      <c r="Z1165" s="23">
        <f t="shared" si="131"/>
        <v>3.5144528426913624E-3</v>
      </c>
      <c r="AA1165" s="36"/>
    </row>
    <row r="1166" spans="15:27" ht="13.9" customHeight="1" x14ac:dyDescent="0.3">
      <c r="O1166" s="12">
        <f t="shared" ref="O1166:O1214" si="132">P1166/12</f>
        <v>96.083333333333329</v>
      </c>
      <c r="P1166" s="13">
        <v>1153</v>
      </c>
      <c r="Q1166" s="22">
        <v>3.3017923198802146E-2</v>
      </c>
      <c r="R1166" s="19">
        <f t="shared" ref="R1166:R1213" si="133">(1+Q1167)^P1167/(1+Q1166)^P1166-1</f>
        <v>3.3415625263079063E-2</v>
      </c>
      <c r="S1166" s="22">
        <v>4.0296313153107777E-2</v>
      </c>
      <c r="T1166" s="19">
        <f t="shared" ref="T1166:T1213" si="134">(1+S1167)^P1167/(1+S1166)^P1166-1</f>
        <v>4.2998795283551772E-2</v>
      </c>
      <c r="U1166" s="24">
        <v>4.1630679250238112E-2</v>
      </c>
      <c r="V1166" s="24">
        <f t="shared" ref="V1166:V1213" si="135">(1+U1167)^P1167/(1+U1166)^P1166-1</f>
        <v>4.2998069835991304E-2</v>
      </c>
      <c r="W1166" s="23">
        <f t="shared" si="129"/>
        <v>3.5144369107416029E-3</v>
      </c>
      <c r="X1166" s="24">
        <v>4.1360396394941823E-2</v>
      </c>
      <c r="Y1166" s="24">
        <f t="shared" si="130"/>
        <v>4.2998283378555602E-2</v>
      </c>
      <c r="Z1166" s="23">
        <f t="shared" si="131"/>
        <v>3.5144541513181249E-3</v>
      </c>
      <c r="AA1166" s="36"/>
    </row>
    <row r="1167" spans="15:27" ht="13.9" customHeight="1" x14ac:dyDescent="0.3">
      <c r="O1167" s="12">
        <f t="shared" si="132"/>
        <v>96.166666666666671</v>
      </c>
      <c r="P1167" s="13">
        <v>1154</v>
      </c>
      <c r="Q1167" s="22">
        <v>3.3018267761709019E-2</v>
      </c>
      <c r="R1167" s="19">
        <f t="shared" si="133"/>
        <v>3.3415744570514105E-2</v>
      </c>
      <c r="S1167" s="22">
        <v>4.0298651958114107E-2</v>
      </c>
      <c r="T1167" s="19">
        <f t="shared" si="134"/>
        <v>4.299880750002405E-2</v>
      </c>
      <c r="U1167" s="24">
        <v>4.1631863387701529E-2</v>
      </c>
      <c r="V1167" s="24">
        <f t="shared" si="135"/>
        <v>4.2998087329665813E-2</v>
      </c>
      <c r="W1167" s="23">
        <f t="shared" ref="W1167:W1213" si="136">(1+V1166)^(1/12)-1</f>
        <v>3.5144383261580536E-3</v>
      </c>
      <c r="X1167" s="24">
        <v>4.1361814593715573E-2</v>
      </c>
      <c r="Y1167" s="24">
        <f t="shared" ref="Y1167:Y1213" si="137">(1+X1168)^P1168/(1+X1167)^P1167-1</f>
        <v>4.2998299397281059E-2</v>
      </c>
      <c r="Z1167" s="23">
        <f t="shared" ref="Z1167:Z1213" si="138">(1+Y1166)^(1/12)-1</f>
        <v>3.5144554477162249E-3</v>
      </c>
      <c r="AA1167" s="36"/>
    </row>
    <row r="1168" spans="15:27" ht="13.9" customHeight="1" x14ac:dyDescent="0.3">
      <c r="O1168" s="12">
        <f t="shared" si="132"/>
        <v>96.25</v>
      </c>
      <c r="P1168" s="13">
        <v>1155</v>
      </c>
      <c r="Q1168" s="22">
        <v>3.3018611831341582E-2</v>
      </c>
      <c r="R1168" s="19">
        <f t="shared" si="133"/>
        <v>3.3415862887858028E-2</v>
      </c>
      <c r="S1168" s="22">
        <v>4.0300986729035815E-2</v>
      </c>
      <c r="T1168" s="19">
        <f t="shared" si="134"/>
        <v>4.2998819592326099E-2</v>
      </c>
      <c r="U1168" s="24">
        <v>4.1633045491179299E-2</v>
      </c>
      <c r="V1168" s="24">
        <f t="shared" si="135"/>
        <v>4.2998104665040282E-2</v>
      </c>
      <c r="W1168" s="23">
        <f t="shared" si="136"/>
        <v>3.5144397287776297E-3</v>
      </c>
      <c r="X1168" s="24">
        <v>4.1363230352507552E-2</v>
      </c>
      <c r="Y1168" s="24">
        <f t="shared" si="137"/>
        <v>4.2998315265840636E-2</v>
      </c>
      <c r="Z1168" s="23">
        <f t="shared" si="138"/>
        <v>3.5144567320761766E-3</v>
      </c>
      <c r="AA1168" s="36"/>
    </row>
    <row r="1169" spans="15:27" ht="13.9" customHeight="1" x14ac:dyDescent="0.3">
      <c r="O1169" s="12">
        <f t="shared" si="132"/>
        <v>96.333333333333329</v>
      </c>
      <c r="P1169" s="13">
        <v>1156</v>
      </c>
      <c r="Q1169" s="22">
        <v>3.3018955408123496E-2</v>
      </c>
      <c r="R1169" s="19">
        <f t="shared" si="133"/>
        <v>3.3415980222384789E-2</v>
      </c>
      <c r="S1169" s="22">
        <v>4.030331747622129E-2</v>
      </c>
      <c r="T1169" s="19">
        <f t="shared" si="134"/>
        <v>4.2998831561748663E-2</v>
      </c>
      <c r="U1169" s="24">
        <v>4.1634225565809757E-2</v>
      </c>
      <c r="V1169" s="24">
        <f t="shared" si="135"/>
        <v>4.2998121841982817E-2</v>
      </c>
      <c r="W1169" s="23">
        <f t="shared" si="136"/>
        <v>3.514441118704914E-3</v>
      </c>
      <c r="X1169" s="24">
        <v>4.1364643677515245E-2</v>
      </c>
      <c r="Y1169" s="24">
        <f t="shared" si="137"/>
        <v>4.2998330986093736E-2</v>
      </c>
      <c r="Z1169" s="23">
        <f t="shared" si="138"/>
        <v>3.5144580043959817E-3</v>
      </c>
      <c r="AA1169" s="36"/>
    </row>
    <row r="1170" spans="15:27" ht="13.9" customHeight="1" x14ac:dyDescent="0.3">
      <c r="O1170" s="12">
        <f t="shared" si="132"/>
        <v>96.416666666666671</v>
      </c>
      <c r="P1170" s="13">
        <v>1157</v>
      </c>
      <c r="Q1170" s="22">
        <v>3.3019298492483529E-2</v>
      </c>
      <c r="R1170" s="19">
        <f t="shared" si="133"/>
        <v>3.3416096583040344E-2</v>
      </c>
      <c r="S1170" s="22">
        <v>4.0305644209984282E-2</v>
      </c>
      <c r="T1170" s="19">
        <f t="shared" si="134"/>
        <v>4.2998843410130494E-2</v>
      </c>
      <c r="U1170" s="24">
        <v>4.1635403616713473E-2</v>
      </c>
      <c r="V1170" s="24">
        <f t="shared" si="135"/>
        <v>4.2998138864811297E-2</v>
      </c>
      <c r="W1170" s="23">
        <f t="shared" si="136"/>
        <v>3.5144424959294707E-3</v>
      </c>
      <c r="X1170" s="24">
        <v>4.1366054574916378E-2</v>
      </c>
      <c r="Y1170" s="24">
        <f t="shared" si="137"/>
        <v>4.2998346560414014E-2</v>
      </c>
      <c r="Z1170" s="23">
        <f t="shared" si="138"/>
        <v>3.514459264824854E-3</v>
      </c>
      <c r="AA1170" s="36"/>
    </row>
    <row r="1171" spans="15:27" ht="13.9" customHeight="1" x14ac:dyDescent="0.3">
      <c r="O1171" s="12">
        <f t="shared" si="132"/>
        <v>96.5</v>
      </c>
      <c r="P1171" s="13">
        <v>1158</v>
      </c>
      <c r="Q1171" s="22">
        <v>3.3019641084856444E-2</v>
      </c>
      <c r="R1171" s="19">
        <f t="shared" si="133"/>
        <v>3.3416211978496868E-2</v>
      </c>
      <c r="S1171" s="22">
        <v>4.0307966940604789E-2</v>
      </c>
      <c r="T1171" s="19">
        <f t="shared" si="134"/>
        <v>4.2998855138220771E-2</v>
      </c>
      <c r="U1171" s="24">
        <v>4.1636579648996808E-2</v>
      </c>
      <c r="V1171" s="24">
        <f t="shared" si="135"/>
        <v>4.299815573255672E-2</v>
      </c>
      <c r="W1171" s="23">
        <f t="shared" si="136"/>
        <v>3.514443860797245E-3</v>
      </c>
      <c r="X1171" s="24">
        <v>4.1367463050869357E-2</v>
      </c>
      <c r="Y1171" s="24">
        <f t="shared" si="137"/>
        <v>4.2998361989027956E-2</v>
      </c>
      <c r="Z1171" s="23">
        <f t="shared" si="138"/>
        <v>3.5144605135528639E-3</v>
      </c>
      <c r="AA1171" s="36"/>
    </row>
    <row r="1172" spans="15:27" ht="13.9" customHeight="1" x14ac:dyDescent="0.3">
      <c r="O1172" s="12">
        <f t="shared" si="132"/>
        <v>96.583333333333329</v>
      </c>
      <c r="P1172" s="13">
        <v>1159</v>
      </c>
      <c r="Q1172" s="22">
        <v>3.3019983185683E-2</v>
      </c>
      <c r="R1172" s="19">
        <f t="shared" si="133"/>
        <v>3.3416326415735442E-2</v>
      </c>
      <c r="S1172" s="22">
        <v>4.0310285678327729E-2</v>
      </c>
      <c r="T1172" s="19">
        <f t="shared" si="134"/>
        <v>4.2998866747494757E-2</v>
      </c>
      <c r="U1172" s="24">
        <v>4.1637753667747912E-2</v>
      </c>
      <c r="V1172" s="24">
        <f t="shared" si="135"/>
        <v>4.2998172447488825E-2</v>
      </c>
      <c r="W1172" s="23">
        <f t="shared" si="136"/>
        <v>3.5144452132305215E-3</v>
      </c>
      <c r="X1172" s="24">
        <v>4.1368869111511497E-2</v>
      </c>
      <c r="Y1172" s="24">
        <f t="shared" si="137"/>
        <v>4.2998377273671728E-2</v>
      </c>
      <c r="Z1172" s="23">
        <f t="shared" si="138"/>
        <v>3.514461750598441E-3</v>
      </c>
      <c r="AA1172" s="36"/>
    </row>
    <row r="1173" spans="15:27" ht="13.9" customHeight="1" x14ac:dyDescent="0.3">
      <c r="O1173" s="12">
        <f t="shared" si="132"/>
        <v>96.666666666666671</v>
      </c>
      <c r="P1173" s="13">
        <v>1160</v>
      </c>
      <c r="Q1173" s="22">
        <v>3.3020324795408618E-2</v>
      </c>
      <c r="R1173" s="19">
        <f t="shared" si="133"/>
        <v>3.3416439902559825E-2</v>
      </c>
      <c r="S1173" s="22">
        <v>4.0312600433364043E-2</v>
      </c>
      <c r="T1173" s="19">
        <f t="shared" si="134"/>
        <v>4.2998878238981186E-2</v>
      </c>
      <c r="U1173" s="24">
        <v>4.1638925678039174E-2</v>
      </c>
      <c r="V1173" s="24">
        <f t="shared" si="135"/>
        <v>4.2998189010997612E-2</v>
      </c>
      <c r="W1173" s="23">
        <f t="shared" si="136"/>
        <v>3.5144465534115987E-3</v>
      </c>
      <c r="X1173" s="24">
        <v>4.1370272762960569E-2</v>
      </c>
      <c r="Y1173" s="24">
        <f t="shared" si="137"/>
        <v>4.2998392415592113E-2</v>
      </c>
      <c r="Z1173" s="23">
        <f t="shared" si="138"/>
        <v>3.5144629761005852E-3</v>
      </c>
      <c r="AA1173" s="36"/>
    </row>
    <row r="1174" spans="15:27" ht="13.9" customHeight="1" x14ac:dyDescent="0.3">
      <c r="O1174" s="12">
        <f t="shared" si="132"/>
        <v>96.75</v>
      </c>
      <c r="P1174" s="13">
        <v>1161</v>
      </c>
      <c r="Q1174" s="22">
        <v>3.3020665914483605E-2</v>
      </c>
      <c r="R1174" s="19">
        <f t="shared" si="133"/>
        <v>3.3416552447825598E-2</v>
      </c>
      <c r="S1174" s="22">
        <v>4.0314911215890481E-2</v>
      </c>
      <c r="T1174" s="19">
        <f t="shared" si="134"/>
        <v>4.2998889613709679E-2</v>
      </c>
      <c r="U1174" s="24">
        <v>4.164009568492677E-2</v>
      </c>
      <c r="V1174" s="24">
        <f t="shared" si="135"/>
        <v>4.2998205424305214E-2</v>
      </c>
      <c r="W1174" s="23">
        <f t="shared" si="136"/>
        <v>3.514447881451499E-3</v>
      </c>
      <c r="X1174" s="24">
        <v>4.1371674011314363E-2</v>
      </c>
      <c r="Y1174" s="24">
        <f t="shared" si="137"/>
        <v>4.2998407416508844E-2</v>
      </c>
      <c r="Z1174" s="23">
        <f t="shared" si="138"/>
        <v>3.5144641901592166E-3</v>
      </c>
      <c r="AA1174" s="36"/>
    </row>
    <row r="1175" spans="15:27" ht="13.9" customHeight="1" x14ac:dyDescent="0.3">
      <c r="O1175" s="12">
        <f t="shared" si="132"/>
        <v>96.833333333333329</v>
      </c>
      <c r="P1175" s="13">
        <v>1162</v>
      </c>
      <c r="Q1175" s="22">
        <v>3.3021006543364706E-2</v>
      </c>
      <c r="R1175" s="19">
        <f t="shared" si="133"/>
        <v>3.3416664058969259E-2</v>
      </c>
      <c r="S1175" s="22">
        <v>4.0317218036049818E-2</v>
      </c>
      <c r="T1175" s="19">
        <f t="shared" si="134"/>
        <v>4.2998900873509216E-2</v>
      </c>
      <c r="U1175" s="24">
        <v>4.164126369345067E-2</v>
      </c>
      <c r="V1175" s="24">
        <f t="shared" si="135"/>
        <v>4.2998221689174665E-2</v>
      </c>
      <c r="W1175" s="23">
        <f t="shared" si="136"/>
        <v>3.5144491974488101E-3</v>
      </c>
      <c r="X1175" s="24">
        <v>4.1373072862650906E-2</v>
      </c>
      <c r="Y1175" s="24">
        <f t="shared" si="137"/>
        <v>4.2998422277174653E-2</v>
      </c>
      <c r="Z1175" s="23">
        <f t="shared" si="138"/>
        <v>3.514465392912669E-3</v>
      </c>
      <c r="AA1175" s="36"/>
    </row>
    <row r="1176" spans="15:27" ht="13.9" customHeight="1" x14ac:dyDescent="0.3">
      <c r="O1176" s="12">
        <f t="shared" si="132"/>
        <v>96.916666666666671</v>
      </c>
      <c r="P1176" s="13">
        <v>1163</v>
      </c>
      <c r="Q1176" s="22">
        <v>3.3021346682513109E-2</v>
      </c>
      <c r="R1176" s="19">
        <f t="shared" si="133"/>
        <v>3.3416774743457944E-2</v>
      </c>
      <c r="S1176" s="22">
        <v>4.03195209039513E-2</v>
      </c>
      <c r="T1176" s="19">
        <f t="shared" si="134"/>
        <v>4.2998912018860524E-2</v>
      </c>
      <c r="U1176" s="24">
        <v>4.1642429708634854E-2</v>
      </c>
      <c r="V1176" s="24">
        <f t="shared" si="135"/>
        <v>4.2998237806130879E-2</v>
      </c>
      <c r="W1176" s="23">
        <f t="shared" si="136"/>
        <v>3.5144505015443084E-3</v>
      </c>
      <c r="X1176" s="24">
        <v>4.1374469323028462E-2</v>
      </c>
      <c r="Y1176" s="24">
        <f t="shared" si="137"/>
        <v>4.2998436999297507E-2</v>
      </c>
      <c r="Z1176" s="23">
        <f t="shared" si="138"/>
        <v>3.5144665844206724E-3</v>
      </c>
      <c r="AA1176" s="36"/>
    </row>
    <row r="1177" spans="15:27" ht="13.9" customHeight="1" x14ac:dyDescent="0.3">
      <c r="O1177" s="12">
        <f t="shared" si="132"/>
        <v>97</v>
      </c>
      <c r="P1177" s="13">
        <v>1164</v>
      </c>
      <c r="Q1177" s="22">
        <v>3.3021686332395106E-2</v>
      </c>
      <c r="R1177" s="19">
        <f t="shared" si="133"/>
        <v>3.3416884509312794E-2</v>
      </c>
      <c r="S1177" s="22">
        <v>4.0321819829670202E-2</v>
      </c>
      <c r="T1177" s="19">
        <f t="shared" si="134"/>
        <v>4.2998923051446702E-2</v>
      </c>
      <c r="U1177" s="24">
        <v>4.164359373548665E-2</v>
      </c>
      <c r="V1177" s="24">
        <f t="shared" si="135"/>
        <v>4.2998253777627449E-2</v>
      </c>
      <c r="W1177" s="23">
        <f t="shared" si="136"/>
        <v>3.5144517937801822E-3</v>
      </c>
      <c r="X1177" s="24">
        <v>4.1375863398485535E-2</v>
      </c>
      <c r="Y1177" s="24">
        <f t="shared" si="137"/>
        <v>4.2998451584068453E-2</v>
      </c>
      <c r="Z1177" s="23">
        <f t="shared" si="138"/>
        <v>3.5144677648206724E-3</v>
      </c>
      <c r="AA1177" s="36"/>
    </row>
    <row r="1178" spans="15:27" ht="13.9" customHeight="1" x14ac:dyDescent="0.3">
      <c r="O1178" s="12">
        <f t="shared" si="132"/>
        <v>97.083333333333329</v>
      </c>
      <c r="P1178" s="13">
        <v>1165</v>
      </c>
      <c r="Q1178" s="22">
        <v>3.3022025493482321E-2</v>
      </c>
      <c r="R1178" s="19">
        <f t="shared" si="133"/>
        <v>3.3416993363496017E-2</v>
      </c>
      <c r="S1178" s="22">
        <v>4.0324114823248269E-2</v>
      </c>
      <c r="T1178" s="19">
        <f t="shared" si="134"/>
        <v>4.2998933971739595E-2</v>
      </c>
      <c r="U1178" s="24">
        <v>4.1644755778998066E-2</v>
      </c>
      <c r="V1178" s="24">
        <f t="shared" si="135"/>
        <v>4.2998269603463202E-2</v>
      </c>
      <c r="W1178" s="23">
        <f t="shared" si="136"/>
        <v>3.5144530743533853E-3</v>
      </c>
      <c r="X1178" s="24">
        <v>4.1377255095041088E-2</v>
      </c>
      <c r="Y1178" s="24">
        <f t="shared" si="137"/>
        <v>4.2998466032410532E-2</v>
      </c>
      <c r="Z1178" s="23">
        <f t="shared" si="138"/>
        <v>3.5144689342079261E-3</v>
      </c>
      <c r="AA1178" s="36"/>
    </row>
    <row r="1179" spans="15:27" ht="13.9" customHeight="1" x14ac:dyDescent="0.3">
      <c r="O1179" s="12">
        <f t="shared" si="132"/>
        <v>97.166666666666671</v>
      </c>
      <c r="P1179" s="13">
        <v>1166</v>
      </c>
      <c r="Q1179" s="22">
        <v>3.3022364166250373E-2</v>
      </c>
      <c r="R1179" s="19">
        <f t="shared" si="133"/>
        <v>3.3417101314780151E-2</v>
      </c>
      <c r="S1179" s="22">
        <v>4.0326405894693718E-2</v>
      </c>
      <c r="T1179" s="19">
        <f t="shared" si="134"/>
        <v>4.2998944781477588E-2</v>
      </c>
      <c r="U1179" s="24">
        <v>4.1645915844144232E-2</v>
      </c>
      <c r="V1179" s="24">
        <f t="shared" si="135"/>
        <v>4.2998285286710347E-2</v>
      </c>
      <c r="W1179" s="23">
        <f t="shared" si="136"/>
        <v>3.5144543432477082E-3</v>
      </c>
      <c r="X1179" s="24">
        <v>4.1378644418694321E-2</v>
      </c>
      <c r="Y1179" s="24">
        <f t="shared" si="137"/>
        <v>4.2998480346549961E-2</v>
      </c>
      <c r="Z1179" s="23">
        <f t="shared" si="138"/>
        <v>3.5144700926563743E-3</v>
      </c>
      <c r="AA1179" s="36"/>
    </row>
    <row r="1180" spans="15:27" ht="13.9" customHeight="1" x14ac:dyDescent="0.3">
      <c r="O1180" s="12">
        <f t="shared" si="132"/>
        <v>97.25</v>
      </c>
      <c r="P1180" s="13">
        <v>1167</v>
      </c>
      <c r="Q1180" s="22">
        <v>3.3022702351181099E-2</v>
      </c>
      <c r="R1180" s="19">
        <f t="shared" si="133"/>
        <v>3.3417208369950657E-2</v>
      </c>
      <c r="S1180" s="22">
        <v>4.0328693053981679E-2</v>
      </c>
      <c r="T1180" s="19">
        <f t="shared" si="134"/>
        <v>4.2998955481799106E-2</v>
      </c>
      <c r="U1180" s="24">
        <v>4.1647073935885404E-2</v>
      </c>
      <c r="V1180" s="24">
        <f t="shared" si="135"/>
        <v>4.2998300827377101E-2</v>
      </c>
      <c r="W1180" s="23">
        <f t="shared" si="136"/>
        <v>3.5144556007096206E-3</v>
      </c>
      <c r="X1180" s="24">
        <v>4.1380031375425563E-2</v>
      </c>
      <c r="Y1180" s="24">
        <f t="shared" si="137"/>
        <v>4.2998494526512721E-2</v>
      </c>
      <c r="Z1180" s="23">
        <f t="shared" si="138"/>
        <v>3.5144712403447631E-3</v>
      </c>
      <c r="AA1180" s="36"/>
    </row>
    <row r="1181" spans="15:27" ht="13.9" customHeight="1" x14ac:dyDescent="0.3">
      <c r="O1181" s="12">
        <f t="shared" si="132"/>
        <v>97.333333333333329</v>
      </c>
      <c r="P1181" s="13">
        <v>1168</v>
      </c>
      <c r="Q1181" s="22">
        <v>3.3023040048760333E-2</v>
      </c>
      <c r="R1181" s="19">
        <f t="shared" si="133"/>
        <v>3.3417314536219545E-2</v>
      </c>
      <c r="S1181" s="22">
        <v>4.0330976311054201E-2</v>
      </c>
      <c r="T1181" s="19">
        <f t="shared" si="134"/>
        <v>4.2998966073187983E-2</v>
      </c>
      <c r="U1181" s="24">
        <v>4.1648230059165181E-2</v>
      </c>
      <c r="V1181" s="24">
        <f t="shared" si="135"/>
        <v>4.2998316227172761E-2</v>
      </c>
      <c r="W1181" s="23">
        <f t="shared" si="136"/>
        <v>3.5144568467393444E-3</v>
      </c>
      <c r="X1181" s="24">
        <v>4.1381415971194935E-2</v>
      </c>
      <c r="Y1181" s="24">
        <f t="shared" si="137"/>
        <v>4.299850857418086E-2</v>
      </c>
      <c r="Z1181" s="23">
        <f t="shared" si="138"/>
        <v>3.5144723772748687E-3</v>
      </c>
      <c r="AA1181" s="36"/>
    </row>
    <row r="1182" spans="15:27" ht="13.9" customHeight="1" x14ac:dyDescent="0.3">
      <c r="O1182" s="12">
        <f t="shared" si="132"/>
        <v>97.416666666666671</v>
      </c>
      <c r="P1182" s="13">
        <v>1169</v>
      </c>
      <c r="Q1182" s="22">
        <v>3.3023377259478348E-2</v>
      </c>
      <c r="R1182" s="19">
        <f t="shared" si="133"/>
        <v>3.3417419821340166E-2</v>
      </c>
      <c r="S1182" s="22">
        <v>4.0333255675819801E-2</v>
      </c>
      <c r="T1182" s="19">
        <f t="shared" si="134"/>
        <v>4.2998976557748758E-2</v>
      </c>
      <c r="U1182" s="24">
        <v>4.1649384218911623E-2</v>
      </c>
      <c r="V1182" s="24">
        <f t="shared" si="135"/>
        <v>4.2998331487865915E-2</v>
      </c>
      <c r="W1182" s="23">
        <f t="shared" si="136"/>
        <v>3.5144580814743254E-3</v>
      </c>
      <c r="X1182" s="24">
        <v>4.1382798211943683E-2</v>
      </c>
      <c r="Y1182" s="24">
        <f t="shared" si="137"/>
        <v>4.2998522491384694E-2</v>
      </c>
      <c r="Z1182" s="23">
        <f t="shared" si="138"/>
        <v>3.5144735035979036E-3</v>
      </c>
      <c r="AA1182" s="36"/>
    </row>
    <row r="1183" spans="15:27" ht="13.9" customHeight="1" x14ac:dyDescent="0.3">
      <c r="O1183" s="12">
        <f t="shared" si="132"/>
        <v>97.5</v>
      </c>
      <c r="P1183" s="13">
        <v>1170</v>
      </c>
      <c r="Q1183" s="22">
        <v>3.3023713983830749E-2</v>
      </c>
      <c r="R1183" s="19">
        <f t="shared" si="133"/>
        <v>3.341752423258959E-2</v>
      </c>
      <c r="S1183" s="22">
        <v>4.0335531158155025E-2</v>
      </c>
      <c r="T1183" s="19">
        <f t="shared" si="134"/>
        <v>4.2998986935796735E-2</v>
      </c>
      <c r="U1183" s="24">
        <v>4.1650536420037465E-2</v>
      </c>
      <c r="V1183" s="24">
        <f t="shared" si="135"/>
        <v>4.2998346609654625E-2</v>
      </c>
      <c r="W1183" s="23">
        <f t="shared" si="136"/>
        <v>3.5144593050562278E-3</v>
      </c>
      <c r="X1183" s="24">
        <v>4.1384178103594405E-2</v>
      </c>
      <c r="Y1183" s="24">
        <f t="shared" si="137"/>
        <v>4.2998536278071597E-2</v>
      </c>
      <c r="Z1183" s="23">
        <f t="shared" si="138"/>
        <v>3.5144746194604171E-3</v>
      </c>
      <c r="AA1183" s="36"/>
    </row>
    <row r="1184" spans="15:27" ht="13.9" customHeight="1" x14ac:dyDescent="0.3">
      <c r="O1184" s="12">
        <f t="shared" si="132"/>
        <v>97.583333333333329</v>
      </c>
      <c r="P1184" s="13">
        <v>1171</v>
      </c>
      <c r="Q1184" s="22">
        <v>3.3024050222317136E-2</v>
      </c>
      <c r="R1184" s="19">
        <f t="shared" si="133"/>
        <v>3.3417627777086123E-2</v>
      </c>
      <c r="S1184" s="22">
        <v>4.0337802767902664E-2</v>
      </c>
      <c r="T1184" s="19">
        <f t="shared" si="134"/>
        <v>4.2998997208323342E-2</v>
      </c>
      <c r="U1184" s="24">
        <v>4.1651686667438792E-2</v>
      </c>
      <c r="V1184" s="24">
        <f t="shared" si="135"/>
        <v>4.2998361594896561E-2</v>
      </c>
      <c r="W1184" s="23">
        <f t="shared" si="136"/>
        <v>3.514460517500817E-3</v>
      </c>
      <c r="X1184" s="24">
        <v>4.1385555652049266E-2</v>
      </c>
      <c r="Y1184" s="24">
        <f t="shared" si="137"/>
        <v>4.2998549936747565E-2</v>
      </c>
      <c r="Z1184" s="23">
        <f t="shared" si="138"/>
        <v>3.5144757248581904E-3</v>
      </c>
      <c r="AA1184" s="36"/>
    </row>
    <row r="1185" spans="15:27" ht="13.9" customHeight="1" x14ac:dyDescent="0.3">
      <c r="O1185" s="12">
        <f t="shared" si="132"/>
        <v>97.666666666666671</v>
      </c>
      <c r="P1185" s="13">
        <v>1172</v>
      </c>
      <c r="Q1185" s="22">
        <v>3.3024385975441772E-2</v>
      </c>
      <c r="R1185" s="19">
        <f t="shared" si="133"/>
        <v>3.3417730462311113E-2</v>
      </c>
      <c r="S1185" s="22">
        <v>4.0340070514873316E-2</v>
      </c>
      <c r="T1185" s="19">
        <f t="shared" si="134"/>
        <v>4.2999007376944398E-2</v>
      </c>
      <c r="U1185" s="24">
        <v>4.1652834965997032E-2</v>
      </c>
      <c r="V1185" s="24">
        <f t="shared" si="135"/>
        <v>4.2998376443816655E-2</v>
      </c>
      <c r="W1185" s="23">
        <f t="shared" si="136"/>
        <v>3.5144617189974969E-3</v>
      </c>
      <c r="X1185" s="24">
        <v>4.138693086319245E-2</v>
      </c>
      <c r="Y1185" s="24">
        <f t="shared" si="137"/>
        <v>4.2998563467325113E-2</v>
      </c>
      <c r="Z1185" s="23">
        <f t="shared" si="138"/>
        <v>3.5144768199923959E-3</v>
      </c>
      <c r="AA1185" s="36"/>
    </row>
    <row r="1186" spans="15:27" ht="13.9" customHeight="1" x14ac:dyDescent="0.3">
      <c r="O1186" s="12">
        <f t="shared" si="132"/>
        <v>97.75</v>
      </c>
      <c r="P1186" s="13">
        <v>1173</v>
      </c>
      <c r="Q1186" s="22">
        <v>3.3024721243713584E-2</v>
      </c>
      <c r="R1186" s="19">
        <f t="shared" si="133"/>
        <v>3.3417832294563521E-2</v>
      </c>
      <c r="S1186" s="22">
        <v>4.034233440884516E-2</v>
      </c>
      <c r="T1186" s="19">
        <f t="shared" si="134"/>
        <v>4.2999017442353571E-2</v>
      </c>
      <c r="U1186" s="24">
        <v>4.1653981320577183E-2</v>
      </c>
      <c r="V1186" s="24">
        <f t="shared" si="135"/>
        <v>4.299839115856563E-2</v>
      </c>
      <c r="W1186" s="23">
        <f t="shared" si="136"/>
        <v>3.5144629095638091E-3</v>
      </c>
      <c r="X1186" s="24">
        <v>4.1388303742888377E-2</v>
      </c>
      <c r="Y1186" s="24">
        <f t="shared" si="137"/>
        <v>4.2998576871961403E-2</v>
      </c>
      <c r="Z1186" s="23">
        <f t="shared" si="138"/>
        <v>3.5144779048557062E-3</v>
      </c>
      <c r="AA1186" s="36"/>
    </row>
    <row r="1187" spans="15:27" ht="13.9" customHeight="1" x14ac:dyDescent="0.3">
      <c r="O1187" s="12">
        <f t="shared" si="132"/>
        <v>97.833333333333329</v>
      </c>
      <c r="P1187" s="13">
        <v>1174</v>
      </c>
      <c r="Q1187" s="22">
        <v>3.302505602764505E-2</v>
      </c>
      <c r="R1187" s="19">
        <f t="shared" si="133"/>
        <v>3.3417933282477108E-2</v>
      </c>
      <c r="S1187" s="22">
        <v>4.0344594459563732E-2</v>
      </c>
      <c r="T1187" s="19">
        <f t="shared" si="134"/>
        <v>4.2999027405799417E-2</v>
      </c>
      <c r="U1187" s="24">
        <v>4.1655125736029586E-2</v>
      </c>
      <c r="V1187" s="24">
        <f t="shared" si="135"/>
        <v>4.2998405739992585E-2</v>
      </c>
      <c r="W1187" s="23">
        <f t="shared" si="136"/>
        <v>3.5144640893725043E-3</v>
      </c>
      <c r="X1187" s="24">
        <v>4.1389674296982815E-2</v>
      </c>
      <c r="Y1187" s="24">
        <f t="shared" si="137"/>
        <v>4.2998590151685168E-2</v>
      </c>
      <c r="Z1187" s="23">
        <f t="shared" si="138"/>
        <v>3.514478979621094E-3</v>
      </c>
      <c r="AA1187" s="36"/>
    </row>
    <row r="1188" spans="15:27" ht="13.9" customHeight="1" x14ac:dyDescent="0.3">
      <c r="O1188" s="12">
        <f t="shared" si="132"/>
        <v>97.916666666666671</v>
      </c>
      <c r="P1188" s="13">
        <v>1175</v>
      </c>
      <c r="Q1188" s="22">
        <v>3.30253903277542E-2</v>
      </c>
      <c r="R1188" s="19">
        <f t="shared" si="133"/>
        <v>3.341803343124683E-2</v>
      </c>
      <c r="S1188" s="22">
        <v>4.0346850676742818E-2</v>
      </c>
      <c r="T1188" s="19">
        <f t="shared" si="134"/>
        <v>4.2999037268266926E-2</v>
      </c>
      <c r="U1188" s="24">
        <v>4.1656268217188597E-2</v>
      </c>
      <c r="V1188" s="24">
        <f t="shared" si="135"/>
        <v>4.2998420189176656E-2</v>
      </c>
      <c r="W1188" s="23">
        <f t="shared" si="136"/>
        <v>3.5144652584917502E-3</v>
      </c>
      <c r="X1188" s="24">
        <v>4.139104253130288E-2</v>
      </c>
      <c r="Y1188" s="24">
        <f t="shared" si="137"/>
        <v>4.2998603307228045E-2</v>
      </c>
      <c r="Z1188" s="23">
        <f t="shared" si="138"/>
        <v>3.514480044371382E-3</v>
      </c>
      <c r="AA1188" s="36"/>
    </row>
    <row r="1189" spans="15:27" ht="13.9" customHeight="1" x14ac:dyDescent="0.3">
      <c r="O1189" s="12">
        <f t="shared" si="132"/>
        <v>98</v>
      </c>
      <c r="P1189" s="13">
        <v>1176</v>
      </c>
      <c r="Q1189" s="22">
        <v>3.3025724144561952E-2</v>
      </c>
      <c r="R1189" s="19">
        <f t="shared" si="133"/>
        <v>3.3418132749551965E-2</v>
      </c>
      <c r="S1189" s="22">
        <v>4.0349103070063563E-2</v>
      </c>
      <c r="T1189" s="19">
        <f t="shared" si="134"/>
        <v>4.2999047030474191E-2</v>
      </c>
      <c r="U1189" s="24">
        <v>4.165740876887325E-2</v>
      </c>
      <c r="V1189" s="24">
        <f t="shared" si="135"/>
        <v>4.2998434506856364E-2</v>
      </c>
      <c r="W1189" s="23">
        <f t="shared" si="136"/>
        <v>3.5144664170079221E-3</v>
      </c>
      <c r="X1189" s="24">
        <v>4.1392408451656371E-2</v>
      </c>
      <c r="Y1189" s="24">
        <f t="shared" si="137"/>
        <v>4.2998616339921414E-2</v>
      </c>
      <c r="Z1189" s="23">
        <f t="shared" si="138"/>
        <v>3.5144810991647457E-3</v>
      </c>
      <c r="AA1189" s="36"/>
    </row>
    <row r="1190" spans="15:27" ht="13.9" customHeight="1" x14ac:dyDescent="0.3">
      <c r="O1190" s="12">
        <f t="shared" si="132"/>
        <v>98.083333333333329</v>
      </c>
      <c r="P1190" s="13">
        <v>1177</v>
      </c>
      <c r="Q1190" s="22">
        <v>3.302605747859455E-2</v>
      </c>
      <c r="R1190" s="19">
        <f t="shared" si="133"/>
        <v>3.3418231242563268E-2</v>
      </c>
      <c r="S1190" s="22">
        <v>4.0351351649175138E-2</v>
      </c>
      <c r="T1190" s="19">
        <f t="shared" si="134"/>
        <v>4.2999056693816762E-2</v>
      </c>
      <c r="U1190" s="24">
        <v>4.1658547395886814E-2</v>
      </c>
      <c r="V1190" s="24">
        <f t="shared" si="135"/>
        <v>4.2998448695708236E-2</v>
      </c>
      <c r="W1190" s="23">
        <f t="shared" si="136"/>
        <v>3.5144675649800838E-3</v>
      </c>
      <c r="X1190" s="24">
        <v>4.1393772063832435E-2</v>
      </c>
      <c r="Y1190" s="24">
        <f t="shared" si="137"/>
        <v>4.2998629251240983E-2</v>
      </c>
      <c r="Z1190" s="23">
        <f t="shared" si="138"/>
        <v>3.5144821441084328E-3</v>
      </c>
      <c r="AA1190" s="36"/>
    </row>
    <row r="1191" spans="15:27" ht="13.9" customHeight="1" x14ac:dyDescent="0.3">
      <c r="O1191" s="12">
        <f t="shared" si="132"/>
        <v>98.166666666666671</v>
      </c>
      <c r="P1191" s="13">
        <v>1178</v>
      </c>
      <c r="Q1191" s="22">
        <v>3.3026390330380906E-2</v>
      </c>
      <c r="R1191" s="19">
        <f t="shared" si="133"/>
        <v>3.3418328918821461E-2</v>
      </c>
      <c r="S1191" s="22">
        <v>4.0353596423695182E-2</v>
      </c>
      <c r="T1191" s="19">
        <f t="shared" si="134"/>
        <v>4.2999066259088892E-2</v>
      </c>
      <c r="U1191" s="24">
        <v>4.1659684103018346E-2</v>
      </c>
      <c r="V1191" s="24">
        <f t="shared" si="135"/>
        <v>4.2998462755233113E-2</v>
      </c>
      <c r="W1191" s="23">
        <f t="shared" si="136"/>
        <v>3.5144687026229526E-3</v>
      </c>
      <c r="X1191" s="24">
        <v>4.1395133373602011E-2</v>
      </c>
      <c r="Y1191" s="24">
        <f t="shared" si="137"/>
        <v>4.2998642041848001E-2</v>
      </c>
      <c r="Z1191" s="23">
        <f t="shared" si="138"/>
        <v>3.514483179320349E-3</v>
      </c>
      <c r="AA1191" s="36"/>
    </row>
    <row r="1192" spans="15:27" ht="13.9" customHeight="1" x14ac:dyDescent="0.3">
      <c r="O1192" s="12">
        <f t="shared" si="132"/>
        <v>98.25</v>
      </c>
      <c r="P1192" s="13">
        <v>1179</v>
      </c>
      <c r="Q1192" s="22">
        <v>3.302672270045548E-2</v>
      </c>
      <c r="R1192" s="19">
        <f t="shared" si="133"/>
        <v>3.3418425783989125E-2</v>
      </c>
      <c r="S1192" s="22">
        <v>4.035583740320936E-2</v>
      </c>
      <c r="T1192" s="19">
        <f t="shared" si="134"/>
        <v>4.2999075727583769E-2</v>
      </c>
      <c r="U1192" s="24">
        <v>4.1660818895040475E-2</v>
      </c>
      <c r="V1192" s="24">
        <f t="shared" si="135"/>
        <v>4.2998476687429621E-2</v>
      </c>
      <c r="W1192" s="23">
        <f t="shared" si="136"/>
        <v>3.5144698298967825E-3</v>
      </c>
      <c r="X1192" s="24">
        <v>4.1396492386716943E-2</v>
      </c>
      <c r="Y1192" s="24">
        <f t="shared" si="137"/>
        <v>4.2998654713277684E-2</v>
      </c>
      <c r="Z1192" s="23">
        <f t="shared" si="138"/>
        <v>3.514484204853785E-3</v>
      </c>
      <c r="AA1192" s="36"/>
    </row>
    <row r="1193" spans="15:27" ht="13.9" customHeight="1" x14ac:dyDescent="0.3">
      <c r="O1193" s="12">
        <f t="shared" si="132"/>
        <v>98.333333333333329</v>
      </c>
      <c r="P1193" s="13">
        <v>1180</v>
      </c>
      <c r="Q1193" s="22">
        <v>3.302705458935562E-2</v>
      </c>
      <c r="R1193" s="19">
        <f t="shared" si="133"/>
        <v>3.3418521845059779E-2</v>
      </c>
      <c r="S1193" s="22">
        <v>4.0358074597271809E-2</v>
      </c>
      <c r="T1193" s="19">
        <f t="shared" si="134"/>
        <v>4.2999085099722389E-2</v>
      </c>
      <c r="U1193" s="24">
        <v>4.166195177671117E-2</v>
      </c>
      <c r="V1193" s="24">
        <f t="shared" si="135"/>
        <v>4.29984904937184E-2</v>
      </c>
      <c r="W1193" s="23">
        <f t="shared" si="136"/>
        <v>3.5144709469614455E-3</v>
      </c>
      <c r="X1193" s="24">
        <v>4.1397849108910867E-2</v>
      </c>
      <c r="Y1193" s="24">
        <f t="shared" si="137"/>
        <v>4.2998667266529011E-2</v>
      </c>
      <c r="Z1193" s="23">
        <f t="shared" si="138"/>
        <v>3.5144852208317534E-3</v>
      </c>
      <c r="AA1193" s="36"/>
    </row>
    <row r="1194" spans="15:27" ht="13.9" customHeight="1" x14ac:dyDescent="0.3">
      <c r="O1194" s="12">
        <f t="shared" si="132"/>
        <v>98.416666666666671</v>
      </c>
      <c r="P1194" s="13">
        <v>1181</v>
      </c>
      <c r="Q1194" s="22">
        <v>3.3027385997622893E-2</v>
      </c>
      <c r="R1194" s="19">
        <f t="shared" si="133"/>
        <v>3.3418617109006288E-2</v>
      </c>
      <c r="S1194" s="22">
        <v>4.0360308015405133E-2</v>
      </c>
      <c r="T1194" s="19">
        <f t="shared" si="134"/>
        <v>4.299909437741789E-2</v>
      </c>
      <c r="U1194" s="24">
        <v>4.166308275277375E-2</v>
      </c>
      <c r="V1194" s="24">
        <f t="shared" si="135"/>
        <v>4.2998504174311281E-2</v>
      </c>
      <c r="W1194" s="23">
        <f t="shared" si="136"/>
        <v>3.5144720539308505E-3</v>
      </c>
      <c r="X1194" s="24">
        <v>4.1399203545898766E-2</v>
      </c>
      <c r="Y1194" s="24">
        <f t="shared" si="137"/>
        <v>4.2998679702462184E-2</v>
      </c>
      <c r="Z1194" s="23">
        <f t="shared" si="138"/>
        <v>3.5144862273344124E-3</v>
      </c>
      <c r="AA1194" s="36"/>
    </row>
    <row r="1195" spans="15:27" ht="13.9" customHeight="1" x14ac:dyDescent="0.3">
      <c r="O1195" s="12">
        <f t="shared" si="132"/>
        <v>98.5</v>
      </c>
      <c r="P1195" s="13">
        <v>1182</v>
      </c>
      <c r="Q1195" s="22">
        <v>3.3027716925802864E-2</v>
      </c>
      <c r="R1195" s="19">
        <f t="shared" si="133"/>
        <v>3.34187115815896E-2</v>
      </c>
      <c r="S1195" s="22">
        <v>4.0362537667100851E-2</v>
      </c>
      <c r="T1195" s="19">
        <f t="shared" si="134"/>
        <v>4.2999103560302121E-2</v>
      </c>
      <c r="U1195" s="24">
        <v>4.1664211827955322E-2</v>
      </c>
      <c r="V1195" s="24">
        <f t="shared" si="135"/>
        <v>4.2998517731595243E-2</v>
      </c>
      <c r="W1195" s="23">
        <f t="shared" si="136"/>
        <v>3.514473150822317E-3</v>
      </c>
      <c r="X1195" s="24">
        <v>4.1400555703377195E-2</v>
      </c>
      <c r="Y1195" s="24">
        <f t="shared" si="137"/>
        <v>4.2998692022719442E-2</v>
      </c>
      <c r="Z1195" s="23">
        <f t="shared" si="138"/>
        <v>3.5144872244303738E-3</v>
      </c>
      <c r="AA1195" s="36"/>
    </row>
    <row r="1196" spans="15:27" ht="13.9" customHeight="1" x14ac:dyDescent="0.3">
      <c r="O1196" s="12">
        <f t="shared" si="132"/>
        <v>98.583333333333329</v>
      </c>
      <c r="P1196" s="13">
        <v>1183</v>
      </c>
      <c r="Q1196" s="22">
        <v>3.3028047374443981E-2</v>
      </c>
      <c r="R1196" s="19">
        <f t="shared" si="133"/>
        <v>3.3418805271310692E-2</v>
      </c>
      <c r="S1196" s="22">
        <v>4.0364763561818506E-2</v>
      </c>
      <c r="T1196" s="19">
        <f t="shared" si="134"/>
        <v>4.2999112650420113E-2</v>
      </c>
      <c r="U1196" s="24">
        <v>4.1665339006969226E-2</v>
      </c>
      <c r="V1196" s="24">
        <f t="shared" si="135"/>
        <v>4.2998531165420406E-2</v>
      </c>
      <c r="W1196" s="23">
        <f t="shared" si="136"/>
        <v>3.5144742378270255E-3</v>
      </c>
      <c r="X1196" s="24">
        <v>4.1401905587024723E-2</v>
      </c>
      <c r="Y1196" s="24">
        <f t="shared" si="137"/>
        <v>4.2998704226850482E-2</v>
      </c>
      <c r="Z1196" s="23">
        <f t="shared" si="138"/>
        <v>3.514488212251754E-3</v>
      </c>
      <c r="AA1196" s="36"/>
    </row>
    <row r="1197" spans="15:27" ht="13.9" customHeight="1" x14ac:dyDescent="0.3">
      <c r="O1197" s="12">
        <f t="shared" si="132"/>
        <v>98.666666666666671</v>
      </c>
      <c r="P1197" s="13">
        <v>1184</v>
      </c>
      <c r="Q1197" s="22">
        <v>3.3028377344100246E-2</v>
      </c>
      <c r="R1197" s="19">
        <f t="shared" si="133"/>
        <v>3.3418898182237644E-2</v>
      </c>
      <c r="S1197" s="22">
        <v>4.0366985708987224E-2</v>
      </c>
      <c r="T1197" s="19">
        <f t="shared" si="134"/>
        <v>4.2999121648261474E-2</v>
      </c>
      <c r="U1197" s="24">
        <v>4.1666464294512817E-2</v>
      </c>
      <c r="V1197" s="24">
        <f t="shared" si="135"/>
        <v>4.2998544478061174E-2</v>
      </c>
      <c r="W1197" s="23">
        <f t="shared" si="136"/>
        <v>3.5144753149327634E-3</v>
      </c>
      <c r="X1197" s="24">
        <v>4.1403253202500601E-2</v>
      </c>
      <c r="Y1197" s="24">
        <f t="shared" si="137"/>
        <v>4.2998716318748409E-2</v>
      </c>
      <c r="Z1197" s="23">
        <f t="shared" si="138"/>
        <v>3.5144891907623599E-3</v>
      </c>
      <c r="AA1197" s="36"/>
    </row>
    <row r="1198" spans="15:27" ht="13.9" customHeight="1" x14ac:dyDescent="0.3">
      <c r="O1198" s="12">
        <f t="shared" si="132"/>
        <v>98.75</v>
      </c>
      <c r="P1198" s="13">
        <v>1185</v>
      </c>
      <c r="Q1198" s="22">
        <v>3.3028706835326993E-2</v>
      </c>
      <c r="R1198" s="19">
        <f t="shared" si="133"/>
        <v>3.3418990322093167E-2</v>
      </c>
      <c r="S1198" s="22">
        <v>4.0369204118005042E-2</v>
      </c>
      <c r="T1198" s="19">
        <f t="shared" si="134"/>
        <v>4.2999130555276821E-2</v>
      </c>
      <c r="U1198" s="24">
        <v>4.1667587695269459E-2</v>
      </c>
      <c r="V1198" s="24">
        <f t="shared" si="135"/>
        <v>4.2998557669311266E-2</v>
      </c>
      <c r="W1198" s="23">
        <f t="shared" si="136"/>
        <v>3.5144763823222736E-3</v>
      </c>
      <c r="X1198" s="24">
        <v>4.1404598555447869E-2</v>
      </c>
      <c r="Y1198" s="24">
        <f t="shared" si="137"/>
        <v>4.299872829685647E-2</v>
      </c>
      <c r="Z1198" s="23">
        <f t="shared" si="138"/>
        <v>3.5144901602741641E-3</v>
      </c>
      <c r="AA1198" s="36"/>
    </row>
    <row r="1199" spans="15:27" ht="13.9" customHeight="1" x14ac:dyDescent="0.3">
      <c r="O1199" s="12">
        <f t="shared" si="132"/>
        <v>98.833333333333329</v>
      </c>
      <c r="P1199" s="13">
        <v>1186</v>
      </c>
      <c r="Q1199" s="22">
        <v>3.302903584868444E-2</v>
      </c>
      <c r="R1199" s="19">
        <f t="shared" si="133"/>
        <v>3.3419081697630304E-2</v>
      </c>
      <c r="S1199" s="22">
        <v>4.0371418798239134E-2</v>
      </c>
      <c r="T1199" s="19">
        <f t="shared" si="134"/>
        <v>4.2999139371318496E-2</v>
      </c>
      <c r="U1199" s="24">
        <v>4.166870921390653E-2</v>
      </c>
      <c r="V1199" s="24">
        <f t="shared" si="135"/>
        <v>4.2998570741862085E-2</v>
      </c>
      <c r="W1199" s="23">
        <f t="shared" si="136"/>
        <v>3.5144774399789025E-3</v>
      </c>
      <c r="X1199" s="24">
        <v>4.1405941651489586E-2</v>
      </c>
      <c r="Y1199" s="24">
        <f t="shared" si="137"/>
        <v>4.2998740163216143E-2</v>
      </c>
      <c r="Z1199" s="23">
        <f t="shared" si="138"/>
        <v>3.5144911206623775E-3</v>
      </c>
      <c r="AA1199" s="36"/>
    </row>
    <row r="1200" spans="15:27" ht="13.9" customHeight="1" x14ac:dyDescent="0.3">
      <c r="O1200" s="12">
        <f t="shared" si="132"/>
        <v>98.916666666666671</v>
      </c>
      <c r="P1200" s="13">
        <v>1187</v>
      </c>
      <c r="Q1200" s="22">
        <v>3.3029364384736359E-2</v>
      </c>
      <c r="R1200" s="19">
        <f t="shared" si="133"/>
        <v>3.3419172314158363E-2</v>
      </c>
      <c r="S1200" s="22">
        <v>4.0373629759025365E-2</v>
      </c>
      <c r="T1200" s="19">
        <f t="shared" si="134"/>
        <v>4.2999148098610718E-2</v>
      </c>
      <c r="U1200" s="24">
        <v>4.1669828855077862E-2</v>
      </c>
      <c r="V1200" s="24">
        <f t="shared" si="135"/>
        <v>4.2998583695203596E-2</v>
      </c>
      <c r="W1200" s="23">
        <f t="shared" si="136"/>
        <v>3.5144784881182556E-3</v>
      </c>
      <c r="X1200" s="24">
        <v>4.140728249623149E-2</v>
      </c>
      <c r="Y1200" s="24">
        <f t="shared" si="137"/>
        <v>4.2998751919193889E-2</v>
      </c>
      <c r="Z1200" s="23">
        <f t="shared" si="138"/>
        <v>3.514492072090869E-3</v>
      </c>
      <c r="AA1200" s="36"/>
    </row>
    <row r="1201" spans="15:27" ht="13.9" customHeight="1" x14ac:dyDescent="0.3">
      <c r="O1201" s="12">
        <f t="shared" si="132"/>
        <v>99</v>
      </c>
      <c r="P1201" s="13">
        <v>1188</v>
      </c>
      <c r="Q1201" s="22">
        <v>3.3029692444049408E-2</v>
      </c>
      <c r="R1201" s="19">
        <f t="shared" si="133"/>
        <v>3.341926217936031E-2</v>
      </c>
      <c r="S1201" s="22">
        <v>4.0375837009669846E-2</v>
      </c>
      <c r="T1201" s="19">
        <f t="shared" si="134"/>
        <v>4.2999156736858613E-2</v>
      </c>
      <c r="U1201" s="24">
        <v>4.1670946623421523E-2</v>
      </c>
      <c r="V1201" s="24">
        <f t="shared" si="135"/>
        <v>4.2998596531307554E-2</v>
      </c>
      <c r="W1201" s="23">
        <f t="shared" si="136"/>
        <v>3.5144795266994766E-3</v>
      </c>
      <c r="X1201" s="24">
        <v>4.1408621095261555E-2</v>
      </c>
      <c r="Y1201" s="24">
        <f t="shared" si="137"/>
        <v>4.2998763565198495E-2</v>
      </c>
      <c r="Z1201" s="23">
        <f t="shared" si="138"/>
        <v>3.5144930146688846E-3</v>
      </c>
      <c r="AA1201" s="36"/>
    </row>
    <row r="1202" spans="15:27" ht="13.9" customHeight="1" x14ac:dyDescent="0.3">
      <c r="O1202" s="12">
        <f t="shared" si="132"/>
        <v>99.083333333333329</v>
      </c>
      <c r="P1202" s="13">
        <v>1189</v>
      </c>
      <c r="Q1202" s="22">
        <v>3.3030020027194462E-2</v>
      </c>
      <c r="R1202" s="19">
        <f t="shared" si="133"/>
        <v>3.3419351297361066E-2</v>
      </c>
      <c r="S1202" s="22">
        <v>4.0378040559447381E-2</v>
      </c>
      <c r="T1202" s="19">
        <f t="shared" si="134"/>
        <v>4.2999165288174046E-2</v>
      </c>
      <c r="U1202" s="24">
        <v>4.1672062523561371E-2</v>
      </c>
      <c r="V1202" s="24">
        <f t="shared" si="135"/>
        <v>4.2998609251901687E-2</v>
      </c>
      <c r="W1202" s="23">
        <f t="shared" si="136"/>
        <v>3.5144805558808834E-3</v>
      </c>
      <c r="X1202" s="24">
        <v>4.1409957454149326E-2</v>
      </c>
      <c r="Y1202" s="24">
        <f t="shared" si="137"/>
        <v>4.2998775102984554E-2</v>
      </c>
      <c r="Z1202" s="23">
        <f t="shared" si="138"/>
        <v>3.5144939484297311E-3</v>
      </c>
      <c r="AA1202" s="36"/>
    </row>
    <row r="1203" spans="15:27" ht="13.9" customHeight="1" x14ac:dyDescent="0.3">
      <c r="O1203" s="12">
        <f t="shared" si="132"/>
        <v>99.166666666666671</v>
      </c>
      <c r="P1203" s="13">
        <v>1190</v>
      </c>
      <c r="Q1203" s="22">
        <v>3.3030347134744176E-2</v>
      </c>
      <c r="R1203" s="19">
        <f t="shared" si="133"/>
        <v>3.3419439676799056E-2</v>
      </c>
      <c r="S1203" s="22">
        <v>4.0380240417603241E-2</v>
      </c>
      <c r="T1203" s="19">
        <f t="shared" si="134"/>
        <v>4.2999173751961051E-2</v>
      </c>
      <c r="U1203" s="24">
        <v>4.167317656010705E-2</v>
      </c>
      <c r="V1203" s="24">
        <f t="shared" si="135"/>
        <v>4.2998621855840691E-2</v>
      </c>
      <c r="W1203" s="23">
        <f t="shared" si="136"/>
        <v>3.5144815758005876E-3</v>
      </c>
      <c r="X1203" s="24">
        <v>4.1411291578447251E-2</v>
      </c>
      <c r="Y1203" s="24">
        <f t="shared" si="137"/>
        <v>4.2998786532415512E-2</v>
      </c>
      <c r="Z1203" s="23">
        <f t="shared" si="138"/>
        <v>3.5144948735135184E-3</v>
      </c>
      <c r="AA1203" s="36"/>
    </row>
    <row r="1204" spans="15:27" ht="13.9" customHeight="1" x14ac:dyDescent="0.3">
      <c r="O1204" s="12">
        <f t="shared" si="132"/>
        <v>99.25</v>
      </c>
      <c r="P1204" s="13">
        <v>1191</v>
      </c>
      <c r="Q1204" s="22">
        <v>3.3030673767276308E-2</v>
      </c>
      <c r="R1204" s="19">
        <f t="shared" si="133"/>
        <v>3.3419527322387621E-2</v>
      </c>
      <c r="S1204" s="22">
        <v>4.038243659335139E-2</v>
      </c>
      <c r="T1204" s="19">
        <f t="shared" si="134"/>
        <v>4.2999182130114333E-2</v>
      </c>
      <c r="U1204" s="24">
        <v>4.1674288737652221E-2</v>
      </c>
      <c r="V1204" s="24">
        <f t="shared" si="135"/>
        <v>4.2998634346361309E-2</v>
      </c>
      <c r="W1204" s="23">
        <f t="shared" si="136"/>
        <v>3.514482586367329E-3</v>
      </c>
      <c r="X1204" s="24">
        <v>4.1412623473688681E-2</v>
      </c>
      <c r="Y1204" s="24">
        <f t="shared" si="137"/>
        <v>4.299879785557148E-2</v>
      </c>
      <c r="Z1204" s="23">
        <f t="shared" si="138"/>
        <v>3.5144957899095886E-3</v>
      </c>
      <c r="AA1204" s="36"/>
    </row>
    <row r="1205" spans="15:27" ht="13.9" customHeight="1" x14ac:dyDescent="0.3">
      <c r="O1205" s="12">
        <f t="shared" si="132"/>
        <v>99.333333333333329</v>
      </c>
      <c r="P1205" s="13">
        <v>1192</v>
      </c>
      <c r="Q1205" s="22">
        <v>3.3030999925370841E-2</v>
      </c>
      <c r="R1205" s="19">
        <f t="shared" si="133"/>
        <v>3.3419614240288276E-2</v>
      </c>
      <c r="S1205" s="22">
        <v>4.0384629095876257E-2</v>
      </c>
      <c r="T1205" s="19">
        <f t="shared" si="134"/>
        <v>4.2999190424043876E-2</v>
      </c>
      <c r="U1205" s="24">
        <v>4.167539906077744E-2</v>
      </c>
      <c r="V1205" s="24">
        <f t="shared" si="135"/>
        <v>4.2998646723789724E-2</v>
      </c>
      <c r="W1205" s="23">
        <f t="shared" si="136"/>
        <v>3.5144835878402336E-3</v>
      </c>
      <c r="X1205" s="24">
        <v>4.1413953145390536E-2</v>
      </c>
      <c r="Y1205" s="24">
        <f t="shared" si="137"/>
        <v>4.2998809073094835E-2</v>
      </c>
      <c r="Z1205" s="23">
        <f t="shared" si="138"/>
        <v>3.514496697784697E-3</v>
      </c>
      <c r="AA1205" s="36"/>
    </row>
    <row r="1206" spans="15:27" ht="13.9" customHeight="1" x14ac:dyDescent="0.3">
      <c r="O1206" s="12">
        <f t="shared" si="132"/>
        <v>99.416666666666671</v>
      </c>
      <c r="P1206" s="13">
        <v>1193</v>
      </c>
      <c r="Q1206" s="22">
        <v>3.3031325609610862E-2</v>
      </c>
      <c r="R1206" s="19">
        <f t="shared" si="133"/>
        <v>3.3419700436645217E-2</v>
      </c>
      <c r="S1206" s="22">
        <v>4.0386817934332742E-2</v>
      </c>
      <c r="T1206" s="19">
        <f t="shared" si="134"/>
        <v>4.299919863307422E-2</v>
      </c>
      <c r="U1206" s="24">
        <v>4.167650753404839E-2</v>
      </c>
      <c r="V1206" s="24">
        <f t="shared" si="135"/>
        <v>4.2998658988387506E-2</v>
      </c>
      <c r="W1206" s="23">
        <f t="shared" si="136"/>
        <v>3.5144845802455027E-3</v>
      </c>
      <c r="X1206" s="24">
        <v>4.1415280599051751E-2</v>
      </c>
      <c r="Y1206" s="24">
        <f t="shared" si="137"/>
        <v>4.2998820185853548E-2</v>
      </c>
      <c r="Z1206" s="23">
        <f t="shared" si="138"/>
        <v>3.514497597190136E-3</v>
      </c>
      <c r="AA1206" s="36"/>
    </row>
    <row r="1207" spans="15:27" ht="13.9" customHeight="1" x14ac:dyDescent="0.3">
      <c r="O1207" s="12">
        <f t="shared" si="132"/>
        <v>99.5</v>
      </c>
      <c r="P1207" s="13">
        <v>1194</v>
      </c>
      <c r="Q1207" s="22">
        <v>3.3031650820582792E-2</v>
      </c>
      <c r="R1207" s="19">
        <f t="shared" si="133"/>
        <v>3.3419785918037626E-2</v>
      </c>
      <c r="S1207" s="22">
        <v>4.0389003117844657E-2</v>
      </c>
      <c r="T1207" s="19">
        <f t="shared" si="134"/>
        <v>4.2999206759244846E-2</v>
      </c>
      <c r="U1207" s="24">
        <v>4.1677614162015653E-2</v>
      </c>
      <c r="V1207" s="24">
        <f t="shared" si="135"/>
        <v>4.2998671142501887E-2</v>
      </c>
      <c r="W1207" s="23">
        <f t="shared" si="136"/>
        <v>3.5144855636042305E-3</v>
      </c>
      <c r="X1207" s="24">
        <v>4.1416605840153276E-2</v>
      </c>
      <c r="Y1207" s="24">
        <f t="shared" si="137"/>
        <v>4.2998831194697607E-2</v>
      </c>
      <c r="Z1207" s="23">
        <f t="shared" si="138"/>
        <v>3.5144984881958496E-3</v>
      </c>
      <c r="AA1207" s="36"/>
    </row>
    <row r="1208" spans="15:27" ht="13.9" customHeight="1" x14ac:dyDescent="0.3">
      <c r="O1208" s="12">
        <f t="shared" si="132"/>
        <v>99.583333333333329</v>
      </c>
      <c r="P1208" s="13">
        <v>1195</v>
      </c>
      <c r="Q1208" s="22">
        <v>3.3031975558876381E-2</v>
      </c>
      <c r="R1208" s="19">
        <f t="shared" si="133"/>
        <v>3.3419870689394449E-2</v>
      </c>
      <c r="S1208" s="22">
        <v>4.0391184655506951E-2</v>
      </c>
      <c r="T1208" s="19">
        <f t="shared" si="134"/>
        <v>4.2999214802566632E-2</v>
      </c>
      <c r="U1208" s="24">
        <v>4.1678718949216487E-2</v>
      </c>
      <c r="V1208" s="24">
        <f t="shared" si="135"/>
        <v>4.2998683186144415E-2</v>
      </c>
      <c r="W1208" s="23">
        <f t="shared" si="136"/>
        <v>3.5144865381044887E-3</v>
      </c>
      <c r="X1208" s="24">
        <v>4.1417928874158738E-2</v>
      </c>
      <c r="Y1208" s="24">
        <f t="shared" si="137"/>
        <v>4.299884210117999E-2</v>
      </c>
      <c r="Z1208" s="23">
        <f t="shared" si="138"/>
        <v>3.5144993708697836E-3</v>
      </c>
      <c r="AA1208" s="36"/>
    </row>
    <row r="1209" spans="15:27" ht="13.9" customHeight="1" x14ac:dyDescent="0.3">
      <c r="O1209" s="12">
        <f t="shared" si="132"/>
        <v>99.666666666666671</v>
      </c>
      <c r="P1209" s="13">
        <v>1196</v>
      </c>
      <c r="Q1209" s="22">
        <v>3.30322998250836E-2</v>
      </c>
      <c r="R1209" s="19">
        <f t="shared" si="133"/>
        <v>3.3419954757542003E-2</v>
      </c>
      <c r="S1209" s="22">
        <v>4.0393362556384149E-2</v>
      </c>
      <c r="T1209" s="19">
        <f t="shared" si="134"/>
        <v>4.2999222764839695E-2</v>
      </c>
      <c r="U1209" s="24">
        <v>4.1679821900173053E-2</v>
      </c>
      <c r="V1209" s="24">
        <f t="shared" si="135"/>
        <v>4.299869512025345E-2</v>
      </c>
      <c r="W1209" s="23">
        <f t="shared" si="136"/>
        <v>3.5144875037473877E-3</v>
      </c>
      <c r="X1209" s="24">
        <v>4.1419249706514671E-2</v>
      </c>
      <c r="Y1209" s="24">
        <f t="shared" si="137"/>
        <v>4.2998852905742346E-2</v>
      </c>
      <c r="Z1209" s="23">
        <f t="shared" si="138"/>
        <v>3.5145002453365048E-3</v>
      </c>
      <c r="AA1209" s="36"/>
    </row>
    <row r="1210" spans="15:27" ht="13.9" customHeight="1" x14ac:dyDescent="0.3">
      <c r="O1210" s="12">
        <f t="shared" si="132"/>
        <v>99.75</v>
      </c>
      <c r="P1210" s="13">
        <v>1197</v>
      </c>
      <c r="Q1210" s="22">
        <v>3.3032623619800194E-2</v>
      </c>
      <c r="R1210" s="19">
        <f t="shared" si="133"/>
        <v>3.3420038127367491E-2</v>
      </c>
      <c r="S1210" s="22">
        <v>4.0395536829512357E-2</v>
      </c>
      <c r="T1210" s="19">
        <f t="shared" si="134"/>
        <v>4.2999230646158626E-2</v>
      </c>
      <c r="U1210" s="24">
        <v>4.1680923019393301E-2</v>
      </c>
      <c r="V1210" s="24">
        <f t="shared" si="135"/>
        <v>4.299870694708452E-2</v>
      </c>
      <c r="W1210" s="23">
        <f t="shared" si="136"/>
        <v>3.5144884606077564E-3</v>
      </c>
      <c r="X1210" s="24">
        <v>4.1420568342649844E-2</v>
      </c>
      <c r="Y1210" s="24">
        <f t="shared" si="137"/>
        <v>4.2998863609554183E-2</v>
      </c>
      <c r="Z1210" s="23">
        <f t="shared" si="138"/>
        <v>3.5145011116313185E-3</v>
      </c>
      <c r="AA1210" s="36"/>
    </row>
    <row r="1211" spans="15:27" ht="13.9" customHeight="1" x14ac:dyDescent="0.3">
      <c r="O1211" s="12">
        <f t="shared" si="132"/>
        <v>99.833333333333329</v>
      </c>
      <c r="P1211" s="13">
        <v>1198</v>
      </c>
      <c r="Q1211" s="22">
        <v>3.3032946943624131E-2</v>
      </c>
      <c r="R1211" s="19">
        <f t="shared" si="133"/>
        <v>3.3420120805610631E-2</v>
      </c>
      <c r="S1211" s="22">
        <v>4.0397707483897038E-2</v>
      </c>
      <c r="T1211" s="19">
        <f t="shared" si="134"/>
        <v>4.2999238447464894E-2</v>
      </c>
      <c r="U1211" s="24">
        <v>4.1682022311371636E-2</v>
      </c>
      <c r="V1211" s="24">
        <f t="shared" si="135"/>
        <v>4.2998718665839375E-2</v>
      </c>
      <c r="W1211" s="23">
        <f t="shared" si="136"/>
        <v>3.5144894088670053E-3</v>
      </c>
      <c r="X1211" s="24">
        <v>4.1421884787975705E-2</v>
      </c>
      <c r="Y1211" s="24">
        <f t="shared" si="137"/>
        <v>4.2998874212993865E-2</v>
      </c>
      <c r="Z1211" s="23">
        <f t="shared" si="138"/>
        <v>3.5145019698483715E-3</v>
      </c>
      <c r="AA1211" s="36"/>
    </row>
    <row r="1212" spans="15:27" ht="13.9" customHeight="1" x14ac:dyDescent="0.3">
      <c r="O1212" s="12">
        <f t="shared" si="132"/>
        <v>99.916666666666671</v>
      </c>
      <c r="P1212" s="13">
        <v>1199</v>
      </c>
      <c r="Q1212" s="22">
        <v>3.3033269797156706E-2</v>
      </c>
      <c r="R1212" s="19">
        <f t="shared" si="133"/>
        <v>3.3420202797773468E-2</v>
      </c>
      <c r="S1212" s="22">
        <v>4.039987452851479E-2</v>
      </c>
      <c r="T1212" s="19">
        <f t="shared" si="134"/>
        <v>4.2999246169765248E-2</v>
      </c>
      <c r="U1212" s="24">
        <v>4.1683119780587363E-2</v>
      </c>
      <c r="V1212" s="24">
        <f t="shared" si="135"/>
        <v>4.2998730278985819E-2</v>
      </c>
      <c r="W1212" s="23">
        <f t="shared" si="136"/>
        <v>3.5144903484607415E-3</v>
      </c>
      <c r="X1212" s="24">
        <v>4.1423199047886383E-2</v>
      </c>
      <c r="Y1212" s="24">
        <f t="shared" si="137"/>
        <v>4.2998884718516095E-2</v>
      </c>
      <c r="Z1212" s="23">
        <f t="shared" si="138"/>
        <v>3.5145028200174178E-3</v>
      </c>
      <c r="AA1212" s="36"/>
    </row>
    <row r="1213" spans="15:27" ht="13.9" customHeight="1" x14ac:dyDescent="0.3">
      <c r="O1213" s="12">
        <f t="shared" si="132"/>
        <v>100</v>
      </c>
      <c r="P1213" s="13">
        <v>1200</v>
      </c>
      <c r="Q1213" s="22">
        <v>3.3033592181001881E-2</v>
      </c>
      <c r="R1213" s="19">
        <f t="shared" si="133"/>
        <v>3.3420284109065834E-2</v>
      </c>
      <c r="S1213" s="22">
        <v>4.0402037972313343E-2</v>
      </c>
      <c r="T1213" s="19">
        <f t="shared" si="134"/>
        <v>4.2999253814137273E-2</v>
      </c>
      <c r="U1213" s="24">
        <v>4.1684215431506466E-2</v>
      </c>
      <c r="V1213" s="24">
        <f t="shared" si="135"/>
        <v>4.2998741786513195E-2</v>
      </c>
      <c r="W1213" s="23">
        <f t="shared" si="136"/>
        <v>3.5144912795868066E-3</v>
      </c>
      <c r="X1213" s="24">
        <v>4.1424511127759578E-2</v>
      </c>
      <c r="Y1213" s="24">
        <f t="shared" si="137"/>
        <v>4.2998895125273551E-2</v>
      </c>
      <c r="Z1213" s="23">
        <f t="shared" si="138"/>
        <v>3.5145036623356329E-3</v>
      </c>
      <c r="AA1213" s="36"/>
    </row>
    <row r="1214" spans="15:27" ht="13.9" customHeight="1" x14ac:dyDescent="0.3">
      <c r="O1214" s="12">
        <f t="shared" si="132"/>
        <v>100.08333333333333</v>
      </c>
      <c r="P1214" s="13">
        <v>1201</v>
      </c>
      <c r="Q1214" s="27">
        <v>3.3033914095766059E-2</v>
      </c>
      <c r="R1214" s="20"/>
      <c r="S1214" s="27">
        <v>4.0404197824211119E-2</v>
      </c>
      <c r="T1214" s="20"/>
      <c r="U1214" s="28">
        <v>4.1685309268580273E-2</v>
      </c>
      <c r="V1214" s="28"/>
      <c r="W1214" s="29"/>
      <c r="X1214" s="28">
        <v>4.1425821032954779E-2</v>
      </c>
      <c r="Y1214" s="28"/>
      <c r="Z1214" s="29"/>
      <c r="AA1214" s="36"/>
    </row>
  </sheetData>
  <mergeCells count="68">
    <mergeCell ref="J43:J44"/>
    <mergeCell ref="I31:I38"/>
    <mergeCell ref="D29:J29"/>
    <mergeCell ref="D41:J41"/>
    <mergeCell ref="D43:D44"/>
    <mergeCell ref="E43:E44"/>
    <mergeCell ref="F43:F44"/>
    <mergeCell ref="G43:G44"/>
    <mergeCell ref="H43:H44"/>
    <mergeCell ref="J31:J32"/>
    <mergeCell ref="I43:I50"/>
    <mergeCell ref="D31:D32"/>
    <mergeCell ref="E31:E32"/>
    <mergeCell ref="F31:F32"/>
    <mergeCell ref="G31:G32"/>
    <mergeCell ref="H31:H32"/>
    <mergeCell ref="D51:J52"/>
    <mergeCell ref="D53:J55"/>
    <mergeCell ref="J1:M1"/>
    <mergeCell ref="O1:Z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V11:W11"/>
    <mergeCell ref="U6:W6"/>
    <mergeCell ref="U7:W7"/>
    <mergeCell ref="U8:W8"/>
    <mergeCell ref="U9:W9"/>
    <mergeCell ref="U10:W10"/>
    <mergeCell ref="S7:T7"/>
    <mergeCell ref="O8:P8"/>
    <mergeCell ref="O9:P9"/>
    <mergeCell ref="O11:P11"/>
    <mergeCell ref="O10:P10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X8:Z8"/>
    <mergeCell ref="X9:Z9"/>
    <mergeCell ref="X10:Z10"/>
    <mergeCell ref="Y11:Z11"/>
    <mergeCell ref="X3:Z3"/>
    <mergeCell ref="X4:Z4"/>
    <mergeCell ref="X5:Z5"/>
    <mergeCell ref="X6:Z6"/>
    <mergeCell ref="X7:Z7"/>
  </mergeCells>
  <phoneticPr fontId="2" type="noConversion"/>
  <pageMargins left="0.25" right="0.25" top="0.75" bottom="0.75" header="0.3" footer="0.3"/>
  <pageSetup paperSize="9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2026-02-04T04:36:09Z</cp:lastPrinted>
  <dcterms:created xsi:type="dcterms:W3CDTF">2021-08-24T04:22:45Z</dcterms:created>
  <dcterms:modified xsi:type="dcterms:W3CDTF">2026-03-05T05:35:15Z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zAsICJub2RlMSIgOiB7ImRzZCI6IjAxMDAwMDAwMDAwMDE3MzkiLCJsb2dUaW1lIjoiMjAyNi0wMi0wMlQwNjoyMjoyNFoiLCJwSUQiOjEsInRyYWNlSWQiOiJBRjUyOUI0ODM3RTk0MkU3ODAxMUM1MDg5OUQwRDZDRSIsInVzZXJDb2RlIjoiMjI0MDcyMSJ9LCJub2RlMiIgOiB7ImRzZCI6IjAxMDAwMDAwMDAwMDE3MzkiLCJsb2dUaW1lIjoiMjAyNi0wMi0wNFQwMToyNjoyNloiLCJwSUQiOjEsInRyYWNlSWQiOiIwNURERjhCNjlDNDI0NUNBODQwQTg1MzIwNzY3MTc4RiIsInVzZXJDb2RlIjoiMjI0MDcyMSJ9LCJub2RlMyIgOiB7ImRzZCI6IjAxMDAwMDAwMDAwMDE3MzkiLCJsb2dUaW1lIjoiMjAyNi0wMy0wM1QwNDo1NzoxNFoiLCJwSUQiOjEsInRyYWNlSWQiOiI0NDZBNDk2NTI1RTE0Q0U0ODlGNTIxQzFENDFEN0IyNCIsInVzZXJDb2RlIjoiMjI0MDcyMSJ9LCJub2RlNCIgOiB7ImRzZCI6IjAxMDAwMDAwMDAwMDE3MzkiLCJsb2dUaW1lIjoiMjAyNi0wMy0wNVQwNTozNjowM1oiLCJwSUQiOjEsInRyYWNlSWQiOiI3M0UzQkZFRTA5MDU0QzI1OTZFRUNFRUZDNzQyNjYwRiIsInVzZXJDb2RlIjoiMjI0MDcyMSJ9LCJub2RlNSIgOiB7ICJ1c2VyQ29kZSIgOiAiMjI0MDcyMSIsICJ0cmFjZUlkIiA6ICJCRTYxM0VFNDYyNTMzNTMxRDdDQjlFRDI4NjcwMEE0MCIsICJkc2QiIDogIjAwMDAwMDAwMDAwMDAwMDAiLCAicElEIiA6ICIyMDQ4IiwgImxvZ1RpbWUiIDogIjIwMjYtMDYtMDhUMDA6MDk6MTdaIiB9fQ==</vt:lpwstr>
  </property>
</Properties>
</file>