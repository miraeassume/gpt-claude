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00000000-0000-0000-0000-0000000000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SS_NT551XED\Desktop\업무용\할인율\할인율 산출\26.01\공시파일\"/>
    </mc:Choice>
  </mc:AlternateContent>
  <xr:revisionPtr revIDLastSave="0" documentId="8_{95D88AED-6C58-465C-B73F-D13FAD6106E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원화 무위험 금리기간구조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3" l="1"/>
  <c r="G34" i="3"/>
  <c r="J34" i="3" s="1"/>
  <c r="G35" i="3"/>
  <c r="J35" i="3" s="1"/>
  <c r="G36" i="3"/>
  <c r="J36" i="3" s="1"/>
  <c r="G33" i="3"/>
  <c r="J33" i="3" s="1"/>
  <c r="J38" i="3" s="1"/>
  <c r="K4" i="3"/>
  <c r="X7" i="3" l="1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Q13" i="3" a="1"/>
  <c r="X9" i="3"/>
  <c r="U9" i="3"/>
  <c r="F8" i="3" a="1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Q85" i="3"/>
  <c r="Q149" i="3"/>
  <c r="Q213" i="3"/>
  <c r="Q277" i="3"/>
  <c r="Q341" i="3"/>
  <c r="Q405" i="3"/>
  <c r="Q469" i="3"/>
  <c r="Q533" i="3"/>
  <c r="Q597" i="3"/>
  <c r="Q661" i="3"/>
  <c r="Q46" i="3"/>
  <c r="Q110" i="3"/>
  <c r="Q174" i="3"/>
  <c r="Q238" i="3"/>
  <c r="Q302" i="3"/>
  <c r="Q366" i="3"/>
  <c r="Q430" i="3"/>
  <c r="Q494" i="3"/>
  <c r="Q558" i="3"/>
  <c r="Q622" i="3"/>
  <c r="Q686" i="3"/>
  <c r="Q71" i="3"/>
  <c r="Q135" i="3"/>
  <c r="Q199" i="3"/>
  <c r="Q263" i="3"/>
  <c r="Q327" i="3"/>
  <c r="Q391" i="3"/>
  <c r="Q455" i="3"/>
  <c r="Q519" i="3"/>
  <c r="Q583" i="3"/>
  <c r="Q647" i="3"/>
  <c r="Q33" i="3"/>
  <c r="Q97" i="3"/>
  <c r="Q161" i="3"/>
  <c r="Q225" i="3"/>
  <c r="Q289" i="3"/>
  <c r="Q353" i="3"/>
  <c r="Q417" i="3"/>
  <c r="Q481" i="3"/>
  <c r="Q545" i="3"/>
  <c r="Q609" i="3"/>
  <c r="Q18" i="3"/>
  <c r="Q82" i="3"/>
  <c r="Q146" i="3"/>
  <c r="Q210" i="3"/>
  <c r="Q274" i="3"/>
  <c r="Q338" i="3"/>
  <c r="Q402" i="3"/>
  <c r="Q466" i="3"/>
  <c r="Q530" i="3"/>
  <c r="Q594" i="3"/>
  <c r="Q658" i="3"/>
  <c r="Q99" i="3"/>
  <c r="Q268" i="3"/>
  <c r="Q440" i="3"/>
  <c r="Q611" i="3"/>
  <c r="Q722" i="3"/>
  <c r="Q786" i="3"/>
  <c r="Q850" i="3"/>
  <c r="Q914" i="3"/>
  <c r="Q978" i="3"/>
  <c r="Q1042" i="3"/>
  <c r="Q144" i="3"/>
  <c r="Q315" i="3"/>
  <c r="Q484" i="3"/>
  <c r="Q656" i="3"/>
  <c r="Q739" i="3"/>
  <c r="Q803" i="3"/>
  <c r="Q867" i="3"/>
  <c r="Q931" i="3"/>
  <c r="Q995" i="3"/>
  <c r="Q1059" i="3"/>
  <c r="Q1123" i="3"/>
  <c r="Q1187" i="3"/>
  <c r="Q1012" i="3"/>
  <c r="Q1108" i="3"/>
  <c r="Q168" i="3"/>
  <c r="Q339" i="3"/>
  <c r="Q508" i="3"/>
  <c r="Q676" i="3"/>
  <c r="Q29" i="3"/>
  <c r="Q93" i="3"/>
  <c r="Q157" i="3"/>
  <c r="Q221" i="3"/>
  <c r="Q285" i="3"/>
  <c r="Q349" i="3"/>
  <c r="Q413" i="3"/>
  <c r="Q477" i="3"/>
  <c r="Q541" i="3"/>
  <c r="Q605" i="3"/>
  <c r="Q669" i="3"/>
  <c r="Q54" i="3"/>
  <c r="Q118" i="3"/>
  <c r="Q182" i="3"/>
  <c r="Q246" i="3"/>
  <c r="Q310" i="3"/>
  <c r="Q374" i="3"/>
  <c r="Q438" i="3"/>
  <c r="Q502" i="3"/>
  <c r="Q566" i="3"/>
  <c r="Q630" i="3"/>
  <c r="Q15" i="3"/>
  <c r="Q79" i="3"/>
  <c r="Q143" i="3"/>
  <c r="Q207" i="3"/>
  <c r="Q271" i="3"/>
  <c r="Q335" i="3"/>
  <c r="Q399" i="3"/>
  <c r="Q463" i="3"/>
  <c r="Q527" i="3"/>
  <c r="Q591" i="3"/>
  <c r="Q655" i="3"/>
  <c r="Q41" i="3"/>
  <c r="Q105" i="3"/>
  <c r="Q169" i="3"/>
  <c r="Q233" i="3"/>
  <c r="Q297" i="3"/>
  <c r="Q361" i="3"/>
  <c r="Q425" i="3"/>
  <c r="Q489" i="3"/>
  <c r="Q553" i="3"/>
  <c r="Q617" i="3"/>
  <c r="Q26" i="3"/>
  <c r="Q90" i="3"/>
  <c r="Q154" i="3"/>
  <c r="Q218" i="3"/>
  <c r="Q282" i="3"/>
  <c r="Q346" i="3"/>
  <c r="Q410" i="3"/>
  <c r="Q474" i="3"/>
  <c r="Q538" i="3"/>
  <c r="Q602" i="3"/>
  <c r="Q666" i="3"/>
  <c r="Q120" i="3"/>
  <c r="Q291" i="3"/>
  <c r="Q460" i="3"/>
  <c r="Q632" i="3"/>
  <c r="Q730" i="3"/>
  <c r="Q794" i="3"/>
  <c r="Q858" i="3"/>
  <c r="Q922" i="3"/>
  <c r="Q986" i="3"/>
  <c r="Q1050" i="3"/>
  <c r="Q164" i="3"/>
  <c r="Q336" i="3"/>
  <c r="Q507" i="3"/>
  <c r="Q675" i="3"/>
  <c r="Q747" i="3"/>
  <c r="Q811" i="3"/>
  <c r="Q875" i="3"/>
  <c r="Q939" i="3"/>
  <c r="Q1003" i="3"/>
  <c r="Q1067" i="3"/>
  <c r="Q1131" i="3"/>
  <c r="Q1195" i="3"/>
  <c r="Q1028" i="3"/>
  <c r="Q19" i="3"/>
  <c r="Q188" i="3"/>
  <c r="Q360" i="3"/>
  <c r="Q531" i="3"/>
  <c r="Q692" i="3"/>
  <c r="Q756" i="3"/>
  <c r="Q820" i="3"/>
  <c r="Q884" i="3"/>
  <c r="Q956" i="3"/>
  <c r="Q37" i="3"/>
  <c r="Q101" i="3"/>
  <c r="Q165" i="3"/>
  <c r="Q229" i="3"/>
  <c r="Q293" i="3"/>
  <c r="Q357" i="3"/>
  <c r="Q421" i="3"/>
  <c r="Q485" i="3"/>
  <c r="Q549" i="3"/>
  <c r="Q613" i="3"/>
  <c r="Q677" i="3"/>
  <c r="Q62" i="3"/>
  <c r="Q126" i="3"/>
  <c r="Q190" i="3"/>
  <c r="Q254" i="3"/>
  <c r="Q318" i="3"/>
  <c r="Q382" i="3"/>
  <c r="Q446" i="3"/>
  <c r="Q510" i="3"/>
  <c r="Q574" i="3"/>
  <c r="Q638" i="3"/>
  <c r="Q23" i="3"/>
  <c r="Q87" i="3"/>
  <c r="Q151" i="3"/>
  <c r="Q215" i="3"/>
  <c r="Q279" i="3"/>
  <c r="Q343" i="3"/>
  <c r="Q407" i="3"/>
  <c r="Q471" i="3"/>
  <c r="Q535" i="3"/>
  <c r="Q599" i="3"/>
  <c r="Q663" i="3"/>
  <c r="Q49" i="3"/>
  <c r="Q113" i="3"/>
  <c r="Q177" i="3"/>
  <c r="Q241" i="3"/>
  <c r="Q305" i="3"/>
  <c r="Q369" i="3"/>
  <c r="Q433" i="3"/>
  <c r="Q497" i="3"/>
  <c r="Q561" i="3"/>
  <c r="Q625" i="3"/>
  <c r="Q34" i="3"/>
  <c r="Q98" i="3"/>
  <c r="Q162" i="3"/>
  <c r="Q226" i="3"/>
  <c r="Q290" i="3"/>
  <c r="Q354" i="3"/>
  <c r="Q418" i="3"/>
  <c r="Q482" i="3"/>
  <c r="Q546" i="3"/>
  <c r="Q610" i="3"/>
  <c r="Q674" i="3"/>
  <c r="Q140" i="3"/>
  <c r="Q312" i="3"/>
  <c r="Q483" i="3"/>
  <c r="Q652" i="3"/>
  <c r="Q738" i="3"/>
  <c r="Q802" i="3"/>
  <c r="Q866" i="3"/>
  <c r="Q930" i="3"/>
  <c r="Q994" i="3"/>
  <c r="Q16" i="3"/>
  <c r="Q187" i="3"/>
  <c r="Q356" i="3"/>
  <c r="Q528" i="3"/>
  <c r="Q691" i="3"/>
  <c r="Q755" i="3"/>
  <c r="Q819" i="3"/>
  <c r="Q883" i="3"/>
  <c r="Q947" i="3"/>
  <c r="Q1011" i="3"/>
  <c r="Q1075" i="3"/>
  <c r="Q1139" i="3"/>
  <c r="Q1203" i="3"/>
  <c r="Q1036" i="3"/>
  <c r="Q40" i="3"/>
  <c r="Q211" i="3"/>
  <c r="Q380" i="3"/>
  <c r="Q552" i="3"/>
  <c r="Q700" i="3"/>
  <c r="Q764" i="3"/>
  <c r="Q828" i="3"/>
  <c r="Q45" i="3"/>
  <c r="Q109" i="3"/>
  <c r="Q173" i="3"/>
  <c r="Q237" i="3"/>
  <c r="Q301" i="3"/>
  <c r="Q365" i="3"/>
  <c r="Q429" i="3"/>
  <c r="Q493" i="3"/>
  <c r="Q557" i="3"/>
  <c r="Q621" i="3"/>
  <c r="Q685" i="3"/>
  <c r="Q70" i="3"/>
  <c r="Q134" i="3"/>
  <c r="Q198" i="3"/>
  <c r="Q262" i="3"/>
  <c r="Q326" i="3"/>
  <c r="Q390" i="3"/>
  <c r="Q454" i="3"/>
  <c r="Q518" i="3"/>
  <c r="Q582" i="3"/>
  <c r="Q646" i="3"/>
  <c r="Q31" i="3"/>
  <c r="Q95" i="3"/>
  <c r="Q159" i="3"/>
  <c r="Q223" i="3"/>
  <c r="Q287" i="3"/>
  <c r="Q351" i="3"/>
  <c r="Q415" i="3"/>
  <c r="Q479" i="3"/>
  <c r="Q543" i="3"/>
  <c r="Q607" i="3"/>
  <c r="Q671" i="3"/>
  <c r="Q57" i="3"/>
  <c r="Q121" i="3"/>
  <c r="Q185" i="3"/>
  <c r="Q249" i="3"/>
  <c r="Q313" i="3"/>
  <c r="Q377" i="3"/>
  <c r="Q441" i="3"/>
  <c r="Q505" i="3"/>
  <c r="Q569" i="3"/>
  <c r="Q633" i="3"/>
  <c r="Q42" i="3"/>
  <c r="Q106" i="3"/>
  <c r="Q170" i="3"/>
  <c r="Q234" i="3"/>
  <c r="Q298" i="3"/>
  <c r="Q362" i="3"/>
  <c r="Q426" i="3"/>
  <c r="Q490" i="3"/>
  <c r="Q554" i="3"/>
  <c r="Q618" i="3"/>
  <c r="Q682" i="3"/>
  <c r="Q163" i="3"/>
  <c r="Q332" i="3"/>
  <c r="Q504" i="3"/>
  <c r="Q673" i="3"/>
  <c r="Q746" i="3"/>
  <c r="Q810" i="3"/>
  <c r="Q874" i="3"/>
  <c r="Q938" i="3"/>
  <c r="Q1002" i="3"/>
  <c r="Q36" i="3"/>
  <c r="Q208" i="3"/>
  <c r="Q379" i="3"/>
  <c r="Q548" i="3"/>
  <c r="Q699" i="3"/>
  <c r="Q763" i="3"/>
  <c r="Q827" i="3"/>
  <c r="Q891" i="3"/>
  <c r="Q955" i="3"/>
  <c r="Q1019" i="3"/>
  <c r="Q1083" i="3"/>
  <c r="Q1147" i="3"/>
  <c r="Q1211" i="3"/>
  <c r="Q1052" i="3"/>
  <c r="Q60" i="3"/>
  <c r="Q232" i="3"/>
  <c r="Q403" i="3"/>
  <c r="Q572" i="3"/>
  <c r="Q708" i="3"/>
  <c r="Q772" i="3"/>
  <c r="Q836" i="3"/>
  <c r="Q900" i="3"/>
  <c r="Q980" i="3"/>
  <c r="Q53" i="3"/>
  <c r="Q117" i="3"/>
  <c r="Q181" i="3"/>
  <c r="Q245" i="3"/>
  <c r="Q309" i="3"/>
  <c r="Q373" i="3"/>
  <c r="Q437" i="3"/>
  <c r="Q501" i="3"/>
  <c r="Q565" i="3"/>
  <c r="Q629" i="3"/>
  <c r="Q14" i="3"/>
  <c r="R13" i="3" s="1"/>
  <c r="Q78" i="3"/>
  <c r="Q142" i="3"/>
  <c r="Q206" i="3"/>
  <c r="Q270" i="3"/>
  <c r="Q334" i="3"/>
  <c r="Q398" i="3"/>
  <c r="Q462" i="3"/>
  <c r="Q526" i="3"/>
  <c r="Q590" i="3"/>
  <c r="Q654" i="3"/>
  <c r="Q39" i="3"/>
  <c r="Q103" i="3"/>
  <c r="Q167" i="3"/>
  <c r="Q231" i="3"/>
  <c r="Q295" i="3"/>
  <c r="Q359" i="3"/>
  <c r="Q423" i="3"/>
  <c r="Q487" i="3"/>
  <c r="Q551" i="3"/>
  <c r="Q615" i="3"/>
  <c r="Q679" i="3"/>
  <c r="Q65" i="3"/>
  <c r="Q129" i="3"/>
  <c r="Q193" i="3"/>
  <c r="Q257" i="3"/>
  <c r="Q321" i="3"/>
  <c r="Q385" i="3"/>
  <c r="Q449" i="3"/>
  <c r="Q513" i="3"/>
  <c r="Q577" i="3"/>
  <c r="Q641" i="3"/>
  <c r="Q50" i="3"/>
  <c r="Q114" i="3"/>
  <c r="Q178" i="3"/>
  <c r="Q242" i="3"/>
  <c r="Q306" i="3"/>
  <c r="Q370" i="3"/>
  <c r="Q434" i="3"/>
  <c r="Q498" i="3"/>
  <c r="Q562" i="3"/>
  <c r="Q626" i="3"/>
  <c r="Q690" i="3"/>
  <c r="Q184" i="3"/>
  <c r="Q355" i="3"/>
  <c r="Q524" i="3"/>
  <c r="Q689" i="3"/>
  <c r="Q754" i="3"/>
  <c r="Q818" i="3"/>
  <c r="Q882" i="3"/>
  <c r="Q946" i="3"/>
  <c r="Q1010" i="3"/>
  <c r="Q59" i="3"/>
  <c r="Q228" i="3"/>
  <c r="Q400" i="3"/>
  <c r="Q571" i="3"/>
  <c r="Q707" i="3"/>
  <c r="Q771" i="3"/>
  <c r="Q835" i="3"/>
  <c r="Q899" i="3"/>
  <c r="Q963" i="3"/>
  <c r="Q1027" i="3"/>
  <c r="Q1091" i="3"/>
  <c r="Q1155" i="3"/>
  <c r="Q916" i="3"/>
  <c r="Q1060" i="3"/>
  <c r="Q83" i="3"/>
  <c r="Q252" i="3"/>
  <c r="Q424" i="3"/>
  <c r="Q595" i="3"/>
  <c r="Q716" i="3"/>
  <c r="Q780" i="3"/>
  <c r="Q844" i="3"/>
  <c r="Q908" i="3"/>
  <c r="Q996" i="3"/>
  <c r="Q61" i="3"/>
  <c r="Q125" i="3"/>
  <c r="Q189" i="3"/>
  <c r="Q253" i="3"/>
  <c r="Q317" i="3"/>
  <c r="Q381" i="3"/>
  <c r="Q445" i="3"/>
  <c r="Q509" i="3"/>
  <c r="Q573" i="3"/>
  <c r="Q637" i="3"/>
  <c r="Q22" i="3"/>
  <c r="Q86" i="3"/>
  <c r="Q150" i="3"/>
  <c r="Q214" i="3"/>
  <c r="Q278" i="3"/>
  <c r="Q342" i="3"/>
  <c r="Q406" i="3"/>
  <c r="Q470" i="3"/>
  <c r="Q534" i="3"/>
  <c r="Q598" i="3"/>
  <c r="Q662" i="3"/>
  <c r="Q47" i="3"/>
  <c r="Q111" i="3"/>
  <c r="Q175" i="3"/>
  <c r="Q239" i="3"/>
  <c r="Q303" i="3"/>
  <c r="Q367" i="3"/>
  <c r="Q431" i="3"/>
  <c r="Q495" i="3"/>
  <c r="Q559" i="3"/>
  <c r="Q623" i="3"/>
  <c r="Q687" i="3"/>
  <c r="Q73" i="3"/>
  <c r="Q137" i="3"/>
  <c r="Q201" i="3"/>
  <c r="Q265" i="3"/>
  <c r="Q329" i="3"/>
  <c r="Q393" i="3"/>
  <c r="Q457" i="3"/>
  <c r="Q521" i="3"/>
  <c r="Q585" i="3"/>
  <c r="Q649" i="3"/>
  <c r="Q58" i="3"/>
  <c r="Q122" i="3"/>
  <c r="Q186" i="3"/>
  <c r="Q250" i="3"/>
  <c r="Q314" i="3"/>
  <c r="Q378" i="3"/>
  <c r="Q442" i="3"/>
  <c r="Q506" i="3"/>
  <c r="Q570" i="3"/>
  <c r="Q634" i="3"/>
  <c r="Q35" i="3"/>
  <c r="Q204" i="3"/>
  <c r="Q376" i="3"/>
  <c r="Q547" i="3"/>
  <c r="Q698" i="3"/>
  <c r="Q762" i="3"/>
  <c r="Q826" i="3"/>
  <c r="Q890" i="3"/>
  <c r="Q954" i="3"/>
  <c r="Q1018" i="3"/>
  <c r="Q80" i="3"/>
  <c r="Q251" i="3"/>
  <c r="Q420" i="3"/>
  <c r="Q592" i="3"/>
  <c r="Q715" i="3"/>
  <c r="Q779" i="3"/>
  <c r="Q843" i="3"/>
  <c r="Q907" i="3"/>
  <c r="Q971" i="3"/>
  <c r="Q1035" i="3"/>
  <c r="Q1099" i="3"/>
  <c r="Q1163" i="3"/>
  <c r="Q972" i="3"/>
  <c r="Q1076" i="3"/>
  <c r="Q104" i="3"/>
  <c r="Q275" i="3"/>
  <c r="Q444" i="3"/>
  <c r="Q616" i="3"/>
  <c r="Q724" i="3"/>
  <c r="Q788" i="3"/>
  <c r="Q852" i="3"/>
  <c r="Q69" i="3"/>
  <c r="Q133" i="3"/>
  <c r="Q197" i="3"/>
  <c r="Q261" i="3"/>
  <c r="Q325" i="3"/>
  <c r="Q389" i="3"/>
  <c r="Q453" i="3"/>
  <c r="Q517" i="3"/>
  <c r="Q581" i="3"/>
  <c r="Q645" i="3"/>
  <c r="Q30" i="3"/>
  <c r="Q94" i="3"/>
  <c r="Q158" i="3"/>
  <c r="Q222" i="3"/>
  <c r="Q286" i="3"/>
  <c r="Q350" i="3"/>
  <c r="Q414" i="3"/>
  <c r="Q478" i="3"/>
  <c r="Q542" i="3"/>
  <c r="Q606" i="3"/>
  <c r="Q670" i="3"/>
  <c r="Q55" i="3"/>
  <c r="Q119" i="3"/>
  <c r="Q183" i="3"/>
  <c r="Q247" i="3"/>
  <c r="Q311" i="3"/>
  <c r="Q375" i="3"/>
  <c r="Q439" i="3"/>
  <c r="Q503" i="3"/>
  <c r="Q567" i="3"/>
  <c r="Q631" i="3"/>
  <c r="Q17" i="3"/>
  <c r="Q81" i="3"/>
  <c r="Q145" i="3"/>
  <c r="Q209" i="3"/>
  <c r="Q273" i="3"/>
  <c r="Q337" i="3"/>
  <c r="Q401" i="3"/>
  <c r="Q465" i="3"/>
  <c r="Q529" i="3"/>
  <c r="Q593" i="3"/>
  <c r="Q657" i="3"/>
  <c r="Q66" i="3"/>
  <c r="Q130" i="3"/>
  <c r="Q194" i="3"/>
  <c r="Q258" i="3"/>
  <c r="Q322" i="3"/>
  <c r="Q386" i="3"/>
  <c r="Q450" i="3"/>
  <c r="Q514" i="3"/>
  <c r="Q578" i="3"/>
  <c r="Q642" i="3"/>
  <c r="Q56" i="3"/>
  <c r="Q227" i="3"/>
  <c r="Q396" i="3"/>
  <c r="Q568" i="3"/>
  <c r="Q706" i="3"/>
  <c r="Q770" i="3"/>
  <c r="Q834" i="3"/>
  <c r="Q898" i="3"/>
  <c r="Q962" i="3"/>
  <c r="Q1026" i="3"/>
  <c r="Q100" i="3"/>
  <c r="Q272" i="3"/>
  <c r="Q443" i="3"/>
  <c r="Q612" i="3"/>
  <c r="Q723" i="3"/>
  <c r="Q787" i="3"/>
  <c r="Q851" i="3"/>
  <c r="Q915" i="3"/>
  <c r="Q979" i="3"/>
  <c r="Q1043" i="3"/>
  <c r="Q1107" i="3"/>
  <c r="Q1171" i="3"/>
  <c r="Q988" i="3"/>
  <c r="Q1084" i="3"/>
  <c r="Q124" i="3"/>
  <c r="Q296" i="3"/>
  <c r="Q467" i="3"/>
  <c r="Q636" i="3"/>
  <c r="Q732" i="3"/>
  <c r="Q796" i="3"/>
  <c r="Q860" i="3"/>
  <c r="Q932" i="3"/>
  <c r="Q1044" i="3"/>
  <c r="Q269" i="3"/>
  <c r="Q102" i="3"/>
  <c r="Q614" i="3"/>
  <c r="Q447" i="3"/>
  <c r="Q281" i="3"/>
  <c r="Q138" i="3"/>
  <c r="Q650" i="3"/>
  <c r="Q906" i="3"/>
  <c r="Q795" i="3"/>
  <c r="Q1092" i="3"/>
  <c r="Q812" i="3"/>
  <c r="Q1020" i="3"/>
  <c r="Q128" i="3"/>
  <c r="Q299" i="3"/>
  <c r="Q468" i="3"/>
  <c r="Q640" i="3"/>
  <c r="Q733" i="3"/>
  <c r="Q797" i="3"/>
  <c r="Q861" i="3"/>
  <c r="Q925" i="3"/>
  <c r="Q989" i="3"/>
  <c r="Q1053" i="3"/>
  <c r="Q1117" i="3"/>
  <c r="Q1181" i="3"/>
  <c r="Q172" i="3"/>
  <c r="Q344" i="3"/>
  <c r="Q515" i="3"/>
  <c r="Q681" i="3"/>
  <c r="Q750" i="3"/>
  <c r="Q814" i="3"/>
  <c r="Q878" i="3"/>
  <c r="Q942" i="3"/>
  <c r="Q1006" i="3"/>
  <c r="Q1070" i="3"/>
  <c r="Q68" i="3"/>
  <c r="Q240" i="3"/>
  <c r="Q411" i="3"/>
  <c r="Q580" i="3"/>
  <c r="Q711" i="3"/>
  <c r="Q775" i="3"/>
  <c r="Q839" i="3"/>
  <c r="Q903" i="3"/>
  <c r="Q967" i="3"/>
  <c r="Q1031" i="3"/>
  <c r="Q371" i="3"/>
  <c r="Q824" i="3"/>
  <c r="Q1066" i="3"/>
  <c r="Q1168" i="3"/>
  <c r="Q1191" i="3"/>
  <c r="Q785" i="3"/>
  <c r="Q372" i="3"/>
  <c r="Q825" i="3"/>
  <c r="Q1071" i="3"/>
  <c r="Q1169" i="3"/>
  <c r="Q1182" i="3"/>
  <c r="Q352" i="3"/>
  <c r="Q136" i="3"/>
  <c r="Q736" i="3"/>
  <c r="Q992" i="3"/>
  <c r="Q1040" i="3"/>
  <c r="Q139" i="3"/>
  <c r="Q737" i="3"/>
  <c r="Q993" i="3"/>
  <c r="Q1140" i="3"/>
  <c r="Q1164" i="3"/>
  <c r="Q913" i="3"/>
  <c r="Q412" i="3"/>
  <c r="Q840" i="3"/>
  <c r="Q1074" i="3"/>
  <c r="Q1174" i="3"/>
  <c r="Q92" i="3"/>
  <c r="Q721" i="3"/>
  <c r="Q416" i="3"/>
  <c r="Q841" i="3"/>
  <c r="Q1079" i="3"/>
  <c r="Q264" i="3"/>
  <c r="Q881" i="3"/>
  <c r="Q13" i="3"/>
  <c r="Q525" i="3"/>
  <c r="Q358" i="3"/>
  <c r="Q191" i="3"/>
  <c r="Q25" i="3"/>
  <c r="Q537" i="3"/>
  <c r="Q394" i="3"/>
  <c r="Q588" i="3"/>
  <c r="Q292" i="3"/>
  <c r="Q1051" i="3"/>
  <c r="Q659" i="3"/>
  <c r="Q924" i="3"/>
  <c r="Q43" i="3"/>
  <c r="Q212" i="3"/>
  <c r="Q384" i="3"/>
  <c r="Q555" i="3"/>
  <c r="Q701" i="3"/>
  <c r="Q765" i="3"/>
  <c r="Q829" i="3"/>
  <c r="Q893" i="3"/>
  <c r="Q957" i="3"/>
  <c r="Q1021" i="3"/>
  <c r="Q1085" i="3"/>
  <c r="Q1149" i="3"/>
  <c r="Q88" i="3"/>
  <c r="Q259" i="3"/>
  <c r="Q428" i="3"/>
  <c r="Q600" i="3"/>
  <c r="Q718" i="3"/>
  <c r="Q782" i="3"/>
  <c r="Q846" i="3"/>
  <c r="Q910" i="3"/>
  <c r="Q974" i="3"/>
  <c r="Q1038" i="3"/>
  <c r="Q1102" i="3"/>
  <c r="Q155" i="3"/>
  <c r="Q324" i="3"/>
  <c r="Q496" i="3"/>
  <c r="Q667" i="3"/>
  <c r="Q743" i="3"/>
  <c r="Q807" i="3"/>
  <c r="Q871" i="3"/>
  <c r="Q935" i="3"/>
  <c r="Q999" i="3"/>
  <c r="Q28" i="3"/>
  <c r="Q696" i="3"/>
  <c r="Q952" i="3"/>
  <c r="Q1126" i="3"/>
  <c r="Q1207" i="3"/>
  <c r="Q1008" i="3"/>
  <c r="Q32" i="3"/>
  <c r="Q697" i="3"/>
  <c r="Q953" i="3"/>
  <c r="Q1127" i="3"/>
  <c r="Q1208" i="3"/>
  <c r="Q912" i="3"/>
  <c r="Q1081" i="3"/>
  <c r="Q476" i="3"/>
  <c r="Q864" i="3"/>
  <c r="Q1118" i="3"/>
  <c r="Q849" i="3"/>
  <c r="Q480" i="3"/>
  <c r="Q865" i="3"/>
  <c r="Q1089" i="3"/>
  <c r="Q1183" i="3"/>
  <c r="Q1096" i="3"/>
  <c r="Q72" i="3"/>
  <c r="Q712" i="3"/>
  <c r="Q968" i="3"/>
  <c r="Q1130" i="3"/>
  <c r="Q1212" i="3"/>
  <c r="Q1112" i="3"/>
  <c r="Q75" i="3"/>
  <c r="Q713" i="3"/>
  <c r="Q969" i="3"/>
  <c r="Q1143" i="3"/>
  <c r="Q1080" i="3"/>
  <c r="Q397" i="3"/>
  <c r="Q422" i="3"/>
  <c r="Q383" i="3"/>
  <c r="Q409" i="3"/>
  <c r="Q458" i="3"/>
  <c r="Q842" i="3"/>
  <c r="Q923" i="3"/>
  <c r="Q740" i="3"/>
  <c r="Q964" i="3"/>
  <c r="Q171" i="3"/>
  <c r="Q404" i="3"/>
  <c r="Q619" i="3"/>
  <c r="Q749" i="3"/>
  <c r="Q837" i="3"/>
  <c r="Q917" i="3"/>
  <c r="Q1005" i="3"/>
  <c r="Q1093" i="3"/>
  <c r="Q1173" i="3"/>
  <c r="Q216" i="3"/>
  <c r="Q451" i="3"/>
  <c r="Q664" i="3"/>
  <c r="Q766" i="3"/>
  <c r="Q854" i="3"/>
  <c r="Q934" i="3"/>
  <c r="Q1022" i="3"/>
  <c r="Q1110" i="3"/>
  <c r="Q219" i="3"/>
  <c r="Q452" i="3"/>
  <c r="Q683" i="3"/>
  <c r="Q767" i="3"/>
  <c r="Q855" i="3"/>
  <c r="Q943" i="3"/>
  <c r="Q1023" i="3"/>
  <c r="Q540" i="3"/>
  <c r="Q984" i="3"/>
  <c r="Q1158" i="3"/>
  <c r="Q752" i="3"/>
  <c r="Q116" i="3"/>
  <c r="Q793" i="3"/>
  <c r="Q1103" i="3"/>
  <c r="Q1104" i="3"/>
  <c r="Q1186" i="3"/>
  <c r="R1186" i="3" s="1"/>
  <c r="Q307" i="3"/>
  <c r="Q896" i="3"/>
  <c r="Q520" i="3"/>
  <c r="Q308" i="3"/>
  <c r="Q897" i="3"/>
  <c r="Q1129" i="3"/>
  <c r="Q179" i="3"/>
  <c r="Q156" i="3"/>
  <c r="Q808" i="3"/>
  <c r="Q1106" i="3"/>
  <c r="Q1132" i="3"/>
  <c r="Q96" i="3"/>
  <c r="Q587" i="3"/>
  <c r="Q1001" i="3"/>
  <c r="Q1213" i="3"/>
  <c r="Q1188" i="3"/>
  <c r="Q77" i="3"/>
  <c r="Q38" i="3"/>
  <c r="Q63" i="3"/>
  <c r="Q89" i="3"/>
  <c r="Q74" i="3"/>
  <c r="Q248" i="3"/>
  <c r="Q464" i="3"/>
  <c r="Q1004" i="3"/>
  <c r="Q876" i="3"/>
  <c r="Q64" i="3"/>
  <c r="Q276" i="3"/>
  <c r="Q512" i="3"/>
  <c r="Q709" i="3"/>
  <c r="Q789" i="3"/>
  <c r="R788" i="3" s="1"/>
  <c r="Q877" i="3"/>
  <c r="Q965" i="3"/>
  <c r="Q1045" i="3"/>
  <c r="Q1133" i="3"/>
  <c r="Q108" i="3"/>
  <c r="Q323" i="3"/>
  <c r="Q556" i="3"/>
  <c r="Q726" i="3"/>
  <c r="Q806" i="3"/>
  <c r="Q894" i="3"/>
  <c r="Q982" i="3"/>
  <c r="Q1062" i="3"/>
  <c r="Q112" i="3"/>
  <c r="Q347" i="3"/>
  <c r="Q560" i="3"/>
  <c r="Q727" i="3"/>
  <c r="Q815" i="3"/>
  <c r="Q895" i="3"/>
  <c r="Q983" i="3"/>
  <c r="Q115" i="3"/>
  <c r="Q792" i="3"/>
  <c r="Q1098" i="3"/>
  <c r="Q1088" i="3"/>
  <c r="Q267" i="3"/>
  <c r="Q544" i="3"/>
  <c r="Q985" i="3"/>
  <c r="R985" i="3" s="1"/>
  <c r="Q1159" i="3"/>
  <c r="Q348" i="3"/>
  <c r="Q1145" i="3"/>
  <c r="Q704" i="3"/>
  <c r="Q1056" i="3"/>
  <c r="Q1041" i="3"/>
  <c r="Q705" i="3"/>
  <c r="Q1057" i="3"/>
  <c r="Q1192" i="3"/>
  <c r="Q753" i="3"/>
  <c r="Q584" i="3"/>
  <c r="Q1000" i="3"/>
  <c r="Q1162" i="3"/>
  <c r="Q784" i="3"/>
  <c r="Q160" i="3"/>
  <c r="Q809" i="3"/>
  <c r="Q1111" i="3"/>
  <c r="Q1176" i="3"/>
  <c r="Q205" i="3"/>
  <c r="Q486" i="3"/>
  <c r="Q639" i="3"/>
  <c r="Q266" i="3"/>
  <c r="Q970" i="3"/>
  <c r="Q1179" i="3"/>
  <c r="Q940" i="3"/>
  <c r="Q192" i="3"/>
  <c r="Q491" i="3"/>
  <c r="Q725" i="3"/>
  <c r="Q845" i="3"/>
  <c r="Q949" i="3"/>
  <c r="Q1069" i="3"/>
  <c r="Q24" i="3"/>
  <c r="Q300" i="3"/>
  <c r="Q620" i="3"/>
  <c r="Q774" i="3"/>
  <c r="Q886" i="3"/>
  <c r="Q998" i="3"/>
  <c r="Q27" i="3"/>
  <c r="Q304" i="3"/>
  <c r="Q624" i="3"/>
  <c r="Q783" i="3"/>
  <c r="Q887" i="3"/>
  <c r="Q1007" i="3"/>
  <c r="Q627" i="3"/>
  <c r="Q1082" i="3"/>
  <c r="Q1170" i="3"/>
  <c r="Q203" i="3"/>
  <c r="Q921" i="3"/>
  <c r="Q1190" i="3"/>
  <c r="Q608" i="3"/>
  <c r="Q648" i="3"/>
  <c r="Q1150" i="3"/>
  <c r="Q395" i="3"/>
  <c r="Q1025" i="3"/>
  <c r="Q1210" i="3"/>
  <c r="Q243" i="3"/>
  <c r="Q936" i="3"/>
  <c r="Q1193" i="3"/>
  <c r="Q977" i="3"/>
  <c r="Q777" i="3"/>
  <c r="Q1153" i="3"/>
  <c r="Q333" i="3"/>
  <c r="Q461" i="3"/>
  <c r="Q678" i="3"/>
  <c r="Q217" i="3"/>
  <c r="R216" i="3" s="1"/>
  <c r="Q522" i="3"/>
  <c r="Q123" i="3"/>
  <c r="Q316" i="3"/>
  <c r="Q1068" i="3"/>
  <c r="Q256" i="3"/>
  <c r="Q576" i="3"/>
  <c r="Q757" i="3"/>
  <c r="Q869" i="3"/>
  <c r="Q981" i="3"/>
  <c r="Q1101" i="3"/>
  <c r="Q67" i="3"/>
  <c r="Q387" i="3"/>
  <c r="Q694" i="3"/>
  <c r="Q798" i="3"/>
  <c r="Q918" i="3"/>
  <c r="Q1030" i="3"/>
  <c r="Q91" i="3"/>
  <c r="Q388" i="3"/>
  <c r="Q695" i="3"/>
  <c r="Q799" i="3"/>
  <c r="Q919" i="3"/>
  <c r="Q1039" i="3"/>
  <c r="Q760" i="3"/>
  <c r="Q1136" i="3"/>
  <c r="Q848" i="3"/>
  <c r="Q459" i="3"/>
  <c r="Q1049" i="3"/>
  <c r="Q1128" i="3"/>
  <c r="Q945" i="3"/>
  <c r="Q800" i="3"/>
  <c r="Q1144" i="3"/>
  <c r="Q651" i="3"/>
  <c r="Q1105" i="3"/>
  <c r="Q880" i="3"/>
  <c r="Q499" i="3"/>
  <c r="Q1058" i="3"/>
  <c r="Q1175" i="3"/>
  <c r="Q1167" i="3"/>
  <c r="Q905" i="3"/>
  <c r="Q684" i="3"/>
  <c r="Q589" i="3"/>
  <c r="Q127" i="3"/>
  <c r="Q345" i="3"/>
  <c r="Q586" i="3"/>
  <c r="Q635" i="3"/>
  <c r="Q488" i="3"/>
  <c r="Q1100" i="3"/>
  <c r="Q320" i="3"/>
  <c r="Q596" i="3"/>
  <c r="Q773" i="3"/>
  <c r="Q885" i="3"/>
  <c r="Q997" i="3"/>
  <c r="Q1109" i="3"/>
  <c r="Q131" i="3"/>
  <c r="Q408" i="3"/>
  <c r="Q702" i="3"/>
  <c r="Q822" i="3"/>
  <c r="Q926" i="3"/>
  <c r="Q1046" i="3"/>
  <c r="Q132" i="3"/>
  <c r="Q432" i="3"/>
  <c r="Q703" i="3"/>
  <c r="Q823" i="3"/>
  <c r="Q927" i="3"/>
  <c r="Q1047" i="3"/>
  <c r="Q856" i="3"/>
  <c r="Q1146" i="3"/>
  <c r="Q1134" i="3"/>
  <c r="Q628" i="3"/>
  <c r="Q1087" i="3"/>
  <c r="Q1160" i="3"/>
  <c r="Q1197" i="3"/>
  <c r="Q832" i="3"/>
  <c r="Q1214" i="3"/>
  <c r="Q769" i="3"/>
  <c r="Q1119" i="3"/>
  <c r="Q1166" i="3"/>
  <c r="Q668" i="3"/>
  <c r="Q1090" i="3"/>
  <c r="Q1204" i="3"/>
  <c r="Q244" i="3"/>
  <c r="Q937" i="3"/>
  <c r="Q816" i="3"/>
  <c r="Q653" i="3"/>
  <c r="Q255" i="3"/>
  <c r="Q473" i="3"/>
  <c r="Q76" i="3"/>
  <c r="Q731" i="3"/>
  <c r="Q748" i="3"/>
  <c r="Q20" i="3"/>
  <c r="Q340" i="3"/>
  <c r="Q660" i="3"/>
  <c r="Q781" i="3"/>
  <c r="Q901" i="3"/>
  <c r="Q1013" i="3"/>
  <c r="Q1125" i="3"/>
  <c r="Q152" i="3"/>
  <c r="Q472" i="3"/>
  <c r="Q710" i="3"/>
  <c r="Q830" i="3"/>
  <c r="Q950" i="3"/>
  <c r="Q1054" i="3"/>
  <c r="Q176" i="3"/>
  <c r="Q475" i="3"/>
  <c r="Q719" i="3"/>
  <c r="Q831" i="3"/>
  <c r="Q951" i="3"/>
  <c r="Q1055" i="3"/>
  <c r="Q888" i="3"/>
  <c r="Q1178" i="3"/>
  <c r="Q1196" i="3"/>
  <c r="Q729" i="3"/>
  <c r="Q1116" i="3"/>
  <c r="Q1200" i="3"/>
  <c r="Q51" i="3"/>
  <c r="Q928" i="3"/>
  <c r="Q523" i="3"/>
  <c r="Q801" i="3"/>
  <c r="Q1151" i="3"/>
  <c r="Q436" i="3"/>
  <c r="Q744" i="3"/>
  <c r="Q1120" i="3"/>
  <c r="Q604" i="3"/>
  <c r="Q331" i="3"/>
  <c r="Q1033" i="3"/>
  <c r="Q944" i="3"/>
  <c r="Q230" i="3"/>
  <c r="Q511" i="3"/>
  <c r="Q665" i="3"/>
  <c r="Q714" i="3"/>
  <c r="Q987" i="3"/>
  <c r="Q868" i="3"/>
  <c r="Q107" i="3"/>
  <c r="Q427" i="3"/>
  <c r="Q693" i="3"/>
  <c r="Q813" i="3"/>
  <c r="Q933" i="3"/>
  <c r="Q1037" i="3"/>
  <c r="Q1157" i="3"/>
  <c r="Q236" i="3"/>
  <c r="Q536" i="3"/>
  <c r="Q742" i="3"/>
  <c r="Q862" i="3"/>
  <c r="Q966" i="3"/>
  <c r="Q1086" i="3"/>
  <c r="Q260" i="3"/>
  <c r="Q539" i="3"/>
  <c r="Q751" i="3"/>
  <c r="Q863" i="3"/>
  <c r="Q975" i="3"/>
  <c r="Q284" i="3"/>
  <c r="Q1016" i="3"/>
  <c r="Q1198" i="3"/>
  <c r="Q1124" i="3"/>
  <c r="R1123" i="3" s="1"/>
  <c r="Q857" i="3"/>
  <c r="Q1148" i="3"/>
  <c r="Q1064" i="3"/>
  <c r="Q392" i="3"/>
  <c r="Q1024" i="3"/>
  <c r="Q52" i="3"/>
  <c r="Q929" i="3"/>
  <c r="Q1172" i="3"/>
  <c r="Q1135" i="3"/>
  <c r="Q872" i="3"/>
  <c r="Q1152" i="3"/>
  <c r="Q1154" i="3"/>
  <c r="Q672" i="3"/>
  <c r="Q1095" i="3"/>
  <c r="Q688" i="3"/>
  <c r="Q141" i="3"/>
  <c r="Q294" i="3"/>
  <c r="Q575" i="3"/>
  <c r="Q202" i="3"/>
  <c r="Q778" i="3"/>
  <c r="Q1115" i="3"/>
  <c r="Q892" i="3"/>
  <c r="Q148" i="3"/>
  <c r="Q448" i="3"/>
  <c r="Q717" i="3"/>
  <c r="Q821" i="3"/>
  <c r="Q941" i="3"/>
  <c r="Q1061" i="3"/>
  <c r="Q1165" i="3"/>
  <c r="Q280" i="3"/>
  <c r="Q579" i="3"/>
  <c r="Q758" i="3"/>
  <c r="Q870" i="3"/>
  <c r="Q990" i="3"/>
  <c r="Q1094" i="3"/>
  <c r="Q283" i="3"/>
  <c r="Q603" i="3"/>
  <c r="Q759" i="3"/>
  <c r="Q879" i="3"/>
  <c r="Q991" i="3"/>
  <c r="Q456" i="3"/>
  <c r="Q1048" i="3"/>
  <c r="Q1138" i="3"/>
  <c r="Q1177" i="3"/>
  <c r="Q889" i="3"/>
  <c r="Q1180" i="3"/>
  <c r="Q1122" i="3"/>
  <c r="Q563" i="3"/>
  <c r="Q1072" i="3"/>
  <c r="Q224" i="3"/>
  <c r="Q961" i="3"/>
  <c r="Q1201" i="3"/>
  <c r="Q1206" i="3"/>
  <c r="Q904" i="3"/>
  <c r="Q1184" i="3"/>
  <c r="Q1205" i="3"/>
  <c r="Q745" i="3"/>
  <c r="Q1121" i="3"/>
  <c r="Q1113" i="3"/>
  <c r="Q153" i="3"/>
  <c r="Q948" i="3"/>
  <c r="Q853" i="3"/>
  <c r="Q364" i="3"/>
  <c r="Q1014" i="3"/>
  <c r="Q791" i="3"/>
  <c r="Q1114" i="3"/>
  <c r="Q1199" i="3"/>
  <c r="Q564" i="3"/>
  <c r="Q1032" i="3"/>
  <c r="Q1185" i="3"/>
  <c r="Q601" i="3"/>
  <c r="Q84" i="3"/>
  <c r="Q909" i="3"/>
  <c r="Q492" i="3"/>
  <c r="Q1078" i="3"/>
  <c r="Q847" i="3"/>
  <c r="Q1189" i="3"/>
  <c r="Q720" i="3"/>
  <c r="Q833" i="3"/>
  <c r="Q1142" i="3"/>
  <c r="Q180" i="3"/>
  <c r="Q1034" i="3"/>
  <c r="Q532" i="3"/>
  <c r="Q1077" i="3"/>
  <c r="Q790" i="3"/>
  <c r="Q368" i="3"/>
  <c r="Q1015" i="3"/>
  <c r="Q288" i="3"/>
  <c r="Q768" i="3"/>
  <c r="Q1194" i="3"/>
  <c r="Q1097" i="3"/>
  <c r="Q166" i="3"/>
  <c r="Q859" i="3"/>
  <c r="Q680" i="3"/>
  <c r="Q1141" i="3"/>
  <c r="Q838" i="3"/>
  <c r="Q516" i="3"/>
  <c r="Q200" i="3"/>
  <c r="Q761" i="3"/>
  <c r="Q960" i="3"/>
  <c r="Q1065" i="3"/>
  <c r="Q500" i="3"/>
  <c r="Q319" i="3"/>
  <c r="Q805" i="3"/>
  <c r="Q958" i="3"/>
  <c r="Q920" i="3"/>
  <c r="Q1156" i="3"/>
  <c r="Q1063" i="3"/>
  <c r="Q330" i="3"/>
  <c r="Q973" i="3"/>
  <c r="Q419" i="3"/>
  <c r="Q1029" i="3"/>
  <c r="Q196" i="3"/>
  <c r="Q1009" i="3"/>
  <c r="Q1161" i="3"/>
  <c r="Q147" i="3"/>
  <c r="Q44" i="3"/>
  <c r="Q644" i="3"/>
  <c r="Q1017" i="3"/>
  <c r="Q328" i="3"/>
  <c r="Q804" i="3"/>
  <c r="Q195" i="3"/>
  <c r="Q735" i="3"/>
  <c r="Q1137" i="3"/>
  <c r="Q776" i="3"/>
  <c r="Q235" i="3"/>
  <c r="Q643" i="3"/>
  <c r="Q363" i="3"/>
  <c r="Q734" i="3"/>
  <c r="Q959" i="3"/>
  <c r="Q220" i="3"/>
  <c r="Q976" i="3"/>
  <c r="Q550" i="3"/>
  <c r="Q741" i="3"/>
  <c r="Q902" i="3"/>
  <c r="Q728" i="3"/>
  <c r="Q1209" i="3"/>
  <c r="Q873" i="3"/>
  <c r="Q911" i="3"/>
  <c r="Q435" i="3"/>
  <c r="Q817" i="3"/>
  <c r="Q1073" i="3"/>
  <c r="Q1202" i="3"/>
  <c r="R1202" i="3" s="1"/>
  <c r="Q48" i="3"/>
  <c r="R1105" i="3" l="1"/>
  <c r="G8" i="3"/>
  <c r="H8" i="3"/>
  <c r="R479" i="3"/>
  <c r="R885" i="3"/>
  <c r="R619" i="3"/>
  <c r="R785" i="3"/>
  <c r="R776" i="3"/>
  <c r="R121" i="3"/>
  <c r="R343" i="3"/>
  <c r="R176" i="3"/>
  <c r="R1187" i="3"/>
  <c r="R616" i="3"/>
  <c r="R1075" i="3"/>
  <c r="R1059" i="3"/>
  <c r="R546" i="3"/>
  <c r="R504" i="3"/>
  <c r="R368" i="3"/>
  <c r="R800" i="3"/>
  <c r="R490" i="3"/>
  <c r="R1083" i="3"/>
  <c r="R578" i="3"/>
  <c r="R208" i="3"/>
  <c r="R872" i="3"/>
  <c r="R279" i="3"/>
  <c r="R1118" i="3"/>
  <c r="R403" i="3"/>
  <c r="R144" i="3"/>
  <c r="R671" i="3"/>
  <c r="R83" i="3"/>
  <c r="R510" i="3"/>
  <c r="R832" i="3"/>
  <c r="R949" i="3"/>
  <c r="R1108" i="3"/>
  <c r="R854" i="3"/>
  <c r="R549" i="3"/>
  <c r="R939" i="3"/>
  <c r="R440" i="3"/>
  <c r="R1021" i="3"/>
  <c r="R811" i="3"/>
  <c r="R240" i="3"/>
  <c r="R88" i="3"/>
  <c r="R837" i="3"/>
  <c r="R520" i="3"/>
  <c r="R93" i="3"/>
  <c r="R305" i="3"/>
  <c r="R270" i="3"/>
  <c r="R572" i="3"/>
  <c r="R610" i="3"/>
  <c r="R691" i="3"/>
  <c r="R40" i="3"/>
  <c r="R541" i="3"/>
  <c r="R223" i="3"/>
  <c r="R390" i="3"/>
  <c r="R908" i="3"/>
  <c r="R205" i="3"/>
  <c r="R915" i="3"/>
  <c r="R642" i="3"/>
  <c r="R374" i="3"/>
  <c r="R177" i="3"/>
  <c r="R859" i="3"/>
  <c r="R677" i="3"/>
  <c r="R1003" i="3"/>
  <c r="R408" i="3"/>
  <c r="R196" i="3"/>
  <c r="R180" i="3"/>
  <c r="R346" i="3"/>
  <c r="R1116" i="3"/>
  <c r="R790" i="3"/>
  <c r="R864" i="3"/>
  <c r="R1080" i="3"/>
  <c r="R744" i="3"/>
  <c r="R525" i="3"/>
  <c r="R363" i="3"/>
  <c r="R1141" i="3"/>
  <c r="R712" i="3"/>
  <c r="R1181" i="3"/>
  <c r="R771" i="3"/>
  <c r="R907" i="3"/>
  <c r="R664" i="3"/>
  <c r="R748" i="3"/>
  <c r="R1144" i="3"/>
  <c r="R1173" i="3"/>
  <c r="R1207" i="3"/>
  <c r="R1019" i="3"/>
  <c r="R450" i="3"/>
  <c r="R430" i="3"/>
  <c r="R597" i="3"/>
  <c r="R85" i="3"/>
  <c r="R198" i="3"/>
  <c r="R726" i="3"/>
  <c r="R74" i="3"/>
  <c r="R1168" i="3"/>
  <c r="R250" i="3"/>
  <c r="R736" i="3"/>
  <c r="R649" i="3"/>
  <c r="R896" i="3"/>
  <c r="R456" i="3"/>
  <c r="R444" i="3"/>
  <c r="R423" i="3"/>
  <c r="R1013" i="3"/>
  <c r="R1084" i="3"/>
  <c r="R80" i="3"/>
  <c r="R700" i="3"/>
  <c r="R561" i="3"/>
  <c r="R14" i="3"/>
  <c r="R378" i="3"/>
  <c r="R925" i="3"/>
  <c r="R418" i="3"/>
  <c r="R274" i="3"/>
  <c r="R894" i="3"/>
  <c r="R530" i="3"/>
  <c r="R856" i="3"/>
  <c r="R1145" i="3"/>
  <c r="R765" i="3"/>
  <c r="R326" i="3"/>
  <c r="R122" i="3"/>
  <c r="R1007" i="3"/>
  <c r="R931" i="3"/>
  <c r="R260" i="3"/>
  <c r="R589" i="3"/>
  <c r="R1096" i="3"/>
  <c r="R256" i="3"/>
  <c r="R1120" i="3"/>
  <c r="R1048" i="3"/>
  <c r="R1147" i="3"/>
  <c r="R653" i="3"/>
  <c r="R792" i="3"/>
  <c r="R723" i="3"/>
  <c r="R745" i="3"/>
  <c r="R56" i="3"/>
  <c r="R29" i="3"/>
  <c r="R49" i="3"/>
  <c r="R680" i="3"/>
  <c r="R720" i="3"/>
  <c r="R904" i="3"/>
  <c r="R1180" i="3"/>
  <c r="R891" i="3"/>
  <c r="R52" i="3"/>
  <c r="R1015" i="3"/>
  <c r="R729" i="3"/>
  <c r="R731" i="3"/>
  <c r="R1204" i="3"/>
  <c r="R701" i="3"/>
  <c r="R320" i="3"/>
  <c r="R650" i="3"/>
  <c r="R1135" i="3"/>
  <c r="R1029" i="3"/>
  <c r="R936" i="3"/>
  <c r="R981" i="3"/>
  <c r="R1044" i="3"/>
  <c r="R875" i="3"/>
  <c r="R808" i="3"/>
  <c r="R984" i="3"/>
  <c r="R218" i="3"/>
  <c r="R215" i="3"/>
  <c r="R382" i="3"/>
  <c r="R1149" i="3"/>
  <c r="R881" i="3"/>
  <c r="R138" i="3"/>
  <c r="R410" i="3"/>
  <c r="R795" i="3"/>
  <c r="R1171" i="3"/>
  <c r="R656" i="3"/>
  <c r="R477" i="3"/>
  <c r="R103" i="3"/>
  <c r="R661" i="3"/>
  <c r="R149" i="3"/>
  <c r="R753" i="3"/>
  <c r="R607" i="3"/>
  <c r="R262" i="3"/>
  <c r="R359" i="3"/>
  <c r="R688" i="3"/>
  <c r="R1062" i="3"/>
  <c r="R152" i="3"/>
  <c r="R1176" i="3"/>
  <c r="R392" i="3"/>
  <c r="R426" i="3"/>
  <c r="R130" i="3"/>
  <c r="R304" i="3"/>
  <c r="R704" i="3"/>
  <c r="R544" i="3"/>
  <c r="R806" i="3"/>
  <c r="R1104" i="3"/>
  <c r="R860" i="3"/>
  <c r="R568" i="3"/>
  <c r="R533" i="3"/>
  <c r="R768" i="3"/>
  <c r="R328" i="3"/>
  <c r="R316" i="3"/>
  <c r="R779" i="3"/>
  <c r="R498" i="3"/>
  <c r="R640" i="3"/>
  <c r="R116" i="3"/>
  <c r="R95" i="3"/>
  <c r="R764" i="3"/>
  <c r="R1139" i="3"/>
  <c r="R624" i="3"/>
  <c r="R113" i="3"/>
  <c r="R1049" i="3"/>
  <c r="R246" i="3"/>
  <c r="R413" i="3"/>
  <c r="R508" i="3"/>
  <c r="R995" i="3"/>
  <c r="R376" i="3"/>
  <c r="R272" i="3"/>
  <c r="R552" i="3"/>
  <c r="R483" i="3"/>
  <c r="R362" i="3"/>
  <c r="R634" i="3"/>
  <c r="R1102" i="3"/>
  <c r="R934" i="3"/>
  <c r="R787" i="3"/>
  <c r="R506" i="3"/>
  <c r="R637" i="3"/>
  <c r="R48" i="3"/>
  <c r="R1213" i="3"/>
  <c r="R1043" i="3"/>
  <c r="R851" i="3"/>
  <c r="R1160" i="3"/>
  <c r="R1032" i="3"/>
  <c r="R888" i="3"/>
  <c r="R968" i="3"/>
  <c r="R962" i="3"/>
  <c r="R355" i="3"/>
  <c r="R1052" i="3"/>
  <c r="R70" i="3"/>
  <c r="R454" i="3"/>
  <c r="R817" i="3"/>
  <c r="R816" i="3"/>
  <c r="R264" i="3"/>
  <c r="R230" i="3"/>
  <c r="R231" i="3"/>
  <c r="H9" i="3"/>
  <c r="G9" i="3"/>
  <c r="H17" i="3"/>
  <c r="G17" i="3"/>
  <c r="R1125" i="3"/>
  <c r="H21" i="3"/>
  <c r="G21" i="3"/>
  <c r="H18" i="3"/>
  <c r="G18" i="3"/>
  <c r="R693" i="3"/>
  <c r="R1024" i="3"/>
  <c r="R1004" i="3"/>
  <c r="R24" i="3"/>
  <c r="R761" i="3"/>
  <c r="H22" i="3"/>
  <c r="G22" i="3"/>
  <c r="R564" i="3"/>
  <c r="R778" i="3"/>
  <c r="R397" i="3"/>
  <c r="R68" i="3"/>
  <c r="R349" i="3"/>
  <c r="R715" i="3"/>
  <c r="R188" i="3"/>
  <c r="G16" i="3"/>
  <c r="H16" i="3"/>
  <c r="G14" i="3"/>
  <c r="H14" i="3"/>
  <c r="R920" i="3"/>
  <c r="R330" i="3"/>
  <c r="R394" i="3"/>
  <c r="R1056" i="3"/>
  <c r="R560" i="3"/>
  <c r="R917" i="3"/>
  <c r="R400" i="3"/>
  <c r="R405" i="3"/>
  <c r="R252" i="3"/>
  <c r="R699" i="3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R280" i="3"/>
  <c r="R644" i="3"/>
  <c r="R112" i="3"/>
  <c r="R1045" i="3"/>
  <c r="R282" i="3"/>
  <c r="R742" i="3"/>
  <c r="R461" i="3"/>
  <c r="R876" i="3"/>
  <c r="R514" i="3"/>
  <c r="R613" i="3"/>
  <c r="R606" i="3"/>
  <c r="R1155" i="3"/>
  <c r="R1094" i="3"/>
  <c r="R780" i="3"/>
  <c r="R628" i="3"/>
  <c r="R740" i="3"/>
  <c r="R953" i="3"/>
  <c r="R912" i="3"/>
  <c r="R796" i="3"/>
  <c r="R452" i="3"/>
  <c r="R424" i="3"/>
  <c r="R615" i="3"/>
  <c r="R763" i="3"/>
  <c r="R132" i="3"/>
  <c r="R1088" i="3"/>
  <c r="R600" i="3"/>
  <c r="R1190" i="3"/>
  <c r="R733" i="3"/>
  <c r="R295" i="3"/>
  <c r="R441" i="3"/>
  <c r="R584" i="3"/>
  <c r="R72" i="3"/>
  <c r="R1211" i="3"/>
  <c r="R351" i="3"/>
  <c r="R157" i="3"/>
  <c r="R557" i="3"/>
  <c r="R1137" i="3"/>
  <c r="R960" i="3"/>
  <c r="R464" i="3"/>
  <c r="R697" i="3"/>
  <c r="R899" i="3"/>
  <c r="R1009" i="3"/>
  <c r="R184" i="3"/>
  <c r="R23" i="3"/>
  <c r="R538" i="3"/>
  <c r="R46" i="3"/>
  <c r="R213" i="3"/>
  <c r="R344" i="3"/>
  <c r="R1148" i="3"/>
  <c r="R1054" i="3"/>
  <c r="R1068" i="3"/>
  <c r="R372" i="3"/>
  <c r="R227" i="3"/>
  <c r="R1113" i="3"/>
  <c r="R535" i="3"/>
  <c r="R26" i="3"/>
  <c r="R739" i="3"/>
  <c r="R849" i="3"/>
  <c r="R42" i="3"/>
  <c r="R1163" i="3"/>
  <c r="R732" i="3"/>
  <c r="R202" i="3"/>
  <c r="R682" i="3"/>
  <c r="R170" i="3"/>
  <c r="R902" i="3"/>
  <c r="R448" i="3"/>
  <c r="R1051" i="3"/>
  <c r="R415" i="3"/>
  <c r="R380" i="3"/>
  <c r="R398" i="3"/>
  <c r="R565" i="3"/>
  <c r="R621" i="3"/>
  <c r="R784" i="3"/>
  <c r="R248" i="3"/>
  <c r="R747" i="3"/>
  <c r="R602" i="3"/>
  <c r="R90" i="3"/>
  <c r="R1107" i="3"/>
  <c r="R277" i="3"/>
  <c r="R848" i="3"/>
  <c r="R1112" i="3"/>
  <c r="R921" i="3"/>
  <c r="R285" i="3"/>
  <c r="R99" i="3"/>
  <c r="R812" i="3"/>
  <c r="R1093" i="3"/>
  <c r="R536" i="3"/>
  <c r="R1078" i="3"/>
  <c r="R386" i="3"/>
  <c r="R516" i="3"/>
  <c r="R852" i="3"/>
  <c r="R972" i="3"/>
  <c r="R825" i="3"/>
  <c r="R570" i="3"/>
  <c r="R58" i="3"/>
  <c r="R200" i="3"/>
  <c r="R594" i="3"/>
  <c r="R679" i="3"/>
  <c r="R334" i="3"/>
  <c r="R979" i="3"/>
  <c r="R60" i="3"/>
  <c r="R312" i="3"/>
  <c r="R134" i="3"/>
  <c r="R1011" i="3"/>
  <c r="R956" i="3"/>
  <c r="R18" i="3"/>
  <c r="R666" i="3"/>
  <c r="R154" i="3"/>
  <c r="R629" i="3"/>
  <c r="R118" i="3"/>
  <c r="R518" i="3"/>
  <c r="R174" i="3"/>
  <c r="R341" i="3"/>
  <c r="R805" i="3"/>
  <c r="R543" i="3"/>
  <c r="R515" i="3"/>
  <c r="R721" i="3"/>
  <c r="R1162" i="3"/>
  <c r="R1041" i="3"/>
  <c r="R868" i="3"/>
  <c r="R432" i="3"/>
  <c r="R458" i="3"/>
  <c r="R803" i="3"/>
  <c r="R1132" i="3"/>
  <c r="R1072" i="3"/>
  <c r="R645" i="3"/>
  <c r="R1067" i="3"/>
  <c r="R487" i="3"/>
  <c r="R324" i="3"/>
  <c r="R718" i="3"/>
  <c r="R1169" i="3"/>
  <c r="R760" i="3"/>
  <c r="R755" i="3"/>
  <c r="R469" i="3"/>
  <c r="R120" i="3"/>
  <c r="R658" i="3"/>
  <c r="R632" i="3"/>
  <c r="R1158" i="3"/>
  <c r="R417" i="3"/>
  <c r="R998" i="3"/>
  <c r="R976" i="3"/>
  <c r="R234" i="3"/>
  <c r="R1027" i="3"/>
  <c r="R1110" i="3"/>
  <c r="R924" i="3"/>
  <c r="R916" i="3"/>
  <c r="R636" i="3"/>
  <c r="R965" i="3"/>
  <c r="R611" i="3"/>
  <c r="R1026" i="3"/>
  <c r="R1115" i="3"/>
  <c r="R599" i="3"/>
  <c r="R87" i="3"/>
  <c r="R254" i="3"/>
  <c r="R269" i="3"/>
  <c r="R436" i="3"/>
  <c r="R928" i="3"/>
  <c r="R1064" i="3"/>
  <c r="R1081" i="3"/>
  <c r="R728" i="3"/>
  <c r="R287" i="3"/>
  <c r="R124" i="3"/>
  <c r="R797" i="3"/>
  <c r="R433" i="3"/>
  <c r="R862" i="3"/>
  <c r="R940" i="3"/>
  <c r="R709" i="3"/>
  <c r="R1035" i="3"/>
  <c r="R974" i="3"/>
  <c r="R1099" i="3"/>
  <c r="R1177" i="3"/>
  <c r="R1000" i="3"/>
  <c r="R526" i="3"/>
  <c r="R592" i="3"/>
  <c r="R724" i="3"/>
  <c r="R462" i="3"/>
  <c r="R947" i="3"/>
  <c r="R64" i="3"/>
  <c r="R31" i="3"/>
  <c r="R266" i="3"/>
  <c r="R987" i="3"/>
  <c r="R167" i="3"/>
  <c r="R159" i="3"/>
  <c r="R466" i="3"/>
  <c r="R471" i="3"/>
  <c r="R126" i="3"/>
  <c r="R141" i="3"/>
  <c r="R308" i="3"/>
  <c r="R586" i="3"/>
  <c r="R161" i="3"/>
  <c r="R339" i="3"/>
  <c r="R38" i="3"/>
  <c r="R1194" i="3"/>
  <c r="R706" i="3"/>
  <c r="R830" i="3"/>
  <c r="R971" i="3"/>
  <c r="R977" i="3"/>
  <c r="R1085" i="3"/>
  <c r="R879" i="3"/>
  <c r="R773" i="3"/>
  <c r="R1184" i="3"/>
  <c r="R1091" i="3"/>
  <c r="R1192" i="3"/>
  <c r="R1157" i="3"/>
  <c r="R106" i="3"/>
  <c r="R1172" i="3"/>
  <c r="R827" i="3"/>
  <c r="R695" i="3"/>
  <c r="R206" i="3"/>
  <c r="R883" i="3"/>
  <c r="R291" i="3"/>
  <c r="R194" i="3"/>
  <c r="R580" i="3"/>
  <c r="R528" i="3"/>
  <c r="R923" i="3"/>
  <c r="R582" i="3"/>
  <c r="R407" i="3"/>
  <c r="R62" i="3"/>
  <c r="R77" i="3"/>
  <c r="R244" i="3"/>
  <c r="R438" i="3"/>
  <c r="R238" i="3"/>
  <c r="R486" i="3"/>
  <c r="R789" i="3"/>
  <c r="R824" i="3"/>
  <c r="R950" i="3"/>
  <c r="R1109" i="3"/>
  <c r="R1006" i="3"/>
  <c r="R190" i="3"/>
  <c r="R988" i="3"/>
  <c r="R1174" i="3"/>
  <c r="R992" i="3"/>
  <c r="R842" i="3"/>
  <c r="R821" i="3"/>
  <c r="R21" i="3"/>
  <c r="R982" i="3"/>
  <c r="R844" i="3"/>
  <c r="R793" i="3"/>
  <c r="R1040" i="3"/>
  <c r="R472" i="3"/>
  <c r="R168" i="3"/>
  <c r="R958" i="3"/>
  <c r="R943" i="3"/>
  <c r="R1038" i="3"/>
  <c r="R522" i="3"/>
  <c r="R1131" i="3"/>
  <c r="R496" i="3"/>
  <c r="R210" i="3"/>
  <c r="R233" i="3"/>
  <c r="R354" i="3"/>
  <c r="R609" i="3"/>
  <c r="R587" i="3"/>
  <c r="R1152" i="3"/>
  <c r="R1030" i="3"/>
  <c r="R751" i="3"/>
  <c r="R298" i="3"/>
  <c r="R819" i="3"/>
  <c r="R422" i="3"/>
  <c r="R710" i="3"/>
  <c r="R941" i="3"/>
  <c r="R185" i="3"/>
  <c r="R573" i="3"/>
  <c r="R1201" i="3"/>
  <c r="R314" i="3"/>
  <c r="R136" i="3"/>
  <c r="R221" i="3"/>
  <c r="R1077" i="3"/>
  <c r="R242" i="3"/>
  <c r="R446" i="3"/>
  <c r="R512" i="3"/>
  <c r="R481" i="3"/>
  <c r="R310" i="3"/>
  <c r="R147" i="3"/>
  <c r="R402" i="3"/>
  <c r="R110" i="3"/>
  <c r="R17" i="3"/>
  <c r="R358" i="3"/>
  <c r="R352" i="3"/>
  <c r="R840" i="3"/>
  <c r="R1001" i="3"/>
  <c r="R980" i="3"/>
  <c r="R892" i="3"/>
  <c r="R834" i="3"/>
  <c r="R685" i="3"/>
  <c r="R1034" i="3"/>
  <c r="R551" i="3"/>
  <c r="R388" i="3"/>
  <c r="R1179" i="3"/>
  <c r="R663" i="3"/>
  <c r="R151" i="3"/>
  <c r="R318" i="3"/>
  <c r="R333" i="3"/>
  <c r="R500" i="3"/>
  <c r="R674" i="3"/>
  <c r="R846" i="3"/>
  <c r="R1100" i="3"/>
  <c r="R861" i="3"/>
  <c r="R474" i="3"/>
  <c r="R142" i="3"/>
  <c r="R948" i="3"/>
  <c r="R467" i="3"/>
  <c r="R322" i="3"/>
  <c r="R166" i="3"/>
  <c r="R384" i="3"/>
  <c r="R449" i="3"/>
  <c r="R627" i="3"/>
  <c r="R336" i="3"/>
  <c r="R1197" i="3"/>
  <c r="R867" i="3"/>
  <c r="R1128" i="3"/>
  <c r="R162" i="3"/>
  <c r="R813" i="3"/>
  <c r="R759" i="3"/>
  <c r="R1016" i="3"/>
  <c r="R646" i="3"/>
  <c r="R955" i="3"/>
  <c r="R39" i="3"/>
  <c r="R555" i="3"/>
  <c r="R901" i="3"/>
  <c r="R54" i="3"/>
  <c r="R66" i="3"/>
  <c r="R366" i="3"/>
  <c r="R1195" i="3"/>
  <c r="R1153" i="3"/>
  <c r="R869" i="3"/>
  <c r="R843" i="3"/>
  <c r="R838" i="3"/>
  <c r="R1198" i="3"/>
  <c r="R1129" i="3"/>
  <c r="R996" i="3"/>
  <c r="R1022" i="3"/>
  <c r="R1142" i="3"/>
  <c r="R1089" i="3"/>
  <c r="R873" i="3"/>
  <c r="R918" i="3"/>
  <c r="R833" i="3"/>
  <c r="R1200" i="3"/>
  <c r="R1150" i="3"/>
  <c r="R296" i="3"/>
  <c r="R945" i="3"/>
  <c r="R841" i="3"/>
  <c r="R951" i="3"/>
  <c r="R299" i="3"/>
  <c r="R547" i="3"/>
  <c r="R1166" i="3"/>
  <c r="R913" i="3"/>
  <c r="R757" i="3"/>
  <c r="R1196" i="3"/>
  <c r="R1028" i="3"/>
  <c r="R672" i="3"/>
  <c r="R313" i="3"/>
  <c r="R758" i="3"/>
  <c r="R750" i="3"/>
  <c r="R845" i="3"/>
  <c r="R1033" i="3"/>
  <c r="R820" i="3"/>
  <c r="R683" i="3"/>
  <c r="R562" i="3"/>
  <c r="R675" i="3"/>
  <c r="R954" i="3"/>
  <c r="R1127" i="3"/>
  <c r="R297" i="3"/>
  <c r="R638" i="3"/>
  <c r="R475" i="3"/>
  <c r="R818" i="3"/>
  <c r="R991" i="3"/>
  <c r="R673" i="3"/>
  <c r="R335" i="3"/>
  <c r="R502" i="3"/>
  <c r="R517" i="3"/>
  <c r="R684" i="3"/>
  <c r="R172" i="3"/>
  <c r="R1130" i="3"/>
  <c r="R480" i="3"/>
  <c r="R791" i="3"/>
  <c r="R473" i="3"/>
  <c r="R647" i="3"/>
  <c r="R135" i="3"/>
  <c r="R302" i="3"/>
  <c r="R317" i="3"/>
  <c r="R484" i="3"/>
  <c r="R651" i="3"/>
  <c r="R139" i="3"/>
  <c r="R866" i="3"/>
  <c r="R1039" i="3"/>
  <c r="R114" i="3"/>
  <c r="R209" i="3"/>
  <c r="R383" i="3"/>
  <c r="R550" i="3"/>
  <c r="R53" i="3"/>
  <c r="R220" i="3"/>
  <c r="R387" i="3"/>
  <c r="R1178" i="3"/>
  <c r="R626" i="3"/>
  <c r="R839" i="3"/>
  <c r="R521" i="3"/>
  <c r="R16" i="3"/>
  <c r="R183" i="3"/>
  <c r="R350" i="3"/>
  <c r="R365" i="3"/>
  <c r="R532" i="3"/>
  <c r="R20" i="3"/>
  <c r="R187" i="3"/>
  <c r="R978" i="3"/>
  <c r="R1151" i="3"/>
  <c r="R554" i="3"/>
  <c r="R321" i="3"/>
  <c r="R495" i="3"/>
  <c r="R662" i="3"/>
  <c r="R150" i="3"/>
  <c r="R165" i="3"/>
  <c r="R332" i="3"/>
  <c r="R499" i="3"/>
  <c r="R989" i="3"/>
  <c r="R1086" i="3"/>
  <c r="R766" i="3"/>
  <c r="R997" i="3"/>
  <c r="R801" i="3"/>
  <c r="R713" i="3"/>
  <c r="R43" i="3"/>
  <c r="R1133" i="3"/>
  <c r="R964" i="3"/>
  <c r="R57" i="3"/>
  <c r="R1025" i="3"/>
  <c r="R717" i="3"/>
  <c r="R905" i="3"/>
  <c r="R756" i="3"/>
  <c r="R1079" i="3"/>
  <c r="R590" i="3"/>
  <c r="R427" i="3"/>
  <c r="R1071" i="3"/>
  <c r="R419" i="3"/>
  <c r="R890" i="3"/>
  <c r="R1063" i="3"/>
  <c r="R574" i="3"/>
  <c r="R411" i="3"/>
  <c r="R754" i="3"/>
  <c r="R927" i="3"/>
  <c r="R97" i="3"/>
  <c r="R271" i="3"/>
  <c r="R453" i="3"/>
  <c r="R620" i="3"/>
  <c r="R108" i="3"/>
  <c r="R275" i="3"/>
  <c r="R1066" i="3"/>
  <c r="R224" i="3"/>
  <c r="R727" i="3"/>
  <c r="R409" i="3"/>
  <c r="R583" i="3"/>
  <c r="R71" i="3"/>
  <c r="R253" i="3"/>
  <c r="R420" i="3"/>
  <c r="R75" i="3"/>
  <c r="R802" i="3"/>
  <c r="R975" i="3"/>
  <c r="R657" i="3"/>
  <c r="R145" i="3"/>
  <c r="R319" i="3"/>
  <c r="R501" i="3"/>
  <c r="R668" i="3"/>
  <c r="R156" i="3"/>
  <c r="R323" i="3"/>
  <c r="R1114" i="3"/>
  <c r="R416" i="3"/>
  <c r="R775" i="3"/>
  <c r="R457" i="3"/>
  <c r="R631" i="3"/>
  <c r="R119" i="3"/>
  <c r="R286" i="3"/>
  <c r="R301" i="3"/>
  <c r="R468" i="3"/>
  <c r="R635" i="3"/>
  <c r="R123" i="3"/>
  <c r="R914" i="3"/>
  <c r="R1087" i="3"/>
  <c r="R306" i="3"/>
  <c r="R257" i="3"/>
  <c r="R431" i="3"/>
  <c r="R598" i="3"/>
  <c r="R86" i="3"/>
  <c r="R101" i="3"/>
  <c r="R268" i="3"/>
  <c r="R435" i="3"/>
  <c r="R1164" i="3"/>
  <c r="R893" i="3"/>
  <c r="R107" i="3"/>
  <c r="R734" i="3"/>
  <c r="R741" i="3"/>
  <c r="R933" i="3"/>
  <c r="R633" i="3"/>
  <c r="R910" i="3"/>
  <c r="R1005" i="3"/>
  <c r="R1189" i="3"/>
  <c r="R952" i="3"/>
  <c r="R900" i="3"/>
  <c r="R970" i="3"/>
  <c r="R865" i="3"/>
  <c r="R1210" i="3"/>
  <c r="R777" i="3"/>
  <c r="R692" i="3"/>
  <c r="R823" i="3"/>
  <c r="R171" i="3"/>
  <c r="R815" i="3"/>
  <c r="R163" i="3"/>
  <c r="R826" i="3"/>
  <c r="R999" i="3"/>
  <c r="R681" i="3"/>
  <c r="R169" i="3"/>
  <c r="R347" i="3"/>
  <c r="R98" i="3"/>
  <c r="R690" i="3"/>
  <c r="R863" i="3"/>
  <c r="R545" i="3"/>
  <c r="R33" i="3"/>
  <c r="R207" i="3"/>
  <c r="R389" i="3"/>
  <c r="R556" i="3"/>
  <c r="R44" i="3"/>
  <c r="R211" i="3"/>
  <c r="R1002" i="3"/>
  <c r="R1175" i="3"/>
  <c r="R618" i="3"/>
  <c r="R345" i="3"/>
  <c r="R519" i="3"/>
  <c r="R686" i="3"/>
  <c r="R189" i="3"/>
  <c r="R356" i="3"/>
  <c r="R523" i="3"/>
  <c r="R290" i="3"/>
  <c r="R738" i="3"/>
  <c r="R911" i="3"/>
  <c r="R593" i="3"/>
  <c r="R81" i="3"/>
  <c r="R255" i="3"/>
  <c r="R437" i="3"/>
  <c r="R604" i="3"/>
  <c r="R92" i="3"/>
  <c r="R259" i="3"/>
  <c r="R1050" i="3"/>
  <c r="R160" i="3"/>
  <c r="R711" i="3"/>
  <c r="R393" i="3"/>
  <c r="R567" i="3"/>
  <c r="R55" i="3"/>
  <c r="R222" i="3"/>
  <c r="R237" i="3"/>
  <c r="R404" i="3"/>
  <c r="R571" i="3"/>
  <c r="R59" i="3"/>
  <c r="R850" i="3"/>
  <c r="R1023" i="3"/>
  <c r="R50" i="3"/>
  <c r="R193" i="3"/>
  <c r="R367" i="3"/>
  <c r="R534" i="3"/>
  <c r="R22" i="3"/>
  <c r="R37" i="3"/>
  <c r="R204" i="3"/>
  <c r="R371" i="3"/>
  <c r="R1060" i="3"/>
  <c r="R1199" i="3"/>
  <c r="R1036" i="3"/>
  <c r="R1098" i="3"/>
  <c r="R1193" i="3"/>
  <c r="R1046" i="3"/>
  <c r="R1124" i="3"/>
  <c r="R944" i="3"/>
  <c r="R1191" i="3"/>
  <c r="R1057" i="3"/>
  <c r="R1212" i="3"/>
  <c r="R377" i="3"/>
  <c r="R360" i="3"/>
  <c r="R625" i="3"/>
  <c r="R782" i="3"/>
  <c r="R877" i="3"/>
  <c r="R1065" i="3"/>
  <c r="R836" i="3"/>
  <c r="R714" i="3"/>
  <c r="R1136" i="3"/>
  <c r="R737" i="3"/>
  <c r="R1061" i="3"/>
  <c r="R581" i="3"/>
  <c r="R1140" i="3"/>
  <c r="R78" i="3"/>
  <c r="R488" i="3"/>
  <c r="R762" i="3"/>
  <c r="R935" i="3"/>
  <c r="R617" i="3"/>
  <c r="R105" i="3"/>
  <c r="R283" i="3"/>
  <c r="R1138" i="3"/>
  <c r="R799" i="3"/>
  <c r="R655" i="3"/>
  <c r="R143" i="3"/>
  <c r="R325" i="3"/>
  <c r="R492" i="3"/>
  <c r="R659" i="3"/>
  <c r="R938" i="3"/>
  <c r="R1111" i="3"/>
  <c r="R281" i="3"/>
  <c r="R455" i="3"/>
  <c r="R622" i="3"/>
  <c r="R125" i="3"/>
  <c r="R292" i="3"/>
  <c r="R459" i="3"/>
  <c r="R34" i="3"/>
  <c r="R648" i="3"/>
  <c r="R847" i="3"/>
  <c r="R529" i="3"/>
  <c r="R191" i="3"/>
  <c r="R373" i="3"/>
  <c r="R540" i="3"/>
  <c r="R28" i="3"/>
  <c r="R195" i="3"/>
  <c r="R986" i="3"/>
  <c r="R1159" i="3"/>
  <c r="R576" i="3"/>
  <c r="R329" i="3"/>
  <c r="R503" i="3"/>
  <c r="R670" i="3"/>
  <c r="R158" i="3"/>
  <c r="R173" i="3"/>
  <c r="R340" i="3"/>
  <c r="R507" i="3"/>
  <c r="R482" i="3"/>
  <c r="R786" i="3"/>
  <c r="R959" i="3"/>
  <c r="R641" i="3"/>
  <c r="R129" i="3"/>
  <c r="R303" i="3"/>
  <c r="R470" i="3"/>
  <c r="R485" i="3"/>
  <c r="R652" i="3"/>
  <c r="R140" i="3"/>
  <c r="R307" i="3"/>
  <c r="R1121" i="3"/>
  <c r="R889" i="3"/>
  <c r="R1208" i="3"/>
  <c r="R990" i="3"/>
  <c r="R926" i="3"/>
  <c r="R870" i="3"/>
  <c r="R957" i="3"/>
  <c r="R1126" i="3"/>
  <c r="R857" i="3"/>
  <c r="R932" i="3"/>
  <c r="R1017" i="3"/>
  <c r="R1020" i="3"/>
  <c r="R1090" i="3"/>
  <c r="R1070" i="3"/>
  <c r="R1165" i="3"/>
  <c r="R104" i="3"/>
  <c r="R369" i="3"/>
  <c r="R1073" i="3"/>
  <c r="R749" i="3"/>
  <c r="R937" i="3"/>
  <c r="R696" i="3"/>
  <c r="R772" i="3"/>
  <c r="R1143" i="3"/>
  <c r="R654" i="3"/>
  <c r="R491" i="3"/>
  <c r="R1008" i="3"/>
  <c r="R442" i="3"/>
  <c r="R1185" i="3"/>
  <c r="R853" i="3"/>
  <c r="R1076" i="3"/>
  <c r="R505" i="3"/>
  <c r="R232" i="3"/>
  <c r="R497" i="3"/>
  <c r="R698" i="3"/>
  <c r="R871" i="3"/>
  <c r="R553" i="3"/>
  <c r="R41" i="3"/>
  <c r="R219" i="3"/>
  <c r="R1074" i="3"/>
  <c r="R735" i="3"/>
  <c r="R591" i="3"/>
  <c r="R79" i="3"/>
  <c r="R261" i="3"/>
  <c r="R428" i="3"/>
  <c r="R595" i="3"/>
  <c r="R874" i="3"/>
  <c r="R1047" i="3"/>
  <c r="R146" i="3"/>
  <c r="R217" i="3"/>
  <c r="R391" i="3"/>
  <c r="R558" i="3"/>
  <c r="R61" i="3"/>
  <c r="R228" i="3"/>
  <c r="R395" i="3"/>
  <c r="R1122" i="3"/>
  <c r="R783" i="3"/>
  <c r="R465" i="3"/>
  <c r="R639" i="3"/>
  <c r="R127" i="3"/>
  <c r="R294" i="3"/>
  <c r="R309" i="3"/>
  <c r="R476" i="3"/>
  <c r="R643" i="3"/>
  <c r="R131" i="3"/>
  <c r="R922" i="3"/>
  <c r="R1095" i="3"/>
  <c r="R338" i="3"/>
  <c r="R265" i="3"/>
  <c r="R439" i="3"/>
  <c r="R94" i="3"/>
  <c r="R109" i="3"/>
  <c r="R276" i="3"/>
  <c r="R443" i="3"/>
  <c r="R226" i="3"/>
  <c r="R722" i="3"/>
  <c r="R895" i="3"/>
  <c r="R577" i="3"/>
  <c r="R65" i="3"/>
  <c r="R239" i="3"/>
  <c r="R406" i="3"/>
  <c r="R421" i="3"/>
  <c r="R588" i="3"/>
  <c r="R76" i="3"/>
  <c r="R243" i="3"/>
  <c r="R993" i="3"/>
  <c r="R1117" i="3"/>
  <c r="R798" i="3"/>
  <c r="R963" i="3"/>
  <c r="R804" i="3"/>
  <c r="R966" i="3"/>
  <c r="R961" i="3"/>
  <c r="R1069" i="3"/>
  <c r="R828" i="3"/>
  <c r="R689" i="3"/>
  <c r="R1209" i="3"/>
  <c r="R186" i="3"/>
  <c r="R942" i="3"/>
  <c r="R1037" i="3"/>
  <c r="R1205" i="3"/>
  <c r="R897" i="3"/>
  <c r="R809" i="3"/>
  <c r="R708" i="3"/>
  <c r="R887" i="3"/>
  <c r="R235" i="3"/>
  <c r="R880" i="3"/>
  <c r="R1134" i="3"/>
  <c r="R1206" i="3"/>
  <c r="R725" i="3"/>
  <c r="R1012" i="3"/>
  <c r="R249" i="3"/>
  <c r="R608" i="3"/>
  <c r="R241" i="3"/>
  <c r="R1146" i="3"/>
  <c r="R807" i="3"/>
  <c r="R489" i="3"/>
  <c r="R667" i="3"/>
  <c r="R155" i="3"/>
  <c r="R1010" i="3"/>
  <c r="R1183" i="3"/>
  <c r="R353" i="3"/>
  <c r="R527" i="3"/>
  <c r="R15" i="3"/>
  <c r="R182" i="3"/>
  <c r="R197" i="3"/>
  <c r="R364" i="3"/>
  <c r="R531" i="3"/>
  <c r="R19" i="3"/>
  <c r="R810" i="3"/>
  <c r="R983" i="3"/>
  <c r="R665" i="3"/>
  <c r="R153" i="3"/>
  <c r="R327" i="3"/>
  <c r="R494" i="3"/>
  <c r="R509" i="3"/>
  <c r="R676" i="3"/>
  <c r="R164" i="3"/>
  <c r="R331" i="3"/>
  <c r="R1058" i="3"/>
  <c r="R192" i="3"/>
  <c r="R719" i="3"/>
  <c r="R401" i="3"/>
  <c r="R575" i="3"/>
  <c r="R63" i="3"/>
  <c r="R245" i="3"/>
  <c r="R412" i="3"/>
  <c r="R579" i="3"/>
  <c r="R67" i="3"/>
  <c r="R858" i="3"/>
  <c r="R1031" i="3"/>
  <c r="R82" i="3"/>
  <c r="R201" i="3"/>
  <c r="R375" i="3"/>
  <c r="R542" i="3"/>
  <c r="R30" i="3"/>
  <c r="R45" i="3"/>
  <c r="R212" i="3"/>
  <c r="R379" i="3"/>
  <c r="R1170" i="3"/>
  <c r="R605" i="3"/>
  <c r="R831" i="3"/>
  <c r="R513" i="3"/>
  <c r="R687" i="3"/>
  <c r="R175" i="3"/>
  <c r="R342" i="3"/>
  <c r="R357" i="3"/>
  <c r="R524" i="3"/>
  <c r="R179" i="3"/>
  <c r="R929" i="3"/>
  <c r="R1053" i="3"/>
  <c r="R822" i="3"/>
  <c r="R814" i="3"/>
  <c r="R909" i="3"/>
  <c r="R1097" i="3"/>
  <c r="R769" i="3"/>
  <c r="R1156" i="3"/>
  <c r="R1014" i="3"/>
  <c r="R752" i="3"/>
  <c r="R1101" i="3"/>
  <c r="R1154" i="3"/>
  <c r="R1082" i="3"/>
  <c r="R288" i="3"/>
  <c r="R743" i="3"/>
  <c r="R425" i="3"/>
  <c r="R603" i="3"/>
  <c r="R91" i="3"/>
  <c r="R946" i="3"/>
  <c r="R1119" i="3"/>
  <c r="R434" i="3"/>
  <c r="R289" i="3"/>
  <c r="R463" i="3"/>
  <c r="R630" i="3"/>
  <c r="R133" i="3"/>
  <c r="R300" i="3"/>
  <c r="R746" i="3"/>
  <c r="R919" i="3"/>
  <c r="R601" i="3"/>
  <c r="R89" i="3"/>
  <c r="R263" i="3"/>
  <c r="R445" i="3"/>
  <c r="R612" i="3"/>
  <c r="R100" i="3"/>
  <c r="R267" i="3"/>
  <c r="R994" i="3"/>
  <c r="R1167" i="3"/>
  <c r="R337" i="3"/>
  <c r="R511" i="3"/>
  <c r="R678" i="3"/>
  <c r="R181" i="3"/>
  <c r="R348" i="3"/>
  <c r="R794" i="3"/>
  <c r="R967" i="3"/>
  <c r="R137" i="3"/>
  <c r="R311" i="3"/>
  <c r="R478" i="3"/>
  <c r="R493" i="3"/>
  <c r="R660" i="3"/>
  <c r="R148" i="3"/>
  <c r="R315" i="3"/>
  <c r="R1106" i="3"/>
  <c r="R767" i="3"/>
  <c r="R623" i="3"/>
  <c r="R111" i="3"/>
  <c r="R278" i="3"/>
  <c r="R293" i="3"/>
  <c r="R460" i="3"/>
  <c r="R115" i="3"/>
  <c r="R835" i="3"/>
  <c r="R707" i="3"/>
  <c r="R1203" i="3"/>
  <c r="R702" i="3"/>
  <c r="R1182" i="3"/>
  <c r="R774" i="3"/>
  <c r="R705" i="3"/>
  <c r="R829" i="3"/>
  <c r="R1188" i="3"/>
  <c r="R716" i="3"/>
  <c r="R694" i="3"/>
  <c r="R781" i="3"/>
  <c r="R969" i="3"/>
  <c r="R96" i="3"/>
  <c r="R770" i="3"/>
  <c r="R1092" i="3"/>
  <c r="R569" i="3"/>
  <c r="R886" i="3"/>
  <c r="R878" i="3"/>
  <c r="R973" i="3"/>
  <c r="R1161" i="3"/>
  <c r="R884" i="3"/>
  <c r="R906" i="3"/>
  <c r="R898" i="3"/>
  <c r="R1018" i="3"/>
  <c r="R32" i="3"/>
  <c r="R361" i="3"/>
  <c r="R539" i="3"/>
  <c r="R27" i="3"/>
  <c r="R882" i="3"/>
  <c r="R1055" i="3"/>
  <c r="R178" i="3"/>
  <c r="R225" i="3"/>
  <c r="R399" i="3"/>
  <c r="R566" i="3"/>
  <c r="R69" i="3"/>
  <c r="R236" i="3"/>
  <c r="R669" i="3"/>
  <c r="R855" i="3"/>
  <c r="R537" i="3"/>
  <c r="R25" i="3"/>
  <c r="R199" i="3"/>
  <c r="R381" i="3"/>
  <c r="R548" i="3"/>
  <c r="R36" i="3"/>
  <c r="R203" i="3"/>
  <c r="R930" i="3"/>
  <c r="R1103" i="3"/>
  <c r="R370" i="3"/>
  <c r="R273" i="3"/>
  <c r="R447" i="3"/>
  <c r="R614" i="3"/>
  <c r="R102" i="3"/>
  <c r="R117" i="3"/>
  <c r="R284" i="3"/>
  <c r="R451" i="3"/>
  <c r="R258" i="3"/>
  <c r="R730" i="3"/>
  <c r="R903" i="3"/>
  <c r="R585" i="3"/>
  <c r="R73" i="3"/>
  <c r="R247" i="3"/>
  <c r="R414" i="3"/>
  <c r="R429" i="3"/>
  <c r="R596" i="3"/>
  <c r="R84" i="3"/>
  <c r="R251" i="3"/>
  <c r="R1042" i="3"/>
  <c r="R128" i="3"/>
  <c r="R703" i="3"/>
  <c r="R385" i="3"/>
  <c r="R559" i="3"/>
  <c r="R47" i="3"/>
  <c r="R214" i="3"/>
  <c r="R229" i="3"/>
  <c r="R396" i="3"/>
  <c r="R563" i="3"/>
  <c r="R51" i="3"/>
  <c r="S13" i="3" a="1"/>
  <c r="S204" i="3" l="1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T798" i="3" s="1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T864" i="3" s="1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T501" i="3" s="1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X13" i="3" a="1"/>
  <c r="U13" i="3" a="1"/>
  <c r="T1133" i="3" l="1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417" i="3"/>
  <c r="Z418" i="3" s="1"/>
  <c r="Y113" i="3"/>
  <c r="Z114" i="3" s="1"/>
  <c r="Y1213" i="3"/>
  <c r="Y1021" i="3" l="1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W16" i="3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U10" i="3" l="1"/>
  <c r="X10" i="3"/>
  <c r="W733" i="3"/>
  <c r="Z733" i="3"/>
  <c r="W734" i="3"/>
</calcChain>
</file>

<file path=xl/sharedStrings.xml><?xml version="1.0" encoding="utf-8"?>
<sst xmlns="http://schemas.openxmlformats.org/spreadsheetml/2006/main" count="76" uniqueCount="64">
  <si>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</si>
  <si>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</si>
  <si>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</si>
  <si>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</si>
  <si>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</si>
  <si>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</si>
  <si>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</si>
  <si>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</si>
  <si>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</si>
  <si>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</si>
  <si>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</si>
  <si>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</si>
  <si>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</si>
  <si>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</si>
  <si>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</si>
  <si>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</si>
  <si>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</si>
  <si>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</si>
  <si>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</si>
  <si>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</si>
  <si>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</si>
  <si>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</si>
  <si>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</si>
  <si>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</si>
  <si>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</si>
  <si>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</si>
  <si>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</si>
  <si>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</si>
  <si>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</si>
  <si>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</si>
  <si>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</si>
  <si>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</si>
  <si>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</si>
  <si>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</si>
  <si>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</si>
  <si>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</si>
  <si>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</si>
  <si>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</si>
  <si>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</si>
  <si>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</si>
  <si>
    <t>유동성프리미엄 산출자료</t>
    <phoneticPr fontId="2" type="noConversion"/>
  </si>
  <si>
    <t>구분</t>
    <phoneticPr fontId="2" type="noConversion"/>
  </si>
  <si>
    <t>특수채</t>
    <phoneticPr fontId="2" type="noConversion"/>
  </si>
  <si>
    <t>금융채</t>
    <phoneticPr fontId="2" type="noConversion"/>
  </si>
  <si>
    <t>외화채</t>
    <phoneticPr fontId="2" type="noConversion"/>
  </si>
  <si>
    <t>개인대출</t>
    <phoneticPr fontId="2" type="noConversion"/>
  </si>
  <si>
    <t>계</t>
    <phoneticPr fontId="2" type="noConversion"/>
  </si>
  <si>
    <t>회사채 등</t>
    <phoneticPr fontId="2" type="noConversion"/>
  </si>
  <si>
    <t>위험스프레드
(A, bp)</t>
    <phoneticPr fontId="2" type="noConversion"/>
  </si>
  <si>
    <t>신용스프레드
(B, bp)</t>
    <phoneticPr fontId="2" type="noConversion"/>
  </si>
  <si>
    <t>자산별LP
(C=A-B, bp)</t>
    <phoneticPr fontId="2" type="noConversion"/>
  </si>
  <si>
    <t>장기선도금리 산출자료</t>
    <phoneticPr fontId="2" type="noConversion"/>
  </si>
  <si>
    <t>기대인플레이션</t>
    <phoneticPr fontId="2" type="noConversion"/>
  </si>
  <si>
    <t>장기선도
기준금리</t>
    <phoneticPr fontId="2" type="noConversion"/>
  </si>
  <si>
    <t>적용년도
(전년도 산출)</t>
    <phoneticPr fontId="2" type="noConversion"/>
  </si>
  <si>
    <t>△ 0.15%</t>
    <phoneticPr fontId="2" type="noConversion"/>
  </si>
  <si>
    <t>전년도 대비 조정</t>
    <phoneticPr fontId="2" type="noConversion"/>
  </si>
  <si>
    <t>△ 0.25%</t>
    <phoneticPr fontId="2" type="noConversion"/>
  </si>
  <si>
    <t>장기선도금리
(LTFR)</t>
    <phoneticPr fontId="2" type="noConversion"/>
  </si>
  <si>
    <t>자산비중
(D)</t>
    <phoneticPr fontId="2" type="noConversion"/>
  </si>
  <si>
    <t>가중평균
(C * D, bp)</t>
    <phoneticPr fontId="2" type="noConversion"/>
  </si>
  <si>
    <t>실질이자율 
장기평균</t>
    <phoneticPr fontId="2" type="noConversion"/>
  </si>
  <si>
    <t>※ 실질이자율 = { 명목이자율(=CD금리(91일물)) - 물가상승률 } / ( 1 + 물가상승률 )</t>
    <phoneticPr fontId="2" type="noConversion"/>
  </si>
  <si>
    <t>※ 실질이자율의 장기평균 : 각 연도별 국내 무위험 지표금리(CD91일물)에 
물가상승률을 차감조정한 값을 지수평활법을 통해 가중평균하여 산출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</si>
</sst>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  <numFmt numFmtId="191" formatCode="_-* #,##0_-;\-* #,##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  <font>
      <sz val="10"/>
      <color theme="0" tint="-4.9989318521683403E-2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lightUp"/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191" fontId="14" fillId="0" borderId="0" applyFon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9" fillId="0" borderId="12" xfId="0" applyFont="1" applyBorder="1">
      <alignment vertical="center"/>
    </xf>
    <xf numFmtId="0" fontId="7" fillId="12" borderId="2" xfId="0" applyFont="1" applyFill="1" applyBorder="1" applyAlignment="1">
      <alignment horizontal="center" vertical="center" wrapText="1"/>
    </xf>
    <xf numFmtId="0" fontId="7" fillId="12" borderId="2" xfId="0" applyFont="1" applyFill="1" applyBorder="1" applyAlignment="1">
      <alignment horizontal="center" vertical="center" shrinkToFit="1"/>
    </xf>
    <xf numFmtId="179" fontId="8" fillId="0" borderId="2" xfId="0" applyNumberFormat="1" applyFont="1" applyFill="1" applyBorder="1" applyAlignment="1">
      <alignment horizontal="center" vertical="center"/>
    </xf>
    <xf numFmtId="0" fontId="7" fillId="12" borderId="8" xfId="0" applyFont="1" applyFill="1" applyBorder="1" applyAlignment="1">
      <alignment horizontal="center" vertical="center"/>
    </xf>
    <xf numFmtId="0" fontId="7" fillId="12" borderId="8" xfId="0" applyFont="1" applyFill="1" applyBorder="1" applyAlignment="1">
      <alignment horizontal="center" vertical="center" shrinkToFit="1"/>
    </xf>
    <xf numFmtId="10" fontId="8" fillId="0" borderId="2" xfId="5" applyNumberFormat="1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182" fontId="8" fillId="0" borderId="2" xfId="0" applyNumberFormat="1" applyFont="1" applyBorder="1" applyAlignment="1">
      <alignment horizontal="center" vertical="center"/>
    </xf>
    <xf numFmtId="182" fontId="19" fillId="15" borderId="2" xfId="0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10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0" fontId="19" fillId="15" borderId="2" xfId="0" applyNumberFormat="1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0" fillId="0" borderId="1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</cellXfs>
  <cellStyles count="10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보통 2" xfId="9" xr:uid="{588A7036-7D8B-4214-ABFE-C628FC0D4DD9}"/>
    <cellStyle name="쉼표 [0] 2" xfId="8" xr:uid="{9EC669DA-D8B4-4B23-9141-3FD1B6D54B07}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11206</xdr:colOff>
      <xdr:row>34</xdr:row>
      <xdr:rowOff>10886</xdr:rowOff>
    </xdr:from>
    <xdr:to>
      <xdr:col>9</xdr:col>
      <xdr:colOff>0</xdr:colOff>
      <xdr:row>35</xdr:row>
      <xdr:rowOff>5443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E6BD73B6-1D11-46B2-9829-CD1760562123}"/>
            </a:ext>
          </a:extLst>
        </xdr:cNvPr>
        <xdr:cNvSpPr/>
      </xdr:nvSpPr>
      <xdr:spPr>
        <a:xfrm>
          <a:off x="6221506" y="6362700"/>
          <a:ext cx="152080" cy="16872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11206</xdr:colOff>
      <xdr:row>46</xdr:row>
      <xdr:rowOff>10886</xdr:rowOff>
    </xdr:from>
    <xdr:to>
      <xdr:col>9</xdr:col>
      <xdr:colOff>0</xdr:colOff>
      <xdr:row>47</xdr:row>
      <xdr:rowOff>5443</xdr:rowOff>
    </xdr:to>
    <xdr:sp macro="" textlink="">
      <xdr:nvSpPr>
        <xdr:cNvPr id="3" name="화살표: 오른쪽 2">
          <a:extLst>
            <a:ext uri="{FF2B5EF4-FFF2-40B4-BE49-F238E27FC236}">
              <a16:creationId xmlns:a16="http://schemas.microsoft.com/office/drawing/2014/main" id="{694B77D4-2214-4CDD-8389-019EF8E95A65}"/>
            </a:ext>
          </a:extLst>
        </xdr:cNvPr>
        <xdr:cNvSpPr/>
      </xdr:nvSpPr>
      <xdr:spPr>
        <a:xfrm>
          <a:off x="6230471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1214"/>
  <sheetViews>
    <sheetView tabSelected="1" zoomScale="70" zoomScaleNormal="70" workbookViewId="0">
      <selection activeCell="L40" sqref="L40"/>
    </sheetView>
  </sheetViews>
  <sheetFormatPr defaultRowHeight="17.100000000000001" customHeight="1" x14ac:dyDescent="0.3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1" bestFit="1" customWidth="1"/>
    <col min="11" max="11" width="10.25" style="41" customWidth="1"/>
    <col min="12" max="12" width="11.75" style="41" customWidth="1"/>
    <col min="13" max="13" width="11.625" style="41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6" width="15.75" customWidth="1"/>
    <col min="27" max="27" width="10.25" customWidth="1"/>
  </cols>
  <sheetData>
    <row r="1" spans="1:29" ht="17.100000000000001" customHeight="1" x14ac:dyDescent="0.25">
      <c r="A1" s="35"/>
      <c r="B1" t="s">
        <v>18</v>
      </c>
      <c r="D1" s="66" t="s">
        <v>30</v>
      </c>
      <c r="E1" s="67"/>
      <c r="F1" s="67"/>
      <c r="G1" s="67"/>
      <c r="H1" s="67"/>
      <c r="J1" s="101" t="s">
        <v>38</v>
      </c>
      <c r="K1" s="101"/>
      <c r="L1" s="101"/>
      <c r="M1" s="101"/>
      <c r="O1" s="102" t="s">
        <v>12</v>
      </c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</row>
    <row r="2" spans="1:29" ht="17.100000000000001" customHeight="1" x14ac:dyDescent="0.3">
      <c r="E2" s="1"/>
      <c r="N2" s="38"/>
    </row>
    <row r="3" spans="1:29" ht="17.100000000000001" customHeight="1" x14ac:dyDescent="0.3">
      <c r="D3" s="14"/>
      <c r="E3" s="68" t="s">
        <v>9</v>
      </c>
      <c r="F3" s="71"/>
      <c r="G3" s="71"/>
      <c r="H3" s="58"/>
      <c r="J3" s="47"/>
      <c r="K3" s="97" t="s">
        <v>39</v>
      </c>
      <c r="L3" s="97"/>
      <c r="M3" s="97"/>
      <c r="N3" s="39"/>
      <c r="O3" s="104"/>
      <c r="P3" s="104"/>
      <c r="Q3" s="78" t="s">
        <v>24</v>
      </c>
      <c r="R3" s="79"/>
      <c r="S3" s="68" t="s">
        <v>19</v>
      </c>
      <c r="T3" s="58"/>
      <c r="U3" s="58" t="s">
        <v>20</v>
      </c>
      <c r="V3" s="59"/>
      <c r="W3" s="59"/>
      <c r="X3" s="58" t="s">
        <v>27</v>
      </c>
      <c r="Y3" s="59"/>
      <c r="Z3" s="59"/>
    </row>
    <row r="4" spans="1:29" s="1" customFormat="1" ht="17.100000000000001" customHeight="1" x14ac:dyDescent="0.25">
      <c r="D4" s="4" t="s">
        <v>0</v>
      </c>
      <c r="E4" s="72">
        <v>46052</v>
      </c>
      <c r="F4" s="73"/>
      <c r="G4" s="73"/>
      <c r="H4" s="74"/>
      <c r="I4" s="3"/>
      <c r="J4" s="48" t="s">
        <v>31</v>
      </c>
      <c r="K4" s="98">
        <f>E4</f>
        <v>46052</v>
      </c>
      <c r="L4" s="99"/>
      <c r="M4" s="100"/>
      <c r="N4" s="40"/>
      <c r="O4" s="105" t="s">
        <v>0</v>
      </c>
      <c r="P4" s="105"/>
      <c r="Q4" s="69">
        <f>E4</f>
        <v>46052</v>
      </c>
      <c r="R4" s="61"/>
      <c r="S4" s="69">
        <f>E4</f>
        <v>46052</v>
      </c>
      <c r="T4" s="61"/>
      <c r="U4" s="60">
        <f>E4</f>
        <v>46052</v>
      </c>
      <c r="V4" s="60"/>
      <c r="W4" s="61"/>
      <c r="X4" s="60">
        <f>E4</f>
        <v>46052</v>
      </c>
      <c r="Y4" s="60"/>
      <c r="Z4" s="61"/>
      <c r="AC4" s="37"/>
    </row>
    <row r="5" spans="1:29" s="1" customFormat="1" ht="17.100000000000001" customHeight="1" x14ac:dyDescent="0.25">
      <c r="D5" s="5" t="s">
        <v>6</v>
      </c>
      <c r="E5" s="75">
        <v>0.1</v>
      </c>
      <c r="F5" s="76"/>
      <c r="G5" s="76"/>
      <c r="H5" s="77"/>
      <c r="I5" s="3"/>
      <c r="J5" s="48" t="s">
        <v>32</v>
      </c>
      <c r="K5" s="95">
        <v>0.1</v>
      </c>
      <c r="L5" s="95"/>
      <c r="M5" s="96"/>
      <c r="N5" s="40"/>
      <c r="O5" s="105" t="s">
        <v>2</v>
      </c>
      <c r="P5" s="105"/>
      <c r="Q5" s="80" t="s">
        <v>26</v>
      </c>
      <c r="R5" s="81"/>
      <c r="S5" s="70">
        <v>23</v>
      </c>
      <c r="T5" s="62"/>
      <c r="U5" s="62">
        <v>23</v>
      </c>
      <c r="V5" s="63"/>
      <c r="W5" s="63"/>
      <c r="X5" s="62">
        <v>23</v>
      </c>
      <c r="Y5" s="63"/>
      <c r="Z5" s="63"/>
      <c r="AC5" s="37"/>
    </row>
    <row r="6" spans="1:29" ht="17.100000000000001" customHeight="1" x14ac:dyDescent="0.25">
      <c r="D6" s="5" t="s">
        <v>7</v>
      </c>
      <c r="E6" s="75">
        <v>2</v>
      </c>
      <c r="F6" s="76"/>
      <c r="G6" s="76"/>
      <c r="H6" s="77"/>
      <c r="J6" s="48" t="s">
        <v>33</v>
      </c>
      <c r="K6" s="95">
        <v>2</v>
      </c>
      <c r="L6" s="95"/>
      <c r="M6" s="96"/>
      <c r="N6" s="38"/>
      <c r="O6" s="86" t="s">
        <v>3</v>
      </c>
      <c r="P6" s="86"/>
      <c r="Q6" s="82"/>
      <c r="R6" s="83"/>
      <c r="S6" s="70">
        <v>60</v>
      </c>
      <c r="T6" s="62"/>
      <c r="U6" s="62">
        <v>60</v>
      </c>
      <c r="V6" s="63"/>
      <c r="W6" s="63"/>
      <c r="X6" s="62">
        <v>60</v>
      </c>
      <c r="Y6" s="63"/>
      <c r="Z6" s="63"/>
      <c r="AC6" s="37"/>
    </row>
    <row r="7" spans="1:29" ht="17.100000000000001" customHeight="1" x14ac:dyDescent="0.25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8" t="s">
        <v>34</v>
      </c>
      <c r="K7" s="48" t="s">
        <v>35</v>
      </c>
      <c r="L7" s="48" t="s">
        <v>36</v>
      </c>
      <c r="M7" s="48" t="s">
        <v>37</v>
      </c>
      <c r="N7" s="38"/>
      <c r="O7" s="86" t="s">
        <v>4</v>
      </c>
      <c r="P7" s="86"/>
      <c r="Q7" s="82"/>
      <c r="R7" s="83"/>
      <c r="S7" s="92">
        <v>4.2999999999999997E-2</v>
      </c>
      <c r="T7" s="64"/>
      <c r="U7" s="64">
        <f>S7</f>
        <v>4.2999999999999997E-2</v>
      </c>
      <c r="V7" s="65"/>
      <c r="W7" s="65"/>
      <c r="X7" s="64">
        <f>S7</f>
        <v>4.2999999999999997E-2</v>
      </c>
      <c r="Y7" s="65"/>
      <c r="Z7" s="65"/>
      <c r="AC7" s="37"/>
    </row>
    <row r="8" spans="1:29" ht="17.100000000000001" customHeight="1" x14ac:dyDescent="0.25">
      <c r="D8" s="7">
        <v>0.25</v>
      </c>
      <c r="E8" s="34">
        <v>2.4470000000000002E-2</v>
      </c>
      <c r="F8" s="19">
        <f t="array" ref="F8:F23">SmithWilsonYTM(E23,E5,D8:D23,E8:E23,E6,D8:D23)</f>
        <v>2.4395456247286798E-2</v>
      </c>
      <c r="G8" s="19">
        <f>LN(EXP(F8)+$V$11)</f>
        <v>2.8621916898173713E-2</v>
      </c>
      <c r="H8" s="19">
        <f>LN(EXP(F8)+$Y$11)</f>
        <v>2.7776107387387401E-2</v>
      </c>
      <c r="J8" s="42">
        <v>0.25</v>
      </c>
      <c r="K8" s="49">
        <f t="array" ref="K8:K24">SmithWilsonYTM(E23,E5,D8:D23,E8:E23,E6,J8:J24)</f>
        <v>2.4395456247286798E-2</v>
      </c>
      <c r="L8" s="49">
        <f>LN(EXP(K8)+$V$11)</f>
        <v>2.8621916898173713E-2</v>
      </c>
      <c r="M8" s="49">
        <f>LN(EXP(K8)+$Y$11)</f>
        <v>2.7776107387387401E-2</v>
      </c>
      <c r="N8" s="38"/>
      <c r="O8" s="86" t="s">
        <v>1</v>
      </c>
      <c r="P8" s="86"/>
      <c r="Q8" s="82"/>
      <c r="R8" s="83"/>
      <c r="S8" s="87">
        <v>1</v>
      </c>
      <c r="T8" s="50"/>
      <c r="U8" s="50">
        <v>1</v>
      </c>
      <c r="V8" s="51"/>
      <c r="W8" s="51"/>
      <c r="X8" s="50">
        <v>1</v>
      </c>
      <c r="Y8" s="51"/>
      <c r="Z8" s="51"/>
      <c r="AC8" s="37"/>
    </row>
    <row r="9" spans="1:29" ht="17.100000000000001" customHeight="1" x14ac:dyDescent="0.25">
      <c r="D9" s="8">
        <v>0.5</v>
      </c>
      <c r="E9" s="9">
        <v>2.4820000000000002E-2</v>
      </c>
      <c r="F9" s="19">
        <v>2.4667254317629447E-2</v>
      </c>
      <c r="G9" s="19">
        <f t="shared" ref="G9:G23" si="0">LN(EXP(F9)+$V$11)</f>
        <v>2.8892568803923692E-2</v>
      </c>
      <c r="H9" s="19">
        <f t="shared" ref="H9:H23" si="1">LN(EXP(F9)+$Y$11)</f>
        <v>2.8046988278916676E-2</v>
      </c>
      <c r="J9" s="42">
        <v>0.5</v>
      </c>
      <c r="K9" s="49">
        <v>2.4667254317629447E-2</v>
      </c>
      <c r="L9" s="49">
        <f>LN(EXP(K9)+$V$11)</f>
        <v>2.8892568803923692E-2</v>
      </c>
      <c r="M9" s="49">
        <f t="shared" ref="M9:M24" si="2">LN(EXP(K9)+$Y$11)</f>
        <v>2.8046988278916676E-2</v>
      </c>
      <c r="O9" s="93" t="s">
        <v>11</v>
      </c>
      <c r="P9" s="94"/>
      <c r="Q9" s="82"/>
      <c r="R9" s="83"/>
      <c r="S9" s="88">
        <f>SmithWilson_ALPHA_UB_LB(S7,J8:J22,K8:K22,S6,S8*0.0001)</f>
        <v>0.11955001781195457</v>
      </c>
      <c r="T9" s="52"/>
      <c r="U9" s="52">
        <f>SmithWilson_ALPHA_UB_LB(U7,$J8:$J22,$L8:$L22,U6,U8*0.0001)</f>
        <v>0.10491204631159501</v>
      </c>
      <c r="V9" s="53"/>
      <c r="W9" s="53"/>
      <c r="X9" s="52">
        <f>SmithWilson_ALPHA_UB_LB(X7,$J8:$J22,$M8:$M22,X6,X8*0.0001)</f>
        <v>0.10863181666638611</v>
      </c>
      <c r="Y9" s="53"/>
      <c r="Z9" s="53"/>
      <c r="AC9" s="37"/>
    </row>
    <row r="10" spans="1:29" ht="17.100000000000001" customHeight="1" x14ac:dyDescent="0.25">
      <c r="D10" s="8">
        <v>0.75</v>
      </c>
      <c r="E10" s="9">
        <v>2.5870000000000001E-2</v>
      </c>
      <c r="F10" s="19">
        <v>2.5628227610153802E-2</v>
      </c>
      <c r="G10" s="19">
        <f t="shared" si="0"/>
        <v>2.9849492186303395E-2</v>
      </c>
      <c r="H10" s="19">
        <f t="shared" si="1"/>
        <v>2.9004720771754484E-2</v>
      </c>
      <c r="J10" s="42">
        <v>0.75</v>
      </c>
      <c r="K10" s="49">
        <v>2.5628227610153802E-2</v>
      </c>
      <c r="L10" s="49">
        <f t="shared" ref="L10:L24" si="3">LN(EXP(K10)+$V$11)</f>
        <v>2.9849492186303395E-2</v>
      </c>
      <c r="M10" s="49">
        <f t="shared" si="2"/>
        <v>2.9004720771754484E-2</v>
      </c>
      <c r="O10" s="93" t="s">
        <v>21</v>
      </c>
      <c r="P10" s="94"/>
      <c r="Q10" s="82"/>
      <c r="R10" s="83"/>
      <c r="S10" s="90" t="str">
        <f>IF(ROUND(ABS((VLOOKUP($S$6*12-1,$P$13:$T$1213,5,0)+VLOOKUP($S$6*12,$P$13:$T$1213,5,0))/2-$S$7),4)&lt;=0.0001,"PASS","FAIL")</f>
        <v>PASS</v>
      </c>
      <c r="T10" s="91"/>
      <c r="U10" s="54" t="str">
        <f>IF(ROUND(ABS((VLOOKUP($U$6*12-1,$P$13:$V$1213,7,0)+VLOOKUP($U$6*12,$P$13:$V$1213,7,0))/2-$U$7),4)&lt;=0.0001,"PASS","FAIL")</f>
        <v>PASS</v>
      </c>
      <c r="V10" s="54"/>
      <c r="W10" s="55"/>
      <c r="X10" s="54" t="str">
        <f>IF(ROUND(ABS((VLOOKUP($X$6*12-1,$P$13:$Y$1213,10,0)+VLOOKUP($X$6*12,$P$13:$Y$1213,10,0))/2-$X$7),4)&lt;=0.0001,"PASS","FAIL")</f>
        <v>PASS</v>
      </c>
      <c r="Y10" s="54"/>
      <c r="Z10" s="55"/>
      <c r="AC10" s="37"/>
    </row>
    <row r="11" spans="1:29" ht="17.100000000000001" customHeight="1" x14ac:dyDescent="0.25">
      <c r="D11" s="8">
        <v>1</v>
      </c>
      <c r="E11" s="9">
        <v>2.6880000000000001E-2</v>
      </c>
      <c r="F11" s="19">
        <v>2.6714642341474665E-2</v>
      </c>
      <c r="G11" s="19">
        <f t="shared" si="0"/>
        <v>3.0931333014013039E-2</v>
      </c>
      <c r="H11" s="19">
        <f t="shared" si="1"/>
        <v>3.0087475399001268E-2</v>
      </c>
      <c r="J11" s="42">
        <v>1</v>
      </c>
      <c r="K11" s="49">
        <v>2.6714642341474665E-2</v>
      </c>
      <c r="L11" s="49">
        <f t="shared" si="3"/>
        <v>3.0931333014013039E-2</v>
      </c>
      <c r="M11" s="49">
        <f t="shared" si="2"/>
        <v>3.0087475399001268E-2</v>
      </c>
      <c r="O11" s="93" t="s">
        <v>22</v>
      </c>
      <c r="P11" s="94"/>
      <c r="Q11" s="84"/>
      <c r="R11" s="85"/>
      <c r="S11" s="89">
        <v>0</v>
      </c>
      <c r="T11" s="77"/>
      <c r="U11" s="15" t="s">
        <v>23</v>
      </c>
      <c r="V11" s="56">
        <v>4.3400000000000001E-3</v>
      </c>
      <c r="W11" s="57"/>
      <c r="X11" s="32" t="s">
        <v>28</v>
      </c>
      <c r="Y11" s="56">
        <v>3.47E-3</v>
      </c>
      <c r="Z11" s="57"/>
      <c r="AC11" s="37"/>
    </row>
    <row r="12" spans="1:29" ht="17.100000000000001" customHeight="1" x14ac:dyDescent="0.25">
      <c r="D12" s="8">
        <v>1.5</v>
      </c>
      <c r="E12" s="9">
        <v>2.852E-2</v>
      </c>
      <c r="F12" s="19">
        <v>2.8351445591707301E-2</v>
      </c>
      <c r="G12" s="19">
        <f t="shared" si="0"/>
        <v>3.2561254512264756E-2</v>
      </c>
      <c r="H12" s="19">
        <f t="shared" si="1"/>
        <v>3.1718771777690564E-2</v>
      </c>
      <c r="J12" s="42">
        <v>1.5</v>
      </c>
      <c r="K12" s="49">
        <v>2.8351445591707301E-2</v>
      </c>
      <c r="L12" s="49">
        <f t="shared" si="3"/>
        <v>3.2561254512264756E-2</v>
      </c>
      <c r="M12" s="49">
        <f t="shared" si="2"/>
        <v>3.1718771777690564E-2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 t="s">
        <v>25</v>
      </c>
      <c r="X12" s="32" t="s">
        <v>13</v>
      </c>
      <c r="Y12" s="6" t="s">
        <v>5</v>
      </c>
      <c r="Z12" s="17" t="s">
        <v>25</v>
      </c>
      <c r="AC12" s="37"/>
    </row>
    <row r="13" spans="1:29" ht="17.100000000000001" customHeight="1" x14ac:dyDescent="0.25">
      <c r="D13" s="8">
        <v>2</v>
      </c>
      <c r="E13" s="9">
        <v>2.9180000000000001E-2</v>
      </c>
      <c r="F13" s="19">
        <v>2.9008819770748467E-2</v>
      </c>
      <c r="G13" s="19">
        <f t="shared" si="0"/>
        <v>3.3215867992304887E-2</v>
      </c>
      <c r="H13" s="19">
        <f t="shared" si="1"/>
        <v>3.237393680996694E-2</v>
      </c>
      <c r="J13" s="42">
        <v>2</v>
      </c>
      <c r="K13" s="49">
        <v>2.9008819770748467E-2</v>
      </c>
      <c r="L13" s="49">
        <f t="shared" si="3"/>
        <v>3.3215867992304887E-2</v>
      </c>
      <c r="M13" s="49">
        <f t="shared" si="2"/>
        <v>3.237393680996694E-2</v>
      </c>
      <c r="O13" s="12">
        <v>0</v>
      </c>
      <c r="P13" s="13">
        <v>0</v>
      </c>
      <c r="Q13" s="31">
        <f t="array" ref="Q13:Q1214">Cont2Discrete(SmithWilsonYTM(E23,E5,D8:D23,E8:E23,E6,O13:O1214))</f>
        <v>2.4694414319832436E-2</v>
      </c>
      <c r="R13" s="30">
        <f>Q14</f>
        <v>2.469687994038372E-2</v>
      </c>
      <c r="S13" s="22">
        <f t="array" ref="S13:S1214">Cont2Discrete(SmithWilson(S7,S9,J8:J22,K8:K22,O13:O1214))</f>
        <v>2.4677660896995635E-2</v>
      </c>
      <c r="T13" s="23">
        <f>S14</f>
        <v>2.4688571820806082E-2</v>
      </c>
      <c r="U13" s="24">
        <f t="array" ref="U13:U1214">Cont2Discrete(SmithWilson(U7,U9,J8:J22,L8:L22,O13:O1214))</f>
        <v>2.9027193443132537E-2</v>
      </c>
      <c r="V13" s="25">
        <f>U14</f>
        <v>2.9033307757453386E-2</v>
      </c>
      <c r="W13" s="26"/>
      <c r="X13" s="24">
        <f t="array" ref="X13:X1214">Cont2Discrete(SmithWilson(X7,X9,J8:J22,M8:M22,O13:O1214))</f>
        <v>2.8155491127751286E-2</v>
      </c>
      <c r="Y13" s="25">
        <f>X14</f>
        <v>2.8162463103021063E-2</v>
      </c>
      <c r="Z13" s="26"/>
      <c r="AA13" s="36"/>
      <c r="AC13" s="37"/>
    </row>
    <row r="14" spans="1:29" ht="17.100000000000001" customHeight="1" x14ac:dyDescent="0.25">
      <c r="D14" s="8">
        <v>2.5</v>
      </c>
      <c r="E14" s="9">
        <v>3.1120000000000002E-2</v>
      </c>
      <c r="F14" s="19">
        <v>3.09748235480506E-2</v>
      </c>
      <c r="G14" s="19">
        <f t="shared" si="0"/>
        <v>3.5173626145031889E-2</v>
      </c>
      <c r="H14" s="19">
        <f t="shared" si="1"/>
        <v>3.4333342339934014E-2</v>
      </c>
      <c r="J14" s="42">
        <v>2.5</v>
      </c>
      <c r="K14" s="49">
        <v>3.09748235480506E-2</v>
      </c>
      <c r="L14" s="49">
        <f t="shared" si="3"/>
        <v>3.5173626145031889E-2</v>
      </c>
      <c r="M14" s="49">
        <f t="shared" si="2"/>
        <v>3.4333342339934014E-2</v>
      </c>
      <c r="O14" s="12">
        <f t="shared" ref="O14:O77" si="4">P14/12</f>
        <v>8.3333333333333329E-2</v>
      </c>
      <c r="P14" s="13">
        <v>1</v>
      </c>
      <c r="Q14" s="22">
        <v>2.469687994038372E-2</v>
      </c>
      <c r="R14" s="19">
        <f t="shared" ref="R14:R77" si="5">(1+Q15)^P15/(1+Q14)^P14-1</f>
        <v>2.4697574111335774E-2</v>
      </c>
      <c r="S14" s="22">
        <v>2.4688571820806082E-2</v>
      </c>
      <c r="T14" s="19">
        <f t="shared" ref="T14:T77" si="6">(1+S15)^P15/(1+S14)^P14-1</f>
        <v>2.4700423671890848E-2</v>
      </c>
      <c r="U14" s="24">
        <v>2.9033307757453386E-2</v>
      </c>
      <c r="V14" s="24">
        <f t="shared" ref="V14:V77" si="7">(1+U15)^P15/(1+U14)^P14-1</f>
        <v>2.9038811533067976E-2</v>
      </c>
      <c r="W14" s="23">
        <f>(1+V13)^(1/12)-1</f>
        <v>2.3878317887475742E-3</v>
      </c>
      <c r="X14" s="24">
        <v>2.8162463103021063E-2</v>
      </c>
      <c r="Y14" s="24">
        <f>(1+X15)^P15/(1+X14)^P14-1</f>
        <v>2.8169100555109017E-2</v>
      </c>
      <c r="Z14" s="23">
        <f>(1+Y13)^(1/12)-1</f>
        <v>2.3171130821939556E-3</v>
      </c>
      <c r="AA14" s="36"/>
      <c r="AC14" s="37"/>
    </row>
    <row r="15" spans="1:29" ht="17.100000000000001" customHeight="1" x14ac:dyDescent="0.25">
      <c r="D15" s="8">
        <v>3</v>
      </c>
      <c r="E15" s="9">
        <v>3.1419999999999997E-2</v>
      </c>
      <c r="F15" s="19">
        <v>3.126713365291104E-2</v>
      </c>
      <c r="G15" s="19">
        <f t="shared" si="0"/>
        <v>3.5464711648807962E-2</v>
      </c>
      <c r="H15" s="19">
        <f t="shared" si="1"/>
        <v>3.4624672505297584E-2</v>
      </c>
      <c r="J15" s="42">
        <v>3</v>
      </c>
      <c r="K15" s="49">
        <v>3.126713365291104E-2</v>
      </c>
      <c r="L15" s="49">
        <f t="shared" si="3"/>
        <v>3.5464711648807962E-2</v>
      </c>
      <c r="M15" s="49">
        <f t="shared" si="2"/>
        <v>3.4624672505297584E-2</v>
      </c>
      <c r="O15" s="12">
        <f t="shared" si="4"/>
        <v>0.16666666666666666</v>
      </c>
      <c r="P15" s="13">
        <v>2</v>
      </c>
      <c r="Q15" s="22">
        <v>2.4697227025801016E-2</v>
      </c>
      <c r="R15" s="19">
        <f t="shared" si="5"/>
        <v>2.4691925953266747E-2</v>
      </c>
      <c r="S15" s="22">
        <v>2.4694497729213394E-2</v>
      </c>
      <c r="T15" s="19">
        <f t="shared" si="6"/>
        <v>2.4697384540024903E-2</v>
      </c>
      <c r="U15" s="24">
        <v>2.9036059641581069E-2</v>
      </c>
      <c r="V15" s="24">
        <f>(1+U16)^P16/(1+U15)^P15-1</f>
        <v>2.9034260713594939E-2</v>
      </c>
      <c r="W15" s="23">
        <f>(1+V14)^(1/12)-1</f>
        <v>2.3882785595290557E-3</v>
      </c>
      <c r="X15" s="24">
        <v>2.816578182370888E-2</v>
      </c>
      <c r="Y15" s="24">
        <f t="shared" ref="Y15:Y78" si="8">(1+X16)^P16/(1+X15)^P15-1</f>
        <v>2.8164816348638766E-2</v>
      </c>
      <c r="Z15" s="23">
        <f t="shared" ref="Z15:Z78" si="9">(1+Y14)^(1/12)-1</f>
        <v>2.3176522975716374E-3</v>
      </c>
      <c r="AA15" s="36"/>
      <c r="AC15" s="37"/>
    </row>
    <row r="16" spans="1:29" ht="17.100000000000001" customHeight="1" x14ac:dyDescent="0.25">
      <c r="D16" s="8">
        <v>4</v>
      </c>
      <c r="E16" s="9">
        <v>3.3329999999999999E-2</v>
      </c>
      <c r="F16" s="19">
        <v>3.3229261074824462E-2</v>
      </c>
      <c r="G16" s="19">
        <f t="shared" si="0"/>
        <v>3.7418628173983677E-2</v>
      </c>
      <c r="H16" s="19">
        <f t="shared" si="1"/>
        <v>3.6580229481915333E-2</v>
      </c>
      <c r="J16" s="42">
        <v>4</v>
      </c>
      <c r="K16" s="49">
        <v>3.3229261074824462E-2</v>
      </c>
      <c r="L16" s="49">
        <f t="shared" si="3"/>
        <v>3.7418628173983677E-2</v>
      </c>
      <c r="M16" s="49">
        <f t="shared" si="2"/>
        <v>3.6580229481915333E-2</v>
      </c>
      <c r="O16" s="12">
        <f t="shared" si="4"/>
        <v>0.25</v>
      </c>
      <c r="P16" s="13">
        <v>3</v>
      </c>
      <c r="Q16" s="22">
        <v>2.4695459998575808E-2</v>
      </c>
      <c r="R16" s="19">
        <f t="shared" si="5"/>
        <v>2.4745926860139544E-2</v>
      </c>
      <c r="S16" s="22">
        <v>2.4695459998580249E-2</v>
      </c>
      <c r="T16" s="19">
        <f t="shared" si="6"/>
        <v>2.4747555317316428E-2</v>
      </c>
      <c r="U16" s="24">
        <v>2.9035459998569602E-2</v>
      </c>
      <c r="V16" s="24">
        <f t="shared" si="7"/>
        <v>2.9086579778218047E-2</v>
      </c>
      <c r="W16" s="23">
        <f t="shared" ref="W16:W78" si="10">(1+V15)^(1/12)-1</f>
        <v>2.3879091454299672E-3</v>
      </c>
      <c r="X16" s="24">
        <v>2.8165459998584774E-2</v>
      </c>
      <c r="Y16" s="24">
        <f t="shared" si="8"/>
        <v>2.8216747872577885E-2</v>
      </c>
      <c r="Z16" s="23">
        <f t="shared" si="9"/>
        <v>2.317304256251651E-3</v>
      </c>
      <c r="AA16" s="36"/>
      <c r="AC16" s="37"/>
    </row>
    <row r="17" spans="4:30" ht="17.100000000000001" customHeight="1" x14ac:dyDescent="0.25">
      <c r="D17" s="8">
        <v>5</v>
      </c>
      <c r="E17" s="9">
        <v>3.4419999999999999E-2</v>
      </c>
      <c r="F17" s="19">
        <v>3.434790286585724E-2</v>
      </c>
      <c r="G17" s="19">
        <f t="shared" si="0"/>
        <v>3.8532595970555833E-2</v>
      </c>
      <c r="H17" s="19">
        <f t="shared" si="1"/>
        <v>3.769513109859586E-2</v>
      </c>
      <c r="J17" s="42">
        <v>5</v>
      </c>
      <c r="K17" s="49">
        <v>3.434790286585724E-2</v>
      </c>
      <c r="L17" s="49">
        <f t="shared" si="3"/>
        <v>3.8532595970555833E-2</v>
      </c>
      <c r="M17" s="49">
        <f t="shared" si="2"/>
        <v>3.769513109859586E-2</v>
      </c>
      <c r="O17" s="12">
        <f t="shared" si="4"/>
        <v>0.33333333333333331</v>
      </c>
      <c r="P17" s="13">
        <v>4</v>
      </c>
      <c r="Q17" s="22">
        <v>2.4708076480955743E-2</v>
      </c>
      <c r="R17" s="19">
        <f t="shared" si="5"/>
        <v>2.5123181980118758E-2</v>
      </c>
      <c r="S17" s="22">
        <v>2.470848357997335E-2</v>
      </c>
      <c r="T17" s="19">
        <f t="shared" si="6"/>
        <v>2.5122377395123241E-2</v>
      </c>
      <c r="U17" s="24">
        <v>2.9048239705410817E-2</v>
      </c>
      <c r="V17" s="24">
        <f t="shared" si="7"/>
        <v>2.9462828654606144E-2</v>
      </c>
      <c r="W17" s="23">
        <f t="shared" si="10"/>
        <v>2.3921560704138756E-3</v>
      </c>
      <c r="X17" s="24">
        <v>2.8178281727241128E-2</v>
      </c>
      <c r="Y17" s="24">
        <f t="shared" si="8"/>
        <v>2.8592747217921044E-2</v>
      </c>
      <c r="Z17" s="23">
        <f t="shared" si="9"/>
        <v>2.3215229913622348E-3</v>
      </c>
      <c r="AA17" s="36"/>
      <c r="AC17" s="37"/>
    </row>
    <row r="18" spans="4:30" ht="17.100000000000001" customHeight="1" x14ac:dyDescent="0.25">
      <c r="D18" s="8">
        <v>7</v>
      </c>
      <c r="E18" s="9">
        <v>3.5709999999999999E-2</v>
      </c>
      <c r="F18" s="19">
        <v>3.5680234577253514E-2</v>
      </c>
      <c r="G18" s="19">
        <f t="shared" si="0"/>
        <v>3.9859367621315832E-2</v>
      </c>
      <c r="H18" s="19">
        <f t="shared" si="1"/>
        <v>3.9023013601696264E-2</v>
      </c>
      <c r="J18" s="42">
        <v>7</v>
      </c>
      <c r="K18" s="49">
        <v>3.5680234577253514E-2</v>
      </c>
      <c r="L18" s="49">
        <f t="shared" si="3"/>
        <v>3.9859367621315832E-2</v>
      </c>
      <c r="M18" s="49">
        <f t="shared" si="2"/>
        <v>3.9023013601696264E-2</v>
      </c>
      <c r="O18" s="12">
        <f t="shared" si="4"/>
        <v>0.41666666666666669</v>
      </c>
      <c r="P18" s="13">
        <v>5</v>
      </c>
      <c r="Q18" s="22">
        <v>2.4791084131439378E-2</v>
      </c>
      <c r="R18" s="19">
        <f t="shared" si="5"/>
        <v>2.5889117834964059E-2</v>
      </c>
      <c r="S18" s="22">
        <v>2.4791248972052315E-2</v>
      </c>
      <c r="T18" s="19">
        <f t="shared" si="6"/>
        <v>2.5888292749217445E-2</v>
      </c>
      <c r="U18" s="24">
        <v>2.913114413591833E-2</v>
      </c>
      <c r="V18" s="24">
        <f t="shared" si="7"/>
        <v>3.0228815426037725E-2</v>
      </c>
      <c r="W18" s="23">
        <f t="shared" si="10"/>
        <v>2.4226917046772378E-3</v>
      </c>
      <c r="X18" s="24">
        <v>2.8261161462705742E-2</v>
      </c>
      <c r="Y18" s="24">
        <f t="shared" si="8"/>
        <v>2.9358729112290316E-2</v>
      </c>
      <c r="Z18" s="23">
        <f t="shared" si="9"/>
        <v>2.3520620360060196E-3</v>
      </c>
      <c r="AA18" s="36"/>
      <c r="AC18" s="37"/>
    </row>
    <row r="19" spans="4:30" ht="17.100000000000001" customHeight="1" x14ac:dyDescent="0.25">
      <c r="D19" s="8">
        <v>10</v>
      </c>
      <c r="E19" s="9">
        <v>3.6110000000000003E-2</v>
      </c>
      <c r="F19" s="19">
        <v>3.6043784883975208E-2</v>
      </c>
      <c r="G19" s="19">
        <f t="shared" si="0"/>
        <v>4.0221402047667588E-2</v>
      </c>
      <c r="H19" s="19">
        <f t="shared" si="1"/>
        <v>3.9385350888778238E-2</v>
      </c>
      <c r="J19" s="42">
        <v>10</v>
      </c>
      <c r="K19" s="49">
        <v>3.6043784883975208E-2</v>
      </c>
      <c r="L19" s="49">
        <f t="shared" si="3"/>
        <v>4.0221402047667588E-2</v>
      </c>
      <c r="M19" s="49">
        <f t="shared" si="2"/>
        <v>3.9385350888778238E-2</v>
      </c>
      <c r="O19" s="12">
        <f t="shared" si="4"/>
        <v>0.5</v>
      </c>
      <c r="P19" s="13">
        <v>6</v>
      </c>
      <c r="Q19" s="22">
        <v>2.4974008099995615E-2</v>
      </c>
      <c r="R19" s="19">
        <f t="shared" si="5"/>
        <v>2.6956667886782748E-2</v>
      </c>
      <c r="S19" s="22">
        <v>2.49740081000005E-2</v>
      </c>
      <c r="T19" s="19">
        <f t="shared" si="6"/>
        <v>2.6956817593903448E-2</v>
      </c>
      <c r="U19" s="24">
        <v>2.9314008099989408E-2</v>
      </c>
      <c r="V19" s="24">
        <f t="shared" si="7"/>
        <v>3.1296783582063892E-2</v>
      </c>
      <c r="W19" s="23">
        <f t="shared" si="10"/>
        <v>2.4848261149141848E-3</v>
      </c>
      <c r="X19" s="24">
        <v>2.8444008100005469E-2</v>
      </c>
      <c r="Y19" s="24">
        <f t="shared" si="8"/>
        <v>3.0426797743607681E-2</v>
      </c>
      <c r="Z19" s="23">
        <f t="shared" si="9"/>
        <v>2.4142442100882899E-3</v>
      </c>
      <c r="AA19" s="36"/>
      <c r="AC19" s="37"/>
    </row>
    <row r="20" spans="4:30" ht="17.100000000000001" customHeight="1" x14ac:dyDescent="0.25">
      <c r="D20" s="8">
        <v>15</v>
      </c>
      <c r="E20" s="9">
        <v>3.6830000000000002E-2</v>
      </c>
      <c r="F20" s="19">
        <v>3.6811546279744839E-2</v>
      </c>
      <c r="G20" s="19">
        <f t="shared" si="0"/>
        <v>4.0985963943867901E-2</v>
      </c>
      <c r="H20" s="19">
        <f t="shared" si="1"/>
        <v>4.0150552020516629E-2</v>
      </c>
      <c r="J20" s="42">
        <v>15</v>
      </c>
      <c r="K20" s="49">
        <v>3.6811546279744839E-2</v>
      </c>
      <c r="L20" s="49">
        <f t="shared" si="3"/>
        <v>4.0985963943867901E-2</v>
      </c>
      <c r="M20" s="49">
        <f t="shared" si="2"/>
        <v>4.0150552020516629E-2</v>
      </c>
      <c r="O20" s="12">
        <f t="shared" si="4"/>
        <v>0.58333333333333337</v>
      </c>
      <c r="P20" s="13">
        <v>7</v>
      </c>
      <c r="Q20" s="22">
        <v>2.5257010687430359E-2</v>
      </c>
      <c r="R20" s="19">
        <f t="shared" si="5"/>
        <v>2.7977885603873265E-2</v>
      </c>
      <c r="S20" s="22">
        <v>2.5257032038768834E-2</v>
      </c>
      <c r="T20" s="19">
        <f t="shared" si="6"/>
        <v>2.7978173162620301E-2</v>
      </c>
      <c r="U20" s="24">
        <v>2.9597028175756268E-2</v>
      </c>
      <c r="V20" s="24">
        <f t="shared" si="7"/>
        <v>3.2318004080909457E-2</v>
      </c>
      <c r="W20" s="23">
        <f t="shared" si="10"/>
        <v>2.5713856502598276E-3</v>
      </c>
      <c r="X20" s="24">
        <v>2.8727029998164788E-2</v>
      </c>
      <c r="Y20" s="24">
        <f t="shared" si="8"/>
        <v>3.1448035495413418E-2</v>
      </c>
      <c r="Z20" s="23">
        <f t="shared" si="9"/>
        <v>2.5008789233527118E-3</v>
      </c>
      <c r="AA20" s="36"/>
    </row>
    <row r="21" spans="4:30" ht="17.100000000000001" customHeight="1" x14ac:dyDescent="0.25">
      <c r="D21" s="8">
        <v>20</v>
      </c>
      <c r="E21" s="9">
        <v>3.5970000000000002E-2</v>
      </c>
      <c r="F21" s="19">
        <v>3.5583252881338234E-2</v>
      </c>
      <c r="G21" s="19">
        <f t="shared" si="0"/>
        <v>3.9762790398620379E-2</v>
      </c>
      <c r="H21" s="19">
        <f t="shared" si="1"/>
        <v>3.892635556856025E-2</v>
      </c>
      <c r="J21" s="42">
        <v>20</v>
      </c>
      <c r="K21" s="49">
        <v>3.5583252881338234E-2</v>
      </c>
      <c r="L21" s="49">
        <f t="shared" si="3"/>
        <v>3.9762790398620379E-2</v>
      </c>
      <c r="M21" s="49">
        <f t="shared" si="2"/>
        <v>3.892635556856025E-2</v>
      </c>
      <c r="O21" s="12">
        <f t="shared" si="4"/>
        <v>0.66666666666666663</v>
      </c>
      <c r="P21" s="13">
        <v>8</v>
      </c>
      <c r="Q21" s="22">
        <v>2.5596725819046817E-2</v>
      </c>
      <c r="R21" s="19">
        <f t="shared" si="5"/>
        <v>2.8865903118800329E-2</v>
      </c>
      <c r="S21" s="22">
        <v>2.559678036923696E-2</v>
      </c>
      <c r="T21" s="19">
        <f t="shared" si="6"/>
        <v>2.8865465326356476E-2</v>
      </c>
      <c r="U21" s="24">
        <v>2.9936757560897975E-2</v>
      </c>
      <c r="V21" s="24">
        <f t="shared" si="7"/>
        <v>3.3205628884746208E-2</v>
      </c>
      <c r="W21" s="23">
        <f t="shared" si="10"/>
        <v>2.6540794394946943E-3</v>
      </c>
      <c r="X21" s="24">
        <v>2.9066762742300689E-2</v>
      </c>
      <c r="Y21" s="24">
        <f t="shared" si="8"/>
        <v>3.2335591195740809E-2</v>
      </c>
      <c r="Z21" s="23">
        <f t="shared" si="9"/>
        <v>2.5836380760742017E-3</v>
      </c>
      <c r="AA21" s="36"/>
    </row>
    <row r="22" spans="4:30" ht="17.100000000000001" customHeight="1" x14ac:dyDescent="0.25">
      <c r="D22" s="8">
        <v>30</v>
      </c>
      <c r="E22" s="9">
        <v>3.5249999999999997E-2</v>
      </c>
      <c r="F22" s="19">
        <v>3.4568889119606906E-2</v>
      </c>
      <c r="G22" s="19">
        <f t="shared" si="0"/>
        <v>3.8752659498407435E-2</v>
      </c>
      <c r="H22" s="19">
        <f t="shared" si="1"/>
        <v>3.7915378978811323E-2</v>
      </c>
      <c r="J22" s="46">
        <v>23</v>
      </c>
      <c r="K22" s="49">
        <v>3.513416661232583E-2</v>
      </c>
      <c r="L22" s="49">
        <f t="shared" si="3"/>
        <v>3.9315577604427242E-2</v>
      </c>
      <c r="M22" s="49">
        <f t="shared" si="2"/>
        <v>3.847876846976505E-2</v>
      </c>
      <c r="O22" s="12">
        <f t="shared" si="4"/>
        <v>0.75</v>
      </c>
      <c r="P22" s="13">
        <v>9</v>
      </c>
      <c r="Q22" s="22">
        <v>2.5959454165150442E-2</v>
      </c>
      <c r="R22" s="19">
        <f t="shared" si="5"/>
        <v>2.9646325605547474E-2</v>
      </c>
      <c r="S22" s="22">
        <v>2.5959454165154883E-2</v>
      </c>
      <c r="T22" s="19">
        <f t="shared" si="6"/>
        <v>2.9645046223968352E-2</v>
      </c>
      <c r="U22" s="24">
        <v>3.0299454165145123E-2</v>
      </c>
      <c r="V22" s="24">
        <f t="shared" si="7"/>
        <v>3.3985632121213305E-2</v>
      </c>
      <c r="W22" s="23">
        <f t="shared" si="10"/>
        <v>2.7258943651899958E-3</v>
      </c>
      <c r="X22" s="24">
        <v>2.942945416515963E-2</v>
      </c>
      <c r="Y22" s="24">
        <f t="shared" si="8"/>
        <v>3.3115513443999545E-2</v>
      </c>
      <c r="Z22" s="23">
        <f t="shared" si="9"/>
        <v>2.6555029070916003E-3</v>
      </c>
      <c r="AA22" s="36"/>
    </row>
    <row r="23" spans="4:30" ht="17.100000000000001" customHeight="1" x14ac:dyDescent="0.25">
      <c r="D23" s="8">
        <v>50</v>
      </c>
      <c r="E23" s="9">
        <v>3.4049999999999997E-2</v>
      </c>
      <c r="F23" s="19">
        <v>3.2604135214365518E-2</v>
      </c>
      <c r="G23" s="19">
        <f t="shared" si="0"/>
        <v>3.6796116530767947E-2</v>
      </c>
      <c r="H23" s="19">
        <f t="shared" si="1"/>
        <v>3.5957195544218723E-2</v>
      </c>
      <c r="J23" s="46">
        <v>30</v>
      </c>
      <c r="K23" s="49">
        <v>3.4568889119606906E-2</v>
      </c>
      <c r="L23" s="49">
        <f t="shared" si="3"/>
        <v>3.8752659498407435E-2</v>
      </c>
      <c r="M23" s="49">
        <f t="shared" si="2"/>
        <v>3.7915378978811323E-2</v>
      </c>
      <c r="O23" s="12">
        <f t="shared" si="4"/>
        <v>0.83333333333333337</v>
      </c>
      <c r="P23" s="13">
        <v>10</v>
      </c>
      <c r="Q23" s="22">
        <v>2.6327546453904338E-2</v>
      </c>
      <c r="R23" s="19">
        <f t="shared" si="5"/>
        <v>3.042113732630547E-2</v>
      </c>
      <c r="S23" s="22">
        <v>2.6327418928052237E-2</v>
      </c>
      <c r="T23" s="19">
        <f t="shared" si="6"/>
        <v>3.0420523222017826E-2</v>
      </c>
      <c r="U23" s="24">
        <v>3.0667479828119015E-2</v>
      </c>
      <c r="V23" s="24">
        <f t="shared" si="7"/>
        <v>3.4760795596074923E-2</v>
      </c>
      <c r="W23" s="23">
        <f t="shared" si="10"/>
        <v>2.7889552994777578E-3</v>
      </c>
      <c r="X23" s="24">
        <v>2.979746749923029E-2</v>
      </c>
      <c r="Y23" s="24">
        <f t="shared" si="8"/>
        <v>3.3890741862848017E-2</v>
      </c>
      <c r="Z23" s="23">
        <f t="shared" si="9"/>
        <v>2.7186059887831515E-3</v>
      </c>
      <c r="AA23" s="36"/>
      <c r="AD23" s="33"/>
    </row>
    <row r="24" spans="4:30" ht="17.100000000000001" customHeight="1" x14ac:dyDescent="0.25">
      <c r="D24" s="8"/>
      <c r="E24" s="9"/>
      <c r="F24" s="19"/>
      <c r="G24" s="19"/>
      <c r="H24" s="19"/>
      <c r="J24" s="46">
        <v>50</v>
      </c>
      <c r="K24" s="49">
        <v>3.2604135214365518E-2</v>
      </c>
      <c r="L24" s="49">
        <f t="shared" si="3"/>
        <v>3.6796116530767947E-2</v>
      </c>
      <c r="M24" s="49">
        <f t="shared" si="2"/>
        <v>3.5957195544218723E-2</v>
      </c>
      <c r="O24" s="12">
        <f t="shared" si="4"/>
        <v>0.91666666666666663</v>
      </c>
      <c r="P24" s="13">
        <v>11</v>
      </c>
      <c r="Q24" s="22">
        <v>2.6699018091175253E-2</v>
      </c>
      <c r="R24" s="19">
        <f t="shared" si="5"/>
        <v>3.1216011586726378E-2</v>
      </c>
      <c r="S24" s="22">
        <v>2.6698846490611938E-2</v>
      </c>
      <c r="T24" s="19">
        <f t="shared" si="6"/>
        <v>3.1217907499468511E-2</v>
      </c>
      <c r="U24" s="24">
        <v>3.1038929372528612E-2</v>
      </c>
      <c r="V24" s="24">
        <f t="shared" si="7"/>
        <v>3.5556953488675713E-2</v>
      </c>
      <c r="W24" s="23">
        <f t="shared" si="10"/>
        <v>2.8515817665442089E-3</v>
      </c>
      <c r="X24" s="24">
        <v>3.0168912728484987E-2</v>
      </c>
      <c r="Y24" s="24">
        <f t="shared" si="8"/>
        <v>3.4687145027509247E-2</v>
      </c>
      <c r="Z24" s="23">
        <f t="shared" si="9"/>
        <v>2.781286035456576E-3</v>
      </c>
      <c r="AA24" s="36"/>
    </row>
    <row r="25" spans="4:30" ht="17.100000000000001" customHeight="1" x14ac:dyDescent="0.25">
      <c r="D25" s="8"/>
      <c r="E25" s="9"/>
      <c r="F25" s="19"/>
      <c r="G25" s="19"/>
      <c r="H25" s="19"/>
      <c r="J25" s="44"/>
      <c r="K25" s="44"/>
      <c r="L25" s="44"/>
      <c r="M25" s="44"/>
      <c r="O25" s="12">
        <f t="shared" si="4"/>
        <v>1</v>
      </c>
      <c r="P25" s="13">
        <v>12</v>
      </c>
      <c r="Q25" s="22">
        <v>2.7074677317632911E-2</v>
      </c>
      <c r="R25" s="19">
        <f t="shared" si="5"/>
        <v>3.1974042006063019E-2</v>
      </c>
      <c r="S25" s="22">
        <v>2.707467731763824E-2</v>
      </c>
      <c r="T25" s="19">
        <f t="shared" si="6"/>
        <v>3.1979296989502082E-2</v>
      </c>
      <c r="U25" s="24">
        <v>3.1414677317626705E-2</v>
      </c>
      <c r="V25" s="24">
        <f t="shared" si="7"/>
        <v>3.6316690001223506E-2</v>
      </c>
      <c r="W25" s="23">
        <f t="shared" si="10"/>
        <v>2.9158596476441812E-3</v>
      </c>
      <c r="X25" s="24">
        <v>3.0544677317642988E-2</v>
      </c>
      <c r="Y25" s="24">
        <f t="shared" si="8"/>
        <v>3.5447211088912578E-2</v>
      </c>
      <c r="Z25" s="23">
        <f t="shared" si="9"/>
        <v>2.8456332904063242E-3</v>
      </c>
      <c r="AA25" s="36"/>
    </row>
    <row r="26" spans="4:30" ht="17.100000000000001" customHeight="1" x14ac:dyDescent="0.25">
      <c r="D26" s="10"/>
      <c r="E26" s="11"/>
      <c r="F26" s="20"/>
      <c r="G26" s="20"/>
      <c r="H26" s="20"/>
      <c r="I26" s="106"/>
      <c r="J26" s="45"/>
      <c r="K26" s="45"/>
      <c r="L26" s="45"/>
      <c r="M26" s="43"/>
      <c r="O26" s="12">
        <f t="shared" si="4"/>
        <v>1.0833333333333333</v>
      </c>
      <c r="P26" s="13">
        <v>13</v>
      </c>
      <c r="Q26" s="22">
        <v>2.7450724312764629E-2</v>
      </c>
      <c r="R26" s="19">
        <f t="shared" si="5"/>
        <v>3.2466707577413212E-2</v>
      </c>
      <c r="S26" s="22">
        <v>2.7451126769512335E-2</v>
      </c>
      <c r="T26" s="19">
        <f t="shared" si="6"/>
        <v>3.2472634889558316E-2</v>
      </c>
      <c r="U26" s="24">
        <v>3.1790930585572807E-2</v>
      </c>
      <c r="V26" s="24">
        <f t="shared" si="7"/>
        <v>3.6809691721987781E-2</v>
      </c>
      <c r="W26" s="23">
        <f t="shared" si="10"/>
        <v>2.9771548202517373E-3</v>
      </c>
      <c r="X26" s="24">
        <v>3.0920969799997922E-2</v>
      </c>
      <c r="Y26" s="24">
        <f t="shared" si="8"/>
        <v>3.5940279284503385E-2</v>
      </c>
      <c r="Z26" s="23">
        <f t="shared" si="9"/>
        <v>2.9070022771335857E-3</v>
      </c>
      <c r="AA26" s="36"/>
    </row>
    <row r="27" spans="4:30" ht="17.100000000000001" customHeight="1" x14ac:dyDescent="0.3">
      <c r="O27" s="12">
        <f t="shared" si="4"/>
        <v>1.1666666666666667</v>
      </c>
      <c r="P27" s="13">
        <v>14</v>
      </c>
      <c r="Q27" s="22">
        <v>2.7808199273289924E-2</v>
      </c>
      <c r="R27" s="19">
        <f t="shared" si="5"/>
        <v>3.2636720741688219E-2</v>
      </c>
      <c r="S27" s="22">
        <v>2.7808994581317803E-2</v>
      </c>
      <c r="T27" s="19">
        <f t="shared" si="6"/>
        <v>3.2640539124382917E-2</v>
      </c>
      <c r="U27" s="24">
        <v>3.214860646853035E-2</v>
      </c>
      <c r="V27" s="24">
        <f t="shared" si="7"/>
        <v>3.6978625404570309E-2</v>
      </c>
      <c r="W27" s="23">
        <f t="shared" si="10"/>
        <v>3.0169079258353104E-3</v>
      </c>
      <c r="X27" s="24">
        <v>3.1278683995511258E-2</v>
      </c>
      <c r="Y27" s="24">
        <f t="shared" si="8"/>
        <v>3.6109007035372009E-2</v>
      </c>
      <c r="Z27" s="23">
        <f t="shared" si="9"/>
        <v>2.9467913369538579E-3</v>
      </c>
      <c r="AA27" s="36"/>
    </row>
    <row r="28" spans="4:30" ht="17.100000000000001" customHeight="1" x14ac:dyDescent="0.3">
      <c r="O28" s="12">
        <f t="shared" si="4"/>
        <v>1.25</v>
      </c>
      <c r="P28" s="13">
        <v>15</v>
      </c>
      <c r="Q28" s="22">
        <v>2.8129397114816879E-2</v>
      </c>
      <c r="R28" s="19">
        <f t="shared" si="5"/>
        <v>3.2484105224690474E-2</v>
      </c>
      <c r="S28" s="22">
        <v>2.8130393081736926E-2</v>
      </c>
      <c r="T28" s="19">
        <f t="shared" si="6"/>
        <v>3.2483971558906921E-2</v>
      </c>
      <c r="U28" s="24">
        <v>3.2469906657101033E-2</v>
      </c>
      <c r="V28" s="24">
        <f t="shared" si="7"/>
        <v>3.6823994213468714E-2</v>
      </c>
      <c r="W28" s="23">
        <f t="shared" si="10"/>
        <v>3.0305258771941013E-3</v>
      </c>
      <c r="X28" s="24">
        <v>3.1600003779840735E-2</v>
      </c>
      <c r="Y28" s="24">
        <f t="shared" si="8"/>
        <v>3.5953989266613418E-2</v>
      </c>
      <c r="Z28" s="23">
        <f t="shared" si="9"/>
        <v>2.9604031516099472E-3</v>
      </c>
      <c r="AA28" s="36"/>
    </row>
    <row r="29" spans="4:30" ht="17.100000000000001" customHeight="1" x14ac:dyDescent="0.25">
      <c r="D29" s="102" t="s">
        <v>40</v>
      </c>
      <c r="E29" s="103"/>
      <c r="F29" s="103"/>
      <c r="G29" s="103"/>
      <c r="H29" s="103"/>
      <c r="I29" s="103"/>
      <c r="J29" s="103"/>
      <c r="O29" s="12">
        <f t="shared" si="4"/>
        <v>1.3333333333333333</v>
      </c>
      <c r="P29" s="13">
        <v>16</v>
      </c>
      <c r="Q29" s="22">
        <v>2.8401027474781015E-2</v>
      </c>
      <c r="R29" s="19">
        <f t="shared" si="5"/>
        <v>3.2009162406079872E-2</v>
      </c>
      <c r="S29" s="22">
        <v>2.8401953119345347E-2</v>
      </c>
      <c r="T29" s="19">
        <f t="shared" si="6"/>
        <v>3.2004163857161538E-2</v>
      </c>
      <c r="U29" s="24">
        <v>3.2741500644572152E-2</v>
      </c>
      <c r="V29" s="24">
        <f t="shared" si="7"/>
        <v>3.6346576769643812E-2</v>
      </c>
      <c r="W29" s="23">
        <f t="shared" si="10"/>
        <v>3.0180609460241925E-3</v>
      </c>
      <c r="X29" s="24">
        <v>3.187159096193648E-2</v>
      </c>
      <c r="Y29" s="24">
        <f t="shared" si="8"/>
        <v>3.547609498410309E-2</v>
      </c>
      <c r="Z29" s="23">
        <f t="shared" si="9"/>
        <v>2.947897441510694E-3</v>
      </c>
      <c r="AA29" s="36"/>
    </row>
    <row r="30" spans="4:30" ht="17.100000000000001" customHeight="1" x14ac:dyDescent="0.3">
      <c r="O30" s="12">
        <f t="shared" si="4"/>
        <v>1.4166666666666667</v>
      </c>
      <c r="P30" s="13">
        <v>17</v>
      </c>
      <c r="Q30" s="22">
        <v>2.86129210744408E-2</v>
      </c>
      <c r="R30" s="19">
        <f t="shared" si="5"/>
        <v>3.1212554458549757E-2</v>
      </c>
      <c r="S30" s="22">
        <v>2.8613499383230323E-2</v>
      </c>
      <c r="T30" s="19">
        <f t="shared" si="6"/>
        <v>3.1202698412379437E-2</v>
      </c>
      <c r="U30" s="24">
        <v>3.2953216369997707E-2</v>
      </c>
      <c r="V30" s="24">
        <f t="shared" si="7"/>
        <v>3.55475087892001E-2</v>
      </c>
      <c r="W30" s="23">
        <f t="shared" si="10"/>
        <v>2.9795652280315554E-3</v>
      </c>
      <c r="X30" s="24">
        <v>3.2083272852165834E-2</v>
      </c>
      <c r="Y30" s="24">
        <f t="shared" si="8"/>
        <v>3.4676548770827154E-2</v>
      </c>
      <c r="Z30" s="23">
        <f t="shared" si="9"/>
        <v>2.9093335959167188E-3</v>
      </c>
      <c r="AA30" s="36"/>
    </row>
    <row r="31" spans="4:30" ht="17.100000000000001" customHeight="1" x14ac:dyDescent="0.3">
      <c r="D31" s="97" t="s">
        <v>41</v>
      </c>
      <c r="E31" s="107" t="s">
        <v>48</v>
      </c>
      <c r="F31" s="107" t="s">
        <v>49</v>
      </c>
      <c r="G31" s="107" t="s">
        <v>50</v>
      </c>
      <c r="H31" s="107" t="s">
        <v>59</v>
      </c>
      <c r="I31" s="113"/>
      <c r="J31" s="107" t="s">
        <v>60</v>
      </c>
      <c r="O31" s="12">
        <f t="shared" si="4"/>
        <v>1.5</v>
      </c>
      <c r="P31" s="13">
        <v>18</v>
      </c>
      <c r="Q31" s="22">
        <v>2.8757173069320796E-2</v>
      </c>
      <c r="R31" s="19">
        <f t="shared" si="5"/>
        <v>3.0263117892504798E-2</v>
      </c>
      <c r="S31" s="22">
        <v>2.8757173069325681E-2</v>
      </c>
      <c r="T31" s="19">
        <f t="shared" si="6"/>
        <v>3.0250139566531775E-2</v>
      </c>
      <c r="U31" s="24">
        <v>3.3097173069314811E-2</v>
      </c>
      <c r="V31" s="24">
        <f t="shared" si="7"/>
        <v>3.4596506361332713E-2</v>
      </c>
      <c r="W31" s="23">
        <f t="shared" si="10"/>
        <v>2.9150973945026859E-3</v>
      </c>
      <c r="X31" s="24">
        <v>3.222717306932954E-2</v>
      </c>
      <c r="Y31" s="24">
        <f t="shared" si="8"/>
        <v>3.3725235704454626E-2</v>
      </c>
      <c r="Z31" s="23">
        <f t="shared" si="9"/>
        <v>2.8447774391413549E-3</v>
      </c>
      <c r="AA31" s="36"/>
    </row>
    <row r="32" spans="4:30" ht="17.100000000000001" customHeight="1" x14ac:dyDescent="0.3">
      <c r="D32" s="97"/>
      <c r="E32" s="97"/>
      <c r="F32" s="97"/>
      <c r="G32" s="97"/>
      <c r="H32" s="97"/>
      <c r="I32" s="113"/>
      <c r="J32" s="97"/>
      <c r="O32" s="12">
        <f t="shared" si="4"/>
        <v>1.5833333333333333</v>
      </c>
      <c r="P32" s="13">
        <v>19</v>
      </c>
      <c r="Q32" s="22">
        <v>2.8836378416120745E-2</v>
      </c>
      <c r="R32" s="19">
        <f t="shared" si="5"/>
        <v>2.9831836298518155E-2</v>
      </c>
      <c r="S32" s="22">
        <v>2.8835696288202595E-2</v>
      </c>
      <c r="T32" s="19">
        <f t="shared" si="6"/>
        <v>2.9820673804298314E-2</v>
      </c>
      <c r="U32" s="24">
        <v>3.3176031150047969E-2</v>
      </c>
      <c r="V32" s="24">
        <f t="shared" si="7"/>
        <v>3.4166167260245572E-2</v>
      </c>
      <c r="W32" s="23">
        <f t="shared" si="10"/>
        <v>2.838312217499972E-3</v>
      </c>
      <c r="X32" s="24">
        <v>3.2305964319605529E-2</v>
      </c>
      <c r="Y32" s="24">
        <f t="shared" si="8"/>
        <v>3.3295070852382036E-2</v>
      </c>
      <c r="Z32" s="23">
        <f t="shared" si="9"/>
        <v>2.767907876469744E-3</v>
      </c>
      <c r="AA32" s="36"/>
    </row>
    <row r="33" spans="4:27" ht="17.100000000000001" customHeight="1" x14ac:dyDescent="0.3">
      <c r="D33" s="118" t="s">
        <v>42</v>
      </c>
      <c r="E33" s="114">
        <v>21.4</v>
      </c>
      <c r="F33" s="114">
        <v>6.1</v>
      </c>
      <c r="G33" s="114">
        <f>E33-F33</f>
        <v>15.299999999999999</v>
      </c>
      <c r="H33" s="115">
        <v>9.7229999999999997E-2</v>
      </c>
      <c r="I33" s="113"/>
      <c r="J33" s="116">
        <f>G33*H33</f>
        <v>1.4876189999999998</v>
      </c>
      <c r="O33" s="12">
        <f t="shared" si="4"/>
        <v>1.6666666666666667</v>
      </c>
      <c r="P33" s="13">
        <v>20</v>
      </c>
      <c r="Q33" s="22">
        <v>2.8886128449512549E-2</v>
      </c>
      <c r="R33" s="19">
        <f t="shared" si="5"/>
        <v>3.0085019595301521E-2</v>
      </c>
      <c r="S33" s="22">
        <v>2.8884922781946543E-2</v>
      </c>
      <c r="T33" s="19">
        <f t="shared" si="6"/>
        <v>3.007967048000193E-2</v>
      </c>
      <c r="U33" s="24">
        <v>3.3225515433469077E-2</v>
      </c>
      <c r="V33" s="24">
        <f t="shared" si="7"/>
        <v>3.442232050328875E-2</v>
      </c>
      <c r="W33" s="23">
        <f t="shared" si="10"/>
        <v>2.8035448121153106E-3</v>
      </c>
      <c r="X33" s="24">
        <v>3.2355397152023846E-2</v>
      </c>
      <c r="Y33" s="24">
        <f t="shared" si="8"/>
        <v>3.3551791323739089E-2</v>
      </c>
      <c r="Z33" s="23">
        <f t="shared" si="9"/>
        <v>2.7331276961166662E-3</v>
      </c>
      <c r="AA33" s="36"/>
    </row>
    <row r="34" spans="4:27" ht="17.100000000000001" customHeight="1" x14ac:dyDescent="0.3">
      <c r="D34" s="118" t="s">
        <v>43</v>
      </c>
      <c r="E34" s="114">
        <v>60.9</v>
      </c>
      <c r="F34" s="114">
        <v>6.1</v>
      </c>
      <c r="G34" s="114">
        <f t="shared" ref="G34:G36" si="11">E34-F34</f>
        <v>54.8</v>
      </c>
      <c r="H34" s="115">
        <v>1.319E-2</v>
      </c>
      <c r="I34" s="113"/>
      <c r="J34" s="116">
        <f t="shared" ref="J34:J37" si="12">G34*H34</f>
        <v>0.72281200000000001</v>
      </c>
      <c r="O34" s="12">
        <f t="shared" si="4"/>
        <v>1.75</v>
      </c>
      <c r="P34" s="13">
        <v>21</v>
      </c>
      <c r="Q34" s="22">
        <v>2.8943186850378E-2</v>
      </c>
      <c r="R34" s="19">
        <f t="shared" si="5"/>
        <v>3.1022338613682754E-2</v>
      </c>
      <c r="S34" s="22">
        <v>2.8941784094074441E-2</v>
      </c>
      <c r="T34" s="19">
        <f t="shared" si="6"/>
        <v>3.1024839951389938E-2</v>
      </c>
      <c r="U34" s="24">
        <v>3.3282474739780188E-2</v>
      </c>
      <c r="V34" s="24">
        <f t="shared" si="7"/>
        <v>3.5363631130630457E-2</v>
      </c>
      <c r="W34" s="23">
        <f t="shared" si="10"/>
        <v>2.8242412140087048E-3</v>
      </c>
      <c r="X34" s="24">
        <v>3.2412336886878723E-2</v>
      </c>
      <c r="Y34" s="24">
        <f t="shared" si="8"/>
        <v>3.4493871735138848E-2</v>
      </c>
      <c r="Z34" s="23">
        <f t="shared" si="9"/>
        <v>2.7538859496467616E-3</v>
      </c>
      <c r="AA34" s="36"/>
    </row>
    <row r="35" spans="4:27" ht="17.100000000000001" customHeight="1" x14ac:dyDescent="0.3">
      <c r="D35" s="118" t="s">
        <v>47</v>
      </c>
      <c r="E35" s="114">
        <v>169.3</v>
      </c>
      <c r="F35" s="114">
        <v>6.1</v>
      </c>
      <c r="G35" s="114">
        <f t="shared" si="11"/>
        <v>163.20000000000002</v>
      </c>
      <c r="H35" s="115">
        <v>0.15679999999999999</v>
      </c>
      <c r="I35" s="113"/>
      <c r="J35" s="116">
        <f t="shared" si="12"/>
        <v>25.589760000000002</v>
      </c>
      <c r="O35" s="12">
        <f t="shared" si="4"/>
        <v>1.8333333333333333</v>
      </c>
      <c r="P35" s="13">
        <v>22</v>
      </c>
      <c r="Q35" s="22">
        <v>2.9037602725184408E-2</v>
      </c>
      <c r="R35" s="19">
        <f t="shared" si="5"/>
        <v>3.2645203715185866E-2</v>
      </c>
      <c r="S35" s="22">
        <v>2.9036377085643661E-2</v>
      </c>
      <c r="T35" s="19">
        <f t="shared" si="6"/>
        <v>3.2655667122250431E-2</v>
      </c>
      <c r="U35" s="24">
        <v>3.3376981941019679E-2</v>
      </c>
      <c r="V35" s="24">
        <f t="shared" si="7"/>
        <v>3.6990507850988452E-2</v>
      </c>
      <c r="W35" s="23">
        <f t="shared" si="10"/>
        <v>2.9002559146447116E-3</v>
      </c>
      <c r="X35" s="24">
        <v>3.2506861181247126E-2</v>
      </c>
      <c r="Y35" s="24">
        <f t="shared" si="8"/>
        <v>3.6121537056338804E-2</v>
      </c>
      <c r="Z35" s="23">
        <f t="shared" si="9"/>
        <v>2.8300214962064807E-3</v>
      </c>
      <c r="AA35" s="36"/>
    </row>
    <row r="36" spans="4:27" ht="17.100000000000001" customHeight="1" x14ac:dyDescent="0.3">
      <c r="D36" s="118" t="s">
        <v>44</v>
      </c>
      <c r="E36" s="114">
        <v>74.2</v>
      </c>
      <c r="F36" s="114">
        <v>6.1</v>
      </c>
      <c r="G36" s="114">
        <f t="shared" si="11"/>
        <v>68.100000000000009</v>
      </c>
      <c r="H36" s="115">
        <v>8.3549999999999999E-2</v>
      </c>
      <c r="I36" s="113"/>
      <c r="J36" s="116">
        <f t="shared" si="12"/>
        <v>5.6897550000000008</v>
      </c>
      <c r="O36" s="12">
        <f t="shared" si="4"/>
        <v>1.9166666666666667</v>
      </c>
      <c r="P36" s="13">
        <v>23</v>
      </c>
      <c r="Q36" s="22">
        <v>2.9194192549753861E-2</v>
      </c>
      <c r="R36" s="19">
        <f t="shared" si="5"/>
        <v>3.4957148875818911E-2</v>
      </c>
      <c r="S36" s="22">
        <v>2.9193473428149375E-2</v>
      </c>
      <c r="T36" s="19">
        <f t="shared" si="6"/>
        <v>3.4973781426613559E-2</v>
      </c>
      <c r="U36" s="24">
        <v>3.3533829612154342E-2</v>
      </c>
      <c r="V36" s="24">
        <f t="shared" si="7"/>
        <v>3.9305478217531054E-2</v>
      </c>
      <c r="W36" s="23">
        <f t="shared" si="10"/>
        <v>3.0314836592215677E-3</v>
      </c>
      <c r="X36" s="24">
        <v>3.2663758463616466E-2</v>
      </c>
      <c r="Y36" s="24">
        <f t="shared" si="8"/>
        <v>3.8437136767904168E-2</v>
      </c>
      <c r="Z36" s="23">
        <f t="shared" si="9"/>
        <v>2.9614139079701118E-3</v>
      </c>
      <c r="AA36" s="36"/>
    </row>
    <row r="37" spans="4:27" ht="17.100000000000001" customHeight="1" x14ac:dyDescent="0.3">
      <c r="D37" s="118" t="s">
        <v>45</v>
      </c>
      <c r="E37" s="119"/>
      <c r="F37" s="119"/>
      <c r="G37" s="114">
        <v>201</v>
      </c>
      <c r="H37" s="115">
        <v>4.9160000000000002E-2</v>
      </c>
      <c r="I37" s="113"/>
      <c r="J37" s="116">
        <f t="shared" si="12"/>
        <v>9.8811600000000013</v>
      </c>
      <c r="O37" s="12">
        <f t="shared" si="4"/>
        <v>2</v>
      </c>
      <c r="P37" s="13">
        <v>24</v>
      </c>
      <c r="Q37" s="22">
        <v>2.9433673804095672E-2</v>
      </c>
      <c r="R37" s="19">
        <f t="shared" si="5"/>
        <v>3.7688626712071072E-2</v>
      </c>
      <c r="S37" s="22">
        <v>2.9433673804100113E-2</v>
      </c>
      <c r="T37" s="19">
        <f t="shared" si="6"/>
        <v>3.7707267974198766E-2</v>
      </c>
      <c r="U37" s="24">
        <v>3.377367380408991E-2</v>
      </c>
      <c r="V37" s="24">
        <f t="shared" si="7"/>
        <v>4.2037781499085769E-2</v>
      </c>
      <c r="W37" s="23">
        <f t="shared" si="10"/>
        <v>3.2178897155503705E-3</v>
      </c>
      <c r="X37" s="24">
        <v>3.2903673804104416E-2</v>
      </c>
      <c r="Y37" s="24">
        <f t="shared" si="8"/>
        <v>4.1169679750131527E-2</v>
      </c>
      <c r="Z37" s="23">
        <f t="shared" si="9"/>
        <v>3.1480137692037058E-3</v>
      </c>
      <c r="AA37" s="36"/>
    </row>
    <row r="38" spans="4:27" ht="17.100000000000001" customHeight="1" x14ac:dyDescent="0.3">
      <c r="D38" s="118" t="s">
        <v>46</v>
      </c>
      <c r="E38" s="119"/>
      <c r="F38" s="119"/>
      <c r="G38" s="119"/>
      <c r="H38" s="119"/>
      <c r="I38" s="113"/>
      <c r="J38" s="117">
        <f>SUM(J33:J37)</f>
        <v>43.371106000000005</v>
      </c>
      <c r="O38" s="12">
        <f t="shared" si="4"/>
        <v>2.0833333333333335</v>
      </c>
      <c r="P38" s="13">
        <v>25</v>
      </c>
      <c r="Q38" s="22">
        <v>2.9762607579239431E-2</v>
      </c>
      <c r="R38" s="19">
        <f t="shared" si="5"/>
        <v>3.973966196176093E-2</v>
      </c>
      <c r="S38" s="22">
        <v>2.9763347527959727E-2</v>
      </c>
      <c r="T38" s="19">
        <f t="shared" si="6"/>
        <v>3.9753941412183913E-2</v>
      </c>
      <c r="U38" s="24">
        <v>3.4102976264269502E-2</v>
      </c>
      <c r="V38" s="24">
        <f t="shared" si="7"/>
        <v>4.4086466839230454E-2</v>
      </c>
      <c r="W38" s="23">
        <f t="shared" si="10"/>
        <v>3.4374111698507459E-3</v>
      </c>
      <c r="X38" s="24">
        <v>3.3233050558274524E-2</v>
      </c>
      <c r="Y38" s="24">
        <f t="shared" si="8"/>
        <v>4.3217963934448989E-2</v>
      </c>
      <c r="Z38" s="23">
        <f t="shared" si="9"/>
        <v>3.3677225134995936E-3</v>
      </c>
      <c r="AA38" s="36"/>
    </row>
    <row r="39" spans="4:27" ht="17.100000000000001" customHeight="1" x14ac:dyDescent="0.3">
      <c r="O39" s="12">
        <f t="shared" si="4"/>
        <v>2.1666666666666665</v>
      </c>
      <c r="P39" s="13">
        <v>26</v>
      </c>
      <c r="Q39" s="22">
        <v>3.0144564245209615E-2</v>
      </c>
      <c r="R39" s="19">
        <f t="shared" si="5"/>
        <v>4.0829641155733842E-2</v>
      </c>
      <c r="S39" s="22">
        <v>3.0145820136364909E-2</v>
      </c>
      <c r="T39" s="19">
        <f t="shared" si="6"/>
        <v>4.0835130241671846E-2</v>
      </c>
      <c r="U39" s="24">
        <v>3.4485185608873037E-2</v>
      </c>
      <c r="V39" s="24">
        <f t="shared" si="7"/>
        <v>4.5171970704491304E-2</v>
      </c>
      <c r="W39" s="23">
        <f t="shared" si="10"/>
        <v>3.6016628454949018E-3</v>
      </c>
      <c r="X39" s="24">
        <v>3.3615312640528305E-2</v>
      </c>
      <c r="Y39" s="24">
        <f t="shared" si="8"/>
        <v>4.4302604269911949E-2</v>
      </c>
      <c r="Z39" s="23">
        <f t="shared" si="9"/>
        <v>3.5320674401626562E-3</v>
      </c>
      <c r="AA39" s="36"/>
    </row>
    <row r="40" spans="4:27" ht="17.100000000000001" customHeight="1" x14ac:dyDescent="0.3">
      <c r="O40" s="12">
        <f t="shared" si="4"/>
        <v>2.25</v>
      </c>
      <c r="P40" s="13">
        <v>27</v>
      </c>
      <c r="Q40" s="22">
        <v>3.0538344754412083E-2</v>
      </c>
      <c r="R40" s="19">
        <f t="shared" si="5"/>
        <v>4.0954035862607929E-2</v>
      </c>
      <c r="S40" s="22">
        <v>3.0539755882408759E-2</v>
      </c>
      <c r="T40" s="19">
        <f t="shared" si="6"/>
        <v>4.0949118923447214E-2</v>
      </c>
      <c r="U40" s="24">
        <v>3.4879036942927932E-2</v>
      </c>
      <c r="V40" s="24">
        <f t="shared" si="7"/>
        <v>4.5291220082835704E-2</v>
      </c>
      <c r="W40" s="23">
        <f t="shared" si="10"/>
        <v>3.6885725301605277E-3</v>
      </c>
      <c r="X40" s="24">
        <v>3.4009180915485882E-2</v>
      </c>
      <c r="Y40" s="24">
        <f t="shared" si="8"/>
        <v>4.442080023845385E-2</v>
      </c>
      <c r="Z40" s="23">
        <f t="shared" si="9"/>
        <v>3.6189742554733062E-3</v>
      </c>
      <c r="AA40" s="36"/>
    </row>
    <row r="41" spans="4:27" ht="17.100000000000001" customHeight="1" x14ac:dyDescent="0.25">
      <c r="D41" s="102" t="s">
        <v>51</v>
      </c>
      <c r="E41" s="103"/>
      <c r="F41" s="103"/>
      <c r="G41" s="103"/>
      <c r="H41" s="103"/>
      <c r="I41" s="103"/>
      <c r="J41" s="103"/>
      <c r="O41" s="12">
        <f t="shared" si="4"/>
        <v>2.3333333333333335</v>
      </c>
      <c r="P41" s="13">
        <v>28</v>
      </c>
      <c r="Q41" s="22">
        <v>3.0908532913586306E-2</v>
      </c>
      <c r="R41" s="19">
        <f t="shared" si="5"/>
        <v>4.0110461894582894E-2</v>
      </c>
      <c r="S41" s="22">
        <v>3.0909720221962811E-2</v>
      </c>
      <c r="T41" s="19">
        <f t="shared" si="6"/>
        <v>4.009633078292052E-2</v>
      </c>
      <c r="U41" s="24">
        <v>3.5249108525270634E-2</v>
      </c>
      <c r="V41" s="24">
        <f t="shared" si="7"/>
        <v>4.4443282640645565E-2</v>
      </c>
      <c r="W41" s="23">
        <f t="shared" si="10"/>
        <v>3.6981150570634114E-3</v>
      </c>
      <c r="X41" s="24">
        <v>3.4379231057374948E-2</v>
      </c>
      <c r="Y41" s="24">
        <f t="shared" si="8"/>
        <v>4.3571890906722421E-2</v>
      </c>
      <c r="Z41" s="23">
        <f t="shared" si="9"/>
        <v>3.6284397082284592E-3</v>
      </c>
      <c r="AA41" s="36"/>
    </row>
    <row r="42" spans="4:27" ht="17.100000000000001" customHeight="1" x14ac:dyDescent="0.3">
      <c r="O42" s="12">
        <f t="shared" si="4"/>
        <v>2.4166666666666665</v>
      </c>
      <c r="P42" s="13">
        <v>29</v>
      </c>
      <c r="Q42" s="22">
        <v>3.1224481434740436E-2</v>
      </c>
      <c r="R42" s="19">
        <f t="shared" si="5"/>
        <v>3.8299446216607747E-2</v>
      </c>
      <c r="S42" s="22">
        <v>3.1225145032320212E-2</v>
      </c>
      <c r="T42" s="19">
        <f t="shared" si="6"/>
        <v>3.8280070043569481E-2</v>
      </c>
      <c r="U42" s="24">
        <v>3.5564797577992024E-2</v>
      </c>
      <c r="V42" s="24">
        <f t="shared" si="7"/>
        <v>4.2630117378089416E-2</v>
      </c>
      <c r="W42" s="23">
        <f t="shared" si="10"/>
        <v>3.6302400486349917E-3</v>
      </c>
      <c r="X42" s="24">
        <v>3.4694867208293179E-2</v>
      </c>
      <c r="Y42" s="24">
        <f t="shared" si="8"/>
        <v>4.1758103857731266E-2</v>
      </c>
      <c r="Z42" s="23">
        <f t="shared" si="9"/>
        <v>3.5604349419484649E-3</v>
      </c>
      <c r="AA42" s="36"/>
    </row>
    <row r="43" spans="4:27" ht="17.100000000000001" customHeight="1" x14ac:dyDescent="0.3">
      <c r="D43" s="107" t="s">
        <v>54</v>
      </c>
      <c r="E43" s="107" t="s">
        <v>61</v>
      </c>
      <c r="F43" s="108" t="s">
        <v>52</v>
      </c>
      <c r="G43" s="107" t="s">
        <v>53</v>
      </c>
      <c r="H43" s="107" t="s">
        <v>56</v>
      </c>
      <c r="I43" s="113"/>
      <c r="J43" s="107" t="s">
        <v>58</v>
      </c>
      <c r="O43" s="12">
        <f t="shared" si="4"/>
        <v>2.5</v>
      </c>
      <c r="P43" s="13">
        <v>30</v>
      </c>
      <c r="Q43" s="22">
        <v>3.1459535068200317E-2</v>
      </c>
      <c r="R43" s="19">
        <f t="shared" si="5"/>
        <v>3.5811245347099563E-2</v>
      </c>
      <c r="S43" s="22">
        <v>3.1459535068204314E-2</v>
      </c>
      <c r="T43" s="19">
        <f t="shared" si="6"/>
        <v>3.5792779262928454E-2</v>
      </c>
      <c r="U43" s="24">
        <v>3.5799535068195221E-2</v>
      </c>
      <c r="V43" s="24">
        <f t="shared" si="7"/>
        <v>4.0142980234231684E-2</v>
      </c>
      <c r="W43" s="23">
        <f t="shared" si="10"/>
        <v>3.4849316143308329E-3</v>
      </c>
      <c r="X43" s="24">
        <v>3.4929535068208839E-2</v>
      </c>
      <c r="Y43" s="24">
        <f t="shared" si="8"/>
        <v>3.9270932611171983E-2</v>
      </c>
      <c r="Z43" s="23">
        <f t="shared" si="9"/>
        <v>3.4149652836963362E-3</v>
      </c>
      <c r="AA43" s="36"/>
    </row>
    <row r="44" spans="4:27" ht="17.100000000000001" customHeight="1" x14ac:dyDescent="0.3">
      <c r="D44" s="110"/>
      <c r="E44" s="110"/>
      <c r="F44" s="111"/>
      <c r="G44" s="110"/>
      <c r="H44" s="110"/>
      <c r="I44" s="113"/>
      <c r="J44" s="110"/>
      <c r="O44" s="12">
        <f t="shared" si="4"/>
        <v>2.5833333333333335</v>
      </c>
      <c r="P44" s="13">
        <v>31</v>
      </c>
      <c r="Q44" s="22">
        <v>3.1599627036456024E-2</v>
      </c>
      <c r="R44" s="19">
        <f t="shared" si="5"/>
        <v>3.3792933929900126E-2</v>
      </c>
      <c r="S44" s="22">
        <v>3.1599033773248797E-2</v>
      </c>
      <c r="T44" s="19">
        <f t="shared" si="6"/>
        <v>3.3780431286385193E-2</v>
      </c>
      <c r="U44" s="24">
        <v>3.5939362692569032E-2</v>
      </c>
      <c r="V44" s="24">
        <f t="shared" si="7"/>
        <v>3.8127905724477884E-2</v>
      </c>
      <c r="W44" s="23">
        <f t="shared" si="10"/>
        <v>3.285233313939484E-3</v>
      </c>
      <c r="X44" s="24">
        <v>3.5069296669653971E-2</v>
      </c>
      <c r="Y44" s="24">
        <f t="shared" si="8"/>
        <v>3.725640332213187E-2</v>
      </c>
      <c r="Z44" s="23">
        <f t="shared" si="9"/>
        <v>3.2151108326785582E-3</v>
      </c>
      <c r="AA44" s="36"/>
    </row>
    <row r="45" spans="4:27" ht="17.100000000000001" customHeight="1" x14ac:dyDescent="0.3">
      <c r="D45" s="109">
        <v>2021</v>
      </c>
      <c r="E45" s="112">
        <v>2.6499999999999999E-2</v>
      </c>
      <c r="F45" s="120">
        <v>0.02</v>
      </c>
      <c r="G45" s="120">
        <v>4.65E-2</v>
      </c>
      <c r="H45" s="121" t="s">
        <v>26</v>
      </c>
      <c r="I45" s="113"/>
      <c r="J45" s="120">
        <v>4.9500000000000002E-2</v>
      </c>
      <c r="O45" s="12">
        <f t="shared" si="4"/>
        <v>2.6666666666666665</v>
      </c>
      <c r="P45" s="13">
        <v>32</v>
      </c>
      <c r="Q45" s="22">
        <v>3.1668097389077499E-2</v>
      </c>
      <c r="R45" s="19">
        <f t="shared" si="5"/>
        <v>3.2527873335395752E-2</v>
      </c>
      <c r="S45" s="22">
        <v>3.1667132720569757E-2</v>
      </c>
      <c r="T45" s="19">
        <f t="shared" si="6"/>
        <v>3.2524027631736896E-2</v>
      </c>
      <c r="U45" s="24">
        <v>3.6007684773770254E-2</v>
      </c>
      <c r="V45" s="24">
        <f t="shared" si="7"/>
        <v>3.6866953795261725E-2</v>
      </c>
      <c r="W45" s="23">
        <f t="shared" si="10"/>
        <v>3.12311683175448E-3</v>
      </c>
      <c r="X45" s="24">
        <v>3.5137573897053409E-2</v>
      </c>
      <c r="Y45" s="24">
        <f t="shared" si="8"/>
        <v>3.5996363969897027E-2</v>
      </c>
      <c r="Z45" s="23">
        <f t="shared" si="9"/>
        <v>3.0529134753458642E-3</v>
      </c>
      <c r="AA45" s="36"/>
    </row>
    <row r="46" spans="4:27" ht="17.100000000000001" customHeight="1" x14ac:dyDescent="0.3">
      <c r="D46" s="109">
        <v>2022</v>
      </c>
      <c r="E46" s="112">
        <v>2.5999999999999999E-2</v>
      </c>
      <c r="F46" s="120">
        <v>0.02</v>
      </c>
      <c r="G46" s="120">
        <v>4.5999999999999999E-2</v>
      </c>
      <c r="H46" s="121" t="s">
        <v>26</v>
      </c>
      <c r="I46" s="113"/>
      <c r="J46" s="120">
        <v>4.9500000000000002E-2</v>
      </c>
      <c r="O46" s="12">
        <f t="shared" si="4"/>
        <v>2.75</v>
      </c>
      <c r="P46" s="13">
        <v>33</v>
      </c>
      <c r="Q46" s="22">
        <v>3.1694140683951488E-2</v>
      </c>
      <c r="R46" s="19">
        <f t="shared" si="5"/>
        <v>3.2013434853429112E-2</v>
      </c>
      <c r="S46" s="22">
        <v>3.1693088781715728E-2</v>
      </c>
      <c r="T46" s="19">
        <f t="shared" si="6"/>
        <v>3.2018751019278646E-2</v>
      </c>
      <c r="U46" s="24">
        <v>3.6033712763682946E-2</v>
      </c>
      <c r="V46" s="24">
        <f t="shared" si="7"/>
        <v>3.6356394610288723E-2</v>
      </c>
      <c r="W46" s="23">
        <f t="shared" si="10"/>
        <v>3.0215241196522857E-3</v>
      </c>
      <c r="X46" s="24">
        <v>3.5163587376248584E-2</v>
      </c>
      <c r="Y46" s="24">
        <f t="shared" si="8"/>
        <v>3.5486866044613041E-2</v>
      </c>
      <c r="Z46" s="23">
        <f t="shared" si="9"/>
        <v>2.9513160958183349E-3</v>
      </c>
      <c r="AA46" s="36"/>
    </row>
    <row r="47" spans="4:27" ht="17.100000000000001" customHeight="1" x14ac:dyDescent="0.3">
      <c r="D47" s="109">
        <v>2023</v>
      </c>
      <c r="E47" s="112">
        <v>2.4500000000000001E-2</v>
      </c>
      <c r="F47" s="120">
        <v>0.02</v>
      </c>
      <c r="G47" s="120">
        <v>4.4499999999999998E-2</v>
      </c>
      <c r="H47" s="121" t="s">
        <v>55</v>
      </c>
      <c r="I47" s="113"/>
      <c r="J47" s="120">
        <v>4.8000000000000001E-2</v>
      </c>
      <c r="O47" s="12">
        <f t="shared" si="4"/>
        <v>2.8333333333333335</v>
      </c>
      <c r="P47" s="13">
        <v>34</v>
      </c>
      <c r="Q47" s="22">
        <v>3.1703530278774705E-2</v>
      </c>
      <c r="R47" s="19">
        <f t="shared" si="5"/>
        <v>3.2248140902484401E-2</v>
      </c>
      <c r="S47" s="22">
        <v>3.1702665615853443E-2</v>
      </c>
      <c r="T47" s="19">
        <f t="shared" si="6"/>
        <v>3.226097708350717E-2</v>
      </c>
      <c r="U47" s="24">
        <v>3.6043201972021155E-2</v>
      </c>
      <c r="V47" s="24">
        <f t="shared" si="7"/>
        <v>3.6593656883879166E-2</v>
      </c>
      <c r="W47" s="23">
        <f t="shared" si="10"/>
        <v>2.9803570360846798E-3</v>
      </c>
      <c r="X47" s="24">
        <v>3.5173094131648375E-2</v>
      </c>
      <c r="Y47" s="24">
        <f t="shared" si="8"/>
        <v>3.5725127031648096E-2</v>
      </c>
      <c r="Z47" s="23">
        <f t="shared" si="9"/>
        <v>2.9102029500933657E-3</v>
      </c>
      <c r="AA47" s="36"/>
    </row>
    <row r="48" spans="4:27" ht="17.100000000000001" customHeight="1" x14ac:dyDescent="0.3">
      <c r="D48" s="109">
        <v>2024</v>
      </c>
      <c r="E48" s="112">
        <v>2.1999999999999999E-2</v>
      </c>
      <c r="F48" s="120">
        <v>0.02</v>
      </c>
      <c r="G48" s="120">
        <v>4.1999999999999996E-2</v>
      </c>
      <c r="H48" s="121" t="s">
        <v>57</v>
      </c>
      <c r="I48" s="113"/>
      <c r="J48" s="120">
        <v>4.5499999999999999E-2</v>
      </c>
      <c r="O48" s="12">
        <f t="shared" si="4"/>
        <v>2.9166666666666665</v>
      </c>
      <c r="P48" s="13">
        <v>35</v>
      </c>
      <c r="Q48" s="22">
        <v>3.171908659408551E-2</v>
      </c>
      <c r="R48" s="19">
        <f t="shared" si="5"/>
        <v>3.3232113408749653E-2</v>
      </c>
      <c r="S48" s="22">
        <v>3.1718613180692801E-2</v>
      </c>
      <c r="T48" s="19">
        <f t="shared" si="6"/>
        <v>3.3248707314001535E-2</v>
      </c>
      <c r="U48" s="24">
        <v>3.6058925198012792E-2</v>
      </c>
      <c r="V48" s="24">
        <f t="shared" si="7"/>
        <v>3.7577766020358228E-2</v>
      </c>
      <c r="W48" s="23">
        <f t="shared" si="10"/>
        <v>2.9994901286001241E-3</v>
      </c>
      <c r="X48" s="24">
        <v>3.5188862416296152E-2</v>
      </c>
      <c r="Y48" s="24">
        <f t="shared" si="8"/>
        <v>3.670996751650013E-2</v>
      </c>
      <c r="Z48" s="23">
        <f t="shared" si="9"/>
        <v>2.9294313589829368E-3</v>
      </c>
      <c r="AA48" s="36"/>
    </row>
    <row r="49" spans="4:27" ht="17.100000000000001" customHeight="1" x14ac:dyDescent="0.3">
      <c r="D49" s="109">
        <v>2025</v>
      </c>
      <c r="E49" s="112">
        <v>2.1500000000000002E-2</v>
      </c>
      <c r="F49" s="120">
        <v>0.02</v>
      </c>
      <c r="G49" s="120">
        <v>4.1500000000000002E-2</v>
      </c>
      <c r="H49" s="121" t="s">
        <v>57</v>
      </c>
      <c r="I49" s="113"/>
      <c r="J49" s="120">
        <v>4.2999999999999997E-2</v>
      </c>
      <c r="O49" s="12">
        <f t="shared" si="4"/>
        <v>3</v>
      </c>
      <c r="P49" s="13">
        <v>36</v>
      </c>
      <c r="Q49" s="22">
        <v>3.176108518398113E-2</v>
      </c>
      <c r="R49" s="19">
        <f t="shared" si="5"/>
        <v>3.4810781976940541E-2</v>
      </c>
      <c r="S49" s="22">
        <v>3.1761085183985349E-2</v>
      </c>
      <c r="T49" s="19">
        <f t="shared" si="6"/>
        <v>3.4826267380057896E-2</v>
      </c>
      <c r="U49" s="24">
        <v>3.6101085183975812E-2</v>
      </c>
      <c r="V49" s="24">
        <f t="shared" si="7"/>
        <v>3.9153804849071161E-2</v>
      </c>
      <c r="W49" s="23">
        <f t="shared" si="10"/>
        <v>3.078806946629653E-3</v>
      </c>
      <c r="X49" s="24">
        <v>3.5231085183988764E-2</v>
      </c>
      <c r="Y49" s="24">
        <f t="shared" si="8"/>
        <v>3.8286318012533682E-2</v>
      </c>
      <c r="Z49" s="23">
        <f t="shared" si="9"/>
        <v>3.0088680805588908E-3</v>
      </c>
      <c r="AA49" s="36"/>
    </row>
    <row r="50" spans="4:27" ht="17.100000000000001" customHeight="1" x14ac:dyDescent="0.3">
      <c r="D50" s="109">
        <v>2026</v>
      </c>
      <c r="E50" s="112">
        <v>2.1999999999999999E-2</v>
      </c>
      <c r="F50" s="120">
        <v>0.02</v>
      </c>
      <c r="G50" s="120">
        <v>4.1999999999999996E-2</v>
      </c>
      <c r="H50" s="121" t="s">
        <v>26</v>
      </c>
      <c r="I50" s="123"/>
      <c r="J50" s="122">
        <v>4.2999999999999997E-2</v>
      </c>
      <c r="O50" s="12">
        <f t="shared" si="4"/>
        <v>3.0833333333333335</v>
      </c>
      <c r="P50" s="13">
        <v>37</v>
      </c>
      <c r="Q50" s="22">
        <v>3.184339112835799E-2</v>
      </c>
      <c r="R50" s="19">
        <f t="shared" si="5"/>
        <v>3.6359415564003683E-2</v>
      </c>
      <c r="S50" s="22">
        <v>3.184380844958512E-2</v>
      </c>
      <c r="T50" s="19">
        <f t="shared" si="6"/>
        <v>3.6371747170974356E-2</v>
      </c>
      <c r="U50" s="24">
        <v>3.6183473088732265E-2</v>
      </c>
      <c r="V50" s="24">
        <f t="shared" si="7"/>
        <v>4.0699448870551658E-2</v>
      </c>
      <c r="W50" s="23">
        <f t="shared" si="10"/>
        <v>3.2056883289408589E-3</v>
      </c>
      <c r="X50" s="24">
        <v>3.5313540718684866E-2</v>
      </c>
      <c r="Y50" s="24">
        <f t="shared" si="8"/>
        <v>3.9831932277871962E-2</v>
      </c>
      <c r="Z50" s="23">
        <f t="shared" si="9"/>
        <v>3.1358718364242755E-3</v>
      </c>
      <c r="AA50" s="36"/>
    </row>
    <row r="51" spans="4:27" ht="17.100000000000001" customHeight="1" x14ac:dyDescent="0.3">
      <c r="D51" s="124" t="s">
        <v>62</v>
      </c>
      <c r="E51" s="124"/>
      <c r="F51" s="124"/>
      <c r="G51" s="124"/>
      <c r="H51" s="124"/>
      <c r="I51" s="124"/>
      <c r="J51" s="124"/>
      <c r="O51" s="12">
        <f t="shared" si="4"/>
        <v>3.1666666666666665</v>
      </c>
      <c r="P51" s="13">
        <v>38</v>
      </c>
      <c r="Q51" s="22">
        <v>3.1961981380329574E-2</v>
      </c>
      <c r="R51" s="19">
        <f t="shared" si="5"/>
        <v>3.7721283026960206E-2</v>
      </c>
      <c r="S51" s="22">
        <v>3.1962710903374214E-2</v>
      </c>
      <c r="T51" s="19">
        <f t="shared" si="6"/>
        <v>3.7729781805437179E-2</v>
      </c>
      <c r="U51" s="24">
        <v>3.6302063120316141E-2</v>
      </c>
      <c r="V51" s="24">
        <f t="shared" si="7"/>
        <v>4.205890568220183E-2</v>
      </c>
      <c r="W51" s="23">
        <f t="shared" si="10"/>
        <v>3.329951518224572E-3</v>
      </c>
      <c r="X51" s="24">
        <v>3.5432193843770721E-2</v>
      </c>
      <c r="Y51" s="24">
        <f t="shared" si="8"/>
        <v>4.1191103335436408E-2</v>
      </c>
      <c r="Z51" s="23">
        <f t="shared" si="9"/>
        <v>3.2602277291018389E-3</v>
      </c>
      <c r="AA51" s="36"/>
    </row>
    <row r="52" spans="4:27" ht="17.100000000000001" customHeight="1" x14ac:dyDescent="0.3">
      <c r="D52" s="125"/>
      <c r="E52" s="125"/>
      <c r="F52" s="125"/>
      <c r="G52" s="125"/>
      <c r="H52" s="125"/>
      <c r="I52" s="125"/>
      <c r="J52" s="125"/>
      <c r="O52" s="12">
        <f t="shared" si="4"/>
        <v>3.25</v>
      </c>
      <c r="P52" s="13">
        <v>39</v>
      </c>
      <c r="Q52" s="22">
        <v>3.2109255736484155E-2</v>
      </c>
      <c r="R52" s="19">
        <f t="shared" si="5"/>
        <v>3.8896005476251494E-2</v>
      </c>
      <c r="S52" s="22">
        <v>3.2110183393423863E-2</v>
      </c>
      <c r="T52" s="19">
        <f t="shared" si="6"/>
        <v>3.8900571325162892E-2</v>
      </c>
      <c r="U52" s="24">
        <v>3.644927643182605E-2</v>
      </c>
      <c r="V52" s="24">
        <f t="shared" si="7"/>
        <v>4.3232089014476616E-2</v>
      </c>
      <c r="W52" s="23">
        <f t="shared" si="10"/>
        <v>3.4391062938226025E-3</v>
      </c>
      <c r="X52" s="24">
        <v>3.5579459534716529E-2</v>
      </c>
      <c r="Y52" s="24">
        <f t="shared" si="8"/>
        <v>4.2363803437529102E-2</v>
      </c>
      <c r="Z52" s="23">
        <f t="shared" si="9"/>
        <v>3.3694429768476031E-3</v>
      </c>
      <c r="AA52" s="36"/>
    </row>
    <row r="53" spans="4:27" ht="17.100000000000001" customHeight="1" x14ac:dyDescent="0.3">
      <c r="D53" s="126" t="s">
        <v>63</v>
      </c>
      <c r="E53" s="126"/>
      <c r="F53" s="126"/>
      <c r="G53" s="126"/>
      <c r="H53" s="126"/>
      <c r="I53" s="126"/>
      <c r="J53" s="126"/>
      <c r="O53" s="12">
        <f t="shared" si="4"/>
        <v>3.3333333333333335</v>
      </c>
      <c r="P53" s="13">
        <v>40</v>
      </c>
      <c r="Q53" s="22">
        <v>3.2278382931057781E-2</v>
      </c>
      <c r="R53" s="19">
        <f t="shared" si="5"/>
        <v>3.988310113536131E-2</v>
      </c>
      <c r="S53" s="22">
        <v>3.2279400963758142E-2</v>
      </c>
      <c r="T53" s="19">
        <f t="shared" si="6"/>
        <v>3.9884210291277977E-2</v>
      </c>
      <c r="U53" s="24">
        <v>3.661830807961719E-2</v>
      </c>
      <c r="V53" s="24">
        <f t="shared" si="7"/>
        <v>4.4218810542880238E-2</v>
      </c>
      <c r="W53" s="23">
        <f t="shared" si="10"/>
        <v>3.5331997445073871E-3</v>
      </c>
      <c r="X53" s="24">
        <v>3.5748528772075794E-2</v>
      </c>
      <c r="Y53" s="24">
        <f t="shared" si="8"/>
        <v>4.3349901964917059E-2</v>
      </c>
      <c r="Z53" s="23">
        <f t="shared" si="9"/>
        <v>3.4635695070128758E-3</v>
      </c>
      <c r="AA53" s="36"/>
    </row>
    <row r="54" spans="4:27" ht="17.100000000000001" customHeight="1" x14ac:dyDescent="0.3">
      <c r="D54" s="126"/>
      <c r="E54" s="126"/>
      <c r="F54" s="126"/>
      <c r="G54" s="126"/>
      <c r="H54" s="126"/>
      <c r="I54" s="126"/>
      <c r="J54" s="126"/>
      <c r="O54" s="12">
        <f t="shared" si="4"/>
        <v>3.4166666666666665</v>
      </c>
      <c r="P54" s="13">
        <v>41</v>
      </c>
      <c r="Q54" s="22">
        <v>3.2463200530521874E-2</v>
      </c>
      <c r="R54" s="19">
        <f t="shared" si="5"/>
        <v>4.0682013191644106E-2</v>
      </c>
      <c r="S54" s="22">
        <v>3.2464220770532348E-2</v>
      </c>
      <c r="T54" s="19">
        <f t="shared" si="6"/>
        <v>4.0680715397702238E-2</v>
      </c>
      <c r="U54" s="24">
        <v>3.6803026350337387E-2</v>
      </c>
      <c r="V54" s="24">
        <f t="shared" si="7"/>
        <v>4.5018807234205926E-2</v>
      </c>
      <c r="W54" s="23">
        <f t="shared" si="10"/>
        <v>3.6122632323343229E-3</v>
      </c>
      <c r="X54" s="24">
        <v>3.5933267577702654E-2</v>
      </c>
      <c r="Y54" s="24">
        <f t="shared" si="8"/>
        <v>4.4149192823334626E-2</v>
      </c>
      <c r="Z54" s="23">
        <f t="shared" si="9"/>
        <v>3.5426433995737749E-3</v>
      </c>
      <c r="AA54" s="36"/>
    </row>
    <row r="55" spans="4:27" ht="17.100000000000001" customHeight="1" x14ac:dyDescent="0.3">
      <c r="D55" s="126"/>
      <c r="E55" s="126"/>
      <c r="F55" s="126"/>
      <c r="G55" s="126"/>
      <c r="H55" s="126"/>
      <c r="I55" s="126"/>
      <c r="J55" s="126"/>
      <c r="O55" s="12">
        <f t="shared" si="4"/>
        <v>3.5</v>
      </c>
      <c r="P55" s="13">
        <v>42</v>
      </c>
      <c r="Q55" s="22">
        <v>3.2658130185464262E-2</v>
      </c>
      <c r="R55" s="19">
        <f t="shared" si="5"/>
        <v>4.1292657223302109E-2</v>
      </c>
      <c r="S55" s="22">
        <v>3.2659095660410475E-2</v>
      </c>
      <c r="T55" s="19">
        <f t="shared" si="6"/>
        <v>4.1290053136924243E-2</v>
      </c>
      <c r="U55" s="24">
        <v>3.6997887523790629E-2</v>
      </c>
      <c r="V55" s="24">
        <f t="shared" si="7"/>
        <v>4.563176888478071E-2</v>
      </c>
      <c r="W55" s="23">
        <f t="shared" si="10"/>
        <v>3.6763146788658663E-3</v>
      </c>
      <c r="X55" s="24">
        <v>3.6128131533293528E-2</v>
      </c>
      <c r="Y55" s="24">
        <f t="shared" si="8"/>
        <v>4.4761422008007257E-2</v>
      </c>
      <c r="Z55" s="23">
        <f t="shared" si="9"/>
        <v>3.606687187396318E-3</v>
      </c>
      <c r="AA55" s="36"/>
    </row>
    <row r="56" spans="4:27" ht="17.100000000000001" customHeight="1" x14ac:dyDescent="0.3">
      <c r="O56" s="12">
        <f t="shared" si="4"/>
        <v>3.5833333333333335</v>
      </c>
      <c r="P56" s="13">
        <v>43</v>
      </c>
      <c r="Q56" s="22">
        <v>3.285811765020985E-2</v>
      </c>
      <c r="R56" s="19">
        <f t="shared" si="5"/>
        <v>4.1716492309113118E-2</v>
      </c>
      <c r="S56" s="22">
        <v>3.2859000785133041E-2</v>
      </c>
      <c r="T56" s="19">
        <f t="shared" si="6"/>
        <v>4.1712167551984924E-2</v>
      </c>
      <c r="U56" s="24">
        <v>3.7197863488081406E-2</v>
      </c>
      <c r="V56" s="24">
        <f t="shared" si="7"/>
        <v>4.6057365886994495E-2</v>
      </c>
      <c r="W56" s="23">
        <f t="shared" si="10"/>
        <v>3.7253608264085081E-3</v>
      </c>
      <c r="X56" s="24">
        <v>3.6328093189090582E-2</v>
      </c>
      <c r="Y56" s="24">
        <f t="shared" si="8"/>
        <v>4.5186315363009655E-2</v>
      </c>
      <c r="Z56" s="23">
        <f t="shared" si="9"/>
        <v>3.6557121292477568E-3</v>
      </c>
      <c r="AA56" s="36"/>
    </row>
    <row r="57" spans="4:27" ht="17.100000000000001" customHeight="1" x14ac:dyDescent="0.3">
      <c r="O57" s="12">
        <f t="shared" si="4"/>
        <v>3.6666666666666665</v>
      </c>
      <c r="P57" s="13">
        <v>44</v>
      </c>
      <c r="Q57" s="22">
        <v>3.3058605361869109E-2</v>
      </c>
      <c r="R57" s="19">
        <f t="shared" si="5"/>
        <v>4.1953435820718088E-2</v>
      </c>
      <c r="S57" s="22">
        <v>3.3059371119755321E-2</v>
      </c>
      <c r="T57" s="19">
        <f t="shared" si="6"/>
        <v>4.1947008080707615E-2</v>
      </c>
      <c r="U57" s="24">
        <v>3.7398380108828011E-2</v>
      </c>
      <c r="V57" s="24">
        <f t="shared" si="7"/>
        <v>4.6295277222640596E-2</v>
      </c>
      <c r="W57" s="23">
        <f t="shared" si="10"/>
        <v>3.7593994849853818E-3</v>
      </c>
      <c r="X57" s="24">
        <v>3.6528580257378707E-2</v>
      </c>
      <c r="Y57" s="24">
        <f t="shared" si="8"/>
        <v>4.5423606543225414E-2</v>
      </c>
      <c r="Z57" s="23">
        <f t="shared" si="9"/>
        <v>3.6897204655934601E-3</v>
      </c>
      <c r="AA57" s="36"/>
    </row>
    <row r="58" spans="4:27" ht="17.100000000000001" customHeight="1" x14ac:dyDescent="0.3">
      <c r="O58" s="12">
        <f t="shared" si="4"/>
        <v>3.75</v>
      </c>
      <c r="P58" s="13">
        <v>45</v>
      </c>
      <c r="Q58" s="22">
        <v>3.325544090652488E-2</v>
      </c>
      <c r="R58" s="19">
        <f t="shared" si="5"/>
        <v>4.2002923809406179E-2</v>
      </c>
      <c r="S58" s="22">
        <v>3.3256048143414318E-2</v>
      </c>
      <c r="T58" s="19">
        <f t="shared" si="6"/>
        <v>4.1994557480147243E-2</v>
      </c>
      <c r="U58" s="24">
        <v>3.7595264638985437E-2</v>
      </c>
      <c r="V58" s="24">
        <f t="shared" si="7"/>
        <v>4.6345218673159216E-2</v>
      </c>
      <c r="W58" s="23">
        <f t="shared" si="10"/>
        <v>3.7784217726493097E-3</v>
      </c>
      <c r="X58" s="24">
        <v>3.6725422871705105E-2</v>
      </c>
      <c r="Y58" s="24">
        <f t="shared" si="8"/>
        <v>4.5473065165661186E-2</v>
      </c>
      <c r="Z58" s="23">
        <f t="shared" si="9"/>
        <v>3.7087076655815121E-3</v>
      </c>
      <c r="AA58" s="36"/>
    </row>
    <row r="59" spans="4:27" ht="17.100000000000001" customHeight="1" x14ac:dyDescent="0.3">
      <c r="O59" s="12">
        <f t="shared" si="4"/>
        <v>3.8333333333333335</v>
      </c>
      <c r="P59" s="13">
        <v>46</v>
      </c>
      <c r="Q59" s="22">
        <v>3.3444820492556815E-2</v>
      </c>
      <c r="R59" s="19">
        <f t="shared" si="5"/>
        <v>4.1864458051046105E-2</v>
      </c>
      <c r="S59" s="22">
        <v>3.344523425375967E-2</v>
      </c>
      <c r="T59" s="19">
        <f t="shared" si="6"/>
        <v>4.1854859791388144E-2</v>
      </c>
      <c r="U59" s="24">
        <v>3.7784700763056067E-2</v>
      </c>
      <c r="V59" s="24">
        <f t="shared" si="7"/>
        <v>4.6206971206469438E-2</v>
      </c>
      <c r="W59" s="23">
        <f t="shared" si="10"/>
        <v>3.7824143560376555E-3</v>
      </c>
      <c r="X59" s="24">
        <v>3.691480850094897E-2</v>
      </c>
      <c r="Y59" s="24">
        <f t="shared" si="8"/>
        <v>4.533452510802749E-2</v>
      </c>
      <c r="Z59" s="23">
        <f t="shared" si="9"/>
        <v>3.7126646718859124E-3</v>
      </c>
      <c r="AA59" s="36"/>
    </row>
    <row r="60" spans="4:27" ht="17.100000000000001" customHeight="1" x14ac:dyDescent="0.3">
      <c r="O60" s="12">
        <f t="shared" si="4"/>
        <v>3.9166666666666665</v>
      </c>
      <c r="P60" s="13">
        <v>47</v>
      </c>
      <c r="Q60" s="22">
        <v>3.3623251312676183E-2</v>
      </c>
      <c r="R60" s="19">
        <f t="shared" si="5"/>
        <v>4.1537635007287799E-2</v>
      </c>
      <c r="S60" s="22">
        <v>3.3623453736460807E-2</v>
      </c>
      <c r="T60" s="19">
        <f t="shared" si="6"/>
        <v>4.1528048287255981E-2</v>
      </c>
      <c r="U60" s="24">
        <v>3.7963190115689383E-2</v>
      </c>
      <c r="V60" s="24">
        <f t="shared" si="7"/>
        <v>4.5880409470931305E-2</v>
      </c>
      <c r="W60" s="23">
        <f t="shared" si="10"/>
        <v>3.7713616956576157E-3</v>
      </c>
      <c r="X60" s="24">
        <v>3.7093243354382688E-2</v>
      </c>
      <c r="Y60" s="24">
        <f t="shared" si="8"/>
        <v>4.5007912892144342E-2</v>
      </c>
      <c r="Z60" s="23">
        <f t="shared" si="9"/>
        <v>3.7015801477817689E-3</v>
      </c>
      <c r="AA60" s="36"/>
    </row>
    <row r="61" spans="4:27" ht="17.100000000000001" customHeight="1" x14ac:dyDescent="0.3">
      <c r="O61" s="12">
        <f t="shared" si="4"/>
        <v>4</v>
      </c>
      <c r="P61" s="13">
        <v>48</v>
      </c>
      <c r="Q61" s="22">
        <v>3.3787519312932224E-2</v>
      </c>
      <c r="R61" s="19">
        <f t="shared" si="5"/>
        <v>4.1063127599849647E-2</v>
      </c>
      <c r="S61" s="22">
        <v>3.3787519312936665E-2</v>
      </c>
      <c r="T61" s="19">
        <f t="shared" si="6"/>
        <v>4.1055015040831533E-2</v>
      </c>
      <c r="U61" s="24">
        <v>3.8127519312927349E-2</v>
      </c>
      <c r="V61" s="24">
        <f t="shared" si="7"/>
        <v>4.540637094229627E-2</v>
      </c>
      <c r="W61" s="23">
        <f t="shared" si="10"/>
        <v>3.7452482981157331E-3</v>
      </c>
      <c r="X61" s="24">
        <v>3.7257519312940079E-2</v>
      </c>
      <c r="Y61" s="24">
        <f t="shared" si="8"/>
        <v>4.4534076845965442E-2</v>
      </c>
      <c r="Z61" s="23">
        <f t="shared" si="9"/>
        <v>3.6754427292207126E-3</v>
      </c>
      <c r="AA61" s="36"/>
    </row>
    <row r="62" spans="4:27" ht="17.100000000000001" customHeight="1" x14ac:dyDescent="0.3">
      <c r="O62" s="12">
        <f t="shared" si="4"/>
        <v>4.083333333333333</v>
      </c>
      <c r="P62" s="13">
        <v>49</v>
      </c>
      <c r="Q62" s="22">
        <v>3.393549164845977E-2</v>
      </c>
      <c r="R62" s="19">
        <f t="shared" si="5"/>
        <v>4.0604631705120076E-2</v>
      </c>
      <c r="S62" s="22">
        <v>3.3935327218930444E-2</v>
      </c>
      <c r="T62" s="19">
        <f t="shared" si="6"/>
        <v>4.0598502686535642E-2</v>
      </c>
      <c r="U62" s="24">
        <v>3.8275559507808365E-2</v>
      </c>
      <c r="V62" s="24">
        <f t="shared" si="7"/>
        <v>4.4948257632396516E-2</v>
      </c>
      <c r="W62" s="23">
        <f t="shared" si="10"/>
        <v>3.7073286668873884E-3</v>
      </c>
      <c r="X62" s="24">
        <v>3.7405512585141576E-2</v>
      </c>
      <c r="Y62" s="24">
        <f t="shared" si="8"/>
        <v>4.407628663372698E-2</v>
      </c>
      <c r="Z62" s="23">
        <f t="shared" si="9"/>
        <v>3.6375102838188678E-3</v>
      </c>
      <c r="AA62" s="36"/>
    </row>
    <row r="63" spans="4:27" ht="17.100000000000001" customHeight="1" x14ac:dyDescent="0.3">
      <c r="O63" s="12">
        <f t="shared" si="4"/>
        <v>4.166666666666667</v>
      </c>
      <c r="P63" s="13">
        <v>50</v>
      </c>
      <c r="Q63" s="22">
        <v>3.406845466318198E-2</v>
      </c>
      <c r="R63" s="19">
        <f t="shared" si="5"/>
        <v>4.0203140659844205E-2</v>
      </c>
      <c r="S63" s="22">
        <v>3.4068171690759819E-2</v>
      </c>
      <c r="T63" s="19">
        <f t="shared" si="6"/>
        <v>4.019907457096239E-2</v>
      </c>
      <c r="U63" s="24">
        <v>3.8408594985992028E-2</v>
      </c>
      <c r="V63" s="24">
        <f t="shared" si="7"/>
        <v>4.4546893397703791E-2</v>
      </c>
      <c r="W63" s="23">
        <f t="shared" si="10"/>
        <v>3.6706679578899504E-3</v>
      </c>
      <c r="X63" s="24">
        <v>3.7538509473312054E-2</v>
      </c>
      <c r="Y63" s="24">
        <f t="shared" si="8"/>
        <v>4.3675313566293283E-2</v>
      </c>
      <c r="Z63" s="23">
        <f t="shared" si="9"/>
        <v>3.6008473864665991E-3</v>
      </c>
      <c r="AA63" s="36"/>
    </row>
    <row r="64" spans="4:27" ht="17.100000000000001" customHeight="1" x14ac:dyDescent="0.3">
      <c r="O64" s="12">
        <f t="shared" si="4"/>
        <v>4.25</v>
      </c>
      <c r="P64" s="13">
        <v>51</v>
      </c>
      <c r="Q64" s="22">
        <v>3.4188394175560299E-2</v>
      </c>
      <c r="R64" s="19">
        <f t="shared" si="5"/>
        <v>3.9858716219501655E-2</v>
      </c>
      <c r="S64" s="22">
        <v>3.4188037453080078E-2</v>
      </c>
      <c r="T64" s="19">
        <f t="shared" si="6"/>
        <v>3.9856616791913879E-2</v>
      </c>
      <c r="U64" s="24">
        <v>3.8528606372777219E-2</v>
      </c>
      <c r="V64" s="24">
        <f t="shared" si="7"/>
        <v>4.4202252696764477E-2</v>
      </c>
      <c r="W64" s="23">
        <f t="shared" si="10"/>
        <v>3.6385365068993814E-3</v>
      </c>
      <c r="X64" s="24">
        <v>3.7658491438463892E-2</v>
      </c>
      <c r="Y64" s="24">
        <f t="shared" si="8"/>
        <v>4.3331114069474097E-2</v>
      </c>
      <c r="Z64" s="23">
        <f t="shared" si="9"/>
        <v>3.5687226775564795E-3</v>
      </c>
      <c r="AA64" s="36"/>
    </row>
    <row r="65" spans="15:27" ht="17.100000000000001" customHeight="1" x14ac:dyDescent="0.3">
      <c r="O65" s="12">
        <f t="shared" si="4"/>
        <v>4.333333333333333</v>
      </c>
      <c r="P65" s="13">
        <v>52</v>
      </c>
      <c r="Q65" s="22">
        <v>3.4297146697223502E-2</v>
      </c>
      <c r="R65" s="19">
        <f t="shared" si="5"/>
        <v>3.9571416416461336E-2</v>
      </c>
      <c r="S65" s="22">
        <v>3.4296756640299408E-2</v>
      </c>
      <c r="T65" s="19">
        <f t="shared" si="6"/>
        <v>3.9571013678747713E-2</v>
      </c>
      <c r="U65" s="24">
        <v>3.8637423698809625E-2</v>
      </c>
      <c r="V65" s="24">
        <f t="shared" si="7"/>
        <v>4.3914306669330161E-2</v>
      </c>
      <c r="W65" s="23">
        <f t="shared" si="10"/>
        <v>3.6109370592805057E-3</v>
      </c>
      <c r="X65" s="24">
        <v>3.7767288939732913E-2</v>
      </c>
      <c r="Y65" s="24">
        <f t="shared" si="8"/>
        <v>4.3043641601231197E-2</v>
      </c>
      <c r="Z65" s="23">
        <f t="shared" si="9"/>
        <v>3.5411374642340121E-3</v>
      </c>
      <c r="AA65" s="36"/>
    </row>
    <row r="66" spans="15:27" ht="17.100000000000001" customHeight="1" x14ac:dyDescent="0.3">
      <c r="O66" s="12">
        <f t="shared" si="4"/>
        <v>4.416666666666667</v>
      </c>
      <c r="P66" s="13">
        <v>53</v>
      </c>
      <c r="Q66" s="22">
        <v>3.4396413111782875E-2</v>
      </c>
      <c r="R66" s="19">
        <f t="shared" si="5"/>
        <v>3.9341298196204466E-2</v>
      </c>
      <c r="S66" s="22">
        <v>3.4396022816696403E-2</v>
      </c>
      <c r="T66" s="19">
        <f t="shared" si="6"/>
        <v>3.9342150362545292E-2</v>
      </c>
      <c r="U66" s="24">
        <v>3.8736740208845877E-2</v>
      </c>
      <c r="V66" s="24">
        <f t="shared" si="7"/>
        <v>4.3683025702717648E-2</v>
      </c>
      <c r="W66" s="23">
        <f t="shared" si="10"/>
        <v>3.5878714197283834E-3</v>
      </c>
      <c r="X66" s="24">
        <v>3.7866595286927929E-2</v>
      </c>
      <c r="Y66" s="24">
        <f t="shared" si="8"/>
        <v>4.2812849221043781E-2</v>
      </c>
      <c r="Z66" s="23">
        <f t="shared" si="9"/>
        <v>3.5180921367385931E-3</v>
      </c>
      <c r="AA66" s="36"/>
    </row>
    <row r="67" spans="15:27" ht="17.100000000000001" customHeight="1" x14ac:dyDescent="0.3">
      <c r="O67" s="12">
        <f t="shared" si="4"/>
        <v>4.5</v>
      </c>
      <c r="P67" s="13">
        <v>54</v>
      </c>
      <c r="Q67" s="22">
        <v>3.4487770909209736E-2</v>
      </c>
      <c r="R67" s="19">
        <f t="shared" si="5"/>
        <v>3.9168261014921102E-2</v>
      </c>
      <c r="S67" s="22">
        <v>3.4487403515128578E-2</v>
      </c>
      <c r="T67" s="19">
        <f t="shared" si="6"/>
        <v>3.9169915329055671E-2</v>
      </c>
      <c r="U67" s="24">
        <v>3.8828124711173473E-2</v>
      </c>
      <c r="V67" s="24">
        <f t="shared" si="7"/>
        <v>4.3508381994895151E-2</v>
      </c>
      <c r="W67" s="23">
        <f t="shared" si="10"/>
        <v>3.5693406565220354E-3</v>
      </c>
      <c r="X67" s="24">
        <v>3.7957979029202393E-2</v>
      </c>
      <c r="Y67" s="24">
        <f t="shared" si="8"/>
        <v>4.2638692149739033E-2</v>
      </c>
      <c r="Z67" s="23">
        <f t="shared" si="9"/>
        <v>3.4995863737974364E-3</v>
      </c>
      <c r="AA67" s="36"/>
    </row>
    <row r="68" spans="15:27" ht="17.100000000000001" customHeight="1" x14ac:dyDescent="0.3">
      <c r="O68" s="12">
        <f t="shared" si="4"/>
        <v>4.583333333333333</v>
      </c>
      <c r="P68" s="13">
        <v>55</v>
      </c>
      <c r="Q68" s="22">
        <v>3.4572682277611344E-2</v>
      </c>
      <c r="R68" s="19">
        <f t="shared" si="5"/>
        <v>3.9051731002741397E-2</v>
      </c>
      <c r="S68" s="22">
        <v>3.4572351479201124E-2</v>
      </c>
      <c r="T68" s="19">
        <f t="shared" si="6"/>
        <v>3.9054202954359907E-2</v>
      </c>
      <c r="U68" s="24">
        <v>3.891303265013013E-2</v>
      </c>
      <c r="V68" s="24">
        <f t="shared" si="7"/>
        <v>4.3390352112806507E-2</v>
      </c>
      <c r="W68" s="23">
        <f t="shared" si="10"/>
        <v>3.5553453062497908E-3</v>
      </c>
      <c r="X68" s="24">
        <v>3.8042895062727844E-2</v>
      </c>
      <c r="Y68" s="24">
        <f t="shared" si="8"/>
        <v>4.2521130324645107E-2</v>
      </c>
      <c r="Z68" s="23">
        <f t="shared" si="9"/>
        <v>3.4856193479739783E-3</v>
      </c>
      <c r="AA68" s="36"/>
    </row>
    <row r="69" spans="15:27" ht="17.100000000000001" customHeight="1" x14ac:dyDescent="0.3">
      <c r="O69" s="12">
        <f t="shared" si="4"/>
        <v>4.666666666666667</v>
      </c>
      <c r="P69" s="13">
        <v>56</v>
      </c>
      <c r="Q69" s="22">
        <v>3.4652495729101229E-2</v>
      </c>
      <c r="R69" s="19">
        <f t="shared" si="5"/>
        <v>3.8991617381051169E-2</v>
      </c>
      <c r="S69" s="22">
        <v>3.4652214767775691E-2</v>
      </c>
      <c r="T69" s="19">
        <f t="shared" si="6"/>
        <v>3.8994916025365534E-2</v>
      </c>
      <c r="U69" s="24">
        <v>3.8992816058485591E-2</v>
      </c>
      <c r="V69" s="24">
        <f t="shared" si="7"/>
        <v>4.3328919547910294E-2</v>
      </c>
      <c r="W69" s="23">
        <f t="shared" si="10"/>
        <v>3.5458855786805188E-3</v>
      </c>
      <c r="X69" s="24">
        <v>3.8122694614620034E-2</v>
      </c>
      <c r="Y69" s="24">
        <f t="shared" si="8"/>
        <v>4.246013094776524E-2</v>
      </c>
      <c r="Z69" s="23">
        <f t="shared" si="9"/>
        <v>3.4761899311455124E-3</v>
      </c>
      <c r="AA69" s="36"/>
    </row>
    <row r="70" spans="15:27" ht="17.100000000000001" customHeight="1" x14ac:dyDescent="0.3">
      <c r="O70" s="12">
        <f t="shared" si="4"/>
        <v>4.75</v>
      </c>
      <c r="P70" s="13">
        <v>57</v>
      </c>
      <c r="Q70" s="22">
        <v>3.472846427784404E-2</v>
      </c>
      <c r="R70" s="19">
        <f t="shared" si="5"/>
        <v>3.8987997479208003E-2</v>
      </c>
      <c r="S70" s="22">
        <v>3.4728245858790086E-2</v>
      </c>
      <c r="T70" s="19">
        <f t="shared" si="6"/>
        <v>3.8991968248913933E-2</v>
      </c>
      <c r="U70" s="24">
        <v>3.9068732524815353E-2</v>
      </c>
      <c r="V70" s="24">
        <f t="shared" si="7"/>
        <v>4.332407727088694E-2</v>
      </c>
      <c r="W70" s="23">
        <f t="shared" si="10"/>
        <v>3.540961561720124E-3</v>
      </c>
      <c r="X70" s="24">
        <v>3.8198634238601592E-2</v>
      </c>
      <c r="Y70" s="24">
        <f t="shared" si="8"/>
        <v>4.2455671032821218E-2</v>
      </c>
      <c r="Z70" s="23">
        <f t="shared" si="9"/>
        <v>3.4712968997132609E-3</v>
      </c>
      <c r="AA70" s="36"/>
    </row>
    <row r="71" spans="15:27" ht="17.100000000000001" customHeight="1" x14ac:dyDescent="0.3">
      <c r="O71" s="12">
        <f t="shared" si="4"/>
        <v>4.833333333333333</v>
      </c>
      <c r="P71" s="13">
        <v>58</v>
      </c>
      <c r="Q71" s="22">
        <v>3.4801756353660673E-2</v>
      </c>
      <c r="R71" s="19">
        <f t="shared" si="5"/>
        <v>3.9040960400318125E-2</v>
      </c>
      <c r="S71" s="22">
        <v>3.4801609870810157E-2</v>
      </c>
      <c r="T71" s="19">
        <f t="shared" si="6"/>
        <v>3.9045286750096553E-2</v>
      </c>
      <c r="U71" s="24">
        <v>3.9141953292667564E-2</v>
      </c>
      <c r="V71" s="24">
        <f t="shared" si="7"/>
        <v>4.3375830289316131E-2</v>
      </c>
      <c r="W71" s="23">
        <f t="shared" si="10"/>
        <v>3.5405734263977973E-3</v>
      </c>
      <c r="X71" s="24">
        <v>3.8271883939566598E-2</v>
      </c>
      <c r="Y71" s="24">
        <f t="shared" si="8"/>
        <v>4.2507739949425583E-2</v>
      </c>
      <c r="Z71" s="23">
        <f t="shared" si="9"/>
        <v>3.4709391397955702E-3</v>
      </c>
      <c r="AA71" s="36"/>
    </row>
    <row r="72" spans="15:27" ht="17.100000000000001" customHeight="1" x14ac:dyDescent="0.3">
      <c r="O72" s="12">
        <f t="shared" si="4"/>
        <v>4.916666666666667</v>
      </c>
      <c r="P72" s="13">
        <v>59</v>
      </c>
      <c r="Q72" s="22">
        <v>3.4873462981308112E-2</v>
      </c>
      <c r="R72" s="19">
        <f t="shared" si="5"/>
        <v>3.9150609642649048E-2</v>
      </c>
      <c r="S72" s="22">
        <v>3.4873392004930226E-2</v>
      </c>
      <c r="T72" s="19">
        <f t="shared" si="6"/>
        <v>3.915481456523473E-2</v>
      </c>
      <c r="U72" s="24">
        <v>3.9213570592772085E-2</v>
      </c>
      <c r="V72" s="24">
        <f t="shared" si="7"/>
        <v>4.3484198208220581E-2</v>
      </c>
      <c r="W72" s="23">
        <f t="shared" si="10"/>
        <v>3.5447216319730579E-3</v>
      </c>
      <c r="X72" s="24">
        <v>3.8343534528531009E-2</v>
      </c>
      <c r="Y72" s="24">
        <f t="shared" si="8"/>
        <v>4.2616341972637528E-2</v>
      </c>
      <c r="Z72" s="23">
        <f t="shared" si="9"/>
        <v>3.4751158520516245E-3</v>
      </c>
      <c r="AA72" s="36"/>
    </row>
    <row r="73" spans="15:27" ht="17.100000000000001" customHeight="1" x14ac:dyDescent="0.3">
      <c r="O73" s="12">
        <f t="shared" si="4"/>
        <v>5</v>
      </c>
      <c r="P73" s="13">
        <v>60</v>
      </c>
      <c r="Q73" s="22">
        <v>3.4944604296232251E-2</v>
      </c>
      <c r="R73" s="19">
        <f t="shared" si="5"/>
        <v>3.9305078019643114E-2</v>
      </c>
      <c r="S73" s="22">
        <v>3.4944604296235582E-2</v>
      </c>
      <c r="T73" s="19">
        <f t="shared" si="6"/>
        <v>3.9308641687313406E-2</v>
      </c>
      <c r="U73" s="24">
        <v>3.9284604296227599E-2</v>
      </c>
      <c r="V73" s="24">
        <f t="shared" si="7"/>
        <v>4.3637311867822381E-2</v>
      </c>
      <c r="W73" s="23">
        <f t="shared" si="10"/>
        <v>3.5534071309393234E-3</v>
      </c>
      <c r="X73" s="24">
        <v>3.8414604296239885E-2</v>
      </c>
      <c r="Y73" s="24">
        <f t="shared" si="8"/>
        <v>4.2769599762529031E-2</v>
      </c>
      <c r="Z73" s="23">
        <f t="shared" si="9"/>
        <v>3.483826756587094E-3</v>
      </c>
      <c r="AA73" s="36"/>
    </row>
    <row r="74" spans="15:27" ht="17.100000000000001" customHeight="1" x14ac:dyDescent="0.3">
      <c r="O74" s="12">
        <f t="shared" si="4"/>
        <v>5.083333333333333</v>
      </c>
      <c r="P74" s="13">
        <v>61</v>
      </c>
      <c r="Q74" s="22">
        <v>3.5015939764005077E-2</v>
      </c>
      <c r="R74" s="19">
        <f t="shared" si="5"/>
        <v>3.9456496738295543E-2</v>
      </c>
      <c r="S74" s="22">
        <v>3.5015997943593336E-2</v>
      </c>
      <c r="T74" s="19">
        <f t="shared" si="6"/>
        <v>3.9459274959623425E-2</v>
      </c>
      <c r="U74" s="24">
        <v>3.9355813587918842E-2</v>
      </c>
      <c r="V74" s="24">
        <f t="shared" si="7"/>
        <v>4.3787581803356623E-2</v>
      </c>
      <c r="W74" s="23">
        <f t="shared" si="10"/>
        <v>3.5656775133523499E-3</v>
      </c>
      <c r="X74" s="24">
        <v>3.8485850817903788E-2</v>
      </c>
      <c r="Y74" s="24">
        <f t="shared" si="8"/>
        <v>4.2919943040461206E-2</v>
      </c>
      <c r="Z74" s="23">
        <f t="shared" si="9"/>
        <v>3.4961180590065144E-3</v>
      </c>
      <c r="AA74" s="36"/>
    </row>
    <row r="75" spans="15:27" ht="17.100000000000001" customHeight="1" x14ac:dyDescent="0.3">
      <c r="O75" s="12">
        <f t="shared" si="4"/>
        <v>5.166666666666667</v>
      </c>
      <c r="P75" s="13">
        <v>62</v>
      </c>
      <c r="Q75" s="22">
        <v>3.5087410915603634E-2</v>
      </c>
      <c r="R75" s="19">
        <f t="shared" si="5"/>
        <v>3.9592873309085119E-2</v>
      </c>
      <c r="S75" s="22">
        <v>3.508751278238198E-2</v>
      </c>
      <c r="T75" s="19">
        <f t="shared" si="6"/>
        <v>3.9594868815561179E-2</v>
      </c>
      <c r="U75" s="24">
        <v>3.9427144205735898E-2</v>
      </c>
      <c r="V75" s="24">
        <f t="shared" si="7"/>
        <v>4.392311220073708E-2</v>
      </c>
      <c r="W75" s="23">
        <f t="shared" si="10"/>
        <v>3.5777183980385541E-3</v>
      </c>
      <c r="X75" s="24">
        <v>3.8557218638045621E-2</v>
      </c>
      <c r="Y75" s="24">
        <f t="shared" si="8"/>
        <v>4.3055486113816377E-2</v>
      </c>
      <c r="Z75" s="23">
        <f t="shared" si="9"/>
        <v>3.5081740081470691E-3</v>
      </c>
      <c r="AA75" s="36"/>
    </row>
    <row r="76" spans="15:27" ht="17.100000000000001" customHeight="1" x14ac:dyDescent="0.3">
      <c r="O76" s="12">
        <f t="shared" si="4"/>
        <v>5.25</v>
      </c>
      <c r="P76" s="13">
        <v>63</v>
      </c>
      <c r="Q76" s="22">
        <v>3.5158773458186188E-2</v>
      </c>
      <c r="R76" s="19">
        <f t="shared" si="5"/>
        <v>3.9714188914215187E-2</v>
      </c>
      <c r="S76" s="22">
        <v>3.5158905254522477E-2</v>
      </c>
      <c r="T76" s="19">
        <f t="shared" si="6"/>
        <v>3.971545183416425E-2</v>
      </c>
      <c r="U76" s="24">
        <v>3.9498357318886068E-2</v>
      </c>
      <c r="V76" s="24">
        <f t="shared" si="7"/>
        <v>4.4043908050800606E-2</v>
      </c>
      <c r="W76" s="23">
        <f t="shared" si="10"/>
        <v>3.5885768647938576E-3</v>
      </c>
      <c r="X76" s="24">
        <v>3.8628467969511249E-2</v>
      </c>
      <c r="Y76" s="24">
        <f t="shared" si="8"/>
        <v>4.3176238797073552E-2</v>
      </c>
      <c r="Z76" s="23">
        <f t="shared" si="9"/>
        <v>3.5190417710855293E-3</v>
      </c>
      <c r="AA76" s="36"/>
    </row>
    <row r="77" spans="15:27" ht="17.100000000000001" customHeight="1" x14ac:dyDescent="0.3">
      <c r="O77" s="12">
        <f t="shared" si="4"/>
        <v>5.333333333333333</v>
      </c>
      <c r="P77" s="13">
        <v>64</v>
      </c>
      <c r="Q77" s="22">
        <v>3.5229798102077048E-2</v>
      </c>
      <c r="R77" s="19">
        <f t="shared" si="5"/>
        <v>3.9820422758819918E-2</v>
      </c>
      <c r="S77" s="22">
        <v>3.5229947496000946E-2</v>
      </c>
      <c r="T77" s="19">
        <f t="shared" si="6"/>
        <v>3.9821050209100983E-2</v>
      </c>
      <c r="U77" s="24">
        <v>3.9569229127681682E-2</v>
      </c>
      <c r="V77" s="24">
        <f t="shared" si="7"/>
        <v>4.4149972337475196E-2</v>
      </c>
      <c r="W77" s="23">
        <f t="shared" si="10"/>
        <v>3.5982537353795863E-3</v>
      </c>
      <c r="X77" s="24">
        <v>3.8699374191176972E-2</v>
      </c>
      <c r="Y77" s="24">
        <f t="shared" si="8"/>
        <v>4.3282208811653344E-2</v>
      </c>
      <c r="Z77" s="23">
        <f t="shared" si="9"/>
        <v>3.5287225590321381E-3</v>
      </c>
      <c r="AA77" s="36"/>
    </row>
    <row r="78" spans="15:27" ht="17.100000000000001" customHeight="1" x14ac:dyDescent="0.3">
      <c r="O78" s="12">
        <f t="shared" ref="O78:O141" si="13">P78/12</f>
        <v>5.416666666666667</v>
      </c>
      <c r="P78" s="13">
        <v>65</v>
      </c>
      <c r="Q78" s="22">
        <v>3.5300269366877801E-2</v>
      </c>
      <c r="R78" s="19">
        <f t="shared" ref="R78:R141" si="14">(1+Q79)^P79/(1+Q78)^P78-1</f>
        <v>3.991155224645615E-2</v>
      </c>
      <c r="S78" s="22">
        <v>3.5300426083564096E-2</v>
      </c>
      <c r="T78" s="19">
        <f t="shared" ref="T78:T141" si="15">(1+S79)^P79/(1+S78)^P78-1</f>
        <v>3.9911687929998996E-2</v>
      </c>
      <c r="U78" s="24">
        <v>3.9639549667459306E-2</v>
      </c>
      <c r="V78" s="24">
        <f t="shared" ref="V78:V141" si="16">(1+U79)^P79/(1+U78)^P78-1</f>
        <v>4.4241306209394926E-2</v>
      </c>
      <c r="W78" s="23">
        <f t="shared" si="10"/>
        <v>3.6067496246212638E-3</v>
      </c>
      <c r="X78" s="24">
        <v>3.8769726640083935E-2</v>
      </c>
      <c r="Y78" s="24">
        <f t="shared" si="8"/>
        <v>4.3373401960390856E-2</v>
      </c>
      <c r="Z78" s="23">
        <f t="shared" si="9"/>
        <v>3.5372173686356589E-3</v>
      </c>
      <c r="AA78" s="36"/>
    </row>
    <row r="79" spans="15:27" ht="17.100000000000001" customHeight="1" x14ac:dyDescent="0.3">
      <c r="O79" s="12">
        <f t="shared" si="13"/>
        <v>5.5</v>
      </c>
      <c r="P79" s="13">
        <v>66</v>
      </c>
      <c r="Q79" s="22">
        <v>3.5369984499185714E-2</v>
      </c>
      <c r="R79" s="19">
        <f t="shared" si="14"/>
        <v>3.9987599343563884E-2</v>
      </c>
      <c r="S79" s="22">
        <v>3.5370140898602909E-2</v>
      </c>
      <c r="T79" s="19">
        <f t="shared" si="15"/>
        <v>3.9987386966081395E-2</v>
      </c>
      <c r="U79" s="24">
        <v>3.9709121724272656E-2</v>
      </c>
      <c r="V79" s="24">
        <f t="shared" si="16"/>
        <v>4.431790915348488E-2</v>
      </c>
      <c r="W79" s="23">
        <f t="shared" ref="W79:W142" si="17">(1+V78)^(1/12)-1</f>
        <v>3.6140649543199288E-3</v>
      </c>
      <c r="X79" s="24">
        <v>3.8839327516474231E-2</v>
      </c>
      <c r="Y79" s="24">
        <f t="shared" ref="Y79:Y142" si="18">(1+X80)^P80/(1+X79)^P79-1</f>
        <v>4.3449822301866448E-2</v>
      </c>
      <c r="Z79" s="23">
        <f t="shared" ref="Z79:Z142" si="19">(1+Y78)^(1/12)-1</f>
        <v>3.5445269961889014E-3</v>
      </c>
      <c r="AA79" s="36"/>
    </row>
    <row r="80" spans="15:27" ht="17.100000000000001" customHeight="1" x14ac:dyDescent="0.3">
      <c r="O80" s="12">
        <f t="shared" si="13"/>
        <v>5.583333333333333</v>
      </c>
      <c r="P80" s="13">
        <v>67</v>
      </c>
      <c r="Q80" s="22">
        <v>3.5438753176579629E-2</v>
      </c>
      <c r="R80" s="19">
        <f t="shared" si="14"/>
        <v>4.0048723327912983E-2</v>
      </c>
      <c r="S80" s="22">
        <v>3.54389040959604E-2</v>
      </c>
      <c r="T80" s="19">
        <f t="shared" si="15"/>
        <v>4.0048167444392657E-2</v>
      </c>
      <c r="U80" s="24">
        <v>3.9777759850659011E-2</v>
      </c>
      <c r="V80" s="24">
        <f t="shared" si="16"/>
        <v>4.437977916591529E-2</v>
      </c>
      <c r="W80" s="23">
        <f t="shared" si="17"/>
        <v>3.6201999672795804E-3</v>
      </c>
      <c r="X80" s="24">
        <v>3.890799088987773E-2</v>
      </c>
      <c r="Y80" s="24">
        <f t="shared" si="18"/>
        <v>4.3511472323705336E-2</v>
      </c>
      <c r="Z80" s="23">
        <f t="shared" si="19"/>
        <v>3.5506520517774032E-3</v>
      </c>
      <c r="AA80" s="36"/>
    </row>
    <row r="81" spans="15:27" ht="17.100000000000001" customHeight="1" x14ac:dyDescent="0.3">
      <c r="O81" s="12">
        <f t="shared" si="13"/>
        <v>5.666666666666667</v>
      </c>
      <c r="P81" s="13">
        <v>68</v>
      </c>
      <c r="Q81" s="22">
        <v>3.5506398596096611E-2</v>
      </c>
      <c r="R81" s="19">
        <f t="shared" si="14"/>
        <v>4.0094944015283573E-2</v>
      </c>
      <c r="S81" s="22">
        <v>3.5506539166730855E-2</v>
      </c>
      <c r="T81" s="19">
        <f t="shared" si="15"/>
        <v>4.0094047831381818E-2</v>
      </c>
      <c r="U81" s="24">
        <v>3.9845289471092782E-2</v>
      </c>
      <c r="V81" s="24">
        <f t="shared" si="16"/>
        <v>4.4426912925587647E-2</v>
      </c>
      <c r="W81" s="23">
        <f t="shared" si="17"/>
        <v>3.6251547410834917E-3</v>
      </c>
      <c r="X81" s="24">
        <v>3.8975541795785995E-2</v>
      </c>
      <c r="Y81" s="24">
        <f t="shared" si="18"/>
        <v>4.3558353116869064E-2</v>
      </c>
      <c r="Z81" s="23">
        <f t="shared" si="19"/>
        <v>3.5555929733057656E-3</v>
      </c>
      <c r="AA81" s="36"/>
    </row>
    <row r="82" spans="15:27" ht="17.100000000000001" customHeight="1" x14ac:dyDescent="0.3">
      <c r="O82" s="12">
        <f t="shared" si="13"/>
        <v>5.75</v>
      </c>
      <c r="P82" s="13">
        <v>69</v>
      </c>
      <c r="Q82" s="22">
        <v>3.5572754474973989E-2</v>
      </c>
      <c r="R82" s="19">
        <f t="shared" si="14"/>
        <v>4.012623401553661E-2</v>
      </c>
      <c r="S82" s="22">
        <v>3.5572880085520842E-2</v>
      </c>
      <c r="T82" s="19">
        <f t="shared" si="15"/>
        <v>4.0125045111365498E-2</v>
      </c>
      <c r="U82" s="24">
        <v>3.9911546068026382E-2</v>
      </c>
      <c r="V82" s="24">
        <f t="shared" si="16"/>
        <v>4.4459305966363605E-2</v>
      </c>
      <c r="W82" s="23">
        <f t="shared" si="17"/>
        <v>3.6289292020379449E-3</v>
      </c>
      <c r="X82" s="24">
        <v>3.9041815413698E-2</v>
      </c>
      <c r="Y82" s="24">
        <f t="shared" si="18"/>
        <v>4.3590464550089747E-2</v>
      </c>
      <c r="Z82" s="23">
        <f t="shared" si="19"/>
        <v>3.55935004056529E-3</v>
      </c>
      <c r="AA82" s="36"/>
    </row>
    <row r="83" spans="15:27" ht="17.100000000000001" customHeight="1" x14ac:dyDescent="0.3">
      <c r="O83" s="12">
        <f t="shared" si="13"/>
        <v>5.833333333333333</v>
      </c>
      <c r="P83" s="13">
        <v>70</v>
      </c>
      <c r="Q83" s="22">
        <v>3.5637663620836646E-2</v>
      </c>
      <c r="R83" s="19">
        <f t="shared" si="14"/>
        <v>4.0142565041476841E-2</v>
      </c>
      <c r="S83" s="22">
        <v>3.5637770533645252E-2</v>
      </c>
      <c r="T83" s="19">
        <f t="shared" si="15"/>
        <v>4.014117496408609E-2</v>
      </c>
      <c r="U83" s="24">
        <v>3.9976374440406914E-2</v>
      </c>
      <c r="V83" s="24">
        <f t="shared" si="16"/>
        <v>4.4476952850212914E-2</v>
      </c>
      <c r="W83" s="23">
        <f t="shared" si="17"/>
        <v>3.631523138984516E-3</v>
      </c>
      <c r="X83" s="24">
        <v>3.9106656318367294E-2</v>
      </c>
      <c r="Y83" s="24">
        <f t="shared" si="18"/>
        <v>4.3607805441815861E-2</v>
      </c>
      <c r="Z83" s="23">
        <f t="shared" si="19"/>
        <v>3.5619233892807411E-3</v>
      </c>
      <c r="AA83" s="36"/>
    </row>
    <row r="84" spans="15:27" ht="17.100000000000001" customHeight="1" x14ac:dyDescent="0.3">
      <c r="O84" s="12">
        <f t="shared" si="13"/>
        <v>5.916666666666667</v>
      </c>
      <c r="P84" s="13">
        <v>71</v>
      </c>
      <c r="Q84" s="22">
        <v>3.5700977272251633E-2</v>
      </c>
      <c r="R84" s="19">
        <f t="shared" si="14"/>
        <v>4.0143908092688196E-2</v>
      </c>
      <c r="S84" s="22">
        <v>3.5701063190724192E-2</v>
      </c>
      <c r="T84" s="19">
        <f t="shared" si="15"/>
        <v>4.0142451943753432E-2</v>
      </c>
      <c r="U84" s="24">
        <v>4.0039628027507046E-2</v>
      </c>
      <c r="V84" s="24">
        <f t="shared" si="16"/>
        <v>4.4479847340096468E-2</v>
      </c>
      <c r="W84" s="23">
        <f t="shared" si="17"/>
        <v>3.6329362171569901E-3</v>
      </c>
      <c r="X84" s="24">
        <v>3.9169917796969989E-2</v>
      </c>
      <c r="Y84" s="24">
        <f t="shared" si="18"/>
        <v>4.3610373736475028E-2</v>
      </c>
      <c r="Z84" s="23">
        <f t="shared" si="19"/>
        <v>3.5633130249270728E-3</v>
      </c>
      <c r="AA84" s="36"/>
    </row>
    <row r="85" spans="15:27" ht="17.100000000000001" customHeight="1" x14ac:dyDescent="0.3">
      <c r="O85" s="12">
        <f t="shared" si="13"/>
        <v>6</v>
      </c>
      <c r="P85" s="13">
        <v>72</v>
      </c>
      <c r="Q85" s="22">
        <v>3.5762554496944432E-2</v>
      </c>
      <c r="R85" s="19">
        <f t="shared" si="14"/>
        <v>4.0130279187484907E-2</v>
      </c>
      <c r="S85" s="22">
        <v>3.5762619088025804E-2</v>
      </c>
      <c r="T85" s="19">
        <f t="shared" si="15"/>
        <v>4.0128889654610367E-2</v>
      </c>
      <c r="U85" s="24">
        <v>4.0101168291691858E-2</v>
      </c>
      <c r="V85" s="24">
        <f t="shared" si="16"/>
        <v>4.4467982572991449E-2</v>
      </c>
      <c r="W85" s="23">
        <f t="shared" si="17"/>
        <v>3.6331679919927584E-3</v>
      </c>
      <c r="X85" s="24">
        <v>3.9231461225816666E-2</v>
      </c>
      <c r="Y85" s="24">
        <f t="shared" si="18"/>
        <v>4.3598166676750205E-2</v>
      </c>
      <c r="Z85" s="23">
        <f t="shared" si="19"/>
        <v>3.5635188368690063E-3</v>
      </c>
      <c r="AA85" s="36"/>
    </row>
    <row r="86" spans="15:27" ht="17.100000000000001" customHeight="1" x14ac:dyDescent="0.3">
      <c r="O86" s="12">
        <f t="shared" si="13"/>
        <v>6.083333333333333</v>
      </c>
      <c r="P86" s="13">
        <v>73</v>
      </c>
      <c r="Q86" s="22">
        <v>3.5822262263488724E-2</v>
      </c>
      <c r="R86" s="19">
        <f t="shared" si="14"/>
        <v>4.010183082883878E-2</v>
      </c>
      <c r="S86" s="22">
        <v>3.5822307017560506E-2</v>
      </c>
      <c r="T86" s="19">
        <f t="shared" si="15"/>
        <v>4.0100500928800686E-2</v>
      </c>
      <c r="U86" s="24">
        <v>4.0160864154450193E-2</v>
      </c>
      <c r="V86" s="24">
        <f t="shared" si="16"/>
        <v>4.4441351235439353E-2</v>
      </c>
      <c r="W86" s="23">
        <f t="shared" si="17"/>
        <v>3.6322179229364426E-3</v>
      </c>
      <c r="X86" s="24">
        <v>3.9291155500824182E-2</v>
      </c>
      <c r="Y86" s="24">
        <f t="shared" si="18"/>
        <v>4.3571180978940971E-2</v>
      </c>
      <c r="Z86" s="23">
        <f t="shared" si="19"/>
        <v>3.5625406121568837E-3</v>
      </c>
      <c r="AA86" s="36"/>
    </row>
    <row r="87" spans="15:27" ht="17.100000000000001" customHeight="1" x14ac:dyDescent="0.3">
      <c r="O87" s="12">
        <f t="shared" si="13"/>
        <v>6.166666666666667</v>
      </c>
      <c r="P87" s="13">
        <v>74</v>
      </c>
      <c r="Q87" s="22">
        <v>3.5879976738603103E-2</v>
      </c>
      <c r="R87" s="19">
        <f t="shared" si="14"/>
        <v>4.0058578979673687E-2</v>
      </c>
      <c r="S87" s="22">
        <v>3.5880002991664162E-2</v>
      </c>
      <c r="T87" s="19">
        <f t="shared" si="15"/>
        <v>4.0057298002866393E-2</v>
      </c>
      <c r="U87" s="24">
        <v>4.0218591480666532E-2</v>
      </c>
      <c r="V87" s="24">
        <f t="shared" si="16"/>
        <v>4.4399945735463353E-2</v>
      </c>
      <c r="W87" s="23">
        <f t="shared" si="17"/>
        <v>3.630085387427151E-3</v>
      </c>
      <c r="X87" s="24">
        <v>3.9348876516682729E-2</v>
      </c>
      <c r="Y87" s="24">
        <f t="shared" si="18"/>
        <v>4.3529413006997419E-2</v>
      </c>
      <c r="Z87" s="23">
        <f t="shared" si="19"/>
        <v>3.5603780495530035E-3</v>
      </c>
      <c r="AA87" s="36"/>
    </row>
    <row r="88" spans="15:27" ht="17.100000000000001" customHeight="1" x14ac:dyDescent="0.3">
      <c r="O88" s="12">
        <f t="shared" si="13"/>
        <v>6.25</v>
      </c>
      <c r="P88" s="13">
        <v>75</v>
      </c>
      <c r="Q88" s="22">
        <v>3.5935580855904092E-2</v>
      </c>
      <c r="R88" s="19">
        <f t="shared" si="14"/>
        <v>4.0000494084931448E-2</v>
      </c>
      <c r="S88" s="22">
        <v>3.5935589748320451E-2</v>
      </c>
      <c r="T88" s="19">
        <f t="shared" si="15"/>
        <v>3.9999292691881072E-2</v>
      </c>
      <c r="U88" s="24">
        <v>4.0274232606569038E-2</v>
      </c>
      <c r="V88" s="24">
        <f t="shared" si="16"/>
        <v>4.4343758379357334E-2</v>
      </c>
      <c r="W88" s="23">
        <f t="shared" si="17"/>
        <v>3.6267696945837535E-3</v>
      </c>
      <c r="X88" s="24">
        <v>3.9404506690140062E-2</v>
      </c>
      <c r="Y88" s="24">
        <f t="shared" si="18"/>
        <v>4.347285894740649E-2</v>
      </c>
      <c r="Z88" s="23">
        <f t="shared" si="19"/>
        <v>3.5570307734373863E-3</v>
      </c>
      <c r="AA88" s="36"/>
    </row>
    <row r="89" spans="15:27" ht="17.100000000000001" customHeight="1" x14ac:dyDescent="0.3">
      <c r="O89" s="12">
        <f t="shared" si="13"/>
        <v>6.333333333333333</v>
      </c>
      <c r="P89" s="13">
        <v>76</v>
      </c>
      <c r="Q89" s="22">
        <v>3.5988963268940743E-2</v>
      </c>
      <c r="R89" s="19">
        <f t="shared" si="14"/>
        <v>3.9927546766060695E-2</v>
      </c>
      <c r="S89" s="22">
        <v>3.5988956297965835E-2</v>
      </c>
      <c r="T89" s="19">
        <f t="shared" si="15"/>
        <v>3.9926496566916381E-2</v>
      </c>
      <c r="U89" s="24">
        <v>4.0327675907377847E-2</v>
      </c>
      <c r="V89" s="24">
        <f t="shared" si="16"/>
        <v>4.4272781545068529E-2</v>
      </c>
      <c r="W89" s="23">
        <f t="shared" si="17"/>
        <v>3.6222700992687429E-3</v>
      </c>
      <c r="X89" s="24">
        <v>3.9457934523336569E-2</v>
      </c>
      <c r="Y89" s="24">
        <f t="shared" si="18"/>
        <v>4.3401514985119016E-2</v>
      </c>
      <c r="Z89" s="23">
        <f t="shared" si="19"/>
        <v>3.5524983477717154E-3</v>
      </c>
      <c r="AA89" s="36"/>
    </row>
    <row r="90" spans="15:27" ht="17.100000000000001" customHeight="1" x14ac:dyDescent="0.3">
      <c r="O90" s="12">
        <f t="shared" si="13"/>
        <v>6.416666666666667</v>
      </c>
      <c r="P90" s="13">
        <v>77</v>
      </c>
      <c r="Q90" s="22">
        <v>3.6040017976785022E-2</v>
      </c>
      <c r="R90" s="19">
        <f t="shared" si="14"/>
        <v>3.9839707998870155E-2</v>
      </c>
      <c r="S90" s="22">
        <v>3.6039997508032773E-2</v>
      </c>
      <c r="T90" s="19">
        <f t="shared" si="15"/>
        <v>3.9838921129413229E-2</v>
      </c>
      <c r="U90" s="24">
        <v>4.037881540099364E-2</v>
      </c>
      <c r="V90" s="24">
        <f t="shared" si="16"/>
        <v>4.4187007859328942E-2</v>
      </c>
      <c r="W90" s="23">
        <f t="shared" si="17"/>
        <v>3.6165858158774267E-3</v>
      </c>
      <c r="X90" s="24">
        <v>3.950905420355233E-2</v>
      </c>
      <c r="Y90" s="24">
        <f t="shared" si="18"/>
        <v>4.3315377477026962E-2</v>
      </c>
      <c r="Z90" s="23">
        <f t="shared" si="19"/>
        <v>3.5467802901394396E-3</v>
      </c>
      <c r="AA90" s="36"/>
    </row>
    <row r="91" spans="15:27" ht="17.100000000000001" customHeight="1" x14ac:dyDescent="0.3">
      <c r="O91" s="12">
        <f t="shared" si="13"/>
        <v>6.5</v>
      </c>
      <c r="P91" s="13">
        <v>78</v>
      </c>
      <c r="Q91" s="22">
        <v>3.6088643980759505E-2</v>
      </c>
      <c r="R91" s="19">
        <f t="shared" si="14"/>
        <v>3.9736994205132437E-2</v>
      </c>
      <c r="S91" s="22">
        <v>3.6088613721796392E-2</v>
      </c>
      <c r="T91" s="19">
        <f t="shared" si="15"/>
        <v>3.9736577985525434E-2</v>
      </c>
      <c r="U91" s="24">
        <v>4.0427550384525501E-2</v>
      </c>
      <c r="V91" s="24">
        <f t="shared" si="16"/>
        <v>4.4086430371957253E-2</v>
      </c>
      <c r="W91" s="23">
        <f t="shared" si="17"/>
        <v>3.6097160324213284E-3</v>
      </c>
      <c r="X91" s="24">
        <v>3.9557765236056364E-2</v>
      </c>
      <c r="Y91" s="24">
        <f t="shared" si="18"/>
        <v>4.3214443129949043E-2</v>
      </c>
      <c r="Z91" s="23">
        <f t="shared" si="19"/>
        <v>3.539876085587812E-3</v>
      </c>
      <c r="AA91" s="36"/>
    </row>
    <row r="92" spans="15:27" ht="17.100000000000001" customHeight="1" x14ac:dyDescent="0.3">
      <c r="O92" s="12">
        <f t="shared" si="13"/>
        <v>6.583333333333333</v>
      </c>
      <c r="P92" s="13">
        <v>79</v>
      </c>
      <c r="Q92" s="22">
        <v>3.6134745536093194E-2</v>
      </c>
      <c r="R92" s="19">
        <f t="shared" si="14"/>
        <v>3.961955738417311E-2</v>
      </c>
      <c r="S92" s="22">
        <v>3.613471040847549E-2</v>
      </c>
      <c r="T92" s="19">
        <f t="shared" si="15"/>
        <v>3.9619479021565374E-2</v>
      </c>
      <c r="U92" s="24">
        <v>4.0473785100709314E-2</v>
      </c>
      <c r="V92" s="24">
        <f t="shared" si="16"/>
        <v>4.3971042733455201E-2</v>
      </c>
      <c r="W92" s="23">
        <f t="shared" si="17"/>
        <v>3.6016599243913205E-3</v>
      </c>
      <c r="X92" s="24">
        <v>3.9603972107175478E-2</v>
      </c>
      <c r="Y92" s="24">
        <f t="shared" si="18"/>
        <v>4.309870917380354E-2</v>
      </c>
      <c r="Z92" s="23">
        <f t="shared" si="19"/>
        <v>3.5317852008314166E-3</v>
      </c>
      <c r="AA92" s="36"/>
    </row>
    <row r="93" spans="15:27" ht="17.100000000000001" customHeight="1" x14ac:dyDescent="0.3">
      <c r="O93" s="12">
        <f t="shared" si="13"/>
        <v>6.666666666666667</v>
      </c>
      <c r="P93" s="13">
        <v>80</v>
      </c>
      <c r="Q93" s="22">
        <v>3.617823350812599E-2</v>
      </c>
      <c r="R93" s="19">
        <f t="shared" si="14"/>
        <v>3.9487415930040015E-2</v>
      </c>
      <c r="S93" s="22">
        <v>3.6178197841857385E-2</v>
      </c>
      <c r="T93" s="19">
        <f t="shared" si="15"/>
        <v>3.9487636577278717E-2</v>
      </c>
      <c r="U93" s="24">
        <v>4.0517428431632974E-2</v>
      </c>
      <c r="V93" s="24">
        <f t="shared" si="16"/>
        <v>4.3840839370744344E-2</v>
      </c>
      <c r="W93" s="23">
        <f t="shared" si="17"/>
        <v>3.5924166688883208E-3</v>
      </c>
      <c r="X93" s="24">
        <v>3.9647583974870226E-2</v>
      </c>
      <c r="Y93" s="24">
        <f t="shared" si="18"/>
        <v>4.2968173540361976E-2</v>
      </c>
      <c r="Z93" s="23">
        <f t="shared" si="19"/>
        <v>3.5225070980762219E-3</v>
      </c>
      <c r="AA93" s="36"/>
    </row>
    <row r="94" spans="15:27" ht="17.100000000000001" customHeight="1" x14ac:dyDescent="0.3">
      <c r="O94" s="12">
        <f t="shared" si="13"/>
        <v>6.75</v>
      </c>
      <c r="P94" s="13">
        <v>81</v>
      </c>
      <c r="Q94" s="22">
        <v>3.6219023316807597E-2</v>
      </c>
      <c r="R94" s="19">
        <f t="shared" si="14"/>
        <v>3.9340544415193968E-2</v>
      </c>
      <c r="S94" s="22">
        <v>3.6218990804951279E-2</v>
      </c>
      <c r="T94" s="19">
        <f t="shared" si="15"/>
        <v>3.934106361937717E-2</v>
      </c>
      <c r="U94" s="24">
        <v>4.0558393617382116E-2</v>
      </c>
      <c r="V94" s="24">
        <f t="shared" si="16"/>
        <v>4.3695815663934878E-2</v>
      </c>
      <c r="W94" s="23">
        <f t="shared" si="17"/>
        <v>3.5819854586149891E-3</v>
      </c>
      <c r="X94" s="24">
        <v>3.968851438450538E-2</v>
      </c>
      <c r="Y94" s="24">
        <f t="shared" si="18"/>
        <v>4.2822835036628426E-2</v>
      </c>
      <c r="Z94" s="23">
        <f t="shared" si="19"/>
        <v>3.5120412492972708E-3</v>
      </c>
      <c r="AA94" s="36"/>
    </row>
    <row r="95" spans="15:27" ht="17.100000000000001" customHeight="1" x14ac:dyDescent="0.3">
      <c r="O95" s="12">
        <f t="shared" si="13"/>
        <v>6.833333333333333</v>
      </c>
      <c r="P95" s="13">
        <v>82</v>
      </c>
      <c r="Q95" s="22">
        <v>3.6257034122021414E-2</v>
      </c>
      <c r="R95" s="19">
        <f t="shared" si="14"/>
        <v>3.9178918644131144E-2</v>
      </c>
      <c r="S95" s="22">
        <v>3.6257008318444583E-2</v>
      </c>
      <c r="T95" s="19">
        <f t="shared" si="15"/>
        <v>3.9179773915869021E-2</v>
      </c>
      <c r="U95" s="24">
        <v>4.0596597997488049E-2</v>
      </c>
      <c r="V95" s="24">
        <f t="shared" si="16"/>
        <v>4.3535968123887159E-2</v>
      </c>
      <c r="W95" s="23">
        <f t="shared" si="17"/>
        <v>3.5703655159649017E-3</v>
      </c>
      <c r="X95" s="24">
        <v>3.9726681007595133E-2</v>
      </c>
      <c r="Y95" s="24">
        <f t="shared" si="18"/>
        <v>4.2662693523579653E-2</v>
      </c>
      <c r="Z95" s="23">
        <f t="shared" si="19"/>
        <v>3.5003871501013695E-3</v>
      </c>
      <c r="AA95" s="36"/>
    </row>
    <row r="96" spans="15:27" ht="17.100000000000001" customHeight="1" x14ac:dyDescent="0.3">
      <c r="O96" s="12">
        <f t="shared" si="13"/>
        <v>6.916666666666667</v>
      </c>
      <c r="P96" s="13">
        <v>83</v>
      </c>
      <c r="Q96" s="22">
        <v>3.629218860866823E-2</v>
      </c>
      <c r="R96" s="19">
        <f t="shared" si="14"/>
        <v>3.9002515833236551E-2</v>
      </c>
      <c r="S96" s="22">
        <v>3.629217339096269E-2</v>
      </c>
      <c r="T96" s="19">
        <f t="shared" si="15"/>
        <v>3.9003782207331916E-2</v>
      </c>
      <c r="U96" s="24">
        <v>4.0631962773261421E-2</v>
      </c>
      <c r="V96" s="24">
        <f t="shared" si="16"/>
        <v>4.3361294569544517E-2</v>
      </c>
      <c r="W96" s="23">
        <f t="shared" si="17"/>
        <v>3.5575561071925499E-3</v>
      </c>
      <c r="X96" s="24">
        <v>3.9762005401646094E-2</v>
      </c>
      <c r="Y96" s="24">
        <f t="shared" si="18"/>
        <v>4.2487750089713616E-2</v>
      </c>
      <c r="Z96" s="23">
        <f t="shared" si="19"/>
        <v>3.4875443340343093E-3</v>
      </c>
      <c r="AA96" s="36"/>
    </row>
    <row r="97" spans="15:27" ht="17.100000000000001" customHeight="1" x14ac:dyDescent="0.3">
      <c r="O97" s="12">
        <f t="shared" si="13"/>
        <v>7</v>
      </c>
      <c r="P97" s="13">
        <v>84</v>
      </c>
      <c r="Q97" s="22">
        <v>3.6324412789270788E-2</v>
      </c>
      <c r="R97" s="19">
        <f t="shared" si="14"/>
        <v>3.8815436478325749E-2</v>
      </c>
      <c r="S97" s="22">
        <v>3.6324412789274341E-2</v>
      </c>
      <c r="T97" s="19">
        <f t="shared" si="15"/>
        <v>3.8817211581583466E-2</v>
      </c>
      <c r="U97" s="24">
        <v>4.066441278926658E-2</v>
      </c>
      <c r="V97" s="24">
        <f t="shared" si="16"/>
        <v>4.3175872590992093E-2</v>
      </c>
      <c r="W97" s="23">
        <f t="shared" si="17"/>
        <v>3.5435565565855587E-3</v>
      </c>
      <c r="X97" s="24">
        <v>3.9794412789277978E-2</v>
      </c>
      <c r="Y97" s="24">
        <f t="shared" si="18"/>
        <v>4.230209167408705E-2</v>
      </c>
      <c r="Z97" s="23">
        <f t="shared" si="19"/>
        <v>3.4735123864919615E-3</v>
      </c>
      <c r="AA97" s="36"/>
    </row>
    <row r="98" spans="15:27" ht="17.100000000000001" customHeight="1" x14ac:dyDescent="0.3">
      <c r="O98" s="12">
        <f t="shared" si="13"/>
        <v>7.083333333333333</v>
      </c>
      <c r="P98" s="13">
        <v>85</v>
      </c>
      <c r="Q98" s="22">
        <v>3.6353684198281666E-2</v>
      </c>
      <c r="R98" s="19">
        <f t="shared" si="14"/>
        <v>3.8634154994662495E-2</v>
      </c>
      <c r="S98" s="22">
        <v>3.635370503234614E-2</v>
      </c>
      <c r="T98" s="19">
        <f t="shared" si="15"/>
        <v>3.8636491682231933E-2</v>
      </c>
      <c r="U98" s="24">
        <v>4.069392419813056E-2</v>
      </c>
      <c r="V98" s="24">
        <f t="shared" si="16"/>
        <v>4.2996011373351628E-2</v>
      </c>
      <c r="W98" s="23">
        <f t="shared" si="17"/>
        <v>3.5286932017060124E-3</v>
      </c>
      <c r="X98" s="24">
        <v>3.9823879793220662E-2</v>
      </c>
      <c r="Y98" s="24">
        <f t="shared" si="18"/>
        <v>4.2122052925582798E-2</v>
      </c>
      <c r="Z98" s="23">
        <f t="shared" si="19"/>
        <v>3.4586186454366175E-3</v>
      </c>
      <c r="AA98" s="36"/>
    </row>
    <row r="99" spans="15:27" ht="17.100000000000001" customHeight="1" x14ac:dyDescent="0.3">
      <c r="O99" s="12">
        <f t="shared" si="13"/>
        <v>7.166666666666667</v>
      </c>
      <c r="P99" s="13">
        <v>86</v>
      </c>
      <c r="Q99" s="22">
        <v>3.6380172506681685E-2</v>
      </c>
      <c r="R99" s="19">
        <f t="shared" si="14"/>
        <v>3.8462795652389747E-2</v>
      </c>
      <c r="S99" s="22">
        <v>3.6380220210807668E-2</v>
      </c>
      <c r="T99" s="19">
        <f t="shared" si="15"/>
        <v>3.8465704319562644E-2</v>
      </c>
      <c r="U99" s="24">
        <v>4.0720663433913673E-2</v>
      </c>
      <c r="V99" s="24">
        <f t="shared" si="16"/>
        <v>4.2825779073709658E-2</v>
      </c>
      <c r="W99" s="23">
        <f t="shared" si="17"/>
        <v>3.5142732812019073E-3</v>
      </c>
      <c r="X99" s="24">
        <v>3.9850573591750038E-2</v>
      </c>
      <c r="Y99" s="24">
        <f t="shared" si="18"/>
        <v>4.195170500549783E-2</v>
      </c>
      <c r="Z99" s="23">
        <f t="shared" si="19"/>
        <v>3.4441733980974387E-3</v>
      </c>
      <c r="AA99" s="36"/>
    </row>
    <row r="100" spans="15:27" ht="17.100000000000001" customHeight="1" x14ac:dyDescent="0.3">
      <c r="O100" s="12">
        <f t="shared" si="13"/>
        <v>7.25</v>
      </c>
      <c r="P100" s="13">
        <v>87</v>
      </c>
      <c r="Q100" s="22">
        <v>3.6404086959738846E-2</v>
      </c>
      <c r="R100" s="19">
        <f t="shared" si="14"/>
        <v>3.830136306615417E-2</v>
      </c>
      <c r="S100" s="22">
        <v>3.6404167483261585E-2</v>
      </c>
      <c r="T100" s="19">
        <f t="shared" si="15"/>
        <v>3.8304820570007392E-2</v>
      </c>
      <c r="U100" s="24">
        <v>4.0744836007131857E-2</v>
      </c>
      <c r="V100" s="24">
        <f t="shared" si="16"/>
        <v>4.2665164658416632E-2</v>
      </c>
      <c r="W100" s="23">
        <f t="shared" si="17"/>
        <v>3.5006232351477706E-3</v>
      </c>
      <c r="X100" s="24">
        <v>3.9874700440453825E-2</v>
      </c>
      <c r="Y100" s="24">
        <f t="shared" si="18"/>
        <v>4.1791033210029305E-2</v>
      </c>
      <c r="Z100" s="23">
        <f t="shared" si="19"/>
        <v>3.4305035792889793E-3</v>
      </c>
      <c r="AA100" s="36"/>
    </row>
    <row r="101" spans="15:27" ht="17.100000000000001" customHeight="1" x14ac:dyDescent="0.3">
      <c r="O101" s="12">
        <f t="shared" si="13"/>
        <v>7.333333333333333</v>
      </c>
      <c r="P101" s="13">
        <v>88</v>
      </c>
      <c r="Q101" s="22">
        <v>3.6425627429199192E-2</v>
      </c>
      <c r="R101" s="19">
        <f t="shared" si="14"/>
        <v>3.8149861498706583E-2</v>
      </c>
      <c r="S101" s="22">
        <v>3.6425746258112568E-2</v>
      </c>
      <c r="T101" s="19">
        <f t="shared" si="15"/>
        <v>3.8153811498651491E-2</v>
      </c>
      <c r="U101" s="24">
        <v>4.0766638044374082E-2</v>
      </c>
      <c r="V101" s="24">
        <f t="shared" si="16"/>
        <v>4.2514156828706184E-2</v>
      </c>
      <c r="W101" s="23">
        <f t="shared" si="17"/>
        <v>3.4877425245543048E-3</v>
      </c>
      <c r="X101" s="24">
        <v>3.9896457135998764E-2</v>
      </c>
      <c r="Y101" s="24">
        <f t="shared" si="18"/>
        <v>4.1640022627511764E-2</v>
      </c>
      <c r="Z101" s="23">
        <f t="shared" si="19"/>
        <v>3.4176083577845962E-3</v>
      </c>
      <c r="AA101" s="36"/>
    </row>
    <row r="102" spans="15:27" ht="17.100000000000001" customHeight="1" x14ac:dyDescent="0.3">
      <c r="O102" s="12">
        <f t="shared" si="13"/>
        <v>7.416666666666667</v>
      </c>
      <c r="P102" s="13">
        <v>89</v>
      </c>
      <c r="Q102" s="22">
        <v>3.64449849291828E-2</v>
      </c>
      <c r="R102" s="19">
        <f t="shared" si="14"/>
        <v>3.8008294940840459E-2</v>
      </c>
      <c r="S102" s="22">
        <v>3.6445146734192413E-2</v>
      </c>
      <c r="T102" s="19">
        <f t="shared" si="15"/>
        <v>3.8012648237950808E-2</v>
      </c>
      <c r="U102" s="24">
        <v>4.0786256805937393E-2</v>
      </c>
      <c r="V102" s="24">
        <f t="shared" si="16"/>
        <v>4.2372744096114356E-2</v>
      </c>
      <c r="W102" s="23">
        <f t="shared" si="17"/>
        <v>3.4756305692944522E-3</v>
      </c>
      <c r="X102" s="24">
        <v>3.9916031538532959E-2</v>
      </c>
      <c r="Y102" s="24">
        <f t="shared" si="18"/>
        <v>4.1498658212791861E-2</v>
      </c>
      <c r="Z102" s="23">
        <f t="shared" si="19"/>
        <v>3.4054868653590198E-3</v>
      </c>
      <c r="AA102" s="36"/>
    </row>
    <row r="103" spans="15:27" ht="17.100000000000001" customHeight="1" x14ac:dyDescent="0.3">
      <c r="O103" s="12">
        <f t="shared" si="13"/>
        <v>7.5</v>
      </c>
      <c r="P103" s="13">
        <v>90</v>
      </c>
      <c r="Q103" s="22">
        <v>3.6462342098913636E-2</v>
      </c>
      <c r="R103" s="19">
        <f t="shared" si="14"/>
        <v>3.787663906568528E-2</v>
      </c>
      <c r="S103" s="22">
        <v>3.6462550406604954E-2</v>
      </c>
      <c r="T103" s="19">
        <f t="shared" si="15"/>
        <v>3.7881302063388134E-2</v>
      </c>
      <c r="U103" s="24">
        <v>4.0803871170138617E-2</v>
      </c>
      <c r="V103" s="24">
        <f t="shared" si="16"/>
        <v>4.2240914854830836E-2</v>
      </c>
      <c r="W103" s="23">
        <f t="shared" si="17"/>
        <v>3.4642867541869737E-3</v>
      </c>
      <c r="X103" s="24">
        <v>3.9933603060444023E-2</v>
      </c>
      <c r="Y103" s="24">
        <f t="shared" si="18"/>
        <v>4.1366924862733967E-2</v>
      </c>
      <c r="Z103" s="23">
        <f t="shared" si="19"/>
        <v>3.3941382028217504E-3</v>
      </c>
      <c r="AA103" s="36"/>
    </row>
    <row r="104" spans="15:27" ht="17.100000000000001" customHeight="1" x14ac:dyDescent="0.3">
      <c r="O104" s="12">
        <f t="shared" si="13"/>
        <v>7.583333333333333</v>
      </c>
      <c r="P104" s="13">
        <v>91</v>
      </c>
      <c r="Q104" s="22">
        <v>3.6477873346152601E-2</v>
      </c>
      <c r="R104" s="19">
        <f t="shared" si="14"/>
        <v>3.7754785013197401E-2</v>
      </c>
      <c r="S104" s="22">
        <v>3.6478130540405385E-2</v>
      </c>
      <c r="T104" s="19">
        <f t="shared" si="15"/>
        <v>3.775974446882735E-2</v>
      </c>
      <c r="U104" s="24">
        <v>4.081965208680538E-2</v>
      </c>
      <c r="V104" s="24">
        <f t="shared" si="16"/>
        <v>4.2118657454689901E-2</v>
      </c>
      <c r="W104" s="23">
        <f t="shared" si="17"/>
        <v>3.4537104348411063E-3</v>
      </c>
      <c r="X104" s="24">
        <v>3.9949343124045633E-2</v>
      </c>
      <c r="Y104" s="24">
        <f t="shared" si="18"/>
        <v>4.1244807487700541E-2</v>
      </c>
      <c r="Z104" s="23">
        <f t="shared" si="19"/>
        <v>3.3835614461450447E-3</v>
      </c>
      <c r="AA104" s="36"/>
    </row>
    <row r="105" spans="15:27" ht="17.100000000000001" customHeight="1" x14ac:dyDescent="0.3">
      <c r="O105" s="12">
        <f t="shared" si="13"/>
        <v>7.666666666666667</v>
      </c>
      <c r="P105" s="13">
        <v>92</v>
      </c>
      <c r="Q105" s="22">
        <v>3.6491744371064172E-2</v>
      </c>
      <c r="R105" s="19">
        <f t="shared" si="14"/>
        <v>3.7642708170965378E-2</v>
      </c>
      <c r="S105" s="22">
        <v>3.6492052614534032E-2</v>
      </c>
      <c r="T105" s="19">
        <f t="shared" si="15"/>
        <v>3.7647947242247293E-2</v>
      </c>
      <c r="U105" s="24">
        <v>4.0833763002278589E-2</v>
      </c>
      <c r="V105" s="24">
        <f t="shared" si="16"/>
        <v>4.200596027562109E-2</v>
      </c>
      <c r="W105" s="23">
        <f t="shared" si="17"/>
        <v>3.4439009435607293E-3</v>
      </c>
      <c r="X105" s="24">
        <v>3.9963415590491547E-2</v>
      </c>
      <c r="Y105" s="24">
        <f t="shared" si="18"/>
        <v>4.1132291086504402E-2</v>
      </c>
      <c r="Z105" s="23">
        <f t="shared" si="19"/>
        <v>3.3737556522803747E-3</v>
      </c>
      <c r="AA105" s="36"/>
    </row>
    <row r="106" spans="15:27" ht="17.100000000000001" customHeight="1" x14ac:dyDescent="0.3">
      <c r="O106" s="12">
        <f t="shared" si="13"/>
        <v>7.75</v>
      </c>
      <c r="P106" s="13">
        <v>93</v>
      </c>
      <c r="Q106" s="22">
        <v>3.6504113533399662E-2</v>
      </c>
      <c r="R106" s="19">
        <f t="shared" si="14"/>
        <v>3.7540412074781093E-2</v>
      </c>
      <c r="S106" s="22">
        <v>3.6504474738223047E-2</v>
      </c>
      <c r="T106" s="19">
        <f t="shared" si="15"/>
        <v>3.7545882538697395E-2</v>
      </c>
      <c r="U106" s="24">
        <v>4.0846360258063541E-2</v>
      </c>
      <c r="V106" s="24">
        <f t="shared" si="16"/>
        <v>4.1902811797699835E-2</v>
      </c>
      <c r="W106" s="23">
        <f t="shared" si="17"/>
        <v>3.4348575953722094E-3</v>
      </c>
      <c r="X106" s="24">
        <v>3.997597716209933E-2</v>
      </c>
      <c r="Y106" s="24">
        <f t="shared" si="18"/>
        <v>4.102936081946762E-2</v>
      </c>
      <c r="Z106" s="23">
        <f t="shared" si="19"/>
        <v>3.3647198652553278E-3</v>
      </c>
      <c r="AA106" s="36"/>
    </row>
    <row r="107" spans="15:27" ht="17.100000000000001" customHeight="1" x14ac:dyDescent="0.3">
      <c r="O107" s="12">
        <f t="shared" si="13"/>
        <v>7.833333333333333</v>
      </c>
      <c r="P107" s="13">
        <v>94</v>
      </c>
      <c r="Q107" s="22">
        <v>3.6515132537075834E-2</v>
      </c>
      <c r="R107" s="19">
        <f t="shared" si="14"/>
        <v>3.7447900375709553E-2</v>
      </c>
      <c r="S107" s="22">
        <v>3.651554804187751E-2</v>
      </c>
      <c r="T107" s="19">
        <f t="shared" si="15"/>
        <v>3.7453522954769003E-2</v>
      </c>
      <c r="U107" s="24">
        <v>4.0857593465028597E-2</v>
      </c>
      <c r="V107" s="24">
        <f t="shared" si="16"/>
        <v>4.1809200675515079E-2</v>
      </c>
      <c r="W107" s="23">
        <f t="shared" si="17"/>
        <v>3.4265796937034132E-3</v>
      </c>
      <c r="X107" s="24">
        <v>3.9987177760023362E-2</v>
      </c>
      <c r="Y107" s="24">
        <f t="shared" si="18"/>
        <v>4.0936002079047018E-2</v>
      </c>
      <c r="Z107" s="23">
        <f t="shared" si="19"/>
        <v>3.3564531221255134E-3</v>
      </c>
      <c r="AA107" s="36"/>
    </row>
    <row r="108" spans="15:27" ht="17.100000000000001" customHeight="1" x14ac:dyDescent="0.3">
      <c r="O108" s="12">
        <f t="shared" si="13"/>
        <v>7.916666666666667</v>
      </c>
      <c r="P108" s="13">
        <v>95</v>
      </c>
      <c r="Q108" s="22">
        <v>3.6524946777094724E-2</v>
      </c>
      <c r="R108" s="19">
        <f t="shared" si="14"/>
        <v>3.7365176917536713E-2</v>
      </c>
      <c r="S108" s="22">
        <v>3.6525417044307895E-2</v>
      </c>
      <c r="T108" s="19">
        <f t="shared" si="15"/>
        <v>3.737084160084625E-2</v>
      </c>
      <c r="U108" s="24">
        <v>4.0867605854979949E-2</v>
      </c>
      <c r="V108" s="24">
        <f t="shared" si="16"/>
        <v>4.172511580886229E-2</v>
      </c>
      <c r="W108" s="23">
        <f t="shared" si="17"/>
        <v>3.4190665364151052E-3</v>
      </c>
      <c r="X108" s="24">
        <v>3.999716087905214E-2</v>
      </c>
      <c r="Y108" s="24">
        <f t="shared" si="18"/>
        <v>4.0852200564652552E-2</v>
      </c>
      <c r="Z108" s="23">
        <f t="shared" si="19"/>
        <v>3.3489544587346209E-3</v>
      </c>
      <c r="AA108" s="36"/>
    </row>
    <row r="109" spans="15:27" ht="17.100000000000001" customHeight="1" x14ac:dyDescent="0.3">
      <c r="O109" s="12">
        <f t="shared" si="13"/>
        <v>8</v>
      </c>
      <c r="P109" s="13">
        <v>96</v>
      </c>
      <c r="Q109" s="22">
        <v>3.6533695665785793E-2</v>
      </c>
      <c r="R109" s="19">
        <f t="shared" si="14"/>
        <v>3.7292218124968635E-2</v>
      </c>
      <c r="S109" s="22">
        <v>3.6534219997997885E-2</v>
      </c>
      <c r="T109" s="19">
        <f t="shared" si="15"/>
        <v>3.7297812173256562E-2</v>
      </c>
      <c r="U109" s="24">
        <v>4.0876534611209436E-2</v>
      </c>
      <c r="V109" s="24">
        <f t="shared" si="16"/>
        <v>4.1650546415034517E-2</v>
      </c>
      <c r="W109" s="23">
        <f t="shared" si="17"/>
        <v>3.4123174215388019E-3</v>
      </c>
      <c r="X109" s="24">
        <v>4.0006063921224522E-2</v>
      </c>
      <c r="Y109" s="24">
        <f t="shared" si="18"/>
        <v>4.0777942352411056E-2</v>
      </c>
      <c r="Z109" s="23">
        <f t="shared" si="19"/>
        <v>3.3422229158130978E-3</v>
      </c>
      <c r="AA109" s="36"/>
    </row>
    <row r="110" spans="15:27" ht="17.100000000000001" customHeight="1" x14ac:dyDescent="0.3">
      <c r="O110" s="12">
        <f t="shared" si="13"/>
        <v>8.0833333333333339</v>
      </c>
      <c r="P110" s="13">
        <v>97</v>
      </c>
      <c r="Q110" s="22">
        <v>3.6541512654600261E-2</v>
      </c>
      <c r="R110" s="19">
        <f t="shared" si="14"/>
        <v>3.7228917658875815E-2</v>
      </c>
      <c r="S110" s="22">
        <v>3.6542089213976503E-2</v>
      </c>
      <c r="T110" s="19">
        <f t="shared" si="15"/>
        <v>3.7234409025685089E-2</v>
      </c>
      <c r="U110" s="24">
        <v>4.08845111795344E-2</v>
      </c>
      <c r="V110" s="24">
        <f t="shared" si="16"/>
        <v>4.1585482101072824E-2</v>
      </c>
      <c r="W110" s="23">
        <f t="shared" si="17"/>
        <v>3.4063316531469656E-3</v>
      </c>
      <c r="X110" s="24">
        <v>4.00140185097273E-2</v>
      </c>
      <c r="Y110" s="24">
        <f t="shared" si="18"/>
        <v>4.0713213968273099E-2</v>
      </c>
      <c r="Z110" s="23">
        <f t="shared" si="19"/>
        <v>3.3362575446722609E-3</v>
      </c>
      <c r="AA110" s="36"/>
    </row>
    <row r="111" spans="15:27" ht="17.100000000000001" customHeight="1" x14ac:dyDescent="0.3">
      <c r="O111" s="12">
        <f t="shared" si="13"/>
        <v>8.1666666666666661</v>
      </c>
      <c r="P111" s="13">
        <v>98</v>
      </c>
      <c r="Q111" s="22">
        <v>3.6548524690269035E-2</v>
      </c>
      <c r="R111" s="19">
        <f t="shared" si="14"/>
        <v>3.7175252575684103E-2</v>
      </c>
      <c r="S111" s="22">
        <v>3.6549151367727628E-2</v>
      </c>
      <c r="T111" s="19">
        <f t="shared" si="15"/>
        <v>3.7180607240302033E-2</v>
      </c>
      <c r="U111" s="24">
        <v>4.0891661561209602E-2</v>
      </c>
      <c r="V111" s="24">
        <f t="shared" si="16"/>
        <v>4.1529912932712021E-2</v>
      </c>
      <c r="W111" s="23">
        <f t="shared" si="17"/>
        <v>3.4011085472194225E-3</v>
      </c>
      <c r="X111" s="24">
        <v>4.0021150784502524E-2</v>
      </c>
      <c r="Y111" s="24">
        <f t="shared" si="18"/>
        <v>4.0658002457974574E-2</v>
      </c>
      <c r="Z111" s="23">
        <f t="shared" si="19"/>
        <v>3.3310574131686366E-3</v>
      </c>
      <c r="AA111" s="36"/>
    </row>
    <row r="112" spans="15:27" ht="17.100000000000001" customHeight="1" x14ac:dyDescent="0.3">
      <c r="O112" s="12">
        <f t="shared" si="13"/>
        <v>8.25</v>
      </c>
      <c r="P112" s="13">
        <v>99</v>
      </c>
      <c r="Q112" s="22">
        <v>3.6554853381231878E-2</v>
      </c>
      <c r="R112" s="19">
        <f t="shared" si="14"/>
        <v>3.7131228095044211E-2</v>
      </c>
      <c r="S112" s="22">
        <v>3.6555527787463404E-2</v>
      </c>
      <c r="T112" s="19">
        <f t="shared" si="15"/>
        <v>3.7136382698333747E-2</v>
      </c>
      <c r="U112" s="24">
        <v>4.0898106588948213E-2</v>
      </c>
      <c r="V112" s="24">
        <f t="shared" si="16"/>
        <v>4.148382950832441E-2</v>
      </c>
      <c r="W112" s="23">
        <f t="shared" si="17"/>
        <v>3.3966474372451039E-3</v>
      </c>
      <c r="X112" s="24">
        <v>4.0027581680815105E-2</v>
      </c>
      <c r="Y112" s="24">
        <f t="shared" si="18"/>
        <v>4.0612295459515835E-2</v>
      </c>
      <c r="Z112" s="23">
        <f t="shared" si="19"/>
        <v>3.326621611413616E-3</v>
      </c>
      <c r="AA112" s="36"/>
    </row>
    <row r="113" spans="15:27" ht="17.100000000000001" customHeight="1" x14ac:dyDescent="0.3">
      <c r="O113" s="12">
        <f t="shared" si="13"/>
        <v>8.3333333333333339</v>
      </c>
      <c r="P113" s="13">
        <v>100</v>
      </c>
      <c r="Q113" s="22">
        <v>3.6560615542518216E-2</v>
      </c>
      <c r="R113" s="19">
        <f t="shared" si="14"/>
        <v>3.7096849999906478E-2</v>
      </c>
      <c r="S113" s="22">
        <v>3.6561334725976335E-2</v>
      </c>
      <c r="T113" s="19">
        <f t="shared" si="15"/>
        <v>3.7101712148847055E-2</v>
      </c>
      <c r="U113" s="24">
        <v>4.0903962187271992E-2</v>
      </c>
      <c r="V113" s="24">
        <f t="shared" si="16"/>
        <v>4.1447223027240021E-2</v>
      </c>
      <c r="W113" s="23">
        <f t="shared" si="17"/>
        <v>3.3929476802256886E-3</v>
      </c>
      <c r="X113" s="24">
        <v>4.0033427191985993E-2</v>
      </c>
      <c r="Y113" s="24">
        <f t="shared" si="18"/>
        <v>4.05760812716216E-2</v>
      </c>
      <c r="Z113" s="23">
        <f t="shared" si="19"/>
        <v>3.3229492576851705E-3</v>
      </c>
      <c r="AA113" s="36"/>
    </row>
    <row r="114" spans="15:27" ht="17.100000000000001" customHeight="1" x14ac:dyDescent="0.3">
      <c r="O114" s="12">
        <f t="shared" si="13"/>
        <v>8.4166666666666661</v>
      </c>
      <c r="P114" s="13">
        <v>101</v>
      </c>
      <c r="Q114" s="22">
        <v>3.6565923435341485E-2</v>
      </c>
      <c r="R114" s="19">
        <f t="shared" si="14"/>
        <v>3.7072124711778009E-2</v>
      </c>
      <c r="S114" s="22">
        <v>3.6566683617180296E-2</v>
      </c>
      <c r="T114" s="19">
        <f t="shared" si="15"/>
        <v>3.7076573278687297E-2</v>
      </c>
      <c r="U114" s="24">
        <v>4.0909339618211193E-2</v>
      </c>
      <c r="V114" s="24">
        <f t="shared" si="16"/>
        <v>4.142008536225239E-2</v>
      </c>
      <c r="W114" s="23">
        <f t="shared" si="17"/>
        <v>3.3900086622229431E-3</v>
      </c>
      <c r="X114" s="24">
        <v>4.0038798617338278E-2</v>
      </c>
      <c r="Y114" s="24">
        <f t="shared" si="18"/>
        <v>4.0549348927219286E-2</v>
      </c>
      <c r="Z114" s="23">
        <f t="shared" si="19"/>
        <v>3.3200395040138275E-3</v>
      </c>
      <c r="AA114" s="36"/>
    </row>
    <row r="115" spans="15:27" ht="17.100000000000001" customHeight="1" x14ac:dyDescent="0.3">
      <c r="O115" s="12">
        <f t="shared" si="13"/>
        <v>8.5</v>
      </c>
      <c r="P115" s="13">
        <v>102</v>
      </c>
      <c r="Q115" s="22">
        <v>3.6570884993454511E-2</v>
      </c>
      <c r="R115" s="19">
        <f t="shared" si="14"/>
        <v>3.70570321032615E-2</v>
      </c>
      <c r="S115" s="22">
        <v>3.6571681318391391E-2</v>
      </c>
      <c r="T115" s="19">
        <f t="shared" si="15"/>
        <v>3.7060944782100869E-2</v>
      </c>
      <c r="U115" s="24">
        <v>4.0914345713391587E-2</v>
      </c>
      <c r="V115" s="24">
        <f t="shared" si="16"/>
        <v>4.1402409129791318E-2</v>
      </c>
      <c r="W115" s="23">
        <f t="shared" si="17"/>
        <v>3.3878298042424593E-3</v>
      </c>
      <c r="X115" s="24">
        <v>4.0043802796411176E-2</v>
      </c>
      <c r="Y115" s="24">
        <f t="shared" si="18"/>
        <v>4.0532088260978094E-2</v>
      </c>
      <c r="Z115" s="23">
        <f t="shared" si="19"/>
        <v>3.3178915421672173E-3</v>
      </c>
      <c r="AA115" s="36"/>
    </row>
    <row r="116" spans="15:27" ht="17.100000000000001" customHeight="1" x14ac:dyDescent="0.3">
      <c r="O116" s="12">
        <f t="shared" si="13"/>
        <v>8.5833333333333339</v>
      </c>
      <c r="P116" s="13">
        <v>103</v>
      </c>
      <c r="Q116" s="22">
        <v>3.6575603772593501E-2</v>
      </c>
      <c r="R116" s="19">
        <f t="shared" si="14"/>
        <v>3.7051470996412483E-2</v>
      </c>
      <c r="S116" s="22">
        <v>3.6576430339303689E-2</v>
      </c>
      <c r="T116" s="19">
        <f t="shared" si="15"/>
        <v>3.705480642755532E-2</v>
      </c>
      <c r="U116" s="24">
        <v>4.0919083093401865E-2</v>
      </c>
      <c r="V116" s="24">
        <f t="shared" si="16"/>
        <v>4.1394187758653E-2</v>
      </c>
      <c r="W116" s="23">
        <f t="shared" si="17"/>
        <v>3.3864105679231038E-3</v>
      </c>
      <c r="X116" s="24">
        <v>4.0048542330306969E-2</v>
      </c>
      <c r="Y116" s="24">
        <f t="shared" si="18"/>
        <v>4.0524289980858219E-2</v>
      </c>
      <c r="Z116" s="23">
        <f t="shared" si="19"/>
        <v>3.3165046091541139E-3</v>
      </c>
      <c r="AA116" s="36"/>
    </row>
    <row r="117" spans="15:27" ht="17.100000000000001" customHeight="1" x14ac:dyDescent="0.3">
      <c r="O117" s="12">
        <f t="shared" si="13"/>
        <v>8.6666666666666661</v>
      </c>
      <c r="P117" s="13">
        <v>104</v>
      </c>
      <c r="Q117" s="22">
        <v>3.6580178379106654E-2</v>
      </c>
      <c r="R117" s="19">
        <f t="shared" si="14"/>
        <v>3.7055422763191848E-2</v>
      </c>
      <c r="S117" s="22">
        <v>3.658102905852223E-2</v>
      </c>
      <c r="T117" s="19">
        <f t="shared" si="15"/>
        <v>3.7058139127522871E-2</v>
      </c>
      <c r="U117" s="24">
        <v>4.0923650375274567E-2</v>
      </c>
      <c r="V117" s="24">
        <f t="shared" si="16"/>
        <v>4.1395415564420057E-2</v>
      </c>
      <c r="W117" s="23">
        <f t="shared" si="17"/>
        <v>3.3857504611085609E-3</v>
      </c>
      <c r="X117" s="24">
        <v>4.0053115791069294E-2</v>
      </c>
      <c r="Y117" s="24">
        <f t="shared" si="18"/>
        <v>4.0525945739012359E-2</v>
      </c>
      <c r="Z117" s="23">
        <f t="shared" si="19"/>
        <v>3.3158779930444471E-3</v>
      </c>
      <c r="AA117" s="36"/>
    </row>
    <row r="118" spans="15:27" ht="17.100000000000001" customHeight="1" x14ac:dyDescent="0.3">
      <c r="O118" s="12">
        <f t="shared" si="13"/>
        <v>8.75</v>
      </c>
      <c r="P118" s="13">
        <v>105</v>
      </c>
      <c r="Q118" s="22">
        <v>3.6584703488735437E-2</v>
      </c>
      <c r="R118" s="19">
        <f t="shared" si="14"/>
        <v>3.7068896947562546E-2</v>
      </c>
      <c r="S118" s="22">
        <v>3.658557192849865E-2</v>
      </c>
      <c r="T118" s="19">
        <f t="shared" si="15"/>
        <v>3.7070925004401234E-2</v>
      </c>
      <c r="U118" s="24">
        <v>4.0928142368921394E-2</v>
      </c>
      <c r="V118" s="24">
        <f t="shared" si="16"/>
        <v>4.1406087814666703E-2</v>
      </c>
      <c r="W118" s="23">
        <f t="shared" si="17"/>
        <v>3.385849043867406E-3</v>
      </c>
      <c r="X118" s="24">
        <v>4.0057617919873501E-2</v>
      </c>
      <c r="Y118" s="24">
        <f t="shared" si="18"/>
        <v>4.0537048198819869E-2</v>
      </c>
      <c r="Z118" s="23">
        <f t="shared" si="19"/>
        <v>3.3160110387320252E-3</v>
      </c>
      <c r="AA118" s="36"/>
    </row>
    <row r="119" spans="15:27" ht="17.100000000000001" customHeight="1" x14ac:dyDescent="0.3">
      <c r="O119" s="12">
        <f t="shared" si="13"/>
        <v>8.8333333333333339</v>
      </c>
      <c r="P119" s="13">
        <v>106</v>
      </c>
      <c r="Q119" s="22">
        <v>3.6589270295111609E-2</v>
      </c>
      <c r="R119" s="19">
        <f t="shared" si="14"/>
        <v>3.7091904089902039E-2</v>
      </c>
      <c r="S119" s="22">
        <v>3.6590149669593952E-2</v>
      </c>
      <c r="T119" s="19">
        <f t="shared" si="15"/>
        <v>3.7093147460659726E-2</v>
      </c>
      <c r="U119" s="24">
        <v>4.09326502631564E-2</v>
      </c>
      <c r="V119" s="24">
        <f t="shared" si="16"/>
        <v>4.1426200803966085E-2</v>
      </c>
      <c r="W119" s="23">
        <f t="shared" si="17"/>
        <v>3.3867059337686634E-3</v>
      </c>
      <c r="X119" s="24">
        <v>4.0062139814727837E-2</v>
      </c>
      <c r="Y119" s="24">
        <f t="shared" si="18"/>
        <v>4.0557591108916657E-2</v>
      </c>
      <c r="Z119" s="23">
        <f t="shared" si="19"/>
        <v>3.3169031533766269E-3</v>
      </c>
      <c r="AA119" s="36"/>
    </row>
    <row r="120" spans="15:27" ht="17.100000000000001" customHeight="1" x14ac:dyDescent="0.3">
      <c r="O120" s="12">
        <f t="shared" si="13"/>
        <v>8.9166666666666661</v>
      </c>
      <c r="P120" s="13">
        <v>107</v>
      </c>
      <c r="Q120" s="22">
        <v>3.659396667932624E-2</v>
      </c>
      <c r="R120" s="19">
        <f t="shared" si="14"/>
        <v>3.7124455802282297E-2</v>
      </c>
      <c r="S120" s="22">
        <v>3.6594849454010037E-2</v>
      </c>
      <c r="T120" s="19">
        <f t="shared" si="15"/>
        <v>3.71247912440269E-2</v>
      </c>
      <c r="U120" s="24">
        <v>4.0937261802073355E-2</v>
      </c>
      <c r="V120" s="24">
        <f t="shared" si="16"/>
        <v>4.1455751922341078E-2</v>
      </c>
      <c r="W120" s="23">
        <f t="shared" si="17"/>
        <v>3.3883208119347419E-3</v>
      </c>
      <c r="X120" s="24">
        <v>4.006676910842577E-2</v>
      </c>
      <c r="Y120" s="24">
        <f t="shared" si="18"/>
        <v>4.0587569369035847E-2</v>
      </c>
      <c r="Z120" s="23">
        <f t="shared" si="19"/>
        <v>3.3185538124020919E-3</v>
      </c>
      <c r="AA120" s="36"/>
    </row>
    <row r="121" spans="15:27" ht="17.100000000000001" customHeight="1" x14ac:dyDescent="0.3">
      <c r="O121" s="12">
        <f t="shared" si="13"/>
        <v>9</v>
      </c>
      <c r="P121" s="13">
        <v>108</v>
      </c>
      <c r="Q121" s="22">
        <v>3.6598877370839888E-2</v>
      </c>
      <c r="R121" s="19">
        <f t="shared" si="14"/>
        <v>3.7166537991503823E-2</v>
      </c>
      <c r="S121" s="22">
        <v>3.6599755080193974E-2</v>
      </c>
      <c r="T121" s="19">
        <f t="shared" si="15"/>
        <v>3.7165842514477854E-2</v>
      </c>
      <c r="U121" s="24">
        <v>4.0942061452336365E-2</v>
      </c>
      <c r="V121" s="24">
        <f t="shared" si="16"/>
        <v>4.1494739725335128E-2</v>
      </c>
      <c r="W121" s="23">
        <f t="shared" si="17"/>
        <v>3.3906934285605761E-3</v>
      </c>
      <c r="X121" s="24">
        <v>4.0071590137303437E-2</v>
      </c>
      <c r="Y121" s="24">
        <f t="shared" si="18"/>
        <v>4.0626979102913907E-2</v>
      </c>
      <c r="Z121" s="23">
        <f t="shared" si="19"/>
        <v>3.3209625648258356E-3</v>
      </c>
      <c r="AA121" s="36"/>
    </row>
    <row r="122" spans="15:27" ht="17.100000000000001" customHeight="1" x14ac:dyDescent="0.3">
      <c r="O122" s="12">
        <f t="shared" si="13"/>
        <v>9.0833333333333339</v>
      </c>
      <c r="P122" s="13">
        <v>109</v>
      </c>
      <c r="Q122" s="22">
        <v>3.6604083854067992E-2</v>
      </c>
      <c r="R122" s="19">
        <f t="shared" si="14"/>
        <v>3.7218057163835416E-2</v>
      </c>
      <c r="S122" s="22">
        <v>3.6604947138336952E-2</v>
      </c>
      <c r="T122" s="19">
        <f t="shared" si="15"/>
        <v>3.7216288914033058E-2</v>
      </c>
      <c r="U122" s="24">
        <v>4.0947130561975076E-2</v>
      </c>
      <c r="V122" s="24">
        <f t="shared" si="16"/>
        <v>4.1543164005669819E-2</v>
      </c>
      <c r="W122" s="23">
        <f t="shared" si="17"/>
        <v>3.3938236085513385E-3</v>
      </c>
      <c r="X122" s="24">
        <v>4.0076684101447491E-2</v>
      </c>
      <c r="Y122" s="24">
        <f t="shared" si="18"/>
        <v>4.0675817727625407E-2</v>
      </c>
      <c r="Z122" s="23">
        <f t="shared" si="19"/>
        <v>3.3241290391454736E-3</v>
      </c>
      <c r="AA122" s="36"/>
    </row>
    <row r="123" spans="15:27" ht="17.100000000000001" customHeight="1" x14ac:dyDescent="0.3">
      <c r="O123" s="12">
        <f t="shared" si="13"/>
        <v>9.1666666666666661</v>
      </c>
      <c r="P123" s="13">
        <v>110</v>
      </c>
      <c r="Q123" s="22">
        <v>3.6609663792317892E-2</v>
      </c>
      <c r="R123" s="19">
        <f t="shared" si="14"/>
        <v>3.7279001556742353E-2</v>
      </c>
      <c r="S123" s="22">
        <v>3.6610503167553432E-2</v>
      </c>
      <c r="T123" s="19">
        <f t="shared" si="15"/>
        <v>3.7276119630945015E-2</v>
      </c>
      <c r="U123" s="24">
        <v>4.0952547511234227E-2</v>
      </c>
      <c r="V123" s="24">
        <f t="shared" si="16"/>
        <v>4.1601025864733243E-2</v>
      </c>
      <c r="W123" s="23">
        <f t="shared" si="17"/>
        <v>3.3977112572791679E-3</v>
      </c>
      <c r="X123" s="24">
        <v>4.0082129216861606E-2</v>
      </c>
      <c r="Y123" s="24">
        <f t="shared" si="18"/>
        <v>4.0734084023260841E-2</v>
      </c>
      <c r="Z123" s="23">
        <f t="shared" si="19"/>
        <v>3.3280529489279065E-3</v>
      </c>
      <c r="AA123" s="36"/>
    </row>
    <row r="124" spans="15:27" ht="17.100000000000001" customHeight="1" x14ac:dyDescent="0.3">
      <c r="O124" s="12">
        <f t="shared" si="13"/>
        <v>9.25</v>
      </c>
      <c r="P124" s="13">
        <v>111</v>
      </c>
      <c r="Q124" s="22">
        <v>3.6615691933827854E-2</v>
      </c>
      <c r="R124" s="19">
        <f t="shared" si="14"/>
        <v>3.7349387593979211E-2</v>
      </c>
      <c r="S124" s="22">
        <v>3.6616497805209258E-2</v>
      </c>
      <c r="T124" s="19">
        <f t="shared" si="15"/>
        <v>3.7345325468895796E-2</v>
      </c>
      <c r="U124" s="24">
        <v>4.0958387855971834E-2</v>
      </c>
      <c r="V124" s="24">
        <f t="shared" si="16"/>
        <v>4.1668327782773629E-2</v>
      </c>
      <c r="W124" s="23">
        <f t="shared" si="17"/>
        <v>3.4023563663116985E-3</v>
      </c>
      <c r="X124" s="24">
        <v>4.0088000860095674E-2</v>
      </c>
      <c r="Y124" s="24">
        <f t="shared" si="18"/>
        <v>4.0801778203992445E-2</v>
      </c>
      <c r="Z124" s="23">
        <f t="shared" si="19"/>
        <v>3.3327340984135034E-3</v>
      </c>
      <c r="AA124" s="36"/>
    </row>
    <row r="125" spans="15:27" ht="17.100000000000001" customHeight="1" x14ac:dyDescent="0.3">
      <c r="O125" s="12">
        <f t="shared" si="13"/>
        <v>9.3333333333333339</v>
      </c>
      <c r="P125" s="13">
        <v>112</v>
      </c>
      <c r="Q125" s="22">
        <v>3.6622240491432922E-2</v>
      </c>
      <c r="R125" s="19">
        <f t="shared" si="14"/>
        <v>3.7429233122437955E-2</v>
      </c>
      <c r="S125" s="22">
        <v>3.6623002928927839E-2</v>
      </c>
      <c r="T125" s="19">
        <f t="shared" si="15"/>
        <v>3.7423898912742226E-2</v>
      </c>
      <c r="U125" s="24">
        <v>4.0964724464054081E-2</v>
      </c>
      <c r="V125" s="24">
        <f t="shared" si="16"/>
        <v>4.1745073691313639E-2</v>
      </c>
      <c r="W125" s="23">
        <f t="shared" si="17"/>
        <v>3.4077590190266793E-3</v>
      </c>
      <c r="X125" s="24">
        <v>4.0094371705814646E-2</v>
      </c>
      <c r="Y125" s="24">
        <f t="shared" si="18"/>
        <v>4.0878901989218175E-2</v>
      </c>
      <c r="Z125" s="23">
        <f t="shared" si="19"/>
        <v>3.3381723882168757E-3</v>
      </c>
      <c r="AA125" s="36"/>
    </row>
    <row r="126" spans="15:27" ht="17.100000000000001" customHeight="1" x14ac:dyDescent="0.3">
      <c r="O126" s="12">
        <f t="shared" si="13"/>
        <v>9.4166666666666661</v>
      </c>
      <c r="P126" s="13">
        <v>113</v>
      </c>
      <c r="Q126" s="22">
        <v>3.662937926538512E-2</v>
      </c>
      <c r="R126" s="19">
        <f t="shared" si="14"/>
        <v>3.7518557489804261E-2</v>
      </c>
      <c r="S126" s="22">
        <v>3.6630087791692301E-2</v>
      </c>
      <c r="T126" s="19">
        <f t="shared" si="15"/>
        <v>3.7511834197316851E-2</v>
      </c>
      <c r="U126" s="24">
        <v>4.0971627645197239E-2</v>
      </c>
      <c r="V126" s="24">
        <f t="shared" si="16"/>
        <v>4.1831269043746788E-2</v>
      </c>
      <c r="W126" s="23">
        <f t="shared" si="17"/>
        <v>3.4139193963889092E-3</v>
      </c>
      <c r="X126" s="24">
        <v>4.0101311857742239E-2</v>
      </c>
      <c r="Y126" s="24">
        <f t="shared" si="18"/>
        <v>4.0965458673918542E-2</v>
      </c>
      <c r="Z126" s="23">
        <f t="shared" si="19"/>
        <v>3.3443678210223204E-3</v>
      </c>
      <c r="AA126" s="36"/>
    </row>
    <row r="127" spans="15:27" ht="17.100000000000001" customHeight="1" x14ac:dyDescent="0.3">
      <c r="O127" s="12">
        <f t="shared" si="13"/>
        <v>9.5</v>
      </c>
      <c r="P127" s="13">
        <v>114</v>
      </c>
      <c r="Q127" s="22">
        <v>3.6637175760423135E-2</v>
      </c>
      <c r="R127" s="19">
        <f t="shared" si="14"/>
        <v>3.7617355159158539E-2</v>
      </c>
      <c r="S127" s="22">
        <v>3.6637819150489026E-2</v>
      </c>
      <c r="T127" s="19">
        <f t="shared" si="15"/>
        <v>3.760912737477673E-2</v>
      </c>
      <c r="U127" s="24">
        <v>4.0979165274636076E-2</v>
      </c>
      <c r="V127" s="24">
        <f t="shared" si="16"/>
        <v>4.1926920890183128E-2</v>
      </c>
      <c r="W127" s="23">
        <f t="shared" si="17"/>
        <v>3.4208377825679648E-3</v>
      </c>
      <c r="X127" s="24">
        <v>4.0108888973372947E-2</v>
      </c>
      <c r="Y127" s="24">
        <f t="shared" si="18"/>
        <v>4.1061453201639342E-2</v>
      </c>
      <c r="Z127" s="23">
        <f t="shared" si="19"/>
        <v>3.3513205071984409E-3</v>
      </c>
      <c r="AA127" s="36"/>
    </row>
    <row r="128" spans="15:27" ht="17.100000000000001" customHeight="1" x14ac:dyDescent="0.3">
      <c r="O128" s="12">
        <f t="shared" si="13"/>
        <v>9.5833333333333339</v>
      </c>
      <c r="P128" s="13">
        <v>115</v>
      </c>
      <c r="Q128" s="22">
        <v>3.6645695067537565E-2</v>
      </c>
      <c r="R128" s="19">
        <f t="shared" si="14"/>
        <v>3.7725542782981902E-2</v>
      </c>
      <c r="S128" s="22">
        <v>3.6646261388869172E-2</v>
      </c>
      <c r="T128" s="19">
        <f t="shared" si="15"/>
        <v>3.7715776382078126E-2</v>
      </c>
      <c r="U128" s="24">
        <v>4.0987402911029092E-2</v>
      </c>
      <c r="V128" s="24">
        <f t="shared" si="16"/>
        <v>4.2032037948102063E-2</v>
      </c>
      <c r="W128" s="23">
        <f t="shared" si="17"/>
        <v>3.4285145708798925E-3</v>
      </c>
      <c r="X128" s="24">
        <v>4.0117168382850288E-2</v>
      </c>
      <c r="Y128" s="24">
        <f t="shared" si="18"/>
        <v>4.1166892234656638E-2</v>
      </c>
      <c r="Z128" s="23">
        <f t="shared" si="19"/>
        <v>3.3590306706081652E-3</v>
      </c>
      <c r="AA128" s="36"/>
    </row>
    <row r="129" spans="15:27" ht="17.100000000000001" customHeight="1" x14ac:dyDescent="0.3">
      <c r="O129" s="12">
        <f t="shared" si="13"/>
        <v>9.6666666666666661</v>
      </c>
      <c r="P129" s="13">
        <v>116</v>
      </c>
      <c r="Q129" s="22">
        <v>3.6654999296193536E-2</v>
      </c>
      <c r="R129" s="19">
        <f t="shared" si="14"/>
        <v>3.7843117972316653E-2</v>
      </c>
      <c r="S129" s="22">
        <v>3.6655476633788986E-2</v>
      </c>
      <c r="T129" s="19">
        <f t="shared" si="15"/>
        <v>3.7831781110438722E-2</v>
      </c>
      <c r="U129" s="24">
        <v>4.0996403908906132E-2</v>
      </c>
      <c r="V129" s="24">
        <f t="shared" si="16"/>
        <v>4.2146630677157182E-2</v>
      </c>
      <c r="W129" s="23">
        <f t="shared" si="17"/>
        <v>3.4369502693767373E-3</v>
      </c>
      <c r="X129" s="24">
        <v>4.012621320233456E-2</v>
      </c>
      <c r="Y129" s="24">
        <f t="shared" si="18"/>
        <v>4.128178422827089E-2</v>
      </c>
      <c r="Z129" s="23">
        <f t="shared" si="19"/>
        <v>3.3674986541758489E-3</v>
      </c>
      <c r="AA129" s="36"/>
    </row>
    <row r="130" spans="15:27" ht="17.100000000000001" customHeight="1" x14ac:dyDescent="0.3">
      <c r="O130" s="12">
        <f t="shared" si="13"/>
        <v>9.75</v>
      </c>
      <c r="P130" s="13">
        <v>117</v>
      </c>
      <c r="Q130" s="22">
        <v>3.6665148391512581E-2</v>
      </c>
      <c r="R130" s="19">
        <f t="shared" si="14"/>
        <v>3.7970106559743533E-2</v>
      </c>
      <c r="S130" s="22">
        <v>3.6665524867087074E-2</v>
      </c>
      <c r="T130" s="19">
        <f t="shared" si="15"/>
        <v>3.7957143473527744E-2</v>
      </c>
      <c r="U130" s="24">
        <v>4.1006229526017179E-2</v>
      </c>
      <c r="V130" s="24">
        <f t="shared" si="16"/>
        <v>4.2270711353765034E-2</v>
      </c>
      <c r="W130" s="23">
        <f t="shared" si="17"/>
        <v>3.4461455067513747E-3</v>
      </c>
      <c r="X130" s="24">
        <v>4.0136084442221387E-2</v>
      </c>
      <c r="Y130" s="24">
        <f t="shared" si="18"/>
        <v>4.1406139504015504E-2</v>
      </c>
      <c r="Z130" s="23">
        <f t="shared" si="19"/>
        <v>3.3767249257665721E-3</v>
      </c>
      <c r="AA130" s="36"/>
    </row>
    <row r="131" spans="15:27" ht="17.100000000000001" customHeight="1" x14ac:dyDescent="0.3">
      <c r="O131" s="12">
        <f t="shared" si="13"/>
        <v>9.8333333333333339</v>
      </c>
      <c r="P131" s="13">
        <v>118</v>
      </c>
      <c r="Q131" s="22">
        <v>3.6676200463253483E-2</v>
      </c>
      <c r="R131" s="19">
        <f t="shared" si="14"/>
        <v>3.8106536235090527E-2</v>
      </c>
      <c r="S131" s="22">
        <v>3.6676464031898837E-2</v>
      </c>
      <c r="T131" s="19">
        <f t="shared" si="15"/>
        <v>3.8091867478034835E-2</v>
      </c>
      <c r="U131" s="24">
        <v>4.101693902587833E-2</v>
      </c>
      <c r="V131" s="24">
        <f t="shared" si="16"/>
        <v>4.2404294144878563E-2</v>
      </c>
      <c r="W131" s="23">
        <f t="shared" si="17"/>
        <v>3.4561010382048174E-3</v>
      </c>
      <c r="X131" s="24">
        <v>4.0146841110502152E-2</v>
      </c>
      <c r="Y131" s="24">
        <f t="shared" si="18"/>
        <v>4.1539970322596487E-2</v>
      </c>
      <c r="Z131" s="23">
        <f t="shared" si="19"/>
        <v>3.3867100839590769E-3</v>
      </c>
      <c r="AA131" s="36"/>
    </row>
    <row r="132" spans="15:27" ht="17.100000000000001" customHeight="1" x14ac:dyDescent="0.3">
      <c r="O132" s="12">
        <f t="shared" si="13"/>
        <v>9.9166666666666661</v>
      </c>
      <c r="P132" s="13">
        <v>119</v>
      </c>
      <c r="Q132" s="22">
        <v>3.6688211876856336E-2</v>
      </c>
      <c r="R132" s="19">
        <f t="shared" si="14"/>
        <v>3.82524366238437E-2</v>
      </c>
      <c r="S132" s="22">
        <v>3.6688350134322256E-2</v>
      </c>
      <c r="T132" s="19">
        <f t="shared" si="15"/>
        <v>3.8235959292726163E-2</v>
      </c>
      <c r="U132" s="24">
        <v>4.1028589775786939E-2</v>
      </c>
      <c r="V132" s="24">
        <f t="shared" si="16"/>
        <v>4.2547395184585834E-2</v>
      </c>
      <c r="W132" s="23">
        <f t="shared" si="17"/>
        <v>3.4668177512295895E-3</v>
      </c>
      <c r="X132" s="24">
        <v>4.0158540311546087E-2</v>
      </c>
      <c r="Y132" s="24">
        <f t="shared" si="18"/>
        <v>4.1683290960747632E-2</v>
      </c>
      <c r="Z132" s="23">
        <f t="shared" si="19"/>
        <v>3.3974548637771829E-3</v>
      </c>
      <c r="AA132" s="36"/>
    </row>
    <row r="133" spans="15:27" ht="17.100000000000001" customHeight="1" x14ac:dyDescent="0.3">
      <c r="O133" s="12">
        <f t="shared" si="13"/>
        <v>10</v>
      </c>
      <c r="P133" s="13">
        <v>120</v>
      </c>
      <c r="Q133" s="22">
        <v>3.670123734059394E-2</v>
      </c>
      <c r="R133" s="19">
        <f t="shared" si="14"/>
        <v>3.8405138547549234E-2</v>
      </c>
      <c r="S133" s="22">
        <v>3.6701237340596604E-2</v>
      </c>
      <c r="T133" s="19">
        <f t="shared" si="15"/>
        <v>3.8386763265822132E-2</v>
      </c>
      <c r="U133" s="24">
        <v>4.1041237340589731E-2</v>
      </c>
      <c r="V133" s="24">
        <f t="shared" si="16"/>
        <v>4.2697381023314662E-2</v>
      </c>
      <c r="W133" s="23">
        <f t="shared" si="17"/>
        <v>3.4782966715976027E-3</v>
      </c>
      <c r="X133" s="24">
        <v>4.0171237340600241E-2</v>
      </c>
      <c r="Y133" s="24">
        <f t="shared" si="18"/>
        <v>4.1833462901817997E-2</v>
      </c>
      <c r="Z133" s="23">
        <f t="shared" si="19"/>
        <v>3.4089601427136351E-3</v>
      </c>
      <c r="AA133" s="36"/>
    </row>
    <row r="134" spans="15:27" ht="17.100000000000001" customHeight="1" x14ac:dyDescent="0.3">
      <c r="O134" s="12">
        <f t="shared" si="13"/>
        <v>10.083333333333334</v>
      </c>
      <c r="P134" s="13">
        <v>121</v>
      </c>
      <c r="Q134" s="22">
        <v>3.6715307704593192E-2</v>
      </c>
      <c r="R134" s="19">
        <f t="shared" si="14"/>
        <v>3.8553861534439848E-2</v>
      </c>
      <c r="S134" s="22">
        <v>3.6715156088562795E-2</v>
      </c>
      <c r="T134" s="19">
        <f t="shared" si="15"/>
        <v>3.8533638395036096E-2</v>
      </c>
      <c r="U134" s="24">
        <v>4.1054913692716966E-2</v>
      </c>
      <c r="V134" s="24">
        <f t="shared" si="16"/>
        <v>4.2843662708841102E-2</v>
      </c>
      <c r="W134" s="23">
        <f t="shared" si="17"/>
        <v>3.4903263094037129E-3</v>
      </c>
      <c r="X134" s="24">
        <v>4.0184963867787582E-2</v>
      </c>
      <c r="Y134" s="24">
        <f t="shared" si="18"/>
        <v>4.1979883855025601E-2</v>
      </c>
      <c r="Z134" s="23">
        <f t="shared" si="19"/>
        <v>3.4210138636061593E-3</v>
      </c>
      <c r="AA134" s="36"/>
    </row>
    <row r="135" spans="15:27" ht="17.100000000000001" customHeight="1" x14ac:dyDescent="0.3">
      <c r="O135" s="12">
        <f t="shared" si="13"/>
        <v>10.166666666666666</v>
      </c>
      <c r="P135" s="13">
        <v>122</v>
      </c>
      <c r="Q135" s="22">
        <v>3.6730364580088493E-2</v>
      </c>
      <c r="R135" s="19">
        <f t="shared" si="14"/>
        <v>3.8695910040907E-2</v>
      </c>
      <c r="S135" s="22">
        <v>3.6730048730664766E-2</v>
      </c>
      <c r="T135" s="19">
        <f t="shared" si="15"/>
        <v>3.8673945314355196E-2</v>
      </c>
      <c r="U135" s="24">
        <v>4.1069563091299832E-2</v>
      </c>
      <c r="V135" s="24">
        <f t="shared" si="16"/>
        <v>4.298360294478365E-2</v>
      </c>
      <c r="W135" s="23">
        <f t="shared" si="17"/>
        <v>3.5020573272002142E-3</v>
      </c>
      <c r="X135" s="24">
        <v>4.0199663751405934E-2</v>
      </c>
      <c r="Y135" s="24">
        <f t="shared" si="18"/>
        <v>4.2119915473020964E-2</v>
      </c>
      <c r="Z135" s="23">
        <f t="shared" si="19"/>
        <v>3.4327649738237209E-3</v>
      </c>
      <c r="AA135" s="36"/>
    </row>
    <row r="136" spans="15:27" ht="17.100000000000001" customHeight="1" x14ac:dyDescent="0.3">
      <c r="O136" s="12">
        <f t="shared" si="13"/>
        <v>10.25</v>
      </c>
      <c r="P136" s="13">
        <v>123</v>
      </c>
      <c r="Q136" s="22">
        <v>3.6746329618182028E-2</v>
      </c>
      <c r="R136" s="19">
        <f t="shared" si="14"/>
        <v>3.8831285968334406E-2</v>
      </c>
      <c r="S136" s="22">
        <v>3.6745838090163518E-2</v>
      </c>
      <c r="T136" s="19">
        <f t="shared" si="15"/>
        <v>3.8807709029652138E-2</v>
      </c>
      <c r="U136" s="24">
        <v>4.1085110219543974E-2</v>
      </c>
      <c r="V136" s="24">
        <f t="shared" si="16"/>
        <v>4.3117214745724164E-2</v>
      </c>
      <c r="W136" s="23">
        <f t="shared" si="17"/>
        <v>3.5132783826163916E-3</v>
      </c>
      <c r="X136" s="24">
        <v>4.0215261278652159E-2</v>
      </c>
      <c r="Y136" s="24">
        <f t="shared" si="18"/>
        <v>4.225357329564039E-2</v>
      </c>
      <c r="Z136" s="23">
        <f t="shared" si="19"/>
        <v>3.444001887769943E-3</v>
      </c>
      <c r="AA136" s="36"/>
    </row>
    <row r="137" spans="15:27" ht="17.100000000000001" customHeight="1" x14ac:dyDescent="0.3">
      <c r="O137" s="12">
        <f t="shared" si="13"/>
        <v>10.333333333333334</v>
      </c>
      <c r="P137" s="13">
        <v>124</v>
      </c>
      <c r="Q137" s="22">
        <v>3.6763127033879961E-2</v>
      </c>
      <c r="R137" s="19">
        <f t="shared" si="14"/>
        <v>3.8959990136011369E-2</v>
      </c>
      <c r="S137" s="22">
        <v>3.676244970178133E-2</v>
      </c>
      <c r="T137" s="19">
        <f t="shared" si="15"/>
        <v>3.8934953294763597E-2</v>
      </c>
      <c r="U137" s="24">
        <v>4.110148231489319E-2</v>
      </c>
      <c r="V137" s="24">
        <f t="shared" si="16"/>
        <v>4.3244510070107767E-2</v>
      </c>
      <c r="W137" s="23">
        <f t="shared" si="17"/>
        <v>3.523990707022806E-3</v>
      </c>
      <c r="X137" s="24">
        <v>4.0231683324213341E-2</v>
      </c>
      <c r="Y137" s="24">
        <f t="shared" si="18"/>
        <v>4.2380871764078343E-2</v>
      </c>
      <c r="Z137" s="23">
        <f t="shared" si="19"/>
        <v>3.4547260420543235E-3</v>
      </c>
      <c r="AA137" s="36"/>
    </row>
    <row r="138" spans="15:27" ht="17.100000000000001" customHeight="1" x14ac:dyDescent="0.3">
      <c r="O138" s="12">
        <f t="shared" si="13"/>
        <v>10.416666666666666</v>
      </c>
      <c r="P138" s="13">
        <v>125</v>
      </c>
      <c r="Q138" s="22">
        <v>3.6780683493317312E-2</v>
      </c>
      <c r="R138" s="19">
        <f t="shared" si="14"/>
        <v>3.9082022318071674E-2</v>
      </c>
      <c r="S138" s="22">
        <v>3.6779811691641351E-2</v>
      </c>
      <c r="T138" s="19">
        <f t="shared" si="15"/>
        <v>3.9055700649819558E-2</v>
      </c>
      <c r="U138" s="24">
        <v>4.1118609056947752E-2</v>
      </c>
      <c r="V138" s="24">
        <f t="shared" si="16"/>
        <v>4.3365499853602607E-2</v>
      </c>
      <c r="W138" s="23">
        <f t="shared" si="17"/>
        <v>3.5341954380680995E-3</v>
      </c>
      <c r="X138" s="24">
        <v>4.0248859236488244E-2</v>
      </c>
      <c r="Y138" s="24">
        <f t="shared" si="18"/>
        <v>4.2501824252630493E-2</v>
      </c>
      <c r="Z138" s="23">
        <f t="shared" si="19"/>
        <v>3.4649387758556305E-3</v>
      </c>
      <c r="AA138" s="36"/>
    </row>
    <row r="139" spans="15:27" ht="17.100000000000001" customHeight="1" x14ac:dyDescent="0.3">
      <c r="O139" s="12">
        <f t="shared" si="13"/>
        <v>10.5</v>
      </c>
      <c r="P139" s="13">
        <v>126</v>
      </c>
      <c r="Q139" s="22">
        <v>3.6798928006705811E-2</v>
      </c>
      <c r="R139" s="19">
        <f t="shared" si="14"/>
        <v>3.919740317597098E-2</v>
      </c>
      <c r="S139" s="22">
        <v>3.6797854663298324E-2</v>
      </c>
      <c r="T139" s="19">
        <f t="shared" si="15"/>
        <v>3.9169972460710634E-2</v>
      </c>
      <c r="U139" s="24">
        <v>4.1136422461044875E-2</v>
      </c>
      <c r="V139" s="24">
        <f t="shared" si="16"/>
        <v>4.3480194044544618E-2</v>
      </c>
      <c r="W139" s="23">
        <f t="shared" si="17"/>
        <v>3.5438936224663209E-3</v>
      </c>
      <c r="X139" s="24">
        <v>4.0266720729542849E-2</v>
      </c>
      <c r="Y139" s="24">
        <f t="shared" si="18"/>
        <v>4.2616443107581059E-2</v>
      </c>
      <c r="Z139" s="23">
        <f t="shared" si="19"/>
        <v>3.4746413335950965E-3</v>
      </c>
      <c r="AA139" s="36"/>
    </row>
    <row r="140" spans="15:27" ht="17.100000000000001" customHeight="1" x14ac:dyDescent="0.3">
      <c r="O140" s="12">
        <f t="shared" si="13"/>
        <v>10.583333333333334</v>
      </c>
      <c r="P140" s="13">
        <v>127</v>
      </c>
      <c r="Q140" s="22">
        <v>3.6817791998694283E-2</v>
      </c>
      <c r="R140" s="19">
        <f t="shared" si="14"/>
        <v>3.9306218185885866E-2</v>
      </c>
      <c r="S140" s="22">
        <v>3.6816511589531364E-2</v>
      </c>
      <c r="T140" s="19">
        <f t="shared" si="15"/>
        <v>3.9277788954844128E-2</v>
      </c>
      <c r="U140" s="24">
        <v>4.1154856777200877E-2</v>
      </c>
      <c r="V140" s="24">
        <f t="shared" si="16"/>
        <v>4.3588601632718493E-2</v>
      </c>
      <c r="W140" s="23">
        <f t="shared" si="17"/>
        <v>3.5530862189430135E-3</v>
      </c>
      <c r="X140" s="24">
        <v>4.0285201780533519E-2</v>
      </c>
      <c r="Y140" s="24">
        <f t="shared" si="18"/>
        <v>4.2724739676808676E-2</v>
      </c>
      <c r="Z140" s="23">
        <f t="shared" si="19"/>
        <v>3.4838348681740516E-3</v>
      </c>
      <c r="AA140" s="36"/>
    </row>
    <row r="141" spans="15:27" ht="17.100000000000001" customHeight="1" x14ac:dyDescent="0.3">
      <c r="O141" s="12">
        <f t="shared" si="13"/>
        <v>10.666666666666666</v>
      </c>
      <c r="P141" s="13">
        <v>128</v>
      </c>
      <c r="Q141" s="22">
        <v>3.6837209717779373E-2</v>
      </c>
      <c r="R141" s="19">
        <f t="shared" si="14"/>
        <v>3.9408486345470894E-2</v>
      </c>
      <c r="S141" s="22">
        <v>3.68357177095473E-2</v>
      </c>
      <c r="T141" s="19">
        <f t="shared" si="15"/>
        <v>3.9379169258942248E-2</v>
      </c>
      <c r="U141" s="24">
        <v>4.1173848394068679E-2</v>
      </c>
      <c r="V141" s="24">
        <f t="shared" si="16"/>
        <v>4.3690730685717716E-2</v>
      </c>
      <c r="W141" s="23">
        <f t="shared" si="17"/>
        <v>3.5617741006361836E-3</v>
      </c>
      <c r="X141" s="24">
        <v>4.0304238532222536E-2</v>
      </c>
      <c r="Y141" s="24">
        <f t="shared" si="18"/>
        <v>4.2826724345339073E-2</v>
      </c>
      <c r="Z141" s="23">
        <f t="shared" si="19"/>
        <v>3.4925204434566037E-3</v>
      </c>
      <c r="AA141" s="36"/>
    </row>
    <row r="142" spans="15:27" ht="17.100000000000001" customHeight="1" x14ac:dyDescent="0.3">
      <c r="O142" s="12">
        <f t="shared" ref="O142:O205" si="20">P142/12</f>
        <v>10.75</v>
      </c>
      <c r="P142" s="13">
        <v>129</v>
      </c>
      <c r="Q142" s="22">
        <v>3.6857117611261314E-2</v>
      </c>
      <c r="R142" s="19">
        <f t="shared" ref="R142:R205" si="21">(1+Q143)^P143/(1+Q142)^P142-1</f>
        <v>3.9504203878894639E-2</v>
      </c>
      <c r="S142" s="22">
        <v>3.6855410431316349E-2</v>
      </c>
      <c r="T142" s="19">
        <f t="shared" ref="T142:T205" si="22">(1+S143)^P143/(1+S142)^P142-1</f>
        <v>3.9474131435363047E-2</v>
      </c>
      <c r="U142" s="24">
        <v>4.119333574769013E-2</v>
      </c>
      <c r="V142" s="24">
        <f t="shared" ref="V142:V205" si="23">(1+U143)^P143/(1+U142)^P142-1</f>
        <v>4.3786588378757596E-2</v>
      </c>
      <c r="W142" s="23">
        <f t="shared" si="17"/>
        <v>3.5699580580985657E-3</v>
      </c>
      <c r="X142" s="24">
        <v>4.0323769200354409E-2</v>
      </c>
      <c r="Y142" s="24">
        <f t="shared" si="18"/>
        <v>4.2922406567177829E-2</v>
      </c>
      <c r="Z142" s="23">
        <f t="shared" si="19"/>
        <v>3.5006990372212776E-3</v>
      </c>
      <c r="AA142" s="36"/>
    </row>
    <row r="143" spans="15:27" ht="17.100000000000001" customHeight="1" x14ac:dyDescent="0.3">
      <c r="O143" s="12">
        <f t="shared" si="20"/>
        <v>10.833333333333334</v>
      </c>
      <c r="P143" s="13">
        <v>130</v>
      </c>
      <c r="Q143" s="22">
        <v>3.6877454064653481E-2</v>
      </c>
      <c r="R143" s="19">
        <f t="shared" si="21"/>
        <v>3.9593366150948217E-2</v>
      </c>
      <c r="S143" s="22">
        <v>3.687552923874593E-2</v>
      </c>
      <c r="T143" s="19">
        <f t="shared" si="22"/>
        <v>3.9562692517564058E-2</v>
      </c>
      <c r="U143" s="24">
        <v>4.1213259234734956E-2</v>
      </c>
      <c r="V143" s="24">
        <f t="shared" si="23"/>
        <v>4.3876181027033834E-2</v>
      </c>
      <c r="W143" s="23">
        <f t="shared" ref="W143:W206" si="24">(1+V142)^(1/12)-1</f>
        <v>3.5776388017647598E-3</v>
      </c>
      <c r="X143" s="24">
        <v>4.0343733985597208E-2</v>
      </c>
      <c r="Y143" s="24">
        <f t="shared" ref="Y143:Y206" si="25">(1+X144)^P144/(1+X143)^P143-1</f>
        <v>4.3011794899420197E-2</v>
      </c>
      <c r="Z143" s="23">
        <f t="shared" ref="Z143:Z206" si="26">(1+Y142)^(1/12)-1</f>
        <v>3.508371543804456E-3</v>
      </c>
      <c r="AA143" s="36"/>
    </row>
    <row r="144" spans="15:27" ht="17.100000000000001" customHeight="1" x14ac:dyDescent="0.3">
      <c r="O144" s="12">
        <f t="shared" si="20"/>
        <v>10.916666666666666</v>
      </c>
      <c r="P144" s="13">
        <v>131</v>
      </c>
      <c r="Q144" s="22">
        <v>3.6898159319977308E-2</v>
      </c>
      <c r="R144" s="19">
        <f t="shared" si="21"/>
        <v>3.9675967700047332E-2</v>
      </c>
      <c r="S144" s="22">
        <v>3.6896015603425925E-2</v>
      </c>
      <c r="T144" s="19">
        <f t="shared" si="22"/>
        <v>3.9644868546678813E-2</v>
      </c>
      <c r="U144" s="24">
        <v>4.1233561130000318E-2</v>
      </c>
      <c r="V144" s="24">
        <f t="shared" si="23"/>
        <v>4.3959514119409349E-2</v>
      </c>
      <c r="W144" s="23">
        <f t="shared" si="24"/>
        <v>3.5848169646157668E-3</v>
      </c>
      <c r="X144" s="24">
        <v>4.0364074989819976E-2</v>
      </c>
      <c r="Y144" s="24">
        <f t="shared" si="25"/>
        <v>4.3094897033788548E-2</v>
      </c>
      <c r="Z144" s="23">
        <f t="shared" si="26"/>
        <v>3.515538776919902E-3</v>
      </c>
      <c r="AA144" s="36"/>
    </row>
    <row r="145" spans="15:27" ht="17.100000000000001" customHeight="1" x14ac:dyDescent="0.3">
      <c r="O145" s="12">
        <f t="shared" si="20"/>
        <v>11</v>
      </c>
      <c r="P145" s="13">
        <v>132</v>
      </c>
      <c r="Q145" s="22">
        <v>3.6919175398057336E-2</v>
      </c>
      <c r="R145" s="19">
        <f t="shared" si="21"/>
        <v>3.975202387525556E-2</v>
      </c>
      <c r="S145" s="22">
        <v>3.6916812900706697E-2</v>
      </c>
      <c r="T145" s="19">
        <f t="shared" si="22"/>
        <v>3.9720674605182804E-2</v>
      </c>
      <c r="U145" s="24">
        <v>4.1254185507954455E-2</v>
      </c>
      <c r="V145" s="24">
        <f t="shared" si="23"/>
        <v>4.4036592346823111E-2</v>
      </c>
      <c r="W145" s="23">
        <f t="shared" si="24"/>
        <v>3.5914931049421117E-3</v>
      </c>
      <c r="X145" s="24">
        <v>4.0384736136453991E-2</v>
      </c>
      <c r="Y145" s="24">
        <f t="shared" si="25"/>
        <v>4.3171719828347443E-2</v>
      </c>
      <c r="Z145" s="23">
        <f t="shared" si="26"/>
        <v>3.5222014722615658E-3</v>
      </c>
      <c r="AA145" s="36"/>
    </row>
    <row r="146" spans="15:27" ht="17.100000000000001" customHeight="1" x14ac:dyDescent="0.3">
      <c r="O146" s="12">
        <f t="shared" si="20"/>
        <v>11.083333333333334</v>
      </c>
      <c r="P146" s="13">
        <v>133</v>
      </c>
      <c r="Q146" s="22">
        <v>3.6940446186596976E-2</v>
      </c>
      <c r="R146" s="19">
        <f t="shared" si="21"/>
        <v>3.9821614171453579E-2</v>
      </c>
      <c r="S146" s="22">
        <v>3.6937866329859181E-2</v>
      </c>
      <c r="T146" s="19">
        <f t="shared" si="22"/>
        <v>3.9790124852255859E-2</v>
      </c>
      <c r="U146" s="24">
        <v>4.1275078168067303E-2</v>
      </c>
      <c r="V146" s="24">
        <f t="shared" si="23"/>
        <v>4.4107419636926437E-2</v>
      </c>
      <c r="W146" s="23">
        <f t="shared" si="24"/>
        <v>3.5976677086761999E-3</v>
      </c>
      <c r="X146" s="24">
        <v>4.04056630947216E-2</v>
      </c>
      <c r="Y146" s="24">
        <f t="shared" si="25"/>
        <v>4.3242269341707829E-2</v>
      </c>
      <c r="Z146" s="23">
        <f t="shared" si="26"/>
        <v>3.5283602901150513E-3</v>
      </c>
      <c r="AA146" s="36"/>
    </row>
    <row r="147" spans="15:27" ht="17.100000000000001" customHeight="1" x14ac:dyDescent="0.3">
      <c r="O147" s="12">
        <f t="shared" si="20"/>
        <v>11.166666666666666</v>
      </c>
      <c r="P147" s="13">
        <v>134</v>
      </c>
      <c r="Q147" s="22">
        <v>3.6961917846815906E-2</v>
      </c>
      <c r="R147" s="19">
        <f t="shared" si="21"/>
        <v>3.9884752704328452E-2</v>
      </c>
      <c r="S147" s="22">
        <v>3.6959122838110314E-2</v>
      </c>
      <c r="T147" s="19">
        <f t="shared" si="22"/>
        <v>3.9853232558465512E-2</v>
      </c>
      <c r="U147" s="24">
        <v>4.1296186563776205E-2</v>
      </c>
      <c r="V147" s="24">
        <f t="shared" si="23"/>
        <v>4.4171999183339139E-2</v>
      </c>
      <c r="W147" s="23">
        <f t="shared" si="24"/>
        <v>3.6033411922173908E-3</v>
      </c>
      <c r="X147" s="24">
        <v>4.0426803207547435E-2</v>
      </c>
      <c r="Y147" s="24">
        <f t="shared" si="25"/>
        <v>4.3306550862904913E-2</v>
      </c>
      <c r="Z147" s="23">
        <f t="shared" si="26"/>
        <v>3.5340158181607073E-3</v>
      </c>
      <c r="AA147" s="36"/>
    </row>
    <row r="148" spans="15:27" ht="17.100000000000001" customHeight="1" x14ac:dyDescent="0.3">
      <c r="O148" s="12">
        <f t="shared" si="20"/>
        <v>11.25</v>
      </c>
      <c r="P148" s="13">
        <v>135</v>
      </c>
      <c r="Q148" s="22">
        <v>3.6983538245198178E-2</v>
      </c>
      <c r="R148" s="19">
        <f t="shared" si="21"/>
        <v>3.9941431323934795E-2</v>
      </c>
      <c r="S148" s="22">
        <v>3.6980531048349752E-2</v>
      </c>
      <c r="T148" s="19">
        <f t="shared" si="22"/>
        <v>3.9910010139878604E-2</v>
      </c>
      <c r="U148" s="24">
        <v>4.1317459734855122E-2</v>
      </c>
      <c r="V148" s="24">
        <f t="shared" si="23"/>
        <v>4.4230333477744743E-2</v>
      </c>
      <c r="W148" s="23">
        <f t="shared" si="24"/>
        <v>3.6085139048196435E-3</v>
      </c>
      <c r="X148" s="24">
        <v>4.0448105422924652E-2</v>
      </c>
      <c r="Y148" s="24">
        <f t="shared" si="25"/>
        <v>4.336456894398566E-2</v>
      </c>
      <c r="Z148" s="23">
        <f t="shared" si="26"/>
        <v>3.5391685739234457E-3</v>
      </c>
      <c r="AA148" s="36"/>
    </row>
    <row r="149" spans="15:27" ht="17.100000000000001" customHeight="1" x14ac:dyDescent="0.3">
      <c r="O149" s="12">
        <f t="shared" si="20"/>
        <v>11.333333333333334</v>
      </c>
      <c r="P149" s="13">
        <v>136</v>
      </c>
      <c r="Q149" s="22">
        <v>3.7005256726561742E-2</v>
      </c>
      <c r="R149" s="19">
        <f t="shared" si="21"/>
        <v>3.9991641228611208E-2</v>
      </c>
      <c r="S149" s="22">
        <v>3.7002041190307811E-2</v>
      </c>
      <c r="T149" s="19">
        <f t="shared" si="22"/>
        <v>3.9960469190238879E-2</v>
      </c>
      <c r="U149" s="24">
        <v>4.1338848243030801E-2</v>
      </c>
      <c r="V149" s="24">
        <f t="shared" si="23"/>
        <v>4.4282424341068882E-2</v>
      </c>
      <c r="W149" s="23">
        <f t="shared" si="24"/>
        <v>3.6131861311983204E-3</v>
      </c>
      <c r="X149" s="24">
        <v>4.0469520228578748E-2</v>
      </c>
      <c r="Y149" s="24">
        <f t="shared" si="25"/>
        <v>4.3416327431964108E-2</v>
      </c>
      <c r="Z149" s="23">
        <f t="shared" si="26"/>
        <v>3.5438190074310594E-3</v>
      </c>
      <c r="AA149" s="36"/>
    </row>
    <row r="150" spans="15:27" ht="17.100000000000001" customHeight="1" x14ac:dyDescent="0.3">
      <c r="O150" s="12">
        <f t="shared" si="20"/>
        <v>11.416666666666666</v>
      </c>
      <c r="P150" s="13">
        <v>137</v>
      </c>
      <c r="Q150" s="22">
        <v>3.7027024054434587E-2</v>
      </c>
      <c r="R150" s="19">
        <f t="shared" si="21"/>
        <v>4.0035372997520025E-2</v>
      </c>
      <c r="S150" s="22">
        <v>3.7023605035014562E-2</v>
      </c>
      <c r="T150" s="19">
        <f t="shared" si="22"/>
        <v>4.0004620516302269E-2</v>
      </c>
      <c r="U150" s="24">
        <v>4.1360304110672708E-2</v>
      </c>
      <c r="V150" s="24">
        <f t="shared" si="23"/>
        <v>4.4328272954112569E-2</v>
      </c>
      <c r="W150" s="23">
        <f t="shared" si="24"/>
        <v>3.6173580940608296E-3</v>
      </c>
      <c r="X150" s="24">
        <v>4.0490999589752219E-2</v>
      </c>
      <c r="Y150" s="24">
        <f t="shared" si="25"/>
        <v>4.3461829499107152E-2</v>
      </c>
      <c r="Z150" s="23">
        <f t="shared" si="26"/>
        <v>3.5479675038185832E-3</v>
      </c>
      <c r="AA150" s="36"/>
    </row>
    <row r="151" spans="15:27" ht="17.100000000000001" customHeight="1" x14ac:dyDescent="0.3">
      <c r="O151" s="12">
        <f t="shared" si="20"/>
        <v>11.5</v>
      </c>
      <c r="P151" s="13">
        <v>138</v>
      </c>
      <c r="Q151" s="22">
        <v>3.7048792354277049E-2</v>
      </c>
      <c r="R151" s="19">
        <f t="shared" si="21"/>
        <v>4.0072637935819611E-2</v>
      </c>
      <c r="S151" s="22">
        <v>3.7045175832392196E-2</v>
      </c>
      <c r="T151" s="19">
        <f t="shared" si="22"/>
        <v>4.0042474170117748E-2</v>
      </c>
      <c r="U151" s="24">
        <v>4.1381780762393294E-2</v>
      </c>
      <c r="V151" s="24">
        <f t="shared" si="23"/>
        <v>4.4367879888071116E-2</v>
      </c>
      <c r="W151" s="23">
        <f t="shared" si="24"/>
        <v>3.6210299565846427E-3</v>
      </c>
      <c r="X151" s="24">
        <v>4.051249688993841E-2</v>
      </c>
      <c r="Y151" s="24">
        <f t="shared" si="25"/>
        <v>4.3501077675994093E-2</v>
      </c>
      <c r="Z151" s="23">
        <f t="shared" si="26"/>
        <v>3.551614385791213E-3</v>
      </c>
      <c r="AA151" s="36"/>
    </row>
    <row r="152" spans="15:27" ht="17.100000000000001" customHeight="1" x14ac:dyDescent="0.3">
      <c r="O152" s="12">
        <f t="shared" si="20"/>
        <v>11.583333333333334</v>
      </c>
      <c r="P152" s="13">
        <v>139</v>
      </c>
      <c r="Q152" s="22">
        <v>3.7070515212294541E-2</v>
      </c>
      <c r="R152" s="19">
        <f t="shared" si="21"/>
        <v>4.0103510825190813E-2</v>
      </c>
      <c r="S152" s="22">
        <v>3.7066708251799918E-2</v>
      </c>
      <c r="T152" s="19">
        <f t="shared" si="22"/>
        <v>4.0074039482454582E-2</v>
      </c>
      <c r="U152" s="24">
        <v>4.1403232969410952E-2</v>
      </c>
      <c r="V152" s="24">
        <f t="shared" si="23"/>
        <v>4.4401245137869472E-2</v>
      </c>
      <c r="W152" s="23">
        <f t="shared" si="24"/>
        <v>3.6242018248828778E-3</v>
      </c>
      <c r="X152" s="24">
        <v>4.053396687443378E-2</v>
      </c>
      <c r="Y152" s="24">
        <f t="shared" si="25"/>
        <v>4.3534073881543955E-2</v>
      </c>
      <c r="Z152" s="23">
        <f t="shared" si="26"/>
        <v>3.5547599163030519E-3</v>
      </c>
      <c r="AA152" s="36"/>
    </row>
    <row r="153" spans="15:27" ht="17.100000000000001" customHeight="1" x14ac:dyDescent="0.3">
      <c r="O153" s="12">
        <f t="shared" si="20"/>
        <v>11.666666666666666</v>
      </c>
      <c r="P153" s="13">
        <v>140</v>
      </c>
      <c r="Q153" s="22">
        <v>3.7092148074504561E-2</v>
      </c>
      <c r="R153" s="19">
        <f t="shared" si="21"/>
        <v>4.01280021420658E-2</v>
      </c>
      <c r="S153" s="22">
        <v>3.708815832539103E-2</v>
      </c>
      <c r="T153" s="19">
        <f t="shared" si="22"/>
        <v>4.0099325094412164E-2</v>
      </c>
      <c r="U153" s="24">
        <v>4.1424616796555291E-2</v>
      </c>
      <c r="V153" s="24">
        <f t="shared" si="23"/>
        <v>4.4428368149529662E-2</v>
      </c>
      <c r="W153" s="23">
        <f t="shared" si="24"/>
        <v>3.6268737506894855E-3</v>
      </c>
      <c r="X153" s="24">
        <v>4.0555365596545823E-2</v>
      </c>
      <c r="Y153" s="24">
        <f t="shared" si="25"/>
        <v>4.3560819454580679E-2</v>
      </c>
      <c r="Z153" s="23">
        <f t="shared" si="26"/>
        <v>3.5574043009893863E-3</v>
      </c>
      <c r="AA153" s="36"/>
    </row>
    <row r="154" spans="15:27" ht="17.100000000000001" customHeight="1" x14ac:dyDescent="0.3">
      <c r="O154" s="12">
        <f t="shared" si="20"/>
        <v>11.75</v>
      </c>
      <c r="P154" s="13">
        <v>141</v>
      </c>
      <c r="Q154" s="22">
        <v>3.7113647725224075E-2</v>
      </c>
      <c r="R154" s="19">
        <f t="shared" si="21"/>
        <v>4.0146100589104838E-2</v>
      </c>
      <c r="S154" s="22">
        <v>3.7109483394125231E-2</v>
      </c>
      <c r="T154" s="19">
        <f t="shared" si="22"/>
        <v>4.0118338990864144E-2</v>
      </c>
      <c r="U154" s="24">
        <v>4.1445889551740667E-2</v>
      </c>
      <c r="V154" s="24">
        <f t="shared" si="23"/>
        <v>4.4449247853639129E-2</v>
      </c>
      <c r="W154" s="23">
        <f t="shared" si="24"/>
        <v>3.6290457335614867E-3</v>
      </c>
      <c r="X154" s="24">
        <v>4.0576650366331624E-2</v>
      </c>
      <c r="Y154" s="24">
        <f t="shared" si="25"/>
        <v>4.3581315184895386E-2</v>
      </c>
      <c r="Z154" s="23">
        <f t="shared" si="26"/>
        <v>3.5595476907162027E-3</v>
      </c>
      <c r="AA154" s="36"/>
    </row>
    <row r="155" spans="15:27" ht="17.100000000000001" customHeight="1" x14ac:dyDescent="0.3">
      <c r="O155" s="12">
        <f t="shared" si="20"/>
        <v>11.833333333333334</v>
      </c>
      <c r="P155" s="13">
        <v>142</v>
      </c>
      <c r="Q155" s="22">
        <v>3.7134972086275475E-2</v>
      </c>
      <c r="R155" s="19">
        <f t="shared" si="21"/>
        <v>4.0157794420623061E-2</v>
      </c>
      <c r="S155" s="22">
        <v>3.7130642056320662E-2</v>
      </c>
      <c r="T155" s="19">
        <f t="shared" si="22"/>
        <v>4.0131088533214232E-2</v>
      </c>
      <c r="U155" s="24">
        <v>4.1467009737826688E-2</v>
      </c>
      <c r="V155" s="24">
        <f t="shared" si="23"/>
        <v>4.4463882695463752E-2</v>
      </c>
      <c r="W155" s="23">
        <f t="shared" si="24"/>
        <v>3.6307177235659349E-3</v>
      </c>
      <c r="X155" s="24">
        <v>4.0597779701740722E-2</v>
      </c>
      <c r="Y155" s="24">
        <f t="shared" si="25"/>
        <v>4.3595561345222578E-2</v>
      </c>
      <c r="Z155" s="23">
        <f t="shared" si="26"/>
        <v>3.5611901840835181E-3</v>
      </c>
      <c r="AA155" s="36"/>
    </row>
    <row r="156" spans="15:27" ht="17.100000000000001" customHeight="1" x14ac:dyDescent="0.3">
      <c r="O156" s="12">
        <f t="shared" si="20"/>
        <v>11.916666666666666</v>
      </c>
      <c r="P156" s="13">
        <v>143</v>
      </c>
      <c r="Q156" s="22">
        <v>3.7156080173327277E-2</v>
      </c>
      <c r="R156" s="19">
        <f t="shared" si="21"/>
        <v>4.0163071469344169E-2</v>
      </c>
      <c r="S156" s="22">
        <v>3.7151594118611131E-2</v>
      </c>
      <c r="T156" s="19">
        <f t="shared" si="22"/>
        <v>4.0137580490816838E-2</v>
      </c>
      <c r="U156" s="24">
        <v>4.1487937006725373E-2</v>
      </c>
      <c r="V156" s="24">
        <f t="shared" si="23"/>
        <v>4.4472270666192415E-2</v>
      </c>
      <c r="W156" s="23">
        <f t="shared" si="24"/>
        <v>3.6318896236930964E-3</v>
      </c>
      <c r="X156" s="24">
        <v>4.0618713282047025E-2</v>
      </c>
      <c r="Y156" s="24">
        <f t="shared" si="25"/>
        <v>4.3603557721313857E-2</v>
      </c>
      <c r="Z156" s="23">
        <f t="shared" si="26"/>
        <v>3.5623318299997653E-3</v>
      </c>
      <c r="AA156" s="36"/>
    </row>
    <row r="157" spans="15:27" ht="17.100000000000001" customHeight="1" x14ac:dyDescent="0.3">
      <c r="O157" s="12">
        <f t="shared" si="20"/>
        <v>12</v>
      </c>
      <c r="P157" s="13">
        <v>144</v>
      </c>
      <c r="Q157" s="22">
        <v>3.7176932054251433E-2</v>
      </c>
      <c r="R157" s="19">
        <f t="shared" si="21"/>
        <v>4.0161940207152247E-2</v>
      </c>
      <c r="S157" s="22">
        <v>3.7172300549184856E-2</v>
      </c>
      <c r="T157" s="19">
        <f t="shared" si="22"/>
        <v>4.0137821072629087E-2</v>
      </c>
      <c r="U157" s="24">
        <v>4.1508632115651922E-2</v>
      </c>
      <c r="V157" s="24">
        <f t="shared" si="23"/>
        <v>4.4474409331927589E-2</v>
      </c>
      <c r="W157" s="23">
        <f t="shared" si="24"/>
        <v>3.6325612923568951E-3</v>
      </c>
      <c r="X157" s="24">
        <v>4.0639411903445444E-2</v>
      </c>
      <c r="Y157" s="24">
        <f t="shared" si="25"/>
        <v>4.3605303643542426E-2</v>
      </c>
      <c r="Z157" s="23">
        <f t="shared" si="26"/>
        <v>3.5629726300976383E-3</v>
      </c>
      <c r="AA157" s="36"/>
    </row>
    <row r="158" spans="15:27" ht="17.100000000000001" customHeight="1" x14ac:dyDescent="0.3">
      <c r="O158" s="12">
        <f t="shared" si="20"/>
        <v>12.083333333333334</v>
      </c>
      <c r="P158" s="13">
        <v>145</v>
      </c>
      <c r="Q158" s="22">
        <v>3.7197488954046509E-2</v>
      </c>
      <c r="R158" s="19">
        <f t="shared" si="21"/>
        <v>4.0154471903566469E-2</v>
      </c>
      <c r="S158" s="22">
        <v>3.71927234331908E-2</v>
      </c>
      <c r="T158" s="19">
        <f t="shared" si="22"/>
        <v>4.0131815960496642E-2</v>
      </c>
      <c r="U158" s="24">
        <v>4.1529056885399207E-2</v>
      </c>
      <c r="V158" s="24">
        <f t="shared" si="23"/>
        <v>4.4470295868779486E-2</v>
      </c>
      <c r="W158" s="23">
        <f t="shared" si="24"/>
        <v>3.6327325457110593E-3</v>
      </c>
      <c r="X158" s="24">
        <v>4.0659837436717305E-2</v>
      </c>
      <c r="Y158" s="24">
        <f t="shared" si="25"/>
        <v>4.3600798017875864E-2</v>
      </c>
      <c r="Z158" s="23">
        <f t="shared" si="26"/>
        <v>3.5631125412691755E-3</v>
      </c>
      <c r="AA158" s="36"/>
    </row>
    <row r="159" spans="15:27" ht="17.100000000000001" customHeight="1" x14ac:dyDescent="0.3">
      <c r="O159" s="12">
        <f t="shared" si="20"/>
        <v>12.166666666666666</v>
      </c>
      <c r="P159" s="13">
        <v>146</v>
      </c>
      <c r="Q159" s="22">
        <v>3.721771364342108E-2</v>
      </c>
      <c r="R159" s="19">
        <f t="shared" si="21"/>
        <v>4.01406745841284E-2</v>
      </c>
      <c r="S159" s="22">
        <v>3.7212825930223348E-2</v>
      </c>
      <c r="T159" s="19">
        <f t="shared" si="22"/>
        <v>4.0119570338988275E-2</v>
      </c>
      <c r="U159" s="24">
        <v>4.1549174160578906E-2</v>
      </c>
      <c r="V159" s="24">
        <f t="shared" si="23"/>
        <v>4.4459927088252638E-2</v>
      </c>
      <c r="W159" s="23">
        <f t="shared" si="24"/>
        <v>3.6324031604499929E-3</v>
      </c>
      <c r="X159" s="24">
        <v>4.0679952786861762E-2</v>
      </c>
      <c r="Y159" s="24">
        <f t="shared" si="25"/>
        <v>4.3590039356709243E-2</v>
      </c>
      <c r="Z159" s="23">
        <f t="shared" si="26"/>
        <v>3.5627514781475522E-3</v>
      </c>
      <c r="AA159" s="36"/>
    </row>
    <row r="160" spans="15:27" ht="17.100000000000001" customHeight="1" x14ac:dyDescent="0.3">
      <c r="O160" s="12">
        <f t="shared" si="20"/>
        <v>12.25</v>
      </c>
      <c r="P160" s="13">
        <v>147</v>
      </c>
      <c r="Q160" s="22">
        <v>3.7237569956579009E-2</v>
      </c>
      <c r="R160" s="19">
        <f t="shared" si="21"/>
        <v>4.0120534987324374E-2</v>
      </c>
      <c r="S160" s="22">
        <v>3.7232572233757644E-2</v>
      </c>
      <c r="T160" s="19">
        <f t="shared" si="22"/>
        <v>4.0101088930177831E-2</v>
      </c>
      <c r="U160" s="24">
        <v>4.156894777167075E-2</v>
      </c>
      <c r="V160" s="24">
        <f t="shared" si="23"/>
        <v>4.4443299474835163E-2</v>
      </c>
      <c r="W160" s="23">
        <f t="shared" si="24"/>
        <v>3.631572875830269E-3</v>
      </c>
      <c r="X160" s="24">
        <v>4.0699721854595694E-2</v>
      </c>
      <c r="Y160" s="24">
        <f t="shared" si="25"/>
        <v>4.3573025811115551E-2</v>
      </c>
      <c r="Z160" s="23">
        <f t="shared" si="26"/>
        <v>3.5618893155722198E-3</v>
      </c>
      <c r="AA160" s="36"/>
    </row>
    <row r="161" spans="15:27" ht="17.100000000000001" customHeight="1" x14ac:dyDescent="0.3">
      <c r="O161" s="12">
        <f t="shared" si="20"/>
        <v>12.333333333333334</v>
      </c>
      <c r="P161" s="13">
        <v>148</v>
      </c>
      <c r="Q161" s="22">
        <v>3.7257022611215662E-2</v>
      </c>
      <c r="R161" s="19">
        <f t="shared" si="21"/>
        <v>4.0094039598304931E-2</v>
      </c>
      <c r="S161" s="22">
        <v>3.7251927532478524E-2</v>
      </c>
      <c r="T161" s="19">
        <f t="shared" si="22"/>
        <v>4.0076376021195736E-2</v>
      </c>
      <c r="U161" s="24">
        <v>4.1588342498873665E-2</v>
      </c>
      <c r="V161" s="24">
        <f t="shared" si="23"/>
        <v>4.4420409210567779E-2</v>
      </c>
      <c r="W161" s="23">
        <f t="shared" si="24"/>
        <v>3.6302413966657898E-3</v>
      </c>
      <c r="X161" s="24">
        <v>4.0719109499643302E-2</v>
      </c>
      <c r="Y161" s="24">
        <f t="shared" si="25"/>
        <v>4.3549755201033102E-2</v>
      </c>
      <c r="Z161" s="23">
        <f t="shared" si="26"/>
        <v>3.5605258911670656E-3</v>
      </c>
      <c r="AA161" s="36"/>
    </row>
    <row r="162" spans="15:27" ht="17.100000000000001" customHeight="1" x14ac:dyDescent="0.3">
      <c r="O162" s="12">
        <f t="shared" si="20"/>
        <v>12.416666666666666</v>
      </c>
      <c r="P162" s="13">
        <v>149</v>
      </c>
      <c r="Q162" s="22">
        <v>3.7276037176527499E-2</v>
      </c>
      <c r="R162" s="19">
        <f t="shared" si="21"/>
        <v>4.0061174678748035E-2</v>
      </c>
      <c r="S162" s="22">
        <v>3.7270857973363825E-2</v>
      </c>
      <c r="T162" s="19">
        <f t="shared" si="22"/>
        <v>4.0045435498957227E-2</v>
      </c>
      <c r="U162" s="24">
        <v>4.1607324037587379E-2</v>
      </c>
      <c r="V162" s="24">
        <f t="shared" si="23"/>
        <v>4.4391252210427945E-2</v>
      </c>
      <c r="W162" s="23">
        <f t="shared" si="24"/>
        <v>3.6284083952768942E-3</v>
      </c>
      <c r="X162" s="24">
        <v>4.0738081505717227E-2</v>
      </c>
      <c r="Y162" s="24">
        <f t="shared" si="25"/>
        <v>4.3520225045901251E-2</v>
      </c>
      <c r="Z162" s="23">
        <f t="shared" si="26"/>
        <v>3.5586610077491532E-3</v>
      </c>
      <c r="AA162" s="36"/>
    </row>
    <row r="163" spans="15:27" ht="17.100000000000001" customHeight="1" x14ac:dyDescent="0.3">
      <c r="O163" s="12">
        <f t="shared" si="20"/>
        <v>12.5</v>
      </c>
      <c r="P163" s="13">
        <v>150</v>
      </c>
      <c r="Q163" s="22">
        <v>3.7294580042705583E-2</v>
      </c>
      <c r="R163" s="19">
        <f t="shared" si="21"/>
        <v>4.0021947033688221E-2</v>
      </c>
      <c r="S163" s="22">
        <v>3.7289330626487205E-2</v>
      </c>
      <c r="T163" s="19">
        <f t="shared" si="22"/>
        <v>4.000827088104697E-2</v>
      </c>
      <c r="U163" s="24">
        <v>4.162585896552029E-2</v>
      </c>
      <c r="V163" s="24">
        <f t="shared" si="23"/>
        <v>4.4355824153810675E-2</v>
      </c>
      <c r="W163" s="23">
        <f t="shared" si="24"/>
        <v>3.626073514305661E-3</v>
      </c>
      <c r="X163" s="24">
        <v>4.0756604547113939E-2</v>
      </c>
      <c r="Y163" s="24">
        <f t="shared" si="25"/>
        <v>4.3484432598354772E-2</v>
      </c>
      <c r="Z163" s="23">
        <f t="shared" si="26"/>
        <v>3.55629443576988E-3</v>
      </c>
      <c r="AA163" s="36"/>
    </row>
    <row r="164" spans="15:27" ht="17.100000000000001" customHeight="1" x14ac:dyDescent="0.3">
      <c r="O164" s="12">
        <f t="shared" si="20"/>
        <v>12.583333333333334</v>
      </c>
      <c r="P164" s="13">
        <v>151</v>
      </c>
      <c r="Q164" s="22">
        <v>3.7312618528816843E-2</v>
      </c>
      <c r="R164" s="19">
        <f t="shared" si="21"/>
        <v>3.9976425578319041E-2</v>
      </c>
      <c r="S164" s="22">
        <v>3.7307313451433677E-2</v>
      </c>
      <c r="T164" s="19">
        <f t="shared" si="22"/>
        <v>3.9964885344878409E-2</v>
      </c>
      <c r="U164" s="24">
        <v>4.164391471131923E-2</v>
      </c>
      <c r="V164" s="24">
        <f t="shared" si="23"/>
        <v>4.4314120512316313E-2</v>
      </c>
      <c r="W164" s="23">
        <f t="shared" si="24"/>
        <v>3.6232363692132452E-3</v>
      </c>
      <c r="X164" s="24">
        <v>4.0774646156867433E-2</v>
      </c>
      <c r="Y164" s="24">
        <f t="shared" si="25"/>
        <v>4.3442374871692113E-2</v>
      </c>
      <c r="Z164" s="23">
        <f t="shared" si="26"/>
        <v>3.553425916002162E-3</v>
      </c>
      <c r="AA164" s="36"/>
    </row>
    <row r="165" spans="15:27" ht="17.100000000000001" customHeight="1" x14ac:dyDescent="0.3">
      <c r="O165" s="12">
        <f t="shared" si="20"/>
        <v>12.666666666666666</v>
      </c>
      <c r="P165" s="13">
        <v>152</v>
      </c>
      <c r="Q165" s="22">
        <v>3.7330121259245619E-2</v>
      </c>
      <c r="R165" s="19">
        <f t="shared" si="21"/>
        <v>3.9924617042194299E-2</v>
      </c>
      <c r="S165" s="22">
        <v>3.7324775265244359E-2</v>
      </c>
      <c r="T165" s="19">
        <f t="shared" si="22"/>
        <v>3.991528176292003E-2</v>
      </c>
      <c r="U165" s="24">
        <v>4.1661459524629851E-2</v>
      </c>
      <c r="V165" s="24">
        <f t="shared" si="23"/>
        <v>4.4266136585312532E-2</v>
      </c>
      <c r="W165" s="23">
        <f t="shared" si="24"/>
        <v>3.6198965504834479E-3</v>
      </c>
      <c r="X165" s="24">
        <v>4.0792174696350214E-2</v>
      </c>
      <c r="Y165" s="24">
        <f t="shared" si="25"/>
        <v>4.3394048676544505E-2</v>
      </c>
      <c r="Z165" s="23">
        <f t="shared" si="26"/>
        <v>3.5500551617229092E-3</v>
      </c>
      <c r="AA165" s="36"/>
    </row>
    <row r="166" spans="15:27" ht="17.100000000000001" customHeight="1" x14ac:dyDescent="0.3">
      <c r="O166" s="12">
        <f t="shared" si="20"/>
        <v>12.75</v>
      </c>
      <c r="P166" s="13">
        <v>153</v>
      </c>
      <c r="Q166" s="22">
        <v>3.7347057715147791E-2</v>
      </c>
      <c r="R166" s="19">
        <f t="shared" si="21"/>
        <v>3.986650734991648E-2</v>
      </c>
      <c r="S166" s="22">
        <v>3.7341685711855588E-2</v>
      </c>
      <c r="T166" s="19">
        <f t="shared" si="22"/>
        <v>3.9859462729916695E-2</v>
      </c>
      <c r="U166" s="24">
        <v>4.1678462447569231E-2</v>
      </c>
      <c r="V166" s="24">
        <f t="shared" si="23"/>
        <v>4.4211867528377136E-2</v>
      </c>
      <c r="W166" s="23">
        <f t="shared" si="24"/>
        <v>3.6160536264444598E-3</v>
      </c>
      <c r="X166" s="24">
        <v>4.0809159326311795E-2</v>
      </c>
      <c r="Y166" s="24">
        <f t="shared" si="25"/>
        <v>4.333945064644662E-2</v>
      </c>
      <c r="Z166" s="23">
        <f t="shared" si="26"/>
        <v>3.5461818616342455E-3</v>
      </c>
      <c r="AA166" s="36"/>
    </row>
    <row r="167" spans="15:27" ht="17.100000000000001" customHeight="1" x14ac:dyDescent="0.3">
      <c r="O167" s="12">
        <f t="shared" si="20"/>
        <v>12.833333333333334</v>
      </c>
      <c r="P167" s="13">
        <v>154</v>
      </c>
      <c r="Q167" s="22">
        <v>3.7363398071321274E-2</v>
      </c>
      <c r="R167" s="19">
        <f t="shared" si="21"/>
        <v>3.9802082365529845E-2</v>
      </c>
      <c r="S167" s="22">
        <v>3.7358015232915598E-2</v>
      </c>
      <c r="T167" s="19">
        <f t="shared" si="22"/>
        <v>3.9797430597141359E-2</v>
      </c>
      <c r="U167" s="24">
        <v>4.1694893287501644E-2</v>
      </c>
      <c r="V167" s="24">
        <f t="shared" si="23"/>
        <v>4.4151308387411881E-2</v>
      </c>
      <c r="W167" s="23">
        <f t="shared" si="24"/>
        <v>3.6117071455206151E-3</v>
      </c>
      <c r="X167" s="24">
        <v>4.0825569979220377E-2</v>
      </c>
      <c r="Y167" s="24">
        <f t="shared" si="25"/>
        <v>4.3278577273946128E-2</v>
      </c>
      <c r="Z167" s="23">
        <f t="shared" si="26"/>
        <v>3.5418056818932175E-3</v>
      </c>
      <c r="AA167" s="36"/>
    </row>
    <row r="168" spans="15:27" ht="17.100000000000001" customHeight="1" x14ac:dyDescent="0.3">
      <c r="O168" s="12">
        <f t="shared" si="20"/>
        <v>12.916666666666666</v>
      </c>
      <c r="P168" s="13">
        <v>155</v>
      </c>
      <c r="Q168" s="22">
        <v>3.7379113172870682E-2</v>
      </c>
      <c r="R168" s="19">
        <f t="shared" si="21"/>
        <v>3.9731327925073279E-2</v>
      </c>
      <c r="S168" s="22">
        <v>3.7373735039958333E-2</v>
      </c>
      <c r="T168" s="19">
        <f t="shared" si="22"/>
        <v>3.9729187502707486E-2</v>
      </c>
      <c r="U168" s="24">
        <v>4.1710722591093985E-2</v>
      </c>
      <c r="V168" s="24">
        <f t="shared" si="23"/>
        <v>4.4084454128231254E-2</v>
      </c>
      <c r="W168" s="23">
        <f t="shared" si="24"/>
        <v>3.6068566389377832E-3</v>
      </c>
      <c r="X168" s="24">
        <v>4.0841377332912154E-2</v>
      </c>
      <c r="Y168" s="24">
        <f t="shared" si="25"/>
        <v>4.321142494069008E-2</v>
      </c>
      <c r="Z168" s="23">
        <f t="shared" si="26"/>
        <v>3.5369262689832759E-3</v>
      </c>
      <c r="AA168" s="36"/>
    </row>
    <row r="169" spans="15:27" ht="17.100000000000001" customHeight="1" x14ac:dyDescent="0.3">
      <c r="O169" s="12">
        <f t="shared" si="20"/>
        <v>13</v>
      </c>
      <c r="P169" s="13">
        <v>156</v>
      </c>
      <c r="Q169" s="22">
        <v>3.7394174512981326E-2</v>
      </c>
      <c r="R169" s="19">
        <f t="shared" si="21"/>
        <v>3.9654250308031713E-2</v>
      </c>
      <c r="S169" s="22">
        <v>3.738881708785069E-2</v>
      </c>
      <c r="T169" s="19">
        <f t="shared" si="22"/>
        <v>3.9654735401981389E-2</v>
      </c>
      <c r="U169" s="24">
        <v>4.1725921619564899E-2</v>
      </c>
      <c r="V169" s="24">
        <f t="shared" si="23"/>
        <v>4.401129966968198E-2</v>
      </c>
      <c r="W169" s="23">
        <f t="shared" si="24"/>
        <v>3.6015016230646069E-3</v>
      </c>
      <c r="X169" s="24">
        <v>4.0856552785455635E-2</v>
      </c>
      <c r="Y169" s="24">
        <f t="shared" si="25"/>
        <v>4.313798994709539E-2</v>
      </c>
      <c r="Z169" s="23">
        <f t="shared" si="26"/>
        <v>3.5315432521050294E-3</v>
      </c>
      <c r="AA169" s="36"/>
    </row>
    <row r="170" spans="15:27" ht="17.100000000000001" customHeight="1" x14ac:dyDescent="0.3">
      <c r="O170" s="12">
        <f t="shared" si="20"/>
        <v>13.083333333333334</v>
      </c>
      <c r="P170" s="13">
        <v>157</v>
      </c>
      <c r="Q170" s="22">
        <v>3.7408554341654243E-2</v>
      </c>
      <c r="R170" s="19">
        <f t="shared" si="21"/>
        <v>3.9570917201362743E-2</v>
      </c>
      <c r="S170" s="22">
        <v>3.7403234049453893E-2</v>
      </c>
      <c r="T170" s="19">
        <f t="shared" si="22"/>
        <v>3.9574076099954558E-2</v>
      </c>
      <c r="U170" s="24">
        <v>4.1740462325095207E-2</v>
      </c>
      <c r="V170" s="24">
        <f t="shared" si="23"/>
        <v>4.3931839916026671E-2</v>
      </c>
      <c r="W170" s="23">
        <f t="shared" si="24"/>
        <v>3.5956416020381798E-3</v>
      </c>
      <c r="X170" s="24">
        <v>4.0871068431168611E-2</v>
      </c>
      <c r="Y170" s="24">
        <f t="shared" si="25"/>
        <v>4.3058268548677114E-2</v>
      </c>
      <c r="Z170" s="23">
        <f t="shared" si="26"/>
        <v>3.5256562455312501E-3</v>
      </c>
      <c r="AA170" s="36"/>
    </row>
    <row r="171" spans="15:27" ht="17.100000000000001" customHeight="1" x14ac:dyDescent="0.3">
      <c r="O171" s="12">
        <f t="shared" si="20"/>
        <v>13.166666666666666</v>
      </c>
      <c r="P171" s="13">
        <v>158</v>
      </c>
      <c r="Q171" s="22">
        <v>3.7422226029107053E-2</v>
      </c>
      <c r="R171" s="19">
        <f t="shared" si="21"/>
        <v>3.9481335166988041E-2</v>
      </c>
      <c r="S171" s="22">
        <v>3.7416959291459273E-2</v>
      </c>
      <c r="T171" s="19">
        <f t="shared" si="22"/>
        <v>3.9487211282337675E-2</v>
      </c>
      <c r="U171" s="24">
        <v>4.1754317328344781E-2</v>
      </c>
      <c r="V171" s="24">
        <f t="shared" si="23"/>
        <v>4.3846069787216724E-2</v>
      </c>
      <c r="W171" s="23">
        <f t="shared" si="24"/>
        <v>3.5892760703277737E-3</v>
      </c>
      <c r="X171" s="24">
        <v>4.0884897037783086E-2</v>
      </c>
      <c r="Y171" s="24">
        <f t="shared" si="25"/>
        <v>4.2972256983508705E-2</v>
      </c>
      <c r="Z171" s="23">
        <f t="shared" si="26"/>
        <v>3.5192648514958957E-3</v>
      </c>
      <c r="AA171" s="36"/>
    </row>
    <row r="172" spans="15:27" ht="17.100000000000001" customHeight="1" x14ac:dyDescent="0.3">
      <c r="O172" s="12">
        <f t="shared" si="20"/>
        <v>13.25</v>
      </c>
      <c r="P172" s="13">
        <v>159</v>
      </c>
      <c r="Q172" s="22">
        <v>3.7435163646537539E-2</v>
      </c>
      <c r="R172" s="19">
        <f t="shared" si="21"/>
        <v>3.9385490444645121E-2</v>
      </c>
      <c r="S172" s="22">
        <v>3.7429966851337371E-2</v>
      </c>
      <c r="T172" s="19">
        <f t="shared" si="22"/>
        <v>3.9394142545656541E-2</v>
      </c>
      <c r="U172" s="24">
        <v>4.1767459897012582E-2</v>
      </c>
      <c r="V172" s="24">
        <f t="shared" si="23"/>
        <v>4.3753984253310563E-2</v>
      </c>
      <c r="W172" s="23">
        <f t="shared" si="24"/>
        <v>3.5824045151331418E-3</v>
      </c>
      <c r="X172" s="24">
        <v>4.0898012024648045E-2</v>
      </c>
      <c r="Y172" s="24">
        <f t="shared" si="25"/>
        <v>4.2879951505904401E-2</v>
      </c>
      <c r="Z172" s="23">
        <f t="shared" si="26"/>
        <v>3.5123686623732553E-3</v>
      </c>
      <c r="AA172" s="36"/>
    </row>
    <row r="173" spans="15:27" ht="17.100000000000001" customHeight="1" x14ac:dyDescent="0.3">
      <c r="O173" s="12">
        <f t="shared" si="20"/>
        <v>13.333333333333334</v>
      </c>
      <c r="P173" s="13">
        <v>160</v>
      </c>
      <c r="Q173" s="22">
        <v>3.7447341816974733E-2</v>
      </c>
      <c r="R173" s="19">
        <f t="shared" si="21"/>
        <v>3.9283369405764379E-2</v>
      </c>
      <c r="S173" s="22">
        <v>3.7442231415345528E-2</v>
      </c>
      <c r="T173" s="19">
        <f t="shared" si="22"/>
        <v>3.9294871429887079E-2</v>
      </c>
      <c r="U173" s="24">
        <v>4.1779863925420102E-2</v>
      </c>
      <c r="V173" s="24">
        <f t="shared" si="23"/>
        <v>4.3655578364648173E-2</v>
      </c>
      <c r="W173" s="23">
        <f t="shared" si="24"/>
        <v>3.5750264191141135E-3</v>
      </c>
      <c r="X173" s="24">
        <v>4.0910387441966067E-2</v>
      </c>
      <c r="Y173" s="24">
        <f t="shared" si="25"/>
        <v>4.2781348419962395E-2</v>
      </c>
      <c r="Z173" s="23">
        <f t="shared" si="26"/>
        <v>3.5049672633542528E-3</v>
      </c>
      <c r="AA173" s="36"/>
    </row>
    <row r="174" spans="15:27" ht="17.100000000000001" customHeight="1" x14ac:dyDescent="0.3">
      <c r="O174" s="12">
        <f t="shared" si="20"/>
        <v>13.416666666666666</v>
      </c>
      <c r="P174" s="13">
        <v>161</v>
      </c>
      <c r="Q174" s="22">
        <v>3.7458735698445933E-2</v>
      </c>
      <c r="R174" s="19">
        <f t="shared" si="21"/>
        <v>3.9174958586454922E-2</v>
      </c>
      <c r="S174" s="22">
        <v>3.7453728297562661E-2</v>
      </c>
      <c r="T174" s="19">
        <f t="shared" si="22"/>
        <v>3.9189399448267492E-2</v>
      </c>
      <c r="U174" s="24">
        <v>4.1791503915047601E-2</v>
      </c>
      <c r="V174" s="24">
        <f t="shared" si="23"/>
        <v>4.3550847286355943E-2</v>
      </c>
      <c r="W174" s="23">
        <f t="shared" si="24"/>
        <v>3.5671412627793497E-3</v>
      </c>
      <c r="X174" s="24">
        <v>4.0921997951015143E-2</v>
      </c>
      <c r="Y174" s="24">
        <f t="shared" si="25"/>
        <v>4.2676444108445288E-2</v>
      </c>
      <c r="Z174" s="23">
        <f t="shared" si="26"/>
        <v>3.4970602351152014E-3</v>
      </c>
      <c r="AA174" s="36"/>
    </row>
    <row r="175" spans="15:27" ht="17.100000000000001" customHeight="1" x14ac:dyDescent="0.3">
      <c r="O175" s="12">
        <f t="shared" si="20"/>
        <v>13.5</v>
      </c>
      <c r="P175" s="13">
        <v>162</v>
      </c>
      <c r="Q175" s="22">
        <v>3.7469320967972175E-2</v>
      </c>
      <c r="R175" s="19">
        <f t="shared" si="21"/>
        <v>3.9060264856855875E-2</v>
      </c>
      <c r="S175" s="22">
        <v>3.7464433419891474E-2</v>
      </c>
      <c r="T175" s="19">
        <f t="shared" si="22"/>
        <v>3.9077728120256339E-2</v>
      </c>
      <c r="U175" s="24">
        <v>4.1802354956008481E-2</v>
      </c>
      <c r="V175" s="24">
        <f t="shared" si="23"/>
        <v>4.3439786328167029E-2</v>
      </c>
      <c r="W175" s="23">
        <f t="shared" si="24"/>
        <v>3.5587485272272623E-3</v>
      </c>
      <c r="X175" s="24">
        <v>4.0932818805287541E-2</v>
      </c>
      <c r="Y175" s="24">
        <f t="shared" si="25"/>
        <v>4.2565235067947294E-2</v>
      </c>
      <c r="Z175" s="23">
        <f t="shared" si="26"/>
        <v>3.4886471561104138E-3</v>
      </c>
      <c r="AA175" s="36"/>
    </row>
    <row r="176" spans="15:27" ht="17.100000000000001" customHeight="1" x14ac:dyDescent="0.3">
      <c r="O176" s="12">
        <f t="shared" si="20"/>
        <v>13.583333333333334</v>
      </c>
      <c r="P176" s="13">
        <v>163</v>
      </c>
      <c r="Q176" s="22">
        <v>3.7479073929704176E-2</v>
      </c>
      <c r="R176" s="19">
        <f t="shared" si="21"/>
        <v>3.8939355778586204E-2</v>
      </c>
      <c r="S176" s="22">
        <v>3.7474323293001932E-2</v>
      </c>
      <c r="T176" s="19">
        <f t="shared" si="22"/>
        <v>3.8959859000561092E-2</v>
      </c>
      <c r="U176" s="24">
        <v>4.1812392709392077E-2</v>
      </c>
      <c r="V176" s="24">
        <f t="shared" si="23"/>
        <v>4.3322390980566672E-2</v>
      </c>
      <c r="W176" s="23">
        <f t="shared" si="24"/>
        <v>3.5498476965085679E-3</v>
      </c>
      <c r="X176" s="24">
        <v>4.0942825832540608E-2</v>
      </c>
      <c r="Y176" s="24">
        <f t="shared" si="25"/>
        <v>4.2447717939430696E-2</v>
      </c>
      <c r="Z176" s="23">
        <f t="shared" si="26"/>
        <v>3.4797276053732951E-3</v>
      </c>
      <c r="AA176" s="36"/>
    </row>
    <row r="177" spans="15:27" ht="17.100000000000001" customHeight="1" x14ac:dyDescent="0.3">
      <c r="O177" s="12">
        <f t="shared" si="20"/>
        <v>13.666666666666666</v>
      </c>
      <c r="P177" s="13">
        <v>164</v>
      </c>
      <c r="Q177" s="22">
        <v>3.74879718649197E-2</v>
      </c>
      <c r="R177" s="19">
        <f t="shared" si="21"/>
        <v>3.8812238851337222E-2</v>
      </c>
      <c r="S177" s="22">
        <v>3.7483374998156016E-2</v>
      </c>
      <c r="T177" s="19">
        <f t="shared" si="22"/>
        <v>3.8835793711309297E-2</v>
      </c>
      <c r="U177" s="24">
        <v>4.1821593390476641E-2</v>
      </c>
      <c r="V177" s="24">
        <f t="shared" si="23"/>
        <v>4.3198656943485902E-2</v>
      </c>
      <c r="W177" s="23">
        <f t="shared" si="24"/>
        <v>3.5404382605015439E-3</v>
      </c>
      <c r="X177" s="24">
        <v>4.0951995417696674E-2</v>
      </c>
      <c r="Y177" s="24">
        <f t="shared" si="25"/>
        <v>4.2323889540559323E-2</v>
      </c>
      <c r="Z177" s="23">
        <f t="shared" si="26"/>
        <v>3.4703011649459548E-3</v>
      </c>
      <c r="AA177" s="36"/>
    </row>
    <row r="178" spans="15:27" ht="17.100000000000001" customHeight="1" x14ac:dyDescent="0.3">
      <c r="O178" s="12">
        <f t="shared" si="20"/>
        <v>13.75</v>
      </c>
      <c r="P178" s="13">
        <v>165</v>
      </c>
      <c r="Q178" s="22">
        <v>3.7495992638630682E-2</v>
      </c>
      <c r="R178" s="19">
        <f t="shared" si="21"/>
        <v>3.867890174007993E-2</v>
      </c>
      <c r="S178" s="22">
        <v>3.7491566169891577E-2</v>
      </c>
      <c r="T178" s="19">
        <f t="shared" si="22"/>
        <v>3.8705533974674466E-2</v>
      </c>
      <c r="U178" s="24">
        <v>4.1829933752731474E-2</v>
      </c>
      <c r="V178" s="24">
        <f t="shared" si="23"/>
        <v>4.3068580162242132E-2</v>
      </c>
      <c r="W178" s="23">
        <f t="shared" si="24"/>
        <v>3.5305197171893177E-3</v>
      </c>
      <c r="X178" s="24">
        <v>4.0960304486563404E-2</v>
      </c>
      <c r="Y178" s="24">
        <f t="shared" si="25"/>
        <v>4.2193746900496265E-2</v>
      </c>
      <c r="Z178" s="23">
        <f t="shared" si="26"/>
        <v>3.46036742245448E-3</v>
      </c>
      <c r="AA178" s="36"/>
    </row>
    <row r="179" spans="15:27" ht="17.100000000000001" customHeight="1" x14ac:dyDescent="0.3">
      <c r="O179" s="12">
        <f t="shared" si="20"/>
        <v>13.833333333333334</v>
      </c>
      <c r="P179" s="13">
        <v>166</v>
      </c>
      <c r="Q179" s="22">
        <v>3.75031145622442E-2</v>
      </c>
      <c r="R179" s="19">
        <f t="shared" si="21"/>
        <v>3.8539332432351969E-2</v>
      </c>
      <c r="S179" s="22">
        <v>3.7498874979533747E-2</v>
      </c>
      <c r="T179" s="19">
        <f t="shared" si="22"/>
        <v>3.8569081640782432E-2</v>
      </c>
      <c r="U179" s="24">
        <v>4.1837391072616192E-2</v>
      </c>
      <c r="V179" s="24">
        <f t="shared" si="23"/>
        <v>4.2932156859496251E-2</v>
      </c>
      <c r="W179" s="23">
        <f t="shared" si="24"/>
        <v>3.5200915755222439E-3</v>
      </c>
      <c r="X179" s="24">
        <v>4.096773049035618E-2</v>
      </c>
      <c r="Y179" s="24">
        <f t="shared" si="25"/>
        <v>4.2057287288379541E-2</v>
      </c>
      <c r="Z179" s="23">
        <f t="shared" si="26"/>
        <v>3.4499259738860477E-3</v>
      </c>
      <c r="AA179" s="36"/>
    </row>
    <row r="180" spans="15:27" ht="17.100000000000001" customHeight="1" x14ac:dyDescent="0.3">
      <c r="O180" s="12">
        <f t="shared" si="20"/>
        <v>13.916666666666666</v>
      </c>
      <c r="P180" s="13">
        <v>167</v>
      </c>
      <c r="Q180" s="22">
        <v>3.7509316381662217E-2</v>
      </c>
      <c r="R180" s="19">
        <f t="shared" si="21"/>
        <v>3.8393519268393073E-2</v>
      </c>
      <c r="S180" s="22">
        <v>3.7505280119471296E-2</v>
      </c>
      <c r="T180" s="19">
        <f t="shared" si="22"/>
        <v>3.8426438722016787E-2</v>
      </c>
      <c r="U180" s="24">
        <v>4.1843943135122741E-2</v>
      </c>
      <c r="V180" s="24">
        <f t="shared" si="23"/>
        <v>4.2789383565671857E-2</v>
      </c>
      <c r="W180" s="23">
        <f t="shared" si="24"/>
        <v>3.5091533579627576E-3</v>
      </c>
      <c r="X180" s="24">
        <v>4.0974251390952121E-2</v>
      </c>
      <c r="Y180" s="24">
        <f t="shared" si="25"/>
        <v>4.1914508248990678E-2</v>
      </c>
      <c r="Z180" s="23">
        <f t="shared" si="26"/>
        <v>3.4389764258597744E-3</v>
      </c>
      <c r="AA180" s="36"/>
    </row>
    <row r="181" spans="15:27" ht="17.100000000000001" customHeight="1" x14ac:dyDescent="0.3">
      <c r="O181" s="12">
        <f t="shared" si="20"/>
        <v>14</v>
      </c>
      <c r="P181" s="13">
        <v>168</v>
      </c>
      <c r="Q181" s="22">
        <v>3.7514577265987503E-2</v>
      </c>
      <c r="R181" s="19">
        <f t="shared" si="21"/>
        <v>3.8241470807434119E-2</v>
      </c>
      <c r="S181" s="22">
        <v>3.7510760788202369E-2</v>
      </c>
      <c r="T181" s="19">
        <f t="shared" si="22"/>
        <v>3.8277607422023907E-2</v>
      </c>
      <c r="U181" s="24">
        <v>4.1849568220017952E-2</v>
      </c>
      <c r="V181" s="24">
        <f t="shared" si="23"/>
        <v>4.2640257156921546E-2</v>
      </c>
      <c r="W181" s="23">
        <f t="shared" si="24"/>
        <v>3.4977046029105452E-3</v>
      </c>
      <c r="X181" s="24">
        <v>4.0979845646885726E-2</v>
      </c>
      <c r="Y181" s="24">
        <f t="shared" si="25"/>
        <v>4.1765407634833274E-2</v>
      </c>
      <c r="Z181" s="23">
        <f t="shared" si="26"/>
        <v>3.4275183984777691E-3</v>
      </c>
      <c r="AA181" s="36"/>
    </row>
    <row r="182" spans="15:27" ht="17.100000000000001" customHeight="1" x14ac:dyDescent="0.3">
      <c r="O182" s="12">
        <f t="shared" si="20"/>
        <v>14.083333333333334</v>
      </c>
      <c r="P182" s="13">
        <v>169</v>
      </c>
      <c r="Q182" s="22">
        <v>3.7518876914102162E-2</v>
      </c>
      <c r="R182" s="19">
        <f t="shared" si="21"/>
        <v>3.8083255553467144E-2</v>
      </c>
      <c r="S182" s="22">
        <v>3.751529667608744E-2</v>
      </c>
      <c r="T182" s="19">
        <f t="shared" si="22"/>
        <v>3.8122590167421144E-2</v>
      </c>
      <c r="U182" s="24">
        <v>4.1854245088802644E-2</v>
      </c>
      <c r="V182" s="24">
        <f t="shared" si="23"/>
        <v>4.2484774883203125E-2</v>
      </c>
      <c r="W182" s="23">
        <f t="shared" si="24"/>
        <v>3.4857448677354519E-3</v>
      </c>
      <c r="X182" s="24">
        <v>4.0984492200036193E-2</v>
      </c>
      <c r="Y182" s="24">
        <f t="shared" si="25"/>
        <v>4.1609983636790027E-2</v>
      </c>
      <c r="Z182" s="23">
        <f t="shared" si="26"/>
        <v>3.415551527891747E-3</v>
      </c>
      <c r="AA182" s="36"/>
    </row>
    <row r="183" spans="15:27" ht="17.100000000000001" customHeight="1" x14ac:dyDescent="0.3">
      <c r="O183" s="12">
        <f t="shared" si="20"/>
        <v>14.166666666666666</v>
      </c>
      <c r="P183" s="13">
        <v>170</v>
      </c>
      <c r="Q183" s="22">
        <v>3.7522195891132037E-2</v>
      </c>
      <c r="R183" s="19">
        <f t="shared" si="21"/>
        <v>3.7918883028510431E-2</v>
      </c>
      <c r="S183" s="22">
        <v>3.7518867951797041E-2</v>
      </c>
      <c r="T183" s="19">
        <f t="shared" si="22"/>
        <v>3.7961389640098764E-2</v>
      </c>
      <c r="U183" s="24">
        <v>4.1857952972301549E-2</v>
      </c>
      <c r="V183" s="24">
        <f t="shared" si="23"/>
        <v>4.2322934404271706E-2</v>
      </c>
      <c r="W183" s="23">
        <f t="shared" si="24"/>
        <v>3.4732737310230188E-3</v>
      </c>
      <c r="X183" s="24">
        <v>4.0988170462969764E-2</v>
      </c>
      <c r="Y183" s="24">
        <f t="shared" si="25"/>
        <v>4.1448234820100849E-2</v>
      </c>
      <c r="Z183" s="23">
        <f t="shared" si="26"/>
        <v>3.4030754687590647E-3</v>
      </c>
      <c r="AA183" s="36"/>
    </row>
    <row r="184" spans="15:27" ht="17.100000000000001" customHeight="1" x14ac:dyDescent="0.3">
      <c r="O184" s="12">
        <f t="shared" si="20"/>
        <v>14.25</v>
      </c>
      <c r="P184" s="13">
        <v>171</v>
      </c>
      <c r="Q184" s="22">
        <v>3.7524515258179791E-2</v>
      </c>
      <c r="R184" s="19">
        <f t="shared" si="21"/>
        <v>3.7748343409831797E-2</v>
      </c>
      <c r="S184" s="22">
        <v>3.7521455249427405E-2</v>
      </c>
      <c r="T184" s="19">
        <f t="shared" si="22"/>
        <v>3.7794008805666746E-2</v>
      </c>
      <c r="U184" s="24">
        <v>4.1860671558902052E-2</v>
      </c>
      <c r="V184" s="24">
        <f t="shared" si="23"/>
        <v>4.2154733820789492E-2</v>
      </c>
      <c r="W184" s="23">
        <f t="shared" si="24"/>
        <v>3.4602907954559559E-3</v>
      </c>
      <c r="X184" s="24">
        <v>4.0990860306938659E-2</v>
      </c>
      <c r="Y184" s="24">
        <f t="shared" si="25"/>
        <v>4.1280160152574075E-2</v>
      </c>
      <c r="Z184" s="23">
        <f t="shared" si="26"/>
        <v>3.390089897127968E-3</v>
      </c>
      <c r="AA184" s="36"/>
    </row>
    <row r="185" spans="15:27" ht="17.100000000000001" customHeight="1" x14ac:dyDescent="0.3">
      <c r="O185" s="12">
        <f t="shared" si="20"/>
        <v>14.333333333333334</v>
      </c>
      <c r="P185" s="13">
        <v>172</v>
      </c>
      <c r="Q185" s="22">
        <v>3.752581644510955E-2</v>
      </c>
      <c r="R185" s="19">
        <f t="shared" si="21"/>
        <v>3.7571627381747019E-2</v>
      </c>
      <c r="S185" s="22">
        <v>3.7523039656236268E-2</v>
      </c>
      <c r="T185" s="19">
        <f t="shared" si="22"/>
        <v>3.7620450946396211E-2</v>
      </c>
      <c r="U185" s="24">
        <v>4.1862380983389125E-2</v>
      </c>
      <c r="V185" s="24">
        <f t="shared" si="23"/>
        <v>4.1980171710020775E-2</v>
      </c>
      <c r="W185" s="23">
        <f t="shared" si="24"/>
        <v>3.446795690310589E-3</v>
      </c>
      <c r="X185" s="24">
        <v>4.099254205046976E-2</v>
      </c>
      <c r="Y185" s="24">
        <f t="shared" si="25"/>
        <v>4.1105759042480372E-2</v>
      </c>
      <c r="Z185" s="23">
        <f t="shared" si="26"/>
        <v>3.3765945127071095E-3</v>
      </c>
      <c r="AA185" s="36"/>
    </row>
    <row r="186" spans="15:27" ht="17.100000000000001" customHeight="1" x14ac:dyDescent="0.3">
      <c r="O186" s="12">
        <f t="shared" si="20"/>
        <v>14.416666666666666</v>
      </c>
      <c r="P186" s="13">
        <v>173</v>
      </c>
      <c r="Q186" s="22">
        <v>3.7526081242399423E-2</v>
      </c>
      <c r="R186" s="19">
        <f t="shared" si="21"/>
        <v>3.7388726169371278E-2</v>
      </c>
      <c r="S186" s="22">
        <v>3.7523602700999081E-2</v>
      </c>
      <c r="T186" s="19">
        <f t="shared" si="22"/>
        <v>3.7440719691946844E-2</v>
      </c>
      <c r="U186" s="24">
        <v>4.1863061816377778E-2</v>
      </c>
      <c r="V186" s="24">
        <f t="shared" si="23"/>
        <v>4.1799247156415698E-2</v>
      </c>
      <c r="W186" s="23">
        <f t="shared" si="24"/>
        <v>3.4327880743254546E-3</v>
      </c>
      <c r="X186" s="24">
        <v>4.0993196448570135E-2</v>
      </c>
      <c r="Y186" s="24">
        <f t="shared" si="25"/>
        <v>4.0925031366497722E-2</v>
      </c>
      <c r="Z186" s="23">
        <f t="shared" si="26"/>
        <v>3.3625890419124449E-3</v>
      </c>
      <c r="AA186" s="36"/>
    </row>
    <row r="187" spans="15:27" ht="17.100000000000001" customHeight="1" x14ac:dyDescent="0.3">
      <c r="O187" s="12">
        <f t="shared" si="20"/>
        <v>14.5</v>
      </c>
      <c r="P187" s="13">
        <v>174</v>
      </c>
      <c r="Q187" s="22">
        <v>3.752529179347075E-2</v>
      </c>
      <c r="R187" s="19">
        <f t="shared" si="21"/>
        <v>3.719965108597667E-2</v>
      </c>
      <c r="S187" s="22">
        <v>3.7523126342948743E-2</v>
      </c>
      <c r="T187" s="19">
        <f t="shared" si="22"/>
        <v>3.7254819048634591E-2</v>
      </c>
      <c r="U187" s="24">
        <v>4.1862695054290633E-2</v>
      </c>
      <c r="V187" s="24">
        <f t="shared" si="23"/>
        <v>4.1611959784640939E-2</v>
      </c>
      <c r="W187" s="23">
        <f t="shared" si="24"/>
        <v>3.4182676381642185E-3</v>
      </c>
      <c r="X187" s="24">
        <v>4.0992804682471906E-2</v>
      </c>
      <c r="Y187" s="24">
        <f t="shared" si="25"/>
        <v>4.0737977504765599E-2</v>
      </c>
      <c r="Z187" s="23">
        <f t="shared" si="26"/>
        <v>3.3480732401234281E-3</v>
      </c>
      <c r="AA187" s="36"/>
    </row>
    <row r="188" spans="15:27" ht="17.100000000000001" customHeight="1" x14ac:dyDescent="0.3">
      <c r="O188" s="12">
        <f t="shared" si="20"/>
        <v>14.583333333333334</v>
      </c>
      <c r="P188" s="13">
        <v>175</v>
      </c>
      <c r="Q188" s="22">
        <v>3.7523430699017313E-2</v>
      </c>
      <c r="R188" s="19">
        <f t="shared" si="21"/>
        <v>3.700447261072437E-2</v>
      </c>
      <c r="S188" s="22">
        <v>3.7521592961265116E-2</v>
      </c>
      <c r="T188" s="19">
        <f t="shared" si="22"/>
        <v>3.7062753433112272E-2</v>
      </c>
      <c r="U188" s="24">
        <v>4.1861262109873065E-2</v>
      </c>
      <c r="V188" s="24">
        <f t="shared" si="23"/>
        <v>4.1418309795830277E-2</v>
      </c>
      <c r="W188" s="23">
        <f t="shared" si="24"/>
        <v>3.4032341070799887E-3</v>
      </c>
      <c r="X188" s="24">
        <v>4.0991348349932455E-2</v>
      </c>
      <c r="Y188" s="24">
        <f t="shared" si="25"/>
        <v>4.0544598373454699E-2</v>
      </c>
      <c r="Z188" s="23">
        <f t="shared" si="26"/>
        <v>3.3330468945129699E-3</v>
      </c>
      <c r="AA188" s="36"/>
    </row>
    <row r="189" spans="15:27" ht="17.100000000000001" customHeight="1" x14ac:dyDescent="0.3">
      <c r="O189" s="12">
        <f t="shared" si="20"/>
        <v>14.666666666666666</v>
      </c>
      <c r="P189" s="13">
        <v>176</v>
      </c>
      <c r="Q189" s="22">
        <v>3.7520481340026279E-2</v>
      </c>
      <c r="R189" s="19">
        <f t="shared" si="21"/>
        <v>3.6803203338556134E-2</v>
      </c>
      <c r="S189" s="22">
        <v>3.7518985345121658E-2</v>
      </c>
      <c r="T189" s="19">
        <f t="shared" si="22"/>
        <v>3.6864527699229432E-2</v>
      </c>
      <c r="U189" s="24">
        <v>4.1858744803241477E-2</v>
      </c>
      <c r="V189" s="24">
        <f t="shared" si="23"/>
        <v>4.1218297995689435E-2</v>
      </c>
      <c r="W189" s="23">
        <f t="shared" si="24"/>
        <v>3.3876872438454164E-3</v>
      </c>
      <c r="X189" s="24">
        <v>4.0988809456056208E-2</v>
      </c>
      <c r="Y189" s="24">
        <f t="shared" si="25"/>
        <v>4.0344895456147833E-2</v>
      </c>
      <c r="Z189" s="23">
        <f t="shared" si="26"/>
        <v>3.3175098266848835E-3</v>
      </c>
      <c r="AA189" s="36"/>
    </row>
    <row r="190" spans="15:27" ht="17.100000000000001" customHeight="1" x14ac:dyDescent="0.3">
      <c r="O190" s="12">
        <f t="shared" si="20"/>
        <v>14.75</v>
      </c>
      <c r="P190" s="13">
        <v>177</v>
      </c>
      <c r="Q190" s="22">
        <v>3.7516427528415885E-2</v>
      </c>
      <c r="R190" s="19">
        <f t="shared" si="21"/>
        <v>3.659583700912572E-2</v>
      </c>
      <c r="S190" s="22">
        <v>3.7515286684224325E-2</v>
      </c>
      <c r="T190" s="19">
        <f t="shared" si="22"/>
        <v>3.666014717206223E-2</v>
      </c>
      <c r="U190" s="24">
        <v>4.1855125353400968E-2</v>
      </c>
      <c r="V190" s="24">
        <f t="shared" si="23"/>
        <v>4.1011925831941909E-2</v>
      </c>
      <c r="W190" s="23">
        <f t="shared" si="24"/>
        <v>3.3716268510326497E-3</v>
      </c>
      <c r="X190" s="24">
        <v>4.0985170404610249E-2</v>
      </c>
      <c r="Y190" s="24">
        <f t="shared" si="25"/>
        <v>4.0138870837203244E-2</v>
      </c>
      <c r="Z190" s="23">
        <f t="shared" si="26"/>
        <v>3.3014618952198482E-3</v>
      </c>
      <c r="AA190" s="36"/>
    </row>
    <row r="191" spans="15:27" ht="17.100000000000001" customHeight="1" x14ac:dyDescent="0.3">
      <c r="O191" s="12">
        <f t="shared" si="20"/>
        <v>14.833333333333334</v>
      </c>
      <c r="P191" s="13">
        <v>178</v>
      </c>
      <c r="Q191" s="22">
        <v>3.7511253388609944E-2</v>
      </c>
      <c r="R191" s="19">
        <f t="shared" si="21"/>
        <v>3.6382368051448788E-2</v>
      </c>
      <c r="S191" s="22">
        <v>3.7510480559867831E-2</v>
      </c>
      <c r="T191" s="19">
        <f t="shared" si="22"/>
        <v>3.6449617676347579E-2</v>
      </c>
      <c r="U191" s="24">
        <v>4.1850386370263504E-2</v>
      </c>
      <c r="V191" s="24">
        <f t="shared" si="23"/>
        <v>4.0799195423755208E-2</v>
      </c>
      <c r="W191" s="23">
        <f t="shared" si="24"/>
        <v>3.3550527740513481E-3</v>
      </c>
      <c r="X191" s="24">
        <v>4.098041398982466E-2</v>
      </c>
      <c r="Y191" s="24">
        <f t="shared" si="25"/>
        <v>3.9926527233657083E-2</v>
      </c>
      <c r="Z191" s="23">
        <f t="shared" si="26"/>
        <v>3.2849029983883504E-3</v>
      </c>
      <c r="AA191" s="36"/>
    </row>
    <row r="192" spans="15:27" ht="17.100000000000001" customHeight="1" x14ac:dyDescent="0.3">
      <c r="O192" s="12">
        <f t="shared" si="20"/>
        <v>14.916666666666666</v>
      </c>
      <c r="P192" s="13">
        <v>179</v>
      </c>
      <c r="Q192" s="22">
        <v>3.7504943352287823E-2</v>
      </c>
      <c r="R192" s="19">
        <f t="shared" si="21"/>
        <v>3.6162791612368128E-2</v>
      </c>
      <c r="S192" s="22">
        <v>3.7504550936455106E-2</v>
      </c>
      <c r="T192" s="19">
        <f t="shared" si="22"/>
        <v>3.6232945566932573E-2</v>
      </c>
      <c r="U192" s="24">
        <v>4.1844510847104166E-2</v>
      </c>
      <c r="V192" s="24">
        <f t="shared" si="23"/>
        <v>4.0580109596512148E-2</v>
      </c>
      <c r="W192" s="23">
        <f t="shared" si="24"/>
        <v>3.3379649035478742E-3</v>
      </c>
      <c r="X192" s="24">
        <v>4.0974523388652928E-2</v>
      </c>
      <c r="Y192" s="24">
        <f t="shared" si="25"/>
        <v>3.9707868027891502E-2</v>
      </c>
      <c r="Z192" s="23">
        <f t="shared" si="26"/>
        <v>3.2678330767508257E-3</v>
      </c>
      <c r="AA192" s="36"/>
    </row>
    <row r="193" spans="15:27" ht="17.100000000000001" customHeight="1" x14ac:dyDescent="0.3">
      <c r="O193" s="12">
        <f t="shared" si="20"/>
        <v>15</v>
      </c>
      <c r="P193" s="13">
        <v>180</v>
      </c>
      <c r="Q193" s="22">
        <v>3.7497482153472372E-2</v>
      </c>
      <c r="R193" s="19">
        <f t="shared" si="21"/>
        <v>3.5939041270144578E-2</v>
      </c>
      <c r="S193" s="22">
        <v>3.7497482153474815E-2</v>
      </c>
      <c r="T193" s="19">
        <f t="shared" si="22"/>
        <v>3.6012049985387762E-2</v>
      </c>
      <c r="U193" s="24">
        <v>4.1837482153469052E-2</v>
      </c>
      <c r="V193" s="24">
        <f t="shared" si="23"/>
        <v>4.0356614869208052E-2</v>
      </c>
      <c r="W193" s="23">
        <f t="shared" si="24"/>
        <v>3.3203631782419141E-3</v>
      </c>
      <c r="X193" s="24">
        <v>4.0967482153477341E-2</v>
      </c>
      <c r="Y193" s="24">
        <f t="shared" si="25"/>
        <v>3.9484835773902383E-2</v>
      </c>
      <c r="Z193" s="23">
        <f t="shared" si="26"/>
        <v>3.2502521158268571E-3</v>
      </c>
      <c r="AA193" s="36"/>
    </row>
    <row r="194" spans="15:27" ht="17.100000000000001" customHeight="1" x14ac:dyDescent="0.3">
      <c r="O194" s="12">
        <f t="shared" si="20"/>
        <v>15.083333333333334</v>
      </c>
      <c r="P194" s="13">
        <v>181</v>
      </c>
      <c r="Q194" s="22">
        <v>3.7488865545409755E-2</v>
      </c>
      <c r="R194" s="19">
        <f t="shared" si="21"/>
        <v>3.5718863698669168E-2</v>
      </c>
      <c r="S194" s="22">
        <v>3.7489269497778643E-2</v>
      </c>
      <c r="T194" s="19">
        <f t="shared" si="22"/>
        <v>3.5794575841003429E-2</v>
      </c>
      <c r="U194" s="24">
        <v>4.1829294778266135E-2</v>
      </c>
      <c r="V194" s="24">
        <f t="shared" si="23"/>
        <v>4.0136481052693185E-2</v>
      </c>
      <c r="W194" s="23">
        <f t="shared" si="24"/>
        <v>3.3024037338029721E-3</v>
      </c>
      <c r="X194" s="24">
        <v>4.0959284930242701E-2</v>
      </c>
      <c r="Y194" s="24">
        <f t="shared" si="25"/>
        <v>3.9265181786420467E-2</v>
      </c>
      <c r="Z194" s="23">
        <f t="shared" si="26"/>
        <v>3.232316054607276E-3</v>
      </c>
      <c r="AA194" s="36"/>
    </row>
    <row r="195" spans="15:27" ht="17.100000000000001" customHeight="1" x14ac:dyDescent="0.3">
      <c r="O195" s="12">
        <f t="shared" si="20"/>
        <v>15.166666666666666</v>
      </c>
      <c r="P195" s="13">
        <v>182</v>
      </c>
      <c r="Q195" s="22">
        <v>3.7479132000866722E-2</v>
      </c>
      <c r="R195" s="19">
        <f t="shared" si="21"/>
        <v>3.5504192432994186E-2</v>
      </c>
      <c r="S195" s="22">
        <v>3.7479950422763642E-2</v>
      </c>
      <c r="T195" s="19">
        <f t="shared" si="22"/>
        <v>3.5582412391845564E-2</v>
      </c>
      <c r="U195" s="24">
        <v>4.1819986080846139E-2</v>
      </c>
      <c r="V195" s="24">
        <f t="shared" si="23"/>
        <v>3.9921639180134694E-2</v>
      </c>
      <c r="W195" s="23">
        <f t="shared" si="24"/>
        <v>3.2847109056695079E-3</v>
      </c>
      <c r="X195" s="24">
        <v>4.0949969130331665E-2</v>
      </c>
      <c r="Y195" s="24">
        <f t="shared" si="25"/>
        <v>3.9050830190920927E-2</v>
      </c>
      <c r="Z195" s="23">
        <f t="shared" si="26"/>
        <v>3.2146482224051365E-3</v>
      </c>
      <c r="AA195" s="36"/>
    </row>
    <row r="196" spans="15:27" ht="17.100000000000001" customHeight="1" x14ac:dyDescent="0.3">
      <c r="O196" s="12">
        <f t="shared" si="20"/>
        <v>15.25</v>
      </c>
      <c r="P196" s="13">
        <v>183</v>
      </c>
      <c r="Q196" s="22">
        <v>3.7468329752738505E-2</v>
      </c>
      <c r="R196" s="19">
        <f t="shared" si="21"/>
        <v>3.5295023041961748E-2</v>
      </c>
      <c r="S196" s="22">
        <v>3.7469571920377032E-2</v>
      </c>
      <c r="T196" s="19">
        <f t="shared" si="22"/>
        <v>3.5375533904321577E-2</v>
      </c>
      <c r="U196" s="24">
        <v>4.180960318976501E-2</v>
      </c>
      <c r="V196" s="24">
        <f t="shared" si="23"/>
        <v>3.971207570563684E-2</v>
      </c>
      <c r="W196" s="23">
        <f t="shared" si="24"/>
        <v>3.2674400972707573E-3</v>
      </c>
      <c r="X196" s="24">
        <v>4.0939581895429455E-2</v>
      </c>
      <c r="Y196" s="24">
        <f t="shared" si="25"/>
        <v>3.8841764786712751E-2</v>
      </c>
      <c r="Z196" s="23">
        <f t="shared" si="26"/>
        <v>3.1974035868618245E-3</v>
      </c>
      <c r="AA196" s="36"/>
    </row>
    <row r="197" spans="15:27" ht="17.100000000000001" customHeight="1" x14ac:dyDescent="0.3">
      <c r="O197" s="12">
        <f t="shared" si="20"/>
        <v>15.333333333333334</v>
      </c>
      <c r="P197" s="13">
        <v>184</v>
      </c>
      <c r="Q197" s="22">
        <v>3.7456505981880772E-2</v>
      </c>
      <c r="R197" s="19">
        <f t="shared" si="21"/>
        <v>3.5091350627512341E-2</v>
      </c>
      <c r="S197" s="22">
        <v>3.7458179840658801E-2</v>
      </c>
      <c r="T197" s="19">
        <f t="shared" si="22"/>
        <v>3.5173914423591857E-2</v>
      </c>
      <c r="U197" s="24">
        <v>4.1798192155241276E-2</v>
      </c>
      <c r="V197" s="24">
        <f t="shared" si="23"/>
        <v>3.9507776694901908E-2</v>
      </c>
      <c r="W197" s="23">
        <f t="shared" si="24"/>
        <v>3.2505904597388557E-3</v>
      </c>
      <c r="X197" s="24">
        <v>4.0928169274133008E-2</v>
      </c>
      <c r="Y197" s="24">
        <f t="shared" si="25"/>
        <v>3.8637969019750473E-2</v>
      </c>
      <c r="Z197" s="23">
        <f t="shared" si="26"/>
        <v>3.1805810849521166E-3</v>
      </c>
      <c r="AA197" s="36"/>
    </row>
    <row r="198" spans="15:27" ht="17.100000000000001" customHeight="1" x14ac:dyDescent="0.3">
      <c r="O198" s="12">
        <f t="shared" si="20"/>
        <v>15.416666666666666</v>
      </c>
      <c r="P198" s="13">
        <v>185</v>
      </c>
      <c r="Q198" s="22">
        <v>3.7443706842151148E-2</v>
      </c>
      <c r="R198" s="19">
        <f t="shared" si="21"/>
        <v>3.4893169850702677E-2</v>
      </c>
      <c r="S198" s="22">
        <v>3.744581892050669E-2</v>
      </c>
      <c r="T198" s="19">
        <f t="shared" si="22"/>
        <v>3.4977527797880326E-2</v>
      </c>
      <c r="U198" s="24">
        <v>4.1785797975345318E-2</v>
      </c>
      <c r="V198" s="24">
        <f t="shared" si="23"/>
        <v>3.9308727846129932E-2</v>
      </c>
      <c r="W198" s="23">
        <f t="shared" si="24"/>
        <v>3.2341611064152787E-3</v>
      </c>
      <c r="X198" s="24">
        <v>4.0915776248717117E-2</v>
      </c>
      <c r="Y198" s="24">
        <f t="shared" si="25"/>
        <v>3.843942600633321E-2</v>
      </c>
      <c r="Z198" s="23">
        <f t="shared" si="26"/>
        <v>3.1641796184720405E-3</v>
      </c>
      <c r="AA198" s="36"/>
    </row>
    <row r="199" spans="15:27" ht="17.100000000000001" customHeight="1" x14ac:dyDescent="0.3">
      <c r="O199" s="12">
        <f t="shared" si="20"/>
        <v>15.5</v>
      </c>
      <c r="P199" s="13">
        <v>186</v>
      </c>
      <c r="Q199" s="22">
        <v>3.742997748480148E-2</v>
      </c>
      <c r="R199" s="19">
        <f t="shared" si="21"/>
        <v>3.4700459097107395E-2</v>
      </c>
      <c r="S199" s="22">
        <v>3.7432532811671138E-2</v>
      </c>
      <c r="T199" s="19">
        <f t="shared" si="22"/>
        <v>3.4786347701845521E-2</v>
      </c>
      <c r="U199" s="24">
        <v>4.1772464621478989E-2</v>
      </c>
      <c r="V199" s="24">
        <f t="shared" si="23"/>
        <v>3.9114914515123944E-2</v>
      </c>
      <c r="W199" s="23">
        <f t="shared" si="24"/>
        <v>3.2181511145439323E-3</v>
      </c>
      <c r="X199" s="24">
        <v>4.0902446761187372E-2</v>
      </c>
      <c r="Y199" s="24">
        <f t="shared" si="25"/>
        <v>3.8246118556743536E-2</v>
      </c>
      <c r="Z199" s="23">
        <f t="shared" si="26"/>
        <v>3.1481980559699974E-3</v>
      </c>
      <c r="AA199" s="36"/>
    </row>
    <row r="200" spans="15:27" ht="17.100000000000001" customHeight="1" x14ac:dyDescent="0.3">
      <c r="O200" s="12">
        <f t="shared" si="20"/>
        <v>15.583333333333334</v>
      </c>
      <c r="P200" s="13">
        <v>187</v>
      </c>
      <c r="Q200" s="22">
        <v>3.7415361997206409E-2</v>
      </c>
      <c r="R200" s="19">
        <f t="shared" si="21"/>
        <v>3.4513148795636273E-2</v>
      </c>
      <c r="S200" s="22">
        <v>3.7418364108001922E-2</v>
      </c>
      <c r="T200" s="19">
        <f t="shared" si="22"/>
        <v>3.4600347658126029E-2</v>
      </c>
      <c r="U200" s="24">
        <v>4.1758235063191762E-2</v>
      </c>
      <c r="V200" s="24">
        <f t="shared" si="23"/>
        <v>3.8926321737104974E-2</v>
      </c>
      <c r="W200" s="23">
        <f t="shared" si="24"/>
        <v>3.2025595273059704E-3</v>
      </c>
      <c r="X200" s="24">
        <v>4.0888223738645868E-2</v>
      </c>
      <c r="Y200" s="24">
        <f t="shared" si="25"/>
        <v>3.805802919926915E-2</v>
      </c>
      <c r="Z200" s="23">
        <f t="shared" si="26"/>
        <v>3.1326352346763287E-3</v>
      </c>
      <c r="AA200" s="36"/>
    </row>
    <row r="201" spans="15:27" ht="17.100000000000001" customHeight="1" x14ac:dyDescent="0.3">
      <c r="O201" s="12">
        <f t="shared" si="20"/>
        <v>15.666666666666666</v>
      </c>
      <c r="P201" s="13">
        <v>188</v>
      </c>
      <c r="Q201" s="22">
        <v>3.7399903174510696E-2</v>
      </c>
      <c r="R201" s="19">
        <f t="shared" si="21"/>
        <v>3.4331216606956927E-2</v>
      </c>
      <c r="S201" s="22">
        <v>3.7403354371965403E-2</v>
      </c>
      <c r="T201" s="19">
        <f t="shared" si="22"/>
        <v>3.441950106171876E-2</v>
      </c>
      <c r="U201" s="24">
        <v>4.1743151292342295E-2</v>
      </c>
      <c r="V201" s="24">
        <f t="shared" si="23"/>
        <v>3.8742934250724392E-2</v>
      </c>
      <c r="W201" s="23">
        <f t="shared" si="24"/>
        <v>3.1873853555939302E-3</v>
      </c>
      <c r="X201" s="24">
        <v>4.0873149117996332E-2</v>
      </c>
      <c r="Y201" s="24">
        <f t="shared" si="25"/>
        <v>3.78751402020987E-2</v>
      </c>
      <c r="Z201" s="23">
        <f t="shared" si="26"/>
        <v>3.1174899624701879E-3</v>
      </c>
      <c r="AA201" s="36"/>
    </row>
    <row r="202" spans="15:27" ht="17.100000000000001" customHeight="1" x14ac:dyDescent="0.3">
      <c r="O202" s="12">
        <f t="shared" si="20"/>
        <v>15.75</v>
      </c>
      <c r="P202" s="13">
        <v>189</v>
      </c>
      <c r="Q202" s="22">
        <v>3.7383642803477057E-2</v>
      </c>
      <c r="R202" s="19">
        <f t="shared" si="21"/>
        <v>3.4154655716074789E-2</v>
      </c>
      <c r="S202" s="22">
        <v>3.7387544160473629E-2</v>
      </c>
      <c r="T202" s="19">
        <f t="shared" si="22"/>
        <v>3.4243781201513723E-2</v>
      </c>
      <c r="U202" s="24">
        <v>4.1727254346639819E-2</v>
      </c>
      <c r="V202" s="24">
        <f t="shared" si="23"/>
        <v>3.8564736520491971E-2</v>
      </c>
      <c r="W202" s="23">
        <f t="shared" si="24"/>
        <v>3.1726275799663917E-3</v>
      </c>
      <c r="X202" s="24">
        <v>4.0857263870002214E-2</v>
      </c>
      <c r="Y202" s="24">
        <f t="shared" si="25"/>
        <v>3.7697433596657115E-2</v>
      </c>
      <c r="Z202" s="23">
        <f t="shared" si="26"/>
        <v>3.1027610196765476E-3</v>
      </c>
      <c r="AA202" s="36"/>
    </row>
    <row r="203" spans="15:27" ht="17.100000000000001" customHeight="1" x14ac:dyDescent="0.3">
      <c r="O203" s="12">
        <f t="shared" si="20"/>
        <v>15.833333333333334</v>
      </c>
      <c r="P203" s="13">
        <v>190</v>
      </c>
      <c r="Q203" s="22">
        <v>3.7366621770200448E-2</v>
      </c>
      <c r="R203" s="19">
        <f t="shared" si="21"/>
        <v>3.39834589913528E-2</v>
      </c>
      <c r="S203" s="22">
        <v>3.737097305003334E-2</v>
      </c>
      <c r="T203" s="19">
        <f t="shared" si="22"/>
        <v>3.4073161281125364E-2</v>
      </c>
      <c r="U203" s="24">
        <v>4.1710584332579126E-2</v>
      </c>
      <c r="V203" s="24">
        <f t="shared" si="23"/>
        <v>3.8391712758519825E-2</v>
      </c>
      <c r="W203" s="23">
        <f t="shared" si="24"/>
        <v>3.1582851524802891E-3</v>
      </c>
      <c r="X203" s="24">
        <v>4.0840608022727709E-2</v>
      </c>
      <c r="Y203" s="24">
        <f t="shared" si="25"/>
        <v>3.7524891199472998E-2</v>
      </c>
      <c r="Z203" s="23">
        <f t="shared" si="26"/>
        <v>3.088447160983776E-3</v>
      </c>
      <c r="AA203" s="36"/>
    </row>
    <row r="204" spans="15:27" ht="17.100000000000001" customHeight="1" x14ac:dyDescent="0.3">
      <c r="O204" s="12">
        <f t="shared" si="20"/>
        <v>15.916666666666666</v>
      </c>
      <c r="P204" s="13">
        <v>191</v>
      </c>
      <c r="Q204" s="22">
        <v>3.7348880081311764E-2</v>
      </c>
      <c r="R204" s="19">
        <f t="shared" si="21"/>
        <v>3.3817619013432498E-2</v>
      </c>
      <c r="S204" s="22">
        <v>3.735367966123837E-2</v>
      </c>
      <c r="T204" s="19">
        <f t="shared" si="22"/>
        <v>3.3907614442367118E-2</v>
      </c>
      <c r="U204" s="24">
        <v>4.1693180447788691E-2</v>
      </c>
      <c r="V204" s="24">
        <f t="shared" si="23"/>
        <v>3.8223846948457485E-2</v>
      </c>
      <c r="W204" s="23">
        <f t="shared" si="24"/>
        <v>3.1443569984690445E-3</v>
      </c>
      <c r="X204" s="24">
        <v>4.0823220684377493E-2</v>
      </c>
      <c r="Y204" s="24">
        <f t="shared" si="25"/>
        <v>3.7357494635281485E-2</v>
      </c>
      <c r="Z204" s="23">
        <f t="shared" si="26"/>
        <v>3.0745471172457517E-3</v>
      </c>
      <c r="AA204" s="36"/>
    </row>
    <row r="205" spans="15:27" ht="17.100000000000001" customHeight="1" x14ac:dyDescent="0.3">
      <c r="O205" s="12">
        <f t="shared" si="20"/>
        <v>16</v>
      </c>
      <c r="P205" s="13">
        <v>192</v>
      </c>
      <c r="Q205" s="22">
        <v>3.7330456884687502E-2</v>
      </c>
      <c r="R205" s="19">
        <f t="shared" si="21"/>
        <v>3.3657112512993859E-2</v>
      </c>
      <c r="S205" s="22">
        <v>3.733570168264011E-2</v>
      </c>
      <c r="T205" s="19">
        <f t="shared" si="22"/>
        <v>3.3747113783946237E-2</v>
      </c>
      <c r="U205" s="24">
        <v>4.16750810028228E-2</v>
      </c>
      <c r="V205" s="24">
        <f t="shared" si="23"/>
        <v>3.8061122866110075E-2</v>
      </c>
      <c r="W205" s="23">
        <f t="shared" si="24"/>
        <v>3.1308420185038877E-3</v>
      </c>
      <c r="X205" s="24">
        <v>4.080514006556113E-2</v>
      </c>
      <c r="Y205" s="24">
        <f t="shared" si="25"/>
        <v>3.7195225359348827E-2</v>
      </c>
      <c r="Z205" s="23">
        <f t="shared" si="26"/>
        <v>3.0610595973874499E-3</v>
      </c>
      <c r="AA205" s="36"/>
    </row>
    <row r="206" spans="15:27" ht="17.100000000000001" customHeight="1" x14ac:dyDescent="0.3">
      <c r="O206" s="12">
        <f t="shared" ref="O206:O269" si="27">P206/12</f>
        <v>16.083333333333332</v>
      </c>
      <c r="P206" s="13">
        <v>193</v>
      </c>
      <c r="Q206" s="22">
        <v>3.7311390408610867E-2</v>
      </c>
      <c r="R206" s="19">
        <f t="shared" ref="R206:R269" si="28">(1+Q207)^P207/(1+Q206)^P206-1</f>
        <v>3.3501869254290995E-2</v>
      </c>
      <c r="S206" s="22">
        <v>3.7317075893994467E-2</v>
      </c>
      <c r="T206" s="19">
        <f t="shared" ref="T206:T269" si="29">(1+S207)^P207/(1+S206)^P206-1</f>
        <v>3.3591632385093773E-2</v>
      </c>
      <c r="U206" s="24">
        <v>4.1656323442400778E-2</v>
      </c>
      <c r="V206" s="24">
        <f t="shared" ref="V206:V269" si="30">(1+U207)^P207/(1+U206)^P206-1</f>
        <v>3.7903524101891017E-2</v>
      </c>
      <c r="W206" s="23">
        <f t="shared" si="24"/>
        <v>3.1177390900871682E-3</v>
      </c>
      <c r="X206" s="24">
        <v>4.0786403501001267E-2</v>
      </c>
      <c r="Y206" s="24">
        <f t="shared" si="25"/>
        <v>3.7038064676752747E-2</v>
      </c>
      <c r="Z206" s="23">
        <f t="shared" si="26"/>
        <v>3.0479832902494675E-3</v>
      </c>
      <c r="AA206" s="36"/>
    </row>
    <row r="207" spans="15:27" ht="17.100000000000001" customHeight="1" x14ac:dyDescent="0.3">
      <c r="O207" s="12">
        <f t="shared" si="27"/>
        <v>16.166666666666668</v>
      </c>
      <c r="P207" s="13">
        <v>194</v>
      </c>
      <c r="Q207" s="22">
        <v>3.7291717741796848E-2</v>
      </c>
      <c r="R207" s="19">
        <f t="shared" si="28"/>
        <v>3.3351865556783933E-2</v>
      </c>
      <c r="S207" s="22">
        <v>3.7297838188932841E-2</v>
      </c>
      <c r="T207" s="19">
        <f t="shared" si="29"/>
        <v>3.344114332299708E-2</v>
      </c>
      <c r="U207" s="24">
        <v>4.1636944366123529E-2</v>
      </c>
      <c r="V207" s="24">
        <f t="shared" si="30"/>
        <v>3.7751034083623569E-2</v>
      </c>
      <c r="W207" s="23">
        <f t="shared" ref="W207:W270" si="31">(1+V206)^(1/12)-1</f>
        <v>3.1050470694999888E-3</v>
      </c>
      <c r="X207" s="24">
        <v>4.076704747068649E-2</v>
      </c>
      <c r="Y207" s="24">
        <f t="shared" ref="Y207:Y270" si="32">(1+X208)^P208/(1+X207)^P207-1</f>
        <v>3.6885993767194813E-2</v>
      </c>
      <c r="Z207" s="23">
        <f t="shared" ref="Z207:Z270" si="33">(1+Y206)^(1/12)-1</f>
        <v>3.0353168661900742E-3</v>
      </c>
      <c r="AA207" s="36"/>
    </row>
    <row r="208" spans="15:27" ht="17.100000000000001" customHeight="1" x14ac:dyDescent="0.3">
      <c r="O208" s="12">
        <f t="shared" si="27"/>
        <v>16.25</v>
      </c>
      <c r="P208" s="13">
        <v>195</v>
      </c>
      <c r="Q208" s="22">
        <v>3.7271475101475549E-2</v>
      </c>
      <c r="R208" s="19">
        <f t="shared" si="28"/>
        <v>3.320709312837522E-2</v>
      </c>
      <c r="S208" s="22">
        <v>3.7278023597044019E-2</v>
      </c>
      <c r="T208" s="19">
        <f t="shared" si="29"/>
        <v>3.3295619694024836E-2</v>
      </c>
      <c r="U208" s="24">
        <v>4.1616979548685595E-2</v>
      </c>
      <c r="V208" s="24">
        <f t="shared" si="30"/>
        <v>3.7603636095428827E-2</v>
      </c>
      <c r="W208" s="23">
        <f t="shared" si="31"/>
        <v>3.0927647936784819E-3</v>
      </c>
      <c r="X208" s="24">
        <v>4.0747107620519252E-2</v>
      </c>
      <c r="Y208" s="24">
        <f t="shared" si="32"/>
        <v>3.673899370432121E-2</v>
      </c>
      <c r="Z208" s="23">
        <f t="shared" si="33"/>
        <v>3.0230589791366835E-3</v>
      </c>
      <c r="AA208" s="36"/>
    </row>
    <row r="209" spans="15:27" ht="17.100000000000001" customHeight="1" x14ac:dyDescent="0.3">
      <c r="O209" s="12">
        <f t="shared" si="27"/>
        <v>16.333333333333332</v>
      </c>
      <c r="P209" s="13">
        <v>196</v>
      </c>
      <c r="Q209" s="22">
        <v>3.7250697933804311E-2</v>
      </c>
      <c r="R209" s="19">
        <f t="shared" si="28"/>
        <v>3.3067543502999452E-2</v>
      </c>
      <c r="S209" s="22">
        <v>3.7257666305409609E-2</v>
      </c>
      <c r="T209" s="19">
        <f t="shared" si="29"/>
        <v>3.3155034634662517E-2</v>
      </c>
      <c r="U209" s="24">
        <v>4.1596463959581609E-2</v>
      </c>
      <c r="V209" s="24">
        <f t="shared" si="30"/>
        <v>3.7461313301398125E-2</v>
      </c>
      <c r="W209" s="23">
        <f t="shared" si="31"/>
        <v>3.0808910817781143E-3</v>
      </c>
      <c r="X209" s="24">
        <v>4.0726618782447321E-2</v>
      </c>
      <c r="Y209" s="24">
        <f t="shared" si="32"/>
        <v>3.6597045476048029E-2</v>
      </c>
      <c r="Z209" s="23">
        <f t="shared" si="33"/>
        <v>3.0112082681963415E-3</v>
      </c>
      <c r="AA209" s="36"/>
    </row>
    <row r="210" spans="15:27" ht="17.100000000000001" customHeight="1" x14ac:dyDescent="0.3">
      <c r="O210" s="12">
        <f t="shared" si="27"/>
        <v>16.416666666666668</v>
      </c>
      <c r="P210" s="13">
        <v>197</v>
      </c>
      <c r="Q210" s="22">
        <v>3.7229420931967905E-2</v>
      </c>
      <c r="R210" s="19">
        <f t="shared" si="28"/>
        <v>3.2933208065148545E-2</v>
      </c>
      <c r="S210" s="22">
        <v>3.7236799679607246E-2</v>
      </c>
      <c r="T210" s="19">
        <f t="shared" si="29"/>
        <v>3.3019361338109565E-2</v>
      </c>
      <c r="U210" s="24">
        <v>4.1575431782349126E-2</v>
      </c>
      <c r="V210" s="24">
        <f t="shared" si="30"/>
        <v>3.7324048766092188E-2</v>
      </c>
      <c r="W210" s="23">
        <f t="shared" si="31"/>
        <v>3.069424737125459E-3</v>
      </c>
      <c r="X210" s="24">
        <v>4.070561499410208E-2</v>
      </c>
      <c r="Y210" s="24">
        <f t="shared" si="32"/>
        <v>3.6460130007947011E-2</v>
      </c>
      <c r="Z210" s="23">
        <f t="shared" si="33"/>
        <v>2.999763359348151E-3</v>
      </c>
      <c r="AA210" s="36"/>
    </row>
    <row r="211" spans="15:27" ht="17.100000000000001" customHeight="1" x14ac:dyDescent="0.3">
      <c r="O211" s="12">
        <f t="shared" si="27"/>
        <v>16.5</v>
      </c>
      <c r="P211" s="13">
        <v>198</v>
      </c>
      <c r="Q211" s="22">
        <v>3.7207678053868154E-2</v>
      </c>
      <c r="R211" s="19">
        <f t="shared" si="28"/>
        <v>3.2804062765117603E-2</v>
      </c>
      <c r="S211" s="22">
        <v>3.7215456284179993E-2</v>
      </c>
      <c r="T211" s="19">
        <f t="shared" si="29"/>
        <v>3.2888573075788408E-2</v>
      </c>
      <c r="U211" s="24">
        <v>4.1553916433346938E-2</v>
      </c>
      <c r="V211" s="24">
        <f t="shared" si="30"/>
        <v>3.7191825473527063E-2</v>
      </c>
      <c r="W211" s="23">
        <f t="shared" si="31"/>
        <v>3.0583645489170586E-3</v>
      </c>
      <c r="X211" s="24">
        <v>4.0684129517975176E-2</v>
      </c>
      <c r="Y211" s="24">
        <f t="shared" si="32"/>
        <v>3.6328228180789068E-2</v>
      </c>
      <c r="Z211" s="23">
        <f t="shared" si="33"/>
        <v>2.9887228673861621E-3</v>
      </c>
      <c r="AA211" s="36"/>
    </row>
    <row r="212" spans="15:27" ht="17.100000000000001" customHeight="1" x14ac:dyDescent="0.3">
      <c r="O212" s="12">
        <f t="shared" si="27"/>
        <v>16.583333333333332</v>
      </c>
      <c r="P212" s="13">
        <v>199</v>
      </c>
      <c r="Q212" s="22">
        <v>3.7185502462158793E-2</v>
      </c>
      <c r="R212" s="19">
        <f t="shared" si="28"/>
        <v>3.2680037564829068E-2</v>
      </c>
      <c r="S212" s="22">
        <v>3.7193667902615246E-2</v>
      </c>
      <c r="T212" s="19">
        <f t="shared" si="29"/>
        <v>3.276264321340272E-2</v>
      </c>
      <c r="U212" s="24">
        <v>4.1531950580078192E-2</v>
      </c>
      <c r="V212" s="24">
        <f t="shared" si="30"/>
        <v>3.7064626349578411E-2</v>
      </c>
      <c r="W212" s="23">
        <f t="shared" si="31"/>
        <v>3.0477092937974959E-3</v>
      </c>
      <c r="X212" s="24">
        <v>4.066219486012268E-2</v>
      </c>
      <c r="Y212" s="24">
        <f t="shared" si="32"/>
        <v>3.6201320851812602E-2</v>
      </c>
      <c r="Z212" s="23">
        <f t="shared" si="33"/>
        <v>2.9780853973917498E-3</v>
      </c>
      <c r="AA212" s="36"/>
    </row>
    <row r="213" spans="15:27" ht="17.100000000000001" customHeight="1" x14ac:dyDescent="0.3">
      <c r="O213" s="12">
        <f t="shared" si="27"/>
        <v>16.666666666666668</v>
      </c>
      <c r="P213" s="13">
        <v>200</v>
      </c>
      <c r="Q213" s="22">
        <v>3.7162926312621858E-2</v>
      </c>
      <c r="R213" s="19">
        <f t="shared" si="28"/>
        <v>3.2561108288614138E-2</v>
      </c>
      <c r="S213" s="22">
        <v>3.7171465556820049E-2</v>
      </c>
      <c r="T213" s="19">
        <f t="shared" si="29"/>
        <v>3.2641545231678171E-2</v>
      </c>
      <c r="U213" s="24">
        <v>4.1509566159090516E-2</v>
      </c>
      <c r="V213" s="24">
        <f t="shared" si="30"/>
        <v>3.6942434283116388E-2</v>
      </c>
      <c r="W213" s="23">
        <f t="shared" si="31"/>
        <v>3.0374577377154655E-3</v>
      </c>
      <c r="X213" s="24">
        <v>4.0639842788428249E-2</v>
      </c>
      <c r="Y213" s="24">
        <f t="shared" si="32"/>
        <v>3.6079388876238738E-2</v>
      </c>
      <c r="Z213" s="23">
        <f t="shared" si="33"/>
        <v>2.9678495465079724E-3</v>
      </c>
      <c r="AA213" s="36"/>
    </row>
    <row r="214" spans="15:27" ht="17.100000000000001" customHeight="1" x14ac:dyDescent="0.3">
      <c r="O214" s="12">
        <f t="shared" si="27"/>
        <v>16.75</v>
      </c>
      <c r="P214" s="13">
        <v>201</v>
      </c>
      <c r="Q214" s="22">
        <v>3.7139981007770606E-2</v>
      </c>
      <c r="R214" s="19">
        <f t="shared" si="28"/>
        <v>3.2447266004030251E-2</v>
      </c>
      <c r="S214" s="22">
        <v>3.7148879526136769E-2</v>
      </c>
      <c r="T214" s="19">
        <f t="shared" si="29"/>
        <v>3.25252527429154E-2</v>
      </c>
      <c r="U214" s="24">
        <v>4.1486794393461146E-2</v>
      </c>
      <c r="V214" s="24">
        <f t="shared" si="30"/>
        <v>3.6825232143071318E-2</v>
      </c>
      <c r="W214" s="23">
        <f t="shared" si="31"/>
        <v>3.0276086376790357E-3</v>
      </c>
      <c r="X214" s="24">
        <v>4.0617104350443523E-2</v>
      </c>
      <c r="Y214" s="24">
        <f t="shared" si="32"/>
        <v>3.5962413124295045E-2</v>
      </c>
      <c r="Z214" s="23">
        <f t="shared" si="33"/>
        <v>2.9580139057363564E-3</v>
      </c>
      <c r="AA214" s="36"/>
    </row>
    <row r="215" spans="15:27" ht="17.100000000000001" customHeight="1" x14ac:dyDescent="0.3">
      <c r="O215" s="12">
        <f t="shared" si="27"/>
        <v>16.833333333333332</v>
      </c>
      <c r="P215" s="13">
        <v>202</v>
      </c>
      <c r="Q215" s="22">
        <v>3.71166972907786E-2</v>
      </c>
      <c r="R215" s="19">
        <f t="shared" si="28"/>
        <v>3.2338501736334901E-2</v>
      </c>
      <c r="S215" s="22">
        <v>3.7125939365890703E-2</v>
      </c>
      <c r="T215" s="19">
        <f t="shared" si="29"/>
        <v>3.2413739507200834E-2</v>
      </c>
      <c r="U215" s="24">
        <v>4.1463665809861716E-2</v>
      </c>
      <c r="V215" s="24">
        <f t="shared" si="30"/>
        <v>3.6713002800228933E-2</v>
      </c>
      <c r="W215" s="23">
        <f t="shared" si="31"/>
        <v>3.0181607431833957E-3</v>
      </c>
      <c r="X215" s="24">
        <v>4.0594009890797533E-2</v>
      </c>
      <c r="Y215" s="24">
        <f t="shared" si="32"/>
        <v>3.585037450161721E-2</v>
      </c>
      <c r="Z215" s="23">
        <f t="shared" si="33"/>
        <v>2.9485770613708606E-3</v>
      </c>
      <c r="AA215" s="36"/>
    </row>
    <row r="216" spans="15:27" ht="17.100000000000001" customHeight="1" x14ac:dyDescent="0.3">
      <c r="O216" s="12">
        <f t="shared" si="27"/>
        <v>16.916666666666668</v>
      </c>
      <c r="P216" s="13">
        <v>203</v>
      </c>
      <c r="Q216" s="22">
        <v>3.7093105261030823E-2</v>
      </c>
      <c r="R216" s="19">
        <f t="shared" si="28"/>
        <v>3.2234806487725809E-2</v>
      </c>
      <c r="S216" s="22">
        <v>3.7102673925485385E-2</v>
      </c>
      <c r="T216" s="19">
        <f t="shared" si="29"/>
        <v>3.2306979452829232E-2</v>
      </c>
      <c r="U216" s="24">
        <v>4.1440210255238252E-2</v>
      </c>
      <c r="V216" s="24">
        <f t="shared" si="30"/>
        <v>3.6605729147127342E-2</v>
      </c>
      <c r="W216" s="23">
        <f t="shared" si="31"/>
        <v>3.0091127980231835E-3</v>
      </c>
      <c r="X216" s="24">
        <v>4.0570589068205987E-2</v>
      </c>
      <c r="Y216" s="24">
        <f t="shared" si="32"/>
        <v>3.5743253969541255E-2</v>
      </c>
      <c r="Z216" s="23">
        <f t="shared" si="33"/>
        <v>2.9395375967060655E-3</v>
      </c>
      <c r="AA216" s="36"/>
    </row>
    <row r="217" spans="15:27" ht="17.100000000000001" customHeight="1" x14ac:dyDescent="0.3">
      <c r="O217" s="12">
        <f t="shared" si="27"/>
        <v>17</v>
      </c>
      <c r="P217" s="13">
        <v>204</v>
      </c>
      <c r="Q217" s="22">
        <v>3.7069234389323746E-2</v>
      </c>
      <c r="R217" s="19">
        <f t="shared" si="28"/>
        <v>3.2136156233101509E-2</v>
      </c>
      <c r="S217" s="22">
        <v>3.7079111366081108E-2</v>
      </c>
      <c r="T217" s="19">
        <f t="shared" si="29"/>
        <v>3.2204946690349789E-2</v>
      </c>
      <c r="U217" s="24">
        <v>4.141645691311302E-2</v>
      </c>
      <c r="V217" s="24">
        <f t="shared" si="30"/>
        <v>3.650339411647785E-2</v>
      </c>
      <c r="W217" s="23">
        <f t="shared" si="31"/>
        <v>3.0004635419500492E-3</v>
      </c>
      <c r="X217" s="24">
        <v>4.0546870872093299E-2</v>
      </c>
      <c r="Y217" s="24">
        <f t="shared" si="32"/>
        <v>3.5641032563183961E-2</v>
      </c>
      <c r="Z217" s="23">
        <f t="shared" si="33"/>
        <v>2.9308940937382566E-3</v>
      </c>
      <c r="AA217" s="36"/>
    </row>
    <row r="218" spans="15:27" ht="17.100000000000001" customHeight="1" x14ac:dyDescent="0.3">
      <c r="O218" s="12">
        <f t="shared" si="27"/>
        <v>17.083333333333332</v>
      </c>
      <c r="P218" s="13">
        <v>205</v>
      </c>
      <c r="Q218" s="22">
        <v>3.7045113459091228E-2</v>
      </c>
      <c r="R218" s="19">
        <f t="shared" si="28"/>
        <v>3.204248190945469E-2</v>
      </c>
      <c r="S218" s="22">
        <v>3.7055279177838241E-2</v>
      </c>
      <c r="T218" s="19">
        <f t="shared" si="29"/>
        <v>3.2107615529488376E-2</v>
      </c>
      <c r="U218" s="24">
        <v>4.1392434319510452E-2</v>
      </c>
      <c r="V218" s="24">
        <f t="shared" si="30"/>
        <v>3.6405980700646712E-2</v>
      </c>
      <c r="W218" s="23">
        <f t="shared" si="31"/>
        <v>2.9922117122158642E-3</v>
      </c>
      <c r="X218" s="24">
        <v>4.0522883638829388E-2</v>
      </c>
      <c r="Y218" s="24">
        <f t="shared" si="32"/>
        <v>3.5543691409292366E-2</v>
      </c>
      <c r="Z218" s="23">
        <f t="shared" si="33"/>
        <v>2.9226451346875404E-3</v>
      </c>
      <c r="AA218" s="36"/>
    </row>
    <row r="219" spans="15:27" ht="17.100000000000001" customHeight="1" x14ac:dyDescent="0.3">
      <c r="O219" s="12">
        <f t="shared" si="27"/>
        <v>17.166666666666668</v>
      </c>
      <c r="P219" s="13">
        <v>206</v>
      </c>
      <c r="Q219" s="22">
        <v>3.7020770362943489E-2</v>
      </c>
      <c r="R219" s="19">
        <f t="shared" si="28"/>
        <v>3.1953759621545119E-2</v>
      </c>
      <c r="S219" s="22">
        <v>3.7031204196755763E-2</v>
      </c>
      <c r="T219" s="19">
        <f t="shared" si="29"/>
        <v>3.2014960497604994E-2</v>
      </c>
      <c r="U219" s="24">
        <v>4.1368170378526692E-2</v>
      </c>
      <c r="V219" s="24">
        <f t="shared" si="30"/>
        <v>3.6313471970921052E-2</v>
      </c>
      <c r="W219" s="23">
        <f t="shared" si="31"/>
        <v>2.9843560451978668E-3</v>
      </c>
      <c r="X219" s="24">
        <v>4.0498655067592981E-2</v>
      </c>
      <c r="Y219" s="24">
        <f t="shared" si="32"/>
        <v>3.545121174541932E-2</v>
      </c>
      <c r="Z219" s="23">
        <f t="shared" si="33"/>
        <v>2.9147893035028627E-3</v>
      </c>
      <c r="AA219" s="36"/>
    </row>
    <row r="220" spans="15:27" ht="17.100000000000001" customHeight="1" x14ac:dyDescent="0.3">
      <c r="O220" s="12">
        <f t="shared" si="27"/>
        <v>17.25</v>
      </c>
      <c r="P220" s="13">
        <v>207</v>
      </c>
      <c r="Q220" s="22">
        <v>3.6996232342960678E-2</v>
      </c>
      <c r="R220" s="19">
        <f t="shared" si="28"/>
        <v>3.186998056157142E-2</v>
      </c>
      <c r="S220" s="22">
        <v>3.7006912621123655E-2</v>
      </c>
      <c r="T220" s="19">
        <f t="shared" si="29"/>
        <v>3.1926956352262836E-2</v>
      </c>
      <c r="U220" s="24">
        <v>4.1343692377552976E-2</v>
      </c>
      <c r="V220" s="24">
        <f t="shared" si="30"/>
        <v>3.6225851095184503E-2</v>
      </c>
      <c r="W220" s="23">
        <f t="shared" si="31"/>
        <v>2.976895278010927E-3</v>
      </c>
      <c r="X220" s="24">
        <v>4.0474212235880769E-2</v>
      </c>
      <c r="Y220" s="24">
        <f t="shared" si="32"/>
        <v>3.5363574939180076E-2</v>
      </c>
      <c r="Z220" s="23">
        <f t="shared" si="33"/>
        <v>2.9073251874727202E-3</v>
      </c>
      <c r="AA220" s="36"/>
    </row>
    <row r="221" spans="15:27" ht="17.100000000000001" customHeight="1" x14ac:dyDescent="0.3">
      <c r="O221" s="12">
        <f t="shared" si="27"/>
        <v>17.333333333333332</v>
      </c>
      <c r="P221" s="13">
        <v>208</v>
      </c>
      <c r="Q221" s="22">
        <v>3.6971526078803718E-2</v>
      </c>
      <c r="R221" s="19">
        <f t="shared" si="28"/>
        <v>3.1791135999141185E-2</v>
      </c>
      <c r="S221" s="22">
        <v>3.6982430027574509E-2</v>
      </c>
      <c r="T221" s="19">
        <f t="shared" si="29"/>
        <v>3.1843578099001846E-2</v>
      </c>
      <c r="U221" s="24">
        <v>4.1319027002156616E-2</v>
      </c>
      <c r="V221" s="24">
        <f t="shared" si="30"/>
        <v>3.6143101358116381E-2</v>
      </c>
      <c r="W221" s="23">
        <f t="shared" si="31"/>
        <v>2.9698281499901391E-3</v>
      </c>
      <c r="X221" s="24">
        <v>4.0449581614672603E-2</v>
      </c>
      <c r="Y221" s="24">
        <f t="shared" si="32"/>
        <v>3.5280762503279606E-2</v>
      </c>
      <c r="Z221" s="23">
        <f t="shared" si="33"/>
        <v>2.9002513788451978E-3</v>
      </c>
      <c r="AA221" s="36"/>
    </row>
    <row r="222" spans="15:27" ht="17.100000000000001" customHeight="1" x14ac:dyDescent="0.3">
      <c r="O222" s="12">
        <f t="shared" si="27"/>
        <v>17.416666666666668</v>
      </c>
      <c r="P222" s="13">
        <v>209</v>
      </c>
      <c r="Q222" s="22">
        <v>3.6946677701148012E-2</v>
      </c>
      <c r="R222" s="19">
        <f t="shared" si="28"/>
        <v>3.1717217298487199E-2</v>
      </c>
      <c r="S222" s="22">
        <v>3.6957781386771638E-2</v>
      </c>
      <c r="T222" s="19">
        <f t="shared" si="29"/>
        <v>3.176480100684298E-2</v>
      </c>
      <c r="U222" s="24">
        <v>4.1294200350642019E-2</v>
      </c>
      <c r="V222" s="24">
        <f t="shared" si="30"/>
        <v>3.6065206177993137E-2</v>
      </c>
      <c r="W222" s="23">
        <f t="shared" si="31"/>
        <v>2.963153404377028E-3</v>
      </c>
      <c r="X222" s="24">
        <v>4.0424789083245871E-2</v>
      </c>
      <c r="Y222" s="24">
        <f t="shared" si="32"/>
        <v>3.5202756117015399E-2</v>
      </c>
      <c r="Z222" s="23">
        <f t="shared" si="33"/>
        <v>2.8935664761051694E-3</v>
      </c>
      <c r="AA222" s="36"/>
    </row>
    <row r="223" spans="15:27" ht="17.100000000000001" customHeight="1" x14ac:dyDescent="0.3">
      <c r="O223" s="12">
        <f t="shared" si="27"/>
        <v>17.5</v>
      </c>
      <c r="P223" s="13">
        <v>210</v>
      </c>
      <c r="Q223" s="22">
        <v>3.6921712804824258E-2</v>
      </c>
      <c r="R223" s="19">
        <f t="shared" si="28"/>
        <v>3.1648201183515745E-2</v>
      </c>
      <c r="S223" s="22">
        <v>3.6932991078736377E-2</v>
      </c>
      <c r="T223" s="19">
        <f t="shared" si="29"/>
        <v>3.1690600621324894E-2</v>
      </c>
      <c r="U223" s="24">
        <v>4.1269237948287518E-2</v>
      </c>
      <c r="V223" s="24">
        <f t="shared" si="30"/>
        <v>3.5992149124564721E-2</v>
      </c>
      <c r="W223" s="23">
        <f t="shared" si="31"/>
        <v>2.9568697897333074E-3</v>
      </c>
      <c r="X223" s="24">
        <v>4.039985994367945E-2</v>
      </c>
      <c r="Y223" s="24">
        <f t="shared" si="32"/>
        <v>3.5129537639939645E-2</v>
      </c>
      <c r="Z223" s="23">
        <f t="shared" si="33"/>
        <v>2.8872690857739691E-3</v>
      </c>
      <c r="AA223" s="36"/>
    </row>
    <row r="224" spans="15:27" ht="17.100000000000001" customHeight="1" x14ac:dyDescent="0.3">
      <c r="O224" s="12">
        <f t="shared" si="27"/>
        <v>17.583333333333332</v>
      </c>
      <c r="P224" s="13">
        <v>211</v>
      </c>
      <c r="Q224" s="22">
        <v>3.6896656391405935E-2</v>
      </c>
      <c r="R224" s="19">
        <f t="shared" si="28"/>
        <v>3.15840202759885E-2</v>
      </c>
      <c r="S224" s="22">
        <v>3.6908082907811002E-2</v>
      </c>
      <c r="T224" s="19">
        <f t="shared" si="29"/>
        <v>3.1620952781615363E-2</v>
      </c>
      <c r="U224" s="24">
        <v>4.1244164761271795E-2</v>
      </c>
      <c r="V224" s="24">
        <f t="shared" si="30"/>
        <v>3.5923913938697538E-2</v>
      </c>
      <c r="W224" s="23">
        <f t="shared" si="31"/>
        <v>2.9509760614399028E-3</v>
      </c>
      <c r="X224" s="24">
        <v>4.0374818935021706E-2</v>
      </c>
      <c r="Y224" s="24">
        <f t="shared" si="32"/>
        <v>3.5061089132123247E-2</v>
      </c>
      <c r="Z224" s="23">
        <f t="shared" si="33"/>
        <v>2.8813578235766801E-3</v>
      </c>
      <c r="AA224" s="36"/>
    </row>
    <row r="225" spans="15:27" ht="17.100000000000001" customHeight="1" x14ac:dyDescent="0.3">
      <c r="O225" s="12">
        <f t="shared" si="27"/>
        <v>17.666666666666668</v>
      </c>
      <c r="P225" s="13">
        <v>212</v>
      </c>
      <c r="Q225" s="22">
        <v>3.6871532673732998E-2</v>
      </c>
      <c r="R225" s="19">
        <f t="shared" si="28"/>
        <v>3.1524651660279623E-2</v>
      </c>
      <c r="S225" s="22">
        <v>3.6883080117292577E-2</v>
      </c>
      <c r="T225" s="19">
        <f t="shared" si="29"/>
        <v>3.1555833632693542E-2</v>
      </c>
      <c r="U225" s="24">
        <v>4.1219005210309856E-2</v>
      </c>
      <c r="V225" s="24">
        <f t="shared" si="30"/>
        <v>3.5860484547984406E-2</v>
      </c>
      <c r="W225" s="23">
        <f t="shared" si="31"/>
        <v>2.9454709833391934E-3</v>
      </c>
      <c r="X225" s="24">
        <v>4.0349690247162728E-2</v>
      </c>
      <c r="Y225" s="24">
        <f t="shared" si="32"/>
        <v>3.4997392869315913E-2</v>
      </c>
      <c r="Z225" s="23">
        <f t="shared" si="33"/>
        <v>2.8758313161416638E-3</v>
      </c>
      <c r="AA225" s="36"/>
    </row>
    <row r="226" spans="15:27" ht="17.100000000000001" customHeight="1" x14ac:dyDescent="0.3">
      <c r="O226" s="12">
        <f t="shared" si="27"/>
        <v>17.75</v>
      </c>
      <c r="P226" s="13">
        <v>213</v>
      </c>
      <c r="Q226" s="22">
        <v>3.6846365303866868E-2</v>
      </c>
      <c r="R226" s="19">
        <f t="shared" si="28"/>
        <v>3.1470087349181997E-2</v>
      </c>
      <c r="S226" s="22">
        <v>3.6858005403720639E-2</v>
      </c>
      <c r="T226" s="19">
        <f t="shared" si="29"/>
        <v>3.1495219641164196E-2</v>
      </c>
      <c r="U226" s="24">
        <v>4.1193783183987254E-2</v>
      </c>
      <c r="V226" s="24">
        <f t="shared" si="30"/>
        <v>3.580184508516715E-2</v>
      </c>
      <c r="W226" s="23">
        <f t="shared" si="31"/>
        <v>2.940353329051737E-3</v>
      </c>
      <c r="X226" s="24">
        <v>4.0324497534397485E-2</v>
      </c>
      <c r="Y226" s="24">
        <f t="shared" si="32"/>
        <v>3.493843136019148E-2</v>
      </c>
      <c r="Z226" s="23">
        <f t="shared" si="33"/>
        <v>2.8706882022884184E-3</v>
      </c>
      <c r="AA226" s="36"/>
    </row>
    <row r="227" spans="15:27" ht="17.100000000000001" customHeight="1" x14ac:dyDescent="0.3">
      <c r="O227" s="12">
        <f t="shared" si="27"/>
        <v>17.833333333333332</v>
      </c>
      <c r="P227" s="13">
        <v>214</v>
      </c>
      <c r="Q227" s="22">
        <v>3.682117745597302E-2</v>
      </c>
      <c r="R227" s="19">
        <f t="shared" si="28"/>
        <v>3.1420319541204167E-2</v>
      </c>
      <c r="S227" s="22">
        <v>3.6832880930850465E-2</v>
      </c>
      <c r="T227" s="19">
        <f t="shared" si="29"/>
        <v>3.1439087609253402E-2</v>
      </c>
      <c r="U227" s="24">
        <v>4.1168522051816758E-2</v>
      </c>
      <c r="V227" s="24">
        <f t="shared" si="30"/>
        <v>3.5747979906061156E-2</v>
      </c>
      <c r="W227" s="23">
        <f t="shared" si="31"/>
        <v>2.9356218835190351E-3</v>
      </c>
      <c r="X227" s="24">
        <v>4.0299263928699203E-2</v>
      </c>
      <c r="Y227" s="24">
        <f t="shared" si="32"/>
        <v>3.4884187363707575E-2</v>
      </c>
      <c r="Z227" s="23">
        <f t="shared" si="33"/>
        <v>2.8659271344815274E-3</v>
      </c>
      <c r="AA227" s="36"/>
    </row>
    <row r="228" spans="15:27" ht="17.100000000000001" customHeight="1" x14ac:dyDescent="0.3">
      <c r="O228" s="12">
        <f t="shared" si="27"/>
        <v>17.916666666666668</v>
      </c>
      <c r="P228" s="13">
        <v>215</v>
      </c>
      <c r="Q228" s="22">
        <v>3.6795991837978548E-2</v>
      </c>
      <c r="R228" s="19">
        <f t="shared" si="28"/>
        <v>3.137534063569869E-2</v>
      </c>
      <c r="S228" s="22">
        <v>3.6807728343310586E-2</v>
      </c>
      <c r="T228" s="19">
        <f t="shared" si="29"/>
        <v>3.1387414685981385E-2</v>
      </c>
      <c r="U228" s="24">
        <v>4.1143244677022794E-2</v>
      </c>
      <c r="V228" s="24">
        <f t="shared" si="30"/>
        <v>3.5698873604137038E-2</v>
      </c>
      <c r="W228" s="23">
        <f t="shared" si="31"/>
        <v>2.9312754445063316E-3</v>
      </c>
      <c r="X228" s="24">
        <v>4.0274012052712083E-2</v>
      </c>
      <c r="Y228" s="24">
        <f t="shared" si="32"/>
        <v>3.4834643904087415E-2</v>
      </c>
      <c r="Z228" s="23">
        <f t="shared" si="33"/>
        <v>2.8615467802954875E-3</v>
      </c>
      <c r="AA228" s="36"/>
    </row>
    <row r="229" spans="15:27" ht="17.100000000000001" customHeight="1" x14ac:dyDescent="0.3">
      <c r="O229" s="12">
        <f t="shared" si="27"/>
        <v>18</v>
      </c>
      <c r="P229" s="13">
        <v>216</v>
      </c>
      <c r="Q229" s="22">
        <v>3.6770830702983259E-2</v>
      </c>
      <c r="R229" s="19">
        <f t="shared" si="28"/>
        <v>3.1335128767357112E-2</v>
      </c>
      <c r="S229" s="22">
        <v>3.678256877994257E-2</v>
      </c>
      <c r="T229" s="19">
        <f t="shared" si="29"/>
        <v>3.1340178384734907E-2</v>
      </c>
      <c r="U229" s="24">
        <v>4.1117973429047217E-2</v>
      </c>
      <c r="V229" s="24">
        <f t="shared" si="30"/>
        <v>3.565451103094408E-2</v>
      </c>
      <c r="W229" s="23">
        <f t="shared" si="31"/>
        <v>2.9273128238345159E-3</v>
      </c>
      <c r="X229" s="24">
        <v>4.0248764032462248E-2</v>
      </c>
      <c r="Y229" s="24">
        <f t="shared" si="32"/>
        <v>3.4789784288577374E-2</v>
      </c>
      <c r="Z229" s="23">
        <f t="shared" si="33"/>
        <v>2.8575458236843598E-3</v>
      </c>
      <c r="AA229" s="36"/>
    </row>
    <row r="230" spans="15:27" ht="17.100000000000001" customHeight="1" x14ac:dyDescent="0.3">
      <c r="O230" s="12">
        <f t="shared" si="27"/>
        <v>18.083333333333332</v>
      </c>
      <c r="P230" s="13">
        <v>217</v>
      </c>
      <c r="Q230" s="22">
        <v>3.6745715793351286E-2</v>
      </c>
      <c r="R230" s="19">
        <f t="shared" si="28"/>
        <v>3.129961887363919E-2</v>
      </c>
      <c r="S230" s="22">
        <v>3.6757422886862789E-2</v>
      </c>
      <c r="T230" s="19">
        <f t="shared" si="29"/>
        <v>3.1297356592021819E-2</v>
      </c>
      <c r="U230" s="24">
        <v>4.1092730195812166E-2</v>
      </c>
      <c r="V230" s="24">
        <f t="shared" si="30"/>
        <v>3.5614877309717574E-2</v>
      </c>
      <c r="W230" s="23">
        <f t="shared" si="31"/>
        <v>2.9237328490820946E-3</v>
      </c>
      <c r="X230" s="24">
        <v>4.0223541509807337E-2</v>
      </c>
      <c r="Y230" s="24">
        <f t="shared" si="32"/>
        <v>3.4749592121701811E-2</v>
      </c>
      <c r="Z230" s="23">
        <f t="shared" si="33"/>
        <v>2.8539229664765742E-3</v>
      </c>
      <c r="AA230" s="36"/>
    </row>
    <row r="231" spans="15:27" ht="17.100000000000001" customHeight="1" x14ac:dyDescent="0.3">
      <c r="O231" s="12">
        <f t="shared" si="27"/>
        <v>18.166666666666668</v>
      </c>
      <c r="P231" s="13">
        <v>218</v>
      </c>
      <c r="Q231" s="22">
        <v>3.6720668152928848E-2</v>
      </c>
      <c r="R231" s="19">
        <f t="shared" si="28"/>
        <v>3.1268789657723728E-2</v>
      </c>
      <c r="S231" s="22">
        <v>3.6732310830213777E-2</v>
      </c>
      <c r="T231" s="19">
        <f t="shared" si="29"/>
        <v>3.1258927584113083E-2</v>
      </c>
      <c r="U231" s="24">
        <v>4.1067536395716031E-2</v>
      </c>
      <c r="V231" s="24">
        <f t="shared" si="30"/>
        <v>3.5579957852881261E-2</v>
      </c>
      <c r="W231" s="23">
        <f t="shared" si="31"/>
        <v>2.9205343647384918E-3</v>
      </c>
      <c r="X231" s="24">
        <v>4.0198365654616763E-2</v>
      </c>
      <c r="Y231" s="24">
        <f t="shared" si="32"/>
        <v>3.4714051323416539E-2</v>
      </c>
      <c r="Z231" s="23">
        <f t="shared" si="33"/>
        <v>2.8506769295841838E-3</v>
      </c>
      <c r="AA231" s="36"/>
    </row>
    <row r="232" spans="15:27" ht="17.100000000000001" customHeight="1" x14ac:dyDescent="0.3">
      <c r="O232" s="12">
        <f t="shared" si="27"/>
        <v>18.25</v>
      </c>
      <c r="P232" s="13">
        <v>219</v>
      </c>
      <c r="Q232" s="22">
        <v>3.6695708343596367E-2</v>
      </c>
      <c r="R232" s="19">
        <f t="shared" si="28"/>
        <v>3.1242634581784001E-2</v>
      </c>
      <c r="S232" s="22">
        <v>3.6707252308650462E-2</v>
      </c>
      <c r="T232" s="19">
        <f t="shared" si="29"/>
        <v>3.1224870036753449E-2</v>
      </c>
      <c r="U232" s="24">
        <v>4.1042412989388488E-2</v>
      </c>
      <c r="V232" s="24">
        <f t="shared" si="30"/>
        <v>3.5549738379860196E-2</v>
      </c>
      <c r="W232" s="23">
        <f t="shared" si="31"/>
        <v>2.9177162336679885E-3</v>
      </c>
      <c r="X232" s="24">
        <v>4.0173257176711052E-2</v>
      </c>
      <c r="Y232" s="24">
        <f t="shared" si="32"/>
        <v>3.4683146141278431E-2</v>
      </c>
      <c r="Z232" s="23">
        <f t="shared" si="33"/>
        <v>2.847806454527646E-3</v>
      </c>
      <c r="AA232" s="36"/>
    </row>
    <row r="233" spans="15:27" ht="17.100000000000001" customHeight="1" x14ac:dyDescent="0.3">
      <c r="O233" s="12">
        <f t="shared" si="27"/>
        <v>18.333333333333332</v>
      </c>
      <c r="P233" s="13">
        <v>220</v>
      </c>
      <c r="Q233" s="22">
        <v>3.6670856523385531E-2</v>
      </c>
      <c r="R233" s="19">
        <f t="shared" si="28"/>
        <v>3.1221147393271753E-2</v>
      </c>
      <c r="S233" s="22">
        <v>3.6682266565538413E-2</v>
      </c>
      <c r="T233" s="19">
        <f t="shared" si="29"/>
        <v>3.1195163040369511E-2</v>
      </c>
      <c r="U233" s="24">
        <v>4.1017380491213506E-2</v>
      </c>
      <c r="V233" s="24">
        <f t="shared" si="30"/>
        <v>3.5524204930830638E-2</v>
      </c>
      <c r="W233" s="23">
        <f t="shared" si="31"/>
        <v>2.9152773385989761E-3</v>
      </c>
      <c r="X233" s="24">
        <v>4.0148236337536281E-2</v>
      </c>
      <c r="Y233" s="24">
        <f t="shared" si="32"/>
        <v>3.4656861169936048E-2</v>
      </c>
      <c r="Z233" s="23">
        <f t="shared" si="33"/>
        <v>2.8453103044745465E-3</v>
      </c>
      <c r="AA233" s="36"/>
    </row>
    <row r="234" spans="15:27" ht="17.100000000000001" customHeight="1" x14ac:dyDescent="0.3">
      <c r="O234" s="12">
        <f t="shared" si="27"/>
        <v>18.416666666666668</v>
      </c>
      <c r="P234" s="13">
        <v>221</v>
      </c>
      <c r="Q234" s="22">
        <v>3.664613245664361E-2</v>
      </c>
      <c r="R234" s="19">
        <f t="shared" si="28"/>
        <v>3.1204322142231566E-2</v>
      </c>
      <c r="S234" s="22">
        <v>3.6657372400898502E-2</v>
      </c>
      <c r="T234" s="19">
        <f t="shared" si="29"/>
        <v>3.116978611022847E-2</v>
      </c>
      <c r="U234" s="24">
        <v>4.0992458980609658E-2</v>
      </c>
      <c r="V234" s="24">
        <f t="shared" si="30"/>
        <v>3.5503343884600413E-2</v>
      </c>
      <c r="W234" s="23">
        <f t="shared" si="31"/>
        <v>2.9132165832850276E-3</v>
      </c>
      <c r="X234" s="24">
        <v>4.0123322961619134E-2</v>
      </c>
      <c r="Y234" s="24">
        <f t="shared" si="32"/>
        <v>3.4635181363680934E-2</v>
      </c>
      <c r="Z234" s="23">
        <f t="shared" si="33"/>
        <v>2.8431872658689628E-3</v>
      </c>
      <c r="AA234" s="36"/>
    </row>
    <row r="235" spans="15:27" ht="17.100000000000001" customHeight="1" x14ac:dyDescent="0.3">
      <c r="O235" s="12">
        <f t="shared" si="27"/>
        <v>18.5</v>
      </c>
      <c r="P235" s="13">
        <v>222</v>
      </c>
      <c r="Q235" s="22">
        <v>3.6621555524008143E-2</v>
      </c>
      <c r="R235" s="19">
        <f t="shared" si="28"/>
        <v>3.1192138969577288E-2</v>
      </c>
      <c r="S235" s="22">
        <v>3.6632588183080905E-2</v>
      </c>
      <c r="T235" s="19">
        <f t="shared" si="29"/>
        <v>3.1148719199715069E-2</v>
      </c>
      <c r="U235" s="24">
        <v>4.0967668113091715E-2</v>
      </c>
      <c r="V235" s="24">
        <f t="shared" si="30"/>
        <v>3.5487141973608027E-2</v>
      </c>
      <c r="W235" s="23">
        <f t="shared" si="31"/>
        <v>2.9115328939952612E-3</v>
      </c>
      <c r="X235" s="24">
        <v>4.0098536447775279E-2</v>
      </c>
      <c r="Y235" s="24">
        <f t="shared" si="32"/>
        <v>3.4618092051493798E-2</v>
      </c>
      <c r="Z235" s="23">
        <f t="shared" si="33"/>
        <v>2.8414361494988327E-3</v>
      </c>
      <c r="AA235" s="36"/>
    </row>
    <row r="236" spans="15:27" ht="17.100000000000001" customHeight="1" x14ac:dyDescent="0.3">
      <c r="O236" s="12">
        <f t="shared" si="27"/>
        <v>18.583333333333332</v>
      </c>
      <c r="P236" s="13">
        <v>223</v>
      </c>
      <c r="Q236" s="22">
        <v>3.6597144668052861E-2</v>
      </c>
      <c r="R236" s="19">
        <f t="shared" si="28"/>
        <v>3.1184535702384775E-2</v>
      </c>
      <c r="S236" s="22">
        <v>3.6607931860192844E-2</v>
      </c>
      <c r="T236" s="19">
        <f t="shared" si="29"/>
        <v>3.1131942711643212E-2</v>
      </c>
      <c r="U236" s="24">
        <v>4.0943027131110643E-2</v>
      </c>
      <c r="V236" s="24">
        <f t="shared" si="30"/>
        <v>3.5475586300300455E-2</v>
      </c>
      <c r="W236" s="23">
        <f t="shared" si="31"/>
        <v>2.9102252207742207E-3</v>
      </c>
      <c r="X236" s="24">
        <v>4.0073895780090796E-2</v>
      </c>
      <c r="Y236" s="24">
        <f t="shared" si="32"/>
        <v>3.4605578954504113E-2</v>
      </c>
      <c r="Z236" s="23">
        <f t="shared" si="33"/>
        <v>2.8400557917627189E-3</v>
      </c>
      <c r="AA236" s="36"/>
    </row>
    <row r="237" spans="15:27" ht="17.100000000000001" customHeight="1" x14ac:dyDescent="0.3">
      <c r="O237" s="12">
        <f t="shared" si="27"/>
        <v>18.666666666666668</v>
      </c>
      <c r="P237" s="13">
        <v>224</v>
      </c>
      <c r="Q237" s="22">
        <v>3.6572918212931738E-2</v>
      </c>
      <c r="R237" s="19">
        <f t="shared" si="28"/>
        <v>3.1181493236590363E-2</v>
      </c>
      <c r="S237" s="22">
        <v>3.6583420971277203E-2</v>
      </c>
      <c r="T237" s="19">
        <f t="shared" si="29"/>
        <v>3.1119437510759074E-2</v>
      </c>
      <c r="U237" s="24">
        <v>4.0918554874680879E-2</v>
      </c>
      <c r="V237" s="24">
        <f t="shared" si="30"/>
        <v>3.5468664351814505E-2</v>
      </c>
      <c r="W237" s="23">
        <f t="shared" si="31"/>
        <v>2.9092925388085611E-3</v>
      </c>
      <c r="X237" s="24">
        <v>4.0049419538693343E-2</v>
      </c>
      <c r="Y237" s="24">
        <f t="shared" si="32"/>
        <v>3.4597628198061336E-2</v>
      </c>
      <c r="Z237" s="23">
        <f t="shared" si="33"/>
        <v>2.8390450561315284E-3</v>
      </c>
      <c r="AA237" s="36"/>
    </row>
    <row r="238" spans="15:27" ht="17.100000000000001" customHeight="1" x14ac:dyDescent="0.3">
      <c r="O238" s="12">
        <f t="shared" si="27"/>
        <v>18.75</v>
      </c>
      <c r="P238" s="13">
        <v>225</v>
      </c>
      <c r="Q238" s="22">
        <v>3.6548894070317361E-2</v>
      </c>
      <c r="R238" s="19">
        <f t="shared" si="28"/>
        <v>3.1183007060757939E-2</v>
      </c>
      <c r="S238" s="22">
        <v>3.6559072657255332E-2</v>
      </c>
      <c r="T238" s="19">
        <f t="shared" si="29"/>
        <v>3.1111184934767167E-2</v>
      </c>
      <c r="U238" s="24">
        <v>4.0894269791796667E-2</v>
      </c>
      <c r="V238" s="24">
        <f t="shared" si="30"/>
        <v>3.5466364017184615E-2</v>
      </c>
      <c r="W238" s="23">
        <f t="shared" si="31"/>
        <v>2.9087338496562865E-3</v>
      </c>
      <c r="X238" s="24">
        <v>4.0025125910296833E-2</v>
      </c>
      <c r="Y238" s="24">
        <f t="shared" si="32"/>
        <v>3.4594226328319433E-2</v>
      </c>
      <c r="Z238" s="23">
        <f t="shared" si="33"/>
        <v>2.8384028341708056E-3</v>
      </c>
      <c r="AA238" s="36"/>
    </row>
    <row r="239" spans="15:27" ht="17.100000000000001" customHeight="1" x14ac:dyDescent="0.3">
      <c r="O239" s="12">
        <f t="shared" si="27"/>
        <v>18.833333333333332</v>
      </c>
      <c r="P239" s="13">
        <v>226</v>
      </c>
      <c r="Q239" s="22">
        <v>3.6525089813204348E-2</v>
      </c>
      <c r="R239" s="19">
        <f t="shared" si="28"/>
        <v>3.118907303947327E-2</v>
      </c>
      <c r="S239" s="22">
        <v>3.65349036716347E-2</v>
      </c>
      <c r="T239" s="19">
        <f t="shared" si="29"/>
        <v>3.1107166805605546E-2</v>
      </c>
      <c r="U239" s="24">
        <v>4.0870189948653879E-2</v>
      </c>
      <c r="V239" s="24">
        <f t="shared" si="30"/>
        <v>3.546867360046857E-2</v>
      </c>
      <c r="W239" s="23">
        <f t="shared" si="31"/>
        <v>2.9085481826793824E-3</v>
      </c>
      <c r="X239" s="24">
        <v>4.0001032698545158E-2</v>
      </c>
      <c r="Y239" s="24">
        <f t="shared" si="32"/>
        <v>3.4595360325212043E-2</v>
      </c>
      <c r="Z239" s="23">
        <f t="shared" si="33"/>
        <v>2.8381280469276238E-3</v>
      </c>
      <c r="AA239" s="36"/>
    </row>
    <row r="240" spans="15:27" ht="17.100000000000001" customHeight="1" x14ac:dyDescent="0.3">
      <c r="O240" s="12">
        <f t="shared" si="27"/>
        <v>18.916666666666668</v>
      </c>
      <c r="P240" s="13">
        <v>227</v>
      </c>
      <c r="Q240" s="22">
        <v>3.6501522684807775E-2</v>
      </c>
      <c r="R240" s="19">
        <f t="shared" si="28"/>
        <v>3.1199687430808698E-2</v>
      </c>
      <c r="S240" s="22">
        <v>3.651093039098896E-2</v>
      </c>
      <c r="T240" s="19">
        <f t="shared" si="29"/>
        <v>3.1107365441418233E-2</v>
      </c>
      <c r="U240" s="24">
        <v>4.0846333039664673E-2</v>
      </c>
      <c r="V240" s="24">
        <f t="shared" si="30"/>
        <v>3.5475581838058767E-2</v>
      </c>
      <c r="W240" s="23">
        <f t="shared" si="31"/>
        <v>2.9087345961424926E-3</v>
      </c>
      <c r="X240" s="24">
        <v>3.9977157334145197E-2</v>
      </c>
      <c r="Y240" s="24">
        <f t="shared" si="32"/>
        <v>3.4601017619760199E-2</v>
      </c>
      <c r="Z240" s="23">
        <f t="shared" si="33"/>
        <v>2.8382196460234876E-3</v>
      </c>
      <c r="AA240" s="36"/>
    </row>
    <row r="241" spans="15:27" ht="17.100000000000001" customHeight="1" x14ac:dyDescent="0.3">
      <c r="O241" s="12">
        <f t="shared" si="27"/>
        <v>19</v>
      </c>
      <c r="P241" s="13">
        <v>228</v>
      </c>
      <c r="Q241" s="22">
        <v>3.6478209607306633E-2</v>
      </c>
      <c r="R241" s="19">
        <f t="shared" si="28"/>
        <v>3.1214832930822611E-2</v>
      </c>
      <c r="S241" s="22">
        <v>3.648716882522085E-2</v>
      </c>
      <c r="T241" s="19">
        <f t="shared" si="29"/>
        <v>3.1111763666389791E-2</v>
      </c>
      <c r="U241" s="24">
        <v>4.0822716397289849E-2</v>
      </c>
      <c r="V241" s="24">
        <f t="shared" si="30"/>
        <v>3.5487077913376242E-2</v>
      </c>
      <c r="W241" s="23">
        <f t="shared" si="31"/>
        <v>2.9092921786499915E-3</v>
      </c>
      <c r="X241" s="24">
        <v>3.9953516884815299E-2</v>
      </c>
      <c r="Y241" s="24">
        <f t="shared" si="32"/>
        <v>3.461118610463787E-2</v>
      </c>
      <c r="Z241" s="23">
        <f t="shared" si="33"/>
        <v>2.8386766150949594E-3</v>
      </c>
      <c r="AA241" s="36"/>
    </row>
    <row r="242" spans="15:27" ht="17.100000000000001" customHeight="1" x14ac:dyDescent="0.3">
      <c r="O242" s="12">
        <f t="shared" si="27"/>
        <v>19.083333333333332</v>
      </c>
      <c r="P242" s="13">
        <v>229</v>
      </c>
      <c r="Q242" s="22">
        <v>3.6455167129112231E-2</v>
      </c>
      <c r="R242" s="19">
        <f t="shared" si="28"/>
        <v>3.1234450772198885E-2</v>
      </c>
      <c r="S242" s="22">
        <v>3.646363462760438E-2</v>
      </c>
      <c r="T242" s="19">
        <f t="shared" si="29"/>
        <v>3.112034482424253E-2</v>
      </c>
      <c r="U242" s="24">
        <v>4.0799357001683356E-2</v>
      </c>
      <c r="V242" s="24">
        <f t="shared" si="30"/>
        <v>3.5503151471039773E-2</v>
      </c>
      <c r="W242" s="23">
        <f t="shared" si="31"/>
        <v>2.9102200503685616E-3</v>
      </c>
      <c r="X242" s="24">
        <v>3.993012806502283E-2</v>
      </c>
      <c r="Y242" s="24">
        <f t="shared" si="32"/>
        <v>3.4625854151426827E-2</v>
      </c>
      <c r="Z242" s="23">
        <f t="shared" si="33"/>
        <v>2.83949797068761E-3</v>
      </c>
      <c r="AA242" s="36"/>
    </row>
    <row r="243" spans="15:27" ht="17.100000000000001" customHeight="1" x14ac:dyDescent="0.3">
      <c r="O243" s="12">
        <f t="shared" si="27"/>
        <v>19.166666666666668</v>
      </c>
      <c r="P243" s="13">
        <v>230</v>
      </c>
      <c r="Q243" s="22">
        <v>3.6432411251605679E-2</v>
      </c>
      <c r="R243" s="19">
        <f t="shared" si="28"/>
        <v>3.1258524575248803E-2</v>
      </c>
      <c r="S243" s="22">
        <v>3.6440343104628514E-2</v>
      </c>
      <c r="T243" s="19">
        <f t="shared" si="29"/>
        <v>3.1133092786254091E-2</v>
      </c>
      <c r="U243" s="24">
        <v>4.077627149015095E-2</v>
      </c>
      <c r="V243" s="24">
        <f t="shared" si="30"/>
        <v>3.5523792633185725E-2</v>
      </c>
      <c r="W243" s="23">
        <f t="shared" si="31"/>
        <v>2.9115173642051406E-3</v>
      </c>
      <c r="X243" s="24">
        <v>3.9907007245549408E-2</v>
      </c>
      <c r="Y243" s="24">
        <f t="shared" si="32"/>
        <v>3.4645010624194006E-2</v>
      </c>
      <c r="Z243" s="23">
        <f t="shared" si="33"/>
        <v>2.840682763687985E-3</v>
      </c>
      <c r="AA243" s="36"/>
    </row>
    <row r="244" spans="15:27" ht="17.100000000000001" customHeight="1" x14ac:dyDescent="0.3">
      <c r="O244" s="12">
        <f t="shared" si="27"/>
        <v>19.25</v>
      </c>
      <c r="P244" s="13">
        <v>231</v>
      </c>
      <c r="Q244" s="22">
        <v>3.6409957625231915E-2</v>
      </c>
      <c r="R244" s="19">
        <f t="shared" si="28"/>
        <v>3.1287052382752645E-2</v>
      </c>
      <c r="S244" s="22">
        <v>3.6417309225626138E-2</v>
      </c>
      <c r="T244" s="19">
        <f t="shared" si="29"/>
        <v>3.1149991963419721E-2</v>
      </c>
      <c r="U244" s="24">
        <v>4.075347616643854E-2</v>
      </c>
      <c r="V244" s="24">
        <f t="shared" si="30"/>
        <v>3.5548992014160952E-2</v>
      </c>
      <c r="W244" s="23">
        <f t="shared" si="31"/>
        <v>2.9131833071569524E-3</v>
      </c>
      <c r="X244" s="24">
        <v>3.9884170462869628E-2</v>
      </c>
      <c r="Y244" s="24">
        <f t="shared" si="32"/>
        <v>3.4668644892766221E-2</v>
      </c>
      <c r="Z244" s="23">
        <f t="shared" si="33"/>
        <v>2.842230080456698E-3</v>
      </c>
      <c r="AA244" s="36"/>
    </row>
    <row r="245" spans="15:27" ht="17.100000000000001" customHeight="1" x14ac:dyDescent="0.3">
      <c r="O245" s="12">
        <f t="shared" si="27"/>
        <v>19.333333333333332</v>
      </c>
      <c r="P245" s="13">
        <v>232</v>
      </c>
      <c r="Q245" s="22">
        <v>3.638782161934917E-2</v>
      </c>
      <c r="R245" s="19">
        <f t="shared" si="28"/>
        <v>3.1320032701545042E-2</v>
      </c>
      <c r="S245" s="22">
        <v>3.6394547632209395E-2</v>
      </c>
      <c r="T245" s="19">
        <f t="shared" si="29"/>
        <v>3.1171027317927757E-2</v>
      </c>
      <c r="U245" s="24">
        <v>4.073098700984823E-2</v>
      </c>
      <c r="V245" s="24">
        <f t="shared" si="30"/>
        <v>3.5578740734205194E-2</v>
      </c>
      <c r="W245" s="23">
        <f t="shared" si="31"/>
        <v>2.915217101526979E-3</v>
      </c>
      <c r="X245" s="24">
        <v>3.9861633428349919E-2</v>
      </c>
      <c r="Y245" s="24">
        <f t="shared" si="32"/>
        <v>3.4696746847498128E-2</v>
      </c>
      <c r="Z245" s="23">
        <f t="shared" si="33"/>
        <v>2.8441390439351011E-3</v>
      </c>
      <c r="AA245" s="36"/>
    </row>
    <row r="246" spans="15:27" ht="17.100000000000001" customHeight="1" x14ac:dyDescent="0.3">
      <c r="O246" s="12">
        <f t="shared" si="27"/>
        <v>19.416666666666668</v>
      </c>
      <c r="P246" s="13">
        <v>233</v>
      </c>
      <c r="Q246" s="22">
        <v>3.6366018330066918E-2</v>
      </c>
      <c r="R246" s="19">
        <f t="shared" si="28"/>
        <v>3.135746451672583E-2</v>
      </c>
      <c r="S246" s="22">
        <v>3.6372072647516518E-2</v>
      </c>
      <c r="T246" s="19">
        <f t="shared" si="29"/>
        <v>3.1196184372320523E-2</v>
      </c>
      <c r="U246" s="24">
        <v>4.0708819684182052E-2</v>
      </c>
      <c r="V246" s="24">
        <f t="shared" si="30"/>
        <v>3.5613030437043003E-2</v>
      </c>
      <c r="W246" s="23">
        <f t="shared" si="31"/>
        <v>2.9176180060570545E-3</v>
      </c>
      <c r="X246" s="24">
        <v>3.9839411537277103E-2</v>
      </c>
      <c r="Y246" s="24">
        <f t="shared" si="32"/>
        <v>3.4729306913328761E-2</v>
      </c>
      <c r="Z246" s="23">
        <f t="shared" si="33"/>
        <v>2.8464088148678623E-3</v>
      </c>
      <c r="AA246" s="36"/>
    </row>
    <row r="247" spans="15:27" ht="17.100000000000001" customHeight="1" x14ac:dyDescent="0.3">
      <c r="O247" s="12">
        <f t="shared" si="27"/>
        <v>19.5</v>
      </c>
      <c r="P247" s="13">
        <v>234</v>
      </c>
      <c r="Q247" s="22">
        <v>3.6344562587945939E-2</v>
      </c>
      <c r="R247" s="19">
        <f t="shared" si="28"/>
        <v>3.1399333584154032E-2</v>
      </c>
      <c r="S247" s="22">
        <v>3.6349898285265247E-2</v>
      </c>
      <c r="T247" s="19">
        <f t="shared" si="29"/>
        <v>3.1225449220841472E-2</v>
      </c>
      <c r="U247" s="24">
        <v>4.0686989546534713E-2</v>
      </c>
      <c r="V247" s="24">
        <f t="shared" si="30"/>
        <v>3.5651853302021363E-2</v>
      </c>
      <c r="W247" s="23">
        <f t="shared" si="31"/>
        <v>2.9203853173718208E-3</v>
      </c>
      <c r="X247" s="24">
        <v>3.9817519877719532E-2</v>
      </c>
      <c r="Y247" s="24">
        <f t="shared" si="32"/>
        <v>3.4766316064193115E-2</v>
      </c>
      <c r="Z247" s="23">
        <f t="shared" si="33"/>
        <v>2.8490385929687001E-3</v>
      </c>
      <c r="AA247" s="36"/>
    </row>
    <row r="248" spans="15:27" ht="17.100000000000001" customHeight="1" x14ac:dyDescent="0.3">
      <c r="O248" s="12">
        <f t="shared" si="27"/>
        <v>19.583333333333332</v>
      </c>
      <c r="P248" s="13">
        <v>235</v>
      </c>
      <c r="Q248" s="22">
        <v>3.6323468906895195E-2</v>
      </c>
      <c r="R248" s="19">
        <f t="shared" si="28"/>
        <v>3.1445585021172562E-2</v>
      </c>
      <c r="S248" s="22">
        <v>3.6328038258626405E-2</v>
      </c>
      <c r="T248" s="19">
        <f t="shared" si="29"/>
        <v>3.1258808539661898E-2</v>
      </c>
      <c r="U248" s="24">
        <v>4.0665511655918474E-2</v>
      </c>
      <c r="V248" s="24">
        <f t="shared" si="30"/>
        <v>3.5695202060521014E-2</v>
      </c>
      <c r="W248" s="23">
        <f t="shared" si="31"/>
        <v>2.9235183709817036E-3</v>
      </c>
      <c r="X248" s="24">
        <v>3.9795973239227234E-2</v>
      </c>
      <c r="Y248" s="24">
        <f t="shared" si="32"/>
        <v>3.4807765835437543E-2</v>
      </c>
      <c r="Z248" s="23">
        <f t="shared" si="33"/>
        <v>2.8520276181096538E-3</v>
      </c>
      <c r="AA248" s="36"/>
    </row>
    <row r="249" spans="15:27" ht="17.100000000000001" customHeight="1" x14ac:dyDescent="0.3">
      <c r="O249" s="12">
        <f t="shared" si="27"/>
        <v>19.666666666666668</v>
      </c>
      <c r="P249" s="13">
        <v>236</v>
      </c>
      <c r="Q249" s="22">
        <v>3.6302751317701665E-2</v>
      </c>
      <c r="R249" s="19">
        <f t="shared" si="28"/>
        <v>3.1496205665083821E-2</v>
      </c>
      <c r="S249" s="22">
        <v>3.6306505988919158E-2</v>
      </c>
      <c r="T249" s="19">
        <f t="shared" si="29"/>
        <v>3.129624959705879E-2</v>
      </c>
      <c r="U249" s="24">
        <v>4.064440078173992E-2</v>
      </c>
      <c r="V249" s="24">
        <f t="shared" si="30"/>
        <v>3.5743070009871758E-2</v>
      </c>
      <c r="W249" s="23">
        <f t="shared" si="31"/>
        <v>2.9270165426269479E-3</v>
      </c>
      <c r="X249" s="24">
        <v>3.9774786121366645E-2</v>
      </c>
      <c r="Y249" s="24">
        <f t="shared" si="32"/>
        <v>3.4853648339050247E-2</v>
      </c>
      <c r="Z249" s="23">
        <f t="shared" si="33"/>
        <v>2.8553751713480402E-3</v>
      </c>
      <c r="AA249" s="36"/>
    </row>
    <row r="250" spans="15:27" ht="17.100000000000001" customHeight="1" x14ac:dyDescent="0.3">
      <c r="O250" s="12">
        <f t="shared" si="27"/>
        <v>19.75</v>
      </c>
      <c r="P250" s="13">
        <v>237</v>
      </c>
      <c r="Q250" s="22">
        <v>3.6282423554958365E-2</v>
      </c>
      <c r="R250" s="19">
        <f t="shared" si="28"/>
        <v>3.1551196610723142E-2</v>
      </c>
      <c r="S250" s="22">
        <v>3.6285314614132869E-2</v>
      </c>
      <c r="T250" s="19">
        <f t="shared" si="29"/>
        <v>3.1337760265323977E-2</v>
      </c>
      <c r="U250" s="24">
        <v>4.062367141212464E-2</v>
      </c>
      <c r="V250" s="24">
        <f t="shared" si="30"/>
        <v>3.5795451029874581E-2</v>
      </c>
      <c r="W250" s="23">
        <f t="shared" si="31"/>
        <v>2.9308792494182612E-3</v>
      </c>
      <c r="X250" s="24">
        <v>3.9753972742106125E-2</v>
      </c>
      <c r="Y250" s="24">
        <f t="shared" si="32"/>
        <v>3.4903956278105941E-2</v>
      </c>
      <c r="Z250" s="23">
        <f t="shared" si="33"/>
        <v>2.8590805761767868E-3</v>
      </c>
      <c r="AA250" s="36"/>
    </row>
    <row r="251" spans="15:27" ht="17.100000000000001" customHeight="1" x14ac:dyDescent="0.3">
      <c r="O251" s="12">
        <f t="shared" si="27"/>
        <v>19.833333333333332</v>
      </c>
      <c r="P251" s="13">
        <v>238</v>
      </c>
      <c r="Q251" s="22">
        <v>3.626249912330759E-2</v>
      </c>
      <c r="R251" s="19">
        <f t="shared" si="28"/>
        <v>3.1610559499511748E-2</v>
      </c>
      <c r="S251" s="22">
        <v>3.626447699728641E-2</v>
      </c>
      <c r="T251" s="19">
        <f t="shared" si="29"/>
        <v>3.1383329028093376E-2</v>
      </c>
      <c r="U251" s="24">
        <v>4.0603337762104452E-2</v>
      </c>
      <c r="V251" s="24">
        <f t="shared" si="30"/>
        <v>3.5852339595107585E-2</v>
      </c>
      <c r="W251" s="23">
        <f t="shared" si="31"/>
        <v>2.9351059511848465E-3</v>
      </c>
      <c r="X251" s="24">
        <v>3.9733547046054696E-2</v>
      </c>
      <c r="Y251" s="24">
        <f t="shared" si="32"/>
        <v>3.4958682959370657E-2</v>
      </c>
      <c r="Z251" s="23">
        <f t="shared" si="33"/>
        <v>2.8631431997094836E-3</v>
      </c>
      <c r="AA251" s="36"/>
    </row>
    <row r="252" spans="15:27" ht="17.100000000000001" customHeight="1" x14ac:dyDescent="0.3">
      <c r="O252" s="12">
        <f t="shared" si="27"/>
        <v>19.916666666666668</v>
      </c>
      <c r="P252" s="13">
        <v>239</v>
      </c>
      <c r="Q252" s="22">
        <v>3.6242991304375582E-2</v>
      </c>
      <c r="R252" s="19">
        <f t="shared" si="28"/>
        <v>3.1674296533024782E-2</v>
      </c>
      <c r="S252" s="22">
        <v>3.6244005734611839E-2</v>
      </c>
      <c r="T252" s="19">
        <f t="shared" si="29"/>
        <v>3.1432944993901257E-2</v>
      </c>
      <c r="U252" s="24">
        <v>4.0583413781652089E-2</v>
      </c>
      <c r="V252" s="24">
        <f t="shared" si="30"/>
        <v>3.591373079186555E-2</v>
      </c>
      <c r="W252" s="23">
        <f t="shared" si="31"/>
        <v>2.939696151478266E-3</v>
      </c>
      <c r="X252" s="24">
        <v>3.9713522712547356E-2</v>
      </c>
      <c r="Y252" s="24">
        <f t="shared" si="32"/>
        <v>3.5017822308159641E-2</v>
      </c>
      <c r="Z252" s="23">
        <f t="shared" si="33"/>
        <v>2.8675624537126687E-3</v>
      </c>
      <c r="AA252" s="36"/>
    </row>
    <row r="253" spans="15:27" ht="17.100000000000001" customHeight="1" x14ac:dyDescent="0.3">
      <c r="O253" s="12">
        <f t="shared" si="27"/>
        <v>20</v>
      </c>
      <c r="P253" s="13">
        <v>240</v>
      </c>
      <c r="Q253" s="22">
        <v>3.6223913163591082E-2</v>
      </c>
      <c r="R253" s="19">
        <f t="shared" si="28"/>
        <v>3.1741459973918751E-2</v>
      </c>
      <c r="S253" s="22">
        <v>3.6223913163592636E-2</v>
      </c>
      <c r="T253" s="19">
        <f t="shared" si="29"/>
        <v>3.1486106692735216E-2</v>
      </c>
      <c r="U253" s="24">
        <v>4.0563913163588872E-2</v>
      </c>
      <c r="V253" s="24">
        <f t="shared" si="30"/>
        <v>3.5978761838526774E-2</v>
      </c>
      <c r="W253" s="23">
        <f t="shared" si="31"/>
        <v>2.9446493989486733E-3</v>
      </c>
      <c r="X253" s="24">
        <v>3.969391316359494E-2</v>
      </c>
      <c r="Y253" s="24">
        <f t="shared" si="32"/>
        <v>3.5080579635961451E-2</v>
      </c>
      <c r="Z253" s="23">
        <f t="shared" si="33"/>
        <v>2.8723377958188578E-3</v>
      </c>
      <c r="AA253" s="36"/>
    </row>
    <row r="254" spans="15:27" ht="17.100000000000001" customHeight="1" x14ac:dyDescent="0.3">
      <c r="O254" s="12">
        <f t="shared" si="27"/>
        <v>20.083333333333332</v>
      </c>
      <c r="P254" s="13">
        <v>241</v>
      </c>
      <c r="Q254" s="22">
        <v>3.6205273595793619E-2</v>
      </c>
      <c r="R254" s="19">
        <f t="shared" si="28"/>
        <v>3.1808251968532764E-2</v>
      </c>
      <c r="S254" s="22">
        <v>3.6204209323292602E-2</v>
      </c>
      <c r="T254" s="19">
        <f t="shared" si="29"/>
        <v>3.154084303442084E-2</v>
      </c>
      <c r="U254" s="24">
        <v>4.054484577344164E-2</v>
      </c>
      <c r="V254" s="24">
        <f t="shared" si="30"/>
        <v>3.6043998467441218E-2</v>
      </c>
      <c r="W254" s="23">
        <f t="shared" si="31"/>
        <v>2.9498960282294817E-3</v>
      </c>
      <c r="X254" s="24">
        <v>3.9674728282278693E-2</v>
      </c>
      <c r="Y254" s="24">
        <f t="shared" si="32"/>
        <v>3.5143796715702447E-2</v>
      </c>
      <c r="Z254" s="23">
        <f t="shared" si="33"/>
        <v>2.8774050063928858E-3</v>
      </c>
      <c r="AA254" s="36"/>
    </row>
    <row r="255" spans="15:27" ht="17.100000000000001" customHeight="1" x14ac:dyDescent="0.3">
      <c r="O255" s="12">
        <f t="shared" si="27"/>
        <v>20.166666666666668</v>
      </c>
      <c r="P255" s="13">
        <v>242</v>
      </c>
      <c r="Q255" s="22">
        <v>3.6187065585361777E-2</v>
      </c>
      <c r="R255" s="19">
        <f t="shared" si="28"/>
        <v>3.1873728094303777E-2</v>
      </c>
      <c r="S255" s="22">
        <v>3.618489590220797E-2</v>
      </c>
      <c r="T255" s="19">
        <f t="shared" si="29"/>
        <v>3.1596662948128351E-2</v>
      </c>
      <c r="U255" s="24">
        <v>4.0526207057685726E-2</v>
      </c>
      <c r="V255" s="24">
        <f t="shared" si="30"/>
        <v>3.6108588203955794E-2</v>
      </c>
      <c r="W255" s="23">
        <f t="shared" si="31"/>
        <v>2.9551589403242762E-3</v>
      </c>
      <c r="X255" s="24">
        <v>3.9655964677597799E-2</v>
      </c>
      <c r="Y255" s="24">
        <f t="shared" si="32"/>
        <v>3.5206689709588845E-2</v>
      </c>
      <c r="Z255" s="23">
        <f t="shared" si="33"/>
        <v>2.8825090539668086E-3</v>
      </c>
      <c r="AA255" s="36"/>
    </row>
    <row r="256" spans="15:27" ht="17.100000000000001" customHeight="1" x14ac:dyDescent="0.3">
      <c r="O256" s="12">
        <f t="shared" si="27"/>
        <v>20.25</v>
      </c>
      <c r="P256" s="13">
        <v>243</v>
      </c>
      <c r="Q256" s="22">
        <v>3.6169278330413279E-2</v>
      </c>
      <c r="R256" s="19">
        <f t="shared" si="28"/>
        <v>3.193789458673657E-2</v>
      </c>
      <c r="S256" s="22">
        <v>3.6165972530135759E-2</v>
      </c>
      <c r="T256" s="19">
        <f t="shared" si="29"/>
        <v>3.1653567623826984E-2</v>
      </c>
      <c r="U256" s="24">
        <v>4.0507989015037715E-2</v>
      </c>
      <c r="V256" s="24">
        <f t="shared" si="30"/>
        <v>3.6172537897226853E-2</v>
      </c>
      <c r="W256" s="23">
        <f t="shared" si="31"/>
        <v>2.960369365637483E-3</v>
      </c>
      <c r="X256" s="24">
        <v>3.9637615774919421E-2</v>
      </c>
      <c r="Y256" s="24">
        <f t="shared" si="32"/>
        <v>3.5269264935365863E-2</v>
      </c>
      <c r="Z256" s="23">
        <f t="shared" si="33"/>
        <v>2.8875866518272009E-3</v>
      </c>
      <c r="AA256" s="36"/>
    </row>
    <row r="257" spans="15:27" ht="17.100000000000001" customHeight="1" x14ac:dyDescent="0.3">
      <c r="O257" s="12">
        <f t="shared" si="27"/>
        <v>20.333333333333332</v>
      </c>
      <c r="P257" s="13">
        <v>244</v>
      </c>
      <c r="Q257" s="22">
        <v>3.6151901233724804E-2</v>
      </c>
      <c r="R257" s="19">
        <f t="shared" si="28"/>
        <v>3.200075752430509E-2</v>
      </c>
      <c r="S257" s="22">
        <v>3.6147438847225599E-2</v>
      </c>
      <c r="T257" s="19">
        <f t="shared" si="29"/>
        <v>3.1711558414168506E-2</v>
      </c>
      <c r="U257" s="24">
        <v>4.0490183804765767E-2</v>
      </c>
      <c r="V257" s="24">
        <f t="shared" si="30"/>
        <v>3.6235854310777915E-2</v>
      </c>
      <c r="W257" s="23">
        <f t="shared" si="31"/>
        <v>2.9655278656224304E-3</v>
      </c>
      <c r="X257" s="24">
        <v>3.9619675134225929E-2</v>
      </c>
      <c r="Y257" s="24">
        <f t="shared" si="32"/>
        <v>3.5331528664258149E-2</v>
      </c>
      <c r="Z257" s="23">
        <f t="shared" si="33"/>
        <v>2.8926383143927925E-3</v>
      </c>
      <c r="AA257" s="36"/>
    </row>
    <row r="258" spans="15:27" ht="17.100000000000001" customHeight="1" x14ac:dyDescent="0.3">
      <c r="O258" s="12">
        <f t="shared" si="27"/>
        <v>20.416666666666668</v>
      </c>
      <c r="P258" s="13">
        <v>245</v>
      </c>
      <c r="Q258" s="22">
        <v>3.6134923897850113E-2</v>
      </c>
      <c r="R258" s="19">
        <f t="shared" si="28"/>
        <v>3.206232283234467E-2</v>
      </c>
      <c r="S258" s="22">
        <v>3.6129294504428033E-2</v>
      </c>
      <c r="T258" s="19">
        <f t="shared" si="29"/>
        <v>3.1770636838074129E-2</v>
      </c>
      <c r="U258" s="24">
        <v>4.0472783743026985E-2</v>
      </c>
      <c r="V258" s="24">
        <f t="shared" si="30"/>
        <v>3.6298544122963738E-2</v>
      </c>
      <c r="W258" s="23">
        <f t="shared" si="31"/>
        <v>2.970634994609922E-3</v>
      </c>
      <c r="X258" s="24">
        <v>3.9602136447152603E-2</v>
      </c>
      <c r="Y258" s="24">
        <f t="shared" si="32"/>
        <v>3.5393487121395228E-2</v>
      </c>
      <c r="Z258" s="23">
        <f t="shared" si="33"/>
        <v>2.8976645521903155E-3</v>
      </c>
      <c r="AA258" s="36"/>
    </row>
    <row r="259" spans="15:27" ht="17.100000000000001" customHeight="1" x14ac:dyDescent="0.3">
      <c r="O259" s="12">
        <f t="shared" si="27"/>
        <v>20.5</v>
      </c>
      <c r="P259" s="13">
        <v>246</v>
      </c>
      <c r="Q259" s="22">
        <v>3.6118336120375405E-2</v>
      </c>
      <c r="R259" s="19">
        <f t="shared" si="28"/>
        <v>3.212259959751651E-2</v>
      </c>
      <c r="S259" s="22">
        <v>3.6111539163945494E-2</v>
      </c>
      <c r="T259" s="19">
        <f t="shared" si="29"/>
        <v>3.1830804578905081E-2</v>
      </c>
      <c r="U259" s="24">
        <v>4.0455781299296945E-2</v>
      </c>
      <c r="V259" s="24">
        <f t="shared" si="30"/>
        <v>3.6360613928519081E-2</v>
      </c>
      <c r="W259" s="23">
        <f t="shared" si="31"/>
        <v>2.9756912998506468E-3</v>
      </c>
      <c r="X259" s="24">
        <v>3.9584993534099056E-2</v>
      </c>
      <c r="Y259" s="24">
        <f t="shared" si="32"/>
        <v>3.5455146485980027E-2</v>
      </c>
      <c r="Z259" s="23">
        <f t="shared" si="33"/>
        <v>2.9026658718926956E-3</v>
      </c>
      <c r="AA259" s="36"/>
    </row>
    <row r="260" spans="15:27" ht="17.100000000000001" customHeight="1" x14ac:dyDescent="0.3">
      <c r="O260" s="12">
        <f t="shared" si="27"/>
        <v>20.583333333333332</v>
      </c>
      <c r="P260" s="13">
        <v>247</v>
      </c>
      <c r="Q260" s="22">
        <v>3.6102127902762682E-2</v>
      </c>
      <c r="R260" s="19">
        <f t="shared" si="28"/>
        <v>3.2181606688807873E-2</v>
      </c>
      <c r="S260" s="22">
        <v>3.6094172499665067E-2</v>
      </c>
      <c r="T260" s="19">
        <f t="shared" si="29"/>
        <v>3.189206348615925E-2</v>
      </c>
      <c r="U260" s="24">
        <v>4.0439169092893135E-2</v>
      </c>
      <c r="V260" s="24">
        <f t="shared" si="30"/>
        <v>3.6422070239205517E-2</v>
      </c>
      <c r="W260" s="23">
        <f t="shared" si="31"/>
        <v>2.9806973216459642E-3</v>
      </c>
      <c r="X260" s="24">
        <v>3.9568240341412153E-2</v>
      </c>
      <c r="Y260" s="24">
        <f t="shared" si="32"/>
        <v>3.5516512893451591E-2</v>
      </c>
      <c r="Z260" s="23">
        <f t="shared" si="33"/>
        <v>2.9076427763341517E-3</v>
      </c>
      <c r="AA260" s="36"/>
    </row>
    <row r="261" spans="15:27" ht="17.100000000000001" customHeight="1" x14ac:dyDescent="0.3">
      <c r="O261" s="12">
        <f t="shared" si="27"/>
        <v>20.666666666666668</v>
      </c>
      <c r="P261" s="13">
        <v>248</v>
      </c>
      <c r="Q261" s="22">
        <v>3.6086289485773415E-2</v>
      </c>
      <c r="R261" s="19">
        <f t="shared" si="28"/>
        <v>3.2239352890200301E-2</v>
      </c>
      <c r="S261" s="22">
        <v>3.6077194197587703E-2</v>
      </c>
      <c r="T261" s="19">
        <f t="shared" si="29"/>
        <v>3.1954415577979178E-2</v>
      </c>
      <c r="U261" s="24">
        <v>4.0422939889586118E-2</v>
      </c>
      <c r="V261" s="24">
        <f t="shared" si="30"/>
        <v>3.6482919487190513E-2</v>
      </c>
      <c r="W261" s="23">
        <f t="shared" si="31"/>
        <v>2.9856535934034145E-3</v>
      </c>
      <c r="X261" s="24">
        <v>3.955187093864776E-2</v>
      </c>
      <c r="Y261" s="24">
        <f t="shared" si="32"/>
        <v>3.5577592435802163E-2</v>
      </c>
      <c r="Z261" s="23">
        <f t="shared" si="33"/>
        <v>2.9125957646876088E-3</v>
      </c>
      <c r="AA261" s="36"/>
    </row>
    <row r="262" spans="15:27" ht="17.100000000000001" customHeight="1" x14ac:dyDescent="0.3">
      <c r="O262" s="12">
        <f t="shared" si="27"/>
        <v>20.75</v>
      </c>
      <c r="P262" s="13">
        <v>249</v>
      </c>
      <c r="Q262" s="22">
        <v>3.607081130394163E-2</v>
      </c>
      <c r="R262" s="19">
        <f t="shared" si="28"/>
        <v>3.2295843529183133E-2</v>
      </c>
      <c r="S262" s="22">
        <v>3.6060603956255877E-2</v>
      </c>
      <c r="T262" s="19">
        <f t="shared" si="29"/>
        <v>3.2017863040200378E-2</v>
      </c>
      <c r="U262" s="24">
        <v>4.0407086598307496E-2</v>
      </c>
      <c r="V262" s="24">
        <f t="shared" si="30"/>
        <v>3.654316802209423E-2</v>
      </c>
      <c r="W262" s="23">
        <f t="shared" si="31"/>
        <v>2.9905606419156072E-3</v>
      </c>
      <c r="X262" s="24">
        <v>3.9535879515898209E-2</v>
      </c>
      <c r="Y262" s="24">
        <f t="shared" si="32"/>
        <v>3.5638391163134164E-2</v>
      </c>
      <c r="Z262" s="23">
        <f t="shared" si="33"/>
        <v>2.9175253324922323E-3</v>
      </c>
      <c r="AA262" s="36"/>
    </row>
    <row r="263" spans="15:27" ht="17.100000000000001" customHeight="1" x14ac:dyDescent="0.3">
      <c r="O263" s="12">
        <f t="shared" si="27"/>
        <v>20.833333333333332</v>
      </c>
      <c r="P263" s="13">
        <v>250</v>
      </c>
      <c r="Q263" s="22">
        <v>3.6055683967767038E-2</v>
      </c>
      <c r="R263" s="19">
        <f t="shared" si="28"/>
        <v>3.2351083794316393E-2</v>
      </c>
      <c r="S263" s="22">
        <v>3.6044401487167921E-2</v>
      </c>
      <c r="T263" s="19">
        <f t="shared" si="29"/>
        <v>3.2082408228491177E-2</v>
      </c>
      <c r="U263" s="24">
        <v>4.0391602267924931E-2</v>
      </c>
      <c r="V263" s="24">
        <f t="shared" si="30"/>
        <v>3.6602822117605793E-2</v>
      </c>
      <c r="W263" s="23">
        <f t="shared" si="31"/>
        <v>2.9954189871252979E-3</v>
      </c>
      <c r="X263" s="24">
        <v>3.9520260381193051E-2</v>
      </c>
      <c r="Y263" s="24">
        <f t="shared" si="32"/>
        <v>3.5698915083249183E-2</v>
      </c>
      <c r="Z263" s="23">
        <f t="shared" si="33"/>
        <v>2.9224319717817693E-3</v>
      </c>
      <c r="AA263" s="36"/>
    </row>
    <row r="264" spans="15:27" ht="17.100000000000001" customHeight="1" x14ac:dyDescent="0.3">
      <c r="O264" s="12">
        <f t="shared" si="27"/>
        <v>20.916666666666668</v>
      </c>
      <c r="P264" s="13">
        <v>251</v>
      </c>
      <c r="Q264" s="22">
        <v>3.6040898259605214E-2</v>
      </c>
      <c r="R264" s="19">
        <f t="shared" si="28"/>
        <v>3.2405078733911852E-2</v>
      </c>
      <c r="S264" s="22">
        <v>3.6028586515190364E-2</v>
      </c>
      <c r="T264" s="19">
        <f t="shared" si="29"/>
        <v>3.2148053669279752E-2</v>
      </c>
      <c r="U264" s="24">
        <v>4.0376480084122202E-2</v>
      </c>
      <c r="V264" s="24">
        <f t="shared" si="30"/>
        <v>3.6661887967502915E-2</v>
      </c>
      <c r="W264" s="23">
        <f t="shared" si="31"/>
        <v>3.0002291426647343E-3</v>
      </c>
      <c r="X264" s="24">
        <v>3.9505007957959082E-2</v>
      </c>
      <c r="Y264" s="24">
        <f t="shared" si="32"/>
        <v>3.5759170163942811E-2</v>
      </c>
      <c r="Z264" s="23">
        <f t="shared" si="33"/>
        <v>2.9273161710536844E-3</v>
      </c>
      <c r="AA264" s="36"/>
    </row>
    <row r="265" spans="15:27" ht="17.100000000000001" customHeight="1" x14ac:dyDescent="0.3">
      <c r="O265" s="12">
        <f t="shared" si="27"/>
        <v>21</v>
      </c>
      <c r="P265" s="13">
        <v>252</v>
      </c>
      <c r="Q265" s="22">
        <v>3.6026445129650586E-2</v>
      </c>
      <c r="R265" s="19">
        <f t="shared" si="28"/>
        <v>3.2457836513030136E-2</v>
      </c>
      <c r="S265" s="22">
        <v>3.6013158778963161E-2</v>
      </c>
      <c r="T265" s="19">
        <f t="shared" si="29"/>
        <v>3.2214802060126058E-2</v>
      </c>
      <c r="U265" s="24">
        <v>4.036171336633898E-2</v>
      </c>
      <c r="V265" s="24">
        <f t="shared" si="30"/>
        <v>3.6720371690057041E-2</v>
      </c>
      <c r="W265" s="23">
        <f t="shared" si="31"/>
        <v>3.0049916155381329E-3</v>
      </c>
      <c r="X265" s="24">
        <v>3.9490116782551876E-2</v>
      </c>
      <c r="Y265" s="24">
        <f t="shared" si="32"/>
        <v>3.5819162333723176E-2</v>
      </c>
      <c r="Z265" s="23">
        <f t="shared" si="33"/>
        <v>2.9321784154554553E-3</v>
      </c>
      <c r="AA265" s="36"/>
    </row>
    <row r="266" spans="15:27" ht="17.100000000000001" customHeight="1" x14ac:dyDescent="0.3">
      <c r="O266" s="12">
        <f t="shared" si="27"/>
        <v>21.083333333333332</v>
      </c>
      <c r="P266" s="13">
        <v>253</v>
      </c>
      <c r="Q266" s="22">
        <v>3.6012315704935016E-2</v>
      </c>
      <c r="R266" s="19">
        <f t="shared" si="28"/>
        <v>3.2509374924700074E-2</v>
      </c>
      <c r="S266" s="22">
        <v>3.5998118031297821E-2</v>
      </c>
      <c r="T266" s="19">
        <f t="shared" si="29"/>
        <v>3.2282656273060706E-2</v>
      </c>
      <c r="U266" s="24">
        <v>4.0347295564800545E-2</v>
      </c>
      <c r="V266" s="24">
        <f t="shared" si="30"/>
        <v>3.6778279328075758E-2</v>
      </c>
      <c r="W266" s="23">
        <f t="shared" si="31"/>
        <v>3.0097069064818349E-3</v>
      </c>
      <c r="X266" s="24">
        <v>3.9475581501847712E-2</v>
      </c>
      <c r="Y266" s="24">
        <f t="shared" si="32"/>
        <v>3.5878897481817384E-2</v>
      </c>
      <c r="Z266" s="23">
        <f t="shared" si="33"/>
        <v>2.9370191868456352E-3</v>
      </c>
      <c r="AA266" s="36"/>
    </row>
    <row r="267" spans="15:27" ht="17.100000000000001" customHeight="1" x14ac:dyDescent="0.3">
      <c r="O267" s="12">
        <f t="shared" si="27"/>
        <v>21.166666666666668</v>
      </c>
      <c r="P267" s="13">
        <v>254</v>
      </c>
      <c r="Q267" s="22">
        <v>3.5998501323832421E-2</v>
      </c>
      <c r="R267" s="19">
        <f t="shared" si="28"/>
        <v>3.2559701860466639E-2</v>
      </c>
      <c r="S267" s="22">
        <v>3.5983464039577528E-2</v>
      </c>
      <c r="T267" s="19">
        <f t="shared" si="29"/>
        <v>3.2351619352680716E-2</v>
      </c>
      <c r="U267" s="24">
        <v>4.0333220257618985E-2</v>
      </c>
      <c r="V267" s="24">
        <f t="shared" si="30"/>
        <v>3.6835616848924557E-2</v>
      </c>
      <c r="W267" s="23">
        <f t="shared" si="31"/>
        <v>3.01437550997119E-3</v>
      </c>
      <c r="X267" s="24">
        <v>3.9461396870895227E-2</v>
      </c>
      <c r="Y267" s="24">
        <f t="shared" si="32"/>
        <v>3.5938381459529101E-2</v>
      </c>
      <c r="Z267" s="23">
        <f t="shared" si="33"/>
        <v>2.9418389637960729E-3</v>
      </c>
      <c r="AA267" s="36"/>
    </row>
    <row r="268" spans="15:27" ht="17.100000000000001" customHeight="1" x14ac:dyDescent="0.3">
      <c r="O268" s="12">
        <f t="shared" si="27"/>
        <v>21.25</v>
      </c>
      <c r="P268" s="13">
        <v>255</v>
      </c>
      <c r="Q268" s="22">
        <v>3.5984993492898631E-2</v>
      </c>
      <c r="R268" s="19">
        <f t="shared" si="28"/>
        <v>3.2608821827009304E-2</v>
      </c>
      <c r="S268" s="22">
        <v>3.5969196586141061E-2</v>
      </c>
      <c r="T268" s="19">
        <f t="shared" si="29"/>
        <v>3.2421694519610966E-2</v>
      </c>
      <c r="U268" s="24">
        <v>4.0319481147963909E-2</v>
      </c>
      <c r="V268" s="24">
        <f t="shared" si="30"/>
        <v>3.6892390148987708E-2</v>
      </c>
      <c r="W268" s="23">
        <f t="shared" si="31"/>
        <v>3.0189979142278833E-3</v>
      </c>
      <c r="X268" s="24">
        <v>3.9447557750625473E-2</v>
      </c>
      <c r="Y268" s="24">
        <f t="shared" si="32"/>
        <v>3.5997620081677617E-2</v>
      </c>
      <c r="Z268" s="23">
        <f t="shared" si="33"/>
        <v>2.9466382217033793E-3</v>
      </c>
      <c r="AA268" s="36"/>
    </row>
    <row r="269" spans="15:27" ht="17.100000000000001" customHeight="1" x14ac:dyDescent="0.3">
      <c r="O269" s="12">
        <f t="shared" si="27"/>
        <v>21.333333333333332</v>
      </c>
      <c r="P269" s="13">
        <v>256</v>
      </c>
      <c r="Q269" s="22">
        <v>3.5971783870277996E-2</v>
      </c>
      <c r="R269" s="19">
        <f t="shared" si="28"/>
        <v>3.2656739202454155E-2</v>
      </c>
      <c r="S269" s="22">
        <v>3.5955315468670701E-2</v>
      </c>
      <c r="T269" s="19">
        <f t="shared" si="29"/>
        <v>3.2492885171746755E-2</v>
      </c>
      <c r="U269" s="24">
        <v>4.0306072061317089E-2</v>
      </c>
      <c r="V269" s="24">
        <f t="shared" si="30"/>
        <v>3.6948605049355931E-2</v>
      </c>
      <c r="W269" s="23">
        <f t="shared" si="31"/>
        <v>3.0235746015816467E-3</v>
      </c>
      <c r="X269" s="24">
        <v>3.9434059105624142E-2</v>
      </c>
      <c r="Y269" s="24">
        <f t="shared" si="32"/>
        <v>3.6056619126867417E-2</v>
      </c>
      <c r="Z269" s="23">
        <f t="shared" si="33"/>
        <v>2.9514174329068332E-3</v>
      </c>
      <c r="AA269" s="36"/>
    </row>
    <row r="270" spans="15:27" ht="17.100000000000001" customHeight="1" x14ac:dyDescent="0.3">
      <c r="O270" s="12">
        <f t="shared" ref="O270:O333" si="34">P270/12</f>
        <v>21.416666666666668</v>
      </c>
      <c r="P270" s="13">
        <v>257</v>
      </c>
      <c r="Q270" s="22">
        <v>3.5958864262211065E-2</v>
      </c>
      <c r="R270" s="19">
        <f t="shared" ref="R270:R333" si="35">(1+Q271)^P271/(1+Q270)^P270-1</f>
        <v>3.270345823716192E-2</v>
      </c>
      <c r="S270" s="22">
        <v>3.5941820500575261E-2</v>
      </c>
      <c r="T270" s="19">
        <f t="shared" ref="T270:T333" si="36">(1+S271)^P271/(1+S270)^P270-1</f>
        <v>3.256519488380194E-2</v>
      </c>
      <c r="U270" s="24">
        <v>4.0292986942775277E-2</v>
      </c>
      <c r="V270" s="24">
        <f t="shared" ref="V270:V333" si="37">(1+U271)^P271/(1+U270)^P270-1</f>
        <v>3.7004267302537697E-2</v>
      </c>
      <c r="W270" s="23">
        <f t="shared" si="31"/>
        <v>3.0281060481280875E-3</v>
      </c>
      <c r="X270" s="24">
        <v>3.942089600195553E-2</v>
      </c>
      <c r="Y270" s="24">
        <f t="shared" si="32"/>
        <v>3.6115384337936263E-2</v>
      </c>
      <c r="Z270" s="23">
        <f t="shared" si="33"/>
        <v>2.9561770667123621E-3</v>
      </c>
      <c r="AA270" s="36"/>
    </row>
    <row r="271" spans="15:27" ht="17.100000000000001" customHeight="1" x14ac:dyDescent="0.3">
      <c r="O271" s="12">
        <f t="shared" si="34"/>
        <v>21.5</v>
      </c>
      <c r="P271" s="13">
        <v>258</v>
      </c>
      <c r="Q271" s="22">
        <v>3.5946226619629318E-2</v>
      </c>
      <c r="R271" s="19">
        <f t="shared" si="35"/>
        <v>3.2748986256679435E-2</v>
      </c>
      <c r="S271" s="22">
        <v>3.5928711511362454E-2</v>
      </c>
      <c r="T271" s="19">
        <f t="shared" si="36"/>
        <v>3.2638627411480048E-2</v>
      </c>
      <c r="U271" s="24">
        <v>4.0280219854442745E-2</v>
      </c>
      <c r="V271" s="24">
        <f t="shared" si="37"/>
        <v>3.7059382589440304E-2</v>
      </c>
      <c r="W271" s="23">
        <f t="shared" ref="W271:W334" si="38">(1+V270)^(1/12)-1</f>
        <v>3.0325927242731421E-3</v>
      </c>
      <c r="X271" s="24">
        <v>3.9408063605040455E-2</v>
      </c>
      <c r="Y271" s="24">
        <f t="shared" ref="Y271:Y334" si="39">(1+X272)^P272/(1+X271)^P271-1</f>
        <v>3.617392142444098E-2</v>
      </c>
      <c r="Z271" s="23">
        <f t="shared" ref="Z271:Z334" si="40">(1+Y270)^(1/12)-1</f>
        <v>2.9609175894298456E-3</v>
      </c>
      <c r="AA271" s="36"/>
    </row>
    <row r="272" spans="15:27" ht="17.100000000000001" customHeight="1" x14ac:dyDescent="0.3">
      <c r="O272" s="12">
        <f t="shared" si="34"/>
        <v>21.583333333333332</v>
      </c>
      <c r="P272" s="13">
        <v>259</v>
      </c>
      <c r="Q272" s="22">
        <v>3.5933863047234116E-2</v>
      </c>
      <c r="R272" s="19">
        <f t="shared" si="35"/>
        <v>3.2793340061020526E-2</v>
      </c>
      <c r="S272" s="22">
        <v>3.5915988347018368E-2</v>
      </c>
      <c r="T272" s="19">
        <f t="shared" si="36"/>
        <v>3.2713186689289353E-2</v>
      </c>
      <c r="U272" s="24">
        <v>4.0267764972872877E-2</v>
      </c>
      <c r="V272" s="24">
        <f t="shared" si="37"/>
        <v>3.7113956522032199E-2</v>
      </c>
      <c r="W272" s="23">
        <f t="shared" si="38"/>
        <v>3.0370350944930458E-3</v>
      </c>
      <c r="X272" s="24">
        <v>3.9395557177593243E-2</v>
      </c>
      <c r="Y272" s="24">
        <f t="shared" si="39"/>
        <v>3.6232236060820266E-2</v>
      </c>
      <c r="Z272" s="23">
        <f t="shared" si="40"/>
        <v>2.9656394645760642E-3</v>
      </c>
      <c r="AA272" s="36"/>
    </row>
    <row r="273" spans="15:27" ht="17.100000000000001" customHeight="1" x14ac:dyDescent="0.3">
      <c r="O273" s="12">
        <f t="shared" si="34"/>
        <v>21.666666666666668</v>
      </c>
      <c r="P273" s="13">
        <v>260</v>
      </c>
      <c r="Q273" s="22">
        <v>3.5921765837050534E-2</v>
      </c>
      <c r="R273" s="19">
        <f t="shared" si="35"/>
        <v>3.2836526725404491E-2</v>
      </c>
      <c r="S273" s="22">
        <v>3.5903650870369175E-2</v>
      </c>
      <c r="T273" s="19">
        <f t="shared" si="36"/>
        <v>3.2788876836284064E-2</v>
      </c>
      <c r="U273" s="24">
        <v>4.0255616586579945E-2</v>
      </c>
      <c r="V273" s="24">
        <f t="shared" si="37"/>
        <v>3.716799464387055E-2</v>
      </c>
      <c r="W273" s="23">
        <f t="shared" si="38"/>
        <v>3.0414336175530465E-3</v>
      </c>
      <c r="X273" s="24">
        <v>3.9383372077598677E-2</v>
      </c>
      <c r="Y273" s="24">
        <f t="shared" si="39"/>
        <v>3.6290333890003579E-2</v>
      </c>
      <c r="Z273" s="23">
        <f t="shared" si="40"/>
        <v>2.9703431527277058E-3</v>
      </c>
      <c r="AA273" s="36"/>
    </row>
    <row r="274" spans="15:27" ht="17.100000000000001" customHeight="1" x14ac:dyDescent="0.3">
      <c r="O274" s="12">
        <f t="shared" si="34"/>
        <v>21.75</v>
      </c>
      <c r="P274" s="13">
        <v>261</v>
      </c>
      <c r="Q274" s="22">
        <v>3.5909927427421495E-2</v>
      </c>
      <c r="R274" s="19">
        <f t="shared" si="35"/>
        <v>3.2878550009219465E-2</v>
      </c>
      <c r="S274" s="22">
        <v>3.5891698961456608E-2</v>
      </c>
      <c r="T274" s="19">
        <f t="shared" si="36"/>
        <v>3.2865702152945264E-2</v>
      </c>
      <c r="U274" s="24">
        <v>4.0243769093610604E-2</v>
      </c>
      <c r="V274" s="24">
        <f t="shared" si="37"/>
        <v>3.7221502432092102E-2</v>
      </c>
      <c r="W274" s="23">
        <f t="shared" si="38"/>
        <v>3.0457887465533684E-3</v>
      </c>
      <c r="X274" s="24">
        <v>3.9371503756351345E-2</v>
      </c>
      <c r="Y274" s="24">
        <f t="shared" si="39"/>
        <v>3.634822052275366E-2</v>
      </c>
      <c r="Z274" s="23">
        <f t="shared" si="40"/>
        <v>2.9750291118140204E-3</v>
      </c>
      <c r="AA274" s="36"/>
    </row>
    <row r="275" spans="15:27" ht="17.100000000000001" customHeight="1" x14ac:dyDescent="0.3">
      <c r="O275" s="12">
        <f t="shared" si="34"/>
        <v>21.833333333333332</v>
      </c>
      <c r="P275" s="13">
        <v>262</v>
      </c>
      <c r="Q275" s="22">
        <v>3.5898340387486627E-2</v>
      </c>
      <c r="R275" s="19">
        <f t="shared" si="35"/>
        <v>3.2919413552971788E-2</v>
      </c>
      <c r="S275" s="22">
        <v>3.5880132517891905E-2</v>
      </c>
      <c r="T275" s="19">
        <f t="shared" si="36"/>
        <v>3.2943667127155907E-2</v>
      </c>
      <c r="U275" s="24">
        <v>4.0232216999179116E-2</v>
      </c>
      <c r="V275" s="24">
        <f t="shared" si="37"/>
        <v>3.7274485295795357E-2</v>
      </c>
      <c r="W275" s="23">
        <f t="shared" si="38"/>
        <v>3.0501009290930803E-3</v>
      </c>
      <c r="X275" s="24">
        <v>3.9359947756536284E-2</v>
      </c>
      <c r="Y275" s="24">
        <f t="shared" si="39"/>
        <v>3.6405901538080432E-2</v>
      </c>
      <c r="Z275" s="23">
        <f t="shared" si="40"/>
        <v>2.9796977970659722E-3</v>
      </c>
      <c r="AA275" s="36"/>
    </row>
    <row r="276" spans="15:27" ht="17.100000000000001" customHeight="1" x14ac:dyDescent="0.3">
      <c r="O276" s="12">
        <f t="shared" si="34"/>
        <v>21.916666666666668</v>
      </c>
      <c r="P276" s="13">
        <v>263</v>
      </c>
      <c r="Q276" s="22">
        <v>3.5886997414208643E-2</v>
      </c>
      <c r="R276" s="19">
        <f t="shared" si="35"/>
        <v>3.2959120882761317E-2</v>
      </c>
      <c r="S276" s="22">
        <v>3.5868951455225062E-2</v>
      </c>
      <c r="T276" s="19">
        <f t="shared" si="36"/>
        <v>3.3022776432179324E-2</v>
      </c>
      <c r="U276" s="24">
        <v>4.0220954913351648E-2</v>
      </c>
      <c r="V276" s="24">
        <f t="shared" si="37"/>
        <v>3.7326948581463792E-2</v>
      </c>
      <c r="W276" s="23">
        <f t="shared" si="38"/>
        <v>3.0543706071435306E-3</v>
      </c>
      <c r="X276" s="24">
        <v>3.9348699710356261E-2</v>
      </c>
      <c r="Y276" s="24">
        <f t="shared" si="39"/>
        <v>3.6463382485781182E-2</v>
      </c>
      <c r="Z276" s="23">
        <f t="shared" si="40"/>
        <v>2.9843496610506559E-3</v>
      </c>
      <c r="AA276" s="36"/>
    </row>
    <row r="277" spans="15:27" ht="17.100000000000001" customHeight="1" x14ac:dyDescent="0.3">
      <c r="O277" s="12">
        <f t="shared" si="34"/>
        <v>22</v>
      </c>
      <c r="P277" s="13">
        <v>264</v>
      </c>
      <c r="Q277" s="22">
        <v>3.5875891329486764E-2</v>
      </c>
      <c r="R277" s="19">
        <f t="shared" si="35"/>
        <v>3.2997678553920107E-2</v>
      </c>
      <c r="S277" s="22">
        <v>3.5858155707296335E-2</v>
      </c>
      <c r="T277" s="19">
        <f t="shared" si="36"/>
        <v>3.3103034930723974E-2</v>
      </c>
      <c r="U277" s="24">
        <v>4.0209977548802955E-2</v>
      </c>
      <c r="V277" s="24">
        <f t="shared" si="37"/>
        <v>3.7378897567507785E-2</v>
      </c>
      <c r="W277" s="23">
        <f t="shared" si="38"/>
        <v>3.0585982174879955E-3</v>
      </c>
      <c r="X277" s="24">
        <v>3.9337755337711222E-2</v>
      </c>
      <c r="Y277" s="24">
        <f t="shared" si="39"/>
        <v>3.6520668885033469E-2</v>
      </c>
      <c r="Z277" s="23">
        <f t="shared" si="40"/>
        <v>2.988985153878021E-3</v>
      </c>
      <c r="AA277" s="36"/>
    </row>
    <row r="278" spans="15:27" ht="17.100000000000001" customHeight="1" x14ac:dyDescent="0.3">
      <c r="O278" s="12">
        <f t="shared" si="34"/>
        <v>22.083333333333332</v>
      </c>
      <c r="P278" s="13">
        <v>265</v>
      </c>
      <c r="Q278" s="22">
        <v>3.586501508923079E-2</v>
      </c>
      <c r="R278" s="19">
        <f t="shared" si="35"/>
        <v>3.3035102446192344E-2</v>
      </c>
      <c r="S278" s="22">
        <v>3.5847745226595951E-2</v>
      </c>
      <c r="T278" s="19">
        <f t="shared" si="36"/>
        <v>3.3184447674894368E-2</v>
      </c>
      <c r="U278" s="24">
        <v>4.0199279718605485E-2</v>
      </c>
      <c r="V278" s="24">
        <f t="shared" si="37"/>
        <v>3.743033747143687E-2</v>
      </c>
      <c r="W278" s="23">
        <f t="shared" si="38"/>
        <v>3.0627841912855835E-3</v>
      </c>
      <c r="X278" s="24">
        <v>3.9327110444414171E-2</v>
      </c>
      <c r="Y278" s="24">
        <f t="shared" si="39"/>
        <v>3.6577766227103847E-2</v>
      </c>
      <c r="Z278" s="23">
        <f t="shared" si="40"/>
        <v>2.9936047230882945E-3</v>
      </c>
      <c r="AA278" s="36"/>
    </row>
    <row r="279" spans="15:27" ht="17.100000000000001" customHeight="1" x14ac:dyDescent="0.3">
      <c r="O279" s="12">
        <f t="shared" si="34"/>
        <v>22.166666666666668</v>
      </c>
      <c r="P279" s="13">
        <v>266</v>
      </c>
      <c r="Q279" s="22">
        <v>3.585436181595969E-2</v>
      </c>
      <c r="R279" s="19">
        <f t="shared" si="35"/>
        <v>3.3071398890505366E-2</v>
      </c>
      <c r="S279" s="22">
        <v>3.5837719984614491E-2</v>
      </c>
      <c r="T279" s="19">
        <f t="shared" si="36"/>
        <v>3.3267019909167361E-2</v>
      </c>
      <c r="U279" s="24">
        <v>4.0188856334094192E-2</v>
      </c>
      <c r="V279" s="24">
        <f t="shared" si="37"/>
        <v>3.7481273447211194E-2</v>
      </c>
      <c r="W279" s="23">
        <f t="shared" si="38"/>
        <v>3.06692895465277E-3</v>
      </c>
      <c r="X279" s="24">
        <v>3.9316760920458105E-2</v>
      </c>
      <c r="Y279" s="24">
        <f t="shared" si="39"/>
        <v>3.6634679974901108E-2</v>
      </c>
      <c r="Z279" s="23">
        <f t="shared" si="40"/>
        <v>2.9982088138724716E-3</v>
      </c>
      <c r="AA279" s="36"/>
    </row>
    <row r="280" spans="15:27" ht="17.100000000000001" customHeight="1" x14ac:dyDescent="0.3">
      <c r="O280" s="12">
        <f t="shared" si="34"/>
        <v>22.25</v>
      </c>
      <c r="P280" s="13">
        <v>267</v>
      </c>
      <c r="Q280" s="22">
        <v>3.5843924759784151E-2</v>
      </c>
      <c r="R280" s="19">
        <f t="shared" si="35"/>
        <v>3.3106570961438875E-2</v>
      </c>
      <c r="S280" s="22">
        <v>3.582807997219617E-2</v>
      </c>
      <c r="T280" s="19">
        <f t="shared" si="36"/>
        <v>3.3350757072480475E-2</v>
      </c>
      <c r="U280" s="24">
        <v>4.0178702402771327E-2</v>
      </c>
      <c r="V280" s="24">
        <f t="shared" si="37"/>
        <v>3.7531710587232592E-2</v>
      </c>
      <c r="W280" s="23">
        <f t="shared" si="38"/>
        <v>3.0710329284522331E-3</v>
      </c>
      <c r="X280" s="24">
        <v>3.9306702738319599E-2</v>
      </c>
      <c r="Y280" s="24">
        <f t="shared" si="39"/>
        <v>3.6691415564684693E-2</v>
      </c>
      <c r="Z280" s="23">
        <f t="shared" si="40"/>
        <v>3.0027978690372326E-3</v>
      </c>
      <c r="AA280" s="36"/>
    </row>
    <row r="281" spans="15:27" ht="17.100000000000001" customHeight="1" x14ac:dyDescent="0.3">
      <c r="O281" s="12">
        <f t="shared" si="34"/>
        <v>22.333333333333332</v>
      </c>
      <c r="P281" s="13">
        <v>268</v>
      </c>
      <c r="Q281" s="22">
        <v>3.5833697283813359E-2</v>
      </c>
      <c r="R281" s="19">
        <f t="shared" si="35"/>
        <v>3.3140621629262235E-2</v>
      </c>
      <c r="S281" s="22">
        <v>3.5818825199891657E-2</v>
      </c>
      <c r="T281" s="19">
        <f t="shared" si="36"/>
        <v>3.3435664797941245E-2</v>
      </c>
      <c r="U281" s="24">
        <v>4.0168813026265182E-2</v>
      </c>
      <c r="V281" s="24">
        <f t="shared" si="37"/>
        <v>3.7581653922228009E-2</v>
      </c>
      <c r="W281" s="23">
        <f t="shared" si="38"/>
        <v>3.0750965284567222E-3</v>
      </c>
      <c r="X281" s="24">
        <v>3.9296931951308123E-2</v>
      </c>
      <c r="Y281" s="24">
        <f t="shared" si="39"/>
        <v>3.6747978405643034E-2</v>
      </c>
      <c r="Z281" s="23">
        <f t="shared" si="40"/>
        <v>3.0073723291437204E-3</v>
      </c>
      <c r="AA281" s="36"/>
    </row>
    <row r="282" spans="15:27" ht="17.100000000000001" customHeight="1" x14ac:dyDescent="0.3">
      <c r="O282" s="12">
        <f t="shared" si="34"/>
        <v>22.416666666666668</v>
      </c>
      <c r="P282" s="13">
        <v>269</v>
      </c>
      <c r="Q282" s="22">
        <v>3.5823672861639011E-2</v>
      </c>
      <c r="R282" s="19">
        <f t="shared" si="35"/>
        <v>3.3173553756866259E-2</v>
      </c>
      <c r="S282" s="22">
        <v>3.580995569830181E-2</v>
      </c>
      <c r="T282" s="19">
        <f t="shared" si="36"/>
        <v>3.3521748916700567E-2</v>
      </c>
      <c r="U282" s="24">
        <v>4.0159183398334797E-2</v>
      </c>
      <c r="V282" s="24">
        <f t="shared" si="37"/>
        <v>3.7631108422797377E-2</v>
      </c>
      <c r="W282" s="23">
        <f t="shared" si="38"/>
        <v>3.0791201653428413E-3</v>
      </c>
      <c r="X282" s="24">
        <v>3.9287444691950668E-2</v>
      </c>
      <c r="Y282" s="24">
        <f t="shared" si="39"/>
        <v>3.6804373881298202E-2</v>
      </c>
      <c r="Z282" s="23">
        <f t="shared" si="40"/>
        <v>3.011932632476233E-3</v>
      </c>
      <c r="AA282" s="36"/>
    </row>
    <row r="283" spans="15:27" ht="17.100000000000001" customHeight="1" x14ac:dyDescent="0.3">
      <c r="O283" s="12">
        <f t="shared" si="34"/>
        <v>22.5</v>
      </c>
      <c r="P283" s="13">
        <v>270</v>
      </c>
      <c r="Q283" s="22">
        <v>3.5813845074864181E-2</v>
      </c>
      <c r="R283" s="19">
        <f t="shared" si="35"/>
        <v>3.3205373196296017E-2</v>
      </c>
      <c r="S283" s="22">
        <v>3.5801471518427164E-2</v>
      </c>
      <c r="T283" s="19">
        <f t="shared" si="36"/>
        <v>3.3609015460108305E-2</v>
      </c>
      <c r="U283" s="24">
        <v>4.0149808802924847E-2</v>
      </c>
      <c r="V283" s="24">
        <f t="shared" si="37"/>
        <v>3.7680079001429778E-2</v>
      </c>
      <c r="W283" s="23">
        <f t="shared" si="38"/>
        <v>3.083104244818502E-3</v>
      </c>
      <c r="X283" s="24">
        <v>3.9278237170417452E-2</v>
      </c>
      <c r="Y283" s="24">
        <f t="shared" si="39"/>
        <v>3.686060735158958E-2</v>
      </c>
      <c r="Z283" s="23">
        <f t="shared" si="40"/>
        <v>3.0164792151545772E-3</v>
      </c>
      <c r="AA283" s="36"/>
    </row>
    <row r="284" spans="15:27" ht="17.100000000000001" customHeight="1" x14ac:dyDescent="0.3">
      <c r="O284" s="12">
        <f t="shared" si="34"/>
        <v>22.583333333333332</v>
      </c>
      <c r="P284" s="13">
        <v>271</v>
      </c>
      <c r="Q284" s="22">
        <v>3.5804207622143203E-2</v>
      </c>
      <c r="R284" s="19">
        <f t="shared" si="35"/>
        <v>3.3236094971987207E-2</v>
      </c>
      <c r="S284" s="22">
        <v>3.5793372732017659E-2</v>
      </c>
      <c r="T284" s="19">
        <f t="shared" si="36"/>
        <v>3.3697470659695972E-2</v>
      </c>
      <c r="U284" s="24">
        <v>4.014068461227227E-2</v>
      </c>
      <c r="V284" s="24">
        <f t="shared" si="37"/>
        <v>3.7728570510676684E-2</v>
      </c>
      <c r="W284" s="23">
        <f t="shared" si="38"/>
        <v>3.0870491677879031E-3</v>
      </c>
      <c r="X284" s="24">
        <v>3.9269305672990251E-2</v>
      </c>
      <c r="Y284" s="24">
        <f t="shared" si="39"/>
        <v>3.6916684151191204E-2</v>
      </c>
      <c r="Z284" s="23">
        <f t="shared" si="40"/>
        <v>3.0210125113050434E-3</v>
      </c>
      <c r="AA284" s="36"/>
    </row>
    <row r="285" spans="15:27" ht="17.100000000000001" customHeight="1" x14ac:dyDescent="0.3">
      <c r="O285" s="12">
        <f t="shared" si="34"/>
        <v>22.666666666666668</v>
      </c>
      <c r="P285" s="13">
        <v>272</v>
      </c>
      <c r="Q285" s="22">
        <v>3.5794754350808144E-2</v>
      </c>
      <c r="R285" s="19">
        <f t="shared" si="35"/>
        <v>3.3265724728657187E-2</v>
      </c>
      <c r="S285" s="22">
        <v>3.5785659431913919E-2</v>
      </c>
      <c r="T285" s="19">
        <f t="shared" si="36"/>
        <v>3.3787120951267902E-2</v>
      </c>
      <c r="U285" s="24">
        <v>4.0131806285047089E-2</v>
      </c>
      <c r="V285" s="24">
        <f t="shared" si="37"/>
        <v>3.7776587745971923E-2</v>
      </c>
      <c r="W285" s="23">
        <f t="shared" si="38"/>
        <v>3.0909553302078674E-3</v>
      </c>
      <c r="X285" s="24">
        <v>3.9260646560559609E-2</v>
      </c>
      <c r="Y285" s="24">
        <f t="shared" si="39"/>
        <v>3.6972609591422012E-2</v>
      </c>
      <c r="Z285" s="23">
        <f t="shared" si="40"/>
        <v>3.0255329529249586E-3</v>
      </c>
      <c r="AA285" s="36"/>
    </row>
    <row r="286" spans="15:27" ht="17.100000000000001" customHeight="1" x14ac:dyDescent="0.3">
      <c r="O286" s="12">
        <f t="shared" si="34"/>
        <v>22.75</v>
      </c>
      <c r="P286" s="13">
        <v>273</v>
      </c>
      <c r="Q286" s="22">
        <v>3.5785479219673455E-2</v>
      </c>
      <c r="R286" s="19">
        <f t="shared" si="35"/>
        <v>3.3294264920446848E-2</v>
      </c>
      <c r="S286" s="22">
        <v>3.5778331732395197E-2</v>
      </c>
      <c r="T286" s="19">
        <f t="shared" si="36"/>
        <v>3.3877972975748349E-2</v>
      </c>
      <c r="U286" s="24">
        <v>4.0123169364546296E-2</v>
      </c>
      <c r="V286" s="24">
        <f t="shared" si="37"/>
        <v>3.7824135445482243E-2</v>
      </c>
      <c r="W286" s="23">
        <f t="shared" si="38"/>
        <v>3.0948231233169921E-3</v>
      </c>
      <c r="X286" s="24">
        <v>3.9252256267161556E-2</v>
      </c>
      <c r="Y286" s="24">
        <f t="shared" si="39"/>
        <v>3.7028388960736125E-2</v>
      </c>
      <c r="Z286" s="23">
        <f t="shared" si="40"/>
        <v>3.0300409700383391E-3</v>
      </c>
      <c r="AA286" s="36"/>
    </row>
    <row r="287" spans="15:27" ht="17.100000000000001" customHeight="1" x14ac:dyDescent="0.3">
      <c r="O287" s="12">
        <f t="shared" si="34"/>
        <v>22.833333333333332</v>
      </c>
      <c r="P287" s="13">
        <v>274</v>
      </c>
      <c r="Q287" s="22">
        <v>3.5776376285303835E-2</v>
      </c>
      <c r="R287" s="19">
        <f t="shared" si="35"/>
        <v>3.3321717901739545E-2</v>
      </c>
      <c r="S287" s="22">
        <v>3.5771389769523765E-2</v>
      </c>
      <c r="T287" s="19">
        <f t="shared" si="36"/>
        <v>3.3970033582159775E-2</v>
      </c>
      <c r="U287" s="24">
        <v>4.0114769476925938E-2</v>
      </c>
      <c r="V287" s="24">
        <f t="shared" si="37"/>
        <v>3.7871218292177211E-2</v>
      </c>
      <c r="W287" s="23">
        <f t="shared" si="38"/>
        <v>3.0986529336263224E-3</v>
      </c>
      <c r="X287" s="24">
        <v>3.9244131298548535E-2</v>
      </c>
      <c r="Y287" s="24">
        <f t="shared" si="39"/>
        <v>3.7084027527390484E-2</v>
      </c>
      <c r="Z287" s="23">
        <f t="shared" si="40"/>
        <v>3.0345369907356368E-3</v>
      </c>
      <c r="AA287" s="36"/>
    </row>
    <row r="288" spans="15:27" ht="17.100000000000001" customHeight="1" x14ac:dyDescent="0.3">
      <c r="O288" s="12">
        <f t="shared" si="34"/>
        <v>22.916666666666668</v>
      </c>
      <c r="P288" s="13">
        <v>275</v>
      </c>
      <c r="Q288" s="22">
        <v>3.57674396998513E-2</v>
      </c>
      <c r="R288" s="19">
        <f t="shared" si="35"/>
        <v>3.3348085932088933E-2</v>
      </c>
      <c r="S288" s="22">
        <v>3.5764833701489751E-2</v>
      </c>
      <c r="T288" s="19">
        <f t="shared" si="36"/>
        <v>3.4063309829831967E-2</v>
      </c>
      <c r="U288" s="24">
        <v>4.010660232948049E-2</v>
      </c>
      <c r="V288" s="24">
        <f t="shared" si="37"/>
        <v>3.7917840912523815E-2</v>
      </c>
      <c r="W288" s="23">
        <f t="shared" si="38"/>
        <v>3.1024451430894384E-3</v>
      </c>
      <c r="X288" s="24">
        <v>3.9236268230801175E-2</v>
      </c>
      <c r="Y288" s="24">
        <f t="shared" si="39"/>
        <v>3.7139530536375975E-2</v>
      </c>
      <c r="Z288" s="23">
        <f t="shared" si="40"/>
        <v>3.0390214413908989E-3</v>
      </c>
      <c r="AA288" s="36"/>
    </row>
    <row r="289" spans="15:27" ht="17.100000000000001" customHeight="1" x14ac:dyDescent="0.3">
      <c r="O289" s="12">
        <f t="shared" si="34"/>
        <v>23</v>
      </c>
      <c r="P289" s="13">
        <v>276</v>
      </c>
      <c r="Q289" s="22">
        <v>3.5758663708957084E-2</v>
      </c>
      <c r="R289" s="19">
        <f t="shared" si="35"/>
        <v>3.3373374214070939E-2</v>
      </c>
      <c r="S289" s="22">
        <v>3.5758663708958416E-2</v>
      </c>
      <c r="T289" s="19">
        <f t="shared" si="36"/>
        <v>3.4157426871139096E-2</v>
      </c>
      <c r="U289" s="24">
        <v>4.0098663708954874E-2</v>
      </c>
      <c r="V289" s="24">
        <f t="shared" si="37"/>
        <v>3.7964010277799831E-2</v>
      </c>
      <c r="W289" s="23">
        <f t="shared" si="38"/>
        <v>3.1062001289989816E-3</v>
      </c>
      <c r="X289" s="24">
        <v>3.922866370896072E-2</v>
      </c>
      <c r="Y289" s="24">
        <f t="shared" si="39"/>
        <v>3.7194832854124282E-2</v>
      </c>
      <c r="Z289" s="23">
        <f t="shared" si="40"/>
        <v>3.0434947464144102E-3</v>
      </c>
      <c r="AA289" s="36"/>
    </row>
    <row r="290" spans="15:27" ht="17.100000000000001" customHeight="1" x14ac:dyDescent="0.3">
      <c r="O290" s="12">
        <f t="shared" si="34"/>
        <v>23.083333333333332</v>
      </c>
      <c r="P290" s="13">
        <v>277</v>
      </c>
      <c r="Q290" s="22">
        <v>3.5750042660692483E-2</v>
      </c>
      <c r="R290" s="19">
        <f t="shared" si="35"/>
        <v>3.3397596978493205E-2</v>
      </c>
      <c r="S290" s="22">
        <v>3.575287861379528E-2</v>
      </c>
      <c r="T290" s="19">
        <f t="shared" si="36"/>
        <v>3.4250865574255718E-2</v>
      </c>
      <c r="U290" s="24">
        <v>4.0090949488580385E-2</v>
      </c>
      <c r="V290" s="24">
        <f t="shared" si="37"/>
        <v>3.8009740499225675E-2</v>
      </c>
      <c r="W290" s="23">
        <f t="shared" si="38"/>
        <v>3.1099184573792904E-3</v>
      </c>
      <c r="X290" s="24">
        <v>3.9221314191202561E-2</v>
      </c>
      <c r="Y290" s="24">
        <f t="shared" si="39"/>
        <v>3.7249658474969083E-2</v>
      </c>
      <c r="Z290" s="23">
        <f t="shared" si="40"/>
        <v>3.0479516583352684E-3</v>
      </c>
      <c r="AA290" s="36"/>
    </row>
    <row r="291" spans="15:27" ht="17.100000000000001" customHeight="1" x14ac:dyDescent="0.3">
      <c r="O291" s="12">
        <f t="shared" si="34"/>
        <v>23.166666666666668</v>
      </c>
      <c r="P291" s="13">
        <v>278</v>
      </c>
      <c r="Q291" s="22">
        <v>3.5741571036242981E-2</v>
      </c>
      <c r="R291" s="19">
        <f t="shared" si="35"/>
        <v>3.3420759240131215E-2</v>
      </c>
      <c r="S291" s="22">
        <v>3.574747178194615E-2</v>
      </c>
      <c r="T291" s="19">
        <f t="shared" si="36"/>
        <v>3.4343256518009957E-2</v>
      </c>
      <c r="U291" s="24">
        <v>4.0083455652239586E-2</v>
      </c>
      <c r="V291" s="24">
        <f t="shared" si="37"/>
        <v>3.8055038423438825E-2</v>
      </c>
      <c r="W291" s="23">
        <f t="shared" si="38"/>
        <v>3.1136012691106441E-3</v>
      </c>
      <c r="X291" s="24">
        <v>3.9214215192281854E-2</v>
      </c>
      <c r="Y291" s="24">
        <f t="shared" si="39"/>
        <v>3.7303942832868309E-2</v>
      </c>
      <c r="Z291" s="23">
        <f t="shared" si="40"/>
        <v>3.0523699373852242E-3</v>
      </c>
      <c r="AA291" s="36"/>
    </row>
    <row r="292" spans="15:27" ht="17.100000000000001" customHeight="1" x14ac:dyDescent="0.3">
      <c r="O292" s="12">
        <f t="shared" si="34"/>
        <v>23.25</v>
      </c>
      <c r="P292" s="13">
        <v>279</v>
      </c>
      <c r="Q292" s="22">
        <v>3.5733243414391325E-2</v>
      </c>
      <c r="R292" s="19">
        <f t="shared" si="35"/>
        <v>3.3442862882006263E-2</v>
      </c>
      <c r="S292" s="22">
        <v>3.5742435349718216E-2</v>
      </c>
      <c r="T292" s="19">
        <f t="shared" si="36"/>
        <v>3.4434612719277169E-2</v>
      </c>
      <c r="U292" s="24">
        <v>4.0076178266376106E-2</v>
      </c>
      <c r="V292" s="24">
        <f t="shared" si="37"/>
        <v>3.8099908444211072E-2</v>
      </c>
      <c r="W292" s="23">
        <f t="shared" si="38"/>
        <v>3.1172491198405705E-3</v>
      </c>
      <c r="X292" s="24">
        <v>3.9207362059914486E-2</v>
      </c>
      <c r="Y292" s="24">
        <f t="shared" si="39"/>
        <v>3.7357691712793351E-2</v>
      </c>
      <c r="Z292" s="23">
        <f t="shared" si="40"/>
        <v>3.0567443863069865E-3</v>
      </c>
      <c r="AA292" s="36"/>
    </row>
    <row r="293" spans="15:27" ht="17.100000000000001" customHeight="1" x14ac:dyDescent="0.3">
      <c r="O293" s="12">
        <f t="shared" si="34"/>
        <v>23.333333333333332</v>
      </c>
      <c r="P293" s="13">
        <v>280</v>
      </c>
      <c r="Q293" s="22">
        <v>3.5725054458544347E-2</v>
      </c>
      <c r="R293" s="19">
        <f t="shared" si="35"/>
        <v>3.3463909697609928E-2</v>
      </c>
      <c r="S293" s="22">
        <v>3.5737761613784391E-2</v>
      </c>
      <c r="T293" s="19">
        <f t="shared" si="36"/>
        <v>3.4524947005335482E-2</v>
      </c>
      <c r="U293" s="24">
        <v>4.0069113469730411E-2</v>
      </c>
      <c r="V293" s="24">
        <f t="shared" si="37"/>
        <v>3.8144354906282318E-2</v>
      </c>
      <c r="W293" s="23">
        <f t="shared" si="38"/>
        <v>3.1208623675691438E-3</v>
      </c>
      <c r="X293" s="24">
        <v>3.9200750229505532E-2</v>
      </c>
      <c r="Y293" s="24">
        <f t="shared" si="39"/>
        <v>3.7410910828145516E-2</v>
      </c>
      <c r="Z293" s="23">
        <f t="shared" si="40"/>
        <v>3.0610754775415305E-3</v>
      </c>
      <c r="AA293" s="36"/>
    </row>
    <row r="294" spans="15:27" ht="17.100000000000001" customHeight="1" x14ac:dyDescent="0.3">
      <c r="O294" s="12">
        <f t="shared" si="34"/>
        <v>23.416666666666668</v>
      </c>
      <c r="P294" s="13">
        <v>281</v>
      </c>
      <c r="Q294" s="22">
        <v>3.5716998914889109E-2</v>
      </c>
      <c r="R294" s="19">
        <f t="shared" si="35"/>
        <v>3.3483901394013582E-2</v>
      </c>
      <c r="S294" s="22">
        <v>3.5733443027605727E-2</v>
      </c>
      <c r="T294" s="19">
        <f t="shared" si="36"/>
        <v>3.4614272019498182E-2</v>
      </c>
      <c r="U294" s="24">
        <v>4.0062257471868312E-2</v>
      </c>
      <c r="V294" s="24">
        <f t="shared" si="37"/>
        <v>3.8188382103733876E-2</v>
      </c>
      <c r="W294" s="23">
        <f t="shared" si="38"/>
        <v>3.1244413662521175E-3</v>
      </c>
      <c r="X294" s="24">
        <v>3.9194375222318278E-2</v>
      </c>
      <c r="Y294" s="24">
        <f t="shared" si="39"/>
        <v>3.7463605824542334E-2</v>
      </c>
      <c r="Z294" s="23">
        <f t="shared" si="40"/>
        <v>3.0653636776114546E-3</v>
      </c>
      <c r="AA294" s="36"/>
    </row>
    <row r="295" spans="15:27" ht="17.100000000000001" customHeight="1" x14ac:dyDescent="0.3">
      <c r="O295" s="12">
        <f t="shared" si="34"/>
        <v>23.5</v>
      </c>
      <c r="P295" s="13">
        <v>282</v>
      </c>
      <c r="Q295" s="22">
        <v>3.5709071610599885E-2</v>
      </c>
      <c r="R295" s="19">
        <f t="shared" si="35"/>
        <v>3.3502842576247138E-2</v>
      </c>
      <c r="S295" s="22">
        <v>3.5729472197951084E-2</v>
      </c>
      <c r="T295" s="19">
        <f t="shared" si="36"/>
        <v>3.4702600222687341E-2</v>
      </c>
      <c r="U295" s="24">
        <v>4.0055606551733902E-2</v>
      </c>
      <c r="V295" s="24">
        <f t="shared" si="37"/>
        <v>3.8231994281620274E-2</v>
      </c>
      <c r="W295" s="23">
        <f t="shared" si="38"/>
        <v>3.1279864656725831E-3</v>
      </c>
      <c r="X295" s="24">
        <v>3.9188232643696086E-2</v>
      </c>
      <c r="Y295" s="24">
        <f t="shared" si="39"/>
        <v>3.751578227918273E-2</v>
      </c>
      <c r="Z295" s="23">
        <f t="shared" si="40"/>
        <v>3.0696094474300661E-3</v>
      </c>
      <c r="AA295" s="36"/>
    </row>
    <row r="296" spans="15:27" ht="17.100000000000001" customHeight="1" x14ac:dyDescent="0.3">
      <c r="O296" s="12">
        <f t="shared" si="34"/>
        <v>23.583333333333332</v>
      </c>
      <c r="P296" s="13">
        <v>283</v>
      </c>
      <c r="Q296" s="22">
        <v>3.5701267462651565E-2</v>
      </c>
      <c r="R296" s="19">
        <f t="shared" si="35"/>
        <v>3.3520746733756157E-2</v>
      </c>
      <c r="S296" s="22">
        <v>3.5725841881496745E-2</v>
      </c>
      <c r="T296" s="19">
        <f t="shared" si="36"/>
        <v>3.4789943896891273E-2</v>
      </c>
      <c r="U296" s="24">
        <v>4.0049157056241125E-2</v>
      </c>
      <c r="V296" s="24">
        <f t="shared" si="37"/>
        <v>3.8275195638486803E-2</v>
      </c>
      <c r="W296" s="23">
        <f t="shared" si="38"/>
        <v>3.1314980115735302E-3</v>
      </c>
      <c r="X296" s="24">
        <v>3.9182318181320008E-2</v>
      </c>
      <c r="Y296" s="24">
        <f t="shared" si="39"/>
        <v>3.7567445701458313E-2</v>
      </c>
      <c r="Z296" s="23">
        <f t="shared" si="40"/>
        <v>3.0738132422531983E-3</v>
      </c>
      <c r="AA296" s="36"/>
    </row>
    <row r="297" spans="15:27" ht="17.100000000000001" customHeight="1" x14ac:dyDescent="0.3">
      <c r="O297" s="12">
        <f t="shared" si="34"/>
        <v>23.666666666666668</v>
      </c>
      <c r="P297" s="13">
        <v>284</v>
      </c>
      <c r="Q297" s="22">
        <v>3.5693581507568961E-2</v>
      </c>
      <c r="R297" s="19">
        <f t="shared" si="35"/>
        <v>3.3537618301481498E-2</v>
      </c>
      <c r="S297" s="22">
        <v>3.5722544981513504E-2</v>
      </c>
      <c r="T297" s="19">
        <f t="shared" si="36"/>
        <v>3.4876315149682702E-2</v>
      </c>
      <c r="U297" s="24">
        <v>4.0042905398902651E-2</v>
      </c>
      <c r="V297" s="24">
        <f t="shared" si="37"/>
        <v>3.8317990323699869E-2</v>
      </c>
      <c r="W297" s="23">
        <f t="shared" si="38"/>
        <v>3.1349763458634605E-3</v>
      </c>
      <c r="X297" s="24">
        <v>3.9176627603506153E-2</v>
      </c>
      <c r="Y297" s="24">
        <f t="shared" si="39"/>
        <v>3.7618601536099971E-2</v>
      </c>
      <c r="Z297" s="23">
        <f t="shared" si="40"/>
        <v>3.0779755117320562E-3</v>
      </c>
      <c r="AA297" s="36"/>
    </row>
    <row r="298" spans="15:27" ht="17.100000000000001" customHeight="1" x14ac:dyDescent="0.3">
      <c r="O298" s="12">
        <f t="shared" si="34"/>
        <v>23.75</v>
      </c>
      <c r="P298" s="13">
        <v>285</v>
      </c>
      <c r="Q298" s="22">
        <v>3.5686008867472196E-2</v>
      </c>
      <c r="R298" s="19">
        <f t="shared" si="35"/>
        <v>3.3553458640309008E-2</v>
      </c>
      <c r="S298" s="22">
        <v>3.5719574544638588E-2</v>
      </c>
      <c r="T298" s="19">
        <f t="shared" si="36"/>
        <v>3.4961725914099517E-2</v>
      </c>
      <c r="U298" s="24">
        <v>4.0036848058479624E-2</v>
      </c>
      <c r="V298" s="24">
        <f t="shared" si="37"/>
        <v>3.8360382438871188E-2</v>
      </c>
      <c r="W298" s="23">
        <f t="shared" si="38"/>
        <v>3.1384218064025582E-3</v>
      </c>
      <c r="X298" s="24">
        <v>3.9171156757549896E-2</v>
      </c>
      <c r="Y298" s="24">
        <f t="shared" si="39"/>
        <v>3.7669255160162951E-2</v>
      </c>
      <c r="Z298" s="23">
        <f t="shared" si="40"/>
        <v>3.0820967001703448E-3</v>
      </c>
      <c r="AA298" s="36"/>
    </row>
    <row r="299" spans="15:27" ht="17.100000000000001" customHeight="1" x14ac:dyDescent="0.3">
      <c r="O299" s="12">
        <f t="shared" si="34"/>
        <v>23.833333333333332</v>
      </c>
      <c r="P299" s="13">
        <v>286</v>
      </c>
      <c r="Q299" s="22">
        <v>3.5678544737792084E-2</v>
      </c>
      <c r="R299" s="19">
        <f t="shared" si="35"/>
        <v>3.3568269030899378E-2</v>
      </c>
      <c r="S299" s="22">
        <v>3.5716923757718178E-2</v>
      </c>
      <c r="T299" s="19">
        <f t="shared" si="36"/>
        <v>3.5046187954772323E-2</v>
      </c>
      <c r="U299" s="24">
        <v>4.0030981577664271E-2</v>
      </c>
      <c r="V299" s="24">
        <f t="shared" si="37"/>
        <v>3.8402376041979158E-2</v>
      </c>
      <c r="W299" s="23">
        <f t="shared" si="38"/>
        <v>3.1418347271203739E-3</v>
      </c>
      <c r="X299" s="24">
        <v>3.9165901568095185E-2</v>
      </c>
      <c r="Y299" s="24">
        <f t="shared" si="39"/>
        <v>3.7719411888735843E-2</v>
      </c>
      <c r="Z299" s="23">
        <f t="shared" si="40"/>
        <v>3.0861772462837944E-3</v>
      </c>
      <c r="AA299" s="36"/>
    </row>
    <row r="300" spans="15:27" ht="17.100000000000001" customHeight="1" x14ac:dyDescent="0.3">
      <c r="O300" s="12">
        <f t="shared" si="34"/>
        <v>23.916666666666668</v>
      </c>
      <c r="P300" s="13">
        <v>287</v>
      </c>
      <c r="Q300" s="22">
        <v>3.5671184385697829E-2</v>
      </c>
      <c r="R300" s="19">
        <f t="shared" si="35"/>
        <v>3.3582050669543451E-2</v>
      </c>
      <c r="S300" s="22">
        <v>3.5714585944737198E-2</v>
      </c>
      <c r="T300" s="19">
        <f t="shared" si="36"/>
        <v>3.512971286945854E-2</v>
      </c>
      <c r="U300" s="24">
        <v>4.0025302561804921E-2</v>
      </c>
      <c r="V300" s="24">
        <f t="shared" si="37"/>
        <v>3.8443975143196418E-2</v>
      </c>
      <c r="W300" s="23">
        <f t="shared" si="38"/>
        <v>3.1452154383488917E-3</v>
      </c>
      <c r="X300" s="24">
        <v>3.9160858035557355E-2</v>
      </c>
      <c r="Y300" s="24">
        <f t="shared" si="39"/>
        <v>3.7769076972163473E-2</v>
      </c>
      <c r="Z300" s="23">
        <f t="shared" si="40"/>
        <v>3.0902175836642343E-3</v>
      </c>
      <c r="AA300" s="36"/>
    </row>
    <row r="301" spans="15:27" ht="17.100000000000001" customHeight="1" x14ac:dyDescent="0.3">
      <c r="O301" s="12">
        <f t="shared" si="34"/>
        <v>24</v>
      </c>
      <c r="P301" s="13">
        <v>288</v>
      </c>
      <c r="Q301" s="22">
        <v>3.5663923148542054E-2</v>
      </c>
      <c r="R301" s="19">
        <f t="shared" si="35"/>
        <v>3.3594807615847877E-2</v>
      </c>
      <c r="S301" s="22">
        <v>3.5712554563820165E-2</v>
      </c>
      <c r="T301" s="19">
        <f t="shared" si="36"/>
        <v>3.5212312092101961E-2</v>
      </c>
      <c r="U301" s="24">
        <v>4.0019807677643238E-2</v>
      </c>
      <c r="V301" s="24">
        <f t="shared" si="37"/>
        <v>3.8485183707969606E-2</v>
      </c>
      <c r="W301" s="23">
        <f t="shared" si="38"/>
        <v>3.1485642664881297E-3</v>
      </c>
      <c r="X301" s="24">
        <v>3.915602223457082E-2</v>
      </c>
      <c r="Y301" s="24">
        <f t="shared" si="39"/>
        <v>3.7818255599378237E-2</v>
      </c>
      <c r="Z301" s="23">
        <f t="shared" si="40"/>
        <v>3.0942181405582136E-3</v>
      </c>
      <c r="AA301" s="36"/>
    </row>
    <row r="302" spans="15:27" ht="17.100000000000001" customHeight="1" x14ac:dyDescent="0.3">
      <c r="O302" s="12">
        <f t="shared" si="34"/>
        <v>24.083333333333332</v>
      </c>
      <c r="P302" s="13">
        <v>289</v>
      </c>
      <c r="Q302" s="22">
        <v>3.5656756442558946E-2</v>
      </c>
      <c r="R302" s="19">
        <f t="shared" si="35"/>
        <v>3.3606552664523948E-2</v>
      </c>
      <c r="S302" s="22">
        <v>3.5710823204306852E-2</v>
      </c>
      <c r="T302" s="19">
        <f t="shared" si="36"/>
        <v>3.5293996894822932E-2</v>
      </c>
      <c r="U302" s="24">
        <v>4.0014493652088978E-2</v>
      </c>
      <c r="V302" s="24">
        <f t="shared" si="37"/>
        <v>3.8526005657526952E-2</v>
      </c>
      <c r="W302" s="23">
        <f t="shared" si="38"/>
        <v>3.1518815342572726E-3</v>
      </c>
      <c r="X302" s="24">
        <v>3.9151390312479606E-2</v>
      </c>
      <c r="Y302" s="24">
        <f t="shared" si="39"/>
        <v>3.7866952895820649E-2</v>
      </c>
      <c r="Z302" s="23">
        <f t="shared" si="40"/>
        <v>3.0981793401387847E-3</v>
      </c>
      <c r="AA302" s="36"/>
    </row>
    <row r="303" spans="15:27" ht="17.100000000000001" customHeight="1" x14ac:dyDescent="0.3">
      <c r="O303" s="12">
        <f t="shared" si="34"/>
        <v>24.166666666666668</v>
      </c>
      <c r="P303" s="13">
        <v>290</v>
      </c>
      <c r="Q303" s="22">
        <v>3.5649679791669664E-2</v>
      </c>
      <c r="R303" s="19">
        <f t="shared" si="35"/>
        <v>3.3617289714688026E-2</v>
      </c>
      <c r="S303" s="22">
        <v>3.5709385583895026E-2</v>
      </c>
      <c r="T303" s="19">
        <f t="shared" si="36"/>
        <v>3.5374778391500383E-2</v>
      </c>
      <c r="U303" s="24">
        <v>4.0009357271021839E-2</v>
      </c>
      <c r="V303" s="24">
        <f t="shared" si="37"/>
        <v>3.8566444868313399E-2</v>
      </c>
      <c r="W303" s="23">
        <f t="shared" si="38"/>
        <v>3.1551675607355278E-3</v>
      </c>
      <c r="X303" s="24">
        <v>3.9146958487853212E-2</v>
      </c>
      <c r="Y303" s="24">
        <f t="shared" si="39"/>
        <v>3.7915173927314916E-2</v>
      </c>
      <c r="Z303" s="23">
        <f t="shared" si="40"/>
        <v>3.1021016003407453E-3</v>
      </c>
      <c r="AA303" s="36"/>
    </row>
    <row r="304" spans="15:27" ht="17.100000000000001" customHeight="1" x14ac:dyDescent="0.3">
      <c r="O304" s="12">
        <f t="shared" si="34"/>
        <v>24.25</v>
      </c>
      <c r="P304" s="13">
        <v>291</v>
      </c>
      <c r="Q304" s="22">
        <v>3.5642688794985444E-2</v>
      </c>
      <c r="R304" s="19">
        <f t="shared" si="35"/>
        <v>3.3627019650055434E-2</v>
      </c>
      <c r="S304" s="22">
        <v>3.5708235545856892E-2</v>
      </c>
      <c r="T304" s="19">
        <f t="shared" si="36"/>
        <v>3.5454667541100493E-2</v>
      </c>
      <c r="U304" s="24">
        <v>4.0004395378115509E-2</v>
      </c>
      <c r="V304" s="24">
        <f t="shared" si="37"/>
        <v>3.8606505175126982E-2</v>
      </c>
      <c r="W304" s="23">
        <f t="shared" si="38"/>
        <v>3.1584226613194932E-3</v>
      </c>
      <c r="X304" s="24">
        <v>3.914272304904598E-2</v>
      </c>
      <c r="Y304" s="24">
        <f t="shared" si="39"/>
        <v>3.7962923700591844E-2</v>
      </c>
      <c r="Z304" s="23">
        <f t="shared" si="40"/>
        <v>3.1059853341757204E-3</v>
      </c>
      <c r="AA304" s="36"/>
    </row>
    <row r="305" spans="15:27" ht="17.100000000000001" customHeight="1" x14ac:dyDescent="0.3">
      <c r="O305" s="12">
        <f t="shared" si="34"/>
        <v>24.333333333333332</v>
      </c>
      <c r="P305" s="13">
        <v>292</v>
      </c>
      <c r="Q305" s="22">
        <v>3.5635779115158694E-2</v>
      </c>
      <c r="R305" s="19">
        <f t="shared" si="35"/>
        <v>3.3635743278752406E-2</v>
      </c>
      <c r="S305" s="22">
        <v>3.5707367056324379E-2</v>
      </c>
      <c r="T305" s="19">
        <f t="shared" si="36"/>
        <v>3.5533675148177402E-2</v>
      </c>
      <c r="U305" s="24">
        <v>3.999960487369858E-2</v>
      </c>
      <c r="V305" s="24">
        <f t="shared" si="37"/>
        <v>3.8646190368461841E-2</v>
      </c>
      <c r="W305" s="23">
        <f t="shared" si="38"/>
        <v>3.1616471479778419E-3</v>
      </c>
      <c r="X305" s="24">
        <v>3.913868035278889E-2</v>
      </c>
      <c r="Y305" s="24">
        <f t="shared" si="39"/>
        <v>3.8010207161982557E-2</v>
      </c>
      <c r="Z305" s="23">
        <f t="shared" si="40"/>
        <v>3.109830949777237E-3</v>
      </c>
      <c r="AA305" s="36"/>
    </row>
    <row r="306" spans="15:27" ht="17.100000000000001" customHeight="1" x14ac:dyDescent="0.3">
      <c r="O306" s="12">
        <f t="shared" si="34"/>
        <v>24.416666666666668</v>
      </c>
      <c r="P306" s="13">
        <v>293</v>
      </c>
      <c r="Q306" s="22">
        <v>3.5628946477027412E-2</v>
      </c>
      <c r="R306" s="19">
        <f t="shared" si="35"/>
        <v>3.3643461333837887E-2</v>
      </c>
      <c r="S306" s="22">
        <v>3.5706774201633484E-2</v>
      </c>
      <c r="T306" s="19">
        <f t="shared" si="36"/>
        <v>3.5611811867519716E-2</v>
      </c>
      <c r="U306" s="24">
        <v>3.9994982713628113E-2</v>
      </c>
      <c r="V306" s="24">
        <f t="shared" si="37"/>
        <v>3.8685504196419807E-2</v>
      </c>
      <c r="W306" s="23">
        <f t="shared" si="38"/>
        <v>3.1648413290377153E-3</v>
      </c>
      <c r="X306" s="24">
        <v>3.9134826822805557E-2</v>
      </c>
      <c r="Y306" s="24">
        <f t="shared" si="39"/>
        <v>3.805702919903986E-2</v>
      </c>
      <c r="Z306" s="23">
        <f t="shared" si="40"/>
        <v>3.1136388502981394E-3</v>
      </c>
      <c r="AA306" s="36"/>
    </row>
    <row r="307" spans="15:27" ht="17.100000000000001" customHeight="1" x14ac:dyDescent="0.3">
      <c r="O307" s="12">
        <f t="shared" si="34"/>
        <v>24.5</v>
      </c>
      <c r="P307" s="13">
        <v>294</v>
      </c>
      <c r="Q307" s="22">
        <v>3.5622186666287581E-2</v>
      </c>
      <c r="R307" s="19">
        <f t="shared" si="35"/>
        <v>3.3650177366007838E-2</v>
      </c>
      <c r="S307" s="22">
        <v>3.5706451185738786E-2</v>
      </c>
      <c r="T307" s="19">
        <f t="shared" si="36"/>
        <v>3.5689088205444808E-2</v>
      </c>
      <c r="U307" s="24">
        <v>3.9990525908194074E-2</v>
      </c>
      <c r="V307" s="24">
        <f t="shared" si="37"/>
        <v>3.8724450366343754E-2</v>
      </c>
      <c r="W307" s="23">
        <f t="shared" si="38"/>
        <v>3.1680055093410431E-3</v>
      </c>
      <c r="X307" s="24">
        <v>3.9131158948462419E-2</v>
      </c>
      <c r="Y307" s="24">
        <f t="shared" si="39"/>
        <v>3.8103394643274058E-2</v>
      </c>
      <c r="Z307" s="23">
        <f t="shared" si="40"/>
        <v>3.1174094340431502E-3</v>
      </c>
      <c r="AA307" s="36"/>
    </row>
    <row r="308" spans="15:27" ht="17.100000000000001" customHeight="1" x14ac:dyDescent="0.3">
      <c r="O308" s="12">
        <f t="shared" si="34"/>
        <v>24.583333333333332</v>
      </c>
      <c r="P308" s="13">
        <v>295</v>
      </c>
      <c r="Q308" s="22">
        <v>3.5615495538019237E-2</v>
      </c>
      <c r="R308" s="19">
        <f t="shared" si="35"/>
        <v>3.3655903522707753E-2</v>
      </c>
      <c r="S308" s="22">
        <v>3.5706392327686798E-2</v>
      </c>
      <c r="T308" s="19">
        <f t="shared" si="36"/>
        <v>3.5765514522621222E-2</v>
      </c>
      <c r="U308" s="24">
        <v>3.9986231521051518E-2</v>
      </c>
      <c r="V308" s="24">
        <f t="shared" si="37"/>
        <v>3.8763032543819298E-2</v>
      </c>
      <c r="W308" s="23">
        <f t="shared" si="38"/>
        <v>3.1711399903775472E-3</v>
      </c>
      <c r="X308" s="24">
        <v>3.9127673283456232E-2</v>
      </c>
      <c r="Y308" s="24">
        <f t="shared" si="39"/>
        <v>3.8149308268683901E-2</v>
      </c>
      <c r="Z308" s="23">
        <f t="shared" si="40"/>
        <v>3.1211430946938012E-3</v>
      </c>
      <c r="AA308" s="36"/>
    </row>
    <row r="309" spans="15:27" ht="17.100000000000001" customHeight="1" x14ac:dyDescent="0.3">
      <c r="O309" s="12">
        <f t="shared" si="34"/>
        <v>24.666666666666668</v>
      </c>
      <c r="P309" s="13">
        <v>296</v>
      </c>
      <c r="Q309" s="22">
        <v>3.5608869044598812E-2</v>
      </c>
      <c r="R309" s="19">
        <f t="shared" si="35"/>
        <v>3.3660643208111463E-2</v>
      </c>
      <c r="S309" s="22">
        <v>3.5706592059150388E-2</v>
      </c>
      <c r="T309" s="19">
        <f t="shared" si="36"/>
        <v>3.5841101037245915E-2</v>
      </c>
      <c r="U309" s="24">
        <v>3.9982096668170763E-2</v>
      </c>
      <c r="V309" s="24">
        <f t="shared" si="37"/>
        <v>3.8801254354829284E-2</v>
      </c>
      <c r="W309" s="23">
        <f t="shared" si="38"/>
        <v>3.1742450702063607E-3</v>
      </c>
      <c r="X309" s="24">
        <v>3.9124366444522662E-2</v>
      </c>
      <c r="Y309" s="24">
        <f t="shared" si="39"/>
        <v>3.8194774794064079E-2</v>
      </c>
      <c r="Z309" s="23">
        <f t="shared" si="40"/>
        <v>3.1248402211900839E-3</v>
      </c>
      <c r="AA309" s="36"/>
    </row>
    <row r="310" spans="15:27" ht="17.100000000000001" customHeight="1" x14ac:dyDescent="0.3">
      <c r="O310" s="12">
        <f t="shared" si="34"/>
        <v>24.75</v>
      </c>
      <c r="P310" s="13">
        <v>297</v>
      </c>
      <c r="Q310" s="22">
        <v>3.5602303204552932E-2</v>
      </c>
      <c r="R310" s="19">
        <f t="shared" si="35"/>
        <v>3.3664396868081869E-2</v>
      </c>
      <c r="S310" s="22">
        <v>3.5707044922025144E-2</v>
      </c>
      <c r="T310" s="19">
        <f t="shared" si="36"/>
        <v>3.5915857825177699E-2</v>
      </c>
      <c r="U310" s="24">
        <v>3.9978118516816874E-2</v>
      </c>
      <c r="V310" s="24">
        <f t="shared" si="37"/>
        <v>3.883911938323914E-2</v>
      </c>
      <c r="W310" s="23">
        <f t="shared" si="38"/>
        <v>3.1773210436298882E-3</v>
      </c>
      <c r="X310" s="24">
        <v>3.9121235110180397E-2</v>
      </c>
      <c r="Y310" s="24">
        <f t="shared" si="39"/>
        <v>3.8239798881367415E-2</v>
      </c>
      <c r="Z310" s="23">
        <f t="shared" si="40"/>
        <v>3.1285011979209632E-3</v>
      </c>
      <c r="AA310" s="36"/>
    </row>
    <row r="311" spans="15:27" ht="17.100000000000001" customHeight="1" x14ac:dyDescent="0.3">
      <c r="O311" s="12">
        <f t="shared" si="34"/>
        <v>24.833333333333332</v>
      </c>
      <c r="P311" s="13">
        <v>298</v>
      </c>
      <c r="Q311" s="22">
        <v>3.5595794091490607E-2</v>
      </c>
      <c r="R311" s="19">
        <f t="shared" si="35"/>
        <v>3.3667164877544398E-2</v>
      </c>
      <c r="S311" s="22">
        <v>3.5707745566074811E-2</v>
      </c>
      <c r="T311" s="19">
        <f t="shared" si="36"/>
        <v>3.5989794824831112E-2</v>
      </c>
      <c r="U311" s="24">
        <v>3.9974294284540912E-2</v>
      </c>
      <c r="V311" s="24">
        <f t="shared" si="37"/>
        <v>3.8876631174787901E-2</v>
      </c>
      <c r="W311" s="23">
        <f t="shared" si="38"/>
        <v>3.1803682019941881E-3</v>
      </c>
      <c r="X311" s="24">
        <v>3.9118276019493692E-2</v>
      </c>
      <c r="Y311" s="24">
        <f t="shared" si="39"/>
        <v>3.8284385140058941E-2</v>
      </c>
      <c r="Z311" s="23">
        <f t="shared" si="40"/>
        <v>3.1321264045938157E-3</v>
      </c>
      <c r="AA311" s="36"/>
    </row>
    <row r="312" spans="15:27" ht="17.100000000000001" customHeight="1" x14ac:dyDescent="0.3">
      <c r="O312" s="12">
        <f t="shared" si="34"/>
        <v>24.916666666666668</v>
      </c>
      <c r="P312" s="13">
        <v>299</v>
      </c>
      <c r="Q312" s="22">
        <v>3.558933783293261E-2</v>
      </c>
      <c r="R312" s="19">
        <f t="shared" si="35"/>
        <v>3.3668947544624794E-2</v>
      </c>
      <c r="S312" s="22">
        <v>3.5708688746642014E-2</v>
      </c>
      <c r="T312" s="19">
        <f t="shared" si="36"/>
        <v>3.6062921838137862E-2</v>
      </c>
      <c r="U312" s="24">
        <v>3.9970621238205606E-2</v>
      </c>
      <c r="V312" s="24">
        <f t="shared" si="37"/>
        <v>3.891379323588473E-2</v>
      </c>
      <c r="W312" s="23">
        <f t="shared" si="38"/>
        <v>3.1833868335104931E-3</v>
      </c>
      <c r="X312" s="24">
        <v>3.9115485970875996E-2</v>
      </c>
      <c r="Y312" s="24">
        <f t="shared" si="39"/>
        <v>3.8328538124709599E-2</v>
      </c>
      <c r="Z312" s="23">
        <f t="shared" si="40"/>
        <v>3.1357162165872587E-3</v>
      </c>
      <c r="AA312" s="36"/>
    </row>
    <row r="313" spans="15:27" ht="17.100000000000001" customHeight="1" x14ac:dyDescent="0.3">
      <c r="O313" s="12">
        <f t="shared" si="34"/>
        <v>25</v>
      </c>
      <c r="P313" s="13">
        <v>300</v>
      </c>
      <c r="Q313" s="22">
        <v>3.5582930609178831E-2</v>
      </c>
      <c r="R313" s="19">
        <f t="shared" si="35"/>
        <v>3.366974795060651E-2</v>
      </c>
      <c r="S313" s="22">
        <v>3.5709869322407828E-2</v>
      </c>
      <c r="T313" s="19">
        <f t="shared" si="36"/>
        <v>3.6135248533291975E-2</v>
      </c>
      <c r="U313" s="24">
        <v>3.9967096693025672E-2</v>
      </c>
      <c r="V313" s="24">
        <f t="shared" si="37"/>
        <v>3.8950609034656747E-2</v>
      </c>
      <c r="W313" s="23">
        <f t="shared" si="38"/>
        <v>3.1863772231606191E-3</v>
      </c>
      <c r="X313" s="24">
        <v>3.9112861820908673E-2</v>
      </c>
      <c r="Y313" s="24">
        <f t="shared" si="39"/>
        <v>3.83722623382734E-2</v>
      </c>
      <c r="Z313" s="23">
        <f t="shared" si="40"/>
        <v>3.1392710047608574E-3</v>
      </c>
      <c r="AA313" s="36"/>
    </row>
    <row r="314" spans="15:27" ht="17.100000000000001" customHeight="1" x14ac:dyDescent="0.3">
      <c r="O314" s="12">
        <f t="shared" si="34"/>
        <v>25.083333333333332</v>
      </c>
      <c r="P314" s="13">
        <v>301</v>
      </c>
      <c r="Q314" s="22">
        <v>3.5576568661650265E-2</v>
      </c>
      <c r="R314" s="19">
        <f t="shared" si="35"/>
        <v>3.3669577634600101E-2</v>
      </c>
      <c r="S314" s="22">
        <v>3.5711282253207077E-2</v>
      </c>
      <c r="T314" s="19">
        <f t="shared" si="36"/>
        <v>3.620678444532488E-2</v>
      </c>
      <c r="U314" s="24">
        <v>3.9963718011632121E-2</v>
      </c>
      <c r="V314" s="24">
        <f t="shared" si="37"/>
        <v>3.8987081999884321E-2</v>
      </c>
      <c r="W314" s="23">
        <f t="shared" si="38"/>
        <v>3.1893396527822304E-3</v>
      </c>
      <c r="X314" s="24">
        <v>3.9110400483195251E-2</v>
      </c>
      <c r="Y314" s="24">
        <f t="shared" si="39"/>
        <v>3.841556222942577E-2</v>
      </c>
      <c r="Z314" s="23">
        <f t="shared" si="40"/>
        <v>3.1427911357200244E-3</v>
      </c>
      <c r="AA314" s="36"/>
    </row>
    <row r="315" spans="15:27" ht="17.100000000000001" customHeight="1" x14ac:dyDescent="0.3">
      <c r="O315" s="12">
        <f t="shared" si="34"/>
        <v>25.166666666666668</v>
      </c>
      <c r="P315" s="13">
        <v>302</v>
      </c>
      <c r="Q315" s="22">
        <v>3.5570248319923614E-2</v>
      </c>
      <c r="R315" s="19">
        <f t="shared" si="35"/>
        <v>3.3668439547353213E-2</v>
      </c>
      <c r="S315" s="22">
        <v>3.5712922597888497E-2</v>
      </c>
      <c r="T315" s="19">
        <f t="shared" si="36"/>
        <v>3.6277538980820534E-2</v>
      </c>
      <c r="U315" s="24">
        <v>3.9960482603150549E-2</v>
      </c>
      <c r="V315" s="24">
        <f t="shared" si="37"/>
        <v>3.9023215524226496E-2</v>
      </c>
      <c r="W315" s="23">
        <f t="shared" si="38"/>
        <v>3.1922744009849069E-3</v>
      </c>
      <c r="X315" s="24">
        <v>3.9108098927228996E-2</v>
      </c>
      <c r="Y315" s="24">
        <f t="shared" si="39"/>
        <v>3.8458442197382148E-2</v>
      </c>
      <c r="Z315" s="23">
        <f t="shared" si="40"/>
        <v>3.1462769716046335E-3</v>
      </c>
      <c r="AA315" s="36"/>
    </row>
    <row r="316" spans="15:27" ht="17.100000000000001" customHeight="1" x14ac:dyDescent="0.3">
      <c r="O316" s="12">
        <f t="shared" si="34"/>
        <v>25.25</v>
      </c>
      <c r="P316" s="13">
        <v>303</v>
      </c>
      <c r="Q316" s="22">
        <v>3.5563965971868283E-2</v>
      </c>
      <c r="R316" s="19">
        <f t="shared" si="35"/>
        <v>3.3666333728566311E-2</v>
      </c>
      <c r="S316" s="22">
        <v>3.5714785512234615E-2</v>
      </c>
      <c r="T316" s="19">
        <f t="shared" si="36"/>
        <v>3.6347521418568451E-2</v>
      </c>
      <c r="U316" s="24">
        <v>3.9957387922309406E-2</v>
      </c>
      <c r="V316" s="24">
        <f t="shared" si="37"/>
        <v>3.9059012962683992E-2</v>
      </c>
      <c r="W316" s="23">
        <f t="shared" si="38"/>
        <v>3.1951817434108243E-3</v>
      </c>
      <c r="X316" s="24">
        <v>3.9105954177299784E-2</v>
      </c>
      <c r="Y316" s="24">
        <f t="shared" si="39"/>
        <v>3.8500906589065353E-2</v>
      </c>
      <c r="Z316" s="23">
        <f t="shared" si="40"/>
        <v>3.1497288704789295E-3</v>
      </c>
      <c r="AA316" s="36"/>
    </row>
    <row r="317" spans="15:27" ht="17.100000000000001" customHeight="1" x14ac:dyDescent="0.3">
      <c r="O317" s="12">
        <f t="shared" si="34"/>
        <v>25.333333333333332</v>
      </c>
      <c r="P317" s="13">
        <v>304</v>
      </c>
      <c r="Q317" s="22">
        <v>3.555771805308372E-2</v>
      </c>
      <c r="R317" s="19">
        <f t="shared" si="35"/>
        <v>3.3663260159577435E-2</v>
      </c>
      <c r="S317" s="22">
        <v>3.5716866246924717E-2</v>
      </c>
      <c r="T317" s="19">
        <f t="shared" si="36"/>
        <v>3.6416740910903744E-2</v>
      </c>
      <c r="U317" s="24">
        <v>3.9954431468560481E-2</v>
      </c>
      <c r="V317" s="24">
        <f t="shared" si="37"/>
        <v>3.9094477632662938E-2</v>
      </c>
      <c r="W317" s="23">
        <f t="shared" si="38"/>
        <v>3.1980619526124077E-3</v>
      </c>
      <c r="X317" s="24">
        <v>3.9103963311413192E-2</v>
      </c>
      <c r="Y317" s="24">
        <f t="shared" si="39"/>
        <v>3.8542959702273283E-2</v>
      </c>
      <c r="Z317" s="23">
        <f t="shared" si="40"/>
        <v>3.1531471861054872E-3</v>
      </c>
      <c r="AA317" s="36"/>
    </row>
    <row r="318" spans="15:27" ht="17.100000000000001" customHeight="1" x14ac:dyDescent="0.3">
      <c r="O318" s="12">
        <f t="shared" si="34"/>
        <v>25.416666666666668</v>
      </c>
      <c r="P318" s="13">
        <v>305</v>
      </c>
      <c r="Q318" s="22">
        <v>3.555150104591509E-2</v>
      </c>
      <c r="R318" s="19">
        <f t="shared" si="35"/>
        <v>3.3659218756594944E-2</v>
      </c>
      <c r="S318" s="22">
        <v>3.5719160145543771E-2</v>
      </c>
      <c r="T318" s="19">
        <f t="shared" si="36"/>
        <v>3.6485206487891109E-2</v>
      </c>
      <c r="U318" s="24">
        <v>3.9951610785217362E-2</v>
      </c>
      <c r="V318" s="24">
        <f t="shared" si="37"/>
        <v>3.9129612817062398E-2</v>
      </c>
      <c r="W318" s="23">
        <f t="shared" si="38"/>
        <v>3.2009152980583266E-3</v>
      </c>
      <c r="X318" s="24">
        <v>3.9102123460241112E-2</v>
      </c>
      <c r="Y318" s="24">
        <f t="shared" si="39"/>
        <v>3.858460578461953E-2</v>
      </c>
      <c r="Z318" s="23">
        <f t="shared" si="40"/>
        <v>3.156532268203005E-3</v>
      </c>
      <c r="AA318" s="36"/>
    </row>
    <row r="319" spans="15:27" ht="17.100000000000001" customHeight="1" x14ac:dyDescent="0.3">
      <c r="O319" s="12">
        <f t="shared" si="34"/>
        <v>25.5</v>
      </c>
      <c r="P319" s="13">
        <v>306</v>
      </c>
      <c r="Q319" s="22">
        <v>3.5545311478466957E-2</v>
      </c>
      <c r="R319" s="19">
        <f t="shared" si="35"/>
        <v>3.365421216918385E-2</v>
      </c>
      <c r="S319" s="22">
        <v>3.5721662642643759E-2</v>
      </c>
      <c r="T319" s="19">
        <f t="shared" si="36"/>
        <v>3.6552927056258344E-2</v>
      </c>
      <c r="U319" s="24">
        <v>3.9948923458620778E-2</v>
      </c>
      <c r="V319" s="24">
        <f t="shared" si="37"/>
        <v>3.9164421761262336E-2</v>
      </c>
      <c r="W319" s="23">
        <f t="shared" si="38"/>
        <v>3.2037420463841837E-3</v>
      </c>
      <c r="X319" s="24">
        <v>3.9100431806090352E-2</v>
      </c>
      <c r="Y319" s="24">
        <f t="shared" si="39"/>
        <v>3.8625849035591742E-2</v>
      </c>
      <c r="Z319" s="23">
        <f t="shared" si="40"/>
        <v>3.1598844623623723E-3</v>
      </c>
      <c r="AA319" s="36"/>
    </row>
    <row r="320" spans="15:27" ht="17.100000000000001" customHeight="1" x14ac:dyDescent="0.3">
      <c r="O320" s="12">
        <f t="shared" si="34"/>
        <v>25.583333333333332</v>
      </c>
      <c r="P320" s="13">
        <v>307</v>
      </c>
      <c r="Q320" s="22">
        <v>3.5539145932766747E-2</v>
      </c>
      <c r="R320" s="19">
        <f t="shared" si="35"/>
        <v>3.3648251366915183E-2</v>
      </c>
      <c r="S320" s="22">
        <v>3.5724369261841193E-2</v>
      </c>
      <c r="T320" s="19">
        <f t="shared" si="36"/>
        <v>3.6619911404929928E-2</v>
      </c>
      <c r="U320" s="24">
        <v>3.9946367117310588E-2</v>
      </c>
      <c r="V320" s="24">
        <f t="shared" si="37"/>
        <v>3.9198907676924799E-2</v>
      </c>
      <c r="W320" s="23">
        <f t="shared" si="38"/>
        <v>3.2065424611507076E-3</v>
      </c>
      <c r="X320" s="24">
        <v>3.9098885581897669E-2</v>
      </c>
      <c r="Y320" s="24">
        <f t="shared" si="39"/>
        <v>3.8666693606181246E-2</v>
      </c>
      <c r="Z320" s="23">
        <f t="shared" si="40"/>
        <v>3.1632041102138686E-3</v>
      </c>
      <c r="AA320" s="36"/>
    </row>
    <row r="321" spans="15:27" ht="17.100000000000001" customHeight="1" x14ac:dyDescent="0.3">
      <c r="O321" s="12">
        <f t="shared" si="34"/>
        <v>25.666666666666668</v>
      </c>
      <c r="P321" s="13">
        <v>308</v>
      </c>
      <c r="Q321" s="22">
        <v>3.5533001070942927E-2</v>
      </c>
      <c r="R321" s="19">
        <f t="shared" si="35"/>
        <v>3.3641338875416205E-2</v>
      </c>
      <c r="S321" s="22">
        <v>3.5727275613969489E-2</v>
      </c>
      <c r="T321" s="19">
        <f t="shared" si="36"/>
        <v>3.6686168203951652E-2</v>
      </c>
      <c r="U321" s="24">
        <v>3.9943939431226427E-2</v>
      </c>
      <c r="V321" s="24">
        <f t="shared" si="37"/>
        <v>3.9233073739803892E-2</v>
      </c>
      <c r="W321" s="23">
        <f t="shared" si="38"/>
        <v>3.2093168031506192E-3</v>
      </c>
      <c r="X321" s="24">
        <v>3.9097482070243661E-2</v>
      </c>
      <c r="Y321" s="24">
        <f t="shared" si="39"/>
        <v>3.870714359928451E-2</v>
      </c>
      <c r="Z321" s="23">
        <f t="shared" si="40"/>
        <v>3.1664915494009627E-3</v>
      </c>
      <c r="AA321" s="36"/>
    </row>
    <row r="322" spans="15:27" ht="17.100000000000001" customHeight="1" x14ac:dyDescent="0.3">
      <c r="O322" s="12">
        <f t="shared" si="34"/>
        <v>25.75</v>
      </c>
      <c r="P322" s="13">
        <v>309</v>
      </c>
      <c r="Q322" s="22">
        <v>3.5526873606542164E-2</v>
      </c>
      <c r="R322" s="19">
        <f t="shared" si="35"/>
        <v>3.3633474370506455E-2</v>
      </c>
      <c r="S322" s="22">
        <v>3.5730377395263968E-2</v>
      </c>
      <c r="T322" s="19">
        <f t="shared" si="36"/>
        <v>3.6751706007837504E-2</v>
      </c>
      <c r="U322" s="24">
        <v>3.9941638110916999E-2</v>
      </c>
      <c r="V322" s="24">
        <f t="shared" si="37"/>
        <v>3.9266923091801686E-2</v>
      </c>
      <c r="W322" s="23">
        <f t="shared" si="38"/>
        <v>3.2120653302343261E-3</v>
      </c>
      <c r="X322" s="24">
        <v>3.9096218602387545E-2</v>
      </c>
      <c r="Y322" s="24">
        <f t="shared" si="39"/>
        <v>3.8747203072160508E-2</v>
      </c>
      <c r="Z322" s="23">
        <f t="shared" si="40"/>
        <v>3.1697471136127309E-3</v>
      </c>
      <c r="AA322" s="36"/>
    </row>
    <row r="323" spans="15:27" ht="17.100000000000001" customHeight="1" x14ac:dyDescent="0.3">
      <c r="O323" s="12">
        <f t="shared" si="34"/>
        <v>25.833333333333332</v>
      </c>
      <c r="P323" s="13">
        <v>310</v>
      </c>
      <c r="Q323" s="22">
        <v>3.552076029448159E-2</v>
      </c>
      <c r="R323" s="19">
        <f t="shared" si="35"/>
        <v>3.3624657467298924E-2</v>
      </c>
      <c r="S323" s="22">
        <v>3.5733670385595051E-2</v>
      </c>
      <c r="T323" s="19">
        <f t="shared" si="36"/>
        <v>3.6816533256725847E-2</v>
      </c>
      <c r="U323" s="24">
        <v>3.9939460906771362E-2</v>
      </c>
      <c r="V323" s="24">
        <f t="shared" si="37"/>
        <v>3.9300458840328067E-2</v>
      </c>
      <c r="W323" s="23">
        <f t="shared" si="38"/>
        <v>3.2147882974757902E-3</v>
      </c>
      <c r="X323" s="24">
        <v>3.9095092557327682E-2</v>
      </c>
      <c r="Y323" s="24">
        <f t="shared" si="39"/>
        <v>3.8786876035057372E-2</v>
      </c>
      <c r="Z323" s="23">
        <f t="shared" si="40"/>
        <v>3.1729711327845855E-3</v>
      </c>
      <c r="AA323" s="36"/>
    </row>
    <row r="324" spans="15:27" ht="17.100000000000001" customHeight="1" x14ac:dyDescent="0.3">
      <c r="O324" s="12">
        <f t="shared" si="34"/>
        <v>25.916666666666668</v>
      </c>
      <c r="P324" s="13">
        <v>311</v>
      </c>
      <c r="Q324" s="22">
        <v>3.5514657930178828E-2</v>
      </c>
      <c r="R324" s="19">
        <f t="shared" si="35"/>
        <v>3.3614887725840426E-2</v>
      </c>
      <c r="S324" s="22">
        <v>3.5737150446737642E-2</v>
      </c>
      <c r="T324" s="19">
        <f t="shared" si="36"/>
        <v>3.6880658278859002E-2</v>
      </c>
      <c r="U324" s="24">
        <v>3.9937405608262866E-2</v>
      </c>
      <c r="V324" s="24">
        <f t="shared" si="37"/>
        <v>3.9333684059249752E-2</v>
      </c>
      <c r="W324" s="23">
        <f t="shared" si="38"/>
        <v>3.2174859571225678E-3</v>
      </c>
      <c r="X324" s="24">
        <v>3.9094101360877875E-2</v>
      </c>
      <c r="Y324" s="24">
        <f t="shared" si="39"/>
        <v>3.882616645244763E-2</v>
      </c>
      <c r="Z324" s="23">
        <f t="shared" si="40"/>
        <v>3.1761639329896951E-3</v>
      </c>
      <c r="AA324" s="36"/>
    </row>
    <row r="325" spans="15:27" ht="17.100000000000001" customHeight="1" x14ac:dyDescent="0.3">
      <c r="O325" s="12">
        <f t="shared" si="34"/>
        <v>26</v>
      </c>
      <c r="P325" s="13">
        <v>312</v>
      </c>
      <c r="Q325" s="22">
        <v>3.5508563348717548E-2</v>
      </c>
      <c r="R325" s="19">
        <f t="shared" si="35"/>
        <v>3.3604167396278362E-2</v>
      </c>
      <c r="S325" s="22">
        <v>3.5740813520683812E-2</v>
      </c>
      <c r="T325" s="19">
        <f t="shared" si="36"/>
        <v>3.6944089291828019E-2</v>
      </c>
      <c r="U325" s="24">
        <v>3.9935470043211518E-2</v>
      </c>
      <c r="V325" s="24">
        <f t="shared" si="37"/>
        <v>3.9366601790525646E-2</v>
      </c>
      <c r="W325" s="23">
        <f t="shared" si="38"/>
        <v>3.2201585586728587E-3</v>
      </c>
      <c r="X325" s="24">
        <v>3.9093242484763424E-2</v>
      </c>
      <c r="Y325" s="24">
        <f t="shared" si="39"/>
        <v>3.8865078243807805E-2</v>
      </c>
      <c r="Z325" s="23">
        <f t="shared" si="40"/>
        <v>3.1793258365389043E-3</v>
      </c>
      <c r="AA325" s="36"/>
    </row>
    <row r="326" spans="15:27" ht="17.100000000000001" customHeight="1" x14ac:dyDescent="0.3">
      <c r="O326" s="12">
        <f t="shared" si="34"/>
        <v>26.083333333333332</v>
      </c>
      <c r="P326" s="13">
        <v>313</v>
      </c>
      <c r="Q326" s="22">
        <v>3.5502473432815096E-2</v>
      </c>
      <c r="R326" s="19">
        <f t="shared" si="35"/>
        <v>3.3592506911548137E-2</v>
      </c>
      <c r="S326" s="22">
        <v>3.5744655627991895E-2</v>
      </c>
      <c r="T326" s="19">
        <f t="shared" si="36"/>
        <v>3.700683440475383E-2</v>
      </c>
      <c r="U326" s="24">
        <v>3.9933652077064563E-2</v>
      </c>
      <c r="V326" s="24">
        <f t="shared" si="37"/>
        <v>3.9399215041463931E-2</v>
      </c>
      <c r="W326" s="23">
        <f t="shared" si="38"/>
        <v>3.2228063490091774E-3</v>
      </c>
      <c r="X326" s="24">
        <v>3.9092513445738719E-2</v>
      </c>
      <c r="Y326" s="24">
        <f t="shared" si="39"/>
        <v>3.8903615285363902E-2</v>
      </c>
      <c r="Z326" s="23">
        <f t="shared" si="40"/>
        <v>3.1824571620466813E-3</v>
      </c>
      <c r="AA326" s="36"/>
    </row>
    <row r="327" spans="15:27" ht="17.100000000000001" customHeight="1" x14ac:dyDescent="0.3">
      <c r="O327" s="12">
        <f t="shared" si="34"/>
        <v>26.166666666666668</v>
      </c>
      <c r="P327" s="13">
        <v>314</v>
      </c>
      <c r="Q327" s="22">
        <v>3.5496385138164221E-2</v>
      </c>
      <c r="R327" s="19">
        <f t="shared" si="35"/>
        <v>3.3579908410310555E-2</v>
      </c>
      <c r="S327" s="22">
        <v>3.5748672866174447E-2</v>
      </c>
      <c r="T327" s="19">
        <f t="shared" si="36"/>
        <v>3.7068901618881434E-2</v>
      </c>
      <c r="U327" s="24">
        <v>3.9931949612183715E-2</v>
      </c>
      <c r="V327" s="24">
        <f t="shared" si="37"/>
        <v>3.9431526788263449E-2</v>
      </c>
      <c r="W327" s="23">
        <f t="shared" si="38"/>
        <v>3.2254295721771964E-3</v>
      </c>
      <c r="X327" s="24">
        <v>3.9091911804726598E-2</v>
      </c>
      <c r="Y327" s="24">
        <f t="shared" si="39"/>
        <v>3.8941781407047849E-2</v>
      </c>
      <c r="Z327" s="23">
        <f t="shared" si="40"/>
        <v>3.18555822457256E-3</v>
      </c>
      <c r="AA327" s="36"/>
    </row>
    <row r="328" spans="15:27" ht="17.100000000000001" customHeight="1" x14ac:dyDescent="0.3">
      <c r="O328" s="12">
        <f t="shared" si="34"/>
        <v>26.25</v>
      </c>
      <c r="P328" s="13">
        <v>315</v>
      </c>
      <c r="Q328" s="22">
        <v>3.5490295465886001E-2</v>
      </c>
      <c r="R328" s="19">
        <f t="shared" si="35"/>
        <v>3.3566371228815672E-2</v>
      </c>
      <c r="S328" s="22">
        <v>3.5752861408119063E-2</v>
      </c>
      <c r="T328" s="19">
        <f t="shared" si="36"/>
        <v>3.7130298830804431E-2</v>
      </c>
      <c r="U328" s="24">
        <v>3.9930360587156155E-2</v>
      </c>
      <c r="V328" s="24">
        <f t="shared" si="37"/>
        <v>3.94635399745904E-2</v>
      </c>
      <c r="W328" s="23">
        <f t="shared" si="38"/>
        <v>3.2280284696728501E-3</v>
      </c>
      <c r="X328" s="24">
        <v>3.9091435165965027E-2</v>
      </c>
      <c r="Y328" s="24">
        <f t="shared" si="39"/>
        <v>3.8979580397850988E-2</v>
      </c>
      <c r="Z328" s="23">
        <f t="shared" si="40"/>
        <v>3.1886293353777795E-3</v>
      </c>
      <c r="AA328" s="36"/>
    </row>
    <row r="329" spans="15:27" ht="17.100000000000001" customHeight="1" x14ac:dyDescent="0.3">
      <c r="O329" s="12">
        <f t="shared" si="34"/>
        <v>26.333333333333332</v>
      </c>
      <c r="P329" s="13">
        <v>316</v>
      </c>
      <c r="Q329" s="22">
        <v>3.5484201452919084E-2</v>
      </c>
      <c r="R329" s="19">
        <f t="shared" si="35"/>
        <v>3.355189465224151E-2</v>
      </c>
      <c r="S329" s="22">
        <v>3.575721750055072E-2</v>
      </c>
      <c r="T329" s="19">
        <f t="shared" si="36"/>
        <v>3.7191033833386733E-2</v>
      </c>
      <c r="U329" s="24">
        <v>3.992888297611441E-2</v>
      </c>
      <c r="V329" s="24">
        <f t="shared" si="37"/>
        <v>3.9495257513319615E-2</v>
      </c>
      <c r="W329" s="23">
        <f t="shared" si="38"/>
        <v>3.2306032803284257E-3</v>
      </c>
      <c r="X329" s="24">
        <v>3.909108117618687E-2</v>
      </c>
      <c r="Y329" s="24">
        <f t="shared" si="39"/>
        <v>3.9017016002833138E-2</v>
      </c>
      <c r="Z329" s="23">
        <f t="shared" si="40"/>
        <v>3.1916708023582707E-3</v>
      </c>
      <c r="AA329" s="36"/>
    </row>
    <row r="330" spans="15:27" ht="17.100000000000001" customHeight="1" x14ac:dyDescent="0.3">
      <c r="O330" s="12">
        <f t="shared" si="34"/>
        <v>26.416666666666668</v>
      </c>
      <c r="P330" s="13">
        <v>317</v>
      </c>
      <c r="Q330" s="22">
        <v>3.5478100171285165E-2</v>
      </c>
      <c r="R330" s="19">
        <f t="shared" si="35"/>
        <v>3.3536477913034712E-2</v>
      </c>
      <c r="S330" s="22">
        <v>3.5761737462525423E-2</v>
      </c>
      <c r="T330" s="19">
        <f t="shared" si="36"/>
        <v>3.7251114316474654E-2</v>
      </c>
      <c r="U330" s="24">
        <v>3.9927514788075547E-2</v>
      </c>
      <c r="V330" s="24">
        <f t="shared" si="37"/>
        <v>3.9526682285587755E-2</v>
      </c>
      <c r="W330" s="23">
        <f t="shared" si="38"/>
        <v>3.2331542404542279E-3</v>
      </c>
      <c r="X330" s="24">
        <v>3.9090847523805872E-2</v>
      </c>
      <c r="Y330" s="24">
        <f t="shared" si="39"/>
        <v>3.9054091925640355E-2</v>
      </c>
      <c r="Z330" s="23">
        <f t="shared" si="40"/>
        <v>3.1946829298050705E-3</v>
      </c>
      <c r="AA330" s="36"/>
    </row>
    <row r="331" spans="15:27" ht="17.100000000000001" customHeight="1" x14ac:dyDescent="0.3">
      <c r="O331" s="12">
        <f t="shared" si="34"/>
        <v>26.5</v>
      </c>
      <c r="P331" s="13">
        <v>318</v>
      </c>
      <c r="Q331" s="22">
        <v>3.5471988727362902E-2</v>
      </c>
      <c r="R331" s="19">
        <f t="shared" si="35"/>
        <v>3.3520122892026549E-2</v>
      </c>
      <c r="S331" s="22">
        <v>3.5766417683955831E-2</v>
      </c>
      <c r="T331" s="19">
        <f t="shared" si="36"/>
        <v>3.7310547870609945E-2</v>
      </c>
      <c r="U331" s="24">
        <v>3.9926254066288358E-2</v>
      </c>
      <c r="V331" s="24">
        <f t="shared" si="37"/>
        <v>3.9557817141596452E-2</v>
      </c>
      <c r="W331" s="23">
        <f t="shared" si="38"/>
        <v>3.2356815837617514E-3</v>
      </c>
      <c r="X331" s="24">
        <v>3.9090731938125955E-2</v>
      </c>
      <c r="Y331" s="24">
        <f t="shared" si="39"/>
        <v>3.9090811826736793E-2</v>
      </c>
      <c r="Z331" s="23">
        <f t="shared" si="40"/>
        <v>3.1976660186086026E-3</v>
      </c>
      <c r="AA331" s="36"/>
    </row>
    <row r="332" spans="15:27" ht="17.100000000000001" customHeight="1" x14ac:dyDescent="0.3">
      <c r="O332" s="12">
        <f t="shared" si="34"/>
        <v>26.583333333333332</v>
      </c>
      <c r="P332" s="13">
        <v>319</v>
      </c>
      <c r="Q332" s="22">
        <v>3.5465864269659919E-2</v>
      </c>
      <c r="R332" s="19">
        <f t="shared" si="35"/>
        <v>3.3502839521269978E-2</v>
      </c>
      <c r="S332" s="22">
        <v>3.5771254624176185E-2</v>
      </c>
      <c r="T332" s="19">
        <f t="shared" si="36"/>
        <v>3.7369341985480808E-2</v>
      </c>
      <c r="U332" s="24">
        <v>3.992509888759721E-2</v>
      </c>
      <c r="V332" s="24">
        <f t="shared" si="37"/>
        <v>3.9588664901582193E-2</v>
      </c>
      <c r="W332" s="23">
        <f t="shared" si="38"/>
        <v>3.2381855414316263E-3</v>
      </c>
      <c r="X332" s="24">
        <v>3.9090732188560517E-2</v>
      </c>
      <c r="Y332" s="24">
        <f t="shared" si="39"/>
        <v>3.9127179327419936E-2</v>
      </c>
      <c r="Z332" s="23">
        <f t="shared" si="40"/>
        <v>3.2006203661179011E-3</v>
      </c>
      <c r="AA332" s="36"/>
    </row>
    <row r="333" spans="15:27" ht="17.100000000000001" customHeight="1" x14ac:dyDescent="0.3">
      <c r="O333" s="12">
        <f t="shared" si="34"/>
        <v>26.666666666666668</v>
      </c>
      <c r="P333" s="13">
        <v>320</v>
      </c>
      <c r="Q333" s="22">
        <v>3.5459724013353844E-2</v>
      </c>
      <c r="R333" s="19">
        <f t="shared" si="35"/>
        <v>3.3484629578905079E-2</v>
      </c>
      <c r="S333" s="22">
        <v>3.5776244810530322E-2</v>
      </c>
      <c r="T333" s="19">
        <f t="shared" si="36"/>
        <v>3.7427504055805638E-2</v>
      </c>
      <c r="U333" s="24">
        <v>3.992404736181987E-2</v>
      </c>
      <c r="V333" s="24">
        <f t="shared" si="37"/>
        <v>3.9619228355664671E-2</v>
      </c>
      <c r="W333" s="23">
        <f t="shared" si="38"/>
        <v>3.2406663421904458E-3</v>
      </c>
      <c r="X333" s="24">
        <v>3.9090846083878139E-2</v>
      </c>
      <c r="Y333" s="24">
        <f t="shared" si="39"/>
        <v>3.9163198007486022E-2</v>
      </c>
      <c r="Z333" s="23">
        <f t="shared" si="40"/>
        <v>3.2035462664652403E-3</v>
      </c>
      <c r="AA333" s="36"/>
    </row>
    <row r="334" spans="15:27" ht="17.100000000000001" customHeight="1" x14ac:dyDescent="0.3">
      <c r="O334" s="12">
        <f t="shared" ref="O334:O397" si="41">P334/12</f>
        <v>26.75</v>
      </c>
      <c r="P334" s="13">
        <v>321</v>
      </c>
      <c r="Q334" s="22">
        <v>3.545356521379861E-2</v>
      </c>
      <c r="R334" s="19">
        <f t="shared" ref="R334:R397" si="42">(1+Q335)^P335/(1+Q334)^P334-1</f>
        <v>3.3465492095129834E-2</v>
      </c>
      <c r="S334" s="22">
        <v>3.578138483700366E-2</v>
      </c>
      <c r="T334" s="19">
        <f t="shared" ref="T334:T397" si="43">(1+S335)^P335/(1+S334)^P334-1</f>
        <v>3.7485041377668171E-2</v>
      </c>
      <c r="U334" s="24">
        <v>3.9923097631136217E-2</v>
      </c>
      <c r="V334" s="24">
        <f t="shared" ref="V334:V397" si="44">(1+U335)^P335/(1+U334)^P334-1</f>
        <v>3.9649510264408994E-2</v>
      </c>
      <c r="W334" s="23">
        <f t="shared" si="38"/>
        <v>3.2431242123007742E-3</v>
      </c>
      <c r="X334" s="24">
        <v>3.9091071471456518E-2</v>
      </c>
      <c r="Y334" s="24">
        <f t="shared" si="39"/>
        <v>3.9198871406898261E-2</v>
      </c>
      <c r="Z334" s="23">
        <f t="shared" si="40"/>
        <v>3.2064440103800607E-3</v>
      </c>
      <c r="AA334" s="36"/>
    </row>
    <row r="335" spans="15:27" ht="17.100000000000001" customHeight="1" x14ac:dyDescent="0.3">
      <c r="O335" s="12">
        <f t="shared" si="41"/>
        <v>26.833333333333332</v>
      </c>
      <c r="P335" s="13">
        <v>322</v>
      </c>
      <c r="Q335" s="22">
        <v>3.5447385157342248E-2</v>
      </c>
      <c r="R335" s="19">
        <f t="shared" si="42"/>
        <v>3.3445426051061933E-2</v>
      </c>
      <c r="S335" s="22">
        <v>3.578667136287117E-2</v>
      </c>
      <c r="T335" s="19">
        <f t="shared" si="43"/>
        <v>3.7541961153906955E-2</v>
      </c>
      <c r="U335" s="24">
        <v>3.9922247869491834E-2</v>
      </c>
      <c r="V335" s="24">
        <f t="shared" si="44"/>
        <v>3.9679513358326979E-2</v>
      </c>
      <c r="W335" s="23">
        <f t="shared" ref="W335:W398" si="45">(1+V334)^(1/12)-1</f>
        <v>3.2455593756062218E-3</v>
      </c>
      <c r="X335" s="24">
        <v>3.9091406236553938E-2</v>
      </c>
      <c r="Y335" s="24">
        <f t="shared" ref="Y335:Y398" si="46">(1+X336)^P336/(1+X335)^P335-1</f>
        <v>3.923420302516667E-2</v>
      </c>
      <c r="Z335" s="23">
        <f t="shared" ref="Z335:Z398" si="47">(1+Y334)^(1/12)-1</f>
        <v>3.2093138853237502E-3</v>
      </c>
      <c r="AA335" s="36"/>
    </row>
    <row r="336" spans="15:27" ht="17.100000000000001" customHeight="1" x14ac:dyDescent="0.3">
      <c r="O336" s="12">
        <f t="shared" si="41"/>
        <v>26.916666666666668</v>
      </c>
      <c r="P336" s="13">
        <v>323</v>
      </c>
      <c r="Q336" s="22">
        <v>3.5441181160688062E-2</v>
      </c>
      <c r="R336" s="19">
        <f t="shared" si="42"/>
        <v>3.3424430381188586E-2</v>
      </c>
      <c r="S336" s="22">
        <v>3.5792101111385977E-2</v>
      </c>
      <c r="T336" s="19">
        <f t="shared" si="43"/>
        <v>3.759827049443798E-2</v>
      </c>
      <c r="U336" s="24">
        <v>3.9921496282009139E-2</v>
      </c>
      <c r="V336" s="24">
        <f t="shared" si="44"/>
        <v>3.9709240340495944E-2</v>
      </c>
      <c r="W336" s="23">
        <f t="shared" si="45"/>
        <v>3.2479720534936973E-3</v>
      </c>
      <c r="X336" s="24">
        <v>3.9091848301594068E-2</v>
      </c>
      <c r="Y336" s="24">
        <f t="shared" si="46"/>
        <v>3.9269196324865474E-2</v>
      </c>
      <c r="Z336" s="23">
        <f t="shared" si="47"/>
        <v>3.2121561754423489E-3</v>
      </c>
      <c r="AA336" s="36"/>
    </row>
    <row r="337" spans="15:27" ht="17.100000000000001" customHeight="1" x14ac:dyDescent="0.3">
      <c r="O337" s="12">
        <f t="shared" si="41"/>
        <v>27</v>
      </c>
      <c r="P337" s="13">
        <v>324</v>
      </c>
      <c r="Q337" s="22">
        <v>3.5434950570274459E-2</v>
      </c>
      <c r="R337" s="19">
        <f t="shared" si="42"/>
        <v>3.3402506628717576E-2</v>
      </c>
      <c r="S337" s="22">
        <v>3.5797670868494835E-2</v>
      </c>
      <c r="T337" s="19">
        <f t="shared" si="43"/>
        <v>3.765397641621826E-2</v>
      </c>
      <c r="U337" s="24">
        <v>3.992084110441918E-2</v>
      </c>
      <c r="V337" s="24">
        <f t="shared" si="44"/>
        <v>3.9738693883275111E-2</v>
      </c>
      <c r="W337" s="23">
        <f t="shared" si="45"/>
        <v>3.2503624651034624E-3</v>
      </c>
      <c r="X337" s="24">
        <v>3.9092395625474285E-2</v>
      </c>
      <c r="Y337" s="24">
        <f t="shared" si="46"/>
        <v>3.9303854727701815E-2</v>
      </c>
      <c r="Z337" s="23">
        <f t="shared" si="47"/>
        <v>3.2149711618494337E-3</v>
      </c>
      <c r="AA337" s="36"/>
    </row>
    <row r="338" spans="15:27" ht="17.100000000000001" customHeight="1" x14ac:dyDescent="0.3">
      <c r="O338" s="12">
        <f t="shared" si="41"/>
        <v>27.083333333333332</v>
      </c>
      <c r="P338" s="13">
        <v>325</v>
      </c>
      <c r="Q338" s="22">
        <v>3.5428690769852889E-2</v>
      </c>
      <c r="R338" s="19">
        <f t="shared" si="42"/>
        <v>3.3379664252758845E-2</v>
      </c>
      <c r="S338" s="22">
        <v>3.5803377481577137E-2</v>
      </c>
      <c r="T338" s="19">
        <f t="shared" si="43"/>
        <v>3.7709085847689394E-2</v>
      </c>
      <c r="U338" s="24">
        <v>3.9920280602493419E-2</v>
      </c>
      <c r="V338" s="24">
        <f t="shared" si="44"/>
        <v>3.9767876633069354E-2</v>
      </c>
      <c r="W338" s="23">
        <f t="shared" si="45"/>
        <v>3.2527308270664523E-3</v>
      </c>
      <c r="X338" s="24">
        <v>3.9093046202874238E-2</v>
      </c>
      <c r="Y338" s="24">
        <f t="shared" si="46"/>
        <v>3.933818161957281E-2</v>
      </c>
      <c r="Z338" s="23">
        <f t="shared" si="47"/>
        <v>3.2177591223128132E-3</v>
      </c>
      <c r="AA338" s="36"/>
    </row>
    <row r="339" spans="15:27" ht="17.100000000000001" customHeight="1" x14ac:dyDescent="0.3">
      <c r="O339" s="12">
        <f t="shared" si="41"/>
        <v>27.166666666666668</v>
      </c>
      <c r="P339" s="13">
        <v>326</v>
      </c>
      <c r="Q339" s="22">
        <v>3.5422399204238841E-2</v>
      </c>
      <c r="R339" s="19">
        <f t="shared" si="42"/>
        <v>3.3355904700912431E-2</v>
      </c>
      <c r="S339" s="22">
        <v>3.5809217858220332E-2</v>
      </c>
      <c r="T339" s="19">
        <f t="shared" si="43"/>
        <v>3.7763605626132568E-2</v>
      </c>
      <c r="U339" s="24">
        <v>3.9919813071499721E-2</v>
      </c>
      <c r="V339" s="24">
        <f t="shared" si="44"/>
        <v>3.9796791206667681E-2</v>
      </c>
      <c r="W339" s="23">
        <f t="shared" si="45"/>
        <v>3.2550773538886357E-3</v>
      </c>
      <c r="X339" s="24">
        <v>3.9093798063593921E-2</v>
      </c>
      <c r="Y339" s="24">
        <f t="shared" si="46"/>
        <v>3.9372180346682439E-2</v>
      </c>
      <c r="Z339" s="23">
        <f t="shared" si="47"/>
        <v>3.220520331661092E-3</v>
      </c>
      <c r="AA339" s="36"/>
    </row>
    <row r="340" spans="15:27" ht="17.100000000000001" customHeight="1" x14ac:dyDescent="0.3">
      <c r="O340" s="12">
        <f t="shared" si="41"/>
        <v>27.25</v>
      </c>
      <c r="P340" s="13">
        <v>327</v>
      </c>
      <c r="Q340" s="22">
        <v>3.5416073353824018E-2</v>
      </c>
      <c r="R340" s="19">
        <f t="shared" si="42"/>
        <v>3.3331226723953167E-2</v>
      </c>
      <c r="S340" s="22">
        <v>3.5815188965011568E-2</v>
      </c>
      <c r="T340" s="19">
        <f t="shared" si="43"/>
        <v>3.7817542502997181E-2</v>
      </c>
      <c r="U340" s="24">
        <v>3.9919436835659239E-2</v>
      </c>
      <c r="V340" s="24">
        <f t="shared" si="44"/>
        <v>3.9825440193965056E-2</v>
      </c>
      <c r="W340" s="23">
        <f t="shared" si="45"/>
        <v>3.257402257655917E-3</v>
      </c>
      <c r="X340" s="24">
        <v>3.9094649271891324E-2</v>
      </c>
      <c r="Y340" s="24">
        <f t="shared" si="46"/>
        <v>3.9405854219626057E-2</v>
      </c>
      <c r="Z340" s="23">
        <f t="shared" si="47"/>
        <v>3.2232550614739175E-3</v>
      </c>
      <c r="AA340" s="36"/>
    </row>
    <row r="341" spans="15:27" ht="17.100000000000001" customHeight="1" x14ac:dyDescent="0.3">
      <c r="O341" s="12">
        <f t="shared" si="41"/>
        <v>27.333333333333332</v>
      </c>
      <c r="P341" s="13">
        <v>328</v>
      </c>
      <c r="Q341" s="22">
        <v>3.5409710725788912E-2</v>
      </c>
      <c r="R341" s="19">
        <f t="shared" si="42"/>
        <v>3.3305629027966299E-2</v>
      </c>
      <c r="S341" s="22">
        <v>3.5821287826366621E-2</v>
      </c>
      <c r="T341" s="19">
        <f t="shared" si="43"/>
        <v>3.7870903142943835E-2</v>
      </c>
      <c r="U341" s="24">
        <v>3.9919150247619273E-2</v>
      </c>
      <c r="V341" s="24">
        <f t="shared" si="44"/>
        <v>3.98538261578123E-2</v>
      </c>
      <c r="W341" s="23">
        <f t="shared" si="45"/>
        <v>3.2597057482561809E-3</v>
      </c>
      <c r="X341" s="24">
        <v>3.9095597925844716E-2</v>
      </c>
      <c r="Y341" s="24">
        <f t="shared" si="46"/>
        <v>3.9439206512674296E-2</v>
      </c>
      <c r="Z341" s="23">
        <f t="shared" si="47"/>
        <v>3.2259635804106068E-3</v>
      </c>
      <c r="AA341" s="36"/>
    </row>
    <row r="342" spans="15:27" ht="17.100000000000001" customHeight="1" x14ac:dyDescent="0.3">
      <c r="O342" s="12">
        <f t="shared" si="41"/>
        <v>27.416666666666668</v>
      </c>
      <c r="P342" s="13">
        <v>329</v>
      </c>
      <c r="Q342" s="22">
        <v>3.5403308853553472E-2</v>
      </c>
      <c r="R342" s="19">
        <f t="shared" si="42"/>
        <v>3.3279110277803392E-2</v>
      </c>
      <c r="S342" s="22">
        <v>3.5827511523378153E-2</v>
      </c>
      <c r="T342" s="19">
        <f t="shared" si="43"/>
        <v>3.7923694124521345E-2</v>
      </c>
      <c r="U342" s="24">
        <v>3.9918951687937243E-2</v>
      </c>
      <c r="V342" s="24">
        <f t="shared" si="44"/>
        <v>3.9881951633500057E-2</v>
      </c>
      <c r="W342" s="23">
        <f t="shared" si="45"/>
        <v>3.261988033365526E-3</v>
      </c>
      <c r="X342" s="24">
        <v>3.9096642156725148E-2</v>
      </c>
      <c r="Y342" s="24">
        <f t="shared" si="46"/>
        <v>3.9472240462312014E-2</v>
      </c>
      <c r="Z342" s="23">
        <f t="shared" si="47"/>
        <v>3.2286461541546352E-3</v>
      </c>
      <c r="AA342" s="36"/>
    </row>
    <row r="343" spans="15:27" ht="17.100000000000001" customHeight="1" x14ac:dyDescent="0.3">
      <c r="O343" s="12">
        <f t="shared" si="41"/>
        <v>27.5</v>
      </c>
      <c r="P343" s="13">
        <v>330</v>
      </c>
      <c r="Q343" s="22">
        <v>3.539686529624686E-2</v>
      </c>
      <c r="R343" s="19">
        <f t="shared" si="42"/>
        <v>3.3251671704203511E-2</v>
      </c>
      <c r="S343" s="22">
        <v>3.583385719268728E-2</v>
      </c>
      <c r="T343" s="19">
        <f t="shared" si="43"/>
        <v>3.7975921943980362E-2</v>
      </c>
      <c r="U343" s="24">
        <v>3.991883956457154E-2</v>
      </c>
      <c r="V343" s="24">
        <f t="shared" si="44"/>
        <v>3.9909819130354851E-2</v>
      </c>
      <c r="W343" s="23">
        <f t="shared" si="45"/>
        <v>3.2642493184091848E-3</v>
      </c>
      <c r="X343" s="24">
        <v>3.909778012837517E-2</v>
      </c>
      <c r="Y343" s="24">
        <f t="shared" si="46"/>
        <v>3.9504959271402962E-2</v>
      </c>
      <c r="Z343" s="23">
        <f t="shared" si="47"/>
        <v>3.2313030452972846E-3</v>
      </c>
      <c r="AA343" s="36"/>
    </row>
    <row r="344" spans="15:27" ht="17.100000000000001" customHeight="1" x14ac:dyDescent="0.3">
      <c r="O344" s="12">
        <f t="shared" si="41"/>
        <v>27.583333333333332</v>
      </c>
      <c r="P344" s="13">
        <v>331</v>
      </c>
      <c r="Q344" s="22">
        <v>3.539037764608044E-2</v>
      </c>
      <c r="R344" s="19">
        <f t="shared" si="42"/>
        <v>3.3223322324237303E-2</v>
      </c>
      <c r="S344" s="22">
        <v>3.5840322025387339E-2</v>
      </c>
      <c r="T344" s="19">
        <f t="shared" si="43"/>
        <v>3.802759301402836E-2</v>
      </c>
      <c r="U344" s="24">
        <v>3.9918812312386587E-2</v>
      </c>
      <c r="V344" s="24">
        <f t="shared" si="44"/>
        <v>3.993743113107584E-2</v>
      </c>
      <c r="W344" s="23">
        <f t="shared" si="45"/>
        <v>3.2664898066898651E-3</v>
      </c>
      <c r="X344" s="24">
        <v>3.9099010036612425E-2</v>
      </c>
      <c r="Y344" s="24">
        <f t="shared" si="46"/>
        <v>3.9537366105436567E-2</v>
      </c>
      <c r="Z344" s="23">
        <f t="shared" si="47"/>
        <v>3.2339345136731534E-3</v>
      </c>
      <c r="AA344" s="36"/>
    </row>
    <row r="345" spans="15:27" ht="17.100000000000001" customHeight="1" x14ac:dyDescent="0.3">
      <c r="O345" s="12">
        <f t="shared" si="41"/>
        <v>27.666666666666668</v>
      </c>
      <c r="P345" s="13">
        <v>332</v>
      </c>
      <c r="Q345" s="22">
        <v>3.5383843551345606E-2</v>
      </c>
      <c r="R345" s="19">
        <f t="shared" si="42"/>
        <v>3.319406328237795E-2</v>
      </c>
      <c r="S345" s="22">
        <v>3.5846903265943864E-2</v>
      </c>
      <c r="T345" s="19">
        <f t="shared" si="43"/>
        <v>3.8078713666547248E-2</v>
      </c>
      <c r="U345" s="24">
        <v>3.991886839266523E-2</v>
      </c>
      <c r="V345" s="24">
        <f t="shared" si="44"/>
        <v>3.996479009260745E-2</v>
      </c>
      <c r="W345" s="23">
        <f t="shared" si="45"/>
        <v>3.2687096993355702E-3</v>
      </c>
      <c r="X345" s="24">
        <v>3.9100330108631676E-2</v>
      </c>
      <c r="Y345" s="24">
        <f t="shared" si="46"/>
        <v>3.9569464097339191E-2</v>
      </c>
      <c r="Z345" s="23">
        <f t="shared" si="47"/>
        <v>3.2365408160597298E-3</v>
      </c>
      <c r="AA345" s="36"/>
    </row>
    <row r="346" spans="15:27" ht="17.100000000000001" customHeight="1" x14ac:dyDescent="0.3">
      <c r="O346" s="12">
        <f t="shared" si="41"/>
        <v>27.75</v>
      </c>
      <c r="P346" s="13">
        <v>333</v>
      </c>
      <c r="Q346" s="22">
        <v>3.5377260691876078E-2</v>
      </c>
      <c r="R346" s="19">
        <f t="shared" si="42"/>
        <v>3.3163893075809803E-2</v>
      </c>
      <c r="S346" s="22">
        <v>3.5853598211142312E-2</v>
      </c>
      <c r="T346" s="19">
        <f t="shared" si="43"/>
        <v>3.8129290152883577E-2</v>
      </c>
      <c r="U346" s="24">
        <v>3.9919006292632453E-2</v>
      </c>
      <c r="V346" s="24">
        <f t="shared" si="44"/>
        <v>3.9991898445476792E-2</v>
      </c>
      <c r="W346" s="23">
        <f t="shared" si="45"/>
        <v>3.2709091953697644E-3</v>
      </c>
      <c r="X346" s="24">
        <v>3.9101738602433267E-2</v>
      </c>
      <c r="Y346" s="24">
        <f t="shared" si="46"/>
        <v>3.9601256343955615E-2</v>
      </c>
      <c r="Z346" s="23">
        <f t="shared" si="47"/>
        <v>3.2391222065657477E-3</v>
      </c>
      <c r="AA346" s="36"/>
    </row>
    <row r="347" spans="15:27" ht="17.100000000000001" customHeight="1" x14ac:dyDescent="0.3">
      <c r="O347" s="12">
        <f t="shared" si="41"/>
        <v>27.833333333333332</v>
      </c>
      <c r="P347" s="13">
        <v>334</v>
      </c>
      <c r="Q347" s="22">
        <v>3.5370626770626856E-2</v>
      </c>
      <c r="R347" s="19">
        <f t="shared" si="42"/>
        <v>3.3132810163269522E-2</v>
      </c>
      <c r="S347" s="22">
        <v>3.5860404209056673E-2</v>
      </c>
      <c r="T347" s="19">
        <f t="shared" si="43"/>
        <v>3.8179328645849608E-2</v>
      </c>
      <c r="U347" s="24">
        <v>3.9919224524985752E-2</v>
      </c>
      <c r="V347" s="24">
        <f t="shared" si="44"/>
        <v>4.0018758596610526E-2</v>
      </c>
      <c r="W347" s="23">
        <f t="shared" si="45"/>
        <v>3.2730884916600811E-3</v>
      </c>
      <c r="X347" s="24">
        <v>3.9103233806250692E-2</v>
      </c>
      <c r="Y347" s="24">
        <f t="shared" si="46"/>
        <v>3.9632745908757983E-2</v>
      </c>
      <c r="Z347" s="23">
        <f t="shared" si="47"/>
        <v>3.2416789363489684E-3</v>
      </c>
      <c r="AA347" s="36"/>
    </row>
    <row r="348" spans="15:27" ht="17.100000000000001" customHeight="1" x14ac:dyDescent="0.3">
      <c r="O348" s="12">
        <f t="shared" si="41"/>
        <v>27.916666666666668</v>
      </c>
      <c r="P348" s="13">
        <v>335</v>
      </c>
      <c r="Q348" s="22">
        <v>3.5363939513208154E-2</v>
      </c>
      <c r="R348" s="19">
        <f t="shared" si="42"/>
        <v>3.3100812964162118E-2</v>
      </c>
      <c r="S348" s="22">
        <v>3.5867318658041158E-2</v>
      </c>
      <c r="T348" s="19">
        <f t="shared" si="43"/>
        <v>3.8228835240458503E-2</v>
      </c>
      <c r="U348" s="24">
        <v>3.9919521627441723E-2</v>
      </c>
      <c r="V348" s="24">
        <f t="shared" si="44"/>
        <v>4.004537292596777E-2</v>
      </c>
      <c r="W348" s="23">
        <f t="shared" si="45"/>
        <v>3.2752477831436977E-3</v>
      </c>
      <c r="X348" s="24">
        <v>3.9104814037996816E-2</v>
      </c>
      <c r="Y348" s="24">
        <f t="shared" si="46"/>
        <v>3.9663935822788376E-2</v>
      </c>
      <c r="Z348" s="23">
        <f t="shared" si="47"/>
        <v>3.2442112538355605E-3</v>
      </c>
      <c r="AA348" s="36"/>
    </row>
    <row r="349" spans="15:27" ht="17.100000000000001" customHeight="1" x14ac:dyDescent="0.3">
      <c r="O349" s="12">
        <f t="shared" si="41"/>
        <v>28</v>
      </c>
      <c r="P349" s="13">
        <v>336</v>
      </c>
      <c r="Q349" s="22">
        <v>3.5357196667423985E-2</v>
      </c>
      <c r="R349" s="19">
        <f t="shared" si="42"/>
        <v>3.3067902425863105E-2</v>
      </c>
      <c r="S349" s="22">
        <v>3.5874339005744327E-2</v>
      </c>
      <c r="T349" s="19">
        <f t="shared" si="43"/>
        <v>3.8277815954194772E-2</v>
      </c>
      <c r="U349" s="24">
        <v>3.9919896162282642E-2</v>
      </c>
      <c r="V349" s="24">
        <f t="shared" si="44"/>
        <v>4.0071743789391379E-2</v>
      </c>
      <c r="W349" s="23">
        <f t="shared" si="45"/>
        <v>3.2773872625591061E-3</v>
      </c>
      <c r="X349" s="24">
        <v>3.910647764472297E-2</v>
      </c>
      <c r="Y349" s="24">
        <f t="shared" si="46"/>
        <v>3.9694829081864835E-2</v>
      </c>
      <c r="Z349" s="23">
        <f t="shared" si="47"/>
        <v>3.246719404796039E-3</v>
      </c>
      <c r="AA349" s="36"/>
    </row>
    <row r="350" spans="15:27" ht="17.100000000000001" customHeight="1" x14ac:dyDescent="0.3">
      <c r="O350" s="12">
        <f t="shared" si="41"/>
        <v>28.083333333333332</v>
      </c>
      <c r="P350" s="13">
        <v>337</v>
      </c>
      <c r="Q350" s="22">
        <v>3.5350396010454865E-2</v>
      </c>
      <c r="R350" s="19">
        <f t="shared" si="42"/>
        <v>3.303408714937528E-2</v>
      </c>
      <c r="S350" s="22">
        <v>3.5881462748139858E-2</v>
      </c>
      <c r="T350" s="19">
        <f t="shared" si="43"/>
        <v>3.832627673058675E-2</v>
      </c>
      <c r="U350" s="24">
        <v>3.9920346715917043E-2</v>
      </c>
      <c r="V350" s="24">
        <f t="shared" si="44"/>
        <v>4.0097873519102434E-2</v>
      </c>
      <c r="W350" s="23">
        <f t="shared" si="45"/>
        <v>3.2795071206745963E-3</v>
      </c>
      <c r="X350" s="24">
        <v>3.9108223002079168E-2</v>
      </c>
      <c r="Y350" s="24">
        <f t="shared" si="46"/>
        <v>3.9725428651215422E-2</v>
      </c>
      <c r="Z350" s="23">
        <f t="shared" si="47"/>
        <v>3.2492036321227769E-3</v>
      </c>
      <c r="AA350" s="36"/>
    </row>
    <row r="351" spans="15:27" ht="17.100000000000001" customHeight="1" x14ac:dyDescent="0.3">
      <c r="O351" s="12">
        <f t="shared" si="41"/>
        <v>28.166666666666668</v>
      </c>
      <c r="P351" s="13">
        <v>338</v>
      </c>
      <c r="Q351" s="22">
        <v>3.5343535371112011E-2</v>
      </c>
      <c r="R351" s="19">
        <f t="shared" si="42"/>
        <v>3.299936800357739E-2</v>
      </c>
      <c r="S351" s="22">
        <v>3.5888687428586641E-2</v>
      </c>
      <c r="T351" s="19">
        <f t="shared" si="43"/>
        <v>3.8374223437395605E-2</v>
      </c>
      <c r="U351" s="24">
        <v>3.9920871898451837E-2</v>
      </c>
      <c r="V351" s="24">
        <f t="shared" si="44"/>
        <v>4.0123764421968966E-2</v>
      </c>
      <c r="W351" s="23">
        <f t="shared" si="45"/>
        <v>3.281607546330001E-3</v>
      </c>
      <c r="X351" s="24">
        <v>3.9110048513797846E-2</v>
      </c>
      <c r="Y351" s="24">
        <f t="shared" si="46"/>
        <v>3.9755737462697338E-2</v>
      </c>
      <c r="Z351" s="23">
        <f t="shared" si="47"/>
        <v>3.2516641762028176E-3</v>
      </c>
      <c r="AA351" s="36"/>
    </row>
    <row r="352" spans="15:27" ht="17.100000000000001" customHeight="1" x14ac:dyDescent="0.3">
      <c r="O352" s="12">
        <f t="shared" si="41"/>
        <v>28.25</v>
      </c>
      <c r="P352" s="13">
        <v>339</v>
      </c>
      <c r="Q352" s="22">
        <v>3.5336612606212681E-2</v>
      </c>
      <c r="R352" s="19">
        <f t="shared" si="42"/>
        <v>3.296374325785445E-2</v>
      </c>
      <c r="S352" s="22">
        <v>3.5896010636899955E-2</v>
      </c>
      <c r="T352" s="19">
        <f t="shared" si="43"/>
        <v>3.8421661869372459E-2</v>
      </c>
      <c r="U352" s="24">
        <v>3.9921470343265764E-2</v>
      </c>
      <c r="V352" s="24">
        <f t="shared" si="44"/>
        <v>4.0149418781384005E-2</v>
      </c>
      <c r="W352" s="23">
        <f t="shared" si="45"/>
        <v>3.2836887262963632E-3</v>
      </c>
      <c r="X352" s="24">
        <v>3.9111952611178946E-2</v>
      </c>
      <c r="Y352" s="24">
        <f t="shared" si="46"/>
        <v>3.9785758416656991E-2</v>
      </c>
      <c r="Z352" s="23">
        <f t="shared" si="47"/>
        <v>3.2541012746956088E-3</v>
      </c>
      <c r="AA352" s="36"/>
    </row>
    <row r="353" spans="15:27" ht="17.100000000000001" customHeight="1" x14ac:dyDescent="0.3">
      <c r="O353" s="12">
        <f t="shared" si="41"/>
        <v>28.333333333333332</v>
      </c>
      <c r="P353" s="13">
        <v>340</v>
      </c>
      <c r="Q353" s="22">
        <v>3.5329625592499303E-2</v>
      </c>
      <c r="R353" s="19">
        <f t="shared" si="42"/>
        <v>3.2927211147197433E-2</v>
      </c>
      <c r="S353" s="22">
        <v>3.590343000844709E-2</v>
      </c>
      <c r="T353" s="19">
        <f t="shared" si="43"/>
        <v>3.8468597749386824E-2</v>
      </c>
      <c r="U353" s="24">
        <v>3.9922140706596165E-2</v>
      </c>
      <c r="V353" s="24">
        <f t="shared" si="44"/>
        <v>4.0174838857182538E-2</v>
      </c>
      <c r="W353" s="23">
        <f t="shared" si="45"/>
        <v>3.2857508454293693E-3</v>
      </c>
      <c r="X353" s="24">
        <v>3.9113933752588759E-2</v>
      </c>
      <c r="Y353" s="24">
        <f t="shared" si="46"/>
        <v>3.9815494381460148E-2</v>
      </c>
      <c r="Z353" s="23">
        <f t="shared" si="47"/>
        <v>3.2565151626831046E-3</v>
      </c>
      <c r="AA353" s="36"/>
    </row>
    <row r="354" spans="15:27" ht="17.100000000000001" customHeight="1" x14ac:dyDescent="0.3">
      <c r="O354" s="12">
        <f t="shared" si="41"/>
        <v>28.416666666666668</v>
      </c>
      <c r="P354" s="13">
        <v>341</v>
      </c>
      <c r="Q354" s="22">
        <v>3.5322572226240467E-2</v>
      </c>
      <c r="R354" s="19">
        <f t="shared" si="42"/>
        <v>3.2889769873980512E-2</v>
      </c>
      <c r="S354" s="22">
        <v>3.5910943223262715E-2</v>
      </c>
      <c r="T354" s="19">
        <f t="shared" si="43"/>
        <v>3.851503672901524E-2</v>
      </c>
      <c r="U354" s="24">
        <v>3.9922881667133092E-2</v>
      </c>
      <c r="V354" s="24">
        <f t="shared" si="44"/>
        <v>4.0200026886608953E-2</v>
      </c>
      <c r="W354" s="23">
        <f t="shared" si="45"/>
        <v>3.2877940866622435E-3</v>
      </c>
      <c r="X354" s="24">
        <v>3.911599042296765E-2</v>
      </c>
      <c r="Y354" s="24">
        <f t="shared" si="46"/>
        <v>3.9844948195563168E-2</v>
      </c>
      <c r="Z354" s="23">
        <f t="shared" si="47"/>
        <v>3.2589060726337937E-3</v>
      </c>
      <c r="AA354" s="36"/>
    </row>
    <row r="355" spans="15:27" ht="17.100000000000001" customHeight="1" x14ac:dyDescent="0.3">
      <c r="O355" s="12">
        <f t="shared" si="41"/>
        <v>28.5</v>
      </c>
      <c r="P355" s="13">
        <v>342</v>
      </c>
      <c r="Q355" s="22">
        <v>3.5315450422843897E-2</v>
      </c>
      <c r="R355" s="19">
        <f t="shared" si="42"/>
        <v>3.2851420125114661E-2</v>
      </c>
      <c r="S355" s="22">
        <v>3.5918548005181794E-2</v>
      </c>
      <c r="T355" s="19">
        <f t="shared" si="43"/>
        <v>3.856098438830502E-2</v>
      </c>
      <c r="U355" s="24">
        <v>3.9923691925623173E-2</v>
      </c>
      <c r="V355" s="24">
        <f t="shared" si="44"/>
        <v>4.0224985081918296E-2</v>
      </c>
      <c r="W355" s="23">
        <f t="shared" si="45"/>
        <v>3.2898186310841293E-3</v>
      </c>
      <c r="X355" s="24">
        <v>3.911812113335067E-2</v>
      </c>
      <c r="Y355" s="24">
        <f t="shared" si="46"/>
        <v>3.9874122665603862E-2</v>
      </c>
      <c r="Z355" s="23">
        <f t="shared" si="47"/>
        <v>3.2612742345694556E-3</v>
      </c>
      <c r="AA355" s="36"/>
    </row>
    <row r="356" spans="15:27" ht="17.100000000000001" customHeight="1" x14ac:dyDescent="0.3">
      <c r="O356" s="12">
        <f t="shared" si="41"/>
        <v>28.583333333333332</v>
      </c>
      <c r="P356" s="13">
        <v>343</v>
      </c>
      <c r="Q356" s="22">
        <v>3.5308258123831981E-2</v>
      </c>
      <c r="R356" s="19">
        <f t="shared" si="42"/>
        <v>3.2812170114432826E-2</v>
      </c>
      <c r="S356" s="22">
        <v>3.5926242120986496E-2</v>
      </c>
      <c r="T356" s="19">
        <f t="shared" si="43"/>
        <v>3.8606446240234016E-2</v>
      </c>
      <c r="U356" s="24">
        <v>3.9924570204473486E-2</v>
      </c>
      <c r="V356" s="24">
        <f t="shared" si="44"/>
        <v>4.0249715634510075E-2</v>
      </c>
      <c r="W356" s="23">
        <f t="shared" si="45"/>
        <v>3.2918246577482435E-3</v>
      </c>
      <c r="X356" s="24">
        <v>3.9120324420393038E-2</v>
      </c>
      <c r="Y356" s="24">
        <f t="shared" si="46"/>
        <v>3.990302056833972E-2</v>
      </c>
      <c r="Z356" s="23">
        <f t="shared" si="47"/>
        <v>3.2636198759123936E-3</v>
      </c>
      <c r="AA356" s="36"/>
    </row>
    <row r="357" spans="15:27" ht="17.100000000000001" customHeight="1" x14ac:dyDescent="0.3">
      <c r="O357" s="12">
        <f t="shared" si="41"/>
        <v>28.666666666666668</v>
      </c>
      <c r="P357" s="13">
        <v>344</v>
      </c>
      <c r="Q357" s="22">
        <v>3.5300993318390095E-2</v>
      </c>
      <c r="R357" s="19">
        <f t="shared" si="42"/>
        <v>3.2772020459519213E-2</v>
      </c>
      <c r="S357" s="22">
        <v>3.5934023379581959E-2</v>
      </c>
      <c r="T357" s="19">
        <f t="shared" si="43"/>
        <v>3.8651427727878884E-2</v>
      </c>
      <c r="U357" s="24">
        <v>3.9925515247374532E-2</v>
      </c>
      <c r="V357" s="24">
        <f t="shared" si="44"/>
        <v>4.0274220711848052E-2</v>
      </c>
      <c r="W357" s="23">
        <f t="shared" si="45"/>
        <v>3.2938123440044986E-3</v>
      </c>
      <c r="X357" s="24">
        <v>3.9122598845908074E-2</v>
      </c>
      <c r="Y357" s="24">
        <f t="shared" si="46"/>
        <v>3.9931644650128995E-2</v>
      </c>
      <c r="Z357" s="23">
        <f t="shared" si="47"/>
        <v>3.2659432216430861E-3</v>
      </c>
      <c r="AA357" s="36"/>
    </row>
    <row r="358" spans="15:27" ht="17.100000000000001" customHeight="1" x14ac:dyDescent="0.3">
      <c r="O358" s="12">
        <f t="shared" si="41"/>
        <v>28.75</v>
      </c>
      <c r="P358" s="13">
        <v>345</v>
      </c>
      <c r="Q358" s="22">
        <v>3.5293654020601917E-2</v>
      </c>
      <c r="R358" s="19">
        <f t="shared" si="42"/>
        <v>3.2730969227533713E-2</v>
      </c>
      <c r="S358" s="22">
        <v>3.5941889631178059E-2</v>
      </c>
      <c r="T358" s="19">
        <f t="shared" si="43"/>
        <v>3.8695934227830353E-2</v>
      </c>
      <c r="U358" s="24">
        <v>3.9926525818920533E-2</v>
      </c>
      <c r="V358" s="24">
        <f t="shared" si="44"/>
        <v>4.0298502460299757E-2</v>
      </c>
      <c r="W358" s="23">
        <f t="shared" si="45"/>
        <v>3.2957818652523674E-3</v>
      </c>
      <c r="X358" s="24">
        <v>3.9124942996412893E-2</v>
      </c>
      <c r="Y358" s="24">
        <f t="shared" si="46"/>
        <v>3.9959997628928878E-2</v>
      </c>
      <c r="Z358" s="23">
        <f t="shared" si="47"/>
        <v>3.2682444942579991E-3</v>
      </c>
      <c r="AA358" s="36"/>
    </row>
    <row r="359" spans="15:27" ht="17.100000000000001" customHeight="1" x14ac:dyDescent="0.3">
      <c r="O359" s="12">
        <f t="shared" si="41"/>
        <v>28.833333333333332</v>
      </c>
      <c r="P359" s="13">
        <v>346</v>
      </c>
      <c r="Q359" s="22">
        <v>3.5286238261694969E-2</v>
      </c>
      <c r="R359" s="19">
        <f t="shared" si="42"/>
        <v>3.268901445511796E-2</v>
      </c>
      <c r="S359" s="22">
        <v>3.5949838766494935E-2</v>
      </c>
      <c r="T359" s="19">
        <f t="shared" si="43"/>
        <v>3.8739971049831956E-2</v>
      </c>
      <c r="U359" s="24">
        <v>3.9927600704245281E-2</v>
      </c>
      <c r="V359" s="24">
        <f t="shared" si="44"/>
        <v>4.0322563003485801E-2</v>
      </c>
      <c r="W359" s="23">
        <f t="shared" si="45"/>
        <v>3.2977333951700327E-3</v>
      </c>
      <c r="X359" s="24">
        <v>3.912735548268631E-2</v>
      </c>
      <c r="Y359" s="24">
        <f t="shared" si="46"/>
        <v>3.998808219239236E-2</v>
      </c>
      <c r="Z359" s="23">
        <f t="shared" si="47"/>
        <v>3.2705239139325659E-3</v>
      </c>
      <c r="AA359" s="36"/>
    </row>
    <row r="360" spans="15:27" ht="17.100000000000001" customHeight="1" x14ac:dyDescent="0.3">
      <c r="O360" s="12">
        <f t="shared" si="41"/>
        <v>28.916666666666668</v>
      </c>
      <c r="P360" s="13">
        <v>347</v>
      </c>
      <c r="Q360" s="22">
        <v>3.527874408969911E-2</v>
      </c>
      <c r="R360" s="19">
        <f t="shared" si="42"/>
        <v>3.2646154149932771E-2</v>
      </c>
      <c r="S360" s="22">
        <v>3.5957868715982055E-2</v>
      </c>
      <c r="T360" s="19">
        <f t="shared" si="43"/>
        <v>3.8783543439054435E-2</v>
      </c>
      <c r="U360" s="24">
        <v>3.9928738708658429E-2</v>
      </c>
      <c r="V360" s="24">
        <f t="shared" si="44"/>
        <v>4.0346404443382333E-2</v>
      </c>
      <c r="W360" s="23">
        <f t="shared" si="45"/>
        <v>3.2996671055822713E-3</v>
      </c>
      <c r="X360" s="24">
        <v>3.9129834939330976E-2</v>
      </c>
      <c r="Y360" s="24">
        <f t="shared" si="46"/>
        <v>4.0015900999415432E-2</v>
      </c>
      <c r="Z360" s="23">
        <f t="shared" si="47"/>
        <v>3.2727816983679769E-3</v>
      </c>
      <c r="AA360" s="36"/>
    </row>
    <row r="361" spans="15:27" ht="17.100000000000001" customHeight="1" x14ac:dyDescent="0.3">
      <c r="O361" s="12">
        <f t="shared" si="41"/>
        <v>29</v>
      </c>
      <c r="P361" s="13">
        <v>348</v>
      </c>
      <c r="Q361" s="22">
        <v>3.52711695691168E-2</v>
      </c>
      <c r="R361" s="19">
        <f t="shared" si="42"/>
        <v>3.2602388767085433E-2</v>
      </c>
      <c r="S361" s="22">
        <v>3.596597744905683E-2</v>
      </c>
      <c r="T361" s="19">
        <f t="shared" si="43"/>
        <v>3.8826656575697616E-2</v>
      </c>
      <c r="U361" s="24">
        <v>3.9929938657292663E-2</v>
      </c>
      <c r="V361" s="24">
        <f t="shared" si="44"/>
        <v>4.0370028860215346E-2</v>
      </c>
      <c r="W361" s="23">
        <f t="shared" si="45"/>
        <v>3.301583166548383E-3</v>
      </c>
      <c r="X361" s="24">
        <v>3.9132380024345492E-2</v>
      </c>
      <c r="Y361" s="24">
        <f t="shared" si="46"/>
        <v>4.0043456680839196E-2</v>
      </c>
      <c r="Z361" s="23">
        <f t="shared" si="47"/>
        <v>3.2750180629166348E-3</v>
      </c>
      <c r="AA361" s="36"/>
    </row>
    <row r="362" spans="15:27" ht="17.100000000000001" customHeight="1" x14ac:dyDescent="0.3">
      <c r="O362" s="12">
        <f t="shared" si="41"/>
        <v>29.083333333333332</v>
      </c>
      <c r="P362" s="13">
        <v>349</v>
      </c>
      <c r="Q362" s="22">
        <v>3.5263512787710782E-2</v>
      </c>
      <c r="R362" s="19">
        <f t="shared" si="42"/>
        <v>3.2557726157339983E-2</v>
      </c>
      <c r="S362" s="22">
        <v>3.5974162973356316E-2</v>
      </c>
      <c r="T362" s="19">
        <f t="shared" si="43"/>
        <v>3.8869315576664398E-2</v>
      </c>
      <c r="U362" s="24">
        <v>3.9931199394755534E-2</v>
      </c>
      <c r="V362" s="24">
        <f t="shared" si="44"/>
        <v>4.0393438314094476E-2</v>
      </c>
      <c r="W362" s="23">
        <f t="shared" si="45"/>
        <v>3.3034817463564181E-3</v>
      </c>
      <c r="X362" s="24">
        <v>3.9134989418707633E-2</v>
      </c>
      <c r="Y362" s="24">
        <f t="shared" si="46"/>
        <v>4.0070751839458518E-2</v>
      </c>
      <c r="Z362" s="23">
        <f t="shared" si="47"/>
        <v>3.2772332206394417E-3</v>
      </c>
      <c r="AA362" s="36"/>
    </row>
    <row r="363" spans="15:27" ht="17.100000000000001" customHeight="1" x14ac:dyDescent="0.3">
      <c r="O363" s="12">
        <f t="shared" si="41"/>
        <v>29.166666666666668</v>
      </c>
      <c r="P363" s="13">
        <v>350</v>
      </c>
      <c r="Q363" s="22">
        <v>3.5255771877353625E-2</v>
      </c>
      <c r="R363" s="19">
        <f t="shared" si="42"/>
        <v>3.2512166711688328E-2</v>
      </c>
      <c r="S363" s="22">
        <v>3.5982423334005142E-2</v>
      </c>
      <c r="T363" s="19">
        <f t="shared" si="43"/>
        <v>3.8911525495383126E-2</v>
      </c>
      <c r="U363" s="24">
        <v>3.9932519784792397E-2</v>
      </c>
      <c r="V363" s="24">
        <f t="shared" si="44"/>
        <v>4.0416634841601518E-2</v>
      </c>
      <c r="W363" s="23">
        <f t="shared" si="45"/>
        <v>3.3053630116526289E-3</v>
      </c>
      <c r="X363" s="24">
        <v>3.9137661825963566E-2</v>
      </c>
      <c r="Y363" s="24">
        <f t="shared" si="46"/>
        <v>4.0097789048671117E-2</v>
      </c>
      <c r="Z363" s="23">
        <f t="shared" si="47"/>
        <v>3.2794273823071318E-3</v>
      </c>
      <c r="AA363" s="36"/>
    </row>
    <row r="364" spans="15:27" ht="17.100000000000001" customHeight="1" x14ac:dyDescent="0.3">
      <c r="O364" s="12">
        <f t="shared" si="41"/>
        <v>29.25</v>
      </c>
      <c r="P364" s="13">
        <v>351</v>
      </c>
      <c r="Q364" s="22">
        <v>3.5247944992087499E-2</v>
      </c>
      <c r="R364" s="19">
        <f t="shared" si="42"/>
        <v>3.2465708320135178E-2</v>
      </c>
      <c r="S364" s="22">
        <v>3.5990756612896968E-2</v>
      </c>
      <c r="T364" s="19">
        <f t="shared" si="43"/>
        <v>3.8953291325025008E-2</v>
      </c>
      <c r="U364" s="24">
        <v>3.9933898709945348E-2</v>
      </c>
      <c r="V364" s="24">
        <f t="shared" si="44"/>
        <v>4.0439620461504289E-2</v>
      </c>
      <c r="W364" s="23">
        <f t="shared" si="45"/>
        <v>3.3072271271696874E-3</v>
      </c>
      <c r="X364" s="24">
        <v>3.9140395971821507E-2</v>
      </c>
      <c r="Y364" s="24">
        <f t="shared" si="46"/>
        <v>4.0124570857049457E-2</v>
      </c>
      <c r="Z364" s="23">
        <f t="shared" si="47"/>
        <v>3.2816007562932459E-3</v>
      </c>
      <c r="AA364" s="36"/>
    </row>
    <row r="365" spans="15:27" ht="17.100000000000001" customHeight="1" x14ac:dyDescent="0.3">
      <c r="O365" s="12">
        <f t="shared" si="41"/>
        <v>29.333333333333332</v>
      </c>
      <c r="P365" s="13">
        <v>352</v>
      </c>
      <c r="Q365" s="22">
        <v>3.5240030300680569E-2</v>
      </c>
      <c r="R365" s="19">
        <f t="shared" si="42"/>
        <v>3.2418348845133726E-2</v>
      </c>
      <c r="S365" s="22">
        <v>3.5999160927996821E-2</v>
      </c>
      <c r="T365" s="19">
        <f t="shared" si="43"/>
        <v>3.8994617996788161E-2</v>
      </c>
      <c r="U365" s="24">
        <v>3.9935335071234812E-2</v>
      </c>
      <c r="V365" s="24">
        <f t="shared" si="44"/>
        <v>4.0462397171024289E-2</v>
      </c>
      <c r="W365" s="23">
        <f t="shared" si="45"/>
        <v>3.3090742561852071E-3</v>
      </c>
      <c r="X365" s="24">
        <v>3.9143190603763811E-2</v>
      </c>
      <c r="Y365" s="24">
        <f t="shared" si="46"/>
        <v>4.0151099783515054E-2</v>
      </c>
      <c r="Z365" s="23">
        <f t="shared" si="47"/>
        <v>3.2837535489407266E-3</v>
      </c>
      <c r="AA365" s="36"/>
    </row>
    <row r="366" spans="15:27" ht="17.100000000000001" customHeight="1" x14ac:dyDescent="0.3">
      <c r="O366" s="12">
        <f t="shared" si="41"/>
        <v>29.416666666666668</v>
      </c>
      <c r="P366" s="13">
        <v>353</v>
      </c>
      <c r="Q366" s="22">
        <v>3.5232025986334792E-2</v>
      </c>
      <c r="R366" s="19">
        <f t="shared" si="42"/>
        <v>3.2370086124781317E-2</v>
      </c>
      <c r="S366" s="22">
        <v>3.6007634432650759E-2</v>
      </c>
      <c r="T366" s="19">
        <f t="shared" si="43"/>
        <v>3.9035510382588345E-2</v>
      </c>
      <c r="U366" s="24">
        <v>3.9936827787834694E-2</v>
      </c>
      <c r="V366" s="24">
        <f t="shared" si="44"/>
        <v>4.0484966945382617E-2</v>
      </c>
      <c r="W366" s="23">
        <f t="shared" si="45"/>
        <v>3.3109045602228715E-3</v>
      </c>
      <c r="X366" s="24">
        <v>3.9146044490653287E-2</v>
      </c>
      <c r="Y366" s="24">
        <f t="shared" si="46"/>
        <v>4.0177378321529789E-2</v>
      </c>
      <c r="Z366" s="23">
        <f t="shared" si="47"/>
        <v>3.2858859641766713E-3</v>
      </c>
      <c r="AA366" s="36"/>
    </row>
    <row r="367" spans="15:27" ht="17.100000000000001" customHeight="1" x14ac:dyDescent="0.3">
      <c r="O367" s="12">
        <f t="shared" si="41"/>
        <v>29.5</v>
      </c>
      <c r="P367" s="13">
        <v>354</v>
      </c>
      <c r="Q367" s="22">
        <v>3.5223930246406576E-2</v>
      </c>
      <c r="R367" s="19">
        <f t="shared" si="42"/>
        <v>3.2320920405513043E-2</v>
      </c>
      <c r="S367" s="22">
        <v>3.6016175314914411E-2</v>
      </c>
      <c r="T367" s="19">
        <f t="shared" si="43"/>
        <v>3.9075973293849708E-2</v>
      </c>
      <c r="U367" s="24">
        <v>3.9938375796753078E-2</v>
      </c>
      <c r="V367" s="24">
        <f t="shared" si="44"/>
        <v>4.0507331741723496E-2</v>
      </c>
      <c r="W367" s="23">
        <f t="shared" si="45"/>
        <v>3.3127181990157961E-3</v>
      </c>
      <c r="X367" s="24">
        <v>3.9148956422357717E-2</v>
      </c>
      <c r="Y367" s="24">
        <f t="shared" si="46"/>
        <v>4.020340893781893E-2</v>
      </c>
      <c r="Z367" s="23">
        <f t="shared" si="47"/>
        <v>3.2879982038482858E-3</v>
      </c>
      <c r="AA367" s="36"/>
    </row>
    <row r="368" spans="15:27" ht="17.100000000000001" customHeight="1" x14ac:dyDescent="0.3">
      <c r="O368" s="12">
        <f t="shared" si="41"/>
        <v>29.583333333333332</v>
      </c>
      <c r="P368" s="13">
        <v>355</v>
      </c>
      <c r="Q368" s="22">
        <v>3.5215741299005288E-2</v>
      </c>
      <c r="R368" s="19">
        <f t="shared" si="42"/>
        <v>3.2270859201362301E-2</v>
      </c>
      <c r="S368" s="22">
        <v>3.6024781796891059E-2</v>
      </c>
      <c r="T368" s="19">
        <f t="shared" si="43"/>
        <v>3.9116011484969349E-2</v>
      </c>
      <c r="U368" s="24">
        <v>3.9939978052528913E-2</v>
      </c>
      <c r="V368" s="24">
        <f t="shared" si="44"/>
        <v>4.05294934972662E-2</v>
      </c>
      <c r="W368" s="23">
        <f t="shared" si="45"/>
        <v>3.3145153308231645E-3</v>
      </c>
      <c r="X368" s="24">
        <v>3.9151925209377048E-2</v>
      </c>
      <c r="Y368" s="24">
        <f t="shared" si="46"/>
        <v>4.0229194072590291E-2</v>
      </c>
      <c r="Z368" s="23">
        <f t="shared" si="47"/>
        <v>3.2900904676220755E-3</v>
      </c>
      <c r="AA368" s="36"/>
    </row>
    <row r="369" spans="15:27" ht="17.100000000000001" customHeight="1" x14ac:dyDescent="0.3">
      <c r="O369" s="12">
        <f t="shared" si="41"/>
        <v>29.666666666666668</v>
      </c>
      <c r="P369" s="13">
        <v>356</v>
      </c>
      <c r="Q369" s="22">
        <v>3.5207457403169773E-2</v>
      </c>
      <c r="R369" s="19">
        <f t="shared" si="42"/>
        <v>3.2219902702840919E-2</v>
      </c>
      <c r="S369" s="22">
        <v>3.6033452134088595E-2</v>
      </c>
      <c r="T369" s="19">
        <f t="shared" si="43"/>
        <v>3.9155629652944945E-2</v>
      </c>
      <c r="U369" s="24">
        <v>3.9941633526928699E-2</v>
      </c>
      <c r="V369" s="24">
        <f t="shared" si="44"/>
        <v>4.0551454127869979E-2</v>
      </c>
      <c r="W369" s="23">
        <f t="shared" si="45"/>
        <v>3.3162961122814583E-3</v>
      </c>
      <c r="X369" s="24">
        <v>3.9154949682477458E-2</v>
      </c>
      <c r="Y369" s="24">
        <f t="shared" si="46"/>
        <v>4.0254736140745262E-2</v>
      </c>
      <c r="Z369" s="23">
        <f t="shared" si="47"/>
        <v>3.2921629530016094E-3</v>
      </c>
      <c r="AA369" s="36"/>
    </row>
    <row r="370" spans="15:27" ht="17.100000000000001" customHeight="1" x14ac:dyDescent="0.3">
      <c r="O370" s="12">
        <f t="shared" si="41"/>
        <v>29.75</v>
      </c>
      <c r="P370" s="13">
        <v>357</v>
      </c>
      <c r="Q370" s="22">
        <v>3.5199076837720167E-2</v>
      </c>
      <c r="R370" s="19">
        <f t="shared" si="42"/>
        <v>3.2168048644219072E-2</v>
      </c>
      <c r="S370" s="22">
        <v>3.6042184614788031E-2</v>
      </c>
      <c r="T370" s="19">
        <f t="shared" si="43"/>
        <v>3.9194832436260763E-2</v>
      </c>
      <c r="U370" s="24">
        <v>3.9943341208643846E-2</v>
      </c>
      <c r="V370" s="24">
        <f t="shared" si="44"/>
        <v>4.0573215531746865E-2</v>
      </c>
      <c r="W370" s="23">
        <f t="shared" si="45"/>
        <v>3.3180606982898819E-3</v>
      </c>
      <c r="X370" s="24">
        <v>3.9158028692335201E-2</v>
      </c>
      <c r="Y370" s="24">
        <f t="shared" si="46"/>
        <v>4.0280037530589619E-2</v>
      </c>
      <c r="Z370" s="23">
        <f t="shared" si="47"/>
        <v>3.294215855425886E-3</v>
      </c>
      <c r="AA370" s="36"/>
    </row>
    <row r="371" spans="15:27" ht="17.100000000000001" customHeight="1" x14ac:dyDescent="0.3">
      <c r="O371" s="12">
        <f t="shared" si="41"/>
        <v>29.833333333333332</v>
      </c>
      <c r="P371" s="13">
        <v>358</v>
      </c>
      <c r="Q371" s="22">
        <v>3.5190597894096065E-2</v>
      </c>
      <c r="R371" s="19">
        <f t="shared" si="42"/>
        <v>3.2115294739840206E-2</v>
      </c>
      <c r="S371" s="22">
        <v>3.6050977559419106E-2</v>
      </c>
      <c r="T371" s="19">
        <f t="shared" si="43"/>
        <v>3.9233624419126922E-2</v>
      </c>
      <c r="U371" s="24">
        <v>3.9945100103004227E-2</v>
      </c>
      <c r="V371" s="24">
        <f t="shared" si="44"/>
        <v>4.0594779587715513E-2</v>
      </c>
      <c r="W371" s="23">
        <f t="shared" si="45"/>
        <v>3.319809242308791E-3</v>
      </c>
      <c r="X371" s="24">
        <v>3.9161161109182885E-2</v>
      </c>
      <c r="Y371" s="24">
        <f t="shared" si="46"/>
        <v>4.0305100606005784E-2</v>
      </c>
      <c r="Z371" s="23">
        <f t="shared" si="47"/>
        <v>3.296249368166082E-3</v>
      </c>
      <c r="AA371" s="36"/>
    </row>
    <row r="372" spans="15:27" ht="17.100000000000001" customHeight="1" x14ac:dyDescent="0.3">
      <c r="O372" s="12">
        <f t="shared" si="41"/>
        <v>29.916666666666668</v>
      </c>
      <c r="P372" s="13">
        <v>359</v>
      </c>
      <c r="Q372" s="22">
        <v>3.5182018876119381E-2</v>
      </c>
      <c r="R372" s="19">
        <f t="shared" si="42"/>
        <v>3.2061638682236326E-2</v>
      </c>
      <c r="S372" s="22">
        <v>3.6059829319958103E-2</v>
      </c>
      <c r="T372" s="19">
        <f t="shared" si="43"/>
        <v>3.9272010129906443E-2</v>
      </c>
      <c r="U372" s="24">
        <v>3.9946909231691308E-2</v>
      </c>
      <c r="V372" s="24">
        <f t="shared" si="44"/>
        <v>4.0616148155071974E-2</v>
      </c>
      <c r="W372" s="23">
        <f t="shared" si="45"/>
        <v>3.3215418962202481E-3</v>
      </c>
      <c r="X372" s="24">
        <v>3.9164345822467528E-2</v>
      </c>
      <c r="Y372" s="24">
        <f t="shared" si="46"/>
        <v>4.032992770644106E-2</v>
      </c>
      <c r="Z372" s="23">
        <f t="shared" si="47"/>
        <v>3.298263682500524E-3</v>
      </c>
      <c r="AA372" s="36"/>
    </row>
    <row r="373" spans="15:27" ht="17.100000000000001" customHeight="1" x14ac:dyDescent="0.3">
      <c r="O373" s="12">
        <f t="shared" si="41"/>
        <v>30</v>
      </c>
      <c r="P373" s="13">
        <v>360</v>
      </c>
      <c r="Q373" s="22">
        <v>3.5173338099756313E-2</v>
      </c>
      <c r="R373" s="19">
        <f t="shared" si="42"/>
        <v>3.2007352370629238E-2</v>
      </c>
      <c r="S373" s="22">
        <v>3.6068738279331436E-2</v>
      </c>
      <c r="T373" s="19">
        <f t="shared" si="43"/>
        <v>3.9309994042367569E-2</v>
      </c>
      <c r="U373" s="24">
        <v>3.9948767632455917E-2</v>
      </c>
      <c r="V373" s="24">
        <f t="shared" si="44"/>
        <v>4.0637323073178466E-2</v>
      </c>
      <c r="W373" s="23">
        <f t="shared" si="45"/>
        <v>3.3232588103180305E-3</v>
      </c>
      <c r="X373" s="24">
        <v>3.9167581740514379E-2</v>
      </c>
      <c r="Y373" s="24">
        <f t="shared" si="46"/>
        <v>4.0354521144776667E-2</v>
      </c>
      <c r="Z373" s="23">
        <f t="shared" si="47"/>
        <v>3.3002589877149102E-3</v>
      </c>
      <c r="AA373" s="36"/>
    </row>
    <row r="374" spans="15:27" ht="17.100000000000001" customHeight="1" x14ac:dyDescent="0.3">
      <c r="O374" s="12">
        <f t="shared" si="41"/>
        <v>30.083333333333332</v>
      </c>
      <c r="P374" s="13">
        <v>361</v>
      </c>
      <c r="Q374" s="22">
        <v>3.5164554654842028E-2</v>
      </c>
      <c r="R374" s="19">
        <f t="shared" si="42"/>
        <v>3.195352991908762E-2</v>
      </c>
      <c r="S374" s="22">
        <v>3.6077702850832782E-2</v>
      </c>
      <c r="T374" s="19">
        <f t="shared" si="43"/>
        <v>3.9347580576819974E-2</v>
      </c>
      <c r="U374" s="24">
        <v>3.9950674358838922E-2</v>
      </c>
      <c r="V374" s="24">
        <f t="shared" si="44"/>
        <v>4.0658306166395874E-2</v>
      </c>
      <c r="W374" s="23">
        <f t="shared" si="45"/>
        <v>3.324960133274546E-3</v>
      </c>
      <c r="X374" s="24">
        <v>3.9170867790190966E-2</v>
      </c>
      <c r="Y374" s="24">
        <f t="shared" si="46"/>
        <v>4.0378883211629857E-2</v>
      </c>
      <c r="Z374" s="23">
        <f t="shared" si="47"/>
        <v>3.3022354709317803E-3</v>
      </c>
      <c r="AA374" s="36"/>
    </row>
    <row r="375" spans="15:27" ht="17.100000000000001" customHeight="1" x14ac:dyDescent="0.3">
      <c r="O375" s="12">
        <f t="shared" si="41"/>
        <v>30.166666666666668</v>
      </c>
      <c r="P375" s="13">
        <v>362</v>
      </c>
      <c r="Q375" s="22">
        <v>3.5155670672876838E-2</v>
      </c>
      <c r="R375" s="19">
        <f t="shared" si="42"/>
        <v>3.1900442002328555E-2</v>
      </c>
      <c r="S375" s="22">
        <v>3.6086721477553096E-2</v>
      </c>
      <c r="T375" s="19">
        <f t="shared" si="43"/>
        <v>3.9384774100704956E-2</v>
      </c>
      <c r="U375" s="24">
        <v>3.9952628479911212E-2</v>
      </c>
      <c r="V375" s="24">
        <f t="shared" si="44"/>
        <v>4.0679099237026284E-2</v>
      </c>
      <c r="W375" s="23">
        <f t="shared" si="45"/>
        <v>3.3266460125378483E-3</v>
      </c>
      <c r="X375" s="24">
        <v>3.9174202916587575E-2</v>
      </c>
      <c r="Y375" s="24">
        <f t="shared" si="46"/>
        <v>4.0403016171722372E-2</v>
      </c>
      <c r="Z375" s="23">
        <f t="shared" si="47"/>
        <v>3.3041933174562388E-3</v>
      </c>
      <c r="AA375" s="36"/>
    </row>
    <row r="376" spans="15:27" ht="17.100000000000001" customHeight="1" x14ac:dyDescent="0.3">
      <c r="O376" s="12">
        <f t="shared" si="41"/>
        <v>30.25</v>
      </c>
      <c r="P376" s="13">
        <v>363</v>
      </c>
      <c r="Q376" s="22">
        <v>3.5146689010065124E-2</v>
      </c>
      <c r="R376" s="19">
        <f t="shared" si="42"/>
        <v>3.1848084988212344E-2</v>
      </c>
      <c r="S376" s="22">
        <v>3.6095792631822166E-2</v>
      </c>
      <c r="T376" s="19">
        <f t="shared" si="43"/>
        <v>3.9421578928844792E-2</v>
      </c>
      <c r="U376" s="24">
        <v>3.9954629079998139E-2</v>
      </c>
      <c r="V376" s="24">
        <f t="shared" si="44"/>
        <v>4.0699704071512022E-2</v>
      </c>
      <c r="W376" s="23">
        <f t="shared" si="45"/>
        <v>3.3283165937652015E-3</v>
      </c>
      <c r="X376" s="24">
        <v>3.9177586082694171E-2</v>
      </c>
      <c r="Y376" s="24">
        <f t="shared" si="46"/>
        <v>4.042692226750022E-2</v>
      </c>
      <c r="Z376" s="23">
        <f t="shared" si="47"/>
        <v>3.3061327104850768E-3</v>
      </c>
      <c r="AA376" s="36"/>
    </row>
    <row r="377" spans="15:27" ht="17.100000000000001" customHeight="1" x14ac:dyDescent="0.3">
      <c r="O377" s="12">
        <f t="shared" si="41"/>
        <v>30.333333333333332</v>
      </c>
      <c r="P377" s="13">
        <v>364</v>
      </c>
      <c r="Q377" s="22">
        <v>3.5137612481483504E-2</v>
      </c>
      <c r="R377" s="19">
        <f t="shared" si="42"/>
        <v>3.1796455266965395E-2</v>
      </c>
      <c r="S377" s="22">
        <v>3.6104914814659272E-2</v>
      </c>
      <c r="T377" s="19">
        <f t="shared" si="43"/>
        <v>3.9457999324530979E-2</v>
      </c>
      <c r="U377" s="24">
        <v>3.9956675258424834E-2</v>
      </c>
      <c r="V377" s="24">
        <f t="shared" si="44"/>
        <v>4.0720122437130968E-2</v>
      </c>
      <c r="W377" s="23">
        <f t="shared" si="45"/>
        <v>3.329972021321348E-3</v>
      </c>
      <c r="X377" s="24">
        <v>3.9181016269091762E-2</v>
      </c>
      <c r="Y377" s="24">
        <f t="shared" si="46"/>
        <v>4.0450603716780886E-2</v>
      </c>
      <c r="Z377" s="23">
        <f t="shared" si="47"/>
        <v>3.3080538313980945E-3</v>
      </c>
      <c r="AA377" s="36"/>
    </row>
    <row r="378" spans="15:27" ht="17.100000000000001" customHeight="1" x14ac:dyDescent="0.3">
      <c r="O378" s="12">
        <f t="shared" si="41"/>
        <v>30.416666666666668</v>
      </c>
      <c r="P378" s="13">
        <v>365</v>
      </c>
      <c r="Q378" s="22">
        <v>3.5128443861698111E-2</v>
      </c>
      <c r="R378" s="19">
        <f t="shared" si="42"/>
        <v>3.1745549254022842E-2</v>
      </c>
      <c r="S378" s="22">
        <v>3.6114086555236735E-2</v>
      </c>
      <c r="T378" s="19">
        <f t="shared" si="43"/>
        <v>3.9494039500738154E-2</v>
      </c>
      <c r="U378" s="24">
        <v>3.9958766129258194E-2</v>
      </c>
      <c r="V378" s="24">
        <f t="shared" si="44"/>
        <v>4.0740356083536211E-2</v>
      </c>
      <c r="W378" s="23">
        <f t="shared" si="45"/>
        <v>3.331612438012943E-3</v>
      </c>
      <c r="X378" s="24">
        <v>3.9184492473643084E-2</v>
      </c>
      <c r="Y378" s="24">
        <f t="shared" si="46"/>
        <v>4.047406271428744E-2</v>
      </c>
      <c r="Z378" s="23">
        <f t="shared" si="47"/>
        <v>3.3099568595700291E-3</v>
      </c>
      <c r="AA378" s="36"/>
    </row>
    <row r="379" spans="15:27" ht="17.100000000000001" customHeight="1" x14ac:dyDescent="0.3">
      <c r="O379" s="12">
        <f t="shared" si="41"/>
        <v>30.5</v>
      </c>
      <c r="P379" s="13">
        <v>366</v>
      </c>
      <c r="Q379" s="22">
        <v>3.5119185885378768E-2</v>
      </c>
      <c r="R379" s="19">
        <f t="shared" si="42"/>
        <v>3.1695361027350932E-2</v>
      </c>
      <c r="S379" s="22">
        <v>3.6123306410355216E-2</v>
      </c>
      <c r="T379" s="19">
        <f t="shared" si="43"/>
        <v>3.9529703619908485E-2</v>
      </c>
      <c r="U379" s="24">
        <v>3.9960900821055745E-2</v>
      </c>
      <c r="V379" s="24">
        <f t="shared" si="44"/>
        <v>4.0760406744789979E-2</v>
      </c>
      <c r="W379" s="23">
        <f t="shared" si="45"/>
        <v>3.3332379852131222E-3</v>
      </c>
      <c r="X379" s="24">
        <v>3.9188013711192182E-2</v>
      </c>
      <c r="Y379" s="24">
        <f t="shared" si="46"/>
        <v>4.0497301432711907E-2</v>
      </c>
      <c r="Z379" s="23">
        <f t="shared" si="47"/>
        <v>3.3118419724933457E-3</v>
      </c>
      <c r="AA379" s="36"/>
    </row>
    <row r="380" spans="15:27" ht="17.100000000000001" customHeight="1" x14ac:dyDescent="0.3">
      <c r="O380" s="12">
        <f t="shared" si="41"/>
        <v>30.583333333333332</v>
      </c>
      <c r="P380" s="13">
        <v>367</v>
      </c>
      <c r="Q380" s="22">
        <v>3.5109841241445006E-2</v>
      </c>
      <c r="R380" s="19">
        <f t="shared" si="42"/>
        <v>3.1645877617841212E-2</v>
      </c>
      <c r="S380" s="22">
        <v>3.6132572963927689E-2</v>
      </c>
      <c r="T380" s="19">
        <f t="shared" si="43"/>
        <v>3.9564995794741042E-2</v>
      </c>
      <c r="U380" s="24">
        <v>3.9963078476625169E-2</v>
      </c>
      <c r="V380" s="24">
        <f t="shared" si="44"/>
        <v>4.0780276134609217E-2</v>
      </c>
      <c r="W380" s="23">
        <f t="shared" si="45"/>
        <v>3.3348488030253698E-3</v>
      </c>
      <c r="X380" s="24">
        <v>3.9191579013271527E-2</v>
      </c>
      <c r="Y380" s="24">
        <f t="shared" si="46"/>
        <v>4.052032202069733E-2</v>
      </c>
      <c r="Z380" s="23">
        <f t="shared" si="47"/>
        <v>3.313709345865945E-3</v>
      </c>
      <c r="AA380" s="36"/>
    </row>
    <row r="381" spans="15:27" ht="17.100000000000001" customHeight="1" x14ac:dyDescent="0.3">
      <c r="O381" s="12">
        <f t="shared" si="41"/>
        <v>30.666666666666668</v>
      </c>
      <c r="P381" s="13">
        <v>368</v>
      </c>
      <c r="Q381" s="22">
        <v>3.5100412554465166E-2</v>
      </c>
      <c r="R381" s="19">
        <f t="shared" si="42"/>
        <v>3.1597093164096535E-2</v>
      </c>
      <c r="S381" s="22">
        <v>3.6141884826472737E-2</v>
      </c>
      <c r="T381" s="19">
        <f t="shared" si="43"/>
        <v>3.9599920089729013E-2</v>
      </c>
      <c r="U381" s="24">
        <v>3.9965298252774728E-2</v>
      </c>
      <c r="V381" s="24">
        <f t="shared" si="44"/>
        <v>4.0799965951678896E-2</v>
      </c>
      <c r="W381" s="23">
        <f t="shared" si="45"/>
        <v>3.3364450299013804E-3</v>
      </c>
      <c r="X381" s="24">
        <v>3.9195187427809586E-2</v>
      </c>
      <c r="Y381" s="24">
        <f t="shared" si="46"/>
        <v>4.0543126605192992E-2</v>
      </c>
      <c r="Z381" s="23">
        <f t="shared" si="47"/>
        <v>3.3155591534277384E-3</v>
      </c>
      <c r="AA381" s="36"/>
    </row>
    <row r="382" spans="15:27" ht="17.100000000000001" customHeight="1" x14ac:dyDescent="0.3">
      <c r="O382" s="12">
        <f t="shared" si="41"/>
        <v>30.75</v>
      </c>
      <c r="P382" s="13">
        <v>369</v>
      </c>
      <c r="Q382" s="22">
        <v>3.5090902404845137E-2</v>
      </c>
      <c r="R382" s="19">
        <f t="shared" si="42"/>
        <v>3.1549004190136953E-2</v>
      </c>
      <c r="S382" s="22">
        <v>3.6151240634622273E-2</v>
      </c>
      <c r="T382" s="19">
        <f t="shared" si="43"/>
        <v>3.9634480520653881E-2</v>
      </c>
      <c r="U382" s="24">
        <v>3.9967559320081669E-2</v>
      </c>
      <c r="V382" s="24">
        <f t="shared" si="44"/>
        <v>4.0819477876723465E-2</v>
      </c>
      <c r="W382" s="23">
        <f t="shared" si="45"/>
        <v>3.3380268030684945E-3</v>
      </c>
      <c r="X382" s="24">
        <v>3.9198838018848381E-2</v>
      </c>
      <c r="Y382" s="24">
        <f t="shared" si="46"/>
        <v>4.0565717291353165E-2</v>
      </c>
      <c r="Z382" s="23">
        <f t="shared" si="47"/>
        <v>3.3173915671513843E-3</v>
      </c>
      <c r="AA382" s="36"/>
    </row>
    <row r="383" spans="15:27" ht="17.100000000000001" customHeight="1" x14ac:dyDescent="0.3">
      <c r="O383" s="12">
        <f t="shared" si="41"/>
        <v>30.833333333333332</v>
      </c>
      <c r="P383" s="13">
        <v>370</v>
      </c>
      <c r="Q383" s="22">
        <v>3.5081313335885822E-2</v>
      </c>
      <c r="R383" s="19">
        <f t="shared" si="42"/>
        <v>3.1501607244171392E-2</v>
      </c>
      <c r="S383" s="22">
        <v>3.6160639050634158E-2</v>
      </c>
      <c r="T383" s="19">
        <f t="shared" si="43"/>
        <v>3.9668681056507449E-2</v>
      </c>
      <c r="U383" s="24">
        <v>3.9969860862657081E-2</v>
      </c>
      <c r="V383" s="24">
        <f t="shared" si="44"/>
        <v>4.0838813574783916E-2</v>
      </c>
      <c r="W383" s="23">
        <f t="shared" si="45"/>
        <v>3.3395942582954419E-3</v>
      </c>
      <c r="X383" s="24">
        <v>3.920252986626549E-2</v>
      </c>
      <c r="Y383" s="24">
        <f t="shared" si="46"/>
        <v>4.0588096160872889E-2</v>
      </c>
      <c r="Z383" s="23">
        <f t="shared" si="47"/>
        <v>3.3192067572347383E-3</v>
      </c>
      <c r="AA383" s="36"/>
    </row>
    <row r="384" spans="15:27" ht="17.100000000000001" customHeight="1" x14ac:dyDescent="0.3">
      <c r="O384" s="12">
        <f t="shared" si="41"/>
        <v>30.916666666666668</v>
      </c>
      <c r="P384" s="13">
        <v>371</v>
      </c>
      <c r="Q384" s="22">
        <v>3.5071647854342247E-2</v>
      </c>
      <c r="R384" s="19">
        <f t="shared" si="42"/>
        <v>3.1454898901093653E-2</v>
      </c>
      <c r="S384" s="22">
        <v>3.6170078761918578E-2</v>
      </c>
      <c r="T384" s="19">
        <f t="shared" si="43"/>
        <v>3.9702525618206641E-2</v>
      </c>
      <c r="U384" s="24">
        <v>3.9972202077920516E-2</v>
      </c>
      <c r="V384" s="24">
        <f t="shared" si="44"/>
        <v>4.0857974692219523E-2</v>
      </c>
      <c r="W384" s="23">
        <f t="shared" si="45"/>
        <v>3.3411475300744176E-3</v>
      </c>
      <c r="X384" s="24">
        <v>3.9206262065497599E-2</v>
      </c>
      <c r="Y384" s="24">
        <f t="shared" si="46"/>
        <v>4.0610265275365709E-2</v>
      </c>
      <c r="Z384" s="23">
        <f t="shared" si="47"/>
        <v>3.3210048919674051E-3</v>
      </c>
      <c r="AA384" s="36"/>
    </row>
    <row r="385" spans="15:27" ht="17.100000000000001" customHeight="1" x14ac:dyDescent="0.3">
      <c r="O385" s="12">
        <f t="shared" si="41"/>
        <v>31</v>
      </c>
      <c r="P385" s="13">
        <v>372</v>
      </c>
      <c r="Q385" s="22">
        <v>3.5061908430980004E-2</v>
      </c>
      <c r="R385" s="19">
        <f t="shared" si="42"/>
        <v>3.1408873441803431E-2</v>
      </c>
      <c r="S385" s="22">
        <v>3.6179558480569529E-2</v>
      </c>
      <c r="T385" s="19">
        <f t="shared" si="43"/>
        <v>3.9736018081743207E-2</v>
      </c>
      <c r="U385" s="24">
        <v>3.9974582176369955E-2</v>
      </c>
      <c r="V385" s="24">
        <f t="shared" si="44"/>
        <v>4.0876962862194999E-2</v>
      </c>
      <c r="W385" s="23">
        <f t="shared" si="45"/>
        <v>3.3426867513810521E-3</v>
      </c>
      <c r="X385" s="24">
        <v>3.921003372727494E-2</v>
      </c>
      <c r="Y385" s="24">
        <f t="shared" si="46"/>
        <v>4.0632226674412131E-2</v>
      </c>
      <c r="Z385" s="23">
        <f t="shared" si="47"/>
        <v>3.3227861380025203E-3</v>
      </c>
      <c r="AA385" s="36"/>
    </row>
    <row r="386" spans="15:27" ht="17.100000000000001" customHeight="1" x14ac:dyDescent="0.3">
      <c r="O386" s="12">
        <f t="shared" si="41"/>
        <v>31.083333333333332</v>
      </c>
      <c r="P386" s="13">
        <v>373</v>
      </c>
      <c r="Q386" s="22">
        <v>3.5052097494879364E-2</v>
      </c>
      <c r="R386" s="19">
        <f t="shared" si="42"/>
        <v>3.1363518227730314E-2</v>
      </c>
      <c r="S386" s="22">
        <v>3.6189076942910958E-2</v>
      </c>
      <c r="T386" s="19">
        <f t="shared" si="43"/>
        <v>3.9769162276637182E-2</v>
      </c>
      <c r="U386" s="24">
        <v>3.9977000381370642E-2</v>
      </c>
      <c r="V386" s="24">
        <f t="shared" si="44"/>
        <v>4.0895779698134849E-2</v>
      </c>
      <c r="W386" s="23">
        <f t="shared" si="45"/>
        <v>3.344212054115836E-3</v>
      </c>
      <c r="X386" s="24">
        <v>3.9213843977357277E-2</v>
      </c>
      <c r="Y386" s="24">
        <f t="shared" si="46"/>
        <v>4.0653982376339437E-2</v>
      </c>
      <c r="Z386" s="23">
        <f t="shared" si="47"/>
        <v>3.3245506602002095E-3</v>
      </c>
      <c r="AA386" s="36"/>
    </row>
    <row r="387" spans="15:27" ht="17.100000000000001" customHeight="1" x14ac:dyDescent="0.3">
      <c r="O387" s="12">
        <f t="shared" si="41"/>
        <v>31.166666666666668</v>
      </c>
      <c r="P387" s="13">
        <v>374</v>
      </c>
      <c r="Q387" s="22">
        <v>3.5042217415418131E-2</v>
      </c>
      <c r="R387" s="19">
        <f t="shared" si="42"/>
        <v>3.1318827606838129E-2</v>
      </c>
      <c r="S387" s="22">
        <v>3.6198632909046902E-2</v>
      </c>
      <c r="T387" s="19">
        <f t="shared" si="43"/>
        <v>3.980196198766861E-2</v>
      </c>
      <c r="U387" s="24">
        <v>3.9979455928929264E-2</v>
      </c>
      <c r="V387" s="24">
        <f t="shared" si="44"/>
        <v>4.0914426800463977E-2</v>
      </c>
      <c r="W387" s="23">
        <f t="shared" si="45"/>
        <v>3.3457235685785403E-3</v>
      </c>
      <c r="X387" s="24">
        <v>3.9217691956275225E-2</v>
      </c>
      <c r="Y387" s="24">
        <f t="shared" si="46"/>
        <v>4.0675534378226352E-2</v>
      </c>
      <c r="Z387" s="23">
        <f t="shared" si="47"/>
        <v>3.3262986216915369E-3</v>
      </c>
      <c r="AA387" s="36"/>
    </row>
    <row r="388" spans="15:27" ht="17.100000000000001" customHeight="1" x14ac:dyDescent="0.3">
      <c r="O388" s="12">
        <f t="shared" si="41"/>
        <v>31.25</v>
      </c>
      <c r="P388" s="13">
        <v>375</v>
      </c>
      <c r="Q388" s="22">
        <v>3.5032270521756059E-2</v>
      </c>
      <c r="R388" s="19">
        <f t="shared" si="42"/>
        <v>3.1274798265584769E-2</v>
      </c>
      <c r="S388" s="22">
        <v>3.6208225162423391E-2</v>
      </c>
      <c r="T388" s="19">
        <f t="shared" si="43"/>
        <v>3.983442095539802E-2</v>
      </c>
      <c r="U388" s="24">
        <v>3.9981948067490336E-2</v>
      </c>
      <c r="V388" s="24">
        <f t="shared" si="44"/>
        <v>4.0932905751474458E-2</v>
      </c>
      <c r="W388" s="23">
        <f t="shared" si="45"/>
        <v>3.347221424009561E-3</v>
      </c>
      <c r="X388" s="24">
        <v>3.9221576819075343E-2</v>
      </c>
      <c r="Y388" s="24">
        <f t="shared" si="46"/>
        <v>4.0696884657691168E-2</v>
      </c>
      <c r="Z388" s="23">
        <f t="shared" si="47"/>
        <v>3.3280301838787274E-3</v>
      </c>
      <c r="AA388" s="36"/>
    </row>
    <row r="389" spans="15:27" ht="17.100000000000001" customHeight="1" x14ac:dyDescent="0.3">
      <c r="O389" s="12">
        <f t="shared" si="41"/>
        <v>31.333333333333332</v>
      </c>
      <c r="P389" s="13">
        <v>376</v>
      </c>
      <c r="Q389" s="22">
        <v>3.5022259109605658E-2</v>
      </c>
      <c r="R389" s="19">
        <f t="shared" si="42"/>
        <v>3.1231426919085425E-2</v>
      </c>
      <c r="S389" s="22">
        <v>3.6217852509398796E-2</v>
      </c>
      <c r="T389" s="19">
        <f t="shared" si="43"/>
        <v>3.9866542875662159E-2</v>
      </c>
      <c r="U389" s="24">
        <v>3.9984476057721929E-2</v>
      </c>
      <c r="V389" s="24">
        <f t="shared" si="44"/>
        <v>4.0951218119136934E-2</v>
      </c>
      <c r="W389" s="23">
        <f t="shared" si="45"/>
        <v>3.348705748178249E-3</v>
      </c>
      <c r="X389" s="24">
        <v>3.9225497735074777E-2</v>
      </c>
      <c r="Y389" s="24">
        <f t="shared" si="46"/>
        <v>4.0718035170076217E-2</v>
      </c>
      <c r="Z389" s="23">
        <f t="shared" si="47"/>
        <v>3.3297455065790516E-3</v>
      </c>
      <c r="AA389" s="36"/>
    </row>
    <row r="390" spans="15:27" ht="17.100000000000001" customHeight="1" x14ac:dyDescent="0.3">
      <c r="O390" s="12">
        <f t="shared" si="41"/>
        <v>31.416666666666668</v>
      </c>
      <c r="P390" s="13">
        <v>377</v>
      </c>
      <c r="Q390" s="22">
        <v>3.5012185441745558E-2</v>
      </c>
      <c r="R390" s="19">
        <f t="shared" si="42"/>
        <v>3.118871030638326E-2</v>
      </c>
      <c r="S390" s="22">
        <v>3.622751377881972E-2</v>
      </c>
      <c r="T390" s="19">
        <f t="shared" si="43"/>
        <v>3.9898331402395515E-2</v>
      </c>
      <c r="U390" s="24">
        <v>3.998703917231472E-2</v>
      </c>
      <c r="V390" s="24">
        <f t="shared" si="44"/>
        <v>4.0969365455425066E-2</v>
      </c>
      <c r="W390" s="23">
        <f t="shared" si="45"/>
        <v>3.3501766676891087E-3</v>
      </c>
      <c r="X390" s="24">
        <v>3.922945388761212E-2</v>
      </c>
      <c r="Y390" s="24">
        <f t="shared" si="46"/>
        <v>4.0738987852622532E-2</v>
      </c>
      <c r="Z390" s="23">
        <f t="shared" si="47"/>
        <v>3.3314447478001163E-3</v>
      </c>
      <c r="AA390" s="36"/>
    </row>
    <row r="391" spans="15:27" ht="17.100000000000001" customHeight="1" x14ac:dyDescent="0.3">
      <c r="O391" s="12">
        <f t="shared" si="41"/>
        <v>31.5</v>
      </c>
      <c r="P391" s="13">
        <v>378</v>
      </c>
      <c r="Q391" s="22">
        <v>3.5002051748514562E-2</v>
      </c>
      <c r="R391" s="19">
        <f t="shared" si="42"/>
        <v>3.1146642919809508E-2</v>
      </c>
      <c r="S391" s="22">
        <v>3.6237207821610884E-2</v>
      </c>
      <c r="T391" s="19">
        <f t="shared" si="43"/>
        <v>3.9929790145780908E-2</v>
      </c>
      <c r="U391" s="24">
        <v>3.9989636695780373E-2</v>
      </c>
      <c r="V391" s="24">
        <f t="shared" si="44"/>
        <v>4.0987349296853104E-2</v>
      </c>
      <c r="W391" s="23">
        <f t="shared" si="45"/>
        <v>3.351634307847462E-3</v>
      </c>
      <c r="X391" s="24">
        <v>3.9233444473813162E-2</v>
      </c>
      <c r="Y391" s="24">
        <f t="shared" si="46"/>
        <v>4.0759744620237237E-2</v>
      </c>
      <c r="Z391" s="23">
        <f t="shared" si="47"/>
        <v>3.3331280640744865E-3</v>
      </c>
      <c r="AA391" s="36"/>
    </row>
    <row r="392" spans="15:27" ht="17.100000000000001" customHeight="1" x14ac:dyDescent="0.3">
      <c r="O392" s="12">
        <f t="shared" si="41"/>
        <v>31.583333333333332</v>
      </c>
      <c r="P392" s="13">
        <v>379</v>
      </c>
      <c r="Q392" s="22">
        <v>3.4991860222284066E-2</v>
      </c>
      <c r="R392" s="19">
        <f t="shared" si="42"/>
        <v>3.1105212459608955E-2</v>
      </c>
      <c r="S392" s="22">
        <v>3.6246933510367008E-2</v>
      </c>
      <c r="T392" s="19">
        <f t="shared" si="43"/>
        <v>3.9960922674279642E-2</v>
      </c>
      <c r="U392" s="24">
        <v>3.9992267924253699E-2</v>
      </c>
      <c r="V392" s="24">
        <f t="shared" si="44"/>
        <v>4.1005171165440668E-2</v>
      </c>
      <c r="W392" s="23">
        <f t="shared" si="45"/>
        <v>3.3530787927040784E-3</v>
      </c>
      <c r="X392" s="24">
        <v>3.9237468704349521E-2</v>
      </c>
      <c r="Y392" s="24">
        <f t="shared" si="46"/>
        <v>4.0780307370089419E-2</v>
      </c>
      <c r="Z392" s="23">
        <f t="shared" si="47"/>
        <v>3.3347956101204002E-3</v>
      </c>
      <c r="AA392" s="36"/>
    </row>
    <row r="393" spans="15:27" ht="17.100000000000001" customHeight="1" x14ac:dyDescent="0.3">
      <c r="O393" s="12">
        <f t="shared" si="41"/>
        <v>31.666666666666668</v>
      </c>
      <c r="P393" s="13">
        <v>380</v>
      </c>
      <c r="Q393" s="22">
        <v>3.4981613000010015E-2</v>
      </c>
      <c r="R393" s="19">
        <f t="shared" si="42"/>
        <v>3.1064413481413311E-2</v>
      </c>
      <c r="S393" s="22">
        <v>3.6256689738956904E-2</v>
      </c>
      <c r="T393" s="19">
        <f t="shared" si="43"/>
        <v>3.9991732514439438E-2</v>
      </c>
      <c r="U393" s="24">
        <v>3.9994932165301256E-2</v>
      </c>
      <c r="V393" s="24">
        <f t="shared" si="44"/>
        <v>4.1022832567057854E-2</v>
      </c>
      <c r="W393" s="23">
        <f t="shared" si="45"/>
        <v>3.3545102451306708E-3</v>
      </c>
      <c r="X393" s="24">
        <v>3.9241525803212607E-2</v>
      </c>
      <c r="Y393" s="24">
        <f t="shared" si="46"/>
        <v>4.0800677978727551E-2</v>
      </c>
      <c r="Z393" s="23">
        <f t="shared" si="47"/>
        <v>3.3364475392121395E-3</v>
      </c>
      <c r="AA393" s="36"/>
    </row>
    <row r="394" spans="15:27" ht="17.100000000000001" customHeight="1" x14ac:dyDescent="0.3">
      <c r="O394" s="12">
        <f t="shared" si="41"/>
        <v>31.75</v>
      </c>
      <c r="P394" s="13">
        <v>381</v>
      </c>
      <c r="Q394" s="22">
        <v>3.4971312182014547E-2</v>
      </c>
      <c r="R394" s="19">
        <f t="shared" si="42"/>
        <v>3.1024242846152461E-2</v>
      </c>
      <c r="S394" s="22">
        <v>3.6266475422132016E-2</v>
      </c>
      <c r="T394" s="19">
        <f t="shared" si="43"/>
        <v>4.0022223152502701E-2</v>
      </c>
      <c r="U394" s="24">
        <v>3.999762873772883E-2</v>
      </c>
      <c r="V394" s="24">
        <f t="shared" si="44"/>
        <v>4.1040334993184047E-2</v>
      </c>
      <c r="W394" s="23">
        <f t="shared" si="45"/>
        <v>3.3559287866891108E-3</v>
      </c>
      <c r="X394" s="24">
        <v>3.9245615007484469E-2</v>
      </c>
      <c r="Y394" s="24">
        <f t="shared" si="46"/>
        <v>4.082085830354476E-2</v>
      </c>
      <c r="Z394" s="23">
        <f t="shared" si="47"/>
        <v>3.3380840029479941E-3</v>
      </c>
      <c r="AA394" s="36"/>
    </row>
    <row r="395" spans="15:27" ht="17.100000000000001" customHeight="1" x14ac:dyDescent="0.3">
      <c r="O395" s="12">
        <f t="shared" si="41"/>
        <v>31.833333333333332</v>
      </c>
      <c r="P395" s="13">
        <v>382</v>
      </c>
      <c r="Q395" s="22">
        <v>3.496095983851677E-2</v>
      </c>
      <c r="R395" s="19">
        <f t="shared" si="42"/>
        <v>3.0984697437384856E-2</v>
      </c>
      <c r="S395" s="22">
        <v>3.6276289495146941E-2</v>
      </c>
      <c r="T395" s="19">
        <f t="shared" si="43"/>
        <v>4.0052398033613823E-2</v>
      </c>
      <c r="U395" s="24">
        <v>4.0000356971395368E-2</v>
      </c>
      <c r="V395" s="24">
        <f t="shared" si="44"/>
        <v>4.1057679921904455E-2</v>
      </c>
      <c r="W395" s="23">
        <f t="shared" si="45"/>
        <v>3.3573345377728714E-3</v>
      </c>
      <c r="X395" s="24">
        <v>3.9249735567115307E-2</v>
      </c>
      <c r="Y395" s="24">
        <f t="shared" si="46"/>
        <v>4.0840850183349042E-2</v>
      </c>
      <c r="Z395" s="23">
        <f t="shared" si="47"/>
        <v>3.3397051513686105E-3</v>
      </c>
      <c r="AA395" s="36"/>
    </row>
    <row r="396" spans="15:27" ht="17.100000000000001" customHeight="1" x14ac:dyDescent="0.3">
      <c r="O396" s="12">
        <f t="shared" si="41"/>
        <v>31.916666666666668</v>
      </c>
      <c r="P396" s="13">
        <v>383</v>
      </c>
      <c r="Q396" s="22">
        <v>3.4950558010081068E-2</v>
      </c>
      <c r="R396" s="19">
        <f t="shared" si="42"/>
        <v>3.0945774169604867E-2</v>
      </c>
      <c r="S396" s="22">
        <v>3.6286130913382841E-2</v>
      </c>
      <c r="T396" s="19">
        <f t="shared" si="43"/>
        <v>4.0082260562438465E-2</v>
      </c>
      <c r="U396" s="24">
        <v>4.000311620703334E-2</v>
      </c>
      <c r="V396" s="24">
        <f t="shared" si="44"/>
        <v>4.1074868813984589E-2</v>
      </c>
      <c r="W396" s="23">
        <f t="shared" si="45"/>
        <v>3.3587276176860748E-3</v>
      </c>
      <c r="X396" s="24">
        <v>3.925388674470609E-2</v>
      </c>
      <c r="Y396" s="24">
        <f t="shared" si="46"/>
        <v>4.086065543734918E-2</v>
      </c>
      <c r="Z396" s="23">
        <f t="shared" si="47"/>
        <v>3.3413111330033995E-3</v>
      </c>
      <c r="AA396" s="36"/>
    </row>
    <row r="397" spans="15:27" ht="17.100000000000001" customHeight="1" x14ac:dyDescent="0.3">
      <c r="O397" s="12">
        <f t="shared" si="41"/>
        <v>32</v>
      </c>
      <c r="P397" s="13">
        <v>384</v>
      </c>
      <c r="Q397" s="22">
        <v>3.4940108708078954E-2</v>
      </c>
      <c r="R397" s="19">
        <f t="shared" si="42"/>
        <v>3.0907467746782213E-2</v>
      </c>
      <c r="S397" s="22">
        <v>3.6295998651978856E-2</v>
      </c>
      <c r="T397" s="19">
        <f t="shared" si="43"/>
        <v>4.0111814105910693E-2</v>
      </c>
      <c r="U397" s="24">
        <v>4.0005905796062002E-2</v>
      </c>
      <c r="V397" s="24">
        <f t="shared" si="44"/>
        <v>4.1091903119278239E-2</v>
      </c>
      <c r="W397" s="23">
        <f t="shared" si="45"/>
        <v>3.3601081443292991E-3</v>
      </c>
      <c r="X397" s="24">
        <v>3.9258067815292952E-2</v>
      </c>
      <c r="Y397" s="24">
        <f t="shared" si="46"/>
        <v>4.0880275866278071E-2</v>
      </c>
      <c r="Z397" s="23">
        <f t="shared" si="47"/>
        <v>3.3429020947892685E-3</v>
      </c>
      <c r="AA397" s="36"/>
    </row>
    <row r="398" spans="15:27" ht="17.100000000000001" customHeight="1" x14ac:dyDescent="0.3">
      <c r="O398" s="12">
        <f t="shared" ref="O398:O461" si="48">P398/12</f>
        <v>32.083333333333336</v>
      </c>
      <c r="P398" s="13">
        <v>385</v>
      </c>
      <c r="Q398" s="22">
        <v>3.4929613909299606E-2</v>
      </c>
      <c r="R398" s="19">
        <f t="shared" ref="R398:R461" si="49">(1+Q399)^P399/(1+Q398)^P398-1</f>
        <v>3.0869766208907023E-2</v>
      </c>
      <c r="S398" s="22">
        <v>3.6305891705476157E-2</v>
      </c>
      <c r="T398" s="19">
        <f t="shared" ref="T398:T461" si="50">(1+S399)^P399/(1+S398)^P398-1</f>
        <v>4.0141061990127236E-2</v>
      </c>
      <c r="U398" s="24">
        <v>4.0008725100419307E-2</v>
      </c>
      <c r="V398" s="24">
        <f t="shared" ref="V398:V461" si="51">(1+U399)^P399/(1+U398)^P398-1</f>
        <v>4.1108784269997756E-2</v>
      </c>
      <c r="W398" s="23">
        <f t="shared" si="45"/>
        <v>3.3614762347151661E-3</v>
      </c>
      <c r="X398" s="24">
        <v>3.9262278066135803E-2</v>
      </c>
      <c r="Y398" s="24">
        <f t="shared" si="46"/>
        <v>4.0899713253365944E-2</v>
      </c>
      <c r="Z398" s="23">
        <f t="shared" si="47"/>
        <v>3.3444781821614367E-3</v>
      </c>
      <c r="AA398" s="36"/>
    </row>
    <row r="399" spans="15:27" ht="17.100000000000001" customHeight="1" x14ac:dyDescent="0.3">
      <c r="O399" s="12">
        <f t="shared" si="48"/>
        <v>32.166666666666664</v>
      </c>
      <c r="P399" s="13">
        <v>386</v>
      </c>
      <c r="Q399" s="22">
        <v>3.4919075539061151E-2</v>
      </c>
      <c r="R399" s="19">
        <f t="shared" si="49"/>
        <v>3.0832664329602411E-2</v>
      </c>
      <c r="S399" s="22">
        <v>3.6315809087459794E-2</v>
      </c>
      <c r="T399" s="19">
        <f t="shared" si="50"/>
        <v>4.0170007503739447E-2</v>
      </c>
      <c r="U399" s="24">
        <v>4.0011573492379604E-2</v>
      </c>
      <c r="V399" s="24">
        <f t="shared" si="51"/>
        <v>4.112551368663353E-2</v>
      </c>
      <c r="W399" s="23">
        <f t="shared" ref="W399:W462" si="52">(1+V398)^(1/12)-1</f>
        <v>3.3628320044265525E-3</v>
      </c>
      <c r="X399" s="24">
        <v>3.9266516796515605E-2</v>
      </c>
      <c r="Y399" s="24">
        <f t="shared" ref="Y399:Y462" si="53">(1+X400)^P400/(1+X399)^P399-1</f>
        <v>4.0918969361506408E-2</v>
      </c>
      <c r="Z399" s="23">
        <f t="shared" ref="Z399:Z462" si="54">(1+Y398)^(1/12)-1</f>
        <v>3.3460395391318176E-3</v>
      </c>
      <c r="AA399" s="36"/>
    </row>
    <row r="400" spans="15:27" ht="17.100000000000001" customHeight="1" x14ac:dyDescent="0.3">
      <c r="O400" s="12">
        <f t="shared" si="48"/>
        <v>32.25</v>
      </c>
      <c r="P400" s="13">
        <v>387</v>
      </c>
      <c r="Q400" s="22">
        <v>3.4908495489337055E-2</v>
      </c>
      <c r="R400" s="19">
        <f t="shared" si="49"/>
        <v>3.07961591426551E-2</v>
      </c>
      <c r="S400" s="22">
        <v>3.6325749830214971E-2</v>
      </c>
      <c r="T400" s="19">
        <f t="shared" si="50"/>
        <v>4.0198653897464798E-2</v>
      </c>
      <c r="U400" s="24">
        <v>4.001445035438933E-2</v>
      </c>
      <c r="V400" s="24">
        <f t="shared" si="51"/>
        <v>4.1142092775335204E-2</v>
      </c>
      <c r="W400" s="23">
        <f t="shared" si="52"/>
        <v>3.3641755680935415E-3</v>
      </c>
      <c r="X400" s="24">
        <v>3.9270783317524316E-2</v>
      </c>
      <c r="Y400" s="24">
        <f t="shared" si="53"/>
        <v>4.0938045938145651E-2</v>
      </c>
      <c r="Z400" s="23">
        <f t="shared" si="54"/>
        <v>3.3475863080614232E-3</v>
      </c>
      <c r="AA400" s="36"/>
    </row>
    <row r="401" spans="15:27" ht="17.100000000000001" customHeight="1" x14ac:dyDescent="0.3">
      <c r="O401" s="12">
        <f t="shared" si="48"/>
        <v>32.333333333333336</v>
      </c>
      <c r="P401" s="13">
        <v>388</v>
      </c>
      <c r="Q401" s="22">
        <v>3.4897875625029773E-2</v>
      </c>
      <c r="R401" s="19">
        <f t="shared" si="49"/>
        <v>3.0760247708802035E-2</v>
      </c>
      <c r="S401" s="22">
        <v>3.633571298438687E-2</v>
      </c>
      <c r="T401" s="19">
        <f t="shared" si="50"/>
        <v>4.0227004384231213E-2</v>
      </c>
      <c r="U401" s="24">
        <v>4.0017355078898476E-2</v>
      </c>
      <c r="V401" s="24">
        <f t="shared" si="51"/>
        <v>4.1158522927392083E-2</v>
      </c>
      <c r="W401" s="23">
        <f t="shared" si="52"/>
        <v>3.3655070391824804E-3</v>
      </c>
      <c r="X401" s="24">
        <v>3.9275076951873489E-2</v>
      </c>
      <c r="Y401" s="24">
        <f t="shared" si="53"/>
        <v>4.0956944710901722E-2</v>
      </c>
      <c r="Z401" s="23">
        <f t="shared" si="54"/>
        <v>3.3491186300542708E-3</v>
      </c>
      <c r="AA401" s="36"/>
    </row>
    <row r="402" spans="15:27" ht="17.100000000000001" customHeight="1" x14ac:dyDescent="0.3">
      <c r="O402" s="12">
        <f t="shared" si="48"/>
        <v>32.416666666666664</v>
      </c>
      <c r="P402" s="13">
        <v>389</v>
      </c>
      <c r="Q402" s="22">
        <v>3.4887217784383973E-2</v>
      </c>
      <c r="R402" s="19">
        <f t="shared" si="49"/>
        <v>3.0724927115790335E-2</v>
      </c>
      <c r="S402" s="22">
        <v>3.6345697618646478E-2</v>
      </c>
      <c r="T402" s="19">
        <f t="shared" si="50"/>
        <v>4.0255062140304609E-2</v>
      </c>
      <c r="U402" s="24">
        <v>4.0020287068193383E-2</v>
      </c>
      <c r="V402" s="24">
        <f t="shared" si="51"/>
        <v>4.117480552177466E-2</v>
      </c>
      <c r="W402" s="23">
        <f t="shared" si="52"/>
        <v>3.3668265299551248E-3</v>
      </c>
      <c r="X402" s="24">
        <v>3.9279397033692875E-2</v>
      </c>
      <c r="Y402" s="24">
        <f t="shared" si="53"/>
        <v>4.0975667390482862E-2</v>
      </c>
      <c r="Z402" s="23">
        <f t="shared" si="54"/>
        <v>3.3506366446049984E-3</v>
      </c>
      <c r="AA402" s="36"/>
    </row>
    <row r="403" spans="15:27" ht="17.100000000000001" customHeight="1" x14ac:dyDescent="0.3">
      <c r="O403" s="12">
        <f t="shared" si="48"/>
        <v>32.5</v>
      </c>
      <c r="P403" s="13">
        <v>390</v>
      </c>
      <c r="Q403" s="22">
        <v>3.4876523779394653E-2</v>
      </c>
      <c r="R403" s="19">
        <f t="shared" si="49"/>
        <v>3.0690192288272078E-2</v>
      </c>
      <c r="S403" s="22">
        <v>3.6355702819365066E-2</v>
      </c>
      <c r="T403" s="19">
        <f t="shared" si="50"/>
        <v>4.0282830304890993E-2</v>
      </c>
      <c r="U403" s="24">
        <v>4.0023245734238877E-2</v>
      </c>
      <c r="V403" s="24">
        <f t="shared" si="51"/>
        <v>4.1190941923323399E-2</v>
      </c>
      <c r="W403" s="23">
        <f t="shared" si="52"/>
        <v>3.368134151672475E-3</v>
      </c>
      <c r="X403" s="24">
        <v>3.9283742908340358E-2</v>
      </c>
      <c r="Y403" s="24">
        <f t="shared" si="53"/>
        <v>4.099421567019923E-2</v>
      </c>
      <c r="Z403" s="23">
        <f t="shared" si="54"/>
        <v>3.3521404898340101E-3</v>
      </c>
      <c r="AA403" s="36"/>
    </row>
    <row r="404" spans="15:27" ht="17.100000000000001" customHeight="1" x14ac:dyDescent="0.3">
      <c r="O404" s="12">
        <f t="shared" si="48"/>
        <v>32.583333333333336</v>
      </c>
      <c r="P404" s="13">
        <v>391</v>
      </c>
      <c r="Q404" s="22">
        <v>3.4865795390583099E-2</v>
      </c>
      <c r="R404" s="19">
        <f t="shared" si="49"/>
        <v>3.0656031604155753E-2</v>
      </c>
      <c r="S404" s="22">
        <v>3.636572769029156E-2</v>
      </c>
      <c r="T404" s="19">
        <f t="shared" si="50"/>
        <v>4.0310311981943903E-2</v>
      </c>
      <c r="U404" s="24">
        <v>4.0026230498517279E-2</v>
      </c>
      <c r="V404" s="24">
        <f t="shared" si="51"/>
        <v>4.1206933483411534E-2</v>
      </c>
      <c r="W404" s="23">
        <f t="shared" si="52"/>
        <v>3.3694300144502254E-3</v>
      </c>
      <c r="X404" s="24">
        <v>3.9288113932212987E-2</v>
      </c>
      <c r="Y404" s="24">
        <f t="shared" si="53"/>
        <v>4.1012591226518902E-2</v>
      </c>
      <c r="Z404" s="23">
        <f t="shared" si="54"/>
        <v>3.3536303024488401E-3</v>
      </c>
      <c r="AA404" s="36"/>
    </row>
    <row r="405" spans="15:27" ht="17.100000000000001" customHeight="1" x14ac:dyDescent="0.3">
      <c r="O405" s="12">
        <f t="shared" si="48"/>
        <v>32.666666666666664</v>
      </c>
      <c r="P405" s="13">
        <v>392</v>
      </c>
      <c r="Q405" s="22">
        <v>3.4855034350626424E-2</v>
      </c>
      <c r="R405" s="19">
        <f t="shared" si="49"/>
        <v>3.0622440057119116E-2</v>
      </c>
      <c r="S405" s="22">
        <v>3.6375771352240349E-2</v>
      </c>
      <c r="T405" s="19">
        <f t="shared" si="50"/>
        <v>4.0337510239481622E-2</v>
      </c>
      <c r="U405" s="24">
        <v>4.0029240791872978E-2</v>
      </c>
      <c r="V405" s="24">
        <f t="shared" si="51"/>
        <v>4.1222781541451203E-2</v>
      </c>
      <c r="W405" s="23">
        <f t="shared" si="52"/>
        <v>3.3707142273111668E-3</v>
      </c>
      <c r="X405" s="24">
        <v>3.9292509472563131E-2</v>
      </c>
      <c r="Y405" s="24">
        <f t="shared" si="53"/>
        <v>4.1030795717658108E-2</v>
      </c>
      <c r="Z405" s="23">
        <f t="shared" si="54"/>
        <v>3.3551062177885616E-3</v>
      </c>
      <c r="AA405" s="36"/>
    </row>
    <row r="406" spans="15:27" ht="17.100000000000001" customHeight="1" x14ac:dyDescent="0.3">
      <c r="O406" s="12">
        <f t="shared" si="48"/>
        <v>32.75</v>
      </c>
      <c r="P406" s="13">
        <v>393</v>
      </c>
      <c r="Q406" s="22">
        <v>3.484424236186312E-2</v>
      </c>
      <c r="R406" s="19">
        <f t="shared" si="49"/>
        <v>3.0589414857026265E-2</v>
      </c>
      <c r="S406" s="22">
        <v>3.6385832942781526E-2</v>
      </c>
      <c r="T406" s="19">
        <f t="shared" si="50"/>
        <v>4.0364428110481132E-2</v>
      </c>
      <c r="U406" s="24">
        <v>4.0032276054362104E-2</v>
      </c>
      <c r="V406" s="24">
        <f t="shared" si="51"/>
        <v>4.1238487422201375E-2</v>
      </c>
      <c r="W406" s="23">
        <f t="shared" si="52"/>
        <v>3.3719868983073109E-3</v>
      </c>
      <c r="X406" s="24">
        <v>3.9296928907313289E-2</v>
      </c>
      <c r="Y406" s="24">
        <f t="shared" si="53"/>
        <v>4.1048830786220014E-2</v>
      </c>
      <c r="Z406" s="23">
        <f t="shared" si="54"/>
        <v>3.3565683697114324E-3</v>
      </c>
      <c r="AA406" s="36"/>
    </row>
    <row r="407" spans="15:27" ht="17.100000000000001" customHeight="1" x14ac:dyDescent="0.3">
      <c r="O407" s="12">
        <f t="shared" si="48"/>
        <v>32.833333333333336</v>
      </c>
      <c r="P407" s="13">
        <v>394</v>
      </c>
      <c r="Q407" s="22">
        <v>3.4833421102322681E-2</v>
      </c>
      <c r="R407" s="19">
        <f t="shared" si="49"/>
        <v>3.0556953244212259E-2</v>
      </c>
      <c r="S407" s="22">
        <v>3.6395911615938914E-2</v>
      </c>
      <c r="T407" s="19">
        <f t="shared" si="50"/>
        <v>4.0391068592446677E-2</v>
      </c>
      <c r="U407" s="24">
        <v>4.0035335735097988E-2</v>
      </c>
      <c r="V407" s="24">
        <f t="shared" si="51"/>
        <v>4.1254052437373678E-2</v>
      </c>
      <c r="W407" s="23">
        <f t="shared" si="52"/>
        <v>3.3732481343036191E-3</v>
      </c>
      <c r="X407" s="24">
        <v>3.9301371624880455E-2</v>
      </c>
      <c r="Y407" s="24">
        <f t="shared" si="53"/>
        <v>4.1066698057631967E-2</v>
      </c>
      <c r="Z407" s="23">
        <f t="shared" si="54"/>
        <v>3.3580168908067254E-3</v>
      </c>
      <c r="AA407" s="36"/>
    </row>
    <row r="408" spans="15:27" ht="17.100000000000001" customHeight="1" x14ac:dyDescent="0.3">
      <c r="O408" s="12">
        <f t="shared" si="48"/>
        <v>32.916666666666664</v>
      </c>
      <c r="P408" s="13">
        <v>395</v>
      </c>
      <c r="Q408" s="22">
        <v>3.4822572226106852E-2</v>
      </c>
      <c r="R408" s="19">
        <f t="shared" si="49"/>
        <v>3.0525052483920678E-2</v>
      </c>
      <c r="S408" s="22">
        <v>3.6406006541891189E-2</v>
      </c>
      <c r="T408" s="19">
        <f t="shared" si="50"/>
        <v>4.0417434650139805E-2</v>
      </c>
      <c r="U408" s="24">
        <v>4.00384192921035E-2</v>
      </c>
      <c r="V408" s="24">
        <f t="shared" si="51"/>
        <v>4.1269477888281392E-2</v>
      </c>
      <c r="W408" s="23">
        <f t="shared" si="52"/>
        <v>3.3744980411065661E-3</v>
      </c>
      <c r="X408" s="24">
        <v>3.9305837023999368E-2</v>
      </c>
      <c r="Y408" s="24">
        <f t="shared" si="53"/>
        <v>4.1084399140540295E-2</v>
      </c>
      <c r="Z408" s="23">
        <f t="shared" si="54"/>
        <v>3.3594519122694955E-3</v>
      </c>
      <c r="AA408" s="36"/>
    </row>
    <row r="409" spans="15:27" ht="17.100000000000001" customHeight="1" x14ac:dyDescent="0.3">
      <c r="O409" s="12">
        <f t="shared" si="48"/>
        <v>33</v>
      </c>
      <c r="P409" s="13">
        <v>396</v>
      </c>
      <c r="Q409" s="22">
        <v>3.4811697363752003E-2</v>
      </c>
      <c r="R409" s="19">
        <f t="shared" si="49"/>
        <v>3.049370771787574E-2</v>
      </c>
      <c r="S409" s="22">
        <v>3.6416116906683893E-2</v>
      </c>
      <c r="T409" s="19">
        <f t="shared" si="50"/>
        <v>4.0443529213805673E-2</v>
      </c>
      <c r="U409" s="24">
        <v>4.0041526192171384E-2</v>
      </c>
      <c r="V409" s="24">
        <f t="shared" si="51"/>
        <v>4.1284765061313511E-2</v>
      </c>
      <c r="W409" s="23">
        <f t="shared" si="52"/>
        <v>3.3757367236786351E-3</v>
      </c>
      <c r="X409" s="24">
        <v>3.9310324513549766E-2</v>
      </c>
      <c r="Y409" s="24">
        <f t="shared" si="53"/>
        <v>4.1101935628249819E-2</v>
      </c>
      <c r="Z409" s="23">
        <f t="shared" si="54"/>
        <v>3.3608735639332199E-3</v>
      </c>
      <c r="AA409" s="36"/>
    </row>
    <row r="410" spans="15:27" ht="17.100000000000001" customHeight="1" x14ac:dyDescent="0.3">
      <c r="O410" s="12">
        <f t="shared" si="48"/>
        <v>33.083333333333336</v>
      </c>
      <c r="P410" s="13">
        <v>397</v>
      </c>
      <c r="Q410" s="22">
        <v>3.4800798117151421E-2</v>
      </c>
      <c r="R410" s="19">
        <f t="shared" si="49"/>
        <v>3.0462907667166972E-2</v>
      </c>
      <c r="S410" s="22">
        <v>3.6426241911942547E-2</v>
      </c>
      <c r="T410" s="19">
        <f t="shared" si="50"/>
        <v>4.0469355179934441E-2</v>
      </c>
      <c r="U410" s="24">
        <v>4.0044655910716376E-2</v>
      </c>
      <c r="V410" s="24">
        <f t="shared" si="51"/>
        <v>4.1299915230775808E-2</v>
      </c>
      <c r="W410" s="23">
        <f t="shared" si="52"/>
        <v>3.3769642857728321E-3</v>
      </c>
      <c r="X410" s="24">
        <v>3.9314833512388958E-2</v>
      </c>
      <c r="Y410" s="24">
        <f t="shared" si="53"/>
        <v>4.1119309096256051E-2</v>
      </c>
      <c r="Z410" s="23">
        <f t="shared" si="54"/>
        <v>3.3622819743848176E-3</v>
      </c>
      <c r="AA410" s="36"/>
    </row>
    <row r="411" spans="15:27" ht="17.100000000000001" customHeight="1" x14ac:dyDescent="0.3">
      <c r="O411" s="12">
        <f t="shared" si="48"/>
        <v>33.166666666666664</v>
      </c>
      <c r="P411" s="13">
        <v>398</v>
      </c>
      <c r="Q411" s="22">
        <v>3.4789876043711754E-2</v>
      </c>
      <c r="R411" s="19">
        <f t="shared" si="49"/>
        <v>3.0432647541980273E-2</v>
      </c>
      <c r="S411" s="22">
        <v>3.6436380774591104E-2</v>
      </c>
      <c r="T411" s="19">
        <f t="shared" si="50"/>
        <v>4.0494915412290888E-2</v>
      </c>
      <c r="U411" s="24">
        <v>4.0047807931635981E-2</v>
      </c>
      <c r="V411" s="24">
        <f t="shared" si="51"/>
        <v>4.1314929659619359E-2</v>
      </c>
      <c r="W411" s="23">
        <f t="shared" si="52"/>
        <v>3.3781808301629468E-3</v>
      </c>
      <c r="X411" s="24">
        <v>3.9319363449181965E-2</v>
      </c>
      <c r="Y411" s="24">
        <f t="shared" si="53"/>
        <v>4.1136521106579726E-2</v>
      </c>
      <c r="Z411" s="23">
        <f t="shared" si="54"/>
        <v>3.3636772707676954E-3</v>
      </c>
      <c r="AA411" s="36"/>
    </row>
    <row r="412" spans="15:27" ht="17.100000000000001" customHeight="1" x14ac:dyDescent="0.3">
      <c r="O412" s="12">
        <f t="shared" si="48"/>
        <v>33.25</v>
      </c>
      <c r="P412" s="13">
        <v>399</v>
      </c>
      <c r="Q412" s="22">
        <v>3.4778932673237728E-2</v>
      </c>
      <c r="R412" s="19">
        <f t="shared" si="49"/>
        <v>3.0402924733179626E-2</v>
      </c>
      <c r="S412" s="22">
        <v>3.6446532726577718E-2</v>
      </c>
      <c r="T412" s="19">
        <f t="shared" si="50"/>
        <v>4.05202127428681E-2</v>
      </c>
      <c r="U412" s="24">
        <v>4.0050981747175252E-2</v>
      </c>
      <c r="V412" s="24">
        <f t="shared" si="51"/>
        <v>4.1329809597327571E-2</v>
      </c>
      <c r="W412" s="23">
        <f t="shared" si="52"/>
        <v>3.3793864587015054E-3</v>
      </c>
      <c r="X412" s="24">
        <v>3.9323913762243645E-2</v>
      </c>
      <c r="Y412" s="24">
        <f t="shared" si="53"/>
        <v>4.1153573202534988E-2</v>
      </c>
      <c r="Z412" s="23">
        <f t="shared" si="54"/>
        <v>3.3650595791290261E-3</v>
      </c>
      <c r="AA412" s="36"/>
    </row>
    <row r="413" spans="15:27" ht="17.100000000000001" customHeight="1" x14ac:dyDescent="0.3">
      <c r="O413" s="12">
        <f t="shared" si="48"/>
        <v>33.333333333333336</v>
      </c>
      <c r="P413" s="13">
        <v>400</v>
      </c>
      <c r="Q413" s="22">
        <v>3.4767969513749053E-2</v>
      </c>
      <c r="R413" s="19">
        <f t="shared" si="49"/>
        <v>3.0373736658411143E-2</v>
      </c>
      <c r="S413" s="22">
        <v>3.6456697014606521E-2</v>
      </c>
      <c r="T413" s="19">
        <f t="shared" si="50"/>
        <v>4.054524997023079E-2</v>
      </c>
      <c r="U413" s="24">
        <v>4.005417685778867E-2</v>
      </c>
      <c r="V413" s="24">
        <f t="shared" si="51"/>
        <v>4.1344556281900147E-2</v>
      </c>
      <c r="W413" s="23">
        <f t="shared" si="52"/>
        <v>3.3805812721499073E-3</v>
      </c>
      <c r="X413" s="24">
        <v>3.9328483899371713E-2</v>
      </c>
      <c r="Y413" s="24">
        <f t="shared" si="53"/>
        <v>4.1170466914514536E-2</v>
      </c>
      <c r="Z413" s="23">
        <f t="shared" si="54"/>
        <v>3.366429024000972E-3</v>
      </c>
      <c r="AA413" s="36"/>
    </row>
    <row r="414" spans="15:27" ht="17.100000000000001" customHeight="1" x14ac:dyDescent="0.3">
      <c r="O414" s="12">
        <f t="shared" si="48"/>
        <v>33.416666666666664</v>
      </c>
      <c r="P414" s="13">
        <v>401</v>
      </c>
      <c r="Q414" s="22">
        <v>3.4756988051816151E-2</v>
      </c>
      <c r="R414" s="19">
        <f t="shared" si="49"/>
        <v>3.0345080763088284E-2</v>
      </c>
      <c r="S414" s="22">
        <v>3.6466872899870273E-2</v>
      </c>
      <c r="T414" s="19">
        <f t="shared" si="50"/>
        <v>4.0570029862401435E-2</v>
      </c>
      <c r="U414" s="24">
        <v>4.0057392772008704E-2</v>
      </c>
      <c r="V414" s="24">
        <f t="shared" si="51"/>
        <v>4.1359170939659906E-2</v>
      </c>
      <c r="W414" s="23">
        <f t="shared" si="52"/>
        <v>3.3817653703389627E-3</v>
      </c>
      <c r="X414" s="24">
        <v>3.9333073317695533E-2</v>
      </c>
      <c r="Y414" s="24">
        <f t="shared" si="53"/>
        <v>4.1187203756260171E-2</v>
      </c>
      <c r="Z414" s="23">
        <f t="shared" si="54"/>
        <v>3.3677857288649804E-3</v>
      </c>
      <c r="AA414" s="36"/>
    </row>
    <row r="415" spans="15:27" ht="17.100000000000001" customHeight="1" x14ac:dyDescent="0.3">
      <c r="O415" s="12">
        <f t="shared" si="48"/>
        <v>33.5</v>
      </c>
      <c r="P415" s="13">
        <v>402</v>
      </c>
      <c r="Q415" s="22">
        <v>3.4745989752893669E-2</v>
      </c>
      <c r="R415" s="19">
        <f t="shared" si="49"/>
        <v>3.0316952407643649E-2</v>
      </c>
      <c r="S415" s="22">
        <v>3.6477059657793021E-2</v>
      </c>
      <c r="T415" s="19">
        <f t="shared" si="50"/>
        <v>4.0594555155107237E-2</v>
      </c>
      <c r="U415" s="24">
        <v>4.0060629006316129E-2</v>
      </c>
      <c r="V415" s="24">
        <f t="shared" si="51"/>
        <v>4.1373654784026659E-2</v>
      </c>
      <c r="W415" s="23">
        <f t="shared" si="52"/>
        <v>3.3829388521522397E-3</v>
      </c>
      <c r="X415" s="24">
        <v>3.9337681483518239E-2</v>
      </c>
      <c r="Y415" s="24">
        <f t="shared" si="53"/>
        <v>4.1203785225581102E-2</v>
      </c>
      <c r="Z415" s="23">
        <f t="shared" si="54"/>
        <v>3.3691298158524674E-3</v>
      </c>
      <c r="AA415" s="36"/>
    </row>
    <row r="416" spans="15:27" ht="17.100000000000001" customHeight="1" x14ac:dyDescent="0.3">
      <c r="O416" s="12">
        <f t="shared" si="48"/>
        <v>33.583333333333336</v>
      </c>
      <c r="P416" s="13">
        <v>403</v>
      </c>
      <c r="Q416" s="22">
        <v>3.4734976056383982E-2</v>
      </c>
      <c r="R416" s="19">
        <f t="shared" si="49"/>
        <v>3.0289340650932139E-2</v>
      </c>
      <c r="S416" s="22">
        <v>3.6487256577773186E-2</v>
      </c>
      <c r="T416" s="19">
        <f t="shared" si="50"/>
        <v>4.0618828554502606E-2</v>
      </c>
      <c r="U416" s="24">
        <v>4.0063885085008799E-2</v>
      </c>
      <c r="V416" s="24">
        <f t="shared" si="51"/>
        <v>4.1388009018352045E-2</v>
      </c>
      <c r="W416" s="23">
        <f t="shared" si="52"/>
        <v>3.3841018154290303E-3</v>
      </c>
      <c r="X416" s="24">
        <v>3.9342307872163085E-2</v>
      </c>
      <c r="Y416" s="24">
        <f t="shared" si="53"/>
        <v>4.1220212806644785E-2</v>
      </c>
      <c r="Z416" s="23">
        <f t="shared" si="54"/>
        <v>3.3704614058029936E-3</v>
      </c>
      <c r="AA416" s="36"/>
    </row>
    <row r="417" spans="15:27" ht="17.100000000000001" customHeight="1" x14ac:dyDescent="0.3">
      <c r="O417" s="12">
        <f t="shared" si="48"/>
        <v>33.666666666666664</v>
      </c>
      <c r="P417" s="13">
        <v>404</v>
      </c>
      <c r="Q417" s="22">
        <v>3.472394836029169E-2</v>
      </c>
      <c r="R417" s="19">
        <f t="shared" si="49"/>
        <v>3.0262240922175998E-2</v>
      </c>
      <c r="S417" s="22">
        <v>3.6497462962936433E-2</v>
      </c>
      <c r="T417" s="19">
        <f t="shared" si="50"/>
        <v>4.0642852734553259E-2</v>
      </c>
      <c r="U417" s="24">
        <v>4.0067160540080193E-2</v>
      </c>
      <c r="V417" s="24">
        <f t="shared" si="51"/>
        <v>4.1402234832029094E-2</v>
      </c>
      <c r="W417" s="23">
        <f t="shared" si="52"/>
        <v>3.3852543571910587E-3</v>
      </c>
      <c r="X417" s="24">
        <v>3.9346951967827559E-2</v>
      </c>
      <c r="Y417" s="24">
        <f t="shared" si="53"/>
        <v>4.1236487968117963E-2</v>
      </c>
      <c r="Z417" s="23">
        <f t="shared" si="54"/>
        <v>3.371780618448561E-3</v>
      </c>
      <c r="AA417" s="36"/>
    </row>
    <row r="418" spans="15:27" ht="17.100000000000001" customHeight="1" x14ac:dyDescent="0.3">
      <c r="O418" s="12">
        <f t="shared" si="48"/>
        <v>33.75</v>
      </c>
      <c r="P418" s="13">
        <v>405</v>
      </c>
      <c r="Q418" s="22">
        <v>3.4712908037528134E-2</v>
      </c>
      <c r="R418" s="19">
        <f t="shared" si="49"/>
        <v>3.0235650792428848E-2</v>
      </c>
      <c r="S418" s="22">
        <v>3.6507678129886756E-2</v>
      </c>
      <c r="T418" s="19">
        <f t="shared" si="50"/>
        <v>4.0666630339742937E-2</v>
      </c>
      <c r="U418" s="24">
        <v>4.0070454911089071E-2</v>
      </c>
      <c r="V418" s="24">
        <f t="shared" si="51"/>
        <v>4.1416333405557948E-2</v>
      </c>
      <c r="W418" s="23">
        <f t="shared" si="52"/>
        <v>3.3863965733313961E-3</v>
      </c>
      <c r="X418" s="24">
        <v>3.9351613263435725E-2</v>
      </c>
      <c r="Y418" s="24">
        <f t="shared" si="53"/>
        <v>4.1252612163073632E-2</v>
      </c>
      <c r="Z418" s="23">
        <f t="shared" si="54"/>
        <v>3.3730875722639553E-3</v>
      </c>
      <c r="AA418" s="36"/>
    </row>
    <row r="419" spans="15:27" ht="17.100000000000001" customHeight="1" x14ac:dyDescent="0.3">
      <c r="O419" s="12">
        <f t="shared" si="48"/>
        <v>33.833333333333336</v>
      </c>
      <c r="P419" s="13">
        <v>406</v>
      </c>
      <c r="Q419" s="22">
        <v>3.4701856441516243E-2</v>
      </c>
      <c r="R419" s="19">
        <f t="shared" si="49"/>
        <v>3.0209567856722686E-2</v>
      </c>
      <c r="S419" s="22">
        <v>3.6517901408467335E-2</v>
      </c>
      <c r="T419" s="19">
        <f t="shared" si="50"/>
        <v>4.0690163985694916E-2</v>
      </c>
      <c r="U419" s="24">
        <v>4.0073767745044675E-2</v>
      </c>
      <c r="V419" s="24">
        <f t="shared" si="51"/>
        <v>4.1430305906729803E-2</v>
      </c>
      <c r="W419" s="23">
        <f t="shared" si="52"/>
        <v>3.3875285590201365E-3</v>
      </c>
      <c r="X419" s="24">
        <v>3.9356291260491227E-2</v>
      </c>
      <c r="Y419" s="24">
        <f t="shared" si="53"/>
        <v>4.1268586832255538E-2</v>
      </c>
      <c r="Z419" s="23">
        <f t="shared" si="54"/>
        <v>3.3743823844605281E-3</v>
      </c>
      <c r="AA419" s="36"/>
    </row>
    <row r="420" spans="15:27" ht="17.100000000000001" customHeight="1" x14ac:dyDescent="0.3">
      <c r="O420" s="12">
        <f t="shared" si="48"/>
        <v>33.916666666666664</v>
      </c>
      <c r="P420" s="13">
        <v>407</v>
      </c>
      <c r="Q420" s="22">
        <v>3.4690794906486744E-2</v>
      </c>
      <c r="R420" s="19">
        <f t="shared" si="49"/>
        <v>3.0183989740091066E-2</v>
      </c>
      <c r="S420" s="22">
        <v>3.652813214152606E-2</v>
      </c>
      <c r="T420" s="19">
        <f t="shared" si="50"/>
        <v>4.0713456257151392E-2</v>
      </c>
      <c r="U420" s="24">
        <v>4.0077098596283278E-2</v>
      </c>
      <c r="V420" s="24">
        <f t="shared" si="51"/>
        <v>4.1444153491075442E-2</v>
      </c>
      <c r="W420" s="23">
        <f t="shared" si="52"/>
        <v>3.3886504083993074E-3</v>
      </c>
      <c r="X420" s="24">
        <v>3.9360985468942067E-2</v>
      </c>
      <c r="Y420" s="24">
        <f t="shared" si="53"/>
        <v>4.128441339873512E-2</v>
      </c>
      <c r="Z420" s="23">
        <f t="shared" si="54"/>
        <v>3.3756651712477659E-3</v>
      </c>
      <c r="AA420" s="36"/>
    </row>
    <row r="421" spans="15:27" ht="17.100000000000001" customHeight="1" x14ac:dyDescent="0.3">
      <c r="O421" s="12">
        <f t="shared" si="48"/>
        <v>34</v>
      </c>
      <c r="P421" s="13">
        <v>408</v>
      </c>
      <c r="Q421" s="22">
        <v>3.4679724747785245E-2</v>
      </c>
      <c r="R421" s="19">
        <f t="shared" si="49"/>
        <v>3.0158912021167161E-2</v>
      </c>
      <c r="S421" s="22">
        <v>3.6538369684680161E-2</v>
      </c>
      <c r="T421" s="19">
        <f t="shared" si="50"/>
        <v>4.0736509710479263E-2</v>
      </c>
      <c r="U421" s="24">
        <v>4.0080447026348498E-2</v>
      </c>
      <c r="V421" s="24">
        <f t="shared" si="51"/>
        <v>4.145787730547057E-2</v>
      </c>
      <c r="W421" s="23">
        <f t="shared" si="52"/>
        <v>3.389762214618619E-3</v>
      </c>
      <c r="X421" s="24">
        <v>3.9365695407033163E-2</v>
      </c>
      <c r="Y421" s="24">
        <f t="shared" si="53"/>
        <v>4.1300093274119876E-2</v>
      </c>
      <c r="Z421" s="23">
        <f t="shared" si="54"/>
        <v>3.3769360474051879E-3</v>
      </c>
      <c r="AA421" s="36"/>
    </row>
    <row r="422" spans="15:27" ht="17.100000000000001" customHeight="1" x14ac:dyDescent="0.3">
      <c r="O422" s="12">
        <f t="shared" si="48"/>
        <v>34.083333333333336</v>
      </c>
      <c r="P422" s="13">
        <v>409</v>
      </c>
      <c r="Q422" s="22">
        <v>3.4668647257074969E-2</v>
      </c>
      <c r="R422" s="19">
        <f t="shared" si="49"/>
        <v>3.0134324092382592E-2</v>
      </c>
      <c r="S422" s="22">
        <v>3.6548613406090835E-2</v>
      </c>
      <c r="T422" s="19">
        <f t="shared" si="50"/>
        <v>4.0759326873629487E-2</v>
      </c>
      <c r="U422" s="24">
        <v>4.0083812603881608E-2</v>
      </c>
      <c r="V422" s="24">
        <f t="shared" si="51"/>
        <v>4.1471478483232405E-2</v>
      </c>
      <c r="W422" s="23">
        <f t="shared" si="52"/>
        <v>3.3908640701243442E-3</v>
      </c>
      <c r="X422" s="24">
        <v>3.9370420601176237E-2</v>
      </c>
      <c r="Y422" s="24">
        <f t="shared" si="53"/>
        <v>4.1315627854746406E-2</v>
      </c>
      <c r="Z422" s="23">
        <f t="shared" si="54"/>
        <v>3.3781951267799482E-3</v>
      </c>
      <c r="AA422" s="36"/>
    </row>
    <row r="423" spans="15:27" ht="17.100000000000001" customHeight="1" x14ac:dyDescent="0.3">
      <c r="O423" s="12">
        <f t="shared" si="48"/>
        <v>34.166666666666664</v>
      </c>
      <c r="P423" s="13">
        <v>410</v>
      </c>
      <c r="Q423" s="22">
        <v>3.4657563687469306E-2</v>
      </c>
      <c r="R423" s="19">
        <f t="shared" si="49"/>
        <v>3.0110221603576237E-2</v>
      </c>
      <c r="S423" s="22">
        <v>3.6558862686239868E-2</v>
      </c>
      <c r="T423" s="19">
        <f t="shared" si="50"/>
        <v>4.0781910245612396E-2</v>
      </c>
      <c r="U423" s="24">
        <v>4.0087194904501411E-2</v>
      </c>
      <c r="V423" s="24">
        <f t="shared" si="51"/>
        <v>4.1484958149486495E-2</v>
      </c>
      <c r="W423" s="23">
        <f t="shared" si="52"/>
        <v>3.3919560662671877E-3</v>
      </c>
      <c r="X423" s="24">
        <v>3.9375160585813473E-2</v>
      </c>
      <c r="Y423" s="24">
        <f t="shared" si="53"/>
        <v>4.1331018522849483E-2</v>
      </c>
      <c r="Z423" s="23">
        <f t="shared" si="54"/>
        <v>3.3794425219828561E-3</v>
      </c>
      <c r="AA423" s="36"/>
    </row>
    <row r="424" spans="15:27" ht="17.100000000000001" customHeight="1" x14ac:dyDescent="0.3">
      <c r="O424" s="12">
        <f t="shared" si="48"/>
        <v>34.25</v>
      </c>
      <c r="P424" s="13">
        <v>411</v>
      </c>
      <c r="Q424" s="22">
        <v>3.4646475269289212E-2</v>
      </c>
      <c r="R424" s="19">
        <f t="shared" si="49"/>
        <v>3.0086602300681831E-2</v>
      </c>
      <c r="S424" s="22">
        <v>3.6569116917709366E-2</v>
      </c>
      <c r="T424" s="19">
        <f t="shared" si="50"/>
        <v>4.0804262298191007E-2</v>
      </c>
      <c r="U424" s="24">
        <v>4.0090593510699435E-2</v>
      </c>
      <c r="V424" s="24">
        <f t="shared" si="51"/>
        <v>4.1498317415922914E-2</v>
      </c>
      <c r="W424" s="23">
        <f t="shared" si="52"/>
        <v>3.3930382937319425E-3</v>
      </c>
      <c r="X424" s="24">
        <v>3.9379914903284741E-2</v>
      </c>
      <c r="Y424" s="24">
        <f t="shared" si="53"/>
        <v>4.1346266647651841E-2</v>
      </c>
      <c r="Z424" s="23">
        <f t="shared" si="54"/>
        <v>3.3806783444814137E-3</v>
      </c>
      <c r="AA424" s="36"/>
    </row>
    <row r="425" spans="15:27" ht="17.100000000000001" customHeight="1" x14ac:dyDescent="0.3">
      <c r="O425" s="12">
        <f t="shared" si="48"/>
        <v>34.333333333333336</v>
      </c>
      <c r="P425" s="13">
        <v>412</v>
      </c>
      <c r="Q425" s="22">
        <v>3.4635383215448234E-2</v>
      </c>
      <c r="R425" s="19">
        <f t="shared" si="49"/>
        <v>3.0063463959411507E-2</v>
      </c>
      <c r="S425" s="22">
        <v>3.6579375504968148E-2</v>
      </c>
      <c r="T425" s="19">
        <f t="shared" si="50"/>
        <v>4.0826385474302507E-2</v>
      </c>
      <c r="U425" s="24">
        <v>4.0094008011724025E-2</v>
      </c>
      <c r="V425" s="24">
        <f t="shared" si="51"/>
        <v>4.151155738474821E-2</v>
      </c>
      <c r="W425" s="23">
        <f t="shared" si="52"/>
        <v>3.3941108421182697E-3</v>
      </c>
      <c r="X425" s="24">
        <v>3.9384683103699691E-2</v>
      </c>
      <c r="Y425" s="24">
        <f t="shared" si="53"/>
        <v>4.1361373582806449E-2</v>
      </c>
      <c r="Z425" s="23">
        <f t="shared" si="54"/>
        <v>3.3819027046875227E-3</v>
      </c>
      <c r="AA425" s="36"/>
    </row>
    <row r="426" spans="15:27" ht="17.100000000000001" customHeight="1" x14ac:dyDescent="0.3">
      <c r="O426" s="12">
        <f t="shared" si="48"/>
        <v>34.416666666666664</v>
      </c>
      <c r="P426" s="13">
        <v>413</v>
      </c>
      <c r="Q426" s="22">
        <v>3.4624288721733398E-2</v>
      </c>
      <c r="R426" s="19">
        <f t="shared" si="49"/>
        <v>3.0040804380515818E-2</v>
      </c>
      <c r="S426" s="22">
        <v>3.6589637864158142E-2</v>
      </c>
      <c r="T426" s="19">
        <f t="shared" si="50"/>
        <v>4.0848282190845575E-2</v>
      </c>
      <c r="U426" s="24">
        <v>4.009743800347465E-2</v>
      </c>
      <c r="V426" s="24">
        <f t="shared" si="51"/>
        <v>4.1524679148240873E-2</v>
      </c>
      <c r="W426" s="23">
        <f t="shared" si="52"/>
        <v>3.3951738002557796E-3</v>
      </c>
      <c r="X426" s="24">
        <v>3.9389464744806535E-2</v>
      </c>
      <c r="Y426" s="24">
        <f t="shared" si="53"/>
        <v>4.1376340671442247E-2</v>
      </c>
      <c r="Z426" s="23">
        <f t="shared" si="54"/>
        <v>3.3831157117534261E-3</v>
      </c>
      <c r="AA426" s="36"/>
    </row>
    <row r="427" spans="15:27" ht="17.100000000000001" customHeight="1" x14ac:dyDescent="0.3">
      <c r="O427" s="12">
        <f t="shared" si="48"/>
        <v>34.5</v>
      </c>
      <c r="P427" s="13">
        <v>414</v>
      </c>
      <c r="Q427" s="22">
        <v>3.4613192967070994E-2</v>
      </c>
      <c r="R427" s="19">
        <f t="shared" si="49"/>
        <v>3.0018619359157839E-2</v>
      </c>
      <c r="S427" s="22">
        <v>3.6599903422889657E-2</v>
      </c>
      <c r="T427" s="19">
        <f t="shared" si="50"/>
        <v>4.0869954837434275E-2</v>
      </c>
      <c r="U427" s="24">
        <v>4.0100883088397987E-2</v>
      </c>
      <c r="V427" s="24">
        <f t="shared" si="51"/>
        <v>4.1537683787399526E-2</v>
      </c>
      <c r="W427" s="23">
        <f t="shared" si="52"/>
        <v>3.3962272561711693E-3</v>
      </c>
      <c r="X427" s="24">
        <v>3.9394259391873243E-2</v>
      </c>
      <c r="Y427" s="24">
        <f t="shared" si="53"/>
        <v>4.1391169240989178E-2</v>
      </c>
      <c r="Z427" s="23">
        <f t="shared" si="54"/>
        <v>3.3843174739756066E-3</v>
      </c>
      <c r="AA427" s="36"/>
    </row>
    <row r="428" spans="15:27" ht="17.100000000000001" customHeight="1" x14ac:dyDescent="0.3">
      <c r="O428" s="12">
        <f t="shared" si="48"/>
        <v>34.583333333333336</v>
      </c>
      <c r="P428" s="13">
        <v>415</v>
      </c>
      <c r="Q428" s="22">
        <v>3.4602097108873853E-2</v>
      </c>
      <c r="R428" s="19">
        <f t="shared" si="49"/>
        <v>2.9996898619987666E-2</v>
      </c>
      <c r="S428" s="22">
        <v>3.6610171620037324E-2</v>
      </c>
      <c r="T428" s="19">
        <f t="shared" si="50"/>
        <v>4.0891405776295908E-2</v>
      </c>
      <c r="U428" s="24">
        <v>4.0104342875381338E-2</v>
      </c>
      <c r="V428" s="24">
        <f t="shared" si="51"/>
        <v>4.1550572372110794E-2</v>
      </c>
      <c r="W428" s="23">
        <f t="shared" si="52"/>
        <v>3.3972712969778662E-3</v>
      </c>
      <c r="X428" s="24">
        <v>3.9399066617559431E-2</v>
      </c>
      <c r="Y428" s="24">
        <f t="shared" si="53"/>
        <v>4.1405860605952416E-2</v>
      </c>
      <c r="Z428" s="23">
        <f t="shared" si="54"/>
        <v>3.385508098380452E-3</v>
      </c>
      <c r="AA428" s="36"/>
    </row>
    <row r="429" spans="15:27" ht="17.100000000000001" customHeight="1" x14ac:dyDescent="0.3">
      <c r="O429" s="12">
        <f t="shared" si="48"/>
        <v>34.666666666666664</v>
      </c>
      <c r="P429" s="13">
        <v>416</v>
      </c>
      <c r="Q429" s="22">
        <v>3.4591002268639981E-2</v>
      </c>
      <c r="R429" s="19">
        <f t="shared" si="49"/>
        <v>2.9975638026466189E-2</v>
      </c>
      <c r="S429" s="22">
        <v>3.6620441905538703E-2</v>
      </c>
      <c r="T429" s="19">
        <f t="shared" si="50"/>
        <v>4.0912637344078906E-2</v>
      </c>
      <c r="U429" s="24">
        <v>4.0107816979648492E-2</v>
      </c>
      <c r="V429" s="24">
        <f t="shared" si="51"/>
        <v>4.156334596431388E-2</v>
      </c>
      <c r="W429" s="23">
        <f t="shared" si="52"/>
        <v>3.3983060088902395E-3</v>
      </c>
      <c r="X429" s="24">
        <v>3.9403886001796007E-2</v>
      </c>
      <c r="Y429" s="24">
        <f t="shared" si="53"/>
        <v>4.1420416068822297E-2</v>
      </c>
      <c r="Z429" s="23">
        <f t="shared" si="54"/>
        <v>3.3866876909469656E-3</v>
      </c>
      <c r="AA429" s="36"/>
    </row>
    <row r="430" spans="15:27" ht="17.100000000000001" customHeight="1" x14ac:dyDescent="0.3">
      <c r="O430" s="12">
        <f t="shared" si="48"/>
        <v>34.75</v>
      </c>
      <c r="P430" s="13">
        <v>417</v>
      </c>
      <c r="Q430" s="22">
        <v>3.4579909547168386E-2</v>
      </c>
      <c r="R430" s="19">
        <f t="shared" si="49"/>
        <v>2.9954835502101318E-2</v>
      </c>
      <c r="S430" s="22">
        <v>3.6630713740199994E-2</v>
      </c>
      <c r="T430" s="19">
        <f t="shared" si="50"/>
        <v>4.0933651851408959E-2</v>
      </c>
      <c r="U430" s="24">
        <v>4.0111305022664245E-2</v>
      </c>
      <c r="V430" s="24">
        <f t="shared" si="51"/>
        <v>4.1576005613813249E-2</v>
      </c>
      <c r="W430" s="23">
        <f t="shared" si="52"/>
        <v>3.3993314774778405E-3</v>
      </c>
      <c r="X430" s="24">
        <v>3.9408717131669269E-2</v>
      </c>
      <c r="Y430" s="24">
        <f t="shared" si="53"/>
        <v>4.1434836917942031E-2</v>
      </c>
      <c r="Z430" s="23">
        <f t="shared" si="54"/>
        <v>3.3878563566798192E-3</v>
      </c>
      <c r="AA430" s="36"/>
    </row>
    <row r="431" spans="15:27" ht="17.100000000000001" customHeight="1" x14ac:dyDescent="0.3">
      <c r="O431" s="12">
        <f t="shared" si="48"/>
        <v>34.833333333333336</v>
      </c>
      <c r="P431" s="13">
        <v>418</v>
      </c>
      <c r="Q431" s="22">
        <v>3.4568820029755365E-2</v>
      </c>
      <c r="R431" s="19">
        <f t="shared" si="49"/>
        <v>2.9934488998693887E-2</v>
      </c>
      <c r="S431" s="22">
        <v>3.66409865955033E-2</v>
      </c>
      <c r="T431" s="19">
        <f t="shared" si="50"/>
        <v>4.0954451582744023E-2</v>
      </c>
      <c r="U431" s="24">
        <v>4.011480663203093E-2</v>
      </c>
      <c r="V431" s="24">
        <f t="shared" si="51"/>
        <v>4.1588552361077724E-2</v>
      </c>
      <c r="W431" s="23">
        <f t="shared" si="52"/>
        <v>3.4003477873301158E-3</v>
      </c>
      <c r="X431" s="24">
        <v>3.9413559601300552E-2</v>
      </c>
      <c r="Y431" s="24">
        <f t="shared" si="53"/>
        <v>4.144912442996973E-2</v>
      </c>
      <c r="Z431" s="23">
        <f t="shared" si="54"/>
        <v>3.3890141994386003E-3</v>
      </c>
      <c r="AA431" s="36"/>
    </row>
    <row r="432" spans="15:27" ht="17.100000000000001" customHeight="1" x14ac:dyDescent="0.3">
      <c r="O432" s="12">
        <f t="shared" si="48"/>
        <v>34.916666666666664</v>
      </c>
      <c r="P432" s="13">
        <v>419</v>
      </c>
      <c r="Q432" s="22">
        <v>3.4557734786445193E-2</v>
      </c>
      <c r="R432" s="19">
        <f t="shared" si="49"/>
        <v>2.9914596492533363E-2</v>
      </c>
      <c r="S432" s="22">
        <v>3.6651259953416782E-2</v>
      </c>
      <c r="T432" s="19">
        <f t="shared" si="50"/>
        <v>4.0975038797930852E-2</v>
      </c>
      <c r="U432" s="24">
        <v>4.0118321441392268E-2</v>
      </c>
      <c r="V432" s="24">
        <f t="shared" si="51"/>
        <v>4.16009872366363E-2</v>
      </c>
      <c r="W432" s="23">
        <f t="shared" si="52"/>
        <v>3.4013550222793398E-3</v>
      </c>
      <c r="X432" s="24">
        <v>3.9418413011734987E-2</v>
      </c>
      <c r="Y432" s="24">
        <f t="shared" si="53"/>
        <v>4.1463279867864022E-2</v>
      </c>
      <c r="Z432" s="23">
        <f t="shared" si="54"/>
        <v>3.3901613221356541E-3</v>
      </c>
      <c r="AA432" s="36"/>
    </row>
    <row r="433" spans="15:27" ht="17.100000000000001" customHeight="1" x14ac:dyDescent="0.3">
      <c r="O433" s="12">
        <f t="shared" si="48"/>
        <v>35</v>
      </c>
      <c r="P433" s="13">
        <v>420</v>
      </c>
      <c r="Q433" s="22">
        <v>3.4546654872269711E-2</v>
      </c>
      <c r="R433" s="19">
        <f t="shared" si="49"/>
        <v>2.9895153991090995E-2</v>
      </c>
      <c r="S433" s="22">
        <v>3.6661533306211025E-2</v>
      </c>
      <c r="T433" s="19">
        <f t="shared" si="50"/>
        <v>4.0995415730746831E-2</v>
      </c>
      <c r="U433" s="24">
        <v>4.0121849090337891E-2</v>
      </c>
      <c r="V433" s="24">
        <f t="shared" si="51"/>
        <v>4.1613311261140984E-2</v>
      </c>
      <c r="W433" s="23">
        <f t="shared" si="52"/>
        <v>3.4023532653544297E-3</v>
      </c>
      <c r="X433" s="24">
        <v>3.9423276970825816E-2</v>
      </c>
      <c r="Y433" s="24">
        <f t="shared" si="53"/>
        <v>4.1477304482212984E-2</v>
      </c>
      <c r="Z433" s="23">
        <f t="shared" si="54"/>
        <v>3.3912978265742133E-3</v>
      </c>
      <c r="AA433" s="36"/>
    </row>
    <row r="434" spans="15:27" ht="17.100000000000001" customHeight="1" x14ac:dyDescent="0.3">
      <c r="O434" s="12">
        <f t="shared" si="48"/>
        <v>35.083333333333336</v>
      </c>
      <c r="P434" s="13">
        <v>421</v>
      </c>
      <c r="Q434" s="22">
        <v>3.4535581322726383E-2</v>
      </c>
      <c r="R434" s="19">
        <f t="shared" si="49"/>
        <v>2.987615154637413E-2</v>
      </c>
      <c r="S434" s="22">
        <v>3.6671806156274078E-2</v>
      </c>
      <c r="T434" s="19">
        <f t="shared" si="50"/>
        <v>4.1015584591417964E-2</v>
      </c>
      <c r="U434" s="24">
        <v>4.0125389224309194E-2</v>
      </c>
      <c r="V434" s="24">
        <f t="shared" si="51"/>
        <v>4.1625525445867728E-2</v>
      </c>
      <c r="W434" s="23">
        <f t="shared" si="52"/>
        <v>3.4033425987844979E-3</v>
      </c>
      <c r="X434" s="24">
        <v>3.9428151093124031E-2</v>
      </c>
      <c r="Y434" s="24">
        <f t="shared" si="53"/>
        <v>4.1491199512452059E-2</v>
      </c>
      <c r="Z434" s="23">
        <f t="shared" si="54"/>
        <v>3.3924238135558671E-3</v>
      </c>
      <c r="AA434" s="36"/>
    </row>
    <row r="435" spans="15:27" ht="17.100000000000001" customHeight="1" x14ac:dyDescent="0.3">
      <c r="O435" s="12">
        <f t="shared" si="48"/>
        <v>35.166666666666664</v>
      </c>
      <c r="P435" s="13">
        <v>422</v>
      </c>
      <c r="Q435" s="22">
        <v>3.4524515139833234E-2</v>
      </c>
      <c r="R435" s="19">
        <f t="shared" si="49"/>
        <v>2.9857585234630335E-2</v>
      </c>
      <c r="S435" s="22">
        <v>3.6682078015936037E-2</v>
      </c>
      <c r="T435" s="19">
        <f t="shared" si="50"/>
        <v>4.1035547564739039E-2</v>
      </c>
      <c r="U435" s="24">
        <v>4.0128941494507187E-2</v>
      </c>
      <c r="V435" s="24">
        <f t="shared" si="51"/>
        <v>4.1637630791228286E-2</v>
      </c>
      <c r="W435" s="23">
        <f t="shared" si="52"/>
        <v>3.4043231040403743E-3</v>
      </c>
      <c r="X435" s="24">
        <v>3.9433034999772243E-2</v>
      </c>
      <c r="Y435" s="24">
        <f t="shared" si="53"/>
        <v>4.1504966183999237E-2</v>
      </c>
      <c r="Z435" s="23">
        <f t="shared" si="54"/>
        <v>3.3935393829780391E-3</v>
      </c>
      <c r="AA435" s="36"/>
    </row>
    <row r="436" spans="15:27" ht="17.100000000000001" customHeight="1" x14ac:dyDescent="0.3">
      <c r="O436" s="12">
        <f t="shared" si="48"/>
        <v>35.25</v>
      </c>
      <c r="P436" s="13">
        <v>423</v>
      </c>
      <c r="Q436" s="22">
        <v>3.4513457306827533E-2</v>
      </c>
      <c r="R436" s="19">
        <f t="shared" si="49"/>
        <v>2.9839453152729511E-2</v>
      </c>
      <c r="S436" s="22">
        <v>3.6692348407291187E-2</v>
      </c>
      <c r="T436" s="19">
        <f t="shared" si="50"/>
        <v>4.1055306811625947E-2</v>
      </c>
      <c r="U436" s="24">
        <v>4.0132505557799236E-2</v>
      </c>
      <c r="V436" s="24">
        <f t="shared" si="51"/>
        <v>4.1649628290826968E-2</v>
      </c>
      <c r="W436" s="23">
        <f t="shared" si="52"/>
        <v>3.4052948617138146E-3</v>
      </c>
      <c r="X436" s="24">
        <v>3.94379283183941E-2</v>
      </c>
      <c r="Y436" s="24">
        <f t="shared" si="53"/>
        <v>4.1518605711519552E-2</v>
      </c>
      <c r="Z436" s="23">
        <f t="shared" si="54"/>
        <v>3.3946446336039493E-3</v>
      </c>
      <c r="AA436" s="36"/>
    </row>
    <row r="437" spans="15:27" ht="17.100000000000001" customHeight="1" x14ac:dyDescent="0.3">
      <c r="O437" s="12">
        <f t="shared" si="48"/>
        <v>35.333333333333336</v>
      </c>
      <c r="P437" s="13">
        <v>424</v>
      </c>
      <c r="Q437" s="22">
        <v>3.4502408793174455E-2</v>
      </c>
      <c r="R437" s="19">
        <f t="shared" si="49"/>
        <v>2.9821753425363973E-2</v>
      </c>
      <c r="S437" s="22">
        <v>3.6702616862025916E-2</v>
      </c>
      <c r="T437" s="19">
        <f t="shared" si="50"/>
        <v>4.1074864469527128E-2</v>
      </c>
      <c r="U437" s="24">
        <v>4.0136081076635133E-2</v>
      </c>
      <c r="V437" s="24">
        <f t="shared" si="51"/>
        <v>4.1661518925015795E-2</v>
      </c>
      <c r="W437" s="23">
        <f t="shared" si="52"/>
        <v>3.4062579518452374E-3</v>
      </c>
      <c r="X437" s="24">
        <v>3.9442830682991259E-2</v>
      </c>
      <c r="Y437" s="24">
        <f t="shared" si="53"/>
        <v>4.1532119296785908E-2</v>
      </c>
      <c r="Z437" s="23">
        <f t="shared" si="54"/>
        <v>3.3957396633259584E-3</v>
      </c>
      <c r="AA437" s="36"/>
    </row>
    <row r="438" spans="15:27" ht="17.100000000000001" customHeight="1" x14ac:dyDescent="0.3">
      <c r="O438" s="12">
        <f t="shared" si="48"/>
        <v>35.416666666666664</v>
      </c>
      <c r="P438" s="13">
        <v>425</v>
      </c>
      <c r="Q438" s="22">
        <v>3.4491370554792455E-2</v>
      </c>
      <c r="R438" s="19">
        <f t="shared" si="49"/>
        <v>2.9804484202156312E-2</v>
      </c>
      <c r="S438" s="22">
        <v>3.6712882921251078E-2</v>
      </c>
      <c r="T438" s="19">
        <f t="shared" si="50"/>
        <v>4.1094222651666845E-2</v>
      </c>
      <c r="U438" s="24">
        <v>4.0139667718950944E-2</v>
      </c>
      <c r="V438" s="24">
        <f t="shared" si="51"/>
        <v>4.1673303668371631E-2</v>
      </c>
      <c r="W438" s="23">
        <f t="shared" si="52"/>
        <v>3.4072124534045845E-3</v>
      </c>
      <c r="X438" s="24">
        <v>3.9447741733839026E-2</v>
      </c>
      <c r="Y438" s="24">
        <f t="shared" si="53"/>
        <v>4.154550813031932E-2</v>
      </c>
      <c r="Z438" s="23">
        <f t="shared" si="54"/>
        <v>3.3968245689928178E-3</v>
      </c>
      <c r="AA438" s="36"/>
    </row>
    <row r="439" spans="15:27" ht="17.100000000000001" customHeight="1" x14ac:dyDescent="0.3">
      <c r="O439" s="12">
        <f t="shared" si="48"/>
        <v>35.5</v>
      </c>
      <c r="P439" s="13">
        <v>426</v>
      </c>
      <c r="Q439" s="22">
        <v>3.4480343534270208E-2</v>
      </c>
      <c r="R439" s="19">
        <f t="shared" si="49"/>
        <v>2.9787641701222611E-2</v>
      </c>
      <c r="S439" s="22">
        <v>3.6723146135333895E-2</v>
      </c>
      <c r="T439" s="19">
        <f t="shared" si="50"/>
        <v>4.1113383448394103E-2</v>
      </c>
      <c r="U439" s="24">
        <v>4.0143265158090635E-2</v>
      </c>
      <c r="V439" s="24">
        <f t="shared" si="51"/>
        <v>4.1684983484291838E-2</v>
      </c>
      <c r="W439" s="23">
        <f t="shared" si="52"/>
        <v>3.4081584448926172E-3</v>
      </c>
      <c r="X439" s="24">
        <v>3.9452661117385102E-2</v>
      </c>
      <c r="Y439" s="24">
        <f t="shared" si="53"/>
        <v>4.1558773390134585E-2</v>
      </c>
      <c r="Z439" s="23">
        <f t="shared" si="54"/>
        <v>3.3978994465417856E-3</v>
      </c>
      <c r="AA439" s="36"/>
    </row>
    <row r="440" spans="15:27" ht="17.100000000000001" customHeight="1" x14ac:dyDescent="0.3">
      <c r="O440" s="12">
        <f t="shared" si="48"/>
        <v>35.583333333333336</v>
      </c>
      <c r="P440" s="13">
        <v>427</v>
      </c>
      <c r="Q440" s="22">
        <v>3.4469328656477893E-2</v>
      </c>
      <c r="R440" s="19">
        <f t="shared" si="49"/>
        <v>2.9771216295765957E-2</v>
      </c>
      <c r="S440" s="22">
        <v>3.6733406063735874E-2</v>
      </c>
      <c r="T440" s="19">
        <f t="shared" si="50"/>
        <v>4.113234892722506E-2</v>
      </c>
      <c r="U440" s="24">
        <v>4.0146873072716138E-2</v>
      </c>
      <c r="V440" s="24">
        <f t="shared" si="51"/>
        <v>4.1696559327245808E-2</v>
      </c>
      <c r="W440" s="23">
        <f t="shared" si="52"/>
        <v>3.4090960039074858E-3</v>
      </c>
      <c r="X440" s="24">
        <v>3.9457588486148554E-2</v>
      </c>
      <c r="Y440" s="24">
        <f t="shared" si="53"/>
        <v>4.1571916243534623E-2</v>
      </c>
      <c r="Z440" s="23">
        <f t="shared" si="54"/>
        <v>3.3989643908989287E-3</v>
      </c>
      <c r="AA440" s="36"/>
    </row>
    <row r="441" spans="15:27" ht="17.100000000000001" customHeight="1" x14ac:dyDescent="0.3">
      <c r="O441" s="12">
        <f t="shared" si="48"/>
        <v>35.666666666666664</v>
      </c>
      <c r="P441" s="13">
        <v>428</v>
      </c>
      <c r="Q441" s="22">
        <v>3.4458326815053564E-2</v>
      </c>
      <c r="R441" s="19">
        <f t="shared" si="49"/>
        <v>2.9755204268120838E-2</v>
      </c>
      <c r="S441" s="22">
        <v>3.6743662274853595E-2</v>
      </c>
      <c r="T441" s="19">
        <f t="shared" si="50"/>
        <v>4.1151121132277479E-2</v>
      </c>
      <c r="U441" s="24">
        <v>4.0150491146724532E-2</v>
      </c>
      <c r="V441" s="24">
        <f t="shared" si="51"/>
        <v>4.1708032143131568E-2</v>
      </c>
      <c r="W441" s="23">
        <f t="shared" si="52"/>
        <v>3.4100252073245851E-3</v>
      </c>
      <c r="X441" s="24">
        <v>3.9462523498623669E-2</v>
      </c>
      <c r="Y441" s="24">
        <f t="shared" si="53"/>
        <v>4.1584937846008918E-2</v>
      </c>
      <c r="Z441" s="23">
        <f t="shared" si="54"/>
        <v>3.4000194961218977E-3</v>
      </c>
      <c r="AA441" s="36"/>
    </row>
    <row r="442" spans="15:27" ht="17.100000000000001" customHeight="1" x14ac:dyDescent="0.3">
      <c r="O442" s="12">
        <f t="shared" si="48"/>
        <v>35.75</v>
      </c>
      <c r="P442" s="13">
        <v>429</v>
      </c>
      <c r="Q442" s="22">
        <v>3.4447338886603562E-2</v>
      </c>
      <c r="R442" s="19">
        <f t="shared" si="49"/>
        <v>2.9739603889451738E-2</v>
      </c>
      <c r="S442" s="22">
        <v>3.6753914345859062E-2</v>
      </c>
      <c r="T442" s="19">
        <f t="shared" si="50"/>
        <v>4.1169702085565252E-2</v>
      </c>
      <c r="U442" s="24">
        <v>4.0154119069166994E-2</v>
      </c>
      <c r="V442" s="24">
        <f t="shared" si="51"/>
        <v>4.1719402868599431E-2</v>
      </c>
      <c r="W442" s="23">
        <f t="shared" si="52"/>
        <v>3.4109461313260869E-3</v>
      </c>
      <c r="X442" s="24">
        <v>3.9467465819182035E-2</v>
      </c>
      <c r="Y442" s="24">
        <f t="shared" si="53"/>
        <v>4.1597839341080967E-2</v>
      </c>
      <c r="Z442" s="23">
        <f t="shared" si="54"/>
        <v>3.4010648553128853E-3</v>
      </c>
      <c r="AA442" s="36"/>
    </row>
    <row r="443" spans="15:27" ht="17.100000000000001" customHeight="1" x14ac:dyDescent="0.3">
      <c r="O443" s="12">
        <f t="shared" si="48"/>
        <v>35.833333333333336</v>
      </c>
      <c r="P443" s="13">
        <v>430</v>
      </c>
      <c r="Q443" s="22">
        <v>3.4436365735545316E-2</v>
      </c>
      <c r="R443" s="19">
        <f t="shared" si="49"/>
        <v>2.9724413452471454E-2</v>
      </c>
      <c r="S443" s="22">
        <v>3.676416186254694E-2</v>
      </c>
      <c r="T443" s="19">
        <f t="shared" si="50"/>
        <v>4.1188093787011271E-2</v>
      </c>
      <c r="U443" s="24">
        <v>4.0157756534166866E-2</v>
      </c>
      <c r="V443" s="24">
        <f t="shared" si="51"/>
        <v>4.1730672431700366E-2</v>
      </c>
      <c r="W443" s="23">
        <f t="shared" si="52"/>
        <v>3.4118588513467607E-3</v>
      </c>
      <c r="X443" s="24">
        <v>3.9472415117977055E-2</v>
      </c>
      <c r="Y443" s="24">
        <f t="shared" si="53"/>
        <v>4.1610621861625896E-2</v>
      </c>
      <c r="Z443" s="23">
        <f t="shared" si="54"/>
        <v>3.4021005606061916E-3</v>
      </c>
      <c r="AA443" s="36"/>
    </row>
    <row r="444" spans="15:27" ht="17.100000000000001" customHeight="1" x14ac:dyDescent="0.3">
      <c r="O444" s="12">
        <f t="shared" si="48"/>
        <v>35.916666666666664</v>
      </c>
      <c r="P444" s="13">
        <v>431</v>
      </c>
      <c r="Q444" s="22">
        <v>3.442540821429807E-2</v>
      </c>
      <c r="R444" s="19">
        <f t="shared" si="49"/>
        <v>2.9709631278191484E-2</v>
      </c>
      <c r="S444" s="22">
        <v>3.6774404419182449E-2</v>
      </c>
      <c r="T444" s="19">
        <f t="shared" si="50"/>
        <v>4.1206298214798931E-2</v>
      </c>
      <c r="U444" s="24">
        <v>4.0161403240841276E-2</v>
      </c>
      <c r="V444" s="24">
        <f t="shared" si="51"/>
        <v>4.1741841750911668E-2</v>
      </c>
      <c r="W444" s="23">
        <f t="shared" si="52"/>
        <v>3.4127634421254882E-3</v>
      </c>
      <c r="X444" s="24">
        <v>3.9477371070851364E-2</v>
      </c>
      <c r="Y444" s="24">
        <f t="shared" si="53"/>
        <v>4.1623286529517634E-2</v>
      </c>
      <c r="Z444" s="23">
        <f t="shared" si="54"/>
        <v>3.4031267032736956E-3</v>
      </c>
      <c r="AA444" s="36"/>
    </row>
    <row r="445" spans="15:27" ht="17.100000000000001" customHeight="1" x14ac:dyDescent="0.3">
      <c r="O445" s="12">
        <f t="shared" si="48"/>
        <v>36</v>
      </c>
      <c r="P445" s="13">
        <v>432</v>
      </c>
      <c r="Q445" s="22">
        <v>3.4414467163486284E-2</v>
      </c>
      <c r="R445" s="19">
        <f t="shared" si="49"/>
        <v>2.9695253788625919E-2</v>
      </c>
      <c r="S445" s="22">
        <v>3.6784641618353486E-2</v>
      </c>
      <c r="T445" s="19">
        <f t="shared" si="50"/>
        <v>4.1224317324513038E-2</v>
      </c>
      <c r="U445" s="24">
        <v>4.0165058893220307E-2</v>
      </c>
      <c r="V445" s="24">
        <f t="shared" si="51"/>
        <v>4.1752911737303222E-2</v>
      </c>
      <c r="W445" s="23">
        <f t="shared" si="52"/>
        <v>3.4136599776277698E-3</v>
      </c>
      <c r="X445" s="24">
        <v>3.948233335924578E-2</v>
      </c>
      <c r="Y445" s="24">
        <f t="shared" si="53"/>
        <v>4.1635834455520548E-2</v>
      </c>
      <c r="Z445" s="23">
        <f t="shared" si="54"/>
        <v>3.4041433736970994E-3</v>
      </c>
      <c r="AA445" s="36"/>
    </row>
    <row r="446" spans="15:27" ht="17.100000000000001" customHeight="1" x14ac:dyDescent="0.3">
      <c r="O446" s="12">
        <f t="shared" si="48"/>
        <v>36.083333333333336</v>
      </c>
      <c r="P446" s="13">
        <v>433</v>
      </c>
      <c r="Q446" s="22">
        <v>3.440354340766949E-2</v>
      </c>
      <c r="R446" s="19">
        <f t="shared" si="49"/>
        <v>2.9681271672981735E-2</v>
      </c>
      <c r="S446" s="22">
        <v>3.6794873070822076E-2</v>
      </c>
      <c r="T446" s="19">
        <f t="shared" si="50"/>
        <v>4.1242153051280761E-2</v>
      </c>
      <c r="U446" s="24">
        <v>4.016872320017395E-2</v>
      </c>
      <c r="V446" s="24">
        <f t="shared" si="51"/>
        <v>4.1763883292338821E-2</v>
      </c>
      <c r="W446" s="23">
        <f t="shared" si="52"/>
        <v>3.4145485312195856E-3</v>
      </c>
      <c r="X446" s="24">
        <v>3.9487301670108721E-2</v>
      </c>
      <c r="Y446" s="24">
        <f t="shared" si="53"/>
        <v>4.1648266738637973E-2</v>
      </c>
      <c r="Z446" s="23">
        <f t="shared" si="54"/>
        <v>3.4051506613594906E-3</v>
      </c>
      <c r="AA446" s="36"/>
    </row>
    <row r="447" spans="15:27" ht="17.100000000000001" customHeight="1" x14ac:dyDescent="0.3">
      <c r="O447" s="12">
        <f t="shared" si="48"/>
        <v>36.166666666666664</v>
      </c>
      <c r="P447" s="13">
        <v>434</v>
      </c>
      <c r="Q447" s="22">
        <v>3.4392637742256316E-2</v>
      </c>
      <c r="R447" s="19">
        <f t="shared" si="49"/>
        <v>2.966768142020193E-2</v>
      </c>
      <c r="S447" s="22">
        <v>3.6805098395382707E-2</v>
      </c>
      <c r="T447" s="19">
        <f t="shared" si="50"/>
        <v>4.1259807308898999E-2</v>
      </c>
      <c r="U447" s="24">
        <v>4.0172395875333278E-2</v>
      </c>
      <c r="V447" s="24">
        <f t="shared" si="51"/>
        <v>4.1774757309290811E-2</v>
      </c>
      <c r="W447" s="23">
        <f t="shared" si="52"/>
        <v>3.4154291754906474E-3</v>
      </c>
      <c r="X447" s="24">
        <v>3.9492275695805601E-2</v>
      </c>
      <c r="Y447" s="24">
        <f t="shared" si="53"/>
        <v>4.1660584468256268E-2</v>
      </c>
      <c r="Z447" s="23">
        <f t="shared" si="54"/>
        <v>3.4061486547929398E-3</v>
      </c>
      <c r="AA447" s="36"/>
    </row>
    <row r="448" spans="15:27" ht="17.100000000000001" customHeight="1" x14ac:dyDescent="0.3">
      <c r="O448" s="12">
        <f t="shared" si="48"/>
        <v>36.25</v>
      </c>
      <c r="P448" s="13">
        <v>435</v>
      </c>
      <c r="Q448" s="22">
        <v>3.4381750947232614E-2</v>
      </c>
      <c r="R448" s="19">
        <f t="shared" si="49"/>
        <v>2.9654481465428706E-2</v>
      </c>
      <c r="S448" s="22">
        <v>3.6815317218721111E-2</v>
      </c>
      <c r="T448" s="19">
        <f t="shared" si="50"/>
        <v>4.1277281989912762E-2</v>
      </c>
      <c r="U448" s="24">
        <v>4.0176076637017388E-2</v>
      </c>
      <c r="V448" s="24">
        <f t="shared" si="51"/>
        <v>4.178553467336199E-2</v>
      </c>
      <c r="W448" s="23">
        <f t="shared" si="52"/>
        <v>3.4163019823683083E-3</v>
      </c>
      <c r="X448" s="24">
        <v>3.9497255134034459E-2</v>
      </c>
      <c r="Y448" s="24">
        <f t="shared" si="53"/>
        <v>4.1672788722559417E-2</v>
      </c>
      <c r="Z448" s="23">
        <f t="shared" si="54"/>
        <v>3.4071374417508071E-3</v>
      </c>
      <c r="AA448" s="36"/>
    </row>
    <row r="449" spans="15:27" ht="17.100000000000001" customHeight="1" x14ac:dyDescent="0.3">
      <c r="O449" s="12">
        <f t="shared" si="48"/>
        <v>36.333333333333336</v>
      </c>
      <c r="P449" s="13">
        <v>436</v>
      </c>
      <c r="Q449" s="22">
        <v>3.4370883791821516E-2</v>
      </c>
      <c r="R449" s="19">
        <f t="shared" si="49"/>
        <v>2.9641670270684317E-2</v>
      </c>
      <c r="S449" s="22">
        <v>3.682552917527504E-2</v>
      </c>
      <c r="T449" s="19">
        <f t="shared" si="50"/>
        <v>4.1294578966184936E-2</v>
      </c>
      <c r="U449" s="24">
        <v>4.0179765208160578E-2</v>
      </c>
      <c r="V449" s="24">
        <f t="shared" si="51"/>
        <v>4.1796216260826746E-2</v>
      </c>
      <c r="W449" s="23">
        <f t="shared" si="52"/>
        <v>3.4171670231275542E-3</v>
      </c>
      <c r="X449" s="24">
        <v>3.9502239687738472E-2</v>
      </c>
      <c r="Y449" s="24">
        <f t="shared" si="53"/>
        <v>4.1684880569378135E-2</v>
      </c>
      <c r="Z449" s="23">
        <f t="shared" si="54"/>
        <v>3.4081171090802886E-3</v>
      </c>
      <c r="AA449" s="36"/>
    </row>
    <row r="450" spans="15:27" ht="17.100000000000001" customHeight="1" x14ac:dyDescent="0.3">
      <c r="O450" s="12">
        <f t="shared" si="48"/>
        <v>36.416666666666664</v>
      </c>
      <c r="P450" s="13">
        <v>437</v>
      </c>
      <c r="Q450" s="22">
        <v>3.4360037034667723E-2</v>
      </c>
      <c r="R450" s="19">
        <f t="shared" si="49"/>
        <v>2.9629246320797442E-2</v>
      </c>
      <c r="S450" s="22">
        <v>3.6835733907097934E-2</v>
      </c>
      <c r="T450" s="19">
        <f t="shared" si="50"/>
        <v>4.1311700089351255E-2</v>
      </c>
      <c r="U450" s="24">
        <v>4.018346131623951E-2</v>
      </c>
      <c r="V450" s="24">
        <f t="shared" si="51"/>
        <v>4.1806802939548637E-2</v>
      </c>
      <c r="W450" s="23">
        <f t="shared" si="52"/>
        <v>3.4180243683223921E-3</v>
      </c>
      <c r="X450" s="24">
        <v>3.9507229065022909E-2</v>
      </c>
      <c r="Y450" s="24">
        <f t="shared" si="53"/>
        <v>4.1696861065306123E-2</v>
      </c>
      <c r="Z450" s="23">
        <f t="shared" si="54"/>
        <v>3.4090877427914723E-3</v>
      </c>
      <c r="AA450" s="36"/>
    </row>
    <row r="451" spans="15:27" ht="17.100000000000001" customHeight="1" x14ac:dyDescent="0.3">
      <c r="O451" s="12">
        <f t="shared" si="48"/>
        <v>36.5</v>
      </c>
      <c r="P451" s="13">
        <v>438</v>
      </c>
      <c r="Q451" s="22">
        <v>3.4349211424009374E-2</v>
      </c>
      <c r="R451" s="19">
        <f t="shared" si="49"/>
        <v>2.9617206241872029E-2</v>
      </c>
      <c r="S451" s="22">
        <v>3.6845931063725912E-2</v>
      </c>
      <c r="T451" s="19">
        <f t="shared" si="50"/>
        <v>4.1328647191086088E-2</v>
      </c>
      <c r="U451" s="24">
        <v>4.0187164693201494E-2</v>
      </c>
      <c r="V451" s="24">
        <f t="shared" si="51"/>
        <v>4.1817295570609536E-2</v>
      </c>
      <c r="W451" s="23">
        <f t="shared" si="52"/>
        <v>3.4188740878264845E-3</v>
      </c>
      <c r="X451" s="24">
        <v>3.9512222979069866E-2</v>
      </c>
      <c r="Y451" s="24">
        <f t="shared" si="53"/>
        <v>4.170873125811303E-2</v>
      </c>
      <c r="Z451" s="23">
        <f t="shared" si="54"/>
        <v>3.4100494279858395E-3</v>
      </c>
      <c r="AA451" s="36"/>
    </row>
    <row r="452" spans="15:27" ht="17.100000000000001" customHeight="1" x14ac:dyDescent="0.3">
      <c r="O452" s="12">
        <f t="shared" si="48"/>
        <v>36.583333333333336</v>
      </c>
      <c r="P452" s="13">
        <v>439</v>
      </c>
      <c r="Q452" s="22">
        <v>3.4338407693542683E-2</v>
      </c>
      <c r="R452" s="19">
        <f t="shared" si="49"/>
        <v>2.9605541029600113E-2</v>
      </c>
      <c r="S452" s="22">
        <v>3.6856120302046991E-2</v>
      </c>
      <c r="T452" s="19">
        <f t="shared" si="50"/>
        <v>4.1345422083003625E-2</v>
      </c>
      <c r="U452" s="24">
        <v>4.0190875075398313E-2</v>
      </c>
      <c r="V452" s="24">
        <f t="shared" si="51"/>
        <v>4.1827695004536425E-2</v>
      </c>
      <c r="W452" s="23">
        <f t="shared" si="52"/>
        <v>3.4197162509650436E-3</v>
      </c>
      <c r="X452" s="24">
        <v>3.9517221148060555E-2</v>
      </c>
      <c r="Y452" s="24">
        <f t="shared" si="53"/>
        <v>4.1720492183818125E-2</v>
      </c>
      <c r="Z452" s="23">
        <f t="shared" si="54"/>
        <v>3.4110022490503322E-3</v>
      </c>
      <c r="AA452" s="36"/>
    </row>
    <row r="453" spans="15:27" ht="17.100000000000001" customHeight="1" x14ac:dyDescent="0.3">
      <c r="O453" s="12">
        <f t="shared" si="48"/>
        <v>36.666666666666664</v>
      </c>
      <c r="P453" s="13">
        <v>440</v>
      </c>
      <c r="Q453" s="22">
        <v>3.4327626549730983E-2</v>
      </c>
      <c r="R453" s="19">
        <f t="shared" si="49"/>
        <v>2.9594247374216565E-2</v>
      </c>
      <c r="S453" s="22">
        <v>3.6866301286172076E-2</v>
      </c>
      <c r="T453" s="19">
        <f t="shared" si="50"/>
        <v>4.1362026556041043E-2</v>
      </c>
      <c r="U453" s="24">
        <v>4.0194592203512292E-2</v>
      </c>
      <c r="V453" s="24">
        <f t="shared" si="51"/>
        <v>4.183800208751598E-2</v>
      </c>
      <c r="W453" s="23">
        <f t="shared" si="52"/>
        <v>3.4205509262119627E-3</v>
      </c>
      <c r="X453" s="24">
        <v>3.9522223295091585E-2</v>
      </c>
      <c r="Y453" s="24">
        <f t="shared" si="53"/>
        <v>4.173214486909993E-2</v>
      </c>
      <c r="Z453" s="23">
        <f t="shared" si="54"/>
        <v>3.4119462894228736E-3</v>
      </c>
      <c r="AA453" s="36"/>
    </row>
    <row r="454" spans="15:27" ht="17.100000000000001" customHeight="1" x14ac:dyDescent="0.3">
      <c r="O454" s="12">
        <f t="shared" si="48"/>
        <v>36.75</v>
      </c>
      <c r="P454" s="13">
        <v>441</v>
      </c>
      <c r="Q454" s="22">
        <v>3.4316868685085211E-2</v>
      </c>
      <c r="R454" s="19">
        <f t="shared" si="49"/>
        <v>2.9583323874504464E-2</v>
      </c>
      <c r="S454" s="22">
        <v>3.6876473687305733E-2</v>
      </c>
      <c r="T454" s="19">
        <f t="shared" si="50"/>
        <v>4.1378462383439896E-2</v>
      </c>
      <c r="U454" s="24">
        <v>4.0198315822496777E-2</v>
      </c>
      <c r="V454" s="24">
        <f t="shared" si="51"/>
        <v>4.1848217653386532E-2</v>
      </c>
      <c r="W454" s="23">
        <f t="shared" si="52"/>
        <v>3.4213781816876399E-3</v>
      </c>
      <c r="X454" s="24">
        <v>3.9527229148097698E-2</v>
      </c>
      <c r="Y454" s="24">
        <f t="shared" si="53"/>
        <v>4.1743690330534822E-2</v>
      </c>
      <c r="Z454" s="23">
        <f t="shared" si="54"/>
        <v>3.412881631785103E-3</v>
      </c>
      <c r="AA454" s="36"/>
    </row>
    <row r="455" spans="15:27" ht="17.100000000000001" customHeight="1" x14ac:dyDescent="0.3">
      <c r="O455" s="12">
        <f t="shared" si="48"/>
        <v>36.833333333333336</v>
      </c>
      <c r="P455" s="13">
        <v>442</v>
      </c>
      <c r="Q455" s="22">
        <v>3.4306134782658759E-2</v>
      </c>
      <c r="R455" s="19">
        <f t="shared" si="49"/>
        <v>2.9572769154447176E-2</v>
      </c>
      <c r="S455" s="22">
        <v>3.6886637183626281E-2</v>
      </c>
      <c r="T455" s="19">
        <f t="shared" si="50"/>
        <v>4.1394731317915046E-2</v>
      </c>
      <c r="U455" s="24">
        <v>4.0202045681500431E-2</v>
      </c>
      <c r="V455" s="24">
        <f t="shared" si="51"/>
        <v>4.1858342531428727E-2</v>
      </c>
      <c r="W455" s="23">
        <f t="shared" si="52"/>
        <v>3.4221980845179356E-3</v>
      </c>
      <c r="X455" s="24">
        <v>3.9532238439774936E-2</v>
      </c>
      <c r="Y455" s="24">
        <f t="shared" si="53"/>
        <v>4.1755129574415184E-2</v>
      </c>
      <c r="Z455" s="23">
        <f t="shared" si="54"/>
        <v>3.4138083580024237E-3</v>
      </c>
      <c r="AA455" s="36"/>
    </row>
    <row r="456" spans="15:27" ht="17.100000000000001" customHeight="1" x14ac:dyDescent="0.3">
      <c r="O456" s="12">
        <f t="shared" si="48"/>
        <v>36.916666666666664</v>
      </c>
      <c r="P456" s="13">
        <v>443</v>
      </c>
      <c r="Q456" s="22">
        <v>3.4295425516210232E-2</v>
      </c>
      <c r="R456" s="19">
        <f t="shared" si="49"/>
        <v>2.9562581861450443E-2</v>
      </c>
      <c r="S456" s="22">
        <v>3.6896791460160339E-2</v>
      </c>
      <c r="T456" s="19">
        <f t="shared" si="50"/>
        <v>4.1410835093658394E-2</v>
      </c>
      <c r="U456" s="24">
        <v>4.0205781533808826E-2</v>
      </c>
      <c r="V456" s="24">
        <f t="shared" si="51"/>
        <v>4.1868377542307877E-2</v>
      </c>
      <c r="W456" s="23">
        <f t="shared" si="52"/>
        <v>3.4230107014578959E-3</v>
      </c>
      <c r="X456" s="24">
        <v>3.9537250907502486E-2</v>
      </c>
      <c r="Y456" s="24">
        <f t="shared" si="53"/>
        <v>4.1766463598468917E-2</v>
      </c>
      <c r="Z456" s="23">
        <f t="shared" si="54"/>
        <v>3.4147265491089041E-3</v>
      </c>
      <c r="AA456" s="36"/>
    </row>
    <row r="457" spans="15:27" ht="17.100000000000001" customHeight="1" x14ac:dyDescent="0.3">
      <c r="O457" s="12">
        <f t="shared" si="48"/>
        <v>37</v>
      </c>
      <c r="P457" s="13">
        <v>444</v>
      </c>
      <c r="Q457" s="22">
        <v>3.4284741550361542E-2</v>
      </c>
      <c r="R457" s="19">
        <f t="shared" si="49"/>
        <v>2.9552758817322777E-2</v>
      </c>
      <c r="S457" s="22">
        <v>3.6906936208664698E-2</v>
      </c>
      <c r="T457" s="19">
        <f t="shared" si="50"/>
        <v>4.1426775425419171E-2</v>
      </c>
      <c r="U457" s="24">
        <v>4.0209523136778946E-2</v>
      </c>
      <c r="V457" s="24">
        <f t="shared" si="51"/>
        <v>4.1878323498318215E-2</v>
      </c>
      <c r="W457" s="23">
        <f t="shared" si="52"/>
        <v>3.4238160985680111E-3</v>
      </c>
      <c r="X457" s="24">
        <v>3.95422662932714E-2</v>
      </c>
      <c r="Y457" s="24">
        <f t="shared" si="53"/>
        <v>4.1777693388491688E-2</v>
      </c>
      <c r="Z457" s="23">
        <f t="shared" si="54"/>
        <v>3.4156362854449451E-3</v>
      </c>
      <c r="AA457" s="36"/>
    </row>
    <row r="458" spans="15:27" ht="17.100000000000001" customHeight="1" x14ac:dyDescent="0.3">
      <c r="O458" s="12">
        <f t="shared" si="48"/>
        <v>37.083333333333336</v>
      </c>
      <c r="P458" s="13">
        <v>445</v>
      </c>
      <c r="Q458" s="22">
        <v>3.4274083536576905E-2</v>
      </c>
      <c r="R458" s="19">
        <f t="shared" si="49"/>
        <v>2.9543291322039922E-2</v>
      </c>
      <c r="S458" s="22">
        <v>3.6917071127505752E-2</v>
      </c>
      <c r="T458" s="19">
        <f t="shared" si="50"/>
        <v>4.1442554009983201E-2</v>
      </c>
      <c r="U458" s="24">
        <v>4.0213270251774125E-2</v>
      </c>
      <c r="V458" s="24">
        <f t="shared" si="51"/>
        <v>4.1888181205007147E-2</v>
      </c>
      <c r="W458" s="23">
        <f t="shared" si="52"/>
        <v>3.4246143412317576E-3</v>
      </c>
      <c r="X458" s="24">
        <v>3.9547284343605549E-2</v>
      </c>
      <c r="Y458" s="24">
        <f t="shared" si="53"/>
        <v>4.1788819922966125E-2</v>
      </c>
      <c r="Z458" s="23">
        <f t="shared" si="54"/>
        <v>3.4165376463883845E-3</v>
      </c>
      <c r="AA458" s="36"/>
    </row>
    <row r="459" spans="15:27" ht="17.100000000000001" customHeight="1" x14ac:dyDescent="0.3">
      <c r="O459" s="12">
        <f t="shared" si="48"/>
        <v>37.166666666666664</v>
      </c>
      <c r="P459" s="13">
        <v>446</v>
      </c>
      <c r="Q459" s="22">
        <v>3.4263452100874003E-2</v>
      </c>
      <c r="R459" s="19">
        <f t="shared" si="49"/>
        <v>2.9534176258929623E-2</v>
      </c>
      <c r="S459" s="22">
        <v>3.6927195921546696E-2</v>
      </c>
      <c r="T459" s="19">
        <f t="shared" si="50"/>
        <v>4.1458172526334547E-2</v>
      </c>
      <c r="U459" s="24">
        <v>4.0217022644104317E-2</v>
      </c>
      <c r="V459" s="24">
        <f t="shared" si="51"/>
        <v>4.1897951459436866E-2</v>
      </c>
      <c r="W459" s="23">
        <f t="shared" si="52"/>
        <v>3.4254054942879364E-3</v>
      </c>
      <c r="X459" s="24">
        <v>3.9552304809494343E-2</v>
      </c>
      <c r="Y459" s="24">
        <f t="shared" si="53"/>
        <v>4.1799844169009281E-2</v>
      </c>
      <c r="Z459" s="23">
        <f t="shared" si="54"/>
        <v>3.4174307107242008E-3</v>
      </c>
      <c r="AA459" s="36"/>
    </row>
    <row r="460" spans="15:27" ht="17.100000000000001" customHeight="1" x14ac:dyDescent="0.3">
      <c r="O460" s="12">
        <f t="shared" si="48"/>
        <v>37.25</v>
      </c>
      <c r="P460" s="13">
        <v>447</v>
      </c>
      <c r="Q460" s="22">
        <v>3.4252847856654833E-2</v>
      </c>
      <c r="R460" s="19">
        <f t="shared" si="49"/>
        <v>2.9525412387968686E-2</v>
      </c>
      <c r="S460" s="22">
        <v>3.6937310302033399E-2</v>
      </c>
      <c r="T460" s="19">
        <f t="shared" si="50"/>
        <v>4.1473632633443058E-2</v>
      </c>
      <c r="U460" s="24">
        <v>4.0220780082962593E-2</v>
      </c>
      <c r="V460" s="24">
        <f t="shared" si="51"/>
        <v>4.1907635052189196E-2</v>
      </c>
      <c r="W460" s="23">
        <f t="shared" si="52"/>
        <v>3.4261896218903409E-3</v>
      </c>
      <c r="X460" s="24">
        <v>3.9557327446317458E-2</v>
      </c>
      <c r="Y460" s="24">
        <f t="shared" si="53"/>
        <v>4.1810767085724843E-2</v>
      </c>
      <c r="Z460" s="23">
        <f t="shared" si="54"/>
        <v>3.4183155563201062E-3</v>
      </c>
      <c r="AA460" s="36"/>
    </row>
    <row r="461" spans="15:27" ht="17.100000000000001" customHeight="1" x14ac:dyDescent="0.3">
      <c r="O461" s="12">
        <f t="shared" si="48"/>
        <v>37.333333333333336</v>
      </c>
      <c r="P461" s="13">
        <v>448</v>
      </c>
      <c r="Q461" s="22">
        <v>3.4242271409054892E-2</v>
      </c>
      <c r="R461" s="19">
        <f t="shared" si="49"/>
        <v>2.9516998490157542E-2</v>
      </c>
      <c r="S461" s="22">
        <v>3.6947413986479827E-2</v>
      </c>
      <c r="T461" s="19">
        <f t="shared" si="50"/>
        <v>4.1488935974633545E-2</v>
      </c>
      <c r="U461" s="24">
        <v>4.0224542341367409E-2</v>
      </c>
      <c r="V461" s="24">
        <f t="shared" si="51"/>
        <v>4.1917232766459422E-2</v>
      </c>
      <c r="W461" s="23">
        <f t="shared" si="52"/>
        <v>3.4269667876685173E-3</v>
      </c>
      <c r="X461" s="24">
        <v>3.9562352013777558E-2</v>
      </c>
      <c r="Y461" s="24">
        <f t="shared" si="53"/>
        <v>4.1821589622618172E-2</v>
      </c>
      <c r="Z461" s="23">
        <f t="shared" si="54"/>
        <v>3.4191922603949987E-3</v>
      </c>
      <c r="AA461" s="36"/>
    </row>
    <row r="462" spans="15:27" ht="17.100000000000001" customHeight="1" x14ac:dyDescent="0.3">
      <c r="O462" s="12">
        <f t="shared" ref="O462:O525" si="55">P462/12</f>
        <v>37.416666666666664</v>
      </c>
      <c r="P462" s="13">
        <v>449</v>
      </c>
      <c r="Q462" s="22">
        <v>3.4231723355081511E-2</v>
      </c>
      <c r="R462" s="19">
        <f t="shared" ref="R462:R525" si="56">(1+Q463)^P463/(1+Q462)^P462-1</f>
        <v>2.9508933371758195E-2</v>
      </c>
      <c r="S462" s="22">
        <v>3.695750669856257E-2</v>
      </c>
      <c r="T462" s="19">
        <f t="shared" ref="T462:T525" si="57">(1+S463)^P463/(1+S462)^P462-1</f>
        <v>4.1504084173348055E-2</v>
      </c>
      <c r="U462" s="24">
        <v>4.022830919610354E-2</v>
      </c>
      <c r="V462" s="24">
        <f t="shared" ref="V462:V525" si="58">(1+U463)^P463/(1+U462)^P462-1</f>
        <v>4.192674537614316E-2</v>
      </c>
      <c r="W462" s="23">
        <f t="shared" si="52"/>
        <v>3.4277370546553776E-3</v>
      </c>
      <c r="X462" s="24">
        <v>3.9567378275831233E-2</v>
      </c>
      <c r="Y462" s="24">
        <f t="shared" si="53"/>
        <v>4.1832312718690146E-2</v>
      </c>
      <c r="Z462" s="23">
        <f t="shared" si="54"/>
        <v>3.4200608993923964E-3</v>
      </c>
      <c r="AA462" s="36"/>
    </row>
    <row r="463" spans="15:27" ht="17.100000000000001" customHeight="1" x14ac:dyDescent="0.3">
      <c r="O463" s="12">
        <f t="shared" si="55"/>
        <v>37.5</v>
      </c>
      <c r="P463" s="13">
        <v>450</v>
      </c>
      <c r="Q463" s="22">
        <v>3.4221204283759743E-2</v>
      </c>
      <c r="R463" s="19">
        <f t="shared" si="56"/>
        <v>2.9501214045195567E-2</v>
      </c>
      <c r="S463" s="22">
        <v>3.6967588168008714E-2</v>
      </c>
      <c r="T463" s="19">
        <f t="shared" si="57"/>
        <v>4.151907883702699E-2</v>
      </c>
      <c r="U463" s="24">
        <v>4.0232080427659245E-2</v>
      </c>
      <c r="V463" s="24">
        <f t="shared" si="58"/>
        <v>4.1936173651024422E-2</v>
      </c>
      <c r="W463" s="23">
        <f t="shared" ref="W463:W526" si="59">(1+V462)^(1/12)-1</f>
        <v>3.4285004851346557E-3</v>
      </c>
      <c r="X463" s="24">
        <v>3.9572406000617733E-2</v>
      </c>
      <c r="Y463" s="24">
        <f t="shared" ref="Y463:Y526" si="60">(1+X464)^P464/(1+X463)^P463-1</f>
        <v>4.1842937305750949E-2</v>
      </c>
      <c r="Z463" s="23">
        <f t="shared" ref="Z463:Z526" si="61">(1+Y462)^(1/12)-1</f>
        <v>3.4209215489078293E-3</v>
      </c>
      <c r="AA463" s="36"/>
    </row>
    <row r="464" spans="15:27" ht="17.100000000000001" customHeight="1" x14ac:dyDescent="0.3">
      <c r="O464" s="12">
        <f t="shared" si="55"/>
        <v>37.583333333333336</v>
      </c>
      <c r="P464" s="13">
        <v>451</v>
      </c>
      <c r="Q464" s="22">
        <v>3.4210714772225037E-2</v>
      </c>
      <c r="R464" s="19">
        <f t="shared" si="56"/>
        <v>2.9493832106927353E-2</v>
      </c>
      <c r="S464" s="22">
        <v>3.6977658130492808E-2</v>
      </c>
      <c r="T464" s="19">
        <f t="shared" si="57"/>
        <v>4.1533921555616748E-2</v>
      </c>
      <c r="U464" s="24">
        <v>4.0235855820176525E-2</v>
      </c>
      <c r="V464" s="24">
        <f t="shared" si="58"/>
        <v>4.1945518351904409E-2</v>
      </c>
      <c r="W464" s="23">
        <f t="shared" si="59"/>
        <v>3.4292571410552419E-3</v>
      </c>
      <c r="X464" s="24">
        <v>3.9577434960397007E-2</v>
      </c>
      <c r="Y464" s="24">
        <f t="shared" si="60"/>
        <v>4.1853464305527055E-2</v>
      </c>
      <c r="Z464" s="23">
        <f t="shared" si="61"/>
        <v>3.4217742839544041E-3</v>
      </c>
      <c r="AA464" s="36"/>
    </row>
    <row r="465" spans="15:27" ht="17.100000000000001" customHeight="1" x14ac:dyDescent="0.3">
      <c r="O465" s="12">
        <f t="shared" si="55"/>
        <v>37.666666666666664</v>
      </c>
      <c r="P465" s="13">
        <v>452</v>
      </c>
      <c r="Q465" s="22">
        <v>3.4200255373817212E-2</v>
      </c>
      <c r="R465" s="19">
        <f t="shared" si="56"/>
        <v>2.9486784630598173E-2</v>
      </c>
      <c r="S465" s="22">
        <v>3.6987716327532727E-2</v>
      </c>
      <c r="T465" s="19">
        <f t="shared" si="57"/>
        <v>4.1548613900773024E-2</v>
      </c>
      <c r="U465" s="24">
        <v>4.0239635161390064E-2</v>
      </c>
      <c r="V465" s="24">
        <f t="shared" si="58"/>
        <v>4.1954780231594491E-2</v>
      </c>
      <c r="W465" s="23">
        <f t="shared" si="59"/>
        <v>3.4300070836426055E-3</v>
      </c>
      <c r="X465" s="24">
        <v>3.9582464931481542E-2</v>
      </c>
      <c r="Y465" s="24">
        <f t="shared" si="60"/>
        <v>4.1863894630214116E-2</v>
      </c>
      <c r="Z465" s="23">
        <f t="shared" si="61"/>
        <v>3.4226191787314342E-3</v>
      </c>
      <c r="AA465" s="36"/>
    </row>
    <row r="466" spans="15:27" ht="17.100000000000001" customHeight="1" x14ac:dyDescent="0.3">
      <c r="O466" s="12">
        <f t="shared" si="55"/>
        <v>37.75</v>
      </c>
      <c r="P466" s="13">
        <v>453</v>
      </c>
      <c r="Q466" s="22">
        <v>3.4189826630488751E-2</v>
      </c>
      <c r="R466" s="19">
        <f t="shared" si="56"/>
        <v>2.9480070530010449E-2</v>
      </c>
      <c r="S466" s="22">
        <v>3.6997762506384868E-2</v>
      </c>
      <c r="T466" s="19">
        <f t="shared" si="57"/>
        <v>4.1563157428702757E-2</v>
      </c>
      <c r="U466" s="24">
        <v>4.0243418242570606E-2</v>
      </c>
      <c r="V466" s="24">
        <f t="shared" si="58"/>
        <v>4.1963960038305936E-2</v>
      </c>
      <c r="W466" s="23">
        <f t="shared" si="59"/>
        <v>3.430750373476732E-3</v>
      </c>
      <c r="X466" s="24">
        <v>3.958749569417086E-2</v>
      </c>
      <c r="Y466" s="24">
        <f t="shared" si="60"/>
        <v>4.1874229185109746E-2</v>
      </c>
      <c r="Z466" s="23">
        <f t="shared" si="61"/>
        <v>3.4234563066684043E-3</v>
      </c>
      <c r="AA466" s="36"/>
    </row>
    <row r="467" spans="15:27" ht="17.100000000000001" customHeight="1" x14ac:dyDescent="0.3">
      <c r="O467" s="12">
        <f t="shared" si="55"/>
        <v>37.833333333333336</v>
      </c>
      <c r="P467" s="13">
        <v>454</v>
      </c>
      <c r="Q467" s="22">
        <v>3.417942907700211E-2</v>
      </c>
      <c r="R467" s="19">
        <f t="shared" si="56"/>
        <v>2.9473688741323611E-2</v>
      </c>
      <c r="S467" s="22">
        <v>3.700779641994667E-2</v>
      </c>
      <c r="T467" s="19">
        <f t="shared" si="57"/>
        <v>4.1577553677492274E-2</v>
      </c>
      <c r="U467" s="24">
        <v>4.0247204858475438E-2</v>
      </c>
      <c r="V467" s="24">
        <f t="shared" si="58"/>
        <v>4.1973058511282524E-2</v>
      </c>
      <c r="W467" s="23">
        <f t="shared" si="59"/>
        <v>3.4314870707656819E-3</v>
      </c>
      <c r="X467" s="24">
        <v>3.9592527032691782E-2</v>
      </c>
      <c r="Y467" s="24">
        <f t="shared" si="60"/>
        <v>4.1884468864958668E-2</v>
      </c>
      <c r="Z467" s="23">
        <f t="shared" si="61"/>
        <v>3.4242857406361349E-3</v>
      </c>
      <c r="AA467" s="36"/>
    </row>
    <row r="468" spans="15:27" ht="17.100000000000001" customHeight="1" x14ac:dyDescent="0.3">
      <c r="O468" s="12">
        <f t="shared" si="55"/>
        <v>37.916666666666664</v>
      </c>
      <c r="P468" s="13">
        <v>455</v>
      </c>
      <c r="Q468" s="22">
        <v>3.4169063241056952E-2</v>
      </c>
      <c r="R468" s="19">
        <f t="shared" si="56"/>
        <v>2.9467638223221515E-2</v>
      </c>
      <c r="S468" s="22">
        <v>3.701781782665492E-2</v>
      </c>
      <c r="T468" s="19">
        <f t="shared" si="57"/>
        <v>4.1591804170546309E-2</v>
      </c>
      <c r="U468" s="24">
        <v>4.0250994807290219E-2</v>
      </c>
      <c r="V468" s="24">
        <f t="shared" si="58"/>
        <v>4.1982076383383138E-2</v>
      </c>
      <c r="W468" s="23">
        <f t="shared" si="59"/>
        <v>3.4322172349940949E-3</v>
      </c>
      <c r="X468" s="24">
        <v>3.9597558735132488E-2</v>
      </c>
      <c r="Y468" s="24">
        <f t="shared" si="60"/>
        <v>4.1894614556022614E-2</v>
      </c>
      <c r="Z468" s="23">
        <f t="shared" si="61"/>
        <v>3.4251075526543495E-3</v>
      </c>
      <c r="AA468" s="36"/>
    </row>
    <row r="469" spans="15:27" ht="17.100000000000001" customHeight="1" x14ac:dyDescent="0.3">
      <c r="O469" s="12">
        <f t="shared" si="55"/>
        <v>38</v>
      </c>
      <c r="P469" s="13">
        <v>456</v>
      </c>
      <c r="Q469" s="22">
        <v>3.4158729643417596E-2</v>
      </c>
      <c r="R469" s="19">
        <f t="shared" si="56"/>
        <v>2.9461916176109382E-2</v>
      </c>
      <c r="S469" s="22">
        <v>3.7027826490393156E-2</v>
      </c>
      <c r="T469" s="19">
        <f t="shared" si="57"/>
        <v>4.1605910412852554E-2</v>
      </c>
      <c r="U469" s="24">
        <v>4.0254787890577681E-2</v>
      </c>
      <c r="V469" s="24">
        <f t="shared" si="58"/>
        <v>4.1991014381534741E-2</v>
      </c>
      <c r="W469" s="23">
        <f t="shared" si="59"/>
        <v>3.4329409251308007E-3</v>
      </c>
      <c r="X469" s="24">
        <v>3.960259059338167E-2</v>
      </c>
      <c r="Y469" s="24">
        <f t="shared" si="60"/>
        <v>4.1904667136934304E-2</v>
      </c>
      <c r="Z469" s="23">
        <f t="shared" si="61"/>
        <v>3.4259218140570979E-3</v>
      </c>
      <c r="AA469" s="36"/>
    </row>
    <row r="470" spans="15:27" ht="17.100000000000001" customHeight="1" x14ac:dyDescent="0.3">
      <c r="O470" s="12">
        <f t="shared" si="55"/>
        <v>38.083333333333336</v>
      </c>
      <c r="P470" s="13">
        <v>457</v>
      </c>
      <c r="Q470" s="22">
        <v>3.4148428794122498E-2</v>
      </c>
      <c r="R470" s="19">
        <f t="shared" si="56"/>
        <v>2.9456514483663154E-2</v>
      </c>
      <c r="S470" s="22">
        <v>3.7037822180391311E-2</v>
      </c>
      <c r="T470" s="19">
        <f t="shared" si="57"/>
        <v>4.1619873894238602E-2</v>
      </c>
      <c r="U470" s="24">
        <v>4.0258583913227453E-2</v>
      </c>
      <c r="V470" s="24">
        <f t="shared" si="58"/>
        <v>4.1999873224577433E-2</v>
      </c>
      <c r="W470" s="23">
        <f t="shared" si="59"/>
        <v>3.433658199665901E-3</v>
      </c>
      <c r="X470" s="24">
        <v>3.9607622403069698E-2</v>
      </c>
      <c r="Y470" s="24">
        <f t="shared" si="60"/>
        <v>4.1914627477327437E-2</v>
      </c>
      <c r="Z470" s="23">
        <f t="shared" si="61"/>
        <v>3.4267285955620341E-3</v>
      </c>
      <c r="AA470" s="36"/>
    </row>
    <row r="471" spans="15:27" ht="17.100000000000001" customHeight="1" x14ac:dyDescent="0.3">
      <c r="O471" s="12">
        <f t="shared" si="55"/>
        <v>38.166666666666664</v>
      </c>
      <c r="P471" s="13">
        <v>458</v>
      </c>
      <c r="Q471" s="22">
        <v>3.4138161180940596E-2</v>
      </c>
      <c r="R471" s="19">
        <f t="shared" si="56"/>
        <v>2.9451430405347478E-2</v>
      </c>
      <c r="S471" s="22">
        <v>3.7047804671134665E-2</v>
      </c>
      <c r="T471" s="19">
        <f t="shared" si="57"/>
        <v>4.163369608888301E-2</v>
      </c>
      <c r="U471" s="24">
        <v>4.0262382683401876E-2</v>
      </c>
      <c r="V471" s="24">
        <f t="shared" si="58"/>
        <v>4.200865362587014E-2</v>
      </c>
      <c r="W471" s="23">
        <f t="shared" si="59"/>
        <v>3.4343691164364643E-3</v>
      </c>
      <c r="X471" s="24">
        <v>3.9612653963508437E-2</v>
      </c>
      <c r="Y471" s="24">
        <f t="shared" si="60"/>
        <v>4.1924496438296766E-2</v>
      </c>
      <c r="Z471" s="23">
        <f t="shared" si="61"/>
        <v>3.42752796716006E-3</v>
      </c>
      <c r="AA471" s="36"/>
    </row>
    <row r="472" spans="15:27" ht="17.100000000000001" customHeight="1" x14ac:dyDescent="0.3">
      <c r="O472" s="12">
        <f t="shared" si="55"/>
        <v>38.25</v>
      </c>
      <c r="P472" s="13">
        <v>459</v>
      </c>
      <c r="Q472" s="22">
        <v>3.4127927281378589E-2</v>
      </c>
      <c r="R472" s="19">
        <f t="shared" si="56"/>
        <v>2.9446663005684659E-2</v>
      </c>
      <c r="S472" s="22">
        <v>3.7057773742272371E-2</v>
      </c>
      <c r="T472" s="19">
        <f t="shared" si="57"/>
        <v>4.164737845463895E-2</v>
      </c>
      <c r="U472" s="24">
        <v>4.0266184012488715E-2</v>
      </c>
      <c r="V472" s="24">
        <f t="shared" si="58"/>
        <v>4.2017356290757535E-2</v>
      </c>
      <c r="W472" s="23">
        <f t="shared" si="59"/>
        <v>3.435073732837246E-3</v>
      </c>
      <c r="X472" s="24">
        <v>3.9617685077632192E-2</v>
      </c>
      <c r="Y472" s="24">
        <f t="shared" si="60"/>
        <v>4.1934274872730493E-2</v>
      </c>
      <c r="Z472" s="23">
        <f t="shared" si="61"/>
        <v>3.4283199981526291E-3</v>
      </c>
      <c r="AA472" s="36"/>
    </row>
    <row r="473" spans="15:27" ht="17.100000000000001" customHeight="1" x14ac:dyDescent="0.3">
      <c r="O473" s="12">
        <f t="shared" si="55"/>
        <v>38.333333333333336</v>
      </c>
      <c r="P473" s="13">
        <v>460</v>
      </c>
      <c r="Q473" s="22">
        <v>3.4117727566733702E-2</v>
      </c>
      <c r="R473" s="19">
        <f t="shared" si="56"/>
        <v>2.944221136907621E-2</v>
      </c>
      <c r="S473" s="22">
        <v>3.7067729178525743E-2</v>
      </c>
      <c r="T473" s="19">
        <f t="shared" si="57"/>
        <v>4.1660922434086478E-2</v>
      </c>
      <c r="U473" s="24">
        <v>4.0269987715048305E-2</v>
      </c>
      <c r="V473" s="24">
        <f t="shared" si="58"/>
        <v>4.202598191961604E-2</v>
      </c>
      <c r="W473" s="23">
        <f t="shared" si="59"/>
        <v>3.4357721056166302E-3</v>
      </c>
      <c r="X473" s="24">
        <v>3.9622715551941079E-2</v>
      </c>
      <c r="Y473" s="24">
        <f t="shared" si="60"/>
        <v>4.1943963625539871E-2</v>
      </c>
      <c r="Z473" s="23">
        <f t="shared" si="61"/>
        <v>3.4291047571781696E-3</v>
      </c>
      <c r="AA473" s="36"/>
    </row>
    <row r="474" spans="15:27" ht="17.100000000000001" customHeight="1" x14ac:dyDescent="0.3">
      <c r="O474" s="12">
        <f t="shared" si="55"/>
        <v>38.416666666666664</v>
      </c>
      <c r="P474" s="13">
        <v>461</v>
      </c>
      <c r="Q474" s="22">
        <v>3.4107562502204924E-2</v>
      </c>
      <c r="R474" s="19">
        <f t="shared" si="56"/>
        <v>2.9438074604231979E-2</v>
      </c>
      <c r="S474" s="22">
        <v>3.7077670769600779E-2</v>
      </c>
      <c r="T474" s="19">
        <f t="shared" si="57"/>
        <v>4.1674329453741832E-2</v>
      </c>
      <c r="U474" s="24">
        <v>4.0273793608768704E-2</v>
      </c>
      <c r="V474" s="24">
        <f t="shared" si="58"/>
        <v>4.2034531205052739E-2</v>
      </c>
      <c r="W474" s="23">
        <f t="shared" si="59"/>
        <v>3.4364642911213217E-3</v>
      </c>
      <c r="X474" s="24">
        <v>3.9627745196444408E-2</v>
      </c>
      <c r="Y474" s="24">
        <f t="shared" si="60"/>
        <v>4.1953563533157157E-2</v>
      </c>
      <c r="Z474" s="23">
        <f t="shared" si="61"/>
        <v>3.4298823122311806E-3</v>
      </c>
      <c r="AA474" s="36"/>
    </row>
    <row r="475" spans="15:27" ht="17.100000000000001" customHeight="1" x14ac:dyDescent="0.3">
      <c r="O475" s="12">
        <f t="shared" si="55"/>
        <v>38.5</v>
      </c>
      <c r="P475" s="13">
        <v>462</v>
      </c>
      <c r="Q475" s="22">
        <v>3.4097432547010698E-2</v>
      </c>
      <c r="R475" s="19">
        <f t="shared" si="56"/>
        <v>2.9434250093199221E-2</v>
      </c>
      <c r="S475" s="22">
        <v>3.7087598310098446E-2</v>
      </c>
      <c r="T475" s="19">
        <f t="shared" si="57"/>
        <v>4.168760092513657E-2</v>
      </c>
      <c r="U475" s="24">
        <v>4.0277601514414618E-2</v>
      </c>
      <c r="V475" s="24">
        <f t="shared" si="58"/>
        <v>4.2043004833767217E-2</v>
      </c>
      <c r="W475" s="23">
        <f t="shared" si="59"/>
        <v>3.4371503450714158E-3</v>
      </c>
      <c r="X475" s="24">
        <v>3.9632773824604284E-2</v>
      </c>
      <c r="Y475" s="24">
        <f t="shared" si="60"/>
        <v>4.1963075423847362E-2</v>
      </c>
      <c r="Z475" s="23">
        <f t="shared" si="61"/>
        <v>3.4306527306213752E-3</v>
      </c>
      <c r="AA475" s="36"/>
    </row>
    <row r="476" spans="15:27" ht="17.100000000000001" customHeight="1" x14ac:dyDescent="0.3">
      <c r="O476" s="12">
        <f t="shared" si="55"/>
        <v>38.583333333333336</v>
      </c>
      <c r="P476" s="13">
        <v>463</v>
      </c>
      <c r="Q476" s="22">
        <v>3.4087338150707192E-2</v>
      </c>
      <c r="R476" s="19">
        <f t="shared" si="56"/>
        <v>2.9430730000584049E-2</v>
      </c>
      <c r="S476" s="22">
        <v>3.7097511599430755E-2</v>
      </c>
      <c r="T476" s="19">
        <f t="shared" si="57"/>
        <v>4.1700738245962876E-2</v>
      </c>
      <c r="U476" s="24">
        <v>4.0281411255781441E-2</v>
      </c>
      <c r="V476" s="24">
        <f t="shared" si="58"/>
        <v>4.2051403486665473E-2</v>
      </c>
      <c r="W476" s="23">
        <f t="shared" si="59"/>
        <v>3.437830322710278E-3</v>
      </c>
      <c r="X476" s="24">
        <v>3.9637801253281202E-2</v>
      </c>
      <c r="Y476" s="24">
        <f t="shared" si="60"/>
        <v>4.197250011850473E-2</v>
      </c>
      <c r="Z476" s="23">
        <f t="shared" si="61"/>
        <v>3.4314160789992165E-3</v>
      </c>
      <c r="AA476" s="36"/>
    </row>
    <row r="477" spans="15:27" ht="17.100000000000001" customHeight="1" x14ac:dyDescent="0.3">
      <c r="O477" s="12">
        <f t="shared" si="55"/>
        <v>38.666666666666664</v>
      </c>
      <c r="P477" s="13">
        <v>464</v>
      </c>
      <c r="Q477" s="22">
        <v>3.4077279741997035E-2</v>
      </c>
      <c r="R477" s="19">
        <f t="shared" si="56"/>
        <v>2.9427511765763192E-2</v>
      </c>
      <c r="S477" s="22">
        <v>3.7107410441737931E-2</v>
      </c>
      <c r="T477" s="19">
        <f t="shared" si="57"/>
        <v>4.1713742796975373E-2</v>
      </c>
      <c r="U477" s="24">
        <v>4.0285222659650399E-2</v>
      </c>
      <c r="V477" s="24">
        <f t="shared" si="58"/>
        <v>4.205972783660572E-2</v>
      </c>
      <c r="W477" s="23">
        <f t="shared" si="59"/>
        <v>3.4385042788129816E-3</v>
      </c>
      <c r="X477" s="24">
        <v>3.9642827302680983E-2</v>
      </c>
      <c r="Y477" s="24">
        <f t="shared" si="60"/>
        <v>4.1981838429797858E-2</v>
      </c>
      <c r="Z477" s="23">
        <f t="shared" si="61"/>
        <v>3.4321724234196438E-3</v>
      </c>
      <c r="AA477" s="36"/>
    </row>
    <row r="478" spans="15:27" ht="17.100000000000001" customHeight="1" x14ac:dyDescent="0.3">
      <c r="O478" s="12">
        <f t="shared" si="55"/>
        <v>38.75</v>
      </c>
      <c r="P478" s="13">
        <v>465</v>
      </c>
      <c r="Q478" s="22">
        <v>3.4067257740348467E-2</v>
      </c>
      <c r="R478" s="19">
        <f t="shared" si="56"/>
        <v>2.942459459898239E-2</v>
      </c>
      <c r="S478" s="22">
        <v>3.7117294645802046E-2</v>
      </c>
      <c r="T478" s="19">
        <f t="shared" si="57"/>
        <v>4.1726615945212764E-2</v>
      </c>
      <c r="U478" s="24">
        <v>4.0289035555738595E-2</v>
      </c>
      <c r="V478" s="24">
        <f t="shared" si="58"/>
        <v>4.2067978552237095E-2</v>
      </c>
      <c r="W478" s="23">
        <f t="shared" si="59"/>
        <v>3.4391722675066738E-3</v>
      </c>
      <c r="X478" s="24">
        <v>3.9647851796301481E-2</v>
      </c>
      <c r="Y478" s="24">
        <f t="shared" si="60"/>
        <v>4.1991091162400185E-2</v>
      </c>
      <c r="Z478" s="23">
        <f t="shared" si="61"/>
        <v>3.4329218292736829E-3</v>
      </c>
      <c r="AA478" s="36"/>
    </row>
    <row r="479" spans="15:27" ht="17.100000000000001" customHeight="1" x14ac:dyDescent="0.3">
      <c r="O479" s="12">
        <f t="shared" si="55"/>
        <v>38.833333333333336</v>
      </c>
      <c r="P479" s="13">
        <v>466</v>
      </c>
      <c r="Q479" s="22">
        <v>3.4057272559911311E-2</v>
      </c>
      <c r="R479" s="19">
        <f t="shared" si="56"/>
        <v>2.9421977730642368E-2</v>
      </c>
      <c r="S479" s="22">
        <v>3.7127164024967518E-2</v>
      </c>
      <c r="T479" s="19">
        <f t="shared" si="57"/>
        <v>4.173935904335635E-2</v>
      </c>
      <c r="U479" s="24">
        <v>4.0292849776658812E-2</v>
      </c>
      <c r="V479" s="24">
        <f t="shared" si="58"/>
        <v>4.2076156295294487E-2</v>
      </c>
      <c r="W479" s="23">
        <f t="shared" si="59"/>
        <v>3.4398343425776634E-3</v>
      </c>
      <c r="X479" s="24">
        <v>3.9652874560879736E-2</v>
      </c>
      <c r="Y479" s="24">
        <f t="shared" si="60"/>
        <v>4.2000259112860094E-2</v>
      </c>
      <c r="Z479" s="23">
        <f t="shared" si="61"/>
        <v>3.4336643613073203E-3</v>
      </c>
      <c r="AA479" s="36"/>
    </row>
    <row r="480" spans="15:27" ht="17.100000000000001" customHeight="1" x14ac:dyDescent="0.3">
      <c r="O480" s="12">
        <f t="shared" si="55"/>
        <v>38.916666666666664</v>
      </c>
      <c r="P480" s="13">
        <v>467</v>
      </c>
      <c r="Q480" s="22">
        <v>3.4047324609617124E-2</v>
      </c>
      <c r="R480" s="19">
        <f t="shared" si="56"/>
        <v>2.9419660412953963E-2</v>
      </c>
      <c r="S480" s="22">
        <v>3.7137018397061627E-2</v>
      </c>
      <c r="T480" s="19">
        <f t="shared" si="57"/>
        <v>4.1751973429301481E-2</v>
      </c>
      <c r="U480" s="24">
        <v>4.0296665157873557E-2</v>
      </c>
      <c r="V480" s="24">
        <f t="shared" si="58"/>
        <v>4.2084261719946614E-2</v>
      </c>
      <c r="W480" s="23">
        <f t="shared" si="59"/>
        <v>3.4404905572547051E-3</v>
      </c>
      <c r="X480" s="24">
        <v>3.9657895426340017E-2</v>
      </c>
      <c r="Y480" s="24">
        <f t="shared" si="60"/>
        <v>4.2009343071848892E-2</v>
      </c>
      <c r="Z480" s="23">
        <f t="shared" si="61"/>
        <v>3.4344000836106225E-3</v>
      </c>
      <c r="AA480" s="36"/>
    </row>
    <row r="481" spans="15:27" ht="17.100000000000001" customHeight="1" x14ac:dyDescent="0.3">
      <c r="O481" s="12">
        <f t="shared" si="55"/>
        <v>39</v>
      </c>
      <c r="P481" s="13">
        <v>468</v>
      </c>
      <c r="Q481" s="22">
        <v>3.4037414293281332E-2</v>
      </c>
      <c r="R481" s="19">
        <f t="shared" si="56"/>
        <v>2.9417640203522666E-2</v>
      </c>
      <c r="S481" s="22">
        <v>3.7146857584315018E-2</v>
      </c>
      <c r="T481" s="19">
        <f t="shared" si="57"/>
        <v>4.1764460426403582E-2</v>
      </c>
      <c r="U481" s="24">
        <v>4.0300481537648647E-2</v>
      </c>
      <c r="V481" s="24">
        <f t="shared" si="58"/>
        <v>4.2092295476902075E-2</v>
      </c>
      <c r="W481" s="23">
        <f t="shared" si="59"/>
        <v>3.4411409641568191E-3</v>
      </c>
      <c r="X481" s="24">
        <v>3.9662914225747414E-2</v>
      </c>
      <c r="Y481" s="24">
        <f t="shared" si="60"/>
        <v>4.2018343819599346E-2</v>
      </c>
      <c r="Z481" s="23">
        <f t="shared" si="61"/>
        <v>3.4351290597982587E-3</v>
      </c>
      <c r="AA481" s="36"/>
    </row>
    <row r="482" spans="15:27" ht="17.100000000000001" customHeight="1" x14ac:dyDescent="0.3">
      <c r="O482" s="12">
        <f t="shared" si="55"/>
        <v>39.083333333333336</v>
      </c>
      <c r="P482" s="13">
        <v>469</v>
      </c>
      <c r="Q482" s="22">
        <v>3.4027542006028089E-2</v>
      </c>
      <c r="R482" s="19">
        <f t="shared" si="56"/>
        <v>2.9415909542934049E-2</v>
      </c>
      <c r="S482" s="22">
        <v>3.7156681413283987E-2</v>
      </c>
      <c r="T482" s="19">
        <f t="shared" si="57"/>
        <v>4.1776821345214099E-2</v>
      </c>
      <c r="U482" s="24">
        <v>4.0304298757015244E-2</v>
      </c>
      <c r="V482" s="24">
        <f t="shared" si="58"/>
        <v>4.2100258209324171E-2</v>
      </c>
      <c r="W482" s="23">
        <f t="shared" si="59"/>
        <v>3.4417856156225834E-3</v>
      </c>
      <c r="X482" s="24">
        <v>3.9667930795251438E-2</v>
      </c>
      <c r="Y482" s="24">
        <f t="shared" si="60"/>
        <v>4.2027262132070309E-2</v>
      </c>
      <c r="Z482" s="23">
        <f t="shared" si="61"/>
        <v>3.4358513526440149E-3</v>
      </c>
      <c r="AA482" s="36"/>
    </row>
    <row r="483" spans="15:27" ht="17.100000000000001" customHeight="1" x14ac:dyDescent="0.3">
      <c r="O483" s="12">
        <f t="shared" si="55"/>
        <v>39.166666666666664</v>
      </c>
      <c r="P483" s="13">
        <v>470</v>
      </c>
      <c r="Q483" s="22">
        <v>3.4017708123446733E-2</v>
      </c>
      <c r="R483" s="19">
        <f t="shared" si="56"/>
        <v>2.9414466045343479E-2</v>
      </c>
      <c r="S483" s="22">
        <v>3.7166489714776985E-2</v>
      </c>
      <c r="T483" s="19">
        <f t="shared" si="57"/>
        <v>4.1789057480590808E-2</v>
      </c>
      <c r="U483" s="24">
        <v>4.0308116659725002E-2</v>
      </c>
      <c r="V483" s="24">
        <f t="shared" si="58"/>
        <v>4.2108150553599843E-2</v>
      </c>
      <c r="W483" s="23">
        <f t="shared" si="59"/>
        <v>3.4424245633828399E-3</v>
      </c>
      <c r="X483" s="24">
        <v>3.9672944974044944E-2</v>
      </c>
      <c r="Y483" s="24">
        <f t="shared" si="60"/>
        <v>4.2036098775268149E-2</v>
      </c>
      <c r="Z483" s="23">
        <f t="shared" si="61"/>
        <v>3.4365670245750657E-3</v>
      </c>
      <c r="AA483" s="36"/>
    </row>
    <row r="484" spans="15:27" ht="17.100000000000001" customHeight="1" x14ac:dyDescent="0.3">
      <c r="O484" s="12">
        <f t="shared" si="55"/>
        <v>39.25</v>
      </c>
      <c r="P484" s="13">
        <v>471</v>
      </c>
      <c r="Q484" s="22">
        <v>3.4007913012832569E-2</v>
      </c>
      <c r="R484" s="19">
        <f t="shared" si="56"/>
        <v>2.9413309060596582E-2</v>
      </c>
      <c r="S484" s="22">
        <v>3.7176282323776677E-2</v>
      </c>
      <c r="T484" s="19">
        <f t="shared" si="57"/>
        <v>4.1801170114537545E-2</v>
      </c>
      <c r="U484" s="24">
        <v>4.0311935092206985E-2</v>
      </c>
      <c r="V484" s="24">
        <f t="shared" si="58"/>
        <v>4.2115973142853091E-2</v>
      </c>
      <c r="W484" s="23">
        <f t="shared" si="59"/>
        <v>3.4430578586217564E-3</v>
      </c>
      <c r="X484" s="24">
        <v>3.967795660430995E-2</v>
      </c>
      <c r="Y484" s="24">
        <f t="shared" si="60"/>
        <v>4.2044854508809015E-2</v>
      </c>
      <c r="Z484" s="23">
        <f t="shared" si="61"/>
        <v>3.4372761372163385E-3</v>
      </c>
      <c r="AA484" s="36"/>
    </row>
    <row r="485" spans="15:27" ht="17.100000000000001" customHeight="1" x14ac:dyDescent="0.3">
      <c r="O485" s="12">
        <f t="shared" si="55"/>
        <v>39.333333333333336</v>
      </c>
      <c r="P485" s="13">
        <v>472</v>
      </c>
      <c r="Q485" s="22">
        <v>3.3998157036968291E-2</v>
      </c>
      <c r="R485" s="19">
        <f t="shared" si="56"/>
        <v>2.9412437961424454E-2</v>
      </c>
      <c r="S485" s="22">
        <v>3.7186059079368228E-2</v>
      </c>
      <c r="T485" s="19">
        <f t="shared" si="57"/>
        <v>4.181316051580608E-2</v>
      </c>
      <c r="U485" s="24">
        <v>4.031575390353126E-2</v>
      </c>
      <c r="V485" s="24">
        <f t="shared" si="58"/>
        <v>4.2123726601169142E-2</v>
      </c>
      <c r="W485" s="23">
        <f t="shared" si="59"/>
        <v>3.4436855522599341E-3</v>
      </c>
      <c r="X485" s="24">
        <v>3.9682965531172787E-2</v>
      </c>
      <c r="Y485" s="24">
        <f t="shared" si="60"/>
        <v>4.2053530085150781E-2</v>
      </c>
      <c r="Z485" s="23">
        <f t="shared" si="61"/>
        <v>3.4379787516771732E-3</v>
      </c>
      <c r="AA485" s="36"/>
    </row>
    <row r="486" spans="15:27" ht="17.100000000000001" customHeight="1" x14ac:dyDescent="0.3">
      <c r="O486" s="12">
        <f t="shared" si="55"/>
        <v>39.416666666666664</v>
      </c>
      <c r="P486" s="13">
        <v>473</v>
      </c>
      <c r="Q486" s="22">
        <v>3.3988440554220123E-2</v>
      </c>
      <c r="R486" s="19">
        <f t="shared" si="56"/>
        <v>2.9411852138178318E-2</v>
      </c>
      <c r="S486" s="22">
        <v>3.7195819824667797E-2</v>
      </c>
      <c r="T486" s="19">
        <f t="shared" si="57"/>
        <v>4.1825029938939773E-2</v>
      </c>
      <c r="U486" s="24">
        <v>4.0319572945362925E-2</v>
      </c>
      <c r="V486" s="24">
        <f t="shared" si="58"/>
        <v>4.2131411549908515E-2</v>
      </c>
      <c r="W486" s="23">
        <f t="shared" si="59"/>
        <v>3.4443076944892237E-3</v>
      </c>
      <c r="X486" s="24">
        <v>3.968797160265769E-2</v>
      </c>
      <c r="Y486" s="24">
        <f t="shared" si="60"/>
        <v>4.206212624943273E-2</v>
      </c>
      <c r="Z486" s="23">
        <f t="shared" si="61"/>
        <v>3.4386749284887053E-3</v>
      </c>
      <c r="AA486" s="36"/>
    </row>
    <row r="487" spans="15:27" ht="17.100000000000001" customHeight="1" x14ac:dyDescent="0.3">
      <c r="O487" s="12">
        <f t="shared" si="55"/>
        <v>39.5</v>
      </c>
      <c r="P487" s="13">
        <v>474</v>
      </c>
      <c r="Q487" s="22">
        <v>3.3978763918621535E-2</v>
      </c>
      <c r="R487" s="19">
        <f t="shared" si="56"/>
        <v>2.9411549321478381E-2</v>
      </c>
      <c r="S487" s="22">
        <v>3.7205564406750602E-2</v>
      </c>
      <c r="T487" s="19">
        <f t="shared" si="57"/>
        <v>4.1836779626210019E-2</v>
      </c>
      <c r="U487" s="24">
        <v>4.0323392071928588E-2</v>
      </c>
      <c r="V487" s="24">
        <f t="shared" si="58"/>
        <v>4.2139028602671713E-2</v>
      </c>
      <c r="W487" s="23">
        <f t="shared" si="59"/>
        <v>3.4449243352814296E-3</v>
      </c>
      <c r="X487" s="24">
        <v>3.9692974669641057E-2</v>
      </c>
      <c r="Y487" s="24">
        <f t="shared" si="60"/>
        <v>4.2070643739923197E-2</v>
      </c>
      <c r="Z487" s="23">
        <f t="shared" si="61"/>
        <v>3.4393647275916539E-3</v>
      </c>
      <c r="AA487" s="36"/>
    </row>
    <row r="488" spans="15:27" ht="17.100000000000001" customHeight="1" x14ac:dyDescent="0.3">
      <c r="O488" s="12">
        <f t="shared" si="55"/>
        <v>39.583333333333336</v>
      </c>
      <c r="P488" s="13">
        <v>475</v>
      </c>
      <c r="Q488" s="22">
        <v>3.3969127476408678E-2</v>
      </c>
      <c r="R488" s="19">
        <f t="shared" si="56"/>
        <v>2.9411522217828168E-2</v>
      </c>
      <c r="S488" s="22">
        <v>3.7215292676583189E-2</v>
      </c>
      <c r="T488" s="19">
        <f t="shared" si="57"/>
        <v>4.1848410804645297E-2</v>
      </c>
      <c r="U488" s="24">
        <v>4.0327211139973063E-2</v>
      </c>
      <c r="V488" s="24">
        <f t="shared" si="58"/>
        <v>4.2146578367736609E-2</v>
      </c>
      <c r="W488" s="23">
        <f t="shared" si="59"/>
        <v>3.4455355239828567E-3</v>
      </c>
      <c r="X488" s="24">
        <v>3.9697974585806373E-2</v>
      </c>
      <c r="Y488" s="24">
        <f t="shared" si="60"/>
        <v>4.2079083286365337E-2</v>
      </c>
      <c r="Z488" s="23">
        <f t="shared" si="61"/>
        <v>3.4400482083722927E-3</v>
      </c>
      <c r="AA488" s="36"/>
    </row>
    <row r="489" spans="15:27" ht="17.100000000000001" customHeight="1" x14ac:dyDescent="0.3">
      <c r="O489" s="12">
        <f t="shared" si="55"/>
        <v>39.666666666666664</v>
      </c>
      <c r="P489" s="13">
        <v>476</v>
      </c>
      <c r="Q489" s="22">
        <v>3.3959531555501021E-2</v>
      </c>
      <c r="R489" s="19">
        <f t="shared" si="56"/>
        <v>2.941176861188799E-2</v>
      </c>
      <c r="S489" s="22">
        <v>3.722500448895083E-2</v>
      </c>
      <c r="T489" s="19">
        <f t="shared" si="57"/>
        <v>4.1859924690679451E-2</v>
      </c>
      <c r="U489" s="24">
        <v>4.0331030008721402E-2</v>
      </c>
      <c r="V489" s="24">
        <f t="shared" si="58"/>
        <v>4.2154061448492097E-2</v>
      </c>
      <c r="W489" s="23">
        <f t="shared" si="59"/>
        <v>3.4461413095103755E-3</v>
      </c>
      <c r="X489" s="24">
        <v>3.9702971207597582E-2</v>
      </c>
      <c r="Y489" s="24">
        <f t="shared" si="60"/>
        <v>4.2087445614215513E-2</v>
      </c>
      <c r="Z489" s="23">
        <f t="shared" si="61"/>
        <v>3.4407254295301115E-3</v>
      </c>
      <c r="AA489" s="36"/>
    </row>
    <row r="490" spans="15:27" ht="17.100000000000001" customHeight="1" x14ac:dyDescent="0.3">
      <c r="O490" s="12">
        <f t="shared" si="55"/>
        <v>39.75</v>
      </c>
      <c r="P490" s="13">
        <v>477</v>
      </c>
      <c r="Q490" s="22">
        <v>3.3949976476386423E-2</v>
      </c>
      <c r="R490" s="19">
        <f t="shared" si="56"/>
        <v>2.9412287990169039E-2</v>
      </c>
      <c r="S490" s="22">
        <v>3.7234699702394902E-2</v>
      </c>
      <c r="T490" s="19">
        <f t="shared" si="57"/>
        <v>4.1871322487188278E-2</v>
      </c>
      <c r="U490" s="24">
        <v>4.0334848539843149E-2</v>
      </c>
      <c r="V490" s="24">
        <f t="shared" si="58"/>
        <v>4.2161478442451994E-2</v>
      </c>
      <c r="W490" s="23">
        <f t="shared" si="59"/>
        <v>3.4467417403865053E-3</v>
      </c>
      <c r="X490" s="24">
        <v>3.9707964394180228E-2</v>
      </c>
      <c r="Y490" s="24">
        <f t="shared" si="60"/>
        <v>4.2095731439380835E-2</v>
      </c>
      <c r="Z490" s="23">
        <f t="shared" si="61"/>
        <v>3.4413964494168781E-3</v>
      </c>
      <c r="AA490" s="36"/>
    </row>
    <row r="491" spans="15:27" ht="17.100000000000001" customHeight="1" x14ac:dyDescent="0.3">
      <c r="O491" s="12">
        <f t="shared" si="55"/>
        <v>39.833333333333336</v>
      </c>
      <c r="P491" s="13">
        <v>478</v>
      </c>
      <c r="Q491" s="22">
        <v>3.3940462555775097E-2</v>
      </c>
      <c r="R491" s="19">
        <f t="shared" si="56"/>
        <v>2.9413079860464375E-2</v>
      </c>
      <c r="S491" s="22">
        <v>3.7244378179145832E-2</v>
      </c>
      <c r="T491" s="19">
        <f t="shared" si="57"/>
        <v>4.1882605383123606E-2</v>
      </c>
      <c r="U491" s="24">
        <v>4.0338666597414363E-2</v>
      </c>
      <c r="V491" s="24">
        <f t="shared" si="58"/>
        <v>4.2168829940993913E-2</v>
      </c>
      <c r="W491" s="23">
        <f t="shared" si="59"/>
        <v>3.4473368646599223E-3</v>
      </c>
      <c r="X491" s="24">
        <v>3.9712954007393719E-2</v>
      </c>
      <c r="Y491" s="24">
        <f t="shared" si="60"/>
        <v>4.2103941472428463E-2</v>
      </c>
      <c r="Z491" s="23">
        <f t="shared" si="61"/>
        <v>3.4420613256156418E-3</v>
      </c>
      <c r="AA491" s="36"/>
    </row>
    <row r="492" spans="15:27" ht="17.100000000000001" customHeight="1" x14ac:dyDescent="0.3">
      <c r="O492" s="12">
        <f t="shared" si="55"/>
        <v>39.916666666666664</v>
      </c>
      <c r="P492" s="13">
        <v>479</v>
      </c>
      <c r="Q492" s="22">
        <v>3.3930990106683323E-2</v>
      </c>
      <c r="R492" s="19">
        <f t="shared" si="56"/>
        <v>2.9414143750082999E-2</v>
      </c>
      <c r="S492" s="22">
        <v>3.7254039785055149E-2</v>
      </c>
      <c r="T492" s="19">
        <f t="shared" si="57"/>
        <v>4.1893774555593177E-2</v>
      </c>
      <c r="U492" s="24">
        <v>4.0342484047879212E-2</v>
      </c>
      <c r="V492" s="24">
        <f t="shared" si="58"/>
        <v>4.2176116530754593E-2</v>
      </c>
      <c r="W492" s="23">
        <f t="shared" si="59"/>
        <v>3.4479267298852534E-3</v>
      </c>
      <c r="X492" s="24">
        <v>3.9717939911712241E-2</v>
      </c>
      <c r="Y492" s="24">
        <f t="shared" si="60"/>
        <v>4.2112076416857214E-2</v>
      </c>
      <c r="Z492" s="23">
        <f t="shared" si="61"/>
        <v>3.4427201152777975E-3</v>
      </c>
      <c r="AA492" s="36"/>
    </row>
    <row r="493" spans="15:27" ht="17.100000000000001" customHeight="1" x14ac:dyDescent="0.3">
      <c r="O493" s="12">
        <f t="shared" si="55"/>
        <v>40</v>
      </c>
      <c r="P493" s="13">
        <v>480</v>
      </c>
      <c r="Q493" s="22">
        <v>3.3921559438512494E-2</v>
      </c>
      <c r="R493" s="19">
        <f t="shared" si="56"/>
        <v>2.9415477554855851E-2</v>
      </c>
      <c r="S493" s="22">
        <v>3.7263684389533536E-2</v>
      </c>
      <c r="T493" s="19">
        <f t="shared" si="57"/>
        <v>4.1904831170320511E-2</v>
      </c>
      <c r="U493" s="24">
        <v>4.0346300760015996E-2</v>
      </c>
      <c r="V493" s="24">
        <f t="shared" si="58"/>
        <v>4.2183338793473135E-2</v>
      </c>
      <c r="W493" s="23">
        <f t="shared" si="59"/>
        <v>3.4485113832340986E-3</v>
      </c>
      <c r="X493" s="24">
        <v>3.9722921974201908E-2</v>
      </c>
      <c r="Y493" s="24">
        <f t="shared" si="60"/>
        <v>4.2120136968967881E-2</v>
      </c>
      <c r="Z493" s="23">
        <f t="shared" si="61"/>
        <v>3.4433728749845294E-3</v>
      </c>
      <c r="AA493" s="36"/>
    </row>
    <row r="494" spans="15:27" ht="17.100000000000001" customHeight="1" x14ac:dyDescent="0.3">
      <c r="O494" s="12">
        <f t="shared" si="55"/>
        <v>40.083333333333336</v>
      </c>
      <c r="P494" s="13">
        <v>481</v>
      </c>
      <c r="Q494" s="22">
        <v>3.3912170853679813E-2</v>
      </c>
      <c r="R494" s="19">
        <f t="shared" si="56"/>
        <v>2.9417074242047647E-2</v>
      </c>
      <c r="S494" s="22">
        <v>3.7273311865489989E-2</v>
      </c>
      <c r="T494" s="19">
        <f t="shared" si="57"/>
        <v>4.1915776379164438E-2</v>
      </c>
      <c r="U494" s="24">
        <v>4.0350116604902064E-2</v>
      </c>
      <c r="V494" s="24">
        <f t="shared" si="58"/>
        <v>4.2190497303825625E-2</v>
      </c>
      <c r="W494" s="23">
        <f t="shared" si="59"/>
        <v>3.4490908714832624E-3</v>
      </c>
      <c r="X494" s="24">
        <v>3.9727900064479682E-2</v>
      </c>
      <c r="Y494" s="24">
        <f t="shared" si="60"/>
        <v>4.212812381921438E-2</v>
      </c>
      <c r="Z494" s="23">
        <f t="shared" si="61"/>
        <v>3.444019660737041E-3</v>
      </c>
      <c r="AA494" s="36"/>
    </row>
    <row r="495" spans="15:27" ht="17.100000000000001" customHeight="1" x14ac:dyDescent="0.3">
      <c r="O495" s="12">
        <f t="shared" si="55"/>
        <v>40.166666666666664</v>
      </c>
      <c r="P495" s="13">
        <v>482</v>
      </c>
      <c r="Q495" s="22">
        <v>3.3902824637420892E-2</v>
      </c>
      <c r="R495" s="19">
        <f t="shared" si="56"/>
        <v>2.9418931760217149E-2</v>
      </c>
      <c r="S495" s="22">
        <v>3.7282922089266979E-2</v>
      </c>
      <c r="T495" s="19">
        <f t="shared" si="57"/>
        <v>4.1926611322679719E-2</v>
      </c>
      <c r="U495" s="24">
        <v>4.0353931455876069E-2</v>
      </c>
      <c r="V495" s="24">
        <f t="shared" si="58"/>
        <v>4.2197592632584602E-2</v>
      </c>
      <c r="W495" s="23">
        <f t="shared" si="59"/>
        <v>3.4496652408402273E-3</v>
      </c>
      <c r="X495" s="24">
        <v>3.9732874054674294E-2</v>
      </c>
      <c r="Y495" s="24">
        <f t="shared" si="60"/>
        <v>4.2136037650577496E-2</v>
      </c>
      <c r="Z495" s="23">
        <f t="shared" si="61"/>
        <v>3.4446605280644693E-3</v>
      </c>
      <c r="AA495" s="36"/>
    </row>
    <row r="496" spans="15:27" ht="17.100000000000001" customHeight="1" x14ac:dyDescent="0.3">
      <c r="O496" s="12">
        <f t="shared" si="55"/>
        <v>40.25</v>
      </c>
      <c r="P496" s="13">
        <v>483</v>
      </c>
      <c r="Q496" s="22">
        <v>3.3893521068326438E-2</v>
      </c>
      <c r="R496" s="19">
        <f t="shared" si="56"/>
        <v>2.9421049730239845E-2</v>
      </c>
      <c r="S496" s="22">
        <v>3.7292514940581611E-2</v>
      </c>
      <c r="T496" s="19">
        <f t="shared" si="57"/>
        <v>4.1937337128840957E-2</v>
      </c>
      <c r="U496" s="24">
        <v>4.0357745188505767E-2</v>
      </c>
      <c r="V496" s="24">
        <f t="shared" si="58"/>
        <v>4.2204625345825475E-2</v>
      </c>
      <c r="W496" s="23">
        <f t="shared" si="59"/>
        <v>3.4502345371980603E-3</v>
      </c>
      <c r="X496" s="24">
        <v>3.9737843819384722E-2</v>
      </c>
      <c r="Y496" s="24">
        <f t="shared" si="60"/>
        <v>4.2143879140117413E-2</v>
      </c>
      <c r="Z496" s="23">
        <f t="shared" si="61"/>
        <v>3.4452955318935441E-3</v>
      </c>
      <c r="AA496" s="36"/>
    </row>
    <row r="497" spans="15:27" ht="17.100000000000001" customHeight="1" x14ac:dyDescent="0.3">
      <c r="O497" s="12">
        <f t="shared" si="55"/>
        <v>40.333333333333336</v>
      </c>
      <c r="P497" s="13">
        <v>484</v>
      </c>
      <c r="Q497" s="22">
        <v>3.388426042188053E-2</v>
      </c>
      <c r="R497" s="19">
        <f t="shared" si="56"/>
        <v>2.9423427789069478E-2</v>
      </c>
      <c r="S497" s="22">
        <v>3.7302090302464563E-2</v>
      </c>
      <c r="T497" s="19">
        <f t="shared" si="57"/>
        <v>4.194795491442016E-2</v>
      </c>
      <c r="U497" s="24">
        <v>4.0361557680555604E-2</v>
      </c>
      <c r="V497" s="24">
        <f t="shared" si="58"/>
        <v>4.2211596002148744E-2</v>
      </c>
      <c r="W497" s="23">
        <f t="shared" si="59"/>
        <v>3.4507988060705763E-3</v>
      </c>
      <c r="X497" s="24">
        <v>3.9742809235642662E-2</v>
      </c>
      <c r="Y497" s="24">
        <f t="shared" si="60"/>
        <v>4.2151648958739685E-2</v>
      </c>
      <c r="Z497" s="23">
        <f t="shared" si="61"/>
        <v>3.4459247266729331E-3</v>
      </c>
      <c r="AA497" s="36"/>
    </row>
    <row r="498" spans="15:27" ht="17.100000000000001" customHeight="1" x14ac:dyDescent="0.3">
      <c r="O498" s="12">
        <f t="shared" si="55"/>
        <v>40.416666666666664</v>
      </c>
      <c r="P498" s="13">
        <v>485</v>
      </c>
      <c r="Q498" s="22">
        <v>3.3875042970526348E-2</v>
      </c>
      <c r="R498" s="19">
        <f t="shared" si="56"/>
        <v>2.9426065596676931E-2</v>
      </c>
      <c r="S498" s="22">
        <v>3.731164806120324E-2</v>
      </c>
      <c r="T498" s="19">
        <f t="shared" si="57"/>
        <v>4.1958465783935139E-2</v>
      </c>
      <c r="U498" s="24">
        <v>4.0365368811948743E-2</v>
      </c>
      <c r="V498" s="24">
        <f t="shared" si="58"/>
        <v>4.2218505157312736E-2</v>
      </c>
      <c r="W498" s="23">
        <f t="shared" si="59"/>
        <v>3.4513580923696274E-3</v>
      </c>
      <c r="X498" s="24">
        <v>3.9747770182875009E-2</v>
      </c>
      <c r="Y498" s="24">
        <f t="shared" si="60"/>
        <v>4.2159347770168276E-2</v>
      </c>
      <c r="Z498" s="23">
        <f t="shared" si="61"/>
        <v>3.4465481663554787E-3</v>
      </c>
      <c r="AA498" s="36"/>
    </row>
    <row r="499" spans="15:27" ht="17.100000000000001" customHeight="1" x14ac:dyDescent="0.3">
      <c r="O499" s="12">
        <f t="shared" si="55"/>
        <v>40.5</v>
      </c>
      <c r="P499" s="13">
        <v>486</v>
      </c>
      <c r="Q499" s="22">
        <v>3.3865868983744329E-2</v>
      </c>
      <c r="R499" s="19">
        <f t="shared" si="56"/>
        <v>2.9428961209470028E-2</v>
      </c>
      <c r="S499" s="22">
        <v>3.7321188106282932E-2</v>
      </c>
      <c r="T499" s="19">
        <f t="shared" si="57"/>
        <v>4.1968870830478622E-2</v>
      </c>
      <c r="U499" s="24">
        <v>4.0369178464738642E-2</v>
      </c>
      <c r="V499" s="24">
        <f t="shared" si="58"/>
        <v>4.222535336099309E-2</v>
      </c>
      <c r="W499" s="23">
        <f t="shared" si="59"/>
        <v>3.4519124407774715E-3</v>
      </c>
      <c r="X499" s="24">
        <v>3.9752726542863437E-2</v>
      </c>
      <c r="Y499" s="24">
        <f t="shared" si="60"/>
        <v>4.2166976232352438E-2</v>
      </c>
      <c r="Z499" s="23">
        <f t="shared" si="61"/>
        <v>3.4471659043149305E-3</v>
      </c>
      <c r="AA499" s="36"/>
    </row>
    <row r="500" spans="15:27" ht="17.100000000000001" customHeight="1" x14ac:dyDescent="0.3">
      <c r="O500" s="12">
        <f t="shared" si="55"/>
        <v>40.583333333333336</v>
      </c>
      <c r="P500" s="13">
        <v>487</v>
      </c>
      <c r="Q500" s="22">
        <v>3.3856738724775681E-2</v>
      </c>
      <c r="R500" s="19">
        <f t="shared" si="56"/>
        <v>2.9432107849148181E-2</v>
      </c>
      <c r="S500" s="22">
        <v>3.7330710330330863E-2</v>
      </c>
      <c r="T500" s="19">
        <f t="shared" si="57"/>
        <v>4.1979171135786864E-2</v>
      </c>
      <c r="U500" s="24">
        <v>4.0372986523074861E-2</v>
      </c>
      <c r="V500" s="24">
        <f t="shared" si="58"/>
        <v>4.223214115784435E-2</v>
      </c>
      <c r="W500" s="23">
        <f t="shared" si="59"/>
        <v>3.452461895486314E-3</v>
      </c>
      <c r="X500" s="24">
        <v>3.9757678199709545E-2</v>
      </c>
      <c r="Y500" s="24">
        <f t="shared" si="60"/>
        <v>4.2174534996852975E-2</v>
      </c>
      <c r="Z500" s="23">
        <f t="shared" si="61"/>
        <v>3.447777993458967E-3</v>
      </c>
      <c r="AA500" s="36"/>
    </row>
    <row r="501" spans="15:27" ht="17.100000000000001" customHeight="1" x14ac:dyDescent="0.3">
      <c r="O501" s="12">
        <f t="shared" si="55"/>
        <v>40.666666666666664</v>
      </c>
      <c r="P501" s="13">
        <v>488</v>
      </c>
      <c r="Q501" s="22">
        <v>3.3847652440736731E-2</v>
      </c>
      <c r="R501" s="19">
        <f t="shared" si="56"/>
        <v>2.9435503623443937E-2</v>
      </c>
      <c r="S501" s="22">
        <v>3.7340214629060453E-2</v>
      </c>
      <c r="T501" s="19">
        <f t="shared" si="57"/>
        <v>4.1989367769474706E-2</v>
      </c>
      <c r="U501" s="24">
        <v>4.037679287317153E-2</v>
      </c>
      <c r="V501" s="24">
        <f t="shared" si="58"/>
        <v>4.223886908752239E-2</v>
      </c>
      <c r="W501" s="23">
        <f t="shared" si="59"/>
        <v>3.4530065002837951E-3</v>
      </c>
      <c r="X501" s="24">
        <v>3.9762625039797328E-2</v>
      </c>
      <c r="Y501" s="24">
        <f t="shared" si="60"/>
        <v>4.2182024708772081E-2</v>
      </c>
      <c r="Z501" s="23">
        <f t="shared" si="61"/>
        <v>3.4483844861805668E-3</v>
      </c>
      <c r="AA501" s="36"/>
    </row>
    <row r="502" spans="15:27" ht="17.100000000000001" customHeight="1" x14ac:dyDescent="0.3">
      <c r="O502" s="12">
        <f t="shared" si="55"/>
        <v>40.75</v>
      </c>
      <c r="P502" s="13">
        <v>489</v>
      </c>
      <c r="Q502" s="22">
        <v>3.3838610372818767E-2</v>
      </c>
      <c r="R502" s="19">
        <f t="shared" si="56"/>
        <v>2.94391482809373E-2</v>
      </c>
      <c r="S502" s="22">
        <v>3.7349700901215144E-2</v>
      </c>
      <c r="T502" s="19">
        <f t="shared" si="57"/>
        <v>4.1999461790510839E-2</v>
      </c>
      <c r="U502" s="24">
        <v>4.0380597403275598E-2</v>
      </c>
      <c r="V502" s="24">
        <f t="shared" si="58"/>
        <v>4.2245537684872048E-2</v>
      </c>
      <c r="W502" s="23">
        <f t="shared" si="59"/>
        <v>3.453546298554544E-3</v>
      </c>
      <c r="X502" s="24">
        <v>3.9767566951756761E-2</v>
      </c>
      <c r="Y502" s="24">
        <f t="shared" si="60"/>
        <v>4.2189446007741438E-2</v>
      </c>
      <c r="Z502" s="23">
        <f t="shared" si="61"/>
        <v>3.4489854343515702E-3</v>
      </c>
      <c r="AA502" s="36"/>
    </row>
    <row r="503" spans="15:27" ht="17.100000000000001" customHeight="1" x14ac:dyDescent="0.3">
      <c r="O503" s="12">
        <f t="shared" si="55"/>
        <v>40.833333333333336</v>
      </c>
      <c r="P503" s="13">
        <v>490</v>
      </c>
      <c r="Q503" s="22">
        <v>3.3829612759711747E-2</v>
      </c>
      <c r="R503" s="19">
        <f t="shared" si="56"/>
        <v>2.9443041587562835E-2</v>
      </c>
      <c r="S503" s="22">
        <v>3.7359169048516216E-2</v>
      </c>
      <c r="T503" s="19">
        <f t="shared" si="57"/>
        <v>4.2009454247193601E-2</v>
      </c>
      <c r="U503" s="24">
        <v>4.0384400003636411E-2</v>
      </c>
      <c r="V503" s="24">
        <f t="shared" si="58"/>
        <v>4.225214748031525E-2</v>
      </c>
      <c r="W503" s="23">
        <f t="shared" si="59"/>
        <v>3.454081333295056E-3</v>
      </c>
      <c r="X503" s="24">
        <v>3.9772503826429606E-2</v>
      </c>
      <c r="Y503" s="24">
        <f t="shared" si="60"/>
        <v>4.2196799526309281E-2</v>
      </c>
      <c r="Z503" s="23">
        <f t="shared" si="61"/>
        <v>3.4495808894032809E-3</v>
      </c>
      <c r="AA503" s="36"/>
    </row>
    <row r="504" spans="15:27" ht="17.100000000000001" customHeight="1" x14ac:dyDescent="0.3">
      <c r="O504" s="12">
        <f t="shared" si="55"/>
        <v>40.916666666666664</v>
      </c>
      <c r="P504" s="13">
        <v>491</v>
      </c>
      <c r="Q504" s="22">
        <v>3.3820659837664468E-2</v>
      </c>
      <c r="R504" s="19">
        <f t="shared" si="56"/>
        <v>2.9447183328336513E-2</v>
      </c>
      <c r="S504" s="22">
        <v>3.7368618975610168E-2</v>
      </c>
      <c r="T504" s="19">
        <f t="shared" si="57"/>
        <v>4.2019346176334293E-2</v>
      </c>
      <c r="U504" s="24">
        <v>4.0388200566476407E-2</v>
      </c>
      <c r="V504" s="24">
        <f t="shared" si="58"/>
        <v>4.2258698997906574E-2</v>
      </c>
      <c r="W504" s="23">
        <f t="shared" si="59"/>
        <v>3.4546116471458888E-3</v>
      </c>
      <c r="X504" s="24">
        <v>3.9777435556832996E-2</v>
      </c>
      <c r="Y504" s="24">
        <f t="shared" si="60"/>
        <v>4.2204085892476817E-2</v>
      </c>
      <c r="Z504" s="23">
        <f t="shared" si="61"/>
        <v>3.4501709021956817E-3</v>
      </c>
      <c r="AA504" s="36"/>
    </row>
    <row r="505" spans="15:27" ht="17.100000000000001" customHeight="1" x14ac:dyDescent="0.3">
      <c r="O505" s="12">
        <f t="shared" si="55"/>
        <v>41</v>
      </c>
      <c r="P505" s="13">
        <v>492</v>
      </c>
      <c r="Q505" s="22">
        <v>3.3811751840549187E-2</v>
      </c>
      <c r="R505" s="19">
        <f t="shared" si="56"/>
        <v>2.9451571717256764E-2</v>
      </c>
      <c r="S505" s="22">
        <v>3.7378050590016088E-2</v>
      </c>
      <c r="T505" s="19">
        <f t="shared" si="57"/>
        <v>4.2029138602744487E-2</v>
      </c>
      <c r="U505" s="24">
        <v>4.0391998985958022E-2</v>
      </c>
      <c r="V505" s="24">
        <f t="shared" si="58"/>
        <v>4.2265192758810244E-2</v>
      </c>
      <c r="W505" s="23">
        <f t="shared" si="59"/>
        <v>3.4551372822346771E-3</v>
      </c>
      <c r="X505" s="24">
        <v>3.9782362038127239E-2</v>
      </c>
      <c r="Y505" s="24">
        <f t="shared" si="60"/>
        <v>4.221130572685694E-2</v>
      </c>
      <c r="Z505" s="23">
        <f t="shared" si="61"/>
        <v>3.4507555232217157E-3</v>
      </c>
      <c r="AA505" s="36"/>
    </row>
    <row r="506" spans="15:27" ht="17.100000000000001" customHeight="1" x14ac:dyDescent="0.3">
      <c r="O506" s="12">
        <f t="shared" si="55"/>
        <v>41.083333333333336</v>
      </c>
      <c r="P506" s="13">
        <v>493</v>
      </c>
      <c r="Q506" s="22">
        <v>3.3802888996684377E-2</v>
      </c>
      <c r="R506" s="19">
        <f t="shared" si="56"/>
        <v>2.9456200222591322E-2</v>
      </c>
      <c r="S506" s="22">
        <v>3.7387463802072585E-2</v>
      </c>
      <c r="T506" s="19">
        <f t="shared" si="57"/>
        <v>4.2038832542984572E-2</v>
      </c>
      <c r="U506" s="24">
        <v>4.0395795158158387E-2</v>
      </c>
      <c r="V506" s="24">
        <f t="shared" si="58"/>
        <v>4.2271629278010536E-2</v>
      </c>
      <c r="W506" s="23">
        <f t="shared" si="59"/>
        <v>3.4556582804552427E-3</v>
      </c>
      <c r="X506" s="24">
        <v>3.9787283167579623E-2</v>
      </c>
      <c r="Y506" s="24">
        <f t="shared" si="60"/>
        <v>4.2218459644380868E-2</v>
      </c>
      <c r="Z506" s="23">
        <f t="shared" si="61"/>
        <v>3.4513348023794688E-3</v>
      </c>
      <c r="AA506" s="36"/>
    </row>
    <row r="507" spans="15:27" ht="17.100000000000001" customHeight="1" x14ac:dyDescent="0.3">
      <c r="O507" s="12">
        <f t="shared" si="55"/>
        <v>41.166666666666664</v>
      </c>
      <c r="P507" s="13">
        <v>494</v>
      </c>
      <c r="Q507" s="22">
        <v>3.3794071519244184E-2</v>
      </c>
      <c r="R507" s="19">
        <f t="shared" si="56"/>
        <v>2.9461067108079275E-2</v>
      </c>
      <c r="S507" s="22">
        <v>3.7396858524891829E-2</v>
      </c>
      <c r="T507" s="19">
        <f t="shared" si="57"/>
        <v>4.2048429000474785E-2</v>
      </c>
      <c r="U507" s="24">
        <v>4.0399588981036683E-2</v>
      </c>
      <c r="V507" s="24">
        <f t="shared" si="58"/>
        <v>4.227800906660617E-2</v>
      </c>
      <c r="W507" s="23">
        <f t="shared" si="59"/>
        <v>3.4561746832044715E-3</v>
      </c>
      <c r="X507" s="24">
        <v>3.9792198844531779E-2</v>
      </c>
      <c r="Y507" s="24">
        <f t="shared" si="60"/>
        <v>4.2225548255418133E-2</v>
      </c>
      <c r="Z507" s="23">
        <f t="shared" si="61"/>
        <v>3.4519087891089484E-3</v>
      </c>
      <c r="AA507" s="36"/>
    </row>
    <row r="508" spans="15:27" ht="17.100000000000001" customHeight="1" x14ac:dyDescent="0.3">
      <c r="O508" s="12">
        <f t="shared" si="55"/>
        <v>41.25</v>
      </c>
      <c r="P508" s="13">
        <v>495</v>
      </c>
      <c r="Q508" s="22">
        <v>3.378529961614074E-2</v>
      </c>
      <c r="R508" s="19">
        <f t="shared" si="56"/>
        <v>2.9466172245203426E-2</v>
      </c>
      <c r="S508" s="22">
        <v>3.7406234674305816E-2</v>
      </c>
      <c r="T508" s="19">
        <f t="shared" si="57"/>
        <v>4.2057928969646996E-2</v>
      </c>
      <c r="U508" s="24">
        <v>4.040338035440838E-2</v>
      </c>
      <c r="V508" s="24">
        <f t="shared" si="58"/>
        <v>4.228433263038256E-2</v>
      </c>
      <c r="W508" s="23">
        <f t="shared" si="59"/>
        <v>3.4566865315650563E-3</v>
      </c>
      <c r="X508" s="24">
        <v>3.9797108970369033E-2</v>
      </c>
      <c r="Y508" s="24">
        <f t="shared" si="60"/>
        <v>4.2232572163040105E-2</v>
      </c>
      <c r="Z508" s="23">
        <f t="shared" si="61"/>
        <v>3.4524775324815682E-3</v>
      </c>
      <c r="AA508" s="36"/>
    </row>
    <row r="509" spans="15:27" ht="17.100000000000001" customHeight="1" x14ac:dyDescent="0.3">
      <c r="O509" s="12">
        <f t="shared" si="55"/>
        <v>41.333333333333336</v>
      </c>
      <c r="P509" s="13">
        <v>496</v>
      </c>
      <c r="Q509" s="22">
        <v>3.3776573493331963E-2</v>
      </c>
      <c r="R509" s="19">
        <f t="shared" si="56"/>
        <v>2.9471515523762815E-2</v>
      </c>
      <c r="S509" s="22">
        <v>3.7415592168820622E-2</v>
      </c>
      <c r="T509" s="19">
        <f t="shared" si="57"/>
        <v>4.2067333434348875E-2</v>
      </c>
      <c r="U509" s="24">
        <v>4.0407169179914826E-2</v>
      </c>
      <c r="V509" s="24">
        <f t="shared" si="58"/>
        <v>4.2290600471601714E-2</v>
      </c>
      <c r="W509" s="23">
        <f t="shared" si="59"/>
        <v>3.4571938661929202E-3</v>
      </c>
      <c r="X509" s="24">
        <v>3.9802013448485329E-2</v>
      </c>
      <c r="Y509" s="24">
        <f t="shared" si="60"/>
        <v>4.2239531965836186E-2</v>
      </c>
      <c r="Z509" s="23">
        <f t="shared" si="61"/>
        <v>3.4530410809816559E-3</v>
      </c>
      <c r="AA509" s="36"/>
    </row>
    <row r="510" spans="15:27" ht="17.100000000000001" customHeight="1" x14ac:dyDescent="0.3">
      <c r="O510" s="12">
        <f t="shared" si="55"/>
        <v>41.416666666666664</v>
      </c>
      <c r="P510" s="13">
        <v>497</v>
      </c>
      <c r="Q510" s="22">
        <v>3.3767893354877954E-2</v>
      </c>
      <c r="R510" s="19">
        <f t="shared" si="56"/>
        <v>2.9477096851838303E-2</v>
      </c>
      <c r="S510" s="22">
        <v>3.7424930929568001E-2</v>
      </c>
      <c r="T510" s="19">
        <f t="shared" si="57"/>
        <v>4.2076643367018995E-2</v>
      </c>
      <c r="U510" s="24">
        <v>4.0410955360998368E-2</v>
      </c>
      <c r="V510" s="24">
        <f t="shared" si="58"/>
        <v>4.2296813085819895E-2</v>
      </c>
      <c r="W510" s="23">
        <f t="shared" si="59"/>
        <v>3.457696727458659E-3</v>
      </c>
      <c r="X510" s="24">
        <v>3.9806912184253918E-2</v>
      </c>
      <c r="Y510" s="24">
        <f t="shared" si="60"/>
        <v>4.2246428255065416E-2</v>
      </c>
      <c r="Z510" s="23">
        <f t="shared" si="61"/>
        <v>3.4535994827316063E-3</v>
      </c>
      <c r="AA510" s="36"/>
    </row>
    <row r="511" spans="15:27" ht="17.100000000000001" customHeight="1" x14ac:dyDescent="0.3">
      <c r="O511" s="12">
        <f t="shared" si="55"/>
        <v>41.5</v>
      </c>
      <c r="P511" s="13">
        <v>498</v>
      </c>
      <c r="Q511" s="22">
        <v>3.3759259402996955E-2</v>
      </c>
      <c r="R511" s="19">
        <f t="shared" si="56"/>
        <v>2.9482914595020837E-2</v>
      </c>
      <c r="S511" s="22">
        <v>3.7434250880256759E-2</v>
      </c>
      <c r="T511" s="19">
        <f t="shared" si="57"/>
        <v>4.2085859732112096E-2</v>
      </c>
      <c r="U511" s="24">
        <v>4.0414738802870609E-2</v>
      </c>
      <c r="V511" s="24">
        <f t="shared" si="58"/>
        <v>4.2302970966956011E-2</v>
      </c>
      <c r="W511" s="23">
        <f t="shared" si="59"/>
        <v>3.4581951551941881E-3</v>
      </c>
      <c r="X511" s="24">
        <v>3.9811805084993157E-2</v>
      </c>
      <c r="Y511" s="24">
        <f t="shared" si="60"/>
        <v>4.22532616187139E-2</v>
      </c>
      <c r="Z511" s="23">
        <f t="shared" si="61"/>
        <v>3.45415278526362E-3</v>
      </c>
      <c r="AA511" s="36"/>
    </row>
    <row r="512" spans="15:27" ht="17.100000000000001" customHeight="1" x14ac:dyDescent="0.3">
      <c r="O512" s="12">
        <f t="shared" si="55"/>
        <v>41.583333333333336</v>
      </c>
      <c r="P512" s="13">
        <v>499</v>
      </c>
      <c r="Q512" s="22">
        <v>3.3750671834979595E-2</v>
      </c>
      <c r="R512" s="19">
        <f t="shared" si="56"/>
        <v>2.9488962463228852E-2</v>
      </c>
      <c r="S512" s="22">
        <v>3.744355194713056E-2</v>
      </c>
      <c r="T512" s="19">
        <f t="shared" si="57"/>
        <v>4.2094983480982284E-2</v>
      </c>
      <c r="U512" s="24">
        <v>4.0418519412491305E-2</v>
      </c>
      <c r="V512" s="24">
        <f t="shared" si="58"/>
        <v>4.2309074601823093E-2</v>
      </c>
      <c r="W512" s="23">
        <f t="shared" si="59"/>
        <v>3.4586891890977522E-3</v>
      </c>
      <c r="X512" s="24">
        <v>3.9816692059939651E-2</v>
      </c>
      <c r="Y512" s="24">
        <f t="shared" si="60"/>
        <v>4.2260032636872502E-2</v>
      </c>
      <c r="Z512" s="23">
        <f t="shared" si="61"/>
        <v>3.4547010358452201E-3</v>
      </c>
      <c r="AA512" s="36"/>
    </row>
    <row r="513" spans="15:27" ht="17.100000000000001" customHeight="1" x14ac:dyDescent="0.3">
      <c r="O513" s="12">
        <f t="shared" si="55"/>
        <v>41.666666666666664</v>
      </c>
      <c r="P513" s="13">
        <v>500</v>
      </c>
      <c r="Q513" s="22">
        <v>3.3742130833888551E-2</v>
      </c>
      <c r="R513" s="19">
        <f t="shared" si="56"/>
        <v>2.9495238868787244E-2</v>
      </c>
      <c r="S513" s="22">
        <v>3.745283405891664E-2</v>
      </c>
      <c r="T513" s="19">
        <f t="shared" si="57"/>
        <v>4.2104015558039443E-2</v>
      </c>
      <c r="U513" s="24">
        <v>4.0422297098536841E-2</v>
      </c>
      <c r="V513" s="24">
        <f t="shared" si="58"/>
        <v>4.2315124474467503E-2</v>
      </c>
      <c r="W513" s="23">
        <f t="shared" si="59"/>
        <v>3.4591788682964975E-3</v>
      </c>
      <c r="X513" s="24">
        <v>3.9821573020214274E-2</v>
      </c>
      <c r="Y513" s="24">
        <f t="shared" si="60"/>
        <v>4.2266741885913728E-2</v>
      </c>
      <c r="Z513" s="23">
        <f t="shared" si="61"/>
        <v>3.4552442811086603E-3</v>
      </c>
      <c r="AA513" s="36"/>
    </row>
    <row r="514" spans="15:27" ht="17.100000000000001" customHeight="1" x14ac:dyDescent="0.3">
      <c r="O514" s="12">
        <f t="shared" si="55"/>
        <v>41.75</v>
      </c>
      <c r="P514" s="13">
        <v>501</v>
      </c>
      <c r="Q514" s="22">
        <v>3.3733636578125559E-2</v>
      </c>
      <c r="R514" s="19">
        <f t="shared" si="56"/>
        <v>2.9501743805576242E-2</v>
      </c>
      <c r="S514" s="22">
        <v>3.7462097146787388E-2</v>
      </c>
      <c r="T514" s="19">
        <f t="shared" si="57"/>
        <v>4.2112956896048548E-2</v>
      </c>
      <c r="U514" s="24">
        <v>4.0426071771377581E-2</v>
      </c>
      <c r="V514" s="24">
        <f t="shared" si="58"/>
        <v>4.2321121063622957E-2</v>
      </c>
      <c r="W514" s="23">
        <f t="shared" si="59"/>
        <v>3.4596642316939707E-3</v>
      </c>
      <c r="X514" s="24">
        <v>3.9826447878795079E-2</v>
      </c>
      <c r="Y514" s="24">
        <f t="shared" si="60"/>
        <v>4.2273389936150041E-2</v>
      </c>
      <c r="Z514" s="23">
        <f t="shared" si="61"/>
        <v>3.4557825673857678E-3</v>
      </c>
      <c r="AA514" s="36"/>
    </row>
    <row r="515" spans="15:27" ht="17.100000000000001" customHeight="1" x14ac:dyDescent="0.3">
      <c r="O515" s="12">
        <f t="shared" si="55"/>
        <v>41.833333333333336</v>
      </c>
      <c r="P515" s="13">
        <v>502</v>
      </c>
      <c r="Q515" s="22">
        <v>3.3725189244641296E-2</v>
      </c>
      <c r="R515" s="19">
        <f t="shared" si="56"/>
        <v>2.9508477281500856E-2</v>
      </c>
      <c r="S515" s="22">
        <v>3.7471341144312387E-2</v>
      </c>
      <c r="T515" s="19">
        <f t="shared" si="57"/>
        <v>4.2121808418245976E-2</v>
      </c>
      <c r="U515" s="24">
        <v>4.0429843343050109E-2</v>
      </c>
      <c r="V515" s="24">
        <f t="shared" si="58"/>
        <v>4.2327064844237539E-2</v>
      </c>
      <c r="W515" s="23">
        <f t="shared" si="59"/>
        <v>3.4601453177665054E-3</v>
      </c>
      <c r="X515" s="24">
        <v>3.9831316550487328E-2</v>
      </c>
      <c r="Y515" s="24">
        <f t="shared" si="60"/>
        <v>4.2279977351705078E-2</v>
      </c>
      <c r="Z515" s="23">
        <f t="shared" si="61"/>
        <v>3.4563159405203159E-3</v>
      </c>
      <c r="AA515" s="36"/>
    </row>
    <row r="516" spans="15:27" ht="17.100000000000001" customHeight="1" x14ac:dyDescent="0.3">
      <c r="O516" s="12">
        <f t="shared" si="55"/>
        <v>41.916666666666664</v>
      </c>
      <c r="P516" s="13">
        <v>503</v>
      </c>
      <c r="Q516" s="22">
        <v>3.3716789008978232E-2</v>
      </c>
      <c r="R516" s="19">
        <f t="shared" si="56"/>
        <v>2.9515439324321102E-2</v>
      </c>
      <c r="S516" s="22">
        <v>3.7480565987416448E-2</v>
      </c>
      <c r="T516" s="19">
        <f t="shared" si="57"/>
        <v>4.2130571038779818E-2</v>
      </c>
      <c r="U516" s="24">
        <v>4.0433611727233476E-2</v>
      </c>
      <c r="V516" s="24">
        <f t="shared" si="58"/>
        <v>4.2332956286402323E-2</v>
      </c>
      <c r="W516" s="23">
        <f t="shared" si="59"/>
        <v>3.4606221646846791E-3</v>
      </c>
      <c r="X516" s="24">
        <v>3.9836178951892842E-2</v>
      </c>
      <c r="Y516" s="24">
        <f t="shared" si="60"/>
        <v>4.2286504692853999E-2</v>
      </c>
      <c r="Z516" s="23">
        <f t="shared" si="61"/>
        <v>3.4568444458578096E-3</v>
      </c>
      <c r="AA516" s="36"/>
    </row>
    <row r="517" spans="15:27" ht="17.100000000000001" customHeight="1" x14ac:dyDescent="0.3">
      <c r="O517" s="12">
        <f t="shared" si="55"/>
        <v>42</v>
      </c>
      <c r="P517" s="13">
        <v>504</v>
      </c>
      <c r="Q517" s="22">
        <v>3.3708436045323253E-2</v>
      </c>
      <c r="R517" s="19">
        <f t="shared" si="56"/>
        <v>2.9522628447015808E-2</v>
      </c>
      <c r="S517" s="22">
        <v>3.7489771614337641E-2</v>
      </c>
      <c r="T517" s="19">
        <f t="shared" si="57"/>
        <v>4.2139245661779512E-2</v>
      </c>
      <c r="U517" s="24">
        <v>4.0437376839223216E-2</v>
      </c>
      <c r="V517" s="24">
        <f t="shared" si="58"/>
        <v>4.2338795856107669E-2</v>
      </c>
      <c r="W517" s="23">
        <f t="shared" si="59"/>
        <v>3.4610948102280492E-3</v>
      </c>
      <c r="X517" s="24">
        <v>3.9841035001384251E-2</v>
      </c>
      <c r="Y517" s="24">
        <f t="shared" si="60"/>
        <v>4.2292972513131133E-2</v>
      </c>
      <c r="Z517" s="23">
        <f t="shared" si="61"/>
        <v>3.4573681284328917E-3</v>
      </c>
      <c r="AA517" s="36"/>
    </row>
    <row r="518" spans="15:27" ht="17.100000000000001" customHeight="1" x14ac:dyDescent="0.3">
      <c r="O518" s="12">
        <f t="shared" si="55"/>
        <v>42.083333333333336</v>
      </c>
      <c r="P518" s="13">
        <v>505</v>
      </c>
      <c r="Q518" s="22">
        <v>3.3700130523509619E-2</v>
      </c>
      <c r="R518" s="19">
        <f t="shared" si="56"/>
        <v>2.95300385934818E-2</v>
      </c>
      <c r="S518" s="22">
        <v>3.7498957965584667E-2</v>
      </c>
      <c r="T518" s="19">
        <f t="shared" si="57"/>
        <v>4.2147833182755834E-2</v>
      </c>
      <c r="U518" s="24">
        <v>4.0441138595907145E-2</v>
      </c>
      <c r="V518" s="24">
        <f t="shared" si="58"/>
        <v>4.2344584015857833E-2</v>
      </c>
      <c r="W518" s="23">
        <f t="shared" si="59"/>
        <v>3.4615632918464367E-3</v>
      </c>
      <c r="X518" s="24">
        <v>3.984588461907479E-2</v>
      </c>
      <c r="Y518" s="24">
        <f t="shared" si="60"/>
        <v>4.229938136226874E-2</v>
      </c>
      <c r="Z518" s="23">
        <f t="shared" si="61"/>
        <v>3.4578870327381939E-3</v>
      </c>
      <c r="AA518" s="36"/>
    </row>
    <row r="519" spans="15:27" ht="17.100000000000001" customHeight="1" x14ac:dyDescent="0.3">
      <c r="O519" s="12">
        <f t="shared" si="55"/>
        <v>42.166666666666664</v>
      </c>
      <c r="P519" s="13">
        <v>506</v>
      </c>
      <c r="Q519" s="22">
        <v>3.3691872599993733E-2</v>
      </c>
      <c r="R519" s="19">
        <f t="shared" si="56"/>
        <v>2.9537668324522759E-2</v>
      </c>
      <c r="S519" s="22">
        <v>3.7508124983898217E-2</v>
      </c>
      <c r="T519" s="19">
        <f t="shared" si="57"/>
        <v>4.2156334486061375E-2</v>
      </c>
      <c r="U519" s="24">
        <v>4.044489691574249E-2</v>
      </c>
      <c r="V519" s="24">
        <f t="shared" si="58"/>
        <v>4.2350321222087484E-2</v>
      </c>
      <c r="W519" s="23">
        <f t="shared" si="59"/>
        <v>3.4620276467081101E-3</v>
      </c>
      <c r="X519" s="24">
        <v>3.9850727726792989E-2</v>
      </c>
      <c r="Y519" s="24">
        <f t="shared" si="60"/>
        <v>4.2305731783623512E-2</v>
      </c>
      <c r="Z519" s="23">
        <f t="shared" si="61"/>
        <v>3.4584012029585942E-3</v>
      </c>
      <c r="AA519" s="36"/>
    </row>
    <row r="520" spans="15:27" ht="17.100000000000001" customHeight="1" x14ac:dyDescent="0.3">
      <c r="O520" s="12">
        <f t="shared" si="55"/>
        <v>42.25</v>
      </c>
      <c r="P520" s="13">
        <v>507</v>
      </c>
      <c r="Q520" s="22">
        <v>3.368366242713039E-2</v>
      </c>
      <c r="R520" s="19">
        <f t="shared" si="56"/>
        <v>2.9545517747543881E-2</v>
      </c>
      <c r="S520" s="22">
        <v>3.7517272614206121E-2</v>
      </c>
      <c r="T520" s="19">
        <f t="shared" si="57"/>
        <v>4.21647504493039E-2</v>
      </c>
      <c r="U520" s="24">
        <v>4.0448651718729023E-2</v>
      </c>
      <c r="V520" s="24">
        <f t="shared" si="58"/>
        <v>4.2356007929857498E-2</v>
      </c>
      <c r="W520" s="23">
        <f t="shared" si="59"/>
        <v>3.4624879114935059E-3</v>
      </c>
      <c r="X520" s="24">
        <v>3.9855564248053366E-2</v>
      </c>
      <c r="Y520" s="24">
        <f t="shared" si="60"/>
        <v>4.2312024315740215E-2</v>
      </c>
      <c r="Z520" s="23">
        <f t="shared" si="61"/>
        <v>3.4589106827667138E-3</v>
      </c>
      <c r="AA520" s="36"/>
    </row>
    <row r="521" spans="15:27" ht="17.100000000000001" customHeight="1" x14ac:dyDescent="0.3">
      <c r="O521" s="12">
        <f t="shared" si="55"/>
        <v>42.333333333333336</v>
      </c>
      <c r="P521" s="13">
        <v>508</v>
      </c>
      <c r="Q521" s="22">
        <v>3.3675500156270299E-2</v>
      </c>
      <c r="R521" s="19">
        <f t="shared" si="56"/>
        <v>2.9553586988885661E-2</v>
      </c>
      <c r="S521" s="22">
        <v>3.7526400803589155E-2</v>
      </c>
      <c r="T521" s="19">
        <f t="shared" si="57"/>
        <v>4.2173081939067991E-2</v>
      </c>
      <c r="U521" s="24">
        <v>4.0452402926390629E-2</v>
      </c>
      <c r="V521" s="24">
        <f t="shared" si="58"/>
        <v>4.2361644587032954E-2</v>
      </c>
      <c r="W521" s="23">
        <f t="shared" si="59"/>
        <v>3.4629441227707058E-3</v>
      </c>
      <c r="X521" s="24">
        <v>3.9860394108030439E-2</v>
      </c>
      <c r="Y521" s="24">
        <f t="shared" si="60"/>
        <v>4.2318259493231425E-2</v>
      </c>
      <c r="Z521" s="23">
        <f t="shared" si="61"/>
        <v>3.4594155154465955E-3</v>
      </c>
      <c r="AA521" s="36"/>
    </row>
    <row r="522" spans="15:27" ht="17.100000000000001" customHeight="1" x14ac:dyDescent="0.3">
      <c r="O522" s="12">
        <f t="shared" si="55"/>
        <v>42.416666666666664</v>
      </c>
      <c r="P522" s="13">
        <v>509</v>
      </c>
      <c r="Q522" s="22">
        <v>3.3667385937806937E-2</v>
      </c>
      <c r="R522" s="19">
        <f t="shared" si="56"/>
        <v>2.9561876189526881E-2</v>
      </c>
      <c r="S522" s="22">
        <v>3.7535509501237962E-2</v>
      </c>
      <c r="T522" s="19">
        <f t="shared" si="57"/>
        <v>4.2181329813436141E-2</v>
      </c>
      <c r="U522" s="24">
        <v>4.0456150461746443E-2</v>
      </c>
      <c r="V522" s="24">
        <f t="shared" si="58"/>
        <v>4.2367231639836689E-2</v>
      </c>
      <c r="W522" s="23">
        <f t="shared" si="59"/>
        <v>3.463396316530476E-3</v>
      </c>
      <c r="X522" s="24">
        <v>3.9865217233534755E-2</v>
      </c>
      <c r="Y522" s="24">
        <f t="shared" si="60"/>
        <v>4.2324437843364926E-2</v>
      </c>
      <c r="Z522" s="23">
        <f t="shared" si="61"/>
        <v>3.459915743965869E-3</v>
      </c>
      <c r="AA522" s="36"/>
    </row>
    <row r="523" spans="15:27" ht="17.100000000000001" customHeight="1" x14ac:dyDescent="0.3">
      <c r="O523" s="12">
        <f t="shared" si="55"/>
        <v>42.5</v>
      </c>
      <c r="P523" s="13">
        <v>510</v>
      </c>
      <c r="Q523" s="22">
        <v>3.3659319921214514E-2</v>
      </c>
      <c r="R523" s="19">
        <f t="shared" si="56"/>
        <v>2.9570384008190231E-2</v>
      </c>
      <c r="S523" s="22">
        <v>3.7544598658416195E-2</v>
      </c>
      <c r="T523" s="19">
        <f t="shared" si="57"/>
        <v>4.218949492214108E-2</v>
      </c>
      <c r="U523" s="24">
        <v>4.0459894249293082E-2</v>
      </c>
      <c r="V523" s="24">
        <f t="shared" si="58"/>
        <v>4.2372769529039456E-2</v>
      </c>
      <c r="W523" s="23">
        <f t="shared" si="59"/>
        <v>3.4638445286294672E-3</v>
      </c>
      <c r="X523" s="24">
        <v>3.9870033552982242E-2</v>
      </c>
      <c r="Y523" s="24">
        <f t="shared" si="60"/>
        <v>4.2330559890889186E-2</v>
      </c>
      <c r="Z523" s="23">
        <f t="shared" si="61"/>
        <v>3.4604114107008588E-3</v>
      </c>
      <c r="AA523" s="36"/>
    </row>
    <row r="524" spans="15:27" ht="17.100000000000001" customHeight="1" x14ac:dyDescent="0.3">
      <c r="O524" s="12">
        <f t="shared" si="55"/>
        <v>42.583333333333336</v>
      </c>
      <c r="P524" s="13">
        <v>511</v>
      </c>
      <c r="Q524" s="22">
        <v>3.3651302252144966E-2</v>
      </c>
      <c r="R524" s="19">
        <f t="shared" si="56"/>
        <v>2.9579104616605179E-2</v>
      </c>
      <c r="S524" s="22">
        <v>3.7553668228423653E-2</v>
      </c>
      <c r="T524" s="19">
        <f t="shared" si="57"/>
        <v>4.2197578105289457E-2</v>
      </c>
      <c r="U524" s="24">
        <v>4.0463634214979116E-2</v>
      </c>
      <c r="V524" s="24">
        <f t="shared" si="58"/>
        <v>4.2378258692066684E-2</v>
      </c>
      <c r="W524" s="23">
        <f t="shared" si="59"/>
        <v>3.4642887944866807E-3</v>
      </c>
      <c r="X524" s="24">
        <v>3.9874842996373783E-2</v>
      </c>
      <c r="Y524" s="24">
        <f t="shared" si="60"/>
        <v>4.2336626153660184E-2</v>
      </c>
      <c r="Z524" s="23">
        <f t="shared" si="61"/>
        <v>3.4609025578240526E-3</v>
      </c>
      <c r="AA524" s="36"/>
    </row>
    <row r="525" spans="15:27" ht="17.100000000000001" customHeight="1" x14ac:dyDescent="0.3">
      <c r="O525" s="12">
        <f t="shared" si="55"/>
        <v>42.666666666666664</v>
      </c>
      <c r="P525" s="13">
        <v>512</v>
      </c>
      <c r="Q525" s="22">
        <v>3.3643333063666514E-2</v>
      </c>
      <c r="R525" s="19">
        <f t="shared" si="56"/>
        <v>2.9588036717330013E-2</v>
      </c>
      <c r="S525" s="22">
        <v>3.7562718166557874E-2</v>
      </c>
      <c r="T525" s="19">
        <f t="shared" si="57"/>
        <v>4.2205580195113557E-2</v>
      </c>
      <c r="U525" s="24">
        <v>4.0467370286184856E-2</v>
      </c>
      <c r="V525" s="24">
        <f t="shared" si="58"/>
        <v>4.2383699562215771E-2</v>
      </c>
      <c r="W525" s="23">
        <f t="shared" si="59"/>
        <v>3.4647291492504451E-3</v>
      </c>
      <c r="X525" s="24">
        <v>3.9879645495266347E-2</v>
      </c>
      <c r="Y525" s="24">
        <f t="shared" si="60"/>
        <v>4.2342637146430606E-2</v>
      </c>
      <c r="Z525" s="23">
        <f t="shared" si="61"/>
        <v>3.461389226953937E-3</v>
      </c>
      <c r="AA525" s="36"/>
    </row>
    <row r="526" spans="15:27" ht="17.100000000000001" customHeight="1" x14ac:dyDescent="0.3">
      <c r="O526" s="12">
        <f t="shared" ref="O526:O589" si="62">P526/12</f>
        <v>42.75</v>
      </c>
      <c r="P526" s="13">
        <v>513</v>
      </c>
      <c r="Q526" s="22">
        <v>3.3635412485254479E-2</v>
      </c>
      <c r="R526" s="19">
        <f t="shared" ref="R526:R589" si="63">(1+Q527)^P527/(1+Q526)^P526-1</f>
        <v>2.9597180531191425E-2</v>
      </c>
      <c r="S526" s="22">
        <v>3.7571748430079044E-2</v>
      </c>
      <c r="T526" s="19">
        <f t="shared" ref="T526:T589" si="64">(1+S527)^P527/(1+S526)^P526-1</f>
        <v>4.2213502013848991E-2</v>
      </c>
      <c r="U526" s="24">
        <v>4.0471102391699931E-2</v>
      </c>
      <c r="V526" s="24">
        <f t="shared" ref="V526:V589" si="65">(1+U527)^P527/(1+U526)^P526-1</f>
        <v>4.2389092568234199E-2</v>
      </c>
      <c r="W526" s="23">
        <f t="shared" si="59"/>
        <v>3.4651656277380205E-3</v>
      </c>
      <c r="X526" s="24">
        <v>3.9884440982751457E-2</v>
      </c>
      <c r="Y526" s="24">
        <f t="shared" si="60"/>
        <v>4.2348593376671628E-2</v>
      </c>
      <c r="Z526" s="23">
        <f t="shared" si="61"/>
        <v>3.4618714594576439E-3</v>
      </c>
      <c r="AA526" s="36"/>
    </row>
    <row r="527" spans="15:27" ht="17.100000000000001" customHeight="1" x14ac:dyDescent="0.3">
      <c r="O527" s="12">
        <f t="shared" si="62"/>
        <v>42.833333333333336</v>
      </c>
      <c r="P527" s="13">
        <v>514</v>
      </c>
      <c r="Q527" s="22">
        <v>3.3627540645790877E-2</v>
      </c>
      <c r="R527" s="19">
        <f t="shared" si="63"/>
        <v>2.9606536297347663E-2</v>
      </c>
      <c r="S527" s="22">
        <v>3.7580758978172035E-2</v>
      </c>
      <c r="T527" s="19">
        <f t="shared" si="64"/>
        <v>4.2221344376609737E-2</v>
      </c>
      <c r="U527" s="24">
        <v>4.0474830461701083E-2</v>
      </c>
      <c r="V527" s="24">
        <f t="shared" si="65"/>
        <v>4.2394438136455381E-2</v>
      </c>
      <c r="W527" s="23">
        <f t="shared" ref="W527:W590" si="66">(1+V526)^(1/12)-1</f>
        <v>3.4655982643994054E-3</v>
      </c>
      <c r="X527" s="24">
        <v>3.9889229393426318E-2</v>
      </c>
      <c r="Y527" s="24">
        <f t="shared" ref="Y527:Y590" si="67">(1+X528)^P528/(1+X527)^P527-1</f>
        <v>4.2354495350449994E-2</v>
      </c>
      <c r="Z527" s="23">
        <f t="shared" ref="Z527:Z590" si="68">(1+Y526)^(1/12)-1</f>
        <v>3.4623492961176616E-3</v>
      </c>
      <c r="AA527" s="36"/>
    </row>
    <row r="528" spans="15:27" ht="17.100000000000001" customHeight="1" x14ac:dyDescent="0.3">
      <c r="O528" s="12">
        <f t="shared" si="62"/>
        <v>42.916666666666664</v>
      </c>
      <c r="P528" s="13">
        <v>515</v>
      </c>
      <c r="Q528" s="22">
        <v>3.3619717673606386E-2</v>
      </c>
      <c r="R528" s="19">
        <f t="shared" si="63"/>
        <v>2.9616104269248877E-2</v>
      </c>
      <c r="S528" s="22">
        <v>3.7589749771913539E-2</v>
      </c>
      <c r="T528" s="19">
        <f t="shared" si="64"/>
        <v>4.2229108089651302E-2</v>
      </c>
      <c r="U528" s="24">
        <v>4.0478554427733737E-2</v>
      </c>
      <c r="V528" s="24">
        <f t="shared" si="65"/>
        <v>4.2399736687543266E-2</v>
      </c>
      <c r="W528" s="23">
        <f t="shared" si="66"/>
        <v>3.4660270934905313E-3</v>
      </c>
      <c r="X528" s="24">
        <v>3.98940106633765E-2</v>
      </c>
      <c r="Y528" s="24">
        <f t="shared" si="67"/>
        <v>4.2360343566230529E-2</v>
      </c>
      <c r="Z528" s="23">
        <f t="shared" si="68"/>
        <v>3.4628227776014597E-3</v>
      </c>
      <c r="AA528" s="36"/>
    </row>
    <row r="529" spans="15:27" ht="17.100000000000001" customHeight="1" x14ac:dyDescent="0.3">
      <c r="O529" s="12">
        <f t="shared" si="62"/>
        <v>43</v>
      </c>
      <c r="P529" s="13">
        <v>516</v>
      </c>
      <c r="Q529" s="22">
        <v>3.3611943696512991E-2</v>
      </c>
      <c r="R529" s="19">
        <f t="shared" si="63"/>
        <v>2.9625883243743045E-2</v>
      </c>
      <c r="S529" s="22">
        <v>3.7598720774236982E-2</v>
      </c>
      <c r="T529" s="19">
        <f t="shared" si="64"/>
        <v>4.2236793950135798E-2</v>
      </c>
      <c r="U529" s="24">
        <v>4.0482274222687797E-2</v>
      </c>
      <c r="V529" s="24">
        <f t="shared" si="65"/>
        <v>4.2404988640111441E-2</v>
      </c>
      <c r="W529" s="23">
        <f t="shared" si="66"/>
        <v>3.4664521488110278E-3</v>
      </c>
      <c r="X529" s="24">
        <v>3.9898784730146852E-2</v>
      </c>
      <c r="Y529" s="24">
        <f t="shared" si="67"/>
        <v>4.2366138518318941E-2</v>
      </c>
      <c r="Z529" s="23">
        <f t="shared" si="68"/>
        <v>3.4632919439656629E-3</v>
      </c>
      <c r="AA529" s="36"/>
    </row>
    <row r="530" spans="15:27" ht="17.100000000000001" customHeight="1" x14ac:dyDescent="0.3">
      <c r="O530" s="12">
        <f t="shared" si="62"/>
        <v>43.083333333333336</v>
      </c>
      <c r="P530" s="13">
        <v>517</v>
      </c>
      <c r="Q530" s="22">
        <v>3.3604218838980904E-2</v>
      </c>
      <c r="R530" s="19">
        <f t="shared" si="63"/>
        <v>2.9635867617739509E-2</v>
      </c>
      <c r="S530" s="22">
        <v>3.7607671949896782E-2</v>
      </c>
      <c r="T530" s="19">
        <f t="shared" si="64"/>
        <v>4.2244402748033982E-2</v>
      </c>
      <c r="U530" s="24">
        <v>4.0485989780780773E-2</v>
      </c>
      <c r="V530" s="24">
        <f t="shared" si="65"/>
        <v>4.2410194407686008E-2</v>
      </c>
      <c r="W530" s="23">
        <f t="shared" si="66"/>
        <v>3.4668734639948795E-3</v>
      </c>
      <c r="X530" s="24">
        <v>3.9903551532719295E-2</v>
      </c>
      <c r="Y530" s="24">
        <f t="shared" si="67"/>
        <v>4.2371880697853914E-2</v>
      </c>
      <c r="Z530" s="23">
        <f t="shared" si="68"/>
        <v>3.4637568349313863E-3</v>
      </c>
      <c r="AA530" s="36"/>
    </row>
    <row r="531" spans="15:27" ht="17.100000000000001" customHeight="1" x14ac:dyDescent="0.3">
      <c r="O531" s="12">
        <f t="shared" si="62"/>
        <v>43.166666666666664</v>
      </c>
      <c r="P531" s="13">
        <v>518</v>
      </c>
      <c r="Q531" s="22">
        <v>3.3596543213643582E-2</v>
      </c>
      <c r="R531" s="19">
        <f t="shared" si="63"/>
        <v>2.9646056230796081E-2</v>
      </c>
      <c r="S531" s="22">
        <v>3.7616603265437032E-2</v>
      </c>
      <c r="T531" s="19">
        <f t="shared" si="64"/>
        <v>4.2251935264192131E-2</v>
      </c>
      <c r="U531" s="24">
        <v>4.0489701037535353E-2</v>
      </c>
      <c r="V531" s="24">
        <f t="shared" si="65"/>
        <v>4.2415354400064276E-2</v>
      </c>
      <c r="W531" s="23">
        <f t="shared" si="66"/>
        <v>3.4672910722670647E-3</v>
      </c>
      <c r="X531" s="24">
        <v>3.9908311011492614E-2</v>
      </c>
      <c r="Y531" s="24">
        <f t="shared" si="67"/>
        <v>4.237757058930347E-2</v>
      </c>
      <c r="Z531" s="23">
        <f t="shared" si="68"/>
        <v>3.4642174899648381E-3</v>
      </c>
      <c r="AA531" s="36"/>
    </row>
    <row r="532" spans="15:27" ht="17.100000000000001" customHeight="1" x14ac:dyDescent="0.3">
      <c r="O532" s="12">
        <f t="shared" si="62"/>
        <v>43.25</v>
      </c>
      <c r="P532" s="13">
        <v>519</v>
      </c>
      <c r="Q532" s="22">
        <v>3.3588916930005652E-2</v>
      </c>
      <c r="R532" s="19">
        <f t="shared" si="63"/>
        <v>2.9656449414863673E-2</v>
      </c>
      <c r="S532" s="22">
        <v>3.7625514689156869E-2</v>
      </c>
      <c r="T532" s="19">
        <f t="shared" si="64"/>
        <v>4.2259392272560481E-2</v>
      </c>
      <c r="U532" s="24">
        <v>4.0493407929758973E-2</v>
      </c>
      <c r="V532" s="24">
        <f t="shared" si="65"/>
        <v>4.2420469024461172E-2</v>
      </c>
      <c r="W532" s="23">
        <f t="shared" si="66"/>
        <v>3.4677050065523574E-3</v>
      </c>
      <c r="X532" s="24">
        <v>3.9913063108256264E-2</v>
      </c>
      <c r="Y532" s="24">
        <f t="shared" si="67"/>
        <v>4.2383208675312201E-2</v>
      </c>
      <c r="Z532" s="23">
        <f t="shared" si="68"/>
        <v>3.4646739479951005E-3</v>
      </c>
      <c r="AA532" s="36"/>
    </row>
    <row r="533" spans="15:27" ht="17.100000000000001" customHeight="1" x14ac:dyDescent="0.3">
      <c r="O533" s="12">
        <f t="shared" si="62"/>
        <v>43.333333333333336</v>
      </c>
      <c r="P533" s="13">
        <v>520</v>
      </c>
      <c r="Q533" s="22">
        <v>3.3581340097353696E-2</v>
      </c>
      <c r="R533" s="19">
        <f t="shared" si="63"/>
        <v>2.9667047517346612E-2</v>
      </c>
      <c r="S533" s="22">
        <v>3.7634406191080272E-2</v>
      </c>
      <c r="T533" s="19">
        <f t="shared" si="64"/>
        <v>4.2266774537503382E-2</v>
      </c>
      <c r="U533" s="24">
        <v>4.0497110395527391E-2</v>
      </c>
      <c r="V533" s="24">
        <f t="shared" si="65"/>
        <v>4.2425538683631192E-2</v>
      </c>
      <c r="W533" s="23">
        <f t="shared" si="66"/>
        <v>3.4681152995674758E-3</v>
      </c>
      <c r="X533" s="24">
        <v>3.9917807766173485E-2</v>
      </c>
      <c r="Y533" s="24">
        <f t="shared" si="67"/>
        <v>4.2388795430698512E-2</v>
      </c>
      <c r="Z533" s="23">
        <f t="shared" si="68"/>
        <v>3.4651262478040401E-3</v>
      </c>
      <c r="AA533" s="36"/>
    </row>
    <row r="534" spans="15:27" ht="17.100000000000001" customHeight="1" x14ac:dyDescent="0.3">
      <c r="O534" s="12">
        <f t="shared" si="62"/>
        <v>43.416666666666664</v>
      </c>
      <c r="P534" s="13">
        <v>521</v>
      </c>
      <c r="Q534" s="22">
        <v>3.357381282478844E-2</v>
      </c>
      <c r="R534" s="19">
        <f t="shared" si="63"/>
        <v>2.9677850901626446E-2</v>
      </c>
      <c r="S534" s="22">
        <v>3.7643277742921422E-2</v>
      </c>
      <c r="T534" s="19">
        <f t="shared" si="64"/>
        <v>4.2274082816602609E-2</v>
      </c>
      <c r="U534" s="24">
        <v>4.0500808374163144E-2</v>
      </c>
      <c r="V534" s="24">
        <f t="shared" si="65"/>
        <v>4.2430563776130192E-2</v>
      </c>
      <c r="W534" s="23">
        <f t="shared" si="66"/>
        <v>3.46852198366987E-3</v>
      </c>
      <c r="X534" s="24">
        <v>3.992254492975289E-2</v>
      </c>
      <c r="Y534" s="24">
        <f t="shared" si="67"/>
        <v>4.2394331328049484E-2</v>
      </c>
      <c r="Z534" s="23">
        <f t="shared" si="68"/>
        <v>3.465574427544249E-3</v>
      </c>
      <c r="AA534" s="36"/>
    </row>
    <row r="535" spans="15:27" ht="17.100000000000001" customHeight="1" x14ac:dyDescent="0.3">
      <c r="O535" s="12">
        <f t="shared" si="62"/>
        <v>43.5</v>
      </c>
      <c r="P535" s="13">
        <v>522</v>
      </c>
      <c r="Q535" s="22">
        <v>3.3566335221256738E-2</v>
      </c>
      <c r="R535" s="19">
        <f t="shared" si="63"/>
        <v>2.9688858501139004E-2</v>
      </c>
      <c r="S535" s="22">
        <v>3.7652129318055172E-2</v>
      </c>
      <c r="T535" s="19">
        <f t="shared" si="64"/>
        <v>4.2281317859123702E-2</v>
      </c>
      <c r="U535" s="24">
        <v>4.0504501806216009E-2</v>
      </c>
      <c r="V535" s="24">
        <f t="shared" si="65"/>
        <v>4.2435544698032013E-2</v>
      </c>
      <c r="W535" s="23">
        <f t="shared" si="66"/>
        <v>3.4689250908794822E-3</v>
      </c>
      <c r="X535" s="24">
        <v>3.9927274544831581E-2</v>
      </c>
      <c r="Y535" s="24">
        <f t="shared" si="67"/>
        <v>4.2399816834599147E-2</v>
      </c>
      <c r="Z535" s="23">
        <f t="shared" si="68"/>
        <v>3.4660185251880193E-3</v>
      </c>
      <c r="AA535" s="36"/>
    </row>
    <row r="536" spans="15:27" ht="17.100000000000001" customHeight="1" x14ac:dyDescent="0.3">
      <c r="O536" s="12">
        <f t="shared" si="62"/>
        <v>43.583333333333336</v>
      </c>
      <c r="P536" s="13">
        <v>523</v>
      </c>
      <c r="Q536" s="22">
        <v>3.355890739280798E-2</v>
      </c>
      <c r="R536" s="19">
        <f t="shared" si="63"/>
        <v>2.9700064928805059E-2</v>
      </c>
      <c r="S536" s="22">
        <v>3.766096089148574E-2</v>
      </c>
      <c r="T536" s="19">
        <f t="shared" si="64"/>
        <v>4.228848040724098E-2</v>
      </c>
      <c r="U536" s="24">
        <v>4.0508190633446572E-2</v>
      </c>
      <c r="V536" s="24">
        <f t="shared" si="65"/>
        <v>4.2440481841444999E-2</v>
      </c>
      <c r="W536" s="23">
        <f t="shared" si="66"/>
        <v>3.4693246530161925E-3</v>
      </c>
      <c r="X536" s="24">
        <v>3.9931996558552285E-2</v>
      </c>
      <c r="Y536" s="24">
        <f t="shared" si="67"/>
        <v>4.2405252414050132E-2</v>
      </c>
      <c r="Z536" s="23">
        <f t="shared" si="68"/>
        <v>3.4664585782766544E-3</v>
      </c>
      <c r="AA536" s="36"/>
    </row>
    <row r="537" spans="15:27" ht="17.100000000000001" customHeight="1" x14ac:dyDescent="0.3">
      <c r="O537" s="12">
        <f t="shared" si="62"/>
        <v>43.666666666666664</v>
      </c>
      <c r="P537" s="13">
        <v>524</v>
      </c>
      <c r="Q537" s="22">
        <v>3.3551529434346916E-2</v>
      </c>
      <c r="R537" s="19">
        <f t="shared" si="63"/>
        <v>2.9711469161248338E-2</v>
      </c>
      <c r="S537" s="22">
        <v>3.7669772439817617E-2</v>
      </c>
      <c r="T537" s="19">
        <f t="shared" si="64"/>
        <v>4.2295571194801651E-2</v>
      </c>
      <c r="U537" s="24">
        <v>4.0511874798806913E-2</v>
      </c>
      <c r="V537" s="24">
        <f t="shared" si="65"/>
        <v>4.2445375594204471E-2</v>
      </c>
      <c r="W537" s="23">
        <f t="shared" si="66"/>
        <v>3.4697207015805809E-3</v>
      </c>
      <c r="X537" s="24">
        <v>3.9936710919343588E-2</v>
      </c>
      <c r="Y537" s="24">
        <f t="shared" si="67"/>
        <v>4.2410638525600231E-2</v>
      </c>
      <c r="Z537" s="23">
        <f t="shared" si="68"/>
        <v>3.4668946240670184E-3</v>
      </c>
      <c r="AA537" s="36"/>
    </row>
    <row r="538" spans="15:27" ht="17.100000000000001" customHeight="1" x14ac:dyDescent="0.3">
      <c r="O538" s="12">
        <f t="shared" si="62"/>
        <v>43.75</v>
      </c>
      <c r="P538" s="13">
        <v>525</v>
      </c>
      <c r="Q538" s="22">
        <v>3.3544201438082233E-2</v>
      </c>
      <c r="R538" s="19">
        <f t="shared" si="63"/>
        <v>2.9723071636670984E-2</v>
      </c>
      <c r="S538" s="22">
        <v>3.7678563941224263E-2</v>
      </c>
      <c r="T538" s="19">
        <f t="shared" si="64"/>
        <v>4.2302590947652652E-2</v>
      </c>
      <c r="U538" s="24">
        <v>4.0515554246421281E-2</v>
      </c>
      <c r="V538" s="24">
        <f t="shared" si="65"/>
        <v>4.2450226341572694E-2</v>
      </c>
      <c r="W538" s="23">
        <f t="shared" si="66"/>
        <v>3.4701132677297242E-3</v>
      </c>
      <c r="X538" s="24">
        <v>3.9941417576899729E-2</v>
      </c>
      <c r="Y538" s="24">
        <f t="shared" si="67"/>
        <v>4.2415975622421609E-2</v>
      </c>
      <c r="Z538" s="23">
        <f t="shared" si="68"/>
        <v>3.467326699453821E-3</v>
      </c>
      <c r="AA538" s="36"/>
    </row>
    <row r="539" spans="15:27" ht="17.100000000000001" customHeight="1" x14ac:dyDescent="0.3">
      <c r="O539" s="12">
        <f t="shared" si="62"/>
        <v>43.833333333333336</v>
      </c>
      <c r="P539" s="13">
        <v>526</v>
      </c>
      <c r="Q539" s="22">
        <v>3.3536923496341631E-2</v>
      </c>
      <c r="R539" s="19">
        <f t="shared" si="63"/>
        <v>2.9734872809062951E-2</v>
      </c>
      <c r="S539" s="22">
        <v>3.7687335375418352E-2</v>
      </c>
      <c r="T539" s="19">
        <f t="shared" si="64"/>
        <v>4.2309540385521593E-2</v>
      </c>
      <c r="U539" s="24">
        <v>4.0519228921569672E-2</v>
      </c>
      <c r="V539" s="24">
        <f t="shared" si="65"/>
        <v>4.2455034465207708E-2</v>
      </c>
      <c r="W539" s="23">
        <f t="shared" si="66"/>
        <v>3.4705023824133097E-3</v>
      </c>
      <c r="X539" s="24">
        <v>3.9946116482157068E-2</v>
      </c>
      <c r="Y539" s="24">
        <f t="shared" si="67"/>
        <v>4.242126415617431E-2</v>
      </c>
      <c r="Z539" s="23">
        <f t="shared" si="68"/>
        <v>3.4677548408466041E-3</v>
      </c>
      <c r="AA539" s="36"/>
    </row>
    <row r="540" spans="15:27" ht="17.100000000000001" customHeight="1" x14ac:dyDescent="0.3">
      <c r="O540" s="12">
        <f t="shared" si="62"/>
        <v>43.916666666666664</v>
      </c>
      <c r="P540" s="13">
        <v>527</v>
      </c>
      <c r="Q540" s="22">
        <v>3.3529695701600248E-2</v>
      </c>
      <c r="R540" s="19">
        <f t="shared" si="63"/>
        <v>2.9746873147809882E-2</v>
      </c>
      <c r="S540" s="22">
        <v>3.7696086723625788E-2</v>
      </c>
      <c r="T540" s="19">
        <f t="shared" si="64"/>
        <v>4.2316420219493445E-2</v>
      </c>
      <c r="U540" s="24">
        <v>4.0522898770670723E-2</v>
      </c>
      <c r="V540" s="24">
        <f t="shared" si="65"/>
        <v>4.2459800343240817E-2</v>
      </c>
      <c r="W540" s="23">
        <f t="shared" si="66"/>
        <v>3.4708880762908123E-3</v>
      </c>
      <c r="X540" s="24">
        <v>3.995080758727898E-2</v>
      </c>
      <c r="Y540" s="24">
        <f t="shared" si="67"/>
        <v>4.2426504572179224E-2</v>
      </c>
      <c r="Z540" s="23">
        <f t="shared" si="68"/>
        <v>3.4681790845327853E-3</v>
      </c>
      <c r="AA540" s="36"/>
    </row>
    <row r="541" spans="15:27" ht="17.100000000000001" customHeight="1" x14ac:dyDescent="0.3">
      <c r="O541" s="12">
        <f t="shared" si="62"/>
        <v>44</v>
      </c>
      <c r="P541" s="13">
        <v>528</v>
      </c>
      <c r="Q541" s="22">
        <v>3.3522518146508862E-2</v>
      </c>
      <c r="R541" s="19">
        <f t="shared" si="63"/>
        <v>2.9759071719952068E-2</v>
      </c>
      <c r="S541" s="22">
        <v>3.7704817968554405E-2</v>
      </c>
      <c r="T541" s="19">
        <f t="shared" si="64"/>
        <v>4.2323231153999163E-2</v>
      </c>
      <c r="U541" s="24">
        <v>4.052656374126351E-2</v>
      </c>
      <c r="V541" s="24">
        <f t="shared" si="65"/>
        <v>4.2464524349536958E-2</v>
      </c>
      <c r="W541" s="23">
        <f t="shared" si="66"/>
        <v>3.4712703797383782E-3</v>
      </c>
      <c r="X541" s="24">
        <v>3.9955490845632768E-2</v>
      </c>
      <c r="Y541" s="24">
        <f t="shared" si="67"/>
        <v>4.2431697312660832E-2</v>
      </c>
      <c r="Z541" s="23">
        <f t="shared" si="68"/>
        <v>3.4685994662897457E-3</v>
      </c>
      <c r="AA541" s="36"/>
    </row>
    <row r="542" spans="15:27" ht="17.100000000000001" customHeight="1" x14ac:dyDescent="0.3">
      <c r="O542" s="12">
        <f t="shared" si="62"/>
        <v>44.083333333333336</v>
      </c>
      <c r="P542" s="13">
        <v>529</v>
      </c>
      <c r="Q542" s="22">
        <v>3.3515390921231125E-2</v>
      </c>
      <c r="R542" s="19">
        <f t="shared" si="63"/>
        <v>2.9771463351486505E-2</v>
      </c>
      <c r="S542" s="22">
        <v>3.7713529094368203E-2</v>
      </c>
      <c r="T542" s="19">
        <f t="shared" si="64"/>
        <v>4.2329973885582461E-2</v>
      </c>
      <c r="U542" s="24">
        <v>4.0530223781989561E-2</v>
      </c>
      <c r="V542" s="24">
        <f t="shared" si="65"/>
        <v>4.2469206855458408E-2</v>
      </c>
      <c r="W542" s="23">
        <f t="shared" si="66"/>
        <v>3.4716493227882061E-3</v>
      </c>
      <c r="X542" s="24">
        <v>3.9960166211772341E-2</v>
      </c>
      <c r="Y542" s="24">
        <f t="shared" si="67"/>
        <v>4.2436842814652653E-2</v>
      </c>
      <c r="Z542" s="23">
        <f t="shared" si="68"/>
        <v>3.4690160216455102E-3</v>
      </c>
      <c r="AA542" s="36"/>
    </row>
    <row r="543" spans="15:27" ht="17.100000000000001" customHeight="1" x14ac:dyDescent="0.3">
      <c r="O543" s="12">
        <f t="shared" si="62"/>
        <v>44.166666666666664</v>
      </c>
      <c r="P543" s="13">
        <v>530</v>
      </c>
      <c r="Q543" s="22">
        <v>3.3508314105435977E-2</v>
      </c>
      <c r="R543" s="19">
        <f t="shared" si="63"/>
        <v>2.9784047150110515E-2</v>
      </c>
      <c r="S543" s="22">
        <v>3.7722220086658265E-2</v>
      </c>
      <c r="T543" s="19">
        <f t="shared" si="64"/>
        <v>4.2336649104213864E-2</v>
      </c>
      <c r="U543" s="24">
        <v>4.0533878842577309E-2</v>
      </c>
      <c r="V543" s="24">
        <f t="shared" si="65"/>
        <v>4.2473848230349276E-2</v>
      </c>
      <c r="W543" s="23">
        <f t="shared" si="66"/>
        <v>3.4720249352715449E-3</v>
      </c>
      <c r="X543" s="24">
        <v>3.9964833641416897E-2</v>
      </c>
      <c r="Y543" s="24">
        <f t="shared" si="67"/>
        <v>4.2441941513646997E-2</v>
      </c>
      <c r="Z543" s="23">
        <f t="shared" si="68"/>
        <v>3.4694287857106598E-3</v>
      </c>
      <c r="AA543" s="36"/>
    </row>
    <row r="544" spans="15:27" ht="17.100000000000001" customHeight="1" x14ac:dyDescent="0.3">
      <c r="O544" s="12">
        <f t="shared" si="62"/>
        <v>44.25</v>
      </c>
      <c r="P544" s="13">
        <v>531</v>
      </c>
      <c r="Q544" s="22">
        <v>3.3501287776490196E-2</v>
      </c>
      <c r="R544" s="19">
        <f t="shared" si="63"/>
        <v>2.9796823658560623E-2</v>
      </c>
      <c r="S544" s="22">
        <v>3.7730890932417438E-2</v>
      </c>
      <c r="T544" s="19">
        <f t="shared" si="64"/>
        <v>4.2343257492555075E-2</v>
      </c>
      <c r="U544" s="24">
        <v>4.053752887382811E-2</v>
      </c>
      <c r="V544" s="24">
        <f t="shared" si="65"/>
        <v>4.2478448836327454E-2</v>
      </c>
      <c r="W544" s="23">
        <f t="shared" si="66"/>
        <v>3.4723972468568842E-3</v>
      </c>
      <c r="X544" s="24">
        <v>3.996949309143738E-2</v>
      </c>
      <c r="Y544" s="24">
        <f t="shared" si="67"/>
        <v>4.2446993837300662E-2</v>
      </c>
      <c r="Z544" s="23">
        <f t="shared" si="68"/>
        <v>3.4698377934707647E-3</v>
      </c>
      <c r="AA544" s="36"/>
    </row>
    <row r="545" spans="15:27" ht="17.100000000000001" customHeight="1" x14ac:dyDescent="0.3">
      <c r="O545" s="12">
        <f t="shared" si="62"/>
        <v>44.333333333333336</v>
      </c>
      <c r="P545" s="13">
        <v>532</v>
      </c>
      <c r="Q545" s="22">
        <v>3.3494312012186445E-2</v>
      </c>
      <c r="R545" s="19">
        <f t="shared" si="63"/>
        <v>2.9809793435719323E-2</v>
      </c>
      <c r="S545" s="22">
        <v>3.7739541620013028E-2</v>
      </c>
      <c r="T545" s="19">
        <f t="shared" si="64"/>
        <v>4.2349799726003168E-2</v>
      </c>
      <c r="U545" s="24">
        <v>4.0541173827592702E-2</v>
      </c>
      <c r="V545" s="24">
        <f t="shared" si="65"/>
        <v>4.248300903653468E-2</v>
      </c>
      <c r="W545" s="23">
        <f t="shared" si="66"/>
        <v>3.4727662866318454E-3</v>
      </c>
      <c r="X545" s="24">
        <v>3.9974144519830945E-2</v>
      </c>
      <c r="Y545" s="24">
        <f t="shared" si="67"/>
        <v>4.2452000212044316E-2</v>
      </c>
      <c r="Z545" s="23">
        <f t="shared" si="68"/>
        <v>3.4702430792818983E-3</v>
      </c>
      <c r="AA545" s="36"/>
    </row>
    <row r="546" spans="15:27" ht="17.100000000000001" customHeight="1" x14ac:dyDescent="0.3">
      <c r="O546" s="12">
        <f t="shared" si="62"/>
        <v>44.416666666666664</v>
      </c>
      <c r="P546" s="13">
        <v>533</v>
      </c>
      <c r="Q546" s="22">
        <v>3.3487386890770354E-2</v>
      </c>
      <c r="R546" s="19">
        <f t="shared" si="63"/>
        <v>2.9822957055082311E-2</v>
      </c>
      <c r="S546" s="22">
        <v>3.7748172139160818E-2</v>
      </c>
      <c r="T546" s="19">
        <f t="shared" si="64"/>
        <v>4.2356276473731524E-2</v>
      </c>
      <c r="U546" s="24">
        <v>4.0544813656763212E-2</v>
      </c>
      <c r="V546" s="24">
        <f t="shared" si="65"/>
        <v>4.2487529188055539E-2</v>
      </c>
      <c r="W546" s="23">
        <f t="shared" si="66"/>
        <v>3.4731320837655399E-3</v>
      </c>
      <c r="X546" s="24">
        <v>3.9978787885707856E-2</v>
      </c>
      <c r="Y546" s="24">
        <f t="shared" si="67"/>
        <v>4.2456961060047593E-2</v>
      </c>
      <c r="Z546" s="23">
        <f t="shared" si="68"/>
        <v>3.4706446774008803E-3</v>
      </c>
      <c r="AA546" s="36"/>
    </row>
    <row r="547" spans="15:27" ht="17.100000000000001" customHeight="1" x14ac:dyDescent="0.3">
      <c r="O547" s="12">
        <f t="shared" si="62"/>
        <v>44.5</v>
      </c>
      <c r="P547" s="13">
        <v>534</v>
      </c>
      <c r="Q547" s="22">
        <v>3.3480512490962955E-2</v>
      </c>
      <c r="R547" s="19">
        <f t="shared" si="63"/>
        <v>2.9836313711630646E-2</v>
      </c>
      <c r="S547" s="22">
        <v>3.7756782480900419E-2</v>
      </c>
      <c r="T547" s="19">
        <f t="shared" si="64"/>
        <v>4.2362688396329062E-2</v>
      </c>
      <c r="U547" s="24">
        <v>4.0548448315252283E-2</v>
      </c>
      <c r="V547" s="24">
        <f t="shared" si="65"/>
        <v>4.2492009645873408E-2</v>
      </c>
      <c r="W547" s="23">
        <f t="shared" si="66"/>
        <v>3.4734946669403577E-3</v>
      </c>
      <c r="X547" s="24">
        <v>3.99834231492735E-2</v>
      </c>
      <c r="Y547" s="24">
        <f t="shared" si="67"/>
        <v>4.2461876797816434E-2</v>
      </c>
      <c r="Z547" s="23">
        <f t="shared" si="68"/>
        <v>3.4710426217414714E-3</v>
      </c>
      <c r="AA547" s="36"/>
    </row>
    <row r="548" spans="15:27" ht="17.100000000000001" customHeight="1" x14ac:dyDescent="0.3">
      <c r="O548" s="12">
        <f t="shared" si="62"/>
        <v>44.583333333333336</v>
      </c>
      <c r="P548" s="13">
        <v>535</v>
      </c>
      <c r="Q548" s="22">
        <v>3.3473688889370523E-2</v>
      </c>
      <c r="R548" s="19">
        <f t="shared" si="63"/>
        <v>2.9849858441739263E-2</v>
      </c>
      <c r="S548" s="22">
        <v>3.7765372637567296E-2</v>
      </c>
      <c r="T548" s="19">
        <f t="shared" si="64"/>
        <v>4.2369036149958239E-2</v>
      </c>
      <c r="U548" s="24">
        <v>4.0552077757979088E-2</v>
      </c>
      <c r="V548" s="24">
        <f t="shared" si="65"/>
        <v>4.2496450762271598E-2</v>
      </c>
      <c r="W548" s="23">
        <f t="shared" si="66"/>
        <v>3.4738540646694904E-3</v>
      </c>
      <c r="X548" s="24">
        <v>3.9988050271807074E-2</v>
      </c>
      <c r="Y548" s="24">
        <f t="shared" si="67"/>
        <v>4.2466747840161911E-2</v>
      </c>
      <c r="Z548" s="23">
        <f t="shared" si="68"/>
        <v>3.4714369457622407E-3</v>
      </c>
      <c r="AA548" s="36"/>
    </row>
    <row r="549" spans="15:27" ht="17.100000000000001" customHeight="1" x14ac:dyDescent="0.3">
      <c r="O549" s="12">
        <f t="shared" si="62"/>
        <v>44.666666666666664</v>
      </c>
      <c r="P549" s="13">
        <v>536</v>
      </c>
      <c r="Q549" s="22">
        <v>3.3466916152718573E-2</v>
      </c>
      <c r="R549" s="19">
        <f t="shared" si="63"/>
        <v>2.9863590481742142E-2</v>
      </c>
      <c r="S549" s="22">
        <v>3.7773942602772115E-2</v>
      </c>
      <c r="T549" s="19">
        <f t="shared" si="64"/>
        <v>4.2375320382051829E-2</v>
      </c>
      <c r="U549" s="24">
        <v>4.055570194085556E-2</v>
      </c>
      <c r="V549" s="24">
        <f t="shared" si="65"/>
        <v>4.2500852884443496E-2</v>
      </c>
      <c r="W549" s="23">
        <f t="shared" si="66"/>
        <v>3.4742103052485263E-3</v>
      </c>
      <c r="X549" s="24">
        <v>3.9992669215648924E-2</v>
      </c>
      <c r="Y549" s="24">
        <f t="shared" si="67"/>
        <v>4.2471574596703032E-2</v>
      </c>
      <c r="Z549" s="23">
        <f t="shared" si="68"/>
        <v>3.471827682784312E-3</v>
      </c>
      <c r="AA549" s="36"/>
    </row>
    <row r="550" spans="15:27" ht="17.100000000000001" customHeight="1" x14ac:dyDescent="0.3">
      <c r="O550" s="12">
        <f t="shared" si="62"/>
        <v>44.75</v>
      </c>
      <c r="P550" s="13">
        <v>537</v>
      </c>
      <c r="Q550" s="22">
        <v>3.3460194345792615E-2</v>
      </c>
      <c r="R550" s="19">
        <f t="shared" si="63"/>
        <v>2.9877510475774249E-2</v>
      </c>
      <c r="S550" s="22">
        <v>3.7782492371373211E-2</v>
      </c>
      <c r="T550" s="19">
        <f t="shared" si="64"/>
        <v>4.2381541734430872E-2</v>
      </c>
      <c r="U550" s="24">
        <v>4.0559320820767297E-2</v>
      </c>
      <c r="V550" s="24">
        <f t="shared" si="65"/>
        <v>4.2505216358709408E-2</v>
      </c>
      <c r="W550" s="23">
        <f t="shared" si="66"/>
        <v>3.4745634165642691E-3</v>
      </c>
      <c r="X550" s="24">
        <v>3.9997279944180564E-2</v>
      </c>
      <c r="Y550" s="24">
        <f t="shared" si="67"/>
        <v>4.2476357473414161E-2</v>
      </c>
      <c r="Z550" s="23">
        <f t="shared" si="68"/>
        <v>3.4722148657120311E-3</v>
      </c>
      <c r="AA550" s="36"/>
    </row>
    <row r="551" spans="15:27" ht="17.100000000000001" customHeight="1" x14ac:dyDescent="0.3">
      <c r="O551" s="12">
        <f t="shared" si="62"/>
        <v>44.833333333333336</v>
      </c>
      <c r="P551" s="13">
        <v>538</v>
      </c>
      <c r="Q551" s="22">
        <v>3.3453523534082708E-2</v>
      </c>
      <c r="R551" s="19">
        <f t="shared" si="63"/>
        <v>2.9891619085647525E-2</v>
      </c>
      <c r="S551" s="22">
        <v>3.7791021939453939E-2</v>
      </c>
      <c r="T551" s="19">
        <f t="shared" si="64"/>
        <v>4.2387700841963083E-2</v>
      </c>
      <c r="U551" s="24">
        <v>4.0562934355562685E-2</v>
      </c>
      <c r="V551" s="24">
        <f t="shared" si="65"/>
        <v>4.2509541526254857E-2</v>
      </c>
      <c r="W551" s="23">
        <f t="shared" si="66"/>
        <v>3.4749134264326909E-3</v>
      </c>
      <c r="X551" s="24">
        <v>4.0001882421808688E-2</v>
      </c>
      <c r="Y551" s="24">
        <f t="shared" si="67"/>
        <v>4.2481096872637902E-2</v>
      </c>
      <c r="Z551" s="23">
        <f t="shared" si="68"/>
        <v>3.4725985271559789E-3</v>
      </c>
      <c r="AA551" s="36"/>
    </row>
    <row r="552" spans="15:27" ht="17.100000000000001" customHeight="1" x14ac:dyDescent="0.3">
      <c r="O552" s="12">
        <f t="shared" si="62"/>
        <v>44.916666666666664</v>
      </c>
      <c r="P552" s="13">
        <v>539</v>
      </c>
      <c r="Q552" s="22">
        <v>3.344690378380899E-2</v>
      </c>
      <c r="R552" s="19">
        <f t="shared" si="63"/>
        <v>2.9905916984938274E-2</v>
      </c>
      <c r="S552" s="22">
        <v>3.7799531304298917E-2</v>
      </c>
      <c r="T552" s="19">
        <f t="shared" si="64"/>
        <v>4.2393798332951871E-2</v>
      </c>
      <c r="U552" s="24">
        <v>4.056654250403513E-2</v>
      </c>
      <c r="V552" s="24">
        <f t="shared" si="65"/>
        <v>4.2513828726818303E-2</v>
      </c>
      <c r="W552" s="23">
        <f t="shared" si="66"/>
        <v>3.4752603622565381E-3</v>
      </c>
      <c r="X552" s="24">
        <v>4.0006476613948516E-2</v>
      </c>
      <c r="Y552" s="24">
        <f t="shared" si="67"/>
        <v>4.2485793193425936E-2</v>
      </c>
      <c r="Z552" s="23">
        <f t="shared" si="68"/>
        <v>3.4729786994345258E-3</v>
      </c>
      <c r="AA552" s="36"/>
    </row>
    <row r="553" spans="15:27" ht="17.100000000000001" customHeight="1" x14ac:dyDescent="0.3">
      <c r="O553" s="12">
        <f t="shared" si="62"/>
        <v>45</v>
      </c>
      <c r="P553" s="13">
        <v>540</v>
      </c>
      <c r="Q553" s="22">
        <v>3.3440335161937007E-2</v>
      </c>
      <c r="R553" s="19">
        <f t="shared" si="63"/>
        <v>2.9920403498904902E-2</v>
      </c>
      <c r="S553" s="22">
        <v>3.7808020464370928E-2</v>
      </c>
      <c r="T553" s="19">
        <f t="shared" si="64"/>
        <v>4.239983482996923E-2</v>
      </c>
      <c r="U553" s="24">
        <v>4.057014522591107E-2</v>
      </c>
      <c r="V553" s="24">
        <f t="shared" si="65"/>
        <v>4.2518078296414963E-2</v>
      </c>
      <c r="W553" s="23">
        <f t="shared" si="66"/>
        <v>3.4756042513228724E-3</v>
      </c>
      <c r="X553" s="24">
        <v>4.0011062487008475E-2</v>
      </c>
      <c r="Y553" s="24">
        <f t="shared" si="67"/>
        <v>4.2490446829934747E-2</v>
      </c>
      <c r="Z553" s="23">
        <f t="shared" si="68"/>
        <v>3.4733554146009205E-3</v>
      </c>
      <c r="AA553" s="36"/>
    </row>
    <row r="554" spans="15:27" ht="17.100000000000001" customHeight="1" x14ac:dyDescent="0.3">
      <c r="O554" s="12">
        <f t="shared" si="62"/>
        <v>45.083333333333336</v>
      </c>
      <c r="P554" s="13">
        <v>541</v>
      </c>
      <c r="Q554" s="22">
        <v>3.3433817733669713E-2</v>
      </c>
      <c r="R554" s="19">
        <f t="shared" si="63"/>
        <v>2.9935073865432926E-2</v>
      </c>
      <c r="S554" s="22">
        <v>3.7816489419289168E-2</v>
      </c>
      <c r="T554" s="19">
        <f t="shared" si="64"/>
        <v>4.240581094735707E-2</v>
      </c>
      <c r="U554" s="24">
        <v>4.0573742481834429E-2</v>
      </c>
      <c r="V554" s="24">
        <f t="shared" si="65"/>
        <v>4.2522290568666632E-2</v>
      </c>
      <c r="W554" s="23">
        <f t="shared" si="66"/>
        <v>3.4759451206183289E-3</v>
      </c>
      <c r="X554" s="24">
        <v>4.0015640008372433E-2</v>
      </c>
      <c r="Y554" s="24">
        <f t="shared" si="67"/>
        <v>4.2495058174272016E-2</v>
      </c>
      <c r="Z554" s="23">
        <f t="shared" si="68"/>
        <v>3.473728704315393E-3</v>
      </c>
      <c r="AA554" s="36"/>
    </row>
    <row r="555" spans="15:27" ht="17.100000000000001" customHeight="1" x14ac:dyDescent="0.3">
      <c r="O555" s="12">
        <f t="shared" si="62"/>
        <v>45.166666666666664</v>
      </c>
      <c r="P555" s="13">
        <v>542</v>
      </c>
      <c r="Q555" s="22">
        <v>3.3427351554896845E-2</v>
      </c>
      <c r="R555" s="19">
        <f t="shared" si="63"/>
        <v>2.9949927447735059E-2</v>
      </c>
      <c r="S555" s="22">
        <v>3.7824938169803479E-2</v>
      </c>
      <c r="T555" s="19">
        <f t="shared" si="64"/>
        <v>4.2411727295110557E-2</v>
      </c>
      <c r="U555" s="24">
        <v>4.057733423335419E-2</v>
      </c>
      <c r="V555" s="24">
        <f t="shared" si="65"/>
        <v>4.2526465871417285E-2</v>
      </c>
      <c r="W555" s="23">
        <f t="shared" si="66"/>
        <v>3.4762829969374742E-3</v>
      </c>
      <c r="X555" s="24">
        <v>4.0020209146386154E-2</v>
      </c>
      <c r="Y555" s="24">
        <f t="shared" si="67"/>
        <v>4.2499627612109014E-2</v>
      </c>
      <c r="Z555" s="23">
        <f t="shared" si="68"/>
        <v>3.4740986000723062E-3</v>
      </c>
      <c r="AA555" s="36"/>
    </row>
    <row r="556" spans="15:27" ht="17.100000000000001" customHeight="1" x14ac:dyDescent="0.3">
      <c r="O556" s="12">
        <f t="shared" si="62"/>
        <v>45.25</v>
      </c>
      <c r="P556" s="13">
        <v>543</v>
      </c>
      <c r="Q556" s="22">
        <v>3.342093667990409E-2</v>
      </c>
      <c r="R556" s="19">
        <f t="shared" si="63"/>
        <v>2.9964964991045395E-2</v>
      </c>
      <c r="S556" s="22">
        <v>3.7833366717776373E-2</v>
      </c>
      <c r="T556" s="19">
        <f t="shared" si="64"/>
        <v>4.2417584476418968E-2</v>
      </c>
      <c r="U556" s="24">
        <v>4.0580920442905288E-2</v>
      </c>
      <c r="V556" s="24">
        <f t="shared" si="65"/>
        <v>4.2530604534455563E-2</v>
      </c>
      <c r="W556" s="23">
        <f t="shared" si="66"/>
        <v>3.4766179066105796E-3</v>
      </c>
      <c r="X556" s="24">
        <v>4.0024769870337318E-2</v>
      </c>
      <c r="Y556" s="24">
        <f t="shared" si="67"/>
        <v>4.250415552986575E-2</v>
      </c>
      <c r="Z556" s="23">
        <f t="shared" si="68"/>
        <v>3.4744651328491027E-3</v>
      </c>
      <c r="AA556" s="36"/>
    </row>
    <row r="557" spans="15:27" ht="17.100000000000001" customHeight="1" x14ac:dyDescent="0.3">
      <c r="O557" s="12">
        <f t="shared" si="62"/>
        <v>45.333333333333336</v>
      </c>
      <c r="P557" s="13">
        <v>544</v>
      </c>
      <c r="Q557" s="22">
        <v>3.34145731639377E-2</v>
      </c>
      <c r="R557" s="19">
        <f t="shared" si="63"/>
        <v>2.9980187256617441E-2</v>
      </c>
      <c r="S557" s="22">
        <v>3.7841775066159711E-2</v>
      </c>
      <c r="T557" s="19">
        <f t="shared" si="64"/>
        <v>4.2423383087997868E-2</v>
      </c>
      <c r="U557" s="24">
        <v>4.0584501073803514E-2</v>
      </c>
      <c r="V557" s="24">
        <f t="shared" si="65"/>
        <v>4.2534706880329898E-2</v>
      </c>
      <c r="W557" s="23">
        <f t="shared" si="66"/>
        <v>3.4769498761229034E-3</v>
      </c>
      <c r="X557" s="24">
        <v>4.0029322150447744E-2</v>
      </c>
      <c r="Y557" s="24">
        <f t="shared" si="67"/>
        <v>4.2508642306964717E-2</v>
      </c>
      <c r="Z557" s="23">
        <f t="shared" si="68"/>
        <v>3.4748283336827335E-3</v>
      </c>
      <c r="AA557" s="36"/>
    </row>
    <row r="558" spans="15:27" ht="17.100000000000001" customHeight="1" x14ac:dyDescent="0.3">
      <c r="O558" s="12">
        <f t="shared" si="62"/>
        <v>45.416666666666664</v>
      </c>
      <c r="P558" s="13">
        <v>545</v>
      </c>
      <c r="Q558" s="22">
        <v>3.3408261063223588E-2</v>
      </c>
      <c r="R558" s="19">
        <f t="shared" si="63"/>
        <v>2.9995595019227217E-2</v>
      </c>
      <c r="S558" s="22">
        <v>3.7850163218973609E-2</v>
      </c>
      <c r="T558" s="19">
        <f t="shared" si="64"/>
        <v>4.2429123720276074E-2</v>
      </c>
      <c r="U558" s="24">
        <v>4.0588076090225078E-2</v>
      </c>
      <c r="V558" s="24">
        <f t="shared" si="65"/>
        <v>4.2538773230837323E-2</v>
      </c>
      <c r="W558" s="23">
        <f t="shared" si="66"/>
        <v>3.4772789313790575E-3</v>
      </c>
      <c r="X558" s="24">
        <v>4.0033865957852299E-2</v>
      </c>
      <c r="Y558" s="24">
        <f t="shared" si="67"/>
        <v>4.2513088319274361E-2</v>
      </c>
      <c r="Z558" s="23">
        <f t="shared" si="68"/>
        <v>3.4751882330472661E-3</v>
      </c>
      <c r="AA558" s="36"/>
    </row>
    <row r="559" spans="15:27" ht="17.100000000000001" customHeight="1" x14ac:dyDescent="0.3">
      <c r="O559" s="12">
        <f t="shared" si="62"/>
        <v>45.5</v>
      </c>
      <c r="P559" s="13">
        <v>546</v>
      </c>
      <c r="Q559" s="22">
        <v>3.3402000434984203E-2</v>
      </c>
      <c r="R559" s="19">
        <f t="shared" si="63"/>
        <v>3.0011187726462385E-2</v>
      </c>
      <c r="S559" s="22">
        <v>3.7858531181284683E-2</v>
      </c>
      <c r="T559" s="19">
        <f t="shared" si="64"/>
        <v>4.2434806957390991E-2</v>
      </c>
      <c r="U559" s="24">
        <v>4.0591645457196401E-2</v>
      </c>
      <c r="V559" s="24">
        <f t="shared" si="65"/>
        <v>4.2542803902997361E-2</v>
      </c>
      <c r="W559" s="23">
        <f t="shared" si="66"/>
        <v>3.4776050982219253E-3</v>
      </c>
      <c r="X559" s="24">
        <v>4.0038401264583801E-2</v>
      </c>
      <c r="Y559" s="24">
        <f t="shared" si="67"/>
        <v>4.251749394077331E-2</v>
      </c>
      <c r="Z559" s="23">
        <f t="shared" si="68"/>
        <v>3.475544861131441E-3</v>
      </c>
      <c r="AA559" s="36"/>
    </row>
    <row r="560" spans="15:27" ht="17.100000000000001" customHeight="1" x14ac:dyDescent="0.3">
      <c r="O560" s="12">
        <f t="shared" si="62"/>
        <v>45.583333333333336</v>
      </c>
      <c r="P560" s="13">
        <v>547</v>
      </c>
      <c r="Q560" s="22">
        <v>3.3395791334994485E-2</v>
      </c>
      <c r="R560" s="19">
        <f t="shared" si="63"/>
        <v>3.0026960819020454E-2</v>
      </c>
      <c r="S560" s="22">
        <v>3.786687895918539E-2</v>
      </c>
      <c r="T560" s="19">
        <f t="shared" si="64"/>
        <v>4.2440433379197673E-2</v>
      </c>
      <c r="U560" s="24">
        <v>4.059520914057857E-2</v>
      </c>
      <c r="V560" s="24">
        <f t="shared" si="65"/>
        <v>4.2546799214667308E-2</v>
      </c>
      <c r="W560" s="23">
        <f t="shared" si="66"/>
        <v>3.4779284021111412E-3</v>
      </c>
      <c r="X560" s="24">
        <v>4.0042928043561909E-2</v>
      </c>
      <c r="Y560" s="24">
        <f t="shared" si="67"/>
        <v>4.2521859541549745E-2</v>
      </c>
      <c r="Z560" s="23">
        <f t="shared" si="68"/>
        <v>3.475898247971454E-3</v>
      </c>
      <c r="AA560" s="36"/>
    </row>
    <row r="561" spans="15:27" ht="17.100000000000001" customHeight="1" x14ac:dyDescent="0.3">
      <c r="O561" s="12">
        <f t="shared" si="62"/>
        <v>45.666666666666664</v>
      </c>
      <c r="P561" s="13">
        <v>548</v>
      </c>
      <c r="Q561" s="22">
        <v>3.3389633810259056E-2</v>
      </c>
      <c r="R561" s="19">
        <f t="shared" si="63"/>
        <v>3.0042913783075553E-2</v>
      </c>
      <c r="S561" s="22">
        <v>3.7875206559776498E-2</v>
      </c>
      <c r="T561" s="19">
        <f t="shared" si="64"/>
        <v>4.2446003558018752E-2</v>
      </c>
      <c r="U561" s="24">
        <v>4.0598767107060452E-2</v>
      </c>
      <c r="V561" s="24">
        <f t="shared" si="65"/>
        <v>4.2550759476835065E-2</v>
      </c>
      <c r="W561" s="23">
        <f t="shared" si="66"/>
        <v>3.4782488685722868E-3</v>
      </c>
      <c r="X561" s="24">
        <v>4.0047446268577147E-2</v>
      </c>
      <c r="Y561" s="24">
        <f t="shared" si="67"/>
        <v>4.252618548842424E-2</v>
      </c>
      <c r="Z561" s="23">
        <f t="shared" si="68"/>
        <v>3.4762484232904178E-3</v>
      </c>
      <c r="AA561" s="36"/>
    </row>
    <row r="562" spans="15:27" ht="17.100000000000001" customHeight="1" x14ac:dyDescent="0.3">
      <c r="O562" s="12">
        <f t="shared" si="62"/>
        <v>45.75</v>
      </c>
      <c r="P562" s="13">
        <v>549</v>
      </c>
      <c r="Q562" s="22">
        <v>3.3383527906486021E-2</v>
      </c>
      <c r="R562" s="19">
        <f t="shared" si="63"/>
        <v>3.0059047463652178E-2</v>
      </c>
      <c r="S562" s="22">
        <v>3.7883513991144646E-2</v>
      </c>
      <c r="T562" s="19">
        <f t="shared" si="64"/>
        <v>4.2451518059328563E-2</v>
      </c>
      <c r="U562" s="24">
        <v>4.0602319324138936E-2</v>
      </c>
      <c r="V562" s="24">
        <f t="shared" si="65"/>
        <v>4.2554684998731052E-2</v>
      </c>
      <c r="W562" s="23">
        <f t="shared" si="66"/>
        <v>3.478566522579829E-3</v>
      </c>
      <c r="X562" s="24">
        <v>4.0051955914277571E-2</v>
      </c>
      <c r="Y562" s="24">
        <f t="shared" si="67"/>
        <v>4.2530472143063713E-2</v>
      </c>
      <c r="Z562" s="23">
        <f t="shared" si="68"/>
        <v>3.4765954165489887E-3</v>
      </c>
      <c r="AA562" s="36"/>
    </row>
    <row r="563" spans="15:27" ht="17.100000000000001" customHeight="1" x14ac:dyDescent="0.3">
      <c r="O563" s="12">
        <f t="shared" si="62"/>
        <v>45.833333333333336</v>
      </c>
      <c r="P563" s="13">
        <v>550</v>
      </c>
      <c r="Q563" s="22">
        <v>3.3377473670576974E-2</v>
      </c>
      <c r="R563" s="19">
        <f t="shared" si="63"/>
        <v>3.0075362718595677E-2</v>
      </c>
      <c r="S563" s="22">
        <v>3.7891801262340818E-2</v>
      </c>
      <c r="T563" s="19">
        <f t="shared" si="64"/>
        <v>4.2456977445776589E-2</v>
      </c>
      <c r="U563" s="24">
        <v>4.0605865760108717E-2</v>
      </c>
      <c r="V563" s="24">
        <f t="shared" si="65"/>
        <v>4.2558576088642885E-2</v>
      </c>
      <c r="W563" s="23">
        <f t="shared" si="66"/>
        <v>3.4788813889665704E-3</v>
      </c>
      <c r="X563" s="24">
        <v>4.0056456956151454E-2</v>
      </c>
      <c r="Y563" s="24">
        <f t="shared" si="67"/>
        <v>4.2534719865483961E-2</v>
      </c>
      <c r="Z563" s="23">
        <f t="shared" si="68"/>
        <v>3.4769392567930435E-3</v>
      </c>
      <c r="AA563" s="36"/>
    </row>
    <row r="564" spans="15:27" ht="17.100000000000001" customHeight="1" x14ac:dyDescent="0.3">
      <c r="O564" s="12">
        <f t="shared" si="62"/>
        <v>45.916666666666664</v>
      </c>
      <c r="P564" s="13">
        <v>551</v>
      </c>
      <c r="Q564" s="22">
        <v>3.3371471150639653E-2</v>
      </c>
      <c r="R564" s="19">
        <f t="shared" si="63"/>
        <v>3.0091860422853278E-2</v>
      </c>
      <c r="S564" s="22">
        <v>3.790006838336657E-2</v>
      </c>
      <c r="T564" s="19">
        <f t="shared" si="64"/>
        <v>4.2462382272307586E-2</v>
      </c>
      <c r="U564" s="24">
        <v>4.0609406384052749E-2</v>
      </c>
      <c r="V564" s="24">
        <f t="shared" si="65"/>
        <v>4.2562433050857829E-2</v>
      </c>
      <c r="W564" s="23">
        <f t="shared" si="66"/>
        <v>3.4791934924889301E-3</v>
      </c>
      <c r="X564" s="24">
        <v>4.0060949370516852E-2</v>
      </c>
      <c r="Y564" s="24">
        <f t="shared" si="67"/>
        <v>4.2538929013042237E-2</v>
      </c>
      <c r="Z564" s="23">
        <f t="shared" si="68"/>
        <v>3.4772799729356763E-3</v>
      </c>
      <c r="AA564" s="36"/>
    </row>
    <row r="565" spans="15:27" ht="17.100000000000001" customHeight="1" x14ac:dyDescent="0.3">
      <c r="O565" s="12">
        <f t="shared" si="62"/>
        <v>46</v>
      </c>
      <c r="P565" s="13">
        <v>552</v>
      </c>
      <c r="Q565" s="22">
        <v>3.3365520396007264E-2</v>
      </c>
      <c r="R565" s="19">
        <f t="shared" si="63"/>
        <v>3.0108540146382534E-2</v>
      </c>
      <c r="S565" s="22">
        <v>3.7908315365151379E-2</v>
      </c>
      <c r="T565" s="19">
        <f t="shared" si="64"/>
        <v>4.2467733088453974E-2</v>
      </c>
      <c r="U565" s="24">
        <v>4.0612941165828476E-2</v>
      </c>
      <c r="V565" s="24">
        <f t="shared" si="65"/>
        <v>4.2566256187090978E-2</v>
      </c>
      <c r="W565" s="23">
        <f t="shared" si="66"/>
        <v>3.4795028575818066E-3</v>
      </c>
      <c r="X565" s="24">
        <v>4.0065433134508943E-2</v>
      </c>
      <c r="Y565" s="24">
        <f t="shared" si="67"/>
        <v>4.2543099938408213E-2</v>
      </c>
      <c r="Z565" s="23">
        <f t="shared" si="68"/>
        <v>3.4776175936759302E-3</v>
      </c>
      <c r="AA565" s="36"/>
    </row>
    <row r="566" spans="15:27" ht="17.100000000000001" customHeight="1" x14ac:dyDescent="0.3">
      <c r="O566" s="12">
        <f t="shared" si="62"/>
        <v>46.083333333333336</v>
      </c>
      <c r="P566" s="13">
        <v>553</v>
      </c>
      <c r="Q566" s="22">
        <v>3.3359621454860822E-2</v>
      </c>
      <c r="R566" s="19">
        <f t="shared" si="63"/>
        <v>3.0125397527072106E-2</v>
      </c>
      <c r="S566" s="22">
        <v>3.7916542219534666E-2</v>
      </c>
      <c r="T566" s="19">
        <f t="shared" si="64"/>
        <v>4.2473030437617521E-2</v>
      </c>
      <c r="U566" s="24">
        <v>4.0616470076055622E-2</v>
      </c>
      <c r="V566" s="24">
        <f t="shared" si="65"/>
        <v>4.2570045794678713E-2</v>
      </c>
      <c r="W566" s="23">
        <f t="shared" si="66"/>
        <v>3.4798095084735969E-3</v>
      </c>
      <c r="X566" s="24">
        <v>4.0069908226064488E-2</v>
      </c>
      <c r="Y566" s="24">
        <f t="shared" si="67"/>
        <v>4.2547232989758488E-2</v>
      </c>
      <c r="Z566" s="23">
        <f t="shared" si="68"/>
        <v>3.4779521473362607E-3</v>
      </c>
      <c r="AA566" s="36"/>
    </row>
    <row r="567" spans="15:27" ht="17.100000000000001" customHeight="1" x14ac:dyDescent="0.3">
      <c r="O567" s="12">
        <f t="shared" si="62"/>
        <v>46.166666666666664</v>
      </c>
      <c r="P567" s="13">
        <v>554</v>
      </c>
      <c r="Q567" s="22">
        <v>3.3353774367118616E-2</v>
      </c>
      <c r="R567" s="19">
        <f t="shared" si="63"/>
        <v>3.0142432173076106E-2</v>
      </c>
      <c r="S567" s="22">
        <v>3.792474895924669E-2</v>
      </c>
      <c r="T567" s="19">
        <f t="shared" si="64"/>
        <v>4.2478274858814835E-2</v>
      </c>
      <c r="U567" s="24">
        <v>4.0619993086101758E-2</v>
      </c>
      <c r="V567" s="24">
        <f t="shared" si="65"/>
        <v>4.2573802170678521E-2</v>
      </c>
      <c r="W567" s="23">
        <f t="shared" si="66"/>
        <v>3.4801134690407576E-3</v>
      </c>
      <c r="X567" s="24">
        <v>4.0074374623906284E-2</v>
      </c>
      <c r="Y567" s="24">
        <f t="shared" si="67"/>
        <v>4.2551328514720765E-2</v>
      </c>
      <c r="Z567" s="23">
        <f t="shared" si="68"/>
        <v>3.4782836618774127E-3</v>
      </c>
      <c r="AA567" s="36"/>
    </row>
    <row r="568" spans="15:27" ht="17.100000000000001" customHeight="1" x14ac:dyDescent="0.3">
      <c r="O568" s="12">
        <f t="shared" si="62"/>
        <v>46.25</v>
      </c>
      <c r="P568" s="13">
        <v>555</v>
      </c>
      <c r="Q568" s="22">
        <v>3.3347979171688191E-2</v>
      </c>
      <c r="R568" s="19">
        <f t="shared" si="63"/>
        <v>3.0159645026563986E-2</v>
      </c>
      <c r="S568" s="22">
        <v>3.7932935597892126E-2</v>
      </c>
      <c r="T568" s="19">
        <f t="shared" si="64"/>
        <v>4.2483466885386623E-2</v>
      </c>
      <c r="U568" s="24">
        <v>4.0623510168075194E-2</v>
      </c>
      <c r="V568" s="24">
        <f t="shared" si="65"/>
        <v>4.2577525609494238E-2</v>
      </c>
      <c r="W568" s="23">
        <f t="shared" si="66"/>
        <v>3.4804147631364302E-3</v>
      </c>
      <c r="X568" s="24">
        <v>4.0078832307535395E-2</v>
      </c>
      <c r="Y568" s="24">
        <f t="shared" si="67"/>
        <v>4.2555386857155764E-2</v>
      </c>
      <c r="Z568" s="23">
        <f t="shared" si="68"/>
        <v>3.4786121652159441E-3</v>
      </c>
      <c r="AA568" s="36"/>
    </row>
    <row r="569" spans="15:27" ht="17.100000000000001" customHeight="1" x14ac:dyDescent="0.3">
      <c r="O569" s="12">
        <f t="shared" si="62"/>
        <v>46.333333333333336</v>
      </c>
      <c r="P569" s="13">
        <v>556</v>
      </c>
      <c r="Q569" s="22">
        <v>3.3342235908881523E-2</v>
      </c>
      <c r="R569" s="19">
        <f t="shared" si="63"/>
        <v>3.0177037043616295E-2</v>
      </c>
      <c r="S569" s="22">
        <v>3.7941102149932959E-2</v>
      </c>
      <c r="T569" s="19">
        <f t="shared" si="64"/>
        <v>4.2488607043860149E-2</v>
      </c>
      <c r="U569" s="24">
        <v>4.0627021294813215E-2</v>
      </c>
      <c r="V569" s="24">
        <f t="shared" si="65"/>
        <v>4.2581216402001854E-2</v>
      </c>
      <c r="W569" s="23">
        <f t="shared" si="66"/>
        <v>3.4807134144008156E-3</v>
      </c>
      <c r="X569" s="24">
        <v>4.0083281257216941E-2</v>
      </c>
      <c r="Y569" s="24">
        <f t="shared" si="67"/>
        <v>4.2559408356818373E-2</v>
      </c>
      <c r="Z569" s="23">
        <f t="shared" si="68"/>
        <v>3.478937684965544E-3</v>
      </c>
      <c r="AA569" s="36"/>
    </row>
    <row r="570" spans="15:27" ht="17.100000000000001" customHeight="1" x14ac:dyDescent="0.3">
      <c r="O570" s="12">
        <f t="shared" si="62"/>
        <v>46.416666666666664</v>
      </c>
      <c r="P570" s="13">
        <v>557</v>
      </c>
      <c r="Q570" s="22">
        <v>3.3336544620427233E-2</v>
      </c>
      <c r="R570" s="19">
        <f t="shared" si="63"/>
        <v>3.0194609195773658E-2</v>
      </c>
      <c r="S570" s="22">
        <v>3.7949248630667842E-2</v>
      </c>
      <c r="T570" s="19">
        <f t="shared" si="64"/>
        <v>4.2493695856621549E-2</v>
      </c>
      <c r="U570" s="24">
        <v>4.0630526439869197E-2</v>
      </c>
      <c r="V570" s="24">
        <f t="shared" si="65"/>
        <v>4.2584874834345143E-2</v>
      </c>
      <c r="W570" s="23">
        <f t="shared" si="66"/>
        <v>3.4810094461905638E-3</v>
      </c>
      <c r="X570" s="24">
        <v>4.0087721453966552E-2</v>
      </c>
      <c r="Y570" s="24">
        <f t="shared" si="67"/>
        <v>4.2563393348883594E-2</v>
      </c>
      <c r="Z570" s="23">
        <f t="shared" si="68"/>
        <v>3.4792602484094992E-3</v>
      </c>
      <c r="AA570" s="36"/>
    </row>
    <row r="571" spans="15:27" ht="17.100000000000001" customHeight="1" x14ac:dyDescent="0.3">
      <c r="O571" s="12">
        <f t="shared" si="62"/>
        <v>46.5</v>
      </c>
      <c r="P571" s="13">
        <v>558</v>
      </c>
      <c r="Q571" s="22">
        <v>3.3330905349485906E-2</v>
      </c>
      <c r="R571" s="19">
        <f t="shared" si="63"/>
        <v>3.0212361174957403E-2</v>
      </c>
      <c r="S571" s="22">
        <v>3.7957375056217435E-2</v>
      </c>
      <c r="T571" s="19">
        <f t="shared" si="64"/>
        <v>4.2498733840544034E-2</v>
      </c>
      <c r="U571" s="24">
        <v>4.0634025577497956E-2</v>
      </c>
      <c r="V571" s="24">
        <f t="shared" si="65"/>
        <v>4.2588501193538741E-2</v>
      </c>
      <c r="W571" s="23">
        <f t="shared" si="66"/>
        <v>3.4813028814819624E-3</v>
      </c>
      <c r="X571" s="24">
        <v>4.0092152879534604E-2</v>
      </c>
      <c r="Y571" s="24">
        <f t="shared" si="67"/>
        <v>4.2567342168772671E-2</v>
      </c>
      <c r="Z571" s="23">
        <f t="shared" si="68"/>
        <v>3.4795798824636126E-3</v>
      </c>
      <c r="AA571" s="36"/>
    </row>
    <row r="572" spans="15:27" ht="17.100000000000001" customHeight="1" x14ac:dyDescent="0.3">
      <c r="O572" s="12">
        <f t="shared" si="62"/>
        <v>46.583333333333336</v>
      </c>
      <c r="P572" s="13">
        <v>559</v>
      </c>
      <c r="Q572" s="22">
        <v>3.3325318138340609E-2</v>
      </c>
      <c r="R572" s="19">
        <f t="shared" si="63"/>
        <v>3.0230288811815997E-2</v>
      </c>
      <c r="S572" s="22">
        <v>3.796548144350731E-2</v>
      </c>
      <c r="T572" s="19">
        <f t="shared" si="64"/>
        <v>4.2503721507133996E-2</v>
      </c>
      <c r="U572" s="24">
        <v>4.0637518682651308E-2</v>
      </c>
      <c r="V572" s="24">
        <f t="shared" si="65"/>
        <v>4.2592095764278248E-2</v>
      </c>
      <c r="W572" s="23">
        <f t="shared" si="66"/>
        <v>3.4815937433207989E-3</v>
      </c>
      <c r="X572" s="24">
        <v>4.0096575516400668E-2</v>
      </c>
      <c r="Y572" s="24">
        <f t="shared" si="67"/>
        <v>4.2571255147442422E-2</v>
      </c>
      <c r="Z572" s="23">
        <f t="shared" si="68"/>
        <v>3.4798966140623389E-3</v>
      </c>
      <c r="AA572" s="36"/>
    </row>
    <row r="573" spans="15:27" ht="17.100000000000001" customHeight="1" x14ac:dyDescent="0.3">
      <c r="O573" s="12">
        <f t="shared" si="62"/>
        <v>46.666666666666664</v>
      </c>
      <c r="P573" s="13">
        <v>560</v>
      </c>
      <c r="Q573" s="22">
        <v>3.331978302148908E-2</v>
      </c>
      <c r="R573" s="19">
        <f t="shared" si="63"/>
        <v>3.0248391835999922E-2</v>
      </c>
      <c r="S573" s="22">
        <v>3.7973567810251296E-2</v>
      </c>
      <c r="T573" s="19">
        <f t="shared" si="64"/>
        <v>4.2508659363326817E-2</v>
      </c>
      <c r="U573" s="24">
        <v>4.0641005730966739E-2</v>
      </c>
      <c r="V573" s="24">
        <f t="shared" si="65"/>
        <v>4.2595658825565375E-2</v>
      </c>
      <c r="W573" s="23">
        <f t="shared" si="66"/>
        <v>3.4818820545665652E-3</v>
      </c>
      <c r="X573" s="24">
        <v>4.0100989347759297E-2</v>
      </c>
      <c r="Y573" s="24">
        <f t="shared" si="67"/>
        <v>4.257513261226209E-2</v>
      </c>
      <c r="Z573" s="23">
        <f t="shared" si="68"/>
        <v>3.4802104697817526E-3</v>
      </c>
      <c r="AA573" s="36"/>
    </row>
    <row r="574" spans="15:27" ht="17.100000000000001" customHeight="1" x14ac:dyDescent="0.3">
      <c r="O574" s="12">
        <f t="shared" si="62"/>
        <v>46.75</v>
      </c>
      <c r="P574" s="13">
        <v>561</v>
      </c>
      <c r="Q574" s="22">
        <v>3.3314300032684319E-2</v>
      </c>
      <c r="R574" s="19">
        <f t="shared" si="63"/>
        <v>3.0266671286261149E-2</v>
      </c>
      <c r="S574" s="22">
        <v>3.7981634174936163E-2</v>
      </c>
      <c r="T574" s="19">
        <f t="shared" si="64"/>
        <v>4.251354790799966E-2</v>
      </c>
      <c r="U574" s="24">
        <v>4.0644486698752313E-2</v>
      </c>
      <c r="V574" s="24">
        <f t="shared" si="65"/>
        <v>4.2599190654383223E-2</v>
      </c>
      <c r="W574" s="23">
        <f t="shared" si="66"/>
        <v>3.4821678376211196E-3</v>
      </c>
      <c r="X574" s="24">
        <v>4.0105394357506263E-2</v>
      </c>
      <c r="Y574" s="24">
        <f t="shared" si="67"/>
        <v>4.2578974886066545E-2</v>
      </c>
      <c r="Z574" s="23">
        <f t="shared" si="68"/>
        <v>3.4805214759088265E-3</v>
      </c>
      <c r="AA574" s="36"/>
    </row>
    <row r="575" spans="15:27" ht="17.100000000000001" customHeight="1" x14ac:dyDescent="0.3">
      <c r="O575" s="12">
        <f t="shared" si="62"/>
        <v>46.833333333333336</v>
      </c>
      <c r="P575" s="13">
        <v>562</v>
      </c>
      <c r="Q575" s="22">
        <v>3.3308869207277825E-2</v>
      </c>
      <c r="R575" s="19">
        <f t="shared" si="63"/>
        <v>3.0285128215841173E-2</v>
      </c>
      <c r="S575" s="22">
        <v>3.7989680556800964E-2</v>
      </c>
      <c r="T575" s="19">
        <f t="shared" si="64"/>
        <v>4.251838763953586E-2</v>
      </c>
      <c r="U575" s="24">
        <v>4.0647961562976231E-2</v>
      </c>
      <c r="V575" s="24">
        <f t="shared" si="65"/>
        <v>4.2602691528609293E-2</v>
      </c>
      <c r="W575" s="23">
        <f t="shared" si="66"/>
        <v>3.4824511147242276E-3</v>
      </c>
      <c r="X575" s="24">
        <v>4.0109790530225231E-2</v>
      </c>
      <c r="Y575" s="24">
        <f t="shared" si="67"/>
        <v>4.2582782292243992E-2</v>
      </c>
      <c r="Z575" s="23">
        <f t="shared" si="68"/>
        <v>3.4808296583672682E-3</v>
      </c>
      <c r="AA575" s="36"/>
    </row>
    <row r="576" spans="15:27" ht="17.100000000000001" customHeight="1" x14ac:dyDescent="0.3">
      <c r="O576" s="12">
        <f t="shared" si="62"/>
        <v>46.916666666666664</v>
      </c>
      <c r="P576" s="13">
        <v>563</v>
      </c>
      <c r="Q576" s="22">
        <v>3.3303490582230477E-2</v>
      </c>
      <c r="R576" s="19">
        <f t="shared" si="63"/>
        <v>3.0303763691156504E-2</v>
      </c>
      <c r="S576" s="22">
        <v>3.7997706975828605E-2</v>
      </c>
      <c r="T576" s="19">
        <f t="shared" si="64"/>
        <v>4.2523179047736059E-2</v>
      </c>
      <c r="U576" s="24">
        <v>4.0651430301263058E-2</v>
      </c>
      <c r="V576" s="24">
        <f t="shared" si="65"/>
        <v>4.2606161720596836E-2</v>
      </c>
      <c r="W576" s="23">
        <f t="shared" si="66"/>
        <v>3.4827319081869312E-3</v>
      </c>
      <c r="X576" s="24">
        <v>4.0114177851182431E-2</v>
      </c>
      <c r="Y576" s="24">
        <f t="shared" si="67"/>
        <v>4.2586555149687788E-2</v>
      </c>
      <c r="Z576" s="23">
        <f t="shared" si="68"/>
        <v>3.4811350431236399E-3</v>
      </c>
      <c r="AA576" s="36"/>
    </row>
    <row r="577" spans="15:27" ht="17.100000000000001" customHeight="1" x14ac:dyDescent="0.3">
      <c r="O577" s="12">
        <f t="shared" si="62"/>
        <v>47</v>
      </c>
      <c r="P577" s="13">
        <v>564</v>
      </c>
      <c r="Q577" s="22">
        <v>3.3298164196121638E-2</v>
      </c>
      <c r="R577" s="19">
        <f t="shared" si="63"/>
        <v>3.0322577525701E-2</v>
      </c>
      <c r="S577" s="22">
        <v>3.8005713452724965E-2</v>
      </c>
      <c r="T577" s="19">
        <f t="shared" si="64"/>
        <v>4.2527922619158387E-2</v>
      </c>
      <c r="U577" s="24">
        <v>4.0654892891877958E-2</v>
      </c>
      <c r="V577" s="24">
        <f t="shared" si="65"/>
        <v>4.2609601501312433E-2</v>
      </c>
      <c r="W577" s="23">
        <f t="shared" si="66"/>
        <v>3.4830102398764051E-3</v>
      </c>
      <c r="X577" s="24">
        <v>4.0118556306312225E-2</v>
      </c>
      <c r="Y577" s="24">
        <f t="shared" si="67"/>
        <v>4.2590293773194565E-2</v>
      </c>
      <c r="Z577" s="23">
        <f t="shared" si="68"/>
        <v>3.4814376557836813E-3</v>
      </c>
      <c r="AA577" s="36"/>
    </row>
    <row r="578" spans="15:27" ht="17.100000000000001" customHeight="1" x14ac:dyDescent="0.3">
      <c r="O578" s="12">
        <f t="shared" si="62"/>
        <v>47.083333333333336</v>
      </c>
      <c r="P578" s="13">
        <v>565</v>
      </c>
      <c r="Q578" s="22">
        <v>3.3292890086910942E-2</v>
      </c>
      <c r="R578" s="19">
        <f t="shared" si="63"/>
        <v>3.0341565740494403E-2</v>
      </c>
      <c r="S578" s="22">
        <v>3.8013700008906248E-2</v>
      </c>
      <c r="T578" s="19">
        <f t="shared" si="64"/>
        <v>4.2532618833475144E-2</v>
      </c>
      <c r="U578" s="24">
        <v>4.0658349313718478E-2</v>
      </c>
      <c r="V578" s="24">
        <f t="shared" si="65"/>
        <v>4.2613011137370815E-2</v>
      </c>
      <c r="W578" s="23">
        <f t="shared" si="66"/>
        <v>3.4832861315485797E-3</v>
      </c>
      <c r="X578" s="24">
        <v>4.0122925882204452E-2</v>
      </c>
      <c r="Y578" s="24">
        <f t="shared" si="67"/>
        <v>4.2593998474979911E-2</v>
      </c>
      <c r="Z578" s="23">
        <f t="shared" si="68"/>
        <v>3.4817375216242841E-3</v>
      </c>
      <c r="AA578" s="36"/>
    </row>
    <row r="579" spans="15:27" ht="17.100000000000001" customHeight="1" x14ac:dyDescent="0.3">
      <c r="O579" s="12">
        <f t="shared" si="62"/>
        <v>47.166666666666664</v>
      </c>
      <c r="P579" s="13">
        <v>566</v>
      </c>
      <c r="Q579" s="22">
        <v>3.328766828522367E-2</v>
      </c>
      <c r="R579" s="19">
        <f t="shared" si="63"/>
        <v>3.0360728185407915E-2</v>
      </c>
      <c r="S579" s="22">
        <v>3.8021666666480991E-2</v>
      </c>
      <c r="T579" s="19">
        <f t="shared" si="64"/>
        <v>4.2537268167488484E-2</v>
      </c>
      <c r="U579" s="24">
        <v>4.0661799546301447E-2</v>
      </c>
      <c r="V579" s="24">
        <f t="shared" si="65"/>
        <v>4.2616390896594414E-2</v>
      </c>
      <c r="W579" s="23">
        <f t="shared" si="66"/>
        <v>3.483559604609443E-3</v>
      </c>
      <c r="X579" s="24">
        <v>4.0127286566093767E-2</v>
      </c>
      <c r="Y579" s="24">
        <f t="shared" si="67"/>
        <v>4.2597669565328289E-2</v>
      </c>
      <c r="Z579" s="23">
        <f t="shared" si="68"/>
        <v>3.4820346657145063E-3</v>
      </c>
      <c r="AA579" s="36"/>
    </row>
    <row r="580" spans="15:27" ht="17.100000000000001" customHeight="1" x14ac:dyDescent="0.3">
      <c r="O580" s="12">
        <f t="shared" si="62"/>
        <v>47.25</v>
      </c>
      <c r="P580" s="13">
        <v>567</v>
      </c>
      <c r="Q580" s="22">
        <v>3.3282498821187945E-2</v>
      </c>
      <c r="R580" s="19">
        <f t="shared" si="63"/>
        <v>3.0380065995170957E-2</v>
      </c>
      <c r="S580" s="22">
        <v>3.8029613448238742E-2</v>
      </c>
      <c r="T580" s="19">
        <f t="shared" si="64"/>
        <v>4.2541871093194628E-2</v>
      </c>
      <c r="U580" s="24">
        <v>4.0665243569759868E-2</v>
      </c>
      <c r="V580" s="24">
        <f t="shared" si="65"/>
        <v>4.2619741042589032E-2</v>
      </c>
      <c r="W580" s="23">
        <f t="shared" si="66"/>
        <v>3.4838306805615726E-3</v>
      </c>
      <c r="X580" s="24">
        <v>4.0131638345850762E-2</v>
      </c>
      <c r="Y580" s="24">
        <f t="shared" si="67"/>
        <v>4.2601307352369666E-2</v>
      </c>
      <c r="Z580" s="23">
        <f t="shared" si="68"/>
        <v>3.4823291129675304E-3</v>
      </c>
      <c r="AA580" s="36"/>
    </row>
    <row r="581" spans="15:27" ht="17.100000000000001" customHeight="1" x14ac:dyDescent="0.3">
      <c r="O581" s="12">
        <f t="shared" si="62"/>
        <v>47.333333333333336</v>
      </c>
      <c r="P581" s="13">
        <v>568</v>
      </c>
      <c r="Q581" s="22">
        <v>3.3277381726708022E-2</v>
      </c>
      <c r="R581" s="19">
        <f t="shared" si="63"/>
        <v>3.0399580317601815E-2</v>
      </c>
      <c r="S581" s="22">
        <v>3.8037540377635626E-2</v>
      </c>
      <c r="T581" s="19">
        <f t="shared" si="64"/>
        <v>4.25464280758443E-2</v>
      </c>
      <c r="U581" s="24">
        <v>4.0668681364829373E-2</v>
      </c>
      <c r="V581" s="24">
        <f t="shared" si="65"/>
        <v>4.2623061835061149E-2</v>
      </c>
      <c r="W581" s="23">
        <f t="shared" si="66"/>
        <v>3.48409938056915E-3</v>
      </c>
      <c r="X581" s="24">
        <v>4.0135981209972638E-2</v>
      </c>
      <c r="Y581" s="24">
        <f t="shared" si="67"/>
        <v>4.2604912138584528E-2</v>
      </c>
      <c r="Z581" s="23">
        <f t="shared" si="68"/>
        <v>3.4826208881237886E-3</v>
      </c>
      <c r="AA581" s="36"/>
    </row>
    <row r="582" spans="15:27" ht="17.100000000000001" customHeight="1" x14ac:dyDescent="0.3">
      <c r="O582" s="12">
        <f t="shared" si="62"/>
        <v>47.416666666666664</v>
      </c>
      <c r="P582" s="13">
        <v>569</v>
      </c>
      <c r="Q582" s="22">
        <v>3.3272317035470955E-2</v>
      </c>
      <c r="R582" s="19">
        <f t="shared" si="63"/>
        <v>3.0419272317709467E-2</v>
      </c>
      <c r="S582" s="22">
        <v>3.8045447478776584E-2</v>
      </c>
      <c r="T582" s="19">
        <f t="shared" si="64"/>
        <v>4.2550939577307156E-2</v>
      </c>
      <c r="U582" s="24">
        <v>4.0672112912836678E-2</v>
      </c>
      <c r="V582" s="24">
        <f t="shared" si="65"/>
        <v>4.2626353533508965E-2</v>
      </c>
      <c r="W582" s="23">
        <f t="shared" si="66"/>
        <v>3.4843657254828297E-3</v>
      </c>
      <c r="X582" s="24">
        <v>4.014031514756744E-2</v>
      </c>
      <c r="Y582" s="24">
        <f t="shared" si="67"/>
        <v>4.2608484225919341E-2</v>
      </c>
      <c r="Z582" s="23">
        <f t="shared" si="68"/>
        <v>3.4829100154696313E-3</v>
      </c>
      <c r="AA582" s="36"/>
    </row>
    <row r="583" spans="15:27" ht="17.100000000000001" customHeight="1" x14ac:dyDescent="0.3">
      <c r="O583" s="12">
        <f t="shared" si="62"/>
        <v>47.5</v>
      </c>
      <c r="P583" s="13">
        <v>570</v>
      </c>
      <c r="Q583" s="22">
        <v>3.3267304782961249E-2</v>
      </c>
      <c r="R583" s="19">
        <f t="shared" si="63"/>
        <v>3.0439141926670521E-2</v>
      </c>
      <c r="S583" s="22">
        <v>3.8053334776404268E-2</v>
      </c>
      <c r="T583" s="19">
        <f t="shared" si="64"/>
        <v>4.2555406054678446E-2</v>
      </c>
      <c r="U583" s="24">
        <v>4.0675538195694028E-2</v>
      </c>
      <c r="V583" s="24">
        <f t="shared" si="65"/>
        <v>4.2629616394974423E-2</v>
      </c>
      <c r="W583" s="23">
        <f t="shared" si="66"/>
        <v>3.4846297361361689E-3</v>
      </c>
      <c r="X583" s="24">
        <v>4.0144640148348065E-2</v>
      </c>
      <c r="Y583" s="24">
        <f t="shared" si="67"/>
        <v>4.261202391267771E-2</v>
      </c>
      <c r="Z583" s="23">
        <f t="shared" si="68"/>
        <v>3.4831965192485548E-3</v>
      </c>
      <c r="AA583" s="36"/>
    </row>
    <row r="584" spans="15:27" ht="17.100000000000001" customHeight="1" x14ac:dyDescent="0.3">
      <c r="O584" s="12">
        <f t="shared" si="62"/>
        <v>47.583333333333336</v>
      </c>
      <c r="P584" s="13">
        <v>571</v>
      </c>
      <c r="Q584" s="22">
        <v>3.3262345004277938E-2</v>
      </c>
      <c r="R584" s="19">
        <f t="shared" si="63"/>
        <v>3.0459185354726248E-2</v>
      </c>
      <c r="S584" s="22">
        <v>3.8061202295884611E-2</v>
      </c>
      <c r="T584" s="19">
        <f t="shared" si="64"/>
        <v>4.2559827960663155E-2</v>
      </c>
      <c r="U584" s="24">
        <v>4.0678957195889431E-2</v>
      </c>
      <c r="V584" s="24">
        <f t="shared" si="65"/>
        <v>4.263285067329714E-2</v>
      </c>
      <c r="W584" s="23">
        <f t="shared" si="66"/>
        <v>3.4848914331655489E-3</v>
      </c>
      <c r="X584" s="24">
        <v>4.0148956202620489E-2</v>
      </c>
      <c r="Y584" s="24">
        <f t="shared" si="67"/>
        <v>4.2615531495445058E-2</v>
      </c>
      <c r="Z584" s="23">
        <f t="shared" si="68"/>
        <v>3.4834804234105121E-3</v>
      </c>
      <c r="AA584" s="36"/>
    </row>
    <row r="585" spans="15:27" ht="17.100000000000001" customHeight="1" x14ac:dyDescent="0.3">
      <c r="O585" s="12">
        <f t="shared" si="62"/>
        <v>47.666666666666664</v>
      </c>
      <c r="P585" s="13">
        <v>572</v>
      </c>
      <c r="Q585" s="22">
        <v>3.3257437727615136E-2</v>
      </c>
      <c r="R585" s="19">
        <f t="shared" si="63"/>
        <v>3.0479402570626757E-2</v>
      </c>
      <c r="S585" s="22">
        <v>3.8069050063193943E-2</v>
      </c>
      <c r="T585" s="19">
        <f t="shared" si="64"/>
        <v>4.2564205742759098E-2</v>
      </c>
      <c r="U585" s="24">
        <v>4.0682369896476223E-2</v>
      </c>
      <c r="V585" s="24">
        <f t="shared" si="65"/>
        <v>4.263605662046932E-2</v>
      </c>
      <c r="W585" s="23">
        <f t="shared" si="66"/>
        <v>3.4851508369497797E-3</v>
      </c>
      <c r="X585" s="24">
        <v>4.0153263301275777E-2</v>
      </c>
      <c r="Y585" s="24">
        <f t="shared" si="67"/>
        <v>4.2619007266435416E-2</v>
      </c>
      <c r="Z585" s="23">
        <f t="shared" si="68"/>
        <v>3.4837617517677888E-3</v>
      </c>
      <c r="AA585" s="36"/>
    </row>
    <row r="586" spans="15:27" ht="17.100000000000001" customHeight="1" x14ac:dyDescent="0.3">
      <c r="O586" s="12">
        <f t="shared" si="62"/>
        <v>47.75</v>
      </c>
      <c r="P586" s="13">
        <v>573</v>
      </c>
      <c r="Q586" s="22">
        <v>3.3252582980900058E-2</v>
      </c>
      <c r="R586" s="19">
        <f t="shared" si="63"/>
        <v>3.0499794804689451E-2</v>
      </c>
      <c r="S586" s="22">
        <v>3.8076878104904566E-2</v>
      </c>
      <c r="T586" s="19">
        <f t="shared" si="64"/>
        <v>4.2568539843151898E-2</v>
      </c>
      <c r="U586" s="24">
        <v>4.0685776281065067E-2</v>
      </c>
      <c r="V586" s="24">
        <f t="shared" si="65"/>
        <v>4.2639234485588373E-2</v>
      </c>
      <c r="W586" s="23">
        <f t="shared" si="66"/>
        <v>3.485407967719345E-3</v>
      </c>
      <c r="X586" s="24">
        <v>4.01575614357772E-2</v>
      </c>
      <c r="Y586" s="24">
        <f t="shared" si="67"/>
        <v>4.2622451515522686E-2</v>
      </c>
      <c r="Z586" s="23">
        <f t="shared" si="68"/>
        <v>3.4840405277813957E-3</v>
      </c>
      <c r="AA586" s="36"/>
    </row>
    <row r="587" spans="15:27" ht="17.100000000000001" customHeight="1" x14ac:dyDescent="0.3">
      <c r="O587" s="12">
        <f t="shared" si="62"/>
        <v>47.833333333333336</v>
      </c>
      <c r="P587" s="13">
        <v>574</v>
      </c>
      <c r="Q587" s="22">
        <v>3.3247780793998594E-2</v>
      </c>
      <c r="R587" s="19">
        <f t="shared" si="63"/>
        <v>3.0520363301341336E-2</v>
      </c>
      <c r="S587" s="22">
        <v>3.8084686448170757E-2</v>
      </c>
      <c r="T587" s="19">
        <f t="shared" si="64"/>
        <v>4.2572830701889552E-2</v>
      </c>
      <c r="U587" s="24">
        <v>4.0689176333813748E-2</v>
      </c>
      <c r="V587" s="24">
        <f t="shared" si="65"/>
        <v>4.2642384516918597E-2</v>
      </c>
      <c r="W587" s="23">
        <f t="shared" si="66"/>
        <v>3.4856628454720262E-3</v>
      </c>
      <c r="X587" s="24">
        <v>4.0161850598150917E-2</v>
      </c>
      <c r="Y587" s="24">
        <f t="shared" si="67"/>
        <v>4.26258645316695E-2</v>
      </c>
      <c r="Z587" s="23">
        <f t="shared" si="68"/>
        <v>3.48431677472405E-3</v>
      </c>
      <c r="AA587" s="36"/>
    </row>
    <row r="588" spans="15:27" ht="17.100000000000001" customHeight="1" x14ac:dyDescent="0.3">
      <c r="O588" s="12">
        <f t="shared" si="62"/>
        <v>47.916666666666664</v>
      </c>
      <c r="P588" s="13">
        <v>575</v>
      </c>
      <c r="Q588" s="22">
        <v>3.3243031198723294E-2</v>
      </c>
      <c r="R588" s="19">
        <f t="shared" si="63"/>
        <v>3.0541109321632787E-2</v>
      </c>
      <c r="S588" s="22">
        <v>3.8092475120719227E-2</v>
      </c>
      <c r="T588" s="19">
        <f t="shared" si="64"/>
        <v>4.2577078752608521E-2</v>
      </c>
      <c r="U588" s="24">
        <v>4.0692570039421394E-2</v>
      </c>
      <c r="V588" s="24">
        <f t="shared" si="65"/>
        <v>4.264550696002245E-2</v>
      </c>
      <c r="W588" s="23">
        <f t="shared" si="66"/>
        <v>3.485915490138547E-3</v>
      </c>
      <c r="X588" s="24">
        <v>4.0166130780980192E-2</v>
      </c>
      <c r="Y588" s="24">
        <f t="shared" si="67"/>
        <v>4.2629246599700243E-2</v>
      </c>
      <c r="Z588" s="23">
        <f t="shared" si="68"/>
        <v>3.4845905157949719E-3</v>
      </c>
      <c r="AA588" s="36"/>
    </row>
    <row r="589" spans="15:27" ht="17.100000000000001" customHeight="1" x14ac:dyDescent="0.3">
      <c r="O589" s="12">
        <f t="shared" si="62"/>
        <v>48</v>
      </c>
      <c r="P589" s="13">
        <v>576</v>
      </c>
      <c r="Q589" s="22">
        <v>3.3238334228844479E-2</v>
      </c>
      <c r="R589" s="19">
        <f t="shared" si="63"/>
        <v>3.0562032915028459E-2</v>
      </c>
      <c r="S589" s="22">
        <v>3.8100244150834017E-2</v>
      </c>
      <c r="T589" s="19">
        <f t="shared" si="64"/>
        <v>4.2581284424427324E-2</v>
      </c>
      <c r="U589" s="24">
        <v>4.0695957383118486E-2</v>
      </c>
      <c r="V589" s="24">
        <f t="shared" si="65"/>
        <v>4.2648602056699181E-2</v>
      </c>
      <c r="W589" s="23">
        <f t="shared" si="66"/>
        <v>3.4861659214324714E-3</v>
      </c>
      <c r="X589" s="24">
        <v>4.0170401977392745E-2</v>
      </c>
      <c r="Y589" s="24">
        <f t="shared" si="67"/>
        <v>4.2632597999740396E-2</v>
      </c>
      <c r="Z589" s="23">
        <f t="shared" si="68"/>
        <v>3.4848617738609811E-3</v>
      </c>
      <c r="AA589" s="36"/>
    </row>
    <row r="590" spans="15:27" ht="17.100000000000001" customHeight="1" x14ac:dyDescent="0.3">
      <c r="O590" s="12">
        <f t="shared" ref="O590:O653" si="69">P590/12</f>
        <v>48.083333333333336</v>
      </c>
      <c r="P590" s="13">
        <v>577</v>
      </c>
      <c r="Q590" s="22">
        <v>3.3233689917968601E-2</v>
      </c>
      <c r="R590" s="19">
        <f t="shared" ref="R590:R653" si="70">(1+Q591)^P591/(1+Q590)^P590-1</f>
        <v>3.0583130479158394E-2</v>
      </c>
      <c r="S590" s="22">
        <v>3.8107993567342957E-2</v>
      </c>
      <c r="T590" s="19">
        <f t="shared" ref="T590:T653" si="71">(1+S591)^P591/(1+S590)^P590-1</f>
        <v>4.2585448143779736E-2</v>
      </c>
      <c r="U590" s="24">
        <v>4.0699338350656422E-2</v>
      </c>
      <c r="V590" s="24">
        <f t="shared" ref="V590:V653" si="72">(1+U591)^P591/(1+U590)^P590-1</f>
        <v>4.2651670049387302E-2</v>
      </c>
      <c r="W590" s="23">
        <f t="shared" si="66"/>
        <v>3.4864141587649389E-3</v>
      </c>
      <c r="X590" s="24">
        <v>4.0174664181048092E-2</v>
      </c>
      <c r="Y590" s="24">
        <f t="shared" si="67"/>
        <v>4.2635919014786694E-2</v>
      </c>
      <c r="Z590" s="23">
        <f t="shared" si="68"/>
        <v>3.4851305714116432E-3</v>
      </c>
      <c r="AA590" s="36"/>
    </row>
    <row r="591" spans="15:27" ht="17.100000000000001" customHeight="1" x14ac:dyDescent="0.3">
      <c r="O591" s="12">
        <f t="shared" si="69"/>
        <v>48.166666666666664</v>
      </c>
      <c r="P591" s="13">
        <v>578</v>
      </c>
      <c r="Q591" s="22">
        <v>3.3229098293204196E-2</v>
      </c>
      <c r="R591" s="19">
        <f t="shared" si="70"/>
        <v>3.0604402101254591E-2</v>
      </c>
      <c r="S591" s="22">
        <v>3.8115723399609225E-2</v>
      </c>
      <c r="T591" s="19">
        <f t="shared" si="71"/>
        <v>4.2589570330894722E-2</v>
      </c>
      <c r="U591" s="24">
        <v>4.0702712928303519E-2</v>
      </c>
      <c r="V591" s="24">
        <f t="shared" si="72"/>
        <v>4.2654711175563298E-2</v>
      </c>
      <c r="W591" s="23">
        <f t="shared" ref="W591:W654" si="73">(1+V590)^(1/12)-1</f>
        <v>3.486660221598159E-3</v>
      </c>
      <c r="X591" s="24">
        <v>4.0178917386138213E-2</v>
      </c>
      <c r="Y591" s="24">
        <f t="shared" ref="Y591:Y654" si="74">(1+X592)^P592/(1+X591)^P591-1</f>
        <v>4.2639209919708154E-2</v>
      </c>
      <c r="Z591" s="23">
        <f t="shared" ref="Z591:Z654" si="75">(1+Y590)^(1/12)-1</f>
        <v>3.4853969311658961E-3</v>
      </c>
      <c r="AA591" s="36"/>
    </row>
    <row r="592" spans="15:27" ht="17.100000000000001" customHeight="1" x14ac:dyDescent="0.3">
      <c r="O592" s="12">
        <f t="shared" si="69"/>
        <v>48.25</v>
      </c>
      <c r="P592" s="13">
        <v>579</v>
      </c>
      <c r="Q592" s="22">
        <v>3.3224559381608287E-2</v>
      </c>
      <c r="R592" s="19">
        <f t="shared" si="70"/>
        <v>3.062584910733146E-2</v>
      </c>
      <c r="S592" s="22">
        <v>3.8123433677515361E-2</v>
      </c>
      <c r="T592" s="19">
        <f t="shared" si="71"/>
        <v>4.2593651403488142E-2</v>
      </c>
      <c r="U592" s="24">
        <v>4.0706081102832359E-2</v>
      </c>
      <c r="V592" s="24">
        <f t="shared" si="72"/>
        <v>4.2657725673041824E-2</v>
      </c>
      <c r="W592" s="23">
        <f t="shared" si="73"/>
        <v>3.4869041289959934E-3</v>
      </c>
      <c r="X592" s="24">
        <v>4.0183161587368454E-2</v>
      </c>
      <c r="Y592" s="24">
        <f t="shared" si="74"/>
        <v>4.264247099030305E-2</v>
      </c>
      <c r="Z592" s="23">
        <f t="shared" si="75"/>
        <v>3.4856608751909768E-3</v>
      </c>
      <c r="AA592" s="36"/>
    </row>
    <row r="593" spans="15:27" ht="17.100000000000001" customHeight="1" x14ac:dyDescent="0.3">
      <c r="O593" s="12">
        <f t="shared" si="69"/>
        <v>48.333333333333336</v>
      </c>
      <c r="P593" s="13">
        <v>580</v>
      </c>
      <c r="Q593" s="22">
        <v>3.3220073212327117E-2</v>
      </c>
      <c r="R593" s="19">
        <f t="shared" si="70"/>
        <v>3.0647472839482326E-2</v>
      </c>
      <c r="S593" s="22">
        <v>3.8131124431454833E-2</v>
      </c>
      <c r="T593" s="19">
        <f t="shared" si="71"/>
        <v>4.2597691772942925E-2</v>
      </c>
      <c r="U593" s="24">
        <v>4.0709442861516232E-2</v>
      </c>
      <c r="V593" s="24">
        <f t="shared" si="72"/>
        <v>4.2660713775223069E-2</v>
      </c>
      <c r="W593" s="23">
        <f t="shared" si="73"/>
        <v>3.4871459000493932E-3</v>
      </c>
      <c r="X593" s="24">
        <v>4.0187396779955087E-2</v>
      </c>
      <c r="Y593" s="24">
        <f t="shared" si="74"/>
        <v>4.26457024978808E-2</v>
      </c>
      <c r="Z593" s="23">
        <f t="shared" si="75"/>
        <v>3.4859224256278409E-3</v>
      </c>
      <c r="AA593" s="36"/>
    </row>
    <row r="594" spans="15:27" ht="17.100000000000001" customHeight="1" x14ac:dyDescent="0.3">
      <c r="O594" s="12">
        <f t="shared" si="69"/>
        <v>48.416666666666664</v>
      </c>
      <c r="P594" s="13">
        <v>581</v>
      </c>
      <c r="Q594" s="22">
        <v>3.3215639816606135E-2</v>
      </c>
      <c r="R594" s="19">
        <f t="shared" si="70"/>
        <v>3.066927465336633E-2</v>
      </c>
      <c r="S594" s="22">
        <v>3.8138795692316707E-2</v>
      </c>
      <c r="T594" s="19">
        <f t="shared" si="71"/>
        <v>4.2601691848035861E-2</v>
      </c>
      <c r="U594" s="24">
        <v>4.0712798192116262E-2</v>
      </c>
      <c r="V594" s="24">
        <f t="shared" si="72"/>
        <v>4.2663675714755822E-2</v>
      </c>
      <c r="W594" s="23">
        <f t="shared" si="73"/>
        <v>3.487385553494482E-3</v>
      </c>
      <c r="X594" s="24">
        <v>4.0191622959613094E-2</v>
      </c>
      <c r="Y594" s="24">
        <f t="shared" si="74"/>
        <v>4.2648904711829028E-2</v>
      </c>
      <c r="Z594" s="23">
        <f t="shared" si="75"/>
        <v>3.4861816042570659E-3</v>
      </c>
      <c r="AA594" s="36"/>
    </row>
    <row r="595" spans="15:27" ht="17.100000000000001" customHeight="1" x14ac:dyDescent="0.3">
      <c r="O595" s="12">
        <f t="shared" si="69"/>
        <v>48.5</v>
      </c>
      <c r="P595" s="13">
        <v>582</v>
      </c>
      <c r="Q595" s="22">
        <v>3.3211259227794443E-2</v>
      </c>
      <c r="R595" s="19">
        <f t="shared" si="70"/>
        <v>3.0691254719397154E-2</v>
      </c>
      <c r="S595" s="22">
        <v>3.8146447491476998E-2</v>
      </c>
      <c r="T595" s="19">
        <f t="shared" si="71"/>
        <v>4.2605652034519492E-2</v>
      </c>
      <c r="U595" s="24">
        <v>4.0716147082877407E-2</v>
      </c>
      <c r="V595" s="24">
        <f t="shared" si="72"/>
        <v>4.2666611723742642E-2</v>
      </c>
      <c r="W595" s="23">
        <f t="shared" si="73"/>
        <v>3.4876231080067654E-3</v>
      </c>
      <c r="X595" s="24">
        <v>4.0195840122548399E-2</v>
      </c>
      <c r="Y595" s="24">
        <f t="shared" si="74"/>
        <v>4.2652077901102148E-2</v>
      </c>
      <c r="Z595" s="23">
        <f t="shared" si="75"/>
        <v>3.486438432704464E-3</v>
      </c>
      <c r="AA595" s="36"/>
    </row>
    <row r="596" spans="15:27" ht="17.100000000000001" customHeight="1" x14ac:dyDescent="0.3">
      <c r="O596" s="12">
        <f t="shared" si="69"/>
        <v>48.583333333333336</v>
      </c>
      <c r="P596" s="13">
        <v>583</v>
      </c>
      <c r="Q596" s="22">
        <v>3.3206931479289103E-2</v>
      </c>
      <c r="R596" s="19">
        <f t="shared" si="70"/>
        <v>3.0713409618156939E-2</v>
      </c>
      <c r="S596" s="22">
        <v>3.8154079860789336E-2</v>
      </c>
      <c r="T596" s="19">
        <f t="shared" si="71"/>
        <v>4.2609572730109013E-2</v>
      </c>
      <c r="U596" s="24">
        <v>4.0719489522522023E-2</v>
      </c>
      <c r="V596" s="24">
        <f t="shared" si="72"/>
        <v>4.2669522027858342E-2</v>
      </c>
      <c r="W596" s="23">
        <f t="shared" si="73"/>
        <v>3.4878585822177843E-3</v>
      </c>
      <c r="X596" s="24">
        <v>4.0200048265453203E-2</v>
      </c>
      <c r="Y596" s="24">
        <f t="shared" si="74"/>
        <v>4.2655222327390829E-2</v>
      </c>
      <c r="Z596" s="23">
        <f t="shared" si="75"/>
        <v>3.4866929325609863E-3</v>
      </c>
      <c r="AA596" s="36"/>
    </row>
    <row r="597" spans="15:27" ht="17.100000000000001" customHeight="1" x14ac:dyDescent="0.3">
      <c r="O597" s="12">
        <f t="shared" si="69"/>
        <v>48.666666666666664</v>
      </c>
      <c r="P597" s="13">
        <v>584</v>
      </c>
      <c r="Q597" s="22">
        <v>3.3202656598372515E-2</v>
      </c>
      <c r="R597" s="19">
        <f t="shared" si="70"/>
        <v>3.0735739557602226E-2</v>
      </c>
      <c r="S597" s="22">
        <v>3.8161692832566985E-2</v>
      </c>
      <c r="T597" s="19">
        <f t="shared" si="71"/>
        <v>4.2613454332059097E-2</v>
      </c>
      <c r="U597" s="24">
        <v>4.0722825500235427E-2</v>
      </c>
      <c r="V597" s="24">
        <f t="shared" si="72"/>
        <v>4.267240685521223E-2</v>
      </c>
      <c r="W597" s="23">
        <f t="shared" si="73"/>
        <v>3.4880919942432698E-3</v>
      </c>
      <c r="X597" s="24">
        <v>4.0204247385489333E-2</v>
      </c>
      <c r="Y597" s="24">
        <f t="shared" si="74"/>
        <v>4.2658338255041173E-2</v>
      </c>
      <c r="Z597" s="23">
        <f t="shared" si="75"/>
        <v>3.4869451248344951E-3</v>
      </c>
      <c r="AA597" s="36"/>
    </row>
    <row r="598" spans="15:27" ht="17.100000000000001" customHeight="1" x14ac:dyDescent="0.3">
      <c r="O598" s="12">
        <f t="shared" si="69"/>
        <v>48.75</v>
      </c>
      <c r="P598" s="13">
        <v>585</v>
      </c>
      <c r="Q598" s="22">
        <v>3.319843461248051E-2</v>
      </c>
      <c r="R598" s="19">
        <f t="shared" si="70"/>
        <v>3.075824596013077E-2</v>
      </c>
      <c r="S598" s="22">
        <v>3.816928643957862E-2</v>
      </c>
      <c r="T598" s="19">
        <f t="shared" si="71"/>
        <v>4.2617297232751428E-2</v>
      </c>
      <c r="U598" s="24">
        <v>4.072615500566612E-2</v>
      </c>
      <c r="V598" s="24">
        <f t="shared" si="72"/>
        <v>4.2675266429335057E-2</v>
      </c>
      <c r="W598" s="23">
        <f t="shared" si="73"/>
        <v>3.488323362393686E-3</v>
      </c>
      <c r="X598" s="24">
        <v>4.0208437480288683E-2</v>
      </c>
      <c r="Y598" s="24">
        <f t="shared" si="74"/>
        <v>4.2661425943225417E-2</v>
      </c>
      <c r="Z598" s="23">
        <f t="shared" si="75"/>
        <v>3.4871950307453492E-3</v>
      </c>
      <c r="AA598" s="36"/>
    </row>
    <row r="599" spans="15:27" ht="17.100000000000001" customHeight="1" x14ac:dyDescent="0.3">
      <c r="O599" s="12">
        <f t="shared" si="69"/>
        <v>48.833333333333336</v>
      </c>
      <c r="P599" s="13">
        <v>586</v>
      </c>
      <c r="Q599" s="22">
        <v>3.3194265551278468E-2</v>
      </c>
      <c r="R599" s="19">
        <f t="shared" si="70"/>
        <v>3.0780930264292961E-2</v>
      </c>
      <c r="S599" s="22">
        <v>3.8176860715035454E-2</v>
      </c>
      <c r="T599" s="19">
        <f t="shared" si="71"/>
        <v>4.2621101819623863E-2</v>
      </c>
      <c r="U599" s="24">
        <v>4.0729478028914023E-2</v>
      </c>
      <c r="V599" s="24">
        <f t="shared" si="72"/>
        <v>4.267810097309388E-2</v>
      </c>
      <c r="W599" s="23">
        <f t="shared" si="73"/>
        <v>3.4885527046120135E-3</v>
      </c>
      <c r="X599" s="24">
        <v>4.0212618547940338E-2</v>
      </c>
      <c r="Y599" s="24">
        <f t="shared" si="74"/>
        <v>4.2664485649348549E-2</v>
      </c>
      <c r="Z599" s="23">
        <f t="shared" si="75"/>
        <v>3.4874426710984618E-3</v>
      </c>
      <c r="AA599" s="36"/>
    </row>
    <row r="600" spans="15:27" ht="17.100000000000001" customHeight="1" x14ac:dyDescent="0.3">
      <c r="O600" s="12">
        <f t="shared" si="69"/>
        <v>48.916666666666664</v>
      </c>
      <c r="P600" s="13">
        <v>587</v>
      </c>
      <c r="Q600" s="22">
        <v>3.3190149446669759E-2</v>
      </c>
      <c r="R600" s="19">
        <f t="shared" si="70"/>
        <v>3.080379392338628E-2</v>
      </c>
      <c r="S600" s="22">
        <v>3.8184415692579909E-2</v>
      </c>
      <c r="T600" s="19">
        <f t="shared" si="71"/>
        <v>4.2624868477261435E-2</v>
      </c>
      <c r="U600" s="24">
        <v>4.0732794560525143E-2</v>
      </c>
      <c r="V600" s="24">
        <f t="shared" si="72"/>
        <v>4.2680910706635933E-2</v>
      </c>
      <c r="W600" s="23">
        <f t="shared" si="73"/>
        <v>3.488780038788164E-3</v>
      </c>
      <c r="X600" s="24">
        <v>4.0216790586983908E-2</v>
      </c>
      <c r="Y600" s="24">
        <f t="shared" si="74"/>
        <v>4.2667517628144136E-2</v>
      </c>
      <c r="Z600" s="23">
        <f t="shared" si="75"/>
        <v>3.487688066557082E-3</v>
      </c>
      <c r="AA600" s="36"/>
    </row>
    <row r="601" spans="15:27" ht="17.100000000000001" customHeight="1" x14ac:dyDescent="0.3">
      <c r="O601" s="12">
        <f t="shared" si="69"/>
        <v>49</v>
      </c>
      <c r="P601" s="13">
        <v>588</v>
      </c>
      <c r="Q601" s="22">
        <v>3.3186086332801068E-2</v>
      </c>
      <c r="R601" s="19">
        <f t="shared" si="70"/>
        <v>3.0826837227183157E-2</v>
      </c>
      <c r="S601" s="22">
        <v>3.8191951406276514E-2</v>
      </c>
      <c r="T601" s="19">
        <f t="shared" si="71"/>
        <v>4.2628597584995376E-2</v>
      </c>
      <c r="U601" s="24">
        <v>4.073610459148358E-2</v>
      </c>
      <c r="V601" s="24">
        <f t="shared" si="72"/>
        <v>4.2683695847025582E-2</v>
      </c>
      <c r="W601" s="23">
        <f t="shared" si="73"/>
        <v>3.4890053825926692E-3</v>
      </c>
      <c r="X601" s="24">
        <v>4.0220953596400877E-2</v>
      </c>
      <c r="Y601" s="24">
        <f t="shared" si="74"/>
        <v>4.2670522131864175E-2</v>
      </c>
      <c r="Z601" s="23">
        <f t="shared" si="75"/>
        <v>3.4879312375688531E-3</v>
      </c>
      <c r="AA601" s="36"/>
    </row>
    <row r="602" spans="15:27" ht="17.100000000000001" customHeight="1" x14ac:dyDescent="0.3">
      <c r="O602" s="12">
        <f t="shared" si="69"/>
        <v>49.083333333333336</v>
      </c>
      <c r="P602" s="13">
        <v>589</v>
      </c>
      <c r="Q602" s="22">
        <v>3.3182076244063552E-2</v>
      </c>
      <c r="R602" s="19">
        <f t="shared" si="70"/>
        <v>3.0850056940609827E-2</v>
      </c>
      <c r="S602" s="22">
        <v>3.819946789059947E-2</v>
      </c>
      <c r="T602" s="19">
        <f t="shared" si="71"/>
        <v>4.2632289520862621E-2</v>
      </c>
      <c r="U602" s="24">
        <v>4.0739408113202424E-2</v>
      </c>
      <c r="V602" s="24">
        <f t="shared" si="72"/>
        <v>4.2686456612521795E-2</v>
      </c>
      <c r="W602" s="23">
        <f t="shared" si="73"/>
        <v>3.4892287534491473E-3</v>
      </c>
      <c r="X602" s="24">
        <v>4.0225107575607044E-2</v>
      </c>
      <c r="Y602" s="24">
        <f t="shared" si="74"/>
        <v>4.2673499412168914E-2</v>
      </c>
      <c r="Z602" s="23">
        <f t="shared" si="75"/>
        <v>3.4881722043831331E-3</v>
      </c>
      <c r="AA602" s="36"/>
    </row>
    <row r="603" spans="15:27" ht="17.100000000000001" customHeight="1" x14ac:dyDescent="0.3">
      <c r="O603" s="12">
        <f t="shared" si="69"/>
        <v>49.166666666666664</v>
      </c>
      <c r="P603" s="13">
        <v>590</v>
      </c>
      <c r="Q603" s="22">
        <v>3.3178119209102297E-2</v>
      </c>
      <c r="R603" s="19">
        <f t="shared" si="70"/>
        <v>3.0873453390800165E-2</v>
      </c>
      <c r="S603" s="22">
        <v>3.8206965180427543E-2</v>
      </c>
      <c r="T603" s="19">
        <f t="shared" si="71"/>
        <v>4.2635944655963876E-2</v>
      </c>
      <c r="U603" s="24">
        <v>4.0742705117522204E-2</v>
      </c>
      <c r="V603" s="24">
        <f t="shared" si="72"/>
        <v>4.2689193217327226E-2</v>
      </c>
      <c r="W603" s="23">
        <f t="shared" si="73"/>
        <v>3.4894501688766955E-3</v>
      </c>
      <c r="X603" s="24">
        <v>4.0229252524447423E-2</v>
      </c>
      <c r="Y603" s="24">
        <f t="shared" si="74"/>
        <v>4.2676449716070319E-2</v>
      </c>
      <c r="Z603" s="23">
        <f t="shared" si="75"/>
        <v>3.4884109872006519E-3</v>
      </c>
      <c r="AA603" s="36"/>
    </row>
    <row r="604" spans="15:27" ht="17.100000000000001" customHeight="1" x14ac:dyDescent="0.3">
      <c r="O604" s="12">
        <f t="shared" si="69"/>
        <v>49.25</v>
      </c>
      <c r="P604" s="13">
        <v>591</v>
      </c>
      <c r="Q604" s="22">
        <v>3.3174215256907003E-2</v>
      </c>
      <c r="R604" s="19">
        <f t="shared" si="70"/>
        <v>3.0897028097500057E-2</v>
      </c>
      <c r="S604" s="22">
        <v>3.8214443311028301E-2</v>
      </c>
      <c r="T604" s="19">
        <f t="shared" si="71"/>
        <v>4.2639563359702759E-2</v>
      </c>
      <c r="U604" s="24">
        <v>4.0745995596700224E-2</v>
      </c>
      <c r="V604" s="24">
        <f t="shared" si="72"/>
        <v>4.2691905872504377E-2</v>
      </c>
      <c r="W604" s="23">
        <f t="shared" si="73"/>
        <v>3.4896696460688936E-3</v>
      </c>
      <c r="X604" s="24">
        <v>4.0233388443184914E-2</v>
      </c>
      <c r="Y604" s="24">
        <f t="shared" si="74"/>
        <v>4.2679373288901257E-2</v>
      </c>
      <c r="Z604" s="23">
        <f t="shared" si="75"/>
        <v>3.4886476058495486E-3</v>
      </c>
      <c r="AA604" s="36"/>
    </row>
    <row r="605" spans="15:27" ht="17.100000000000001" customHeight="1" x14ac:dyDescent="0.3">
      <c r="O605" s="12">
        <f t="shared" si="69"/>
        <v>49.333333333333336</v>
      </c>
      <c r="P605" s="13">
        <v>592</v>
      </c>
      <c r="Q605" s="22">
        <v>3.3170364418827258E-2</v>
      </c>
      <c r="R605" s="19">
        <f t="shared" si="70"/>
        <v>3.0920782598692798E-2</v>
      </c>
      <c r="S605" s="22">
        <v>3.8221902318052559E-2</v>
      </c>
      <c r="T605" s="19">
        <f t="shared" si="71"/>
        <v>4.2643145996788645E-2</v>
      </c>
      <c r="U605" s="24">
        <v>4.0749279543401906E-2</v>
      </c>
      <c r="V605" s="24">
        <f t="shared" si="72"/>
        <v>4.269459478967863E-2</v>
      </c>
      <c r="W605" s="23">
        <f t="shared" si="73"/>
        <v>3.4898872019666349E-3</v>
      </c>
      <c r="X605" s="24">
        <v>4.0237515332494089E-2</v>
      </c>
      <c r="Y605" s="24">
        <f t="shared" si="74"/>
        <v>4.2682270375076659E-2</v>
      </c>
      <c r="Z605" s="23">
        <f t="shared" si="75"/>
        <v>3.4888820800222931E-3</v>
      </c>
      <c r="AA605" s="36"/>
    </row>
    <row r="606" spans="15:27" ht="17.100000000000001" customHeight="1" x14ac:dyDescent="0.3">
      <c r="O606" s="12">
        <f t="shared" si="69"/>
        <v>49.416666666666664</v>
      </c>
      <c r="P606" s="13">
        <v>593</v>
      </c>
      <c r="Q606" s="22">
        <v>3.3166566728583424E-2</v>
      </c>
      <c r="R606" s="19">
        <f t="shared" si="70"/>
        <v>3.0944718445585329E-2</v>
      </c>
      <c r="S606" s="22">
        <v>3.8229342237522834E-2</v>
      </c>
      <c r="T606" s="19">
        <f t="shared" si="71"/>
        <v>4.2646692929354968E-2</v>
      </c>
      <c r="U606" s="24">
        <v>4.0752556950698571E-2</v>
      </c>
      <c r="V606" s="24">
        <f t="shared" si="72"/>
        <v>4.2697260178728547E-2</v>
      </c>
      <c r="W606" s="23">
        <f t="shared" si="73"/>
        <v>3.4901028535561096E-3</v>
      </c>
      <c r="X606" s="24">
        <v>4.0241633193456083E-2</v>
      </c>
      <c r="Y606" s="24">
        <f t="shared" si="74"/>
        <v>4.2685141215511591E-2</v>
      </c>
      <c r="Z606" s="23">
        <f t="shared" si="75"/>
        <v>3.4891144293378584E-3</v>
      </c>
      <c r="AA606" s="36"/>
    </row>
    <row r="607" spans="15:27" ht="17.100000000000001" customHeight="1" x14ac:dyDescent="0.3">
      <c r="O607" s="12">
        <f t="shared" si="69"/>
        <v>49.5</v>
      </c>
      <c r="P607" s="13">
        <v>594</v>
      </c>
      <c r="Q607" s="22">
        <v>3.3162822222269073E-2</v>
      </c>
      <c r="R607" s="19">
        <f t="shared" si="70"/>
        <v>3.0968836047485793E-2</v>
      </c>
      <c r="S607" s="22">
        <v>3.8236763105826022E-2</v>
      </c>
      <c r="T607" s="19">
        <f t="shared" si="71"/>
        <v>4.2650204514436352E-2</v>
      </c>
      <c r="U607" s="24">
        <v>4.075582781206033E-2</v>
      </c>
      <c r="V607" s="24">
        <f t="shared" si="72"/>
        <v>4.2699902245354471E-2</v>
      </c>
      <c r="W607" s="23">
        <f t="shared" si="73"/>
        <v>3.4903166176831757E-3</v>
      </c>
      <c r="X607" s="24">
        <v>4.0245742027549047E-2</v>
      </c>
      <c r="Y607" s="24">
        <f t="shared" si="74"/>
        <v>4.268798604933588E-2</v>
      </c>
      <c r="Z607" s="23">
        <f t="shared" si="75"/>
        <v>3.4893446731341093E-3</v>
      </c>
      <c r="AA607" s="36"/>
    </row>
    <row r="608" spans="15:27" ht="17.100000000000001" customHeight="1" x14ac:dyDescent="0.3">
      <c r="O608" s="12">
        <f t="shared" si="69"/>
        <v>49.583333333333336</v>
      </c>
      <c r="P608" s="13">
        <v>595</v>
      </c>
      <c r="Q608" s="22">
        <v>3.3159130936406545E-2</v>
      </c>
      <c r="R608" s="19">
        <f t="shared" si="70"/>
        <v>3.0993132354252273E-2</v>
      </c>
      <c r="S608" s="22">
        <v>3.8244164959702065E-2</v>
      </c>
      <c r="T608" s="19">
        <f t="shared" si="71"/>
        <v>4.26536811063154E-2</v>
      </c>
      <c r="U608" s="24">
        <v>4.0759092121346541E-2</v>
      </c>
      <c r="V608" s="24">
        <f t="shared" si="72"/>
        <v>4.2702521194576404E-2</v>
      </c>
      <c r="W608" s="23">
        <f t="shared" si="73"/>
        <v>3.4905285108581818E-3</v>
      </c>
      <c r="X608" s="24">
        <v>4.0249841836642597E-2</v>
      </c>
      <c r="Y608" s="24">
        <f t="shared" si="74"/>
        <v>4.2690805113019481E-2</v>
      </c>
      <c r="Z608" s="23">
        <f t="shared" si="75"/>
        <v>3.4895728306052476E-3</v>
      </c>
      <c r="AA608" s="36"/>
    </row>
    <row r="609" spans="15:27" ht="17.100000000000001" customHeight="1" x14ac:dyDescent="0.3">
      <c r="O609" s="12">
        <f t="shared" si="69"/>
        <v>49.666666666666664</v>
      </c>
      <c r="P609" s="13">
        <v>596</v>
      </c>
      <c r="Q609" s="22">
        <v>3.3155492902127159E-2</v>
      </c>
      <c r="R609" s="19">
        <f t="shared" si="70"/>
        <v>3.1017607811849812E-2</v>
      </c>
      <c r="S609" s="22">
        <v>3.8251547836236188E-2</v>
      </c>
      <c r="T609" s="19">
        <f t="shared" si="71"/>
        <v>4.2657123055151347E-2</v>
      </c>
      <c r="U609" s="24">
        <v>4.0762349872800918E-2</v>
      </c>
      <c r="V609" s="24">
        <f t="shared" si="72"/>
        <v>4.2705117229594469E-2</v>
      </c>
      <c r="W609" s="23">
        <f t="shared" si="73"/>
        <v>3.4907385495364096E-3</v>
      </c>
      <c r="X609" s="24">
        <v>4.025393262298893E-2</v>
      </c>
      <c r="Y609" s="24">
        <f t="shared" si="74"/>
        <v>4.2693598640729302E-2</v>
      </c>
      <c r="Z609" s="23">
        <f t="shared" si="75"/>
        <v>3.489798920731868E-3</v>
      </c>
      <c r="AA609" s="36"/>
    </row>
    <row r="610" spans="15:27" ht="17.100000000000001" customHeight="1" x14ac:dyDescent="0.3">
      <c r="O610" s="12">
        <f t="shared" si="69"/>
        <v>49.75</v>
      </c>
      <c r="P610" s="13">
        <v>597</v>
      </c>
      <c r="Q610" s="22">
        <v>3.3151908151085152E-2</v>
      </c>
      <c r="R610" s="19">
        <f t="shared" si="70"/>
        <v>3.1042264041202028E-2</v>
      </c>
      <c r="S610" s="22">
        <v>3.8258911772848903E-2</v>
      </c>
      <c r="T610" s="19">
        <f t="shared" si="71"/>
        <v>4.2660530708682476E-2</v>
      </c>
      <c r="U610" s="24">
        <v>4.0765601061045542E-2</v>
      </c>
      <c r="V610" s="24">
        <f t="shared" si="72"/>
        <v>4.2707690553473565E-2</v>
      </c>
      <c r="W610" s="23">
        <f t="shared" si="73"/>
        <v>3.4909467500277014E-3</v>
      </c>
      <c r="X610" s="24">
        <v>4.0258014389216612E-2</v>
      </c>
      <c r="Y610" s="24">
        <f t="shared" si="74"/>
        <v>4.2696366866343816E-2</v>
      </c>
      <c r="Z610" s="23">
        <f t="shared" si="75"/>
        <v>3.4900229623096024E-3</v>
      </c>
      <c r="AA610" s="36"/>
    </row>
    <row r="611" spans="15:27" ht="17.100000000000001" customHeight="1" x14ac:dyDescent="0.3">
      <c r="O611" s="12">
        <f t="shared" si="69"/>
        <v>49.833333333333336</v>
      </c>
      <c r="P611" s="13">
        <v>598</v>
      </c>
      <c r="Q611" s="22">
        <v>3.3148376717421657E-2</v>
      </c>
      <c r="R611" s="19">
        <f t="shared" si="70"/>
        <v>3.1067102678826064E-2</v>
      </c>
      <c r="S611" s="22">
        <v>3.8266256807289789E-2</v>
      </c>
      <c r="T611" s="19">
        <f t="shared" si="71"/>
        <v>4.2663904410152664E-2</v>
      </c>
      <c r="U611" s="24">
        <v>4.0768845681077082E-2</v>
      </c>
      <c r="V611" s="24">
        <f t="shared" si="72"/>
        <v>4.2710241364696699E-2</v>
      </c>
      <c r="W611" s="23">
        <f t="shared" si="73"/>
        <v>3.4911531286299091E-3</v>
      </c>
      <c r="X611" s="24">
        <v>4.0262087138326796E-2</v>
      </c>
      <c r="Y611" s="24">
        <f t="shared" si="74"/>
        <v>4.2699110019509101E-2</v>
      </c>
      <c r="Z611" s="23">
        <f t="shared" si="75"/>
        <v>3.4902449741107677E-3</v>
      </c>
      <c r="AA611" s="36"/>
    </row>
    <row r="612" spans="15:27" ht="17.100000000000001" customHeight="1" x14ac:dyDescent="0.3">
      <c r="O612" s="12">
        <f t="shared" si="69"/>
        <v>49.916666666666664</v>
      </c>
      <c r="P612" s="13">
        <v>599</v>
      </c>
      <c r="Q612" s="22">
        <v>3.3144898637770037E-2</v>
      </c>
      <c r="R612" s="19">
        <f t="shared" si="70"/>
        <v>3.1092125376640523E-2</v>
      </c>
      <c r="S612" s="22">
        <v>3.8273582977626619E-2</v>
      </c>
      <c r="T612" s="19">
        <f t="shared" si="71"/>
        <v>4.2667244498783674E-2</v>
      </c>
      <c r="U612" s="24">
        <v>4.0772083728256581E-2</v>
      </c>
      <c r="V612" s="24">
        <f t="shared" si="72"/>
        <v>4.27127698601526E-2</v>
      </c>
      <c r="W612" s="23">
        <f t="shared" si="73"/>
        <v>3.4913577012734009E-3</v>
      </c>
      <c r="X612" s="24">
        <v>4.0266150873683015E-2</v>
      </c>
      <c r="Y612" s="24">
        <f t="shared" si="74"/>
        <v>4.2701828327554203E-2</v>
      </c>
      <c r="Z612" s="23">
        <f t="shared" si="75"/>
        <v>3.4904649745675087E-3</v>
      </c>
      <c r="AA612" s="36"/>
    </row>
    <row r="613" spans="15:27" ht="17.100000000000001" customHeight="1" x14ac:dyDescent="0.3">
      <c r="O613" s="12">
        <f t="shared" si="69"/>
        <v>50</v>
      </c>
      <c r="P613" s="13">
        <v>600</v>
      </c>
      <c r="Q613" s="22">
        <v>3.3141473951260103E-2</v>
      </c>
      <c r="R613" s="19">
        <f t="shared" si="70"/>
        <v>3.1117265817214967E-2</v>
      </c>
      <c r="S613" s="22">
        <v>3.8280890322236472E-2</v>
      </c>
      <c r="T613" s="19">
        <f t="shared" si="71"/>
        <v>4.2670551311714267E-2</v>
      </c>
      <c r="U613" s="24">
        <v>4.0775315198303241E-2</v>
      </c>
      <c r="V613" s="24">
        <f t="shared" si="72"/>
        <v>4.271527623785687E-2</v>
      </c>
      <c r="W613" s="23">
        <f t="shared" si="73"/>
        <v>3.4915604837610914E-3</v>
      </c>
      <c r="X613" s="24">
        <v>4.0270205599004294E-2</v>
      </c>
      <c r="Y613" s="24">
        <f t="shared" si="74"/>
        <v>4.2704522017534385E-2</v>
      </c>
      <c r="Z613" s="23">
        <f t="shared" si="75"/>
        <v>3.4906829819258967E-3</v>
      </c>
      <c r="AA613" s="36"/>
    </row>
    <row r="614" spans="15:27" ht="17.100000000000001" customHeight="1" x14ac:dyDescent="0.3">
      <c r="O614" s="12">
        <f t="shared" si="69"/>
        <v>50.083333333333336</v>
      </c>
      <c r="P614" s="13">
        <v>601</v>
      </c>
      <c r="Q614" s="22">
        <v>3.3138102586181661E-2</v>
      </c>
      <c r="R614" s="19">
        <f t="shared" si="70"/>
        <v>3.1142253853525315E-2</v>
      </c>
      <c r="S614" s="22">
        <v>3.8288178879799739E-2</v>
      </c>
      <c r="T614" s="19">
        <f t="shared" si="71"/>
        <v>4.2673825182420577E-2</v>
      </c>
      <c r="U614" s="24">
        <v>4.0778540087293758E-2</v>
      </c>
      <c r="V614" s="24">
        <f t="shared" si="72"/>
        <v>4.2717760691686646E-2</v>
      </c>
      <c r="W614" s="23">
        <f t="shared" si="73"/>
        <v>3.4917614919849349E-3</v>
      </c>
      <c r="X614" s="24">
        <v>4.0274251318361376E-2</v>
      </c>
      <c r="Y614" s="24">
        <f t="shared" si="74"/>
        <v>4.2707191313884563E-2</v>
      </c>
      <c r="Z614" s="23">
        <f t="shared" si="75"/>
        <v>3.4908990144102425E-3</v>
      </c>
      <c r="AA614" s="36"/>
    </row>
    <row r="615" spans="15:27" ht="17.100000000000001" customHeight="1" x14ac:dyDescent="0.3">
      <c r="O615" s="12">
        <f t="shared" si="69"/>
        <v>50.166666666666664</v>
      </c>
      <c r="P615" s="13">
        <v>602</v>
      </c>
      <c r="Q615" s="22">
        <v>3.3134784021676245E-2</v>
      </c>
      <c r="R615" s="19">
        <f t="shared" si="70"/>
        <v>3.1167023491548873E-2</v>
      </c>
      <c r="S615" s="22">
        <v>3.8295448689291245E-2</v>
      </c>
      <c r="T615" s="19">
        <f t="shared" si="71"/>
        <v>4.2677066439804845E-2</v>
      </c>
      <c r="U615" s="24">
        <v>4.0781758391652101E-2</v>
      </c>
      <c r="V615" s="24">
        <f t="shared" si="72"/>
        <v>4.27202234143087E-2</v>
      </c>
      <c r="W615" s="23">
        <f t="shared" si="73"/>
        <v>3.4919607415055953E-3</v>
      </c>
      <c r="X615" s="24">
        <v>4.0278288036170284E-2</v>
      </c>
      <c r="Y615" s="24">
        <f t="shared" si="74"/>
        <v>4.2709836437848203E-2</v>
      </c>
      <c r="Z615" s="23">
        <f t="shared" si="75"/>
        <v>3.4911130900341369E-3</v>
      </c>
      <c r="AA615" s="36"/>
    </row>
    <row r="616" spans="15:27" ht="17.100000000000001" customHeight="1" x14ac:dyDescent="0.3">
      <c r="O616" s="12">
        <f t="shared" si="69"/>
        <v>50.25</v>
      </c>
      <c r="P616" s="13">
        <v>603</v>
      </c>
      <c r="Q616" s="22">
        <v>3.3131517630718976E-2</v>
      </c>
      <c r="R616" s="19">
        <f t="shared" si="70"/>
        <v>3.1191576733029525E-2</v>
      </c>
      <c r="S616" s="22">
        <v>3.8302699789970474E-2</v>
      </c>
      <c r="T616" s="19">
        <f t="shared" si="71"/>
        <v>4.2680275411060453E-2</v>
      </c>
      <c r="U616" s="24">
        <v>4.078497010814508E-2</v>
      </c>
      <c r="V616" s="24">
        <f t="shared" si="72"/>
        <v>4.2722664595671755E-2</v>
      </c>
      <c r="W616" s="23">
        <f t="shared" si="73"/>
        <v>3.4921582477860369E-3</v>
      </c>
      <c r="X616" s="24">
        <v>4.028231575718344E-2</v>
      </c>
      <c r="Y616" s="24">
        <f t="shared" si="74"/>
        <v>4.2712457609210608E-2</v>
      </c>
      <c r="Z616" s="23">
        <f t="shared" si="75"/>
        <v>3.491325226554487E-3</v>
      </c>
      <c r="AA616" s="36"/>
    </row>
    <row r="617" spans="15:27" ht="17.100000000000001" customHeight="1" x14ac:dyDescent="0.3">
      <c r="O617" s="12">
        <f t="shared" si="69"/>
        <v>50.333333333333336</v>
      </c>
      <c r="P617" s="13">
        <v>604</v>
      </c>
      <c r="Q617" s="22">
        <v>3.3128302793796305E-2</v>
      </c>
      <c r="R617" s="19">
        <f t="shared" si="70"/>
        <v>3.1215915559818841E-2</v>
      </c>
      <c r="S617" s="22">
        <v>3.8309932221376242E-2</v>
      </c>
      <c r="T617" s="19">
        <f t="shared" si="71"/>
        <v>4.2683452418766699E-2</v>
      </c>
      <c r="U617" s="24">
        <v>4.0788175233874346E-2</v>
      </c>
      <c r="V617" s="24">
        <f t="shared" si="72"/>
        <v>4.272508442684253E-2</v>
      </c>
      <c r="W617" s="23">
        <f t="shared" si="73"/>
        <v>3.4923540260711761E-3</v>
      </c>
      <c r="X617" s="24">
        <v>4.0286334486484998E-2</v>
      </c>
      <c r="Y617" s="24">
        <f t="shared" si="74"/>
        <v>4.2715055045978056E-2</v>
      </c>
      <c r="Z617" s="23">
        <f t="shared" si="75"/>
        <v>3.4915354416116262E-3</v>
      </c>
      <c r="AA617" s="36"/>
    </row>
    <row r="618" spans="15:27" ht="17.100000000000001" customHeight="1" x14ac:dyDescent="0.3">
      <c r="O618" s="12">
        <f t="shared" si="69"/>
        <v>50.416666666666664</v>
      </c>
      <c r="P618" s="13">
        <v>605</v>
      </c>
      <c r="Q618" s="22">
        <v>3.3125138898810524E-2</v>
      </c>
      <c r="R618" s="19">
        <f t="shared" si="70"/>
        <v>3.1240041934532226E-2</v>
      </c>
      <c r="S618" s="22">
        <v>3.831714602331715E-2</v>
      </c>
      <c r="T618" s="19">
        <f t="shared" si="71"/>
        <v>4.2686597783325064E-2</v>
      </c>
      <c r="U618" s="24">
        <v>4.0791373766276173E-2</v>
      </c>
      <c r="V618" s="24">
        <f t="shared" si="72"/>
        <v>4.272748309438934E-2</v>
      </c>
      <c r="W618" s="23">
        <f t="shared" si="73"/>
        <v>3.4925480916951912E-3</v>
      </c>
      <c r="X618" s="24">
        <v>4.0290344229484631E-2</v>
      </c>
      <c r="Y618" s="24">
        <f t="shared" si="74"/>
        <v>4.2717628965393661E-2</v>
      </c>
      <c r="Z618" s="23">
        <f t="shared" si="75"/>
        <v>3.4917437527024475E-3</v>
      </c>
      <c r="AA618" s="36"/>
    </row>
    <row r="619" spans="15:27" ht="17.100000000000001" customHeight="1" x14ac:dyDescent="0.3">
      <c r="O619" s="12">
        <f t="shared" si="69"/>
        <v>50.5</v>
      </c>
      <c r="P619" s="13">
        <v>606</v>
      </c>
      <c r="Q619" s="22">
        <v>3.3122025340985628E-2</v>
      </c>
      <c r="R619" s="19">
        <f t="shared" si="70"/>
        <v>3.126395779950264E-2</v>
      </c>
      <c r="S619" s="22">
        <v>3.8324341235865589E-2</v>
      </c>
      <c r="T619" s="19">
        <f t="shared" si="71"/>
        <v>4.268971182143888E-2</v>
      </c>
      <c r="U619" s="24">
        <v>4.0794565703111019E-2</v>
      </c>
      <c r="V619" s="24">
        <f t="shared" si="72"/>
        <v>4.272986078486829E-2</v>
      </c>
      <c r="W619" s="23">
        <f t="shared" si="73"/>
        <v>3.4927404596314382E-3</v>
      </c>
      <c r="X619" s="24">
        <v>4.0294344991913977E-2</v>
      </c>
      <c r="Y619" s="24">
        <f t="shared" si="74"/>
        <v>4.2720179579732509E-2</v>
      </c>
      <c r="Z619" s="23">
        <f t="shared" si="75"/>
        <v>3.4919501772627815E-3</v>
      </c>
      <c r="AA619" s="36"/>
    </row>
    <row r="620" spans="15:27" ht="17.100000000000001" customHeight="1" x14ac:dyDescent="0.3">
      <c r="O620" s="12">
        <f t="shared" si="69"/>
        <v>50.583333333333336</v>
      </c>
      <c r="P620" s="13">
        <v>607</v>
      </c>
      <c r="Q620" s="22">
        <v>3.311896152277316E-2</v>
      </c>
      <c r="R620" s="19">
        <f t="shared" si="70"/>
        <v>3.1287665078790106E-2</v>
      </c>
      <c r="S620" s="22">
        <v>3.8331517899349077E-2</v>
      </c>
      <c r="T620" s="19">
        <f t="shared" si="71"/>
        <v>4.2692794845717419E-2</v>
      </c>
      <c r="U620" s="24">
        <v>4.0797751042460639E-2</v>
      </c>
      <c r="V620" s="24">
        <f t="shared" si="72"/>
        <v>4.2732217681229479E-2</v>
      </c>
      <c r="W620" s="23">
        <f t="shared" si="73"/>
        <v>3.4929311448519407E-3</v>
      </c>
      <c r="X620" s="24">
        <v>4.0298336779815758E-2</v>
      </c>
      <c r="Y620" s="24">
        <f t="shared" si="74"/>
        <v>4.2722707101185975E-2</v>
      </c>
      <c r="Z620" s="23">
        <f t="shared" si="75"/>
        <v>3.4921547323292224E-3</v>
      </c>
      <c r="AA620" s="36"/>
    </row>
    <row r="621" spans="15:27" ht="17.100000000000001" customHeight="1" x14ac:dyDescent="0.3">
      <c r="O621" s="12">
        <f t="shared" si="69"/>
        <v>50.666666666666664</v>
      </c>
      <c r="P621" s="13">
        <v>608</v>
      </c>
      <c r="Q621" s="22">
        <v>3.311594685376118E-2</v>
      </c>
      <c r="R621" s="19">
        <f t="shared" si="70"/>
        <v>3.1311165676766839E-2</v>
      </c>
      <c r="S621" s="22">
        <v>3.8338676054342269E-2</v>
      </c>
      <c r="T621" s="19">
        <f t="shared" si="71"/>
        <v>4.2695847166655421E-2</v>
      </c>
      <c r="U621" s="24">
        <v>4.0800929782719875E-2</v>
      </c>
      <c r="V621" s="24">
        <f t="shared" si="72"/>
        <v>4.2734553967433087E-2</v>
      </c>
      <c r="W621" s="23">
        <f t="shared" si="73"/>
        <v>3.4931201620393981E-3</v>
      </c>
      <c r="X621" s="24">
        <v>4.0302319599541114E-2</v>
      </c>
      <c r="Y621" s="24">
        <f t="shared" si="74"/>
        <v>4.2725211740380242E-2</v>
      </c>
      <c r="Z621" s="23">
        <f t="shared" si="75"/>
        <v>3.4923574349319253E-3</v>
      </c>
      <c r="AA621" s="36"/>
    </row>
    <row r="622" spans="15:27" ht="17.100000000000001" customHeight="1" x14ac:dyDescent="0.3">
      <c r="O622" s="12">
        <f t="shared" si="69"/>
        <v>50.75</v>
      </c>
      <c r="P622" s="13">
        <v>609</v>
      </c>
      <c r="Q622" s="22">
        <v>3.3112980750583221E-2</v>
      </c>
      <c r="R622" s="19">
        <f t="shared" si="70"/>
        <v>3.1334461479004094E-2</v>
      </c>
      <c r="S622" s="22">
        <v>3.834581574166096E-2</v>
      </c>
      <c r="T622" s="19">
        <f t="shared" si="71"/>
        <v>4.2698869092652192E-2</v>
      </c>
      <c r="U622" s="24">
        <v>4.0804101922595315E-2</v>
      </c>
      <c r="V622" s="24">
        <f t="shared" si="72"/>
        <v>4.2736869824761214E-2</v>
      </c>
      <c r="W622" s="23">
        <f t="shared" si="73"/>
        <v>3.4933075259573343E-3</v>
      </c>
      <c r="X622" s="24">
        <v>4.030629345774428E-2</v>
      </c>
      <c r="Y622" s="24">
        <f t="shared" si="74"/>
        <v>4.2727693705618686E-2</v>
      </c>
      <c r="Z622" s="23">
        <f t="shared" si="75"/>
        <v>3.492558301974924E-3</v>
      </c>
      <c r="AA622" s="36"/>
    </row>
    <row r="623" spans="15:27" ht="17.100000000000001" customHeight="1" x14ac:dyDescent="0.3">
      <c r="O623" s="12">
        <f t="shared" si="69"/>
        <v>50.833333333333336</v>
      </c>
      <c r="P623" s="13">
        <v>610</v>
      </c>
      <c r="Q623" s="22">
        <v>3.3110062636828363E-2</v>
      </c>
      <c r="R623" s="19">
        <f t="shared" si="70"/>
        <v>3.1357554352764438E-2</v>
      </c>
      <c r="S623" s="22">
        <v>3.8352937002356757E-2</v>
      </c>
      <c r="T623" s="19">
        <f t="shared" si="71"/>
        <v>4.2701860926330992E-2</v>
      </c>
      <c r="U623" s="24">
        <v>4.0807267461098862E-2</v>
      </c>
      <c r="V623" s="24">
        <f t="shared" si="72"/>
        <v>4.2739165431935566E-2</v>
      </c>
      <c r="W623" s="23">
        <f t="shared" si="73"/>
        <v>3.4934932511543337E-3</v>
      </c>
      <c r="X623" s="24">
        <v>4.0310258361376805E-2</v>
      </c>
      <c r="Y623" s="24">
        <f t="shared" si="74"/>
        <v>4.2730153202308996E-2</v>
      </c>
      <c r="Z623" s="23">
        <f t="shared" si="75"/>
        <v>3.4927573501759568E-3</v>
      </c>
      <c r="AA623" s="36"/>
    </row>
    <row r="624" spans="15:27" ht="17.100000000000001" customHeight="1" x14ac:dyDescent="0.3">
      <c r="O624" s="12">
        <f t="shared" si="69"/>
        <v>50.916666666666664</v>
      </c>
      <c r="P624" s="13">
        <v>611</v>
      </c>
      <c r="Q624" s="22">
        <v>3.3107191942953973E-2</v>
      </c>
      <c r="R624" s="19">
        <f t="shared" si="70"/>
        <v>3.1380446146558771E-2</v>
      </c>
      <c r="S624" s="22">
        <v>3.8360039877705754E-2</v>
      </c>
      <c r="T624" s="19">
        <f t="shared" si="71"/>
        <v>4.2704822968716805E-2</v>
      </c>
      <c r="U624" s="24">
        <v>4.0810426397540622E-2</v>
      </c>
      <c r="V624" s="24">
        <f t="shared" si="72"/>
        <v>4.2741440966116873E-2</v>
      </c>
      <c r="W624" s="23">
        <f t="shared" si="73"/>
        <v>3.4936773519731457E-3</v>
      </c>
      <c r="X624" s="24">
        <v>4.0314214317679564E-2</v>
      </c>
      <c r="Y624" s="24">
        <f t="shared" si="74"/>
        <v>4.2732590435128559E-2</v>
      </c>
      <c r="Z624" s="23">
        <f t="shared" si="75"/>
        <v>3.4929545960198372E-3</v>
      </c>
      <c r="AA624" s="36"/>
    </row>
    <row r="625" spans="15:27" ht="17.100000000000001" customHeight="1" x14ac:dyDescent="0.3">
      <c r="O625" s="12">
        <f t="shared" si="69"/>
        <v>51</v>
      </c>
      <c r="P625" s="13">
        <v>612</v>
      </c>
      <c r="Q625" s="22">
        <v>3.310436810619799E-2</v>
      </c>
      <c r="R625" s="19">
        <f t="shared" si="70"/>
        <v>3.1403138690525356E-2</v>
      </c>
      <c r="S625" s="22">
        <v>3.8367124409204312E-2</v>
      </c>
      <c r="T625" s="19">
        <f t="shared" si="71"/>
        <v>4.2707755518783141E-2</v>
      </c>
      <c r="U625" s="24">
        <v>4.0813578731524247E-2</v>
      </c>
      <c r="V625" s="24">
        <f t="shared" si="72"/>
        <v>4.2743696605281434E-2</v>
      </c>
      <c r="W625" s="23">
        <f t="shared" si="73"/>
        <v>3.4938598426312861E-3</v>
      </c>
      <c r="X625" s="24">
        <v>4.0318161334180092E-2</v>
      </c>
      <c r="Y625" s="24">
        <f t="shared" si="74"/>
        <v>4.2735005606207466E-2</v>
      </c>
      <c r="Z625" s="23">
        <f t="shared" si="75"/>
        <v>3.4931500559329809E-3</v>
      </c>
      <c r="AA625" s="36"/>
    </row>
    <row r="626" spans="15:27" ht="17.100000000000001" customHeight="1" x14ac:dyDescent="0.3">
      <c r="O626" s="12">
        <f t="shared" si="69"/>
        <v>51.083333333333336</v>
      </c>
      <c r="P626" s="13">
        <v>613</v>
      </c>
      <c r="Q626" s="22">
        <v>3.3101590570492778E-2</v>
      </c>
      <c r="R626" s="19">
        <f t="shared" si="70"/>
        <v>3.1425633797756314E-2</v>
      </c>
      <c r="S626" s="22">
        <v>3.8374190638563732E-2</v>
      </c>
      <c r="T626" s="19">
        <f t="shared" si="71"/>
        <v>4.2710658870823037E-2</v>
      </c>
      <c r="U626" s="24">
        <v>4.0816724462945375E-2</v>
      </c>
      <c r="V626" s="24">
        <f t="shared" si="72"/>
        <v>4.2745932523277741E-2</v>
      </c>
      <c r="W626" s="23">
        <f t="shared" si="73"/>
        <v>3.4940407374117743E-3</v>
      </c>
      <c r="X626" s="24">
        <v>4.0322099418685697E-2</v>
      </c>
      <c r="Y626" s="24">
        <f t="shared" si="74"/>
        <v>4.2737398917112257E-2</v>
      </c>
      <c r="Z626" s="23">
        <f t="shared" si="75"/>
        <v>3.4933437461373007E-3</v>
      </c>
      <c r="AA626" s="36"/>
    </row>
    <row r="627" spans="15:27" ht="17.100000000000001" customHeight="1" x14ac:dyDescent="0.3">
      <c r="O627" s="12">
        <f t="shared" si="69"/>
        <v>51.166666666666664</v>
      </c>
      <c r="P627" s="13">
        <v>614</v>
      </c>
      <c r="Q627" s="22">
        <v>3.3098858786382301E-2</v>
      </c>
      <c r="R627" s="19">
        <f t="shared" si="70"/>
        <v>3.1447933261888439E-2</v>
      </c>
      <c r="S627" s="22">
        <v>3.8381238607700707E-2</v>
      </c>
      <c r="T627" s="19">
        <f t="shared" si="71"/>
        <v>4.2713533316961705E-2</v>
      </c>
      <c r="U627" s="24">
        <v>4.0819863591983419E-2</v>
      </c>
      <c r="V627" s="24">
        <f t="shared" si="72"/>
        <v>4.2748148893642757E-2</v>
      </c>
      <c r="W627" s="23">
        <f t="shared" si="73"/>
        <v>3.4942200502656728E-3</v>
      </c>
      <c r="X627" s="24">
        <v>4.0326028579279916E-2</v>
      </c>
      <c r="Y627" s="24">
        <f t="shared" si="74"/>
        <v>4.2739770566079471E-2</v>
      </c>
      <c r="Z627" s="23">
        <f t="shared" si="75"/>
        <v>3.4935356828089681E-3</v>
      </c>
      <c r="AA627" s="36"/>
    </row>
    <row r="628" spans="15:27" ht="17.100000000000001" customHeight="1" x14ac:dyDescent="0.3">
      <c r="O628" s="12">
        <f t="shared" si="69"/>
        <v>51.25</v>
      </c>
      <c r="P628" s="13">
        <v>615</v>
      </c>
      <c r="Q628" s="22">
        <v>3.309617221093597E-2</v>
      </c>
      <c r="R628" s="19">
        <f t="shared" si="70"/>
        <v>3.1470038861225236E-2</v>
      </c>
      <c r="S628" s="22">
        <v>3.8388268358732658E-2</v>
      </c>
      <c r="T628" s="19">
        <f t="shared" si="71"/>
        <v>4.2716379145566918E-2</v>
      </c>
      <c r="U628" s="24">
        <v>4.0822996119097787E-2</v>
      </c>
      <c r="V628" s="24">
        <f t="shared" si="72"/>
        <v>4.2750345886245711E-2</v>
      </c>
      <c r="W628" s="23">
        <f t="shared" si="73"/>
        <v>3.4943977951198413E-3</v>
      </c>
      <c r="X628" s="24">
        <v>4.0329948824315842E-2</v>
      </c>
      <c r="Y628" s="24">
        <f t="shared" si="74"/>
        <v>4.2742120748471502E-2</v>
      </c>
      <c r="Z628" s="23">
        <f t="shared" si="75"/>
        <v>3.4937258818568129E-3</v>
      </c>
      <c r="AA628" s="36"/>
    </row>
    <row r="629" spans="15:27" ht="17.100000000000001" customHeight="1" x14ac:dyDescent="0.3">
      <c r="O629" s="12">
        <f t="shared" si="69"/>
        <v>51.333333333333336</v>
      </c>
      <c r="P629" s="13">
        <v>616</v>
      </c>
      <c r="Q629" s="22">
        <v>3.3093530307670038E-2</v>
      </c>
      <c r="R629" s="19">
        <f t="shared" si="70"/>
        <v>3.1491952353996266E-2</v>
      </c>
      <c r="S629" s="22">
        <v>3.8395279933969961E-2</v>
      </c>
      <c r="T629" s="19">
        <f t="shared" si="71"/>
        <v>4.2719196643592916E-2</v>
      </c>
      <c r="U629" s="24">
        <v>4.0826122045020341E-2</v>
      </c>
      <c r="V629" s="24">
        <f t="shared" si="72"/>
        <v>4.2752523673931009E-2</v>
      </c>
      <c r="W629" s="23">
        <f t="shared" si="73"/>
        <v>3.494573985606042E-3</v>
      </c>
      <c r="X629" s="24">
        <v>4.0333860162408142E-2</v>
      </c>
      <c r="Y629" s="24">
        <f t="shared" si="74"/>
        <v>4.2744449661610728E-2</v>
      </c>
      <c r="Z629" s="23">
        <f t="shared" si="75"/>
        <v>3.4939143589594046E-3</v>
      </c>
      <c r="AA629" s="36"/>
    </row>
    <row r="630" spans="15:27" ht="17.100000000000001" customHeight="1" x14ac:dyDescent="0.3">
      <c r="O630" s="12">
        <f t="shared" si="69"/>
        <v>51.416666666666664</v>
      </c>
      <c r="P630" s="13">
        <v>617</v>
      </c>
      <c r="Q630" s="22">
        <v>3.3090932546462115E-2</v>
      </c>
      <c r="R630" s="19">
        <f t="shared" si="70"/>
        <v>3.1513675483317183E-2</v>
      </c>
      <c r="S630" s="22">
        <v>3.8402273375911289E-2</v>
      </c>
      <c r="T630" s="19">
        <f t="shared" si="71"/>
        <v>4.2721986094330644E-2</v>
      </c>
      <c r="U630" s="24">
        <v>4.0829241370757607E-2</v>
      </c>
      <c r="V630" s="24">
        <f t="shared" si="72"/>
        <v>4.2754682424161805E-2</v>
      </c>
      <c r="W630" s="23">
        <f t="shared" si="73"/>
        <v>3.4947486355947355E-3</v>
      </c>
      <c r="X630" s="24">
        <v>4.0337762602434823E-2</v>
      </c>
      <c r="Y630" s="24">
        <f t="shared" si="74"/>
        <v>4.274675749815926E-2</v>
      </c>
      <c r="Z630" s="23">
        <f t="shared" si="75"/>
        <v>3.4941011299520763E-3</v>
      </c>
      <c r="AA630" s="36"/>
    </row>
    <row r="631" spans="15:27" ht="17.100000000000001" customHeight="1" x14ac:dyDescent="0.3">
      <c r="O631" s="12">
        <f t="shared" si="69"/>
        <v>51.5</v>
      </c>
      <c r="P631" s="13">
        <v>618</v>
      </c>
      <c r="Q631" s="22">
        <v>3.3088378403474561E-2</v>
      </c>
      <c r="R631" s="19">
        <f t="shared" si="70"/>
        <v>3.1535209974747236E-2</v>
      </c>
      <c r="S631" s="22">
        <v>3.840924872723761E-2</v>
      </c>
      <c r="T631" s="19">
        <f t="shared" si="71"/>
        <v>4.2724747777356908E-2</v>
      </c>
      <c r="U631" s="24">
        <v>4.0832354097580126E-2</v>
      </c>
      <c r="V631" s="24">
        <f t="shared" si="72"/>
        <v>4.2756822303321895E-2</v>
      </c>
      <c r="W631" s="23">
        <f t="shared" si="73"/>
        <v>3.4949217585247272E-3</v>
      </c>
      <c r="X631" s="24">
        <v>4.0341656153527694E-2</v>
      </c>
      <c r="Y631" s="24">
        <f t="shared" si="74"/>
        <v>4.2749044448753937E-2</v>
      </c>
      <c r="Z631" s="23">
        <f t="shared" si="75"/>
        <v>3.4942862102955718E-3</v>
      </c>
      <c r="AA631" s="36"/>
    </row>
    <row r="632" spans="15:27" ht="17.100000000000001" customHeight="1" x14ac:dyDescent="0.3">
      <c r="O632" s="12">
        <f t="shared" si="69"/>
        <v>51.583333333333336</v>
      </c>
      <c r="P632" s="13">
        <v>619</v>
      </c>
      <c r="Q632" s="22">
        <v>3.3085867361074772E-2</v>
      </c>
      <c r="R632" s="19">
        <f t="shared" si="70"/>
        <v>3.1556557535736163E-2</v>
      </c>
      <c r="S632" s="22">
        <v>3.8416206030803313E-2</v>
      </c>
      <c r="T632" s="19">
        <f t="shared" si="71"/>
        <v>4.2727481970545655E-2</v>
      </c>
      <c r="U632" s="24">
        <v>4.083546022701845E-2</v>
      </c>
      <c r="V632" s="24">
        <f t="shared" si="72"/>
        <v>4.2758943477579692E-2</v>
      </c>
      <c r="W632" s="23">
        <f t="shared" si="73"/>
        <v>3.4950933677477813E-3</v>
      </c>
      <c r="X632" s="24">
        <v>4.034554082506614E-2</v>
      </c>
      <c r="Y632" s="24">
        <f t="shared" si="74"/>
        <v>4.275131070408511E-2</v>
      </c>
      <c r="Z632" s="23">
        <f t="shared" si="75"/>
        <v>3.4944696152892085E-3</v>
      </c>
      <c r="AA632" s="36"/>
    </row>
    <row r="633" spans="15:27" ht="17.100000000000001" customHeight="1" x14ac:dyDescent="0.3">
      <c r="O633" s="12">
        <f t="shared" si="69"/>
        <v>51.666666666666664</v>
      </c>
      <c r="P633" s="13">
        <v>620</v>
      </c>
      <c r="Q633" s="22">
        <v>3.3083398907755024E-2</v>
      </c>
      <c r="R633" s="19">
        <f t="shared" si="70"/>
        <v>3.15777198592333E-2</v>
      </c>
      <c r="S633" s="22">
        <v>3.8423145329633313E-2</v>
      </c>
      <c r="T633" s="19">
        <f t="shared" si="71"/>
        <v>4.2730188948715941E-2</v>
      </c>
      <c r="U633" s="24">
        <v>4.0838559760860704E-2</v>
      </c>
      <c r="V633" s="24">
        <f t="shared" si="72"/>
        <v>4.2761046111193135E-2</v>
      </c>
      <c r="W633" s="23">
        <f t="shared" si="73"/>
        <v>3.4952634765983426E-3</v>
      </c>
      <c r="X633" s="24">
        <v>4.034941662667646E-2</v>
      </c>
      <c r="Y633" s="24">
        <f t="shared" si="74"/>
        <v>4.275355645198986E-2</v>
      </c>
      <c r="Z633" s="23">
        <f t="shared" si="75"/>
        <v>3.4946513602351903E-3</v>
      </c>
      <c r="AA633" s="36"/>
    </row>
    <row r="634" spans="15:27" ht="17.100000000000001" customHeight="1" x14ac:dyDescent="0.3">
      <c r="O634" s="12">
        <f t="shared" si="69"/>
        <v>51.75</v>
      </c>
      <c r="P634" s="13">
        <v>621</v>
      </c>
      <c r="Q634" s="22">
        <v>3.3080972538059639E-2</v>
      </c>
      <c r="R634" s="19">
        <f t="shared" si="70"/>
        <v>3.1598698619421883E-2</v>
      </c>
      <c r="S634" s="22">
        <v>3.843006666691573E-2</v>
      </c>
      <c r="T634" s="19">
        <f t="shared" si="71"/>
        <v>4.2732868984535211E-2</v>
      </c>
      <c r="U634" s="24">
        <v>4.0841652701147479E-2</v>
      </c>
      <c r="V634" s="24">
        <f t="shared" si="72"/>
        <v>4.2763130367967861E-2</v>
      </c>
      <c r="W634" s="23">
        <f t="shared" si="73"/>
        <v>3.4954320982578668E-3</v>
      </c>
      <c r="X634" s="24">
        <v>4.0353283568224319E-2</v>
      </c>
      <c r="Y634" s="24">
        <f t="shared" si="74"/>
        <v>4.2755781879415533E-2</v>
      </c>
      <c r="Z634" s="23">
        <f t="shared" si="75"/>
        <v>3.4948314602076813E-3</v>
      </c>
      <c r="AA634" s="36"/>
    </row>
    <row r="635" spans="15:27" ht="17.100000000000001" customHeight="1" x14ac:dyDescent="0.3">
      <c r="O635" s="12">
        <f t="shared" si="69"/>
        <v>51.833333333333336</v>
      </c>
      <c r="P635" s="13">
        <v>622</v>
      </c>
      <c r="Q635" s="22">
        <v>3.3078587752505273E-2</v>
      </c>
      <c r="R635" s="19">
        <f t="shared" si="70"/>
        <v>3.1619495476872483E-2</v>
      </c>
      <c r="S635" s="22">
        <v>3.843697008599789E-2</v>
      </c>
      <c r="T635" s="19">
        <f t="shared" si="71"/>
        <v>4.2735522345905386E-2</v>
      </c>
      <c r="U635" s="24">
        <v>4.0844739050168943E-2</v>
      </c>
      <c r="V635" s="24">
        <f t="shared" si="72"/>
        <v>4.2765196406963524E-2</v>
      </c>
      <c r="W635" s="23">
        <f t="shared" si="73"/>
        <v>3.4955992458709506E-3</v>
      </c>
      <c r="X635" s="24">
        <v>4.0357141659811857E-2</v>
      </c>
      <c r="Y635" s="24">
        <f t="shared" si="74"/>
        <v>4.2757987169440126E-2</v>
      </c>
      <c r="Z635" s="23">
        <f t="shared" si="75"/>
        <v>3.4950099302082371E-3</v>
      </c>
      <c r="AA635" s="36"/>
    </row>
    <row r="636" spans="15:27" ht="17.100000000000001" customHeight="1" x14ac:dyDescent="0.3">
      <c r="O636" s="12">
        <f t="shared" si="69"/>
        <v>51.916666666666664</v>
      </c>
      <c r="P636" s="13">
        <v>623</v>
      </c>
      <c r="Q636" s="22">
        <v>3.3076244057510307E-2</v>
      </c>
      <c r="R636" s="19">
        <f t="shared" si="70"/>
        <v>3.1640112072829796E-2</v>
      </c>
      <c r="S636" s="22">
        <v>3.8443855630377E-2</v>
      </c>
      <c r="T636" s="19">
        <f t="shared" si="71"/>
        <v>4.2738149299858197E-2</v>
      </c>
      <c r="U636" s="24">
        <v>4.0847818810455738E-2</v>
      </c>
      <c r="V636" s="24">
        <f t="shared" si="72"/>
        <v>4.2767244388981274E-2</v>
      </c>
      <c r="W636" s="23">
        <f t="shared" si="73"/>
        <v>3.4957649322011619E-3</v>
      </c>
      <c r="X636" s="24">
        <v>4.0360990911769479E-2</v>
      </c>
      <c r="Y636" s="24">
        <f t="shared" si="74"/>
        <v>4.2760172505898142E-2</v>
      </c>
      <c r="Z636" s="23">
        <f t="shared" si="75"/>
        <v>3.4951867849288831E-3</v>
      </c>
      <c r="AA636" s="36"/>
    </row>
    <row r="637" spans="15:27" ht="17.100000000000001" customHeight="1" x14ac:dyDescent="0.3">
      <c r="O637" s="12">
        <f t="shared" si="69"/>
        <v>52</v>
      </c>
      <c r="P637" s="13">
        <v>624</v>
      </c>
      <c r="Q637" s="22">
        <v>3.3073940965316462E-2</v>
      </c>
      <c r="R637" s="19">
        <f t="shared" si="70"/>
        <v>3.1660550035468749E-2</v>
      </c>
      <c r="S637" s="22">
        <v>3.8450723343697923E-2</v>
      </c>
      <c r="T637" s="19">
        <f t="shared" si="71"/>
        <v>4.2740750111041281E-2</v>
      </c>
      <c r="U637" s="24">
        <v>4.0850891984778981E-2</v>
      </c>
      <c r="V637" s="24">
        <f t="shared" si="72"/>
        <v>4.2769274473467789E-2</v>
      </c>
      <c r="W637" s="23">
        <f t="shared" si="73"/>
        <v>3.4959291701521789E-3</v>
      </c>
      <c r="X637" s="24">
        <v>4.0364831334655182E-2</v>
      </c>
      <c r="Y637" s="24">
        <f t="shared" si="74"/>
        <v>4.27623380711184E-2</v>
      </c>
      <c r="Z637" s="23">
        <f t="shared" si="75"/>
        <v>3.4953620391215967E-3</v>
      </c>
      <c r="AA637" s="36"/>
    </row>
    <row r="638" spans="15:27" ht="17.100000000000001" customHeight="1" x14ac:dyDescent="0.3">
      <c r="O638" s="12">
        <f t="shared" si="69"/>
        <v>52.083333333333336</v>
      </c>
      <c r="P638" s="13">
        <v>625</v>
      </c>
      <c r="Q638" s="22">
        <v>3.307167799392019E-2</v>
      </c>
      <c r="R638" s="19">
        <f t="shared" si="70"/>
        <v>3.1680810975059037E-2</v>
      </c>
      <c r="S638" s="22">
        <v>3.8457573269747858E-2</v>
      </c>
      <c r="T638" s="19">
        <f t="shared" si="71"/>
        <v>4.2743325039553248E-2</v>
      </c>
      <c r="U638" s="24">
        <v>4.0853958576146931E-2</v>
      </c>
      <c r="V638" s="24">
        <f t="shared" si="72"/>
        <v>4.2771286816714715E-2</v>
      </c>
      <c r="W638" s="23">
        <f t="shared" si="73"/>
        <v>3.4960919725186557E-3</v>
      </c>
      <c r="X638" s="24">
        <v>4.0368662939250566E-2</v>
      </c>
      <c r="Y638" s="24">
        <f t="shared" si="74"/>
        <v>4.2764484042434159E-2</v>
      </c>
      <c r="Z638" s="23">
        <f t="shared" si="75"/>
        <v>3.495535707417563E-3</v>
      </c>
      <c r="AA638" s="36"/>
    </row>
    <row r="639" spans="15:27" ht="17.100000000000001" customHeight="1" x14ac:dyDescent="0.3">
      <c r="O639" s="12">
        <f t="shared" si="69"/>
        <v>52.166666666666664</v>
      </c>
      <c r="P639" s="13">
        <v>626</v>
      </c>
      <c r="Q639" s="22">
        <v>3.3069454666998066E-2</v>
      </c>
      <c r="R639" s="19">
        <f t="shared" si="70"/>
        <v>3.1700896487285801E-2</v>
      </c>
      <c r="S639" s="22">
        <v>3.8464405452448114E-2</v>
      </c>
      <c r="T639" s="19">
        <f t="shared" si="71"/>
        <v>4.2745874344283452E-2</v>
      </c>
      <c r="U639" s="24">
        <v>4.0857018587797667E-2</v>
      </c>
      <c r="V639" s="24">
        <f t="shared" si="72"/>
        <v>4.2773281573457611E-2</v>
      </c>
      <c r="W639" s="23">
        <f t="shared" si="73"/>
        <v>3.4962533518418937E-3</v>
      </c>
      <c r="X639" s="24">
        <v>4.0372485736550834E-2</v>
      </c>
      <c r="Y639" s="24">
        <f t="shared" si="74"/>
        <v>4.2766610599579424E-2</v>
      </c>
      <c r="Z639" s="23">
        <f t="shared" si="75"/>
        <v>3.4957078040469547E-3</v>
      </c>
      <c r="AA639" s="36"/>
    </row>
    <row r="640" spans="15:27" ht="17.100000000000001" customHeight="1" x14ac:dyDescent="0.3">
      <c r="O640" s="12">
        <f t="shared" si="69"/>
        <v>52.25</v>
      </c>
      <c r="P640" s="13">
        <v>627</v>
      </c>
      <c r="Q640" s="22">
        <v>3.306727051383751E-2</v>
      </c>
      <c r="R640" s="19">
        <f t="shared" si="70"/>
        <v>3.17208081540854E-2</v>
      </c>
      <c r="S640" s="22">
        <v>3.8471219935851453E-2</v>
      </c>
      <c r="T640" s="19">
        <f t="shared" si="71"/>
        <v>4.2748398281249989E-2</v>
      </c>
      <c r="U640" s="24">
        <v>4.0860072023195082E-2</v>
      </c>
      <c r="V640" s="24">
        <f t="shared" si="72"/>
        <v>4.2775258898971602E-2</v>
      </c>
      <c r="W640" s="23">
        <f t="shared" si="73"/>
        <v>3.4964133205384051E-3</v>
      </c>
      <c r="X640" s="24">
        <v>4.0376299737767019E-2</v>
      </c>
      <c r="Y640" s="24">
        <f t="shared" si="74"/>
        <v>4.2768717918202581E-2</v>
      </c>
      <c r="Z640" s="23">
        <f t="shared" si="75"/>
        <v>3.495878343432457E-3</v>
      </c>
      <c r="AA640" s="36"/>
    </row>
    <row r="641" spans="15:27" ht="17.100000000000001" customHeight="1" x14ac:dyDescent="0.3">
      <c r="O641" s="12">
        <f t="shared" si="69"/>
        <v>52.333333333333336</v>
      </c>
      <c r="P641" s="13">
        <v>628</v>
      </c>
      <c r="Q641" s="22">
        <v>3.3065125069269063E-2</v>
      </c>
      <c r="R641" s="19">
        <f t="shared" si="70"/>
        <v>3.1740547537556507E-2</v>
      </c>
      <c r="S641" s="22">
        <v>3.8478016764135647E-2</v>
      </c>
      <c r="T641" s="19">
        <f t="shared" si="71"/>
        <v>4.2750897104687047E-2</v>
      </c>
      <c r="U641" s="24">
        <v>4.0863118886027561E-2</v>
      </c>
      <c r="V641" s="24">
        <f t="shared" si="72"/>
        <v>4.2777218946980611E-2</v>
      </c>
      <c r="W641" s="23">
        <f t="shared" si="73"/>
        <v>3.496571891068001E-3</v>
      </c>
      <c r="X641" s="24">
        <v>4.0380104954317542E-2</v>
      </c>
      <c r="Y641" s="24">
        <f t="shared" si="74"/>
        <v>4.2770806173120013E-2</v>
      </c>
      <c r="Z641" s="23">
        <f t="shared" si="75"/>
        <v>3.4960473396690173E-3</v>
      </c>
      <c r="AA641" s="36"/>
    </row>
    <row r="642" spans="15:27" ht="17.100000000000001" customHeight="1" x14ac:dyDescent="0.3">
      <c r="O642" s="12">
        <f t="shared" si="69"/>
        <v>52.416666666666664</v>
      </c>
      <c r="P642" s="13">
        <v>629</v>
      </c>
      <c r="Q642" s="22">
        <v>3.3063017873591338E-2</v>
      </c>
      <c r="R642" s="19">
        <f t="shared" si="70"/>
        <v>3.1760116189284426E-2</v>
      </c>
      <c r="S642" s="22">
        <v>3.8484795981600595E-2</v>
      </c>
      <c r="T642" s="19">
        <f t="shared" si="71"/>
        <v>4.2753371063906309E-2</v>
      </c>
      <c r="U642" s="24">
        <v>4.0866159180203976E-2</v>
      </c>
      <c r="V642" s="24">
        <f t="shared" si="72"/>
        <v>4.2779161867520843E-2</v>
      </c>
      <c r="W642" s="23">
        <f t="shared" si="73"/>
        <v>3.4967290757654812E-3</v>
      </c>
      <c r="X642" s="24">
        <v>4.0383901397825994E-2</v>
      </c>
      <c r="Y642" s="24">
        <f t="shared" si="74"/>
        <v>4.2772875537655741E-2</v>
      </c>
      <c r="Z642" s="23">
        <f t="shared" si="75"/>
        <v>3.4962148067845256E-3</v>
      </c>
      <c r="AA642" s="36"/>
    </row>
    <row r="643" spans="15:27" ht="17.100000000000001" customHeight="1" x14ac:dyDescent="0.3">
      <c r="O643" s="12">
        <f t="shared" si="69"/>
        <v>52.5</v>
      </c>
      <c r="P643" s="13">
        <v>630</v>
      </c>
      <c r="Q643" s="22">
        <v>3.3060948472509732E-2</v>
      </c>
      <c r="R643" s="19">
        <f t="shared" si="70"/>
        <v>3.1779515643366896E-2</v>
      </c>
      <c r="S643" s="22">
        <v>3.8491557632659212E-2</v>
      </c>
      <c r="T643" s="19">
        <f t="shared" si="71"/>
        <v>4.2755820407429646E-2</v>
      </c>
      <c r="U643" s="24">
        <v>4.0869192909846142E-2</v>
      </c>
      <c r="V643" s="24">
        <f t="shared" si="72"/>
        <v>4.2781087810693341E-2</v>
      </c>
      <c r="W643" s="23">
        <f t="shared" si="73"/>
        <v>3.4968848866701041E-3</v>
      </c>
      <c r="X643" s="24">
        <v>4.0387689080116029E-2</v>
      </c>
      <c r="Y643" s="24">
        <f t="shared" si="74"/>
        <v>4.2774926182394424E-2</v>
      </c>
      <c r="Z643" s="23">
        <f t="shared" si="75"/>
        <v>3.4963807586871898E-3</v>
      </c>
      <c r="AA643" s="36"/>
    </row>
    <row r="644" spans="15:27" ht="17.100000000000001" customHeight="1" x14ac:dyDescent="0.3">
      <c r="O644" s="12">
        <f t="shared" si="69"/>
        <v>52.583333333333336</v>
      </c>
      <c r="P644" s="13">
        <v>631</v>
      </c>
      <c r="Q644" s="22">
        <v>3.3058916417065376E-2</v>
      </c>
      <c r="R644" s="19">
        <f t="shared" si="70"/>
        <v>3.1798747420220375E-2</v>
      </c>
      <c r="S644" s="22">
        <v>3.8498301761834997E-2</v>
      </c>
      <c r="T644" s="19">
        <f t="shared" si="71"/>
        <v>4.275824538242623E-2</v>
      </c>
      <c r="U644" s="24">
        <v>4.0872220079287036E-2</v>
      </c>
      <c r="V644" s="24">
        <f t="shared" si="72"/>
        <v>4.2782996927176464E-2</v>
      </c>
      <c r="W644" s="23">
        <f t="shared" si="73"/>
        <v>3.4970393358262353E-3</v>
      </c>
      <c r="X644" s="24">
        <v>4.0391468013206255E-2</v>
      </c>
      <c r="Y644" s="24">
        <f t="shared" si="74"/>
        <v>4.2776958278750277E-2</v>
      </c>
      <c r="Z644" s="23">
        <f t="shared" si="75"/>
        <v>3.4965452090647275E-3</v>
      </c>
      <c r="AA644" s="36"/>
    </row>
    <row r="645" spans="15:27" ht="17.100000000000001" customHeight="1" x14ac:dyDescent="0.3">
      <c r="O645" s="12">
        <f t="shared" si="69"/>
        <v>52.666666666666664</v>
      </c>
      <c r="P645" s="13">
        <v>632</v>
      </c>
      <c r="Q645" s="22">
        <v>3.3056921263570738E-2</v>
      </c>
      <c r="R645" s="19">
        <f t="shared" si="70"/>
        <v>3.181781302583242E-2</v>
      </c>
      <c r="S645" s="22">
        <v>3.8505028413759357E-2</v>
      </c>
      <c r="T645" s="19">
        <f t="shared" si="71"/>
        <v>4.2760646230998844E-2</v>
      </c>
      <c r="U645" s="24">
        <v>4.0875240693070358E-2</v>
      </c>
      <c r="V645" s="24">
        <f t="shared" si="72"/>
        <v>4.2784889363085998E-2</v>
      </c>
      <c r="W645" s="23">
        <f t="shared" si="73"/>
        <v>3.4971924353239814E-3</v>
      </c>
      <c r="X645" s="24">
        <v>4.0395238209310014E-2</v>
      </c>
      <c r="Y645" s="24">
        <f t="shared" si="74"/>
        <v>4.2778971994112513E-2</v>
      </c>
      <c r="Z645" s="23">
        <f t="shared" si="75"/>
        <v>3.496708171672136E-3</v>
      </c>
      <c r="AA645" s="36"/>
    </row>
    <row r="646" spans="15:27" ht="17.100000000000001" customHeight="1" x14ac:dyDescent="0.3">
      <c r="O646" s="12">
        <f t="shared" si="69"/>
        <v>52.75</v>
      </c>
      <c r="P646" s="13">
        <v>633</v>
      </c>
      <c r="Q646" s="22">
        <v>3.3054962573545232E-2</v>
      </c>
      <c r="R646" s="19">
        <f t="shared" si="70"/>
        <v>3.1836713949799922E-2</v>
      </c>
      <c r="S646" s="22">
        <v>3.8511737633162957E-2</v>
      </c>
      <c r="T646" s="19">
        <f t="shared" si="71"/>
        <v>4.2763023194575034E-2</v>
      </c>
      <c r="U646" s="24">
        <v>4.0878254755941201E-2</v>
      </c>
      <c r="V646" s="24">
        <f t="shared" si="72"/>
        <v>4.2786765264916982E-2</v>
      </c>
      <c r="W646" s="23">
        <f t="shared" si="73"/>
        <v>3.4973441968879637E-3</v>
      </c>
      <c r="X646" s="24">
        <v>4.0398999680826941E-2</v>
      </c>
      <c r="Y646" s="24">
        <f t="shared" si="74"/>
        <v>4.2780967495817945E-2</v>
      </c>
      <c r="Z646" s="23">
        <f t="shared" si="75"/>
        <v>3.4968696599408933E-3</v>
      </c>
      <c r="AA646" s="36"/>
    </row>
    <row r="647" spans="15:27" ht="17.100000000000001" customHeight="1" x14ac:dyDescent="0.3">
      <c r="O647" s="12">
        <f t="shared" si="69"/>
        <v>52.833333333333336</v>
      </c>
      <c r="P647" s="13">
        <v>634</v>
      </c>
      <c r="Q647" s="22">
        <v>3.3053039913647053E-2</v>
      </c>
      <c r="R647" s="19">
        <f t="shared" si="70"/>
        <v>3.1855451669404733E-2</v>
      </c>
      <c r="S647" s="22">
        <v>3.8518429464873494E-2</v>
      </c>
      <c r="T647" s="19">
        <f t="shared" si="71"/>
        <v>4.2765376511034292E-2</v>
      </c>
      <c r="U647" s="24">
        <v>4.0881262272845387E-2</v>
      </c>
      <c r="V647" s="24">
        <f t="shared" si="72"/>
        <v>4.278862477758727E-2</v>
      </c>
      <c r="W647" s="23">
        <f t="shared" si="73"/>
        <v>3.4974946322727796E-3</v>
      </c>
      <c r="X647" s="24">
        <v>4.040275244034186E-2</v>
      </c>
      <c r="Y647" s="24">
        <f t="shared" si="74"/>
        <v>4.2782944948484891E-2</v>
      </c>
      <c r="Z647" s="23">
        <f t="shared" si="75"/>
        <v>3.4970296872982587E-3</v>
      </c>
      <c r="AA647" s="36"/>
    </row>
    <row r="648" spans="15:27" ht="17.100000000000001" customHeight="1" x14ac:dyDescent="0.3">
      <c r="O648" s="12">
        <f t="shared" si="69"/>
        <v>52.916666666666664</v>
      </c>
      <c r="P648" s="13">
        <v>635</v>
      </c>
      <c r="Q648" s="22">
        <v>3.3051152855613442E-2</v>
      </c>
      <c r="R648" s="19">
        <f t="shared" si="70"/>
        <v>3.1874027647872394E-2</v>
      </c>
      <c r="S648" s="22">
        <v>3.8525103953809481E-2</v>
      </c>
      <c r="T648" s="19">
        <f t="shared" si="71"/>
        <v>4.2767706416744877E-2</v>
      </c>
      <c r="U648" s="24">
        <v>4.0884263248925468E-2</v>
      </c>
      <c r="V648" s="24">
        <f t="shared" si="72"/>
        <v>4.2790468045265317E-2</v>
      </c>
      <c r="W648" s="23">
        <f t="shared" si="73"/>
        <v>3.4976437531064608E-3</v>
      </c>
      <c r="X648" s="24">
        <v>4.0406496500619005E-2</v>
      </c>
      <c r="Y648" s="24">
        <f t="shared" si="74"/>
        <v>4.2784904516695921E-2</v>
      </c>
      <c r="Z648" s="23">
        <f t="shared" si="75"/>
        <v>3.4971882669534438E-3</v>
      </c>
      <c r="AA648" s="36"/>
    </row>
    <row r="649" spans="15:27" ht="17.100000000000001" customHeight="1" x14ac:dyDescent="0.3">
      <c r="O649" s="12">
        <f t="shared" si="69"/>
        <v>53</v>
      </c>
      <c r="P649" s="13">
        <v>636</v>
      </c>
      <c r="Q649" s="22">
        <v>3.3049300976198071E-2</v>
      </c>
      <c r="R649" s="19">
        <f t="shared" si="70"/>
        <v>3.1892443332864451E-2</v>
      </c>
      <c r="S649" s="22">
        <v>3.8531761144977361E-2</v>
      </c>
      <c r="T649" s="19">
        <f t="shared" si="71"/>
        <v>4.2770013146585573E-2</v>
      </c>
      <c r="U649" s="24">
        <v>4.0887257689517842E-2</v>
      </c>
      <c r="V649" s="24">
        <f t="shared" si="72"/>
        <v>4.2792295210494435E-2</v>
      </c>
      <c r="W649" s="23">
        <f t="shared" si="73"/>
        <v>3.4977915709566432E-3</v>
      </c>
      <c r="X649" s="24">
        <v>4.0410231874600466E-2</v>
      </c>
      <c r="Y649" s="24">
        <f t="shared" si="74"/>
        <v>4.2786846363279896E-2</v>
      </c>
      <c r="Z649" s="23">
        <f t="shared" si="75"/>
        <v>3.4973454121121073E-3</v>
      </c>
      <c r="AA649" s="36"/>
    </row>
    <row r="650" spans="15:27" ht="17.100000000000001" customHeight="1" x14ac:dyDescent="0.3">
      <c r="O650" s="12">
        <f t="shared" si="69"/>
        <v>53.083333333333336</v>
      </c>
      <c r="P650" s="13">
        <v>637</v>
      </c>
      <c r="Q650" s="22">
        <v>3.304748385710643E-2</v>
      </c>
      <c r="R650" s="19">
        <f t="shared" si="70"/>
        <v>3.1910700159076821E-2</v>
      </c>
      <c r="S650" s="22">
        <v>3.8538401083468177E-2</v>
      </c>
      <c r="T650" s="19">
        <f t="shared" si="71"/>
        <v>4.2772296929431297E-2</v>
      </c>
      <c r="U650" s="24">
        <v>4.0890245600148756E-2</v>
      </c>
      <c r="V650" s="24">
        <f t="shared" si="72"/>
        <v>4.2794106413621469E-2</v>
      </c>
      <c r="W650" s="23">
        <f t="shared" si="73"/>
        <v>3.4979380972608443E-3</v>
      </c>
      <c r="X650" s="24">
        <v>4.0413958575401976E-2</v>
      </c>
      <c r="Y650" s="24">
        <f t="shared" si="74"/>
        <v>4.2788770647234742E-2</v>
      </c>
      <c r="Z650" s="23">
        <f t="shared" si="75"/>
        <v>3.4975011358395758E-3</v>
      </c>
      <c r="AA650" s="36"/>
    </row>
    <row r="651" spans="15:27" ht="17.100000000000001" customHeight="1" x14ac:dyDescent="0.3">
      <c r="O651" s="12">
        <f t="shared" si="69"/>
        <v>53.166666666666664</v>
      </c>
      <c r="P651" s="13">
        <v>638</v>
      </c>
      <c r="Q651" s="22">
        <v>3.3045701084936763E-2</v>
      </c>
      <c r="R651" s="19">
        <f t="shared" si="70"/>
        <v>3.1928799547877418E-2</v>
      </c>
      <c r="S651" s="22">
        <v>3.8545023814448021E-2</v>
      </c>
      <c r="T651" s="19">
        <f t="shared" si="71"/>
        <v>4.2774557996289042E-2</v>
      </c>
      <c r="U651" s="24">
        <v>4.0893226986529196E-2</v>
      </c>
      <c r="V651" s="24">
        <f t="shared" si="72"/>
        <v>4.2795901794630664E-2</v>
      </c>
      <c r="W651" s="23">
        <f t="shared" si="73"/>
        <v>3.4980833432800562E-3</v>
      </c>
      <c r="X651" s="24">
        <v>4.0417676616305798E-2</v>
      </c>
      <c r="Y651" s="24">
        <f t="shared" si="74"/>
        <v>4.2790677529409793E-2</v>
      </c>
      <c r="Z651" s="23">
        <f t="shared" si="75"/>
        <v>3.4976554508940882E-3</v>
      </c>
      <c r="AA651" s="36"/>
    </row>
    <row r="652" spans="15:27" ht="17.100000000000001" customHeight="1" x14ac:dyDescent="0.3">
      <c r="O652" s="12">
        <f t="shared" si="69"/>
        <v>53.25</v>
      </c>
      <c r="P652" s="13">
        <v>639</v>
      </c>
      <c r="Q652" s="22">
        <v>3.3043952251120112E-2</v>
      </c>
      <c r="R652" s="19">
        <f t="shared" si="70"/>
        <v>3.1946742906749925E-2</v>
      </c>
      <c r="S652" s="22">
        <v>3.8551629383160257E-2</v>
      </c>
      <c r="T652" s="19">
        <f t="shared" si="71"/>
        <v>4.2776796573255282E-2</v>
      </c>
      <c r="U652" s="24">
        <v>4.0896201854553116E-2</v>
      </c>
      <c r="V652" s="24">
        <f t="shared" si="72"/>
        <v>4.2797681493656592E-2</v>
      </c>
      <c r="W652" s="23">
        <f t="shared" si="73"/>
        <v>3.4982273202461833E-3</v>
      </c>
      <c r="X652" s="24">
        <v>4.0421386010762062E-2</v>
      </c>
      <c r="Y652" s="24">
        <f t="shared" si="74"/>
        <v>4.2792567167681872E-2</v>
      </c>
      <c r="Z652" s="23">
        <f t="shared" si="75"/>
        <v>3.4978083701813212E-3</v>
      </c>
      <c r="AA652" s="36"/>
    </row>
    <row r="653" spans="15:27" ht="17.100000000000001" customHeight="1" x14ac:dyDescent="0.3">
      <c r="O653" s="12">
        <f t="shared" si="69"/>
        <v>53.333333333333336</v>
      </c>
      <c r="P653" s="13">
        <v>640</v>
      </c>
      <c r="Q653" s="22">
        <v>3.3042236951860815E-2</v>
      </c>
      <c r="R653" s="19">
        <f t="shared" si="70"/>
        <v>3.1964531628923432E-2</v>
      </c>
      <c r="S653" s="22">
        <v>3.855821783491753E-2</v>
      </c>
      <c r="T653" s="19">
        <f t="shared" si="71"/>
        <v>4.2779012885188594E-2</v>
      </c>
      <c r="U653" s="24">
        <v>4.0899170210296321E-2</v>
      </c>
      <c r="V653" s="24">
        <f t="shared" si="72"/>
        <v>4.2799445646811929E-2</v>
      </c>
      <c r="W653" s="23">
        <f t="shared" si="73"/>
        <v>3.4983700394028983E-3</v>
      </c>
      <c r="X653" s="24">
        <v>4.042508677238299E-2</v>
      </c>
      <c r="Y653" s="24">
        <f t="shared" si="74"/>
        <v>4.2794439718306654E-2</v>
      </c>
      <c r="Z653" s="23">
        <f t="shared" si="75"/>
        <v>3.4979599063693634E-3</v>
      </c>
      <c r="AA653" s="36"/>
    </row>
    <row r="654" spans="15:27" ht="17.100000000000001" customHeight="1" x14ac:dyDescent="0.3">
      <c r="O654" s="12">
        <f t="shared" ref="O654:O717" si="76">P654/12</f>
        <v>53.416666666666664</v>
      </c>
      <c r="P654" s="13">
        <v>641</v>
      </c>
      <c r="Q654" s="22">
        <v>3.3040554788076104E-2</v>
      </c>
      <c r="R654" s="19">
        <f t="shared" ref="R654:R717" si="77">(1+Q655)^P655/(1+Q654)^P654-1</f>
        <v>3.1982167095531144E-2</v>
      </c>
      <c r="S654" s="22">
        <v>3.8564789215099315E-2</v>
      </c>
      <c r="T654" s="19">
        <f t="shared" ref="T654:T717" si="78">(1+S655)^P655/(1+S654)^P654-1</f>
        <v>4.2781207153177903E-2</v>
      </c>
      <c r="U654" s="24">
        <v>4.0902132060008256E-2</v>
      </c>
      <c r="V654" s="24">
        <f t="shared" ref="V654:V717" si="79">(1+U655)^P655/(1+U654)^P654-1</f>
        <v>4.2801194390231556E-2</v>
      </c>
      <c r="W654" s="23">
        <f t="shared" si="73"/>
        <v>3.4985115116712429E-3</v>
      </c>
      <c r="X654" s="24">
        <v>4.0428778914939123E-2</v>
      </c>
      <c r="Y654" s="24">
        <f t="shared" si="74"/>
        <v>4.2796295335983725E-2</v>
      </c>
      <c r="Z654" s="23">
        <f t="shared" si="75"/>
        <v>3.4981100719955194E-3</v>
      </c>
      <c r="AA654" s="36"/>
    </row>
    <row r="655" spans="15:27" ht="17.100000000000001" customHeight="1" x14ac:dyDescent="0.3">
      <c r="O655" s="12">
        <f t="shared" si="76"/>
        <v>53.5</v>
      </c>
      <c r="P655" s="13">
        <v>642</v>
      </c>
      <c r="Q655" s="22">
        <v>3.3038905365340598E-2</v>
      </c>
      <c r="R655" s="19">
        <f t="shared" si="77"/>
        <v>3.1999650674494617E-2</v>
      </c>
      <c r="S655" s="22">
        <v>3.8571343569145489E-2</v>
      </c>
      <c r="T655" s="19">
        <f t="shared" si="78"/>
        <v>4.2783379598113624E-2</v>
      </c>
      <c r="U655" s="24">
        <v>4.0905087410111562E-2</v>
      </c>
      <c r="V655" s="24">
        <f t="shared" si="79"/>
        <v>4.2802927859404205E-2</v>
      </c>
      <c r="W655" s="23">
        <f t="shared" ref="W655:W718" si="80">(1+V654)^(1/12)-1</f>
        <v>3.4986517479744794E-3</v>
      </c>
      <c r="X655" s="24">
        <v>4.0432462452355322E-2</v>
      </c>
      <c r="Y655" s="24">
        <f t="shared" ref="Y655:Y718" si="81">(1+X656)^P656/(1+X655)^P655-1</f>
        <v>4.2798134174081737E-2</v>
      </c>
      <c r="Z655" s="23">
        <f t="shared" ref="Z655:Z718" si="82">(1+Y654)^(1/12)-1</f>
        <v>3.4982588794723046E-3</v>
      </c>
      <c r="AA655" s="36"/>
    </row>
    <row r="656" spans="15:27" ht="17.100000000000001" customHeight="1" x14ac:dyDescent="0.3">
      <c r="O656" s="12">
        <f t="shared" si="76"/>
        <v>53.583333333333336</v>
      </c>
      <c r="P656" s="13">
        <v>643</v>
      </c>
      <c r="Q656" s="22">
        <v>3.3037288293829237E-2</v>
      </c>
      <c r="R656" s="19">
        <f t="shared" si="77"/>
        <v>3.2016983719926673E-2</v>
      </c>
      <c r="S656" s="22">
        <v>3.8577880942555653E-2</v>
      </c>
      <c r="T656" s="19">
        <f t="shared" si="78"/>
        <v>4.2785530437660757E-2</v>
      </c>
      <c r="U656" s="24">
        <v>4.0908036267198744E-2</v>
      </c>
      <c r="V656" s="24">
        <f t="shared" si="79"/>
        <v>4.2804646188717266E-2</v>
      </c>
      <c r="W656" s="23">
        <f t="shared" si="80"/>
        <v>3.4987907591830236E-3</v>
      </c>
      <c r="X656" s="24">
        <v>4.0436137398708105E-2</v>
      </c>
      <c r="Y656" s="24">
        <f t="shared" si="81"/>
        <v>4.2799956385974447E-2</v>
      </c>
      <c r="Z656" s="23">
        <f t="shared" si="82"/>
        <v>3.4984063411056532E-3</v>
      </c>
      <c r="AA656" s="36"/>
    </row>
    <row r="657" spans="15:27" ht="17.100000000000001" customHeight="1" x14ac:dyDescent="0.3">
      <c r="O657" s="12">
        <f t="shared" si="76"/>
        <v>53.666666666666664</v>
      </c>
      <c r="P657" s="13">
        <v>644</v>
      </c>
      <c r="Q657" s="22">
        <v>3.3035703188259102E-2</v>
      </c>
      <c r="R657" s="19">
        <f t="shared" si="77"/>
        <v>3.203416757305444E-2</v>
      </c>
      <c r="S657" s="22">
        <v>3.8584401380883593E-2</v>
      </c>
      <c r="T657" s="19">
        <f t="shared" si="78"/>
        <v>4.2787659887464802E-2</v>
      </c>
      <c r="U657" s="24">
        <v>4.0910978638029949E-2</v>
      </c>
      <c r="V657" s="24">
        <f t="shared" si="79"/>
        <v>4.2806349510539077E-2</v>
      </c>
      <c r="W657" s="23">
        <f t="shared" si="80"/>
        <v>3.4989285560795835E-3</v>
      </c>
      <c r="X657" s="24">
        <v>4.0439803768224092E-2</v>
      </c>
      <c r="Y657" s="24">
        <f t="shared" si="81"/>
        <v>4.2801762122487874E-2</v>
      </c>
      <c r="Z657" s="23">
        <f t="shared" si="82"/>
        <v>3.498552469201277E-3</v>
      </c>
      <c r="AA657" s="36"/>
    </row>
    <row r="658" spans="15:27" ht="17.100000000000001" customHeight="1" x14ac:dyDescent="0.3">
      <c r="O658" s="12">
        <f t="shared" si="76"/>
        <v>53.75</v>
      </c>
      <c r="P658" s="13">
        <v>645</v>
      </c>
      <c r="Q658" s="22">
        <v>3.3034149667834578E-2</v>
      </c>
      <c r="R658" s="19">
        <f t="shared" si="77"/>
        <v>3.2051203564157582E-2</v>
      </c>
      <c r="S658" s="22">
        <v>3.8590904929733716E-2</v>
      </c>
      <c r="T658" s="19">
        <f t="shared" si="78"/>
        <v>4.2789768160223618E-2</v>
      </c>
      <c r="U658" s="24">
        <v>4.0913914529528084E-2</v>
      </c>
      <c r="V658" s="24">
        <f t="shared" si="79"/>
        <v>4.2808037955299749E-2</v>
      </c>
      <c r="W658" s="23">
        <f t="shared" si="80"/>
        <v>3.4990651492843305E-3</v>
      </c>
      <c r="X658" s="24">
        <v>4.0443461575274897E-2</v>
      </c>
      <c r="Y658" s="24">
        <f t="shared" si="81"/>
        <v>4.2803551530899098E-2</v>
      </c>
      <c r="Z658" s="23">
        <f t="shared" si="82"/>
        <v>3.4986972758608292E-3</v>
      </c>
      <c r="AA658" s="36"/>
    </row>
    <row r="659" spans="15:27" ht="17.100000000000001" customHeight="1" x14ac:dyDescent="0.3">
      <c r="O659" s="12">
        <f t="shared" si="76"/>
        <v>53.833333333333336</v>
      </c>
      <c r="P659" s="13">
        <v>646</v>
      </c>
      <c r="Q659" s="22">
        <v>3.3032627356194944E-2</v>
      </c>
      <c r="R659" s="19">
        <f t="shared" si="77"/>
        <v>3.2068093008276621E-2</v>
      </c>
      <c r="S659" s="22">
        <v>3.8597391634756173E-2</v>
      </c>
      <c r="T659" s="19">
        <f t="shared" si="78"/>
        <v>4.2791855467308348E-2</v>
      </c>
      <c r="U659" s="24">
        <v>4.0916843948774817E-2</v>
      </c>
      <c r="V659" s="24">
        <f t="shared" si="79"/>
        <v>4.2809711654450799E-2</v>
      </c>
      <c r="W659" s="23">
        <f t="shared" si="80"/>
        <v>3.4992005492624489E-3</v>
      </c>
      <c r="X659" s="24">
        <v>4.044711083437047E-2</v>
      </c>
      <c r="Y659" s="24">
        <f t="shared" si="81"/>
        <v>4.2805324761621133E-2</v>
      </c>
      <c r="Z659" s="23">
        <f t="shared" si="82"/>
        <v>3.4988407729010795E-3</v>
      </c>
      <c r="AA659" s="36"/>
    </row>
    <row r="660" spans="15:27" ht="17.100000000000001" customHeight="1" x14ac:dyDescent="0.3">
      <c r="O660" s="12">
        <f t="shared" si="76"/>
        <v>53.916666666666664</v>
      </c>
      <c r="P660" s="13">
        <v>647</v>
      </c>
      <c r="Q660" s="22">
        <v>3.3031135881355977E-2</v>
      </c>
      <c r="R660" s="19">
        <f t="shared" si="77"/>
        <v>3.208483721002775E-2</v>
      </c>
      <c r="S660" s="22">
        <v>3.8603861541644635E-2</v>
      </c>
      <c r="T660" s="19">
        <f t="shared" si="78"/>
        <v>4.279392201926524E-2</v>
      </c>
      <c r="U660" s="24">
        <v>4.0919766903010579E-2</v>
      </c>
      <c r="V660" s="24">
        <f t="shared" si="79"/>
        <v>4.2811370737427135E-2</v>
      </c>
      <c r="W660" s="23">
        <f t="shared" si="80"/>
        <v>3.4993347665601693E-3</v>
      </c>
      <c r="X660" s="24">
        <v>4.0450751560163312E-2</v>
      </c>
      <c r="Y660" s="24">
        <f t="shared" si="81"/>
        <v>4.280708196118499E-2</v>
      </c>
      <c r="Z660" s="23">
        <f t="shared" si="82"/>
        <v>3.4989829723901522E-3</v>
      </c>
      <c r="AA660" s="36"/>
    </row>
    <row r="661" spans="15:27" ht="17.100000000000001" customHeight="1" x14ac:dyDescent="0.3">
      <c r="O661" s="12">
        <f t="shared" si="76"/>
        <v>54</v>
      </c>
      <c r="P661" s="13">
        <v>648</v>
      </c>
      <c r="Q661" s="22">
        <v>3.302967487566022E-2</v>
      </c>
      <c r="R661" s="19">
        <f t="shared" si="77"/>
        <v>3.2101437461159232E-2</v>
      </c>
      <c r="S661" s="22">
        <v>3.8610314696134296E-2</v>
      </c>
      <c r="T661" s="19">
        <f t="shared" si="78"/>
        <v>4.2795968021616559E-2</v>
      </c>
      <c r="U661" s="24">
        <v>4.0922683399630566E-2</v>
      </c>
      <c r="V661" s="24">
        <f t="shared" si="79"/>
        <v>4.2813015332046067E-2</v>
      </c>
      <c r="W661" s="23">
        <f t="shared" si="80"/>
        <v>3.4994678115627398E-3</v>
      </c>
      <c r="X661" s="24">
        <v>4.0454383767440927E-2</v>
      </c>
      <c r="Y661" s="24">
        <f t="shared" si="81"/>
        <v>4.2808823274091967E-2</v>
      </c>
      <c r="Z661" s="23">
        <f t="shared" si="82"/>
        <v>3.499123886084865E-3</v>
      </c>
      <c r="AA661" s="36"/>
    </row>
    <row r="662" spans="15:27" ht="17.100000000000001" customHeight="1" x14ac:dyDescent="0.3">
      <c r="O662" s="12">
        <f t="shared" si="76"/>
        <v>54.083333333333336</v>
      </c>
      <c r="P662" s="13">
        <v>649</v>
      </c>
      <c r="Q662" s="22">
        <v>3.3028243975723237E-2</v>
      </c>
      <c r="R662" s="19">
        <f t="shared" si="77"/>
        <v>3.2117895040308264E-2</v>
      </c>
      <c r="S662" s="22">
        <v>3.8616751143994321E-2</v>
      </c>
      <c r="T662" s="19">
        <f t="shared" si="78"/>
        <v>4.2797993679349888E-2</v>
      </c>
      <c r="U662" s="24">
        <v>4.0925593446181185E-2</v>
      </c>
      <c r="V662" s="24">
        <f t="shared" si="79"/>
        <v>4.2814645564294374E-2</v>
      </c>
      <c r="W662" s="23">
        <f t="shared" si="80"/>
        <v>3.4995996945250685E-3</v>
      </c>
      <c r="X662" s="24">
        <v>4.0458007471121604E-2</v>
      </c>
      <c r="Y662" s="24">
        <f t="shared" si="81"/>
        <v>4.2810548844673946E-2</v>
      </c>
      <c r="Z662" s="23">
        <f t="shared" si="82"/>
        <v>3.4992635255788329E-3</v>
      </c>
      <c r="AA662" s="36"/>
    </row>
    <row r="663" spans="15:27" ht="17.100000000000001" customHeight="1" x14ac:dyDescent="0.3">
      <c r="O663" s="12">
        <f t="shared" si="76"/>
        <v>54.166666666666664</v>
      </c>
      <c r="P663" s="13">
        <v>650</v>
      </c>
      <c r="Q663" s="22">
        <v>3.3026842822380331E-2</v>
      </c>
      <c r="R663" s="19">
        <f t="shared" si="77"/>
        <v>3.2134211215504305E-2</v>
      </c>
      <c r="S663" s="22">
        <v>3.8623170931026296E-2</v>
      </c>
      <c r="T663" s="19">
        <f t="shared" si="78"/>
        <v>4.2799999195974658E-2</v>
      </c>
      <c r="U663" s="24">
        <v>4.0928497050355617E-2</v>
      </c>
      <c r="V663" s="24">
        <f t="shared" si="79"/>
        <v>4.2816261560466584E-2</v>
      </c>
      <c r="W663" s="23">
        <f t="shared" si="80"/>
        <v>3.4997304255550699E-3</v>
      </c>
      <c r="X663" s="24">
        <v>4.0461622686253751E-2</v>
      </c>
      <c r="Y663" s="24">
        <f t="shared" si="81"/>
        <v>4.2812258815150273E-2</v>
      </c>
      <c r="Z663" s="23">
        <f t="shared" si="82"/>
        <v>3.4994019024523482E-3</v>
      </c>
      <c r="AA663" s="36"/>
    </row>
    <row r="664" spans="15:27" ht="17.100000000000001" customHeight="1" x14ac:dyDescent="0.3">
      <c r="O664" s="12">
        <f t="shared" si="76"/>
        <v>54.25</v>
      </c>
      <c r="P664" s="13">
        <v>651</v>
      </c>
      <c r="Q664" s="22">
        <v>3.3025471060637246E-2</v>
      </c>
      <c r="R664" s="19">
        <f t="shared" si="77"/>
        <v>3.21503872419453E-2</v>
      </c>
      <c r="S664" s="22">
        <v>3.8629574103062225E-2</v>
      </c>
      <c r="T664" s="19">
        <f t="shared" si="78"/>
        <v>4.2801984772674162E-2</v>
      </c>
      <c r="U664" s="24">
        <v>4.0931394219993367E-2</v>
      </c>
      <c r="V664" s="24">
        <f t="shared" si="79"/>
        <v>4.2817863446812821E-2</v>
      </c>
      <c r="W664" s="23">
        <f t="shared" si="80"/>
        <v>3.4998600147857495E-3</v>
      </c>
      <c r="X664" s="24">
        <v>4.0465229428011007E-2</v>
      </c>
      <c r="Y664" s="24">
        <f t="shared" si="81"/>
        <v>4.2813953329008614E-2</v>
      </c>
      <c r="Z664" s="23">
        <f t="shared" si="82"/>
        <v>3.4995390281158389E-3</v>
      </c>
      <c r="AA664" s="36"/>
    </row>
    <row r="665" spans="15:27" ht="17.100000000000001" customHeight="1" x14ac:dyDescent="0.3">
      <c r="O665" s="12">
        <f t="shared" si="76"/>
        <v>54.333333333333336</v>
      </c>
      <c r="P665" s="13">
        <v>652</v>
      </c>
      <c r="Q665" s="22">
        <v>3.302412833961843E-2</v>
      </c>
      <c r="R665" s="19">
        <f t="shared" si="77"/>
        <v>3.2166424362692236E-2</v>
      </c>
      <c r="S665" s="22">
        <v>3.8635960705960093E-2</v>
      </c>
      <c r="T665" s="19">
        <f t="shared" si="78"/>
        <v>4.2803950607295249E-2</v>
      </c>
      <c r="U665" s="24">
        <v>4.0934284963079381E-2</v>
      </c>
      <c r="V665" s="24">
        <f t="shared" si="79"/>
        <v>4.2819451344861204E-2</v>
      </c>
      <c r="W665" s="23">
        <f t="shared" si="80"/>
        <v>3.4999884723458941E-3</v>
      </c>
      <c r="X665" s="24">
        <v>4.0468827711693578E-2</v>
      </c>
      <c r="Y665" s="24">
        <f t="shared" si="81"/>
        <v>4.2815632524154434E-2</v>
      </c>
      <c r="Z665" s="23">
        <f t="shared" si="82"/>
        <v>3.4996749140814298E-3</v>
      </c>
      <c r="AA665" s="36"/>
    </row>
    <row r="666" spans="15:27" ht="17.100000000000001" customHeight="1" x14ac:dyDescent="0.3">
      <c r="O666" s="12">
        <f t="shared" si="76"/>
        <v>54.416666666666664</v>
      </c>
      <c r="P666" s="13">
        <v>653</v>
      </c>
      <c r="Q666" s="22">
        <v>3.3022814312516413E-2</v>
      </c>
      <c r="R666" s="19">
        <f t="shared" si="77"/>
        <v>3.2182323810179714E-2</v>
      </c>
      <c r="S666" s="22">
        <v>3.8642330785599421E-2</v>
      </c>
      <c r="T666" s="19">
        <f t="shared" si="78"/>
        <v>4.2805896897022855E-2</v>
      </c>
      <c r="U666" s="24">
        <v>4.0937169287734942E-2</v>
      </c>
      <c r="V666" s="24">
        <f t="shared" si="79"/>
        <v>4.2821025377683952E-2</v>
      </c>
      <c r="W666" s="23">
        <f t="shared" si="80"/>
        <v>3.5001158079861483E-3</v>
      </c>
      <c r="X666" s="24">
        <v>4.0472417552718687E-2</v>
      </c>
      <c r="Y666" s="24">
        <f t="shared" si="81"/>
        <v>4.2817296540325289E-2</v>
      </c>
      <c r="Z666" s="23">
        <f t="shared" si="82"/>
        <v>3.4998095714136035E-3</v>
      </c>
      <c r="AA666" s="36"/>
    </row>
    <row r="667" spans="15:27" ht="17.100000000000001" customHeight="1" x14ac:dyDescent="0.3">
      <c r="O667" s="12">
        <f t="shared" si="76"/>
        <v>54.5</v>
      </c>
      <c r="P667" s="13">
        <v>654</v>
      </c>
      <c r="Q667" s="22">
        <v>3.3021528636544506E-2</v>
      </c>
      <c r="R667" s="19">
        <f t="shared" si="77"/>
        <v>3.2198086804258397E-2</v>
      </c>
      <c r="S667" s="22">
        <v>3.8648684387879273E-2</v>
      </c>
      <c r="T667" s="19">
        <f t="shared" si="78"/>
        <v>4.2807823837302861E-2</v>
      </c>
      <c r="U667" s="24">
        <v>4.0940047202220109E-2</v>
      </c>
      <c r="V667" s="24">
        <f t="shared" si="79"/>
        <v>4.2822585667266155E-2</v>
      </c>
      <c r="W667" s="23">
        <f t="shared" si="80"/>
        <v>3.5002420315799476E-3</v>
      </c>
      <c r="X667" s="24">
        <v>4.0475998966622351E-2</v>
      </c>
      <c r="Y667" s="24">
        <f t="shared" si="81"/>
        <v>4.2818945515531004E-2</v>
      </c>
      <c r="Z667" s="23">
        <f t="shared" si="82"/>
        <v>3.4999430113236141E-3</v>
      </c>
      <c r="AA667" s="36"/>
    </row>
    <row r="668" spans="15:27" ht="17.100000000000001" customHeight="1" x14ac:dyDescent="0.3">
      <c r="O668" s="12">
        <f t="shared" si="76"/>
        <v>54.583333333333336</v>
      </c>
      <c r="P668" s="13">
        <v>655</v>
      </c>
      <c r="Q668" s="22">
        <v>3.3020270972886179E-2</v>
      </c>
      <c r="R668" s="19">
        <f t="shared" si="77"/>
        <v>3.221371455427513E-2</v>
      </c>
      <c r="S668" s="22">
        <v>3.865502155871603E-2</v>
      </c>
      <c r="T668" s="19">
        <f t="shared" si="78"/>
        <v>4.2809731620291114E-2</v>
      </c>
      <c r="U668" s="24">
        <v>4.0942918714929943E-2</v>
      </c>
      <c r="V668" s="24">
        <f t="shared" si="79"/>
        <v>4.2824132333477927E-2</v>
      </c>
      <c r="W668" s="23">
        <f t="shared" si="80"/>
        <v>3.5003671529143521E-3</v>
      </c>
      <c r="X668" s="24">
        <v>4.047957196905605E-2</v>
      </c>
      <c r="Y668" s="24">
        <f t="shared" si="81"/>
        <v>4.2820579585464813E-2</v>
      </c>
      <c r="Z668" s="23">
        <f t="shared" si="82"/>
        <v>3.5000752448837158E-3</v>
      </c>
      <c r="AA668" s="36"/>
    </row>
    <row r="669" spans="15:27" ht="17.100000000000001" customHeight="1" x14ac:dyDescent="0.3">
      <c r="O669" s="12">
        <f t="shared" si="76"/>
        <v>54.666666666666664</v>
      </c>
      <c r="P669" s="13">
        <v>656</v>
      </c>
      <c r="Q669" s="22">
        <v>3.3019040986648651E-2</v>
      </c>
      <c r="R669" s="19">
        <f t="shared" si="77"/>
        <v>3.222920825647857E-2</v>
      </c>
      <c r="S669" s="22">
        <v>3.8661342344038063E-2</v>
      </c>
      <c r="T669" s="19">
        <f t="shared" si="78"/>
        <v>4.2811620438183429E-2</v>
      </c>
      <c r="U669" s="24">
        <v>4.0945783834390737E-2</v>
      </c>
      <c r="V669" s="24">
        <f t="shared" si="79"/>
        <v>4.2825665496839749E-2</v>
      </c>
      <c r="W669" s="23">
        <f t="shared" si="80"/>
        <v>3.5004911816065576E-3</v>
      </c>
      <c r="X669" s="24">
        <v>4.0483136575782064E-2</v>
      </c>
      <c r="Y669" s="24">
        <f t="shared" si="81"/>
        <v>4.2822198886428797E-2</v>
      </c>
      <c r="Z669" s="23">
        <f t="shared" si="82"/>
        <v>3.5002062829809777E-3</v>
      </c>
      <c r="AA669" s="36"/>
    </row>
    <row r="670" spans="15:27" ht="17.100000000000001" customHeight="1" x14ac:dyDescent="0.3">
      <c r="O670" s="12">
        <f t="shared" si="76"/>
        <v>54.75</v>
      </c>
      <c r="P670" s="13">
        <v>657</v>
      </c>
      <c r="Q670" s="22">
        <v>3.3017838346812933E-2</v>
      </c>
      <c r="R670" s="19">
        <f t="shared" si="77"/>
        <v>3.22445690990949E-2</v>
      </c>
      <c r="S670" s="22">
        <v>3.8667646789785737E-2</v>
      </c>
      <c r="T670" s="19">
        <f t="shared" si="78"/>
        <v>4.2813490478136762E-2</v>
      </c>
      <c r="U670" s="24">
        <v>4.094864256926023E-2</v>
      </c>
      <c r="V670" s="24">
        <f t="shared" si="79"/>
        <v>4.2827185272805046E-2</v>
      </c>
      <c r="W670" s="23">
        <f t="shared" si="80"/>
        <v>3.5006141273252744E-3</v>
      </c>
      <c r="X670" s="24">
        <v>4.0486692802673918E-2</v>
      </c>
      <c r="Y670" s="24">
        <f t="shared" si="81"/>
        <v>4.2823803550121387E-2</v>
      </c>
      <c r="Z670" s="23">
        <f t="shared" si="82"/>
        <v>3.5003361365504304E-3</v>
      </c>
      <c r="AA670" s="36"/>
    </row>
    <row r="671" spans="15:27" ht="17.100000000000001" customHeight="1" x14ac:dyDescent="0.3">
      <c r="O671" s="12">
        <f t="shared" si="76"/>
        <v>54.833333333333336</v>
      </c>
      <c r="P671" s="13">
        <v>658</v>
      </c>
      <c r="Q671" s="22">
        <v>3.3016662726191637E-2</v>
      </c>
      <c r="R671" s="19">
        <f t="shared" si="77"/>
        <v>3.2259798255126926E-2</v>
      </c>
      <c r="S671" s="22">
        <v>3.867393494190341E-2</v>
      </c>
      <c r="T671" s="19">
        <f t="shared" si="78"/>
        <v>4.2815341929073769E-2</v>
      </c>
      <c r="U671" s="24">
        <v>4.0951494928318288E-2</v>
      </c>
      <c r="V671" s="24">
        <f t="shared" si="79"/>
        <v>4.2828691781374273E-2</v>
      </c>
      <c r="W671" s="23">
        <f t="shared" si="80"/>
        <v>3.5007359993333154E-3</v>
      </c>
      <c r="X671" s="24">
        <v>4.0490240665708166E-2</v>
      </c>
      <c r="Y671" s="24">
        <f t="shared" si="81"/>
        <v>4.282539371159344E-2</v>
      </c>
      <c r="Z671" s="23">
        <f t="shared" si="82"/>
        <v>3.5004648161582885E-3</v>
      </c>
      <c r="AA671" s="36"/>
    </row>
    <row r="672" spans="15:27" ht="17.100000000000001" customHeight="1" x14ac:dyDescent="0.3">
      <c r="O672" s="12">
        <f t="shared" si="76"/>
        <v>54.916666666666664</v>
      </c>
      <c r="P672" s="13">
        <v>659</v>
      </c>
      <c r="Q672" s="22">
        <v>3.3015513801376795E-2</v>
      </c>
      <c r="R672" s="19">
        <f t="shared" si="77"/>
        <v>3.2274896889923133E-2</v>
      </c>
      <c r="S672" s="22">
        <v>3.8680206846342768E-2</v>
      </c>
      <c r="T672" s="19">
        <f t="shared" si="78"/>
        <v>4.2817174975593231E-2</v>
      </c>
      <c r="U672" s="24">
        <v>4.0954340920473564E-2</v>
      </c>
      <c r="V672" s="24">
        <f t="shared" si="79"/>
        <v>4.2830185138132748E-2</v>
      </c>
      <c r="W672" s="23">
        <f t="shared" si="80"/>
        <v>3.5008568072580903E-3</v>
      </c>
      <c r="X672" s="24">
        <v>4.049378018096883E-2</v>
      </c>
      <c r="Y672" s="24">
        <f t="shared" si="81"/>
        <v>4.2826969500987744E-2</v>
      </c>
      <c r="Z672" s="23">
        <f t="shared" si="82"/>
        <v>3.5005923326392185E-3</v>
      </c>
      <c r="AA672" s="36"/>
    </row>
    <row r="673" spans="15:27" ht="17.100000000000001" customHeight="1" x14ac:dyDescent="0.3">
      <c r="O673" s="12">
        <f t="shared" si="76"/>
        <v>55</v>
      </c>
      <c r="P673" s="13">
        <v>660</v>
      </c>
      <c r="Q673" s="22">
        <v>3.3014391252699227E-2</v>
      </c>
      <c r="R673" s="19">
        <f t="shared" si="77"/>
        <v>3.2289866156579139E-2</v>
      </c>
      <c r="S673" s="22">
        <v>3.86864625490555E-2</v>
      </c>
      <c r="T673" s="19">
        <f t="shared" si="78"/>
        <v>4.2818989800933238E-2</v>
      </c>
      <c r="U673" s="24">
        <v>4.0957180554755279E-2</v>
      </c>
      <c r="V673" s="24">
        <f t="shared" si="79"/>
        <v>4.2831665456563028E-2</v>
      </c>
      <c r="W673" s="23">
        <f t="shared" si="80"/>
        <v>3.5009765603724041E-3</v>
      </c>
      <c r="X673" s="24">
        <v>4.049731136463941E-2</v>
      </c>
      <c r="Y673" s="24">
        <f t="shared" si="81"/>
        <v>4.2828531048756391E-2</v>
      </c>
      <c r="Z673" s="23">
        <f t="shared" si="82"/>
        <v>3.5007186964346459E-3</v>
      </c>
      <c r="AA673" s="36"/>
    </row>
    <row r="674" spans="15:27" ht="17.100000000000001" customHeight="1" x14ac:dyDescent="0.3">
      <c r="O674" s="12">
        <f t="shared" si="76"/>
        <v>55.083333333333336</v>
      </c>
      <c r="P674" s="13">
        <v>661</v>
      </c>
      <c r="Q674" s="22">
        <v>3.3013294764181245E-2</v>
      </c>
      <c r="R674" s="19">
        <f t="shared" si="77"/>
        <v>3.2304707197108984E-2</v>
      </c>
      <c r="S674" s="22">
        <v>3.8692702095991738E-2</v>
      </c>
      <c r="T674" s="19">
        <f t="shared" si="78"/>
        <v>4.2820786587314918E-2</v>
      </c>
      <c r="U674" s="24">
        <v>4.0960013840309673E-2</v>
      </c>
      <c r="V674" s="24">
        <f t="shared" si="79"/>
        <v>4.2833132853467015E-2</v>
      </c>
      <c r="W674" s="23">
        <f t="shared" si="80"/>
        <v>3.5010952677807516E-3</v>
      </c>
      <c r="X674" s="24">
        <v>4.0500834233002214E-2</v>
      </c>
      <c r="Y674" s="24">
        <f t="shared" si="81"/>
        <v>4.2830078484092704E-2</v>
      </c>
      <c r="Z674" s="23">
        <f t="shared" si="82"/>
        <v>3.5008439180101991E-3</v>
      </c>
      <c r="AA674" s="36"/>
    </row>
    <row r="675" spans="15:27" ht="17.100000000000001" customHeight="1" x14ac:dyDescent="0.3">
      <c r="O675" s="12">
        <f t="shared" si="76"/>
        <v>55.166666666666664</v>
      </c>
      <c r="P675" s="13">
        <v>662</v>
      </c>
      <c r="Q675" s="22">
        <v>3.3012224023492465E-2</v>
      </c>
      <c r="R675" s="19">
        <f t="shared" si="77"/>
        <v>3.231942114401809E-2</v>
      </c>
      <c r="S675" s="22">
        <v>3.8698925533098283E-2</v>
      </c>
      <c r="T675" s="19">
        <f t="shared" si="78"/>
        <v>4.282256551366781E-2</v>
      </c>
      <c r="U675" s="24">
        <v>4.0962840786403332E-2</v>
      </c>
      <c r="V675" s="24">
        <f t="shared" si="79"/>
        <v>4.2834587439080973E-2</v>
      </c>
      <c r="W675" s="23">
        <f t="shared" si="80"/>
        <v>3.5012129388536373E-3</v>
      </c>
      <c r="X675" s="24">
        <v>4.0504348802435919E-2</v>
      </c>
      <c r="Y675" s="24">
        <f t="shared" si="81"/>
        <v>4.2831611934582181E-2</v>
      </c>
      <c r="Z675" s="23">
        <f t="shared" si="82"/>
        <v>3.5009680077304761E-3</v>
      </c>
      <c r="AA675" s="36"/>
    </row>
    <row r="676" spans="15:27" ht="17.100000000000001" customHeight="1" x14ac:dyDescent="0.3">
      <c r="O676" s="12">
        <f t="shared" si="76"/>
        <v>55.25</v>
      </c>
      <c r="P676" s="13">
        <v>663</v>
      </c>
      <c r="Q676" s="22">
        <v>3.3011178721906731E-2</v>
      </c>
      <c r="R676" s="19">
        <f t="shared" si="77"/>
        <v>3.233400911795381E-2</v>
      </c>
      <c r="S676" s="22">
        <v>3.8705132906313722E-2</v>
      </c>
      <c r="T676" s="19">
        <f t="shared" si="78"/>
        <v>4.282432675934067E-2</v>
      </c>
      <c r="U676" s="24">
        <v>4.0965661402413422E-2</v>
      </c>
      <c r="V676" s="24">
        <f t="shared" si="79"/>
        <v>4.2836029328424674E-2</v>
      </c>
      <c r="W676" s="23">
        <f t="shared" si="80"/>
        <v>3.5013295824348756E-3</v>
      </c>
      <c r="X676" s="24">
        <v>4.0507855089412459E-2</v>
      </c>
      <c r="Y676" s="24">
        <f t="shared" si="81"/>
        <v>4.2833131528225765E-2</v>
      </c>
      <c r="Z676" s="23">
        <f t="shared" si="82"/>
        <v>3.5010909758315112E-3</v>
      </c>
      <c r="AA676" s="36"/>
    </row>
    <row r="677" spans="15:27" ht="17.100000000000001" customHeight="1" x14ac:dyDescent="0.3">
      <c r="O677" s="12">
        <f t="shared" si="76"/>
        <v>55.333333333333336</v>
      </c>
      <c r="P677" s="13">
        <v>664</v>
      </c>
      <c r="Q677" s="22">
        <v>3.3010158554257707E-2</v>
      </c>
      <c r="R677" s="19">
        <f t="shared" si="77"/>
        <v>3.2348472229746683E-2</v>
      </c>
      <c r="S677" s="22">
        <v>3.8711324261569535E-2</v>
      </c>
      <c r="T677" s="19">
        <f t="shared" si="78"/>
        <v>4.282607049876952E-2</v>
      </c>
      <c r="U677" s="24">
        <v>4.096847569783324E-2</v>
      </c>
      <c r="V677" s="24">
        <f t="shared" si="79"/>
        <v>4.2837458630480052E-2</v>
      </c>
      <c r="W677" s="23">
        <f t="shared" si="80"/>
        <v>3.5014452077519742E-3</v>
      </c>
      <c r="X677" s="24">
        <v>4.0511353110496806E-2</v>
      </c>
      <c r="Y677" s="24">
        <f t="shared" si="81"/>
        <v>4.283463738861526E-2</v>
      </c>
      <c r="Z677" s="23">
        <f t="shared" si="82"/>
        <v>3.5012128325822012E-3</v>
      </c>
      <c r="AA677" s="36"/>
    </row>
    <row r="678" spans="15:27" ht="17.100000000000001" customHeight="1" x14ac:dyDescent="0.3">
      <c r="O678" s="12">
        <f t="shared" si="76"/>
        <v>55.416666666666664</v>
      </c>
      <c r="P678" s="13">
        <v>665</v>
      </c>
      <c r="Q678" s="22">
        <v>3.3009163218896687E-2</v>
      </c>
      <c r="R678" s="19">
        <f t="shared" si="77"/>
        <v>3.2362811580448181E-2</v>
      </c>
      <c r="S678" s="22">
        <v>3.8717499644781883E-2</v>
      </c>
      <c r="T678" s="19">
        <f t="shared" si="78"/>
        <v>4.2827796907805027E-2</v>
      </c>
      <c r="U678" s="24">
        <v>4.0971283682262438E-2</v>
      </c>
      <c r="V678" s="24">
        <f t="shared" si="79"/>
        <v>4.2838875456120418E-2</v>
      </c>
      <c r="W678" s="23">
        <f t="shared" si="80"/>
        <v>3.5015598235477174E-3</v>
      </c>
      <c r="X678" s="24">
        <v>4.0514842882339863E-2</v>
      </c>
      <c r="Y678" s="24">
        <f t="shared" si="81"/>
        <v>4.2836129641430132E-2</v>
      </c>
      <c r="Z678" s="23">
        <f t="shared" si="82"/>
        <v>3.5013335878977259E-3</v>
      </c>
      <c r="AA678" s="36"/>
    </row>
    <row r="679" spans="15:27" ht="17.100000000000001" customHeight="1" x14ac:dyDescent="0.3">
      <c r="O679" s="12">
        <f t="shared" si="76"/>
        <v>55.5</v>
      </c>
      <c r="P679" s="13">
        <v>666</v>
      </c>
      <c r="Q679" s="22">
        <v>3.3008192417651294E-2</v>
      </c>
      <c r="R679" s="19">
        <f t="shared" si="77"/>
        <v>3.2377028260069052E-2</v>
      </c>
      <c r="S679" s="22">
        <v>3.8723659101854935E-2</v>
      </c>
      <c r="T679" s="19">
        <f t="shared" si="78"/>
        <v>4.2829506158819086E-2</v>
      </c>
      <c r="U679" s="24">
        <v>4.0974085365409696E-2</v>
      </c>
      <c r="V679" s="24">
        <f t="shared" si="79"/>
        <v>4.284027991538597E-2</v>
      </c>
      <c r="W679" s="23">
        <f t="shared" si="80"/>
        <v>3.5016734387172122E-3</v>
      </c>
      <c r="X679" s="24">
        <v>4.0518324421680685E-2</v>
      </c>
      <c r="Y679" s="24">
        <f t="shared" si="81"/>
        <v>4.2837608410412287E-2</v>
      </c>
      <c r="Z679" s="23">
        <f t="shared" si="82"/>
        <v>3.5014532518609087E-3</v>
      </c>
      <c r="AA679" s="36"/>
    </row>
    <row r="680" spans="15:27" ht="17.100000000000001" customHeight="1" x14ac:dyDescent="0.3">
      <c r="O680" s="12">
        <f t="shared" si="76"/>
        <v>55.583333333333336</v>
      </c>
      <c r="P680" s="13">
        <v>667</v>
      </c>
      <c r="Q680" s="22">
        <v>3.300724585578263E-2</v>
      </c>
      <c r="R680" s="19">
        <f t="shared" si="77"/>
        <v>3.2391123347781603E-2</v>
      </c>
      <c r="S680" s="22">
        <v>3.8729802678674874E-2</v>
      </c>
      <c r="T680" s="19">
        <f t="shared" si="78"/>
        <v>4.2831198422012884E-2</v>
      </c>
      <c r="U680" s="24">
        <v>4.0976880757089384E-2</v>
      </c>
      <c r="V680" s="24">
        <f t="shared" si="79"/>
        <v>4.2841672114926288E-2</v>
      </c>
      <c r="W680" s="23">
        <f t="shared" si="80"/>
        <v>3.5017860620880636E-3</v>
      </c>
      <c r="X680" s="24">
        <v>4.0521797745343147E-2</v>
      </c>
      <c r="Y680" s="24">
        <f t="shared" si="81"/>
        <v>4.2839073815712059E-2</v>
      </c>
      <c r="Z680" s="23">
        <f t="shared" si="82"/>
        <v>3.5015718343989199E-3</v>
      </c>
      <c r="AA680" s="36"/>
    </row>
    <row r="681" spans="15:27" ht="17.100000000000001" customHeight="1" x14ac:dyDescent="0.3">
      <c r="O681" s="12">
        <f t="shared" si="76"/>
        <v>55.666666666666664</v>
      </c>
      <c r="P681" s="13">
        <v>668</v>
      </c>
      <c r="Q681" s="22">
        <v>3.3006323241943303E-2</v>
      </c>
      <c r="R681" s="19">
        <f t="shared" si="77"/>
        <v>3.2405097915267467E-2</v>
      </c>
      <c r="S681" s="22">
        <v>3.8735930421107234E-2</v>
      </c>
      <c r="T681" s="19">
        <f t="shared" si="78"/>
        <v>4.2832873867697963E-2</v>
      </c>
      <c r="U681" s="24">
        <v>4.0979669867217128E-2</v>
      </c>
      <c r="V681" s="24">
        <f t="shared" si="79"/>
        <v>4.2843052163254125E-2</v>
      </c>
      <c r="W681" s="23">
        <f t="shared" si="80"/>
        <v>3.5018977022163167E-3</v>
      </c>
      <c r="X681" s="24">
        <v>4.052526287022995E-2</v>
      </c>
      <c r="Y681" s="24">
        <f t="shared" si="81"/>
        <v>4.2840525981110211E-2</v>
      </c>
      <c r="Z681" s="23">
        <f t="shared" si="82"/>
        <v>3.5016893451504938E-3</v>
      </c>
      <c r="AA681" s="36"/>
    </row>
    <row r="682" spans="15:27" ht="17.100000000000001" customHeight="1" x14ac:dyDescent="0.3">
      <c r="O682" s="12">
        <f t="shared" si="76"/>
        <v>55.75</v>
      </c>
      <c r="P682" s="13">
        <v>669</v>
      </c>
      <c r="Q682" s="22">
        <v>3.3005424288140572E-2</v>
      </c>
      <c r="R682" s="19">
        <f t="shared" si="77"/>
        <v>3.2418953021826402E-2</v>
      </c>
      <c r="S682" s="22">
        <v>3.8742042374997343E-2</v>
      </c>
      <c r="T682" s="19">
        <f t="shared" si="78"/>
        <v>4.2834532662847424E-2</v>
      </c>
      <c r="U682" s="24">
        <v>4.0982452705810912E-2</v>
      </c>
      <c r="V682" s="24">
        <f t="shared" si="79"/>
        <v>4.2844420166466834E-2</v>
      </c>
      <c r="W682" s="23">
        <f t="shared" si="80"/>
        <v>3.502008367807008E-3</v>
      </c>
      <c r="X682" s="24">
        <v>4.0528719813327063E-2</v>
      </c>
      <c r="Y682" s="24">
        <f t="shared" si="81"/>
        <v>4.2841965024417838E-2</v>
      </c>
      <c r="Z682" s="23">
        <f t="shared" si="82"/>
        <v>3.5018057940461311E-3</v>
      </c>
      <c r="AA682" s="36"/>
    </row>
    <row r="683" spans="15:27" ht="17.100000000000001" customHeight="1" x14ac:dyDescent="0.3">
      <c r="O683" s="12">
        <f t="shared" si="76"/>
        <v>55.833333333333336</v>
      </c>
      <c r="P683" s="13">
        <v>670</v>
      </c>
      <c r="Q683" s="22">
        <v>3.3004548709692383E-2</v>
      </c>
      <c r="R683" s="19">
        <f t="shared" si="77"/>
        <v>3.2432689717248664E-2</v>
      </c>
      <c r="S683" s="22">
        <v>3.8748138586164993E-2</v>
      </c>
      <c r="T683" s="19">
        <f t="shared" si="78"/>
        <v>4.2836174973476693E-2</v>
      </c>
      <c r="U683" s="24">
        <v>4.0985229282986868E-2</v>
      </c>
      <c r="V683" s="24">
        <f t="shared" si="79"/>
        <v>4.2845776229793575E-2</v>
      </c>
      <c r="W683" s="23">
        <f t="shared" si="80"/>
        <v>3.5021180673715513E-3</v>
      </c>
      <c r="X683" s="24">
        <v>4.0532168591694839E-2</v>
      </c>
      <c r="Y683" s="24">
        <f t="shared" si="81"/>
        <v>4.2843391065708225E-2</v>
      </c>
      <c r="Z683" s="23">
        <f t="shared" si="82"/>
        <v>3.5019211905367165E-3</v>
      </c>
      <c r="AA683" s="36"/>
    </row>
    <row r="684" spans="15:27" ht="17.100000000000001" customHeight="1" x14ac:dyDescent="0.3">
      <c r="O684" s="12">
        <f t="shared" si="76"/>
        <v>55.916666666666664</v>
      </c>
      <c r="P684" s="13">
        <v>671</v>
      </c>
      <c r="Q684" s="22">
        <v>3.3003696225188728E-2</v>
      </c>
      <c r="R684" s="19">
        <f t="shared" si="77"/>
        <v>3.2446309043609567E-2</v>
      </c>
      <c r="S684" s="22">
        <v>3.8754219100403775E-2</v>
      </c>
      <c r="T684" s="19">
        <f t="shared" si="78"/>
        <v>4.2837800964093065E-2</v>
      </c>
      <c r="U684" s="24">
        <v>4.0987999608957493E-2</v>
      </c>
      <c r="V684" s="24">
        <f t="shared" si="79"/>
        <v>4.2847120458000321E-2</v>
      </c>
      <c r="W684" s="23">
        <f t="shared" si="80"/>
        <v>3.5022268093520825E-3</v>
      </c>
      <c r="X684" s="24">
        <v>4.0535609222470237E-2</v>
      </c>
      <c r="Y684" s="24">
        <f t="shared" si="81"/>
        <v>4.2844804222301747E-2</v>
      </c>
      <c r="Z684" s="23">
        <f t="shared" si="82"/>
        <v>3.5020355442552109E-3</v>
      </c>
      <c r="AA684" s="36"/>
    </row>
    <row r="685" spans="15:27" ht="17.100000000000001" customHeight="1" x14ac:dyDescent="0.3">
      <c r="O685" s="12">
        <f t="shared" si="76"/>
        <v>56</v>
      </c>
      <c r="P685" s="13">
        <v>672</v>
      </c>
      <c r="Q685" s="22">
        <v>3.3002866556455013E-2</v>
      </c>
      <c r="R685" s="19">
        <f t="shared" si="77"/>
        <v>3.2459812030341872E-2</v>
      </c>
      <c r="S685" s="22">
        <v>3.8760283963478637E-2</v>
      </c>
      <c r="T685" s="19">
        <f t="shared" si="78"/>
        <v>4.2839410796297495E-2</v>
      </c>
      <c r="U685" s="24">
        <v>4.0990763694030097E-2</v>
      </c>
      <c r="V685" s="24">
        <f t="shared" si="79"/>
        <v>4.2848452953742955E-2</v>
      </c>
      <c r="W685" s="23">
        <f t="shared" si="80"/>
        <v>3.5023346021525459E-3</v>
      </c>
      <c r="X685" s="24">
        <v>4.0539041722862601E-2</v>
      </c>
      <c r="Y685" s="24">
        <f t="shared" si="81"/>
        <v>4.2846204610276883E-2</v>
      </c>
      <c r="Z685" s="23">
        <f t="shared" si="82"/>
        <v>3.5021488646131971E-3</v>
      </c>
      <c r="AA685" s="36"/>
    </row>
    <row r="686" spans="15:27" ht="17.100000000000001" customHeight="1" x14ac:dyDescent="0.3">
      <c r="O686" s="12">
        <f t="shared" si="76"/>
        <v>56.083333333333336</v>
      </c>
      <c r="P686" s="13">
        <v>673</v>
      </c>
      <c r="Q686" s="22">
        <v>3.3002059428509867E-2</v>
      </c>
      <c r="R686" s="19">
        <f t="shared" si="77"/>
        <v>3.2473199700441935E-2</v>
      </c>
      <c r="S686" s="22">
        <v>3.8766333221122107E-2</v>
      </c>
      <c r="T686" s="19">
        <f t="shared" si="78"/>
        <v>4.2841004632370172E-2</v>
      </c>
      <c r="U686" s="24">
        <v>4.0993521548603029E-2</v>
      </c>
      <c r="V686" s="24">
        <f t="shared" si="79"/>
        <v>4.28497738211151E-2</v>
      </c>
      <c r="W686" s="23">
        <f t="shared" si="80"/>
        <v>3.5024414540087978E-3</v>
      </c>
      <c r="X686" s="24">
        <v>4.0542466110150999E-2</v>
      </c>
      <c r="Y686" s="24">
        <f t="shared" si="81"/>
        <v>4.2847592347023733E-2</v>
      </c>
      <c r="Z686" s="23">
        <f t="shared" si="82"/>
        <v>3.5022611609230037E-3</v>
      </c>
      <c r="AA686" s="36"/>
    </row>
    <row r="687" spans="15:27" ht="17.100000000000001" customHeight="1" x14ac:dyDescent="0.3">
      <c r="O687" s="12">
        <f t="shared" si="76"/>
        <v>56.166666666666664</v>
      </c>
      <c r="P687" s="13">
        <v>674</v>
      </c>
      <c r="Q687" s="22">
        <v>3.3001274569530725E-2</v>
      </c>
      <c r="R687" s="19">
        <f t="shared" si="77"/>
        <v>3.2486473064624155E-2</v>
      </c>
      <c r="S687" s="22">
        <v>3.8772366919035406E-2</v>
      </c>
      <c r="T687" s="19">
        <f t="shared" si="78"/>
        <v>4.2842582630708614E-2</v>
      </c>
      <c r="U687" s="24">
        <v>4.0996273183167009E-2</v>
      </c>
      <c r="V687" s="24">
        <f t="shared" si="79"/>
        <v>4.2851083161170811E-2</v>
      </c>
      <c r="W687" s="23">
        <f t="shared" si="80"/>
        <v>3.5025473732708257E-3</v>
      </c>
      <c r="X687" s="24">
        <v>4.0545882401685773E-2</v>
      </c>
      <c r="Y687" s="24">
        <f t="shared" si="81"/>
        <v>4.2848967545737304E-2</v>
      </c>
      <c r="Z687" s="23">
        <f t="shared" si="82"/>
        <v>3.5023724426015423E-3</v>
      </c>
      <c r="AA687" s="36"/>
    </row>
    <row r="688" spans="15:27" ht="17.100000000000001" customHeight="1" x14ac:dyDescent="0.3">
      <c r="O688" s="12">
        <f t="shared" si="76"/>
        <v>56.25</v>
      </c>
      <c r="P688" s="13">
        <v>675</v>
      </c>
      <c r="Q688" s="22">
        <v>3.3000511710813196E-2</v>
      </c>
      <c r="R688" s="19">
        <f t="shared" si="77"/>
        <v>3.2499633126366501E-2</v>
      </c>
      <c r="S688" s="22">
        <v>3.8778385102882673E-2</v>
      </c>
      <c r="T688" s="19">
        <f t="shared" si="78"/>
        <v>4.2844144949353957E-2</v>
      </c>
      <c r="U688" s="24">
        <v>4.099901860830002E-2</v>
      </c>
      <c r="V688" s="24">
        <f t="shared" si="79"/>
        <v>4.285238107420164E-2</v>
      </c>
      <c r="W688" s="23">
        <f t="shared" si="80"/>
        <v>3.502652368045478E-3</v>
      </c>
      <c r="X688" s="24">
        <v>4.0549290614881883E-2</v>
      </c>
      <c r="Y688" s="24">
        <f t="shared" si="81"/>
        <v>4.285033032008978E-2</v>
      </c>
      <c r="Z688" s="23">
        <f t="shared" si="82"/>
        <v>3.5024827187297713E-3</v>
      </c>
      <c r="AA688" s="36"/>
    </row>
    <row r="689" spans="15:27" ht="17.100000000000001" customHeight="1" x14ac:dyDescent="0.3">
      <c r="O689" s="12">
        <f t="shared" si="76"/>
        <v>56.333333333333336</v>
      </c>
      <c r="P689" s="13">
        <v>676</v>
      </c>
      <c r="Q689" s="22">
        <v>3.2999770586735755E-2</v>
      </c>
      <c r="R689" s="19">
        <f t="shared" si="77"/>
        <v>3.2512680878961531E-2</v>
      </c>
      <c r="S689" s="22">
        <v>3.8784387818291188E-2</v>
      </c>
      <c r="T689" s="19">
        <f t="shared" si="78"/>
        <v>4.284569174417685E-2</v>
      </c>
      <c r="U689" s="24">
        <v>4.1001757834665531E-2</v>
      </c>
      <c r="V689" s="24">
        <f t="shared" si="79"/>
        <v>4.2853667660589956E-2</v>
      </c>
      <c r="W689" s="23">
        <f t="shared" si="80"/>
        <v>3.502756446378319E-3</v>
      </c>
      <c r="X689" s="24">
        <v>4.0552690767218902E-2</v>
      </c>
      <c r="Y689" s="24">
        <f t="shared" si="81"/>
        <v>4.2851680782838075E-2</v>
      </c>
      <c r="Z689" s="23">
        <f t="shared" si="82"/>
        <v>3.5025919984263965E-3</v>
      </c>
      <c r="AA689" s="36"/>
    </row>
    <row r="690" spans="15:27" ht="17.100000000000001" customHeight="1" x14ac:dyDescent="0.3">
      <c r="O690" s="12">
        <f t="shared" si="76"/>
        <v>56.416666666666664</v>
      </c>
      <c r="P690" s="13">
        <v>677</v>
      </c>
      <c r="Q690" s="22">
        <v>3.2999050934722884E-2</v>
      </c>
      <c r="R690" s="19">
        <f t="shared" si="77"/>
        <v>3.2525617306244259E-2</v>
      </c>
      <c r="S690" s="22">
        <v>3.8790375110848263E-2</v>
      </c>
      <c r="T690" s="19">
        <f t="shared" si="78"/>
        <v>4.2847223170232374E-2</v>
      </c>
      <c r="U690" s="24">
        <v>4.1004490873012278E-2</v>
      </c>
      <c r="V690" s="24">
        <f t="shared" si="79"/>
        <v>4.2854943020107727E-2</v>
      </c>
      <c r="W690" s="23">
        <f t="shared" si="80"/>
        <v>3.5028596163220183E-3</v>
      </c>
      <c r="X690" s="24">
        <v>4.0556082876239463E-2</v>
      </c>
      <c r="Y690" s="24">
        <f t="shared" si="81"/>
        <v>4.2853019045467899E-2</v>
      </c>
      <c r="Z690" s="23">
        <f t="shared" si="82"/>
        <v>3.5027002907370708E-3</v>
      </c>
      <c r="AA690" s="36"/>
    </row>
    <row r="691" spans="15:27" ht="17.100000000000001" customHeight="1" x14ac:dyDescent="0.3">
      <c r="O691" s="12">
        <f t="shared" si="76"/>
        <v>56.5</v>
      </c>
      <c r="P691" s="13">
        <v>678</v>
      </c>
      <c r="Q691" s="22">
        <v>3.2998352495207772E-2</v>
      </c>
      <c r="R691" s="19">
        <f t="shared" si="77"/>
        <v>3.2538443383936633E-2</v>
      </c>
      <c r="S691" s="22">
        <v>3.8796347026100353E-2</v>
      </c>
      <c r="T691" s="19">
        <f t="shared" si="78"/>
        <v>4.2848739380792589E-2</v>
      </c>
      <c r="U691" s="24">
        <v>4.1007217734172041E-2</v>
      </c>
      <c r="V691" s="24">
        <f t="shared" si="79"/>
        <v>4.2856207250161704E-2</v>
      </c>
      <c r="W691" s="23">
        <f t="shared" si="80"/>
        <v>3.5029618858801737E-3</v>
      </c>
      <c r="X691" s="24">
        <v>4.0559466959546597E-2</v>
      </c>
      <c r="Y691" s="24">
        <f t="shared" si="81"/>
        <v>4.2854345219266676E-2</v>
      </c>
      <c r="Z691" s="23">
        <f t="shared" si="82"/>
        <v>3.5028076046053069E-3</v>
      </c>
      <c r="AA691" s="36"/>
    </row>
    <row r="692" spans="15:27" ht="17.100000000000001" customHeight="1" x14ac:dyDescent="0.3">
      <c r="O692" s="12">
        <f t="shared" si="76"/>
        <v>56.583333333333336</v>
      </c>
      <c r="P692" s="13">
        <v>679</v>
      </c>
      <c r="Q692" s="22">
        <v>3.299767501159856E-2</v>
      </c>
      <c r="R692" s="19">
        <f t="shared" si="77"/>
        <v>3.2551160078637231E-2</v>
      </c>
      <c r="S692" s="22">
        <v>3.8802303609550615E-2</v>
      </c>
      <c r="T692" s="19">
        <f t="shared" si="78"/>
        <v>4.285024052657227E-2</v>
      </c>
      <c r="U692" s="24">
        <v>4.1009938429056314E-2</v>
      </c>
      <c r="V692" s="24">
        <f t="shared" si="79"/>
        <v>4.2857460448335161E-2</v>
      </c>
      <c r="W692" s="23">
        <f t="shared" si="80"/>
        <v>3.5030632628667568E-3</v>
      </c>
      <c r="X692" s="24">
        <v>4.0562843034803509E-2</v>
      </c>
      <c r="Y692" s="24">
        <f t="shared" si="81"/>
        <v>4.2855659412114333E-2</v>
      </c>
      <c r="Z692" s="23">
        <f t="shared" si="82"/>
        <v>3.5029139489581862E-3</v>
      </c>
      <c r="AA692" s="36"/>
    </row>
    <row r="693" spans="15:27" ht="17.100000000000001" customHeight="1" x14ac:dyDescent="0.3">
      <c r="O693" s="12">
        <f t="shared" si="76"/>
        <v>56.666666666666664</v>
      </c>
      <c r="P693" s="13">
        <v>680</v>
      </c>
      <c r="Q693" s="22">
        <v>3.299701823024237E-2</v>
      </c>
      <c r="R693" s="19">
        <f t="shared" si="77"/>
        <v>3.2563768346903554E-2</v>
      </c>
      <c r="S693" s="22">
        <v>3.8808244906655576E-2</v>
      </c>
      <c r="T693" s="19">
        <f t="shared" si="78"/>
        <v>4.2851726757757946E-2</v>
      </c>
      <c r="U693" s="24">
        <v>4.1012652968655416E-2</v>
      </c>
      <c r="V693" s="24">
        <f t="shared" si="79"/>
        <v>4.2858702710910634E-2</v>
      </c>
      <c r="W693" s="23">
        <f t="shared" si="80"/>
        <v>3.5031637551099504E-3</v>
      </c>
      <c r="X693" s="24">
        <v>4.056621111972758E-2</v>
      </c>
      <c r="Y693" s="24">
        <f t="shared" si="81"/>
        <v>4.2856961732957943E-2</v>
      </c>
      <c r="Z693" s="23">
        <f t="shared" si="82"/>
        <v>3.5030193324503411E-3</v>
      </c>
      <c r="AA693" s="36"/>
    </row>
    <row r="694" spans="15:27" ht="17.100000000000001" customHeight="1" x14ac:dyDescent="0.3">
      <c r="O694" s="12">
        <f t="shared" si="76"/>
        <v>56.75</v>
      </c>
      <c r="P694" s="13">
        <v>681</v>
      </c>
      <c r="Q694" s="22">
        <v>3.2996381900389116E-2</v>
      </c>
      <c r="R694" s="19">
        <f t="shared" si="77"/>
        <v>3.2576269137855052E-2</v>
      </c>
      <c r="S694" s="22">
        <v>3.881417096282469E-2</v>
      </c>
      <c r="T694" s="19">
        <f t="shared" si="78"/>
        <v>4.2853198223733902E-2</v>
      </c>
      <c r="U694" s="24">
        <v>4.1015361364036496E-2</v>
      </c>
      <c r="V694" s="24">
        <f t="shared" si="79"/>
        <v>4.2859934134169553E-2</v>
      </c>
      <c r="W694" s="23">
        <f t="shared" si="80"/>
        <v>3.5032633703331317E-3</v>
      </c>
      <c r="X694" s="24">
        <v>4.0569571232091706E-2</v>
      </c>
      <c r="Y694" s="24">
        <f t="shared" si="81"/>
        <v>4.2858252290431498E-2</v>
      </c>
      <c r="Z694" s="23">
        <f t="shared" si="82"/>
        <v>3.5031237638210033E-3</v>
      </c>
      <c r="AA694" s="36"/>
    </row>
    <row r="695" spans="15:27" ht="17.100000000000001" customHeight="1" x14ac:dyDescent="0.3">
      <c r="O695" s="12">
        <f t="shared" si="76"/>
        <v>56.833333333333336</v>
      </c>
      <c r="P695" s="13">
        <v>682</v>
      </c>
      <c r="Q695" s="22">
        <v>3.299576577415908E-2</v>
      </c>
      <c r="R695" s="19">
        <f t="shared" si="77"/>
        <v>3.2588663391399875E-2</v>
      </c>
      <c r="S695" s="22">
        <v>3.8820081823419672E-2</v>
      </c>
      <c r="T695" s="19">
        <f t="shared" si="78"/>
        <v>4.2854655070582615E-2</v>
      </c>
      <c r="U695" s="24">
        <v>4.1018063626342638E-2</v>
      </c>
      <c r="V695" s="24">
        <f t="shared" si="79"/>
        <v>4.286115481267494E-2</v>
      </c>
      <c r="W695" s="23">
        <f t="shared" si="80"/>
        <v>3.5033621162599005E-3</v>
      </c>
      <c r="X695" s="24">
        <v>4.0572923389723847E-2</v>
      </c>
      <c r="Y695" s="24">
        <f t="shared" si="81"/>
        <v>4.2859531190058586E-2</v>
      </c>
      <c r="Z695" s="23">
        <f t="shared" si="82"/>
        <v>3.5032272517847574E-3</v>
      </c>
      <c r="AA695" s="36"/>
    </row>
    <row r="696" spans="15:27" ht="17.100000000000001" customHeight="1" x14ac:dyDescent="0.3">
      <c r="O696" s="12">
        <f t="shared" si="76"/>
        <v>56.916666666666664</v>
      </c>
      <c r="P696" s="13">
        <v>683</v>
      </c>
      <c r="Q696" s="22">
        <v>3.2995169606508057E-2</v>
      </c>
      <c r="R696" s="19">
        <f t="shared" si="77"/>
        <v>3.2600952038496889E-2</v>
      </c>
      <c r="S696" s="22">
        <v>3.8825977533749834E-2</v>
      </c>
      <c r="T696" s="19">
        <f t="shared" si="78"/>
        <v>4.2856097444214258E-2</v>
      </c>
      <c r="U696" s="24">
        <v>4.1020759766789761E-2</v>
      </c>
      <c r="V696" s="24">
        <f>(1+U697)^P697/(1+U696)^P696-1</f>
        <v>4.286236484048489E-2</v>
      </c>
      <c r="W696" s="23">
        <f t="shared" si="80"/>
        <v>3.5034600004761884E-3</v>
      </c>
      <c r="X696" s="24">
        <v>4.0576267610501482E-2</v>
      </c>
      <c r="Y696" s="24">
        <f t="shared" si="81"/>
        <v>4.2860798538113531E-2</v>
      </c>
      <c r="Z696" s="23">
        <f t="shared" si="82"/>
        <v>3.5033298048066097E-3</v>
      </c>
      <c r="AA696" s="36"/>
    </row>
    <row r="697" spans="15:27" ht="17.100000000000001" customHeight="1" x14ac:dyDescent="0.3">
      <c r="O697" s="12">
        <f t="shared" si="76"/>
        <v>57</v>
      </c>
      <c r="P697" s="13">
        <v>684</v>
      </c>
      <c r="Q697" s="22">
        <v>3.2994593155193819E-2</v>
      </c>
      <c r="R697" s="19">
        <f t="shared" si="77"/>
        <v>3.2613136002272558E-2</v>
      </c>
      <c r="S697" s="22">
        <v>3.8831858139072306E-2</v>
      </c>
      <c r="T697" s="19">
        <f t="shared" si="78"/>
        <v>4.2857525488223747E-2</v>
      </c>
      <c r="U697" s="24">
        <v>4.1023449796665501E-2</v>
      </c>
      <c r="V697" s="24">
        <f t="shared" si="79"/>
        <v>4.2863564309198576E-2</v>
      </c>
      <c r="W697" s="23">
        <f t="shared" si="80"/>
        <v>3.5035570305268493E-3</v>
      </c>
      <c r="X697" s="24">
        <v>4.0579603912352491E-2</v>
      </c>
      <c r="Y697" s="24">
        <f t="shared" si="81"/>
        <v>4.2862054437384112E-2</v>
      </c>
      <c r="Z697" s="23">
        <f t="shared" si="82"/>
        <v>3.5034314314115189E-3</v>
      </c>
      <c r="AA697" s="36"/>
    </row>
    <row r="698" spans="15:27" ht="17.100000000000001" customHeight="1" x14ac:dyDescent="0.3">
      <c r="O698" s="12">
        <f t="shared" si="76"/>
        <v>57.083333333333336</v>
      </c>
      <c r="P698" s="13">
        <v>685</v>
      </c>
      <c r="Q698" s="22">
        <v>3.2994036180743702E-2</v>
      </c>
      <c r="R698" s="19">
        <f t="shared" si="77"/>
        <v>3.2625216197064377E-2</v>
      </c>
      <c r="S698" s="22">
        <v>3.8837723684588932E-2</v>
      </c>
      <c r="T698" s="19">
        <f t="shared" si="78"/>
        <v>4.2858939346239522E-2</v>
      </c>
      <c r="U698" s="24">
        <v>4.102613372732522E-2</v>
      </c>
      <c r="V698" s="24">
        <f t="shared" si="79"/>
        <v>4.2864753313459625E-2</v>
      </c>
      <c r="W698" s="23">
        <f t="shared" si="80"/>
        <v>3.5036532137597831E-3</v>
      </c>
      <c r="X698" s="24">
        <v>4.0582932313250053E-2</v>
      </c>
      <c r="Y698" s="24">
        <f t="shared" si="81"/>
        <v>4.2863298993886412E-2</v>
      </c>
      <c r="Z698" s="23">
        <f t="shared" si="82"/>
        <v>3.5035321398453334E-3</v>
      </c>
      <c r="AA698" s="36"/>
    </row>
    <row r="699" spans="15:27" ht="17.100000000000001" customHeight="1" x14ac:dyDescent="0.3">
      <c r="O699" s="12">
        <f t="shared" si="76"/>
        <v>57.166666666666664</v>
      </c>
      <c r="P699" s="13">
        <v>686</v>
      </c>
      <c r="Q699" s="22">
        <v>3.2993498446421521E-2</v>
      </c>
      <c r="R699" s="19">
        <f t="shared" si="77"/>
        <v>3.2637193527731867E-2</v>
      </c>
      <c r="S699" s="22">
        <v>3.884357421544693E-2</v>
      </c>
      <c r="T699" s="19">
        <f t="shared" si="78"/>
        <v>4.2860339158989236E-2</v>
      </c>
      <c r="U699" s="24">
        <v>4.1028811570195556E-2</v>
      </c>
      <c r="V699" s="24">
        <f t="shared" si="79"/>
        <v>4.2865931944300772E-2</v>
      </c>
      <c r="W699" s="23">
        <f t="shared" si="80"/>
        <v>3.503748557767139E-3</v>
      </c>
      <c r="X699" s="24">
        <v>4.0586252831216862E-2</v>
      </c>
      <c r="Y699" s="24">
        <f t="shared" si="81"/>
        <v>4.2864532309241588E-2</v>
      </c>
      <c r="Z699" s="23">
        <f t="shared" si="82"/>
        <v>3.5036319386121395E-3</v>
      </c>
      <c r="AA699" s="36"/>
    </row>
    <row r="700" spans="15:27" ht="17.100000000000001" customHeight="1" x14ac:dyDescent="0.3">
      <c r="O700" s="12">
        <f t="shared" si="76"/>
        <v>57.25</v>
      </c>
      <c r="P700" s="13">
        <v>687</v>
      </c>
      <c r="Q700" s="22">
        <v>3.2992979718193594E-2</v>
      </c>
      <c r="R700" s="19">
        <f t="shared" si="77"/>
        <v>3.2649068893836342E-2</v>
      </c>
      <c r="S700" s="22">
        <v>3.88494097767349E-2</v>
      </c>
      <c r="T700" s="19">
        <f t="shared" si="78"/>
        <v>4.2861725065683753E-2</v>
      </c>
      <c r="U700" s="24">
        <v>4.1031483336769092E-2</v>
      </c>
      <c r="V700" s="24">
        <f t="shared" si="79"/>
        <v>4.2867100290840288E-2</v>
      </c>
      <c r="W700" s="23">
        <f t="shared" si="80"/>
        <v>3.5038430698510759E-3</v>
      </c>
      <c r="X700" s="24">
        <v>4.0589565484318024E-2</v>
      </c>
      <c r="Y700" s="24">
        <f t="shared" si="81"/>
        <v>4.2865754484137542E-2</v>
      </c>
      <c r="Z700" s="23">
        <f t="shared" si="82"/>
        <v>3.5037308358636388E-3</v>
      </c>
      <c r="AA700" s="36"/>
    </row>
    <row r="701" spans="15:27" ht="17.100000000000001" customHeight="1" x14ac:dyDescent="0.3">
      <c r="O701" s="12">
        <f t="shared" si="76"/>
        <v>57.333333333333336</v>
      </c>
      <c r="P701" s="13">
        <v>688</v>
      </c>
      <c r="Q701" s="22">
        <v>3.2992479764701876E-2</v>
      </c>
      <c r="R701" s="19">
        <f t="shared" si="77"/>
        <v>3.2660843183313748E-2</v>
      </c>
      <c r="S701" s="22">
        <v>3.8855230413481268E-2</v>
      </c>
      <c r="T701" s="19">
        <f t="shared" si="78"/>
        <v>4.2863097205826595E-2</v>
      </c>
      <c r="U701" s="24">
        <v>4.1034149038600809E-2</v>
      </c>
      <c r="V701" s="24">
        <f t="shared" si="79"/>
        <v>4.2868258445035723E-2</v>
      </c>
      <c r="W701" s="23">
        <f t="shared" si="80"/>
        <v>3.5039367571607638E-3</v>
      </c>
      <c r="X701" s="24">
        <v>4.0592870290659722E-2</v>
      </c>
      <c r="Y701" s="24">
        <f t="shared" si="81"/>
        <v>4.2866965621527697E-2</v>
      </c>
      <c r="Z701" s="23">
        <f t="shared" si="82"/>
        <v>3.5038288396767037E-3</v>
      </c>
      <c r="AA701" s="36"/>
    </row>
    <row r="702" spans="15:27" ht="17.100000000000001" customHeight="1" x14ac:dyDescent="0.3">
      <c r="O702" s="12">
        <f t="shared" si="76"/>
        <v>57.416666666666664</v>
      </c>
      <c r="P702" s="13">
        <v>689</v>
      </c>
      <c r="Q702" s="22">
        <v>3.2991998357226437E-2</v>
      </c>
      <c r="R702" s="19">
        <f t="shared" si="77"/>
        <v>3.2672517278422797E-2</v>
      </c>
      <c r="S702" s="22">
        <v>3.8861036170654728E-2</v>
      </c>
      <c r="T702" s="19">
        <f t="shared" si="78"/>
        <v>4.2864455715671657E-2</v>
      </c>
      <c r="U702" s="24">
        <v>4.1036808687311854E-2</v>
      </c>
      <c r="V702" s="24">
        <f t="shared" si="79"/>
        <v>4.2869406494348894E-2</v>
      </c>
      <c r="W702" s="23">
        <f t="shared" si="80"/>
        <v>3.5040296270720805E-3</v>
      </c>
      <c r="X702" s="24">
        <v>4.0596167268392325E-2</v>
      </c>
      <c r="Y702" s="24">
        <f t="shared" si="81"/>
        <v>4.2868165819472059E-2</v>
      </c>
      <c r="Z702" s="23">
        <f t="shared" si="82"/>
        <v>3.5039259583100613E-3</v>
      </c>
      <c r="AA702" s="36"/>
    </row>
    <row r="703" spans="15:27" ht="17.100000000000001" customHeight="1" x14ac:dyDescent="0.3">
      <c r="O703" s="12">
        <f t="shared" si="76"/>
        <v>57.5</v>
      </c>
      <c r="P703" s="13">
        <v>690</v>
      </c>
      <c r="Q703" s="22">
        <v>3.2991535269659034E-2</v>
      </c>
      <c r="R703" s="19">
        <f t="shared" si="77"/>
        <v>3.2684092051708413E-2</v>
      </c>
      <c r="S703" s="22">
        <v>3.8866827093160694E-2</v>
      </c>
      <c r="T703" s="19">
        <f t="shared" si="78"/>
        <v>4.2865800731616943E-2</v>
      </c>
      <c r="U703" s="24">
        <v>4.1039462294582441E-2</v>
      </c>
      <c r="V703" s="24">
        <f t="shared" si="79"/>
        <v>4.2870544528486487E-2</v>
      </c>
      <c r="W703" s="23">
        <f t="shared" si="80"/>
        <v>3.5041216866014135E-3</v>
      </c>
      <c r="X703" s="24">
        <v>4.0599456435702619E-2</v>
      </c>
      <c r="Y703" s="24">
        <f t="shared" si="81"/>
        <v>4.2869355178643653E-2</v>
      </c>
      <c r="Z703" s="23">
        <f t="shared" si="82"/>
        <v>3.5040221996294196E-3</v>
      </c>
      <c r="AA703" s="36"/>
    </row>
    <row r="704" spans="15:27" ht="17.100000000000001" customHeight="1" x14ac:dyDescent="0.3">
      <c r="O704" s="12">
        <f t="shared" si="76"/>
        <v>57.583333333333336</v>
      </c>
      <c r="P704" s="13">
        <v>691</v>
      </c>
      <c r="Q704" s="22">
        <v>3.2991090278469359E-2</v>
      </c>
      <c r="R704" s="19">
        <f t="shared" si="77"/>
        <v>3.2695568368867889E-2</v>
      </c>
      <c r="S704" s="22">
        <v>3.8872603225841296E-2</v>
      </c>
      <c r="T704" s="19">
        <f t="shared" si="78"/>
        <v>4.2867132387157669E-2</v>
      </c>
      <c r="U704" s="24">
        <v>4.1042109872154953E-2</v>
      </c>
      <c r="V704" s="24">
        <f t="shared" si="79"/>
        <v>4.2871672634406943E-2</v>
      </c>
      <c r="W704" s="23">
        <f t="shared" si="80"/>
        <v>3.5042129429441182E-3</v>
      </c>
      <c r="X704" s="24">
        <v>4.0602737810817802E-2</v>
      </c>
      <c r="Y704" s="24">
        <f t="shared" si="81"/>
        <v>4.2870533795855925E-2</v>
      </c>
      <c r="Z704" s="23">
        <f t="shared" si="82"/>
        <v>3.5041175717107631E-3</v>
      </c>
      <c r="AA704" s="36"/>
    </row>
    <row r="705" spans="15:27" ht="17.100000000000001" customHeight="1" x14ac:dyDescent="0.3">
      <c r="O705" s="12">
        <f t="shared" si="76"/>
        <v>57.666666666666664</v>
      </c>
      <c r="P705" s="13">
        <v>692</v>
      </c>
      <c r="Q705" s="22">
        <v>3.2990663162676626E-2</v>
      </c>
      <c r="R705" s="19">
        <f t="shared" si="77"/>
        <v>3.2706947087812521E-2</v>
      </c>
      <c r="S705" s="22">
        <v>3.8878364613471605E-2</v>
      </c>
      <c r="T705" s="19">
        <f t="shared" si="78"/>
        <v>4.2868450815178427E-2</v>
      </c>
      <c r="U705" s="24">
        <v>4.1044751431829285E-2</v>
      </c>
      <c r="V705" s="24">
        <f t="shared" si="79"/>
        <v>4.2872790898135671E-2</v>
      </c>
      <c r="W705" s="23">
        <f t="shared" si="80"/>
        <v>3.5043034030759479E-3</v>
      </c>
      <c r="X705" s="24">
        <v>4.0606011411998821E-2</v>
      </c>
      <c r="Y705" s="24">
        <f t="shared" si="81"/>
        <v>4.2871701768153248E-2</v>
      </c>
      <c r="Z705" s="23">
        <f t="shared" si="82"/>
        <v>3.5042120823196576E-3</v>
      </c>
      <c r="AA705" s="36"/>
    </row>
    <row r="706" spans="15:27" ht="17.100000000000001" customHeight="1" x14ac:dyDescent="0.3">
      <c r="O706" s="12">
        <f t="shared" si="76"/>
        <v>57.75</v>
      </c>
      <c r="P706" s="13">
        <v>693</v>
      </c>
      <c r="Q706" s="22">
        <v>3.2990253703819805E-2</v>
      </c>
      <c r="R706" s="19">
        <f t="shared" si="77"/>
        <v>3.2718229057357329E-2</v>
      </c>
      <c r="S706" s="22">
        <v>3.8884111300760305E-2</v>
      </c>
      <c r="T706" s="19">
        <f t="shared" si="78"/>
        <v>4.2869756148632865E-2</v>
      </c>
      <c r="U706" s="24">
        <v>4.1047386985461065E-2</v>
      </c>
      <c r="V706" s="24">
        <f t="shared" si="79"/>
        <v>4.2873899407567917E-2</v>
      </c>
      <c r="W706" s="23">
        <f t="shared" si="80"/>
        <v>3.5043930738971607E-3</v>
      </c>
      <c r="X706" s="24">
        <v>4.0609277257541709E-2</v>
      </c>
      <c r="Y706" s="24">
        <f t="shared" si="81"/>
        <v>4.2872859193575419E-2</v>
      </c>
      <c r="Z706" s="23">
        <f t="shared" si="82"/>
        <v>3.504305739240543E-3</v>
      </c>
      <c r="AA706" s="36"/>
    </row>
    <row r="707" spans="15:27" ht="17.100000000000001" customHeight="1" x14ac:dyDescent="0.3">
      <c r="O707" s="12">
        <f t="shared" si="76"/>
        <v>57.833333333333336</v>
      </c>
      <c r="P707" s="13">
        <v>694</v>
      </c>
      <c r="Q707" s="22">
        <v>3.2989861685926103E-2</v>
      </c>
      <c r="R707" s="19">
        <f t="shared" si="77"/>
        <v>3.2729415119847616E-2</v>
      </c>
      <c r="S707" s="22">
        <v>3.8889843332348795E-2</v>
      </c>
      <c r="T707" s="19">
        <f t="shared" si="78"/>
        <v>4.2871048516497368E-2</v>
      </c>
      <c r="U707" s="24">
        <v>4.1050016544964096E-2</v>
      </c>
      <c r="V707" s="24">
        <f t="shared" si="79"/>
        <v>4.2874998246274609E-2</v>
      </c>
      <c r="W707" s="23">
        <f t="shared" si="80"/>
        <v>3.504481962458339E-3</v>
      </c>
      <c r="X707" s="24">
        <v>4.0612535365777358E-2</v>
      </c>
      <c r="Y707" s="24">
        <f t="shared" si="81"/>
        <v>4.2874006165572354E-2</v>
      </c>
      <c r="Z707" s="23">
        <f t="shared" si="82"/>
        <v>3.504398550337795E-3</v>
      </c>
      <c r="AA707" s="36"/>
    </row>
    <row r="708" spans="15:27" ht="17.100000000000001" customHeight="1" x14ac:dyDescent="0.3">
      <c r="O708" s="12">
        <f t="shared" si="76"/>
        <v>57.916666666666664</v>
      </c>
      <c r="P708" s="13">
        <v>695</v>
      </c>
      <c r="Q708" s="22">
        <v>3.2989486895483866E-2</v>
      </c>
      <c r="R708" s="19">
        <f t="shared" si="77"/>
        <v>3.2740506110016554E-2</v>
      </c>
      <c r="S708" s="22">
        <v>3.8895560752806979E-2</v>
      </c>
      <c r="T708" s="19">
        <f t="shared" si="78"/>
        <v>4.2872328048455977E-2</v>
      </c>
      <c r="U708" s="24">
        <v>4.1052640122303696E-2</v>
      </c>
      <c r="V708" s="24">
        <f t="shared" si="79"/>
        <v>4.2876087499769566E-2</v>
      </c>
      <c r="W708" s="23">
        <f t="shared" si="80"/>
        <v>3.5045700754632314E-3</v>
      </c>
      <c r="X708" s="24">
        <v>4.0615785755065748E-2</v>
      </c>
      <c r="Y708" s="24">
        <f t="shared" si="81"/>
        <v>4.2875142780215869E-2</v>
      </c>
      <c r="Z708" s="23">
        <f t="shared" si="82"/>
        <v>3.5044905231076395E-3</v>
      </c>
      <c r="AA708" s="36"/>
    </row>
    <row r="709" spans="15:27" ht="17.100000000000001" customHeight="1" x14ac:dyDescent="0.3">
      <c r="O709" s="12">
        <f t="shared" si="76"/>
        <v>58</v>
      </c>
      <c r="P709" s="13">
        <v>696</v>
      </c>
      <c r="Q709" s="22">
        <v>3.2989129121413496E-2</v>
      </c>
      <c r="R709" s="19">
        <f t="shared" si="77"/>
        <v>3.2751502853796799E-2</v>
      </c>
      <c r="S709" s="22">
        <v>3.8901263606634595E-2</v>
      </c>
      <c r="T709" s="19">
        <f t="shared" si="78"/>
        <v>4.2873594871855714E-2</v>
      </c>
      <c r="U709" s="24">
        <v>4.1055257729498917E-2</v>
      </c>
      <c r="V709" s="24">
        <f t="shared" si="79"/>
        <v>4.2877167251214487E-2</v>
      </c>
      <c r="W709" s="23">
        <f t="shared" si="80"/>
        <v>3.5046574197710179E-3</v>
      </c>
      <c r="X709" s="24">
        <v>4.0619028443799055E-2</v>
      </c>
      <c r="Y709" s="24">
        <f t="shared" si="81"/>
        <v>4.2876269130233347E-2</v>
      </c>
      <c r="Z709" s="23">
        <f t="shared" si="82"/>
        <v>3.5045816652559125E-3</v>
      </c>
      <c r="AA709" s="36"/>
    </row>
    <row r="710" spans="15:27" ht="17.100000000000001" customHeight="1" x14ac:dyDescent="0.3">
      <c r="O710" s="12">
        <f t="shared" si="76"/>
        <v>58.083333333333336</v>
      </c>
      <c r="P710" s="13">
        <v>697</v>
      </c>
      <c r="Q710" s="22">
        <v>3.2988788155037474E-2</v>
      </c>
      <c r="R710" s="19">
        <f t="shared" si="77"/>
        <v>3.2762406171212399E-2</v>
      </c>
      <c r="S710" s="22">
        <v>3.8906951938258105E-2</v>
      </c>
      <c r="T710" s="19">
        <f t="shared" si="78"/>
        <v>4.287484911347561E-2</v>
      </c>
      <c r="U710" s="24">
        <v>4.1057869378618994E-2</v>
      </c>
      <c r="V710" s="24">
        <f t="shared" si="79"/>
        <v>4.2878237584373258E-2</v>
      </c>
      <c r="W710" s="23">
        <f t="shared" si="80"/>
        <v>3.5047440020521403E-3</v>
      </c>
      <c r="X710" s="24">
        <v>4.0622263450396545E-2</v>
      </c>
      <c r="Y710" s="24">
        <f t="shared" si="81"/>
        <v>4.2877385309344485E-2</v>
      </c>
      <c r="Z710" s="23">
        <f t="shared" si="82"/>
        <v>3.5046719842211083E-3</v>
      </c>
      <c r="AA710" s="36"/>
    </row>
    <row r="711" spans="15:27" ht="17.100000000000001" customHeight="1" x14ac:dyDescent="0.3">
      <c r="O711" s="12">
        <f t="shared" si="76"/>
        <v>58.166666666666664</v>
      </c>
      <c r="P711" s="13">
        <v>698</v>
      </c>
      <c r="Q711" s="22">
        <v>3.2988463790054601E-2</v>
      </c>
      <c r="R711" s="19">
        <f t="shared" si="77"/>
        <v>3.2773216872593158E-2</v>
      </c>
      <c r="S711" s="22">
        <v>3.8912625792030697E-2</v>
      </c>
      <c r="T711" s="19">
        <f t="shared" si="78"/>
        <v>4.2876090898659402E-2</v>
      </c>
      <c r="U711" s="24">
        <v>4.1060475081784009E-2</v>
      </c>
      <c r="V711" s="24">
        <f t="shared" si="79"/>
        <v>4.2879298581221192E-2</v>
      </c>
      <c r="W711" s="23">
        <f t="shared" si="80"/>
        <v>3.5048298290261126E-3</v>
      </c>
      <c r="X711" s="24">
        <v>4.0625490793306129E-2</v>
      </c>
      <c r="Y711" s="24">
        <f t="shared" si="81"/>
        <v>4.2878491409370945E-2</v>
      </c>
      <c r="Z711" s="23">
        <f t="shared" si="82"/>
        <v>3.5047614875205468E-3</v>
      </c>
      <c r="AA711" s="36"/>
    </row>
    <row r="712" spans="15:27" ht="17.100000000000001" customHeight="1" x14ac:dyDescent="0.3">
      <c r="O712" s="12">
        <f t="shared" si="76"/>
        <v>58.25</v>
      </c>
      <c r="P712" s="13">
        <v>699</v>
      </c>
      <c r="Q712" s="22">
        <v>3.2988155822509135E-2</v>
      </c>
      <c r="R712" s="19">
        <f t="shared" si="77"/>
        <v>3.2783935764729044E-2</v>
      </c>
      <c r="S712" s="22">
        <v>3.891828521223073E-2</v>
      </c>
      <c r="T712" s="19">
        <f t="shared" si="78"/>
        <v>4.287732035056746E-2</v>
      </c>
      <c r="U712" s="24">
        <v>4.1063074851161563E-2</v>
      </c>
      <c r="V712" s="24">
        <f t="shared" si="79"/>
        <v>4.2880350322391569E-2</v>
      </c>
      <c r="W712" s="23">
        <f t="shared" si="80"/>
        <v>3.5049149072681196E-3</v>
      </c>
      <c r="X712" s="24">
        <v>4.062871049100103E-2</v>
      </c>
      <c r="Y712" s="24">
        <f t="shared" si="81"/>
        <v>4.2879587520063156E-2</v>
      </c>
      <c r="Z712" s="23">
        <f t="shared" si="82"/>
        <v>3.5048501825194478E-3</v>
      </c>
      <c r="AA712" s="36"/>
    </row>
    <row r="713" spans="15:27" ht="17.100000000000001" customHeight="1" x14ac:dyDescent="0.3">
      <c r="O713" s="12">
        <f t="shared" si="76"/>
        <v>58.333333333333336</v>
      </c>
      <c r="P713" s="13">
        <v>700</v>
      </c>
      <c r="Q713" s="22">
        <v>3.2987864050768367E-2</v>
      </c>
      <c r="R713" s="19">
        <f t="shared" si="77"/>
        <v>3.2794563642537522E-2</v>
      </c>
      <c r="S713" s="22">
        <v>3.8923930243058846E-2</v>
      </c>
      <c r="T713" s="19">
        <f t="shared" si="78"/>
        <v>4.2878537592795585E-2</v>
      </c>
      <c r="U713" s="24">
        <v>4.1065668698964775E-2</v>
      </c>
      <c r="V713" s="24">
        <f t="shared" si="79"/>
        <v>4.2881392890918413E-2</v>
      </c>
      <c r="W713" s="23">
        <f t="shared" si="80"/>
        <v>3.5049992432460986E-3</v>
      </c>
      <c r="X713" s="24">
        <v>4.0631922561977341E-2</v>
      </c>
      <c r="Y713" s="24">
        <f t="shared" si="81"/>
        <v>4.2880673734531527E-2</v>
      </c>
      <c r="Z713" s="23">
        <f t="shared" si="82"/>
        <v>3.5049380764171634E-3</v>
      </c>
      <c r="AA713" s="36"/>
    </row>
    <row r="714" spans="15:27" ht="17.100000000000001" customHeight="1" x14ac:dyDescent="0.3">
      <c r="O714" s="12">
        <f t="shared" si="76"/>
        <v>58.416666666666664</v>
      </c>
      <c r="P714" s="13">
        <v>701</v>
      </c>
      <c r="Q714" s="22">
        <v>3.298758827548931E-2</v>
      </c>
      <c r="R714" s="19">
        <f t="shared" si="77"/>
        <v>3.2805101296983663E-2</v>
      </c>
      <c r="S714" s="22">
        <v>3.892956092863975E-2</v>
      </c>
      <c r="T714" s="19">
        <f t="shared" si="78"/>
        <v>4.2879742746273486E-2</v>
      </c>
      <c r="U714" s="24">
        <v>4.1068256637455169E-2</v>
      </c>
      <c r="V714" s="24">
        <f t="shared" si="79"/>
        <v>4.2882426365116855E-2</v>
      </c>
      <c r="W714" s="23">
        <f t="shared" si="80"/>
        <v>3.5050828436202774E-3</v>
      </c>
      <c r="X714" s="24">
        <v>4.0635127024757578E-2</v>
      </c>
      <c r="Y714" s="24">
        <f t="shared" si="81"/>
        <v>4.2881750140386643E-2</v>
      </c>
      <c r="Z714" s="23">
        <f t="shared" si="82"/>
        <v>3.5050251766823859E-3</v>
      </c>
      <c r="AA714" s="36"/>
    </row>
    <row r="715" spans="15:27" ht="17.100000000000001" customHeight="1" x14ac:dyDescent="0.3">
      <c r="O715" s="12">
        <f t="shared" si="76"/>
        <v>58.5</v>
      </c>
      <c r="P715" s="13">
        <v>702</v>
      </c>
      <c r="Q715" s="22">
        <v>3.2987328299596941E-2</v>
      </c>
      <c r="R715" s="19">
        <f t="shared" si="77"/>
        <v>3.2815549511332254E-2</v>
      </c>
      <c r="S715" s="22">
        <v>3.8935177313018432E-2</v>
      </c>
      <c r="T715" s="19">
        <f t="shared" si="78"/>
        <v>4.2880935931684849E-2</v>
      </c>
      <c r="U715" s="24">
        <v>4.1070838678936239E-2</v>
      </c>
      <c r="V715" s="24">
        <f t="shared" si="79"/>
        <v>4.2883450825442315E-2</v>
      </c>
      <c r="W715" s="23">
        <f t="shared" si="80"/>
        <v>3.5051657146722981E-3</v>
      </c>
      <c r="X715" s="24">
        <v>4.0638323897883799E-2</v>
      </c>
      <c r="Y715" s="24">
        <f t="shared" si="81"/>
        <v>4.2882816826444348E-2</v>
      </c>
      <c r="Z715" s="23">
        <f t="shared" si="82"/>
        <v>3.505111490342161E-3</v>
      </c>
      <c r="AA715" s="36"/>
    </row>
    <row r="716" spans="15:27" ht="17.100000000000001" customHeight="1" x14ac:dyDescent="0.3">
      <c r="O716" s="12">
        <f t="shared" si="76"/>
        <v>58.583333333333336</v>
      </c>
      <c r="P716" s="13">
        <v>703</v>
      </c>
      <c r="Q716" s="22">
        <v>3.2987083928256444E-2</v>
      </c>
      <c r="R716" s="19">
        <f t="shared" si="77"/>
        <v>3.282590905982441E-2</v>
      </c>
      <c r="S716" s="22">
        <v>3.8940779440160389E-2</v>
      </c>
      <c r="T716" s="19">
        <f t="shared" si="78"/>
        <v>4.2882117267588837E-2</v>
      </c>
      <c r="U716" s="24">
        <v>4.1073414835755218E-2</v>
      </c>
      <c r="V716" s="24">
        <f t="shared" si="79"/>
        <v>4.2884466350211703E-2</v>
      </c>
      <c r="W716" s="23">
        <f t="shared" si="80"/>
        <v>3.505247862856109E-3</v>
      </c>
      <c r="X716" s="24">
        <v>4.0641513199918267E-2</v>
      </c>
      <c r="Y716" s="24">
        <f t="shared" si="81"/>
        <v>4.288387388126913E-2</v>
      </c>
      <c r="Z716" s="23">
        <f t="shared" si="82"/>
        <v>3.5051970245210118E-3</v>
      </c>
      <c r="AA716" s="36"/>
    </row>
    <row r="717" spans="15:27" ht="17.100000000000001" customHeight="1" x14ac:dyDescent="0.3">
      <c r="O717" s="12">
        <f t="shared" si="76"/>
        <v>58.666666666666664</v>
      </c>
      <c r="P717" s="13">
        <v>704</v>
      </c>
      <c r="Q717" s="22">
        <v>3.2986854968844792E-2</v>
      </c>
      <c r="R717" s="19">
        <f t="shared" si="77"/>
        <v>3.2836180712825458E-2</v>
      </c>
      <c r="S717" s="22">
        <v>3.8946367353949629E-2</v>
      </c>
      <c r="T717" s="19">
        <f t="shared" si="78"/>
        <v>4.2883286872211102E-2</v>
      </c>
      <c r="U717" s="24">
        <v>4.1075985120300418E-2</v>
      </c>
      <c r="V717" s="24">
        <f t="shared" si="79"/>
        <v>4.2885473017164166E-2</v>
      </c>
      <c r="W717" s="23">
        <f t="shared" si="80"/>
        <v>3.5053292944533521E-3</v>
      </c>
      <c r="X717" s="24">
        <v>4.0644694949443672E-2</v>
      </c>
      <c r="Y717" s="24">
        <f t="shared" si="81"/>
        <v>4.288492139156741E-2</v>
      </c>
      <c r="Z717" s="23">
        <f t="shared" si="82"/>
        <v>3.5052817863228114E-3</v>
      </c>
      <c r="AA717" s="36"/>
    </row>
    <row r="718" spans="15:27" ht="17.100000000000001" customHeight="1" x14ac:dyDescent="0.3">
      <c r="O718" s="12">
        <f t="shared" ref="O718:O781" si="83">P718/12</f>
        <v>58.75</v>
      </c>
      <c r="P718" s="13">
        <v>705</v>
      </c>
      <c r="Q718" s="22">
        <v>3.2986641230929425E-2</v>
      </c>
      <c r="R718" s="19">
        <f t="shared" ref="R718:R781" si="84">(1+Q719)^P719/(1+Q718)^P718-1</f>
        <v>3.2846365230817964E-2</v>
      </c>
      <c r="S718" s="22">
        <v>3.8951941098188447E-2</v>
      </c>
      <c r="T718" s="19">
        <f t="shared" ref="T718:T781" si="85">(1+S719)^P719/(1+S718)^P718-1</f>
        <v>4.2884444862510085E-2</v>
      </c>
      <c r="U718" s="24">
        <v>4.107854954500012E-2</v>
      </c>
      <c r="V718" s="24">
        <f t="shared" ref="V718:V781" si="86">(1+U719)^P719/(1+U718)^P718-1</f>
        <v>4.2886470905724394E-2</v>
      </c>
      <c r="W718" s="23">
        <f t="shared" si="80"/>
        <v>3.5054100156994838E-3</v>
      </c>
      <c r="X718" s="24">
        <v>4.0647869165059802E-2</v>
      </c>
      <c r="Y718" s="24">
        <f t="shared" si="81"/>
        <v>4.2885959444669774E-2</v>
      </c>
      <c r="Z718" s="23">
        <f t="shared" si="82"/>
        <v>3.5053657827019968E-3</v>
      </c>
      <c r="AA718" s="36"/>
    </row>
    <row r="719" spans="15:27" ht="17.100000000000001" customHeight="1" x14ac:dyDescent="0.3">
      <c r="O719" s="12">
        <f t="shared" si="83"/>
        <v>58.833333333333336</v>
      </c>
      <c r="P719" s="13">
        <v>706</v>
      </c>
      <c r="Q719" s="22">
        <v>3.298644252623828E-2</v>
      </c>
      <c r="R719" s="19">
        <f t="shared" si="84"/>
        <v>3.2856463369388189E-2</v>
      </c>
      <c r="S719" s="22">
        <v>3.8957500716596316E-2</v>
      </c>
      <c r="T719" s="19">
        <f t="shared" si="85"/>
        <v>4.2885591353430286E-2</v>
      </c>
      <c r="U719" s="24">
        <v>4.108110812232435E-2</v>
      </c>
      <c r="V719" s="24">
        <f t="shared" si="86"/>
        <v>4.2887460089583662E-2</v>
      </c>
      <c r="W719" s="23">
        <f t="shared" ref="W719:W782" si="87">(1+V718)^(1/12)-1</f>
        <v>3.5054900329651861E-3</v>
      </c>
      <c r="X719" s="24">
        <v>4.0651035865384655E-2</v>
      </c>
      <c r="Y719" s="24">
        <f t="shared" ref="Y719:Y782" si="88">(1+X720)^P720/(1+X719)^P719-1</f>
        <v>4.2886988124091863E-2</v>
      </c>
      <c r="Z719" s="23">
        <f t="shared" ref="Z719:Z782" si="89">(1+Y718)^(1/12)-1</f>
        <v>3.5054490206638533E-3</v>
      </c>
      <c r="AA719" s="36"/>
    </row>
    <row r="720" spans="15:27" ht="17.100000000000001" customHeight="1" x14ac:dyDescent="0.3">
      <c r="O720" s="12">
        <f t="shared" si="83"/>
        <v>58.916666666666664</v>
      </c>
      <c r="P720" s="13">
        <v>707</v>
      </c>
      <c r="Q720" s="22">
        <v>3.2986258668637802E-2</v>
      </c>
      <c r="R720" s="19">
        <f t="shared" si="84"/>
        <v>3.2866475876569545E-2</v>
      </c>
      <c r="S720" s="22">
        <v>3.8963046252807443E-2</v>
      </c>
      <c r="T720" s="19">
        <f t="shared" si="85"/>
        <v>4.288672645933822E-2</v>
      </c>
      <c r="U720" s="24">
        <v>4.1083660864776661E-2</v>
      </c>
      <c r="V720" s="24">
        <f t="shared" si="86"/>
        <v>4.2888440646728032E-2</v>
      </c>
      <c r="W720" s="23">
        <f t="shared" si="87"/>
        <v>3.5055693521617304E-3</v>
      </c>
      <c r="X720" s="24">
        <v>4.0654195069048882E-2</v>
      </c>
      <c r="Y720" s="24">
        <f t="shared" si="88"/>
        <v>4.2888007516379112E-2</v>
      </c>
      <c r="Z720" s="23">
        <f t="shared" si="89"/>
        <v>3.5055315069070225E-3</v>
      </c>
      <c r="AA720" s="36"/>
    </row>
    <row r="721" spans="15:27" ht="17.100000000000001" customHeight="1" x14ac:dyDescent="0.3">
      <c r="O721" s="12">
        <f t="shared" si="83"/>
        <v>59</v>
      </c>
      <c r="P721" s="13">
        <v>708</v>
      </c>
      <c r="Q721" s="22">
        <v>3.2986089474107194E-2</v>
      </c>
      <c r="R721" s="19">
        <f t="shared" si="84"/>
        <v>3.2876403493659723E-2</v>
      </c>
      <c r="S721" s="22">
        <v>3.8968577750370992E-2</v>
      </c>
      <c r="T721" s="19">
        <f t="shared" si="85"/>
        <v>4.2887850294250018E-2</v>
      </c>
      <c r="U721" s="24">
        <v>4.1086207784899909E-2</v>
      </c>
      <c r="V721" s="24">
        <f t="shared" si="86"/>
        <v>4.2889412652413306E-2</v>
      </c>
      <c r="W721" s="23">
        <f t="shared" si="87"/>
        <v>3.5056479795438911E-3</v>
      </c>
      <c r="X721" s="24">
        <v>4.0657346794699789E-2</v>
      </c>
      <c r="Y721" s="24">
        <f t="shared" si="88"/>
        <v>4.2889017705384669E-2</v>
      </c>
      <c r="Z721" s="23">
        <f t="shared" si="89"/>
        <v>3.505613248373507E-3</v>
      </c>
      <c r="AA721" s="36"/>
    </row>
    <row r="722" spans="15:27" ht="17.100000000000001" customHeight="1" x14ac:dyDescent="0.3">
      <c r="O722" s="12">
        <f t="shared" si="83"/>
        <v>59.083333333333336</v>
      </c>
      <c r="P722" s="13">
        <v>709</v>
      </c>
      <c r="Q722" s="22">
        <v>3.2985934760713542E-2</v>
      </c>
      <c r="R722" s="19">
        <f t="shared" si="84"/>
        <v>3.2886246955324827E-2</v>
      </c>
      <c r="S722" s="22">
        <v>3.897409525275064E-2</v>
      </c>
      <c r="T722" s="19">
        <f t="shared" si="85"/>
        <v>4.2888962969694022E-2</v>
      </c>
      <c r="U722" s="24">
        <v>4.1088748895272253E-2</v>
      </c>
      <c r="V722" s="24">
        <f t="shared" si="86"/>
        <v>4.289037618087721E-2</v>
      </c>
      <c r="W722" s="23">
        <f t="shared" si="87"/>
        <v>3.5057259211481728E-3</v>
      </c>
      <c r="X722" s="24">
        <v>4.0660491060997339E-2</v>
      </c>
      <c r="Y722" s="24">
        <f t="shared" si="88"/>
        <v>4.2890018773673821E-2</v>
      </c>
      <c r="Z722" s="23">
        <f t="shared" si="89"/>
        <v>3.5056942517890377E-3</v>
      </c>
      <c r="AA722" s="36"/>
    </row>
    <row r="723" spans="15:27" ht="17.100000000000001" customHeight="1" x14ac:dyDescent="0.3">
      <c r="O723" s="12">
        <f t="shared" si="83"/>
        <v>59.166666666666664</v>
      </c>
      <c r="P723" s="13">
        <v>710</v>
      </c>
      <c r="Q723" s="22">
        <v>3.298579434858806E-2</v>
      </c>
      <c r="R723" s="19">
        <f t="shared" si="84"/>
        <v>3.2896006989792781E-2</v>
      </c>
      <c r="S723" s="22">
        <v>3.8979598803322135E-2</v>
      </c>
      <c r="T723" s="19">
        <f t="shared" si="85"/>
        <v>4.2890064596841526E-2</v>
      </c>
      <c r="U723" s="24">
        <v>4.1091284208505163E-2</v>
      </c>
      <c r="V723" s="24">
        <f t="shared" si="86"/>
        <v>4.2891331306491809E-2</v>
      </c>
      <c r="W723" s="23">
        <f t="shared" si="87"/>
        <v>3.5058031829291458E-3</v>
      </c>
      <c r="X723" s="24">
        <v>4.0663627886612819E-2</v>
      </c>
      <c r="Y723" s="24">
        <f t="shared" si="88"/>
        <v>4.2891010804131824E-2</v>
      </c>
      <c r="Z723" s="23">
        <f t="shared" si="89"/>
        <v>3.5057745237760951E-3</v>
      </c>
      <c r="AA723" s="36"/>
    </row>
    <row r="724" spans="15:27" ht="17.100000000000001" customHeight="1" x14ac:dyDescent="0.3">
      <c r="O724" s="12">
        <f t="shared" si="83"/>
        <v>59.25</v>
      </c>
      <c r="P724" s="13">
        <v>711</v>
      </c>
      <c r="Q724" s="22">
        <v>3.2985668059902107E-2</v>
      </c>
      <c r="R724" s="19">
        <f t="shared" si="84"/>
        <v>3.2905684318147888E-2</v>
      </c>
      <c r="S724" s="22">
        <v>3.8985088445373073E-2</v>
      </c>
      <c r="T724" s="19">
        <f t="shared" si="85"/>
        <v>4.2891155284873861E-2</v>
      </c>
      <c r="U724" s="24">
        <v>4.1093813737244078E-2</v>
      </c>
      <c r="V724" s="24">
        <f t="shared" si="86"/>
        <v>4.2892278102057979E-2</v>
      </c>
      <c r="W724" s="23">
        <f t="shared" si="87"/>
        <v>3.5058797708522604E-3</v>
      </c>
      <c r="X724" s="24">
        <v>4.0666757290228617E-2</v>
      </c>
      <c r="Y724" s="24">
        <f t="shared" si="88"/>
        <v>4.2891993877879786E-2</v>
      </c>
      <c r="Z724" s="23">
        <f t="shared" si="89"/>
        <v>3.5058540709831387E-3</v>
      </c>
      <c r="AA724" s="36"/>
    </row>
    <row r="725" spans="15:27" ht="17.100000000000001" customHeight="1" x14ac:dyDescent="0.3">
      <c r="O725" s="12">
        <f t="shared" si="83"/>
        <v>59.333333333333336</v>
      </c>
      <c r="P725" s="13">
        <v>712</v>
      </c>
      <c r="Q725" s="22">
        <v>3.2985555718842985E-2</v>
      </c>
      <c r="R725" s="19">
        <f t="shared" si="84"/>
        <v>3.2915279656059004E-2</v>
      </c>
      <c r="S725" s="22">
        <v>3.8990564222101343E-2</v>
      </c>
      <c r="T725" s="19">
        <f t="shared" si="85"/>
        <v>4.2892235143936031E-2</v>
      </c>
      <c r="U725" s="24">
        <v>4.1096337494164858E-2</v>
      </c>
      <c r="V725" s="24">
        <f t="shared" si="86"/>
        <v>4.2893216641606946E-2</v>
      </c>
      <c r="W725" s="23">
        <f t="shared" si="87"/>
        <v>3.5059556907566236E-3</v>
      </c>
      <c r="X725" s="24">
        <v>4.0669879290536004E-2</v>
      </c>
      <c r="Y725" s="24">
        <f t="shared" si="88"/>
        <v>4.2892968077194116E-2</v>
      </c>
      <c r="Z725" s="23">
        <f t="shared" si="89"/>
        <v>3.5059328999167416E-3</v>
      </c>
      <c r="AA725" s="36"/>
    </row>
    <row r="726" spans="15:27" ht="17.100000000000001" customHeight="1" x14ac:dyDescent="0.3">
      <c r="O726" s="12">
        <f t="shared" si="83"/>
        <v>59.416666666666664</v>
      </c>
      <c r="P726" s="13">
        <v>713</v>
      </c>
      <c r="Q726" s="22">
        <v>3.2985457151591957E-2</v>
      </c>
      <c r="R726" s="19">
        <f t="shared" si="84"/>
        <v>3.2924793711440969E-2</v>
      </c>
      <c r="S726" s="22">
        <v>3.8996026176616239E-2</v>
      </c>
      <c r="T726" s="19">
        <f t="shared" si="85"/>
        <v>4.2893304280935407E-2</v>
      </c>
      <c r="U726" s="24">
        <v>4.1098855491976449E-2</v>
      </c>
      <c r="V726" s="24">
        <f t="shared" si="86"/>
        <v>4.2894146996840021E-2</v>
      </c>
      <c r="W726" s="23">
        <f t="shared" si="87"/>
        <v>3.5060309485803742E-3</v>
      </c>
      <c r="X726" s="24">
        <v>4.0672993906236465E-2</v>
      </c>
      <c r="Y726" s="24">
        <f t="shared" si="88"/>
        <v>4.2893933481691349E-2</v>
      </c>
      <c r="Z726" s="23">
        <f t="shared" si="89"/>
        <v>3.5060110171762915E-3</v>
      </c>
      <c r="AA726" s="36"/>
    </row>
    <row r="727" spans="15:27" ht="17.100000000000001" customHeight="1" x14ac:dyDescent="0.3">
      <c r="O727" s="12">
        <f t="shared" si="83"/>
        <v>59.5</v>
      </c>
      <c r="P727" s="13">
        <v>714</v>
      </c>
      <c r="Q727" s="22">
        <v>3.2985372186299156E-2</v>
      </c>
      <c r="R727" s="19">
        <f t="shared" si="84"/>
        <v>3.2934227188254228E-2</v>
      </c>
      <c r="S727" s="22">
        <v>3.9001474351935128E-2</v>
      </c>
      <c r="T727" s="19">
        <f t="shared" si="85"/>
        <v>4.2894362802148089E-2</v>
      </c>
      <c r="U727" s="24">
        <v>4.1101367743416439E-2</v>
      </c>
      <c r="V727" s="24">
        <f t="shared" si="86"/>
        <v>4.2895069237526284E-2</v>
      </c>
      <c r="W727" s="23">
        <f t="shared" si="87"/>
        <v>3.5061055500744676E-3</v>
      </c>
      <c r="X727" s="24">
        <v>4.0676101156038147E-2</v>
      </c>
      <c r="Y727" s="24">
        <f t="shared" si="88"/>
        <v>4.2894890169962618E-2</v>
      </c>
      <c r="Z727" s="23">
        <f t="shared" si="89"/>
        <v>3.5060884291473471E-3</v>
      </c>
      <c r="AA727" s="36"/>
    </row>
    <row r="728" spans="15:27" ht="17.100000000000001" customHeight="1" x14ac:dyDescent="0.3">
      <c r="O728" s="12">
        <f t="shared" si="83"/>
        <v>59.583333333333336</v>
      </c>
      <c r="P728" s="13">
        <v>715</v>
      </c>
      <c r="Q728" s="22">
        <v>3.2985300653064931E-2</v>
      </c>
      <c r="R728" s="19">
        <f t="shared" si="84"/>
        <v>3.2943580779843051E-2</v>
      </c>
      <c r="S728" s="22">
        <v>3.9006908790983008E-2</v>
      </c>
      <c r="T728" s="19">
        <f t="shared" si="85"/>
        <v>4.2895410813945434E-2</v>
      </c>
      <c r="U728" s="24">
        <v>4.1103874261248841E-2</v>
      </c>
      <c r="V728" s="24">
        <f t="shared" si="86"/>
        <v>4.2895983436884721E-2</v>
      </c>
      <c r="W728" s="23">
        <f t="shared" si="87"/>
        <v>3.5061795008350938E-3</v>
      </c>
      <c r="X728" s="24">
        <v>4.0679201058654302E-2</v>
      </c>
      <c r="Y728" s="24">
        <f t="shared" si="88"/>
        <v>4.2895838222326343E-2</v>
      </c>
      <c r="Z728" s="23">
        <f t="shared" si="89"/>
        <v>3.5061651421341988E-3</v>
      </c>
      <c r="AA728" s="36"/>
    </row>
    <row r="729" spans="15:27" ht="17.100000000000001" customHeight="1" x14ac:dyDescent="0.3">
      <c r="O729" s="12">
        <f t="shared" si="83"/>
        <v>59.666666666666664</v>
      </c>
      <c r="P729" s="13">
        <v>716</v>
      </c>
      <c r="Q729" s="22">
        <v>3.298524238391054E-2</v>
      </c>
      <c r="R729" s="19">
        <f t="shared" si="84"/>
        <v>3.2952855178005835E-2</v>
      </c>
      <c r="S729" s="22">
        <v>3.9012329536593615E-2</v>
      </c>
      <c r="T729" s="19">
        <f t="shared" si="85"/>
        <v>4.2896448420415068E-2</v>
      </c>
      <c r="U729" s="24">
        <v>4.1106375058268529E-2</v>
      </c>
      <c r="V729" s="24">
        <f t="shared" si="86"/>
        <v>4.2896889664816307E-2</v>
      </c>
      <c r="W729" s="23">
        <f t="shared" si="87"/>
        <v>3.5062528067348886E-3</v>
      </c>
      <c r="X729" s="24">
        <v>4.0682293632805289E-2</v>
      </c>
      <c r="Y729" s="24">
        <f t="shared" si="88"/>
        <v>4.2896777716311618E-2</v>
      </c>
      <c r="Z729" s="23">
        <f t="shared" si="89"/>
        <v>3.5062411625785828E-3</v>
      </c>
      <c r="AA729" s="36"/>
    </row>
    <row r="730" spans="15:27" ht="17.100000000000001" customHeight="1" x14ac:dyDescent="0.3">
      <c r="O730" s="12">
        <f t="shared" si="83"/>
        <v>59.75</v>
      </c>
      <c r="P730" s="13">
        <v>717</v>
      </c>
      <c r="Q730" s="22">
        <v>3.2985197212762829E-2</v>
      </c>
      <c r="R730" s="19">
        <f t="shared" si="84"/>
        <v>3.2962051065815068E-2</v>
      </c>
      <c r="S730" s="22">
        <v>3.9017736631506317E-2</v>
      </c>
      <c r="T730" s="19">
        <f t="shared" si="85"/>
        <v>4.2897475725036438E-2</v>
      </c>
      <c r="U730" s="24">
        <v>4.1108870147295917E-2</v>
      </c>
      <c r="V730" s="24">
        <f t="shared" si="86"/>
        <v>4.2897787989672809E-2</v>
      </c>
      <c r="W730" s="23">
        <f t="shared" si="87"/>
        <v>3.5063254733804783E-3</v>
      </c>
      <c r="X730" s="24">
        <v>4.0685378897215463E-2</v>
      </c>
      <c r="Y730" s="24">
        <f t="shared" si="88"/>
        <v>4.2897708729046524E-2</v>
      </c>
      <c r="Z730" s="23">
        <f t="shared" si="89"/>
        <v>3.506316496698858E-3</v>
      </c>
      <c r="AA730" s="36"/>
    </row>
    <row r="731" spans="15:27" ht="17.100000000000001" customHeight="1" x14ac:dyDescent="0.3">
      <c r="O731" s="12">
        <f t="shared" si="83"/>
        <v>59.833333333333336</v>
      </c>
      <c r="P731" s="13">
        <v>718</v>
      </c>
      <c r="Q731" s="22">
        <v>3.2985164975428694E-2</v>
      </c>
      <c r="R731" s="19">
        <f t="shared" si="84"/>
        <v>3.2971169120402655E-2</v>
      </c>
      <c r="S731" s="22">
        <v>3.9023130118366556E-2</v>
      </c>
      <c r="T731" s="19">
        <f t="shared" si="85"/>
        <v>4.2898492830097279E-2</v>
      </c>
      <c r="U731" s="24">
        <v>4.1111359541175618E-2</v>
      </c>
      <c r="V731" s="24">
        <f t="shared" si="86"/>
        <v>4.2898678481044339E-2</v>
      </c>
      <c r="W731" s="23">
        <f t="shared" si="87"/>
        <v>3.5063975062541441E-3</v>
      </c>
      <c r="X731" s="24">
        <v>4.0688456870611844E-2</v>
      </c>
      <c r="Y731" s="24">
        <f t="shared" si="88"/>
        <v>4.2898631337135562E-2</v>
      </c>
      <c r="Z731" s="23">
        <f t="shared" si="89"/>
        <v>3.5063911506818535E-3</v>
      </c>
      <c r="AA731" s="36"/>
    </row>
    <row r="732" spans="15:27" ht="17.100000000000001" customHeight="1" x14ac:dyDescent="0.3">
      <c r="O732" s="12">
        <f t="shared" si="83"/>
        <v>59.916666666666664</v>
      </c>
      <c r="P732" s="13">
        <v>719</v>
      </c>
      <c r="Q732" s="22">
        <v>3.2985145509573766E-2</v>
      </c>
      <c r="R732" s="19">
        <f t="shared" si="84"/>
        <v>3.2980210013228151E-2</v>
      </c>
      <c r="S732" s="22">
        <v>3.9028510039724296E-2</v>
      </c>
      <c r="T732" s="19">
        <f t="shared" si="85"/>
        <v>4.289949983660124E-2</v>
      </c>
      <c r="U732" s="24">
        <v>4.1113843252777116E-2</v>
      </c>
      <c r="V732" s="24">
        <f t="shared" si="86"/>
        <v>4.289956120745364E-2</v>
      </c>
      <c r="W732" s="23">
        <f t="shared" si="87"/>
        <v>3.5064689109376435E-3</v>
      </c>
      <c r="X732" s="24">
        <v>4.0691527571723451E-2</v>
      </c>
      <c r="Y732" s="24">
        <f t="shared" si="88"/>
        <v>4.2899545616979617E-2</v>
      </c>
      <c r="Z732" s="23">
        <f t="shared" si="89"/>
        <v>3.5064651306713213E-3</v>
      </c>
      <c r="AA732" s="36"/>
    </row>
    <row r="733" spans="15:27" ht="17.100000000000001" customHeight="1" x14ac:dyDescent="0.3">
      <c r="O733" s="12">
        <f t="shared" si="83"/>
        <v>60</v>
      </c>
      <c r="P733" s="13">
        <v>720</v>
      </c>
      <c r="Q733" s="22">
        <v>3.2985138654701318E-2</v>
      </c>
      <c r="R733" s="19">
        <f t="shared" si="84"/>
        <v>3.2989174409606914E-2</v>
      </c>
      <c r="S733" s="22">
        <v>3.9033876438033355E-2</v>
      </c>
      <c r="T733" s="19">
        <f t="shared" si="85"/>
        <v>4.290049684719266E-2</v>
      </c>
      <c r="U733" s="24">
        <v>4.1116321294993208E-2</v>
      </c>
      <c r="V733" s="24">
        <f t="shared" si="86"/>
        <v>4.2900436238230588E-2</v>
      </c>
      <c r="W733" s="23">
        <f t="shared" si="87"/>
        <v>3.5065396929272463E-3</v>
      </c>
      <c r="X733" s="24">
        <v>4.0694591019281523E-2</v>
      </c>
      <c r="Y733" s="24">
        <f t="shared" si="88"/>
        <v>4.2900451644391158E-2</v>
      </c>
      <c r="Z733" s="23">
        <f t="shared" si="89"/>
        <v>3.5065384427952484E-3</v>
      </c>
      <c r="AA733" s="36"/>
    </row>
    <row r="734" spans="15:27" ht="17.100000000000001" customHeight="1" x14ac:dyDescent="0.3">
      <c r="O734" s="12">
        <f t="shared" si="83"/>
        <v>60.083333333333336</v>
      </c>
      <c r="P734" s="13">
        <v>721</v>
      </c>
      <c r="Q734" s="22">
        <v>3.2985144252131393E-2</v>
      </c>
      <c r="R734" s="19">
        <f t="shared" si="84"/>
        <v>3.2998062970284403E-2</v>
      </c>
      <c r="S734" s="22">
        <v>3.9039229355653848E-2</v>
      </c>
      <c r="T734" s="19">
        <f t="shared" si="85"/>
        <v>4.2901483958321718E-2</v>
      </c>
      <c r="U734" s="24">
        <v>4.1118793680741561E-2</v>
      </c>
      <c r="V734" s="24">
        <f t="shared" si="86"/>
        <v>4.2901303637483901E-2</v>
      </c>
      <c r="W734" s="23">
        <f t="shared" si="87"/>
        <v>3.5066098577829496E-3</v>
      </c>
      <c r="X734" s="24">
        <v>4.0697647232018186E-2</v>
      </c>
      <c r="Y734" s="24">
        <f t="shared" si="88"/>
        <v>4.2901349492641572E-2</v>
      </c>
      <c r="Z734" s="23">
        <f t="shared" si="89"/>
        <v>3.5066110931345484E-3</v>
      </c>
      <c r="AA734" s="36"/>
    </row>
    <row r="735" spans="15:27" ht="17.100000000000001" customHeight="1" x14ac:dyDescent="0.3">
      <c r="O735" s="12">
        <f t="shared" si="83"/>
        <v>60.166666666666664</v>
      </c>
      <c r="P735" s="13">
        <v>722</v>
      </c>
      <c r="Q735" s="22">
        <v>3.2985162144981039E-2</v>
      </c>
      <c r="R735" s="19">
        <f t="shared" si="84"/>
        <v>3.300687634622923E-2</v>
      </c>
      <c r="S735" s="22">
        <v>3.9044568834844862E-2</v>
      </c>
      <c r="T735" s="19">
        <f t="shared" si="85"/>
        <v>4.2902461269767045E-2</v>
      </c>
      <c r="U735" s="24">
        <v>4.112126042295694E-2</v>
      </c>
      <c r="V735" s="24">
        <f t="shared" si="86"/>
        <v>4.2902163473846233E-2</v>
      </c>
      <c r="W735" s="23">
        <f t="shared" si="87"/>
        <v>3.5066794106475285E-3</v>
      </c>
      <c r="X735" s="24">
        <v>4.0700696228663125E-2</v>
      </c>
      <c r="Y735" s="24">
        <f t="shared" si="88"/>
        <v>4.2902239236470185E-2</v>
      </c>
      <c r="Z735" s="23">
        <f t="shared" si="89"/>
        <v>3.5066830875658539E-3</v>
      </c>
      <c r="AA735" s="36"/>
    </row>
    <row r="736" spans="15:27" ht="17.100000000000001" customHeight="1" x14ac:dyDescent="0.3">
      <c r="O736" s="12">
        <f t="shared" si="83"/>
        <v>60.25</v>
      </c>
      <c r="P736" s="13">
        <v>723</v>
      </c>
      <c r="Q736" s="22">
        <v>3.2985192178139222E-2</v>
      </c>
      <c r="R736" s="19">
        <f t="shared" si="84"/>
        <v>3.3015615187480973E-2</v>
      </c>
      <c r="S736" s="22">
        <v>3.9049894917769334E-2</v>
      </c>
      <c r="T736" s="19">
        <f t="shared" si="85"/>
        <v>4.2903428879436323E-2</v>
      </c>
      <c r="U736" s="24">
        <v>4.112372153459698E-2</v>
      </c>
      <c r="V736" s="24">
        <f t="shared" si="86"/>
        <v>4.2903015813503975E-2</v>
      </c>
      <c r="W736" s="23">
        <f t="shared" si="87"/>
        <v>3.5067483570252467E-3</v>
      </c>
      <c r="X736" s="24">
        <v>4.070373802794558E-2</v>
      </c>
      <c r="Y736" s="24">
        <f t="shared" si="88"/>
        <v>4.2903120949169038E-2</v>
      </c>
      <c r="Z736" s="23">
        <f t="shared" si="89"/>
        <v>3.506754432083925E-3</v>
      </c>
      <c r="AA736" s="36"/>
    </row>
    <row r="737" spans="15:27" ht="17.100000000000001" customHeight="1" x14ac:dyDescent="0.3">
      <c r="O737" s="12">
        <f t="shared" si="83"/>
        <v>60.333333333333336</v>
      </c>
      <c r="P737" s="13">
        <v>724</v>
      </c>
      <c r="Q737" s="22">
        <v>3.2985234198252389E-2</v>
      </c>
      <c r="R737" s="19">
        <f t="shared" si="84"/>
        <v>3.3024280135153239E-2</v>
      </c>
      <c r="S737" s="22">
        <v>3.9055207646492285E-2</v>
      </c>
      <c r="T737" s="19">
        <f t="shared" si="85"/>
        <v>4.2904386883259038E-2</v>
      </c>
      <c r="U737" s="24">
        <v>4.1126177028639299E-2</v>
      </c>
      <c r="V737" s="24">
        <f t="shared" si="86"/>
        <v>4.2903860721932974E-2</v>
      </c>
      <c r="W737" s="23">
        <f t="shared" si="87"/>
        <v>3.5068167022247465E-3</v>
      </c>
      <c r="X737" s="24">
        <v>4.0706772648592571E-2</v>
      </c>
      <c r="Y737" s="24">
        <f t="shared" si="88"/>
        <v>4.2903994703815451E-2</v>
      </c>
      <c r="Z737" s="23">
        <f t="shared" si="89"/>
        <v>3.5068251325669486E-3</v>
      </c>
      <c r="AA737" s="36"/>
    </row>
    <row r="738" spans="15:27" ht="17.100000000000001" customHeight="1" x14ac:dyDescent="0.3">
      <c r="O738" s="12">
        <f t="shared" si="83"/>
        <v>60.416666666666664</v>
      </c>
      <c r="P738" s="13">
        <v>725</v>
      </c>
      <c r="Q738" s="22">
        <v>3.2985288053700712E-2</v>
      </c>
      <c r="R738" s="19">
        <f t="shared" si="84"/>
        <v>3.3032871825265486E-2</v>
      </c>
      <c r="S738" s="22">
        <v>3.9060507062978811E-2</v>
      </c>
      <c r="T738" s="19">
        <f t="shared" si="85"/>
        <v>4.2905335376635545E-2</v>
      </c>
      <c r="U738" s="24">
        <v>4.1128626918079947E-2</v>
      </c>
      <c r="V738" s="24">
        <f t="shared" si="86"/>
        <v>4.2904698263215524E-2</v>
      </c>
      <c r="W738" s="23">
        <f t="shared" si="87"/>
        <v>3.506884451497827E-3</v>
      </c>
      <c r="X738" s="24">
        <v>4.0709800109328009E-2</v>
      </c>
      <c r="Y738" s="24">
        <f t="shared" si="88"/>
        <v>4.2904860571421066E-2</v>
      </c>
      <c r="Z738" s="23">
        <f t="shared" si="89"/>
        <v>3.5068951948764582E-3</v>
      </c>
      <c r="AA738" s="36"/>
    </row>
    <row r="739" spans="15:27" ht="17.100000000000001" customHeight="1" x14ac:dyDescent="0.3">
      <c r="O739" s="12">
        <f t="shared" si="83"/>
        <v>60.5</v>
      </c>
      <c r="P739" s="13">
        <v>726</v>
      </c>
      <c r="Q739" s="22">
        <v>3.2985353594578326E-2</v>
      </c>
      <c r="R739" s="19">
        <f t="shared" si="84"/>
        <v>3.304139088877367E-2</v>
      </c>
      <c r="S739" s="22">
        <v>3.9065793209093869E-2</v>
      </c>
      <c r="T739" s="19">
        <f t="shared" si="85"/>
        <v>4.2906274453367699E-2</v>
      </c>
      <c r="U739" s="24">
        <v>4.1131071215931625E-2</v>
      </c>
      <c r="V739" s="24">
        <f t="shared" si="86"/>
        <v>4.2905528501212098E-2</v>
      </c>
      <c r="W739" s="23">
        <f t="shared" si="87"/>
        <v>3.5069516099839326E-3</v>
      </c>
      <c r="X739" s="24">
        <v>4.07128204288707E-2</v>
      </c>
      <c r="Y739" s="24">
        <f t="shared" si="88"/>
        <v>4.2905718623015066E-2</v>
      </c>
      <c r="Z739" s="23">
        <f t="shared" si="89"/>
        <v>3.5069646247078978E-3</v>
      </c>
      <c r="AA739" s="36"/>
    </row>
    <row r="740" spans="15:27" ht="17.100000000000001" customHeight="1" x14ac:dyDescent="0.3">
      <c r="O740" s="12">
        <f t="shared" si="83"/>
        <v>60.583333333333336</v>
      </c>
      <c r="P740" s="13">
        <v>727</v>
      </c>
      <c r="Q740" s="22">
        <v>3.298543067267512E-2</v>
      </c>
      <c r="R740" s="19">
        <f t="shared" si="84"/>
        <v>3.3049837950171579E-2</v>
      </c>
      <c r="S740" s="22">
        <v>3.9071066126601162E-2</v>
      </c>
      <c r="T740" s="19">
        <f t="shared" si="85"/>
        <v>4.2907204209194472E-2</v>
      </c>
      <c r="U740" s="24">
        <v>4.1133509935223023E-2</v>
      </c>
      <c r="V740" s="24">
        <f t="shared" si="86"/>
        <v>4.2906351501823536E-2</v>
      </c>
      <c r="W740" s="23">
        <f t="shared" si="87"/>
        <v>3.5070181828051883E-3</v>
      </c>
      <c r="X740" s="24">
        <v>4.0715833625933895E-2</v>
      </c>
      <c r="Y740" s="24">
        <f t="shared" si="88"/>
        <v>4.2906568930755951E-2</v>
      </c>
      <c r="Z740" s="23">
        <f t="shared" si="89"/>
        <v>3.5070334277580439E-3</v>
      </c>
      <c r="AA740" s="36"/>
    </row>
    <row r="741" spans="15:27" ht="17.100000000000001" customHeight="1" x14ac:dyDescent="0.3">
      <c r="O741" s="12">
        <f t="shared" si="83"/>
        <v>60.666666666666664</v>
      </c>
      <c r="P741" s="13">
        <v>728</v>
      </c>
      <c r="Q741" s="22">
        <v>3.2985519141455866E-2</v>
      </c>
      <c r="R741" s="19">
        <f t="shared" si="84"/>
        <v>3.305821362927297E-2</v>
      </c>
      <c r="S741" s="22">
        <v>3.9076325857165806E-2</v>
      </c>
      <c r="T741" s="19">
        <f t="shared" si="85"/>
        <v>4.2908124735012931E-2</v>
      </c>
      <c r="U741" s="24">
        <v>4.1135943089001703E-2</v>
      </c>
      <c r="V741" s="24">
        <f t="shared" si="86"/>
        <v>4.2907167326528883E-2</v>
      </c>
      <c r="W741" s="23">
        <f t="shared" si="87"/>
        <v>3.5070841752471438E-3</v>
      </c>
      <c r="X741" s="24">
        <v>4.0718839719226851E-2</v>
      </c>
      <c r="Y741" s="24">
        <f t="shared" si="88"/>
        <v>4.2907411563456899E-2</v>
      </c>
      <c r="Z741" s="23">
        <f t="shared" si="89"/>
        <v>3.5071016098147112E-3</v>
      </c>
      <c r="AA741" s="36"/>
    </row>
    <row r="742" spans="15:27" ht="17.100000000000001" customHeight="1" x14ac:dyDescent="0.3">
      <c r="O742" s="12">
        <f t="shared" si="83"/>
        <v>60.75</v>
      </c>
      <c r="P742" s="13">
        <v>729</v>
      </c>
      <c r="Q742" s="22">
        <v>3.2985618856042453E-2</v>
      </c>
      <c r="R742" s="19">
        <f t="shared" si="84"/>
        <v>3.3066518539803802E-2</v>
      </c>
      <c r="S742" s="22">
        <v>3.9081572442349222E-2</v>
      </c>
      <c r="T742" s="19">
        <f t="shared" si="85"/>
        <v>4.2909036122477096E-2</v>
      </c>
      <c r="U742" s="24">
        <v>4.1138370690327886E-2</v>
      </c>
      <c r="V742" s="24">
        <f t="shared" si="86"/>
        <v>4.2907976038311535E-2</v>
      </c>
      <c r="W742" s="23">
        <f t="shared" si="87"/>
        <v>3.5071495922407436E-3</v>
      </c>
      <c r="X742" s="24">
        <v>4.072183872745061E-2</v>
      </c>
      <c r="Y742" s="24">
        <f t="shared" si="88"/>
        <v>4.290824659095871E-2</v>
      </c>
      <c r="Z742" s="23">
        <f t="shared" si="89"/>
        <v>3.5071691763965962E-3</v>
      </c>
      <c r="AA742" s="36"/>
    </row>
    <row r="743" spans="15:27" ht="17.100000000000001" customHeight="1" x14ac:dyDescent="0.3">
      <c r="O743" s="12">
        <f t="shared" si="83"/>
        <v>60.833333333333336</v>
      </c>
      <c r="P743" s="13">
        <v>730</v>
      </c>
      <c r="Q743" s="22">
        <v>3.2985729673193687E-2</v>
      </c>
      <c r="R743" s="19">
        <f t="shared" si="84"/>
        <v>3.3074753290116332E-2</v>
      </c>
      <c r="S743" s="22">
        <v>3.9086805923610246E-2</v>
      </c>
      <c r="T743" s="19">
        <f t="shared" si="85"/>
        <v>4.2909938463308261E-2</v>
      </c>
      <c r="U743" s="24">
        <v>4.1140792752276223E-2</v>
      </c>
      <c r="V743" s="24">
        <f t="shared" si="86"/>
        <v>4.2908777699781853E-2</v>
      </c>
      <c r="W743" s="23">
        <f t="shared" si="87"/>
        <v>3.5072144388377247E-3</v>
      </c>
      <c r="X743" s="24">
        <v>4.0724830669299106E-2</v>
      </c>
      <c r="Y743" s="24">
        <f t="shared" si="88"/>
        <v>4.2909074081879384E-2</v>
      </c>
      <c r="Z743" s="23">
        <f t="shared" si="89"/>
        <v>3.5072361331056623E-3</v>
      </c>
      <c r="AA743" s="36"/>
    </row>
    <row r="744" spans="15:27" ht="17.100000000000001" customHeight="1" x14ac:dyDescent="0.3">
      <c r="O744" s="12">
        <f t="shared" si="83"/>
        <v>60.916666666666664</v>
      </c>
      <c r="P744" s="13">
        <v>731</v>
      </c>
      <c r="Q744" s="22">
        <v>3.2985851451287074E-2</v>
      </c>
      <c r="R744" s="19">
        <f t="shared" si="84"/>
        <v>3.3082918483253065E-2</v>
      </c>
      <c r="S744" s="22">
        <v>3.9092026342306241E-2</v>
      </c>
      <c r="T744" s="19">
        <f t="shared" si="85"/>
        <v>4.2910831847454034E-2</v>
      </c>
      <c r="U744" s="24">
        <v>4.1143209287935578E-2</v>
      </c>
      <c r="V744" s="24">
        <f t="shared" si="86"/>
        <v>4.2909572371607085E-2</v>
      </c>
      <c r="W744" s="23">
        <f t="shared" si="87"/>
        <v>3.5072787200594036E-3</v>
      </c>
      <c r="X744" s="24">
        <v>4.0727815563457614E-2</v>
      </c>
      <c r="Y744" s="24">
        <f t="shared" si="88"/>
        <v>4.2909894103608126E-2</v>
      </c>
      <c r="Z744" s="23">
        <f t="shared" si="89"/>
        <v>3.507302485445063E-3</v>
      </c>
      <c r="AA744" s="36"/>
    </row>
    <row r="745" spans="15:27" ht="17.100000000000001" customHeight="1" x14ac:dyDescent="0.3">
      <c r="O745" s="12">
        <f t="shared" si="83"/>
        <v>61</v>
      </c>
      <c r="P745" s="13">
        <v>732</v>
      </c>
      <c r="Q745" s="22">
        <v>3.2985984050300621E-2</v>
      </c>
      <c r="R745" s="19">
        <f t="shared" si="84"/>
        <v>3.3091014716501999E-2</v>
      </c>
      <c r="S745" s="22">
        <v>3.9097233739691095E-2</v>
      </c>
      <c r="T745" s="19">
        <f t="shared" si="85"/>
        <v>4.2911716363713603E-2</v>
      </c>
      <c r="U745" s="24">
        <v>4.1145620310405917E-2</v>
      </c>
      <c r="V745" s="24">
        <f t="shared" si="86"/>
        <v>4.2910360116250823E-2</v>
      </c>
      <c r="W745" s="23">
        <f t="shared" si="87"/>
        <v>3.5073424407716658E-3</v>
      </c>
      <c r="X745" s="24">
        <v>4.0730793428601642E-2</v>
      </c>
      <c r="Y745" s="24">
        <f t="shared" si="88"/>
        <v>4.2910706726055681E-2</v>
      </c>
      <c r="Z745" s="23">
        <f t="shared" si="89"/>
        <v>3.50736823882003E-3</v>
      </c>
      <c r="AA745" s="36"/>
    </row>
    <row r="746" spans="15:27" ht="17.100000000000001" customHeight="1" x14ac:dyDescent="0.3">
      <c r="O746" s="12">
        <f t="shared" si="83"/>
        <v>61.083333333333336</v>
      </c>
      <c r="P746" s="13">
        <v>733</v>
      </c>
      <c r="Q746" s="22">
        <v>3.2986127331793513E-2</v>
      </c>
      <c r="R746" s="19">
        <f t="shared" si="84"/>
        <v>3.3099042583069727E-2</v>
      </c>
      <c r="S746" s="22">
        <v>3.9102428156914781E-2</v>
      </c>
      <c r="T746" s="19">
        <f t="shared" si="85"/>
        <v>4.2912592099253022E-2</v>
      </c>
      <c r="U746" s="24">
        <v>4.114802583280075E-2</v>
      </c>
      <c r="V746" s="24">
        <f t="shared" si="86"/>
        <v>4.2911140992311081E-2</v>
      </c>
      <c r="W746" s="23">
        <f t="shared" si="87"/>
        <v>3.5074056059845038E-3</v>
      </c>
      <c r="X746" s="24">
        <v>4.0733764283399587E-2</v>
      </c>
      <c r="Y746" s="24">
        <f t="shared" si="88"/>
        <v>4.2911512012817621E-2</v>
      </c>
      <c r="Z746" s="23">
        <f t="shared" si="89"/>
        <v>3.5074333988374118E-3</v>
      </c>
      <c r="AA746" s="36"/>
    </row>
    <row r="747" spans="15:27" ht="17.100000000000001" customHeight="1" x14ac:dyDescent="0.3">
      <c r="O747" s="12">
        <f t="shared" si="83"/>
        <v>61.166666666666664</v>
      </c>
      <c r="P747" s="13">
        <v>734</v>
      </c>
      <c r="Q747" s="22">
        <v>3.2986281158889907E-2</v>
      </c>
      <c r="R747" s="19">
        <f t="shared" si="84"/>
        <v>3.3107002670235586E-2</v>
      </c>
      <c r="S747" s="22">
        <v>3.9107609635021578E-2</v>
      </c>
      <c r="T747" s="19">
        <f t="shared" si="85"/>
        <v>4.2913459142845944E-2</v>
      </c>
      <c r="U747" s="24">
        <v>4.1150425868242024E-2</v>
      </c>
      <c r="V747" s="24">
        <f t="shared" si="86"/>
        <v>4.2911915061561112E-2</v>
      </c>
      <c r="W747" s="23">
        <f t="shared" si="87"/>
        <v>3.5074682203974916E-3</v>
      </c>
      <c r="X747" s="24">
        <v>4.0736728146504753E-2</v>
      </c>
      <c r="Y747" s="24">
        <f t="shared" si="88"/>
        <v>4.2912310032704237E-2</v>
      </c>
      <c r="Z747" s="23">
        <f t="shared" si="89"/>
        <v>3.5074979705980169E-3</v>
      </c>
      <c r="AA747" s="36"/>
    </row>
    <row r="748" spans="15:27" ht="17.100000000000001" customHeight="1" x14ac:dyDescent="0.3">
      <c r="O748" s="12">
        <f t="shared" si="83"/>
        <v>61.25</v>
      </c>
      <c r="P748" s="13">
        <v>735</v>
      </c>
      <c r="Q748" s="22">
        <v>3.29864453962605E-2</v>
      </c>
      <c r="R748" s="19">
        <f t="shared" si="84"/>
        <v>3.3114895557799562E-2</v>
      </c>
      <c r="S748" s="22">
        <v>3.9112778214952959E-2</v>
      </c>
      <c r="T748" s="19">
        <f t="shared" si="85"/>
        <v>4.2914317580345696E-2</v>
      </c>
      <c r="U748" s="24">
        <v>4.1152820429863901E-2</v>
      </c>
      <c r="V748" s="24">
        <f t="shared" si="86"/>
        <v>4.2912682382511447E-2</v>
      </c>
      <c r="W748" s="23">
        <f t="shared" si="87"/>
        <v>3.5075302889651105E-3</v>
      </c>
      <c r="X748" s="24">
        <v>4.0739685036562445E-2</v>
      </c>
      <c r="Y748" s="24">
        <f t="shared" si="88"/>
        <v>4.2913100850205721E-2</v>
      </c>
      <c r="Z748" s="23">
        <f t="shared" si="89"/>
        <v>3.5075619596205421E-3</v>
      </c>
      <c r="AA748" s="36"/>
    </row>
    <row r="749" spans="15:27" ht="17.100000000000001" customHeight="1" x14ac:dyDescent="0.3">
      <c r="O749" s="12">
        <f t="shared" si="83"/>
        <v>61.333333333333336</v>
      </c>
      <c r="P749" s="13">
        <v>736</v>
      </c>
      <c r="Q749" s="22">
        <v>3.2986619910101211E-2</v>
      </c>
      <c r="R749" s="19">
        <f t="shared" si="84"/>
        <v>3.3122721824686563E-2</v>
      </c>
      <c r="S749" s="22">
        <v>3.9117933937544258E-2</v>
      </c>
      <c r="T749" s="19">
        <f t="shared" si="85"/>
        <v>4.291516749662061E-2</v>
      </c>
      <c r="U749" s="24">
        <v>4.1155209530808978E-2</v>
      </c>
      <c r="V749" s="24">
        <f t="shared" si="86"/>
        <v>4.2913443013514074E-2</v>
      </c>
      <c r="W749" s="23">
        <f t="shared" si="87"/>
        <v>3.5075918163802733E-3</v>
      </c>
      <c r="X749" s="24">
        <v>4.0742634972204206E-2</v>
      </c>
      <c r="Y749" s="24">
        <f t="shared" si="88"/>
        <v>4.2913884530927815E-2</v>
      </c>
      <c r="Z749" s="23">
        <f t="shared" si="89"/>
        <v>3.5076253710775163E-3</v>
      </c>
      <c r="AA749" s="36"/>
    </row>
    <row r="750" spans="15:27" ht="17.100000000000001" customHeight="1" x14ac:dyDescent="0.3">
      <c r="O750" s="12">
        <f t="shared" si="83"/>
        <v>61.416666666666664</v>
      </c>
      <c r="P750" s="13">
        <v>737</v>
      </c>
      <c r="Q750" s="22">
        <v>3.2986804568122086E-2</v>
      </c>
      <c r="R750" s="19">
        <f t="shared" si="84"/>
        <v>3.3130482041548781E-2</v>
      </c>
      <c r="S750" s="22">
        <v>3.9123076843524451E-2</v>
      </c>
      <c r="T750" s="19">
        <f t="shared" si="85"/>
        <v>4.2916008977340381E-2</v>
      </c>
      <c r="U750" s="24">
        <v>4.1157593184227181E-2</v>
      </c>
      <c r="V750" s="24">
        <f t="shared" si="86"/>
        <v>4.2914197014611632E-2</v>
      </c>
      <c r="W750" s="23">
        <f t="shared" si="87"/>
        <v>3.5076528073227919E-3</v>
      </c>
      <c r="X750" s="24">
        <v>4.0745577972048919E-2</v>
      </c>
      <c r="Y750" s="24">
        <f t="shared" si="88"/>
        <v>4.2914661138893528E-2</v>
      </c>
      <c r="Z750" s="23">
        <f t="shared" si="89"/>
        <v>3.5076882102302864E-3</v>
      </c>
      <c r="AA750" s="36"/>
    </row>
    <row r="751" spans="15:27" ht="17.100000000000001" customHeight="1" x14ac:dyDescent="0.3">
      <c r="O751" s="12">
        <f t="shared" si="83"/>
        <v>61.5</v>
      </c>
      <c r="P751" s="13">
        <v>738</v>
      </c>
      <c r="Q751" s="22">
        <v>3.2986999239525749E-2</v>
      </c>
      <c r="R751" s="19">
        <f t="shared" si="84"/>
        <v>3.3138176775524775E-2</v>
      </c>
      <c r="S751" s="22">
        <v>3.9128206973517488E-2</v>
      </c>
      <c r="T751" s="19">
        <f t="shared" si="85"/>
        <v>4.2916842105801489E-2</v>
      </c>
      <c r="U751" s="24">
        <v>4.115997140327865E-2</v>
      </c>
      <c r="V751" s="24">
        <f t="shared" si="86"/>
        <v>4.2914944442050684E-2</v>
      </c>
      <c r="W751" s="23">
        <f t="shared" si="87"/>
        <v>3.507713266608592E-3</v>
      </c>
      <c r="X751" s="24">
        <v>4.0748514054701923E-2</v>
      </c>
      <c r="Y751" s="24">
        <f t="shared" si="88"/>
        <v>4.2915430738505123E-2</v>
      </c>
      <c r="Z751" s="23">
        <f t="shared" si="89"/>
        <v>3.5077504822140781E-3</v>
      </c>
      <c r="AA751" s="36"/>
    </row>
    <row r="752" spans="15:27" ht="17.100000000000001" customHeight="1" x14ac:dyDescent="0.3">
      <c r="O752" s="12">
        <f t="shared" si="83"/>
        <v>61.583333333333336</v>
      </c>
      <c r="P752" s="13">
        <v>739</v>
      </c>
      <c r="Q752" s="22">
        <v>3.2987203794992093E-2</v>
      </c>
      <c r="R752" s="19">
        <f t="shared" si="84"/>
        <v>3.3145806587653093E-2</v>
      </c>
      <c r="S752" s="22">
        <v>3.9133324368040068E-2</v>
      </c>
      <c r="T752" s="19">
        <f t="shared" si="85"/>
        <v>4.2917666965075485E-2</v>
      </c>
      <c r="U752" s="24">
        <v>4.1162344201128187E-2</v>
      </c>
      <c r="V752" s="24">
        <f t="shared" si="86"/>
        <v>4.2915685354065314E-2</v>
      </c>
      <c r="W752" s="23">
        <f t="shared" si="87"/>
        <v>3.5077731987482874E-3</v>
      </c>
      <c r="X752" s="24">
        <v>4.0751443238754126E-2</v>
      </c>
      <c r="Y752" s="24">
        <f t="shared" si="88"/>
        <v>4.2916193392723567E-2</v>
      </c>
      <c r="Z752" s="23">
        <f t="shared" si="89"/>
        <v>3.507812192194093E-3</v>
      </c>
      <c r="AA752" s="36"/>
    </row>
    <row r="753" spans="15:27" ht="17.100000000000001" customHeight="1" x14ac:dyDescent="0.3">
      <c r="O753" s="12">
        <f t="shared" si="83"/>
        <v>61.666666666666664</v>
      </c>
      <c r="P753" s="13">
        <v>740</v>
      </c>
      <c r="Q753" s="22">
        <v>3.2987418106660504E-2</v>
      </c>
      <c r="R753" s="19">
        <f t="shared" si="84"/>
        <v>3.3153372034192774E-2</v>
      </c>
      <c r="S753" s="22">
        <v>3.913842906750209E-2</v>
      </c>
      <c r="T753" s="19">
        <f t="shared" si="85"/>
        <v>4.2918483637627958E-2</v>
      </c>
      <c r="U753" s="24">
        <v>4.1164711590948144E-2</v>
      </c>
      <c r="V753" s="24">
        <f t="shared" si="86"/>
        <v>4.2916419808040507E-2</v>
      </c>
      <c r="W753" s="23">
        <f t="shared" si="87"/>
        <v>3.5078326084128086E-3</v>
      </c>
      <c r="X753" s="24">
        <v>4.0754365542781334E-2</v>
      </c>
      <c r="Y753" s="24">
        <f t="shared" si="88"/>
        <v>4.2916949164675922E-2</v>
      </c>
      <c r="Z753" s="23">
        <f t="shared" si="89"/>
        <v>3.5078733452198474E-3</v>
      </c>
      <c r="AA753" s="36"/>
    </row>
    <row r="754" spans="15:27" ht="17.100000000000001" customHeight="1" x14ac:dyDescent="0.3">
      <c r="O754" s="12">
        <f t="shared" si="83"/>
        <v>61.75</v>
      </c>
      <c r="P754" s="13">
        <v>741</v>
      </c>
      <c r="Q754" s="22">
        <v>3.2987642048112997E-2</v>
      </c>
      <c r="R754" s="19">
        <f t="shared" si="84"/>
        <v>3.3160873668123259E-2</v>
      </c>
      <c r="S754" s="22">
        <v>3.9143521112206425E-2</v>
      </c>
      <c r="T754" s="19">
        <f t="shared" si="85"/>
        <v>4.2919292203950743E-2</v>
      </c>
      <c r="U754" s="24">
        <v>4.1167073585916869E-2</v>
      </c>
      <c r="V754" s="24">
        <f t="shared" si="86"/>
        <v>4.2917147858580362E-2</v>
      </c>
      <c r="W754" s="23">
        <f t="shared" si="87"/>
        <v>3.5078915002044742E-3</v>
      </c>
      <c r="X754" s="24">
        <v>4.0757280985344035E-2</v>
      </c>
      <c r="Y754" s="24">
        <f t="shared" si="88"/>
        <v>4.291769811598023E-2</v>
      </c>
      <c r="Z754" s="23">
        <f t="shared" si="89"/>
        <v>3.5079339463541803E-3</v>
      </c>
      <c r="AA754" s="36"/>
    </row>
    <row r="755" spans="15:27" ht="17.100000000000001" customHeight="1" x14ac:dyDescent="0.3">
      <c r="O755" s="12">
        <f t="shared" si="83"/>
        <v>61.833333333333336</v>
      </c>
      <c r="P755" s="13">
        <v>742</v>
      </c>
      <c r="Q755" s="22">
        <v>3.2987875494360663E-2</v>
      </c>
      <c r="R755" s="19">
        <f t="shared" si="84"/>
        <v>3.3168312035310787E-2</v>
      </c>
      <c r="S755" s="22">
        <v>3.9148600542346923E-2</v>
      </c>
      <c r="T755" s="19">
        <f t="shared" si="85"/>
        <v>4.2920092746302707E-2</v>
      </c>
      <c r="U755" s="24">
        <v>4.1169430199215373E-2</v>
      </c>
      <c r="V755" s="24">
        <f t="shared" si="86"/>
        <v>4.2917869563933619E-2</v>
      </c>
      <c r="W755" s="23">
        <f t="shared" si="87"/>
        <v>3.5079498785026697E-3</v>
      </c>
      <c r="X755" s="24">
        <v>4.0760189584985618E-2</v>
      </c>
      <c r="Y755" s="24">
        <f t="shared" si="88"/>
        <v>4.2918440309604788E-2</v>
      </c>
      <c r="Z755" s="23">
        <f t="shared" si="89"/>
        <v>3.5079940005391386E-3</v>
      </c>
      <c r="AA755" s="36"/>
    </row>
    <row r="756" spans="15:27" ht="17.100000000000001" customHeight="1" x14ac:dyDescent="0.3">
      <c r="O756" s="12">
        <f t="shared" si="83"/>
        <v>61.916666666666664</v>
      </c>
      <c r="P756" s="13">
        <v>743</v>
      </c>
      <c r="Q756" s="22">
        <v>3.2988118321823912E-2</v>
      </c>
      <c r="R756" s="19">
        <f t="shared" si="84"/>
        <v>3.3175687677551524E-2</v>
      </c>
      <c r="S756" s="22">
        <v>3.9153667398011738E-2</v>
      </c>
      <c r="T756" s="19">
        <f t="shared" si="85"/>
        <v>4.292088534204308E-2</v>
      </c>
      <c r="U756" s="24">
        <v>4.1171781444031996E-2</v>
      </c>
      <c r="V756" s="24">
        <f t="shared" si="86"/>
        <v>4.2918584977402974E-2</v>
      </c>
      <c r="W756" s="23">
        <f t="shared" si="87"/>
        <v>3.5080077479789917E-3</v>
      </c>
      <c r="X756" s="24">
        <v>4.0763091360234149E-2</v>
      </c>
      <c r="Y756" s="24">
        <f t="shared" si="88"/>
        <v>4.2919175804564835E-2</v>
      </c>
      <c r="Z756" s="23">
        <f t="shared" si="89"/>
        <v>3.5080535128249046E-3</v>
      </c>
      <c r="AA756" s="36"/>
    </row>
    <row r="757" spans="15:27" ht="17.100000000000001" customHeight="1" x14ac:dyDescent="0.3">
      <c r="O757" s="12">
        <f t="shared" si="83"/>
        <v>62</v>
      </c>
      <c r="P757" s="13">
        <v>744</v>
      </c>
      <c r="Q757" s="22">
        <v>3.2988370408317591E-2</v>
      </c>
      <c r="R757" s="19">
        <f t="shared" si="84"/>
        <v>3.3183001132425893E-2</v>
      </c>
      <c r="S757" s="22">
        <v>3.9158721719177558E-2</v>
      </c>
      <c r="T757" s="19">
        <f t="shared" si="85"/>
        <v>4.2921670072433971E-2</v>
      </c>
      <c r="U757" s="24">
        <v>4.1174127333555521E-2</v>
      </c>
      <c r="V757" s="24">
        <f t="shared" si="86"/>
        <v>4.2919294154895038E-2</v>
      </c>
      <c r="W757" s="23">
        <f t="shared" si="87"/>
        <v>3.508065112908243E-3</v>
      </c>
      <c r="X757" s="24">
        <v>4.076598632959727E-2</v>
      </c>
      <c r="Y757" s="24">
        <f t="shared" si="88"/>
        <v>4.2919904663033082E-2</v>
      </c>
      <c r="Z757" s="23">
        <f t="shared" si="89"/>
        <v>3.5081124879445813E-3</v>
      </c>
      <c r="AA757" s="36"/>
    </row>
    <row r="758" spans="15:27" ht="17.100000000000001" customHeight="1" x14ac:dyDescent="0.3">
      <c r="O758" s="12">
        <f t="shared" si="83"/>
        <v>62.083333333333336</v>
      </c>
      <c r="P758" s="13">
        <v>745</v>
      </c>
      <c r="Q758" s="22">
        <v>3.2988631633036114E-2</v>
      </c>
      <c r="R758" s="19">
        <f t="shared" si="84"/>
        <v>3.3190252932424169E-2</v>
      </c>
      <c r="S758" s="22">
        <v>3.9163763545714936E-2</v>
      </c>
      <c r="T758" s="19">
        <f t="shared" si="85"/>
        <v>4.2922447014251519E-2</v>
      </c>
      <c r="U758" s="24">
        <v>4.1176467880978951E-2</v>
      </c>
      <c r="V758" s="24">
        <f t="shared" si="86"/>
        <v>4.2919997151105393E-2</v>
      </c>
      <c r="W758" s="23">
        <f t="shared" si="87"/>
        <v>3.5081219777746142E-3</v>
      </c>
      <c r="X758" s="24">
        <v>4.0768874511566855E-2</v>
      </c>
      <c r="Y758" s="24">
        <f t="shared" si="88"/>
        <v>4.2920626944438656E-2</v>
      </c>
      <c r="Z758" s="23">
        <f t="shared" si="89"/>
        <v>3.5081709308844022E-3</v>
      </c>
      <c r="AA758" s="36"/>
    </row>
    <row r="759" spans="15:27" ht="17.100000000000001" customHeight="1" x14ac:dyDescent="0.3">
      <c r="O759" s="12">
        <f t="shared" si="83"/>
        <v>62.166666666666664</v>
      </c>
      <c r="P759" s="13">
        <v>746</v>
      </c>
      <c r="Q759" s="22">
        <v>3.2988901876537247E-2</v>
      </c>
      <c r="R759" s="19">
        <f t="shared" si="84"/>
        <v>3.3197443605190724E-2</v>
      </c>
      <c r="S759" s="22">
        <v>3.9168792917383843E-2</v>
      </c>
      <c r="T759" s="19">
        <f t="shared" si="85"/>
        <v>4.292321624481632E-2</v>
      </c>
      <c r="U759" s="24">
        <v>4.1178803099497951E-2</v>
      </c>
      <c r="V759" s="24">
        <f t="shared" si="86"/>
        <v>4.2920694018705685E-2</v>
      </c>
      <c r="W759" s="23">
        <f t="shared" si="87"/>
        <v>3.5081783469645966E-3</v>
      </c>
      <c r="X759" s="24">
        <v>4.0771755924615016E-2</v>
      </c>
      <c r="Y759" s="24">
        <f t="shared" si="88"/>
        <v>4.2921342707835652E-2</v>
      </c>
      <c r="Z759" s="23">
        <f t="shared" si="89"/>
        <v>3.5082288464105549E-3</v>
      </c>
      <c r="AA759" s="36"/>
    </row>
    <row r="760" spans="15:27" ht="17.100000000000001" customHeight="1" x14ac:dyDescent="0.3">
      <c r="O760" s="12">
        <f t="shared" si="83"/>
        <v>62.25</v>
      </c>
      <c r="P760" s="13">
        <v>747</v>
      </c>
      <c r="Q760" s="22">
        <v>3.2989181020726344E-2</v>
      </c>
      <c r="R760" s="19">
        <f t="shared" si="84"/>
        <v>3.3204573673492943E-2</v>
      </c>
      <c r="S760" s="22">
        <v>3.9173809873834564E-2</v>
      </c>
      <c r="T760" s="19">
        <f t="shared" si="85"/>
        <v>4.2923977842156624E-2</v>
      </c>
      <c r="U760" s="24">
        <v>4.1181133002307746E-2</v>
      </c>
      <c r="V760" s="24">
        <f t="shared" si="86"/>
        <v>4.2921384813358943E-2</v>
      </c>
      <c r="W760" s="23">
        <f t="shared" si="87"/>
        <v>3.5082342247023668E-3</v>
      </c>
      <c r="X760" s="24">
        <v>4.0774630587193661E-2</v>
      </c>
      <c r="Y760" s="24">
        <f t="shared" si="88"/>
        <v>4.2922052013085077E-2</v>
      </c>
      <c r="Z760" s="23">
        <f t="shared" si="89"/>
        <v>3.5082862392596947E-3</v>
      </c>
      <c r="AA760" s="36"/>
    </row>
    <row r="761" spans="15:27" ht="17.100000000000001" customHeight="1" x14ac:dyDescent="0.3">
      <c r="O761" s="12">
        <f t="shared" si="83"/>
        <v>62.333333333333336</v>
      </c>
      <c r="P761" s="13">
        <v>748</v>
      </c>
      <c r="Q761" s="22">
        <v>3.2989468948841028E-2</v>
      </c>
      <c r="R761" s="19">
        <f t="shared" si="84"/>
        <v>3.3211643656713141E-2</v>
      </c>
      <c r="S761" s="22">
        <v>3.9178814454609689E-2</v>
      </c>
      <c r="T761" s="19">
        <f t="shared" si="85"/>
        <v>4.2924731880134015E-2</v>
      </c>
      <c r="U761" s="24">
        <v>4.1183457602607332E-2</v>
      </c>
      <c r="V761" s="24">
        <f t="shared" si="86"/>
        <v>4.2922069585674683E-2</v>
      </c>
      <c r="W761" s="23">
        <f t="shared" si="87"/>
        <v>3.5082896154523535E-3</v>
      </c>
      <c r="X761" s="24">
        <v>4.0777498517736488E-2</v>
      </c>
      <c r="Y761" s="24">
        <f t="shared" si="88"/>
        <v>4.2922754917156469E-2</v>
      </c>
      <c r="Z761" s="23">
        <f t="shared" si="89"/>
        <v>3.5083431142322041E-3</v>
      </c>
      <c r="AA761" s="36"/>
    </row>
    <row r="762" spans="15:27" ht="17.100000000000001" customHeight="1" x14ac:dyDescent="0.3">
      <c r="O762" s="12">
        <f t="shared" si="83"/>
        <v>62.416666666666664</v>
      </c>
      <c r="P762" s="13">
        <v>749</v>
      </c>
      <c r="Q762" s="22">
        <v>3.29897655454372E-2</v>
      </c>
      <c r="R762" s="19">
        <f t="shared" si="84"/>
        <v>3.3218654067783682E-2</v>
      </c>
      <c r="S762" s="22">
        <v>3.9183806699139012E-2</v>
      </c>
      <c r="T762" s="19">
        <f t="shared" si="85"/>
        <v>4.2925478435521747E-2</v>
      </c>
      <c r="U762" s="24">
        <v>4.118577691359282E-2</v>
      </c>
      <c r="V762" s="24">
        <f t="shared" si="86"/>
        <v>4.2922748389848886E-2</v>
      </c>
      <c r="W762" s="23">
        <f t="shared" si="87"/>
        <v>3.5083445232733101E-3</v>
      </c>
      <c r="X762" s="24">
        <v>4.0780359734654104E-2</v>
      </c>
      <c r="Y762" s="24">
        <f t="shared" si="88"/>
        <v>4.29234514798571E-2</v>
      </c>
      <c r="Z762" s="23">
        <f t="shared" si="89"/>
        <v>3.5083994758973169E-3</v>
      </c>
      <c r="AA762" s="36"/>
    </row>
    <row r="763" spans="15:27" ht="17.100000000000001" customHeight="1" x14ac:dyDescent="0.3">
      <c r="O763" s="12">
        <f t="shared" si="83"/>
        <v>62.5</v>
      </c>
      <c r="P763" s="13">
        <v>750</v>
      </c>
      <c r="Q763" s="22">
        <v>3.2990070696372609E-2</v>
      </c>
      <c r="R763" s="19">
        <f t="shared" si="84"/>
        <v>3.3225605416974613E-2</v>
      </c>
      <c r="S763" s="22">
        <v>3.9188786646744411E-2</v>
      </c>
      <c r="T763" s="19">
        <f t="shared" si="85"/>
        <v>4.2926217581853443E-2</v>
      </c>
      <c r="U763" s="24">
        <v>4.1188090948461875E-2</v>
      </c>
      <c r="V763" s="24">
        <f t="shared" si="86"/>
        <v>4.2923421277739404E-2</v>
      </c>
      <c r="W763" s="23">
        <f t="shared" si="87"/>
        <v>3.5083989525119819E-3</v>
      </c>
      <c r="X763" s="24">
        <v>4.0783214256338907E-2</v>
      </c>
      <c r="Y763" s="24">
        <f t="shared" si="88"/>
        <v>4.2924141756084611E-2</v>
      </c>
      <c r="Z763" s="23">
        <f t="shared" si="89"/>
        <v>3.5084553290516407E-3</v>
      </c>
      <c r="AA763" s="36"/>
    </row>
    <row r="764" spans="15:27" ht="17.100000000000001" customHeight="1" x14ac:dyDescent="0.3">
      <c r="O764" s="12">
        <f t="shared" si="83"/>
        <v>62.583333333333336</v>
      </c>
      <c r="P764" s="13">
        <v>751</v>
      </c>
      <c r="Q764" s="22">
        <v>3.2990384288793306E-2</v>
      </c>
      <c r="R764" s="19">
        <f t="shared" si="84"/>
        <v>3.323249820857832E-2</v>
      </c>
      <c r="S764" s="22">
        <v>3.9193754336636077E-2</v>
      </c>
      <c r="T764" s="19">
        <f t="shared" si="85"/>
        <v>4.2926949392489311E-2</v>
      </c>
      <c r="U764" s="24">
        <v>4.1190399720411053E-2</v>
      </c>
      <c r="V764" s="24">
        <f t="shared" si="86"/>
        <v>4.2924088299775454E-2</v>
      </c>
      <c r="W764" s="23">
        <f t="shared" si="87"/>
        <v>3.5084529073270421E-3</v>
      </c>
      <c r="X764" s="24">
        <v>4.0786062101158427E-2</v>
      </c>
      <c r="Y764" s="24">
        <f t="shared" si="88"/>
        <v>4.2924825804196765E-2</v>
      </c>
      <c r="Z764" s="23">
        <f t="shared" si="89"/>
        <v>3.5085106780980979E-3</v>
      </c>
      <c r="AA764" s="36"/>
    </row>
    <row r="765" spans="15:27" ht="17.100000000000001" customHeight="1" x14ac:dyDescent="0.3">
      <c r="O765" s="12">
        <f t="shared" si="83"/>
        <v>62.666666666666664</v>
      </c>
      <c r="P765" s="13">
        <v>752</v>
      </c>
      <c r="Q765" s="22">
        <v>3.2990706211118326E-2</v>
      </c>
      <c r="R765" s="19">
        <f t="shared" si="84"/>
        <v>3.3239332943234778E-2</v>
      </c>
      <c r="S765" s="22">
        <v>3.9198709807913179E-2</v>
      </c>
      <c r="T765" s="19">
        <f t="shared" si="85"/>
        <v>4.2927673941684619E-2</v>
      </c>
      <c r="U765" s="24">
        <v>4.1192703242633577E-2</v>
      </c>
      <c r="V765" s="24">
        <f t="shared" si="86"/>
        <v>4.2924749509536397E-2</v>
      </c>
      <c r="W765" s="23">
        <f t="shared" si="87"/>
        <v>3.5085063917634773E-3</v>
      </c>
      <c r="X765" s="24">
        <v>4.0788903287459766E-2</v>
      </c>
      <c r="Y765" s="24">
        <f t="shared" si="88"/>
        <v>4.2925503680788291E-2</v>
      </c>
      <c r="Z765" s="23">
        <f t="shared" si="89"/>
        <v>3.5085655277165007E-3</v>
      </c>
      <c r="AA765" s="36"/>
    </row>
    <row r="766" spans="15:27" ht="17.100000000000001" customHeight="1" x14ac:dyDescent="0.3">
      <c r="O766" s="12">
        <f t="shared" si="83"/>
        <v>62.75</v>
      </c>
      <c r="P766" s="13">
        <v>753</v>
      </c>
      <c r="Q766" s="22">
        <v>3.2991036353025471E-2</v>
      </c>
      <c r="R766" s="19">
        <f t="shared" si="84"/>
        <v>3.3246110117119754E-2</v>
      </c>
      <c r="S766" s="22">
        <v>3.9203653099565638E-2</v>
      </c>
      <c r="T766" s="19">
        <f t="shared" si="85"/>
        <v>4.2928391299069446E-2</v>
      </c>
      <c r="U766" s="24">
        <v>4.1195001528323782E-2</v>
      </c>
      <c r="V766" s="24">
        <f t="shared" si="86"/>
        <v>4.2925404954511137E-2</v>
      </c>
      <c r="W766" s="23">
        <f t="shared" si="87"/>
        <v>3.5085594101178508E-3</v>
      </c>
      <c r="X766" s="24">
        <v>4.0791737833567598E-2</v>
      </c>
      <c r="Y766" s="24">
        <f t="shared" si="88"/>
        <v>4.2926175439552017E-2</v>
      </c>
      <c r="Z766" s="23">
        <f t="shared" si="89"/>
        <v>3.5086198824461068E-3</v>
      </c>
      <c r="AA766" s="36"/>
    </row>
    <row r="767" spans="15:27" ht="17.100000000000001" customHeight="1" x14ac:dyDescent="0.3">
      <c r="O767" s="12">
        <f t="shared" si="83"/>
        <v>62.833333333333336</v>
      </c>
      <c r="P767" s="13">
        <v>754</v>
      </c>
      <c r="Q767" s="22">
        <v>3.2991374605437551E-2</v>
      </c>
      <c r="R767" s="19">
        <f t="shared" si="84"/>
        <v>3.3252830222241014E-2</v>
      </c>
      <c r="S767" s="22">
        <v>3.9208584250469025E-2</v>
      </c>
      <c r="T767" s="19">
        <f t="shared" si="85"/>
        <v>4.2929101539229242E-2</v>
      </c>
      <c r="U767" s="24">
        <v>4.1197294590668676E-2</v>
      </c>
      <c r="V767" s="24">
        <f t="shared" si="86"/>
        <v>4.2926054688051885E-2</v>
      </c>
      <c r="W767" s="23">
        <f t="shared" si="87"/>
        <v>3.5086119661988935E-3</v>
      </c>
      <c r="X767" s="24">
        <v>4.0794565757780621E-2</v>
      </c>
      <c r="Y767" s="24">
        <f t="shared" si="88"/>
        <v>4.2926841138418936E-2</v>
      </c>
      <c r="Z767" s="23">
        <f t="shared" si="89"/>
        <v>3.5086737465930273E-3</v>
      </c>
      <c r="AA767" s="36"/>
    </row>
    <row r="768" spans="15:27" ht="17.100000000000001" customHeight="1" x14ac:dyDescent="0.3">
      <c r="O768" s="12">
        <f t="shared" si="83"/>
        <v>62.916666666666664</v>
      </c>
      <c r="P768" s="13">
        <v>755</v>
      </c>
      <c r="Q768" s="22">
        <v>3.2991720860508167E-2</v>
      </c>
      <c r="R768" s="19">
        <f t="shared" si="84"/>
        <v>3.325949374568582E-2</v>
      </c>
      <c r="S768" s="22">
        <v>3.9213503299391217E-2</v>
      </c>
      <c r="T768" s="19">
        <f t="shared" si="85"/>
        <v>4.2929804730274634E-2</v>
      </c>
      <c r="U768" s="24">
        <v>4.1199582442856153E-2</v>
      </c>
      <c r="V768" s="24">
        <f t="shared" si="86"/>
        <v>4.2926698758268378E-2</v>
      </c>
      <c r="W768" s="23">
        <f t="shared" si="87"/>
        <v>3.508664064285627E-3</v>
      </c>
      <c r="X768" s="24">
        <v>4.0797387078377323E-2</v>
      </c>
      <c r="Y768" s="24">
        <f t="shared" si="88"/>
        <v>4.2927500830130416E-2</v>
      </c>
      <c r="Z768" s="23">
        <f t="shared" si="89"/>
        <v>3.5087271248033236E-3</v>
      </c>
      <c r="AA768" s="36"/>
    </row>
    <row r="769" spans="15:27" ht="17.100000000000001" customHeight="1" x14ac:dyDescent="0.3">
      <c r="O769" s="12">
        <f t="shared" si="83"/>
        <v>63</v>
      </c>
      <c r="P769" s="13">
        <v>756</v>
      </c>
      <c r="Q769" s="22">
        <v>3.299207501160728E-2</v>
      </c>
      <c r="R769" s="19">
        <f t="shared" si="84"/>
        <v>3.3266101170543072E-2</v>
      </c>
      <c r="S769" s="22">
        <v>3.9218410284985517E-2</v>
      </c>
      <c r="T769" s="19">
        <f t="shared" si="85"/>
        <v>4.2930500943158645E-2</v>
      </c>
      <c r="U769" s="24">
        <v>4.1201865098067891E-2</v>
      </c>
      <c r="V769" s="24">
        <f t="shared" si="86"/>
        <v>4.2927337214987871E-2</v>
      </c>
      <c r="W769" s="23">
        <f t="shared" si="87"/>
        <v>3.5087157082360765E-3</v>
      </c>
      <c r="X769" s="24">
        <v>4.0800201813608883E-2</v>
      </c>
      <c r="Y769" s="24">
        <f t="shared" si="88"/>
        <v>4.2928154569859434E-2</v>
      </c>
      <c r="Z769" s="23">
        <f t="shared" si="89"/>
        <v>3.5087800213067233E-3</v>
      </c>
      <c r="AA769" s="36"/>
    </row>
    <row r="770" spans="15:27" ht="17.100000000000001" customHeight="1" x14ac:dyDescent="0.3">
      <c r="O770" s="12">
        <f t="shared" si="83"/>
        <v>63.083333333333336</v>
      </c>
      <c r="P770" s="13">
        <v>757</v>
      </c>
      <c r="Q770" s="22">
        <v>3.2992436953307891E-2</v>
      </c>
      <c r="R770" s="19">
        <f t="shared" si="84"/>
        <v>3.3272652976076733E-2</v>
      </c>
      <c r="S770" s="22">
        <v>3.9223305245794204E-2</v>
      </c>
      <c r="T770" s="19">
        <f t="shared" si="85"/>
        <v>4.2931190247972761E-2</v>
      </c>
      <c r="U770" s="24">
        <v>4.1204142569481572E-2</v>
      </c>
      <c r="V770" s="24">
        <f t="shared" si="86"/>
        <v>4.2927970107882851E-2</v>
      </c>
      <c r="W770" s="23">
        <f t="shared" si="87"/>
        <v>3.5087669020468226E-3</v>
      </c>
      <c r="X770" s="24">
        <v>4.0803009981702942E-2</v>
      </c>
      <c r="Y770" s="24">
        <f t="shared" si="88"/>
        <v>4.2928802411621447E-2</v>
      </c>
      <c r="Z770" s="23">
        <f t="shared" si="89"/>
        <v>3.5088324405279092E-3</v>
      </c>
      <c r="AA770" s="36"/>
    </row>
    <row r="771" spans="15:27" ht="17.100000000000001" customHeight="1" x14ac:dyDescent="0.3">
      <c r="O771" s="12">
        <f t="shared" si="83"/>
        <v>63.166666666666664</v>
      </c>
      <c r="P771" s="13">
        <v>758</v>
      </c>
      <c r="Q771" s="22">
        <v>3.2992806581372713E-2</v>
      </c>
      <c r="R771" s="19">
        <f t="shared" si="84"/>
        <v>3.327914963642753E-2</v>
      </c>
      <c r="S771" s="22">
        <v>3.9228188220248983E-2</v>
      </c>
      <c r="T771" s="19">
        <f t="shared" si="85"/>
        <v>4.2931872711880148E-2</v>
      </c>
      <c r="U771" s="24">
        <v>4.120641487027088E-2</v>
      </c>
      <c r="V771" s="24">
        <f t="shared" si="86"/>
        <v>4.2928597483796516E-2</v>
      </c>
      <c r="W771" s="23">
        <f t="shared" si="87"/>
        <v>3.5088176497011236E-3</v>
      </c>
      <c r="X771" s="24">
        <v>4.0805811600862274E-2</v>
      </c>
      <c r="Y771" s="24">
        <f t="shared" si="88"/>
        <v>4.2929444407180162E-2</v>
      </c>
      <c r="Z771" s="23">
        <f t="shared" si="89"/>
        <v>3.5088843867991937E-3</v>
      </c>
      <c r="AA771" s="36"/>
    </row>
    <row r="772" spans="15:27" ht="17.100000000000001" customHeight="1" x14ac:dyDescent="0.3">
      <c r="O772" s="12">
        <f t="shared" si="83"/>
        <v>63.25</v>
      </c>
      <c r="P772" s="13">
        <v>759</v>
      </c>
      <c r="Q772" s="22">
        <v>3.2993183792740188E-2</v>
      </c>
      <c r="R772" s="19">
        <f t="shared" si="84"/>
        <v>3.3285591623072763E-2</v>
      </c>
      <c r="S772" s="22">
        <v>3.9233059246666979E-2</v>
      </c>
      <c r="T772" s="19">
        <f t="shared" si="85"/>
        <v>4.2932548404292836E-2</v>
      </c>
      <c r="U772" s="24">
        <v>4.1208682013601505E-2</v>
      </c>
      <c r="V772" s="24">
        <f t="shared" si="86"/>
        <v>4.2929219392877416E-2</v>
      </c>
      <c r="W772" s="23">
        <f t="shared" si="87"/>
        <v>3.5088679549559743E-3</v>
      </c>
      <c r="X772" s="24">
        <v>4.0808606689261673E-2</v>
      </c>
      <c r="Y772" s="24">
        <f t="shared" si="88"/>
        <v>4.2930080611766952E-2</v>
      </c>
      <c r="Z772" s="23">
        <f t="shared" si="89"/>
        <v>3.5089358642717006E-3</v>
      </c>
      <c r="AA772" s="36"/>
    </row>
    <row r="773" spans="15:27" ht="17.100000000000001" customHeight="1" x14ac:dyDescent="0.3">
      <c r="O773" s="12">
        <f t="shared" si="83"/>
        <v>63.333333333333336</v>
      </c>
      <c r="P773" s="13">
        <v>760</v>
      </c>
      <c r="Q773" s="22">
        <v>3.299356848551227E-2</v>
      </c>
      <c r="R773" s="19">
        <f t="shared" si="84"/>
        <v>3.3291979401287586E-2</v>
      </c>
      <c r="S773" s="22">
        <v>3.9237918363255408E-2</v>
      </c>
      <c r="T773" s="19">
        <f t="shared" si="85"/>
        <v>4.2933217391175393E-2</v>
      </c>
      <c r="U773" s="24">
        <v>4.121094401263603E-2</v>
      </c>
      <c r="V773" s="24">
        <f t="shared" si="86"/>
        <v>4.2929835881659217E-2</v>
      </c>
      <c r="W773" s="23">
        <f t="shared" si="87"/>
        <v>3.5089178218330463E-3</v>
      </c>
      <c r="X773" s="24">
        <v>4.0811395265052841E-2</v>
      </c>
      <c r="Y773" s="24">
        <f t="shared" si="88"/>
        <v>4.2930711075628958E-2</v>
      </c>
      <c r="Z773" s="23">
        <f t="shared" si="89"/>
        <v>3.5089868773749977E-3</v>
      </c>
      <c r="AA773" s="36"/>
    </row>
    <row r="774" spans="15:27" ht="17.100000000000001" customHeight="1" x14ac:dyDescent="0.3">
      <c r="O774" s="12">
        <f t="shared" si="83"/>
        <v>63.416666666666664</v>
      </c>
      <c r="P774" s="13">
        <v>761</v>
      </c>
      <c r="Q774" s="22">
        <v>3.2993960558939772E-2</v>
      </c>
      <c r="R774" s="19">
        <f t="shared" si="84"/>
        <v>3.3298313434144022E-2</v>
      </c>
      <c r="S774" s="22">
        <v>3.9242765608106911E-2</v>
      </c>
      <c r="T774" s="19">
        <f t="shared" si="85"/>
        <v>4.2933879739778913E-2</v>
      </c>
      <c r="U774" s="24">
        <v>4.1213200880528822E-2</v>
      </c>
      <c r="V774" s="24">
        <f t="shared" si="86"/>
        <v>4.293044699725912E-2</v>
      </c>
      <c r="W774" s="23">
        <f t="shared" si="87"/>
        <v>3.5089672540644656E-3</v>
      </c>
      <c r="X774" s="24">
        <v>4.0814177346358171E-2</v>
      </c>
      <c r="Y774" s="24">
        <f t="shared" si="88"/>
        <v>4.2931335850922014E-2</v>
      </c>
      <c r="Z774" s="23">
        <f t="shared" si="89"/>
        <v>3.5090374301387506E-3</v>
      </c>
      <c r="AA774" s="36"/>
    </row>
    <row r="775" spans="15:27" ht="17.100000000000001" customHeight="1" x14ac:dyDescent="0.3">
      <c r="O775" s="12">
        <f t="shared" si="83"/>
        <v>63.5</v>
      </c>
      <c r="P775" s="13">
        <v>762</v>
      </c>
      <c r="Q775" s="22">
        <v>3.2994359913410598E-2</v>
      </c>
      <c r="R775" s="19">
        <f t="shared" si="84"/>
        <v>3.3304594179782487E-2</v>
      </c>
      <c r="S775" s="22">
        <v>3.924760101920266E-2</v>
      </c>
      <c r="T775" s="19">
        <f t="shared" si="85"/>
        <v>4.2934535516589101E-2</v>
      </c>
      <c r="U775" s="24">
        <v>4.1215452630426919E-2</v>
      </c>
      <c r="V775" s="24">
        <f t="shared" si="86"/>
        <v>4.2931052787700263E-2</v>
      </c>
      <c r="W775" s="23">
        <f t="shared" si="87"/>
        <v>3.5090162554289872E-3</v>
      </c>
      <c r="X775" s="24">
        <v>4.0816952951273189E-2</v>
      </c>
      <c r="Y775" s="24">
        <f t="shared" si="88"/>
        <v>4.2931954990214516E-2</v>
      </c>
      <c r="Z775" s="23">
        <f t="shared" si="89"/>
        <v>3.5090875267458355E-3</v>
      </c>
      <c r="AA775" s="36"/>
    </row>
    <row r="776" spans="15:27" ht="17.100000000000001" customHeight="1" x14ac:dyDescent="0.3">
      <c r="O776" s="12">
        <f t="shared" si="83"/>
        <v>63.583333333333336</v>
      </c>
      <c r="P776" s="13">
        <v>763</v>
      </c>
      <c r="Q776" s="22">
        <v>3.2994766450437085E-2</v>
      </c>
      <c r="R776" s="19">
        <f t="shared" si="84"/>
        <v>3.3310822092336823E-2</v>
      </c>
      <c r="S776" s="22">
        <v>3.9252424634411476E-2</v>
      </c>
      <c r="T776" s="19">
        <f t="shared" si="85"/>
        <v>4.2935184785252378E-2</v>
      </c>
      <c r="U776" s="24">
        <v>4.1217699275471142E-2</v>
      </c>
      <c r="V776" s="24">
        <f t="shared" si="86"/>
        <v>4.2931653297964001E-2</v>
      </c>
      <c r="W776" s="23">
        <f t="shared" si="87"/>
        <v>3.5090648297777527E-3</v>
      </c>
      <c r="X776" s="24">
        <v>4.0819722097867217E-2</v>
      </c>
      <c r="Y776" s="24">
        <f t="shared" si="88"/>
        <v>4.2932568543048832E-2</v>
      </c>
      <c r="Z776" s="23">
        <f t="shared" si="89"/>
        <v>3.5091371714122133E-3</v>
      </c>
      <c r="AA776" s="36"/>
    </row>
    <row r="777" spans="15:27" ht="17.100000000000001" customHeight="1" x14ac:dyDescent="0.3">
      <c r="O777" s="12">
        <f t="shared" si="83"/>
        <v>63.666666666666664</v>
      </c>
      <c r="P777" s="13">
        <v>764</v>
      </c>
      <c r="Q777" s="22">
        <v>3.2995180072642238E-2</v>
      </c>
      <c r="R777" s="19">
        <f t="shared" si="84"/>
        <v>3.3316997622734101E-2</v>
      </c>
      <c r="S777" s="22">
        <v>3.9257236491487602E-2</v>
      </c>
      <c r="T777" s="19">
        <f t="shared" si="85"/>
        <v>4.2935827612554878E-2</v>
      </c>
      <c r="U777" s="24">
        <v>4.1219940828792545E-2</v>
      </c>
      <c r="V777" s="24">
        <f t="shared" si="86"/>
        <v>4.2932248575769938E-2</v>
      </c>
      <c r="W777" s="23">
        <f t="shared" si="87"/>
        <v>3.5091129807183208E-3</v>
      </c>
      <c r="X777" s="24">
        <v>4.0822484804180048E-2</v>
      </c>
      <c r="Y777" s="24">
        <f t="shared" si="88"/>
        <v>4.2933176561239961E-2</v>
      </c>
      <c r="Z777" s="23">
        <f t="shared" si="89"/>
        <v>3.5091863681107061E-3</v>
      </c>
      <c r="AA777" s="36"/>
    </row>
    <row r="778" spans="15:27" ht="17.100000000000001" customHeight="1" x14ac:dyDescent="0.3">
      <c r="O778" s="12">
        <f t="shared" si="83"/>
        <v>63.75</v>
      </c>
      <c r="P778" s="13">
        <v>765</v>
      </c>
      <c r="Q778" s="22">
        <v>3.2995600683749071E-2</v>
      </c>
      <c r="R778" s="19">
        <f t="shared" si="84"/>
        <v>3.3323121216378704E-2</v>
      </c>
      <c r="S778" s="22">
        <v>3.9262036628074704E-2</v>
      </c>
      <c r="T778" s="19">
        <f t="shared" si="85"/>
        <v>4.2936464060419732E-2</v>
      </c>
      <c r="U778" s="24">
        <v>4.1222177303515961E-2</v>
      </c>
      <c r="V778" s="24">
        <f t="shared" si="86"/>
        <v>4.2932838665306061E-2</v>
      </c>
      <c r="W778" s="23">
        <f t="shared" si="87"/>
        <v>3.5091607120778523E-3</v>
      </c>
      <c r="X778" s="24">
        <v>4.0825241088224606E-2</v>
      </c>
      <c r="Y778" s="24">
        <f t="shared" si="88"/>
        <v>4.2933779093331514E-2</v>
      </c>
      <c r="Z778" s="23">
        <f t="shared" si="89"/>
        <v>3.5092351209973227E-3</v>
      </c>
      <c r="AA778" s="36"/>
    </row>
    <row r="779" spans="15:27" ht="17.100000000000001" customHeight="1" x14ac:dyDescent="0.3">
      <c r="O779" s="12">
        <f t="shared" si="83"/>
        <v>63.833333333333336</v>
      </c>
      <c r="P779" s="13">
        <v>766</v>
      </c>
      <c r="Q779" s="22">
        <v>3.2996028188565951E-2</v>
      </c>
      <c r="R779" s="19">
        <f t="shared" si="84"/>
        <v>3.3329193316579353E-2</v>
      </c>
      <c r="S779" s="22">
        <v>3.9266825081700985E-2</v>
      </c>
      <c r="T779" s="19">
        <f t="shared" si="85"/>
        <v>4.2937094193432612E-2</v>
      </c>
      <c r="U779" s="24">
        <v>4.1224408712754901E-2</v>
      </c>
      <c r="V779" s="24">
        <f t="shared" si="86"/>
        <v>4.2933423612166344E-2</v>
      </c>
      <c r="W779" s="23">
        <f t="shared" si="87"/>
        <v>3.509208027399735E-3</v>
      </c>
      <c r="X779" s="24">
        <v>4.0827990967982952E-2</v>
      </c>
      <c r="Y779" s="24">
        <f t="shared" si="88"/>
        <v>4.2934376189538215E-2</v>
      </c>
      <c r="Z779" s="23">
        <f t="shared" si="89"/>
        <v>3.5092834339645052E-3</v>
      </c>
      <c r="AA779" s="36"/>
    </row>
    <row r="780" spans="15:27" ht="17.100000000000001" customHeight="1" x14ac:dyDescent="0.3">
      <c r="O780" s="12">
        <f t="shared" si="83"/>
        <v>63.916666666666664</v>
      </c>
      <c r="P780" s="13">
        <v>767</v>
      </c>
      <c r="Q780" s="22">
        <v>3.2996462492976386E-2</v>
      </c>
      <c r="R780" s="19">
        <f t="shared" si="84"/>
        <v>3.333521436126663E-2</v>
      </c>
      <c r="S780" s="22">
        <v>3.9271601889782959E-2</v>
      </c>
      <c r="T780" s="19">
        <f t="shared" si="85"/>
        <v>4.2937718074477882E-2</v>
      </c>
      <c r="U780" s="24">
        <v>4.1226635069614215E-2</v>
      </c>
      <c r="V780" s="24">
        <f t="shared" si="86"/>
        <v>4.293400346256715E-2</v>
      </c>
      <c r="W780" s="23">
        <f t="shared" si="87"/>
        <v>3.5092549303408216E-3</v>
      </c>
      <c r="X780" s="24">
        <v>4.0830734461409168E-2</v>
      </c>
      <c r="Y780" s="24">
        <f t="shared" si="88"/>
        <v>4.2934967899582066E-2</v>
      </c>
      <c r="Z780" s="23">
        <f t="shared" si="89"/>
        <v>3.5093313110399205E-3</v>
      </c>
      <c r="AA780" s="36"/>
    </row>
    <row r="781" spans="15:27" ht="17.100000000000001" customHeight="1" x14ac:dyDescent="0.3">
      <c r="O781" s="12">
        <f t="shared" si="83"/>
        <v>64</v>
      </c>
      <c r="P781" s="13">
        <v>768</v>
      </c>
      <c r="Q781" s="22">
        <v>3.2996903503925701E-2</v>
      </c>
      <c r="R781" s="19">
        <f t="shared" si="84"/>
        <v>3.3341184785800282E-2</v>
      </c>
      <c r="S781" s="22">
        <v>3.927636708962412E-2</v>
      </c>
      <c r="T781" s="19">
        <f t="shared" si="85"/>
        <v>4.2938335764572511E-2</v>
      </c>
      <c r="U781" s="24">
        <v>4.1228856387190316E-2</v>
      </c>
      <c r="V781" s="24">
        <f t="shared" si="86"/>
        <v>4.293457825848801E-2</v>
      </c>
      <c r="W781" s="23">
        <f t="shared" si="87"/>
        <v>3.5093014246072585E-3</v>
      </c>
      <c r="X781" s="24">
        <v>4.0833471586428027E-2</v>
      </c>
      <c r="Y781" s="24">
        <f t="shared" si="88"/>
        <v>4.2935554270677301E-2</v>
      </c>
      <c r="Z781" s="23">
        <f t="shared" si="89"/>
        <v>3.5093787562108236E-3</v>
      </c>
      <c r="AA781" s="36"/>
    </row>
    <row r="782" spans="15:27" ht="17.100000000000001" customHeight="1" x14ac:dyDescent="0.3">
      <c r="O782" s="12">
        <f t="shared" ref="O782:O845" si="90">P782/12</f>
        <v>64.083333333333329</v>
      </c>
      <c r="P782" s="13">
        <v>769</v>
      </c>
      <c r="Q782" s="22">
        <v>3.2997351129410157E-2</v>
      </c>
      <c r="R782" s="19">
        <f t="shared" ref="R782:R845" si="91">(1+Q783)^P783/(1+Q782)^P782-1</f>
        <v>3.3347105020994139E-2</v>
      </c>
      <c r="S782" s="22">
        <v>3.9281120718413387E-2</v>
      </c>
      <c r="T782" s="19">
        <f t="shared" ref="T782:T845" si="92">(1+S783)^P783/(1+S782)^P782-1</f>
        <v>4.2938947325838361E-2</v>
      </c>
      <c r="U782" s="24">
        <v>4.1231072678566294E-2</v>
      </c>
      <c r="V782" s="24">
        <f t="shared" ref="V782:V845" si="93">(1+U783)^P783/(1+U782)^P782-1</f>
        <v>4.2935148045962102E-2</v>
      </c>
      <c r="W782" s="23">
        <f t="shared" si="87"/>
        <v>3.5093475135661301E-3</v>
      </c>
      <c r="X782" s="24">
        <v>4.0836202360932772E-2</v>
      </c>
      <c r="Y782" s="24">
        <f t="shared" si="88"/>
        <v>4.2936135352232174E-2</v>
      </c>
      <c r="Z782" s="23">
        <f t="shared" si="89"/>
        <v>3.5094257732635192E-3</v>
      </c>
      <c r="AA782" s="36"/>
    </row>
    <row r="783" spans="15:27" ht="17.100000000000001" customHeight="1" x14ac:dyDescent="0.3">
      <c r="O783" s="12">
        <f t="shared" si="90"/>
        <v>64.166666666666671</v>
      </c>
      <c r="P783" s="13">
        <v>770</v>
      </c>
      <c r="Q783" s="22">
        <v>3.2997805278464298E-2</v>
      </c>
      <c r="R783" s="19">
        <f t="shared" si="91"/>
        <v>3.3352975494425952E-2</v>
      </c>
      <c r="S783" s="22">
        <v>3.9285862813226879E-2</v>
      </c>
      <c r="T783" s="19">
        <f t="shared" si="92"/>
        <v>4.2939552819455606E-2</v>
      </c>
      <c r="U783" s="24">
        <v>4.1233283956816802E-2</v>
      </c>
      <c r="V783" s="24">
        <f t="shared" si="93"/>
        <v>4.293571286860054E-2</v>
      </c>
      <c r="W783" s="23">
        <f t="shared" ref="W783:W846" si="94">(1+V782)^(1/12)-1</f>
        <v>3.5093932009087059E-3</v>
      </c>
      <c r="X783" s="24">
        <v>4.0838926802787334E-2</v>
      </c>
      <c r="Y783" s="24">
        <f t="shared" ref="Y783:Y846" si="95">(1+X784)^P784/(1+X783)^P783-1</f>
        <v>4.293671119195408E-2</v>
      </c>
      <c r="Z783" s="23">
        <f t="shared" ref="Z783:Z846" si="96">(1+Y782)^(1/12)-1</f>
        <v>3.5094723661608374E-3</v>
      </c>
      <c r="AA783" s="36"/>
    </row>
    <row r="784" spans="15:27" ht="17.100000000000001" customHeight="1" x14ac:dyDescent="0.3">
      <c r="O784" s="12">
        <f t="shared" si="90"/>
        <v>64.25</v>
      </c>
      <c r="P784" s="13">
        <v>771</v>
      </c>
      <c r="Q784" s="22">
        <v>3.2998265861150289E-2</v>
      </c>
      <c r="R784" s="19">
        <f t="shared" si="91"/>
        <v>3.3358796628570442E-2</v>
      </c>
      <c r="S784" s="22">
        <v>3.9290593411027919E-2</v>
      </c>
      <c r="T784" s="19">
        <f t="shared" si="92"/>
        <v>4.2940152305136925E-2</v>
      </c>
      <c r="U784" s="24">
        <v>4.1235490235005168E-2</v>
      </c>
      <c r="V784" s="24">
        <f t="shared" si="93"/>
        <v>4.2936272768780981E-2</v>
      </c>
      <c r="W784" s="23">
        <f t="shared" si="94"/>
        <v>3.5094384901328546E-3</v>
      </c>
      <c r="X784" s="24">
        <v>4.0841644929825227E-2</v>
      </c>
      <c r="Y784" s="24">
        <f t="shared" si="95"/>
        <v>4.2937281836503471E-2</v>
      </c>
      <c r="Z784" s="23">
        <f t="shared" si="96"/>
        <v>3.5095185387283845E-3</v>
      </c>
      <c r="AA784" s="36"/>
    </row>
    <row r="785" spans="15:27" ht="17.100000000000001" customHeight="1" x14ac:dyDescent="0.3">
      <c r="O785" s="12">
        <f t="shared" si="90"/>
        <v>64.333333333333329</v>
      </c>
      <c r="P785" s="13">
        <v>772</v>
      </c>
      <c r="Q785" s="22">
        <v>3.2998732788544594E-2</v>
      </c>
      <c r="R785" s="19">
        <f t="shared" si="91"/>
        <v>3.3364568843735176E-2</v>
      </c>
      <c r="S785" s="22">
        <v>3.9295312548665473E-2</v>
      </c>
      <c r="T785" s="19">
        <f t="shared" si="92"/>
        <v>4.2940745842813266E-2</v>
      </c>
      <c r="U785" s="24">
        <v>4.1237691526182063E-2</v>
      </c>
      <c r="V785" s="24">
        <f t="shared" si="93"/>
        <v>4.2936827789686882E-2</v>
      </c>
      <c r="W785" s="23">
        <f t="shared" si="94"/>
        <v>3.5094833846367468E-3</v>
      </c>
      <c r="X785" s="24">
        <v>4.0844356759847766E-2</v>
      </c>
      <c r="Y785" s="24">
        <f t="shared" si="95"/>
        <v>4.2937847332629842E-2</v>
      </c>
      <c r="Z785" s="23">
        <f t="shared" si="96"/>
        <v>3.5095642947080563E-3</v>
      </c>
      <c r="AA785" s="36"/>
    </row>
    <row r="786" spans="15:27" ht="17.100000000000001" customHeight="1" x14ac:dyDescent="0.3">
      <c r="O786" s="12">
        <f t="shared" si="90"/>
        <v>64.416666666666671</v>
      </c>
      <c r="P786" s="13">
        <v>773</v>
      </c>
      <c r="Q786" s="22">
        <v>3.2999205972728207E-2</v>
      </c>
      <c r="R786" s="19">
        <f t="shared" si="91"/>
        <v>3.3370292556771153E-2</v>
      </c>
      <c r="S786" s="22">
        <v>3.930002026287549E-2</v>
      </c>
      <c r="T786" s="19">
        <f t="shared" si="92"/>
        <v>4.2941333491527844E-2</v>
      </c>
      <c r="U786" s="24">
        <v>4.1239887843386169E-2</v>
      </c>
      <c r="V786" s="24">
        <f t="shared" si="93"/>
        <v>4.2937377974468172E-2</v>
      </c>
      <c r="W786" s="23">
        <f t="shared" si="94"/>
        <v>3.5095278878836123E-3</v>
      </c>
      <c r="X786" s="24">
        <v>4.0847062310624516E-2</v>
      </c>
      <c r="Y786" s="24">
        <f t="shared" si="95"/>
        <v>4.2938407728584593E-2</v>
      </c>
      <c r="Z786" s="23">
        <f t="shared" si="96"/>
        <v>3.5096096378495201E-3</v>
      </c>
      <c r="AA786" s="36"/>
    </row>
    <row r="787" spans="15:27" ht="17.100000000000001" customHeight="1" x14ac:dyDescent="0.3">
      <c r="O787" s="12">
        <f t="shared" si="90"/>
        <v>64.5</v>
      </c>
      <c r="P787" s="13">
        <v>774</v>
      </c>
      <c r="Q787" s="22">
        <v>3.2999685326775996E-2</v>
      </c>
      <c r="R787" s="19">
        <f t="shared" si="91"/>
        <v>3.337596817949029E-2</v>
      </c>
      <c r="S787" s="22">
        <v>3.9304716590280231E-2</v>
      </c>
      <c r="T787" s="19">
        <f t="shared" si="92"/>
        <v>4.2941915309831602E-2</v>
      </c>
      <c r="U787" s="24">
        <v>4.1242079199644621E-2</v>
      </c>
      <c r="V787" s="24">
        <f t="shared" si="93"/>
        <v>4.2937923365355068E-2</v>
      </c>
      <c r="W787" s="23">
        <f t="shared" si="94"/>
        <v>3.5095720033342381E-3</v>
      </c>
      <c r="X787" s="24">
        <v>4.0849761599895507E-2</v>
      </c>
      <c r="Y787" s="24">
        <f t="shared" si="95"/>
        <v>4.2938963068442693E-2</v>
      </c>
      <c r="Z787" s="23">
        <f t="shared" si="96"/>
        <v>3.509654572021681E-3</v>
      </c>
      <c r="AA787" s="36"/>
    </row>
    <row r="788" spans="15:27" ht="17.100000000000001" customHeight="1" x14ac:dyDescent="0.3">
      <c r="O788" s="12">
        <f t="shared" si="90"/>
        <v>64.583333333333329</v>
      </c>
      <c r="P788" s="13">
        <v>775</v>
      </c>
      <c r="Q788" s="22">
        <v>3.3000170764743597E-2</v>
      </c>
      <c r="R788" s="19">
        <f t="shared" si="91"/>
        <v>3.3381596121029977E-2</v>
      </c>
      <c r="S788" s="22">
        <v>3.9309401567388491E-2</v>
      </c>
      <c r="T788" s="19">
        <f t="shared" si="92"/>
        <v>4.2942491355102419E-2</v>
      </c>
      <c r="U788" s="24">
        <v>4.1244265607971675E-2</v>
      </c>
      <c r="V788" s="24">
        <f t="shared" si="93"/>
        <v>4.2938464003199783E-2</v>
      </c>
      <c r="W788" s="23">
        <f t="shared" si="94"/>
        <v>3.5096157343750267E-3</v>
      </c>
      <c r="X788" s="24">
        <v>4.085245464536591E-2</v>
      </c>
      <c r="Y788" s="24">
        <f t="shared" si="95"/>
        <v>4.2939513398698281E-2</v>
      </c>
      <c r="Z788" s="23">
        <f t="shared" si="96"/>
        <v>3.5096991007597111E-3</v>
      </c>
      <c r="AA788" s="36"/>
    </row>
    <row r="789" spans="15:27" ht="17.100000000000001" customHeight="1" x14ac:dyDescent="0.3">
      <c r="O789" s="12">
        <f t="shared" si="90"/>
        <v>64.666666666666671</v>
      </c>
      <c r="P789" s="13">
        <v>776</v>
      </c>
      <c r="Q789" s="22">
        <v>3.3000662201657871E-2</v>
      </c>
      <c r="R789" s="19">
        <f t="shared" si="91"/>
        <v>3.3387176786690898E-2</v>
      </c>
      <c r="S789" s="22">
        <v>3.9314075230594936E-2</v>
      </c>
      <c r="T789" s="19">
        <f t="shared" si="92"/>
        <v>4.294306168557438E-2</v>
      </c>
      <c r="U789" s="24">
        <v>4.1246447081367155E-2</v>
      </c>
      <c r="V789" s="24">
        <f t="shared" si="93"/>
        <v>4.2938999930116406E-2</v>
      </c>
      <c r="W789" s="23">
        <f t="shared" si="94"/>
        <v>3.5096590842822462E-3</v>
      </c>
      <c r="X789" s="24">
        <v>4.085514146470981E-2</v>
      </c>
      <c r="Y789" s="24">
        <f t="shared" si="95"/>
        <v>4.2940058764533218E-2</v>
      </c>
      <c r="Z789" s="23">
        <f t="shared" si="96"/>
        <v>3.5097432277919616E-3</v>
      </c>
      <c r="AA789" s="36"/>
    </row>
    <row r="790" spans="15:27" ht="17.100000000000001" customHeight="1" x14ac:dyDescent="0.3">
      <c r="O790" s="12">
        <f t="shared" si="90"/>
        <v>64.75</v>
      </c>
      <c r="P790" s="13">
        <v>777</v>
      </c>
      <c r="Q790" s="22">
        <v>3.3001159553505577E-2</v>
      </c>
      <c r="R790" s="19">
        <f t="shared" si="91"/>
        <v>3.3392710578198148E-2</v>
      </c>
      <c r="S790" s="22">
        <v>3.9318737616181654E-2</v>
      </c>
      <c r="T790" s="19">
        <f t="shared" si="92"/>
        <v>4.2943626357504039E-2</v>
      </c>
      <c r="U790" s="24">
        <v>4.1248623632818227E-2</v>
      </c>
      <c r="V790" s="24">
        <f t="shared" si="93"/>
        <v>4.2939531187234703E-2</v>
      </c>
      <c r="W790" s="23">
        <f t="shared" si="94"/>
        <v>3.5097020564334169E-3</v>
      </c>
      <c r="X790" s="24">
        <v>4.0857822075568206E-2</v>
      </c>
      <c r="Y790" s="24">
        <f t="shared" si="95"/>
        <v>4.2940599210475661E-2</v>
      </c>
      <c r="Z790" s="23">
        <f t="shared" si="96"/>
        <v>3.5097869567419782E-3</v>
      </c>
      <c r="AA790" s="36"/>
    </row>
    <row r="791" spans="15:27" ht="17.100000000000001" customHeight="1" x14ac:dyDescent="0.3">
      <c r="O791" s="12">
        <f t="shared" si="90"/>
        <v>64.833333333333329</v>
      </c>
      <c r="P791" s="13">
        <v>778</v>
      </c>
      <c r="Q791" s="22">
        <v>3.300166273722227E-2</v>
      </c>
      <c r="R791" s="19">
        <f t="shared" si="91"/>
        <v>3.3398197894368487E-2</v>
      </c>
      <c r="S791" s="22">
        <v>3.932338876031638E-2</v>
      </c>
      <c r="T791" s="19">
        <f t="shared" si="92"/>
        <v>4.2944185426673886E-2</v>
      </c>
      <c r="U791" s="24">
        <v>4.1250795275297625E-2</v>
      </c>
      <c r="V791" s="24">
        <f t="shared" si="93"/>
        <v>4.2940057815449961E-2</v>
      </c>
      <c r="W791" s="23">
        <f t="shared" si="94"/>
        <v>3.5097446541267896E-3</v>
      </c>
      <c r="X791" s="24">
        <v>4.0860496495548349E-2</v>
      </c>
      <c r="Y791" s="24">
        <f t="shared" si="95"/>
        <v>4.2941134782061852E-2</v>
      </c>
      <c r="Z791" s="23">
        <f t="shared" si="96"/>
        <v>3.5098302911806822E-3</v>
      </c>
      <c r="AA791" s="36"/>
    </row>
    <row r="792" spans="15:27" ht="17.100000000000001" customHeight="1" x14ac:dyDescent="0.3">
      <c r="O792" s="12">
        <f t="shared" si="90"/>
        <v>64.916666666666671</v>
      </c>
      <c r="P792" s="13">
        <v>779</v>
      </c>
      <c r="Q792" s="22">
        <v>3.3002171670682978E-2</v>
      </c>
      <c r="R792" s="19">
        <f t="shared" si="91"/>
        <v>3.3403639129365503E-2</v>
      </c>
      <c r="S792" s="22">
        <v>3.9328028699053164E-2</v>
      </c>
      <c r="T792" s="19">
        <f t="shared" si="92"/>
        <v>4.2944738949347139E-2</v>
      </c>
      <c r="U792" s="24">
        <v>4.1252962021764539E-2</v>
      </c>
      <c r="V792" s="24">
        <f t="shared" si="93"/>
        <v>4.2940579854526151E-2</v>
      </c>
      <c r="W792" s="23">
        <f t="shared" si="94"/>
        <v>3.509786880641963E-3</v>
      </c>
      <c r="X792" s="24">
        <v>4.0863164742225733E-2</v>
      </c>
      <c r="Y792" s="24">
        <f t="shared" si="95"/>
        <v>4.2941665521589067E-2</v>
      </c>
      <c r="Z792" s="23">
        <f t="shared" si="96"/>
        <v>3.5098732347595973E-3</v>
      </c>
      <c r="AA792" s="36"/>
    </row>
    <row r="793" spans="15:27" ht="17.100000000000001" customHeight="1" x14ac:dyDescent="0.3">
      <c r="O793" s="12">
        <f t="shared" si="90"/>
        <v>65</v>
      </c>
      <c r="P793" s="13">
        <v>780</v>
      </c>
      <c r="Q793" s="22">
        <v>3.3002686272689985E-2</v>
      </c>
      <c r="R793" s="19">
        <f t="shared" si="91"/>
        <v>3.3409034675795812E-2</v>
      </c>
      <c r="S793" s="22">
        <v>3.933265746833281E-2</v>
      </c>
      <c r="T793" s="19">
        <f t="shared" si="92"/>
        <v>4.294528698034239E-2</v>
      </c>
      <c r="U793" s="24">
        <v>4.125512388516217E-2</v>
      </c>
      <c r="V793" s="24">
        <f t="shared" si="93"/>
        <v>4.2941097344551649E-2</v>
      </c>
      <c r="W793" s="23">
        <f t="shared" si="94"/>
        <v>3.5098287391679417E-3</v>
      </c>
      <c r="X793" s="24">
        <v>4.0865826833139884E-2</v>
      </c>
      <c r="Y793" s="24">
        <f t="shared" si="95"/>
        <v>4.2942191473855029E-2</v>
      </c>
      <c r="Z793" s="23">
        <f t="shared" si="96"/>
        <v>3.509915790871343E-3</v>
      </c>
      <c r="AA793" s="36"/>
    </row>
    <row r="794" spans="15:27" ht="17.100000000000001" customHeight="1" x14ac:dyDescent="0.3">
      <c r="O794" s="12">
        <f t="shared" si="90"/>
        <v>65.083333333333329</v>
      </c>
      <c r="P794" s="13">
        <v>781</v>
      </c>
      <c r="Q794" s="22">
        <v>3.3003206462964618E-2</v>
      </c>
      <c r="R794" s="19">
        <f t="shared" si="91"/>
        <v>3.3414384920843254E-2</v>
      </c>
      <c r="S794" s="22">
        <v>3.9337275103982661E-2</v>
      </c>
      <c r="T794" s="19">
        <f t="shared" si="92"/>
        <v>4.2945829574271732E-2</v>
      </c>
      <c r="U794" s="24">
        <v>4.1257280878418845E-2</v>
      </c>
      <c r="V794" s="24">
        <f t="shared" si="93"/>
        <v>4.2941610325977209E-2</v>
      </c>
      <c r="W794" s="23">
        <f t="shared" si="94"/>
        <v>3.5098702329194875E-3</v>
      </c>
      <c r="X794" s="24">
        <v>4.086848278579791E-2</v>
      </c>
      <c r="Y794" s="24">
        <f t="shared" si="95"/>
        <v>4.2942712681821815E-2</v>
      </c>
      <c r="Z794" s="23">
        <f t="shared" si="96"/>
        <v>3.5099579631079347E-3</v>
      </c>
      <c r="AA794" s="36"/>
    </row>
    <row r="795" spans="15:27" ht="17.100000000000001" customHeight="1" x14ac:dyDescent="0.3">
      <c r="O795" s="12">
        <f t="shared" si="90"/>
        <v>65.166666666666671</v>
      </c>
      <c r="P795" s="13">
        <v>782</v>
      </c>
      <c r="Q795" s="22">
        <v>3.3003732162134813E-2</v>
      </c>
      <c r="R795" s="19">
        <f t="shared" si="91"/>
        <v>3.3419690249097078E-2</v>
      </c>
      <c r="S795" s="22">
        <v>3.9341881641716148E-2</v>
      </c>
      <c r="T795" s="19">
        <f t="shared" si="92"/>
        <v>4.2946366785046042E-2</v>
      </c>
      <c r="U795" s="24">
        <v>4.1259433014448454E-2</v>
      </c>
      <c r="V795" s="24">
        <f t="shared" si="93"/>
        <v>4.2942118837220988E-2</v>
      </c>
      <c r="W795" s="23">
        <f t="shared" si="94"/>
        <v>3.5099113651406721E-3</v>
      </c>
      <c r="X795" s="24">
        <v>4.0871132617671835E-2</v>
      </c>
      <c r="Y795" s="24">
        <f t="shared" si="95"/>
        <v>4.2943229188415533E-2</v>
      </c>
      <c r="Z795" s="23">
        <f t="shared" si="96"/>
        <v>3.5099997549148387E-3</v>
      </c>
      <c r="AA795" s="36"/>
    </row>
    <row r="796" spans="15:27" ht="17.100000000000001" customHeight="1" x14ac:dyDescent="0.3">
      <c r="O796" s="12">
        <f t="shared" si="90"/>
        <v>65.25</v>
      </c>
      <c r="P796" s="13">
        <v>783</v>
      </c>
      <c r="Q796" s="22">
        <v>3.3004263291725788E-2</v>
      </c>
      <c r="R796" s="19">
        <f t="shared" si="91"/>
        <v>3.3424951042500872E-2</v>
      </c>
      <c r="S796" s="22">
        <v>3.9346477117133682E-2</v>
      </c>
      <c r="T796" s="19">
        <f t="shared" si="92"/>
        <v>4.2946898666397226E-2</v>
      </c>
      <c r="U796" s="24">
        <v>4.1261580306148016E-2</v>
      </c>
      <c r="V796" s="24">
        <f t="shared" si="93"/>
        <v>4.2942622918110462E-2</v>
      </c>
      <c r="W796" s="23">
        <f t="shared" si="94"/>
        <v>3.5099521389125865E-3</v>
      </c>
      <c r="X796" s="24">
        <v>4.0873776346199486E-2</v>
      </c>
      <c r="Y796" s="24">
        <f t="shared" si="95"/>
        <v>4.2943741035808891E-2</v>
      </c>
      <c r="Z796" s="23">
        <f t="shared" si="96"/>
        <v>3.5100411697346345E-3</v>
      </c>
      <c r="AA796" s="36"/>
    </row>
    <row r="797" spans="15:27" ht="17.100000000000001" customHeight="1" x14ac:dyDescent="0.3">
      <c r="O797" s="12">
        <f t="shared" si="90"/>
        <v>65.333333333333329</v>
      </c>
      <c r="P797" s="13">
        <v>784</v>
      </c>
      <c r="Q797" s="22">
        <v>3.3004799774150939E-2</v>
      </c>
      <c r="R797" s="19">
        <f t="shared" si="91"/>
        <v>3.3430167678592193E-2</v>
      </c>
      <c r="S797" s="22">
        <v>3.9351061565722212E-2</v>
      </c>
      <c r="T797" s="19">
        <f t="shared" si="92"/>
        <v>4.2947425270145612E-2</v>
      </c>
      <c r="U797" s="24">
        <v>4.1263722766399225E-2</v>
      </c>
      <c r="V797" s="24">
        <f t="shared" si="93"/>
        <v>4.2943122606111439E-2</v>
      </c>
      <c r="W797" s="23">
        <f t="shared" si="94"/>
        <v>3.5099925574288982E-3</v>
      </c>
      <c r="X797" s="24">
        <v>4.0876413988783611E-2</v>
      </c>
      <c r="Y797" s="24">
        <f t="shared" si="95"/>
        <v>4.2944248265875062E-2</v>
      </c>
      <c r="Z797" s="23">
        <f t="shared" si="96"/>
        <v>3.5100822109492835E-3</v>
      </c>
      <c r="AA797" s="36"/>
    </row>
    <row r="798" spans="15:27" ht="17.100000000000001" customHeight="1" x14ac:dyDescent="0.3">
      <c r="O798" s="12">
        <f t="shared" si="90"/>
        <v>65.416666666666671</v>
      </c>
      <c r="P798" s="13">
        <v>785</v>
      </c>
      <c r="Q798" s="22">
        <v>3.3005341532700738E-2</v>
      </c>
      <c r="R798" s="19">
        <f t="shared" si="91"/>
        <v>3.3435340532627533E-2</v>
      </c>
      <c r="S798" s="22">
        <v>3.9355635022853885E-2</v>
      </c>
      <c r="T798" s="19">
        <f t="shared" si="92"/>
        <v>4.2947946650609525E-2</v>
      </c>
      <c r="U798" s="24">
        <v>4.1265860408066013E-2</v>
      </c>
      <c r="V798" s="24">
        <f t="shared" si="93"/>
        <v>4.2943617941087142E-2</v>
      </c>
      <c r="W798" s="23">
        <f t="shared" si="94"/>
        <v>3.5100326236943147E-3</v>
      </c>
      <c r="X798" s="24">
        <v>4.0879045562791205E-2</v>
      </c>
      <c r="Y798" s="24">
        <f t="shared" si="95"/>
        <v>4.2944750921469765E-2</v>
      </c>
      <c r="Z798" s="23">
        <f t="shared" si="96"/>
        <v>3.5101228819167662E-3</v>
      </c>
      <c r="AA798" s="36"/>
    </row>
    <row r="799" spans="15:27" ht="17.100000000000001" customHeight="1" x14ac:dyDescent="0.3">
      <c r="O799" s="12">
        <f t="shared" si="90"/>
        <v>65.5</v>
      </c>
      <c r="P799" s="13">
        <v>786</v>
      </c>
      <c r="Q799" s="22">
        <v>3.3005888491533852E-2</v>
      </c>
      <c r="R799" s="19">
        <f t="shared" si="91"/>
        <v>3.3440469975725806E-2</v>
      </c>
      <c r="S799" s="22">
        <v>3.9360197523790053E-2</v>
      </c>
      <c r="T799" s="19">
        <f t="shared" si="92"/>
        <v>4.2948462857820946E-2</v>
      </c>
      <c r="U799" s="24">
        <v>4.1267993243997658E-2</v>
      </c>
      <c r="V799" s="24">
        <f t="shared" si="93"/>
        <v>4.2944108959826588E-2</v>
      </c>
      <c r="W799" s="23">
        <f t="shared" si="94"/>
        <v>3.5100723409058343E-3</v>
      </c>
      <c r="X799" s="24">
        <v>4.0881671085555737E-2</v>
      </c>
      <c r="Y799" s="24">
        <f t="shared" si="95"/>
        <v>4.294524904201813E-2</v>
      </c>
      <c r="Z799" s="23">
        <f t="shared" si="96"/>
        <v>3.5101631860738891E-3</v>
      </c>
      <c r="AA799" s="36"/>
    </row>
    <row r="800" spans="15:27" ht="17.100000000000001" customHeight="1" x14ac:dyDescent="0.3">
      <c r="O800" s="12">
        <f t="shared" si="90"/>
        <v>65.583333333333329</v>
      </c>
      <c r="P800" s="13">
        <v>787</v>
      </c>
      <c r="Q800" s="22">
        <v>3.3006440575666707E-2</v>
      </c>
      <c r="R800" s="19">
        <f t="shared" si="91"/>
        <v>3.3445556376362484E-2</v>
      </c>
      <c r="S800" s="22">
        <v>3.93647491036766E-2</v>
      </c>
      <c r="T800" s="19">
        <f t="shared" si="92"/>
        <v>4.2948973944071378E-2</v>
      </c>
      <c r="U800" s="24">
        <v>4.1270121287024564E-2</v>
      </c>
      <c r="V800" s="24">
        <f t="shared" si="93"/>
        <v>4.2944595700258548E-2</v>
      </c>
      <c r="W800" s="23">
        <f t="shared" si="94"/>
        <v>3.5101117120133196E-3</v>
      </c>
      <c r="X800" s="24">
        <v>4.0884290574372262E-2</v>
      </c>
      <c r="Y800" s="24">
        <f t="shared" si="95"/>
        <v>4.2945742670394083E-2</v>
      </c>
      <c r="Z800" s="23">
        <f t="shared" si="96"/>
        <v>3.5102031265823452E-3</v>
      </c>
      <c r="AA800" s="36"/>
    </row>
    <row r="801" spans="15:27" ht="17.100000000000001" customHeight="1" x14ac:dyDescent="0.3">
      <c r="O801" s="12">
        <f t="shared" si="90"/>
        <v>65.666666666666671</v>
      </c>
      <c r="P801" s="13">
        <v>788</v>
      </c>
      <c r="Q801" s="22">
        <v>3.3006997710964603E-2</v>
      </c>
      <c r="R801" s="19">
        <f t="shared" si="91"/>
        <v>3.3450600099628414E-2</v>
      </c>
      <c r="S801" s="22">
        <v>3.9369289797547058E-2</v>
      </c>
      <c r="T801" s="19">
        <f t="shared" si="92"/>
        <v>4.2949479960302739E-2</v>
      </c>
      <c r="U801" s="24">
        <v>4.1272244549960035E-2</v>
      </c>
      <c r="V801" s="24">
        <f t="shared" si="93"/>
        <v>4.2945078200221198E-2</v>
      </c>
      <c r="W801" s="23">
        <f t="shared" si="94"/>
        <v>3.5101507400587817E-3</v>
      </c>
      <c r="X801" s="24">
        <v>4.0886904046502748E-2</v>
      </c>
      <c r="Y801" s="24">
        <f t="shared" si="95"/>
        <v>4.2946231845982785E-2</v>
      </c>
      <c r="Z801" s="23">
        <f t="shared" si="96"/>
        <v>3.5102427068802733E-3</v>
      </c>
      <c r="AA801" s="36"/>
    </row>
    <row r="802" spans="15:27" ht="17.100000000000001" customHeight="1" x14ac:dyDescent="0.3">
      <c r="O802" s="12">
        <f t="shared" si="90"/>
        <v>65.75</v>
      </c>
      <c r="P802" s="13">
        <v>789</v>
      </c>
      <c r="Q802" s="22">
        <v>3.3007559824131727E-2</v>
      </c>
      <c r="R802" s="19">
        <f t="shared" si="91"/>
        <v>3.3455601507712984E-2</v>
      </c>
      <c r="S802" s="22">
        <v>3.9373819640322161E-2</v>
      </c>
      <c r="T802" s="19">
        <f t="shared" si="92"/>
        <v>4.2949980956323186E-2</v>
      </c>
      <c r="U802" s="24">
        <v>4.1274363045600726E-2</v>
      </c>
      <c r="V802" s="24">
        <f t="shared" si="93"/>
        <v>4.2945556495841863E-2</v>
      </c>
      <c r="W802" s="23">
        <f t="shared" si="94"/>
        <v>3.5101894280764601E-3</v>
      </c>
      <c r="X802" s="24">
        <v>4.0889511519171196E-2</v>
      </c>
      <c r="Y802" s="24">
        <f t="shared" si="95"/>
        <v>4.2946716609379099E-2</v>
      </c>
      <c r="Z802" s="23">
        <f t="shared" si="96"/>
        <v>3.5102819301262578E-3</v>
      </c>
      <c r="AA802" s="36"/>
    </row>
    <row r="803" spans="15:27" ht="17.100000000000001" customHeight="1" x14ac:dyDescent="0.3">
      <c r="O803" s="12">
        <f t="shared" si="90"/>
        <v>65.833333333333329</v>
      </c>
      <c r="P803" s="13">
        <v>790</v>
      </c>
      <c r="Q803" s="22">
        <v>3.3008126842702712E-2</v>
      </c>
      <c r="R803" s="19">
        <f t="shared" si="91"/>
        <v>3.3460560958450181E-2</v>
      </c>
      <c r="S803" s="22">
        <v>3.9378338666808732E-2</v>
      </c>
      <c r="T803" s="19">
        <f t="shared" si="92"/>
        <v>4.2950476982407393E-2</v>
      </c>
      <c r="U803" s="24">
        <v>4.1276476786723748E-2</v>
      </c>
      <c r="V803" s="24">
        <f t="shared" si="93"/>
        <v>4.2946030624129161E-2</v>
      </c>
      <c r="W803" s="23">
        <f t="shared" si="94"/>
        <v>3.5102277789635927E-3</v>
      </c>
      <c r="X803" s="24">
        <v>4.0892113009565856E-2</v>
      </c>
      <c r="Y803" s="24">
        <f t="shared" si="95"/>
        <v>4.294719700028482E-2</v>
      </c>
      <c r="Z803" s="23">
        <f t="shared" si="96"/>
        <v>3.5103207995754726E-3</v>
      </c>
      <c r="AA803" s="36"/>
    </row>
    <row r="804" spans="15:27" ht="17.100000000000001" customHeight="1" x14ac:dyDescent="0.3">
      <c r="O804" s="12">
        <f t="shared" si="90"/>
        <v>65.916666666666671</v>
      </c>
      <c r="P804" s="13">
        <v>791</v>
      </c>
      <c r="Q804" s="22">
        <v>3.3008698695031313E-2</v>
      </c>
      <c r="R804" s="19">
        <f t="shared" si="91"/>
        <v>3.3465478809113769E-2</v>
      </c>
      <c r="S804" s="22">
        <v>3.9382846911701241E-2</v>
      </c>
      <c r="T804" s="19">
        <f t="shared" si="92"/>
        <v>4.2950968087341668E-2</v>
      </c>
      <c r="U804" s="24">
        <v>4.1278585786088673E-2</v>
      </c>
      <c r="V804" s="24">
        <f t="shared" si="93"/>
        <v>4.2946500621747763E-2</v>
      </c>
      <c r="W804" s="23">
        <f t="shared" si="94"/>
        <v>3.5102657956880279E-3</v>
      </c>
      <c r="X804" s="24">
        <v>4.0894708534838342E-2</v>
      </c>
      <c r="Y804" s="24">
        <f t="shared" si="95"/>
        <v>4.2947673057840197E-2</v>
      </c>
      <c r="Z804" s="23">
        <f t="shared" si="96"/>
        <v>3.5103593184122595E-3</v>
      </c>
      <c r="AA804" s="36"/>
    </row>
    <row r="805" spans="15:27" ht="17.100000000000001" customHeight="1" x14ac:dyDescent="0.3">
      <c r="O805" s="12">
        <f t="shared" si="90"/>
        <v>66</v>
      </c>
      <c r="P805" s="13">
        <v>792</v>
      </c>
      <c r="Q805" s="22">
        <v>3.3009275310284858E-2</v>
      </c>
      <c r="R805" s="19">
        <f t="shared" si="91"/>
        <v>3.3470355410921915E-2</v>
      </c>
      <c r="S805" s="22">
        <v>3.9387344409580693E-2</v>
      </c>
      <c r="T805" s="19">
        <f t="shared" si="92"/>
        <v>4.2951454320976357E-2</v>
      </c>
      <c r="U805" s="24">
        <v>4.1280690056436642E-2</v>
      </c>
      <c r="V805" s="24">
        <f t="shared" si="93"/>
        <v>4.2946966524895824E-2</v>
      </c>
      <c r="W805" s="23">
        <f t="shared" si="94"/>
        <v>3.5103034811903022E-3</v>
      </c>
      <c r="X805" s="24">
        <v>4.0897298112102964E-2</v>
      </c>
      <c r="Y805" s="24">
        <f t="shared" si="95"/>
        <v>4.2948144822585688E-2</v>
      </c>
      <c r="Z805" s="23">
        <f t="shared" si="96"/>
        <v>3.5103974897747747E-3</v>
      </c>
      <c r="AA805" s="36"/>
    </row>
    <row r="806" spans="15:27" ht="17.100000000000001" customHeight="1" x14ac:dyDescent="0.3">
      <c r="O806" s="12">
        <f t="shared" si="90"/>
        <v>66.083333333333329</v>
      </c>
      <c r="P806" s="13">
        <v>793</v>
      </c>
      <c r="Q806" s="22">
        <v>3.3009856618431366E-2</v>
      </c>
      <c r="R806" s="19">
        <f t="shared" si="91"/>
        <v>3.3475191114441305E-2</v>
      </c>
      <c r="S806" s="22">
        <v>3.9391831194916183E-2</v>
      </c>
      <c r="T806" s="19">
        <f t="shared" si="92"/>
        <v>4.2951935730484614E-2</v>
      </c>
      <c r="U806" s="24">
        <v>4.1282789610490145E-2</v>
      </c>
      <c r="V806" s="24">
        <f t="shared" si="93"/>
        <v>4.2947428368275142E-2</v>
      </c>
      <c r="W806" s="23">
        <f t="shared" si="94"/>
        <v>3.5103408383727608E-3</v>
      </c>
      <c r="X806" s="24">
        <v>4.0899881758438505E-2</v>
      </c>
      <c r="Y806" s="24">
        <f t="shared" si="95"/>
        <v>4.2948612331209723E-2</v>
      </c>
      <c r="Z806" s="23">
        <f t="shared" si="96"/>
        <v>3.5104353169146396E-3</v>
      </c>
      <c r="AA806" s="36"/>
    </row>
    <row r="807" spans="15:27" ht="17.100000000000001" customHeight="1" x14ac:dyDescent="0.3">
      <c r="O807" s="12">
        <f t="shared" si="90"/>
        <v>66.166666666666671</v>
      </c>
      <c r="P807" s="13">
        <v>794</v>
      </c>
      <c r="Q807" s="22">
        <v>3.3010442550233776E-2</v>
      </c>
      <c r="R807" s="19">
        <f t="shared" si="91"/>
        <v>3.3479986265444683E-2</v>
      </c>
      <c r="S807" s="22">
        <v>3.9396307302063116E-2</v>
      </c>
      <c r="T807" s="19">
        <f t="shared" si="92"/>
        <v>4.2952412364372083E-2</v>
      </c>
      <c r="U807" s="24">
        <v>4.1284884460951465E-2</v>
      </c>
      <c r="V807" s="24">
        <f t="shared" si="93"/>
        <v>4.294788618774148E-2</v>
      </c>
      <c r="W807" s="23">
        <f t="shared" si="94"/>
        <v>3.5103778700187327E-3</v>
      </c>
      <c r="X807" s="24">
        <v>4.0902459490884446E-2</v>
      </c>
      <c r="Y807" s="24">
        <f t="shared" si="95"/>
        <v>4.2949075623212485E-2</v>
      </c>
      <c r="Z807" s="23">
        <f t="shared" si="96"/>
        <v>3.5104728027737231E-3</v>
      </c>
      <c r="AA807" s="36"/>
    </row>
    <row r="808" spans="15:27" ht="17.100000000000001" customHeight="1" x14ac:dyDescent="0.3">
      <c r="O808" s="12">
        <f t="shared" si="90"/>
        <v>66.25</v>
      </c>
      <c r="P808" s="13">
        <v>795</v>
      </c>
      <c r="Q808" s="22">
        <v>3.3011033037238402E-2</v>
      </c>
      <c r="R808" s="19">
        <f t="shared" si="91"/>
        <v>3.3484741207875368E-2</v>
      </c>
      <c r="S808" s="22">
        <v>3.9400772765264547E-2</v>
      </c>
      <c r="T808" s="19">
        <f t="shared" si="92"/>
        <v>4.2952884270217373E-2</v>
      </c>
      <c r="U808" s="24">
        <v>4.1286974620503791E-2</v>
      </c>
      <c r="V808" s="24">
        <f t="shared" si="93"/>
        <v>4.2948340018296838E-2</v>
      </c>
      <c r="W808" s="23">
        <f t="shared" si="94"/>
        <v>3.5104145790032515E-3</v>
      </c>
      <c r="X808" s="24">
        <v>4.090503132644363E-2</v>
      </c>
      <c r="Y808" s="24">
        <f t="shared" si="95"/>
        <v>4.294953473678631E-2</v>
      </c>
      <c r="Z808" s="23">
        <f t="shared" si="96"/>
        <v>3.5105099505197135E-3</v>
      </c>
      <c r="AA808" s="36"/>
    </row>
    <row r="809" spans="15:27" ht="17.100000000000001" customHeight="1" x14ac:dyDescent="0.3">
      <c r="O809" s="12">
        <f t="shared" si="90"/>
        <v>66.333333333333329</v>
      </c>
      <c r="P809" s="13">
        <v>796</v>
      </c>
      <c r="Q809" s="22">
        <v>3.301162801176849E-2</v>
      </c>
      <c r="R809" s="19">
        <f t="shared" si="91"/>
        <v>3.3489456282522312E-2</v>
      </c>
      <c r="S809" s="22">
        <v>3.9405227618651617E-2</v>
      </c>
      <c r="T809" s="19">
        <f t="shared" si="92"/>
        <v>4.2953351494488201E-2</v>
      </c>
      <c r="U809" s="24">
        <v>4.1289060101810771E-2</v>
      </c>
      <c r="V809" s="24">
        <f t="shared" si="93"/>
        <v>4.2948789895882689E-2</v>
      </c>
      <c r="W809" s="23">
        <f t="shared" si="94"/>
        <v>3.5104509681336271E-3</v>
      </c>
      <c r="X809" s="24">
        <v>4.0907597282081598E-2</v>
      </c>
      <c r="Y809" s="24">
        <f t="shared" si="95"/>
        <v>4.2949989709645475E-2</v>
      </c>
      <c r="Z809" s="23">
        <f t="shared" si="96"/>
        <v>3.5105467632154941E-3</v>
      </c>
      <c r="AA809" s="36"/>
    </row>
    <row r="810" spans="15:27" ht="17.100000000000001" customHeight="1" x14ac:dyDescent="0.3">
      <c r="O810" s="12">
        <f t="shared" si="90"/>
        <v>66.416666666666671</v>
      </c>
      <c r="P810" s="13">
        <v>797</v>
      </c>
      <c r="Q810" s="22">
        <v>3.3012227406914896E-2</v>
      </c>
      <c r="R810" s="19">
        <f t="shared" si="91"/>
        <v>3.3494131826785845E-2</v>
      </c>
      <c r="S810" s="22">
        <v>3.9409671896242227E-2</v>
      </c>
      <c r="T810" s="19">
        <f t="shared" si="92"/>
        <v>4.2953814084119024E-2</v>
      </c>
      <c r="U810" s="24">
        <v>4.1291140917517177E-2</v>
      </c>
      <c r="V810" s="24">
        <f t="shared" si="93"/>
        <v>4.2949235853312118E-2</v>
      </c>
      <c r="W810" s="23">
        <f t="shared" si="94"/>
        <v>3.5104870402917765E-3</v>
      </c>
      <c r="X810" s="24">
        <v>4.0910157374726142E-2</v>
      </c>
      <c r="Y810" s="24">
        <f t="shared" si="95"/>
        <v>4.295044057864561E-2</v>
      </c>
      <c r="Z810" s="23">
        <f t="shared" si="96"/>
        <v>3.5105832438853124E-3</v>
      </c>
      <c r="AA810" s="36"/>
    </row>
    <row r="811" spans="15:27" ht="17.100000000000001" customHeight="1" x14ac:dyDescent="0.3">
      <c r="O811" s="12">
        <f t="shared" si="90"/>
        <v>66.5</v>
      </c>
      <c r="P811" s="13">
        <v>798</v>
      </c>
      <c r="Q811" s="22">
        <v>3.3012831156526978E-2</v>
      </c>
      <c r="R811" s="19">
        <f t="shared" si="91"/>
        <v>3.3498768175197036E-2</v>
      </c>
      <c r="S811" s="22">
        <v>3.9414105631943031E-2</v>
      </c>
      <c r="T811" s="19">
        <f t="shared" si="92"/>
        <v>4.2954272084777756E-2</v>
      </c>
      <c r="U811" s="24">
        <v>4.1293217080245803E-2</v>
      </c>
      <c r="V811" s="24">
        <f t="shared" si="93"/>
        <v>4.2949677925818719E-2</v>
      </c>
      <c r="W811" s="23">
        <f t="shared" si="94"/>
        <v>3.5105227981091502E-3</v>
      </c>
      <c r="X811" s="24">
        <v>4.0912711621266196E-2</v>
      </c>
      <c r="Y811" s="24">
        <f t="shared" si="95"/>
        <v>4.2950887381184577E-2</v>
      </c>
      <c r="Z811" s="23">
        <f t="shared" si="96"/>
        <v>3.5106193954848042E-3</v>
      </c>
      <c r="AA811" s="36"/>
    </row>
    <row r="812" spans="15:27" ht="17.100000000000001" customHeight="1" x14ac:dyDescent="0.3">
      <c r="O812" s="12">
        <f t="shared" si="90"/>
        <v>66.583333333333329</v>
      </c>
      <c r="P812" s="13">
        <v>799</v>
      </c>
      <c r="Q812" s="22">
        <v>3.3013439195204386E-2</v>
      </c>
      <c r="R812" s="19">
        <f t="shared" si="91"/>
        <v>3.3503365660697115E-2</v>
      </c>
      <c r="S812" s="22">
        <v>3.9418528859547664E-2</v>
      </c>
      <c r="T812" s="19">
        <f t="shared" si="92"/>
        <v>4.2954725542049266E-2</v>
      </c>
      <c r="U812" s="24">
        <v>4.1295288602600122E-2</v>
      </c>
      <c r="V812" s="24">
        <f t="shared" si="93"/>
        <v>4.2950116146059703E-2</v>
      </c>
      <c r="W812" s="23">
        <f t="shared" si="94"/>
        <v>3.510558244411488E-3</v>
      </c>
      <c r="X812" s="24">
        <v>4.0915260038552947E-2</v>
      </c>
      <c r="Y812" s="24">
        <f t="shared" si="95"/>
        <v>4.295133015367103E-2</v>
      </c>
      <c r="Z812" s="23">
        <f t="shared" si="96"/>
        <v>3.5106552210129038E-3</v>
      </c>
      <c r="AA812" s="36"/>
    </row>
    <row r="813" spans="15:27" ht="17.100000000000001" customHeight="1" x14ac:dyDescent="0.3">
      <c r="O813" s="12">
        <f t="shared" si="90"/>
        <v>66.666666666666671</v>
      </c>
      <c r="P813" s="13">
        <v>800</v>
      </c>
      <c r="Q813" s="22">
        <v>3.3014051458290394E-2</v>
      </c>
      <c r="R813" s="19">
        <f t="shared" si="91"/>
        <v>3.3507924610006956E-2</v>
      </c>
      <c r="S813" s="22">
        <v>3.9422941612738072E-2</v>
      </c>
      <c r="T813" s="19">
        <f t="shared" si="92"/>
        <v>4.2955174501302151E-2</v>
      </c>
      <c r="U813" s="24">
        <v>4.1297355497161625E-2</v>
      </c>
      <c r="V813" s="24">
        <f t="shared" si="93"/>
        <v>4.2950550549774924E-2</v>
      </c>
      <c r="W813" s="23">
        <f t="shared" si="94"/>
        <v>3.5105933818173618E-3</v>
      </c>
      <c r="X813" s="24">
        <v>4.0917802643398948E-2</v>
      </c>
      <c r="Y813" s="24">
        <f t="shared" si="95"/>
        <v>4.2951768933672696E-2</v>
      </c>
      <c r="Z813" s="23">
        <f t="shared" si="96"/>
        <v>3.5106907233894979E-3</v>
      </c>
      <c r="AA813" s="36"/>
    </row>
    <row r="814" spans="15:27" ht="17.100000000000001" customHeight="1" x14ac:dyDescent="0.3">
      <c r="O814" s="12">
        <f t="shared" si="90"/>
        <v>66.75</v>
      </c>
      <c r="P814" s="13">
        <v>801</v>
      </c>
      <c r="Q814" s="22">
        <v>3.3014667881859472E-2</v>
      </c>
      <c r="R814" s="19">
        <f t="shared" si="91"/>
        <v>3.3512445351855824E-2</v>
      </c>
      <c r="S814" s="22">
        <v>3.9427343925084735E-2</v>
      </c>
      <c r="T814" s="19">
        <f t="shared" si="92"/>
        <v>4.2955619007485346E-2</v>
      </c>
      <c r="U814" s="24">
        <v>4.1299417776493152E-2</v>
      </c>
      <c r="V814" s="24">
        <f t="shared" si="93"/>
        <v>4.2950981168706548E-2</v>
      </c>
      <c r="W814" s="23">
        <f t="shared" si="94"/>
        <v>3.5106282131929234E-3</v>
      </c>
      <c r="X814" s="24">
        <v>4.0920339452579446E-2</v>
      </c>
      <c r="Y814" s="24">
        <f t="shared" si="95"/>
        <v>4.2952203755897145E-2</v>
      </c>
      <c r="Z814" s="23">
        <f t="shared" si="96"/>
        <v>3.5107259056270657E-3</v>
      </c>
      <c r="AA814" s="36"/>
    </row>
    <row r="815" spans="15:27" ht="17.100000000000001" customHeight="1" x14ac:dyDescent="0.3">
      <c r="O815" s="12">
        <f t="shared" si="90"/>
        <v>66.833333333333329</v>
      </c>
      <c r="P815" s="13">
        <v>802</v>
      </c>
      <c r="Q815" s="22">
        <v>3.3015288402715282E-2</v>
      </c>
      <c r="R815" s="19">
        <f t="shared" si="91"/>
        <v>3.351692820803609E-2</v>
      </c>
      <c r="S815" s="22">
        <v>3.9431735830046444E-2</v>
      </c>
      <c r="T815" s="19">
        <f t="shared" si="92"/>
        <v>4.2956059103317346E-2</v>
      </c>
      <c r="U815" s="24">
        <v>4.1301475453134895E-2</v>
      </c>
      <c r="V815" s="24">
        <f t="shared" si="93"/>
        <v>4.2951408035244443E-2</v>
      </c>
      <c r="W815" s="23">
        <f t="shared" si="94"/>
        <v>3.5106627410836921E-3</v>
      </c>
      <c r="X815" s="24">
        <v>4.0922870482829277E-2</v>
      </c>
      <c r="Y815" s="24">
        <f t="shared" si="95"/>
        <v>4.2952634655927469E-2</v>
      </c>
      <c r="Z815" s="23">
        <f t="shared" si="96"/>
        <v>3.5107607705089361E-3</v>
      </c>
      <c r="AA815" s="36"/>
    </row>
    <row r="816" spans="15:27" ht="17.100000000000001" customHeight="1" x14ac:dyDescent="0.3">
      <c r="O816" s="12">
        <f t="shared" si="90"/>
        <v>66.916666666666671</v>
      </c>
      <c r="P816" s="13">
        <v>803</v>
      </c>
      <c r="Q816" s="22">
        <v>3.3015912958376914E-2</v>
      </c>
      <c r="R816" s="19">
        <f t="shared" si="91"/>
        <v>3.3521373499063145E-2</v>
      </c>
      <c r="S816" s="22">
        <v>3.943611736096897E-2</v>
      </c>
      <c r="T816" s="19">
        <f t="shared" si="92"/>
        <v>4.2956494834053727E-2</v>
      </c>
      <c r="U816" s="24">
        <v>4.1303528539604395E-2</v>
      </c>
      <c r="V816" s="24">
        <f t="shared" si="93"/>
        <v>4.2951831183833722E-2</v>
      </c>
      <c r="W816" s="23">
        <f t="shared" si="94"/>
        <v>3.5106969680871458E-3</v>
      </c>
      <c r="X816" s="24">
        <v>4.0925395750844418E-2</v>
      </c>
      <c r="Y816" s="24">
        <f t="shared" si="95"/>
        <v>4.2953061670401693E-2</v>
      </c>
      <c r="Z816" s="23">
        <f t="shared" si="96"/>
        <v>3.5107953208886045E-3</v>
      </c>
      <c r="AA816" s="36"/>
    </row>
    <row r="817" spans="15:27" ht="17.100000000000001" customHeight="1" x14ac:dyDescent="0.3">
      <c r="O817" s="12">
        <f t="shared" si="90"/>
        <v>67</v>
      </c>
      <c r="P817" s="13">
        <v>804</v>
      </c>
      <c r="Q817" s="22">
        <v>3.3016541487074003E-2</v>
      </c>
      <c r="R817" s="19">
        <f t="shared" si="91"/>
        <v>3.3525781543462196E-2</v>
      </c>
      <c r="S817" s="22">
        <v>3.9440488551088171E-2</v>
      </c>
      <c r="T817" s="19">
        <f t="shared" si="92"/>
        <v>4.2956926242730287E-2</v>
      </c>
      <c r="U817" s="24">
        <v>4.1305577048400099E-2</v>
      </c>
      <c r="V817" s="24">
        <f t="shared" si="93"/>
        <v>4.2952250645650558E-2</v>
      </c>
      <c r="W817" s="23">
        <f t="shared" si="94"/>
        <v>3.5107308969655193E-3</v>
      </c>
      <c r="X817" s="24">
        <v>4.09279152732831E-2</v>
      </c>
      <c r="Y817" s="24">
        <f t="shared" si="95"/>
        <v>4.2953484833577527E-2</v>
      </c>
      <c r="Z817" s="23">
        <f t="shared" si="96"/>
        <v>3.510829559704165E-3</v>
      </c>
      <c r="AA817" s="36"/>
    </row>
    <row r="818" spans="15:27" ht="17.100000000000001" customHeight="1" x14ac:dyDescent="0.3">
      <c r="O818" s="12">
        <f t="shared" si="90"/>
        <v>67.083333333333329</v>
      </c>
      <c r="P818" s="13">
        <v>805</v>
      </c>
      <c r="Q818" s="22">
        <v>3.3017173927738508E-2</v>
      </c>
      <c r="R818" s="19">
        <f t="shared" si="91"/>
        <v>3.3530152655849799E-2</v>
      </c>
      <c r="S818" s="22">
        <v>3.9444849433528439E-2</v>
      </c>
      <c r="T818" s="19">
        <f t="shared" si="92"/>
        <v>4.2957353372237161E-2</v>
      </c>
      <c r="U818" s="24">
        <v>4.1307620991996918E-2</v>
      </c>
      <c r="V818" s="24">
        <f t="shared" si="93"/>
        <v>4.2952666453640598E-2</v>
      </c>
      <c r="W818" s="23">
        <f t="shared" si="94"/>
        <v>3.5107645302188129E-3</v>
      </c>
      <c r="X818" s="24">
        <v>4.0930429066763363E-2</v>
      </c>
      <c r="Y818" s="24">
        <f t="shared" si="95"/>
        <v>4.2953904179989566E-2</v>
      </c>
      <c r="Z818" s="23">
        <f t="shared" si="96"/>
        <v>3.5108634897027535E-3</v>
      </c>
      <c r="AA818" s="36"/>
    </row>
    <row r="819" spans="15:27" ht="17.100000000000001" customHeight="1" x14ac:dyDescent="0.3">
      <c r="O819" s="12">
        <f t="shared" si="90"/>
        <v>67.166666666666671</v>
      </c>
      <c r="P819" s="13">
        <v>806</v>
      </c>
      <c r="Q819" s="22">
        <v>3.3017810219996502E-2</v>
      </c>
      <c r="R819" s="19">
        <f t="shared" si="91"/>
        <v>3.3534487148783709E-2</v>
      </c>
      <c r="S819" s="22">
        <v>3.9449200041303145E-2</v>
      </c>
      <c r="T819" s="19">
        <f t="shared" si="92"/>
        <v>4.2957776264286762E-2</v>
      </c>
      <c r="U819" s="24">
        <v>4.1309660382848667E-2</v>
      </c>
      <c r="V819" s="24">
        <f t="shared" si="93"/>
        <v>4.2953078638966691E-2</v>
      </c>
      <c r="W819" s="23">
        <f t="shared" si="94"/>
        <v>3.5107978704889131E-3</v>
      </c>
      <c r="X819" s="24">
        <v>4.0932937147863724E-2</v>
      </c>
      <c r="Y819" s="24">
        <f t="shared" si="95"/>
        <v>4.2954319744819447E-2</v>
      </c>
      <c r="Z819" s="23">
        <f t="shared" si="96"/>
        <v>3.5108971136537104E-3</v>
      </c>
      <c r="AA819" s="36"/>
    </row>
    <row r="820" spans="15:27" ht="17.100000000000001" customHeight="1" x14ac:dyDescent="0.3">
      <c r="O820" s="12">
        <f t="shared" si="90"/>
        <v>67.25</v>
      </c>
      <c r="P820" s="13">
        <v>807</v>
      </c>
      <c r="Q820" s="22">
        <v>3.301845030416084E-2</v>
      </c>
      <c r="R820" s="19">
        <f t="shared" si="91"/>
        <v>3.3538785331519883E-2</v>
      </c>
      <c r="S820" s="22">
        <v>3.9453540407313525E-2</v>
      </c>
      <c r="T820" s="19">
        <f t="shared" si="92"/>
        <v>4.2958194961663754E-2</v>
      </c>
      <c r="U820" s="24">
        <v>4.131169523338607E-2</v>
      </c>
      <c r="V820" s="24">
        <f t="shared" si="93"/>
        <v>4.2953487233180487E-2</v>
      </c>
      <c r="W820" s="23">
        <f t="shared" si="94"/>
        <v>3.5108309202749322E-3</v>
      </c>
      <c r="X820" s="24">
        <v>4.0935439533123841E-2</v>
      </c>
      <c r="Y820" s="24">
        <f t="shared" si="95"/>
        <v>4.2954731561247295E-2</v>
      </c>
      <c r="Z820" s="23">
        <f t="shared" si="96"/>
        <v>3.5109304343783343E-3</v>
      </c>
      <c r="AA820" s="36"/>
    </row>
    <row r="821" spans="15:27" ht="17.100000000000001" customHeight="1" x14ac:dyDescent="0.3">
      <c r="O821" s="12">
        <f t="shared" si="90"/>
        <v>67.333333333333329</v>
      </c>
      <c r="P821" s="13">
        <v>808</v>
      </c>
      <c r="Q821" s="22">
        <v>3.3019094121222947E-2</v>
      </c>
      <c r="R821" s="19">
        <f t="shared" si="91"/>
        <v>3.3543047511275459E-2</v>
      </c>
      <c r="S821" s="22">
        <v>3.9457870564351127E-2</v>
      </c>
      <c r="T821" s="19">
        <f t="shared" si="92"/>
        <v>4.2958609506441814E-2</v>
      </c>
      <c r="U821" s="24">
        <v>4.13137255560172E-2</v>
      </c>
      <c r="V821" s="24">
        <f t="shared" si="93"/>
        <v>4.2953892268719596E-2</v>
      </c>
      <c r="W821" s="23">
        <f t="shared" si="94"/>
        <v>3.5108636821072903E-3</v>
      </c>
      <c r="X821" s="24">
        <v>4.0937936239042738E-2</v>
      </c>
      <c r="Y821" s="24">
        <f t="shared" si="95"/>
        <v>4.2955139664791364E-2</v>
      </c>
      <c r="Z821" s="23">
        <f t="shared" si="96"/>
        <v>3.5109634545376078E-3</v>
      </c>
      <c r="AA821" s="36"/>
    </row>
    <row r="822" spans="15:27" ht="17.100000000000001" customHeight="1" x14ac:dyDescent="0.3">
      <c r="O822" s="12">
        <f t="shared" si="90"/>
        <v>67.416666666666671</v>
      </c>
      <c r="P822" s="13">
        <v>809</v>
      </c>
      <c r="Q822" s="22">
        <v>3.3019741612845932E-2</v>
      </c>
      <c r="R822" s="19">
        <f t="shared" si="91"/>
        <v>3.3547273992291071E-2</v>
      </c>
      <c r="S822" s="22">
        <v>3.9462190545097142E-2</v>
      </c>
      <c r="T822" s="19">
        <f t="shared" si="92"/>
        <v>4.2959019938713094E-2</v>
      </c>
      <c r="U822" s="24">
        <v>4.1315751363129039E-2</v>
      </c>
      <c r="V822" s="24">
        <f t="shared" si="93"/>
        <v>4.2954293774859487E-2</v>
      </c>
      <c r="W822" s="23">
        <f t="shared" si="94"/>
        <v>3.5108961585867959E-3</v>
      </c>
      <c r="X822" s="24">
        <v>4.0940427282081693E-2</v>
      </c>
      <c r="Y822" s="24">
        <f t="shared" si="95"/>
        <v>4.2955544086790143E-2</v>
      </c>
      <c r="Z822" s="23">
        <f t="shared" si="96"/>
        <v>3.5109961769794751E-3</v>
      </c>
      <c r="AA822" s="36"/>
    </row>
    <row r="823" spans="15:27" ht="17.100000000000001" customHeight="1" x14ac:dyDescent="0.3">
      <c r="O823" s="12">
        <f t="shared" si="90"/>
        <v>67.5</v>
      </c>
      <c r="P823" s="13">
        <v>810</v>
      </c>
      <c r="Q823" s="22">
        <v>3.3020392721357039E-2</v>
      </c>
      <c r="R823" s="19">
        <f t="shared" si="91"/>
        <v>3.3551465076482989E-2</v>
      </c>
      <c r="S823" s="22">
        <v>3.9466500382121295E-2</v>
      </c>
      <c r="T823" s="19">
        <f t="shared" si="92"/>
        <v>4.2959426300045012E-2</v>
      </c>
      <c r="U823" s="24">
        <v>4.1317772667083474E-2</v>
      </c>
      <c r="V823" s="24">
        <f t="shared" si="93"/>
        <v>4.295469178382616E-2</v>
      </c>
      <c r="W823" s="23">
        <f t="shared" si="94"/>
        <v>3.5109283520613488E-3</v>
      </c>
      <c r="X823" s="24">
        <v>4.0942912678659349E-2</v>
      </c>
      <c r="Y823" s="24">
        <f t="shared" si="95"/>
        <v>4.2955944861861273E-2</v>
      </c>
      <c r="Z823" s="23">
        <f t="shared" si="96"/>
        <v>3.5110286042172589E-3</v>
      </c>
      <c r="AA823" s="36"/>
    </row>
    <row r="824" spans="15:27" ht="17.100000000000001" customHeight="1" x14ac:dyDescent="0.3">
      <c r="O824" s="12">
        <f t="shared" si="90"/>
        <v>67.583333333333329</v>
      </c>
      <c r="P824" s="13">
        <v>811</v>
      </c>
      <c r="Q824" s="22">
        <v>3.3021047389740321E-2</v>
      </c>
      <c r="R824" s="19">
        <f t="shared" si="91"/>
        <v>3.355562106293597E-2</v>
      </c>
      <c r="S824" s="22">
        <v>3.9470800107883619E-2</v>
      </c>
      <c r="T824" s="19">
        <f t="shared" si="92"/>
        <v>4.29598286300934E-2</v>
      </c>
      <c r="U824" s="24">
        <v>4.1319789480220859E-2</v>
      </c>
      <c r="V824" s="24">
        <f t="shared" si="93"/>
        <v>4.2955086325394687E-2</v>
      </c>
      <c r="W824" s="23">
        <f t="shared" si="94"/>
        <v>3.510960265115104E-3</v>
      </c>
      <c r="X824" s="24">
        <v>4.0945392445155937E-2</v>
      </c>
      <c r="Y824" s="24">
        <f t="shared" si="95"/>
        <v>4.2956342022485439E-2</v>
      </c>
      <c r="Z824" s="23">
        <f t="shared" si="96"/>
        <v>3.511060739026739E-3</v>
      </c>
      <c r="AA824" s="36"/>
    </row>
    <row r="825" spans="15:27" ht="17.100000000000001" customHeight="1" x14ac:dyDescent="0.3">
      <c r="O825" s="12">
        <f t="shared" si="90"/>
        <v>67.666666666666671</v>
      </c>
      <c r="P825" s="13">
        <v>812</v>
      </c>
      <c r="Q825" s="22">
        <v>3.3021705561629533E-2</v>
      </c>
      <c r="R825" s="19">
        <f t="shared" si="91"/>
        <v>3.3559742248053137E-2</v>
      </c>
      <c r="S825" s="22">
        <v>3.9475089754733572E-2</v>
      </c>
      <c r="T825" s="19">
        <f t="shared" si="92"/>
        <v>4.2960226970234494E-2</v>
      </c>
      <c r="U825" s="24">
        <v>4.1321801814857784E-2</v>
      </c>
      <c r="V825" s="24">
        <f t="shared" si="93"/>
        <v>4.295547743002559E-2</v>
      </c>
      <c r="W825" s="23">
        <f t="shared" si="94"/>
        <v>3.5109919001359291E-3</v>
      </c>
      <c r="X825" s="24">
        <v>4.0947866597911053E-2</v>
      </c>
      <c r="Y825" s="24">
        <f t="shared" si="95"/>
        <v>4.2956735601371809E-2</v>
      </c>
      <c r="Z825" s="23">
        <f t="shared" si="96"/>
        <v>3.5110925840127205E-3</v>
      </c>
      <c r="AA825" s="36"/>
    </row>
    <row r="826" spans="15:27" ht="17.100000000000001" customHeight="1" x14ac:dyDescent="0.3">
      <c r="O826" s="12">
        <f t="shared" si="90"/>
        <v>67.75</v>
      </c>
      <c r="P826" s="13">
        <v>813</v>
      </c>
      <c r="Q826" s="22">
        <v>3.3022367181300361E-2</v>
      </c>
      <c r="R826" s="19">
        <f t="shared" si="91"/>
        <v>3.3563828925705863E-2</v>
      </c>
      <c r="S826" s="22">
        <v>3.9479369354911809E-2</v>
      </c>
      <c r="T826" s="19">
        <f t="shared" si="92"/>
        <v>4.2960621359150464E-2</v>
      </c>
      <c r="U826" s="24">
        <v>4.1323809683287527E-2</v>
      </c>
      <c r="V826" s="24">
        <f t="shared" si="93"/>
        <v>4.295586512787275E-2</v>
      </c>
      <c r="W826" s="23">
        <f t="shared" si="94"/>
        <v>3.5110232595663149E-3</v>
      </c>
      <c r="X826" s="24">
        <v>4.0950335153224104E-2</v>
      </c>
      <c r="Y826" s="24">
        <f t="shared" si="95"/>
        <v>4.2957125631242654E-2</v>
      </c>
      <c r="Z826" s="23">
        <f t="shared" si="96"/>
        <v>3.5111241417982164E-3</v>
      </c>
      <c r="AA826" s="36"/>
    </row>
    <row r="827" spans="15:27" ht="17.100000000000001" customHeight="1" x14ac:dyDescent="0.3">
      <c r="O827" s="12">
        <f t="shared" si="90"/>
        <v>67.833333333333329</v>
      </c>
      <c r="P827" s="13">
        <v>814</v>
      </c>
      <c r="Q827" s="22">
        <v>3.3023032193663759E-2</v>
      </c>
      <c r="R827" s="19">
        <f t="shared" si="91"/>
        <v>3.3567881387513987E-2</v>
      </c>
      <c r="S827" s="22">
        <v>3.9483638940548627E-2</v>
      </c>
      <c r="T827" s="19">
        <f t="shared" si="92"/>
        <v>4.2961011835528806E-2</v>
      </c>
      <c r="U827" s="24">
        <v>4.1325813097779829E-2</v>
      </c>
      <c r="V827" s="24">
        <f t="shared" si="93"/>
        <v>4.2956249448246275E-2</v>
      </c>
      <c r="W827" s="23">
        <f t="shared" si="94"/>
        <v>3.5110543458243271E-3</v>
      </c>
      <c r="X827" s="24">
        <v>4.095279812735475E-2</v>
      </c>
      <c r="Y827" s="24">
        <f t="shared" si="95"/>
        <v>4.2957512143251719E-2</v>
      </c>
      <c r="Z827" s="23">
        <f t="shared" si="96"/>
        <v>3.5111554150071278E-3</v>
      </c>
      <c r="AA827" s="36"/>
    </row>
    <row r="828" spans="15:27" ht="17.100000000000001" customHeight="1" x14ac:dyDescent="0.3">
      <c r="O828" s="12">
        <f t="shared" si="90"/>
        <v>67.916666666666671</v>
      </c>
      <c r="P828" s="13">
        <v>815</v>
      </c>
      <c r="Q828" s="22">
        <v>3.3023700544259071E-2</v>
      </c>
      <c r="R828" s="19">
        <f t="shared" si="91"/>
        <v>3.3571899922413051E-2</v>
      </c>
      <c r="S828" s="22">
        <v>3.9487898543663968E-2</v>
      </c>
      <c r="T828" s="19">
        <f t="shared" si="92"/>
        <v>4.2961398439433474E-2</v>
      </c>
      <c r="U828" s="24">
        <v>4.1327812070580228E-2</v>
      </c>
      <c r="V828" s="24">
        <f t="shared" si="93"/>
        <v>4.2956630420744046E-2</v>
      </c>
      <c r="W828" s="23">
        <f t="shared" si="94"/>
        <v>3.5110851612603078E-3</v>
      </c>
      <c r="X828" s="24">
        <v>4.0955255536520685E-2</v>
      </c>
      <c r="Y828" s="24">
        <f t="shared" si="95"/>
        <v>4.2957895169978277E-2</v>
      </c>
      <c r="Z828" s="23">
        <f t="shared" si="96"/>
        <v>3.5111864061379006E-3</v>
      </c>
      <c r="AA828" s="36"/>
    </row>
    <row r="829" spans="15:27" ht="17.100000000000001" customHeight="1" x14ac:dyDescent="0.3">
      <c r="O829" s="12">
        <f t="shared" si="90"/>
        <v>68</v>
      </c>
      <c r="P829" s="13">
        <v>816</v>
      </c>
      <c r="Q829" s="22">
        <v>3.3024372179246919E-2</v>
      </c>
      <c r="R829" s="19">
        <f t="shared" si="91"/>
        <v>3.3575884817584889E-2</v>
      </c>
      <c r="S829" s="22">
        <v>3.9492148196169863E-2</v>
      </c>
      <c r="T829" s="19">
        <f t="shared" si="92"/>
        <v>4.2961781208641581E-2</v>
      </c>
      <c r="U829" s="24">
        <v>4.1329806613910725E-2</v>
      </c>
      <c r="V829" s="24">
        <f t="shared" si="93"/>
        <v>4.2957008074403502E-2</v>
      </c>
      <c r="W829" s="23">
        <f t="shared" si="94"/>
        <v>3.5111157082481359E-3</v>
      </c>
      <c r="X829" s="24">
        <v>4.09577073969003E-2</v>
      </c>
      <c r="Y829" s="24">
        <f t="shared" si="95"/>
        <v>4.2958274742448399E-2</v>
      </c>
      <c r="Z829" s="23">
        <f t="shared" si="96"/>
        <v>3.5112171178028895E-3</v>
      </c>
      <c r="AA829" s="36"/>
    </row>
    <row r="830" spans="15:27" ht="17.100000000000001" customHeight="1" x14ac:dyDescent="0.3">
      <c r="O830" s="12">
        <f t="shared" si="90"/>
        <v>68.083333333333329</v>
      </c>
      <c r="P830" s="13">
        <v>817</v>
      </c>
      <c r="Q830" s="22">
        <v>3.3025047045402989E-2</v>
      </c>
      <c r="R830" s="19">
        <f t="shared" si="91"/>
        <v>3.3579836355324355E-2</v>
      </c>
      <c r="S830" s="22">
        <v>3.9496387929868648E-2</v>
      </c>
      <c r="T830" s="19">
        <f t="shared" si="92"/>
        <v>4.2962160181182485E-2</v>
      </c>
      <c r="U830" s="24">
        <v>4.1331796739968674E-2</v>
      </c>
      <c r="V830" s="24">
        <f t="shared" si="93"/>
        <v>4.2957382438862046E-2</v>
      </c>
      <c r="W830" s="23">
        <f t="shared" si="94"/>
        <v>3.5111459891159491E-3</v>
      </c>
      <c r="X830" s="24">
        <v>4.0960153724630688E-2</v>
      </c>
      <c r="Y830" s="24">
        <f t="shared" si="95"/>
        <v>4.2958650891964156E-2</v>
      </c>
      <c r="Z830" s="23">
        <f t="shared" si="96"/>
        <v>3.5112475524901043E-3</v>
      </c>
      <c r="AA830" s="36"/>
    </row>
    <row r="831" spans="15:27" ht="17.100000000000001" customHeight="1" x14ac:dyDescent="0.3">
      <c r="O831" s="12">
        <f t="shared" si="90"/>
        <v>68.166666666666671</v>
      </c>
      <c r="P831" s="13">
        <v>818</v>
      </c>
      <c r="Q831" s="22">
        <v>3.3025725090109148E-2</v>
      </c>
      <c r="R831" s="19">
        <f t="shared" si="91"/>
        <v>3.3583754819034306E-2</v>
      </c>
      <c r="S831" s="22">
        <v>3.9500617776453417E-2</v>
      </c>
      <c r="T831" s="19">
        <f t="shared" si="92"/>
        <v>4.2962535394840629E-2</v>
      </c>
      <c r="U831" s="24">
        <v>4.1333782460928115E-2</v>
      </c>
      <c r="V831" s="24">
        <f t="shared" si="93"/>
        <v>4.2957753541688737E-2</v>
      </c>
      <c r="W831" s="23">
        <f t="shared" si="94"/>
        <v>3.5111760062405128E-3</v>
      </c>
      <c r="X831" s="24">
        <v>4.0962594535808083E-2</v>
      </c>
      <c r="Y831" s="24">
        <f t="shared" si="95"/>
        <v>4.2959023649147499E-2</v>
      </c>
      <c r="Z831" s="23">
        <f t="shared" si="96"/>
        <v>3.5112777127095374E-3</v>
      </c>
      <c r="AA831" s="36"/>
    </row>
    <row r="832" spans="15:27" ht="17.100000000000001" customHeight="1" x14ac:dyDescent="0.3">
      <c r="O832" s="12">
        <f t="shared" si="90"/>
        <v>68.25</v>
      </c>
      <c r="P832" s="13">
        <v>819</v>
      </c>
      <c r="Q832" s="22">
        <v>3.3026406261349894E-2</v>
      </c>
      <c r="R832" s="19">
        <f t="shared" si="91"/>
        <v>3.3587640486923531E-2</v>
      </c>
      <c r="S832" s="22">
        <v>3.9504837767508905E-2</v>
      </c>
      <c r="T832" s="19">
        <f t="shared" si="92"/>
        <v>4.2962906886745422E-2</v>
      </c>
      <c r="U832" s="24">
        <v>4.1335763788937108E-2</v>
      </c>
      <c r="V832" s="24">
        <f t="shared" si="93"/>
        <v>4.2958121412230987E-2</v>
      </c>
      <c r="W832" s="23">
        <f t="shared" si="94"/>
        <v>3.5112057618325032E-3</v>
      </c>
      <c r="X832" s="24">
        <v>4.0965029846487866E-2</v>
      </c>
      <c r="Y832" s="24">
        <f t="shared" si="95"/>
        <v>4.2959393045247207E-2</v>
      </c>
      <c r="Z832" s="23">
        <f t="shared" si="96"/>
        <v>3.5113076009172239E-3</v>
      </c>
      <c r="AA832" s="36"/>
    </row>
    <row r="833" spans="15:27" ht="17.100000000000001" customHeight="1" x14ac:dyDescent="0.3">
      <c r="O833" s="12">
        <f t="shared" si="90"/>
        <v>68.333333333333329</v>
      </c>
      <c r="P833" s="13">
        <v>820</v>
      </c>
      <c r="Q833" s="22">
        <v>3.302709050770325E-2</v>
      </c>
      <c r="R833" s="19">
        <f t="shared" si="91"/>
        <v>3.3591493636266456E-2</v>
      </c>
      <c r="S833" s="22">
        <v>3.9509047934511043E-2</v>
      </c>
      <c r="T833" s="19">
        <f t="shared" si="92"/>
        <v>4.2963274694365339E-2</v>
      </c>
      <c r="U833" s="24">
        <v>4.1337740736120621E-2</v>
      </c>
      <c r="V833" s="24">
        <f t="shared" si="93"/>
        <v>4.2958486078109148E-2</v>
      </c>
      <c r="W833" s="23">
        <f t="shared" si="94"/>
        <v>3.511235258245593E-3</v>
      </c>
      <c r="X833" s="24">
        <v>4.0967459672684559E-2</v>
      </c>
      <c r="Y833" s="24">
        <f t="shared" si="95"/>
        <v>4.2959759109825191E-2</v>
      </c>
      <c r="Z833" s="23">
        <f t="shared" si="96"/>
        <v>3.5113372196187154E-3</v>
      </c>
      <c r="AA833" s="36"/>
    </row>
    <row r="834" spans="15:27" ht="17.100000000000001" customHeight="1" x14ac:dyDescent="0.3">
      <c r="O834" s="12">
        <f t="shared" si="90"/>
        <v>68.416666666666671</v>
      </c>
      <c r="P834" s="13">
        <v>821</v>
      </c>
      <c r="Q834" s="22">
        <v>3.3027777778335654E-2</v>
      </c>
      <c r="R834" s="19">
        <f t="shared" si="91"/>
        <v>3.3595314540386667E-2</v>
      </c>
      <c r="S834" s="22">
        <v>3.9513248308827853E-2</v>
      </c>
      <c r="T834" s="19">
        <f t="shared" si="92"/>
        <v>4.2963638853193542E-2</v>
      </c>
      <c r="U834" s="24">
        <v>4.1339713314577864E-2</v>
      </c>
      <c r="V834" s="24">
        <f t="shared" si="93"/>
        <v>4.2958847567724279E-2</v>
      </c>
      <c r="W834" s="23">
        <f t="shared" si="94"/>
        <v>3.5112644976944551E-3</v>
      </c>
      <c r="X834" s="24">
        <v>4.0969884030371384E-2</v>
      </c>
      <c r="Y834" s="24">
        <f t="shared" si="95"/>
        <v>4.2960121872955392E-2</v>
      </c>
      <c r="Z834" s="23">
        <f t="shared" si="96"/>
        <v>3.5113665711843378E-3</v>
      </c>
      <c r="AA834" s="36"/>
    </row>
    <row r="835" spans="15:27" ht="17.100000000000001" customHeight="1" x14ac:dyDescent="0.3">
      <c r="O835" s="12">
        <f t="shared" si="90"/>
        <v>68.5</v>
      </c>
      <c r="P835" s="13">
        <v>822</v>
      </c>
      <c r="Q835" s="22">
        <v>3.3028468022993529E-2</v>
      </c>
      <c r="R835" s="19">
        <f t="shared" si="91"/>
        <v>3.3599103473003211E-2</v>
      </c>
      <c r="S835" s="22">
        <v>3.9517438921718551E-2</v>
      </c>
      <c r="T835" s="19">
        <f t="shared" si="92"/>
        <v>4.2963999400917885E-2</v>
      </c>
      <c r="U835" s="24">
        <v>4.1341681536383623E-2</v>
      </c>
      <c r="V835" s="24">
        <f t="shared" si="93"/>
        <v>4.2959205907836751E-2</v>
      </c>
      <c r="W835" s="23">
        <f t="shared" si="94"/>
        <v>3.5112934824563791E-3</v>
      </c>
      <c r="X835" s="24">
        <v>4.0972302935480043E-2</v>
      </c>
      <c r="Y835" s="24">
        <f t="shared" si="95"/>
        <v>4.2960481365500236E-2</v>
      </c>
      <c r="Z835" s="23">
        <f t="shared" si="96"/>
        <v>3.5113956580261618E-3</v>
      </c>
      <c r="AA835" s="36"/>
    </row>
    <row r="836" spans="15:27" ht="17.100000000000001" customHeight="1" x14ac:dyDescent="0.3">
      <c r="O836" s="12">
        <f t="shared" si="90"/>
        <v>68.583333333333329</v>
      </c>
      <c r="P836" s="13">
        <v>823</v>
      </c>
      <c r="Q836" s="22">
        <v>3.3029161192000167E-2</v>
      </c>
      <c r="R836" s="19">
        <f t="shared" si="91"/>
        <v>3.3602860702953707E-2</v>
      </c>
      <c r="S836" s="22">
        <v>3.952161980433555E-2</v>
      </c>
      <c r="T836" s="19">
        <f t="shared" si="92"/>
        <v>4.296435637215823E-2</v>
      </c>
      <c r="U836" s="24">
        <v>4.1343645413586705E-2</v>
      </c>
      <c r="V836" s="24">
        <f t="shared" si="93"/>
        <v>4.2959561127350998E-2</v>
      </c>
      <c r="W836" s="23">
        <f t="shared" si="94"/>
        <v>3.5113222146776479E-3</v>
      </c>
      <c r="X836" s="24">
        <v>4.0974716403902045E-2</v>
      </c>
      <c r="Y836" s="24">
        <f t="shared" si="95"/>
        <v>4.2960837616022429E-2</v>
      </c>
      <c r="Z836" s="23">
        <f t="shared" si="96"/>
        <v>3.5114244826188745E-3</v>
      </c>
      <c r="AA836" s="36"/>
    </row>
    <row r="837" spans="15:27" ht="17.100000000000001" customHeight="1" x14ac:dyDescent="0.3">
      <c r="O837" s="12">
        <f t="shared" si="90"/>
        <v>68.666666666666671</v>
      </c>
      <c r="P837" s="13">
        <v>824</v>
      </c>
      <c r="Q837" s="22">
        <v>3.3029857236246851E-2</v>
      </c>
      <c r="R837" s="19">
        <f t="shared" si="91"/>
        <v>3.3606586496933266E-2</v>
      </c>
      <c r="S837" s="22">
        <v>3.9525790987722687E-2</v>
      </c>
      <c r="T837" s="19">
        <f t="shared" si="92"/>
        <v>4.2964709802558509E-2</v>
      </c>
      <c r="U837" s="24">
        <v>4.1345604958212379E-2</v>
      </c>
      <c r="V837" s="24">
        <f t="shared" si="93"/>
        <v>4.295991325226578E-2</v>
      </c>
      <c r="W837" s="23">
        <f t="shared" si="94"/>
        <v>3.5113506966761854E-3</v>
      </c>
      <c r="X837" s="24">
        <v>4.0977124451486935E-2</v>
      </c>
      <c r="Y837" s="24">
        <f t="shared" si="95"/>
        <v>4.296119065384274E-2</v>
      </c>
      <c r="Z837" s="23">
        <f t="shared" si="96"/>
        <v>3.511453047252866E-3</v>
      </c>
      <c r="AA837" s="36"/>
    </row>
    <row r="838" spans="15:27" ht="17.100000000000001" customHeight="1" x14ac:dyDescent="0.3">
      <c r="O838" s="12">
        <f t="shared" si="90"/>
        <v>68.75</v>
      </c>
      <c r="P838" s="13">
        <v>825</v>
      </c>
      <c r="Q838" s="22">
        <v>3.3030556107185971E-2</v>
      </c>
      <c r="R838" s="19">
        <f t="shared" si="91"/>
        <v>3.3610281121663865E-2</v>
      </c>
      <c r="S838" s="22">
        <v>3.9529952502816323E-2</v>
      </c>
      <c r="T838" s="19">
        <f t="shared" si="92"/>
        <v>4.2965059728222066E-2</v>
      </c>
      <c r="U838" s="24">
        <v>4.1347560182259047E-2</v>
      </c>
      <c r="V838" s="24">
        <f t="shared" si="93"/>
        <v>4.2960262309802655E-2</v>
      </c>
      <c r="W838" s="23">
        <f t="shared" si="94"/>
        <v>3.5113789305363241E-3</v>
      </c>
      <c r="X838" s="24">
        <v>4.0979527094042512E-2</v>
      </c>
      <c r="Y838" s="24">
        <f t="shared" si="95"/>
        <v>4.296154050802814E-2</v>
      </c>
      <c r="Z838" s="23">
        <f t="shared" si="96"/>
        <v>3.5114813542793666E-3</v>
      </c>
      <c r="AA838" s="36"/>
    </row>
    <row r="839" spans="15:27" ht="17.100000000000001" customHeight="1" x14ac:dyDescent="0.3">
      <c r="O839" s="12">
        <f t="shared" si="90"/>
        <v>68.833333333333329</v>
      </c>
      <c r="P839" s="13">
        <v>826</v>
      </c>
      <c r="Q839" s="22">
        <v>3.3031257756828358E-2</v>
      </c>
      <c r="R839" s="19">
        <f t="shared" si="91"/>
        <v>3.3613944838233323E-2</v>
      </c>
      <c r="S839" s="22">
        <v>3.9534104380446689E-2</v>
      </c>
      <c r="T839" s="19">
        <f t="shared" si="92"/>
        <v>4.296540618278466E-2</v>
      </c>
      <c r="U839" s="24">
        <v>4.1349511097700242E-2</v>
      </c>
      <c r="V839" s="24">
        <f t="shared" si="93"/>
        <v>4.2960608326948257E-2</v>
      </c>
      <c r="W839" s="23">
        <f t="shared" si="94"/>
        <v>3.5114069184414287E-3</v>
      </c>
      <c r="X839" s="24">
        <v>4.0981924347335275E-2</v>
      </c>
      <c r="Y839" s="24">
        <f t="shared" si="95"/>
        <v>4.2961887207373151E-2</v>
      </c>
      <c r="Z839" s="23">
        <f t="shared" si="96"/>
        <v>3.5115094060294005E-3</v>
      </c>
      <c r="AA839" s="36"/>
    </row>
    <row r="840" spans="15:27" ht="17.100000000000001" customHeight="1" x14ac:dyDescent="0.3">
      <c r="O840" s="12">
        <f t="shared" si="90"/>
        <v>68.916666666666671</v>
      </c>
      <c r="P840" s="13">
        <v>827</v>
      </c>
      <c r="Q840" s="22">
        <v>3.3031962137732629E-2</v>
      </c>
      <c r="R840" s="19">
        <f t="shared" si="91"/>
        <v>3.361757790865072E-2</v>
      </c>
      <c r="S840" s="22">
        <v>3.9538246651335873E-2</v>
      </c>
      <c r="T840" s="19">
        <f t="shared" si="92"/>
        <v>4.2965749201127057E-2</v>
      </c>
      <c r="U840" s="24">
        <v>4.1351457716483742E-2</v>
      </c>
      <c r="V840" s="24">
        <f t="shared" si="93"/>
        <v>4.2960951330532682E-2</v>
      </c>
      <c r="W840" s="23">
        <f t="shared" si="94"/>
        <v>3.5114346625553239E-3</v>
      </c>
      <c r="X840" s="24">
        <v>4.0984316227090645E-2</v>
      </c>
      <c r="Y840" s="24">
        <f t="shared" si="95"/>
        <v>4.2962230780750676E-2</v>
      </c>
      <c r="Z840" s="23">
        <f t="shared" si="96"/>
        <v>3.5115372048117877E-3</v>
      </c>
      <c r="AA840" s="36"/>
    </row>
    <row r="841" spans="15:27" ht="17.100000000000001" customHeight="1" x14ac:dyDescent="0.3">
      <c r="O841" s="12">
        <f t="shared" si="90"/>
        <v>69</v>
      </c>
      <c r="P841" s="13">
        <v>828</v>
      </c>
      <c r="Q841" s="22">
        <v>3.3032669203003184E-2</v>
      </c>
      <c r="R841" s="19">
        <f t="shared" si="91"/>
        <v>3.3621180590781341E-2</v>
      </c>
      <c r="S841" s="22">
        <v>3.954237934609961E-2</v>
      </c>
      <c r="T841" s="19">
        <f t="shared" si="92"/>
        <v>4.2966088817709691E-2</v>
      </c>
      <c r="U841" s="24">
        <v>4.135340005053223E-2</v>
      </c>
      <c r="V841" s="24">
        <f t="shared" si="93"/>
        <v>4.2961291345859909E-2</v>
      </c>
      <c r="W841" s="23">
        <f t="shared" si="94"/>
        <v>3.5114621650296218E-3</v>
      </c>
      <c r="X841" s="24">
        <v>4.0986702748992299E-2</v>
      </c>
      <c r="Y841" s="24">
        <f t="shared" si="95"/>
        <v>4.2962571255658499E-2</v>
      </c>
      <c r="Z841" s="23">
        <f t="shared" si="96"/>
        <v>3.511564752941787E-3</v>
      </c>
      <c r="AA841" s="36"/>
    </row>
    <row r="842" spans="15:27" ht="17.100000000000001" customHeight="1" x14ac:dyDescent="0.3">
      <c r="O842" s="12">
        <f t="shared" si="90"/>
        <v>69.083333333333329</v>
      </c>
      <c r="P842" s="13">
        <v>829</v>
      </c>
      <c r="Q842" s="22">
        <v>3.3033378906281996E-2</v>
      </c>
      <c r="R842" s="19">
        <f t="shared" si="91"/>
        <v>3.3624753140375052E-2</v>
      </c>
      <c r="S842" s="22">
        <v>3.9546502495247493E-2</v>
      </c>
      <c r="T842" s="19">
        <f t="shared" si="92"/>
        <v>4.2966425065171787E-2</v>
      </c>
      <c r="U842" s="24">
        <v>4.1355338111741524E-2</v>
      </c>
      <c r="V842" s="24">
        <f t="shared" si="93"/>
        <v>4.2961628399675211E-2</v>
      </c>
      <c r="W842" s="23">
        <f t="shared" si="94"/>
        <v>3.5114894278933662E-3</v>
      </c>
      <c r="X842" s="24">
        <v>4.0989083928681946E-2</v>
      </c>
      <c r="Y842" s="24">
        <f t="shared" si="95"/>
        <v>4.2962908660001409E-2</v>
      </c>
      <c r="Z842" s="23">
        <f t="shared" si="96"/>
        <v>3.5115920526245237E-3</v>
      </c>
      <c r="AA842" s="36"/>
    </row>
    <row r="843" spans="15:27" ht="17.100000000000001" customHeight="1" x14ac:dyDescent="0.3">
      <c r="O843" s="12">
        <f t="shared" si="90"/>
        <v>69.166666666666671</v>
      </c>
      <c r="P843" s="13">
        <v>830</v>
      </c>
      <c r="Q843" s="22">
        <v>3.303409120174261E-2</v>
      </c>
      <c r="R843" s="19">
        <f t="shared" si="91"/>
        <v>3.3628295812039299E-2</v>
      </c>
      <c r="S843" s="22">
        <v>3.9550616129181426E-2</v>
      </c>
      <c r="T843" s="19">
        <f t="shared" si="92"/>
        <v>4.2966757978730064E-2</v>
      </c>
      <c r="U843" s="24">
        <v>4.1357271911981908E-2</v>
      </c>
      <c r="V843" s="24">
        <f t="shared" si="93"/>
        <v>4.2961962518273777E-2</v>
      </c>
      <c r="W843" s="23">
        <f t="shared" si="94"/>
        <v>3.5115164532910637E-3</v>
      </c>
      <c r="X843" s="24">
        <v>4.099145978175911E-2</v>
      </c>
      <c r="Y843" s="24">
        <f t="shared" si="95"/>
        <v>4.2963243022462683E-2</v>
      </c>
      <c r="Z843" s="23">
        <f t="shared" si="96"/>
        <v>3.511619106097541E-3</v>
      </c>
      <c r="AA843" s="36"/>
    </row>
    <row r="844" spans="15:27" ht="17.100000000000001" customHeight="1" x14ac:dyDescent="0.3">
      <c r="O844" s="12">
        <f t="shared" si="90"/>
        <v>69.25</v>
      </c>
      <c r="P844" s="13">
        <v>831</v>
      </c>
      <c r="Q844" s="22">
        <v>3.3034806044085707E-2</v>
      </c>
      <c r="R844" s="19">
        <f t="shared" si="91"/>
        <v>3.363180885679018E-2</v>
      </c>
      <c r="S844" s="22">
        <v>3.955472027819984E-2</v>
      </c>
      <c r="T844" s="19">
        <f t="shared" si="92"/>
        <v>4.2967087589859343E-2</v>
      </c>
      <c r="U844" s="24">
        <v>4.1359201463098572E-2</v>
      </c>
      <c r="V844" s="24">
        <f t="shared" si="93"/>
        <v>4.2962293725776535E-2</v>
      </c>
      <c r="W844" s="23">
        <f t="shared" si="94"/>
        <v>3.511543243331694E-3</v>
      </c>
      <c r="X844" s="24">
        <v>4.099383032378312E-2</v>
      </c>
      <c r="Y844" s="24">
        <f t="shared" si="95"/>
        <v>4.2963574370043167E-2</v>
      </c>
      <c r="Z844" s="23">
        <f t="shared" si="96"/>
        <v>3.5116459156612212E-3</v>
      </c>
      <c r="AA844" s="36"/>
    </row>
    <row r="845" spans="15:27" ht="17.100000000000001" customHeight="1" x14ac:dyDescent="0.3">
      <c r="O845" s="12">
        <f t="shared" si="90"/>
        <v>69.333333333333329</v>
      </c>
      <c r="P845" s="13">
        <v>832</v>
      </c>
      <c r="Q845" s="22">
        <v>3.3035523388531551E-2</v>
      </c>
      <c r="R845" s="19">
        <f t="shared" si="91"/>
        <v>3.3635292525317384E-2</v>
      </c>
      <c r="S845" s="22">
        <v>3.9558814972492806E-2</v>
      </c>
      <c r="T845" s="19">
        <f t="shared" si="92"/>
        <v>4.2967413932425647E-2</v>
      </c>
      <c r="U845" s="24">
        <v>4.1361126776908508E-2</v>
      </c>
      <c r="V845" s="24">
        <f t="shared" si="93"/>
        <v>4.2962622048960508E-2</v>
      </c>
      <c r="W845" s="23">
        <f t="shared" si="94"/>
        <v>3.5115697999492657E-3</v>
      </c>
      <c r="X845" s="24">
        <v>4.0996195570270677E-2</v>
      </c>
      <c r="Y845" s="24">
        <f t="shared" si="95"/>
        <v>4.2963902729278081E-2</v>
      </c>
      <c r="Z845" s="23">
        <f t="shared" si="96"/>
        <v>3.5116724834804991E-3</v>
      </c>
      <c r="AA845" s="36"/>
    </row>
    <row r="846" spans="15:27" ht="17.100000000000001" customHeight="1" x14ac:dyDescent="0.3">
      <c r="O846" s="12">
        <f t="shared" ref="O846:O909" si="97">P846/12</f>
        <v>69.416666666666671</v>
      </c>
      <c r="P846" s="13">
        <v>833</v>
      </c>
      <c r="Q846" s="22">
        <v>3.3036243190816439E-2</v>
      </c>
      <c r="R846" s="19">
        <f t="shared" ref="R846:R909" si="98">(1+Q847)^P847/(1+Q846)^P846-1</f>
        <v>3.3638747064435703E-2</v>
      </c>
      <c r="S846" s="22">
        <v>3.9562900242146481E-2</v>
      </c>
      <c r="T846" s="19">
        <f t="shared" ref="T846:T909" si="99">(1+S847)^P847/(1+S846)^P846-1</f>
        <v>4.2967737037771458E-2</v>
      </c>
      <c r="U846" s="24">
        <v>4.1363047865204061E-2</v>
      </c>
      <c r="V846" s="24">
        <f t="shared" ref="V846:V909" si="100">(1+U847)^P847/(1+U846)^P846-1</f>
        <v>4.2962947511868022E-2</v>
      </c>
      <c r="W846" s="23">
        <f t="shared" si="94"/>
        <v>3.511596125291172E-3</v>
      </c>
      <c r="X846" s="24">
        <v>4.0998555536695847E-2</v>
      </c>
      <c r="Y846" s="24">
        <f t="shared" si="95"/>
        <v>4.2964228127694959E-2</v>
      </c>
      <c r="Z846" s="23">
        <f t="shared" si="96"/>
        <v>3.5116988116832282E-3</v>
      </c>
      <c r="AA846" s="36"/>
    </row>
    <row r="847" spans="15:27" ht="17.100000000000001" customHeight="1" x14ac:dyDescent="0.3">
      <c r="O847" s="12">
        <f t="shared" si="97"/>
        <v>69.5</v>
      </c>
      <c r="P847" s="13">
        <v>834</v>
      </c>
      <c r="Q847" s="22">
        <v>3.3036965407185148E-2</v>
      </c>
      <c r="R847" s="19">
        <f t="shared" si="98"/>
        <v>3.364217271911385E-2</v>
      </c>
      <c r="S847" s="22">
        <v>3.956697611714044E-2</v>
      </c>
      <c r="T847" s="19">
        <f t="shared" si="99"/>
        <v>4.2968056938728516E-2</v>
      </c>
      <c r="U847" s="24">
        <v>4.1364964739750043E-2</v>
      </c>
      <c r="V847" s="24">
        <f t="shared" si="100"/>
        <v>4.2963270140407461E-2</v>
      </c>
      <c r="W847" s="23">
        <f t="shared" ref="W847:W910" si="101">(1+V846)^(1/12)-1</f>
        <v>3.5116222212849824E-3</v>
      </c>
      <c r="X847" s="24">
        <v>4.1000910238491617E-2</v>
      </c>
      <c r="Y847" s="24">
        <f t="shared" ref="Y847:Y910" si="102">(1+X848)^P848/(1+X847)^P847-1</f>
        <v>4.2964550592099249E-2</v>
      </c>
      <c r="Z847" s="23">
        <f t="shared" ref="Z847:Z910" si="103">(1+Y846)^(1/12)-1</f>
        <v>3.5117249024769759E-3</v>
      </c>
      <c r="AA847" s="36"/>
    </row>
    <row r="848" spans="15:27" ht="17.100000000000001" customHeight="1" x14ac:dyDescent="0.3">
      <c r="O848" s="12">
        <f t="shared" si="97"/>
        <v>69.583333333333329</v>
      </c>
      <c r="P848" s="13">
        <v>835</v>
      </c>
      <c r="Q848" s="22">
        <v>3.3037689994385389E-2</v>
      </c>
      <c r="R848" s="19">
        <f t="shared" si="98"/>
        <v>3.364556973343058E-2</v>
      </c>
      <c r="S848" s="22">
        <v>3.9571042627349895E-2</v>
      </c>
      <c r="T848" s="19">
        <f t="shared" si="99"/>
        <v>4.2968373667343407E-2</v>
      </c>
      <c r="U848" s="24">
        <v>4.1366877412285508E-2</v>
      </c>
      <c r="V848" s="24">
        <f t="shared" si="100"/>
        <v>4.2963589958850745E-2</v>
      </c>
      <c r="W848" s="23">
        <f t="shared" si="101"/>
        <v>3.51164809000859E-3</v>
      </c>
      <c r="X848" s="24">
        <v>4.100325969104901E-2</v>
      </c>
      <c r="Y848" s="24">
        <f t="shared" si="102"/>
        <v>4.2964870148902934E-2</v>
      </c>
      <c r="Z848" s="23">
        <f t="shared" si="103"/>
        <v>3.511750758010912E-3</v>
      </c>
      <c r="AA848" s="36"/>
    </row>
    <row r="849" spans="15:27" ht="17.100000000000001" customHeight="1" x14ac:dyDescent="0.3">
      <c r="O849" s="12">
        <f t="shared" si="97"/>
        <v>69.666666666666671</v>
      </c>
      <c r="P849" s="13">
        <v>836</v>
      </c>
      <c r="Q849" s="22">
        <v>3.3038416909664026E-2</v>
      </c>
      <c r="R849" s="19">
        <f t="shared" si="98"/>
        <v>3.3648938348949775E-2</v>
      </c>
      <c r="S849" s="22">
        <v>3.9575099802545477E-2</v>
      </c>
      <c r="T849" s="19">
        <f t="shared" si="99"/>
        <v>4.2968687254472115E-2</v>
      </c>
      <c r="U849" s="24">
        <v>4.1368785894522864E-2</v>
      </c>
      <c r="V849" s="24">
        <f t="shared" si="100"/>
        <v>4.2963906991261958E-2</v>
      </c>
      <c r="W849" s="23">
        <f t="shared" si="101"/>
        <v>3.511673733408438E-3</v>
      </c>
      <c r="X849" s="24">
        <v>4.1005603909716859E-2</v>
      </c>
      <c r="Y849" s="24">
        <f t="shared" si="102"/>
        <v>4.2965186823917145E-2</v>
      </c>
      <c r="Z849" s="23">
        <f t="shared" si="103"/>
        <v>3.5117763804033419E-3</v>
      </c>
      <c r="AA849" s="36"/>
    </row>
    <row r="850" spans="15:27" ht="17.100000000000001" customHeight="1" x14ac:dyDescent="0.3">
      <c r="O850" s="12">
        <f t="shared" si="97"/>
        <v>69.75</v>
      </c>
      <c r="P850" s="13">
        <v>837</v>
      </c>
      <c r="Q850" s="22">
        <v>3.3039146110760642E-2</v>
      </c>
      <c r="R850" s="19">
        <f t="shared" si="98"/>
        <v>3.3652278802953184E-2</v>
      </c>
      <c r="S850" s="22">
        <v>3.9579147672392567E-2</v>
      </c>
      <c r="T850" s="19">
        <f t="shared" si="99"/>
        <v>4.2968997731378078E-2</v>
      </c>
      <c r="U850" s="24">
        <v>4.1370690198146987E-2</v>
      </c>
      <c r="V850" s="24">
        <f t="shared" si="100"/>
        <v>4.2964221262288715E-2</v>
      </c>
      <c r="W850" s="23">
        <f t="shared" si="101"/>
        <v>3.511699153413872E-3</v>
      </c>
      <c r="X850" s="24">
        <v>4.1007942909801809E-2</v>
      </c>
      <c r="Y850" s="24">
        <f t="shared" si="102"/>
        <v>4.2965500643439958E-2</v>
      </c>
      <c r="Z850" s="23">
        <f t="shared" si="103"/>
        <v>3.5118017717237215E-3</v>
      </c>
      <c r="AA850" s="36"/>
    </row>
    <row r="851" spans="15:27" ht="17.100000000000001" customHeight="1" x14ac:dyDescent="0.3">
      <c r="O851" s="12">
        <f t="shared" si="97"/>
        <v>69.833333333333329</v>
      </c>
      <c r="P851" s="13">
        <v>838</v>
      </c>
      <c r="Q851" s="22">
        <v>3.303987755590021E-2</v>
      </c>
      <c r="R851" s="19">
        <f t="shared" si="98"/>
        <v>3.3655591334745827E-2</v>
      </c>
      <c r="S851" s="22">
        <v>3.9583186266452408E-2</v>
      </c>
      <c r="T851" s="19">
        <f t="shared" si="99"/>
        <v>4.29693051293214E-2</v>
      </c>
      <c r="U851" s="24">
        <v>4.137259033481655E-2</v>
      </c>
      <c r="V851" s="24">
        <f t="shared" si="100"/>
        <v>4.296453279654866E-2</v>
      </c>
      <c r="W851" s="23">
        <f t="shared" si="101"/>
        <v>3.5117243520013108E-3</v>
      </c>
      <c r="X851" s="24">
        <v>4.1010276706568538E-2</v>
      </c>
      <c r="Y851" s="24">
        <f t="shared" si="102"/>
        <v>4.296581163367641E-2</v>
      </c>
      <c r="Z851" s="23">
        <f t="shared" si="103"/>
        <v>3.5118269340808084E-3</v>
      </c>
      <c r="AA851" s="36"/>
    </row>
    <row r="852" spans="15:27" ht="17.100000000000001" customHeight="1" x14ac:dyDescent="0.3">
      <c r="O852" s="12">
        <f t="shared" si="97"/>
        <v>69.916666666666671</v>
      </c>
      <c r="P852" s="13">
        <v>839</v>
      </c>
      <c r="Q852" s="22">
        <v>3.3040611203791759E-2</v>
      </c>
      <c r="R852" s="19">
        <f t="shared" si="98"/>
        <v>3.3658876177884656E-2</v>
      </c>
      <c r="S852" s="22">
        <v>3.9587215614182325E-2</v>
      </c>
      <c r="T852" s="19">
        <f t="shared" si="99"/>
        <v>4.2969609478533455E-2</v>
      </c>
      <c r="U852" s="24">
        <v>4.1374486316163583E-2</v>
      </c>
      <c r="V852" s="24">
        <f t="shared" si="100"/>
        <v>4.2964841617198157E-2</v>
      </c>
      <c r="W852" s="23">
        <f t="shared" si="101"/>
        <v>3.5117493311451753E-3</v>
      </c>
      <c r="X852" s="24">
        <v>4.1012605315240425E-2</v>
      </c>
      <c r="Y852" s="24">
        <f t="shared" si="102"/>
        <v>4.2966119819148441E-2</v>
      </c>
      <c r="Z852" s="23">
        <f t="shared" si="103"/>
        <v>3.5118518695762546E-3</v>
      </c>
      <c r="AA852" s="36"/>
    </row>
    <row r="853" spans="15:27" ht="17.100000000000001" customHeight="1" x14ac:dyDescent="0.3">
      <c r="O853" s="12">
        <f t="shared" si="97"/>
        <v>70</v>
      </c>
      <c r="P853" s="13">
        <v>840</v>
      </c>
      <c r="Q853" s="22">
        <v>3.3041347013619271E-2</v>
      </c>
      <c r="R853" s="19">
        <f t="shared" si="98"/>
        <v>3.3662133566164654E-2</v>
      </c>
      <c r="S853" s="22">
        <v>3.9591235744935949E-2</v>
      </c>
      <c r="T853" s="19">
        <f t="shared" si="99"/>
        <v>4.2969910809136813E-2</v>
      </c>
      <c r="U853" s="24">
        <v>4.1376378153792581E-2</v>
      </c>
      <c r="V853" s="24">
        <f t="shared" si="100"/>
        <v>4.2965147747503263E-2</v>
      </c>
      <c r="W853" s="23">
        <f t="shared" si="101"/>
        <v>3.5117740927022023E-3</v>
      </c>
      <c r="X853" s="24">
        <v>4.1014928750997326E-2</v>
      </c>
      <c r="Y853" s="24">
        <f t="shared" si="102"/>
        <v>4.2966425226463878E-2</v>
      </c>
      <c r="Z853" s="23">
        <f t="shared" si="103"/>
        <v>3.5118765801762653E-3</v>
      </c>
      <c r="AA853" s="36"/>
    </row>
    <row r="854" spans="15:27" ht="17.100000000000001" customHeight="1" x14ac:dyDescent="0.3">
      <c r="O854" s="12">
        <f t="shared" si="97"/>
        <v>70.083333333333329</v>
      </c>
      <c r="P854" s="13">
        <v>841</v>
      </c>
      <c r="Q854" s="22">
        <v>3.3042084945039019E-2</v>
      </c>
      <c r="R854" s="19">
        <f t="shared" si="98"/>
        <v>3.3665363730678743E-2</v>
      </c>
      <c r="S854" s="22">
        <v>3.9595246687962771E-2</v>
      </c>
      <c r="T854" s="19">
        <f t="shared" si="99"/>
        <v>4.297020915162264E-2</v>
      </c>
      <c r="U854" s="24">
        <v>4.1378265859280727E-2</v>
      </c>
      <c r="V854" s="24">
        <f t="shared" si="100"/>
        <v>4.2965451212006789E-2</v>
      </c>
      <c r="W854" s="23">
        <f t="shared" si="101"/>
        <v>3.5117986385380107E-3</v>
      </c>
      <c r="X854" s="24">
        <v>4.1017247028978465E-2</v>
      </c>
      <c r="Y854" s="24">
        <f t="shared" si="102"/>
        <v>4.2966727879230282E-2</v>
      </c>
      <c r="Z854" s="23">
        <f t="shared" si="103"/>
        <v>3.5119010680144669E-3</v>
      </c>
      <c r="AA854" s="36"/>
    </row>
    <row r="855" spans="15:27" ht="17.100000000000001" customHeight="1" x14ac:dyDescent="0.3">
      <c r="O855" s="12">
        <f t="shared" si="97"/>
        <v>70.166666666666671</v>
      </c>
      <c r="P855" s="13">
        <v>842</v>
      </c>
      <c r="Q855" s="22">
        <v>3.3042824958173123E-2</v>
      </c>
      <c r="R855" s="19">
        <f t="shared" si="98"/>
        <v>3.3668566900158181E-2</v>
      </c>
      <c r="S855" s="22">
        <v>3.9599248472409698E-2</v>
      </c>
      <c r="T855" s="19">
        <f t="shared" si="99"/>
        <v>4.2970504535262188E-2</v>
      </c>
      <c r="U855" s="24">
        <v>4.1380149444178782E-2</v>
      </c>
      <c r="V855" s="24">
        <f t="shared" si="100"/>
        <v>4.2965752033483851E-2</v>
      </c>
      <c r="W855" s="23">
        <f t="shared" si="101"/>
        <v>3.5118229706205817E-3</v>
      </c>
      <c r="X855" s="24">
        <v>4.1019560164279545E-2</v>
      </c>
      <c r="Y855" s="24">
        <f t="shared" si="102"/>
        <v>4.2967027803735069E-2</v>
      </c>
      <c r="Z855" s="23">
        <f t="shared" si="103"/>
        <v>3.5119253349840118E-3</v>
      </c>
      <c r="AA855" s="36"/>
    </row>
    <row r="856" spans="15:27" ht="17.100000000000001" customHeight="1" x14ac:dyDescent="0.3">
      <c r="O856" s="12">
        <f t="shared" si="97"/>
        <v>70.25</v>
      </c>
      <c r="P856" s="13">
        <v>843</v>
      </c>
      <c r="Q856" s="22">
        <v>3.3043567013604669E-2</v>
      </c>
      <c r="R856" s="19">
        <f t="shared" si="98"/>
        <v>3.3671743301729729E-2</v>
      </c>
      <c r="S856" s="22">
        <v>3.9603241127320166E-2</v>
      </c>
      <c r="T856" s="19">
        <f t="shared" si="99"/>
        <v>4.2970796989429738E-2</v>
      </c>
      <c r="U856" s="24">
        <v>4.1382028920010194E-2</v>
      </c>
      <c r="V856" s="24">
        <f t="shared" si="100"/>
        <v>4.296605023516098E-2</v>
      </c>
      <c r="W856" s="23">
        <f t="shared" si="101"/>
        <v>3.5118470907762322E-3</v>
      </c>
      <c r="X856" s="24">
        <v>4.1021868171955411E-2</v>
      </c>
      <c r="Y856" s="24">
        <f t="shared" si="102"/>
        <v>4.2967325023793856E-2</v>
      </c>
      <c r="Z856" s="23">
        <f t="shared" si="103"/>
        <v>3.5119493831925475E-3</v>
      </c>
      <c r="AA856" s="36"/>
    </row>
    <row r="857" spans="15:27" ht="17.100000000000001" customHeight="1" x14ac:dyDescent="0.3">
      <c r="O857" s="12">
        <f t="shared" si="97"/>
        <v>70.333333333333329</v>
      </c>
      <c r="P857" s="13">
        <v>844</v>
      </c>
      <c r="Q857" s="22">
        <v>3.3044311072372379E-2</v>
      </c>
      <c r="R857" s="19">
        <f t="shared" si="98"/>
        <v>3.3674893161404373E-2</v>
      </c>
      <c r="S857" s="22">
        <v>3.9607224681635023E-2</v>
      </c>
      <c r="T857" s="19">
        <f t="shared" si="99"/>
        <v>4.2971086542845871E-2</v>
      </c>
      <c r="U857" s="24">
        <v>4.1383904298271101E-2</v>
      </c>
      <c r="V857" s="24">
        <f t="shared" si="100"/>
        <v>4.296634583830361E-2</v>
      </c>
      <c r="W857" s="23">
        <f t="shared" si="101"/>
        <v>3.5118710008674725E-3</v>
      </c>
      <c r="X857" s="24">
        <v>4.1024171067018056E-2</v>
      </c>
      <c r="Y857" s="24">
        <f t="shared" si="102"/>
        <v>4.2967619562966908E-2</v>
      </c>
      <c r="Z857" s="23">
        <f t="shared" si="103"/>
        <v>3.5119732145501015E-3</v>
      </c>
      <c r="AA857" s="36"/>
    </row>
    <row r="858" spans="15:27" ht="17.100000000000001" customHeight="1" x14ac:dyDescent="0.3">
      <c r="O858" s="12">
        <f t="shared" si="97"/>
        <v>70.416666666666671</v>
      </c>
      <c r="P858" s="13">
        <v>845</v>
      </c>
      <c r="Q858" s="22">
        <v>3.3045057095967278E-2</v>
      </c>
      <c r="R858" s="19">
        <f t="shared" si="98"/>
        <v>3.3678016701621072E-2</v>
      </c>
      <c r="S858" s="22">
        <v>3.9611199164191868E-2</v>
      </c>
      <c r="T858" s="19">
        <f t="shared" si="99"/>
        <v>4.2971373225260345E-2</v>
      </c>
      <c r="U858" s="24">
        <v>4.1385775590428109E-2</v>
      </c>
      <c r="V858" s="24">
        <f t="shared" si="100"/>
        <v>4.2966638868779716E-2</v>
      </c>
      <c r="W858" s="23">
        <f t="shared" si="101"/>
        <v>3.5118947025998271E-3</v>
      </c>
      <c r="X858" s="24">
        <v>4.1026468864436172E-2</v>
      </c>
      <c r="Y858" s="24">
        <f t="shared" si="102"/>
        <v>4.2967911447770346E-2</v>
      </c>
      <c r="Z858" s="23">
        <f t="shared" si="103"/>
        <v>3.5119968309458294E-3</v>
      </c>
      <c r="AA858" s="36"/>
    </row>
    <row r="859" spans="15:27" ht="17.100000000000001" customHeight="1" x14ac:dyDescent="0.3">
      <c r="O859" s="12">
        <f t="shared" si="97"/>
        <v>70.5</v>
      </c>
      <c r="P859" s="13">
        <v>846</v>
      </c>
      <c r="Q859" s="22">
        <v>3.304580504632515E-2</v>
      </c>
      <c r="R859" s="19">
        <f t="shared" si="98"/>
        <v>3.3681114143490731E-2</v>
      </c>
      <c r="S859" s="22">
        <v>3.9615164603727493E-2</v>
      </c>
      <c r="T859" s="19">
        <f t="shared" si="99"/>
        <v>4.2971657064199809E-2</v>
      </c>
      <c r="U859" s="24">
        <v>4.1387642807924729E-2</v>
      </c>
      <c r="V859" s="24">
        <f t="shared" si="100"/>
        <v>4.2966929345342963E-2</v>
      </c>
      <c r="W859" s="23">
        <f t="shared" si="101"/>
        <v>3.5119181980471925E-3</v>
      </c>
      <c r="X859" s="24">
        <v>4.1028761579138928E-2</v>
      </c>
      <c r="Y859" s="24">
        <f t="shared" si="102"/>
        <v>4.2968200699984083E-2</v>
      </c>
      <c r="Z859" s="23">
        <f t="shared" si="103"/>
        <v>3.5120202345058082E-3</v>
      </c>
      <c r="AA859" s="36"/>
    </row>
    <row r="860" spans="15:27" ht="17.100000000000001" customHeight="1" x14ac:dyDescent="0.3">
      <c r="O860" s="12">
        <f t="shared" si="97"/>
        <v>70.583333333333329</v>
      </c>
      <c r="P860" s="13">
        <v>847</v>
      </c>
      <c r="Q860" s="22">
        <v>3.3046554885822754E-2</v>
      </c>
      <c r="R860" s="19">
        <f t="shared" si="98"/>
        <v>3.3684185707913095E-2</v>
      </c>
      <c r="S860" s="22">
        <v>3.9619121028875215E-2</v>
      </c>
      <c r="T860" s="19">
        <f t="shared" si="99"/>
        <v>4.2971938088497419E-2</v>
      </c>
      <c r="U860" s="24">
        <v>4.1389505962172279E-2</v>
      </c>
      <c r="V860" s="24">
        <f t="shared" si="100"/>
        <v>4.2967217293500282E-2</v>
      </c>
      <c r="W860" s="23">
        <f t="shared" si="101"/>
        <v>3.511941488713477E-3</v>
      </c>
      <c r="X860" s="24">
        <v>4.1031049226010863E-2</v>
      </c>
      <c r="Y860" s="24">
        <f t="shared" si="102"/>
        <v>4.296848734446379E-2</v>
      </c>
      <c r="Z860" s="23">
        <f t="shared" si="103"/>
        <v>3.512043426976863E-3</v>
      </c>
      <c r="AA860" s="36"/>
    </row>
    <row r="861" spans="15:27" ht="17.100000000000001" customHeight="1" x14ac:dyDescent="0.3">
      <c r="O861" s="12">
        <f t="shared" si="97"/>
        <v>70.666666666666671</v>
      </c>
      <c r="P861" s="13">
        <v>848</v>
      </c>
      <c r="Q861" s="22">
        <v>3.3047306577274949E-2</v>
      </c>
      <c r="R861" s="19">
        <f t="shared" si="98"/>
        <v>3.3687231611051915E-2</v>
      </c>
      <c r="S861" s="22">
        <v>3.9623068468167766E-2</v>
      </c>
      <c r="T861" s="19">
        <f t="shared" si="99"/>
        <v>4.297221632550996E-2</v>
      </c>
      <c r="U861" s="24">
        <v>4.1391365064558094E-2</v>
      </c>
      <c r="V861" s="24">
        <f t="shared" si="100"/>
        <v>4.2967502732157881E-2</v>
      </c>
      <c r="W861" s="23">
        <f t="shared" si="101"/>
        <v>3.5119645766441554E-3</v>
      </c>
      <c r="X861" s="24">
        <v>4.1033331819895658E-2</v>
      </c>
      <c r="Y861" s="24">
        <f t="shared" si="102"/>
        <v>4.2968771403894213E-2</v>
      </c>
      <c r="Z861" s="23">
        <f t="shared" si="103"/>
        <v>3.512066410351844E-3</v>
      </c>
      <c r="AA861" s="36"/>
    </row>
    <row r="862" spans="15:27" ht="17.100000000000001" customHeight="1" x14ac:dyDescent="0.3">
      <c r="O862" s="12">
        <f t="shared" si="97"/>
        <v>70.75</v>
      </c>
      <c r="P862" s="13">
        <v>849</v>
      </c>
      <c r="Q862" s="22">
        <v>3.3048060083926245E-2</v>
      </c>
      <c r="R862" s="19">
        <f t="shared" si="98"/>
        <v>3.3690252070098348E-2</v>
      </c>
      <c r="S862" s="22">
        <v>3.9627006950035515E-2</v>
      </c>
      <c r="T862" s="19">
        <f t="shared" si="99"/>
        <v>4.2972491803077384E-2</v>
      </c>
      <c r="U862" s="24">
        <v>4.1393220126438424E-2</v>
      </c>
      <c r="V862" s="24">
        <f t="shared" si="100"/>
        <v>4.2967785685801285E-2</v>
      </c>
      <c r="W862" s="23">
        <f t="shared" si="101"/>
        <v>3.5119874633551262E-3</v>
      </c>
      <c r="X862" s="24">
        <v>4.1035609375593474E-2</v>
      </c>
      <c r="Y862" s="24">
        <f t="shared" si="102"/>
        <v>4.2969052902313898E-2</v>
      </c>
      <c r="Z862" s="23">
        <f t="shared" si="103"/>
        <v>3.5120891864499626E-3</v>
      </c>
      <c r="AA862" s="36"/>
    </row>
    <row r="863" spans="15:27" ht="17.100000000000001" customHeight="1" x14ac:dyDescent="0.3">
      <c r="O863" s="12">
        <f t="shared" si="97"/>
        <v>70.833333333333329</v>
      </c>
      <c r="P863" s="13">
        <v>850</v>
      </c>
      <c r="Q863" s="22">
        <v>3.3048815369449702E-2</v>
      </c>
      <c r="R863" s="19">
        <f t="shared" si="98"/>
        <v>3.369324729758616E-2</v>
      </c>
      <c r="S863" s="22">
        <v>3.9630936502807801E-2</v>
      </c>
      <c r="T863" s="19">
        <f t="shared" si="99"/>
        <v>4.2972764549436882E-2</v>
      </c>
      <c r="U863" s="24">
        <v>4.1395071159144869E-2</v>
      </c>
      <c r="V863" s="24">
        <f t="shared" si="100"/>
        <v>4.2968066175679054E-2</v>
      </c>
      <c r="W863" s="23">
        <f t="shared" si="101"/>
        <v>3.51201015080993E-3</v>
      </c>
      <c r="X863" s="24">
        <v>4.1037881907863394E-2</v>
      </c>
      <c r="Y863" s="24">
        <f t="shared" si="102"/>
        <v>4.296933186329488E-2</v>
      </c>
      <c r="Z863" s="23">
        <f t="shared" si="103"/>
        <v>3.5121117571985661E-3</v>
      </c>
      <c r="AA863" s="36"/>
    </row>
    <row r="864" spans="15:27" ht="17.100000000000001" customHeight="1" x14ac:dyDescent="0.3">
      <c r="O864" s="12">
        <f t="shared" si="97"/>
        <v>70.916666666666671</v>
      </c>
      <c r="P864" s="13">
        <v>851</v>
      </c>
      <c r="Q864" s="22">
        <v>3.3049572397938931E-2</v>
      </c>
      <c r="R864" s="19">
        <f t="shared" si="98"/>
        <v>3.3696217506704151E-2</v>
      </c>
      <c r="S864" s="22">
        <v>3.9634857154714265E-2</v>
      </c>
      <c r="T864" s="19">
        <f t="shared" si="99"/>
        <v>4.2973034590110926E-2</v>
      </c>
      <c r="U864" s="24">
        <v>4.1396918173980612E-2</v>
      </c>
      <c r="V864" s="24">
        <f t="shared" si="100"/>
        <v>4.2968344221076205E-2</v>
      </c>
      <c r="W864" s="23">
        <f t="shared" si="101"/>
        <v>3.5120326407125368E-3</v>
      </c>
      <c r="X864" s="24">
        <v>4.1040149431422757E-2</v>
      </c>
      <c r="Y864" s="24">
        <f t="shared" si="102"/>
        <v>4.2969608308542018E-2</v>
      </c>
      <c r="Z864" s="23">
        <f t="shared" si="103"/>
        <v>3.5121341244881421E-3</v>
      </c>
      <c r="AA864" s="36"/>
    </row>
    <row r="865" spans="15:27" ht="17.100000000000001" customHeight="1" x14ac:dyDescent="0.3">
      <c r="O865" s="12">
        <f t="shared" si="97"/>
        <v>71</v>
      </c>
      <c r="P865" s="13">
        <v>852</v>
      </c>
      <c r="Q865" s="22">
        <v>3.3050331133906541E-2</v>
      </c>
      <c r="R865" s="19">
        <f t="shared" si="98"/>
        <v>3.3699162907049329E-2</v>
      </c>
      <c r="S865" s="22">
        <v>3.9638768933881963E-2</v>
      </c>
      <c r="T865" s="19">
        <f t="shared" si="99"/>
        <v>4.2973301953190157E-2</v>
      </c>
      <c r="U865" s="24">
        <v>4.1398761182218413E-2</v>
      </c>
      <c r="V865" s="24">
        <f t="shared" si="100"/>
        <v>4.2968619845926481E-2</v>
      </c>
      <c r="W865" s="23">
        <f t="shared" si="101"/>
        <v>3.5120549346092655E-3</v>
      </c>
      <c r="X865" s="24">
        <v>4.1042411960945158E-2</v>
      </c>
      <c r="Y865" s="24">
        <f t="shared" si="102"/>
        <v>4.2969882260890824E-2</v>
      </c>
      <c r="Z865" s="23">
        <f t="shared" si="103"/>
        <v>3.5121562900588543E-3</v>
      </c>
      <c r="AA865" s="36"/>
    </row>
    <row r="866" spans="15:27" ht="17.100000000000001" customHeight="1" x14ac:dyDescent="0.3">
      <c r="O866" s="12">
        <f t="shared" si="97"/>
        <v>71.083333333333329</v>
      </c>
      <c r="P866" s="13">
        <v>853</v>
      </c>
      <c r="Q866" s="22">
        <v>3.3051091542277033E-2</v>
      </c>
      <c r="R866" s="19">
        <f t="shared" si="98"/>
        <v>3.3702083707762842E-2</v>
      </c>
      <c r="S866" s="22">
        <v>3.9642671868339141E-2</v>
      </c>
      <c r="T866" s="19">
        <f t="shared" si="99"/>
        <v>4.2973566664626262E-2</v>
      </c>
      <c r="U866" s="24">
        <v>4.1400600195106163E-2</v>
      </c>
      <c r="V866" s="24">
        <f t="shared" si="100"/>
        <v>4.2968893069939229E-2</v>
      </c>
      <c r="W866" s="23">
        <f t="shared" si="101"/>
        <v>3.5120770344192476E-3</v>
      </c>
      <c r="X866" s="24">
        <v>4.1044669511062226E-2</v>
      </c>
      <c r="Y866" s="24">
        <f t="shared" si="102"/>
        <v>4.2970153743254302E-2</v>
      </c>
      <c r="Z866" s="23">
        <f t="shared" si="103"/>
        <v>3.5121782557419046E-3</v>
      </c>
      <c r="AA866" s="36"/>
    </row>
    <row r="867" spans="15:27" ht="17.100000000000001" customHeight="1" x14ac:dyDescent="0.3">
      <c r="O867" s="12">
        <f t="shared" si="97"/>
        <v>71.166666666666671</v>
      </c>
      <c r="P867" s="13">
        <v>854</v>
      </c>
      <c r="Q867" s="22">
        <v>3.3051853588384361E-2</v>
      </c>
      <c r="R867" s="19">
        <f t="shared" si="98"/>
        <v>3.3704980115173644E-2</v>
      </c>
      <c r="S867" s="22">
        <v>3.9646565986013016E-2</v>
      </c>
      <c r="T867" s="19">
        <f t="shared" si="99"/>
        <v>4.2973828751154519E-2</v>
      </c>
      <c r="U867" s="24">
        <v>4.1402435223862222E-2</v>
      </c>
      <c r="V867" s="24">
        <f t="shared" si="100"/>
        <v>4.2969163914575725E-2</v>
      </c>
      <c r="W867" s="23">
        <f t="shared" si="101"/>
        <v>3.5120989417229964E-3</v>
      </c>
      <c r="X867" s="24">
        <v>4.1046922096364069E-2</v>
      </c>
      <c r="Y867" s="24">
        <f t="shared" si="102"/>
        <v>4.2970422778450867E-2</v>
      </c>
      <c r="Z867" s="23">
        <f t="shared" si="103"/>
        <v>3.512200023374934E-3</v>
      </c>
      <c r="AA867" s="36"/>
    </row>
    <row r="868" spans="15:27" ht="17.100000000000001" customHeight="1" x14ac:dyDescent="0.3">
      <c r="O868" s="12">
        <f t="shared" si="97"/>
        <v>71.25</v>
      </c>
      <c r="P868" s="13">
        <v>855</v>
      </c>
      <c r="Q868" s="22">
        <v>3.3052617237965487E-2</v>
      </c>
      <c r="R868" s="19">
        <f t="shared" si="98"/>
        <v>3.3707852334255106E-2</v>
      </c>
      <c r="S868" s="22">
        <v>3.9650451314731772E-2</v>
      </c>
      <c r="T868" s="19">
        <f t="shared" si="99"/>
        <v>4.2974088238475705E-2</v>
      </c>
      <c r="U868" s="24">
        <v>4.1404266279677637E-2</v>
      </c>
      <c r="V868" s="24">
        <f t="shared" si="100"/>
        <v>4.2969432400491891E-2</v>
      </c>
      <c r="W868" s="23">
        <f t="shared" si="101"/>
        <v>3.5121206582413578E-3</v>
      </c>
      <c r="X868" s="24">
        <v>4.1049169731399049E-2</v>
      </c>
      <c r="Y868" s="24">
        <f t="shared" si="102"/>
        <v>4.2970689387685557E-2</v>
      </c>
      <c r="Z868" s="23">
        <f t="shared" si="103"/>
        <v>3.512221594787146E-3</v>
      </c>
      <c r="AA868" s="36"/>
    </row>
    <row r="869" spans="15:27" ht="17.100000000000001" customHeight="1" x14ac:dyDescent="0.3">
      <c r="O869" s="12">
        <f t="shared" si="97"/>
        <v>71.333333333333329</v>
      </c>
      <c r="P869" s="13">
        <v>856</v>
      </c>
      <c r="Q869" s="22">
        <v>3.3053382457157721E-2</v>
      </c>
      <c r="R869" s="19">
        <f t="shared" si="98"/>
        <v>3.3710700568865049E-2</v>
      </c>
      <c r="S869" s="22">
        <v>3.965432788222345E-2</v>
      </c>
      <c r="T869" s="19">
        <f t="shared" si="99"/>
        <v>4.2974345152457127E-2</v>
      </c>
      <c r="U869" s="24">
        <v>4.1406093373715036E-2</v>
      </c>
      <c r="V869" s="24">
        <f t="shared" si="100"/>
        <v>4.2969698547556723E-2</v>
      </c>
      <c r="W869" s="23">
        <f t="shared" si="101"/>
        <v>3.5121421856305624E-3</v>
      </c>
      <c r="X869" s="24">
        <v>4.1051412430672229E-2</v>
      </c>
      <c r="Y869" s="24">
        <f t="shared" si="102"/>
        <v>4.2970953592338379E-2</v>
      </c>
      <c r="Z869" s="23">
        <f t="shared" si="103"/>
        <v>3.5122429716791803E-3</v>
      </c>
      <c r="AA869" s="36"/>
    </row>
    <row r="870" spans="15:27" ht="17.100000000000001" customHeight="1" x14ac:dyDescent="0.3">
      <c r="O870" s="12">
        <f t="shared" si="97"/>
        <v>71.416666666666671</v>
      </c>
      <c r="P870" s="13">
        <v>857</v>
      </c>
      <c r="Q870" s="22">
        <v>3.3054149212493611E-2</v>
      </c>
      <c r="R870" s="19">
        <f t="shared" si="98"/>
        <v>3.3713525019432922E-2</v>
      </c>
      <c r="S870" s="22">
        <v>3.9658195716117062E-2</v>
      </c>
      <c r="T870" s="19">
        <f t="shared" si="99"/>
        <v>4.2974599518541989E-2</v>
      </c>
      <c r="U870" s="24">
        <v>4.1407916517108401E-2</v>
      </c>
      <c r="V870" s="24">
        <f t="shared" si="100"/>
        <v>4.2969962377383375E-2</v>
      </c>
      <c r="W870" s="23">
        <f t="shared" si="101"/>
        <v>3.5121635254842243E-3</v>
      </c>
      <c r="X870" s="24">
        <v>4.1053650208646042E-2</v>
      </c>
      <c r="Y870" s="24">
        <f t="shared" si="102"/>
        <v>4.297121541642257E-2</v>
      </c>
      <c r="Z870" s="23">
        <f t="shared" si="103"/>
        <v>3.5122641557654433E-3</v>
      </c>
      <c r="AA870" s="36"/>
    </row>
    <row r="871" spans="15:27" ht="17.100000000000001" customHeight="1" x14ac:dyDescent="0.3">
      <c r="O871" s="12">
        <f t="shared" si="97"/>
        <v>71.5</v>
      </c>
      <c r="P871" s="13">
        <v>858</v>
      </c>
      <c r="Q871" s="22">
        <v>3.3054917470895617E-2</v>
      </c>
      <c r="R871" s="19">
        <f t="shared" si="98"/>
        <v>3.3716325886476106E-2</v>
      </c>
      <c r="S871" s="22">
        <v>3.9662054843942585E-2</v>
      </c>
      <c r="T871" s="19">
        <f t="shared" si="99"/>
        <v>4.2974851362616917E-2</v>
      </c>
      <c r="U871" s="24">
        <v>4.1409735720964846E-2</v>
      </c>
      <c r="V871" s="24">
        <f t="shared" si="100"/>
        <v>4.2970223909396754E-2</v>
      </c>
      <c r="W871" s="23">
        <f t="shared" si="101"/>
        <v>3.5121846795351797E-3</v>
      </c>
      <c r="X871" s="24">
        <v>4.1055883079743394E-2</v>
      </c>
      <c r="Y871" s="24">
        <f t="shared" si="102"/>
        <v>4.2971474879100358E-2</v>
      </c>
      <c r="Z871" s="23">
        <f t="shared" si="103"/>
        <v>3.5122851489715057E-3</v>
      </c>
      <c r="AA871" s="36"/>
    </row>
    <row r="872" spans="15:27" ht="17.100000000000001" customHeight="1" x14ac:dyDescent="0.3">
      <c r="O872" s="12">
        <f t="shared" si="97"/>
        <v>71.583333333333329</v>
      </c>
      <c r="P872" s="13">
        <v>859</v>
      </c>
      <c r="Q872" s="22">
        <v>3.3055687199673889E-2</v>
      </c>
      <c r="R872" s="19">
        <f t="shared" si="98"/>
        <v>3.3719103368702985E-2</v>
      </c>
      <c r="S872" s="22">
        <v>3.9665905293131853E-2</v>
      </c>
      <c r="T872" s="19">
        <f t="shared" si="99"/>
        <v>4.2975100708828595E-2</v>
      </c>
      <c r="U872" s="24">
        <v>4.1411550996362401E-2</v>
      </c>
      <c r="V872" s="24">
        <f t="shared" si="100"/>
        <v>4.2970483163333517E-2</v>
      </c>
      <c r="W872" s="23">
        <f t="shared" si="101"/>
        <v>3.5122056493410714E-3</v>
      </c>
      <c r="X872" s="24">
        <v>4.1058111058342561E-2</v>
      </c>
      <c r="Y872" s="24">
        <f t="shared" si="102"/>
        <v>4.2971732002095697E-2</v>
      </c>
      <c r="Z872" s="23">
        <f t="shared" si="103"/>
        <v>3.5123059528339162E-3</v>
      </c>
      <c r="AA872" s="36"/>
    </row>
    <row r="873" spans="15:27" ht="17.100000000000001" customHeight="1" x14ac:dyDescent="0.3">
      <c r="O873" s="12">
        <f t="shared" si="97"/>
        <v>71.666666666666671</v>
      </c>
      <c r="P873" s="13">
        <v>860</v>
      </c>
      <c r="Q873" s="22">
        <v>3.3056458366521158E-2</v>
      </c>
      <c r="R873" s="19">
        <f t="shared" si="98"/>
        <v>3.3721857661271448E-2</v>
      </c>
      <c r="S873" s="22">
        <v>3.9669747091017449E-2</v>
      </c>
      <c r="T873" s="19">
        <f t="shared" si="99"/>
        <v>4.2975347582031809E-2</v>
      </c>
      <c r="U873" s="24">
        <v>4.1413362354350447E-2</v>
      </c>
      <c r="V873" s="24">
        <f t="shared" si="100"/>
        <v>4.2970740159852472E-2</v>
      </c>
      <c r="W873" s="23">
        <f t="shared" si="101"/>
        <v>3.5122264364844114E-3</v>
      </c>
      <c r="X873" s="24">
        <v>4.1060334158780076E-2</v>
      </c>
      <c r="Y873" s="24">
        <f t="shared" si="102"/>
        <v>4.2971986807605944E-2</v>
      </c>
      <c r="Z873" s="23">
        <f t="shared" si="103"/>
        <v>3.5123265690943928E-3</v>
      </c>
      <c r="AA873" s="36"/>
    </row>
    <row r="874" spans="15:27" ht="17.100000000000001" customHeight="1" x14ac:dyDescent="0.3">
      <c r="O874" s="12">
        <f t="shared" si="97"/>
        <v>71.75</v>
      </c>
      <c r="P874" s="13">
        <v>861</v>
      </c>
      <c r="Q874" s="22">
        <v>3.3057230939507409E-2</v>
      </c>
      <c r="R874" s="19">
        <f t="shared" si="98"/>
        <v>3.3724588959586743E-2</v>
      </c>
      <c r="S874" s="22">
        <v>3.9673580264833808E-2</v>
      </c>
      <c r="T874" s="19">
        <f t="shared" si="99"/>
        <v>4.2975592007856944E-2</v>
      </c>
      <c r="U874" s="24">
        <v>4.1415169805951058E-2</v>
      </c>
      <c r="V874" s="24">
        <f t="shared" si="100"/>
        <v>4.2970994917870708E-2</v>
      </c>
      <c r="W874" s="23">
        <f t="shared" si="101"/>
        <v>3.5122470426220964E-3</v>
      </c>
      <c r="X874" s="24">
        <v>4.1062552395351393E-2</v>
      </c>
      <c r="Y874" s="24">
        <f t="shared" si="102"/>
        <v>4.2972239314989835E-2</v>
      </c>
      <c r="Z874" s="23">
        <f t="shared" si="103"/>
        <v>3.512346999533289E-3</v>
      </c>
      <c r="AA874" s="36"/>
    </row>
    <row r="875" spans="15:27" ht="17.100000000000001" customHeight="1" x14ac:dyDescent="0.3">
      <c r="O875" s="12">
        <f t="shared" si="97"/>
        <v>71.833333333333329</v>
      </c>
      <c r="P875" s="13">
        <v>862</v>
      </c>
      <c r="Q875" s="22">
        <v>3.3058004887077219E-2</v>
      </c>
      <c r="R875" s="19">
        <f t="shared" si="98"/>
        <v>3.3727297457118111E-2</v>
      </c>
      <c r="S875" s="22">
        <v>3.9677404841718777E-2</v>
      </c>
      <c r="T875" s="19">
        <f t="shared" si="99"/>
        <v>4.2975834009381764E-2</v>
      </c>
      <c r="U875" s="24">
        <v>4.1416973362157217E-2</v>
      </c>
      <c r="V875" s="24">
        <f t="shared" si="100"/>
        <v>4.2971247457473494E-2</v>
      </c>
      <c r="W875" s="23">
        <f t="shared" si="101"/>
        <v>3.5122674692709133E-3</v>
      </c>
      <c r="X875" s="24">
        <v>4.1064765782308665E-2</v>
      </c>
      <c r="Y875" s="24">
        <f t="shared" si="102"/>
        <v>4.2972489546542647E-2</v>
      </c>
      <c r="Z875" s="23">
        <f t="shared" si="103"/>
        <v>3.5123672457024746E-3</v>
      </c>
      <c r="AA875" s="36"/>
    </row>
    <row r="876" spans="15:27" ht="17.100000000000001" customHeight="1" x14ac:dyDescent="0.3">
      <c r="O876" s="12">
        <f t="shared" si="97"/>
        <v>71.916666666666671</v>
      </c>
      <c r="P876" s="13">
        <v>863</v>
      </c>
      <c r="Q876" s="22">
        <v>3.3058780178045533E-2</v>
      </c>
      <c r="R876" s="19">
        <f t="shared" si="98"/>
        <v>3.3729983344461534E-2</v>
      </c>
      <c r="S876" s="22">
        <v>3.9681220848711396E-2</v>
      </c>
      <c r="T876" s="19">
        <f t="shared" si="99"/>
        <v>4.297607361065392E-2</v>
      </c>
      <c r="U876" s="24">
        <v>4.1418773033933931E-2</v>
      </c>
      <c r="V876" s="24">
        <f t="shared" si="100"/>
        <v>4.2971497797447356E-2</v>
      </c>
      <c r="W876" s="23">
        <f t="shared" si="101"/>
        <v>3.5122877180411294E-3</v>
      </c>
      <c r="X876" s="24">
        <v>4.1066974333863193E-2</v>
      </c>
      <c r="Y876" s="24">
        <f t="shared" si="102"/>
        <v>4.2972737521467685E-2</v>
      </c>
      <c r="Z876" s="23">
        <f t="shared" si="103"/>
        <v>3.5123873093902969E-3</v>
      </c>
      <c r="AA876" s="36"/>
    </row>
    <row r="877" spans="15:27" ht="17.100000000000001" customHeight="1" x14ac:dyDescent="0.3">
      <c r="O877" s="12">
        <f t="shared" si="97"/>
        <v>72</v>
      </c>
      <c r="P877" s="13">
        <v>864</v>
      </c>
      <c r="Q877" s="22">
        <v>3.3059556781592558E-2</v>
      </c>
      <c r="R877" s="19">
        <f t="shared" si="98"/>
        <v>3.373264681206023E-2</v>
      </c>
      <c r="S877" s="22">
        <v>3.9685028312753445E-2</v>
      </c>
      <c r="T877" s="19">
        <f t="shared" si="99"/>
        <v>4.2976310836653875E-2</v>
      </c>
      <c r="U877" s="24">
        <v>4.1420568832217564E-2</v>
      </c>
      <c r="V877" s="24">
        <f t="shared" si="100"/>
        <v>4.2971745957545382E-2</v>
      </c>
      <c r="W877" s="23">
        <f t="shared" si="101"/>
        <v>3.5123077904395394E-3</v>
      </c>
      <c r="X877" s="24">
        <v>4.1069178064183198E-2</v>
      </c>
      <c r="Y877" s="24">
        <f t="shared" si="102"/>
        <v>4.2972983260650688E-2</v>
      </c>
      <c r="Z877" s="23">
        <f t="shared" si="103"/>
        <v>3.512407192135969E-3</v>
      </c>
      <c r="AA877" s="36"/>
    </row>
    <row r="878" spans="15:27" ht="17.100000000000001" customHeight="1" x14ac:dyDescent="0.3">
      <c r="O878" s="12">
        <f t="shared" si="97"/>
        <v>72.083333333333329</v>
      </c>
      <c r="P878" s="13">
        <v>865</v>
      </c>
      <c r="Q878" s="22">
        <v>3.3060334667260882E-2</v>
      </c>
      <c r="R878" s="19">
        <f t="shared" si="98"/>
        <v>3.3735288047813228E-2</v>
      </c>
      <c r="S878" s="22">
        <v>3.9688827260690784E-2</v>
      </c>
      <c r="T878" s="19">
        <f t="shared" si="99"/>
        <v>4.2976545709578096E-2</v>
      </c>
      <c r="U878" s="24">
        <v>4.14223607679165E-2</v>
      </c>
      <c r="V878" s="24">
        <f t="shared" si="100"/>
        <v>4.2971991956214595E-2</v>
      </c>
      <c r="W878" s="23">
        <f t="shared" si="101"/>
        <v>3.5123276880497656E-3</v>
      </c>
      <c r="X878" s="24">
        <v>4.1071376987395158E-2</v>
      </c>
      <c r="Y878" s="24">
        <f t="shared" si="102"/>
        <v>4.2973226784624119E-2</v>
      </c>
      <c r="Z878" s="23">
        <f t="shared" si="103"/>
        <v>3.5124268956145954E-3</v>
      </c>
      <c r="AA878" s="36"/>
    </row>
    <row r="879" spans="15:27" ht="17.100000000000001" customHeight="1" x14ac:dyDescent="0.3">
      <c r="O879" s="12">
        <f t="shared" si="97"/>
        <v>72.166666666666671</v>
      </c>
      <c r="P879" s="13">
        <v>866</v>
      </c>
      <c r="Q879" s="22">
        <v>3.3061113804950804E-2</v>
      </c>
      <c r="R879" s="19">
        <f t="shared" si="98"/>
        <v>3.3737907238518217E-2</v>
      </c>
      <c r="S879" s="22">
        <v>3.969261771927135E-2</v>
      </c>
      <c r="T879" s="19">
        <f t="shared" si="99"/>
        <v>4.2976778253730918E-2</v>
      </c>
      <c r="U879" s="24">
        <v>4.1424148851910036E-2</v>
      </c>
      <c r="V879" s="24">
        <f t="shared" si="100"/>
        <v>4.2972235812494652E-2</v>
      </c>
      <c r="W879" s="23">
        <f t="shared" si="101"/>
        <v>3.512347412351291E-3</v>
      </c>
      <c r="X879" s="24">
        <v>4.1073571117584473E-2</v>
      </c>
      <c r="Y879" s="24">
        <f t="shared" si="102"/>
        <v>4.2973468112883273E-2</v>
      </c>
      <c r="Z879" s="23">
        <f t="shared" si="103"/>
        <v>3.5124464214724149E-3</v>
      </c>
      <c r="AA879" s="36"/>
    </row>
    <row r="880" spans="15:27" ht="17.100000000000001" customHeight="1" x14ac:dyDescent="0.3">
      <c r="O880" s="12">
        <f t="shared" si="97"/>
        <v>72.25</v>
      </c>
      <c r="P880" s="13">
        <v>867</v>
      </c>
      <c r="Q880" s="22">
        <v>3.3061894164917005E-2</v>
      </c>
      <c r="R880" s="19">
        <f t="shared" si="98"/>
        <v>3.3740504569773844E-2</v>
      </c>
      <c r="S880" s="22">
        <v>3.9696399715147601E-2</v>
      </c>
      <c r="T880" s="19">
        <f t="shared" si="99"/>
        <v>4.2977008491709823E-2</v>
      </c>
      <c r="U880" s="24">
        <v>4.1425933095049272E-2</v>
      </c>
      <c r="V880" s="24">
        <f t="shared" si="100"/>
        <v>4.297247754573652E-2</v>
      </c>
      <c r="W880" s="23">
        <f t="shared" si="101"/>
        <v>3.5123669648708944E-3</v>
      </c>
      <c r="X880" s="24">
        <v>4.1075760468793465E-2</v>
      </c>
      <c r="Y880" s="24">
        <f t="shared" si="102"/>
        <v>4.2973707265654637E-2</v>
      </c>
      <c r="Z880" s="23">
        <f t="shared" si="103"/>
        <v>3.5124657712728435E-3</v>
      </c>
      <c r="AA880" s="36"/>
    </row>
    <row r="881" spans="15:27" ht="17.100000000000001" customHeight="1" x14ac:dyDescent="0.3">
      <c r="O881" s="12">
        <f t="shared" si="97"/>
        <v>72.333333333333329</v>
      </c>
      <c r="P881" s="13">
        <v>868</v>
      </c>
      <c r="Q881" s="22">
        <v>3.3062675717765E-2</v>
      </c>
      <c r="R881" s="19">
        <f t="shared" si="98"/>
        <v>3.3743080223755939E-2</v>
      </c>
      <c r="S881" s="22">
        <v>3.9700173274875405E-2</v>
      </c>
      <c r="T881" s="19">
        <f t="shared" si="99"/>
        <v>4.2977236446454681E-2</v>
      </c>
      <c r="U881" s="24">
        <v>4.1427713508157549E-2</v>
      </c>
      <c r="V881" s="24">
        <f t="shared" si="100"/>
        <v>4.2972717172816921E-2</v>
      </c>
      <c r="W881" s="23">
        <f t="shared" si="101"/>
        <v>3.5123863471597794E-3</v>
      </c>
      <c r="X881" s="24">
        <v>4.1077945055023601E-2</v>
      </c>
      <c r="Y881" s="24">
        <f t="shared" si="102"/>
        <v>4.2973944261713193E-2</v>
      </c>
      <c r="Z881" s="23">
        <f t="shared" si="103"/>
        <v>3.5124849466379171E-3</v>
      </c>
      <c r="AA881" s="36"/>
    </row>
    <row r="882" spans="15:27" ht="17.100000000000001" customHeight="1" x14ac:dyDescent="0.3">
      <c r="O882" s="12">
        <f t="shared" si="97"/>
        <v>72.416666666666671</v>
      </c>
      <c r="P882" s="13">
        <v>869</v>
      </c>
      <c r="Q882" s="22">
        <v>3.3063458434445137E-2</v>
      </c>
      <c r="R882" s="19">
        <f t="shared" si="98"/>
        <v>3.3745634383025358E-2</v>
      </c>
      <c r="S882" s="22">
        <v>3.9703938424914709E-2</v>
      </c>
      <c r="T882" s="19">
        <f t="shared" si="99"/>
        <v>4.2977462140828981E-2</v>
      </c>
      <c r="U882" s="24">
        <v>4.142949010202801E-2</v>
      </c>
      <c r="V882" s="24">
        <f t="shared" si="100"/>
        <v>4.297295471365592E-2</v>
      </c>
      <c r="W882" s="23">
        <f t="shared" si="101"/>
        <v>3.5124055605717519E-3</v>
      </c>
      <c r="X882" s="24">
        <v>4.1080124890233272E-2</v>
      </c>
      <c r="Y882" s="24">
        <f t="shared" si="102"/>
        <v>4.2974179121522571E-2</v>
      </c>
      <c r="Z882" s="23">
        <f t="shared" si="103"/>
        <v>3.512503949072654E-3</v>
      </c>
      <c r="AA882" s="36"/>
    </row>
    <row r="883" spans="15:27" ht="17.100000000000001" customHeight="1" x14ac:dyDescent="0.3">
      <c r="O883" s="12">
        <f t="shared" si="97"/>
        <v>72.5</v>
      </c>
      <c r="P883" s="13">
        <v>870</v>
      </c>
      <c r="Q883" s="22">
        <v>3.3064242286251488E-2</v>
      </c>
      <c r="R883" s="19">
        <f t="shared" si="98"/>
        <v>3.3748167228606185E-2</v>
      </c>
      <c r="S883" s="22">
        <v>3.9707695191630199E-2</v>
      </c>
      <c r="T883" s="19">
        <f t="shared" si="99"/>
        <v>4.2977685597401338E-2</v>
      </c>
      <c r="U883" s="24">
        <v>4.1431262887426712E-2</v>
      </c>
      <c r="V883" s="24">
        <f t="shared" si="100"/>
        <v>4.2973190185709997E-2</v>
      </c>
      <c r="W883" s="23">
        <f t="shared" si="101"/>
        <v>3.5124246067037568E-3</v>
      </c>
      <c r="X883" s="24">
        <v>4.108229998834001E-2</v>
      </c>
      <c r="Y883" s="24">
        <f t="shared" si="102"/>
        <v>4.2974411863569761E-2</v>
      </c>
      <c r="Z883" s="23">
        <f t="shared" si="103"/>
        <v>3.5125227802184078E-3</v>
      </c>
      <c r="AA883" s="36"/>
    </row>
    <row r="884" spans="15:27" ht="17.100000000000001" customHeight="1" x14ac:dyDescent="0.3">
      <c r="O884" s="12">
        <f t="shared" si="97"/>
        <v>72.583333333333329</v>
      </c>
      <c r="P884" s="13">
        <v>871</v>
      </c>
      <c r="Q884" s="22">
        <v>3.3065027244817191E-2</v>
      </c>
      <c r="R884" s="19">
        <f t="shared" si="98"/>
        <v>3.3750678938564871E-2</v>
      </c>
      <c r="S884" s="22">
        <v>3.9711443601291752E-2</v>
      </c>
      <c r="T884" s="19">
        <f t="shared" si="99"/>
        <v>4.2977906837218915E-2</v>
      </c>
      <c r="U884" s="24">
        <v>4.143303187509062E-2</v>
      </c>
      <c r="V884" s="24">
        <f t="shared" si="100"/>
        <v>4.2973423607264749E-2</v>
      </c>
      <c r="W884" s="23">
        <f t="shared" si="101"/>
        <v>3.5124434869560073E-3</v>
      </c>
      <c r="X884" s="24">
        <v>4.1084470363219161E-2</v>
      </c>
      <c r="Y884" s="24">
        <f t="shared" si="102"/>
        <v>4.2974642507662475E-2</v>
      </c>
      <c r="Z884" s="23">
        <f t="shared" si="103"/>
        <v>3.5125414415571043E-3</v>
      </c>
      <c r="AA884" s="36"/>
    </row>
    <row r="885" spans="15:27" ht="17.100000000000001" customHeight="1" x14ac:dyDescent="0.3">
      <c r="O885" s="12">
        <f t="shared" si="97"/>
        <v>72.666666666666671</v>
      </c>
      <c r="P885" s="13">
        <v>872</v>
      </c>
      <c r="Q885" s="22">
        <v>3.3065813282110224E-2</v>
      </c>
      <c r="R885" s="19">
        <f t="shared" si="98"/>
        <v>3.375316968999531E-2</v>
      </c>
      <c r="S885" s="22">
        <v>3.9715183680072652E-2</v>
      </c>
      <c r="T885" s="19">
        <f t="shared" si="99"/>
        <v>4.2978125884125751E-2</v>
      </c>
      <c r="U885" s="24">
        <v>4.143479707572828E-2</v>
      </c>
      <c r="V885" s="24">
        <f t="shared" si="100"/>
        <v>4.2973654996002253E-2</v>
      </c>
      <c r="W885" s="23">
        <f t="shared" si="101"/>
        <v>3.5124622027942198E-3</v>
      </c>
      <c r="X885" s="24">
        <v>4.1086636028704548E-2</v>
      </c>
      <c r="Y885" s="24">
        <f t="shared" si="102"/>
        <v>4.2974871072229304E-2</v>
      </c>
      <c r="Z885" s="23">
        <f t="shared" si="103"/>
        <v>3.5125599346776948E-3</v>
      </c>
      <c r="AA885" s="36"/>
    </row>
    <row r="886" spans="15:27" ht="17.100000000000001" customHeight="1" x14ac:dyDescent="0.3">
      <c r="O886" s="12">
        <f t="shared" si="97"/>
        <v>72.75</v>
      </c>
      <c r="P886" s="13">
        <v>873</v>
      </c>
      <c r="Q886" s="22">
        <v>3.3066600370429411E-2</v>
      </c>
      <c r="R886" s="19">
        <f t="shared" si="98"/>
        <v>3.3755639659945658E-2</v>
      </c>
      <c r="S886" s="22">
        <v>3.9718915454053816E-2</v>
      </c>
      <c r="T886" s="19">
        <f t="shared" si="99"/>
        <v>4.2978342758591248E-2</v>
      </c>
      <c r="U886" s="24">
        <v>4.1436558500019371E-2</v>
      </c>
      <c r="V886" s="24">
        <f t="shared" si="100"/>
        <v>4.2973884369556403E-2</v>
      </c>
      <c r="W886" s="23">
        <f t="shared" si="101"/>
        <v>3.5124807556365933E-3</v>
      </c>
      <c r="X886" s="24">
        <v>4.1088796998588251E-2</v>
      </c>
      <c r="Y886" s="24">
        <f t="shared" si="102"/>
        <v>4.2975097576164245E-2</v>
      </c>
      <c r="Z886" s="23">
        <f t="shared" si="103"/>
        <v>3.5125782610572198E-3</v>
      </c>
      <c r="AA886" s="36"/>
    </row>
    <row r="887" spans="15:27" ht="17.100000000000001" customHeight="1" x14ac:dyDescent="0.3">
      <c r="O887" s="12">
        <f t="shared" si="97"/>
        <v>72.833333333333329</v>
      </c>
      <c r="P887" s="13">
        <v>874</v>
      </c>
      <c r="Q887" s="22">
        <v>3.3067388482403315E-2</v>
      </c>
      <c r="R887" s="19">
        <f t="shared" si="98"/>
        <v>3.3758089021441062E-2</v>
      </c>
      <c r="S887" s="22">
        <v>3.9722638949220235E-2</v>
      </c>
      <c r="T887" s="19">
        <f t="shared" si="99"/>
        <v>4.2978557482367119E-2</v>
      </c>
      <c r="U887" s="24">
        <v>4.1438316158615152E-2</v>
      </c>
      <c r="V887" s="24">
        <f t="shared" si="100"/>
        <v>4.2974111745691657E-2</v>
      </c>
      <c r="W887" s="23">
        <f t="shared" si="101"/>
        <v>3.5124991468968858E-3</v>
      </c>
      <c r="X887" s="24">
        <v>4.1090953286620602E-2</v>
      </c>
      <c r="Y887" s="24">
        <f t="shared" si="102"/>
        <v>4.2975322038156349E-2</v>
      </c>
      <c r="Z887" s="23">
        <f t="shared" si="103"/>
        <v>3.5125964222111339E-3</v>
      </c>
      <c r="AA887" s="36"/>
    </row>
    <row r="888" spans="15:27" ht="17.100000000000001" customHeight="1" x14ac:dyDescent="0.3">
      <c r="O888" s="12">
        <f t="shared" si="97"/>
        <v>72.916666666666671</v>
      </c>
      <c r="P888" s="13">
        <v>875</v>
      </c>
      <c r="Q888" s="22">
        <v>3.3068177590982906E-2</v>
      </c>
      <c r="R888" s="19">
        <f t="shared" si="98"/>
        <v>3.3760517947627022E-2</v>
      </c>
      <c r="S888" s="22">
        <v>3.9726354191462976E-2</v>
      </c>
      <c r="T888" s="19">
        <f t="shared" si="99"/>
        <v>4.2978770077180872E-2</v>
      </c>
      <c r="U888" s="24">
        <v>4.1440070062138012E-2</v>
      </c>
      <c r="V888" s="24">
        <f t="shared" si="100"/>
        <v>4.2974337141906016E-2</v>
      </c>
      <c r="W888" s="23">
        <f t="shared" si="101"/>
        <v>3.5125173779999574E-3</v>
      </c>
      <c r="X888" s="24">
        <v>4.1093104906510414E-2</v>
      </c>
      <c r="Y888" s="24">
        <f t="shared" si="102"/>
        <v>4.297554447638996E-2</v>
      </c>
      <c r="Z888" s="23">
        <f t="shared" si="103"/>
        <v>3.512614419637794E-3</v>
      </c>
      <c r="AA888" s="36"/>
    </row>
    <row r="889" spans="15:27" ht="17.100000000000001" customHeight="1" x14ac:dyDescent="0.3">
      <c r="O889" s="12">
        <f t="shared" si="97"/>
        <v>73</v>
      </c>
      <c r="P889" s="13">
        <v>876</v>
      </c>
      <c r="Q889" s="22">
        <v>3.3068967669440674E-2</v>
      </c>
      <c r="R889" s="19">
        <f t="shared" si="98"/>
        <v>3.3762926610423127E-2</v>
      </c>
      <c r="S889" s="22">
        <v>3.973006120658007E-2</v>
      </c>
      <c r="T889" s="19">
        <f t="shared" si="99"/>
        <v>4.2978980563282754E-2</v>
      </c>
      <c r="U889" s="24">
        <v>4.1441820221182146E-2</v>
      </c>
      <c r="V889" s="24">
        <f t="shared" si="100"/>
        <v>4.2974560575124832E-2</v>
      </c>
      <c r="W889" s="23">
        <f t="shared" si="101"/>
        <v>3.512535450348464E-3</v>
      </c>
      <c r="X889" s="24">
        <v>4.1095251871924754E-2</v>
      </c>
      <c r="Y889" s="24">
        <f t="shared" si="102"/>
        <v>4.2975764909251035E-2</v>
      </c>
      <c r="Z889" s="23">
        <f t="shared" si="103"/>
        <v>3.512632254795367E-3</v>
      </c>
      <c r="AA889" s="36"/>
    </row>
    <row r="890" spans="15:27" ht="17.100000000000001" customHeight="1" x14ac:dyDescent="0.3">
      <c r="O890" s="12">
        <f t="shared" si="97"/>
        <v>73.083333333333329</v>
      </c>
      <c r="P890" s="13">
        <v>877</v>
      </c>
      <c r="Q890" s="22">
        <v>3.3069758691366857E-2</v>
      </c>
      <c r="R890" s="19">
        <f t="shared" si="98"/>
        <v>3.3765315179359101E-2</v>
      </c>
      <c r="S890" s="22">
        <v>3.9733760020274733E-2</v>
      </c>
      <c r="T890" s="19">
        <f t="shared" si="99"/>
        <v>4.2979188962858128E-2</v>
      </c>
      <c r="U890" s="24">
        <v>4.1443566646312657E-2</v>
      </c>
      <c r="V890" s="24">
        <f t="shared" si="100"/>
        <v>4.2974782062735972E-2</v>
      </c>
      <c r="W890" s="23">
        <f t="shared" si="101"/>
        <v>3.5125533652997643E-3</v>
      </c>
      <c r="X890" s="24">
        <v>4.1097394196489168E-2</v>
      </c>
      <c r="Y890" s="24">
        <f t="shared" si="102"/>
        <v>4.297598335500008E-2</v>
      </c>
      <c r="Z890" s="23">
        <f t="shared" si="103"/>
        <v>3.5126499291582292E-3</v>
      </c>
      <c r="AA890" s="36"/>
    </row>
    <row r="891" spans="15:27" ht="17.100000000000001" customHeight="1" x14ac:dyDescent="0.3">
      <c r="O891" s="12">
        <f t="shared" si="97"/>
        <v>73.166666666666671</v>
      </c>
      <c r="P891" s="13">
        <v>878</v>
      </c>
      <c r="Q891" s="22">
        <v>3.3070550630664775E-2</v>
      </c>
      <c r="R891" s="19">
        <f t="shared" si="98"/>
        <v>3.3767683823472838E-2</v>
      </c>
      <c r="S891" s="22">
        <v>3.9737450658158702E-2</v>
      </c>
      <c r="T891" s="19">
        <f t="shared" si="99"/>
        <v>4.2979395295276612E-2</v>
      </c>
      <c r="U891" s="24">
        <v>4.144530934806645E-2</v>
      </c>
      <c r="V891" s="24">
        <f t="shared" si="100"/>
        <v>4.2975001621547548E-2</v>
      </c>
      <c r="W891" s="23">
        <f t="shared" si="101"/>
        <v>3.5125711242480762E-3</v>
      </c>
      <c r="X891" s="24">
        <v>4.1099531893788344E-2</v>
      </c>
      <c r="Y891" s="24">
        <f t="shared" si="102"/>
        <v>4.2976199831080031E-2</v>
      </c>
      <c r="Z891" s="23">
        <f t="shared" si="103"/>
        <v>3.5126674441905426E-3</v>
      </c>
      <c r="AA891" s="36"/>
    </row>
    <row r="892" spans="15:27" ht="17.100000000000001" customHeight="1" x14ac:dyDescent="0.3">
      <c r="O892" s="12">
        <f t="shared" si="97"/>
        <v>73.25</v>
      </c>
      <c r="P892" s="13">
        <v>879</v>
      </c>
      <c r="Q892" s="22">
        <v>3.3071343461549274E-2</v>
      </c>
      <c r="R892" s="19">
        <f t="shared" si="98"/>
        <v>3.3770032708475339E-2</v>
      </c>
      <c r="S892" s="22">
        <v>3.9741133145748897E-2</v>
      </c>
      <c r="T892" s="19">
        <f t="shared" si="99"/>
        <v>4.2979599581892014E-2</v>
      </c>
      <c r="U892" s="24">
        <v>4.144704833695112E-2</v>
      </c>
      <c r="V892" s="24">
        <f t="shared" si="100"/>
        <v>4.2975219267711084E-2</v>
      </c>
      <c r="W892" s="23">
        <f t="shared" si="101"/>
        <v>3.5125887285414326E-3</v>
      </c>
      <c r="X892" s="24">
        <v>4.110166497736456E-2</v>
      </c>
      <c r="Y892" s="24">
        <f t="shared" si="102"/>
        <v>4.2976414355234249E-2</v>
      </c>
      <c r="Z892" s="23">
        <f t="shared" si="103"/>
        <v>3.5126848012911882E-3</v>
      </c>
      <c r="AA892" s="36"/>
    </row>
    <row r="893" spans="15:27" ht="17.100000000000001" customHeight="1" x14ac:dyDescent="0.3">
      <c r="O893" s="12">
        <f t="shared" si="97"/>
        <v>73.333333333333329</v>
      </c>
      <c r="P893" s="13">
        <v>880</v>
      </c>
      <c r="Q893" s="22">
        <v>3.3072137158540293E-2</v>
      </c>
      <c r="R893" s="19">
        <f t="shared" si="98"/>
        <v>3.3772362001278866E-2</v>
      </c>
      <c r="S893" s="22">
        <v>3.9744807508471203E-2</v>
      </c>
      <c r="T893" s="19">
        <f t="shared" si="99"/>
        <v>4.2979801843078258E-2</v>
      </c>
      <c r="U893" s="24">
        <v>4.1448783623445618E-2</v>
      </c>
      <c r="V893" s="24">
        <f t="shared" si="100"/>
        <v>4.2975435019324548E-2</v>
      </c>
      <c r="W893" s="23">
        <f t="shared" si="101"/>
        <v>3.5126061794745755E-3</v>
      </c>
      <c r="X893" s="24">
        <v>4.1103793460718796E-2</v>
      </c>
      <c r="Y893" s="24">
        <f t="shared" si="102"/>
        <v>4.2976626946358509E-2</v>
      </c>
      <c r="Z893" s="23">
        <f t="shared" si="103"/>
        <v>3.5127020018825839E-3</v>
      </c>
      <c r="AA893" s="36"/>
    </row>
    <row r="894" spans="15:27" ht="17.100000000000001" customHeight="1" x14ac:dyDescent="0.3">
      <c r="O894" s="12">
        <f t="shared" si="97"/>
        <v>73.416666666666671</v>
      </c>
      <c r="P894" s="13">
        <v>881</v>
      </c>
      <c r="Q894" s="22">
        <v>3.3072931696463082E-2</v>
      </c>
      <c r="R894" s="19">
        <f t="shared" si="98"/>
        <v>3.377467186615779E-2</v>
      </c>
      <c r="S894" s="22">
        <v>3.9748473771658688E-2</v>
      </c>
      <c r="T894" s="19">
        <f t="shared" si="99"/>
        <v>4.2980002098071957E-2</v>
      </c>
      <c r="U894" s="24">
        <v>4.1450515218001138E-2</v>
      </c>
      <c r="V894" s="24">
        <f t="shared" si="100"/>
        <v>4.2975648892017215E-2</v>
      </c>
      <c r="W894" s="23">
        <f t="shared" si="101"/>
        <v>3.5126234784987886E-3</v>
      </c>
      <c r="X894" s="24">
        <v>4.1105917357312283E-2</v>
      </c>
      <c r="Y894" s="24">
        <f t="shared" si="102"/>
        <v>4.2976837619968844E-2</v>
      </c>
      <c r="Z894" s="23">
        <f t="shared" si="103"/>
        <v>3.5127190474799619E-3</v>
      </c>
      <c r="AA894" s="36"/>
    </row>
    <row r="895" spans="15:27" ht="17.100000000000001" customHeight="1" x14ac:dyDescent="0.3">
      <c r="O895" s="12">
        <f t="shared" si="97"/>
        <v>73.5</v>
      </c>
      <c r="P895" s="13">
        <v>882</v>
      </c>
      <c r="Q895" s="22">
        <v>3.3073727050443313E-2</v>
      </c>
      <c r="R895" s="19">
        <f t="shared" si="98"/>
        <v>3.3776962464974858E-2</v>
      </c>
      <c r="S895" s="22">
        <v>3.9752131960551829E-2</v>
      </c>
      <c r="T895" s="19">
        <f t="shared" si="99"/>
        <v>4.2980200367818577E-2</v>
      </c>
      <c r="U895" s="24">
        <v>4.1452243131039568E-2</v>
      </c>
      <c r="V895" s="24">
        <f t="shared" si="100"/>
        <v>4.2975860901464324E-2</v>
      </c>
      <c r="W895" s="23">
        <f t="shared" si="101"/>
        <v>3.5126406268672916E-3</v>
      </c>
      <c r="X895" s="24">
        <v>4.1108036680562954E-2</v>
      </c>
      <c r="Y895" s="24">
        <f t="shared" si="102"/>
        <v>4.2977046394922169E-2</v>
      </c>
      <c r="Z895" s="23">
        <f t="shared" si="103"/>
        <v>3.5127359393276603E-3</v>
      </c>
      <c r="AA895" s="36"/>
    </row>
    <row r="896" spans="15:27" ht="17.100000000000001" customHeight="1" x14ac:dyDescent="0.3">
      <c r="O896" s="12">
        <f t="shared" si="97"/>
        <v>73.583333333333329</v>
      </c>
      <c r="P896" s="13">
        <v>883</v>
      </c>
      <c r="Q896" s="22">
        <v>3.3074523195902206E-2</v>
      </c>
      <c r="R896" s="19">
        <f t="shared" si="98"/>
        <v>3.3779233960208765E-2</v>
      </c>
      <c r="S896" s="22">
        <v>3.9755782100300285E-2</v>
      </c>
      <c r="T896" s="19">
        <f t="shared" si="99"/>
        <v>4.2980396671367549E-2</v>
      </c>
      <c r="U896" s="24">
        <v>4.145396737295326E-2</v>
      </c>
      <c r="V896" s="24">
        <f t="shared" si="100"/>
        <v>4.2976071065633947E-2</v>
      </c>
      <c r="W896" s="23">
        <f t="shared" si="101"/>
        <v>3.512657625837301E-3</v>
      </c>
      <c r="X896" s="24">
        <v>4.1110151443848997E-2</v>
      </c>
      <c r="Y896" s="24">
        <f t="shared" si="102"/>
        <v>4.2977253286797801E-2</v>
      </c>
      <c r="Z896" s="23">
        <f t="shared" si="103"/>
        <v>3.5127526789378027E-3</v>
      </c>
      <c r="AA896" s="36"/>
    </row>
    <row r="897" spans="15:27" ht="17.100000000000001" customHeight="1" x14ac:dyDescent="0.3">
      <c r="O897" s="12">
        <f t="shared" si="97"/>
        <v>73.666666666666671</v>
      </c>
      <c r="P897" s="13">
        <v>884</v>
      </c>
      <c r="Q897" s="22">
        <v>3.3075320108556516E-2</v>
      </c>
      <c r="R897" s="19">
        <f t="shared" si="98"/>
        <v>3.3781486511338166E-2</v>
      </c>
      <c r="S897" s="22">
        <v>3.9759424215961792E-2</v>
      </c>
      <c r="T897" s="19">
        <f t="shared" si="99"/>
        <v>4.2980591028383586E-2</v>
      </c>
      <c r="U897" s="24">
        <v>4.1455687954107923E-2</v>
      </c>
      <c r="V897" s="24">
        <f t="shared" si="100"/>
        <v>4.2976279399579598E-2</v>
      </c>
      <c r="W897" s="23">
        <f t="shared" si="101"/>
        <v>3.5126744768492202E-3</v>
      </c>
      <c r="X897" s="24">
        <v>4.1112261660505967E-2</v>
      </c>
      <c r="Y897" s="24">
        <f t="shared" si="102"/>
        <v>4.2977458314923833E-2</v>
      </c>
      <c r="Z897" s="23">
        <f t="shared" si="103"/>
        <v>3.5127692675591682E-3</v>
      </c>
      <c r="AA897" s="36"/>
    </row>
    <row r="898" spans="15:27" ht="17.100000000000001" customHeight="1" x14ac:dyDescent="0.3">
      <c r="O898" s="12">
        <f t="shared" si="97"/>
        <v>73.75</v>
      </c>
      <c r="P898" s="13">
        <v>885</v>
      </c>
      <c r="Q898" s="22">
        <v>3.3076117764412549E-2</v>
      </c>
      <c r="R898" s="19">
        <f t="shared" si="98"/>
        <v>3.3783720277394513E-2</v>
      </c>
      <c r="S898" s="22">
        <v>3.9763058332503043E-2</v>
      </c>
      <c r="T898" s="19">
        <f t="shared" si="99"/>
        <v>4.2980783458631766E-2</v>
      </c>
      <c r="U898" s="24">
        <v>4.1457404884839288E-2</v>
      </c>
      <c r="V898" s="24">
        <f t="shared" si="100"/>
        <v>4.2976485919348661E-2</v>
      </c>
      <c r="W898" s="23">
        <f t="shared" si="101"/>
        <v>3.5126911811105277E-3</v>
      </c>
      <c r="X898" s="24">
        <v>4.1114367343830782E-2</v>
      </c>
      <c r="Y898" s="24">
        <f t="shared" si="102"/>
        <v>4.2977661494113084E-2</v>
      </c>
      <c r="Z898" s="23">
        <f t="shared" si="103"/>
        <v>3.51278570674185E-3</v>
      </c>
      <c r="AA898" s="36"/>
    </row>
    <row r="899" spans="15:27" ht="17.100000000000001" customHeight="1" x14ac:dyDescent="0.3">
      <c r="O899" s="12">
        <f t="shared" si="97"/>
        <v>73.833333333333329</v>
      </c>
      <c r="P899" s="13">
        <v>886</v>
      </c>
      <c r="Q899" s="22">
        <v>3.3076916139764378E-2</v>
      </c>
      <c r="R899" s="19">
        <f t="shared" si="98"/>
        <v>3.3785935416095647E-2</v>
      </c>
      <c r="S899" s="22">
        <v>3.9766684474800362E-2</v>
      </c>
      <c r="T899" s="19">
        <f t="shared" si="99"/>
        <v>4.2980973979796167E-2</v>
      </c>
      <c r="U899" s="24">
        <v>4.1459118175454668E-2</v>
      </c>
      <c r="V899" s="24">
        <f t="shared" si="100"/>
        <v>4.2976690640029735E-2</v>
      </c>
      <c r="W899" s="23">
        <f t="shared" si="101"/>
        <v>3.5127077399075279E-3</v>
      </c>
      <c r="X899" s="24">
        <v>4.1116468507077064E-2</v>
      </c>
      <c r="Y899" s="24">
        <f t="shared" si="102"/>
        <v>4.2977862840747116E-2</v>
      </c>
      <c r="Z899" s="23">
        <f t="shared" si="103"/>
        <v>3.5128019976737868E-3</v>
      </c>
      <c r="AA899" s="36"/>
    </row>
    <row r="900" spans="15:27" ht="17.100000000000001" customHeight="1" x14ac:dyDescent="0.3">
      <c r="O900" s="12">
        <f t="shared" si="97"/>
        <v>73.916666666666671</v>
      </c>
      <c r="P900" s="13">
        <v>887</v>
      </c>
      <c r="Q900" s="22">
        <v>3.3077715211190961E-2</v>
      </c>
      <c r="R900" s="19">
        <f t="shared" si="98"/>
        <v>3.3788132082568145E-2</v>
      </c>
      <c r="S900" s="22">
        <v>3.9770302667637925E-2</v>
      </c>
      <c r="T900" s="19">
        <f t="shared" si="99"/>
        <v>4.2981162612276691E-2</v>
      </c>
      <c r="U900" s="24">
        <v>4.1460827836231839E-2</v>
      </c>
      <c r="V900" s="24">
        <f t="shared" si="100"/>
        <v>4.2976893578595909E-2</v>
      </c>
      <c r="W900" s="23">
        <f t="shared" si="101"/>
        <v>3.512724154450364E-3</v>
      </c>
      <c r="X900" s="24">
        <v>4.1118565163457577E-2</v>
      </c>
      <c r="Y900" s="24">
        <f t="shared" si="102"/>
        <v>4.2978062373223658E-2</v>
      </c>
      <c r="Z900" s="23">
        <f t="shared" si="103"/>
        <v>3.5128181416681503E-3</v>
      </c>
      <c r="AA900" s="36"/>
    </row>
    <row r="901" spans="15:27" ht="17.100000000000001" customHeight="1" x14ac:dyDescent="0.3">
      <c r="O901" s="12">
        <f t="shared" si="97"/>
        <v>74</v>
      </c>
      <c r="P901" s="13">
        <v>888</v>
      </c>
      <c r="Q901" s="22">
        <v>3.3078514955551253E-2</v>
      </c>
      <c r="R901" s="19">
        <f t="shared" si="98"/>
        <v>3.3790310432846526E-2</v>
      </c>
      <c r="S901" s="22">
        <v>3.9773912935711531E-2</v>
      </c>
      <c r="T901" s="19">
        <f t="shared" si="99"/>
        <v>4.2981349374570987E-2</v>
      </c>
      <c r="U901" s="24">
        <v>4.1462533877421492E-2</v>
      </c>
      <c r="V901" s="24">
        <f t="shared" si="100"/>
        <v>4.2977094750070055E-2</v>
      </c>
      <c r="W901" s="23">
        <f t="shared" si="101"/>
        <v>3.5127404260999473E-3</v>
      </c>
      <c r="X901" s="24">
        <v>4.112065732614556E-2</v>
      </c>
      <c r="Y901" s="24">
        <f t="shared" si="102"/>
        <v>4.2978260106712796E-2</v>
      </c>
      <c r="Z901" s="23">
        <f t="shared" si="103"/>
        <v>3.5128341402004271E-3</v>
      </c>
      <c r="AA901" s="36"/>
    </row>
    <row r="902" spans="15:27" ht="17.100000000000001" customHeight="1" x14ac:dyDescent="0.3">
      <c r="O902" s="12">
        <f t="shared" si="97"/>
        <v>74.083333333333329</v>
      </c>
      <c r="P902" s="13">
        <v>889</v>
      </c>
      <c r="Q902" s="22">
        <v>3.3079315349983762E-2</v>
      </c>
      <c r="R902" s="19">
        <f t="shared" si="98"/>
        <v>3.379247061941415E-2</v>
      </c>
      <c r="S902" s="22">
        <v>3.9777515303626387E-2</v>
      </c>
      <c r="T902" s="19">
        <f t="shared" si="99"/>
        <v>4.2981534284766365E-2</v>
      </c>
      <c r="U902" s="24">
        <v>4.1464236309244784E-2</v>
      </c>
      <c r="V902" s="24">
        <f t="shared" si="100"/>
        <v>4.2977294169526559E-2</v>
      </c>
      <c r="W902" s="23">
        <f t="shared" si="101"/>
        <v>3.5127565560608698E-3</v>
      </c>
      <c r="X902" s="24">
        <v>4.1122745008272732E-2</v>
      </c>
      <c r="Y902" s="24">
        <f t="shared" si="102"/>
        <v>4.2978456057559455E-2</v>
      </c>
      <c r="Z902" s="23">
        <f t="shared" si="103"/>
        <v>3.5128499944869773E-3</v>
      </c>
      <c r="AA902" s="36"/>
    </row>
    <row r="903" spans="15:27" ht="17.100000000000001" customHeight="1" x14ac:dyDescent="0.3">
      <c r="O903" s="12">
        <f t="shared" si="97"/>
        <v>74.166666666666671</v>
      </c>
      <c r="P903" s="13">
        <v>890</v>
      </c>
      <c r="Q903" s="22">
        <v>3.3080116371901003E-2</v>
      </c>
      <c r="R903" s="19">
        <f t="shared" si="98"/>
        <v>3.379461279473861E-2</v>
      </c>
      <c r="S903" s="22">
        <v>3.9781109795897773E-2</v>
      </c>
      <c r="T903" s="19">
        <f t="shared" si="99"/>
        <v>4.298171736127876E-2</v>
      </c>
      <c r="U903" s="24">
        <v>4.1465935141894228E-2</v>
      </c>
      <c r="V903" s="24">
        <f t="shared" si="100"/>
        <v>4.2977491852044469E-2</v>
      </c>
      <c r="W903" s="23">
        <f t="shared" si="101"/>
        <v>3.5127725455421643E-3</v>
      </c>
      <c r="X903" s="24">
        <v>4.1124828222929732E-2</v>
      </c>
      <c r="Y903" s="24">
        <f t="shared" si="102"/>
        <v>4.2978650241952687E-2</v>
      </c>
      <c r="Z903" s="23">
        <f t="shared" si="103"/>
        <v>3.5128657058385304E-3</v>
      </c>
      <c r="AA903" s="36"/>
    </row>
    <row r="904" spans="15:27" ht="17.100000000000001" customHeight="1" x14ac:dyDescent="0.3">
      <c r="O904" s="12">
        <f t="shared" si="97"/>
        <v>74.25</v>
      </c>
      <c r="P904" s="13">
        <v>891</v>
      </c>
      <c r="Q904" s="22">
        <v>3.3080917998988157E-2</v>
      </c>
      <c r="R904" s="19">
        <f t="shared" si="98"/>
        <v>3.3796737109816011E-2</v>
      </c>
      <c r="S904" s="22">
        <v>3.9784696436951705E-2</v>
      </c>
      <c r="T904" s="19">
        <f t="shared" si="99"/>
        <v>4.2981898622142189E-2</v>
      </c>
      <c r="U904" s="24">
        <v>4.1467630385533472E-2</v>
      </c>
      <c r="V904" s="24">
        <f t="shared" si="100"/>
        <v>4.2977687813342991E-2</v>
      </c>
      <c r="W904" s="23">
        <f t="shared" si="101"/>
        <v>3.5127883957524197E-3</v>
      </c>
      <c r="X904" s="24">
        <v>4.1126906983166789E-2</v>
      </c>
      <c r="Y904" s="24">
        <f t="shared" si="102"/>
        <v>4.2978842675071904E-2</v>
      </c>
      <c r="Z904" s="23">
        <f t="shared" si="103"/>
        <v>3.5128812755529371E-3</v>
      </c>
      <c r="AA904" s="36"/>
    </row>
    <row r="905" spans="15:27" ht="17.100000000000001" customHeight="1" x14ac:dyDescent="0.3">
      <c r="O905" s="12">
        <f t="shared" si="97"/>
        <v>74.333333333333329</v>
      </c>
      <c r="P905" s="13">
        <v>892</v>
      </c>
      <c r="Q905" s="22">
        <v>3.3081720209199528E-2</v>
      </c>
      <c r="R905" s="19">
        <f t="shared" si="98"/>
        <v>3.3798843714036408E-2</v>
      </c>
      <c r="S905" s="22">
        <v>3.9788275251124938E-2</v>
      </c>
      <c r="T905" s="19">
        <f t="shared" si="99"/>
        <v>4.2982078086793774E-2</v>
      </c>
      <c r="U905" s="24">
        <v>4.1469322050297963E-2</v>
      </c>
      <c r="V905" s="24">
        <f t="shared" si="100"/>
        <v>4.2977882069169748E-2</v>
      </c>
      <c r="W905" s="23">
        <f t="shared" si="101"/>
        <v>3.5128041079524053E-3</v>
      </c>
      <c r="X905" s="24">
        <v>4.1128981301992606E-2</v>
      </c>
      <c r="Y905" s="24">
        <f t="shared" si="102"/>
        <v>4.2979033374539011E-2</v>
      </c>
      <c r="Z905" s="23">
        <f t="shared" si="103"/>
        <v>3.5128967048474458E-3</v>
      </c>
      <c r="AA905" s="36"/>
    </row>
    <row r="906" spans="15:27" ht="17.100000000000001" customHeight="1" x14ac:dyDescent="0.3">
      <c r="O906" s="12">
        <f t="shared" si="97"/>
        <v>74.416666666666671</v>
      </c>
      <c r="P906" s="13">
        <v>893</v>
      </c>
      <c r="Q906" s="22">
        <v>3.3082522980755424E-2</v>
      </c>
      <c r="R906" s="19">
        <f t="shared" si="98"/>
        <v>3.3800932755693625E-2</v>
      </c>
      <c r="S906" s="22">
        <v>3.9791846262666741E-2</v>
      </c>
      <c r="T906" s="19">
        <f t="shared" si="99"/>
        <v>4.2982255770835698E-2</v>
      </c>
      <c r="U906" s="24">
        <v>4.1471010146295617E-2</v>
      </c>
      <c r="V906" s="24">
        <f t="shared" si="100"/>
        <v>4.2978074632278096E-2</v>
      </c>
      <c r="W906" s="23">
        <f t="shared" si="101"/>
        <v>3.5128196834048886E-3</v>
      </c>
      <c r="X906" s="24">
        <v>4.1131051192377477E-2</v>
      </c>
      <c r="Y906" s="24">
        <f t="shared" si="102"/>
        <v>4.2979222354427637E-2</v>
      </c>
      <c r="Z906" s="23">
        <f t="shared" si="103"/>
        <v>3.5129119951351484E-3</v>
      </c>
      <c r="AA906" s="36"/>
    </row>
    <row r="907" spans="15:27" ht="17.100000000000001" customHeight="1" x14ac:dyDescent="0.3">
      <c r="O907" s="12">
        <f t="shared" si="97"/>
        <v>74.5</v>
      </c>
      <c r="P907" s="13">
        <v>894</v>
      </c>
      <c r="Q907" s="22">
        <v>3.3083326292139503E-2</v>
      </c>
      <c r="R907" s="19">
        <f t="shared" si="98"/>
        <v>3.380300438216266E-2</v>
      </c>
      <c r="S907" s="22">
        <v>3.9795409495736012E-2</v>
      </c>
      <c r="T907" s="19">
        <f t="shared" si="99"/>
        <v>4.298243169334981E-2</v>
      </c>
      <c r="U907" s="24">
        <v>4.1472694683603262E-2</v>
      </c>
      <c r="V907" s="24">
        <f t="shared" si="100"/>
        <v>4.2978265519049152E-2</v>
      </c>
      <c r="W907" s="23">
        <f t="shared" si="101"/>
        <v>3.5128351231323851E-3</v>
      </c>
      <c r="X907" s="24">
        <v>4.1133116667249281E-2</v>
      </c>
      <c r="Y907" s="24">
        <f t="shared" si="102"/>
        <v>4.2979409630340859E-2</v>
      </c>
      <c r="Z907" s="23">
        <f t="shared" si="103"/>
        <v>3.5129271475444757E-3</v>
      </c>
      <c r="AA907" s="36"/>
    </row>
    <row r="908" spans="15:27" ht="17.100000000000001" customHeight="1" x14ac:dyDescent="0.3">
      <c r="O908" s="12">
        <f t="shared" si="97"/>
        <v>74.583333333333329</v>
      </c>
      <c r="P908" s="13">
        <v>895</v>
      </c>
      <c r="Q908" s="22">
        <v>3.30841301220961E-2</v>
      </c>
      <c r="R908" s="19">
        <f t="shared" si="98"/>
        <v>3.380505873943962E-2</v>
      </c>
      <c r="S908" s="22">
        <v>3.9798964974404605E-2</v>
      </c>
      <c r="T908" s="19">
        <f t="shared" si="99"/>
        <v>4.2982605871478397E-2</v>
      </c>
      <c r="U908" s="24">
        <v>4.147437567227108E-2</v>
      </c>
      <c r="V908" s="24">
        <f t="shared" si="100"/>
        <v>4.2978454743397343E-2</v>
      </c>
      <c r="W908" s="23">
        <f t="shared" si="101"/>
        <v>3.5128504284485107E-3</v>
      </c>
      <c r="X908" s="24">
        <v>4.1135177739495488E-2</v>
      </c>
      <c r="Y908" s="24">
        <f t="shared" si="102"/>
        <v>4.2979595217994548E-2</v>
      </c>
      <c r="Z908" s="23">
        <f t="shared" si="103"/>
        <v>3.5129421633264268E-3</v>
      </c>
      <c r="AA908" s="36"/>
    </row>
    <row r="909" spans="15:27" ht="17.100000000000001" customHeight="1" x14ac:dyDescent="0.3">
      <c r="O909" s="12">
        <f t="shared" si="97"/>
        <v>74.666666666666671</v>
      </c>
      <c r="P909" s="13">
        <v>896</v>
      </c>
      <c r="Q909" s="22">
        <v>3.3084934449627346E-2</v>
      </c>
      <c r="R909" s="19">
        <f t="shared" si="98"/>
        <v>3.3807095970882051E-2</v>
      </c>
      <c r="S909" s="22">
        <v>3.9802512722656447E-2</v>
      </c>
      <c r="T909" s="19">
        <f t="shared" si="99"/>
        <v>4.2982778322754545E-2</v>
      </c>
      <c r="U909" s="24">
        <v>4.1476053122319945E-2</v>
      </c>
      <c r="V909" s="24">
        <f t="shared" si="100"/>
        <v>4.2978642319893234E-2</v>
      </c>
      <c r="W909" s="23">
        <f t="shared" si="101"/>
        <v>3.5128656004688175E-3</v>
      </c>
      <c r="X909" s="24">
        <v>4.113723442196382E-2</v>
      </c>
      <c r="Y909" s="24">
        <f t="shared" si="102"/>
        <v>4.2979779132742646E-2</v>
      </c>
      <c r="Z909" s="23">
        <f t="shared" si="103"/>
        <v>3.5129570437413271E-3</v>
      </c>
      <c r="AA909" s="36"/>
    </row>
    <row r="910" spans="15:27" ht="17.100000000000001" customHeight="1" x14ac:dyDescent="0.3">
      <c r="O910" s="12">
        <f t="shared" ref="O910:O973" si="104">P910/12</f>
        <v>74.75</v>
      </c>
      <c r="P910" s="13">
        <v>897</v>
      </c>
      <c r="Q910" s="22">
        <v>3.3085739253988944E-2</v>
      </c>
      <c r="R910" s="19">
        <f t="shared" ref="R910:R973" si="105">(1+Q911)^P911/(1+Q910)^P910-1</f>
        <v>3.3809116222306423E-2</v>
      </c>
      <c r="S910" s="22">
        <v>3.9806052764387756E-2</v>
      </c>
      <c r="T910" s="19">
        <f t="shared" ref="T910:T973" si="106">(1+S911)^P911/(1+S910)^P910-1</f>
        <v>4.2982949063954168E-2</v>
      </c>
      <c r="U910" s="24">
        <v>4.1477727043742085E-2</v>
      </c>
      <c r="V910" s="24">
        <f t="shared" ref="V910:V973" si="107">(1+U911)^P911/(1+U910)^P910-1</f>
        <v>4.2978828263842139E-2</v>
      </c>
      <c r="W910" s="23">
        <f t="shared" si="101"/>
        <v>3.5128806403617041E-3</v>
      </c>
      <c r="X910" s="24">
        <v>4.1139286727461588E-2</v>
      </c>
      <c r="Y910" s="24">
        <f t="shared" si="102"/>
        <v>4.2979961390364307E-2</v>
      </c>
      <c r="Z910" s="23">
        <f t="shared" si="103"/>
        <v>3.5129717900204138E-3</v>
      </c>
      <c r="AA910" s="36"/>
    </row>
    <row r="911" spans="15:27" ht="17.100000000000001" customHeight="1" x14ac:dyDescent="0.3">
      <c r="O911" s="12">
        <f t="shared" si="104"/>
        <v>74.833333333333329</v>
      </c>
      <c r="P911" s="13">
        <v>898</v>
      </c>
      <c r="Q911" s="22">
        <v>3.3086544514690841E-2</v>
      </c>
      <c r="R911" s="19">
        <f t="shared" si="105"/>
        <v>3.3811119632398468E-2</v>
      </c>
      <c r="S911" s="22">
        <v>3.9809585123407487E-2</v>
      </c>
      <c r="T911" s="19">
        <f t="shared" si="106"/>
        <v>4.2983118111712626E-2</v>
      </c>
      <c r="U911" s="24">
        <v>4.147939744650242E-2</v>
      </c>
      <c r="V911" s="24">
        <f t="shared" si="107"/>
        <v>4.2979012587447629E-2</v>
      </c>
      <c r="W911" s="23">
        <f t="shared" ref="W911:W974" si="108">(1+V910)^(1/12)-1</f>
        <v>3.5128955493546332E-3</v>
      </c>
      <c r="X911" s="24">
        <v>4.1141334668756802E-2</v>
      </c>
      <c r="Y911" s="24">
        <f t="shared" ref="Y911:Y974" si="109">(1+X912)^P912/(1+X911)^P911-1</f>
        <v>4.2980142003377297E-2</v>
      </c>
      <c r="Z911" s="23">
        <f t="shared" ref="Z911:Z974" si="110">(1+Y910)^(1/12)-1</f>
        <v>3.5129864034288971E-3</v>
      </c>
      <c r="AA911" s="36"/>
    </row>
    <row r="912" spans="15:27" ht="17.100000000000001" customHeight="1" x14ac:dyDescent="0.3">
      <c r="O912" s="12">
        <f t="shared" si="104"/>
        <v>74.916666666666671</v>
      </c>
      <c r="P912" s="13">
        <v>899</v>
      </c>
      <c r="Q912" s="22">
        <v>3.3087350211489008E-2</v>
      </c>
      <c r="R912" s="19">
        <f t="shared" si="105"/>
        <v>3.381310634553758E-2</v>
      </c>
      <c r="S912" s="22">
        <v>3.9813109823437109E-2</v>
      </c>
      <c r="T912" s="19">
        <f t="shared" si="106"/>
        <v>4.2983285483685352E-2</v>
      </c>
      <c r="U912" s="24">
        <v>4.1481064340535223E-2</v>
      </c>
      <c r="V912" s="24">
        <f t="shared" si="107"/>
        <v>4.2979195306945828E-2</v>
      </c>
      <c r="W912" s="23">
        <f t="shared" si="108"/>
        <v>3.5129103284257113E-3</v>
      </c>
      <c r="X912" s="24">
        <v>4.1143378258574614E-2</v>
      </c>
      <c r="Y912" s="24">
        <f t="shared" si="109"/>
        <v>4.2980320989275622E-2</v>
      </c>
      <c r="Z912" s="23">
        <f t="shared" si="110"/>
        <v>3.5130008849701966E-3</v>
      </c>
      <c r="AA912" s="36"/>
    </row>
    <row r="913" spans="15:27" ht="17.100000000000001" customHeight="1" x14ac:dyDescent="0.3">
      <c r="O913" s="12">
        <f t="shared" si="104"/>
        <v>75</v>
      </c>
      <c r="P913" s="13">
        <v>900</v>
      </c>
      <c r="Q913" s="22">
        <v>3.3088156324389439E-2</v>
      </c>
      <c r="R913" s="19">
        <f t="shared" si="105"/>
        <v>3.3815076499797314E-2</v>
      </c>
      <c r="S913" s="22">
        <v>3.9816626888112383E-2</v>
      </c>
      <c r="T913" s="19">
        <f t="shared" si="106"/>
        <v>4.2983451196227929E-2</v>
      </c>
      <c r="U913" s="24">
        <v>4.1482727735748348E-2</v>
      </c>
      <c r="V913" s="24">
        <f t="shared" si="107"/>
        <v>4.297937643534433E-2</v>
      </c>
      <c r="W913" s="23">
        <f t="shared" si="108"/>
        <v>3.5129249788772299E-3</v>
      </c>
      <c r="X913" s="24">
        <v>4.1145417509602877E-2</v>
      </c>
      <c r="Y913" s="24">
        <f t="shared" si="109"/>
        <v>4.2980498361548714E-2</v>
      </c>
      <c r="Z913" s="23">
        <f t="shared" si="110"/>
        <v>3.5130152360474121E-3</v>
      </c>
      <c r="AA913" s="36"/>
    </row>
    <row r="914" spans="15:27" ht="17.100000000000001" customHeight="1" x14ac:dyDescent="0.3">
      <c r="O914" s="12">
        <f t="shared" si="104"/>
        <v>75.083333333333329</v>
      </c>
      <c r="P914" s="13">
        <v>901</v>
      </c>
      <c r="Q914" s="22">
        <v>3.3088962833639712E-2</v>
      </c>
      <c r="R914" s="19">
        <f t="shared" si="105"/>
        <v>3.3817030233997958E-2</v>
      </c>
      <c r="S914" s="22">
        <v>3.9820136340982248E-2</v>
      </c>
      <c r="T914" s="19">
        <f t="shared" si="106"/>
        <v>4.2983615265212771E-2</v>
      </c>
      <c r="U914" s="24">
        <v>4.1484387642020337E-2</v>
      </c>
      <c r="V914" s="24">
        <f t="shared" si="107"/>
        <v>4.29795559860493E-2</v>
      </c>
      <c r="W914" s="23">
        <f t="shared" si="108"/>
        <v>3.5129395017519105E-3</v>
      </c>
      <c r="X914" s="24">
        <v>4.1147452434488363E-2</v>
      </c>
      <c r="Y914" s="24">
        <f t="shared" si="109"/>
        <v>4.2980674134858399E-2</v>
      </c>
      <c r="Z914" s="23">
        <f t="shared" si="110"/>
        <v>3.5130294577419008E-3</v>
      </c>
      <c r="AA914" s="36"/>
    </row>
    <row r="915" spans="15:27" ht="17.100000000000001" customHeight="1" x14ac:dyDescent="0.3">
      <c r="O915" s="12">
        <f t="shared" si="104"/>
        <v>75.166666666666671</v>
      </c>
      <c r="P915" s="13">
        <v>902</v>
      </c>
      <c r="Q915" s="22">
        <v>3.3089769719729656E-2</v>
      </c>
      <c r="R915" s="19">
        <f t="shared" si="105"/>
        <v>3.3818967685029788E-2</v>
      </c>
      <c r="S915" s="22">
        <v>3.9823638205509049E-2</v>
      </c>
      <c r="T915" s="19">
        <f t="shared" si="106"/>
        <v>4.2983777708020643E-2</v>
      </c>
      <c r="U915" s="24">
        <v>4.1486044069200867E-2</v>
      </c>
      <c r="V915" s="24">
        <f t="shared" si="107"/>
        <v>4.2979733973396161E-2</v>
      </c>
      <c r="W915" s="23">
        <f t="shared" si="108"/>
        <v>3.5129538981248931E-3</v>
      </c>
      <c r="X915" s="24">
        <v>4.1149483045837876E-2</v>
      </c>
      <c r="Y915" s="24">
        <f t="shared" si="109"/>
        <v>4.2980848323427301E-2</v>
      </c>
      <c r="Z915" s="23">
        <f t="shared" si="110"/>
        <v>3.513043551229611E-3</v>
      </c>
      <c r="AA915" s="36"/>
    </row>
    <row r="916" spans="15:27" ht="17.100000000000001" customHeight="1" x14ac:dyDescent="0.3">
      <c r="O916" s="12">
        <f t="shared" si="104"/>
        <v>75.25</v>
      </c>
      <c r="P916" s="13">
        <v>903</v>
      </c>
      <c r="Q916" s="22">
        <v>3.3090576963386242E-2</v>
      </c>
      <c r="R916" s="19">
        <f t="shared" si="105"/>
        <v>3.3820888990399034E-2</v>
      </c>
      <c r="S916" s="22">
        <v>3.9827132505070306E-2</v>
      </c>
      <c r="T916" s="19">
        <f t="shared" si="106"/>
        <v>4.2983938539325139E-2</v>
      </c>
      <c r="U916" s="24">
        <v>4.1487697027111636E-2</v>
      </c>
      <c r="V916" s="24">
        <f t="shared" si="107"/>
        <v>4.2979910411405253E-2</v>
      </c>
      <c r="W916" s="23">
        <f t="shared" si="108"/>
        <v>3.5129681691457026E-3</v>
      </c>
      <c r="X916" s="24">
        <v>4.115150935621803E-2</v>
      </c>
      <c r="Y916" s="24">
        <f t="shared" si="109"/>
        <v>4.2981020941916359E-2</v>
      </c>
      <c r="Z916" s="23">
        <f t="shared" si="110"/>
        <v>3.5130575176505197E-3</v>
      </c>
      <c r="AA916" s="36"/>
    </row>
    <row r="917" spans="15:27" ht="17.100000000000001" customHeight="1" x14ac:dyDescent="0.3">
      <c r="O917" s="12">
        <f t="shared" si="104"/>
        <v>75.333333333333329</v>
      </c>
      <c r="P917" s="13">
        <v>904</v>
      </c>
      <c r="Q917" s="22">
        <v>3.3091384545574254E-2</v>
      </c>
      <c r="R917" s="19">
        <f t="shared" si="105"/>
        <v>3.382279428472712E-2</v>
      </c>
      <c r="S917" s="22">
        <v>3.9830619262956946E-2</v>
      </c>
      <c r="T917" s="19">
        <f t="shared" si="106"/>
        <v>4.2984097776882502E-2</v>
      </c>
      <c r="U917" s="24">
        <v>4.1489346525546367E-2</v>
      </c>
      <c r="V917" s="24">
        <f t="shared" si="107"/>
        <v>4.298008531292874E-2</v>
      </c>
      <c r="W917" s="23">
        <f t="shared" si="108"/>
        <v>3.5129823159383289E-3</v>
      </c>
      <c r="X917" s="24">
        <v>4.1153531378156361E-2</v>
      </c>
      <c r="Y917" s="24">
        <f t="shared" si="109"/>
        <v>4.2981192004918345E-2</v>
      </c>
      <c r="Z917" s="23">
        <f t="shared" si="110"/>
        <v>3.5130713581807971E-3</v>
      </c>
      <c r="AA917" s="36"/>
    </row>
    <row r="918" spans="15:27" ht="17.100000000000001" customHeight="1" x14ac:dyDescent="0.3">
      <c r="O918" s="12">
        <f t="shared" si="104"/>
        <v>75.416666666666671</v>
      </c>
      <c r="P918" s="13">
        <v>905</v>
      </c>
      <c r="Q918" s="22">
        <v>3.3092192447491175E-2</v>
      </c>
      <c r="R918" s="19">
        <f t="shared" si="105"/>
        <v>3.3824683701439318E-2</v>
      </c>
      <c r="S918" s="22">
        <v>3.9834098502375959E-2</v>
      </c>
      <c r="T918" s="19">
        <f t="shared" si="106"/>
        <v>4.2984255434681762E-2</v>
      </c>
      <c r="U918" s="24">
        <v>4.1490992574270136E-2</v>
      </c>
      <c r="V918" s="24">
        <f t="shared" si="107"/>
        <v>4.2980258690827444E-2</v>
      </c>
      <c r="W918" s="23">
        <f t="shared" si="108"/>
        <v>3.5129963395335029E-3</v>
      </c>
      <c r="X918" s="24">
        <v>4.1155549124140878E-2</v>
      </c>
      <c r="Y918" s="24">
        <f t="shared" si="109"/>
        <v>4.2981361524256467E-2</v>
      </c>
      <c r="Z918" s="23">
        <f t="shared" si="110"/>
        <v>3.5130850739901742E-3</v>
      </c>
      <c r="AA918" s="36"/>
    </row>
    <row r="919" spans="15:27" ht="17.100000000000001" customHeight="1" x14ac:dyDescent="0.3">
      <c r="O919" s="12">
        <f t="shared" si="104"/>
        <v>75.5</v>
      </c>
      <c r="P919" s="13">
        <v>906</v>
      </c>
      <c r="Q919" s="22">
        <v>3.3093000650564752E-2</v>
      </c>
      <c r="R919" s="19">
        <f t="shared" si="105"/>
        <v>3.3826557373812793E-2</v>
      </c>
      <c r="S919" s="22">
        <v>3.9837570246447962E-2</v>
      </c>
      <c r="T919" s="19">
        <f t="shared" si="106"/>
        <v>4.2984411529527922E-2</v>
      </c>
      <c r="U919" s="24">
        <v>4.1492635183018489E-2</v>
      </c>
      <c r="V919" s="24">
        <f t="shared" si="107"/>
        <v>4.2980430558900329E-2</v>
      </c>
      <c r="W919" s="23">
        <f t="shared" si="108"/>
        <v>3.5130102409621777E-3</v>
      </c>
      <c r="X919" s="24">
        <v>4.1157562606617626E-2</v>
      </c>
      <c r="Y919" s="24">
        <f t="shared" si="109"/>
        <v>4.2981529516463057E-2</v>
      </c>
      <c r="Z919" s="23">
        <f t="shared" si="110"/>
        <v>3.5130986660265595E-3</v>
      </c>
      <c r="AA919" s="36"/>
    </row>
    <row r="920" spans="15:27" ht="17.100000000000001" customHeight="1" x14ac:dyDescent="0.3">
      <c r="O920" s="12">
        <f t="shared" si="104"/>
        <v>75.583333333333329</v>
      </c>
      <c r="P920" s="13">
        <v>907</v>
      </c>
      <c r="Q920" s="22">
        <v>3.3093809136451435E-2</v>
      </c>
      <c r="R920" s="19">
        <f t="shared" si="105"/>
        <v>3.382841543338011E-2</v>
      </c>
      <c r="S920" s="22">
        <v>3.9841034518209861E-2</v>
      </c>
      <c r="T920" s="19">
        <f t="shared" si="106"/>
        <v>4.298456607652601E-2</v>
      </c>
      <c r="U920" s="24">
        <v>4.1494274361499661E-2</v>
      </c>
      <c r="V920" s="24">
        <f t="shared" si="107"/>
        <v>4.2980600931877389E-2</v>
      </c>
      <c r="W920" s="23">
        <f t="shared" si="108"/>
        <v>3.5130240213312458E-3</v>
      </c>
      <c r="X920" s="24">
        <v>4.1159571837996234E-2</v>
      </c>
      <c r="Y920" s="24">
        <f t="shared" si="109"/>
        <v>4.2981695994407154E-2</v>
      </c>
      <c r="Z920" s="23">
        <f t="shared" si="110"/>
        <v>3.5131121356160033E-3</v>
      </c>
      <c r="AA920" s="36"/>
    </row>
    <row r="921" spans="15:27" ht="17.100000000000001" customHeight="1" x14ac:dyDescent="0.3">
      <c r="O921" s="12">
        <f t="shared" si="104"/>
        <v>75.666666666666671</v>
      </c>
      <c r="P921" s="13">
        <v>908</v>
      </c>
      <c r="Q921" s="22">
        <v>3.3094617887033273E-2</v>
      </c>
      <c r="R921" s="19">
        <f t="shared" si="105"/>
        <v>3.3830258011649406E-2</v>
      </c>
      <c r="S921" s="22">
        <v>3.9844491340614185E-2</v>
      </c>
      <c r="T921" s="19">
        <f t="shared" si="106"/>
        <v>4.298471909137791E-2</v>
      </c>
      <c r="U921" s="24">
        <v>4.1495910119395241E-2</v>
      </c>
      <c r="V921" s="24">
        <f t="shared" si="107"/>
        <v>4.2980769820084141E-2</v>
      </c>
      <c r="W921" s="23">
        <f t="shared" si="108"/>
        <v>3.5130376818215403E-3</v>
      </c>
      <c r="X921" s="24">
        <v>4.1161576830645474E-2</v>
      </c>
      <c r="Y921" s="24">
        <f t="shared" si="109"/>
        <v>4.2981860971486929E-2</v>
      </c>
      <c r="Z921" s="23">
        <f t="shared" si="110"/>
        <v>3.5131254837899029E-3</v>
      </c>
      <c r="AA921" s="36"/>
    </row>
    <row r="922" spans="15:27" ht="17.100000000000001" customHeight="1" x14ac:dyDescent="0.3">
      <c r="O922" s="12">
        <f t="shared" si="104"/>
        <v>75.75</v>
      </c>
      <c r="P922" s="13">
        <v>909</v>
      </c>
      <c r="Q922" s="22">
        <v>3.3095426884416801E-2</v>
      </c>
      <c r="R922" s="19">
        <f t="shared" si="105"/>
        <v>3.3832085236433107E-2</v>
      </c>
      <c r="S922" s="22">
        <v>3.9847940736529308E-2</v>
      </c>
      <c r="T922" s="19">
        <f t="shared" si="106"/>
        <v>4.2984870588950619E-2</v>
      </c>
      <c r="U922" s="24">
        <v>4.1497542466355508E-2</v>
      </c>
      <c r="V922" s="24">
        <f t="shared" si="107"/>
        <v>4.2980937237697026E-2</v>
      </c>
      <c r="W922" s="23">
        <f t="shared" si="108"/>
        <v>3.5130512232610656E-3</v>
      </c>
      <c r="X922" s="24">
        <v>4.1163577596894596E-2</v>
      </c>
      <c r="Y922" s="24">
        <f t="shared" si="109"/>
        <v>4.2982024460908264E-2</v>
      </c>
      <c r="Z922" s="23">
        <f t="shared" si="110"/>
        <v>3.513138711622954E-3</v>
      </c>
      <c r="AA922" s="36"/>
    </row>
    <row r="923" spans="15:27" ht="17.100000000000001" customHeight="1" x14ac:dyDescent="0.3">
      <c r="O923" s="12">
        <f t="shared" si="104"/>
        <v>75.833333333333329</v>
      </c>
      <c r="P923" s="13">
        <v>910</v>
      </c>
      <c r="Q923" s="22">
        <v>3.3096236110927491E-2</v>
      </c>
      <c r="R923" s="19">
        <f t="shared" si="105"/>
        <v>3.3833897237957045E-2</v>
      </c>
      <c r="S923" s="22">
        <v>3.9851382728739893E-2</v>
      </c>
      <c r="T923" s="19">
        <f t="shared" si="106"/>
        <v>4.2985020583995892E-2</v>
      </c>
      <c r="U923" s="24">
        <v>4.1499171412004099E-2</v>
      </c>
      <c r="V923" s="24">
        <f t="shared" si="107"/>
        <v>4.2981103198106663E-2</v>
      </c>
      <c r="W923" s="23">
        <f t="shared" si="108"/>
        <v>3.5130646467866899E-3</v>
      </c>
      <c r="X923" s="24">
        <v>4.1165574149033324E-2</v>
      </c>
      <c r="Y923" s="24">
        <f t="shared" si="109"/>
        <v>4.2982186476728135E-2</v>
      </c>
      <c r="Z923" s="23">
        <f t="shared" si="110"/>
        <v>3.5131518201738654E-3</v>
      </c>
      <c r="AA923" s="36"/>
    </row>
    <row r="924" spans="15:27" ht="17.100000000000001" customHeight="1" x14ac:dyDescent="0.3">
      <c r="O924" s="12">
        <f t="shared" si="104"/>
        <v>75.916666666666671</v>
      </c>
      <c r="P924" s="13">
        <v>911</v>
      </c>
      <c r="Q924" s="22">
        <v>3.3097045549111082E-2</v>
      </c>
      <c r="R924" s="19">
        <f t="shared" si="105"/>
        <v>3.3835694142259953E-2</v>
      </c>
      <c r="S924" s="22">
        <v>3.9854817339946891E-2</v>
      </c>
      <c r="T924" s="19">
        <f t="shared" si="106"/>
        <v>4.2985169092642606E-2</v>
      </c>
      <c r="U924" s="24">
        <v>4.1500796965936892E-2</v>
      </c>
      <c r="V924" s="24">
        <f t="shared" si="107"/>
        <v>4.2981267713354754E-2</v>
      </c>
      <c r="W924" s="23">
        <f t="shared" si="108"/>
        <v>3.5130779534717771E-3</v>
      </c>
      <c r="X924" s="24">
        <v>4.1167566499312525E-2</v>
      </c>
      <c r="Y924" s="24">
        <f t="shared" si="109"/>
        <v>4.2982347032774593E-2</v>
      </c>
      <c r="Z924" s="23">
        <f t="shared" si="110"/>
        <v>3.5131648105699576E-3</v>
      </c>
      <c r="AA924" s="36"/>
    </row>
    <row r="925" spans="15:27" ht="17.100000000000001" customHeight="1" x14ac:dyDescent="0.3">
      <c r="O925" s="12">
        <f t="shared" si="104"/>
        <v>76</v>
      </c>
      <c r="P925" s="13">
        <v>912</v>
      </c>
      <c r="Q925" s="22">
        <v>3.3097855181728475E-2</v>
      </c>
      <c r="R925" s="19">
        <f t="shared" si="105"/>
        <v>3.3837476076594264E-2</v>
      </c>
      <c r="S925" s="22">
        <v>3.9858244592769099E-2</v>
      </c>
      <c r="T925" s="19">
        <f t="shared" si="106"/>
        <v>4.2985316128162143E-2</v>
      </c>
      <c r="U925" s="24">
        <v>4.1502419137721125E-2</v>
      </c>
      <c r="V925" s="24">
        <f t="shared" si="107"/>
        <v>4.2981430796179554E-2</v>
      </c>
      <c r="W925" s="23">
        <f t="shared" si="108"/>
        <v>3.513091144281999E-3</v>
      </c>
      <c r="X925" s="24">
        <v>4.1169554659944874E-2</v>
      </c>
      <c r="Y925" s="24">
        <f t="shared" si="109"/>
        <v>4.2982506141060917E-2</v>
      </c>
      <c r="Z925" s="23">
        <f t="shared" si="110"/>
        <v>3.5131776839198992E-3</v>
      </c>
      <c r="AA925" s="36"/>
    </row>
    <row r="926" spans="15:27" ht="17.100000000000001" customHeight="1" x14ac:dyDescent="0.3">
      <c r="O926" s="12">
        <f t="shared" si="104"/>
        <v>76.083333333333329</v>
      </c>
      <c r="P926" s="13">
        <v>913</v>
      </c>
      <c r="Q926" s="22">
        <v>3.3098664991755067E-2</v>
      </c>
      <c r="R926" s="19">
        <f t="shared" si="105"/>
        <v>3.3839243165216804E-2</v>
      </c>
      <c r="S926" s="22">
        <v>3.9861664509741157E-2</v>
      </c>
      <c r="T926" s="19">
        <f t="shared" si="106"/>
        <v>4.2985461705352668E-2</v>
      </c>
      <c r="U926" s="24">
        <v>4.150403793689561E-2</v>
      </c>
      <c r="V926" s="24">
        <f t="shared" si="107"/>
        <v>4.2981592457984164E-2</v>
      </c>
      <c r="W926" s="23">
        <f t="shared" si="108"/>
        <v>3.5131042202389828E-3</v>
      </c>
      <c r="X926" s="24">
        <v>4.1171538643102412E-2</v>
      </c>
      <c r="Y926" s="24">
        <f t="shared" si="109"/>
        <v>4.2982663814671529E-2</v>
      </c>
      <c r="Z926" s="23">
        <f t="shared" si="110"/>
        <v>3.5131904411869197E-3</v>
      </c>
      <c r="AA926" s="36"/>
    </row>
    <row r="927" spans="15:27" ht="17.100000000000001" customHeight="1" x14ac:dyDescent="0.3">
      <c r="O927" s="12">
        <f t="shared" si="104"/>
        <v>76.166666666666671</v>
      </c>
      <c r="P927" s="13">
        <v>914</v>
      </c>
      <c r="Q927" s="22">
        <v>3.3099474962376751E-2</v>
      </c>
      <c r="R927" s="19">
        <f t="shared" si="105"/>
        <v>3.3840995532904428E-2</v>
      </c>
      <c r="S927" s="22">
        <v>3.9865077113315328E-2</v>
      </c>
      <c r="T927" s="19">
        <f t="shared" si="106"/>
        <v>4.2985605840262009E-2</v>
      </c>
      <c r="U927" s="24">
        <v>4.1505653372970519E-2</v>
      </c>
      <c r="V927" s="24">
        <f t="shared" si="107"/>
        <v>4.2981752713711296E-2</v>
      </c>
      <c r="W927" s="23">
        <f t="shared" si="108"/>
        <v>3.5131171822568863E-3</v>
      </c>
      <c r="X927" s="24">
        <v>4.1173518460918546E-2</v>
      </c>
      <c r="Y927" s="24">
        <f t="shared" si="109"/>
        <v>4.2982820067590133E-2</v>
      </c>
      <c r="Z927" s="23">
        <f t="shared" si="110"/>
        <v>3.5132030834199579E-3</v>
      </c>
      <c r="AA927" s="36"/>
    </row>
    <row r="928" spans="15:27" ht="17.100000000000001" customHeight="1" x14ac:dyDescent="0.3">
      <c r="O928" s="12">
        <f t="shared" si="104"/>
        <v>76.25</v>
      </c>
      <c r="P928" s="13">
        <v>915</v>
      </c>
      <c r="Q928" s="22">
        <v>3.3100285076989255E-2</v>
      </c>
      <c r="R928" s="19">
        <f t="shared" si="105"/>
        <v>3.3842733302505534E-2</v>
      </c>
      <c r="S928" s="22">
        <v>3.986848242586305E-2</v>
      </c>
      <c r="T928" s="19">
        <f t="shared" si="106"/>
        <v>4.2985748545467439E-2</v>
      </c>
      <c r="U928" s="24">
        <v>4.1507265455430264E-2</v>
      </c>
      <c r="V928" s="24">
        <f t="shared" si="107"/>
        <v>4.2981911572980813E-2</v>
      </c>
      <c r="W928" s="23">
        <f t="shared" si="108"/>
        <v>3.5131300315338621E-3</v>
      </c>
      <c r="X928" s="24">
        <v>4.117549412548871E-2</v>
      </c>
      <c r="Y928" s="24">
        <f t="shared" si="109"/>
        <v>4.2982974911485838E-2</v>
      </c>
      <c r="Z928" s="23">
        <f t="shared" si="110"/>
        <v>3.5132156117407831E-3</v>
      </c>
      <c r="AA928" s="36"/>
    </row>
    <row r="929" spans="15:27" ht="17.100000000000001" customHeight="1" x14ac:dyDescent="0.3">
      <c r="O929" s="12">
        <f t="shared" si="104"/>
        <v>76.333333333333329</v>
      </c>
      <c r="P929" s="13">
        <v>916</v>
      </c>
      <c r="Q929" s="22">
        <v>3.3101095319194807E-2</v>
      </c>
      <c r="R929" s="19">
        <f t="shared" si="105"/>
        <v>3.3844456596674011E-2</v>
      </c>
      <c r="S929" s="22">
        <v>3.9871880469672272E-2</v>
      </c>
      <c r="T929" s="19">
        <f t="shared" si="106"/>
        <v>4.2985889835932545E-2</v>
      </c>
      <c r="U929" s="24">
        <v>4.1508874193728618E-2</v>
      </c>
      <c r="V929" s="24">
        <f t="shared" si="107"/>
        <v>4.2982069049743998E-2</v>
      </c>
      <c r="W929" s="23">
        <f t="shared" si="108"/>
        <v>3.5131427688415151E-3</v>
      </c>
      <c r="X929" s="24">
        <v>4.1177465648868372E-2</v>
      </c>
      <c r="Y929" s="24">
        <f t="shared" si="109"/>
        <v>4.2983128359892042E-2</v>
      </c>
      <c r="Z929" s="23">
        <f t="shared" si="110"/>
        <v>3.5132280270846472E-3</v>
      </c>
      <c r="AA929" s="36"/>
    </row>
    <row r="930" spans="15:27" ht="17.100000000000001" customHeight="1" x14ac:dyDescent="0.3">
      <c r="O930" s="12">
        <f t="shared" si="104"/>
        <v>76.416666666666671</v>
      </c>
      <c r="P930" s="13">
        <v>917</v>
      </c>
      <c r="Q930" s="22">
        <v>3.3101905672800802E-2</v>
      </c>
      <c r="R930" s="19">
        <f t="shared" si="105"/>
        <v>3.3846165535256434E-2</v>
      </c>
      <c r="S930" s="22">
        <v>3.9875271266949897E-2</v>
      </c>
      <c r="T930" s="19">
        <f t="shared" si="106"/>
        <v>4.2986029724862318E-2</v>
      </c>
      <c r="U930" s="24">
        <v>4.1510479597293148E-2</v>
      </c>
      <c r="V930" s="24">
        <f t="shared" si="107"/>
        <v>4.2982225154285958E-2</v>
      </c>
      <c r="W930" s="23">
        <f t="shared" si="108"/>
        <v>3.5131553952980621E-3</v>
      </c>
      <c r="X930" s="24">
        <v>4.1179433043075031E-2</v>
      </c>
      <c r="Y930" s="24">
        <f t="shared" si="109"/>
        <v>4.2983280425167969E-2</v>
      </c>
      <c r="Z930" s="23">
        <f t="shared" si="110"/>
        <v>3.5132403305369042E-3</v>
      </c>
      <c r="AA930" s="36"/>
    </row>
    <row r="931" spans="15:27" ht="17.100000000000001" customHeight="1" x14ac:dyDescent="0.3">
      <c r="O931" s="12">
        <f t="shared" si="104"/>
        <v>76.5</v>
      </c>
      <c r="P931" s="13">
        <v>918</v>
      </c>
      <c r="Q931" s="22">
        <v>3.3102716121815812E-2</v>
      </c>
      <c r="R931" s="19">
        <f t="shared" si="105"/>
        <v>3.384786023906905E-2</v>
      </c>
      <c r="S931" s="22">
        <v>3.9878654839820671E-2</v>
      </c>
      <c r="T931" s="19">
        <f t="shared" si="106"/>
        <v>4.2986168227298061E-2</v>
      </c>
      <c r="U931" s="24">
        <v>4.1512081675521895E-2</v>
      </c>
      <c r="V931" s="24">
        <f t="shared" si="107"/>
        <v>4.2982379900336376E-2</v>
      </c>
      <c r="W931" s="23">
        <f t="shared" si="108"/>
        <v>3.5131679117286208E-3</v>
      </c>
      <c r="X931" s="24">
        <v>4.1181396320087549E-2</v>
      </c>
      <c r="Y931" s="24">
        <f t="shared" si="109"/>
        <v>4.2983431119247184E-2</v>
      </c>
      <c r="Z931" s="23">
        <f t="shared" si="110"/>
        <v>3.5132525230885392E-3</v>
      </c>
      <c r="AA931" s="36"/>
    </row>
    <row r="932" spans="15:27" ht="17.100000000000001" customHeight="1" x14ac:dyDescent="0.3">
      <c r="O932" s="12">
        <f t="shared" si="104"/>
        <v>76.583333333333329</v>
      </c>
      <c r="P932" s="13">
        <v>919</v>
      </c>
      <c r="Q932" s="22">
        <v>3.3103526650449355E-2</v>
      </c>
      <c r="R932" s="19">
        <f t="shared" si="105"/>
        <v>3.3849540827497471E-2</v>
      </c>
      <c r="S932" s="22">
        <v>3.9882031210329405E-2</v>
      </c>
      <c r="T932" s="19">
        <f t="shared" si="106"/>
        <v>4.2986305356855992E-2</v>
      </c>
      <c r="U932" s="24">
        <v>4.1513680437786693E-2</v>
      </c>
      <c r="V932" s="24">
        <f t="shared" si="107"/>
        <v>4.2982533299413817E-2</v>
      </c>
      <c r="W932" s="23">
        <f t="shared" si="108"/>
        <v>3.5131803192338662E-3</v>
      </c>
      <c r="X932" s="24">
        <v>4.1183355491845486E-2</v>
      </c>
      <c r="Y932" s="24">
        <f t="shared" si="109"/>
        <v>4.2983580455476122E-2</v>
      </c>
      <c r="Z932" s="23">
        <f t="shared" si="110"/>
        <v>3.5132646056963424E-3</v>
      </c>
      <c r="AA932" s="36"/>
    </row>
    <row r="933" spans="15:27" ht="17.100000000000001" customHeight="1" x14ac:dyDescent="0.3">
      <c r="O933" s="12">
        <f t="shared" si="104"/>
        <v>76.666666666666671</v>
      </c>
      <c r="P933" s="13">
        <v>920</v>
      </c>
      <c r="Q933" s="22">
        <v>3.3104337243109239E-2</v>
      </c>
      <c r="R933" s="19">
        <f t="shared" si="105"/>
        <v>3.3851207417410656E-2</v>
      </c>
      <c r="S933" s="22">
        <v>3.9885400400439863E-2</v>
      </c>
      <c r="T933" s="19">
        <f t="shared" si="106"/>
        <v>4.2986441125831609E-2</v>
      </c>
      <c r="U933" s="24">
        <v>4.1515275893430958E-2</v>
      </c>
      <c r="V933" s="24">
        <f t="shared" si="107"/>
        <v>4.298268536168881E-2</v>
      </c>
      <c r="W933" s="23">
        <f t="shared" si="108"/>
        <v>3.5131926187372819E-3</v>
      </c>
      <c r="X933" s="24">
        <v>4.1185310570251099E-2</v>
      </c>
      <c r="Y933" s="24">
        <f t="shared" si="109"/>
        <v>4.2983728444840885E-2</v>
      </c>
      <c r="Z933" s="23">
        <f t="shared" si="110"/>
        <v>3.5132765794305687E-3</v>
      </c>
      <c r="AA933" s="36"/>
    </row>
    <row r="934" spans="15:27" ht="17.100000000000001" customHeight="1" x14ac:dyDescent="0.3">
      <c r="O934" s="12">
        <f t="shared" si="104"/>
        <v>76.75</v>
      </c>
      <c r="P934" s="13">
        <v>921</v>
      </c>
      <c r="Q934" s="22">
        <v>3.3105147884398001E-2</v>
      </c>
      <c r="R934" s="19">
        <f t="shared" si="105"/>
        <v>3.3852860126826645E-2</v>
      </c>
      <c r="S934" s="22">
        <v>3.9888762432034097E-2</v>
      </c>
      <c r="T934" s="19">
        <f t="shared" si="106"/>
        <v>4.2986575548885853E-2</v>
      </c>
      <c r="U934" s="24">
        <v>4.1516868051769018E-2</v>
      </c>
      <c r="V934" s="24">
        <f t="shared" si="107"/>
        <v>4.2982836100272426E-2</v>
      </c>
      <c r="W934" s="23">
        <f t="shared" si="108"/>
        <v>3.5132048110546599E-3</v>
      </c>
      <c r="X934" s="24">
        <v>4.1187261567166678E-2</v>
      </c>
      <c r="Y934" s="24">
        <f t="shared" si="109"/>
        <v>4.2983875100522706E-2</v>
      </c>
      <c r="Z934" s="23">
        <f t="shared" si="110"/>
        <v>3.5132884451720692E-3</v>
      </c>
      <c r="AA934" s="36"/>
    </row>
    <row r="935" spans="15:27" ht="17.100000000000001" customHeight="1" x14ac:dyDescent="0.3">
      <c r="O935" s="12">
        <f t="shared" si="104"/>
        <v>76.833333333333329</v>
      </c>
      <c r="P935" s="13">
        <v>922</v>
      </c>
      <c r="Q935" s="22">
        <v>3.3105958559112691E-2</v>
      </c>
      <c r="R935" s="19">
        <f t="shared" si="105"/>
        <v>3.3854499071569899E-2</v>
      </c>
      <c r="S935" s="22">
        <v>3.9892117326915111E-2</v>
      </c>
      <c r="T935" s="19">
        <f t="shared" si="106"/>
        <v>4.2986708639987325E-2</v>
      </c>
      <c r="U935" s="24">
        <v>4.1518456922088554E-2</v>
      </c>
      <c r="V935" s="24">
        <f t="shared" si="107"/>
        <v>4.2982985526805351E-2</v>
      </c>
      <c r="W935" s="23">
        <f t="shared" si="108"/>
        <v>3.5132168972371591E-3</v>
      </c>
      <c r="X935" s="24">
        <v>4.1189208494417651E-2</v>
      </c>
      <c r="Y935" s="24">
        <f t="shared" si="109"/>
        <v>4.2984020434449821E-2</v>
      </c>
      <c r="Z935" s="23">
        <f t="shared" si="110"/>
        <v>3.5133002039777761E-3</v>
      </c>
      <c r="AA935" s="36"/>
    </row>
    <row r="936" spans="15:27" ht="17.100000000000001" customHeight="1" x14ac:dyDescent="0.3">
      <c r="O936" s="12">
        <f t="shared" si="104"/>
        <v>76.916666666666671</v>
      </c>
      <c r="P936" s="13">
        <v>923</v>
      </c>
      <c r="Q936" s="22">
        <v>3.3106769252241763E-2</v>
      </c>
      <c r="R936" s="19">
        <f t="shared" si="105"/>
        <v>3.3856124366157925E-2</v>
      </c>
      <c r="S936" s="22">
        <v>3.9895465106806416E-2</v>
      </c>
      <c r="T936" s="19">
        <f t="shared" si="106"/>
        <v>4.2986840410519367E-2</v>
      </c>
      <c r="U936" s="24">
        <v>4.1520042513650157E-2</v>
      </c>
      <c r="V936" s="24">
        <f t="shared" si="107"/>
        <v>4.2983133651941952E-2</v>
      </c>
      <c r="W936" s="23">
        <f t="shared" si="108"/>
        <v>3.5132288782182552E-3</v>
      </c>
      <c r="X936" s="24">
        <v>4.1191151363791034E-2</v>
      </c>
      <c r="Y936" s="24">
        <f t="shared" si="109"/>
        <v>4.2984164457912089E-2</v>
      </c>
      <c r="Z936" s="23">
        <f t="shared" si="110"/>
        <v>3.5133118568042576E-3</v>
      </c>
      <c r="AA936" s="36"/>
    </row>
    <row r="937" spans="15:27" ht="17.100000000000001" customHeight="1" x14ac:dyDescent="0.3">
      <c r="O937" s="12">
        <f t="shared" si="104"/>
        <v>77</v>
      </c>
      <c r="P937" s="13">
        <v>924</v>
      </c>
      <c r="Q937" s="22">
        <v>3.3107579948962629E-2</v>
      </c>
      <c r="R937" s="19">
        <f t="shared" si="105"/>
        <v>3.3857736125409099E-2</v>
      </c>
      <c r="S937" s="22">
        <v>3.9898805793350256E-2</v>
      </c>
      <c r="T937" s="19">
        <f t="shared" si="106"/>
        <v>4.2986970874639097E-2</v>
      </c>
      <c r="U937" s="24">
        <v>4.1521624835685333E-2</v>
      </c>
      <c r="V937" s="24">
        <f t="shared" si="107"/>
        <v>4.2983280487590925E-2</v>
      </c>
      <c r="W937" s="23">
        <f t="shared" si="108"/>
        <v>3.5132407548521538E-3</v>
      </c>
      <c r="X937" s="24">
        <v>4.1193090187034986E-2</v>
      </c>
      <c r="Y937" s="24">
        <f t="shared" si="109"/>
        <v>4.2984307183490111E-2</v>
      </c>
      <c r="Z937" s="23">
        <f t="shared" si="110"/>
        <v>3.5133234045563455E-3</v>
      </c>
      <c r="AA937" s="36"/>
    </row>
    <row r="938" spans="15:27" ht="17.100000000000001" customHeight="1" x14ac:dyDescent="0.3">
      <c r="O938" s="12">
        <f t="shared" si="104"/>
        <v>77.083333333333329</v>
      </c>
      <c r="P938" s="13">
        <v>925</v>
      </c>
      <c r="Q938" s="22">
        <v>3.310839063464055E-2</v>
      </c>
      <c r="R938" s="19">
        <f t="shared" si="105"/>
        <v>3.3859334461725732E-2</v>
      </c>
      <c r="S938" s="22">
        <v>3.9902139408110493E-2</v>
      </c>
      <c r="T938" s="19">
        <f t="shared" si="106"/>
        <v>4.2987100045427606E-2</v>
      </c>
      <c r="U938" s="24">
        <v>4.1523203897398941E-2</v>
      </c>
      <c r="V938" s="24">
        <f t="shared" si="107"/>
        <v>4.2983426043990303E-2</v>
      </c>
      <c r="W938" s="23">
        <f t="shared" si="108"/>
        <v>3.5132525280936466E-3</v>
      </c>
      <c r="X938" s="24">
        <v>4.1195024975860584E-2</v>
      </c>
      <c r="Y938" s="24">
        <f t="shared" si="109"/>
        <v>4.2984448622263027E-2</v>
      </c>
      <c r="Z938" s="23">
        <f t="shared" si="110"/>
        <v>3.5133348482432325E-3</v>
      </c>
      <c r="AA938" s="36"/>
    </row>
    <row r="939" spans="15:27" ht="17.100000000000001" customHeight="1" x14ac:dyDescent="0.3">
      <c r="O939" s="12">
        <f t="shared" si="104"/>
        <v>77.166666666666671</v>
      </c>
      <c r="P939" s="13">
        <v>926</v>
      </c>
      <c r="Q939" s="22">
        <v>3.3109201294825752E-2</v>
      </c>
      <c r="R939" s="19">
        <f t="shared" si="105"/>
        <v>3.3860919488111429E-2</v>
      </c>
      <c r="S939" s="22">
        <v>3.9905465972571941E-2</v>
      </c>
      <c r="T939" s="19">
        <f t="shared" si="106"/>
        <v>4.2987227935919803E-2</v>
      </c>
      <c r="U939" s="24">
        <v>4.1524779707966752E-2</v>
      </c>
      <c r="V939" s="24">
        <f t="shared" si="107"/>
        <v>4.2983570334147903E-2</v>
      </c>
      <c r="W939" s="23">
        <f t="shared" si="108"/>
        <v>3.5132641987638547E-3</v>
      </c>
      <c r="X939" s="24">
        <v>4.1196955741940045E-2</v>
      </c>
      <c r="Y939" s="24">
        <f t="shared" si="109"/>
        <v>4.298458878617395E-2</v>
      </c>
      <c r="Z939" s="23">
        <f t="shared" si="110"/>
        <v>3.513346188753097E-3</v>
      </c>
      <c r="AA939" s="36"/>
    </row>
    <row r="940" spans="15:27" ht="17.100000000000001" customHeight="1" x14ac:dyDescent="0.3">
      <c r="O940" s="12">
        <f t="shared" si="104"/>
        <v>77.25</v>
      </c>
      <c r="P940" s="13">
        <v>927</v>
      </c>
      <c r="Q940" s="22">
        <v>3.3110011915252313E-2</v>
      </c>
      <c r="R940" s="19">
        <f t="shared" si="105"/>
        <v>3.3862491314862186E-2</v>
      </c>
      <c r="S940" s="22">
        <v>3.9908785508141031E-2</v>
      </c>
      <c r="T940" s="19">
        <f t="shared" si="106"/>
        <v>4.2987354557718627E-2</v>
      </c>
      <c r="U940" s="24">
        <v>4.1526352276539447E-2</v>
      </c>
      <c r="V940" s="24">
        <f t="shared" si="107"/>
        <v>4.298371336741047E-2</v>
      </c>
      <c r="W940" s="23">
        <f t="shared" si="108"/>
        <v>3.5132757679057214E-3</v>
      </c>
      <c r="X940" s="24">
        <v>4.1198882496908507E-2</v>
      </c>
      <c r="Y940" s="24">
        <f t="shared" si="109"/>
        <v>4.29847276869324E-2</v>
      </c>
      <c r="Z940" s="23">
        <f t="shared" si="110"/>
        <v>3.5133574270436174E-3</v>
      </c>
      <c r="AA940" s="36"/>
    </row>
    <row r="941" spans="15:27" ht="17.100000000000001" customHeight="1" x14ac:dyDescent="0.3">
      <c r="O941" s="12">
        <f t="shared" si="104"/>
        <v>77.333333333333329</v>
      </c>
      <c r="P941" s="13">
        <v>928</v>
      </c>
      <c r="Q941" s="22">
        <v>3.3110822481834834E-2</v>
      </c>
      <c r="R941" s="19">
        <f t="shared" si="105"/>
        <v>3.3864050052630379E-2</v>
      </c>
      <c r="S941" s="22">
        <v>3.9912098036144483E-2</v>
      </c>
      <c r="T941" s="19">
        <f t="shared" si="106"/>
        <v>4.2987479924255778E-2</v>
      </c>
      <c r="U941" s="24">
        <v>4.152792161223795E-2</v>
      </c>
      <c r="V941" s="24">
        <f t="shared" si="107"/>
        <v>4.2983855154989037E-2</v>
      </c>
      <c r="W941" s="23">
        <f t="shared" si="108"/>
        <v>3.5132872362684253E-3</v>
      </c>
      <c r="X941" s="24">
        <v>4.1200805252363359E-2</v>
      </c>
      <c r="Y941" s="24">
        <f t="shared" si="109"/>
        <v>4.2984865335037759E-2</v>
      </c>
      <c r="Z941" s="23">
        <f t="shared" si="110"/>
        <v>3.5133685640535983E-3</v>
      </c>
      <c r="AA941" s="36"/>
    </row>
    <row r="942" spans="15:27" ht="17.100000000000001" customHeight="1" x14ac:dyDescent="0.3">
      <c r="O942" s="12">
        <f t="shared" si="104"/>
        <v>77.416666666666671</v>
      </c>
      <c r="P942" s="13">
        <v>929</v>
      </c>
      <c r="Q942" s="22">
        <v>3.3111632980667327E-2</v>
      </c>
      <c r="R942" s="19">
        <f t="shared" si="105"/>
        <v>3.386559581176618E-2</v>
      </c>
      <c r="S942" s="22">
        <v>3.9915403577831743E-2</v>
      </c>
      <c r="T942" s="19">
        <f t="shared" si="106"/>
        <v>4.2987604048114525E-2</v>
      </c>
      <c r="U942" s="24">
        <v>4.15294877241561E-2</v>
      </c>
      <c r="V942" s="24">
        <f t="shared" si="107"/>
        <v>4.2983995708282707E-2</v>
      </c>
      <c r="W942" s="23">
        <f t="shared" si="108"/>
        <v>3.5132986047514692E-3</v>
      </c>
      <c r="X942" s="24">
        <v>4.1202724019863357E-2</v>
      </c>
      <c r="Y942" s="24">
        <f t="shared" si="109"/>
        <v>4.2985001742436024E-2</v>
      </c>
      <c r="Z942" s="23">
        <f t="shared" si="110"/>
        <v>3.5133796006250329E-3</v>
      </c>
      <c r="AA942" s="36"/>
    </row>
    <row r="943" spans="15:27" ht="17.100000000000001" customHeight="1" x14ac:dyDescent="0.3">
      <c r="O943" s="12">
        <f t="shared" si="104"/>
        <v>77.5</v>
      </c>
      <c r="P943" s="13">
        <v>930</v>
      </c>
      <c r="Q943" s="22">
        <v>3.3112443398022329E-2</v>
      </c>
      <c r="R943" s="19">
        <f t="shared" si="105"/>
        <v>3.3867128698875204E-2</v>
      </c>
      <c r="S943" s="22">
        <v>3.9918702154374319E-2</v>
      </c>
      <c r="T943" s="19">
        <f t="shared" si="106"/>
        <v>4.2987726941007498E-2</v>
      </c>
      <c r="U943" s="24">
        <v>4.1531050621361087E-2</v>
      </c>
      <c r="V943" s="24">
        <f t="shared" si="107"/>
        <v>4.2984135037983817E-2</v>
      </c>
      <c r="W943" s="23">
        <f t="shared" si="108"/>
        <v>3.5133098742683444E-3</v>
      </c>
      <c r="X943" s="24">
        <v>4.1204638810930616E-2</v>
      </c>
      <c r="Y943" s="24">
        <f t="shared" si="109"/>
        <v>4.2985136921072753E-2</v>
      </c>
      <c r="Z943" s="23">
        <f t="shared" si="110"/>
        <v>3.5133905377158214E-3</v>
      </c>
      <c r="AA943" s="36"/>
    </row>
    <row r="944" spans="15:27" ht="17.100000000000001" customHeight="1" x14ac:dyDescent="0.3">
      <c r="O944" s="12">
        <f t="shared" si="104"/>
        <v>77.583333333333329</v>
      </c>
      <c r="P944" s="13">
        <v>931</v>
      </c>
      <c r="Q944" s="22">
        <v>3.3113253720346014E-2</v>
      </c>
      <c r="R944" s="19">
        <f t="shared" si="105"/>
        <v>3.3868648822853453E-2</v>
      </c>
      <c r="S944" s="22">
        <v>3.9921993786865562E-2</v>
      </c>
      <c r="T944" s="19">
        <f t="shared" si="106"/>
        <v>4.2987848615556601E-2</v>
      </c>
      <c r="U944" s="24">
        <v>4.1532610312892349E-2</v>
      </c>
      <c r="V944" s="24">
        <f t="shared" si="107"/>
        <v>4.2984273154871078E-2</v>
      </c>
      <c r="W944" s="23">
        <f t="shared" si="108"/>
        <v>3.5133210456765873E-3</v>
      </c>
      <c r="X944" s="24">
        <v>4.1206549637050172E-2</v>
      </c>
      <c r="Y944" s="24">
        <f t="shared" si="109"/>
        <v>4.2985270880522064E-2</v>
      </c>
      <c r="Z944" s="23">
        <f t="shared" si="110"/>
        <v>3.5134013762836425E-3</v>
      </c>
      <c r="AA944" s="36"/>
    </row>
    <row r="945" spans="15:27" ht="17.100000000000001" customHeight="1" x14ac:dyDescent="0.3">
      <c r="O945" s="12">
        <f t="shared" si="104"/>
        <v>77.666666666666671</v>
      </c>
      <c r="P945" s="13">
        <v>932</v>
      </c>
      <c r="Q945" s="22">
        <v>3.3114063934259086E-2</v>
      </c>
      <c r="R945" s="19">
        <f t="shared" si="105"/>
        <v>3.3870156289608655E-2</v>
      </c>
      <c r="S945" s="22">
        <v>3.9925278496321992E-2</v>
      </c>
      <c r="T945" s="19">
        <f t="shared" si="106"/>
        <v>4.2987969083561506E-2</v>
      </c>
      <c r="U945" s="24">
        <v>4.1534166807762229E-2</v>
      </c>
      <c r="V945" s="24">
        <f t="shared" si="107"/>
        <v>4.2984410068241496E-2</v>
      </c>
      <c r="W945" s="23">
        <f t="shared" si="108"/>
        <v>3.5133321198406176E-3</v>
      </c>
      <c r="X945" s="24">
        <v>4.1208456509668423E-2</v>
      </c>
      <c r="Y945" s="24">
        <f t="shared" si="109"/>
        <v>4.2985403632672448E-2</v>
      </c>
      <c r="Z945" s="23">
        <f t="shared" si="110"/>
        <v>3.5134121170963262E-3</v>
      </c>
      <c r="AA945" s="36"/>
    </row>
    <row r="946" spans="15:27" ht="17.100000000000001" customHeight="1" x14ac:dyDescent="0.3">
      <c r="O946" s="12">
        <f t="shared" si="104"/>
        <v>77.75</v>
      </c>
      <c r="P946" s="13">
        <v>933</v>
      </c>
      <c r="Q946" s="22">
        <v>3.3114874026553442E-2</v>
      </c>
      <c r="R946" s="19">
        <f t="shared" si="105"/>
        <v>3.3871651205856113E-2</v>
      </c>
      <c r="S946" s="22">
        <v>3.9928556303682639E-2</v>
      </c>
      <c r="T946" s="19">
        <f t="shared" si="106"/>
        <v>4.2988088356971987E-2</v>
      </c>
      <c r="U946" s="24">
        <v>4.1535720114954433E-2</v>
      </c>
      <c r="V946" s="24">
        <f t="shared" si="107"/>
        <v>4.2984545789805706E-2</v>
      </c>
      <c r="W946" s="23">
        <f t="shared" si="108"/>
        <v>3.5133430975056168E-3</v>
      </c>
      <c r="X946" s="24">
        <v>4.1210359440195354E-2</v>
      </c>
      <c r="Y946" s="24">
        <f t="shared" si="109"/>
        <v>4.2985535187251456E-2</v>
      </c>
      <c r="Z946" s="23">
        <f t="shared" si="110"/>
        <v>3.513422761106888E-3</v>
      </c>
      <c r="AA946" s="36"/>
    </row>
    <row r="947" spans="15:27" ht="17.100000000000001" customHeight="1" x14ac:dyDescent="0.3">
      <c r="O947" s="12">
        <f t="shared" si="104"/>
        <v>77.833333333333329</v>
      </c>
      <c r="P947" s="13">
        <v>934</v>
      </c>
      <c r="Q947" s="22">
        <v>3.3115683984191513E-2</v>
      </c>
      <c r="R947" s="19">
        <f t="shared" si="105"/>
        <v>3.3873133674931832E-2</v>
      </c>
      <c r="S947" s="22">
        <v>3.9931827229809702E-2</v>
      </c>
      <c r="T947" s="19">
        <f t="shared" si="106"/>
        <v>4.2988206448504984E-2</v>
      </c>
      <c r="U947" s="24">
        <v>4.1537270243426683E-2</v>
      </c>
      <c r="V947" s="24">
        <f t="shared" si="107"/>
        <v>4.2984680330446778E-2</v>
      </c>
      <c r="W947" s="23">
        <f t="shared" si="108"/>
        <v>3.5133539796108337E-3</v>
      </c>
      <c r="X947" s="24">
        <v>4.1212258440002536E-2</v>
      </c>
      <c r="Y947" s="24">
        <f t="shared" si="109"/>
        <v>4.2985665558025854E-2</v>
      </c>
      <c r="Z947" s="23">
        <f t="shared" si="110"/>
        <v>3.5134333090953707E-3</v>
      </c>
      <c r="AA947" s="36"/>
    </row>
    <row r="948" spans="15:27" ht="17.100000000000001" customHeight="1" x14ac:dyDescent="0.3">
      <c r="O948" s="12">
        <f t="shared" si="104"/>
        <v>77.916666666666671</v>
      </c>
      <c r="P948" s="13">
        <v>935</v>
      </c>
      <c r="Q948" s="22">
        <v>3.3116493794302038E-2</v>
      </c>
      <c r="R948" s="19">
        <f t="shared" si="105"/>
        <v>3.3874603801698377E-2</v>
      </c>
      <c r="S948" s="22">
        <v>3.9935091295489888E-2</v>
      </c>
      <c r="T948" s="19">
        <f t="shared" si="106"/>
        <v>4.2988323368605919E-2</v>
      </c>
      <c r="U948" s="24">
        <v>4.1538817202110057E-2</v>
      </c>
      <c r="V948" s="24">
        <f t="shared" si="107"/>
        <v>4.2984813698419222E-2</v>
      </c>
      <c r="W948" s="23">
        <f t="shared" si="108"/>
        <v>3.5133647670286816E-3</v>
      </c>
      <c r="X948" s="24">
        <v>4.1214153520427566E-2</v>
      </c>
      <c r="Y948" s="24">
        <f t="shared" si="109"/>
        <v>4.2985794751825512E-2</v>
      </c>
      <c r="Z948" s="23">
        <f t="shared" si="110"/>
        <v>3.513443762166002E-3</v>
      </c>
      <c r="AA948" s="36"/>
    </row>
    <row r="949" spans="15:27" ht="17.100000000000001" customHeight="1" x14ac:dyDescent="0.3">
      <c r="O949" s="12">
        <f t="shared" si="104"/>
        <v>78</v>
      </c>
      <c r="P949" s="13">
        <v>936</v>
      </c>
      <c r="Q949" s="22">
        <v>3.3117303444180735E-2</v>
      </c>
      <c r="R949" s="19">
        <f t="shared" si="105"/>
        <v>3.3876061689807058E-2</v>
      </c>
      <c r="S949" s="22">
        <v>3.993834852143241E-2</v>
      </c>
      <c r="T949" s="19">
        <f t="shared" si="106"/>
        <v>4.2988439129488798E-2</v>
      </c>
      <c r="U949" s="24">
        <v>4.1540360999906323E-2</v>
      </c>
      <c r="V949" s="24">
        <f t="shared" si="107"/>
        <v>4.2984945905692795E-2</v>
      </c>
      <c r="W949" s="23">
        <f t="shared" si="108"/>
        <v>3.5133754604212974E-3</v>
      </c>
      <c r="X949" s="24">
        <v>4.1216044692766962E-2</v>
      </c>
      <c r="Y949" s="24">
        <f t="shared" si="109"/>
        <v>4.2985922781663799E-2</v>
      </c>
      <c r="Z949" s="23">
        <f t="shared" si="110"/>
        <v>3.5134541208658998E-3</v>
      </c>
      <c r="AA949" s="36"/>
    </row>
    <row r="950" spans="15:27" ht="17.100000000000001" customHeight="1" x14ac:dyDescent="0.3">
      <c r="O950" s="12">
        <f t="shared" si="104"/>
        <v>78.083333333333329</v>
      </c>
      <c r="P950" s="13">
        <v>937</v>
      </c>
      <c r="Q950" s="22">
        <v>3.3118112921288079E-2</v>
      </c>
      <c r="R950" s="19">
        <f t="shared" si="105"/>
        <v>3.3877507440655652E-2</v>
      </c>
      <c r="S950" s="22">
        <v>3.9941598928270983E-2</v>
      </c>
      <c r="T950" s="19">
        <f t="shared" si="106"/>
        <v>4.2988553742511648E-2</v>
      </c>
      <c r="U950" s="24">
        <v>4.1541901645691937E-2</v>
      </c>
      <c r="V950" s="24">
        <f t="shared" si="107"/>
        <v>4.2985076961927549E-2</v>
      </c>
      <c r="W950" s="23">
        <f t="shared" si="108"/>
        <v>3.513386060748136E-3</v>
      </c>
      <c r="X950" s="24">
        <v>4.1217931968282828E-2</v>
      </c>
      <c r="Y950" s="24">
        <f t="shared" si="109"/>
        <v>4.2986049657549819E-2</v>
      </c>
      <c r="Z950" s="23">
        <f t="shared" si="110"/>
        <v>3.5134643862388959E-3</v>
      </c>
      <c r="AA950" s="36"/>
    </row>
    <row r="951" spans="15:27" ht="17.100000000000001" customHeight="1" x14ac:dyDescent="0.3">
      <c r="O951" s="12">
        <f t="shared" si="104"/>
        <v>78.166666666666671</v>
      </c>
      <c r="P951" s="13">
        <v>938</v>
      </c>
      <c r="Q951" s="22">
        <v>3.3118922213245972E-2</v>
      </c>
      <c r="R951" s="19">
        <f t="shared" si="105"/>
        <v>3.3878941155168096E-2</v>
      </c>
      <c r="S951" s="22">
        <v>3.9944842536563607E-2</v>
      </c>
      <c r="T951" s="19">
        <f t="shared" si="106"/>
        <v>4.298866721986272E-2</v>
      </c>
      <c r="U951" s="24">
        <v>4.1543439148315819E-2</v>
      </c>
      <c r="V951" s="24">
        <f t="shared" si="107"/>
        <v>4.2985206877537596E-2</v>
      </c>
      <c r="W951" s="23">
        <f t="shared" si="108"/>
        <v>3.5133965687841329E-3</v>
      </c>
      <c r="X951" s="24">
        <v>4.1219815358200185E-2</v>
      </c>
      <c r="Y951" s="24">
        <f t="shared" si="109"/>
        <v>4.2986175389995829E-2</v>
      </c>
      <c r="Z951" s="23">
        <f t="shared" si="110"/>
        <v>3.5134745590874594E-3</v>
      </c>
      <c r="AA951" s="36"/>
    </row>
    <row r="952" spans="15:27" ht="17.100000000000001" customHeight="1" x14ac:dyDescent="0.3">
      <c r="O952" s="12">
        <f t="shared" si="104"/>
        <v>78.25</v>
      </c>
      <c r="P952" s="13">
        <v>939</v>
      </c>
      <c r="Q952" s="22">
        <v>3.3119731307836631E-2</v>
      </c>
      <c r="R952" s="19">
        <f t="shared" si="105"/>
        <v>3.3880362934852748E-2</v>
      </c>
      <c r="S952" s="22">
        <v>3.9948079366793898E-2</v>
      </c>
      <c r="T952" s="19">
        <f t="shared" si="106"/>
        <v>4.2988779571680125E-2</v>
      </c>
      <c r="U952" s="24">
        <v>4.1544973516600248E-2</v>
      </c>
      <c r="V952" s="24">
        <f t="shared" si="107"/>
        <v>4.2985335661698709E-2</v>
      </c>
      <c r="W952" s="23">
        <f t="shared" si="108"/>
        <v>3.5134069853639538E-3</v>
      </c>
      <c r="X952" s="24">
        <v>4.1221694873706971E-2</v>
      </c>
      <c r="Y952" s="24">
        <f t="shared" si="109"/>
        <v>4.2986299988562404E-2</v>
      </c>
      <c r="Z952" s="23">
        <f t="shared" si="110"/>
        <v>3.5134846402542497E-3</v>
      </c>
      <c r="AA952" s="36"/>
    </row>
    <row r="953" spans="15:27" ht="17.100000000000001" customHeight="1" x14ac:dyDescent="0.3">
      <c r="O953" s="12">
        <f t="shared" si="104"/>
        <v>78.333333333333329</v>
      </c>
      <c r="P953" s="13">
        <v>940</v>
      </c>
      <c r="Q953" s="22">
        <v>3.3120540193002146E-2</v>
      </c>
      <c r="R953" s="19">
        <f t="shared" si="105"/>
        <v>3.388177287909877E-2</v>
      </c>
      <c r="S953" s="22">
        <v>3.9951309439368865E-2</v>
      </c>
      <c r="T953" s="19">
        <f t="shared" si="106"/>
        <v>4.2988890809081859E-2</v>
      </c>
      <c r="U953" s="24">
        <v>4.1546504759339964E-2</v>
      </c>
      <c r="V953" s="24">
        <f t="shared" si="107"/>
        <v>4.2985463323617301E-2</v>
      </c>
      <c r="W953" s="23">
        <f t="shared" si="108"/>
        <v>3.5134173112234546E-3</v>
      </c>
      <c r="X953" s="24">
        <v>4.1223570525954267E-2</v>
      </c>
      <c r="Y953" s="24">
        <f t="shared" si="109"/>
        <v>4.2986423463975409E-2</v>
      </c>
      <c r="Z953" s="23">
        <f t="shared" si="110"/>
        <v>3.5134946305062087E-3</v>
      </c>
      <c r="AA953" s="36"/>
    </row>
    <row r="954" spans="15:27" ht="17.100000000000001" customHeight="1" x14ac:dyDescent="0.3">
      <c r="O954" s="12">
        <f t="shared" si="104"/>
        <v>78.416666666666671</v>
      </c>
      <c r="P954" s="13">
        <v>941</v>
      </c>
      <c r="Q954" s="22">
        <v>3.3121348856841148E-2</v>
      </c>
      <c r="R954" s="19">
        <f t="shared" si="105"/>
        <v>3.3883171086407149E-2</v>
      </c>
      <c r="S954" s="22">
        <v>3.9954532774621132E-2</v>
      </c>
      <c r="T954" s="19">
        <f t="shared" si="106"/>
        <v>4.2989000944298583E-2</v>
      </c>
      <c r="U954" s="24">
        <v>4.1548032885301955E-2</v>
      </c>
      <c r="V954" s="24">
        <f t="shared" si="107"/>
        <v>4.2985589875389474E-2</v>
      </c>
      <c r="W954" s="23">
        <f t="shared" si="108"/>
        <v>3.5134275471009335E-3</v>
      </c>
      <c r="X954" s="24">
        <v>4.1225442326056738E-2</v>
      </c>
      <c r="Y954" s="24">
        <f t="shared" si="109"/>
        <v>4.2986545827189859E-2</v>
      </c>
      <c r="Z954" s="23">
        <f t="shared" si="110"/>
        <v>3.5135045307030932E-3</v>
      </c>
      <c r="AA954" s="36"/>
    </row>
    <row r="955" spans="15:27" ht="17.100000000000001" customHeight="1" x14ac:dyDescent="0.3">
      <c r="O955" s="12">
        <f t="shared" si="104"/>
        <v>78.5</v>
      </c>
      <c r="P955" s="13">
        <v>942</v>
      </c>
      <c r="Q955" s="22">
        <v>3.3122157287607923E-2</v>
      </c>
      <c r="R955" s="19">
        <f t="shared" si="105"/>
        <v>3.3884557655066594E-2</v>
      </c>
      <c r="S955" s="22">
        <v>3.9957749392809605E-2</v>
      </c>
      <c r="T955" s="19">
        <f t="shared" si="106"/>
        <v>4.2989109987425334E-2</v>
      </c>
      <c r="U955" s="24">
        <v>4.1549557903228784E-2</v>
      </c>
      <c r="V955" s="24">
        <f t="shared" si="107"/>
        <v>4.2985715324973306E-2</v>
      </c>
      <c r="W955" s="23">
        <f t="shared" si="108"/>
        <v>3.5134376939660594E-3</v>
      </c>
      <c r="X955" s="24">
        <v>4.1227310285093743E-2</v>
      </c>
      <c r="Y955" s="24">
        <f t="shared" si="109"/>
        <v>4.2986667087092645E-2</v>
      </c>
      <c r="Z955" s="23">
        <f t="shared" si="110"/>
        <v>3.5135143417233117E-3</v>
      </c>
      <c r="AA955" s="36"/>
    </row>
    <row r="956" spans="15:27" ht="17.100000000000001" customHeight="1" x14ac:dyDescent="0.3">
      <c r="O956" s="12">
        <f t="shared" si="104"/>
        <v>78.583333333333329</v>
      </c>
      <c r="P956" s="13">
        <v>943</v>
      </c>
      <c r="Q956" s="22">
        <v>3.3122965473709964E-2</v>
      </c>
      <c r="R956" s="19">
        <f t="shared" si="105"/>
        <v>3.3885932681987363E-2</v>
      </c>
      <c r="S956" s="22">
        <v>3.9960959314118361E-2</v>
      </c>
      <c r="T956" s="19">
        <f t="shared" si="106"/>
        <v>4.2989217949414904E-2</v>
      </c>
      <c r="U956" s="24">
        <v>4.1551079821834369E-2</v>
      </c>
      <c r="V956" s="24">
        <f t="shared" si="107"/>
        <v>4.2985839681927152E-2</v>
      </c>
      <c r="W956" s="23">
        <f t="shared" si="108"/>
        <v>3.5134477524572105E-3</v>
      </c>
      <c r="X956" s="24">
        <v>4.1229174414106895E-2</v>
      </c>
      <c r="Y956" s="24">
        <f t="shared" si="109"/>
        <v>4.2986787253885383E-2</v>
      </c>
      <c r="Z956" s="23">
        <f t="shared" si="110"/>
        <v>3.5135240642796273E-3</v>
      </c>
      <c r="AA956" s="36"/>
    </row>
    <row r="957" spans="15:27" ht="17.100000000000001" customHeight="1" x14ac:dyDescent="0.3">
      <c r="O957" s="12">
        <f t="shared" si="104"/>
        <v>78.666666666666671</v>
      </c>
      <c r="P957" s="13">
        <v>944</v>
      </c>
      <c r="Q957" s="22">
        <v>3.3123773403707091E-2</v>
      </c>
      <c r="R957" s="19">
        <f t="shared" si="105"/>
        <v>3.3887296264100142E-2</v>
      </c>
      <c r="S957" s="22">
        <v>3.9964162558657312E-2</v>
      </c>
      <c r="T957" s="19">
        <f t="shared" si="106"/>
        <v>4.2989324840800647E-2</v>
      </c>
      <c r="U957" s="24">
        <v>4.1552598649805983E-2</v>
      </c>
      <c r="V957" s="24">
        <f t="shared" si="107"/>
        <v>4.2985962956322288E-2</v>
      </c>
      <c r="W957" s="23">
        <f t="shared" si="108"/>
        <v>3.5134577233408848E-3</v>
      </c>
      <c r="X957" s="24">
        <v>4.1231034724102056E-2</v>
      </c>
      <c r="Y957" s="24">
        <f t="shared" si="109"/>
        <v>4.2986906337070696E-2</v>
      </c>
      <c r="Z957" s="23">
        <f t="shared" si="110"/>
        <v>3.5135336991898303E-3</v>
      </c>
      <c r="AA957" s="36"/>
    </row>
    <row r="958" spans="15:27" ht="17.100000000000001" customHeight="1" x14ac:dyDescent="0.3">
      <c r="O958" s="12">
        <f t="shared" si="104"/>
        <v>78.75</v>
      </c>
      <c r="P958" s="13">
        <v>945</v>
      </c>
      <c r="Q958" s="22">
        <v>3.3124581066309888E-2</v>
      </c>
      <c r="R958" s="19">
        <f t="shared" si="105"/>
        <v>3.3888648496438467E-2</v>
      </c>
      <c r="S958" s="22">
        <v>3.9967359146462877E-2</v>
      </c>
      <c r="T958" s="19">
        <f t="shared" si="106"/>
        <v>4.2989430672410789E-2</v>
      </c>
      <c r="U958" s="24">
        <v>4.1554114395804698E-2</v>
      </c>
      <c r="V958" s="24">
        <f t="shared" si="107"/>
        <v>4.2986085157031173E-2</v>
      </c>
      <c r="W958" s="23">
        <f t="shared" si="108"/>
        <v>3.5134676074242144E-3</v>
      </c>
      <c r="X958" s="24">
        <v>4.1232891226048451E-2</v>
      </c>
      <c r="Y958" s="24">
        <f t="shared" si="109"/>
        <v>4.2987024347826752E-2</v>
      </c>
      <c r="Z958" s="23">
        <f t="shared" si="110"/>
        <v>3.5135432472159778E-3</v>
      </c>
      <c r="AA958" s="36"/>
    </row>
    <row r="959" spans="15:27" ht="17.100000000000001" customHeight="1" x14ac:dyDescent="0.3">
      <c r="O959" s="12">
        <f t="shared" si="104"/>
        <v>78.833333333333329</v>
      </c>
      <c r="P959" s="13">
        <v>946</v>
      </c>
      <c r="Q959" s="22">
        <v>3.3125388450376825E-2</v>
      </c>
      <c r="R959" s="19">
        <f t="shared" si="105"/>
        <v>3.3889989473683046E-2</v>
      </c>
      <c r="S959" s="22">
        <v>3.9970549097497976E-2</v>
      </c>
      <c r="T959" s="19">
        <f t="shared" si="106"/>
        <v>4.2989535455307148E-2</v>
      </c>
      <c r="U959" s="24">
        <v>4.1555627068464274E-2</v>
      </c>
      <c r="V959" s="24">
        <f t="shared" si="107"/>
        <v>4.2986206295299034E-2</v>
      </c>
      <c r="W959" s="23">
        <f t="shared" si="108"/>
        <v>3.5134774054188522E-3</v>
      </c>
      <c r="X959" s="24">
        <v>4.1234743930880668E-2</v>
      </c>
      <c r="Y959" s="24">
        <f t="shared" si="109"/>
        <v>4.2987141294574149E-2</v>
      </c>
      <c r="Z959" s="23">
        <f t="shared" si="110"/>
        <v>3.5135527092544638E-3</v>
      </c>
      <c r="AA959" s="36"/>
    </row>
    <row r="960" spans="15:27" ht="17.100000000000001" customHeight="1" x14ac:dyDescent="0.3">
      <c r="O960" s="12">
        <f t="shared" si="104"/>
        <v>78.916666666666671</v>
      </c>
      <c r="P960" s="13">
        <v>947</v>
      </c>
      <c r="Q960" s="22">
        <v>3.3126195544913584E-2</v>
      </c>
      <c r="R960" s="19">
        <f t="shared" si="105"/>
        <v>3.3891319289953925E-2</v>
      </c>
      <c r="S960" s="22">
        <v>3.9973732431653142E-2</v>
      </c>
      <c r="T960" s="19">
        <f t="shared" si="106"/>
        <v>4.298963919845411E-2</v>
      </c>
      <c r="U960" s="24">
        <v>4.1557136676394046E-2</v>
      </c>
      <c r="V960" s="24">
        <f t="shared" si="107"/>
        <v>4.2986326376403206E-2</v>
      </c>
      <c r="W960" s="23">
        <f t="shared" si="108"/>
        <v>3.5134871182262994E-3</v>
      </c>
      <c r="X960" s="24">
        <v>4.1236592849496212E-2</v>
      </c>
      <c r="Y960" s="24">
        <f t="shared" si="109"/>
        <v>4.2987257186453798E-2</v>
      </c>
      <c r="Z960" s="23">
        <f t="shared" si="110"/>
        <v>3.513562085980082E-3</v>
      </c>
      <c r="AA960" s="36"/>
    </row>
    <row r="961" spans="15:27" ht="17.100000000000001" customHeight="1" x14ac:dyDescent="0.3">
      <c r="O961" s="12">
        <f t="shared" si="104"/>
        <v>79</v>
      </c>
      <c r="P961" s="13">
        <v>948</v>
      </c>
      <c r="Q961" s="22">
        <v>3.312700233907151E-2</v>
      </c>
      <c r="R961" s="19">
        <f t="shared" si="105"/>
        <v>3.3892638038404366E-2</v>
      </c>
      <c r="S961" s="22">
        <v>3.9976909168744301E-2</v>
      </c>
      <c r="T961" s="19">
        <f t="shared" si="106"/>
        <v>4.2989741913575852E-2</v>
      </c>
      <c r="U961" s="24">
        <v>4.1558643228172487E-2</v>
      </c>
      <c r="V961" s="24">
        <f t="shared" si="107"/>
        <v>4.2986445413652818E-2</v>
      </c>
      <c r="W961" s="23">
        <f t="shared" si="108"/>
        <v>3.5134967462699951E-3</v>
      </c>
      <c r="X961" s="24">
        <v>4.1238437992756172E-2</v>
      </c>
      <c r="Y961" s="24">
        <f t="shared" si="109"/>
        <v>4.2987372034230198E-2</v>
      </c>
      <c r="Z961" s="23">
        <f t="shared" si="110"/>
        <v>3.5135713781262456E-3</v>
      </c>
      <c r="AA961" s="36"/>
    </row>
    <row r="962" spans="15:27" ht="17.100000000000001" customHeight="1" x14ac:dyDescent="0.3">
      <c r="O962" s="12">
        <f t="shared" si="104"/>
        <v>79.083333333333329</v>
      </c>
      <c r="P962" s="13">
        <v>949</v>
      </c>
      <c r="Q962" s="22">
        <v>3.312780882214561E-2</v>
      </c>
      <c r="R962" s="19">
        <f t="shared" si="105"/>
        <v>3.3893945811705795E-2</v>
      </c>
      <c r="S962" s="22">
        <v>3.9980079328516549E-2</v>
      </c>
      <c r="T962" s="19">
        <f t="shared" si="106"/>
        <v>4.2989843610053091E-2</v>
      </c>
      <c r="U962" s="24">
        <v>4.1560146732355863E-2</v>
      </c>
      <c r="V962" s="24">
        <f t="shared" si="107"/>
        <v>4.2986563414386447E-2</v>
      </c>
      <c r="W962" s="23">
        <f t="shared" si="108"/>
        <v>3.5135062906170855E-3</v>
      </c>
      <c r="X962" s="24">
        <v>4.1240279371487221E-2</v>
      </c>
      <c r="Y962" s="24">
        <f t="shared" si="109"/>
        <v>4.2987485847139961E-2</v>
      </c>
      <c r="Z962" s="23">
        <f t="shared" si="110"/>
        <v>3.5135805865558201E-3</v>
      </c>
      <c r="AA962" s="36"/>
    </row>
    <row r="963" spans="15:27" ht="17.100000000000001" customHeight="1" x14ac:dyDescent="0.3">
      <c r="O963" s="12">
        <f t="shared" si="104"/>
        <v>79.166666666666671</v>
      </c>
      <c r="P963" s="13">
        <v>950</v>
      </c>
      <c r="Q963" s="22">
        <v>3.3128614983573446E-2</v>
      </c>
      <c r="R963" s="19">
        <f t="shared" si="105"/>
        <v>3.3895242700969774E-2</v>
      </c>
      <c r="S963" s="22">
        <v>3.9983242930641705E-2</v>
      </c>
      <c r="T963" s="19">
        <f t="shared" si="106"/>
        <v>4.2989944298383653E-2</v>
      </c>
      <c r="U963" s="24">
        <v>4.1561647197472462E-2</v>
      </c>
      <c r="V963" s="24">
        <f t="shared" si="107"/>
        <v>4.2986680387440357E-2</v>
      </c>
      <c r="W963" s="23">
        <f t="shared" si="108"/>
        <v>3.5135157518557669E-3</v>
      </c>
      <c r="X963" s="24">
        <v>4.124211699648006E-2</v>
      </c>
      <c r="Y963" s="24">
        <f t="shared" si="109"/>
        <v>4.298759863338919E-2</v>
      </c>
      <c r="Z963" s="23">
        <f t="shared" si="110"/>
        <v>3.5135897120095461E-3</v>
      </c>
      <c r="AA963" s="36"/>
    </row>
    <row r="964" spans="15:27" ht="17.100000000000001" customHeight="1" x14ac:dyDescent="0.3">
      <c r="O964" s="12">
        <f t="shared" si="104"/>
        <v>79.25</v>
      </c>
      <c r="P964" s="13">
        <v>951</v>
      </c>
      <c r="Q964" s="22">
        <v>3.3129420812932908E-2</v>
      </c>
      <c r="R964" s="19">
        <f t="shared" si="105"/>
        <v>3.3896528797454639E-2</v>
      </c>
      <c r="S964" s="22">
        <v>3.9986399994719868E-2</v>
      </c>
      <c r="T964" s="19">
        <f t="shared" si="106"/>
        <v>4.2990043988757387E-2</v>
      </c>
      <c r="U964" s="24">
        <v>4.1563144632023707E-2</v>
      </c>
      <c r="V964" s="24">
        <f t="shared" si="107"/>
        <v>4.2986796342285416E-2</v>
      </c>
      <c r="W964" s="23">
        <f t="shared" si="108"/>
        <v>3.5135251306945836E-3</v>
      </c>
      <c r="X964" s="24">
        <v>4.1243950878488977E-2</v>
      </c>
      <c r="Y964" s="24">
        <f t="shared" si="109"/>
        <v>4.2987710403624702E-2</v>
      </c>
      <c r="Z964" s="23">
        <f t="shared" si="110"/>
        <v>3.5135987551451198E-3</v>
      </c>
      <c r="AA964" s="36"/>
    </row>
    <row r="965" spans="15:27" ht="17.100000000000001" customHeight="1" x14ac:dyDescent="0.3">
      <c r="O965" s="12">
        <f t="shared" si="104"/>
        <v>79.333333333333329</v>
      </c>
      <c r="P965" s="13">
        <v>952</v>
      </c>
      <c r="Q965" s="22">
        <v>3.3130226299941334E-2</v>
      </c>
      <c r="R965" s="19">
        <f t="shared" si="105"/>
        <v>3.3897804190851533E-2</v>
      </c>
      <c r="S965" s="22">
        <v>3.9989550540279639E-2</v>
      </c>
      <c r="T965" s="19">
        <f t="shared" si="106"/>
        <v>4.2990142689671051E-2</v>
      </c>
      <c r="U965" s="24">
        <v>4.1564639044485263E-2</v>
      </c>
      <c r="V965" s="24">
        <f t="shared" si="107"/>
        <v>4.2986911286607254E-2</v>
      </c>
      <c r="W965" s="23">
        <f t="shared" si="108"/>
        <v>3.5135344278929281E-3</v>
      </c>
      <c r="X965" s="24">
        <v>4.1245781028234063E-2</v>
      </c>
      <c r="Y965" s="24">
        <f t="shared" si="109"/>
        <v>4.2987821166097229E-2</v>
      </c>
      <c r="Z965" s="23">
        <f t="shared" si="110"/>
        <v>3.5136077168165247E-3</v>
      </c>
      <c r="AA965" s="36"/>
    </row>
    <row r="966" spans="15:27" ht="17.100000000000001" customHeight="1" x14ac:dyDescent="0.3">
      <c r="O966" s="12">
        <f t="shared" si="104"/>
        <v>79.416666666666671</v>
      </c>
      <c r="P966" s="13">
        <v>953</v>
      </c>
      <c r="Q966" s="22">
        <v>3.3131031434453284E-2</v>
      </c>
      <c r="R966" s="19">
        <f t="shared" si="105"/>
        <v>3.3899068970403956E-2</v>
      </c>
      <c r="S966" s="22">
        <v>3.9992694586776789E-2</v>
      </c>
      <c r="T966" s="19">
        <f t="shared" si="106"/>
        <v>4.2990240413740333E-2</v>
      </c>
      <c r="U966" s="24">
        <v>4.1566130443305482E-2</v>
      </c>
      <c r="V966" s="24">
        <f t="shared" si="107"/>
        <v>4.2987025232024134E-2</v>
      </c>
      <c r="W966" s="23">
        <f t="shared" si="108"/>
        <v>3.5135436440671963E-3</v>
      </c>
      <c r="X966" s="24">
        <v>4.1247607456398772E-2</v>
      </c>
      <c r="Y966" s="24">
        <f t="shared" si="109"/>
        <v>4.298793093101394E-2</v>
      </c>
      <c r="Z966" s="23">
        <f t="shared" si="110"/>
        <v>3.5136165976852318E-3</v>
      </c>
      <c r="AA966" s="36"/>
    </row>
    <row r="967" spans="15:27" ht="17.100000000000001" customHeight="1" x14ac:dyDescent="0.3">
      <c r="O967" s="12">
        <f t="shared" si="104"/>
        <v>79.5</v>
      </c>
      <c r="P967" s="13">
        <v>954</v>
      </c>
      <c r="Q967" s="22">
        <v>3.3131836206459431E-2</v>
      </c>
      <c r="R967" s="19">
        <f t="shared" si="105"/>
        <v>3.3900323225734219E-2</v>
      </c>
      <c r="S967" s="22">
        <v>3.9995832153598476E-2</v>
      </c>
      <c r="T967" s="19">
        <f t="shared" si="106"/>
        <v>4.2990337167379433E-2</v>
      </c>
      <c r="U967" s="24">
        <v>4.1567618836909404E-2</v>
      </c>
      <c r="V967" s="24">
        <f t="shared" si="107"/>
        <v>4.2987138183714801E-2</v>
      </c>
      <c r="W967" s="23">
        <f t="shared" si="108"/>
        <v>3.5135527801488653E-3</v>
      </c>
      <c r="X967" s="24">
        <v>4.124943017363325E-2</v>
      </c>
      <c r="Y967" s="24">
        <f t="shared" si="109"/>
        <v>4.2988039705388781E-2</v>
      </c>
      <c r="Z967" s="23">
        <f t="shared" si="110"/>
        <v>3.5136253985696975E-3</v>
      </c>
      <c r="AA967" s="36"/>
    </row>
    <row r="968" spans="15:27" ht="17.100000000000001" customHeight="1" x14ac:dyDescent="0.3">
      <c r="O968" s="12">
        <f t="shared" si="104"/>
        <v>79.583333333333329</v>
      </c>
      <c r="P968" s="13">
        <v>955</v>
      </c>
      <c r="Q968" s="22">
        <v>3.3132640606086117E-2</v>
      </c>
      <c r="R968" s="19">
        <f t="shared" si="105"/>
        <v>3.3901567043147285E-2</v>
      </c>
      <c r="S968" s="22">
        <v>3.9998963260057918E-2</v>
      </c>
      <c r="T968" s="19">
        <f t="shared" si="106"/>
        <v>4.2990432962396019E-2</v>
      </c>
      <c r="U968" s="24">
        <v>4.1569104233692089E-2</v>
      </c>
      <c r="V968" s="24">
        <f t="shared" si="107"/>
        <v>4.2987250152501044E-2</v>
      </c>
      <c r="W968" s="23">
        <f t="shared" si="108"/>
        <v>3.5135618365531585E-3</v>
      </c>
      <c r="X968" s="24">
        <v>4.1251249190549677E-2</v>
      </c>
      <c r="Y968" s="24">
        <f t="shared" si="109"/>
        <v>4.2988147499944729E-2</v>
      </c>
      <c r="Z968" s="23">
        <f t="shared" si="110"/>
        <v>3.5136341200323606E-3</v>
      </c>
      <c r="AA968" s="36"/>
    </row>
    <row r="969" spans="15:27" ht="17.100000000000001" customHeight="1" x14ac:dyDescent="0.3">
      <c r="O969" s="12">
        <f t="shared" si="104"/>
        <v>79.666666666666671</v>
      </c>
      <c r="P969" s="13">
        <v>956</v>
      </c>
      <c r="Q969" s="22">
        <v>3.3133444623591135E-2</v>
      </c>
      <c r="R969" s="19">
        <f t="shared" si="105"/>
        <v>3.3902800510302145E-2</v>
      </c>
      <c r="S969" s="22">
        <v>4.0002087925399499E-2</v>
      </c>
      <c r="T969" s="19">
        <f t="shared" si="106"/>
        <v>4.2990527807545309E-2</v>
      </c>
      <c r="U969" s="24">
        <v>4.1570586642024843E-2</v>
      </c>
      <c r="V969" s="24">
        <f t="shared" si="107"/>
        <v>4.2987361146861414E-2</v>
      </c>
      <c r="W969" s="23">
        <f t="shared" si="108"/>
        <v>3.5135708141478261E-3</v>
      </c>
      <c r="X969" s="24">
        <v>4.1253064517727367E-2</v>
      </c>
      <c r="Y969" s="24">
        <f t="shared" si="109"/>
        <v>4.29882543225939E-2</v>
      </c>
      <c r="Z969" s="23">
        <f t="shared" si="110"/>
        <v>3.513642762932756E-3</v>
      </c>
      <c r="AA969" s="36"/>
    </row>
    <row r="970" spans="15:27" ht="17.100000000000001" customHeight="1" x14ac:dyDescent="0.3">
      <c r="O970" s="12">
        <f t="shared" si="104"/>
        <v>79.75</v>
      </c>
      <c r="P970" s="13">
        <v>957</v>
      </c>
      <c r="Q970" s="22">
        <v>3.3134248249364617E-2</v>
      </c>
      <c r="R970" s="19">
        <f t="shared" si="105"/>
        <v>3.3904023714356191E-2</v>
      </c>
      <c r="S970" s="22">
        <v>4.000520616879677E-2</v>
      </c>
      <c r="T970" s="19">
        <f t="shared" si="106"/>
        <v>4.2990621712599708E-2</v>
      </c>
      <c r="U970" s="24">
        <v>4.1572066070252989E-2</v>
      </c>
      <c r="V970" s="24">
        <f t="shared" si="107"/>
        <v>4.2987471174288583E-2</v>
      </c>
      <c r="W970" s="23">
        <f t="shared" si="108"/>
        <v>3.5135797136127689E-3</v>
      </c>
      <c r="X970" s="24">
        <v>4.1254876165709664E-2</v>
      </c>
      <c r="Y970" s="24">
        <f t="shared" si="109"/>
        <v>4.2988360182845131E-2</v>
      </c>
      <c r="Z970" s="23">
        <f t="shared" si="110"/>
        <v>3.5136513279054871E-3</v>
      </c>
      <c r="AA970" s="36"/>
    </row>
    <row r="971" spans="15:27" ht="17.100000000000001" customHeight="1" x14ac:dyDescent="0.3">
      <c r="O971" s="12">
        <f t="shared" si="104"/>
        <v>79.833333333333329</v>
      </c>
      <c r="P971" s="13">
        <v>958</v>
      </c>
      <c r="Q971" s="22">
        <v>3.3135051473927701E-2</v>
      </c>
      <c r="R971" s="19">
        <f t="shared" si="105"/>
        <v>3.3905236739885991E-2</v>
      </c>
      <c r="S971" s="22">
        <v>4.0008318009353117E-2</v>
      </c>
      <c r="T971" s="19">
        <f t="shared" si="106"/>
        <v>4.2990714686563569E-2</v>
      </c>
      <c r="U971" s="24">
        <v>4.1573542526694762E-2</v>
      </c>
      <c r="V971" s="24">
        <f t="shared" si="107"/>
        <v>4.2987580244089774E-2</v>
      </c>
      <c r="W971" s="23">
        <f t="shared" si="108"/>
        <v>3.5135885355488394E-3</v>
      </c>
      <c r="X971" s="24">
        <v>4.125668414500594E-2</v>
      </c>
      <c r="Y971" s="24">
        <f t="shared" si="109"/>
        <v>4.2988465088792172E-2</v>
      </c>
      <c r="Z971" s="23">
        <f t="shared" si="110"/>
        <v>3.513659815713055E-3</v>
      </c>
      <c r="AA971" s="36"/>
    </row>
    <row r="972" spans="15:27" ht="17.100000000000001" customHeight="1" x14ac:dyDescent="0.3">
      <c r="O972" s="12">
        <f t="shared" si="104"/>
        <v>79.916666666666671</v>
      </c>
      <c r="P972" s="13">
        <v>959</v>
      </c>
      <c r="Q972" s="22">
        <v>3.3135854287929201E-2</v>
      </c>
      <c r="R972" s="19">
        <f t="shared" si="105"/>
        <v>3.3906439672512612E-2</v>
      </c>
      <c r="S972" s="22">
        <v>4.0011423466101981E-2</v>
      </c>
      <c r="T972" s="19">
        <f t="shared" si="106"/>
        <v>4.2990806738262277E-2</v>
      </c>
      <c r="U972" s="24">
        <v>4.1575016019643307E-2</v>
      </c>
      <c r="V972" s="24">
        <f t="shared" si="107"/>
        <v>4.2987688363948173E-2</v>
      </c>
      <c r="W972" s="23">
        <f t="shared" si="108"/>
        <v>3.5135972807018856E-3</v>
      </c>
      <c r="X972" s="24">
        <v>4.1258488466090038E-2</v>
      </c>
      <c r="Y972" s="24">
        <f t="shared" si="109"/>
        <v>4.2988569048553416E-2</v>
      </c>
      <c r="Z972" s="23">
        <f t="shared" si="110"/>
        <v>3.5136682270042741E-3</v>
      </c>
      <c r="AA972" s="36"/>
    </row>
    <row r="973" spans="15:27" ht="17.100000000000001" customHeight="1" x14ac:dyDescent="0.3">
      <c r="O973" s="12">
        <f t="shared" si="104"/>
        <v>80</v>
      </c>
      <c r="P973" s="13">
        <v>960</v>
      </c>
      <c r="Q973" s="22">
        <v>3.3136656682146048E-2</v>
      </c>
      <c r="R973" s="19">
        <f t="shared" si="105"/>
        <v>3.390763259568641E-2</v>
      </c>
      <c r="S973" s="22">
        <v>4.001452255800686E-2</v>
      </c>
      <c r="T973" s="19">
        <f t="shared" si="106"/>
        <v>4.2990897877841716E-2</v>
      </c>
      <c r="U973" s="24">
        <v>4.1576486557365344E-2</v>
      </c>
      <c r="V973" s="24">
        <f t="shared" si="107"/>
        <v>4.2987795543226515E-2</v>
      </c>
      <c r="W973" s="23">
        <f t="shared" si="108"/>
        <v>3.5136059496885252E-3</v>
      </c>
      <c r="X973" s="24">
        <v>4.1260289139400719E-2</v>
      </c>
      <c r="Y973" s="24">
        <f t="shared" si="109"/>
        <v>4.2988672072085343E-2</v>
      </c>
      <c r="Z973" s="23">
        <f t="shared" si="110"/>
        <v>3.5136765624299571E-3</v>
      </c>
      <c r="AA973" s="36"/>
    </row>
    <row r="974" spans="15:27" ht="17.100000000000001" customHeight="1" x14ac:dyDescent="0.3">
      <c r="O974" s="12">
        <f t="shared" ref="O974:O1037" si="111">P974/12</f>
        <v>80.083333333333329</v>
      </c>
      <c r="P974" s="13">
        <v>961</v>
      </c>
      <c r="Q974" s="22">
        <v>3.3137458647480189E-2</v>
      </c>
      <c r="R974" s="19">
        <f t="shared" ref="R974:R1037" si="112">(1+Q975)^P975/(1+Q974)^P974-1</f>
        <v>3.3908815593507224E-2</v>
      </c>
      <c r="S974" s="22">
        <v>4.0017615303962639E-2</v>
      </c>
      <c r="T974" s="19">
        <f t="shared" ref="T974:T1037" si="113">(1+S975)^P975/(1+S974)^P974-1</f>
        <v>4.2990988114168571E-2</v>
      </c>
      <c r="U974" s="24">
        <v>4.1577954148102947E-2</v>
      </c>
      <c r="V974" s="24">
        <f t="shared" ref="V974:V1037" si="114">(1+U975)^P975/(1+U974)^P974-1</f>
        <v>4.2987901788868133E-2</v>
      </c>
      <c r="W974" s="23">
        <f t="shared" si="108"/>
        <v>3.5136145432590471E-3</v>
      </c>
      <c r="X974" s="24">
        <v>4.1262086175343438E-2</v>
      </c>
      <c r="Y974" s="24">
        <f t="shared" si="109"/>
        <v>4.298877416671365E-2</v>
      </c>
      <c r="Z974" s="23">
        <f t="shared" si="110"/>
        <v>3.5136848227890205E-3</v>
      </c>
      <c r="AA974" s="36"/>
    </row>
    <row r="975" spans="15:27" ht="17.100000000000001" customHeight="1" x14ac:dyDescent="0.3">
      <c r="O975" s="12">
        <f t="shared" si="111"/>
        <v>80.166666666666671</v>
      </c>
      <c r="P975" s="13">
        <v>962</v>
      </c>
      <c r="Q975" s="22">
        <v>3.3138260174959022E-2</v>
      </c>
      <c r="R975" s="19">
        <f t="shared" si="112"/>
        <v>3.3909988748892728E-2</v>
      </c>
      <c r="S975" s="22">
        <v>4.0020701722795149E-2</v>
      </c>
      <c r="T975" s="19">
        <f t="shared" si="113"/>
        <v>4.2991077454736848E-2</v>
      </c>
      <c r="U975" s="24">
        <v>4.15794188000711E-2</v>
      </c>
      <c r="V975" s="24">
        <f t="shared" si="114"/>
        <v>4.2988007108938797E-2</v>
      </c>
      <c r="W975" s="23">
        <f t="shared" ref="W975:W1038" si="115">(1+V974)^(1/12)-1</f>
        <v>3.513623061970339E-3</v>
      </c>
      <c r="X975" s="24">
        <v>4.1263879584288565E-2</v>
      </c>
      <c r="Y975" s="24">
        <f t="shared" ref="Y975:Y1038" si="116">(1+X976)^P976/(1+X975)^P975-1</f>
        <v>4.2988875340761679E-2</v>
      </c>
      <c r="Z975" s="23">
        <f t="shared" ref="Z975:Z1038" si="117">(1+Y974)^(1/12)-1</f>
        <v>3.5136930086681062E-3</v>
      </c>
      <c r="AA975" s="36"/>
    </row>
    <row r="976" spans="15:27" ht="17.100000000000001" customHeight="1" x14ac:dyDescent="0.3">
      <c r="O976" s="12">
        <f t="shared" si="111"/>
        <v>80.25</v>
      </c>
      <c r="P976" s="13">
        <v>963</v>
      </c>
      <c r="Q976" s="22">
        <v>3.3139061255733182E-2</v>
      </c>
      <c r="R976" s="19">
        <f t="shared" si="112"/>
        <v>3.3911152143584644E-2</v>
      </c>
      <c r="S976" s="22">
        <v>4.0023781833260053E-2</v>
      </c>
      <c r="T976" s="19">
        <f t="shared" si="113"/>
        <v>4.2991165910461371E-2</v>
      </c>
      <c r="U976" s="24">
        <v>4.1580880521459029E-2</v>
      </c>
      <c r="V976" s="24">
        <f t="shared" si="114"/>
        <v>4.2988111512852978E-2</v>
      </c>
      <c r="W976" s="23">
        <f t="shared" si="115"/>
        <v>3.5136315064689949E-3</v>
      </c>
      <c r="X976" s="24">
        <v>4.126566937657139E-2</v>
      </c>
      <c r="Y976" s="24">
        <f t="shared" si="116"/>
        <v>4.2988975603238666E-2</v>
      </c>
      <c r="Z976" s="23">
        <f t="shared" si="117"/>
        <v>3.5137011207351243E-3</v>
      </c>
      <c r="AA976" s="36"/>
    </row>
    <row r="977" spans="15:27" ht="17.100000000000001" customHeight="1" x14ac:dyDescent="0.3">
      <c r="O977" s="12">
        <f t="shared" si="111"/>
        <v>80.333333333333329</v>
      </c>
      <c r="P977" s="13">
        <v>964</v>
      </c>
      <c r="Q977" s="22">
        <v>3.3139861881074539E-2</v>
      </c>
      <c r="R977" s="19">
        <f t="shared" si="112"/>
        <v>3.3912305858667224E-2</v>
      </c>
      <c r="S977" s="22">
        <v>4.0026855654045956E-2</v>
      </c>
      <c r="T977" s="19">
        <f t="shared" si="113"/>
        <v>4.2991253488803505E-2</v>
      </c>
      <c r="U977" s="24">
        <v>4.158233932043176E-2</v>
      </c>
      <c r="V977" s="24">
        <f t="shared" si="114"/>
        <v>4.2988215007366382E-2</v>
      </c>
      <c r="W977" s="23">
        <f t="shared" si="115"/>
        <v>3.5136398775101885E-3</v>
      </c>
      <c r="X977" s="24">
        <v>4.1267455562494115E-2</v>
      </c>
      <c r="Y977" s="24">
        <f t="shared" si="116"/>
        <v>4.2989074962151763E-2</v>
      </c>
      <c r="Z977" s="23">
        <f t="shared" si="117"/>
        <v>3.513709159712386E-3</v>
      </c>
      <c r="AA977" s="36"/>
    </row>
    <row r="978" spans="15:27" ht="17.100000000000001" customHeight="1" x14ac:dyDescent="0.3">
      <c r="O978" s="12">
        <f t="shared" si="111"/>
        <v>80.416666666666671</v>
      </c>
      <c r="P978" s="13">
        <v>965</v>
      </c>
      <c r="Q978" s="22">
        <v>3.3140662042375313E-2</v>
      </c>
      <c r="R978" s="19">
        <f t="shared" si="112"/>
        <v>3.3913449975583099E-2</v>
      </c>
      <c r="S978" s="22">
        <v>4.0029923203772633E-2</v>
      </c>
      <c r="T978" s="19">
        <f t="shared" si="113"/>
        <v>4.2991340199196149E-2</v>
      </c>
      <c r="U978" s="24">
        <v>4.158379520512745E-2</v>
      </c>
      <c r="V978" s="24">
        <f t="shared" si="114"/>
        <v>4.2988317600955117E-2</v>
      </c>
      <c r="W978" s="23">
        <f t="shared" si="115"/>
        <v>3.5136481756352644E-3</v>
      </c>
      <c r="X978" s="24">
        <v>4.1269238152324528E-2</v>
      </c>
      <c r="Y978" s="24">
        <f t="shared" si="116"/>
        <v>4.2989173425180605E-2</v>
      </c>
      <c r="Z978" s="23">
        <f t="shared" si="117"/>
        <v>3.5137171262416E-3</v>
      </c>
      <c r="AA978" s="36"/>
    </row>
    <row r="979" spans="15:27" ht="17.100000000000001" customHeight="1" x14ac:dyDescent="0.3">
      <c r="O979" s="12">
        <f t="shared" si="111"/>
        <v>80.5</v>
      </c>
      <c r="P979" s="13">
        <v>966</v>
      </c>
      <c r="Q979" s="22">
        <v>3.3141461731147626E-2</v>
      </c>
      <c r="R979" s="19">
        <f t="shared" si="112"/>
        <v>3.3914584574140649E-2</v>
      </c>
      <c r="S979" s="22">
        <v>4.0032984500991908E-2</v>
      </c>
      <c r="T979" s="19">
        <f t="shared" si="113"/>
        <v>4.2991426049218573E-2</v>
      </c>
      <c r="U979" s="24">
        <v>4.1585248183659607E-2</v>
      </c>
      <c r="V979" s="24">
        <f t="shared" si="114"/>
        <v>4.2988419301347891E-2</v>
      </c>
      <c r="W979" s="23">
        <f t="shared" si="115"/>
        <v>3.5136564015243454E-3</v>
      </c>
      <c r="X979" s="24">
        <v>4.1271017156295553E-2</v>
      </c>
      <c r="Y979" s="24">
        <f t="shared" si="116"/>
        <v>4.2989271000884788E-2</v>
      </c>
      <c r="Z979" s="23">
        <f t="shared" si="117"/>
        <v>3.5137250209389403E-3</v>
      </c>
      <c r="AA979" s="36"/>
    </row>
    <row r="980" spans="15:27" ht="17.100000000000001" customHeight="1" x14ac:dyDescent="0.3">
      <c r="O980" s="12">
        <f t="shared" si="111"/>
        <v>80.583333333333329</v>
      </c>
      <c r="P980" s="13">
        <v>967</v>
      </c>
      <c r="Q980" s="22">
        <v>3.3142260939021062E-2</v>
      </c>
      <c r="R980" s="19">
        <f t="shared" si="112"/>
        <v>3.3915709733586485E-2</v>
      </c>
      <c r="S980" s="22">
        <v>4.003603956418722E-2</v>
      </c>
      <c r="T980" s="19">
        <f t="shared" si="113"/>
        <v>4.2991511048623199E-2</v>
      </c>
      <c r="U980" s="24">
        <v>4.1586698264115762E-2</v>
      </c>
      <c r="V980" s="24">
        <f t="shared" si="114"/>
        <v>4.2988520116045814E-2</v>
      </c>
      <c r="W980" s="23">
        <f t="shared" si="115"/>
        <v>3.5136645557964918E-3</v>
      </c>
      <c r="X980" s="24">
        <v>4.1272792584607032E-2</v>
      </c>
      <c r="Y980" s="24">
        <f t="shared" si="116"/>
        <v>4.2989367696792291E-2</v>
      </c>
      <c r="Z980" s="23">
        <f t="shared" si="117"/>
        <v>3.5137328444905247E-3</v>
      </c>
      <c r="AA980" s="36"/>
    </row>
    <row r="981" spans="15:27" ht="17.100000000000001" customHeight="1" x14ac:dyDescent="0.3">
      <c r="O981" s="12">
        <f t="shared" si="111"/>
        <v>80.666666666666671</v>
      </c>
      <c r="P981" s="13">
        <v>968</v>
      </c>
      <c r="Q981" s="22">
        <v>3.3143059657741558E-2</v>
      </c>
      <c r="R981" s="19">
        <f t="shared" si="112"/>
        <v>3.391682553263542E-2</v>
      </c>
      <c r="S981" s="22">
        <v>4.0039088411775614E-2</v>
      </c>
      <c r="T981" s="19">
        <f t="shared" si="113"/>
        <v>4.2991595205577937E-2</v>
      </c>
      <c r="U981" s="24">
        <v>4.1588145454557912E-2</v>
      </c>
      <c r="V981" s="24">
        <f t="shared" si="114"/>
        <v>4.2988620053813875E-2</v>
      </c>
      <c r="W981" s="23">
        <f t="shared" si="115"/>
        <v>3.5136726390536666E-3</v>
      </c>
      <c r="X981" s="24">
        <v>4.1274564447424389E-2</v>
      </c>
      <c r="Y981" s="24">
        <f t="shared" si="116"/>
        <v>4.2989463521786453E-2</v>
      </c>
      <c r="Z981" s="23">
        <f t="shared" si="117"/>
        <v>3.5137405974998703E-3</v>
      </c>
      <c r="AA981" s="36"/>
    </row>
    <row r="982" spans="15:27" ht="17.100000000000001" customHeight="1" x14ac:dyDescent="0.3">
      <c r="O982" s="12">
        <f t="shared" si="111"/>
        <v>80.75</v>
      </c>
      <c r="P982" s="13">
        <v>969</v>
      </c>
      <c r="Q982" s="22">
        <v>3.3143857879170735E-2</v>
      </c>
      <c r="R982" s="19">
        <f t="shared" si="112"/>
        <v>3.3917932049458921E-2</v>
      </c>
      <c r="S982" s="22">
        <v>4.0042131062106634E-2</v>
      </c>
      <c r="T982" s="19">
        <f t="shared" si="113"/>
        <v>4.2991678527952049E-2</v>
      </c>
      <c r="U982" s="24">
        <v>4.1589589763024071E-2</v>
      </c>
      <c r="V982" s="24">
        <f t="shared" si="114"/>
        <v>4.2988719120881314E-2</v>
      </c>
      <c r="W982" s="23">
        <f t="shared" si="115"/>
        <v>3.5136806519984187E-3</v>
      </c>
      <c r="X982" s="24">
        <v>4.1276332754879963E-2</v>
      </c>
      <c r="Y982" s="24">
        <f t="shared" si="116"/>
        <v>4.2989558482484425E-2</v>
      </c>
      <c r="Z982" s="23">
        <f t="shared" si="117"/>
        <v>3.5137482806792963E-3</v>
      </c>
      <c r="AA982" s="36"/>
    </row>
    <row r="983" spans="15:27" ht="17.100000000000001" customHeight="1" x14ac:dyDescent="0.3">
      <c r="O983" s="12">
        <f t="shared" si="111"/>
        <v>80.833333333333329</v>
      </c>
      <c r="P983" s="13">
        <v>970</v>
      </c>
      <c r="Q983" s="22">
        <v>3.3144655595283679E-2</v>
      </c>
      <c r="R983" s="19">
        <f t="shared" si="112"/>
        <v>3.3919029362017072E-2</v>
      </c>
      <c r="S983" s="22">
        <v>4.0045167533462322E-2</v>
      </c>
      <c r="T983" s="19">
        <f t="shared" si="113"/>
        <v>4.2991761023837727E-2</v>
      </c>
      <c r="U983" s="24">
        <v>4.1591031197525385E-2</v>
      </c>
      <c r="V983" s="24">
        <f t="shared" si="114"/>
        <v>4.2988817325533502E-2</v>
      </c>
      <c r="W983" s="23">
        <f t="shared" si="115"/>
        <v>3.5136885951301267E-3</v>
      </c>
      <c r="X983" s="24">
        <v>4.1278097517071455E-2</v>
      </c>
      <c r="Y983" s="24">
        <f t="shared" si="116"/>
        <v>4.2989652587181348E-2</v>
      </c>
      <c r="Z983" s="23">
        <f t="shared" si="117"/>
        <v>3.5137558945594893E-3</v>
      </c>
      <c r="AA983" s="36"/>
    </row>
    <row r="984" spans="15:27" ht="17.100000000000001" customHeight="1" x14ac:dyDescent="0.3">
      <c r="O984" s="12">
        <f t="shared" si="111"/>
        <v>80.916666666666671</v>
      </c>
      <c r="P984" s="13">
        <v>971</v>
      </c>
      <c r="Q984" s="22">
        <v>3.3145452798169162E-2</v>
      </c>
      <c r="R984" s="19">
        <f t="shared" si="112"/>
        <v>3.3920117545482853E-2</v>
      </c>
      <c r="S984" s="22">
        <v>4.0048197844057665E-2</v>
      </c>
      <c r="T984" s="19">
        <f t="shared" si="113"/>
        <v>4.2991842702233773E-2</v>
      </c>
      <c r="U984" s="24">
        <v>4.1592469766048357E-2</v>
      </c>
      <c r="V984" s="24">
        <f t="shared" si="114"/>
        <v>4.298891467461563E-2</v>
      </c>
      <c r="W984" s="23">
        <f t="shared" si="115"/>
        <v>3.5136964691133699E-3</v>
      </c>
      <c r="X984" s="24">
        <v>4.127985874406348E-2</v>
      </c>
      <c r="Y984" s="24">
        <f t="shared" si="116"/>
        <v>4.298974584437909E-2</v>
      </c>
      <c r="Z984" s="23">
        <f t="shared" si="117"/>
        <v>3.5137634398054729E-3</v>
      </c>
      <c r="AA984" s="36"/>
    </row>
    <row r="985" spans="15:27" ht="17.100000000000001" customHeight="1" x14ac:dyDescent="0.3">
      <c r="O985" s="12">
        <f t="shared" si="111"/>
        <v>81</v>
      </c>
      <c r="P985" s="13">
        <v>972</v>
      </c>
      <c r="Q985" s="22">
        <v>3.3146249480025647E-2</v>
      </c>
      <c r="R985" s="19">
        <f t="shared" si="112"/>
        <v>3.3921196677439314E-2</v>
      </c>
      <c r="S985" s="22">
        <v>4.0051222012042587E-2</v>
      </c>
      <c r="T985" s="19">
        <f t="shared" si="113"/>
        <v>4.2991923570938839E-2</v>
      </c>
      <c r="U985" s="24">
        <v>4.159390547655395E-2</v>
      </c>
      <c r="V985" s="24">
        <f t="shared" si="114"/>
        <v>4.2989011177331449E-2</v>
      </c>
      <c r="W985" s="23">
        <f t="shared" si="115"/>
        <v>3.5137042744970426E-3</v>
      </c>
      <c r="X985" s="24">
        <v>4.1281616445887792E-2</v>
      </c>
      <c r="Y985" s="24">
        <f t="shared" si="116"/>
        <v>4.2989838260492963E-2</v>
      </c>
      <c r="Z985" s="23">
        <f t="shared" si="117"/>
        <v>3.513770917099146E-3</v>
      </c>
      <c r="AA985" s="36"/>
    </row>
    <row r="986" spans="15:27" ht="17.100000000000001" customHeight="1" x14ac:dyDescent="0.3">
      <c r="O986" s="12">
        <f t="shared" si="111"/>
        <v>81.083333333333329</v>
      </c>
      <c r="P986" s="13">
        <v>973</v>
      </c>
      <c r="Q986" s="22">
        <v>3.3147045633163508E-2</v>
      </c>
      <c r="R986" s="19">
        <f t="shared" si="112"/>
        <v>3.3922266833154247E-2</v>
      </c>
      <c r="S986" s="22">
        <v>4.0054240055499735E-2</v>
      </c>
      <c r="T986" s="19">
        <f t="shared" si="113"/>
        <v>4.2992003637902121E-2</v>
      </c>
      <c r="U986" s="24">
        <v>4.1595338336979815E-2</v>
      </c>
      <c r="V986" s="24">
        <f t="shared" si="114"/>
        <v>4.2989106839393942E-2</v>
      </c>
      <c r="W986" s="23">
        <f t="shared" si="115"/>
        <v>3.513712012018777E-3</v>
      </c>
      <c r="X986" s="24">
        <v>4.1283370632541949E-2</v>
      </c>
      <c r="Y986" s="24">
        <f t="shared" si="116"/>
        <v>4.2989929843944674E-2</v>
      </c>
      <c r="Z986" s="23">
        <f t="shared" si="117"/>
        <v>3.513778326954542E-3</v>
      </c>
      <c r="AA986" s="36"/>
    </row>
    <row r="987" spans="15:27" ht="17.100000000000001" customHeight="1" x14ac:dyDescent="0.3">
      <c r="O987" s="12">
        <f t="shared" si="111"/>
        <v>81.166666666666671</v>
      </c>
      <c r="P987" s="13">
        <v>974</v>
      </c>
      <c r="Q987" s="22">
        <v>3.3147841250001697E-2</v>
      </c>
      <c r="R987" s="19">
        <f t="shared" si="112"/>
        <v>3.3923328086478355E-2</v>
      </c>
      <c r="S987" s="22">
        <v>4.0057251992446252E-2</v>
      </c>
      <c r="T987" s="19">
        <f t="shared" si="113"/>
        <v>4.2992082910743967E-2</v>
      </c>
      <c r="U987" s="24">
        <v>4.1596768355236735E-2</v>
      </c>
      <c r="V987" s="24">
        <f t="shared" si="114"/>
        <v>4.2989201668175658E-2</v>
      </c>
      <c r="W987" s="23">
        <f t="shared" si="115"/>
        <v>3.5137196821368732E-3</v>
      </c>
      <c r="X987" s="24">
        <v>4.1285121313990647E-2</v>
      </c>
      <c r="Y987" s="24">
        <f t="shared" si="116"/>
        <v>4.299002060164181E-2</v>
      </c>
      <c r="Z987" s="23">
        <f t="shared" si="117"/>
        <v>3.5137856700471204E-3</v>
      </c>
      <c r="AA987" s="36"/>
    </row>
    <row r="988" spans="15:27" ht="17.100000000000001" customHeight="1" x14ac:dyDescent="0.3">
      <c r="O988" s="12">
        <f t="shared" si="111"/>
        <v>81.25</v>
      </c>
      <c r="P988" s="13">
        <v>975</v>
      </c>
      <c r="Q988" s="22">
        <v>3.3148636323066194E-2</v>
      </c>
      <c r="R988" s="19">
        <f t="shared" si="112"/>
        <v>3.3924380513150387E-2</v>
      </c>
      <c r="S988" s="22">
        <v>4.0060257840833113E-2</v>
      </c>
      <c r="T988" s="19">
        <f t="shared" si="113"/>
        <v>4.2992161397551687E-2</v>
      </c>
      <c r="U988" s="24">
        <v>4.1598195539210625E-2</v>
      </c>
      <c r="V988" s="24">
        <f t="shared" si="114"/>
        <v>4.298929567152765E-2</v>
      </c>
      <c r="W988" s="23">
        <f t="shared" si="115"/>
        <v>3.513727285442636E-3</v>
      </c>
      <c r="X988" s="24">
        <v>4.1286868500165053E-2</v>
      </c>
      <c r="Y988" s="24">
        <f t="shared" si="116"/>
        <v>4.2990110541317073E-2</v>
      </c>
      <c r="Z988" s="23">
        <f t="shared" si="117"/>
        <v>3.5137929469308826E-3</v>
      </c>
      <c r="AA988" s="36"/>
    </row>
    <row r="989" spans="15:27" ht="17.100000000000001" customHeight="1" x14ac:dyDescent="0.3">
      <c r="O989" s="12">
        <f t="shared" si="111"/>
        <v>81.333333333333329</v>
      </c>
      <c r="P989" s="13">
        <v>976</v>
      </c>
      <c r="Q989" s="22">
        <v>3.314943084499089E-2</v>
      </c>
      <c r="R989" s="19">
        <f t="shared" si="112"/>
        <v>3.3925424185622832E-2</v>
      </c>
      <c r="S989" s="22">
        <v>4.0063257618546011E-2</v>
      </c>
      <c r="T989" s="19">
        <f t="shared" si="113"/>
        <v>4.2992239106821817E-2</v>
      </c>
      <c r="U989" s="24">
        <v>4.1599619896763418E-2</v>
      </c>
      <c r="V989" s="24">
        <f t="shared" si="114"/>
        <v>4.2989388857339383E-2</v>
      </c>
      <c r="W989" s="23">
        <f t="shared" si="115"/>
        <v>3.5137348225651177E-3</v>
      </c>
      <c r="X989" s="24">
        <v>4.128861220096347E-2</v>
      </c>
      <c r="Y989" s="24">
        <f t="shared" si="116"/>
        <v>4.2990199670485563E-2</v>
      </c>
      <c r="Z989" s="23">
        <f t="shared" si="117"/>
        <v>3.5138001582255551E-3</v>
      </c>
      <c r="AA989" s="36"/>
    </row>
    <row r="990" spans="15:27" ht="17.100000000000001" customHeight="1" x14ac:dyDescent="0.3">
      <c r="O990" s="12">
        <f t="shared" si="111"/>
        <v>81.416666666666671</v>
      </c>
      <c r="P990" s="13">
        <v>977</v>
      </c>
      <c r="Q990" s="22">
        <v>3.3150224808514039E-2</v>
      </c>
      <c r="R990" s="19">
        <f t="shared" si="112"/>
        <v>3.3926459177150647E-2</v>
      </c>
      <c r="S990" s="22">
        <v>4.0066251343406245E-2</v>
      </c>
      <c r="T990" s="19">
        <f t="shared" si="113"/>
        <v>4.299231604523257E-2</v>
      </c>
      <c r="U990" s="24">
        <v>4.16010414357324E-2</v>
      </c>
      <c r="V990" s="24">
        <f t="shared" si="114"/>
        <v>4.2989481230518711E-2</v>
      </c>
      <c r="W990" s="23">
        <f t="shared" si="115"/>
        <v>3.5137422941373675E-3</v>
      </c>
      <c r="X990" s="24">
        <v>4.1290352426251564E-2</v>
      </c>
      <c r="Y990" s="24">
        <f t="shared" si="116"/>
        <v>4.2990287996295784E-2</v>
      </c>
      <c r="Z990" s="23">
        <f t="shared" si="117"/>
        <v>3.513807304533989E-3</v>
      </c>
      <c r="AA990" s="36"/>
    </row>
    <row r="991" spans="15:27" ht="17.100000000000001" customHeight="1" x14ac:dyDescent="0.3">
      <c r="O991" s="12">
        <f t="shared" si="111"/>
        <v>81.5</v>
      </c>
      <c r="P991" s="13">
        <v>978</v>
      </c>
      <c r="Q991" s="22">
        <v>3.31510182064787E-2</v>
      </c>
      <c r="R991" s="19">
        <f t="shared" si="112"/>
        <v>3.3927485560235393E-2</v>
      </c>
      <c r="S991" s="22">
        <v>4.0069239033169168E-2</v>
      </c>
      <c r="T991" s="19">
        <f t="shared" si="113"/>
        <v>4.2992392220964737E-2</v>
      </c>
      <c r="U991" s="24">
        <v>4.1602460163928434E-2</v>
      </c>
      <c r="V991" s="24">
        <f t="shared" si="114"/>
        <v>4.2989572799962961E-2</v>
      </c>
      <c r="W991" s="23">
        <f t="shared" si="115"/>
        <v>3.5137497005526264E-3</v>
      </c>
      <c r="X991" s="24">
        <v>4.1292089185861691E-2</v>
      </c>
      <c r="Y991" s="24">
        <f t="shared" si="116"/>
        <v>4.2990375525850721E-2</v>
      </c>
      <c r="Z991" s="23">
        <f t="shared" si="117"/>
        <v>3.5138143864290594E-3</v>
      </c>
      <c r="AA991" s="36"/>
    </row>
    <row r="992" spans="15:27" ht="17.100000000000001" customHeight="1" x14ac:dyDescent="0.3">
      <c r="O992" s="12">
        <f t="shared" si="111"/>
        <v>81.583333333333329</v>
      </c>
      <c r="P992" s="13">
        <v>979</v>
      </c>
      <c r="Q992" s="22">
        <v>3.3151811031830736E-2</v>
      </c>
      <c r="R992" s="19">
        <f t="shared" si="112"/>
        <v>3.3928503406815302E-2</v>
      </c>
      <c r="S992" s="22">
        <v>4.0072220705525963E-2</v>
      </c>
      <c r="T992" s="19">
        <f t="shared" si="113"/>
        <v>4.2992467641108867E-2</v>
      </c>
      <c r="U992" s="24">
        <v>4.1603876089139291E-2</v>
      </c>
      <c r="V992" s="24">
        <f t="shared" si="114"/>
        <v>4.2989663572477577E-2</v>
      </c>
      <c r="W992" s="23">
        <f t="shared" si="115"/>
        <v>3.5137570425245457E-3</v>
      </c>
      <c r="X992" s="24">
        <v>4.1293822489593568E-2</v>
      </c>
      <c r="Y992" s="24">
        <f t="shared" si="116"/>
        <v>4.2990462266345286E-2</v>
      </c>
      <c r="Z992" s="23">
        <f t="shared" si="117"/>
        <v>3.5138214044805327E-3</v>
      </c>
      <c r="AA992" s="36"/>
    </row>
    <row r="993" spans="15:27" ht="17.100000000000001" customHeight="1" x14ac:dyDescent="0.3">
      <c r="O993" s="12">
        <f t="shared" si="111"/>
        <v>81.666666666666671</v>
      </c>
      <c r="P993" s="13">
        <v>980</v>
      </c>
      <c r="Q993" s="22">
        <v>3.3152603277618375E-2</v>
      </c>
      <c r="R993" s="19">
        <f t="shared" si="112"/>
        <v>3.3929512787161276E-2</v>
      </c>
      <c r="S993" s="22">
        <v>4.0075196378102973E-2</v>
      </c>
      <c r="T993" s="19">
        <f t="shared" si="113"/>
        <v>4.2992542314205462E-2</v>
      </c>
      <c r="U993" s="24">
        <v>4.160528921912765E-2</v>
      </c>
      <c r="V993" s="24">
        <f t="shared" si="114"/>
        <v>4.2989753554574017E-2</v>
      </c>
      <c r="W993" s="23">
        <f t="shared" si="115"/>
        <v>3.513764320598467E-3</v>
      </c>
      <c r="X993" s="24">
        <v>4.129555234721427E-2</v>
      </c>
      <c r="Y993" s="24">
        <f t="shared" si="116"/>
        <v>4.299054822584103E-2</v>
      </c>
      <c r="Z993" s="23">
        <f t="shared" si="117"/>
        <v>3.5138283592652808E-3</v>
      </c>
      <c r="AA993" s="36"/>
    </row>
    <row r="994" spans="15:27" ht="17.100000000000001" customHeight="1" x14ac:dyDescent="0.3">
      <c r="O994" s="12">
        <f t="shared" si="111"/>
        <v>81.75</v>
      </c>
      <c r="P994" s="13">
        <v>981</v>
      </c>
      <c r="Q994" s="22">
        <v>3.3153394936989988E-2</v>
      </c>
      <c r="R994" s="19">
        <f t="shared" si="112"/>
        <v>3.3930513773226201E-2</v>
      </c>
      <c r="S994" s="22">
        <v>4.0078166068463261E-2</v>
      </c>
      <c r="T994" s="19">
        <f t="shared" si="113"/>
        <v>4.2992616246741777E-2</v>
      </c>
      <c r="U994" s="24">
        <v>4.1606699561631766E-2</v>
      </c>
      <c r="V994" s="24">
        <f t="shared" si="114"/>
        <v>4.2989842753334173E-2</v>
      </c>
      <c r="W994" s="23">
        <f t="shared" si="115"/>
        <v>3.5137715352968613E-3</v>
      </c>
      <c r="X994" s="24">
        <v>4.12972787684589E-2</v>
      </c>
      <c r="Y994" s="24">
        <f t="shared" si="116"/>
        <v>4.2990633409615731E-2</v>
      </c>
      <c r="Z994" s="23">
        <f t="shared" si="117"/>
        <v>3.5138352514294535E-3</v>
      </c>
      <c r="AA994" s="36"/>
    </row>
    <row r="995" spans="15:27" ht="17.100000000000001" customHeight="1" x14ac:dyDescent="0.3">
      <c r="O995" s="12">
        <f t="shared" si="111"/>
        <v>81.833333333333329</v>
      </c>
      <c r="P995" s="13">
        <v>982</v>
      </c>
      <c r="Q995" s="22">
        <v>3.315418600319453E-2</v>
      </c>
      <c r="R995" s="19">
        <f t="shared" si="112"/>
        <v>3.3931506434059511E-2</v>
      </c>
      <c r="S995" s="22">
        <v>4.0081129794105275E-2</v>
      </c>
      <c r="T995" s="19">
        <f t="shared" si="113"/>
        <v>4.2992689445782606E-2</v>
      </c>
      <c r="U995" s="24">
        <v>4.1608107124365024E-2</v>
      </c>
      <c r="V995" s="24">
        <f t="shared" si="114"/>
        <v>4.2989931175243967E-2</v>
      </c>
      <c r="W995" s="23">
        <f t="shared" si="115"/>
        <v>3.5137786871872745E-3</v>
      </c>
      <c r="X995" s="24">
        <v>4.1299001763028809E-2</v>
      </c>
      <c r="Y995" s="24">
        <f t="shared" si="116"/>
        <v>4.29907178257527E-2</v>
      </c>
      <c r="Z995" s="23">
        <f t="shared" si="117"/>
        <v>3.5138420813964899E-3</v>
      </c>
      <c r="AA995" s="36"/>
    </row>
    <row r="996" spans="15:27" ht="17.100000000000001" customHeight="1" x14ac:dyDescent="0.3">
      <c r="O996" s="12">
        <f t="shared" si="111"/>
        <v>81.916666666666671</v>
      </c>
      <c r="P996" s="13">
        <v>983</v>
      </c>
      <c r="Q996" s="22">
        <v>3.31549764695791E-2</v>
      </c>
      <c r="R996" s="19">
        <f t="shared" si="112"/>
        <v>3.393249083868799E-2</v>
      </c>
      <c r="S996" s="22">
        <v>4.0084087572463512E-2</v>
      </c>
      <c r="T996" s="19">
        <f t="shared" si="113"/>
        <v>4.2992761919901756E-2</v>
      </c>
      <c r="U996" s="24">
        <v>4.1609511915016384E-2</v>
      </c>
      <c r="V996" s="24">
        <f t="shared" si="114"/>
        <v>4.2990018827776977E-2</v>
      </c>
      <c r="W996" s="23">
        <f t="shared" si="115"/>
        <v>3.5137857767897351E-3</v>
      </c>
      <c r="X996" s="24">
        <v>4.1300721340593816E-2</v>
      </c>
      <c r="Y996" s="24">
        <f t="shared" si="116"/>
        <v>4.2990801481611385E-2</v>
      </c>
      <c r="Z996" s="23">
        <f t="shared" si="117"/>
        <v>3.5138488498145382E-3</v>
      </c>
      <c r="AA996" s="36"/>
    </row>
    <row r="997" spans="15:27" ht="17.100000000000001" customHeight="1" x14ac:dyDescent="0.3">
      <c r="O997" s="12">
        <f t="shared" si="111"/>
        <v>82</v>
      </c>
      <c r="P997" s="13">
        <v>984</v>
      </c>
      <c r="Q997" s="22">
        <v>3.3155766329587832E-2</v>
      </c>
      <c r="R997" s="19">
        <f t="shared" si="112"/>
        <v>3.3933467057047695E-2</v>
      </c>
      <c r="S997" s="22">
        <v>4.0087039420910076E-2</v>
      </c>
      <c r="T997" s="19">
        <f t="shared" si="113"/>
        <v>4.299283367518214E-2</v>
      </c>
      <c r="U997" s="24">
        <v>4.1610913941251049E-2</v>
      </c>
      <c r="V997" s="24">
        <f t="shared" si="114"/>
        <v>4.2990105716789184E-2</v>
      </c>
      <c r="W997" s="23">
        <f t="shared" si="115"/>
        <v>3.5137928047037637E-3</v>
      </c>
      <c r="X997" s="24">
        <v>4.1302437510791989E-2</v>
      </c>
      <c r="Y997" s="24">
        <f t="shared" si="116"/>
        <v>4.2990884383196759E-2</v>
      </c>
      <c r="Z997" s="23">
        <f t="shared" si="117"/>
        <v>3.5138555572735708E-3</v>
      </c>
      <c r="AA997" s="36"/>
    </row>
    <row r="998" spans="15:27" ht="17.100000000000001" customHeight="1" x14ac:dyDescent="0.3">
      <c r="O998" s="12">
        <f t="shared" si="111"/>
        <v>82.083333333333329</v>
      </c>
      <c r="P998" s="13">
        <v>985</v>
      </c>
      <c r="Q998" s="22">
        <v>3.3156555576762337E-2</v>
      </c>
      <c r="R998" s="19">
        <f t="shared" si="112"/>
        <v>3.3934435156675713E-2</v>
      </c>
      <c r="S998" s="22">
        <v>4.0089985356753122E-2</v>
      </c>
      <c r="T998" s="19">
        <f t="shared" si="113"/>
        <v>4.29929047190174E-2</v>
      </c>
      <c r="U998" s="24">
        <v>4.1612313210708907E-2</v>
      </c>
      <c r="V998" s="24">
        <f t="shared" si="114"/>
        <v>4.299019184971975E-2</v>
      </c>
      <c r="W998" s="23">
        <f t="shared" si="115"/>
        <v>3.5137997713985403E-3</v>
      </c>
      <c r="X998" s="24">
        <v>4.1304150283228314E-2</v>
      </c>
      <c r="Y998" s="24">
        <f t="shared" si="116"/>
        <v>4.299096653737533E-2</v>
      </c>
      <c r="Z998" s="23">
        <f t="shared" si="117"/>
        <v>3.5138622042549805E-3</v>
      </c>
      <c r="AA998" s="36"/>
    </row>
    <row r="999" spans="15:27" ht="17.100000000000001" customHeight="1" x14ac:dyDescent="0.3">
      <c r="O999" s="12">
        <f t="shared" si="111"/>
        <v>82.166666666666671</v>
      </c>
      <c r="P999" s="13">
        <v>986</v>
      </c>
      <c r="Q999" s="22">
        <v>3.3157344204738814E-2</v>
      </c>
      <c r="R999" s="19">
        <f t="shared" si="112"/>
        <v>3.3935395205163754E-2</v>
      </c>
      <c r="S999" s="22">
        <v>4.0092925397237966E-2</v>
      </c>
      <c r="T999" s="19">
        <f t="shared" si="113"/>
        <v>4.2992975058410821E-2</v>
      </c>
      <c r="U999" s="24">
        <v>4.1613709731006754E-2</v>
      </c>
      <c r="V999" s="24">
        <f t="shared" si="114"/>
        <v>4.2990277232375584E-2</v>
      </c>
      <c r="W999" s="23">
        <f t="shared" si="115"/>
        <v>3.5138066774709209E-3</v>
      </c>
      <c r="X999" s="24">
        <v>4.1305859667476019E-2</v>
      </c>
      <c r="Y999" s="24">
        <f t="shared" si="116"/>
        <v>4.2991047951215E-2</v>
      </c>
      <c r="Z999" s="23">
        <f t="shared" si="117"/>
        <v>3.51386879130966E-3</v>
      </c>
      <c r="AA999" s="36"/>
    </row>
    <row r="1000" spans="15:27" ht="17.100000000000001" customHeight="1" x14ac:dyDescent="0.3">
      <c r="O1000" s="12">
        <f t="shared" si="111"/>
        <v>82.25</v>
      </c>
      <c r="P1000" s="13">
        <v>987</v>
      </c>
      <c r="Q1000" s="22">
        <v>3.3158132207247837E-2</v>
      </c>
      <c r="R1000" s="19">
        <f t="shared" si="112"/>
        <v>3.3936347269797551E-2</v>
      </c>
      <c r="S1000" s="22">
        <v>4.0095859559547309E-2</v>
      </c>
      <c r="T1000" s="19">
        <f t="shared" si="113"/>
        <v>4.2993044700871508E-2</v>
      </c>
      <c r="U1000" s="24">
        <v>4.1615103509736073E-2</v>
      </c>
      <c r="V1000" s="24">
        <f t="shared" si="114"/>
        <v>4.299036187204841E-2</v>
      </c>
      <c r="W1000" s="23">
        <f t="shared" si="115"/>
        <v>3.513813523386311E-3</v>
      </c>
      <c r="X1000" s="24">
        <v>4.1307565673076363E-2</v>
      </c>
      <c r="Y1000" s="24">
        <f t="shared" si="116"/>
        <v>4.2991128631234776E-2</v>
      </c>
      <c r="Z1000" s="23">
        <f t="shared" si="117"/>
        <v>3.513875319003823E-3</v>
      </c>
      <c r="AA1000" s="36"/>
    </row>
    <row r="1001" spans="15:27" ht="17.100000000000001" customHeight="1" x14ac:dyDescent="0.3">
      <c r="O1001" s="12">
        <f t="shared" si="111"/>
        <v>82.333333333333329</v>
      </c>
      <c r="P1001" s="13">
        <v>988</v>
      </c>
      <c r="Q1001" s="22">
        <v>3.3158919578113233E-2</v>
      </c>
      <c r="R1001" s="19">
        <f t="shared" si="112"/>
        <v>3.3937291417257542E-2</v>
      </c>
      <c r="S1001" s="22">
        <v>4.0098787860801899E-2</v>
      </c>
      <c r="T1001" s="19">
        <f t="shared" si="113"/>
        <v>4.2993113652408432E-2</v>
      </c>
      <c r="U1001" s="24">
        <v>4.1616494554465255E-2</v>
      </c>
      <c r="V1001" s="24">
        <f t="shared" si="114"/>
        <v>4.2990445775183073E-2</v>
      </c>
      <c r="W1001" s="23">
        <f t="shared" si="115"/>
        <v>3.5138203097293541E-3</v>
      </c>
      <c r="X1001" s="24">
        <v>4.1309268309538849E-2</v>
      </c>
      <c r="Y1001" s="24">
        <f t="shared" si="116"/>
        <v>4.2991208584419294E-2</v>
      </c>
      <c r="Z1001" s="23">
        <f t="shared" si="117"/>
        <v>3.5138817878606066E-3</v>
      </c>
      <c r="AA1001" s="36"/>
    </row>
    <row r="1002" spans="15:27" ht="17.100000000000001" customHeight="1" x14ac:dyDescent="0.3">
      <c r="O1002" s="12">
        <f t="shared" si="111"/>
        <v>82.416666666666671</v>
      </c>
      <c r="P1002" s="13">
        <v>989</v>
      </c>
      <c r="Q1002" s="22">
        <v>3.3159706311251425E-2</v>
      </c>
      <c r="R1002" s="19">
        <f t="shared" si="112"/>
        <v>3.3938227713230962E-2</v>
      </c>
      <c r="S1002" s="22">
        <v>4.0101710318059425E-2</v>
      </c>
      <c r="T1002" s="19">
        <f t="shared" si="113"/>
        <v>4.2993181920491619E-2</v>
      </c>
      <c r="U1002" s="24">
        <v>4.1617882872738265E-2</v>
      </c>
      <c r="V1002" s="24">
        <f t="shared" si="114"/>
        <v>4.2990528946839301E-2</v>
      </c>
      <c r="W1002" s="23">
        <f t="shared" si="115"/>
        <v>3.5138270370167479E-3</v>
      </c>
      <c r="X1002" s="24">
        <v>4.1310967586341674E-2</v>
      </c>
      <c r="Y1002" s="24">
        <f t="shared" si="116"/>
        <v>4.2991287816324997E-2</v>
      </c>
      <c r="Z1002" s="23">
        <f t="shared" si="117"/>
        <v>3.5138881984400072E-3</v>
      </c>
      <c r="AA1002" s="36"/>
    </row>
    <row r="1003" spans="15:27" ht="17.100000000000001" customHeight="1" x14ac:dyDescent="0.3">
      <c r="O1003" s="12">
        <f t="shared" si="111"/>
        <v>82.5</v>
      </c>
      <c r="P1003" s="13">
        <v>990</v>
      </c>
      <c r="Q1003" s="22">
        <v>3.316049240066965E-2</v>
      </c>
      <c r="R1003" s="19">
        <f t="shared" si="112"/>
        <v>3.3939156223237843E-2</v>
      </c>
      <c r="S1003" s="22">
        <v>4.0104626948316069E-2</v>
      </c>
      <c r="T1003" s="19">
        <f t="shared" si="113"/>
        <v>4.2993249512156106E-2</v>
      </c>
      <c r="U1003" s="24">
        <v>4.1619268472073978E-2</v>
      </c>
      <c r="V1003" s="24">
        <f t="shared" si="114"/>
        <v>4.299061139476934E-2</v>
      </c>
      <c r="W1003" s="23">
        <f t="shared" si="115"/>
        <v>3.51383370565439E-3</v>
      </c>
      <c r="X1003" s="24">
        <v>4.1312663512929948E-2</v>
      </c>
      <c r="Y1003" s="24">
        <f t="shared" si="116"/>
        <v>4.2991366334572012E-2</v>
      </c>
      <c r="Z1003" s="23">
        <f t="shared" si="117"/>
        <v>3.5138945511872244E-3</v>
      </c>
      <c r="AA1003" s="36"/>
    </row>
    <row r="1004" spans="15:27" ht="17.100000000000001" customHeight="1" x14ac:dyDescent="0.3">
      <c r="O1004" s="12">
        <f t="shared" si="111"/>
        <v>82.583333333333329</v>
      </c>
      <c r="P1004" s="13">
        <v>991</v>
      </c>
      <c r="Q1004" s="22">
        <v>3.3161277840465075E-2</v>
      </c>
      <c r="R1004" s="19">
        <f t="shared" si="112"/>
        <v>3.3940077012414305E-2</v>
      </c>
      <c r="S1004" s="22">
        <v>4.0107537768506951E-2</v>
      </c>
      <c r="T1004" s="19">
        <f t="shared" si="113"/>
        <v>4.2993316433197259E-2</v>
      </c>
      <c r="U1004" s="24">
        <v>4.1620651359968841E-2</v>
      </c>
      <c r="V1004" s="24">
        <f t="shared" si="114"/>
        <v>4.2990693125400714E-2</v>
      </c>
      <c r="W1004" s="23">
        <f t="shared" si="115"/>
        <v>3.5138403162637832E-3</v>
      </c>
      <c r="X1004" s="24">
        <v>4.1314356098718807E-2</v>
      </c>
      <c r="Y1004" s="24">
        <f t="shared" si="116"/>
        <v>4.2991444144812707E-2</v>
      </c>
      <c r="Z1004" s="23">
        <f t="shared" si="117"/>
        <v>3.5139008467135469E-3</v>
      </c>
      <c r="AA1004" s="36"/>
    </row>
    <row r="1005" spans="15:27" ht="17.100000000000001" customHeight="1" x14ac:dyDescent="0.3">
      <c r="O1005" s="12">
        <f t="shared" si="111"/>
        <v>82.666666666666671</v>
      </c>
      <c r="P1005" s="13">
        <v>992</v>
      </c>
      <c r="Q1005" s="22">
        <v>3.3162062624824795E-2</v>
      </c>
      <c r="R1005" s="19">
        <f t="shared" si="112"/>
        <v>3.3940990144868177E-2</v>
      </c>
      <c r="S1005" s="22">
        <v>4.0110442795504575E-2</v>
      </c>
      <c r="T1005" s="19">
        <f t="shared" si="113"/>
        <v>4.2993382690862614E-2</v>
      </c>
      <c r="U1005" s="24">
        <v>4.1622031543895321E-2</v>
      </c>
      <c r="V1005" s="24">
        <f t="shared" si="114"/>
        <v>4.2990774144055388E-2</v>
      </c>
      <c r="W1005" s="23">
        <f t="shared" si="115"/>
        <v>3.5138468693602931E-3</v>
      </c>
      <c r="X1005" s="24">
        <v>4.1316045353090969E-2</v>
      </c>
      <c r="Y1005" s="24">
        <f t="shared" si="116"/>
        <v>4.2991521253911591E-2</v>
      </c>
      <c r="Z1005" s="23">
        <f t="shared" si="117"/>
        <v>3.5139070854719456E-3</v>
      </c>
      <c r="AA1005" s="36"/>
    </row>
    <row r="1006" spans="15:27" ht="17.100000000000001" customHeight="1" x14ac:dyDescent="0.3">
      <c r="O1006" s="12">
        <f t="shared" si="111"/>
        <v>82.75</v>
      </c>
      <c r="P1006" s="13">
        <v>993</v>
      </c>
      <c r="Q1006" s="22">
        <v>3.3162846748023389E-2</v>
      </c>
      <c r="R1006" s="19">
        <f t="shared" si="112"/>
        <v>3.3941895683950341E-2</v>
      </c>
      <c r="S1006" s="22">
        <v>4.0113342046120826E-2</v>
      </c>
      <c r="T1006" s="19">
        <f t="shared" si="113"/>
        <v>4.2993448291856362E-2</v>
      </c>
      <c r="U1006" s="24">
        <v>4.1623409031301239E-2</v>
      </c>
      <c r="V1006" s="24">
        <f t="shared" si="114"/>
        <v>4.2990854457495731E-2</v>
      </c>
      <c r="W1006" s="23">
        <f t="shared" si="115"/>
        <v>3.5138533653704673E-3</v>
      </c>
      <c r="X1006" s="24">
        <v>4.1317731285398285E-2</v>
      </c>
      <c r="Y1006" s="24">
        <f t="shared" si="116"/>
        <v>4.2991597668208481E-2</v>
      </c>
      <c r="Z1006" s="23">
        <f t="shared" si="117"/>
        <v>3.5139132680133134E-3</v>
      </c>
      <c r="AA1006" s="36"/>
    </row>
    <row r="1007" spans="15:27" ht="17.100000000000001" customHeight="1" x14ac:dyDescent="0.3">
      <c r="O1007" s="12">
        <f t="shared" si="111"/>
        <v>82.833333333333329</v>
      </c>
      <c r="P1007" s="13">
        <v>994</v>
      </c>
      <c r="Q1007" s="22">
        <v>3.3163630204422478E-2</v>
      </c>
      <c r="R1007" s="19">
        <f t="shared" si="112"/>
        <v>3.3942793693763962E-2</v>
      </c>
      <c r="S1007" s="22">
        <v>4.011623553710697E-2</v>
      </c>
      <c r="T1007" s="19">
        <f t="shared" si="113"/>
        <v>4.2993513242068238E-2</v>
      </c>
      <c r="U1007" s="24">
        <v>4.1624783829611323E-2</v>
      </c>
      <c r="V1007" s="24">
        <f t="shared" si="114"/>
        <v>4.2990934071264197E-2</v>
      </c>
      <c r="W1007" s="23">
        <f t="shared" si="115"/>
        <v>3.5138598048367609E-3</v>
      </c>
      <c r="X1007" s="24">
        <v>4.13194139049613E-2</v>
      </c>
      <c r="Y1007" s="24">
        <f t="shared" si="116"/>
        <v>4.2991673393067753E-2</v>
      </c>
      <c r="Z1007" s="23">
        <f t="shared" si="117"/>
        <v>3.5139193948452441E-3</v>
      </c>
      <c r="AA1007" s="36"/>
    </row>
    <row r="1008" spans="15:27" ht="17.100000000000001" customHeight="1" x14ac:dyDescent="0.3">
      <c r="O1008" s="12">
        <f t="shared" si="111"/>
        <v>82.916666666666671</v>
      </c>
      <c r="P1008" s="13">
        <v>995</v>
      </c>
      <c r="Q1008" s="22">
        <v>3.3164412988470504E-2</v>
      </c>
      <c r="R1008" s="19">
        <f t="shared" si="112"/>
        <v>3.3943684236492411E-2</v>
      </c>
      <c r="S1008" s="22">
        <v>4.0119123285152547E-2</v>
      </c>
      <c r="T1008" s="19">
        <f t="shared" si="113"/>
        <v>4.2993577549122142E-2</v>
      </c>
      <c r="U1008" s="24">
        <v>4.1626155946225873E-2</v>
      </c>
      <c r="V1008" s="24">
        <f t="shared" si="114"/>
        <v>4.2991012993013999E-2</v>
      </c>
      <c r="W1008" s="23">
        <f t="shared" si="115"/>
        <v>3.513866188203485E-3</v>
      </c>
      <c r="X1008" s="24">
        <v>4.1321093221068583E-2</v>
      </c>
      <c r="Y1008" s="24">
        <f t="shared" si="116"/>
        <v>4.2991748436912225E-2</v>
      </c>
      <c r="Z1008" s="23">
        <f t="shared" si="117"/>
        <v>3.5139254663985042E-3</v>
      </c>
      <c r="AA1008" s="36"/>
    </row>
    <row r="1009" spans="15:27" ht="17.100000000000001" customHeight="1" x14ac:dyDescent="0.3">
      <c r="O1009" s="12">
        <f t="shared" si="111"/>
        <v>83</v>
      </c>
      <c r="P1009" s="13">
        <v>996</v>
      </c>
      <c r="Q1009" s="22">
        <v>3.3165195094700728E-2</v>
      </c>
      <c r="R1009" s="19">
        <f t="shared" si="112"/>
        <v>3.3944567374593504E-2</v>
      </c>
      <c r="S1009" s="22">
        <v>4.0122005306888253E-2</v>
      </c>
      <c r="T1009" s="19">
        <f t="shared" si="113"/>
        <v>4.2993641217990097E-2</v>
      </c>
      <c r="U1009" s="24">
        <v>4.1627525388523434E-2</v>
      </c>
      <c r="V1009" s="24">
        <f t="shared" si="114"/>
        <v>4.299109122670064E-2</v>
      </c>
      <c r="W1009" s="23">
        <f t="shared" si="115"/>
        <v>3.5138725160843709E-3</v>
      </c>
      <c r="X1009" s="24">
        <v>4.132276924297984E-2</v>
      </c>
      <c r="Y1009" s="24">
        <f t="shared" si="116"/>
        <v>4.299182280269731E-2</v>
      </c>
      <c r="Z1009" s="23">
        <f t="shared" si="117"/>
        <v>3.5139314833481095E-3</v>
      </c>
      <c r="AA1009" s="36"/>
    </row>
    <row r="1010" spans="15:27" ht="17.100000000000001" customHeight="1" x14ac:dyDescent="0.3">
      <c r="O1010" s="12">
        <f t="shared" si="111"/>
        <v>83.083333333333329</v>
      </c>
      <c r="P1010" s="13">
        <v>997</v>
      </c>
      <c r="Q1010" s="22">
        <v>3.3165976517730789E-2</v>
      </c>
      <c r="R1010" s="19">
        <f t="shared" si="112"/>
        <v>3.3945443169345557E-2</v>
      </c>
      <c r="S1010" s="22">
        <v>4.0124881618882835E-2</v>
      </c>
      <c r="T1010" s="19">
        <f t="shared" si="113"/>
        <v>4.2993704255857024E-2</v>
      </c>
      <c r="U1010" s="24">
        <v>4.1628892163856568E-2</v>
      </c>
      <c r="V1010" s="24">
        <f t="shared" si="114"/>
        <v>4.2991168779747513E-2</v>
      </c>
      <c r="W1010" s="23">
        <f t="shared" si="115"/>
        <v>3.5138787887962764E-3</v>
      </c>
      <c r="X1010" s="24">
        <v>4.1324441979920801E-2</v>
      </c>
      <c r="Y1010" s="24">
        <f t="shared" si="116"/>
        <v>4.2991896498904003E-2</v>
      </c>
      <c r="Z1010" s="23">
        <f t="shared" si="117"/>
        <v>3.5139374459312034E-3</v>
      </c>
      <c r="AA1010" s="36"/>
    </row>
    <row r="1011" spans="15:27" ht="17.100000000000001" customHeight="1" x14ac:dyDescent="0.3">
      <c r="O1011" s="12">
        <f t="shared" si="111"/>
        <v>83.166666666666671</v>
      </c>
      <c r="P1011" s="13">
        <v>998</v>
      </c>
      <c r="Q1011" s="22">
        <v>3.316675725226137E-2</v>
      </c>
      <c r="R1011" s="19">
        <f t="shared" si="112"/>
        <v>3.3946311682489627E-2</v>
      </c>
      <c r="S1011" s="22">
        <v>4.0127752237645753E-2</v>
      </c>
      <c r="T1011" s="19">
        <f t="shared" si="113"/>
        <v>4.2993766668732114E-2</v>
      </c>
      <c r="U1011" s="24">
        <v>4.1630256279556077E-2</v>
      </c>
      <c r="V1011" s="24">
        <f t="shared" si="114"/>
        <v>4.2991245657207022E-2</v>
      </c>
      <c r="W1011" s="23">
        <f t="shared" si="115"/>
        <v>3.5138850069347249E-3</v>
      </c>
      <c r="X1011" s="24">
        <v>4.1326111441088331E-2</v>
      </c>
      <c r="Y1011" s="24">
        <f t="shared" si="116"/>
        <v>4.299196953111184E-2</v>
      </c>
      <c r="Z1011" s="23">
        <f t="shared" si="117"/>
        <v>3.5139433548276866E-3</v>
      </c>
      <c r="AA1011" s="36"/>
    </row>
    <row r="1012" spans="15:27" ht="17.100000000000001" customHeight="1" x14ac:dyDescent="0.3">
      <c r="O1012" s="12">
        <f t="shared" si="111"/>
        <v>83.25</v>
      </c>
      <c r="P1012" s="13">
        <v>999</v>
      </c>
      <c r="Q1012" s="22">
        <v>3.3167537293076199E-2</v>
      </c>
      <c r="R1012" s="19">
        <f t="shared" si="112"/>
        <v>3.3947172974465367E-2</v>
      </c>
      <c r="S1012" s="22">
        <v>4.013061717962696E-2</v>
      </c>
      <c r="T1012" s="19">
        <f t="shared" si="113"/>
        <v>4.2993828462769779E-2</v>
      </c>
      <c r="U1012" s="24">
        <v>4.163161774292834E-2</v>
      </c>
      <c r="V1012" s="24">
        <f t="shared" si="114"/>
        <v>4.299132186608845E-2</v>
      </c>
      <c r="W1012" s="23">
        <f t="shared" si="115"/>
        <v>3.513891170904726E-3</v>
      </c>
      <c r="X1012" s="24">
        <v>4.1327777635648433E-2</v>
      </c>
      <c r="Y1012" s="24">
        <f t="shared" si="116"/>
        <v>4.2992041904837075E-2</v>
      </c>
      <c r="Z1012" s="23">
        <f t="shared" si="117"/>
        <v>3.513949210484979E-3</v>
      </c>
      <c r="AA1012" s="36"/>
    </row>
    <row r="1013" spans="15:27" ht="17.100000000000001" customHeight="1" x14ac:dyDescent="0.3">
      <c r="O1013" s="12">
        <f t="shared" si="111"/>
        <v>83.333333333333329</v>
      </c>
      <c r="P1013" s="13">
        <v>1000</v>
      </c>
      <c r="Q1013" s="22">
        <v>3.3168316635040052E-2</v>
      </c>
      <c r="R1013" s="19">
        <f t="shared" si="112"/>
        <v>3.3948027105272338E-2</v>
      </c>
      <c r="S1013" s="22">
        <v>4.0133476461216233E-2</v>
      </c>
      <c r="T1013" s="19">
        <f t="shared" si="113"/>
        <v>4.2993889644579841E-2</v>
      </c>
      <c r="U1013" s="24">
        <v>4.1632976561257751E-2</v>
      </c>
      <c r="V1013" s="24">
        <f t="shared" si="114"/>
        <v>4.299139741106428E-2</v>
      </c>
      <c r="W1013" s="23">
        <f t="shared" si="115"/>
        <v>3.5138972812682745E-3</v>
      </c>
      <c r="X1013" s="24">
        <v>4.1329440572735798E-2</v>
      </c>
      <c r="Y1013" s="24">
        <f t="shared" si="116"/>
        <v>4.299211362679678E-2</v>
      </c>
      <c r="Z1013" s="23">
        <f t="shared" si="117"/>
        <v>3.5139550133451714E-3</v>
      </c>
      <c r="AA1013" s="36"/>
    </row>
    <row r="1014" spans="15:27" ht="17.100000000000001" customHeight="1" x14ac:dyDescent="0.3">
      <c r="O1014" s="12">
        <f t="shared" si="111"/>
        <v>83.416666666666671</v>
      </c>
      <c r="P1014" s="13">
        <v>1001</v>
      </c>
      <c r="Q1014" s="22">
        <v>3.3169095273098304E-2</v>
      </c>
      <c r="R1014" s="19">
        <f t="shared" si="112"/>
        <v>3.3948874134673401E-2</v>
      </c>
      <c r="S1014" s="22">
        <v>4.0136330098744954E-2</v>
      </c>
      <c r="T1014" s="19">
        <f t="shared" si="113"/>
        <v>4.2993950219275101E-2</v>
      </c>
      <c r="U1014" s="24">
        <v>4.1634332741804059E-2</v>
      </c>
      <c r="V1014" s="24">
        <f t="shared" si="114"/>
        <v>4.2991472298145483E-2</v>
      </c>
      <c r="W1014" s="23">
        <f t="shared" si="115"/>
        <v>3.5139033384001817E-3</v>
      </c>
      <c r="X1014" s="24">
        <v>4.1331100261455367E-2</v>
      </c>
      <c r="Y1014" s="24">
        <f t="shared" si="116"/>
        <v>4.2992184701454939E-2</v>
      </c>
      <c r="Z1014" s="23">
        <f t="shared" si="117"/>
        <v>3.5139607639471659E-3</v>
      </c>
      <c r="AA1014" s="36"/>
    </row>
    <row r="1015" spans="15:27" ht="17.100000000000001" customHeight="1" x14ac:dyDescent="0.3">
      <c r="O1015" s="12">
        <f t="shared" si="111"/>
        <v>83.5</v>
      </c>
      <c r="P1015" s="13">
        <v>1002</v>
      </c>
      <c r="Q1015" s="22">
        <v>3.3169873202276046E-2</v>
      </c>
      <c r="R1015" s="19">
        <f t="shared" si="112"/>
        <v>3.3949714121555896E-2</v>
      </c>
      <c r="S1015" s="22">
        <v>4.013917810848433E-2</v>
      </c>
      <c r="T1015" s="19">
        <f t="shared" si="113"/>
        <v>4.299401019368343E-2</v>
      </c>
      <c r="U1015" s="24">
        <v>4.1635686291803919E-2</v>
      </c>
      <c r="V1015" s="24">
        <f t="shared" si="114"/>
        <v>4.2991546533747371E-2</v>
      </c>
      <c r="W1015" s="23">
        <f t="shared" si="115"/>
        <v>3.5139093427820622E-3</v>
      </c>
      <c r="X1015" s="24">
        <v>4.1332756710880325E-2</v>
      </c>
      <c r="Y1015" s="24">
        <f t="shared" si="116"/>
        <v>4.2992255135617885E-2</v>
      </c>
      <c r="Z1015" s="23">
        <f t="shared" si="117"/>
        <v>3.5139664626486766E-3</v>
      </c>
      <c r="AA1015" s="36"/>
    </row>
    <row r="1016" spans="15:27" ht="17.100000000000001" customHeight="1" x14ac:dyDescent="0.3">
      <c r="O1016" s="12">
        <f t="shared" si="111"/>
        <v>83.583333333333329</v>
      </c>
      <c r="P1016" s="13">
        <v>1003</v>
      </c>
      <c r="Q1016" s="22">
        <v>3.317065041767675E-2</v>
      </c>
      <c r="R1016" s="19">
        <f t="shared" si="112"/>
        <v>3.3950547125798369E-2</v>
      </c>
      <c r="S1016" s="22">
        <v>4.0142020506647613E-2</v>
      </c>
      <c r="T1016" s="19">
        <f t="shared" si="113"/>
        <v>4.2994069574007865E-2</v>
      </c>
      <c r="U1016" s="24">
        <v>4.1637037218472006E-2</v>
      </c>
      <c r="V1016" s="24">
        <f t="shared" si="114"/>
        <v>4.29916201230649E-2</v>
      </c>
      <c r="W1016" s="23">
        <f t="shared" si="115"/>
        <v>3.5139152949286157E-3</v>
      </c>
      <c r="X1016" s="24">
        <v>4.1334409930054328E-2</v>
      </c>
      <c r="Y1016" s="24">
        <f t="shared" si="116"/>
        <v>4.2992324936250936E-2</v>
      </c>
      <c r="Z1016" s="23">
        <f t="shared" si="117"/>
        <v>3.5139721099957111E-3</v>
      </c>
      <c r="AA1016" s="36"/>
    </row>
    <row r="1017" spans="15:27" ht="17.100000000000001" customHeight="1" x14ac:dyDescent="0.3">
      <c r="O1017" s="12">
        <f t="shared" si="111"/>
        <v>83.666666666666671</v>
      </c>
      <c r="P1017" s="13">
        <v>1004</v>
      </c>
      <c r="Q1017" s="22">
        <v>3.317142691448316E-2</v>
      </c>
      <c r="R1017" s="19">
        <f t="shared" si="112"/>
        <v>3.39513732039467E-2</v>
      </c>
      <c r="S1017" s="22">
        <v>4.0144857309389437E-2</v>
      </c>
      <c r="T1017" s="19">
        <f t="shared" si="113"/>
        <v>4.2994128364830742E-2</v>
      </c>
      <c r="U1017" s="24">
        <v>4.1638385528998789E-2</v>
      </c>
      <c r="V1017" s="24">
        <f t="shared" si="114"/>
        <v>4.299169307100037E-2</v>
      </c>
      <c r="W1017" s="23">
        <f t="shared" si="115"/>
        <v>3.5139211952561755E-3</v>
      </c>
      <c r="X1017" s="24">
        <v>4.1336059927991942E-2</v>
      </c>
      <c r="Y1017" s="24">
        <f t="shared" si="116"/>
        <v>4.2992394105986875E-2</v>
      </c>
      <c r="Z1017" s="23">
        <f t="shared" si="117"/>
        <v>3.5139777065462674E-3</v>
      </c>
      <c r="AA1017" s="36"/>
    </row>
    <row r="1018" spans="15:27" ht="17.100000000000001" customHeight="1" x14ac:dyDescent="0.3">
      <c r="O1018" s="12">
        <f t="shared" si="111"/>
        <v>83.75</v>
      </c>
      <c r="P1018" s="13">
        <v>1005</v>
      </c>
      <c r="Q1018" s="22">
        <v>3.3172202687953289E-2</v>
      </c>
      <c r="R1018" s="19">
        <f t="shared" si="112"/>
        <v>3.3952192413688964E-2</v>
      </c>
      <c r="S1018" s="22">
        <v>4.014768853280537E-2</v>
      </c>
      <c r="T1018" s="19">
        <f t="shared" si="113"/>
        <v>4.2994186573183102E-2</v>
      </c>
      <c r="U1018" s="24">
        <v>4.1639731230551646E-2</v>
      </c>
      <c r="V1018" s="24">
        <f t="shared" si="114"/>
        <v>4.2991765384452041E-2</v>
      </c>
      <c r="W1018" s="23">
        <f t="shared" si="115"/>
        <v>3.5139270441579828E-3</v>
      </c>
      <c r="X1018" s="24">
        <v>4.1337706713674649E-2</v>
      </c>
      <c r="Y1018" s="24">
        <f t="shared" si="116"/>
        <v>4.2992462653252517E-2</v>
      </c>
      <c r="Z1018" s="23">
        <f t="shared" si="117"/>
        <v>3.5139832525119541E-3</v>
      </c>
      <c r="AA1018" s="36"/>
    </row>
    <row r="1019" spans="15:27" ht="17.100000000000001" customHeight="1" x14ac:dyDescent="0.3">
      <c r="O1019" s="12">
        <f t="shared" si="111"/>
        <v>83.833333333333329</v>
      </c>
      <c r="P1019" s="13">
        <v>1006</v>
      </c>
      <c r="Q1019" s="22">
        <v>3.3172977733421538E-2</v>
      </c>
      <c r="R1019" s="19">
        <f t="shared" si="112"/>
        <v>3.3953004813554788E-2</v>
      </c>
      <c r="S1019" s="22">
        <v>4.0150514192933251E-2</v>
      </c>
      <c r="T1019" s="19">
        <f t="shared" si="113"/>
        <v>4.2994244204275667E-2</v>
      </c>
      <c r="U1019" s="24">
        <v>4.1641074330275973E-2</v>
      </c>
      <c r="V1019" s="24">
        <f t="shared" si="114"/>
        <v>4.2991837068211414E-2</v>
      </c>
      <c r="W1019" s="23">
        <f t="shared" si="115"/>
        <v>3.5139328421869287E-3</v>
      </c>
      <c r="X1019" s="24">
        <v>4.1339350296056399E-2</v>
      </c>
      <c r="Y1019" s="24">
        <f t="shared" si="116"/>
        <v>4.2992530582201205E-2</v>
      </c>
      <c r="Z1019" s="23">
        <f t="shared" si="117"/>
        <v>3.5139887485682308E-3</v>
      </c>
      <c r="AA1019" s="36"/>
    </row>
    <row r="1020" spans="15:27" ht="17.100000000000001" customHeight="1" x14ac:dyDescent="0.3">
      <c r="O1020" s="12">
        <f t="shared" si="111"/>
        <v>83.916666666666671</v>
      </c>
      <c r="P1020" s="13">
        <v>1007</v>
      </c>
      <c r="Q1020" s="22">
        <v>3.3173752046298688E-2</v>
      </c>
      <c r="R1020" s="19">
        <f t="shared" si="112"/>
        <v>3.3953810459895761E-2</v>
      </c>
      <c r="S1020" s="22">
        <v>4.0153334305753186E-2</v>
      </c>
      <c r="T1020" s="19">
        <f t="shared" si="113"/>
        <v>4.2994301264085211E-2</v>
      </c>
      <c r="U1020" s="24">
        <v>4.1642414835293406E-2</v>
      </c>
      <c r="V1020" s="24">
        <f t="shared" si="114"/>
        <v>4.2991908128096279E-2</v>
      </c>
      <c r="W1020" s="23">
        <f t="shared" si="115"/>
        <v>3.5139385897275943E-3</v>
      </c>
      <c r="X1020" s="24">
        <v>4.1340990684060053E-2</v>
      </c>
      <c r="Y1020" s="24">
        <f t="shared" si="116"/>
        <v>4.2992597899618623E-2</v>
      </c>
      <c r="Z1020" s="23">
        <f t="shared" si="117"/>
        <v>3.5139941950479425E-3</v>
      </c>
      <c r="AA1020" s="36"/>
    </row>
    <row r="1021" spans="15:27" ht="17.100000000000001" customHeight="1" x14ac:dyDescent="0.3">
      <c r="O1021" s="12">
        <f t="shared" si="111"/>
        <v>84</v>
      </c>
      <c r="P1021" s="13">
        <v>1008</v>
      </c>
      <c r="Q1021" s="22">
        <v>3.3174525622069462E-2</v>
      </c>
      <c r="R1021" s="19">
        <f t="shared" si="112"/>
        <v>3.3954609408770597E-2</v>
      </c>
      <c r="S1021" s="22">
        <v>4.0156148887187326E-2</v>
      </c>
      <c r="T1021" s="19">
        <f t="shared" si="113"/>
        <v>4.2994357758633583E-2</v>
      </c>
      <c r="U1021" s="24">
        <v>4.16437527527036E-2</v>
      </c>
      <c r="V1021" s="24">
        <f t="shared" si="114"/>
        <v>4.2991978569320466E-2</v>
      </c>
      <c r="W1021" s="23">
        <f t="shared" si="115"/>
        <v>3.5139442872460513E-3</v>
      </c>
      <c r="X1021" s="24">
        <v>4.1342627886579386E-2</v>
      </c>
      <c r="Y1021" s="24">
        <f t="shared" si="116"/>
        <v>4.2992664609985187E-2</v>
      </c>
      <c r="Z1021" s="23">
        <f t="shared" si="117"/>
        <v>3.5139995924953205E-3</v>
      </c>
      <c r="AA1021" s="36"/>
    </row>
    <row r="1022" spans="15:27" ht="17.100000000000001" customHeight="1" x14ac:dyDescent="0.3">
      <c r="O1022" s="12">
        <f t="shared" si="111"/>
        <v>84.083333333333329</v>
      </c>
      <c r="P1022" s="13">
        <v>1009</v>
      </c>
      <c r="Q1022" s="22">
        <v>3.3175298456292301E-2</v>
      </c>
      <c r="R1022" s="19">
        <f t="shared" si="112"/>
        <v>3.3955401714725886E-2</v>
      </c>
      <c r="S1022" s="22">
        <v>4.0158957953100982E-2</v>
      </c>
      <c r="T1022" s="19">
        <f t="shared" si="113"/>
        <v>4.2994413692243327E-2</v>
      </c>
      <c r="U1022" s="24">
        <v>4.1645088089582671E-2</v>
      </c>
      <c r="V1022" s="24">
        <f t="shared" si="114"/>
        <v>4.2992048396596427E-2</v>
      </c>
      <c r="W1022" s="23">
        <f t="shared" si="115"/>
        <v>3.5139499351604098E-3</v>
      </c>
      <c r="X1022" s="24">
        <v>4.1344261912477753E-2</v>
      </c>
      <c r="Y1022" s="24">
        <f t="shared" si="116"/>
        <v>4.2992730718686589E-2</v>
      </c>
      <c r="Z1022" s="23">
        <f t="shared" si="117"/>
        <v>3.5140049412696328E-3</v>
      </c>
      <c r="AA1022" s="36"/>
    </row>
    <row r="1023" spans="15:27" ht="17.100000000000001" customHeight="1" x14ac:dyDescent="0.3">
      <c r="O1023" s="12">
        <f t="shared" si="111"/>
        <v>84.166666666666671</v>
      </c>
      <c r="P1023" s="13">
        <v>1010</v>
      </c>
      <c r="Q1023" s="22">
        <v>3.3176070544597147E-2</v>
      </c>
      <c r="R1023" s="19">
        <f t="shared" si="112"/>
        <v>3.3956187434751817E-2</v>
      </c>
      <c r="S1023" s="22">
        <v>4.0161761519301065E-2</v>
      </c>
      <c r="T1023" s="19">
        <f t="shared" si="113"/>
        <v>4.2994469072198394E-2</v>
      </c>
      <c r="U1023" s="24">
        <v>4.1646420852983868E-2</v>
      </c>
      <c r="V1023" s="24">
        <f t="shared" si="114"/>
        <v>4.2992117616987402E-2</v>
      </c>
      <c r="W1023" s="23">
        <f t="shared" si="115"/>
        <v>3.5139555338485895E-3</v>
      </c>
      <c r="X1023" s="24">
        <v>4.1345892770588533E-2</v>
      </c>
      <c r="Y1023" s="24">
        <f t="shared" si="116"/>
        <v>4.2992796232137476E-2</v>
      </c>
      <c r="Z1023" s="23">
        <f t="shared" si="117"/>
        <v>3.5140102418027563E-3</v>
      </c>
      <c r="AA1023" s="36"/>
    </row>
    <row r="1024" spans="15:27" ht="17.100000000000001" customHeight="1" x14ac:dyDescent="0.3">
      <c r="O1024" s="12">
        <f t="shared" si="111"/>
        <v>84.25</v>
      </c>
      <c r="P1024" s="13">
        <v>1011</v>
      </c>
      <c r="Q1024" s="22">
        <v>3.3176841882687436E-2</v>
      </c>
      <c r="R1024" s="19">
        <f t="shared" si="112"/>
        <v>3.3956966623332363E-2</v>
      </c>
      <c r="S1024" s="22">
        <v>4.0164559601538974E-2</v>
      </c>
      <c r="T1024" s="19">
        <f t="shared" si="113"/>
        <v>4.2994523902806003E-2</v>
      </c>
      <c r="U1024" s="24">
        <v>4.1647751049939119E-2</v>
      </c>
      <c r="V1024" s="24">
        <f t="shared" si="114"/>
        <v>4.2992186234403373E-2</v>
      </c>
      <c r="W1024" s="23">
        <f t="shared" si="115"/>
        <v>3.5139610838770263E-3</v>
      </c>
      <c r="X1024" s="24">
        <v>4.1347520469716459E-2</v>
      </c>
      <c r="Y1024" s="24">
        <f t="shared" si="116"/>
        <v>4.2992861154979911E-2</v>
      </c>
      <c r="Z1024" s="23">
        <f t="shared" si="117"/>
        <v>3.5140154946089464E-3</v>
      </c>
      <c r="AA1024" s="36"/>
    </row>
    <row r="1025" spans="15:27" ht="17.100000000000001" customHeight="1" x14ac:dyDescent="0.3">
      <c r="O1025" s="12">
        <f t="shared" si="111"/>
        <v>84.333333333333329</v>
      </c>
      <c r="P1025" s="13">
        <v>1012</v>
      </c>
      <c r="Q1025" s="22">
        <v>3.3177612466337436E-2</v>
      </c>
      <c r="R1025" s="19">
        <f t="shared" si="112"/>
        <v>3.3957739334793624E-2</v>
      </c>
      <c r="S1025" s="22">
        <v>4.0167352215508378E-2</v>
      </c>
      <c r="T1025" s="19">
        <f t="shared" si="113"/>
        <v>4.2994578189614385E-2</v>
      </c>
      <c r="U1025" s="24">
        <v>4.164907868745682E-2</v>
      </c>
      <c r="V1025" s="24">
        <f t="shared" si="114"/>
        <v>4.299225425414388E-2</v>
      </c>
      <c r="W1025" s="23">
        <f t="shared" si="115"/>
        <v>3.5139665855592472E-3</v>
      </c>
      <c r="X1025" s="24">
        <v>4.1349145018636291E-2</v>
      </c>
      <c r="Y1025" s="24">
        <f t="shared" si="116"/>
        <v>4.299292549269973E-2</v>
      </c>
      <c r="Z1025" s="23">
        <f t="shared" si="117"/>
        <v>3.5140207000605717E-3</v>
      </c>
      <c r="AA1025" s="36"/>
    </row>
    <row r="1026" spans="15:27" ht="17.100000000000001" customHeight="1" x14ac:dyDescent="0.3">
      <c r="O1026" s="12">
        <f t="shared" si="111"/>
        <v>84.416666666666671</v>
      </c>
      <c r="P1026" s="13">
        <v>1013</v>
      </c>
      <c r="Q1026" s="22">
        <v>3.3178382291391584E-2</v>
      </c>
      <c r="R1026" s="19">
        <f t="shared" si="112"/>
        <v>3.3958505622140311E-2</v>
      </c>
      <c r="S1026" s="22">
        <v>4.0170139376846326E-2</v>
      </c>
      <c r="T1026" s="19">
        <f t="shared" si="113"/>
        <v>4.2994631938567451E-2</v>
      </c>
      <c r="U1026" s="24">
        <v>4.1650403772522715E-2</v>
      </c>
      <c r="V1026" s="24">
        <f t="shared" si="114"/>
        <v>4.2992321682490786E-2</v>
      </c>
      <c r="W1026" s="23">
        <f t="shared" si="115"/>
        <v>3.5139720393198015E-3</v>
      </c>
      <c r="X1026" s="24">
        <v>4.1350766426093477E-2</v>
      </c>
      <c r="Y1026" s="24">
        <f t="shared" si="116"/>
        <v>4.2992989250388414E-2</v>
      </c>
      <c r="Z1026" s="23">
        <f t="shared" si="117"/>
        <v>3.5140258585970585E-3</v>
      </c>
      <c r="AA1026" s="36"/>
    </row>
    <row r="1027" spans="15:27" ht="17.100000000000001" customHeight="1" x14ac:dyDescent="0.3">
      <c r="O1027" s="12">
        <f t="shared" si="111"/>
        <v>84.5</v>
      </c>
      <c r="P1027" s="13">
        <v>1014</v>
      </c>
      <c r="Q1027" s="22">
        <v>3.3179151353763148E-2</v>
      </c>
      <c r="R1027" s="19">
        <f t="shared" si="112"/>
        <v>3.3959265540595585E-2</v>
      </c>
      <c r="S1027" s="22">
        <v>4.0172921101134351E-2</v>
      </c>
      <c r="T1027" s="19">
        <f t="shared" si="113"/>
        <v>4.299468515441851E-2</v>
      </c>
      <c r="U1027" s="24">
        <v>4.1651726312101012E-2</v>
      </c>
      <c r="V1027" s="24">
        <f t="shared" si="114"/>
        <v>4.2992388522838265E-2</v>
      </c>
      <c r="W1027" s="23">
        <f t="shared" si="115"/>
        <v>3.5139774456629524E-3</v>
      </c>
      <c r="X1027" s="24">
        <v>4.1352384700803935E-2</v>
      </c>
      <c r="Y1027" s="24">
        <f t="shared" si="116"/>
        <v>4.2993052433467849E-2</v>
      </c>
      <c r="Z1027" s="23">
        <f t="shared" si="117"/>
        <v>3.514030970626969E-3</v>
      </c>
      <c r="AA1027" s="36"/>
    </row>
    <row r="1028" spans="15:27" ht="17.100000000000001" customHeight="1" x14ac:dyDescent="0.3">
      <c r="O1028" s="12">
        <f t="shared" si="111"/>
        <v>84.583333333333329</v>
      </c>
      <c r="P1028" s="13">
        <v>1015</v>
      </c>
      <c r="Q1028" s="22">
        <v>3.3179919649435785E-2</v>
      </c>
      <c r="R1028" s="19">
        <f t="shared" si="112"/>
        <v>3.3960019141338504E-2</v>
      </c>
      <c r="S1028" s="22">
        <v>4.0175697403897148E-2</v>
      </c>
      <c r="T1028" s="19">
        <f t="shared" si="113"/>
        <v>4.2994737843053299E-2</v>
      </c>
      <c r="U1028" s="24">
        <v>4.165304631313238E-2</v>
      </c>
      <c r="V1028" s="24">
        <f t="shared" si="114"/>
        <v>4.2992454782163625E-2</v>
      </c>
      <c r="W1028" s="23">
        <f t="shared" si="115"/>
        <v>3.5139828048602606E-3</v>
      </c>
      <c r="X1028" s="24">
        <v>4.1353999851454715E-2</v>
      </c>
      <c r="Y1028" s="24">
        <f t="shared" si="116"/>
        <v>4.299311504737946E-2</v>
      </c>
      <c r="Z1028" s="23">
        <f t="shared" si="117"/>
        <v>3.5140360365850665E-3</v>
      </c>
      <c r="AA1028" s="36"/>
    </row>
    <row r="1029" spans="15:27" ht="17.100000000000001" customHeight="1" x14ac:dyDescent="0.3">
      <c r="O1029" s="12">
        <f t="shared" si="111"/>
        <v>84.666666666666671</v>
      </c>
      <c r="P1029" s="13">
        <v>1016</v>
      </c>
      <c r="Q1029" s="22">
        <v>3.3180687174459322E-2</v>
      </c>
      <c r="R1029" s="19">
        <f t="shared" si="112"/>
        <v>3.3960766478540627E-2</v>
      </c>
      <c r="S1029" s="22">
        <v>4.017846830060412E-2</v>
      </c>
      <c r="T1029" s="19">
        <f t="shared" si="113"/>
        <v>4.2994790008872741E-2</v>
      </c>
      <c r="U1029" s="24">
        <v>4.1654363782536397E-2</v>
      </c>
      <c r="V1029" s="24">
        <f t="shared" si="114"/>
        <v>4.2992520463920769E-2</v>
      </c>
      <c r="W1029" s="23">
        <f t="shared" si="115"/>
        <v>3.5139881174715004E-3</v>
      </c>
      <c r="X1029" s="24">
        <v>4.135561188670378E-2</v>
      </c>
      <c r="Y1029" s="24">
        <f t="shared" si="116"/>
        <v>4.2993177096462665E-2</v>
      </c>
      <c r="Z1029" s="23">
        <f t="shared" si="117"/>
        <v>3.5140410569076685E-3</v>
      </c>
      <c r="AA1029" s="36"/>
    </row>
    <row r="1030" spans="15:27" ht="17.100000000000001" customHeight="1" x14ac:dyDescent="0.3">
      <c r="O1030" s="12">
        <f t="shared" si="111"/>
        <v>84.75</v>
      </c>
      <c r="P1030" s="13">
        <v>1017</v>
      </c>
      <c r="Q1030" s="22">
        <v>3.3181453924951976E-2</v>
      </c>
      <c r="R1030" s="19">
        <f t="shared" si="112"/>
        <v>3.3961507603651242E-2</v>
      </c>
      <c r="S1030" s="22">
        <v>4.0181233806668493E-2</v>
      </c>
      <c r="T1030" s="19">
        <f t="shared" si="113"/>
        <v>4.2994841657620242E-2</v>
      </c>
      <c r="U1030" s="24">
        <v>4.1655678727209322E-2</v>
      </c>
      <c r="V1030" s="24">
        <f t="shared" si="114"/>
        <v>4.2992585574278985E-2</v>
      </c>
      <c r="W1030" s="23">
        <f t="shared" si="115"/>
        <v>3.5139933837735615E-3</v>
      </c>
      <c r="X1030" s="24">
        <v>4.1357220815179785E-2</v>
      </c>
      <c r="Y1030" s="24">
        <f t="shared" si="116"/>
        <v>4.2993238586510385E-2</v>
      </c>
      <c r="Z1030" s="23">
        <f t="shared" si="117"/>
        <v>3.5140460319422751E-3</v>
      </c>
      <c r="AA1030" s="36"/>
    </row>
    <row r="1031" spans="15:27" ht="17.100000000000001" customHeight="1" x14ac:dyDescent="0.3">
      <c r="O1031" s="12">
        <f t="shared" si="111"/>
        <v>84.833333333333329</v>
      </c>
      <c r="P1031" s="13">
        <v>1018</v>
      </c>
      <c r="Q1031" s="22">
        <v>3.3182219897098353E-2</v>
      </c>
      <c r="R1031" s="19">
        <f t="shared" si="112"/>
        <v>3.3962242568057022E-2</v>
      </c>
      <c r="S1031" s="22">
        <v>4.0183993937448204E-2</v>
      </c>
      <c r="T1031" s="19">
        <f t="shared" si="113"/>
        <v>4.2994892794582462E-2</v>
      </c>
      <c r="U1031" s="24">
        <v>4.1656991154026102E-2</v>
      </c>
      <c r="V1031" s="24">
        <f t="shared" si="114"/>
        <v>4.2992650117991582E-2</v>
      </c>
      <c r="W1031" s="23">
        <f t="shared" si="115"/>
        <v>3.5139986042611593E-3</v>
      </c>
      <c r="X1031" s="24">
        <v>4.1358826645482738E-2</v>
      </c>
      <c r="Y1031" s="24">
        <f t="shared" si="116"/>
        <v>4.2993299522968487E-2</v>
      </c>
      <c r="Z1031" s="23">
        <f t="shared" si="117"/>
        <v>3.5140509621540694E-3</v>
      </c>
      <c r="AA1031" s="36"/>
    </row>
    <row r="1032" spans="15:27" ht="17.100000000000001" customHeight="1" x14ac:dyDescent="0.3">
      <c r="O1032" s="12">
        <f t="shared" si="111"/>
        <v>84.916666666666671</v>
      </c>
      <c r="P1032" s="13">
        <v>1019</v>
      </c>
      <c r="Q1032" s="22">
        <v>3.3182985087147898E-2</v>
      </c>
      <c r="R1032" s="19">
        <f t="shared" si="112"/>
        <v>3.396297142371596E-2</v>
      </c>
      <c r="S1032" s="22">
        <v>4.0186748708246567E-2</v>
      </c>
      <c r="T1032" s="19">
        <f t="shared" si="113"/>
        <v>4.2994943424531806E-2</v>
      </c>
      <c r="U1032" s="24">
        <v>4.1658301069839476E-2</v>
      </c>
      <c r="V1032" s="24">
        <f t="shared" si="114"/>
        <v>4.2992714099250984E-2</v>
      </c>
      <c r="W1032" s="23">
        <f t="shared" si="115"/>
        <v>3.5140037793153223E-3</v>
      </c>
      <c r="X1032" s="24">
        <v>4.136042938618445E-2</v>
      </c>
      <c r="Y1032" s="24">
        <f t="shared" si="116"/>
        <v>4.2993359909226481E-2</v>
      </c>
      <c r="Z1032" s="23">
        <f t="shared" si="117"/>
        <v>3.5140558479791473E-3</v>
      </c>
      <c r="AA1032" s="36"/>
    </row>
    <row r="1033" spans="15:27" ht="17.100000000000001" customHeight="1" x14ac:dyDescent="0.3">
      <c r="O1033" s="12">
        <f t="shared" si="111"/>
        <v>85</v>
      </c>
      <c r="P1033" s="13">
        <v>1020</v>
      </c>
      <c r="Q1033" s="22">
        <v>3.3183749491416004E-2</v>
      </c>
      <c r="R1033" s="19">
        <f t="shared" si="112"/>
        <v>3.3963694220719987E-2</v>
      </c>
      <c r="S1033" s="22">
        <v>4.0189498134311386E-2</v>
      </c>
      <c r="T1033" s="19">
        <f t="shared" si="113"/>
        <v>4.2994993552256E-2</v>
      </c>
      <c r="U1033" s="24">
        <v>4.1659608481479538E-2</v>
      </c>
      <c r="V1033" s="24">
        <f t="shared" si="114"/>
        <v>4.2992777523927383E-2</v>
      </c>
      <c r="W1033" s="23">
        <f t="shared" si="115"/>
        <v>3.514008909272226E-3</v>
      </c>
      <c r="X1033" s="24">
        <v>4.1362029045826532E-2</v>
      </c>
      <c r="Y1033" s="24">
        <f t="shared" si="116"/>
        <v>4.2993419751555573E-2</v>
      </c>
      <c r="Z1033" s="23">
        <f t="shared" si="117"/>
        <v>3.5140606896892912E-3</v>
      </c>
      <c r="AA1033" s="36"/>
    </row>
    <row r="1034" spans="15:27" ht="17.100000000000001" customHeight="1" x14ac:dyDescent="0.3">
      <c r="O1034" s="12">
        <f t="shared" si="111"/>
        <v>85.083333333333329</v>
      </c>
      <c r="P1034" s="13">
        <v>1021</v>
      </c>
      <c r="Q1034" s="22">
        <v>3.3184513106281344E-2</v>
      </c>
      <c r="R1034" s="19">
        <f t="shared" si="112"/>
        <v>3.3964411010598772E-2</v>
      </c>
      <c r="S1034" s="22">
        <v>4.0192242230835618E-2</v>
      </c>
      <c r="T1034" s="19">
        <f t="shared" si="113"/>
        <v>4.2995043183251536E-2</v>
      </c>
      <c r="U1034" s="24">
        <v>4.1660913395755061E-2</v>
      </c>
      <c r="V1034" s="24">
        <f t="shared" si="114"/>
        <v>4.2992840396010701E-2</v>
      </c>
      <c r="W1034" s="23">
        <f t="shared" si="115"/>
        <v>3.514013994602605E-3</v>
      </c>
      <c r="X1034" s="24">
        <v>4.1363625632923062E-2</v>
      </c>
      <c r="Y1034" s="24">
        <f t="shared" si="116"/>
        <v>4.299347905475015E-2</v>
      </c>
      <c r="Z1034" s="23">
        <f t="shared" si="117"/>
        <v>3.5140654877878763E-3</v>
      </c>
      <c r="AA1034" s="36"/>
    </row>
    <row r="1035" spans="15:27" ht="17.100000000000001" customHeight="1" x14ac:dyDescent="0.3">
      <c r="O1035" s="12">
        <f t="shared" si="111"/>
        <v>85.166666666666671</v>
      </c>
      <c r="P1035" s="13">
        <v>1022</v>
      </c>
      <c r="Q1035" s="22">
        <v>3.3185275928187208E-2</v>
      </c>
      <c r="R1035" s="19">
        <f t="shared" si="112"/>
        <v>3.3965121842274071E-2</v>
      </c>
      <c r="S1035" s="22">
        <v>4.0194981012958042E-2</v>
      </c>
      <c r="T1035" s="19">
        <f t="shared" si="113"/>
        <v>4.2995092322177575E-2</v>
      </c>
      <c r="U1035" s="24">
        <v>4.1662215819452397E-2</v>
      </c>
      <c r="V1035" s="24">
        <f t="shared" si="114"/>
        <v>4.2992902721397996E-2</v>
      </c>
      <c r="W1035" s="23">
        <f t="shared" si="115"/>
        <v>3.5140190356262035E-3</v>
      </c>
      <c r="X1035" s="24">
        <v>4.1365219155959698E-2</v>
      </c>
      <c r="Y1035" s="24">
        <f t="shared" si="116"/>
        <v>4.299353782374471E-2</v>
      </c>
      <c r="Z1035" s="23">
        <f t="shared" si="117"/>
        <v>3.5140702426585957E-3</v>
      </c>
      <c r="AA1035" s="36"/>
    </row>
    <row r="1036" spans="15:27" ht="17.100000000000001" customHeight="1" x14ac:dyDescent="0.3">
      <c r="O1036" s="12">
        <f t="shared" si="111"/>
        <v>85.25</v>
      </c>
      <c r="P1036" s="13">
        <v>1023</v>
      </c>
      <c r="Q1036" s="22">
        <v>3.3186037953638392E-2</v>
      </c>
      <c r="R1036" s="19">
        <f t="shared" si="112"/>
        <v>3.3965826766265472E-2</v>
      </c>
      <c r="S1036" s="22">
        <v>4.0197714495763037E-2</v>
      </c>
      <c r="T1036" s="19">
        <f t="shared" si="113"/>
        <v>4.2995140974164459E-2</v>
      </c>
      <c r="U1036" s="24">
        <v>4.1663515759337022E-2</v>
      </c>
      <c r="V1036" s="24">
        <f t="shared" si="114"/>
        <v>4.2992964503671294E-2</v>
      </c>
      <c r="W1036" s="23">
        <f t="shared" si="115"/>
        <v>3.5140240328159766E-3</v>
      </c>
      <c r="X1036" s="24">
        <v>4.1366809623393674E-2</v>
      </c>
      <c r="Y1036" s="24">
        <f t="shared" si="116"/>
        <v>4.2993596062119499E-2</v>
      </c>
      <c r="Z1036" s="23">
        <f t="shared" si="117"/>
        <v>3.5140749546975769E-3</v>
      </c>
      <c r="AA1036" s="36"/>
    </row>
    <row r="1037" spans="15:27" ht="17.100000000000001" customHeight="1" x14ac:dyDescent="0.3">
      <c r="O1037" s="12">
        <f t="shared" si="111"/>
        <v>85.333333333333329</v>
      </c>
      <c r="P1037" s="13">
        <v>1024</v>
      </c>
      <c r="Q1037" s="22">
        <v>3.3186799179202975E-2</v>
      </c>
      <c r="R1037" s="19">
        <f t="shared" si="112"/>
        <v>3.3966525830881E-2</v>
      </c>
      <c r="S1037" s="22">
        <v>4.0200442694281024E-2</v>
      </c>
      <c r="T1037" s="19">
        <f t="shared" si="113"/>
        <v>4.2995189143135493E-2</v>
      </c>
      <c r="U1037" s="24">
        <v>4.1664813222151542E-2</v>
      </c>
      <c r="V1037" s="24">
        <f t="shared" si="114"/>
        <v>4.2993025748304881E-2</v>
      </c>
      <c r="W1037" s="23">
        <f t="shared" si="115"/>
        <v>3.51402898645925E-3</v>
      </c>
      <c r="X1037" s="24">
        <v>4.1368397043652694E-2</v>
      </c>
      <c r="Y1037" s="24">
        <f t="shared" si="116"/>
        <v>4.299365377614861E-2</v>
      </c>
      <c r="Z1037" s="23">
        <f t="shared" si="117"/>
        <v>3.5140796241919237E-3</v>
      </c>
      <c r="AA1037" s="36"/>
    </row>
    <row r="1038" spans="15:27" ht="17.100000000000001" customHeight="1" x14ac:dyDescent="0.3">
      <c r="O1038" s="12">
        <f t="shared" ref="O1038:O1101" si="118">P1038/12</f>
        <v>85.416666666666671</v>
      </c>
      <c r="P1038" s="13">
        <v>1025</v>
      </c>
      <c r="Q1038" s="22">
        <v>3.3187559601509209E-2</v>
      </c>
      <c r="R1038" s="19">
        <f t="shared" ref="R1038:R1101" si="119">(1+Q1039)^P1039/(1+Q1038)^P1038-1</f>
        <v>3.3967219085471179E-2</v>
      </c>
      <c r="S1038" s="22">
        <v>4.020316562348758E-2</v>
      </c>
      <c r="T1038" s="19">
        <f t="shared" ref="T1038:T1101" si="120">(1+S1039)^P1039/(1+S1038)^P1038-1</f>
        <v>4.2995236835672523E-2</v>
      </c>
      <c r="U1038" s="24">
        <v>4.166610821461747E-2</v>
      </c>
      <c r="V1038" s="24">
        <f t="shared" ref="V1038:V1101" si="121">(1+U1039)^P1039/(1+U1038)^P1038-1</f>
        <v>4.299308645994282E-2</v>
      </c>
      <c r="W1038" s="23">
        <f t="shared" si="115"/>
        <v>3.5140338969945617E-3</v>
      </c>
      <c r="X1038" s="24">
        <v>4.1369981425137814E-2</v>
      </c>
      <c r="Y1038" s="24">
        <f t="shared" si="116"/>
        <v>4.2993710970627763E-2</v>
      </c>
      <c r="Z1038" s="23">
        <f t="shared" si="117"/>
        <v>3.5140842516443449E-3</v>
      </c>
      <c r="AA1038" s="36"/>
    </row>
    <row r="1039" spans="15:27" ht="17.100000000000001" customHeight="1" x14ac:dyDescent="0.3">
      <c r="O1039" s="12">
        <f t="shared" si="118"/>
        <v>85.5</v>
      </c>
      <c r="P1039" s="13">
        <v>1026</v>
      </c>
      <c r="Q1039" s="22">
        <v>3.3188319217246853E-2</v>
      </c>
      <c r="R1039" s="19">
        <f t="shared" si="119"/>
        <v>3.3967906577913931E-2</v>
      </c>
      <c r="S1039" s="22">
        <v>4.0205883298306544E-2</v>
      </c>
      <c r="T1039" s="19">
        <f t="shared" si="120"/>
        <v>4.2995284054440308E-2</v>
      </c>
      <c r="U1039" s="24">
        <v>4.1667400743434779E-2</v>
      </c>
      <c r="V1039" s="24">
        <f t="shared" si="121"/>
        <v>4.2993146642832603E-2</v>
      </c>
      <c r="W1039" s="23">
        <f t="shared" ref="W1039:W1102" si="122">(1+V1038)^(1/12)-1</f>
        <v>3.5140387647947247E-3</v>
      </c>
      <c r="X1039" s="24">
        <v>4.1371562776221893E-2</v>
      </c>
      <c r="Y1039" s="24">
        <f t="shared" ref="Y1039:Y1102" si="123">(1+X1040)^P1040/(1+X1039)^P1039-1</f>
        <v>4.2993767648824122E-2</v>
      </c>
      <c r="Z1039" s="23">
        <f t="shared" ref="Z1039:Z1102" si="124">(1+Y1038)^(1/12)-1</f>
        <v>3.5140888374394219E-3</v>
      </c>
      <c r="AA1039" s="36"/>
    </row>
    <row r="1040" spans="15:27" ht="17.100000000000001" customHeight="1" x14ac:dyDescent="0.3">
      <c r="O1040" s="12">
        <f t="shared" si="118"/>
        <v>85.583333333333329</v>
      </c>
      <c r="P1040" s="13">
        <v>1027</v>
      </c>
      <c r="Q1040" s="22">
        <v>3.3189078023164731E-2</v>
      </c>
      <c r="R1040" s="19">
        <f t="shared" si="119"/>
        <v>3.3968588356836804E-2</v>
      </c>
      <c r="S1040" s="22">
        <v>4.0208595733606245E-2</v>
      </c>
      <c r="T1040" s="19">
        <f t="shared" si="120"/>
        <v>4.2995330805647214E-2</v>
      </c>
      <c r="U1040" s="24">
        <v>4.1668690815281462E-2</v>
      </c>
      <c r="V1040" s="24">
        <f t="shared" si="121"/>
        <v>4.2993206301887854E-2</v>
      </c>
      <c r="W1040" s="23">
        <f t="shared" si="122"/>
        <v>3.5140435902001332E-3</v>
      </c>
      <c r="X1040" s="24">
        <v>4.1373141105248479E-2</v>
      </c>
      <c r="Y1040" s="24">
        <f t="shared" si="123"/>
        <v>4.2993823816329213E-2</v>
      </c>
      <c r="Z1040" s="23">
        <f t="shared" si="124"/>
        <v>3.5140933818396114E-3</v>
      </c>
      <c r="AA1040" s="36"/>
    </row>
    <row r="1041" spans="15:27" ht="17.100000000000001" customHeight="1" x14ac:dyDescent="0.3">
      <c r="O1041" s="12">
        <f t="shared" si="118"/>
        <v>85.666666666666671</v>
      </c>
      <c r="P1041" s="13">
        <v>1028</v>
      </c>
      <c r="Q1041" s="22">
        <v>3.3189836016072061E-2</v>
      </c>
      <c r="R1041" s="19">
        <f t="shared" si="119"/>
        <v>3.3969264469521976E-2</v>
      </c>
      <c r="S1041" s="22">
        <v>4.0211302944203275E-2</v>
      </c>
      <c r="T1041" s="19">
        <f t="shared" si="120"/>
        <v>4.2995377092990728E-2</v>
      </c>
      <c r="U1041" s="24">
        <v>4.1669978436814192E-2</v>
      </c>
      <c r="V1041" s="24">
        <f t="shared" si="121"/>
        <v>4.2993265441366502E-2</v>
      </c>
      <c r="W1041" s="23">
        <f t="shared" si="122"/>
        <v>3.5140483736046946E-3</v>
      </c>
      <c r="X1041" s="24">
        <v>4.137471642053403E-2</v>
      </c>
      <c r="Y1041" s="24">
        <f t="shared" si="123"/>
        <v>4.2993879477748465E-2</v>
      </c>
      <c r="Z1041" s="23">
        <f t="shared" si="124"/>
        <v>3.5140978852925553E-3</v>
      </c>
      <c r="AA1041" s="36"/>
    </row>
    <row r="1042" spans="15:27" ht="17.100000000000001" customHeight="1" x14ac:dyDescent="0.3">
      <c r="O1042" s="12">
        <f t="shared" si="118"/>
        <v>85.75</v>
      </c>
      <c r="P1042" s="13">
        <v>1029</v>
      </c>
      <c r="Q1042" s="22">
        <v>3.3190593192836015E-2</v>
      </c>
      <c r="R1042" s="19">
        <f t="shared" si="119"/>
        <v>3.3969934963135939E-2</v>
      </c>
      <c r="S1042" s="22">
        <v>4.0214004944860049E-2</v>
      </c>
      <c r="T1042" s="19">
        <f t="shared" si="120"/>
        <v>4.2995422921755955E-2</v>
      </c>
      <c r="U1042" s="24">
        <v>4.1671263614668108E-2</v>
      </c>
      <c r="V1042" s="24">
        <f t="shared" si="121"/>
        <v>4.2993324066304517E-2</v>
      </c>
      <c r="W1042" s="23">
        <f t="shared" si="122"/>
        <v>3.5140531153499133E-3</v>
      </c>
      <c r="X1042" s="24">
        <v>4.137628873036725E-2</v>
      </c>
      <c r="Y1042" s="24">
        <f t="shared" si="123"/>
        <v>4.2993934637602038E-2</v>
      </c>
      <c r="Z1042" s="23">
        <f t="shared" si="124"/>
        <v>3.5141023481679579E-3</v>
      </c>
      <c r="AA1042" s="36"/>
    </row>
    <row r="1043" spans="15:27" ht="17.100000000000001" customHeight="1" x14ac:dyDescent="0.3">
      <c r="O1043" s="12">
        <f t="shared" si="118"/>
        <v>85.833333333333329</v>
      </c>
      <c r="P1043" s="13">
        <v>1030</v>
      </c>
      <c r="Q1043" s="22">
        <v>3.3191349550381721E-2</v>
      </c>
      <c r="R1043" s="19">
        <f t="shared" si="119"/>
        <v>3.3970599883757613E-2</v>
      </c>
      <c r="S1043" s="22">
        <v>4.0216701750287243E-2</v>
      </c>
      <c r="T1043" s="19">
        <f t="shared" si="120"/>
        <v>4.2995468296284534E-2</v>
      </c>
      <c r="U1043" s="24">
        <v>4.1672546355457474E-2</v>
      </c>
      <c r="V1043" s="24">
        <f t="shared" si="121"/>
        <v>4.29933821809656E-2</v>
      </c>
      <c r="W1043" s="23">
        <f t="shared" si="122"/>
        <v>3.5140578158394664E-3</v>
      </c>
      <c r="X1043" s="24">
        <v>4.1377858043008864E-2</v>
      </c>
      <c r="Y1043" s="24">
        <f t="shared" si="123"/>
        <v>4.2993989300073254E-2</v>
      </c>
      <c r="Z1043" s="23">
        <f t="shared" si="124"/>
        <v>3.5141067708281959E-3</v>
      </c>
      <c r="AA1043" s="36"/>
    </row>
    <row r="1044" spans="15:27" ht="17.100000000000001" customHeight="1" x14ac:dyDescent="0.3">
      <c r="O1044" s="12">
        <f t="shared" si="118"/>
        <v>85.916666666666671</v>
      </c>
      <c r="P1044" s="13">
        <v>1031</v>
      </c>
      <c r="Q1044" s="22">
        <v>3.3192105085691148E-2</v>
      </c>
      <c r="R1044" s="19">
        <f t="shared" si="119"/>
        <v>3.3971259278799959E-2</v>
      </c>
      <c r="S1044" s="22">
        <v>4.0219393375142465E-2</v>
      </c>
      <c r="T1044" s="19">
        <f t="shared" si="120"/>
        <v>4.2995513220350556E-2</v>
      </c>
      <c r="U1044" s="24">
        <v>4.1673826665774794E-2</v>
      </c>
      <c r="V1044" s="24">
        <f t="shared" si="121"/>
        <v>4.2993439789108079E-2</v>
      </c>
      <c r="W1044" s="23">
        <f t="shared" si="122"/>
        <v>3.5140624754153027E-3</v>
      </c>
      <c r="X1044" s="24">
        <v>4.1379424366692064E-2</v>
      </c>
      <c r="Y1044" s="24">
        <f t="shared" si="123"/>
        <v>4.299404346992497E-2</v>
      </c>
      <c r="Z1044" s="23">
        <f t="shared" si="124"/>
        <v>3.5141111536083347E-3</v>
      </c>
      <c r="AA1044" s="36"/>
    </row>
    <row r="1045" spans="15:27" ht="17.100000000000001" customHeight="1" x14ac:dyDescent="0.3">
      <c r="O1045" s="12">
        <f t="shared" si="118"/>
        <v>86</v>
      </c>
      <c r="P1045" s="13">
        <v>1032</v>
      </c>
      <c r="Q1045" s="22">
        <v>3.3192859795803553E-2</v>
      </c>
      <c r="R1045" s="19">
        <f t="shared" si="119"/>
        <v>3.3971913193748149E-2</v>
      </c>
      <c r="S1045" s="22">
        <v>4.0222079834030255E-2</v>
      </c>
      <c r="T1045" s="19">
        <f t="shared" si="120"/>
        <v>4.2995557699781806E-2</v>
      </c>
      <c r="U1045" s="24">
        <v>4.1675104552190811E-2</v>
      </c>
      <c r="V1045" s="24">
        <f t="shared" si="121"/>
        <v>4.299349689614429E-2</v>
      </c>
      <c r="W1045" s="23">
        <f t="shared" si="122"/>
        <v>3.5140670943787367E-3</v>
      </c>
      <c r="X1045" s="24">
        <v>4.1380987709622064E-2</v>
      </c>
      <c r="Y1045" s="24">
        <f t="shared" si="123"/>
        <v>4.2994097151665578E-2</v>
      </c>
      <c r="Z1045" s="23">
        <f t="shared" si="124"/>
        <v>3.5141154968907351E-3</v>
      </c>
      <c r="AA1045" s="36"/>
    </row>
    <row r="1046" spans="15:27" ht="17.100000000000001" customHeight="1" x14ac:dyDescent="0.3">
      <c r="O1046" s="12">
        <f t="shared" si="118"/>
        <v>86.083333333333329</v>
      </c>
      <c r="P1046" s="13">
        <v>1033</v>
      </c>
      <c r="Q1046" s="22">
        <v>3.3193613677813927E-2</v>
      </c>
      <c r="R1046" s="19">
        <f t="shared" si="119"/>
        <v>3.39725616744051E-2</v>
      </c>
      <c r="S1046" s="22">
        <v>4.0224761141504306E-2</v>
      </c>
      <c r="T1046" s="19">
        <f t="shared" si="120"/>
        <v>4.2995601737918498E-2</v>
      </c>
      <c r="U1046" s="24">
        <v>4.1676380021256287E-2</v>
      </c>
      <c r="V1046" s="24">
        <f t="shared" si="121"/>
        <v>4.299355350602263E-2</v>
      </c>
      <c r="W1046" s="23">
        <f t="shared" si="122"/>
        <v>3.5140716731636434E-3</v>
      </c>
      <c r="X1046" s="24">
        <v>4.1382548079977433E-2</v>
      </c>
      <c r="Y1046" s="24">
        <f t="shared" si="123"/>
        <v>4.2994150349588534E-2</v>
      </c>
      <c r="Z1046" s="23">
        <f t="shared" si="124"/>
        <v>3.5141198010368857E-3</v>
      </c>
      <c r="AA1046" s="36"/>
    </row>
    <row r="1047" spans="15:27" ht="17.100000000000001" customHeight="1" x14ac:dyDescent="0.3">
      <c r="O1047" s="12">
        <f t="shared" si="118"/>
        <v>86.166666666666671</v>
      </c>
      <c r="P1047" s="13">
        <v>1034</v>
      </c>
      <c r="Q1047" s="22">
        <v>3.3194366728872549E-2</v>
      </c>
      <c r="R1047" s="19">
        <f t="shared" si="119"/>
        <v>3.3973204765624265E-2</v>
      </c>
      <c r="S1047" s="22">
        <v>4.0227437312065462E-2</v>
      </c>
      <c r="T1047" s="19">
        <f t="shared" si="120"/>
        <v>4.299564533941469E-2</v>
      </c>
      <c r="U1047" s="24">
        <v>4.1677653079500221E-2</v>
      </c>
      <c r="V1047" s="24">
        <f t="shared" si="121"/>
        <v>4.299360962284382E-2</v>
      </c>
      <c r="W1047" s="23">
        <f t="shared" si="122"/>
        <v>3.5140762120868807E-3</v>
      </c>
      <c r="X1047" s="24">
        <v>4.1384105485908762E-2</v>
      </c>
      <c r="Y1047" s="24">
        <f t="shared" si="123"/>
        <v>4.2994203067790338E-2</v>
      </c>
      <c r="Z1047" s="23">
        <f t="shared" si="124"/>
        <v>3.5141240663905116E-3</v>
      </c>
      <c r="AA1047" s="36"/>
    </row>
    <row r="1048" spans="15:27" ht="17.100000000000001" customHeight="1" x14ac:dyDescent="0.3">
      <c r="O1048" s="12">
        <f t="shared" si="118"/>
        <v>86.25</v>
      </c>
      <c r="P1048" s="13">
        <v>1035</v>
      </c>
      <c r="Q1048" s="22">
        <v>3.3195118946184099E-2</v>
      </c>
      <c r="R1048" s="19">
        <f t="shared" si="119"/>
        <v>3.3973842513028929E-2</v>
      </c>
      <c r="S1048" s="22">
        <v>4.0230108360162831E-2</v>
      </c>
      <c r="T1048" s="19">
        <f t="shared" si="120"/>
        <v>4.2995688508406849E-2</v>
      </c>
      <c r="U1048" s="24">
        <v>4.1678923733430295E-2</v>
      </c>
      <c r="V1048" s="24">
        <f t="shared" si="121"/>
        <v>4.2993665251751523E-2</v>
      </c>
      <c r="W1048" s="23">
        <f t="shared" si="122"/>
        <v>3.5140807114770745E-3</v>
      </c>
      <c r="X1048" s="24">
        <v>4.1385659935539332E-2</v>
      </c>
      <c r="Y1048" s="24">
        <f t="shared" si="123"/>
        <v>4.2994255311388896E-2</v>
      </c>
      <c r="Z1048" s="23">
        <f t="shared" si="124"/>
        <v>3.5141282932806828E-3</v>
      </c>
      <c r="AA1048" s="36"/>
    </row>
    <row r="1049" spans="15:27" ht="17.100000000000001" customHeight="1" x14ac:dyDescent="0.3">
      <c r="O1049" s="12">
        <f t="shared" si="118"/>
        <v>86.333333333333329</v>
      </c>
      <c r="P1049" s="13">
        <v>1036</v>
      </c>
      <c r="Q1049" s="22">
        <v>3.3195870327008103E-2</v>
      </c>
      <c r="R1049" s="19">
        <f t="shared" si="119"/>
        <v>3.3974474960030143E-2</v>
      </c>
      <c r="S1049" s="22">
        <v>4.0232774300194007E-2</v>
      </c>
      <c r="T1049" s="19">
        <f t="shared" si="120"/>
        <v>4.2995731249786617E-2</v>
      </c>
      <c r="U1049" s="24">
        <v>4.168019198953421E-2</v>
      </c>
      <c r="V1049" s="24">
        <f t="shared" si="121"/>
        <v>4.2993720395513746E-2</v>
      </c>
      <c r="W1049" s="23">
        <f t="shared" si="122"/>
        <v>3.5140851717465615E-3</v>
      </c>
      <c r="X1049" s="24">
        <v>4.1387211436965998E-2</v>
      </c>
      <c r="Y1049" s="24">
        <f t="shared" si="123"/>
        <v>4.2994307083239702E-2</v>
      </c>
      <c r="Z1049" s="23">
        <f t="shared" si="124"/>
        <v>3.5141324821172937E-3</v>
      </c>
      <c r="AA1049" s="36"/>
    </row>
    <row r="1050" spans="15:27" ht="17.100000000000001" customHeight="1" x14ac:dyDescent="0.3">
      <c r="O1050" s="12">
        <f t="shared" si="118"/>
        <v>86.416666666666671</v>
      </c>
      <c r="P1050" s="13">
        <v>1037</v>
      </c>
      <c r="Q1050" s="22">
        <v>3.3196620868656268E-2</v>
      </c>
      <c r="R1050" s="19">
        <f t="shared" si="119"/>
        <v>3.3975102151459158E-2</v>
      </c>
      <c r="S1050" s="22">
        <v>4.0235435146505738E-2</v>
      </c>
      <c r="T1050" s="19">
        <f t="shared" si="120"/>
        <v>4.2995773568024642E-2</v>
      </c>
      <c r="U1050" s="24">
        <v>4.1681457854277237E-2</v>
      </c>
      <c r="V1050" s="24">
        <f t="shared" si="121"/>
        <v>4.2993775060301331E-2</v>
      </c>
      <c r="W1050" s="23">
        <f t="shared" si="122"/>
        <v>3.5140895931173866E-3</v>
      </c>
      <c r="X1050" s="24">
        <v>4.1388759998256974E-2</v>
      </c>
      <c r="Y1050" s="24">
        <f t="shared" si="123"/>
        <v>4.2994358389903287E-2</v>
      </c>
      <c r="Z1050" s="23">
        <f t="shared" si="124"/>
        <v>3.5141366331294943E-3</v>
      </c>
      <c r="AA1050" s="36"/>
    </row>
    <row r="1051" spans="15:27" ht="17.100000000000001" customHeight="1" x14ac:dyDescent="0.3">
      <c r="O1051" s="12">
        <f t="shared" si="118"/>
        <v>86.5</v>
      </c>
      <c r="P1051" s="13">
        <v>1038</v>
      </c>
      <c r="Q1051" s="22">
        <v>3.3197370568494255E-2</v>
      </c>
      <c r="R1051" s="19">
        <f t="shared" si="119"/>
        <v>3.3975724131394269E-2</v>
      </c>
      <c r="S1051" s="22">
        <v>4.0238090913393698E-2</v>
      </c>
      <c r="T1051" s="19">
        <f t="shared" si="120"/>
        <v>4.2995815465863396E-2</v>
      </c>
      <c r="U1051" s="24">
        <v>4.1682721334105777E-2</v>
      </c>
      <c r="V1051" s="24">
        <f t="shared" si="121"/>
        <v>4.2993829248143767E-2</v>
      </c>
      <c r="W1051" s="23">
        <f t="shared" si="122"/>
        <v>3.5140939760842649E-3</v>
      </c>
      <c r="X1051" s="24">
        <v>4.1390305627456048E-2</v>
      </c>
      <c r="Y1051" s="24">
        <f t="shared" si="123"/>
        <v>4.2994409232869346E-2</v>
      </c>
      <c r="Z1051" s="23">
        <f t="shared" si="124"/>
        <v>3.5141407468433083E-3</v>
      </c>
      <c r="AA1051" s="36"/>
    </row>
    <row r="1052" spans="15:27" ht="17.100000000000001" customHeight="1" x14ac:dyDescent="0.3">
      <c r="O1052" s="12">
        <f t="shared" si="118"/>
        <v>86.583333333333329</v>
      </c>
      <c r="P1052" s="13">
        <v>1039</v>
      </c>
      <c r="Q1052" s="22">
        <v>3.3198119423939687E-2</v>
      </c>
      <c r="R1052" s="19">
        <f t="shared" si="119"/>
        <v>3.3976340941758165E-2</v>
      </c>
      <c r="S1052" s="22">
        <v>4.0240741615101605E-2</v>
      </c>
      <c r="T1052" s="19">
        <f t="shared" si="120"/>
        <v>4.2995856948357725E-2</v>
      </c>
      <c r="U1052" s="24">
        <v>4.1683982435443356E-2</v>
      </c>
      <c r="V1052" s="24">
        <f t="shared" si="121"/>
        <v>4.2993882964319496E-2</v>
      </c>
      <c r="W1052" s="23">
        <f t="shared" si="122"/>
        <v>3.5140983208099552E-3</v>
      </c>
      <c r="X1052" s="24">
        <v>4.1391848332577252E-2</v>
      </c>
      <c r="Y1052" s="24">
        <f t="shared" si="123"/>
        <v>4.2994459617880398E-2</v>
      </c>
      <c r="Z1052" s="23">
        <f t="shared" si="124"/>
        <v>3.5141448233781958E-3</v>
      </c>
      <c r="AA1052" s="36"/>
    </row>
    <row r="1053" spans="15:27" ht="17.100000000000001" customHeight="1" x14ac:dyDescent="0.3">
      <c r="O1053" s="12">
        <f t="shared" si="118"/>
        <v>86.666666666666671</v>
      </c>
      <c r="P1053" s="13">
        <v>1040</v>
      </c>
      <c r="Q1053" s="22">
        <v>3.319886743246081E-2</v>
      </c>
      <c r="R1053" s="19">
        <f t="shared" si="119"/>
        <v>3.3976952627097212E-2</v>
      </c>
      <c r="S1053" s="22">
        <v>4.0243387265822772E-2</v>
      </c>
      <c r="T1053" s="19">
        <f t="shared" si="120"/>
        <v>4.2995898020074197E-2</v>
      </c>
      <c r="U1053" s="24">
        <v>4.1685241164693743E-2</v>
      </c>
      <c r="V1053" s="24">
        <f t="shared" si="121"/>
        <v>4.2993936213775674E-2</v>
      </c>
      <c r="W1053" s="23">
        <f t="shared" si="122"/>
        <v>3.5141026277176746E-3</v>
      </c>
      <c r="X1053" s="24">
        <v>4.1393388121609309E-2</v>
      </c>
      <c r="Y1053" s="24">
        <f t="shared" si="123"/>
        <v>4.299450954929851E-2</v>
      </c>
      <c r="Z1053" s="23">
        <f t="shared" si="124"/>
        <v>3.5141488631944551E-3</v>
      </c>
      <c r="AA1053" s="36"/>
    </row>
    <row r="1054" spans="15:27" ht="17.100000000000001" customHeight="1" x14ac:dyDescent="0.3">
      <c r="O1054" s="12">
        <f t="shared" si="118"/>
        <v>86.75</v>
      </c>
      <c r="P1054" s="13">
        <v>1041</v>
      </c>
      <c r="Q1054" s="22">
        <v>3.3199614591578275E-2</v>
      </c>
      <c r="R1054" s="19">
        <f t="shared" si="119"/>
        <v>3.3977559229271481E-2</v>
      </c>
      <c r="S1054" s="22">
        <v>4.0246027879700996E-2</v>
      </c>
      <c r="T1054" s="19">
        <f t="shared" si="120"/>
        <v>4.2995938684617485E-2</v>
      </c>
      <c r="U1054" s="24">
        <v>4.168649752824094E-2</v>
      </c>
      <c r="V1054" s="24">
        <f t="shared" si="121"/>
        <v>4.2993988998976773E-2</v>
      </c>
      <c r="W1054" s="23">
        <f t="shared" si="122"/>
        <v>3.5141068972039946E-3</v>
      </c>
      <c r="X1054" s="24">
        <v>4.1394925002514515E-2</v>
      </c>
      <c r="Y1054" s="24">
        <f t="shared" si="123"/>
        <v>4.2994559030340662E-2</v>
      </c>
      <c r="Z1054" s="23">
        <f t="shared" si="124"/>
        <v>3.5141528666420285E-3</v>
      </c>
      <c r="AA1054" s="36"/>
    </row>
    <row r="1055" spans="15:27" ht="17.100000000000001" customHeight="1" x14ac:dyDescent="0.3">
      <c r="O1055" s="12">
        <f t="shared" si="118"/>
        <v>86.833333333333329</v>
      </c>
      <c r="P1055" s="13">
        <v>1042</v>
      </c>
      <c r="Q1055" s="22">
        <v>3.3200360898862247E-2</v>
      </c>
      <c r="R1055" s="19">
        <f t="shared" si="119"/>
        <v>3.3978160790779643E-2</v>
      </c>
      <c r="S1055" s="22">
        <v>4.0248663470829005E-2</v>
      </c>
      <c r="T1055" s="19">
        <f t="shared" si="120"/>
        <v>4.2995978945692848E-2</v>
      </c>
      <c r="U1055" s="24">
        <v>4.1687751532446748E-2</v>
      </c>
      <c r="V1055" s="24">
        <f t="shared" si="121"/>
        <v>4.2994041325066901E-2</v>
      </c>
      <c r="W1055" s="23">
        <f t="shared" si="122"/>
        <v>3.5141111294667571E-3</v>
      </c>
      <c r="X1055" s="24">
        <v>4.1396458983227857E-2</v>
      </c>
      <c r="Y1055" s="24">
        <f t="shared" si="123"/>
        <v>4.2994608065697326E-2</v>
      </c>
      <c r="Z1055" s="23">
        <f t="shared" si="124"/>
        <v>3.5141568339787099E-3</v>
      </c>
      <c r="AA1055" s="36"/>
    </row>
    <row r="1056" spans="15:27" ht="17.100000000000001" customHeight="1" x14ac:dyDescent="0.3">
      <c r="O1056" s="12">
        <f t="shared" si="118"/>
        <v>86.916666666666671</v>
      </c>
      <c r="P1056" s="13">
        <v>1043</v>
      </c>
      <c r="Q1056" s="22">
        <v>3.3201106351933074E-2</v>
      </c>
      <c r="R1056" s="19">
        <f t="shared" si="119"/>
        <v>3.397875735393141E-2</v>
      </c>
      <c r="S1056" s="22">
        <v>4.0251294053248898E-2</v>
      </c>
      <c r="T1056" s="19">
        <f t="shared" si="120"/>
        <v>4.2996018807498926E-2</v>
      </c>
      <c r="U1056" s="24">
        <v>4.1689003183653872E-2</v>
      </c>
      <c r="V1056" s="24">
        <f t="shared" si="121"/>
        <v>4.299409319524905E-2</v>
      </c>
      <c r="W1056" s="23">
        <f t="shared" si="122"/>
        <v>3.5141153249182988E-3</v>
      </c>
      <c r="X1056" s="24">
        <v>4.139799007165812E-2</v>
      </c>
      <c r="Y1056" s="24">
        <f t="shared" si="123"/>
        <v>4.2994656658420727E-2</v>
      </c>
      <c r="Z1056" s="23">
        <f t="shared" si="124"/>
        <v>3.5141607655806428E-3</v>
      </c>
      <c r="AA1056" s="36"/>
    </row>
    <row r="1057" spans="15:27" ht="17.100000000000001" customHeight="1" x14ac:dyDescent="0.3">
      <c r="O1057" s="12">
        <f t="shared" si="118"/>
        <v>87</v>
      </c>
      <c r="P1057" s="13">
        <v>1044</v>
      </c>
      <c r="Q1057" s="22">
        <v>3.3201850948460621E-2</v>
      </c>
      <c r="R1057" s="19">
        <f t="shared" si="119"/>
        <v>3.3979348958803168E-2</v>
      </c>
      <c r="S1057" s="22">
        <v>4.0253919640953484E-2</v>
      </c>
      <c r="T1057" s="19">
        <f t="shared" si="120"/>
        <v>4.2996058274533233E-2</v>
      </c>
      <c r="U1057" s="24">
        <v>4.1690252488183255E-2</v>
      </c>
      <c r="V1057" s="24">
        <f t="shared" si="121"/>
        <v>4.2994144613889285E-2</v>
      </c>
      <c r="W1057" s="23">
        <f t="shared" si="122"/>
        <v>3.5141194838155254E-3</v>
      </c>
      <c r="X1057" s="24">
        <v>4.1399518275686997E-2</v>
      </c>
      <c r="Y1057" s="24">
        <f t="shared" si="123"/>
        <v>4.2994704814015128E-2</v>
      </c>
      <c r="Z1057" s="23">
        <f t="shared" si="124"/>
        <v>3.5141646616925204E-3</v>
      </c>
      <c r="AA1057" s="36"/>
    </row>
    <row r="1058" spans="15:27" ht="17.100000000000001" customHeight="1" x14ac:dyDescent="0.3">
      <c r="O1058" s="12">
        <f t="shared" si="118"/>
        <v>87.083333333333329</v>
      </c>
      <c r="P1058" s="13">
        <v>1045</v>
      </c>
      <c r="Q1058" s="22">
        <v>3.3202594686162046E-2</v>
      </c>
      <c r="R1058" s="19">
        <f t="shared" si="119"/>
        <v>3.3979935648971393E-2</v>
      </c>
      <c r="S1058" s="22">
        <v>4.0256540247886052E-2</v>
      </c>
      <c r="T1058" s="19">
        <f t="shared" si="120"/>
        <v>4.2996097350562534E-2</v>
      </c>
      <c r="U1058" s="24">
        <v>4.1691499452336078E-2</v>
      </c>
      <c r="V1058" s="24">
        <f t="shared" si="121"/>
        <v>4.2994195585542183E-2</v>
      </c>
      <c r="W1058" s="23">
        <f t="shared" si="122"/>
        <v>3.5141236065081571E-3</v>
      </c>
      <c r="X1058" s="24">
        <v>4.1401043603171095E-2</v>
      </c>
      <c r="Y1058" s="24">
        <f t="shared" si="123"/>
        <v>4.2994752535544745E-2</v>
      </c>
      <c r="Z1058" s="23">
        <f t="shared" si="124"/>
        <v>3.5141685227559893E-3</v>
      </c>
      <c r="AA1058" s="36"/>
    </row>
    <row r="1059" spans="15:27" ht="17.100000000000001" customHeight="1" x14ac:dyDescent="0.3">
      <c r="O1059" s="12">
        <f t="shared" si="118"/>
        <v>87.166666666666671</v>
      </c>
      <c r="P1059" s="13">
        <v>1046</v>
      </c>
      <c r="Q1059" s="22">
        <v>3.3203337562804913E-2</v>
      </c>
      <c r="R1059" s="19">
        <f t="shared" si="119"/>
        <v>3.3980517463446658E-2</v>
      </c>
      <c r="S1059" s="22">
        <v>4.0259155887940379E-2</v>
      </c>
      <c r="T1059" s="19">
        <f t="shared" si="120"/>
        <v>4.2996136038374155E-2</v>
      </c>
      <c r="U1059" s="24">
        <v>4.1692744082393984E-2</v>
      </c>
      <c r="V1059" s="24">
        <f t="shared" si="121"/>
        <v>4.2994246112721957E-2</v>
      </c>
      <c r="W1059" s="23">
        <f t="shared" si="122"/>
        <v>3.5141276933619014E-3</v>
      </c>
      <c r="X1059" s="24">
        <v>4.1402566061939927E-2</v>
      </c>
      <c r="Y1059" s="24">
        <f t="shared" si="123"/>
        <v>4.2994799826362895E-2</v>
      </c>
      <c r="Z1059" s="23">
        <f t="shared" si="124"/>
        <v>3.5141723490161869E-3</v>
      </c>
      <c r="AA1059" s="36"/>
    </row>
    <row r="1060" spans="15:27" ht="17.100000000000001" customHeight="1" x14ac:dyDescent="0.3">
      <c r="O1060" s="12">
        <f t="shared" si="118"/>
        <v>87.25</v>
      </c>
      <c r="P1060" s="13">
        <v>1047</v>
      </c>
      <c r="Q1060" s="22">
        <v>3.3204079576202306E-2</v>
      </c>
      <c r="R1060" s="19">
        <f t="shared" si="119"/>
        <v>3.3981094444178295E-2</v>
      </c>
      <c r="S1060" s="22">
        <v>4.0261766574959834E-2</v>
      </c>
      <c r="T1060" s="19">
        <f t="shared" si="120"/>
        <v>4.2996174342971427E-2</v>
      </c>
      <c r="U1060" s="24">
        <v>4.1693986384616855E-2</v>
      </c>
      <c r="V1060" s="24">
        <f t="shared" si="121"/>
        <v>4.2994296199997617E-2</v>
      </c>
      <c r="W1060" s="23">
        <f t="shared" si="122"/>
        <v>3.5141317445779308E-3</v>
      </c>
      <c r="X1060" s="24">
        <v>4.1404085659796586E-2</v>
      </c>
      <c r="Y1060" s="24">
        <f t="shared" si="123"/>
        <v>4.2994846691202904E-2</v>
      </c>
      <c r="Z1060" s="23">
        <f t="shared" si="124"/>
        <v>3.5141761407422312E-3</v>
      </c>
      <c r="AA1060" s="36"/>
    </row>
    <row r="1061" spans="15:27" ht="17.100000000000001" customHeight="1" x14ac:dyDescent="0.3">
      <c r="O1061" s="12">
        <f t="shared" si="118"/>
        <v>87.333333333333329</v>
      </c>
      <c r="P1061" s="13">
        <v>1048</v>
      </c>
      <c r="Q1061" s="22">
        <v>3.3204820724215933E-2</v>
      </c>
      <c r="R1061" s="19">
        <f t="shared" si="119"/>
        <v>3.3981666630297891E-2</v>
      </c>
      <c r="S1061" s="22">
        <v>4.0264372322739828E-2</v>
      </c>
      <c r="T1061" s="19">
        <f t="shared" si="120"/>
        <v>4.2996212268260781E-2</v>
      </c>
      <c r="U1061" s="24">
        <v>4.1695226365244809E-2</v>
      </c>
      <c r="V1061" s="24">
        <f t="shared" si="121"/>
        <v>4.29943458516866E-2</v>
      </c>
      <c r="W1061" s="23">
        <f t="shared" si="122"/>
        <v>3.5141357605226187E-3</v>
      </c>
      <c r="X1061" s="24">
        <v>4.1405602404518405E-2</v>
      </c>
      <c r="Y1061" s="24">
        <f t="shared" si="123"/>
        <v>4.2994893133683876E-2</v>
      </c>
      <c r="Z1061" s="23">
        <f t="shared" si="124"/>
        <v>3.5141798983138184E-3</v>
      </c>
      <c r="AA1061" s="36"/>
    </row>
    <row r="1062" spans="15:27" ht="17.100000000000001" customHeight="1" x14ac:dyDescent="0.3">
      <c r="O1062" s="12">
        <f t="shared" si="118"/>
        <v>87.416666666666671</v>
      </c>
      <c r="P1062" s="13">
        <v>1049</v>
      </c>
      <c r="Q1062" s="22">
        <v>3.3205561004752804E-2</v>
      </c>
      <c r="R1062" s="19">
        <f t="shared" si="119"/>
        <v>3.3982234061307404E-2</v>
      </c>
      <c r="S1062" s="22">
        <v>4.0266973145026697E-2</v>
      </c>
      <c r="T1062" s="19">
        <f t="shared" si="120"/>
        <v>4.2996249817414345E-2</v>
      </c>
      <c r="U1062" s="24">
        <v>4.1696464030498648E-2</v>
      </c>
      <c r="V1062" s="24">
        <f t="shared" si="121"/>
        <v>4.2994395070769853E-2</v>
      </c>
      <c r="W1062" s="23">
        <f t="shared" si="122"/>
        <v>3.5141397415423548E-3</v>
      </c>
      <c r="X1062" s="24">
        <v>4.1407116303857183E-2</v>
      </c>
      <c r="Y1062" s="24">
        <f t="shared" si="123"/>
        <v>4.2994939157895651E-2</v>
      </c>
      <c r="Z1062" s="23">
        <f t="shared" si="124"/>
        <v>3.5141836220207168E-3</v>
      </c>
      <c r="AA1062" s="36"/>
    </row>
    <row r="1063" spans="15:27" ht="17.100000000000001" customHeight="1" x14ac:dyDescent="0.3">
      <c r="O1063" s="12">
        <f t="shared" si="118"/>
        <v>87.5</v>
      </c>
      <c r="P1063" s="13">
        <v>1050</v>
      </c>
      <c r="Q1063" s="22">
        <v>3.3206300415765444E-2</v>
      </c>
      <c r="R1063" s="19">
        <f t="shared" si="119"/>
        <v>3.3982796778589064E-2</v>
      </c>
      <c r="S1063" s="22">
        <v>4.0269569055517929E-2</v>
      </c>
      <c r="T1063" s="19">
        <f t="shared" si="120"/>
        <v>4.2996286993792099E-2</v>
      </c>
      <c r="U1063" s="24">
        <v>4.1697699386578302E-2</v>
      </c>
      <c r="V1063" s="24">
        <f t="shared" si="121"/>
        <v>4.2994443862025777E-2</v>
      </c>
      <c r="W1063" s="23">
        <f t="shared" si="122"/>
        <v>3.514143687876059E-3</v>
      </c>
      <c r="X1063" s="24">
        <v>4.140862736553852E-2</v>
      </c>
      <c r="Y1063" s="24">
        <f t="shared" si="123"/>
        <v>4.2994984767083189E-2</v>
      </c>
      <c r="Z1063" s="23">
        <f t="shared" si="124"/>
        <v>3.5141873121913303E-3</v>
      </c>
      <c r="AA1063" s="36"/>
    </row>
    <row r="1064" spans="15:27" ht="17.100000000000001" customHeight="1" x14ac:dyDescent="0.3">
      <c r="O1064" s="12">
        <f t="shared" si="118"/>
        <v>87.583333333333329</v>
      </c>
      <c r="P1064" s="13">
        <v>1051</v>
      </c>
      <c r="Q1064" s="22">
        <v>3.3207038955253676E-2</v>
      </c>
      <c r="R1064" s="19">
        <f t="shared" si="119"/>
        <v>3.3983354820115164E-2</v>
      </c>
      <c r="S1064" s="22">
        <v>4.027216006786194E-2</v>
      </c>
      <c r="T1064" s="19">
        <f t="shared" si="120"/>
        <v>4.2996323801779868E-2</v>
      </c>
      <c r="U1064" s="24">
        <v>4.1698932439664382E-2</v>
      </c>
      <c r="V1064" s="24">
        <f t="shared" si="121"/>
        <v>4.2994492227393044E-2</v>
      </c>
      <c r="W1064" s="23">
        <f t="shared" si="122"/>
        <v>3.5141475999069804E-3</v>
      </c>
      <c r="X1064" s="24">
        <v>4.1410135597262032E-2</v>
      </c>
      <c r="Y1064" s="24">
        <f t="shared" si="123"/>
        <v>4.2995029964843834E-2</v>
      </c>
      <c r="Z1064" s="23">
        <f t="shared" si="124"/>
        <v>3.5141909690854511E-3</v>
      </c>
      <c r="AA1064" s="36"/>
    </row>
    <row r="1065" spans="15:27" ht="17.100000000000001" customHeight="1" x14ac:dyDescent="0.3">
      <c r="O1065" s="12">
        <f t="shared" si="118"/>
        <v>87.666666666666671</v>
      </c>
      <c r="P1065" s="13">
        <v>1052</v>
      </c>
      <c r="Q1065" s="22">
        <v>3.3207776621260843E-2</v>
      </c>
      <c r="R1065" s="19">
        <f t="shared" si="119"/>
        <v>3.39839082243798E-2</v>
      </c>
      <c r="S1065" s="22">
        <v>4.0274746195659183E-2</v>
      </c>
      <c r="T1065" s="19">
        <f t="shared" si="120"/>
        <v>4.2996360245177501E-2</v>
      </c>
      <c r="U1065" s="24">
        <v>4.1700163195916184E-2</v>
      </c>
      <c r="V1065" s="24">
        <f t="shared" si="121"/>
        <v>4.299454017266835E-2</v>
      </c>
      <c r="W1065" s="23">
        <f t="shared" si="122"/>
        <v>3.5141514777901062E-3</v>
      </c>
      <c r="X1065" s="24">
        <v>4.1411641006701361E-2</v>
      </c>
      <c r="Y1065" s="24">
        <f t="shared" si="123"/>
        <v>4.2995074755917351E-2</v>
      </c>
      <c r="Z1065" s="23">
        <f t="shared" si="124"/>
        <v>3.5141945929919594E-3</v>
      </c>
      <c r="AA1065" s="36"/>
    </row>
    <row r="1066" spans="15:27" ht="17.100000000000001" customHeight="1" x14ac:dyDescent="0.3">
      <c r="O1066" s="12">
        <f t="shared" si="118"/>
        <v>87.75</v>
      </c>
      <c r="P1066" s="13">
        <v>1053</v>
      </c>
      <c r="Q1066" s="22">
        <v>3.3208513411874252E-2</v>
      </c>
      <c r="R1066" s="19">
        <f t="shared" si="119"/>
        <v>3.3984457031149162E-2</v>
      </c>
      <c r="S1066" s="22">
        <v>4.0277327452462597E-2</v>
      </c>
      <c r="T1066" s="19">
        <f t="shared" si="120"/>
        <v>4.2996396327730224E-2</v>
      </c>
      <c r="U1066" s="24">
        <v>4.1701391661474796E-2</v>
      </c>
      <c r="V1066" s="24">
        <f t="shared" si="121"/>
        <v>4.2994587700595055E-2</v>
      </c>
      <c r="W1066" s="23">
        <f t="shared" si="122"/>
        <v>3.5141553219908417E-3</v>
      </c>
      <c r="X1066" s="24">
        <v>4.1413143601505498E-2</v>
      </c>
      <c r="Y1066" s="24">
        <f t="shared" si="123"/>
        <v>4.2995119143013572E-2</v>
      </c>
      <c r="Z1066" s="23">
        <f t="shared" si="124"/>
        <v>3.5141981842903292E-3</v>
      </c>
      <c r="AA1066" s="36"/>
    </row>
    <row r="1067" spans="15:27" ht="17.100000000000001" customHeight="1" x14ac:dyDescent="0.3">
      <c r="O1067" s="12">
        <f t="shared" si="118"/>
        <v>87.833333333333329</v>
      </c>
      <c r="P1067" s="13">
        <v>1054</v>
      </c>
      <c r="Q1067" s="22">
        <v>3.3209249325226287E-2</v>
      </c>
      <c r="R1067" s="19">
        <f t="shared" si="119"/>
        <v>3.3985001277504256E-2</v>
      </c>
      <c r="S1067" s="22">
        <v>4.0279903851776933E-2</v>
      </c>
      <c r="T1067" s="19">
        <f t="shared" si="120"/>
        <v>4.2996432051574329E-2</v>
      </c>
      <c r="U1067" s="24">
        <v>4.1702617842460876E-2</v>
      </c>
      <c r="V1067" s="24">
        <f t="shared" si="121"/>
        <v>4.2994634814669475E-2</v>
      </c>
      <c r="W1067" s="23">
        <f t="shared" si="122"/>
        <v>3.5141591327287891E-3</v>
      </c>
      <c r="X1067" s="24">
        <v>4.1414643389297234E-2</v>
      </c>
      <c r="Y1067" s="24">
        <f t="shared" si="123"/>
        <v>4.2995163130585601E-2</v>
      </c>
      <c r="Z1067" s="23">
        <f t="shared" si="124"/>
        <v>3.5142017431981643E-3</v>
      </c>
      <c r="AA1067" s="36"/>
    </row>
    <row r="1068" spans="15:27" ht="17.100000000000001" customHeight="1" x14ac:dyDescent="0.3">
      <c r="O1068" s="12">
        <f t="shared" si="118"/>
        <v>87.916666666666671</v>
      </c>
      <c r="P1068" s="13">
        <v>1055</v>
      </c>
      <c r="Q1068" s="22">
        <v>3.3209984359491296E-2</v>
      </c>
      <c r="R1068" s="19">
        <f t="shared" si="119"/>
        <v>3.3985541003122677E-2</v>
      </c>
      <c r="S1068" s="22">
        <v>4.0282475407058094E-2</v>
      </c>
      <c r="T1068" s="19">
        <f t="shared" si="120"/>
        <v>4.2996467421802631E-2</v>
      </c>
      <c r="U1068" s="24">
        <v>4.1703841744975101E-2</v>
      </c>
      <c r="V1068" s="24">
        <f t="shared" si="121"/>
        <v>4.2994681517915856E-2</v>
      </c>
      <c r="W1068" s="23">
        <f t="shared" si="122"/>
        <v>3.5141629102843908E-3</v>
      </c>
      <c r="X1068" s="24">
        <v>4.1416140377674271E-2</v>
      </c>
      <c r="Y1068" s="24">
        <f t="shared" si="123"/>
        <v>4.299520672062096E-2</v>
      </c>
      <c r="Z1068" s="23">
        <f t="shared" si="124"/>
        <v>3.5142052700725124E-3</v>
      </c>
      <c r="AA1068" s="36"/>
    </row>
    <row r="1069" spans="15:27" ht="17.100000000000001" customHeight="1" x14ac:dyDescent="0.3">
      <c r="O1069" s="12">
        <f t="shared" si="118"/>
        <v>88</v>
      </c>
      <c r="P1069" s="13">
        <v>1056</v>
      </c>
      <c r="Q1069" s="22">
        <v>3.321071851288826E-2</v>
      </c>
      <c r="R1069" s="19">
        <f t="shared" si="119"/>
        <v>3.3986076242956242E-2</v>
      </c>
      <c r="S1069" s="22">
        <v>4.0285042131715576E-2</v>
      </c>
      <c r="T1069" s="19">
        <f t="shared" si="120"/>
        <v>4.2996502441520423E-2</v>
      </c>
      <c r="U1069" s="24">
        <v>4.1705063375097939E-2</v>
      </c>
      <c r="V1069" s="24">
        <f t="shared" si="121"/>
        <v>4.2994727815274691E-2</v>
      </c>
      <c r="W1069" s="23">
        <f t="shared" si="122"/>
        <v>3.5141666548998973E-3</v>
      </c>
      <c r="X1069" s="24">
        <v>4.1417634574207884E-2</v>
      </c>
      <c r="Y1069" s="24">
        <f t="shared" si="123"/>
        <v>4.2995249918572176E-2</v>
      </c>
      <c r="Z1069" s="23">
        <f t="shared" si="124"/>
        <v>3.5142087650725795E-3</v>
      </c>
      <c r="AA1069" s="36"/>
    </row>
    <row r="1070" spans="15:27" ht="17.100000000000001" customHeight="1" x14ac:dyDescent="0.3">
      <c r="O1070" s="12">
        <f t="shared" si="118"/>
        <v>88.083333333333329</v>
      </c>
      <c r="P1070" s="13">
        <v>1057</v>
      </c>
      <c r="Q1070" s="22">
        <v>3.3211451783676127E-2</v>
      </c>
      <c r="R1070" s="19">
        <f t="shared" si="119"/>
        <v>3.3986607036669891E-2</v>
      </c>
      <c r="S1070" s="22">
        <v>4.0287604039111358E-2</v>
      </c>
      <c r="T1070" s="19">
        <f t="shared" si="120"/>
        <v>4.2996537113848543E-2</v>
      </c>
      <c r="U1070" s="24">
        <v>4.1706282738891431E-2</v>
      </c>
      <c r="V1070" s="24">
        <f t="shared" si="121"/>
        <v>4.2994773709759793E-2</v>
      </c>
      <c r="W1070" s="23">
        <f t="shared" si="122"/>
        <v>3.5141703669718805E-3</v>
      </c>
      <c r="X1070" s="24">
        <v>4.1419125986445593E-2</v>
      </c>
      <c r="Y1070" s="24">
        <f t="shared" si="123"/>
        <v>4.2995292727378898E-2</v>
      </c>
      <c r="Z1070" s="23">
        <f t="shared" si="124"/>
        <v>3.5142122286357935E-3</v>
      </c>
      <c r="AA1070" s="36"/>
    </row>
    <row r="1071" spans="15:27" ht="17.100000000000001" customHeight="1" x14ac:dyDescent="0.3">
      <c r="O1071" s="12">
        <f t="shared" si="118"/>
        <v>88.166666666666671</v>
      </c>
      <c r="P1071" s="13">
        <v>1058</v>
      </c>
      <c r="Q1071" s="22">
        <v>3.3212184170157366E-2</v>
      </c>
      <c r="R1071" s="19">
        <f t="shared" si="119"/>
        <v>3.3987133420418925E-2</v>
      </c>
      <c r="S1071" s="22">
        <v>4.0290161142559899E-2</v>
      </c>
      <c r="T1071" s="19">
        <f t="shared" si="120"/>
        <v>4.2996571442364129E-2</v>
      </c>
      <c r="U1071" s="24">
        <v>4.1707499842397633E-2</v>
      </c>
      <c r="V1071" s="24">
        <f t="shared" si="121"/>
        <v>4.2994819204221768E-2</v>
      </c>
      <c r="W1071" s="23">
        <f t="shared" si="122"/>
        <v>3.5141740467414806E-3</v>
      </c>
      <c r="X1071" s="24">
        <v>4.1420614621909158E-2</v>
      </c>
      <c r="Y1071" s="24">
        <f t="shared" si="123"/>
        <v>4.2995335149667691E-2</v>
      </c>
      <c r="Z1071" s="23">
        <f t="shared" si="124"/>
        <v>3.5142156609975217E-3</v>
      </c>
      <c r="AA1071" s="36"/>
    </row>
    <row r="1072" spans="15:27" ht="17.100000000000001" customHeight="1" x14ac:dyDescent="0.3">
      <c r="O1072" s="12">
        <f t="shared" si="118"/>
        <v>88.25</v>
      </c>
      <c r="P1072" s="13">
        <v>1059</v>
      </c>
      <c r="Q1072" s="22">
        <v>3.3212915670675525E-2</v>
      </c>
      <c r="R1072" s="19">
        <f t="shared" si="119"/>
        <v>3.3987655430389063E-2</v>
      </c>
      <c r="S1072" s="22">
        <v>4.029271345532881E-2</v>
      </c>
      <c r="T1072" s="19">
        <f t="shared" si="120"/>
        <v>4.299660543063899E-2</v>
      </c>
      <c r="U1072" s="24">
        <v>4.1708714691638615E-2</v>
      </c>
      <c r="V1072" s="24">
        <f t="shared" si="121"/>
        <v>4.2994864302548397E-2</v>
      </c>
      <c r="W1072" s="23">
        <f t="shared" si="122"/>
        <v>3.5141776944378478E-3</v>
      </c>
      <c r="X1072" s="24">
        <v>4.1422100488094582E-2</v>
      </c>
      <c r="Y1072" s="24">
        <f t="shared" si="123"/>
        <v>4.2995377190083506E-2</v>
      </c>
      <c r="Z1072" s="23">
        <f t="shared" si="124"/>
        <v>3.5142190623687064E-3</v>
      </c>
      <c r="AA1072" s="36"/>
    </row>
    <row r="1073" spans="15:27" ht="17.100000000000001" customHeight="1" x14ac:dyDescent="0.3">
      <c r="O1073" s="12">
        <f t="shared" si="118"/>
        <v>88.333333333333329</v>
      </c>
      <c r="P1073" s="13">
        <v>1060</v>
      </c>
      <c r="Q1073" s="22">
        <v>3.3213646283614118E-2</v>
      </c>
      <c r="R1073" s="19">
        <f t="shared" si="119"/>
        <v>3.3988173103405517E-2</v>
      </c>
      <c r="S1073" s="22">
        <v>4.0295260990638848E-2</v>
      </c>
      <c r="T1073" s="19">
        <f t="shared" si="120"/>
        <v>4.2996639082054422E-2</v>
      </c>
      <c r="U1073" s="24">
        <v>4.1709927292617133E-2</v>
      </c>
      <c r="V1073" s="24">
        <f t="shared" si="121"/>
        <v>4.2994909008600812E-2</v>
      </c>
      <c r="W1073" s="23">
        <f t="shared" si="122"/>
        <v>3.5141813103720665E-3</v>
      </c>
      <c r="X1073" s="24">
        <v>4.1423583592473889E-2</v>
      </c>
      <c r="Y1073" s="24">
        <f t="shared" si="123"/>
        <v>4.2995418851291101E-2</v>
      </c>
      <c r="Z1073" s="23">
        <f t="shared" si="124"/>
        <v>3.5142224331214944E-3</v>
      </c>
      <c r="AA1073" s="36"/>
    </row>
    <row r="1074" spans="15:27" ht="17.100000000000001" customHeight="1" x14ac:dyDescent="0.3">
      <c r="O1074" s="12">
        <f t="shared" si="118"/>
        <v>88.416666666666671</v>
      </c>
      <c r="P1074" s="13">
        <v>1061</v>
      </c>
      <c r="Q1074" s="22">
        <v>3.3214376007397739E-2</v>
      </c>
      <c r="R1074" s="19">
        <f t="shared" si="119"/>
        <v>3.3988686476023267E-2</v>
      </c>
      <c r="S1074" s="22">
        <v>4.0297803761664364E-2</v>
      </c>
      <c r="T1074" s="19">
        <f t="shared" si="120"/>
        <v>4.2996672399937985E-2</v>
      </c>
      <c r="U1074" s="24">
        <v>4.1711137651317065E-2</v>
      </c>
      <c r="V1074" s="24">
        <f t="shared" si="121"/>
        <v>4.2994953326021434E-2</v>
      </c>
      <c r="W1074" s="23">
        <f t="shared" si="122"/>
        <v>3.514184894854111E-3</v>
      </c>
      <c r="X1074" s="24">
        <v>4.1425063942493567E-2</v>
      </c>
      <c r="Y1074" s="24">
        <f t="shared" si="123"/>
        <v>4.2995460137887243E-2</v>
      </c>
      <c r="Z1074" s="23">
        <f t="shared" si="124"/>
        <v>3.5142257734699367E-3</v>
      </c>
      <c r="AA1074" s="36"/>
    </row>
    <row r="1075" spans="15:27" ht="17.100000000000001" customHeight="1" x14ac:dyDescent="0.3">
      <c r="O1075" s="12">
        <f t="shared" si="118"/>
        <v>88.5</v>
      </c>
      <c r="P1075" s="13">
        <v>1062</v>
      </c>
      <c r="Q1075" s="22">
        <v>3.321510484049095E-2</v>
      </c>
      <c r="R1075" s="19">
        <f t="shared" si="119"/>
        <v>3.3989195583064236E-2</v>
      </c>
      <c r="S1075" s="22">
        <v>4.03003417815333E-2</v>
      </c>
      <c r="T1075" s="19">
        <f t="shared" si="120"/>
        <v>4.2996705387160716E-2</v>
      </c>
      <c r="U1075" s="24">
        <v>4.1712345773703197E-2</v>
      </c>
      <c r="V1075" s="24">
        <f t="shared" si="121"/>
        <v>4.299499725627598E-2</v>
      </c>
      <c r="W1075" s="23">
        <f t="shared" si="122"/>
        <v>3.51418844817597E-3</v>
      </c>
      <c r="X1075" s="24">
        <v>4.1426541545576123E-2</v>
      </c>
      <c r="Y1075" s="24">
        <f t="shared" si="123"/>
        <v>4.2995501051148466E-2</v>
      </c>
      <c r="Z1075" s="23">
        <f t="shared" si="124"/>
        <v>3.5142290837821832E-3</v>
      </c>
      <c r="AA1075" s="36"/>
    </row>
    <row r="1076" spans="15:27" ht="17.100000000000001" customHeight="1" x14ac:dyDescent="0.3">
      <c r="O1076" s="12">
        <f t="shared" si="118"/>
        <v>88.583333333333329</v>
      </c>
      <c r="P1076" s="13">
        <v>1063</v>
      </c>
      <c r="Q1076" s="22">
        <v>3.321583278139717E-2</v>
      </c>
      <c r="R1076" s="19">
        <f t="shared" si="119"/>
        <v>3.3989700460933525E-2</v>
      </c>
      <c r="S1076" s="22">
        <v>4.0302875063326749E-2</v>
      </c>
      <c r="T1076" s="19">
        <f t="shared" si="120"/>
        <v>4.2996738047663019E-2</v>
      </c>
      <c r="U1076" s="24">
        <v>4.1713551665719439E-2</v>
      </c>
      <c r="V1076" s="24">
        <f t="shared" si="121"/>
        <v>4.2995040804810758E-2</v>
      </c>
      <c r="W1076" s="23">
        <f t="shared" si="122"/>
        <v>3.514191970455105E-3</v>
      </c>
      <c r="X1076" s="24">
        <v>4.1428016409117641E-2</v>
      </c>
      <c r="Y1076" s="24">
        <f t="shared" si="123"/>
        <v>4.2995541596045239E-2</v>
      </c>
      <c r="Z1076" s="23">
        <f t="shared" si="124"/>
        <v>3.5142323641605966E-3</v>
      </c>
      <c r="AA1076" s="36"/>
    </row>
    <row r="1077" spans="15:27" ht="17.100000000000001" customHeight="1" x14ac:dyDescent="0.3">
      <c r="O1077" s="12">
        <f t="shared" si="118"/>
        <v>88.666666666666671</v>
      </c>
      <c r="P1077" s="13">
        <v>1064</v>
      </c>
      <c r="Q1077" s="22">
        <v>3.3216559828659342E-2</v>
      </c>
      <c r="R1077" s="19">
        <f t="shared" si="119"/>
        <v>3.3990201143715204E-2</v>
      </c>
      <c r="S1077" s="22">
        <v>4.0305403620080504E-2</v>
      </c>
      <c r="T1077" s="19">
        <f t="shared" si="120"/>
        <v>4.2996770384313932E-2</v>
      </c>
      <c r="U1077" s="24">
        <v>4.1714755333292164E-2</v>
      </c>
      <c r="V1077" s="24">
        <f t="shared" si="121"/>
        <v>4.2995083974685544E-2</v>
      </c>
      <c r="W1077" s="23">
        <f t="shared" si="122"/>
        <v>3.5141954621282778E-3</v>
      </c>
      <c r="X1077" s="24">
        <v>4.1429488540491111E-2</v>
      </c>
      <c r="Y1077" s="24">
        <f t="shared" si="123"/>
        <v>4.2995581776364089E-2</v>
      </c>
      <c r="Z1077" s="23">
        <f t="shared" si="124"/>
        <v>3.5142356150039689E-3</v>
      </c>
      <c r="AA1077" s="36"/>
    </row>
    <row r="1078" spans="15:27" ht="17.100000000000001" customHeight="1" x14ac:dyDescent="0.3">
      <c r="O1078" s="12">
        <f t="shared" si="118"/>
        <v>88.75</v>
      </c>
      <c r="P1078" s="13">
        <v>1065</v>
      </c>
      <c r="Q1078" s="22">
        <v>3.3217285980858158E-2</v>
      </c>
      <c r="R1078" s="19">
        <f t="shared" si="119"/>
        <v>3.399069766749907E-2</v>
      </c>
      <c r="S1078" s="22">
        <v>4.0307927464784399E-2</v>
      </c>
      <c r="T1078" s="19">
        <f t="shared" si="120"/>
        <v>4.2996802400242951E-2</v>
      </c>
      <c r="U1078" s="24">
        <v>4.1715956782328645E-2</v>
      </c>
      <c r="V1078" s="24">
        <f t="shared" si="121"/>
        <v>4.2995126768056391E-2</v>
      </c>
      <c r="W1078" s="23">
        <f t="shared" si="122"/>
        <v>3.5141989234408477E-3</v>
      </c>
      <c r="X1078" s="24">
        <v>4.1430957947044877E-2</v>
      </c>
      <c r="Y1078" s="24">
        <f t="shared" si="123"/>
        <v>4.2995621593638012E-2</v>
      </c>
      <c r="Z1078" s="23">
        <f t="shared" si="124"/>
        <v>3.514238836615835E-3</v>
      </c>
      <c r="AA1078" s="36"/>
    </row>
    <row r="1079" spans="15:27" ht="17.100000000000001" customHeight="1" x14ac:dyDescent="0.3">
      <c r="O1079" s="12">
        <f t="shared" si="118"/>
        <v>88.833333333333329</v>
      </c>
      <c r="P1079" s="13">
        <v>1066</v>
      </c>
      <c r="Q1079" s="22">
        <v>3.3218011236613165E-2</v>
      </c>
      <c r="R1079" s="19">
        <f t="shared" si="119"/>
        <v>3.399119006612028E-2</v>
      </c>
      <c r="S1079" s="22">
        <v>4.0310446610382078E-2</v>
      </c>
      <c r="T1079" s="19">
        <f t="shared" si="120"/>
        <v>4.2996834099011227E-2</v>
      </c>
      <c r="U1079" s="24">
        <v>4.1717156018715729E-2</v>
      </c>
      <c r="V1079" s="24">
        <f t="shared" si="121"/>
        <v>4.2995169189242288E-2</v>
      </c>
      <c r="W1079" s="23">
        <f t="shared" si="122"/>
        <v>3.5142023545655654E-3</v>
      </c>
      <c r="X1079" s="24">
        <v>4.1432424636101972E-2</v>
      </c>
      <c r="Y1079" s="24">
        <f t="shared" si="123"/>
        <v>4.2995661052350087E-2</v>
      </c>
      <c r="Z1079" s="23">
        <f t="shared" si="124"/>
        <v>3.5142420291189858E-3</v>
      </c>
      <c r="AA1079" s="36"/>
    </row>
    <row r="1080" spans="15:27" ht="17.100000000000001" customHeight="1" x14ac:dyDescent="0.3">
      <c r="O1080" s="12">
        <f t="shared" si="118"/>
        <v>88.916666666666671</v>
      </c>
      <c r="P1080" s="13">
        <v>1067</v>
      </c>
      <c r="Q1080" s="22">
        <v>3.3218735594580995E-2</v>
      </c>
      <c r="R1080" s="19">
        <f t="shared" si="119"/>
        <v>3.3991678373918477E-2</v>
      </c>
      <c r="S1080" s="22">
        <v>4.0312961069772335E-2</v>
      </c>
      <c r="T1080" s="19">
        <f t="shared" si="120"/>
        <v>4.2996865483221347E-2</v>
      </c>
      <c r="U1080" s="24">
        <v>4.1718353048322498E-2</v>
      </c>
      <c r="V1080" s="24">
        <f t="shared" si="121"/>
        <v>4.2995211241064979E-2</v>
      </c>
      <c r="W1080" s="23">
        <f t="shared" si="122"/>
        <v>3.5142057558488204E-3</v>
      </c>
      <c r="X1080" s="24">
        <v>4.1433888614961667E-2</v>
      </c>
      <c r="Y1080" s="24">
        <f t="shared" si="123"/>
        <v>4.2995700155670002E-2</v>
      </c>
      <c r="Z1080" s="23">
        <f t="shared" si="124"/>
        <v>3.5142451928731333E-3</v>
      </c>
      <c r="AA1080" s="36"/>
    </row>
    <row r="1081" spans="15:27" ht="17.100000000000001" customHeight="1" x14ac:dyDescent="0.3">
      <c r="O1081" s="12">
        <f t="shared" si="118"/>
        <v>89</v>
      </c>
      <c r="P1081" s="13">
        <v>1068</v>
      </c>
      <c r="Q1081" s="22">
        <v>3.3219459053455358E-2</v>
      </c>
      <c r="R1081" s="19">
        <f t="shared" si="119"/>
        <v>3.3992162625495537E-2</v>
      </c>
      <c r="S1081" s="22">
        <v>4.0315470855808E-2</v>
      </c>
      <c r="T1081" s="19">
        <f t="shared" si="120"/>
        <v>4.2996896556872555E-2</v>
      </c>
      <c r="U1081" s="24">
        <v>4.1719547876998719E-2</v>
      </c>
      <c r="V1081" s="24">
        <f t="shared" si="121"/>
        <v>4.2995252926917749E-2</v>
      </c>
      <c r="W1081" s="23">
        <f t="shared" si="122"/>
        <v>3.5142091275166543E-3</v>
      </c>
      <c r="X1081" s="24">
        <v>4.1435349890898809E-2</v>
      </c>
      <c r="Y1081" s="24">
        <f t="shared" si="123"/>
        <v>4.2995738906485226E-2</v>
      </c>
      <c r="Z1081" s="23">
        <f t="shared" si="124"/>
        <v>3.5142483281320747E-3</v>
      </c>
      <c r="AA1081" s="36"/>
    </row>
    <row r="1082" spans="15:27" ht="17.100000000000001" customHeight="1" x14ac:dyDescent="0.3">
      <c r="O1082" s="12">
        <f t="shared" si="118"/>
        <v>89.083333333333329</v>
      </c>
      <c r="P1082" s="13">
        <v>1069</v>
      </c>
      <c r="Q1082" s="22">
        <v>3.3220181611967048E-2</v>
      </c>
      <c r="R1082" s="19">
        <f t="shared" si="119"/>
        <v>3.3992642853615473E-2</v>
      </c>
      <c r="S1082" s="22">
        <v>4.0317975981297716E-2</v>
      </c>
      <c r="T1082" s="19">
        <f t="shared" si="120"/>
        <v>4.2996927322195733E-2</v>
      </c>
      <c r="U1082" s="24">
        <v>4.1720740510575283E-2</v>
      </c>
      <c r="V1082" s="24">
        <f t="shared" si="121"/>
        <v>4.2995294249922766E-2</v>
      </c>
      <c r="W1082" s="23">
        <f t="shared" si="122"/>
        <v>3.5142124698415156E-3</v>
      </c>
      <c r="X1082" s="24">
        <v>4.1436808471164044E-2</v>
      </c>
      <c r="Y1082" s="24">
        <f t="shared" si="123"/>
        <v>4.2995777307715422E-2</v>
      </c>
      <c r="Z1082" s="23">
        <f t="shared" si="124"/>
        <v>3.5142514351274023E-3</v>
      </c>
      <c r="AA1082" s="36"/>
    </row>
    <row r="1083" spans="15:27" ht="17.100000000000001" customHeight="1" x14ac:dyDescent="0.3">
      <c r="O1083" s="12">
        <f t="shared" si="118"/>
        <v>89.166666666666671</v>
      </c>
      <c r="P1083" s="13">
        <v>1070</v>
      </c>
      <c r="Q1083" s="22">
        <v>3.3220903268882385E-2</v>
      </c>
      <c r="R1083" s="19">
        <f t="shared" si="119"/>
        <v>3.3993119092532886E-2</v>
      </c>
      <c r="S1083" s="22">
        <v>4.0320476459004162E-2</v>
      </c>
      <c r="T1083" s="19">
        <f t="shared" si="120"/>
        <v>4.2996957782488687E-2</v>
      </c>
      <c r="U1083" s="24">
        <v>4.1721930954864206E-2</v>
      </c>
      <c r="V1083" s="24">
        <f t="shared" si="121"/>
        <v>4.2995335212907104E-2</v>
      </c>
      <c r="W1083" s="23">
        <f t="shared" si="122"/>
        <v>3.5142157830734266E-3</v>
      </c>
      <c r="X1083" s="24">
        <v>4.143826436298359E-2</v>
      </c>
      <c r="Y1083" s="24">
        <f t="shared" si="123"/>
        <v>4.2995815363275236E-2</v>
      </c>
      <c r="Z1083" s="23">
        <f t="shared" si="124"/>
        <v>3.5142545140933734E-3</v>
      </c>
      <c r="AA1083" s="36"/>
    </row>
    <row r="1084" spans="15:27" ht="17.100000000000001" customHeight="1" x14ac:dyDescent="0.3">
      <c r="O1084" s="12">
        <f t="shared" si="118"/>
        <v>89.25</v>
      </c>
      <c r="P1084" s="13">
        <v>1071</v>
      </c>
      <c r="Q1084" s="22">
        <v>3.3221624023004326E-2</v>
      </c>
      <c r="R1084" s="19">
        <f t="shared" si="119"/>
        <v>3.3993591375328425E-2</v>
      </c>
      <c r="S1084" s="22">
        <v>4.0322972301645832E-2</v>
      </c>
      <c r="T1084" s="19">
        <f t="shared" si="120"/>
        <v>4.299698794073703E-2</v>
      </c>
      <c r="U1084" s="24">
        <v>4.1723119215658633E-2</v>
      </c>
      <c r="V1084" s="24">
        <f t="shared" si="121"/>
        <v>4.2995375819759873E-2</v>
      </c>
      <c r="W1084" s="23">
        <f t="shared" si="122"/>
        <v>3.514219067439095E-3</v>
      </c>
      <c r="X1084" s="24">
        <v>4.1439717573560131E-2</v>
      </c>
      <c r="Y1084" s="24">
        <f t="shared" si="123"/>
        <v>4.2995853075480595E-2</v>
      </c>
      <c r="Z1084" s="23">
        <f t="shared" si="124"/>
        <v>3.5142575653439589E-3</v>
      </c>
      <c r="AA1084" s="36"/>
    </row>
    <row r="1085" spans="15:27" ht="17.100000000000001" customHeight="1" x14ac:dyDescent="0.3">
      <c r="O1085" s="12">
        <f t="shared" si="118"/>
        <v>89.333333333333329</v>
      </c>
      <c r="P1085" s="13">
        <v>1072</v>
      </c>
      <c r="Q1085" s="22">
        <v>3.3222343873170912E-2</v>
      </c>
      <c r="R1085" s="19">
        <f t="shared" si="119"/>
        <v>3.3994059734528514E-2</v>
      </c>
      <c r="S1085" s="22">
        <v>4.0325463521896365E-2</v>
      </c>
      <c r="T1085" s="19">
        <f t="shared" si="120"/>
        <v>4.2997017800349147E-2</v>
      </c>
      <c r="U1085" s="24">
        <v>4.1724305298733499E-2</v>
      </c>
      <c r="V1085" s="24">
        <f t="shared" si="121"/>
        <v>4.299541607251256E-2</v>
      </c>
      <c r="W1085" s="23">
        <f t="shared" si="122"/>
        <v>3.5142223232507153E-3</v>
      </c>
      <c r="X1085" s="24">
        <v>4.1441168110071924E-2</v>
      </c>
      <c r="Y1085" s="24">
        <f t="shared" si="123"/>
        <v>4.2995890448674912E-2</v>
      </c>
      <c r="Z1085" s="23">
        <f t="shared" si="124"/>
        <v>3.5142605890645662E-3</v>
      </c>
      <c r="AA1085" s="36"/>
    </row>
    <row r="1086" spans="15:27" ht="17.100000000000001" customHeight="1" x14ac:dyDescent="0.3">
      <c r="O1086" s="12">
        <f t="shared" si="118"/>
        <v>89.416666666666671</v>
      </c>
      <c r="P1086" s="13">
        <v>1073</v>
      </c>
      <c r="Q1086" s="22">
        <v>3.3223062818254823E-2</v>
      </c>
      <c r="R1086" s="19">
        <f t="shared" si="119"/>
        <v>3.399452420279081E-2</v>
      </c>
      <c r="S1086" s="22">
        <v>4.0327950132385437E-2</v>
      </c>
      <c r="T1086" s="19">
        <f t="shared" si="120"/>
        <v>4.2997047362901775E-2</v>
      </c>
      <c r="U1086" s="24">
        <v>4.1725489209844424E-2</v>
      </c>
      <c r="V1086" s="24">
        <f t="shared" si="121"/>
        <v>4.2995455975200381E-2</v>
      </c>
      <c r="W1086" s="23">
        <f t="shared" si="122"/>
        <v>3.5142255506706022E-3</v>
      </c>
      <c r="X1086" s="24">
        <v>4.1442615979674358E-2</v>
      </c>
      <c r="Y1086" s="24">
        <f t="shared" si="123"/>
        <v>4.2995927483482133E-2</v>
      </c>
      <c r="Z1086" s="23">
        <f t="shared" si="124"/>
        <v>3.5142635856033611E-3</v>
      </c>
      <c r="AA1086" s="36"/>
    </row>
    <row r="1087" spans="15:27" ht="17.100000000000001" customHeight="1" x14ac:dyDescent="0.3">
      <c r="O1087" s="12">
        <f t="shared" si="118"/>
        <v>89.5</v>
      </c>
      <c r="P1087" s="13">
        <v>1074</v>
      </c>
      <c r="Q1087" s="22">
        <v>3.3223780857163598E-2</v>
      </c>
      <c r="R1087" s="19">
        <f t="shared" si="119"/>
        <v>3.3994984812976581E-2</v>
      </c>
      <c r="S1087" s="22">
        <v>4.0330432145697204E-2</v>
      </c>
      <c r="T1087" s="19">
        <f t="shared" si="120"/>
        <v>4.2997076633684905E-2</v>
      </c>
      <c r="U1087" s="24">
        <v>4.1726670954729039E-2</v>
      </c>
      <c r="V1087" s="24">
        <f t="shared" si="121"/>
        <v>4.2995495530654848E-2</v>
      </c>
      <c r="W1087" s="23">
        <f t="shared" si="122"/>
        <v>3.5142287500227187E-3</v>
      </c>
      <c r="X1087" s="24">
        <v>4.1444061189496839E-2</v>
      </c>
      <c r="Y1087" s="24">
        <f t="shared" si="123"/>
        <v>4.2995964185904345E-2</v>
      </c>
      <c r="Z1087" s="23">
        <f t="shared" si="124"/>
        <v>3.5142665550109697E-3</v>
      </c>
      <c r="AA1087" s="36"/>
    </row>
    <row r="1088" spans="15:27" ht="17.100000000000001" customHeight="1" x14ac:dyDescent="0.3">
      <c r="O1088" s="12">
        <f t="shared" si="118"/>
        <v>89.583333333333329</v>
      </c>
      <c r="P1088" s="13">
        <v>1075</v>
      </c>
      <c r="Q1088" s="22">
        <v>3.3224497988838975E-2</v>
      </c>
      <c r="R1088" s="19">
        <f t="shared" si="119"/>
        <v>3.3995441596863518E-2</v>
      </c>
      <c r="S1088" s="22">
        <v>4.0332909574373854E-2</v>
      </c>
      <c r="T1088" s="19">
        <f t="shared" si="120"/>
        <v>4.2997105613833186E-2</v>
      </c>
      <c r="U1088" s="24">
        <v>4.1727850539106326E-2</v>
      </c>
      <c r="V1088" s="24">
        <f t="shared" si="121"/>
        <v>4.2995534741609331E-2</v>
      </c>
      <c r="W1088" s="23">
        <f t="shared" si="122"/>
        <v>3.5142319215337725E-3</v>
      </c>
      <c r="X1088" s="24">
        <v>4.1445503746647905E-2</v>
      </c>
      <c r="Y1088" s="24">
        <f t="shared" si="123"/>
        <v>4.2996000556999148E-2</v>
      </c>
      <c r="Z1088" s="23">
        <f t="shared" si="124"/>
        <v>3.5142694977678968E-3</v>
      </c>
      <c r="AA1088" s="36"/>
    </row>
    <row r="1089" spans="15:27" ht="17.100000000000001" customHeight="1" x14ac:dyDescent="0.3">
      <c r="O1089" s="12">
        <f t="shared" si="118"/>
        <v>89.666666666666671</v>
      </c>
      <c r="P1089" s="13">
        <v>1076</v>
      </c>
      <c r="Q1089" s="22">
        <v>3.3225214212256438E-2</v>
      </c>
      <c r="R1089" s="19">
        <f t="shared" si="119"/>
        <v>3.3995894586298592E-2</v>
      </c>
      <c r="S1089" s="22">
        <v>4.0335382430912281E-2</v>
      </c>
      <c r="T1089" s="19">
        <f t="shared" si="120"/>
        <v>4.2997134306516083E-2</v>
      </c>
      <c r="U1089" s="24">
        <v>4.1729027968676835E-2</v>
      </c>
      <c r="V1089" s="24">
        <f t="shared" si="121"/>
        <v>4.2995573611242177E-2</v>
      </c>
      <c r="W1089" s="23">
        <f t="shared" si="122"/>
        <v>3.5142350654231436E-3</v>
      </c>
      <c r="X1089" s="24">
        <v>4.1446943658210333E-2</v>
      </c>
      <c r="Y1089" s="24">
        <f t="shared" si="123"/>
        <v>4.2996036600115639E-2</v>
      </c>
      <c r="Z1089" s="23">
        <f t="shared" si="124"/>
        <v>3.5142724139594073E-3</v>
      </c>
      <c r="AA1089" s="36"/>
    </row>
    <row r="1090" spans="15:27" ht="17.100000000000001" customHeight="1" x14ac:dyDescent="0.3">
      <c r="O1090" s="12">
        <f t="shared" si="118"/>
        <v>89.75</v>
      </c>
      <c r="P1090" s="13">
        <v>1077</v>
      </c>
      <c r="Q1090" s="22">
        <v>3.3225929526424558E-2</v>
      </c>
      <c r="R1090" s="19">
        <f t="shared" si="119"/>
        <v>3.3996343812285224E-2</v>
      </c>
      <c r="S1090" s="22">
        <v>4.0337850727765856E-2</v>
      </c>
      <c r="T1090" s="19">
        <f t="shared" si="120"/>
        <v>4.2997162714906167E-2</v>
      </c>
      <c r="U1090" s="24">
        <v>4.1730203249122466E-2</v>
      </c>
      <c r="V1090" s="24">
        <f t="shared" si="121"/>
        <v>4.2995612142384898E-2</v>
      </c>
      <c r="W1090" s="23">
        <f t="shared" si="122"/>
        <v>3.5142381819457391E-3</v>
      </c>
      <c r="X1090" s="24">
        <v>4.1448380931244255E-2</v>
      </c>
      <c r="Y1090" s="24">
        <f t="shared" si="123"/>
        <v>4.2996072319259282E-2</v>
      </c>
      <c r="Z1090" s="23">
        <f t="shared" si="124"/>
        <v>3.5142753038539531E-3</v>
      </c>
      <c r="AA1090" s="36"/>
    </row>
    <row r="1091" spans="15:27" ht="17.100000000000001" customHeight="1" x14ac:dyDescent="0.3">
      <c r="O1091" s="12">
        <f t="shared" si="118"/>
        <v>89.833333333333329</v>
      </c>
      <c r="P1091" s="13">
        <v>1078</v>
      </c>
      <c r="Q1091" s="22">
        <v>3.3226643930384769E-2</v>
      </c>
      <c r="R1091" s="19">
        <f t="shared" si="119"/>
        <v>3.3996789307258357E-2</v>
      </c>
      <c r="S1091" s="22">
        <v>4.0340314477344652E-2</v>
      </c>
      <c r="T1091" s="19">
        <f t="shared" si="120"/>
        <v>4.2997190841256971E-2</v>
      </c>
      <c r="U1091" s="24">
        <v>4.1731376386107133E-2</v>
      </c>
      <c r="V1091" s="24">
        <f t="shared" si="121"/>
        <v>4.2995650337975588E-2</v>
      </c>
      <c r="W1091" s="23">
        <f t="shared" si="122"/>
        <v>3.5142412713284887E-3</v>
      </c>
      <c r="X1091" s="24">
        <v>4.144981557278693E-2</v>
      </c>
      <c r="Y1091" s="24">
        <f t="shared" si="123"/>
        <v>4.2996107714946996E-2</v>
      </c>
      <c r="Z1091" s="23">
        <f t="shared" si="124"/>
        <v>3.5142781677726109E-3</v>
      </c>
      <c r="AA1091" s="36"/>
    </row>
    <row r="1092" spans="15:27" ht="17.100000000000001" customHeight="1" x14ac:dyDescent="0.3">
      <c r="O1092" s="12">
        <f t="shared" si="118"/>
        <v>89.916666666666671</v>
      </c>
      <c r="P1092" s="13">
        <v>1079</v>
      </c>
      <c r="Q1092" s="22">
        <v>3.322735742321159E-2</v>
      </c>
      <c r="R1092" s="19">
        <f t="shared" si="119"/>
        <v>3.3997231101245307E-2</v>
      </c>
      <c r="S1092" s="22">
        <v>4.0342773692014999E-2</v>
      </c>
      <c r="T1092" s="19">
        <f t="shared" si="120"/>
        <v>4.2997218689521999E-2</v>
      </c>
      <c r="U1092" s="24">
        <v>4.1732547385276098E-2</v>
      </c>
      <c r="V1092" s="24">
        <f t="shared" si="121"/>
        <v>4.2995688202044358E-2</v>
      </c>
      <c r="W1092" s="23">
        <f t="shared" si="122"/>
        <v>3.5142443338067597E-3</v>
      </c>
      <c r="X1092" s="24">
        <v>4.1451247589850082E-2</v>
      </c>
      <c r="Y1092" s="24">
        <f t="shared" si="123"/>
        <v>4.2996142793481962E-2</v>
      </c>
      <c r="Z1092" s="23">
        <f t="shared" si="124"/>
        <v>3.5142810057569029E-3</v>
      </c>
      <c r="AA1092" s="36"/>
    </row>
    <row r="1093" spans="15:27" ht="17.100000000000001" customHeight="1" x14ac:dyDescent="0.3">
      <c r="O1093" s="12">
        <f t="shared" si="118"/>
        <v>90</v>
      </c>
      <c r="P1093" s="13">
        <v>1080</v>
      </c>
      <c r="Q1093" s="22">
        <v>3.3228070004011068E-2</v>
      </c>
      <c r="R1093" s="19">
        <f t="shared" si="119"/>
        <v>3.3997669225104721E-2</v>
      </c>
      <c r="S1093" s="22">
        <v>4.034522838410104E-2</v>
      </c>
      <c r="T1093" s="19">
        <f t="shared" si="120"/>
        <v>4.2997246261347044E-2</v>
      </c>
      <c r="U1093" s="24">
        <v>4.1733716252257524E-2</v>
      </c>
      <c r="V1093" s="24">
        <f t="shared" si="121"/>
        <v>4.2995725734874313E-2</v>
      </c>
      <c r="W1093" s="23">
        <f t="shared" si="122"/>
        <v>3.514247369704071E-3</v>
      </c>
      <c r="X1093" s="24">
        <v>4.1452676989425452E-2</v>
      </c>
      <c r="Y1093" s="24">
        <f t="shared" si="123"/>
        <v>4.2996177554779802E-2</v>
      </c>
      <c r="Z1093" s="23">
        <f t="shared" si="124"/>
        <v>3.5142838183122027E-3</v>
      </c>
      <c r="AA1093" s="36"/>
    </row>
    <row r="1094" spans="15:27" ht="17.100000000000001" customHeight="1" x14ac:dyDescent="0.3">
      <c r="O1094" s="12">
        <f t="shared" si="118"/>
        <v>90.083333333333329</v>
      </c>
      <c r="P1094" s="13">
        <v>1081</v>
      </c>
      <c r="Q1094" s="22">
        <v>3.3228781671921004E-2</v>
      </c>
      <c r="R1094" s="19">
        <f t="shared" si="119"/>
        <v>3.3998103710212613E-2</v>
      </c>
      <c r="S1094" s="22">
        <v>4.034767856588295E-2</v>
      </c>
      <c r="T1094" s="19">
        <f t="shared" si="120"/>
        <v>4.2997273559400639E-2</v>
      </c>
      <c r="U1094" s="24">
        <v>4.1734882992659372E-2</v>
      </c>
      <c r="V1094" s="24">
        <f t="shared" si="121"/>
        <v>4.299576294214047E-2</v>
      </c>
      <c r="W1094" s="23">
        <f t="shared" si="122"/>
        <v>3.5142503790428492E-3</v>
      </c>
      <c r="X1094" s="24">
        <v>4.1454103778478801E-2</v>
      </c>
      <c r="Y1094" s="24">
        <f t="shared" si="123"/>
        <v>4.2996212002357037E-2</v>
      </c>
      <c r="Z1094" s="23">
        <f t="shared" si="124"/>
        <v>3.5142866054316269E-3</v>
      </c>
      <c r="AA1094" s="36"/>
    </row>
    <row r="1095" spans="15:27" ht="17.100000000000001" customHeight="1" x14ac:dyDescent="0.3">
      <c r="O1095" s="12">
        <f t="shared" si="118"/>
        <v>90.166666666666671</v>
      </c>
      <c r="P1095" s="13">
        <v>1082</v>
      </c>
      <c r="Q1095" s="22">
        <v>3.3229492426111173E-2</v>
      </c>
      <c r="R1095" s="19">
        <f t="shared" si="119"/>
        <v>3.3998534585930162E-2</v>
      </c>
      <c r="S1095" s="22">
        <v>4.0350124249598052E-2</v>
      </c>
      <c r="T1095" s="19">
        <f t="shared" si="120"/>
        <v>4.299730058767226E-2</v>
      </c>
      <c r="U1095" s="24">
        <v>4.1736047612073612E-2</v>
      </c>
      <c r="V1095" s="24">
        <f t="shared" si="121"/>
        <v>4.2995799825623848E-2</v>
      </c>
      <c r="W1095" s="23">
        <f t="shared" si="122"/>
        <v>3.5142533622782857E-3</v>
      </c>
      <c r="X1095" s="24">
        <v>4.1455527963953243E-2</v>
      </c>
      <c r="Y1095" s="24">
        <f t="shared" si="123"/>
        <v>4.2996246140717398E-2</v>
      </c>
      <c r="Z1095" s="23">
        <f t="shared" si="124"/>
        <v>3.5142893673973941E-3</v>
      </c>
      <c r="AA1095" s="36"/>
    </row>
    <row r="1096" spans="15:27" ht="17.100000000000001" customHeight="1" x14ac:dyDescent="0.3">
      <c r="O1096" s="12">
        <f t="shared" si="118"/>
        <v>90.25</v>
      </c>
      <c r="P1096" s="13">
        <v>1083</v>
      </c>
      <c r="Q1096" s="22">
        <v>3.3230202265781772E-2</v>
      </c>
      <c r="R1096" s="19">
        <f t="shared" si="119"/>
        <v>3.3998961882656165E-2</v>
      </c>
      <c r="S1096" s="22">
        <v>4.0352565447442146E-2</v>
      </c>
      <c r="T1096" s="19">
        <f t="shared" si="120"/>
        <v>4.2997327347340075E-2</v>
      </c>
      <c r="U1096" s="24">
        <v>4.1737210116073564E-2</v>
      </c>
      <c r="V1096" s="24">
        <f t="shared" si="121"/>
        <v>4.2995836387020425E-2</v>
      </c>
      <c r="W1096" s="23">
        <f t="shared" si="122"/>
        <v>3.5142563195531551E-3</v>
      </c>
      <c r="X1096" s="24">
        <v>4.1456949552770794E-2</v>
      </c>
      <c r="Y1096" s="24">
        <f t="shared" si="123"/>
        <v>4.2996279970483497E-2</v>
      </c>
      <c r="Z1096" s="23">
        <f t="shared" si="124"/>
        <v>3.5142921045703268E-3</v>
      </c>
      <c r="AA1096" s="36"/>
    </row>
    <row r="1097" spans="15:27" ht="17.100000000000001" customHeight="1" x14ac:dyDescent="0.3">
      <c r="O1097" s="12">
        <f t="shared" si="118"/>
        <v>90.333333333333329</v>
      </c>
      <c r="P1097" s="13">
        <v>1084</v>
      </c>
      <c r="Q1097" s="22">
        <v>3.3230911190163859E-2</v>
      </c>
      <c r="R1097" s="19">
        <f t="shared" si="119"/>
        <v>3.3999385630167689E-2</v>
      </c>
      <c r="S1097" s="22">
        <v>4.0355002171567067E-2</v>
      </c>
      <c r="T1097" s="19">
        <f t="shared" si="120"/>
        <v>4.2997353842465502E-2</v>
      </c>
      <c r="U1097" s="24">
        <v>4.1738370510213452E-2</v>
      </c>
      <c r="V1097" s="24">
        <f t="shared" si="121"/>
        <v>4.2995872631433008E-2</v>
      </c>
      <c r="W1097" s="23">
        <f t="shared" si="122"/>
        <v>3.5142592510033488E-3</v>
      </c>
      <c r="X1097" s="24">
        <v>4.145836855182794E-2</v>
      </c>
      <c r="Y1097" s="24">
        <f t="shared" si="123"/>
        <v>4.2996313495705207E-2</v>
      </c>
      <c r="Z1097" s="23">
        <f t="shared" si="124"/>
        <v>3.5142948170003852E-3</v>
      </c>
      <c r="AA1097" s="36"/>
    </row>
    <row r="1098" spans="15:27" ht="17.100000000000001" customHeight="1" x14ac:dyDescent="0.3">
      <c r="O1098" s="12">
        <f t="shared" si="118"/>
        <v>90.416666666666671</v>
      </c>
      <c r="P1098" s="13">
        <v>1085</v>
      </c>
      <c r="Q1098" s="22">
        <v>3.3231619198518692E-2</v>
      </c>
      <c r="R1098" s="19">
        <f t="shared" si="119"/>
        <v>3.3999805857662047E-2</v>
      </c>
      <c r="S1098" s="22">
        <v>4.0357434434083794E-2</v>
      </c>
      <c r="T1098" s="19">
        <f t="shared" si="120"/>
        <v>4.2997380073793723E-2</v>
      </c>
      <c r="U1098" s="24">
        <v>4.1739528800031733E-2</v>
      </c>
      <c r="V1098" s="24">
        <f t="shared" si="121"/>
        <v>4.2995908559144924E-2</v>
      </c>
      <c r="W1098" s="23">
        <f t="shared" si="122"/>
        <v>3.5142621570378729E-3</v>
      </c>
      <c r="X1098" s="24">
        <v>4.1459784968000069E-2</v>
      </c>
      <c r="Y1098" s="24">
        <f t="shared" si="123"/>
        <v>4.2996346718912282E-2</v>
      </c>
      <c r="Z1098" s="23">
        <f t="shared" si="124"/>
        <v>3.5142975050124203E-3</v>
      </c>
      <c r="AA1098" s="36"/>
    </row>
    <row r="1099" spans="15:27" ht="17.100000000000001" customHeight="1" x14ac:dyDescent="0.3">
      <c r="O1099" s="12">
        <f t="shared" si="118"/>
        <v>90.5</v>
      </c>
      <c r="P1099" s="13">
        <v>1086</v>
      </c>
      <c r="Q1099" s="22">
        <v>3.3232326290137282E-2</v>
      </c>
      <c r="R1099" s="19">
        <f t="shared" si="119"/>
        <v>3.4000222594320784E-2</v>
      </c>
      <c r="S1099" s="22">
        <v>4.0359862247059564E-2</v>
      </c>
      <c r="T1099" s="19">
        <f t="shared" si="120"/>
        <v>4.2997406046051845E-2</v>
      </c>
      <c r="U1099" s="24">
        <v>4.1740684991046662E-2</v>
      </c>
      <c r="V1099" s="24">
        <f t="shared" si="121"/>
        <v>4.2995944174665901E-2</v>
      </c>
      <c r="W1099" s="23">
        <f t="shared" si="122"/>
        <v>3.5142650376798201E-3</v>
      </c>
      <c r="X1099" s="24">
        <v>4.1461198808139255E-2</v>
      </c>
      <c r="Y1099" s="24">
        <f t="shared" si="123"/>
        <v>4.2996379642334714E-2</v>
      </c>
      <c r="Z1099" s="23">
        <f t="shared" si="124"/>
        <v>3.5143001688091591E-3</v>
      </c>
      <c r="AA1099" s="36"/>
    </row>
    <row r="1100" spans="15:27" ht="17.100000000000001" customHeight="1" x14ac:dyDescent="0.3">
      <c r="O1100" s="12">
        <f t="shared" si="118"/>
        <v>90.583333333333329</v>
      </c>
      <c r="P1100" s="13">
        <v>1087</v>
      </c>
      <c r="Q1100" s="22">
        <v>3.3233032464339951E-2</v>
      </c>
      <c r="R1100" s="19">
        <f t="shared" si="119"/>
        <v>3.4000635870163221E-2</v>
      </c>
      <c r="S1100" s="22">
        <v>4.0362285622521199E-2</v>
      </c>
      <c r="T1100" s="19">
        <f t="shared" si="120"/>
        <v>4.2997431761143456E-2</v>
      </c>
      <c r="U1100" s="24">
        <v>4.1741839088760502E-2</v>
      </c>
      <c r="V1100" s="24">
        <f t="shared" si="121"/>
        <v>4.2995979480520363E-2</v>
      </c>
      <c r="W1100" s="23">
        <f t="shared" si="122"/>
        <v>3.514267893290457E-3</v>
      </c>
      <c r="X1100" s="24">
        <v>4.146261007907448E-2</v>
      </c>
      <c r="Y1100" s="24">
        <f t="shared" si="123"/>
        <v>4.2996412269902695E-2</v>
      </c>
      <c r="Z1100" s="23">
        <f t="shared" si="124"/>
        <v>3.5143028085695693E-3</v>
      </c>
      <c r="AA1100" s="36"/>
    </row>
    <row r="1101" spans="15:27" ht="17.100000000000001" customHeight="1" x14ac:dyDescent="0.3">
      <c r="O1101" s="12">
        <f t="shared" si="118"/>
        <v>90.666666666666671</v>
      </c>
      <c r="P1101" s="13">
        <v>1088</v>
      </c>
      <c r="Q1101" s="22">
        <v>3.3233737720476997E-2</v>
      </c>
      <c r="R1101" s="19">
        <f t="shared" si="119"/>
        <v>3.4001045712832578E-2</v>
      </c>
      <c r="S1101" s="22">
        <v>4.0364704572453336E-2</v>
      </c>
      <c r="T1101" s="19">
        <f t="shared" si="120"/>
        <v>4.299745722003645E-2</v>
      </c>
      <c r="U1101" s="24">
        <v>4.1742991098657534E-2</v>
      </c>
      <c r="V1101" s="24">
        <f t="shared" si="121"/>
        <v>4.2996014478256406E-2</v>
      </c>
      <c r="W1101" s="23">
        <f t="shared" si="122"/>
        <v>3.5142707240722881E-3</v>
      </c>
      <c r="X1101" s="24">
        <v>4.1464018787613188E-2</v>
      </c>
      <c r="Y1101" s="24">
        <f t="shared" si="123"/>
        <v>4.2996444602292128E-2</v>
      </c>
      <c r="Z1101" s="23">
        <f t="shared" si="124"/>
        <v>3.5143054246085104E-3</v>
      </c>
      <c r="AA1101" s="36"/>
    </row>
    <row r="1102" spans="15:27" ht="17.100000000000001" customHeight="1" x14ac:dyDescent="0.3">
      <c r="O1102" s="12">
        <f t="shared" ref="O1102:O1165" si="125">P1102/12</f>
        <v>90.75</v>
      </c>
      <c r="P1102" s="13">
        <v>1089</v>
      </c>
      <c r="Q1102" s="22">
        <v>3.3234442057926694E-2</v>
      </c>
      <c r="R1102" s="19">
        <f t="shared" ref="R1102:R1165" si="126">(1+Q1103)^P1103/(1+Q1102)^P1102-1</f>
        <v>3.4001452151352751E-2</v>
      </c>
      <c r="S1102" s="22">
        <v>4.0367119108797755E-2</v>
      </c>
      <c r="T1102" s="19">
        <f t="shared" ref="T1102:T1165" si="127">(1+S1103)^P1103/(1+S1102)^P1102-1</f>
        <v>4.2997482427244771E-2</v>
      </c>
      <c r="U1102" s="24">
        <v>4.1744141026203163E-2</v>
      </c>
      <c r="V1102" s="24">
        <f t="shared" ref="V1102:V1165" si="128">(1+U1103)^P1103/(1+U1102)^P1102-1</f>
        <v>4.2996049171960093E-2</v>
      </c>
      <c r="W1102" s="23">
        <f t="shared" si="122"/>
        <v>3.5142735301494366E-3</v>
      </c>
      <c r="X1102" s="24">
        <v>4.1465424940538842E-2</v>
      </c>
      <c r="Y1102" s="24">
        <f t="shared" si="123"/>
        <v>4.2996476643705206E-2</v>
      </c>
      <c r="Z1102" s="23">
        <f t="shared" si="124"/>
        <v>3.5143080169803831E-3</v>
      </c>
      <c r="AA1102" s="36"/>
    </row>
    <row r="1103" spans="15:27" ht="17.100000000000001" customHeight="1" x14ac:dyDescent="0.3">
      <c r="O1103" s="12">
        <f t="shared" si="125"/>
        <v>90.833333333333329</v>
      </c>
      <c r="P1103" s="13">
        <v>1090</v>
      </c>
      <c r="Q1103" s="22">
        <v>3.3235145476095962E-2</v>
      </c>
      <c r="R1103" s="19">
        <f t="shared" si="126"/>
        <v>3.4001855213695364E-2</v>
      </c>
      <c r="S1103" s="22">
        <v>4.036952924345627E-2</v>
      </c>
      <c r="T1103" s="19">
        <f t="shared" si="127"/>
        <v>4.2997507384216593E-2</v>
      </c>
      <c r="U1103" s="24">
        <v>4.1745288876846809E-2</v>
      </c>
      <c r="V1103" s="24">
        <f t="shared" si="128"/>
        <v>4.299608356266682E-2</v>
      </c>
      <c r="W1103" s="23">
        <f t="shared" ref="W1103:W1166" si="129">(1+V1102)^(1/12)-1</f>
        <v>3.5142763118496401E-3</v>
      </c>
      <c r="X1103" s="24">
        <v>4.1466828544613366E-2</v>
      </c>
      <c r="Y1103" s="24">
        <f t="shared" ref="Y1103:Y1166" si="130">(1+X1104)^P1104/(1+X1103)^P1103-1</f>
        <v>4.2996508396112354E-2</v>
      </c>
      <c r="Z1103" s="23">
        <f t="shared" ref="Z1103:Z1166" si="131">(1+Y1102)^(1/12)-1</f>
        <v>3.5143105860222512E-3</v>
      </c>
      <c r="AA1103" s="36"/>
    </row>
    <row r="1104" spans="15:27" ht="17.100000000000001" customHeight="1" x14ac:dyDescent="0.3">
      <c r="O1104" s="12">
        <f t="shared" si="125"/>
        <v>90.916666666666671</v>
      </c>
      <c r="P1104" s="13">
        <v>1091</v>
      </c>
      <c r="Q1104" s="22">
        <v>3.3235847974419697E-2</v>
      </c>
      <c r="R1104" s="19">
        <f t="shared" si="126"/>
        <v>3.4002254928279907E-2</v>
      </c>
      <c r="S1104" s="22">
        <v>4.0371934988288505E-2</v>
      </c>
      <c r="T1104" s="19">
        <f t="shared" si="127"/>
        <v>4.2997532094513735E-2</v>
      </c>
      <c r="U1104" s="24">
        <v>4.1746434656018794E-2</v>
      </c>
      <c r="V1104" s="24">
        <f t="shared" si="128"/>
        <v>4.2996117655297983E-2</v>
      </c>
      <c r="W1104" s="23">
        <f t="shared" si="129"/>
        <v>3.5142790692557213E-3</v>
      </c>
      <c r="X1104" s="24">
        <v>4.1468229606575813E-2</v>
      </c>
      <c r="Y1104" s="24">
        <f t="shared" si="130"/>
        <v>4.2996539863344951E-2</v>
      </c>
      <c r="Z1104" s="23">
        <f t="shared" si="131"/>
        <v>3.5143131318915444E-3</v>
      </c>
      <c r="AA1104" s="36"/>
    </row>
    <row r="1105" spans="15:27" ht="17.100000000000001" customHeight="1" x14ac:dyDescent="0.3">
      <c r="O1105" s="12">
        <f t="shared" si="125"/>
        <v>91</v>
      </c>
      <c r="P1105" s="13">
        <v>1092</v>
      </c>
      <c r="Q1105" s="22">
        <v>3.3236549552360772E-2</v>
      </c>
      <c r="R1105" s="19">
        <f t="shared" si="126"/>
        <v>3.4002651323182143E-2</v>
      </c>
      <c r="S1105" s="22">
        <v>4.0374336355113893E-2</v>
      </c>
      <c r="T1105" s="19">
        <f t="shared" si="127"/>
        <v>4.2997556559186689E-2</v>
      </c>
      <c r="U1105" s="24">
        <v>4.1747578369133675E-2</v>
      </c>
      <c r="V1105" s="24">
        <f t="shared" si="128"/>
        <v>4.2996151450541698E-2</v>
      </c>
      <c r="W1105" s="23">
        <f t="shared" si="129"/>
        <v>3.5142818027624756E-3</v>
      </c>
      <c r="X1105" s="24">
        <v>4.1469628133144365E-2</v>
      </c>
      <c r="Y1105" s="24">
        <f t="shared" si="130"/>
        <v>4.2996571045689658E-2</v>
      </c>
      <c r="Z1105" s="23">
        <f t="shared" si="131"/>
        <v>3.5143156548960164E-3</v>
      </c>
      <c r="AA1105" s="36"/>
    </row>
    <row r="1106" spans="15:27" ht="17.100000000000001" customHeight="1" x14ac:dyDescent="0.3">
      <c r="O1106" s="12">
        <f t="shared" si="125"/>
        <v>91.083333333333329</v>
      </c>
      <c r="P1106" s="13">
        <v>1093</v>
      </c>
      <c r="Q1106" s="22">
        <v>3.3237250209409819E-2</v>
      </c>
      <c r="R1106" s="19">
        <f t="shared" si="126"/>
        <v>3.4003044425804152E-2</v>
      </c>
      <c r="S1106" s="22">
        <v>4.0376733355709904E-2</v>
      </c>
      <c r="T1106" s="19">
        <f t="shared" si="127"/>
        <v>4.2997580781389599E-2</v>
      </c>
      <c r="U1106" s="24">
        <v>4.174872002158736E-2</v>
      </c>
      <c r="V1106" s="24">
        <f t="shared" si="128"/>
        <v>4.2996184950940597E-2</v>
      </c>
      <c r="W1106" s="23">
        <f t="shared" si="129"/>
        <v>3.51428451242497E-3</v>
      </c>
      <c r="X1106" s="24">
        <v>4.1471024131012779E-2</v>
      </c>
      <c r="Y1106" s="24">
        <f t="shared" si="130"/>
        <v>4.2996601947608237E-2</v>
      </c>
      <c r="Z1106" s="23">
        <f t="shared" si="131"/>
        <v>3.5143181550585378E-3</v>
      </c>
      <c r="AA1106" s="36"/>
    </row>
    <row r="1107" spans="15:27" ht="17.100000000000001" customHeight="1" x14ac:dyDescent="0.3">
      <c r="O1107" s="12">
        <f t="shared" si="125"/>
        <v>91.166666666666671</v>
      </c>
      <c r="P1107" s="13">
        <v>1094</v>
      </c>
      <c r="Q1107" s="22">
        <v>3.3237949945084111E-2</v>
      </c>
      <c r="R1107" s="19">
        <f t="shared" si="126"/>
        <v>3.4003434262910304E-2</v>
      </c>
      <c r="S1107" s="22">
        <v>4.0379126001813592E-2</v>
      </c>
      <c r="T1107" s="19">
        <f t="shared" si="127"/>
        <v>4.299760476390424E-2</v>
      </c>
      <c r="U1107" s="24">
        <v>4.1749859618758212E-2</v>
      </c>
      <c r="V1107" s="24">
        <f t="shared" si="128"/>
        <v>4.2996218160989308E-2</v>
      </c>
      <c r="W1107" s="23">
        <f t="shared" si="129"/>
        <v>3.5142871984470414E-3</v>
      </c>
      <c r="X1107" s="24">
        <v>4.1472417606854162E-2</v>
      </c>
      <c r="Y1107" s="24">
        <f t="shared" si="130"/>
        <v>4.2996632571435045E-2</v>
      </c>
      <c r="Z1107" s="23">
        <f t="shared" si="131"/>
        <v>3.5143206327366006E-3</v>
      </c>
      <c r="AA1107" s="36"/>
    </row>
    <row r="1108" spans="15:27" ht="17.100000000000001" customHeight="1" x14ac:dyDescent="0.3">
      <c r="O1108" s="12">
        <f t="shared" si="125"/>
        <v>91.25</v>
      </c>
      <c r="P1108" s="13">
        <v>1095</v>
      </c>
      <c r="Q1108" s="22">
        <v>3.3238648758927347E-2</v>
      </c>
      <c r="R1108" s="19">
        <f t="shared" si="126"/>
        <v>3.400382086202236E-2</v>
      </c>
      <c r="S1108" s="22">
        <v>4.0381514305121824E-2</v>
      </c>
      <c r="T1108" s="19">
        <f t="shared" si="127"/>
        <v>4.2997628508387065E-2</v>
      </c>
      <c r="U1108" s="24">
        <v>4.175099716600883E-2</v>
      </c>
      <c r="V1108" s="24">
        <f t="shared" si="128"/>
        <v>4.2996251081401704E-2</v>
      </c>
      <c r="W1108" s="23">
        <f t="shared" si="129"/>
        <v>3.5142898611890683E-3</v>
      </c>
      <c r="X1108" s="24">
        <v>4.1473808567319637E-2</v>
      </c>
      <c r="Y1108" s="24">
        <f t="shared" si="130"/>
        <v>4.2996662918721285E-2</v>
      </c>
      <c r="Z1108" s="23">
        <f t="shared" si="131"/>
        <v>3.5143230881176102E-3</v>
      </c>
      <c r="AA1108" s="36"/>
    </row>
    <row r="1109" spans="15:27" ht="17.100000000000001" customHeight="1" x14ac:dyDescent="0.3">
      <c r="O1109" s="12">
        <f t="shared" si="125"/>
        <v>91.333333333333329</v>
      </c>
      <c r="P1109" s="13">
        <v>1096</v>
      </c>
      <c r="Q1109" s="22">
        <v>3.3239346650509871E-2</v>
      </c>
      <c r="R1109" s="19">
        <f t="shared" si="126"/>
        <v>3.4004204250902559E-2</v>
      </c>
      <c r="S1109" s="22">
        <v>4.0383898277290387E-2</v>
      </c>
      <c r="T1109" s="19">
        <f t="shared" si="127"/>
        <v>4.2997652017596533E-2</v>
      </c>
      <c r="U1109" s="24">
        <v>4.175213266868294E-2</v>
      </c>
      <c r="V1109" s="24">
        <f t="shared" si="128"/>
        <v>4.2996283714755723E-2</v>
      </c>
      <c r="W1109" s="23">
        <f t="shared" si="129"/>
        <v>3.5142925007083381E-3</v>
      </c>
      <c r="X1109" s="24">
        <v>4.1475197019037457E-2</v>
      </c>
      <c r="Y1109" s="24">
        <f t="shared" si="130"/>
        <v>4.2996692992543828E-2</v>
      </c>
      <c r="Z1109" s="23">
        <f t="shared" si="131"/>
        <v>3.5143255213259117E-3</v>
      </c>
      <c r="AA1109" s="36"/>
    </row>
    <row r="1110" spans="15:27" ht="17.100000000000001" customHeight="1" x14ac:dyDescent="0.3">
      <c r="O1110" s="12">
        <f t="shared" si="125"/>
        <v>91.416666666666671</v>
      </c>
      <c r="P1110" s="13">
        <v>1097</v>
      </c>
      <c r="Q1110" s="22">
        <v>3.3240043619428894E-2</v>
      </c>
      <c r="R1110" s="19">
        <f t="shared" si="126"/>
        <v>3.4004584454566222E-2</v>
      </c>
      <c r="S1110" s="22">
        <v>4.0386277929934877E-2</v>
      </c>
      <c r="T1110" s="19">
        <f t="shared" si="127"/>
        <v>4.2997675293559023E-2</v>
      </c>
      <c r="U1110" s="24">
        <v>4.1753266132107614E-2</v>
      </c>
      <c r="V1110" s="24">
        <f t="shared" si="128"/>
        <v>4.299631606448151E-2</v>
      </c>
      <c r="W1110" s="23">
        <f t="shared" si="129"/>
        <v>3.5142951172115744E-3</v>
      </c>
      <c r="X1110" s="24">
        <v>4.1476582968614562E-2</v>
      </c>
      <c r="Y1110" s="24">
        <f t="shared" si="130"/>
        <v>4.2996722795498821E-2</v>
      </c>
      <c r="Z1110" s="23">
        <f t="shared" si="131"/>
        <v>3.5143279326079746E-3</v>
      </c>
      <c r="AA1110" s="36"/>
    </row>
    <row r="1111" spans="15:27" ht="17.100000000000001" customHeight="1" x14ac:dyDescent="0.3">
      <c r="O1111" s="12">
        <f t="shared" si="125"/>
        <v>91.5</v>
      </c>
      <c r="P1111" s="13">
        <v>1098</v>
      </c>
      <c r="Q1111" s="22">
        <v>3.324073966530583E-2</v>
      </c>
      <c r="R1111" s="19">
        <f t="shared" si="126"/>
        <v>3.4004961501068465E-2</v>
      </c>
      <c r="S1111" s="22">
        <v>4.0388653274630926E-2</v>
      </c>
      <c r="T1111" s="19">
        <f t="shared" si="127"/>
        <v>4.2997698338767432E-2</v>
      </c>
      <c r="U1111" s="24">
        <v>4.1754397561593048E-2</v>
      </c>
      <c r="V1111" s="24">
        <f t="shared" si="128"/>
        <v>4.2996348132734008E-2</v>
      </c>
      <c r="W1111" s="23">
        <f t="shared" si="129"/>
        <v>3.5142977109738904E-3</v>
      </c>
      <c r="X1111" s="24">
        <v>4.1477966422636126E-2</v>
      </c>
      <c r="Y1111" s="24">
        <f t="shared" si="130"/>
        <v>4.2996752329977905E-2</v>
      </c>
      <c r="Z1111" s="23">
        <f t="shared" si="131"/>
        <v>3.5143303221722988E-3</v>
      </c>
      <c r="AA1111" s="36"/>
    </row>
    <row r="1112" spans="15:27" ht="17.100000000000001" customHeight="1" x14ac:dyDescent="0.3">
      <c r="O1112" s="12">
        <f t="shared" si="125"/>
        <v>91.583333333333329</v>
      </c>
      <c r="P1112" s="13">
        <v>1099</v>
      </c>
      <c r="Q1112" s="22">
        <v>3.3241434787789181E-2</v>
      </c>
      <c r="R1112" s="19">
        <f t="shared" si="126"/>
        <v>3.4005335415682625E-2</v>
      </c>
      <c r="S1112" s="22">
        <v>4.0391024322913971E-2</v>
      </c>
      <c r="T1112" s="19">
        <f t="shared" si="127"/>
        <v>4.2997721155875412E-2</v>
      </c>
      <c r="U1112" s="24">
        <v>4.1755526962432343E-2</v>
      </c>
      <c r="V1112" s="24">
        <f t="shared" si="128"/>
        <v>4.2996379921643291E-2</v>
      </c>
      <c r="W1112" s="23">
        <f t="shared" si="129"/>
        <v>3.5143002821678149E-3</v>
      </c>
      <c r="X1112" s="24">
        <v>4.1479347387665566E-2</v>
      </c>
      <c r="Y1112" s="24">
        <f t="shared" si="130"/>
        <v>4.299678159821152E-2</v>
      </c>
      <c r="Z1112" s="23">
        <f t="shared" si="131"/>
        <v>3.5143326902105088E-3</v>
      </c>
      <c r="AA1112" s="36"/>
    </row>
    <row r="1113" spans="15:27" ht="17.100000000000001" customHeight="1" x14ac:dyDescent="0.3">
      <c r="O1113" s="12">
        <f t="shared" si="125"/>
        <v>91.666666666666671</v>
      </c>
      <c r="P1113" s="13">
        <v>1100</v>
      </c>
      <c r="Q1113" s="22">
        <v>3.3242128986551212E-2</v>
      </c>
      <c r="R1113" s="19">
        <f t="shared" si="126"/>
        <v>3.4005706224793819E-2</v>
      </c>
      <c r="S1113" s="22">
        <v>4.0393391086279928E-2</v>
      </c>
      <c r="T1113" s="19">
        <f t="shared" si="127"/>
        <v>4.2997743746293837E-2</v>
      </c>
      <c r="U1113" s="24">
        <v>4.1756654339901278E-2</v>
      </c>
      <c r="V1113" s="24">
        <f t="shared" si="128"/>
        <v>4.2996411434155668E-2</v>
      </c>
      <c r="W1113" s="23">
        <f t="shared" si="129"/>
        <v>3.5143028309643221E-3</v>
      </c>
      <c r="X1113" s="24">
        <v>4.1480725870244317E-2</v>
      </c>
      <c r="Y1113" s="24">
        <f t="shared" si="130"/>
        <v>4.2996810602291102E-2</v>
      </c>
      <c r="Z1113" s="23">
        <f t="shared" si="131"/>
        <v>3.5143350369013504E-3</v>
      </c>
      <c r="AA1113" s="36"/>
    </row>
    <row r="1114" spans="15:27" ht="17.100000000000001" customHeight="1" x14ac:dyDescent="0.3">
      <c r="O1114" s="12">
        <f t="shared" si="125"/>
        <v>91.75</v>
      </c>
      <c r="P1114" s="13">
        <v>1101</v>
      </c>
      <c r="Q1114" s="22">
        <v>3.3242822261289939E-2</v>
      </c>
      <c r="R1114" s="19">
        <f t="shared" si="126"/>
        <v>3.4006073954496063E-2</v>
      </c>
      <c r="S1114" s="22">
        <v>4.0395753576184745E-2</v>
      </c>
      <c r="T1114" s="19">
        <f t="shared" si="127"/>
        <v>4.2997766112958136E-2</v>
      </c>
      <c r="U1114" s="24">
        <v>4.1757779699259201E-2</v>
      </c>
      <c r="V1114" s="24">
        <f t="shared" si="128"/>
        <v>4.299644267158742E-2</v>
      </c>
      <c r="W1114" s="23">
        <f t="shared" si="129"/>
        <v>3.5143053575994454E-3</v>
      </c>
      <c r="X1114" s="24">
        <v>4.1482101876892274E-2</v>
      </c>
      <c r="Y1114" s="24">
        <f t="shared" si="130"/>
        <v>4.2996839345559534E-2</v>
      </c>
      <c r="Z1114" s="23">
        <f t="shared" si="131"/>
        <v>3.5143373624126895E-3</v>
      </c>
      <c r="AA1114" s="36"/>
    </row>
    <row r="1115" spans="15:27" ht="17.100000000000001" customHeight="1" x14ac:dyDescent="0.3">
      <c r="O1115" s="12">
        <f t="shared" si="125"/>
        <v>91.833333333333329</v>
      </c>
      <c r="P1115" s="13">
        <v>1102</v>
      </c>
      <c r="Q1115" s="22">
        <v>3.3243514611727587E-2</v>
      </c>
      <c r="R1115" s="19">
        <f t="shared" si="126"/>
        <v>3.4006438629385904E-2</v>
      </c>
      <c r="S1115" s="22">
        <v>4.0398111804044845E-2</v>
      </c>
      <c r="T1115" s="19">
        <f t="shared" si="127"/>
        <v>4.2997788258330338E-2</v>
      </c>
      <c r="U1115" s="24">
        <v>4.1758903045747475E-2</v>
      </c>
      <c r="V1115" s="24">
        <f t="shared" si="128"/>
        <v>4.2996473637596733E-2</v>
      </c>
      <c r="W1115" s="23">
        <f t="shared" si="129"/>
        <v>3.5143078621788781E-3</v>
      </c>
      <c r="X1115" s="24">
        <v>4.1483475414108462E-2</v>
      </c>
      <c r="Y1115" s="24">
        <f t="shared" si="130"/>
        <v>4.2996867829305341E-2</v>
      </c>
      <c r="Z1115" s="23">
        <f t="shared" si="131"/>
        <v>3.5143396670123117E-3</v>
      </c>
      <c r="AA1115" s="36"/>
    </row>
    <row r="1116" spans="15:27" ht="17.100000000000001" customHeight="1" x14ac:dyDescent="0.3">
      <c r="O1116" s="12">
        <f t="shared" si="125"/>
        <v>91.916666666666671</v>
      </c>
      <c r="P1116" s="13">
        <v>1103</v>
      </c>
      <c r="Q1116" s="22">
        <v>3.3244206037610136E-2</v>
      </c>
      <c r="R1116" s="19">
        <f t="shared" si="126"/>
        <v>3.4006800276020543E-2</v>
      </c>
      <c r="S1116" s="22">
        <v>4.0400465781238015E-2</v>
      </c>
      <c r="T1116" s="19">
        <f t="shared" si="127"/>
        <v>4.2997810183431406E-2</v>
      </c>
      <c r="U1116" s="24">
        <v>4.1760024384591921E-2</v>
      </c>
      <c r="V1116" s="24">
        <f t="shared" si="128"/>
        <v>4.2996504333986163E-2</v>
      </c>
      <c r="W1116" s="23">
        <f t="shared" si="129"/>
        <v>3.5143103449959412E-3</v>
      </c>
      <c r="X1116" s="24">
        <v>4.1484846488369698E-2</v>
      </c>
      <c r="Y1116" s="24">
        <f t="shared" si="130"/>
        <v>4.2996896056528122E-2</v>
      </c>
      <c r="Z1116" s="23">
        <f t="shared" si="131"/>
        <v>3.5143419508036899E-3</v>
      </c>
      <c r="AA1116" s="36"/>
    </row>
    <row r="1117" spans="15:27" ht="17.100000000000001" customHeight="1" x14ac:dyDescent="0.3">
      <c r="O1117" s="12">
        <f t="shared" si="125"/>
        <v>92</v>
      </c>
      <c r="P1117" s="13">
        <v>1104</v>
      </c>
      <c r="Q1117" s="22">
        <v>3.3244896538707991E-2</v>
      </c>
      <c r="R1117" s="19">
        <f t="shared" si="126"/>
        <v>3.4007158918893055E-2</v>
      </c>
      <c r="S1117" s="22">
        <v>4.0402815519101631E-2</v>
      </c>
      <c r="T1117" s="19">
        <f t="shared" si="127"/>
        <v>4.2997831891484095E-2</v>
      </c>
      <c r="U1117" s="24">
        <v>4.1761143721000815E-2</v>
      </c>
      <c r="V1117" s="24">
        <f t="shared" si="128"/>
        <v>4.2996534762992589E-2</v>
      </c>
      <c r="W1117" s="23">
        <f t="shared" si="129"/>
        <v>3.5143128061951856E-3</v>
      </c>
      <c r="X1117" s="24">
        <v>4.148621510613193E-2</v>
      </c>
      <c r="Y1117" s="24">
        <f t="shared" si="130"/>
        <v>4.2996924029206296E-2</v>
      </c>
      <c r="Z1117" s="23">
        <f t="shared" si="131"/>
        <v>3.5143442140275205E-3</v>
      </c>
      <c r="AA1117" s="36"/>
    </row>
    <row r="1118" spans="15:27" ht="17.100000000000001" customHeight="1" x14ac:dyDescent="0.3">
      <c r="O1118" s="12">
        <f t="shared" si="125"/>
        <v>92.083333333333329</v>
      </c>
      <c r="P1118" s="13">
        <v>1105</v>
      </c>
      <c r="Q1118" s="22">
        <v>3.3245586114815096E-2</v>
      </c>
      <c r="R1118" s="19">
        <f t="shared" si="126"/>
        <v>3.400751458375062E-2</v>
      </c>
      <c r="S1118" s="22">
        <v>4.0405161028935099E-2</v>
      </c>
      <c r="T1118" s="19">
        <f t="shared" si="127"/>
        <v>4.2997853384429296E-2</v>
      </c>
      <c r="U1118" s="24">
        <v>4.1762261060166006E-2</v>
      </c>
      <c r="V1118" s="24">
        <f t="shared" si="128"/>
        <v>4.2996564926967462E-2</v>
      </c>
      <c r="W1118" s="23">
        <f t="shared" si="129"/>
        <v>3.5143152459560234E-3</v>
      </c>
      <c r="X1118" s="24">
        <v>4.1487581273829566E-2</v>
      </c>
      <c r="Y1118" s="24">
        <f t="shared" si="130"/>
        <v>4.2996951749804557E-2</v>
      </c>
      <c r="Z1118" s="23">
        <f t="shared" si="131"/>
        <v>3.5143464568418992E-3</v>
      </c>
      <c r="AA1118" s="36"/>
    </row>
    <row r="1119" spans="15:27" ht="17.100000000000001" customHeight="1" x14ac:dyDescent="0.3">
      <c r="O1119" s="12">
        <f t="shared" si="125"/>
        <v>92.166666666666671</v>
      </c>
      <c r="P1119" s="13">
        <v>1106</v>
      </c>
      <c r="Q1119" s="22">
        <v>3.3246274765748929E-2</v>
      </c>
      <c r="R1119" s="19">
        <f t="shared" si="126"/>
        <v>3.4007867293720073E-2</v>
      </c>
      <c r="S1119" s="22">
        <v>4.0407502321998301E-2</v>
      </c>
      <c r="T1119" s="19">
        <f t="shared" si="127"/>
        <v>4.2997874664252755E-2</v>
      </c>
      <c r="U1119" s="24">
        <v>4.1763376407262243E-2</v>
      </c>
      <c r="V1119" s="24">
        <f t="shared" si="128"/>
        <v>4.2996594829110446E-2</v>
      </c>
      <c r="W1119" s="23">
        <f t="shared" si="129"/>
        <v>3.5143176644667484E-3</v>
      </c>
      <c r="X1119" s="24">
        <v>4.1488944997875921E-2</v>
      </c>
      <c r="Y1119" s="24">
        <f t="shared" si="130"/>
        <v>4.299697922103296E-2</v>
      </c>
      <c r="Z1119" s="23">
        <f t="shared" si="131"/>
        <v>3.5143486794451118E-3</v>
      </c>
      <c r="AA1119" s="36"/>
    </row>
    <row r="1120" spans="15:27" ht="17.100000000000001" customHeight="1" x14ac:dyDescent="0.3">
      <c r="O1120" s="12">
        <f t="shared" si="125"/>
        <v>92.25</v>
      </c>
      <c r="P1120" s="13">
        <v>1107</v>
      </c>
      <c r="Q1120" s="22">
        <v>3.3246962491348953E-2</v>
      </c>
      <c r="R1120" s="19">
        <f t="shared" si="126"/>
        <v>3.4008217075293556E-2</v>
      </c>
      <c r="S1120" s="22">
        <v>4.0409839409512927E-2</v>
      </c>
      <c r="T1120" s="19">
        <f t="shared" si="127"/>
        <v>4.299789573306545E-2</v>
      </c>
      <c r="U1120" s="24">
        <v>4.1764489767448731E-2</v>
      </c>
      <c r="V1120" s="24">
        <f t="shared" si="128"/>
        <v>4.2996624470601041E-2</v>
      </c>
      <c r="W1120" s="23">
        <f t="shared" si="129"/>
        <v>3.5143200619840442E-3</v>
      </c>
      <c r="X1120" s="24">
        <v>4.149030628466388E-2</v>
      </c>
      <c r="Y1120" s="24">
        <f t="shared" si="130"/>
        <v>4.2997006444507324E-2</v>
      </c>
      <c r="Z1120" s="23">
        <f t="shared" si="131"/>
        <v>3.5143508820538738E-3</v>
      </c>
      <c r="AA1120" s="36"/>
    </row>
    <row r="1121" spans="15:27" ht="17.100000000000001" customHeight="1" x14ac:dyDescent="0.3">
      <c r="O1121" s="12">
        <f t="shared" si="125"/>
        <v>92.333333333333329</v>
      </c>
      <c r="P1121" s="13">
        <v>1108</v>
      </c>
      <c r="Q1121" s="22">
        <v>3.3247649291478609E-2</v>
      </c>
      <c r="R1121" s="19">
        <f t="shared" si="126"/>
        <v>3.4008563951560822E-2</v>
      </c>
      <c r="S1121" s="22">
        <v>4.0412172302661808E-2</v>
      </c>
      <c r="T1121" s="19">
        <f t="shared" si="127"/>
        <v>4.2997916593290775E-2</v>
      </c>
      <c r="U1121" s="24">
        <v>4.1765601145867137E-2</v>
      </c>
      <c r="V1121" s="24">
        <f t="shared" si="128"/>
        <v>4.2996653854113775E-2</v>
      </c>
      <c r="W1121" s="23">
        <f t="shared" si="129"/>
        <v>3.5143224386027239E-3</v>
      </c>
      <c r="X1121" s="24">
        <v>4.1491665140564349E-2</v>
      </c>
      <c r="Y1121" s="24">
        <f t="shared" si="130"/>
        <v>4.2997033422389697E-2</v>
      </c>
      <c r="Z1121" s="23">
        <f t="shared" si="131"/>
        <v>3.5143530647980814E-3</v>
      </c>
      <c r="AA1121" s="36"/>
    </row>
    <row r="1122" spans="15:27" ht="17.100000000000001" customHeight="1" x14ac:dyDescent="0.3">
      <c r="O1122" s="12">
        <f t="shared" si="125"/>
        <v>92.416666666666671</v>
      </c>
      <c r="P1122" s="13">
        <v>1109</v>
      </c>
      <c r="Q1122" s="22">
        <v>3.3248335166023102E-2</v>
      </c>
      <c r="R1122" s="19">
        <f t="shared" si="126"/>
        <v>3.4008907946576628E-2</v>
      </c>
      <c r="S1122" s="22">
        <v>4.0414501012589366E-2</v>
      </c>
      <c r="T1122" s="19">
        <f t="shared" si="127"/>
        <v>4.2997937246360918E-2</v>
      </c>
      <c r="U1122" s="24">
        <v>4.1766710547642916E-2</v>
      </c>
      <c r="V1122" s="24">
        <f t="shared" si="128"/>
        <v>4.2996682981353507E-2</v>
      </c>
      <c r="W1122" s="23">
        <f t="shared" si="129"/>
        <v>3.5143247945366163E-3</v>
      </c>
      <c r="X1122" s="24">
        <v>4.1493021571927358E-2</v>
      </c>
      <c r="Y1122" s="24">
        <f t="shared" si="130"/>
        <v>4.2997060156847677E-2</v>
      </c>
      <c r="Z1122" s="23">
        <f t="shared" si="131"/>
        <v>3.5143552278509294E-3</v>
      </c>
      <c r="AA1122" s="36"/>
    </row>
    <row r="1123" spans="15:27" ht="17.100000000000001" customHeight="1" x14ac:dyDescent="0.3">
      <c r="O1123" s="12">
        <f t="shared" si="125"/>
        <v>92.5</v>
      </c>
      <c r="P1123" s="13">
        <v>1110</v>
      </c>
      <c r="Q1123" s="22">
        <v>3.3249020114889394E-2</v>
      </c>
      <c r="R1123" s="19">
        <f t="shared" si="126"/>
        <v>3.4009249085743321E-2</v>
      </c>
      <c r="S1123" s="22">
        <v>4.0416825550401825E-2</v>
      </c>
      <c r="T1123" s="19">
        <f t="shared" si="127"/>
        <v>4.2997957695118716E-2</v>
      </c>
      <c r="U1123" s="24">
        <v>4.1767817977884647E-2</v>
      </c>
      <c r="V1123" s="24">
        <f t="shared" si="128"/>
        <v>4.2996711855700642E-2</v>
      </c>
      <c r="W1123" s="23">
        <f t="shared" si="129"/>
        <v>3.5143271299231671E-3</v>
      </c>
      <c r="X1123" s="24">
        <v>4.1494375585082288E-2</v>
      </c>
      <c r="Y1123" s="24">
        <f t="shared" si="130"/>
        <v>4.2997086651354266E-2</v>
      </c>
      <c r="Z1123" s="23">
        <f t="shared" si="131"/>
        <v>3.5143573713862786E-3</v>
      </c>
      <c r="AA1123" s="36"/>
    </row>
    <row r="1124" spans="15:27" ht="17.100000000000001" customHeight="1" x14ac:dyDescent="0.3">
      <c r="O1124" s="12">
        <f t="shared" si="125"/>
        <v>92.583333333333329</v>
      </c>
      <c r="P1124" s="13">
        <v>1111</v>
      </c>
      <c r="Q1124" s="22">
        <v>3.3249704138007541E-2</v>
      </c>
      <c r="R1124" s="19">
        <f t="shared" si="126"/>
        <v>3.4009587391020668E-2</v>
      </c>
      <c r="S1124" s="22">
        <v>4.0419145927167444E-2</v>
      </c>
      <c r="T1124" s="19">
        <f t="shared" si="127"/>
        <v>4.2997977940787857E-2</v>
      </c>
      <c r="U1124" s="24">
        <v>4.176892344168559E-2</v>
      </c>
      <c r="V1124" s="24">
        <f t="shared" si="128"/>
        <v>4.2996740478205675E-2</v>
      </c>
      <c r="W1124" s="23">
        <f t="shared" si="129"/>
        <v>3.5143294450328266E-3</v>
      </c>
      <c r="X1124" s="24">
        <v>4.1495727186338316E-2</v>
      </c>
      <c r="Y1124" s="24">
        <f t="shared" si="130"/>
        <v>4.2997112906592472E-2</v>
      </c>
      <c r="Z1124" s="23">
        <f t="shared" si="131"/>
        <v>3.514359495682573E-3</v>
      </c>
      <c r="AA1124" s="36"/>
    </row>
    <row r="1125" spans="15:27" ht="17.100000000000001" customHeight="1" x14ac:dyDescent="0.3">
      <c r="O1125" s="12">
        <f t="shared" si="125"/>
        <v>92.666666666666671</v>
      </c>
      <c r="P1125" s="13">
        <v>1112</v>
      </c>
      <c r="Q1125" s="22">
        <v>3.3250387235328027E-2</v>
      </c>
      <c r="R1125" s="19">
        <f t="shared" si="126"/>
        <v>3.4009922886427457E-2</v>
      </c>
      <c r="S1125" s="22">
        <v>4.0421462153916288E-2</v>
      </c>
      <c r="T1125" s="19">
        <f t="shared" si="127"/>
        <v>4.2997997985445791E-2</v>
      </c>
      <c r="U1125" s="24">
        <v>4.1770026944121685E-2</v>
      </c>
      <c r="V1125" s="24">
        <f t="shared" si="128"/>
        <v>4.2996768851592426E-2</v>
      </c>
      <c r="W1125" s="23">
        <f t="shared" si="129"/>
        <v>3.5143317399499718E-3</v>
      </c>
      <c r="X1125" s="24">
        <v>4.1497076381983078E-2</v>
      </c>
      <c r="Y1125" s="24">
        <f t="shared" si="130"/>
        <v>4.2997138924733225E-2</v>
      </c>
      <c r="Z1125" s="23">
        <f t="shared" si="131"/>
        <v>3.5143616007944356E-3</v>
      </c>
      <c r="AA1125" s="36"/>
    </row>
    <row r="1126" spans="15:27" ht="17.100000000000001" customHeight="1" x14ac:dyDescent="0.3">
      <c r="O1126" s="12">
        <f t="shared" si="125"/>
        <v>92.75</v>
      </c>
      <c r="P1126" s="13">
        <v>1113</v>
      </c>
      <c r="Q1126" s="22">
        <v>3.3251069406822875E-2</v>
      </c>
      <c r="R1126" s="19">
        <f t="shared" si="126"/>
        <v>3.4010255596863548E-2</v>
      </c>
      <c r="S1126" s="22">
        <v>4.0423774241640231E-2</v>
      </c>
      <c r="T1126" s="19">
        <f t="shared" si="127"/>
        <v>4.2998017832064805E-2</v>
      </c>
      <c r="U1126" s="24">
        <v>4.1771128490252663E-2</v>
      </c>
      <c r="V1126" s="24">
        <f t="shared" si="128"/>
        <v>4.2996796978299612E-2</v>
      </c>
      <c r="W1126" s="23">
        <f t="shared" si="129"/>
        <v>3.5143340148930946E-3</v>
      </c>
      <c r="X1126" s="24">
        <v>4.1498423178283339E-2</v>
      </c>
      <c r="Y1126" s="24">
        <f t="shared" si="130"/>
        <v>4.2997164708861835E-2</v>
      </c>
      <c r="Z1126" s="23">
        <f t="shared" si="131"/>
        <v>3.5143636868963934E-3</v>
      </c>
      <c r="AA1126" s="36"/>
    </row>
    <row r="1127" spans="15:27" ht="17.100000000000001" customHeight="1" x14ac:dyDescent="0.3">
      <c r="O1127" s="12">
        <f t="shared" si="125"/>
        <v>92.833333333333329</v>
      </c>
      <c r="P1127" s="13">
        <v>1114</v>
      </c>
      <c r="Q1127" s="22">
        <v>3.325175065248609E-2</v>
      </c>
      <c r="R1127" s="19">
        <f t="shared" si="126"/>
        <v>3.4010585543062799E-2</v>
      </c>
      <c r="S1127" s="22">
        <v>4.0426082201294733E-2</v>
      </c>
      <c r="T1127" s="19">
        <f t="shared" si="127"/>
        <v>4.2998037481466023E-2</v>
      </c>
      <c r="U1127" s="24">
        <v>4.1772228085122931E-2</v>
      </c>
      <c r="V1127" s="24">
        <f t="shared" si="128"/>
        <v>4.299682485930667E-2</v>
      </c>
      <c r="W1127" s="23">
        <f t="shared" si="129"/>
        <v>3.5143362700578162E-3</v>
      </c>
      <c r="X1127" s="24">
        <v>4.1499767581486102E-2</v>
      </c>
      <c r="Y1127" s="24">
        <f t="shared" si="130"/>
        <v>4.2997190259811857E-2</v>
      </c>
      <c r="Z1127" s="23">
        <f t="shared" si="131"/>
        <v>3.5143657542353601E-3</v>
      </c>
      <c r="AA1127" s="36"/>
    </row>
    <row r="1128" spans="15:27" ht="17.100000000000001" customHeight="1" x14ac:dyDescent="0.3">
      <c r="O1128" s="12">
        <f t="shared" si="125"/>
        <v>92.916666666666671</v>
      </c>
      <c r="P1128" s="13">
        <v>1115</v>
      </c>
      <c r="Q1128" s="22">
        <v>3.3252430972330993E-2</v>
      </c>
      <c r="R1128" s="19">
        <f t="shared" si="126"/>
        <v>3.4010912749645072E-2</v>
      </c>
      <c r="S1128" s="22">
        <v>4.0428386043796616E-2</v>
      </c>
      <c r="T1128" s="19">
        <f t="shared" si="127"/>
        <v>4.2998056936691009E-2</v>
      </c>
      <c r="U1128" s="24">
        <v>4.1773325733759359E-2</v>
      </c>
      <c r="V1128" s="24">
        <f t="shared" si="128"/>
        <v>4.2996852499032512E-2</v>
      </c>
      <c r="W1128" s="23">
        <f t="shared" si="129"/>
        <v>3.5143385055225185E-3</v>
      </c>
      <c r="X1128" s="24">
        <v>4.1501109597816832E-2</v>
      </c>
      <c r="Y1128" s="24">
        <f t="shared" si="130"/>
        <v>4.2997215582276871E-2</v>
      </c>
      <c r="Z1128" s="23">
        <f t="shared" si="131"/>
        <v>3.5143678028781711E-3</v>
      </c>
      <c r="AA1128" s="36"/>
    </row>
    <row r="1129" spans="15:27" ht="17.100000000000001" customHeight="1" x14ac:dyDescent="0.3">
      <c r="O1129" s="12">
        <f t="shared" si="125"/>
        <v>93</v>
      </c>
      <c r="P1129" s="13">
        <v>1116</v>
      </c>
      <c r="Q1129" s="22">
        <v>3.3253110366392447E-2</v>
      </c>
      <c r="R1129" s="19">
        <f t="shared" si="126"/>
        <v>3.4011237238904535E-2</v>
      </c>
      <c r="S1129" s="22">
        <v>4.0430685780026288E-2</v>
      </c>
      <c r="T1129" s="19">
        <f t="shared" si="127"/>
        <v>4.2998076198374813E-2</v>
      </c>
      <c r="U1129" s="24">
        <v>4.1774421441174603E-2</v>
      </c>
      <c r="V1129" s="24">
        <f t="shared" si="128"/>
        <v>4.2996879897098328E-2</v>
      </c>
      <c r="W1129" s="23">
        <f t="shared" si="129"/>
        <v>3.5143407216415845E-3</v>
      </c>
      <c r="X1129" s="24">
        <v>4.1502449233482785E-2</v>
      </c>
      <c r="Y1129" s="24">
        <f t="shared" si="130"/>
        <v>4.2997240674782944E-2</v>
      </c>
      <c r="Z1129" s="23">
        <f t="shared" si="131"/>
        <v>3.5143698332014139E-3</v>
      </c>
      <c r="AA1129" s="36"/>
    </row>
    <row r="1130" spans="15:27" ht="17.100000000000001" customHeight="1" x14ac:dyDescent="0.3">
      <c r="O1130" s="12">
        <f t="shared" si="125"/>
        <v>93.083333333333329</v>
      </c>
      <c r="P1130" s="13">
        <v>1117</v>
      </c>
      <c r="Q1130" s="22">
        <v>3.3253788834725295E-2</v>
      </c>
      <c r="R1130" s="19">
        <f t="shared" si="126"/>
        <v>3.4011559032969041E-2</v>
      </c>
      <c r="S1130" s="22">
        <v>4.0432981420825964E-2</v>
      </c>
      <c r="T1130" s="19">
        <f t="shared" si="127"/>
        <v>4.2998095269092929E-2</v>
      </c>
      <c r="U1130" s="24">
        <v>4.1775515212363334E-2</v>
      </c>
      <c r="V1130" s="24">
        <f t="shared" si="128"/>
        <v>4.2996907056914058E-2</v>
      </c>
      <c r="W1130" s="23">
        <f t="shared" si="129"/>
        <v>3.5143429183843722E-3</v>
      </c>
      <c r="X1130" s="24">
        <v>4.1503786494667905E-2</v>
      </c>
      <c r="Y1130" s="24">
        <f t="shared" si="130"/>
        <v>4.299726554215777E-2</v>
      </c>
      <c r="Z1130" s="23">
        <f t="shared" si="131"/>
        <v>3.5143718450867389E-3</v>
      </c>
      <c r="AA1130" s="36"/>
    </row>
    <row r="1131" spans="15:27" ht="17.100000000000001" customHeight="1" x14ac:dyDescent="0.3">
      <c r="O1131" s="12">
        <f t="shared" si="125"/>
        <v>93.166666666666671</v>
      </c>
      <c r="P1131" s="13">
        <v>1118</v>
      </c>
      <c r="Q1131" s="22">
        <v>3.3254466377403924E-2</v>
      </c>
      <c r="R1131" s="19">
        <f t="shared" si="126"/>
        <v>3.4011878155733921E-2</v>
      </c>
      <c r="S1131" s="22">
        <v>4.0435272977001224E-2</v>
      </c>
      <c r="T1131" s="19">
        <f t="shared" si="127"/>
        <v>4.2998114151411526E-2</v>
      </c>
      <c r="U1131" s="24">
        <v>4.1776607052305348E-2</v>
      </c>
      <c r="V1131" s="24">
        <f t="shared" si="128"/>
        <v>4.2996933980472996E-2</v>
      </c>
      <c r="W1131" s="23">
        <f t="shared" si="129"/>
        <v>3.5143450960246625E-3</v>
      </c>
      <c r="X1131" s="24">
        <v>4.1505121387537924E-2</v>
      </c>
      <c r="Y1131" s="24">
        <f t="shared" si="130"/>
        <v>4.2997290184984216E-2</v>
      </c>
      <c r="Z1131" s="23">
        <f t="shared" si="131"/>
        <v>3.5143738389213919E-3</v>
      </c>
      <c r="AA1131" s="36"/>
    </row>
    <row r="1132" spans="15:27" ht="17.100000000000001" customHeight="1" x14ac:dyDescent="0.3">
      <c r="O1132" s="12">
        <f t="shared" si="125"/>
        <v>93.25</v>
      </c>
      <c r="P1132" s="13">
        <v>1119</v>
      </c>
      <c r="Q1132" s="22">
        <v>3.3255142994523812E-2</v>
      </c>
      <c r="R1132" s="19">
        <f t="shared" si="126"/>
        <v>3.4012194626938941E-2</v>
      </c>
      <c r="S1132" s="22">
        <v>4.0437560459321453E-2</v>
      </c>
      <c r="T1132" s="19">
        <f t="shared" si="127"/>
        <v>4.2998132846245429E-2</v>
      </c>
      <c r="U1132" s="24">
        <v>4.1777696965964228E-2</v>
      </c>
      <c r="V1132" s="24">
        <f t="shared" si="128"/>
        <v>4.2996960669482664E-2</v>
      </c>
      <c r="W1132" s="23">
        <f t="shared" si="129"/>
        <v>3.5143472547221055E-3</v>
      </c>
      <c r="X1132" s="24">
        <v>4.1506453918237707E-2</v>
      </c>
      <c r="Y1132" s="24">
        <f t="shared" si="130"/>
        <v>4.2997314606124659E-2</v>
      </c>
      <c r="Z1132" s="23">
        <f t="shared" si="131"/>
        <v>3.5143758147520021E-3</v>
      </c>
      <c r="AA1132" s="36"/>
    </row>
    <row r="1133" spans="15:27" ht="17.100000000000001" customHeight="1" x14ac:dyDescent="0.3">
      <c r="O1133" s="12">
        <f t="shared" si="125"/>
        <v>93.333333333333329</v>
      </c>
      <c r="P1133" s="13">
        <v>1120</v>
      </c>
      <c r="Q1133" s="22">
        <v>3.3255818686197536E-2</v>
      </c>
      <c r="R1133" s="19">
        <f t="shared" si="126"/>
        <v>3.4012508471012337E-2</v>
      </c>
      <c r="S1133" s="22">
        <v>4.0439843878518511E-2</v>
      </c>
      <c r="T1133" s="19">
        <f t="shared" si="127"/>
        <v>4.2998151355550407E-2</v>
      </c>
      <c r="U1133" s="24">
        <v>4.1778784958287574E-2</v>
      </c>
      <c r="V1133" s="24">
        <f t="shared" si="128"/>
        <v>4.2996987126229014E-2</v>
      </c>
      <c r="W1133" s="23">
        <f t="shared" si="129"/>
        <v>3.5143493946137028E-3</v>
      </c>
      <c r="X1133" s="24">
        <v>4.1507784092891908E-2</v>
      </c>
      <c r="Y1133" s="24">
        <f t="shared" si="130"/>
        <v>4.2997338806735952E-2</v>
      </c>
      <c r="Z1133" s="23">
        <f t="shared" si="131"/>
        <v>3.5143777728079417E-3</v>
      </c>
      <c r="AA1133" s="36"/>
    </row>
    <row r="1134" spans="15:27" ht="17.100000000000001" customHeight="1" x14ac:dyDescent="0.3">
      <c r="O1134" s="12">
        <f t="shared" si="125"/>
        <v>93.416666666666671</v>
      </c>
      <c r="P1134" s="13">
        <v>1121</v>
      </c>
      <c r="Q1134" s="22">
        <v>3.3256493452559432E-2</v>
      </c>
      <c r="R1134" s="19">
        <f t="shared" si="126"/>
        <v>3.4012819708339137E-2</v>
      </c>
      <c r="S1134" s="22">
        <v>4.044212324528762E-2</v>
      </c>
      <c r="T1134" s="19">
        <f t="shared" si="127"/>
        <v>4.2998169681150333E-2</v>
      </c>
      <c r="U1134" s="24">
        <v>4.1779871034207439E-2</v>
      </c>
      <c r="V1134" s="24">
        <f t="shared" si="128"/>
        <v>4.2997013352743529E-2</v>
      </c>
      <c r="W1134" s="23">
        <f t="shared" si="129"/>
        <v>3.5143515158826411E-3</v>
      </c>
      <c r="X1134" s="24">
        <v>4.1509111917605201E-2</v>
      </c>
      <c r="Y1134" s="24">
        <f t="shared" si="130"/>
        <v>4.2997362789130467E-2</v>
      </c>
      <c r="Z1134" s="23">
        <f t="shared" si="131"/>
        <v>3.5143797131822474E-3</v>
      </c>
      <c r="AA1134" s="36"/>
    </row>
    <row r="1135" spans="15:27" ht="17.100000000000001" customHeight="1" x14ac:dyDescent="0.3">
      <c r="O1135" s="12">
        <f t="shared" si="125"/>
        <v>93.5</v>
      </c>
      <c r="P1135" s="13">
        <v>1122</v>
      </c>
      <c r="Q1135" s="22">
        <v>3.3257167293761158E-2</v>
      </c>
      <c r="R1135" s="19">
        <f t="shared" si="126"/>
        <v>3.4013128361420675E-2</v>
      </c>
      <c r="S1135" s="22">
        <v>4.0444398570287587E-2</v>
      </c>
      <c r="T1135" s="19">
        <f t="shared" si="127"/>
        <v>4.2998187825800338E-2</v>
      </c>
      <c r="U1135" s="24">
        <v>4.1780955198639669E-2</v>
      </c>
      <c r="V1135" s="24">
        <f t="shared" si="128"/>
        <v>4.2997039350999522E-2</v>
      </c>
      <c r="W1135" s="23">
        <f t="shared" si="129"/>
        <v>3.5143536186916791E-3</v>
      </c>
      <c r="X1135" s="24">
        <v>4.1510437398462052E-2</v>
      </c>
      <c r="Y1135" s="24">
        <f t="shared" si="130"/>
        <v>4.2997386556063111E-2</v>
      </c>
      <c r="Z1135" s="23">
        <f t="shared" si="131"/>
        <v>3.5143816360598823E-3</v>
      </c>
      <c r="AA1135" s="36"/>
    </row>
    <row r="1136" spans="15:27" ht="17.100000000000001" customHeight="1" x14ac:dyDescent="0.3">
      <c r="O1136" s="12">
        <f t="shared" si="125"/>
        <v>93.583333333333329</v>
      </c>
      <c r="P1136" s="13">
        <v>1123</v>
      </c>
      <c r="Q1136" s="22">
        <v>3.325784020997391E-2</v>
      </c>
      <c r="R1136" s="19">
        <f t="shared" si="126"/>
        <v>3.4013434451227731E-2</v>
      </c>
      <c r="S1136" s="22">
        <v>4.0446669864141693E-2</v>
      </c>
      <c r="T1136" s="19">
        <f t="shared" si="127"/>
        <v>4.2998205790456323E-2</v>
      </c>
      <c r="U1136" s="24">
        <v>4.1782037456485011E-2</v>
      </c>
      <c r="V1136" s="24">
        <f t="shared" si="128"/>
        <v>4.2997065122621692E-2</v>
      </c>
      <c r="W1136" s="23">
        <f t="shared" si="129"/>
        <v>3.5143557031993566E-3</v>
      </c>
      <c r="X1136" s="24">
        <v>4.1511760541527831E-2</v>
      </c>
      <c r="Y1136" s="24">
        <f t="shared" si="130"/>
        <v>4.2997410108460477E-2</v>
      </c>
      <c r="Z1136" s="23">
        <f t="shared" si="131"/>
        <v>3.5143835416622249E-3</v>
      </c>
      <c r="AA1136" s="36"/>
    </row>
    <row r="1137" spans="15:27" ht="17.100000000000001" customHeight="1" x14ac:dyDescent="0.3">
      <c r="O1137" s="12">
        <f t="shared" si="125"/>
        <v>93.666666666666671</v>
      </c>
      <c r="P1137" s="13">
        <v>1124</v>
      </c>
      <c r="Q1137" s="22">
        <v>3.3258512201387092E-2</v>
      </c>
      <c r="R1137" s="19">
        <f t="shared" si="126"/>
        <v>3.4013737998624283E-2</v>
      </c>
      <c r="S1137" s="22">
        <v>4.0448937137436358E-2</v>
      </c>
      <c r="T1137" s="19">
        <f t="shared" si="127"/>
        <v>4.2998223576304895E-2</v>
      </c>
      <c r="U1137" s="24">
        <v>4.1783117812627779E-2</v>
      </c>
      <c r="V1137" s="24">
        <f t="shared" si="128"/>
        <v>4.299709067039359E-2</v>
      </c>
      <c r="W1137" s="23">
        <f t="shared" si="129"/>
        <v>3.5143577695357919E-3</v>
      </c>
      <c r="X1137" s="24">
        <v>4.1513081352847259E-2</v>
      </c>
      <c r="Y1137" s="24">
        <f t="shared" si="130"/>
        <v>4.2997433448307865E-2</v>
      </c>
      <c r="Z1137" s="23">
        <f t="shared" si="131"/>
        <v>3.5143854300634381E-3</v>
      </c>
      <c r="AA1137" s="36"/>
    </row>
    <row r="1138" spans="15:27" ht="17.100000000000001" customHeight="1" x14ac:dyDescent="0.3">
      <c r="O1138" s="12">
        <f t="shared" si="125"/>
        <v>93.75</v>
      </c>
      <c r="P1138" s="13">
        <v>1125</v>
      </c>
      <c r="Q1138" s="22">
        <v>3.325918326820787E-2</v>
      </c>
      <c r="R1138" s="19">
        <f t="shared" si="126"/>
        <v>3.4014039026230236E-2</v>
      </c>
      <c r="S1138" s="22">
        <v>4.0451200400721588E-2</v>
      </c>
      <c r="T1138" s="19">
        <f t="shared" si="127"/>
        <v>4.2998241186578579E-2</v>
      </c>
      <c r="U1138" s="24">
        <v>4.1784196271937413E-2</v>
      </c>
      <c r="V1138" s="24">
        <f t="shared" si="128"/>
        <v>4.2997115995251578E-2</v>
      </c>
      <c r="W1138" s="23">
        <f t="shared" si="129"/>
        <v>3.5143598179241398E-3</v>
      </c>
      <c r="X1138" s="24">
        <v>4.1514399838445293E-2</v>
      </c>
      <c r="Y1138" s="24">
        <f t="shared" si="130"/>
        <v>4.2997456578058868E-2</v>
      </c>
      <c r="Z1138" s="23">
        <f t="shared" si="131"/>
        <v>3.5143873014225058E-3</v>
      </c>
      <c r="AA1138" s="36"/>
    </row>
    <row r="1139" spans="15:27" ht="17.100000000000001" customHeight="1" x14ac:dyDescent="0.3">
      <c r="O1139" s="12">
        <f t="shared" si="125"/>
        <v>93.833333333333329</v>
      </c>
      <c r="P1139" s="13">
        <v>1126</v>
      </c>
      <c r="Q1139" s="22">
        <v>3.325985341066251E-2</v>
      </c>
      <c r="R1139" s="19">
        <f t="shared" si="126"/>
        <v>3.4014337553710083E-2</v>
      </c>
      <c r="S1139" s="22">
        <v>4.0453459664512526E-2</v>
      </c>
      <c r="T1139" s="19">
        <f t="shared" si="127"/>
        <v>4.2998258621846475E-2</v>
      </c>
      <c r="U1139" s="24">
        <v>4.178527283926714E-2</v>
      </c>
      <c r="V1139" s="24">
        <f t="shared" si="128"/>
        <v>4.2997141100139968E-2</v>
      </c>
      <c r="W1139" s="23">
        <f t="shared" si="129"/>
        <v>3.5143618484394512E-3</v>
      </c>
      <c r="X1139" s="24">
        <v>4.1515716004327574E-2</v>
      </c>
      <c r="Y1139" s="24">
        <f t="shared" si="130"/>
        <v>4.2997479499824687E-2</v>
      </c>
      <c r="Z1139" s="23">
        <f t="shared" si="131"/>
        <v>3.5143891559363816E-3</v>
      </c>
      <c r="AA1139" s="36"/>
    </row>
    <row r="1140" spans="15:27" ht="17.100000000000001" customHeight="1" x14ac:dyDescent="0.3">
      <c r="O1140" s="12">
        <f t="shared" si="125"/>
        <v>93.916666666666671</v>
      </c>
      <c r="P1140" s="13">
        <v>1127</v>
      </c>
      <c r="Q1140" s="22">
        <v>3.3260522628994371E-2</v>
      </c>
      <c r="R1140" s="19">
        <f t="shared" si="126"/>
        <v>3.4014633601789912E-2</v>
      </c>
      <c r="S1140" s="22">
        <v>4.0455714939287901E-2</v>
      </c>
      <c r="T1140" s="19">
        <f t="shared" si="127"/>
        <v>4.2998275884549519E-2</v>
      </c>
      <c r="U1140" s="24">
        <v>4.1786347519455314E-2</v>
      </c>
      <c r="V1140" s="24">
        <f t="shared" si="128"/>
        <v>4.2997165985994901E-2</v>
      </c>
      <c r="W1140" s="23">
        <f t="shared" si="129"/>
        <v>3.5143638613177597E-3</v>
      </c>
      <c r="X1140" s="24">
        <v>4.1517029856480425E-2</v>
      </c>
      <c r="Y1140" s="24">
        <f t="shared" si="130"/>
        <v>4.2997502213904415E-2</v>
      </c>
      <c r="Z1140" s="23">
        <f t="shared" si="131"/>
        <v>3.5143909937740414E-3</v>
      </c>
      <c r="AA1140" s="36"/>
    </row>
    <row r="1141" spans="15:27" ht="17.100000000000001" customHeight="1" x14ac:dyDescent="0.3">
      <c r="O1141" s="12">
        <f t="shared" si="125"/>
        <v>94</v>
      </c>
      <c r="P1141" s="13">
        <v>1128</v>
      </c>
      <c r="Q1141" s="22">
        <v>3.3261190923463912E-2</v>
      </c>
      <c r="R1141" s="19">
        <f t="shared" si="126"/>
        <v>3.4014927191893696E-2</v>
      </c>
      <c r="S1141" s="22">
        <v>4.0457966235491138E-2</v>
      </c>
      <c r="T1141" s="19">
        <f t="shared" si="127"/>
        <v>4.2998292975908292E-2</v>
      </c>
      <c r="U1141" s="24">
        <v>4.1787420317324298E-2</v>
      </c>
      <c r="V1141" s="24">
        <f t="shared" si="128"/>
        <v>4.2997190655329698E-2</v>
      </c>
      <c r="W1141" s="23">
        <f t="shared" si="129"/>
        <v>3.5143658566341163E-3</v>
      </c>
      <c r="X1141" s="24">
        <v>4.1518341400869296E-2</v>
      </c>
      <c r="Y1141" s="24">
        <f t="shared" si="130"/>
        <v>4.2997524724174063E-2</v>
      </c>
      <c r="Z1141" s="23">
        <f t="shared" si="131"/>
        <v>3.5143928149599102E-3</v>
      </c>
      <c r="AA1141" s="36"/>
    </row>
    <row r="1142" spans="15:27" ht="17.100000000000001" customHeight="1" x14ac:dyDescent="0.3">
      <c r="O1142" s="12">
        <f t="shared" si="125"/>
        <v>94.083333333333329</v>
      </c>
      <c r="P1142" s="13">
        <v>1129</v>
      </c>
      <c r="Q1142" s="22">
        <v>3.32618582943498E-2</v>
      </c>
      <c r="R1142" s="19">
        <f t="shared" si="126"/>
        <v>3.4015218343904641E-2</v>
      </c>
      <c r="S1142" s="22">
        <v>4.0460213563529912E-2</v>
      </c>
      <c r="T1142" s="19">
        <f t="shared" si="127"/>
        <v>4.2998309897605003E-2</v>
      </c>
      <c r="U1142" s="24">
        <v>4.1788491237681136E-2</v>
      </c>
      <c r="V1142" s="24">
        <f t="shared" si="128"/>
        <v>4.2997215109519926E-2</v>
      </c>
      <c r="W1142" s="23">
        <f t="shared" si="129"/>
        <v>3.5143678345903595E-3</v>
      </c>
      <c r="X1142" s="24">
        <v>4.1519650643441652E-2</v>
      </c>
      <c r="Y1142" s="24">
        <f t="shared" si="130"/>
        <v>4.2997547030681593E-2</v>
      </c>
      <c r="Z1142" s="23">
        <f t="shared" si="131"/>
        <v>3.5143946198044063E-3</v>
      </c>
      <c r="AA1142" s="36"/>
    </row>
    <row r="1143" spans="15:27" ht="17.100000000000001" customHeight="1" x14ac:dyDescent="0.3">
      <c r="O1143" s="12">
        <f t="shared" si="125"/>
        <v>94.166666666666671</v>
      </c>
      <c r="P1143" s="13">
        <v>1130</v>
      </c>
      <c r="Q1143" s="22">
        <v>3.3262524741947352E-2</v>
      </c>
      <c r="R1143" s="19">
        <f t="shared" si="126"/>
        <v>3.4015507078046348E-2</v>
      </c>
      <c r="S1143" s="22">
        <v>4.0462456933776814E-2</v>
      </c>
      <c r="T1143" s="19">
        <f t="shared" si="127"/>
        <v>4.2998326652002206E-2</v>
      </c>
      <c r="U1143" s="24">
        <v>4.1789560285317551E-2</v>
      </c>
      <c r="V1143" s="24">
        <f t="shared" si="128"/>
        <v>4.2997239352006611E-2</v>
      </c>
      <c r="W1143" s="23">
        <f t="shared" si="129"/>
        <v>3.5143697952964015E-3</v>
      </c>
      <c r="X1143" s="24">
        <v>4.1520957590124308E-2</v>
      </c>
      <c r="Y1143" s="24">
        <f t="shared" si="130"/>
        <v>4.2997569137267044E-2</v>
      </c>
      <c r="Z1143" s="23">
        <f t="shared" si="131"/>
        <v>3.5143964083113044E-3</v>
      </c>
      <c r="AA1143" s="36"/>
    </row>
    <row r="1144" spans="15:27" ht="17.100000000000001" customHeight="1" x14ac:dyDescent="0.3">
      <c r="O1144" s="12">
        <f t="shared" si="125"/>
        <v>94.25</v>
      </c>
      <c r="P1144" s="13">
        <v>1131</v>
      </c>
      <c r="Q1144" s="22">
        <v>3.3263190266568543E-2</v>
      </c>
      <c r="R1144" s="19">
        <f t="shared" si="126"/>
        <v>3.401579341477845E-2</v>
      </c>
      <c r="S1144" s="22">
        <v>4.0464696356569574E-2</v>
      </c>
      <c r="T1144" s="19">
        <f t="shared" si="127"/>
        <v>4.2998343240137959E-2</v>
      </c>
      <c r="U1144" s="24">
        <v>4.1790627465011054E-2</v>
      </c>
      <c r="V1144" s="24">
        <f t="shared" si="128"/>
        <v>4.2997263382587469E-2</v>
      </c>
      <c r="W1144" s="23">
        <f t="shared" si="129"/>
        <v>3.5143717390282436E-3</v>
      </c>
      <c r="X1144" s="24">
        <v>4.1522262246826314E-2</v>
      </c>
      <c r="Y1144" s="24">
        <f t="shared" si="130"/>
        <v>4.2997591044249717E-2</v>
      </c>
      <c r="Z1144" s="23">
        <f t="shared" si="131"/>
        <v>3.5143981807890246E-3</v>
      </c>
      <c r="AA1144" s="36"/>
    </row>
    <row r="1145" spans="15:27" ht="17.100000000000001" customHeight="1" x14ac:dyDescent="0.3">
      <c r="O1145" s="12">
        <f t="shared" si="125"/>
        <v>94.333333333333329</v>
      </c>
      <c r="P1145" s="13">
        <v>1132</v>
      </c>
      <c r="Q1145" s="22">
        <v>3.3263854868542442E-2</v>
      </c>
      <c r="R1145" s="19">
        <f t="shared" si="126"/>
        <v>3.4016077373461906E-2</v>
      </c>
      <c r="S1145" s="22">
        <v>4.0466931842210396E-2</v>
      </c>
      <c r="T1145" s="19">
        <f t="shared" si="127"/>
        <v>4.2998359664155217E-2</v>
      </c>
      <c r="U1145" s="24">
        <v>4.1791692781522283E-2</v>
      </c>
      <c r="V1145" s="24">
        <f t="shared" si="128"/>
        <v>4.2997287204285861E-2</v>
      </c>
      <c r="W1145" s="23">
        <f t="shared" si="129"/>
        <v>3.5143736657696767E-3</v>
      </c>
      <c r="X1145" s="24">
        <v>4.1523564619436293E-2</v>
      </c>
      <c r="Y1145" s="24">
        <f t="shared" si="130"/>
        <v>4.2997612753651548E-2</v>
      </c>
      <c r="Z1145" s="23">
        <f t="shared" si="131"/>
        <v>3.5143999372624357E-3</v>
      </c>
      <c r="AA1145" s="36"/>
    </row>
    <row r="1146" spans="15:27" ht="17.100000000000001" customHeight="1" x14ac:dyDescent="0.3">
      <c r="O1146" s="12">
        <f t="shared" si="125"/>
        <v>94.416666666666671</v>
      </c>
      <c r="P1146" s="13">
        <v>1133</v>
      </c>
      <c r="Q1146" s="22">
        <v>3.3264518548214106E-2</v>
      </c>
      <c r="R1146" s="19">
        <f t="shared" si="126"/>
        <v>3.4016358974541916E-2</v>
      </c>
      <c r="S1146" s="22">
        <v>4.0469163400967068E-2</v>
      </c>
      <c r="T1146" s="19">
        <f t="shared" si="127"/>
        <v>4.2998375925016763E-2</v>
      </c>
      <c r="U1146" s="24">
        <v>4.1792756239597662E-2</v>
      </c>
      <c r="V1146" s="24">
        <f t="shared" si="128"/>
        <v>4.2997310818733814E-2</v>
      </c>
      <c r="W1146" s="23">
        <f t="shared" si="129"/>
        <v>3.5143755757633954E-3</v>
      </c>
      <c r="X1146" s="24">
        <v>4.152486471382355E-2</v>
      </c>
      <c r="Y1146" s="24">
        <f t="shared" si="130"/>
        <v>4.2997634267519791E-2</v>
      </c>
      <c r="Z1146" s="23">
        <f t="shared" si="131"/>
        <v>3.5144016778942966E-3</v>
      </c>
      <c r="AA1146" s="36"/>
    </row>
    <row r="1147" spans="15:27" ht="17.100000000000001" customHeight="1" x14ac:dyDescent="0.3">
      <c r="O1147" s="12">
        <f t="shared" si="125"/>
        <v>94.5</v>
      </c>
      <c r="P1147" s="13">
        <v>1134</v>
      </c>
      <c r="Q1147" s="22">
        <v>3.3265181305945024E-2</v>
      </c>
      <c r="R1147" s="19">
        <f t="shared" si="126"/>
        <v>3.4016638236891827E-2</v>
      </c>
      <c r="S1147" s="22">
        <v>4.0471391043072291E-2</v>
      </c>
      <c r="T1147" s="19">
        <f t="shared" si="127"/>
        <v>4.2998392024714782E-2</v>
      </c>
      <c r="U1147" s="24">
        <v>4.1793817843968295E-2</v>
      </c>
      <c r="V1147" s="24">
        <f t="shared" si="128"/>
        <v>4.2997334227185213E-2</v>
      </c>
      <c r="W1147" s="23">
        <f t="shared" si="129"/>
        <v>3.51437746913974E-3</v>
      </c>
      <c r="X1147" s="24">
        <v>4.1526162535838962E-2</v>
      </c>
      <c r="Y1147" s="24">
        <f t="shared" si="130"/>
        <v>4.2997655587560857E-2</v>
      </c>
      <c r="Z1147" s="23">
        <f t="shared" si="131"/>
        <v>3.5144034028484761E-3</v>
      </c>
      <c r="AA1147" s="36"/>
    </row>
    <row r="1148" spans="15:27" ht="17.100000000000001" customHeight="1" x14ac:dyDescent="0.3">
      <c r="O1148" s="12">
        <f t="shared" si="125"/>
        <v>94.583333333333329</v>
      </c>
      <c r="P1148" s="13">
        <v>1135</v>
      </c>
      <c r="Q1148" s="22">
        <v>3.326584314211245E-2</v>
      </c>
      <c r="R1148" s="19">
        <f t="shared" si="126"/>
        <v>3.4016915180944629E-2</v>
      </c>
      <c r="S1148" s="22">
        <v>4.0473614778724132E-2</v>
      </c>
      <c r="T1148" s="19">
        <f t="shared" si="127"/>
        <v>4.2998407965142649E-2</v>
      </c>
      <c r="U1148" s="24">
        <v>4.1794877599349745E-2</v>
      </c>
      <c r="V1148" s="24">
        <f t="shared" si="128"/>
        <v>4.2997357432708272E-2</v>
      </c>
      <c r="W1148" s="23">
        <f t="shared" si="129"/>
        <v>3.5143793459995187E-3</v>
      </c>
      <c r="X1148" s="24">
        <v>4.1527458091313862E-2</v>
      </c>
      <c r="Y1148" s="24">
        <f t="shared" si="130"/>
        <v>4.2997676715594846E-2</v>
      </c>
      <c r="Z1148" s="23">
        <f t="shared" si="131"/>
        <v>3.5144051122617537E-3</v>
      </c>
      <c r="AA1148" s="36"/>
    </row>
    <row r="1149" spans="15:27" ht="17.100000000000001" customHeight="1" x14ac:dyDescent="0.3">
      <c r="O1149" s="12">
        <f t="shared" si="125"/>
        <v>94.666666666666671</v>
      </c>
      <c r="P1149" s="13">
        <v>1136</v>
      </c>
      <c r="Q1149" s="22">
        <v>3.3266504057110069E-2</v>
      </c>
      <c r="R1149" s="19">
        <f t="shared" si="126"/>
        <v>3.401718982495372E-2</v>
      </c>
      <c r="S1149" s="22">
        <v>4.0475834618086681E-2</v>
      </c>
      <c r="T1149" s="19">
        <f t="shared" si="127"/>
        <v>4.2998423746903214E-2</v>
      </c>
      <c r="U1149" s="24">
        <v>4.1795935510443805E-2</v>
      </c>
      <c r="V1149" s="24">
        <f t="shared" si="128"/>
        <v>4.2997380435214172E-2</v>
      </c>
      <c r="W1149" s="23">
        <f t="shared" si="129"/>
        <v>3.514381206588979E-3</v>
      </c>
      <c r="X1149" s="24">
        <v>4.1528751386060936E-2</v>
      </c>
      <c r="Y1149" s="24">
        <f t="shared" si="130"/>
        <v>4.2997697652665146E-2</v>
      </c>
      <c r="Z1149" s="23">
        <f t="shared" si="131"/>
        <v>3.5144068062800127E-3</v>
      </c>
      <c r="AA1149" s="36"/>
    </row>
    <row r="1150" spans="15:27" ht="17.100000000000001" customHeight="1" x14ac:dyDescent="0.3">
      <c r="O1150" s="12">
        <f t="shared" si="125"/>
        <v>94.75</v>
      </c>
      <c r="P1150" s="13">
        <v>1137</v>
      </c>
      <c r="Q1150" s="22">
        <v>3.3267164051346221E-2</v>
      </c>
      <c r="R1150" s="19">
        <f t="shared" si="126"/>
        <v>3.401746218822832E-2</v>
      </c>
      <c r="S1150" s="22">
        <v>4.0478050571288726E-2</v>
      </c>
      <c r="T1150" s="19">
        <f t="shared" si="127"/>
        <v>4.2998439372514241E-2</v>
      </c>
      <c r="U1150" s="24">
        <v>4.1796991581935394E-2</v>
      </c>
      <c r="V1150" s="24">
        <f t="shared" si="128"/>
        <v>4.2997403237539977E-2</v>
      </c>
      <c r="W1150" s="23">
        <f t="shared" si="129"/>
        <v>3.5143830509003493E-3</v>
      </c>
      <c r="X1150" s="24">
        <v>4.1530042425873326E-2</v>
      </c>
      <c r="Y1150" s="24">
        <f t="shared" si="130"/>
        <v>4.2997718400967555E-2</v>
      </c>
      <c r="Z1150" s="23">
        <f t="shared" si="131"/>
        <v>3.5144084849871859E-3</v>
      </c>
      <c r="AA1150" s="36"/>
    </row>
    <row r="1151" spans="15:27" ht="17.100000000000001" customHeight="1" x14ac:dyDescent="0.3">
      <c r="O1151" s="12">
        <f t="shared" si="125"/>
        <v>94.833333333333329</v>
      </c>
      <c r="P1151" s="13">
        <v>1138</v>
      </c>
      <c r="Q1151" s="22">
        <v>3.3267823125244789E-2</v>
      </c>
      <c r="R1151" s="19">
        <f t="shared" si="126"/>
        <v>3.4017732290090752E-2</v>
      </c>
      <c r="S1151" s="22">
        <v>4.0480262648425747E-2</v>
      </c>
      <c r="T1151" s="19">
        <f t="shared" si="127"/>
        <v>4.2998454843445222E-2</v>
      </c>
      <c r="U1151" s="24">
        <v>4.1798045818495666E-2</v>
      </c>
      <c r="V1151" s="24">
        <f t="shared" si="128"/>
        <v>4.2997425842392856E-2</v>
      </c>
      <c r="W1151" s="23">
        <f t="shared" si="129"/>
        <v>3.5143848791618915E-3</v>
      </c>
      <c r="X1151" s="24">
        <v>4.1531331216525746E-2</v>
      </c>
      <c r="Y1151" s="24">
        <f t="shared" si="130"/>
        <v>4.2997738963107768E-2</v>
      </c>
      <c r="Z1151" s="23">
        <f t="shared" si="131"/>
        <v>3.5144101485591328E-3</v>
      </c>
      <c r="AA1151" s="36"/>
    </row>
    <row r="1152" spans="15:27" ht="17.100000000000001" customHeight="1" x14ac:dyDescent="0.3">
      <c r="O1152" s="12">
        <f t="shared" si="125"/>
        <v>94.916666666666671</v>
      </c>
      <c r="P1152" s="13">
        <v>1139</v>
      </c>
      <c r="Q1152" s="22">
        <v>3.3268481279245199E-2</v>
      </c>
      <c r="R1152" s="19">
        <f t="shared" si="126"/>
        <v>3.4018000148906991E-2</v>
      </c>
      <c r="S1152" s="22">
        <v>4.048247085955925E-2</v>
      </c>
      <c r="T1152" s="19">
        <f t="shared" si="127"/>
        <v>4.2998470160587887E-2</v>
      </c>
      <c r="U1152" s="24">
        <v>4.1799098224781783E-2</v>
      </c>
      <c r="V1152" s="24">
        <f t="shared" si="128"/>
        <v>4.299744824933649E-2</v>
      </c>
      <c r="W1152" s="23">
        <f t="shared" si="129"/>
        <v>3.514386691590099E-3</v>
      </c>
      <c r="X1152" s="24">
        <v>4.1532617763774704E-2</v>
      </c>
      <c r="Y1152" s="24">
        <f t="shared" si="130"/>
        <v>4.2997759339091113E-2</v>
      </c>
      <c r="Z1152" s="23">
        <f t="shared" si="131"/>
        <v>3.5144117972047972E-3</v>
      </c>
      <c r="AA1152" s="36"/>
    </row>
    <row r="1153" spans="15:27" ht="17.100000000000001" customHeight="1" x14ac:dyDescent="0.3">
      <c r="O1153" s="12">
        <f t="shared" si="125"/>
        <v>95</v>
      </c>
      <c r="P1153" s="13">
        <v>1140</v>
      </c>
      <c r="Q1153" s="22">
        <v>3.3269138513801311E-2</v>
      </c>
      <c r="R1153" s="19">
        <f t="shared" si="126"/>
        <v>3.4018265784210966E-2</v>
      </c>
      <c r="S1153" s="22">
        <v>4.0484675214715882E-2</v>
      </c>
      <c r="T1153" s="19">
        <f t="shared" si="127"/>
        <v>4.2998485325768998E-2</v>
      </c>
      <c r="U1153" s="24">
        <v>4.1800148805434034E-2</v>
      </c>
      <c r="V1153" s="24">
        <f t="shared" si="128"/>
        <v>4.2997470461835441E-2</v>
      </c>
      <c r="W1153" s="23">
        <f t="shared" si="129"/>
        <v>3.5143884881501108E-3</v>
      </c>
      <c r="X1153" s="24">
        <v>4.1533902073356943E-2</v>
      </c>
      <c r="Y1153" s="24">
        <f t="shared" si="130"/>
        <v>4.299777953240369E-2</v>
      </c>
      <c r="Z1153" s="23">
        <f t="shared" si="131"/>
        <v>3.5144134309246233E-3</v>
      </c>
      <c r="AA1153" s="36"/>
    </row>
    <row r="1154" spans="15:27" ht="17.100000000000001" customHeight="1" x14ac:dyDescent="0.3">
      <c r="O1154" s="12">
        <f t="shared" si="125"/>
        <v>95.083333333333329</v>
      </c>
      <c r="P1154" s="13">
        <v>1141</v>
      </c>
      <c r="Q1154" s="22">
        <v>3.3269794829382526E-2</v>
      </c>
      <c r="R1154" s="19">
        <f t="shared" si="126"/>
        <v>3.4018529213010185E-2</v>
      </c>
      <c r="S1154" s="22">
        <v>4.0486875723889204E-2</v>
      </c>
      <c r="T1154" s="19">
        <f t="shared" si="127"/>
        <v>4.2998500341436818E-2</v>
      </c>
      <c r="U1154" s="24">
        <v>4.1801197565079606E-2</v>
      </c>
      <c r="V1154" s="24">
        <f t="shared" si="128"/>
        <v>4.2997492480663535E-2</v>
      </c>
      <c r="W1154" s="23">
        <f t="shared" si="129"/>
        <v>3.5143902691197049E-3</v>
      </c>
      <c r="X1154" s="24">
        <v>4.1535184150991666E-2</v>
      </c>
      <c r="Y1154" s="24">
        <f t="shared" si="130"/>
        <v>4.2997799542682014E-2</v>
      </c>
      <c r="Z1154" s="23">
        <f t="shared" si="131"/>
        <v>3.5144150499979432E-3</v>
      </c>
      <c r="AA1154" s="36"/>
    </row>
    <row r="1155" spans="15:27" ht="17.100000000000001" customHeight="1" x14ac:dyDescent="0.3">
      <c r="O1155" s="12">
        <f t="shared" si="125"/>
        <v>95.166666666666671</v>
      </c>
      <c r="P1155" s="13">
        <v>1142</v>
      </c>
      <c r="Q1155" s="22">
        <v>3.3270450226471571E-2</v>
      </c>
      <c r="R1155" s="19">
        <f t="shared" si="126"/>
        <v>3.4018790454634296E-2</v>
      </c>
      <c r="S1155" s="22">
        <v>4.0489072397039694E-2</v>
      </c>
      <c r="T1155" s="19">
        <f t="shared" si="127"/>
        <v>4.2998515207838928E-2</v>
      </c>
      <c r="U1155" s="24">
        <v>4.1802244508330144E-2</v>
      </c>
      <c r="V1155" s="24">
        <f t="shared" si="128"/>
        <v>4.2997514307865137E-2</v>
      </c>
      <c r="W1155" s="23">
        <f t="shared" si="129"/>
        <v>3.5143920345610535E-3</v>
      </c>
      <c r="X1155" s="24">
        <v>4.1536464002378315E-2</v>
      </c>
      <c r="Y1155" s="24">
        <f t="shared" si="130"/>
        <v>4.2997819373344237E-2</v>
      </c>
      <c r="Z1155" s="23">
        <f t="shared" si="131"/>
        <v>3.5144166543961131E-3</v>
      </c>
      <c r="AA1155" s="36"/>
    </row>
    <row r="1156" spans="15:27" ht="17.100000000000001" customHeight="1" x14ac:dyDescent="0.3">
      <c r="O1156" s="12">
        <f t="shared" si="125"/>
        <v>95.25</v>
      </c>
      <c r="P1156" s="13">
        <v>1143</v>
      </c>
      <c r="Q1156" s="22">
        <v>3.3271104705566268E-2</v>
      </c>
      <c r="R1156" s="19">
        <f t="shared" si="126"/>
        <v>3.4019049527411749E-2</v>
      </c>
      <c r="S1156" s="22">
        <v>4.0491265244093189E-2</v>
      </c>
      <c r="T1156" s="19">
        <f t="shared" si="127"/>
        <v>4.2998529926719264E-2</v>
      </c>
      <c r="U1156" s="24">
        <v>4.1803289639782859E-2</v>
      </c>
      <c r="V1156" s="24">
        <f t="shared" si="128"/>
        <v>4.2997535946074139E-2</v>
      </c>
      <c r="W1156" s="23">
        <f t="shared" si="129"/>
        <v>3.5143937846380258E-3</v>
      </c>
      <c r="X1156" s="24">
        <v>4.1537741633198788E-2</v>
      </c>
      <c r="Y1156" s="24">
        <f t="shared" si="130"/>
        <v>4.2997839025477047E-2</v>
      </c>
      <c r="Z1156" s="23">
        <f t="shared" si="131"/>
        <v>3.5144182443926919E-3</v>
      </c>
      <c r="AA1156" s="36"/>
    </row>
    <row r="1157" spans="15:27" ht="17.100000000000001" customHeight="1" x14ac:dyDescent="0.3">
      <c r="O1157" s="12">
        <f t="shared" si="125"/>
        <v>95.333333333333329</v>
      </c>
      <c r="P1157" s="13">
        <v>1144</v>
      </c>
      <c r="Q1157" s="22">
        <v>3.3271758267178875E-2</v>
      </c>
      <c r="R1157" s="19">
        <f t="shared" si="126"/>
        <v>3.4019306448562103E-2</v>
      </c>
      <c r="S1157" s="22">
        <v>4.0493454274942664E-2</v>
      </c>
      <c r="T1157" s="19">
        <f t="shared" si="127"/>
        <v>4.2998544499530889E-2</v>
      </c>
      <c r="U1157" s="24">
        <v>4.1804332964021196E-2</v>
      </c>
      <c r="V1157" s="24">
        <f t="shared" si="128"/>
        <v>4.299755739375688E-2</v>
      </c>
      <c r="W1157" s="23">
        <f t="shared" si="129"/>
        <v>3.514395519561786E-3</v>
      </c>
      <c r="X1157" s="24">
        <v>4.1539017049116556E-2</v>
      </c>
      <c r="Y1157" s="24">
        <f t="shared" si="130"/>
        <v>4.2997858499373764E-2</v>
      </c>
      <c r="Z1157" s="23">
        <f t="shared" si="131"/>
        <v>3.5144198200749432E-3</v>
      </c>
      <c r="AA1157" s="36"/>
    </row>
    <row r="1158" spans="15:27" ht="17.100000000000001" customHeight="1" x14ac:dyDescent="0.3">
      <c r="O1158" s="12">
        <f t="shared" si="125"/>
        <v>95.416666666666671</v>
      </c>
      <c r="P1158" s="13">
        <v>1145</v>
      </c>
      <c r="Q1158" s="22">
        <v>3.3272410911834527E-2</v>
      </c>
      <c r="R1158" s="19">
        <f t="shared" si="126"/>
        <v>3.401956123655725E-2</v>
      </c>
      <c r="S1158" s="22">
        <v>4.0495639499447567E-2</v>
      </c>
      <c r="T1158" s="19">
        <f t="shared" si="127"/>
        <v>4.2998558928323938E-2</v>
      </c>
      <c r="U1158" s="24">
        <v>4.1805374485611502E-2</v>
      </c>
      <c r="V1158" s="24">
        <f t="shared" si="128"/>
        <v>4.2997578657044455E-2</v>
      </c>
      <c r="W1158" s="23">
        <f t="shared" si="129"/>
        <v>3.5143972392093215E-3</v>
      </c>
      <c r="X1158" s="24">
        <v>4.1540290255775325E-2</v>
      </c>
      <c r="Y1158" s="24">
        <f t="shared" si="130"/>
        <v>4.2997877798862882E-2</v>
      </c>
      <c r="Z1158" s="23">
        <f t="shared" si="131"/>
        <v>3.5144213814664038E-3</v>
      </c>
      <c r="AA1158" s="36"/>
    </row>
    <row r="1159" spans="15:27" ht="17.100000000000001" customHeight="1" x14ac:dyDescent="0.3">
      <c r="O1159" s="12">
        <f t="shared" si="125"/>
        <v>95.5</v>
      </c>
      <c r="P1159" s="13">
        <v>1146</v>
      </c>
      <c r="Q1159" s="22">
        <v>3.3273062640073237E-2</v>
      </c>
      <c r="R1159" s="19">
        <f t="shared" si="126"/>
        <v>3.4019813909084151E-2</v>
      </c>
      <c r="S1159" s="22">
        <v>4.0497820927434924E-2</v>
      </c>
      <c r="T1159" s="19">
        <f t="shared" si="127"/>
        <v>4.2998573214164004E-2</v>
      </c>
      <c r="U1159" s="24">
        <v>4.1806414209109244E-2</v>
      </c>
      <c r="V1159" s="24">
        <f t="shared" si="128"/>
        <v>4.2997599733814118E-2</v>
      </c>
      <c r="W1159" s="23">
        <f t="shared" si="129"/>
        <v>3.514398944072461E-3</v>
      </c>
      <c r="X1159" s="24">
        <v>4.1541561258802595E-2</v>
      </c>
      <c r="Y1159" s="24">
        <f t="shared" si="130"/>
        <v>4.2997896923938184E-2</v>
      </c>
      <c r="Z1159" s="23">
        <f t="shared" si="131"/>
        <v>3.5144229288741613E-3</v>
      </c>
      <c r="AA1159" s="36"/>
    </row>
    <row r="1160" spans="15:27" ht="17.100000000000001" customHeight="1" x14ac:dyDescent="0.3">
      <c r="O1160" s="12">
        <f t="shared" si="125"/>
        <v>95.583333333333329</v>
      </c>
      <c r="P1160" s="13">
        <v>1147</v>
      </c>
      <c r="Q1160" s="22">
        <v>3.3273713452447895E-2</v>
      </c>
      <c r="R1160" s="19">
        <f t="shared" si="126"/>
        <v>3.4020064483865076E-2</v>
      </c>
      <c r="S1160" s="22">
        <v>4.0499998568698237E-2</v>
      </c>
      <c r="T1160" s="19">
        <f t="shared" si="127"/>
        <v>4.2998587358039408E-2</v>
      </c>
      <c r="U1160" s="24">
        <v>4.1807452139052348E-2</v>
      </c>
      <c r="V1160" s="24">
        <f t="shared" si="128"/>
        <v>4.2997620627786004E-2</v>
      </c>
      <c r="W1160" s="23">
        <f t="shared" si="129"/>
        <v>3.5144006339806744E-3</v>
      </c>
      <c r="X1160" s="24">
        <v>4.154283006380588E-2</v>
      </c>
      <c r="Y1160" s="24">
        <f t="shared" si="130"/>
        <v>4.2997915876980874E-2</v>
      </c>
      <c r="Z1160" s="23">
        <f t="shared" si="131"/>
        <v>3.5144244622975496E-3</v>
      </c>
      <c r="AA1160" s="36"/>
    </row>
    <row r="1161" spans="15:27" ht="17.100000000000001" customHeight="1" x14ac:dyDescent="0.3">
      <c r="O1161" s="12">
        <f t="shared" si="125"/>
        <v>95.666666666666671</v>
      </c>
      <c r="P1161" s="13">
        <v>1148</v>
      </c>
      <c r="Q1161" s="22">
        <v>3.327436334952516E-2</v>
      </c>
      <c r="R1161" s="19">
        <f t="shared" si="126"/>
        <v>3.402031297714303E-2</v>
      </c>
      <c r="S1161" s="22">
        <v>4.050217243299814E-2</v>
      </c>
      <c r="T1161" s="19">
        <f t="shared" si="127"/>
        <v>4.299860136152267E-2</v>
      </c>
      <c r="U1161" s="24">
        <v>4.1808488279966083E-2</v>
      </c>
      <c r="V1161" s="24">
        <f t="shared" si="128"/>
        <v>4.2997641339671544E-2</v>
      </c>
      <c r="W1161" s="23">
        <f t="shared" si="129"/>
        <v>3.5144023092321675E-3</v>
      </c>
      <c r="X1161" s="24">
        <v>4.1544096676375819E-2</v>
      </c>
      <c r="Y1161" s="24">
        <f t="shared" si="130"/>
        <v>4.2997934659025905E-2</v>
      </c>
      <c r="Z1161" s="23">
        <f t="shared" si="131"/>
        <v>3.514425981927749E-3</v>
      </c>
      <c r="AA1161" s="36"/>
    </row>
    <row r="1162" spans="15:27" ht="17.100000000000001" customHeight="1" x14ac:dyDescent="0.3">
      <c r="O1162" s="12">
        <f t="shared" si="125"/>
        <v>95.75</v>
      </c>
      <c r="P1162" s="13">
        <v>1149</v>
      </c>
      <c r="Q1162" s="22">
        <v>3.3275012331884124E-2</v>
      </c>
      <c r="R1162" s="19">
        <f t="shared" si="126"/>
        <v>3.4020559407932582E-2</v>
      </c>
      <c r="S1162" s="22">
        <v>4.0504342530062409E-2</v>
      </c>
      <c r="T1162" s="19">
        <f t="shared" si="127"/>
        <v>4.2998615226065295E-2</v>
      </c>
      <c r="U1162" s="24">
        <v>4.1809522636360619E-2</v>
      </c>
      <c r="V1162" s="24">
        <f t="shared" si="128"/>
        <v>4.2997661870751491E-2</v>
      </c>
      <c r="W1162" s="23">
        <f t="shared" si="129"/>
        <v>3.5144039698844498E-3</v>
      </c>
      <c r="X1162" s="24">
        <v>4.1545361102084177E-2</v>
      </c>
      <c r="Y1162" s="24">
        <f t="shared" si="130"/>
        <v>4.2997953271350475E-2</v>
      </c>
      <c r="Z1162" s="23">
        <f t="shared" si="131"/>
        <v>3.5144274878473603E-3</v>
      </c>
      <c r="AA1162" s="36"/>
    </row>
    <row r="1163" spans="15:27" ht="17.100000000000001" customHeight="1" x14ac:dyDescent="0.3">
      <c r="O1163" s="12">
        <f t="shared" si="125"/>
        <v>95.833333333333329</v>
      </c>
      <c r="P1163" s="13">
        <v>1150</v>
      </c>
      <c r="Q1163" s="22">
        <v>3.3275660400117868E-2</v>
      </c>
      <c r="R1163" s="19">
        <f t="shared" si="126"/>
        <v>3.4020803792208287E-2</v>
      </c>
      <c r="S1163" s="22">
        <v>4.05065088695864E-2</v>
      </c>
      <c r="T1163" s="19">
        <f t="shared" si="127"/>
        <v>4.2998628954298068E-2</v>
      </c>
      <c r="U1163" s="24">
        <v>4.1810555212731471E-2</v>
      </c>
      <c r="V1163" s="24">
        <f t="shared" si="128"/>
        <v>4.2997682223893552E-2</v>
      </c>
      <c r="W1163" s="23">
        <f t="shared" si="129"/>
        <v>3.514405616039884E-3</v>
      </c>
      <c r="X1163" s="24">
        <v>4.154662334648429E-2</v>
      </c>
      <c r="Y1163" s="24">
        <f t="shared" si="130"/>
        <v>4.2997971717147587E-2</v>
      </c>
      <c r="Z1163" s="23">
        <f t="shared" si="131"/>
        <v>3.5144289801591899E-3</v>
      </c>
      <c r="AA1163" s="36"/>
    </row>
    <row r="1164" spans="15:27" ht="17.100000000000001" customHeight="1" x14ac:dyDescent="0.3">
      <c r="O1164" s="12">
        <f t="shared" si="125"/>
        <v>95.916666666666671</v>
      </c>
      <c r="P1164" s="13">
        <v>1151</v>
      </c>
      <c r="Q1164" s="22">
        <v>3.3276307554831686E-2</v>
      </c>
      <c r="R1164" s="19">
        <f t="shared" si="126"/>
        <v>3.4021046147763689E-2</v>
      </c>
      <c r="S1164" s="22">
        <v>4.0508671461233936E-2</v>
      </c>
      <c r="T1164" s="19">
        <f t="shared" si="127"/>
        <v>4.2998642545297949E-2</v>
      </c>
      <c r="U1164" s="24">
        <v>4.1811586013561275E-2</v>
      </c>
      <c r="V1164" s="24">
        <f t="shared" si="128"/>
        <v>4.2997702399504734E-2</v>
      </c>
      <c r="W1164" s="23">
        <f t="shared" si="129"/>
        <v>3.5144072479282862E-3</v>
      </c>
      <c r="X1164" s="24">
        <v>4.1547883415113285E-2</v>
      </c>
      <c r="Y1164" s="24">
        <f t="shared" si="130"/>
        <v>4.2997989995065877E-2</v>
      </c>
      <c r="Z1164" s="23">
        <f t="shared" si="131"/>
        <v>3.5144304591188114E-3</v>
      </c>
      <c r="AA1164" s="36"/>
    </row>
    <row r="1165" spans="15:27" ht="17.100000000000001" customHeight="1" x14ac:dyDescent="0.3">
      <c r="O1165" s="12">
        <f t="shared" si="125"/>
        <v>96</v>
      </c>
      <c r="P1165" s="13">
        <v>1152</v>
      </c>
      <c r="Q1165" s="22">
        <v>3.3276953796643971E-2</v>
      </c>
      <c r="R1165" s="19">
        <f t="shared" si="126"/>
        <v>3.4021286490428349E-2</v>
      </c>
      <c r="S1165" s="22">
        <v>4.0510830314634649E-2</v>
      </c>
      <c r="T1165" s="19">
        <f t="shared" si="127"/>
        <v>4.2998656001836499E-2</v>
      </c>
      <c r="U1165" s="24">
        <v>4.1812615043317125E-2</v>
      </c>
      <c r="V1165" s="24">
        <f t="shared" si="128"/>
        <v>4.2997722399192417E-2</v>
      </c>
      <c r="W1165" s="23">
        <f t="shared" si="129"/>
        <v>3.514408865582741E-3</v>
      </c>
      <c r="X1165" s="24">
        <v>4.1549141313487858E-2</v>
      </c>
      <c r="Y1165" s="24">
        <f t="shared" si="130"/>
        <v>4.2998008109572217E-2</v>
      </c>
      <c r="Z1165" s="23">
        <f t="shared" si="131"/>
        <v>3.5144319246180888E-3</v>
      </c>
      <c r="AA1165" s="36"/>
    </row>
    <row r="1166" spans="15:27" ht="17.100000000000001" customHeight="1" x14ac:dyDescent="0.3">
      <c r="O1166" s="12">
        <f t="shared" ref="O1166:O1214" si="132">P1166/12</f>
        <v>96.083333333333329</v>
      </c>
      <c r="P1166" s="13">
        <v>1153</v>
      </c>
      <c r="Q1166" s="22">
        <v>3.3277599126184887E-2</v>
      </c>
      <c r="R1166" s="19">
        <f t="shared" ref="R1166:R1213" si="133">(1+Q1167)^P1167/(1+Q1166)^P1166-1</f>
        <v>3.402152483796983E-2</v>
      </c>
      <c r="S1166" s="22">
        <v>4.0512985439387306E-2</v>
      </c>
      <c r="T1166" s="19">
        <f t="shared" ref="T1166:T1213" si="134">(1+S1167)^P1167/(1+S1166)^P1166-1</f>
        <v>4.2998669324861849E-2</v>
      </c>
      <c r="U1166" s="24">
        <v>4.1813642306452348E-2</v>
      </c>
      <c r="V1166" s="24">
        <f t="shared" ref="V1166:V1213" si="135">(1+U1167)^P1167/(1+U1166)^P1166-1</f>
        <v>4.2997742224891722E-2</v>
      </c>
      <c r="W1166" s="23">
        <f t="shared" si="129"/>
        <v>3.5144104691315903E-3</v>
      </c>
      <c r="X1166" s="24">
        <v>4.1550397047109389E-2</v>
      </c>
      <c r="Y1166" s="24">
        <f t="shared" si="130"/>
        <v>4.2998026059952732E-2</v>
      </c>
      <c r="Z1166" s="23">
        <f t="shared" si="131"/>
        <v>3.5144333770154024E-3</v>
      </c>
      <c r="AA1166" s="36"/>
    </row>
    <row r="1167" spans="15:27" ht="17.100000000000001" customHeight="1" x14ac:dyDescent="0.3">
      <c r="O1167" s="12">
        <f t="shared" si="132"/>
        <v>96.166666666666671</v>
      </c>
      <c r="P1167" s="13">
        <v>1154</v>
      </c>
      <c r="Q1167" s="22">
        <v>3.3278243544097474E-2</v>
      </c>
      <c r="R1167" s="19">
        <f t="shared" si="133"/>
        <v>3.4021761206094014E-2</v>
      </c>
      <c r="S1167" s="22">
        <v>4.0515136845058253E-2</v>
      </c>
      <c r="T1167" s="19">
        <f t="shared" si="134"/>
        <v>4.2998682516240061E-2</v>
      </c>
      <c r="U1167" s="24">
        <v>4.1814667807406281E-2</v>
      </c>
      <c r="V1167" s="24">
        <f t="shared" si="135"/>
        <v>4.2997761878635021E-2</v>
      </c>
      <c r="W1167" s="23">
        <f t="shared" ref="W1167:W1213" si="136">(1+V1166)^(1/12)-1</f>
        <v>3.5144120587302652E-3</v>
      </c>
      <c r="X1167" s="24">
        <v>4.1551650621459491E-2</v>
      </c>
      <c r="Y1167" s="24">
        <f t="shared" ref="Y1167:Y1213" si="137">(1+X1168)^P1168/(1+X1167)^P1167-1</f>
        <v>4.2998043849234779E-2</v>
      </c>
      <c r="Z1167" s="23">
        <f t="shared" ref="Z1167:Z1213" si="138">(1+Y1166)^(1/12)-1</f>
        <v>3.5144348162532424E-3</v>
      </c>
      <c r="AA1167" s="36"/>
    </row>
    <row r="1168" spans="15:27" ht="17.100000000000001" customHeight="1" x14ac:dyDescent="0.3">
      <c r="O1168" s="12">
        <f t="shared" si="132"/>
        <v>96.25</v>
      </c>
      <c r="P1168" s="13">
        <v>1155</v>
      </c>
      <c r="Q1168" s="22">
        <v>3.3278887051036543E-2</v>
      </c>
      <c r="R1168" s="19">
        <f t="shared" si="133"/>
        <v>3.4021995611881906E-2</v>
      </c>
      <c r="S1168" s="22">
        <v>4.0517284541182086E-2</v>
      </c>
      <c r="T1168" s="19">
        <f t="shared" si="134"/>
        <v>4.299869557712821E-2</v>
      </c>
      <c r="U1168" s="24">
        <v>4.1815691550604717E-2</v>
      </c>
      <c r="V1168" s="24">
        <f t="shared" si="135"/>
        <v>4.2997781361076903E-2</v>
      </c>
      <c r="W1168" s="23">
        <f t="shared" si="136"/>
        <v>3.5144136345419685E-3</v>
      </c>
      <c r="X1168" s="24">
        <v>4.155290204200357E-2</v>
      </c>
      <c r="Y1168" s="24">
        <f t="shared" si="137"/>
        <v>4.2998061478304983E-2</v>
      </c>
      <c r="Z1168" s="23">
        <f t="shared" si="138"/>
        <v>3.5144362425743036E-3</v>
      </c>
      <c r="AA1168" s="36"/>
    </row>
    <row r="1169" spans="15:27" ht="17.100000000000001" customHeight="1" x14ac:dyDescent="0.3">
      <c r="O1169" s="12">
        <f t="shared" si="132"/>
        <v>96.333333333333329</v>
      </c>
      <c r="P1169" s="13">
        <v>1156</v>
      </c>
      <c r="Q1169" s="22">
        <v>3.3279529647669115E-2</v>
      </c>
      <c r="R1169" s="19">
        <f t="shared" si="133"/>
        <v>3.4022228071509675E-2</v>
      </c>
      <c r="S1169" s="22">
        <v>4.0519428537261648E-2</v>
      </c>
      <c r="T1169" s="19">
        <f t="shared" si="134"/>
        <v>4.2998708507269834E-2</v>
      </c>
      <c r="U1169" s="24">
        <v>4.1816713540458794E-2</v>
      </c>
      <c r="V1169" s="24">
        <f t="shared" si="135"/>
        <v>4.2997800673286735E-2</v>
      </c>
      <c r="W1169" s="23">
        <f t="shared" si="136"/>
        <v>3.5144151966186588E-3</v>
      </c>
      <c r="X1169" s="24">
        <v>4.1554151314188825E-2</v>
      </c>
      <c r="Y1169" s="24">
        <f t="shared" si="137"/>
        <v>4.2998078947685592E-2</v>
      </c>
      <c r="Z1169" s="23">
        <f t="shared" si="138"/>
        <v>3.5144376560498625E-3</v>
      </c>
      <c r="AA1169" s="36"/>
    </row>
    <row r="1170" spans="15:27" ht="17.100000000000001" customHeight="1" x14ac:dyDescent="0.3">
      <c r="O1170" s="12">
        <f t="shared" si="132"/>
        <v>96.416666666666671</v>
      </c>
      <c r="P1170" s="13">
        <v>1157</v>
      </c>
      <c r="Q1170" s="22">
        <v>3.328017133467398E-2</v>
      </c>
      <c r="R1170" s="19">
        <f t="shared" si="133"/>
        <v>3.4022458600929451E-2</v>
      </c>
      <c r="S1170" s="22">
        <v>4.0521568842766698E-2</v>
      </c>
      <c r="T1170" s="19">
        <f t="shared" si="134"/>
        <v>4.2998721310803845E-2</v>
      </c>
      <c r="U1170" s="24">
        <v>4.1817733781365218E-2</v>
      </c>
      <c r="V1170" s="24">
        <f t="shared" si="135"/>
        <v>4.2997819818326066E-2</v>
      </c>
      <c r="W1170" s="23">
        <f t="shared" si="136"/>
        <v>3.5144167450464892E-3</v>
      </c>
      <c r="X1170" s="24">
        <v>4.1555398443444025E-2</v>
      </c>
      <c r="Y1170" s="24">
        <f t="shared" si="137"/>
        <v>4.2998096260357332E-2</v>
      </c>
      <c r="Z1170" s="23">
        <f t="shared" si="138"/>
        <v>3.5144390567216632E-3</v>
      </c>
      <c r="AA1170" s="36"/>
    </row>
    <row r="1171" spans="15:27" ht="17.100000000000001" customHeight="1" x14ac:dyDescent="0.3">
      <c r="O1171" s="12">
        <f t="shared" si="132"/>
        <v>96.5</v>
      </c>
      <c r="P1171" s="13">
        <v>1158</v>
      </c>
      <c r="Q1171" s="22">
        <v>3.3280812112741254E-2</v>
      </c>
      <c r="R1171" s="19">
        <f t="shared" si="133"/>
        <v>3.4022687215902847E-2</v>
      </c>
      <c r="S1171" s="22">
        <v>4.0523705467137905E-2</v>
      </c>
      <c r="T1171" s="19">
        <f t="shared" si="134"/>
        <v>4.2998733985886606E-2</v>
      </c>
      <c r="U1171" s="24">
        <v>4.181875227770826E-2</v>
      </c>
      <c r="V1171" s="24">
        <f t="shared" si="135"/>
        <v>4.2997838795854948E-2</v>
      </c>
      <c r="W1171" s="23">
        <f t="shared" si="136"/>
        <v>3.514418280070597E-3</v>
      </c>
      <c r="X1171" s="24">
        <v>4.155664343518195E-2</v>
      </c>
      <c r="Y1171" s="24">
        <f t="shared" si="137"/>
        <v>4.2998113416664818E-2</v>
      </c>
      <c r="Z1171" s="23">
        <f t="shared" si="138"/>
        <v>3.5144404448286259E-3</v>
      </c>
      <c r="AA1171" s="36"/>
    </row>
    <row r="1172" spans="15:27" ht="17.100000000000001" customHeight="1" x14ac:dyDescent="0.3">
      <c r="O1172" s="12">
        <f t="shared" si="132"/>
        <v>96.583333333333329</v>
      </c>
      <c r="P1172" s="13">
        <v>1159</v>
      </c>
      <c r="Q1172" s="22">
        <v>3.3281451982572596E-2</v>
      </c>
      <c r="R1172" s="19">
        <f t="shared" si="133"/>
        <v>3.4022913934127708E-2</v>
      </c>
      <c r="S1172" s="22">
        <v>4.0525838419781968E-2</v>
      </c>
      <c r="T1172" s="19">
        <f t="shared" si="134"/>
        <v>4.2998746536551335E-2</v>
      </c>
      <c r="U1172" s="24">
        <v>4.1819769033856646E-2</v>
      </c>
      <c r="V1172" s="24">
        <f t="shared" si="135"/>
        <v>4.299785760889141E-2</v>
      </c>
      <c r="W1172" s="23">
        <f t="shared" si="136"/>
        <v>3.5144198016641148E-3</v>
      </c>
      <c r="X1172" s="24">
        <v>4.1557886294796953E-2</v>
      </c>
      <c r="Y1172" s="24">
        <f t="shared" si="137"/>
        <v>4.2998130418700375E-2</v>
      </c>
      <c r="Z1172" s="23">
        <f t="shared" si="138"/>
        <v>3.5144418203985062E-3</v>
      </c>
      <c r="AA1172" s="36"/>
    </row>
    <row r="1173" spans="15:27" ht="17.100000000000001" customHeight="1" x14ac:dyDescent="0.3">
      <c r="O1173" s="12">
        <f t="shared" si="132"/>
        <v>96.666666666666671</v>
      </c>
      <c r="P1173" s="13">
        <v>1160</v>
      </c>
      <c r="Q1173" s="22">
        <v>3.3282090944881881E-2</v>
      </c>
      <c r="R1173" s="19">
        <f t="shared" si="133"/>
        <v>3.4023138768055405E-2</v>
      </c>
      <c r="S1173" s="22">
        <v>4.0527967710076274E-2</v>
      </c>
      <c r="T1173" s="19">
        <f t="shared" si="134"/>
        <v>4.2998758962119465E-2</v>
      </c>
      <c r="U1173" s="24">
        <v>4.1820784054166671E-2</v>
      </c>
      <c r="V1173" s="24">
        <f t="shared" si="135"/>
        <v>4.2997876257537815E-2</v>
      </c>
      <c r="W1173" s="23">
        <f t="shared" si="136"/>
        <v>3.5144213100688493E-3</v>
      </c>
      <c r="X1173" s="24">
        <v>4.1559127027666509E-2</v>
      </c>
      <c r="Y1173" s="24">
        <f t="shared" si="137"/>
        <v>4.2998147267061304E-2</v>
      </c>
      <c r="Z1173" s="23">
        <f t="shared" si="138"/>
        <v>3.5144431835991696E-3</v>
      </c>
      <c r="AA1173" s="36"/>
    </row>
    <row r="1174" spans="15:27" ht="17.100000000000001" customHeight="1" x14ac:dyDescent="0.3">
      <c r="O1174" s="12">
        <f t="shared" si="132"/>
        <v>96.75</v>
      </c>
      <c r="P1174" s="13">
        <v>1161</v>
      </c>
      <c r="Q1174" s="22">
        <v>3.3282729000391864E-2</v>
      </c>
      <c r="R1174" s="19">
        <f t="shared" si="133"/>
        <v>3.4023361736337465E-2</v>
      </c>
      <c r="S1174" s="22">
        <v>4.0530093347365792E-2</v>
      </c>
      <c r="T1174" s="19">
        <f t="shared" si="134"/>
        <v>4.2998771264741498E-2</v>
      </c>
      <c r="U1174" s="24">
        <v>4.1821797342979972E-2</v>
      </c>
      <c r="V1174" s="24">
        <f t="shared" si="135"/>
        <v>4.2997894744055243E-2</v>
      </c>
      <c r="W1174" s="23">
        <f t="shared" si="136"/>
        <v>3.5144228052927939E-3</v>
      </c>
      <c r="X1174" s="24">
        <v>4.156036563915011E-2</v>
      </c>
      <c r="Y1174" s="24">
        <f t="shared" si="137"/>
        <v>4.29981639634891E-2</v>
      </c>
      <c r="Z1174" s="23">
        <f t="shared" si="138"/>
        <v>3.5144445344783559E-3</v>
      </c>
      <c r="AA1174" s="36"/>
    </row>
    <row r="1175" spans="15:27" ht="17.100000000000001" customHeight="1" x14ac:dyDescent="0.3">
      <c r="O1175" s="12">
        <f t="shared" si="132"/>
        <v>96.833333333333329</v>
      </c>
      <c r="P1175" s="13">
        <v>1162</v>
      </c>
      <c r="Q1175" s="22">
        <v>3.32833661498384E-2</v>
      </c>
      <c r="R1175" s="19">
        <f t="shared" si="133"/>
        <v>3.4023582853125678E-2</v>
      </c>
      <c r="S1175" s="22">
        <v>4.053221534096485E-2</v>
      </c>
      <c r="T1175" s="19">
        <f t="shared" si="134"/>
        <v>4.2998783445481692E-2</v>
      </c>
      <c r="U1175" s="24">
        <v>4.1822808904624864E-2</v>
      </c>
      <c r="V1175" s="24">
        <f t="shared" si="135"/>
        <v>4.2997913070243587E-2</v>
      </c>
      <c r="W1175" s="23">
        <f t="shared" si="136"/>
        <v>3.5144242875175813E-3</v>
      </c>
      <c r="X1175" s="24">
        <v>4.156160213459037E-2</v>
      </c>
      <c r="Y1175" s="24">
        <f t="shared" si="137"/>
        <v>4.2998180510510187E-2</v>
      </c>
      <c r="Z1175" s="23">
        <f t="shared" si="138"/>
        <v>3.5144458731757311E-3</v>
      </c>
      <c r="AA1175" s="36"/>
    </row>
    <row r="1176" spans="15:27" ht="17.100000000000001" customHeight="1" x14ac:dyDescent="0.3">
      <c r="O1176" s="12">
        <f t="shared" si="132"/>
        <v>96.916666666666671</v>
      </c>
      <c r="P1176" s="13">
        <v>1163</v>
      </c>
      <c r="Q1176" s="22">
        <v>3.3284002393967338E-2</v>
      </c>
      <c r="R1176" s="19">
        <f t="shared" si="133"/>
        <v>3.4023802134069303E-2</v>
      </c>
      <c r="S1176" s="22">
        <v>4.053433370015691E-2</v>
      </c>
      <c r="T1176" s="19">
        <f t="shared" si="134"/>
        <v>4.2998795505124976E-2</v>
      </c>
      <c r="U1176" s="24">
        <v>4.1823818743416341E-2</v>
      </c>
      <c r="V1176" s="24">
        <f t="shared" si="135"/>
        <v>4.2997931235930542E-2</v>
      </c>
      <c r="W1176" s="23">
        <f t="shared" si="136"/>
        <v>3.5144257568873183E-3</v>
      </c>
      <c r="X1176" s="24">
        <v>4.1562836519313473E-2</v>
      </c>
      <c r="Y1176" s="24">
        <f t="shared" si="137"/>
        <v>4.2998196907072073E-2</v>
      </c>
      <c r="Z1176" s="23">
        <f t="shared" si="138"/>
        <v>3.5144471998937998E-3</v>
      </c>
      <c r="AA1176" s="36"/>
    </row>
    <row r="1177" spans="15:27" ht="17.100000000000001" customHeight="1" x14ac:dyDescent="0.3">
      <c r="O1177" s="12">
        <f t="shared" si="132"/>
        <v>97</v>
      </c>
      <c r="P1177" s="13">
        <v>1164</v>
      </c>
      <c r="Q1177" s="22">
        <v>3.3284637733534961E-2</v>
      </c>
      <c r="R1177" s="19">
        <f t="shared" si="133"/>
        <v>3.4024019594531829E-2</v>
      </c>
      <c r="S1177" s="22">
        <v>4.0536448434194128E-2</v>
      </c>
      <c r="T1177" s="19">
        <f t="shared" si="134"/>
        <v>4.2998807445724152E-2</v>
      </c>
      <c r="U1177" s="24">
        <v>4.182482686365474E-2</v>
      </c>
      <c r="V1177" s="24">
        <f t="shared" si="135"/>
        <v>4.2997949243964051E-2</v>
      </c>
      <c r="W1177" s="23">
        <f t="shared" si="136"/>
        <v>3.5144272133880161E-3</v>
      </c>
      <c r="X1177" s="24">
        <v>4.1564068798626952E-2</v>
      </c>
      <c r="Y1177" s="24">
        <f t="shared" si="137"/>
        <v>4.2998213156275833E-2</v>
      </c>
      <c r="Z1177" s="23">
        <f t="shared" si="138"/>
        <v>3.5144485145484072E-3</v>
      </c>
      <c r="AA1177" s="36"/>
    </row>
    <row r="1178" spans="15:27" ht="17.100000000000001" customHeight="1" x14ac:dyDescent="0.3">
      <c r="O1178" s="12">
        <f t="shared" si="132"/>
        <v>97.083333333333329</v>
      </c>
      <c r="P1178" s="13">
        <v>1165</v>
      </c>
      <c r="Q1178" s="22">
        <v>3.3285272169308655E-2</v>
      </c>
      <c r="R1178" s="19">
        <f t="shared" si="133"/>
        <v>3.4024235248934609E-2</v>
      </c>
      <c r="S1178" s="22">
        <v>4.0538559552298681E-2</v>
      </c>
      <c r="T1178" s="19">
        <f t="shared" si="134"/>
        <v>4.2998819267437982E-2</v>
      </c>
      <c r="U1178" s="24">
        <v>4.1825833269627744E-2</v>
      </c>
      <c r="V1178" s="24">
        <f t="shared" si="135"/>
        <v>4.2997967095256495E-2</v>
      </c>
      <c r="W1178" s="23">
        <f t="shared" si="136"/>
        <v>3.5144286572486028E-3</v>
      </c>
      <c r="X1178" s="24">
        <v>4.1565298977822351E-2</v>
      </c>
      <c r="Y1178" s="24">
        <f t="shared" si="137"/>
        <v>4.2998229259546328E-2</v>
      </c>
      <c r="Z1178" s="23">
        <f t="shared" si="138"/>
        <v>3.5144498173877992E-3</v>
      </c>
      <c r="AA1178" s="36"/>
    </row>
    <row r="1179" spans="15:27" ht="17.100000000000001" customHeight="1" x14ac:dyDescent="0.3">
      <c r="O1179" s="12">
        <f t="shared" si="132"/>
        <v>97.166666666666671</v>
      </c>
      <c r="P1179" s="13">
        <v>1166</v>
      </c>
      <c r="Q1179" s="22">
        <v>3.3285905702065133E-2</v>
      </c>
      <c r="R1179" s="19">
        <f t="shared" si="133"/>
        <v>3.4024449113527977E-2</v>
      </c>
      <c r="S1179" s="22">
        <v>4.054066706366144E-2</v>
      </c>
      <c r="T1179" s="19">
        <f t="shared" si="134"/>
        <v>4.2998830972202695E-2</v>
      </c>
      <c r="U1179" s="24">
        <v>4.1826837965609265E-2</v>
      </c>
      <c r="V1179" s="24">
        <f t="shared" si="135"/>
        <v>4.2997984791278698E-2</v>
      </c>
      <c r="W1179" s="23">
        <f t="shared" si="136"/>
        <v>3.5144300885416868E-3</v>
      </c>
      <c r="X1179" s="24">
        <v>4.1566527062174119E-2</v>
      </c>
      <c r="Y1179" s="24">
        <f t="shared" si="137"/>
        <v>4.299824521706519E-2</v>
      </c>
      <c r="Z1179" s="23">
        <f t="shared" si="138"/>
        <v>3.5144511085265506E-3</v>
      </c>
      <c r="AA1179" s="36"/>
    </row>
    <row r="1180" spans="15:27" ht="17.100000000000001" customHeight="1" x14ac:dyDescent="0.3">
      <c r="O1180" s="12">
        <f t="shared" si="132"/>
        <v>97.25</v>
      </c>
      <c r="P1180" s="13">
        <v>1167</v>
      </c>
      <c r="Q1180" s="22">
        <v>3.328653833259243E-2</v>
      </c>
      <c r="R1180" s="19">
        <f t="shared" si="133"/>
        <v>3.4024661202244344E-2</v>
      </c>
      <c r="S1180" s="22">
        <v>4.0542770977443299E-2</v>
      </c>
      <c r="T1180" s="19">
        <f t="shared" si="134"/>
        <v>4.2998842560752149E-2</v>
      </c>
      <c r="U1180" s="24">
        <v>4.1827840955859896E-2</v>
      </c>
      <c r="V1180" s="24">
        <f t="shared" si="135"/>
        <v>4.2998002332903962E-2</v>
      </c>
      <c r="W1180" s="23">
        <f t="shared" si="136"/>
        <v>3.514431507385396E-3</v>
      </c>
      <c r="X1180" s="24">
        <v>4.1567753056939383E-2</v>
      </c>
      <c r="Y1180" s="24">
        <f t="shared" si="137"/>
        <v>4.2998261031183205E-2</v>
      </c>
      <c r="Z1180" s="23">
        <f t="shared" si="138"/>
        <v>3.5144523879790945E-3</v>
      </c>
      <c r="AA1180" s="36"/>
    </row>
    <row r="1181" spans="15:27" ht="17.100000000000001" customHeight="1" x14ac:dyDescent="0.3">
      <c r="O1181" s="12">
        <f t="shared" si="132"/>
        <v>97.333333333333329</v>
      </c>
      <c r="P1181" s="13">
        <v>1168</v>
      </c>
      <c r="Q1181" s="22">
        <v>3.328717006168791E-2</v>
      </c>
      <c r="R1181" s="19">
        <f t="shared" si="133"/>
        <v>3.402487153017475E-2</v>
      </c>
      <c r="S1181" s="22">
        <v>4.054487130277451E-2</v>
      </c>
      <c r="T1181" s="19">
        <f t="shared" si="134"/>
        <v>4.2998854034526968E-2</v>
      </c>
      <c r="U1181" s="24">
        <v>4.1828842244626241E-2</v>
      </c>
      <c r="V1181" s="24">
        <f t="shared" si="135"/>
        <v>4.2998019721443903E-2</v>
      </c>
      <c r="W1181" s="23">
        <f t="shared" si="136"/>
        <v>3.5144329138496744E-3</v>
      </c>
      <c r="X1181" s="24">
        <v>4.1568976967358839E-2</v>
      </c>
      <c r="Y1181" s="24">
        <f t="shared" si="137"/>
        <v>4.2998276702438387E-2</v>
      </c>
      <c r="Z1181" s="23">
        <f t="shared" si="138"/>
        <v>3.5144536559339468E-3</v>
      </c>
      <c r="AA1181" s="36"/>
    </row>
    <row r="1182" spans="15:27" ht="17.100000000000001" customHeight="1" x14ac:dyDescent="0.3">
      <c r="O1182" s="12">
        <f t="shared" si="132"/>
        <v>97.416666666666671</v>
      </c>
      <c r="P1182" s="13">
        <v>1169</v>
      </c>
      <c r="Q1182" s="22">
        <v>3.3287800890159147E-2</v>
      </c>
      <c r="R1182" s="19">
        <f t="shared" si="133"/>
        <v>3.4025080111674155E-2</v>
      </c>
      <c r="S1182" s="22">
        <v>4.054696804875535E-2</v>
      </c>
      <c r="T1182" s="19">
        <f t="shared" si="134"/>
        <v>4.299886539493869E-2</v>
      </c>
      <c r="U1182" s="24">
        <v>4.1829841836141579E-2</v>
      </c>
      <c r="V1182" s="24">
        <f t="shared" si="135"/>
        <v>4.29980369597458E-2</v>
      </c>
      <c r="W1182" s="23">
        <f t="shared" si="136"/>
        <v>3.5144343080399931E-3</v>
      </c>
      <c r="X1182" s="24">
        <v>4.1570198798655866E-2</v>
      </c>
      <c r="Y1182" s="24">
        <f t="shared" si="137"/>
        <v>4.2998292232890645E-2</v>
      </c>
      <c r="Z1182" s="23">
        <f t="shared" si="138"/>
        <v>3.514454912434184E-3</v>
      </c>
      <c r="AA1182" s="36"/>
    </row>
    <row r="1183" spans="15:27" ht="17.100000000000001" customHeight="1" x14ac:dyDescent="0.3">
      <c r="O1183" s="12">
        <f t="shared" si="132"/>
        <v>97.5</v>
      </c>
      <c r="P1183" s="13">
        <v>1170</v>
      </c>
      <c r="Q1183" s="22">
        <v>3.3288430818823045E-2</v>
      </c>
      <c r="R1183" s="19">
        <f t="shared" si="133"/>
        <v>3.402528696140239E-2</v>
      </c>
      <c r="S1183" s="22">
        <v>4.0549061224456118E-2</v>
      </c>
      <c r="T1183" s="19">
        <f t="shared" si="134"/>
        <v>4.2998876642402317E-2</v>
      </c>
      <c r="U1183" s="24">
        <v>4.1830839734627201E-2</v>
      </c>
      <c r="V1183" s="24">
        <f t="shared" si="135"/>
        <v>4.2998054047484802E-2</v>
      </c>
      <c r="W1183" s="23">
        <f t="shared" si="136"/>
        <v>3.51443569018417E-3</v>
      </c>
      <c r="X1183" s="24">
        <v>4.1571418556037631E-2</v>
      </c>
      <c r="Y1183" s="24">
        <f t="shared" si="137"/>
        <v>4.2998307623224541E-2</v>
      </c>
      <c r="Z1183" s="23">
        <f t="shared" si="138"/>
        <v>3.5144561576450073E-3</v>
      </c>
      <c r="AA1183" s="36"/>
    </row>
    <row r="1184" spans="15:27" ht="17.100000000000001" customHeight="1" x14ac:dyDescent="0.3">
      <c r="O1184" s="12">
        <f t="shared" si="132"/>
        <v>97.583333333333329</v>
      </c>
      <c r="P1184" s="13">
        <v>1171</v>
      </c>
      <c r="Q1184" s="22">
        <v>3.3289059848506275E-2</v>
      </c>
      <c r="R1184" s="19">
        <f t="shared" si="133"/>
        <v>3.4025492093715748E-2</v>
      </c>
      <c r="S1184" s="22">
        <v>4.0551150838916694E-2</v>
      </c>
      <c r="T1184" s="19">
        <f t="shared" si="134"/>
        <v>4.2998887778215034E-2</v>
      </c>
      <c r="U1184" s="24">
        <v>4.1831835944289741E-2</v>
      </c>
      <c r="V1184" s="24">
        <f t="shared" si="135"/>
        <v>4.2998070986701498E-2</v>
      </c>
      <c r="W1184" s="23">
        <f t="shared" si="136"/>
        <v>3.5144370602564479E-3</v>
      </c>
      <c r="X1184" s="24">
        <v>4.1572636244694428E-2</v>
      </c>
      <c r="Y1184" s="24">
        <f t="shared" si="137"/>
        <v>4.2998322874490791E-2</v>
      </c>
      <c r="Z1184" s="23">
        <f t="shared" si="138"/>
        <v>3.5144573916212618E-3</v>
      </c>
      <c r="AA1184" s="36"/>
    </row>
    <row r="1185" spans="15:27" ht="17.100000000000001" customHeight="1" x14ac:dyDescent="0.3">
      <c r="O1185" s="12">
        <f t="shared" si="132"/>
        <v>97.666666666666671</v>
      </c>
      <c r="P1185" s="13">
        <v>1172</v>
      </c>
      <c r="Q1185" s="22">
        <v>3.3289687980045057E-2</v>
      </c>
      <c r="R1185" s="19">
        <f t="shared" si="133"/>
        <v>3.4025695523402177E-2</v>
      </c>
      <c r="S1185" s="22">
        <v>4.0553236901147205E-2</v>
      </c>
      <c r="T1185" s="19">
        <f t="shared" si="134"/>
        <v>4.2998898803929597E-2</v>
      </c>
      <c r="U1185" s="24">
        <v>4.1832830469322957E-2</v>
      </c>
      <c r="V1185" s="24">
        <f t="shared" si="135"/>
        <v>4.2998087777658789E-2</v>
      </c>
      <c r="W1185" s="23">
        <f t="shared" si="136"/>
        <v>3.5144384184204736E-3</v>
      </c>
      <c r="X1185" s="24">
        <v>4.157385186979945E-2</v>
      </c>
      <c r="Y1185" s="24">
        <f t="shared" si="137"/>
        <v>4.2998337988575885E-2</v>
      </c>
      <c r="Z1185" s="23">
        <f t="shared" si="138"/>
        <v>3.5144586144473244E-3</v>
      </c>
      <c r="AA1185" s="36"/>
    </row>
    <row r="1186" spans="15:27" ht="17.100000000000001" customHeight="1" x14ac:dyDescent="0.3">
      <c r="O1186" s="12">
        <f t="shared" si="132"/>
        <v>97.75</v>
      </c>
      <c r="P1186" s="13">
        <v>1173</v>
      </c>
      <c r="Q1186" s="22">
        <v>3.329031521428516E-2</v>
      </c>
      <c r="R1186" s="19">
        <f t="shared" si="133"/>
        <v>3.4025897263564309E-2</v>
      </c>
      <c r="S1186" s="22">
        <v>4.0555319420128244E-2</v>
      </c>
      <c r="T1186" s="19">
        <f t="shared" si="134"/>
        <v>4.2998909720336265E-2</v>
      </c>
      <c r="U1186" s="24">
        <v>4.1833823313906837E-2</v>
      </c>
      <c r="V1186" s="24">
        <f t="shared" si="135"/>
        <v>4.2998104423408234E-2</v>
      </c>
      <c r="W1186" s="23">
        <f t="shared" si="136"/>
        <v>3.5144397646971193E-3</v>
      </c>
      <c r="X1186" s="24">
        <v>4.1575065436509906E-2</v>
      </c>
      <c r="Y1186" s="24">
        <f t="shared" si="137"/>
        <v>4.2998352966788111E-2</v>
      </c>
      <c r="Z1186" s="23">
        <f t="shared" si="138"/>
        <v>3.5144598262744076E-3</v>
      </c>
      <c r="AA1186" s="36"/>
    </row>
    <row r="1187" spans="15:27" ht="17.100000000000001" customHeight="1" x14ac:dyDescent="0.3">
      <c r="O1187" s="12">
        <f t="shared" si="132"/>
        <v>97.833333333333329</v>
      </c>
      <c r="P1187" s="13">
        <v>1174</v>
      </c>
      <c r="Q1187" s="22">
        <v>3.3290941552080788E-2</v>
      </c>
      <c r="R1187" s="19">
        <f t="shared" si="133"/>
        <v>3.4026097328881955E-2</v>
      </c>
      <c r="S1187" s="22">
        <v>4.0557398404810652E-2</v>
      </c>
      <c r="T1187" s="19">
        <f t="shared" si="134"/>
        <v>4.299892052828902E-2</v>
      </c>
      <c r="U1187" s="24">
        <v>4.1834814482209604E-2</v>
      </c>
      <c r="V1187" s="24">
        <f t="shared" si="135"/>
        <v>4.299812092387767E-2</v>
      </c>
      <c r="W1187" s="23">
        <f t="shared" si="136"/>
        <v>3.5144410993313002E-3</v>
      </c>
      <c r="X1187" s="24">
        <v>4.1576276949966573E-2</v>
      </c>
      <c r="Y1187" s="24">
        <f t="shared" si="137"/>
        <v>4.2998367810285654E-2</v>
      </c>
      <c r="Z1187" s="23">
        <f t="shared" si="138"/>
        <v>3.5144610272073162E-3</v>
      </c>
      <c r="AA1187" s="36"/>
    </row>
    <row r="1188" spans="15:27" ht="17.100000000000001" customHeight="1" x14ac:dyDescent="0.3">
      <c r="O1188" s="12">
        <f t="shared" si="132"/>
        <v>97.916666666666671</v>
      </c>
      <c r="P1188" s="13">
        <v>1175</v>
      </c>
      <c r="Q1188" s="22">
        <v>3.3291566994295696E-2</v>
      </c>
      <c r="R1188" s="19">
        <f t="shared" si="133"/>
        <v>3.4026295733799339E-2</v>
      </c>
      <c r="S1188" s="22">
        <v>4.0559473864115736E-2</v>
      </c>
      <c r="T1188" s="19">
        <f t="shared" si="134"/>
        <v>4.2998931229223158E-2</v>
      </c>
      <c r="U1188" s="24">
        <v>4.1835803978385266E-2</v>
      </c>
      <c r="V1188" s="24">
        <f t="shared" si="135"/>
        <v>4.2998137280273907E-2</v>
      </c>
      <c r="W1188" s="23">
        <f t="shared" si="136"/>
        <v>3.5144424223170212E-3</v>
      </c>
      <c r="X1188" s="24">
        <v>4.1577486415293796E-2</v>
      </c>
      <c r="Y1188" s="24">
        <f t="shared" si="137"/>
        <v>4.2998382518511846E-2</v>
      </c>
      <c r="Z1188" s="23">
        <f t="shared" si="138"/>
        <v>3.5144622173388651E-3</v>
      </c>
      <c r="AA1188" s="36"/>
    </row>
    <row r="1189" spans="15:27" ht="17.100000000000001" customHeight="1" x14ac:dyDescent="0.3">
      <c r="O1189" s="12">
        <f t="shared" si="132"/>
        <v>98</v>
      </c>
      <c r="P1189" s="13">
        <v>1176</v>
      </c>
      <c r="Q1189" s="22">
        <v>3.329219154180274E-2</v>
      </c>
      <c r="R1189" s="19">
        <f t="shared" si="133"/>
        <v>3.402649249070544E-2</v>
      </c>
      <c r="S1189" s="22">
        <v>4.0561545806935273E-2</v>
      </c>
      <c r="T1189" s="19">
        <f t="shared" si="134"/>
        <v>4.2998941823859216E-2</v>
      </c>
      <c r="U1189" s="24">
        <v>4.1836791806574736E-2</v>
      </c>
      <c r="V1189" s="24">
        <f t="shared" si="135"/>
        <v>4.2998153494843372E-2</v>
      </c>
      <c r="W1189" s="23">
        <f t="shared" si="136"/>
        <v>3.5144437337510936E-3</v>
      </c>
      <c r="X1189" s="24">
        <v>4.1578693837598157E-2</v>
      </c>
      <c r="Y1189" s="24">
        <f t="shared" si="137"/>
        <v>4.2998397095469487E-2</v>
      </c>
      <c r="Z1189" s="23">
        <f t="shared" si="138"/>
        <v>3.5144633966246452E-3</v>
      </c>
      <c r="AA1189" s="36"/>
    </row>
    <row r="1190" spans="15:27" ht="17.100000000000001" customHeight="1" x14ac:dyDescent="0.3">
      <c r="O1190" s="12">
        <f t="shared" si="132"/>
        <v>98.083333333333329</v>
      </c>
      <c r="P1190" s="13">
        <v>1177</v>
      </c>
      <c r="Q1190" s="22">
        <v>3.3292815195482772E-2</v>
      </c>
      <c r="R1190" s="19">
        <f t="shared" si="133"/>
        <v>3.4026687614537199E-2</v>
      </c>
      <c r="S1190" s="22">
        <v>4.0563614242131951E-2</v>
      </c>
      <c r="T1190" s="19">
        <f t="shared" si="134"/>
        <v>4.2998952314180716E-2</v>
      </c>
      <c r="U1190" s="24">
        <v>4.1837777970906709E-2</v>
      </c>
      <c r="V1190" s="24">
        <f t="shared" si="135"/>
        <v>4.2998169568667199E-2</v>
      </c>
      <c r="W1190" s="23">
        <f t="shared" si="136"/>
        <v>3.5144450338135957E-3</v>
      </c>
      <c r="X1190" s="24">
        <v>4.1579899221971806E-2</v>
      </c>
      <c r="Y1190" s="24">
        <f t="shared" si="137"/>
        <v>4.2998411540936088E-2</v>
      </c>
      <c r="Z1190" s="23">
        <f t="shared" si="138"/>
        <v>3.5144645653855111E-3</v>
      </c>
      <c r="AA1190" s="36"/>
    </row>
    <row r="1191" spans="15:27" ht="17.100000000000001" customHeight="1" x14ac:dyDescent="0.3">
      <c r="O1191" s="12">
        <f t="shared" si="132"/>
        <v>98.166666666666671</v>
      </c>
      <c r="P1191" s="13">
        <v>1178</v>
      </c>
      <c r="Q1191" s="22">
        <v>3.3293437956225969E-2</v>
      </c>
      <c r="R1191" s="19">
        <f t="shared" si="133"/>
        <v>3.402688111838259E-2</v>
      </c>
      <c r="S1191" s="22">
        <v>4.0565679178539593E-2</v>
      </c>
      <c r="T1191" s="19">
        <f t="shared" si="134"/>
        <v>4.2998962699753562E-2</v>
      </c>
      <c r="U1191" s="24">
        <v>4.1838762475496782E-2</v>
      </c>
      <c r="V1191" s="24">
        <f t="shared" si="135"/>
        <v>4.2998185501509356E-2</v>
      </c>
      <c r="W1191" s="23">
        <f t="shared" si="136"/>
        <v>3.5144463225913469E-3</v>
      </c>
      <c r="X1191" s="24">
        <v>4.1581102573490014E-2</v>
      </c>
      <c r="Y1191" s="24">
        <f t="shared" si="137"/>
        <v>4.2998425855903744E-2</v>
      </c>
      <c r="Z1191" s="23">
        <f t="shared" si="138"/>
        <v>3.5144657236034771E-3</v>
      </c>
      <c r="AA1191" s="36"/>
    </row>
    <row r="1192" spans="15:27" ht="17.100000000000001" customHeight="1" x14ac:dyDescent="0.3">
      <c r="O1192" s="12">
        <f t="shared" si="132"/>
        <v>98.25</v>
      </c>
      <c r="P1192" s="13">
        <v>1179</v>
      </c>
      <c r="Q1192" s="22">
        <v>3.3294059824930722E-2</v>
      </c>
      <c r="R1192" s="19">
        <f t="shared" si="133"/>
        <v>3.4027073015255871E-2</v>
      </c>
      <c r="S1192" s="22">
        <v>4.0567740624962045E-2</v>
      </c>
      <c r="T1192" s="19">
        <f t="shared" si="134"/>
        <v>4.299897298251798E-2</v>
      </c>
      <c r="U1192" s="24">
        <v>4.1839745324446564E-2</v>
      </c>
      <c r="V1192" s="24">
        <f t="shared" si="135"/>
        <v>4.2998201296383431E-2</v>
      </c>
      <c r="W1192" s="23">
        <f t="shared" si="136"/>
        <v>3.5144476000654734E-3</v>
      </c>
      <c r="X1192" s="24">
        <v>4.1582303897211181E-2</v>
      </c>
      <c r="Y1192" s="24">
        <f t="shared" si="137"/>
        <v>4.2998440041639441E-2</v>
      </c>
      <c r="Z1192" s="23">
        <f t="shared" si="138"/>
        <v>3.5144668713582572E-3</v>
      </c>
      <c r="AA1192" s="36"/>
    </row>
    <row r="1193" spans="15:27" ht="17.100000000000001" customHeight="1" x14ac:dyDescent="0.3">
      <c r="O1193" s="12">
        <f t="shared" si="132"/>
        <v>98.333333333333329</v>
      </c>
      <c r="P1193" s="13">
        <v>1180</v>
      </c>
      <c r="Q1193" s="22">
        <v>3.3294680802503196E-2</v>
      </c>
      <c r="R1193" s="19">
        <f t="shared" si="133"/>
        <v>3.4027263319864831E-2</v>
      </c>
      <c r="S1193" s="22">
        <v>4.0569798590174955E-2</v>
      </c>
      <c r="T1193" s="19">
        <f t="shared" si="134"/>
        <v>4.2998983163637705E-2</v>
      </c>
      <c r="U1193" s="24">
        <v>4.1840726521846117E-2</v>
      </c>
      <c r="V1193" s="24">
        <f t="shared" si="135"/>
        <v>4.2998216953580748E-2</v>
      </c>
      <c r="W1193" s="23">
        <f t="shared" si="136"/>
        <v>3.5144488664773377E-3</v>
      </c>
      <c r="X1193" s="24">
        <v>4.1583503198178162E-2</v>
      </c>
      <c r="Y1193" s="24">
        <f t="shared" si="137"/>
        <v>4.2998454100140915E-2</v>
      </c>
      <c r="Z1193" s="23">
        <f t="shared" si="138"/>
        <v>3.5144680087515479E-3</v>
      </c>
      <c r="AA1193" s="36"/>
    </row>
    <row r="1194" spans="15:27" ht="17.100000000000001" customHeight="1" x14ac:dyDescent="0.3">
      <c r="O1194" s="12">
        <f t="shared" si="132"/>
        <v>98.416666666666671</v>
      </c>
      <c r="P1194" s="13">
        <v>1181</v>
      </c>
      <c r="Q1194" s="22">
        <v>3.3295300889859325E-2</v>
      </c>
      <c r="R1194" s="19">
        <f t="shared" si="133"/>
        <v>3.4027452043856599E-2</v>
      </c>
      <c r="S1194" s="22">
        <v>4.0571853082925324E-2</v>
      </c>
      <c r="T1194" s="19">
        <f t="shared" si="134"/>
        <v>4.2998993243610784E-2</v>
      </c>
      <c r="U1194" s="24">
        <v>4.1841706071771956E-2</v>
      </c>
      <c r="V1194" s="24">
        <f t="shared" si="135"/>
        <v>4.2998232473925979E-2</v>
      </c>
      <c r="W1194" s="23">
        <f t="shared" si="136"/>
        <v>3.5144501218506985E-3</v>
      </c>
      <c r="X1194" s="24">
        <v>4.1584700481417824E-2</v>
      </c>
      <c r="Y1194" s="24">
        <f t="shared" si="137"/>
        <v>4.2998468031642867E-2</v>
      </c>
      <c r="Z1194" s="23">
        <f t="shared" si="138"/>
        <v>3.5144691359432212E-3</v>
      </c>
      <c r="AA1194" s="36"/>
    </row>
    <row r="1195" spans="15:27" ht="17.100000000000001" customHeight="1" x14ac:dyDescent="0.3">
      <c r="O1195" s="12">
        <f t="shared" si="132"/>
        <v>98.5</v>
      </c>
      <c r="P1195" s="13">
        <v>1182</v>
      </c>
      <c r="Q1195" s="22">
        <v>3.3295920087921482E-2</v>
      </c>
      <c r="R1195" s="19">
        <f t="shared" si="133"/>
        <v>3.4027639200845838E-2</v>
      </c>
      <c r="S1195" s="22">
        <v>4.0573904111930625E-2</v>
      </c>
      <c r="T1195" s="19">
        <f t="shared" si="134"/>
        <v>4.2999003223565646E-2</v>
      </c>
      <c r="U1195" s="24">
        <v>4.184268397828772E-2</v>
      </c>
      <c r="V1195" s="24">
        <f t="shared" si="135"/>
        <v>4.2998247860196015E-2</v>
      </c>
      <c r="W1195" s="23">
        <f t="shared" si="136"/>
        <v>3.514451366251059E-3</v>
      </c>
      <c r="X1195" s="24">
        <v>4.1585895751940827E-2</v>
      </c>
      <c r="Y1195" s="24">
        <f t="shared" si="137"/>
        <v>4.2998481837498215E-2</v>
      </c>
      <c r="Z1195" s="23">
        <f t="shared" si="138"/>
        <v>3.514470252952151E-3</v>
      </c>
      <c r="AA1195" s="36"/>
    </row>
    <row r="1196" spans="15:27" ht="17.100000000000001" customHeight="1" x14ac:dyDescent="0.3">
      <c r="O1196" s="12">
        <f t="shared" si="132"/>
        <v>98.583333333333329</v>
      </c>
      <c r="P1196" s="13">
        <v>1183</v>
      </c>
      <c r="Q1196" s="22">
        <v>3.3296538397620479E-2</v>
      </c>
      <c r="R1196" s="19">
        <f t="shared" si="133"/>
        <v>3.4027824805038076E-2</v>
      </c>
      <c r="S1196" s="22">
        <v>4.0575951685880352E-2</v>
      </c>
      <c r="T1196" s="19">
        <f t="shared" si="134"/>
        <v>4.2999013104534578E-2</v>
      </c>
      <c r="U1196" s="24">
        <v>4.184366024544528E-2</v>
      </c>
      <c r="V1196" s="24">
        <f t="shared" si="135"/>
        <v>4.2998263111655666E-2</v>
      </c>
      <c r="W1196" s="23">
        <f t="shared" si="136"/>
        <v>3.5144525999017961E-3</v>
      </c>
      <c r="X1196" s="24">
        <v>4.1587089014741618E-2</v>
      </c>
      <c r="Y1196" s="24">
        <f t="shared" si="137"/>
        <v>4.2998495518576929E-2</v>
      </c>
      <c r="Z1196" s="23">
        <f t="shared" si="138"/>
        <v>3.5144713598869171E-3</v>
      </c>
      <c r="AA1196" s="36"/>
    </row>
    <row r="1197" spans="15:27" ht="17.100000000000001" customHeight="1" x14ac:dyDescent="0.3">
      <c r="O1197" s="12">
        <f t="shared" si="132"/>
        <v>98.666666666666671</v>
      </c>
      <c r="P1197" s="13">
        <v>1184</v>
      </c>
      <c r="Q1197" s="22">
        <v>3.3297155819896007E-2</v>
      </c>
      <c r="R1197" s="19">
        <f t="shared" si="133"/>
        <v>3.4028008867029058E-2</v>
      </c>
      <c r="S1197" s="22">
        <v>4.057799581343513E-2</v>
      </c>
      <c r="T1197" s="19">
        <f t="shared" si="134"/>
        <v>4.2999022888057459E-2</v>
      </c>
      <c r="U1197" s="24">
        <v>4.1844634877282516E-2</v>
      </c>
      <c r="V1197" s="24">
        <f t="shared" si="135"/>
        <v>4.2998278230830023E-2</v>
      </c>
      <c r="W1197" s="23">
        <f t="shared" si="136"/>
        <v>3.5144538227434019E-3</v>
      </c>
      <c r="X1197" s="24">
        <v>4.1588280274798661E-2</v>
      </c>
      <c r="Y1197" s="24">
        <f t="shared" si="137"/>
        <v>4.299850907746583E-2</v>
      </c>
      <c r="Z1197" s="23">
        <f t="shared" si="138"/>
        <v>3.5144724568172414E-3</v>
      </c>
      <c r="AA1197" s="36"/>
    </row>
    <row r="1198" spans="15:27" ht="17.100000000000001" customHeight="1" x14ac:dyDescent="0.3">
      <c r="O1198" s="12">
        <f t="shared" si="132"/>
        <v>98.75</v>
      </c>
      <c r="P1198" s="13">
        <v>1185</v>
      </c>
      <c r="Q1198" s="22">
        <v>3.3297772355693533E-2</v>
      </c>
      <c r="R1198" s="19">
        <f t="shared" si="133"/>
        <v>3.4028191402108554E-2</v>
      </c>
      <c r="S1198" s="22">
        <v>4.0580036503228056E-2</v>
      </c>
      <c r="T1198" s="19">
        <f t="shared" si="134"/>
        <v>4.2999032574143392E-2</v>
      </c>
      <c r="U1198" s="24">
        <v>4.1845607877825541E-2</v>
      </c>
      <c r="V1198" s="24">
        <f t="shared" si="135"/>
        <v>4.2998293218627692E-2</v>
      </c>
      <c r="W1198" s="23">
        <f t="shared" si="136"/>
        <v>3.514455034978603E-3</v>
      </c>
      <c r="X1198" s="24">
        <v>4.1589469537075763E-2</v>
      </c>
      <c r="Y1198" s="24">
        <f t="shared" si="137"/>
        <v>4.2998522513170601E-2</v>
      </c>
      <c r="Z1198" s="23">
        <f t="shared" si="138"/>
        <v>3.5144735439505137E-3</v>
      </c>
      <c r="AA1198" s="36"/>
    </row>
    <row r="1199" spans="15:27" ht="17.100000000000001" customHeight="1" x14ac:dyDescent="0.3">
      <c r="O1199" s="12">
        <f t="shared" si="132"/>
        <v>98.833333333333329</v>
      </c>
      <c r="P1199" s="13">
        <v>1186</v>
      </c>
      <c r="Q1199" s="22">
        <v>3.3298388005968071E-2</v>
      </c>
      <c r="R1199" s="19">
        <f t="shared" si="133"/>
        <v>3.4028372420517705E-2</v>
      </c>
      <c r="S1199" s="22">
        <v>4.0582073763862914E-2</v>
      </c>
      <c r="T1199" s="19">
        <f t="shared" si="134"/>
        <v>4.2999042164461709E-2</v>
      </c>
      <c r="U1199" s="24">
        <v>4.1846579251088034E-2</v>
      </c>
      <c r="V1199" s="24">
        <f t="shared" si="135"/>
        <v>4.2998308075491654E-2</v>
      </c>
      <c r="W1199" s="23">
        <f t="shared" si="136"/>
        <v>3.5144562366800081E-3</v>
      </c>
      <c r="X1199" s="24">
        <v>4.159065680651941E-2</v>
      </c>
      <c r="Y1199" s="24">
        <f t="shared" si="137"/>
        <v>4.299853582851032E-2</v>
      </c>
      <c r="Z1199" s="23">
        <f t="shared" si="138"/>
        <v>3.514474621207242E-3</v>
      </c>
      <c r="AA1199" s="36"/>
    </row>
    <row r="1200" spans="15:27" ht="17.100000000000001" customHeight="1" x14ac:dyDescent="0.3">
      <c r="O1200" s="12">
        <f t="shared" si="132"/>
        <v>98.916666666666671</v>
      </c>
      <c r="P1200" s="13">
        <v>1187</v>
      </c>
      <c r="Q1200" s="22">
        <v>3.3299002771680408E-2</v>
      </c>
      <c r="R1200" s="19">
        <f t="shared" si="133"/>
        <v>3.402855193752008E-2</v>
      </c>
      <c r="S1200" s="22">
        <v>4.0584107603915731E-2</v>
      </c>
      <c r="T1200" s="19">
        <f t="shared" si="134"/>
        <v>4.2999051659531773E-2</v>
      </c>
      <c r="U1200" s="24">
        <v>4.1847549001070128E-2</v>
      </c>
      <c r="V1200" s="24">
        <f t="shared" si="135"/>
        <v>4.2998322803091682E-2</v>
      </c>
      <c r="W1200" s="23">
        <f t="shared" si="136"/>
        <v>3.5144574278833662E-3</v>
      </c>
      <c r="X1200" s="24">
        <v>4.1591842088061437E-2</v>
      </c>
      <c r="Y1200" s="24">
        <f t="shared" si="137"/>
        <v>4.2998549023359089E-2</v>
      </c>
      <c r="Z1200" s="23">
        <f t="shared" si="138"/>
        <v>3.5144756888130235E-3</v>
      </c>
      <c r="AA1200" s="36"/>
    </row>
    <row r="1201" spans="15:27" ht="17.100000000000001" customHeight="1" x14ac:dyDescent="0.3">
      <c r="O1201" s="12">
        <f t="shared" si="132"/>
        <v>99</v>
      </c>
      <c r="P1201" s="13">
        <v>1188</v>
      </c>
      <c r="Q1201" s="22">
        <v>3.3299616653800435E-2</v>
      </c>
      <c r="R1201" s="19">
        <f t="shared" si="133"/>
        <v>3.4028729963429649E-2</v>
      </c>
      <c r="S1201" s="22">
        <v>4.058613803193456E-2</v>
      </c>
      <c r="T1201" s="19">
        <f t="shared" si="134"/>
        <v>4.2999061060694066E-2</v>
      </c>
      <c r="U1201" s="24">
        <v>4.1848517131760188E-2</v>
      </c>
      <c r="V1201" s="24">
        <f t="shared" si="135"/>
        <v>4.2998337402693654E-2</v>
      </c>
      <c r="W1201" s="23">
        <f t="shared" si="136"/>
        <v>3.5144586087225704E-3</v>
      </c>
      <c r="X1201" s="24">
        <v>4.1593025386617244E-2</v>
      </c>
      <c r="Y1201" s="24">
        <f t="shared" si="137"/>
        <v>4.2998562099437088E-2</v>
      </c>
      <c r="Z1201" s="23">
        <f t="shared" si="138"/>
        <v>3.5144767467580884E-3</v>
      </c>
      <c r="AA1201" s="36"/>
    </row>
    <row r="1202" spans="15:27" ht="17.100000000000001" customHeight="1" x14ac:dyDescent="0.3">
      <c r="O1202" s="12">
        <f t="shared" si="132"/>
        <v>99.083333333333329</v>
      </c>
      <c r="P1202" s="13">
        <v>1189</v>
      </c>
      <c r="Q1202" s="22">
        <v>3.3300229653303814E-2</v>
      </c>
      <c r="R1202" s="19">
        <f t="shared" si="133"/>
        <v>3.402890651094026E-2</v>
      </c>
      <c r="S1202" s="22">
        <v>4.0588165056439696E-2</v>
      </c>
      <c r="T1202" s="19">
        <f t="shared" si="134"/>
        <v>4.299907036844175E-2</v>
      </c>
      <c r="U1202" s="24">
        <v>4.1849483647134145E-2</v>
      </c>
      <c r="V1202" s="24">
        <f t="shared" si="135"/>
        <v>4.299835187489931E-2</v>
      </c>
      <c r="W1202" s="23">
        <f t="shared" si="136"/>
        <v>3.514459779299095E-3</v>
      </c>
      <c r="X1202" s="24">
        <v>4.1594206707086911E-2</v>
      </c>
      <c r="Y1202" s="24">
        <f t="shared" si="137"/>
        <v>4.2998575057820343E-2</v>
      </c>
      <c r="Z1202" s="23">
        <f t="shared" si="138"/>
        <v>3.5144777951803263E-3</v>
      </c>
      <c r="AA1202" s="36"/>
    </row>
    <row r="1203" spans="15:27" ht="17.100000000000001" customHeight="1" x14ac:dyDescent="0.3">
      <c r="O1203" s="12">
        <f t="shared" si="132"/>
        <v>99.166666666666671</v>
      </c>
      <c r="P1203" s="13">
        <v>1190</v>
      </c>
      <c r="Q1203" s="22">
        <v>3.3300841771173539E-2</v>
      </c>
      <c r="R1203" s="19">
        <f t="shared" si="133"/>
        <v>3.4029081593737631E-2</v>
      </c>
      <c r="S1203" s="22">
        <v>4.0590188685923234E-2</v>
      </c>
      <c r="T1203" s="19">
        <f t="shared" si="134"/>
        <v>4.2999079583962541E-2</v>
      </c>
      <c r="U1203" s="24">
        <v>4.1850448551155051E-2</v>
      </c>
      <c r="V1203" s="24">
        <f t="shared" si="135"/>
        <v>4.2998366221701279E-2</v>
      </c>
      <c r="W1203" s="23">
        <f t="shared" si="136"/>
        <v>3.5144609396611237E-3</v>
      </c>
      <c r="X1203" s="24">
        <v>4.1595386054355199E-2</v>
      </c>
      <c r="Y1203" s="24">
        <f t="shared" si="137"/>
        <v>4.2998587899068186E-2</v>
      </c>
      <c r="Z1203" s="23">
        <f t="shared" si="138"/>
        <v>3.5144788341658906E-3</v>
      </c>
      <c r="AA1203" s="36"/>
    </row>
    <row r="1204" spans="15:27" ht="17.100000000000001" customHeight="1" x14ac:dyDescent="0.3">
      <c r="O1204" s="12">
        <f t="shared" si="132"/>
        <v>99.25</v>
      </c>
      <c r="P1204" s="13">
        <v>1191</v>
      </c>
      <c r="Q1204" s="22">
        <v>3.3301453008400594E-2</v>
      </c>
      <c r="R1204" s="19">
        <f t="shared" si="133"/>
        <v>3.4029255222378429E-2</v>
      </c>
      <c r="S1204" s="22">
        <v>4.0592208928849516E-2</v>
      </c>
      <c r="T1204" s="19">
        <f t="shared" si="134"/>
        <v>4.2999088707884381E-2</v>
      </c>
      <c r="U1204" s="24">
        <v>4.1851411847774189E-2</v>
      </c>
      <c r="V1204" s="24">
        <f t="shared" si="135"/>
        <v>4.2998380442717643E-2</v>
      </c>
      <c r="W1204" s="23">
        <f t="shared" si="136"/>
        <v>3.5144620899683066E-3</v>
      </c>
      <c r="X1204" s="24">
        <v>4.1596563433290878E-2</v>
      </c>
      <c r="Y1204" s="24">
        <f t="shared" si="137"/>
        <v>4.2998600624420291E-2</v>
      </c>
      <c r="Z1204" s="23">
        <f t="shared" si="138"/>
        <v>3.5144798637596342E-3</v>
      </c>
      <c r="AA1204" s="36"/>
    </row>
    <row r="1205" spans="15:27" ht="17.100000000000001" customHeight="1" x14ac:dyDescent="0.3">
      <c r="O1205" s="12">
        <f t="shared" si="132"/>
        <v>99.333333333333329</v>
      </c>
      <c r="P1205" s="13">
        <v>1192</v>
      </c>
      <c r="Q1205" s="22">
        <v>3.3302063365981738E-2</v>
      </c>
      <c r="R1205" s="19">
        <f t="shared" si="133"/>
        <v>3.4029427409844049E-2</v>
      </c>
      <c r="S1205" s="22">
        <v>4.0594225793655569E-2</v>
      </c>
      <c r="T1205" s="19">
        <f t="shared" si="134"/>
        <v>4.2999097742068226E-2</v>
      </c>
      <c r="U1205" s="24">
        <v>4.1852373540929522E-2</v>
      </c>
      <c r="V1205" s="24">
        <f t="shared" si="135"/>
        <v>4.2998394541009732E-2</v>
      </c>
      <c r="W1205" s="23">
        <f t="shared" si="136"/>
        <v>3.5144632301904455E-3</v>
      </c>
      <c r="X1205" s="24">
        <v>4.1597738848747401E-2</v>
      </c>
      <c r="Y1205" s="24">
        <f t="shared" si="137"/>
        <v>4.2998613236531869E-2</v>
      </c>
      <c r="Z1205" s="23">
        <f t="shared" si="138"/>
        <v>3.5144808840610331E-3</v>
      </c>
      <c r="AA1205" s="36"/>
    </row>
    <row r="1206" spans="15:27" ht="17.100000000000001" customHeight="1" x14ac:dyDescent="0.3">
      <c r="O1206" s="12">
        <f t="shared" si="132"/>
        <v>99.416666666666671</v>
      </c>
      <c r="P1206" s="13">
        <v>1193</v>
      </c>
      <c r="Q1206" s="22">
        <v>3.3302672844921055E-2</v>
      </c>
      <c r="R1206" s="19">
        <f t="shared" si="133"/>
        <v>3.4029598167482078E-2</v>
      </c>
      <c r="S1206" s="22">
        <v>4.0596239288751113E-2</v>
      </c>
      <c r="T1206" s="19">
        <f t="shared" si="134"/>
        <v>4.2999106686307798E-2</v>
      </c>
      <c r="U1206" s="24">
        <v>4.1853333634548351E-2</v>
      </c>
      <c r="V1206" s="24">
        <f t="shared" si="135"/>
        <v>4.2998408515754427E-2</v>
      </c>
      <c r="W1206" s="23">
        <f t="shared" si="136"/>
        <v>3.5144643605724557E-3</v>
      </c>
      <c r="X1206" s="24">
        <v>4.1598912305564006E-2</v>
      </c>
      <c r="Y1206" s="24">
        <f t="shared" si="137"/>
        <v>4.2998625733091878E-2</v>
      </c>
      <c r="Z1206" s="23">
        <f t="shared" si="138"/>
        <v>3.5144818952828061E-3</v>
      </c>
      <c r="AA1206" s="36"/>
    </row>
    <row r="1207" spans="15:27" ht="17.100000000000001" customHeight="1" x14ac:dyDescent="0.3">
      <c r="O1207" s="12">
        <f t="shared" si="132"/>
        <v>99.5</v>
      </c>
      <c r="P1207" s="13">
        <v>1194</v>
      </c>
      <c r="Q1207" s="22">
        <v>3.330328144622885E-2</v>
      </c>
      <c r="R1207" s="19">
        <f t="shared" si="133"/>
        <v>3.4029767508008124E-2</v>
      </c>
      <c r="S1207" s="22">
        <v>4.0598249422518107E-2</v>
      </c>
      <c r="T1207" s="19">
        <f t="shared" si="134"/>
        <v>4.2999115541284327E-2</v>
      </c>
      <c r="U1207" s="24">
        <v>4.1854292132543991E-2</v>
      </c>
      <c r="V1207" s="24">
        <f t="shared" si="135"/>
        <v>4.299842236922724E-2</v>
      </c>
      <c r="W1207" s="23">
        <f t="shared" si="136"/>
        <v>3.514465481048612E-3</v>
      </c>
      <c r="X1207" s="24">
        <v>4.1600083808562172E-2</v>
      </c>
      <c r="Y1207" s="24">
        <f t="shared" si="137"/>
        <v>4.2998638117846877E-2</v>
      </c>
      <c r="Z1207" s="23">
        <f t="shared" si="138"/>
        <v>3.51448289723999E-3</v>
      </c>
      <c r="AA1207" s="36"/>
    </row>
    <row r="1208" spans="15:27" ht="17.100000000000001" customHeight="1" x14ac:dyDescent="0.3">
      <c r="O1208" s="12">
        <f t="shared" si="132"/>
        <v>99.583333333333329</v>
      </c>
      <c r="P1208" s="13">
        <v>1195</v>
      </c>
      <c r="Q1208" s="22">
        <v>3.3303889170922751E-2</v>
      </c>
      <c r="R1208" s="19">
        <f t="shared" si="133"/>
        <v>3.4029935442736026E-2</v>
      </c>
      <c r="S1208" s="22">
        <v>4.0600256203310758E-2</v>
      </c>
      <c r="T1208" s="19">
        <f t="shared" si="134"/>
        <v>4.2999124309407666E-2</v>
      </c>
      <c r="U1208" s="24">
        <v>4.1855249038818654E-2</v>
      </c>
      <c r="V1208" s="24">
        <f t="shared" si="135"/>
        <v>4.2998436101888249E-2</v>
      </c>
      <c r="W1208" s="23">
        <f t="shared" si="136"/>
        <v>3.5144665918014351E-3</v>
      </c>
      <c r="X1208" s="24">
        <v>4.160125336255005E-2</v>
      </c>
      <c r="Y1208" s="24">
        <f t="shared" si="137"/>
        <v>4.2998650391272708E-2</v>
      </c>
      <c r="Z1208" s="23">
        <f t="shared" si="138"/>
        <v>3.5144838902327891E-3</v>
      </c>
      <c r="AA1208" s="36"/>
    </row>
    <row r="1209" spans="15:27" ht="17.100000000000001" customHeight="1" x14ac:dyDescent="0.3">
      <c r="O1209" s="12">
        <f t="shared" si="132"/>
        <v>99.666666666666671</v>
      </c>
      <c r="P1209" s="13">
        <v>1196</v>
      </c>
      <c r="Q1209" s="22">
        <v>3.3304496020026164E-2</v>
      </c>
      <c r="R1209" s="19">
        <f t="shared" si="133"/>
        <v>3.4030101982575722E-2</v>
      </c>
      <c r="S1209" s="22">
        <v>4.0602259639457294E-2</v>
      </c>
      <c r="T1209" s="19">
        <f t="shared" si="134"/>
        <v>4.2999132990134914E-2</v>
      </c>
      <c r="U1209" s="24">
        <v>4.1856204357261895E-2</v>
      </c>
      <c r="V1209" s="24">
        <f t="shared" si="135"/>
        <v>4.2998449715116571E-2</v>
      </c>
      <c r="W1209" s="23">
        <f t="shared" si="136"/>
        <v>3.5144676928675622E-3</v>
      </c>
      <c r="X1209" s="24">
        <v>4.1602420972320253E-2</v>
      </c>
      <c r="Y1209" s="24">
        <f t="shared" si="137"/>
        <v>4.2998662553846989E-2</v>
      </c>
      <c r="Z1209" s="23">
        <f t="shared" si="138"/>
        <v>3.514484874299395E-3</v>
      </c>
      <c r="AA1209" s="36"/>
    </row>
    <row r="1210" spans="15:27" ht="17.100000000000001" customHeight="1" x14ac:dyDescent="0.3">
      <c r="O1210" s="12">
        <f t="shared" si="132"/>
        <v>99.75</v>
      </c>
      <c r="P1210" s="13">
        <v>1197</v>
      </c>
      <c r="Q1210" s="22">
        <v>3.3305101994568709E-2</v>
      </c>
      <c r="R1210" s="19">
        <f t="shared" si="133"/>
        <v>3.4030267140580328E-2</v>
      </c>
      <c r="S1210" s="22">
        <v>4.0604259739257964E-2</v>
      </c>
      <c r="T1210" s="19">
        <f t="shared" si="134"/>
        <v>4.299914158481144E-2</v>
      </c>
      <c r="U1210" s="24">
        <v>4.1857158091751279E-2</v>
      </c>
      <c r="V1210" s="24">
        <f t="shared" si="135"/>
        <v>4.2998463209916737E-2</v>
      </c>
      <c r="W1210" s="23">
        <f t="shared" si="136"/>
        <v>3.5144687843577938E-3</v>
      </c>
      <c r="X1210" s="24">
        <v>4.1603586642649848E-2</v>
      </c>
      <c r="Y1210" s="24">
        <f t="shared" si="137"/>
        <v>4.2998674606645748E-2</v>
      </c>
      <c r="Z1210" s="23">
        <f t="shared" si="138"/>
        <v>3.5144858494779996E-3</v>
      </c>
      <c r="AA1210" s="36"/>
    </row>
    <row r="1211" spans="15:27" ht="17.100000000000001" customHeight="1" x14ac:dyDescent="0.3">
      <c r="O1211" s="12">
        <f t="shared" si="132"/>
        <v>99.833333333333329</v>
      </c>
      <c r="P1211" s="13">
        <v>1198</v>
      </c>
      <c r="Q1211" s="22">
        <v>3.3305707095586889E-2</v>
      </c>
      <c r="R1211" s="19">
        <f t="shared" si="133"/>
        <v>3.4030430927071809E-2</v>
      </c>
      <c r="S1211" s="22">
        <v>4.0606256510986372E-2</v>
      </c>
      <c r="T1211" s="19">
        <f t="shared" si="134"/>
        <v>4.299915009405253E-2</v>
      </c>
      <c r="U1211" s="24">
        <v>4.1858110246152602E-2</v>
      </c>
      <c r="V1211" s="24">
        <f t="shared" si="135"/>
        <v>4.2998476586496581E-2</v>
      </c>
      <c r="W1211" s="23">
        <f t="shared" si="136"/>
        <v>3.5144698663527318E-3</v>
      </c>
      <c r="X1211" s="24">
        <v>4.1604750378300803E-2</v>
      </c>
      <c r="Y1211" s="24">
        <f t="shared" si="137"/>
        <v>4.2998686550208998E-2</v>
      </c>
      <c r="Z1211" s="23">
        <f t="shared" si="138"/>
        <v>3.514486815854756E-3</v>
      </c>
      <c r="AA1211" s="36"/>
    </row>
    <row r="1212" spans="15:27" ht="17.100000000000001" customHeight="1" x14ac:dyDescent="0.3">
      <c r="O1212" s="12">
        <f t="shared" si="132"/>
        <v>99.916666666666671</v>
      </c>
      <c r="P1212" s="13">
        <v>1199</v>
      </c>
      <c r="Q1212" s="22">
        <v>3.3306311324122539E-2</v>
      </c>
      <c r="R1212" s="19">
        <f t="shared" si="133"/>
        <v>3.4030593354430261E-2</v>
      </c>
      <c r="S1212" s="22">
        <v>4.0608249962888809E-2</v>
      </c>
      <c r="T1212" s="19">
        <f t="shared" si="134"/>
        <v>4.2999158519562819E-2</v>
      </c>
      <c r="U1212" s="24">
        <v>4.1859060824318561E-2</v>
      </c>
      <c r="V1212" s="24">
        <f t="shared" si="135"/>
        <v>4.2998489847925425E-2</v>
      </c>
      <c r="W1212" s="23">
        <f t="shared" si="136"/>
        <v>3.5144709388688078E-3</v>
      </c>
      <c r="X1212" s="24">
        <v>4.1605912184019544E-2</v>
      </c>
      <c r="Y1212" s="24">
        <f t="shared" si="137"/>
        <v>4.2998698387774592E-2</v>
      </c>
      <c r="Z1212" s="23">
        <f t="shared" si="138"/>
        <v>3.514487773473407E-3</v>
      </c>
      <c r="AA1212" s="36"/>
    </row>
    <row r="1213" spans="15:27" ht="17.100000000000001" customHeight="1" x14ac:dyDescent="0.3">
      <c r="O1213" s="12">
        <f t="shared" si="132"/>
        <v>100</v>
      </c>
      <c r="P1213" s="13">
        <v>1200</v>
      </c>
      <c r="Q1213" s="22">
        <v>3.3306914681224598E-2</v>
      </c>
      <c r="R1213" s="19">
        <f t="shared" si="133"/>
        <v>3.4030754432725852E-2</v>
      </c>
      <c r="S1213" s="22">
        <v>4.0610240103185813E-2</v>
      </c>
      <c r="T1213" s="19">
        <f t="shared" si="134"/>
        <v>4.2999166861165339E-2</v>
      </c>
      <c r="U1213" s="24">
        <v>4.186000983009186E-2</v>
      </c>
      <c r="V1213" s="24">
        <f t="shared" si="135"/>
        <v>4.2998502993125021E-2</v>
      </c>
      <c r="W1213" s="23">
        <f t="shared" si="136"/>
        <v>3.514472002152047E-3</v>
      </c>
      <c r="X1213" s="24">
        <v>4.1607072064539619E-2</v>
      </c>
      <c r="Y1213" s="24">
        <f t="shared" si="137"/>
        <v>4.2998710117488459E-2</v>
      </c>
      <c r="Z1213" s="23">
        <f t="shared" si="138"/>
        <v>3.5144887225933008E-3</v>
      </c>
      <c r="AA1213" s="36"/>
    </row>
    <row r="1214" spans="15:27" ht="17.100000000000001" customHeight="1" x14ac:dyDescent="0.3">
      <c r="O1214" s="12">
        <f t="shared" si="132"/>
        <v>100.08333333333333</v>
      </c>
      <c r="P1214" s="13">
        <v>1201</v>
      </c>
      <c r="Q1214" s="27">
        <v>3.3307517167946443E-2</v>
      </c>
      <c r="R1214" s="20"/>
      <c r="S1214" s="27">
        <v>4.0612226940070384E-2</v>
      </c>
      <c r="T1214" s="20"/>
      <c r="U1214" s="28">
        <v>4.1860957267301435E-2</v>
      </c>
      <c r="V1214" s="28"/>
      <c r="W1214" s="29"/>
      <c r="X1214" s="28">
        <v>4.1608230024577031E-2</v>
      </c>
      <c r="Y1214" s="28"/>
      <c r="Z1214" s="29"/>
      <c r="AA1214" s="36"/>
    </row>
  </sheetData>
  <mergeCells count="68">
    <mergeCell ref="J43:J44"/>
    <mergeCell ref="I31:I38"/>
    <mergeCell ref="D29:J29"/>
    <mergeCell ref="D41:J41"/>
    <mergeCell ref="D43:D44"/>
    <mergeCell ref="E43:E44"/>
    <mergeCell ref="F43:F44"/>
    <mergeCell ref="G43:G44"/>
    <mergeCell ref="H43:H44"/>
    <mergeCell ref="J31:J32"/>
    <mergeCell ref="I43:I50"/>
    <mergeCell ref="D31:D32"/>
    <mergeCell ref="E31:E32"/>
    <mergeCell ref="F31:F32"/>
    <mergeCell ref="G31:G32"/>
    <mergeCell ref="H31:H32"/>
    <mergeCell ref="D51:J52"/>
    <mergeCell ref="D53:J55"/>
    <mergeCell ref="J1:M1"/>
    <mergeCell ref="O1:Z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V11:W11"/>
    <mergeCell ref="U6:W6"/>
    <mergeCell ref="U7:W7"/>
    <mergeCell ref="U8:W8"/>
    <mergeCell ref="U9:W9"/>
    <mergeCell ref="U10:W10"/>
    <mergeCell ref="S7:T7"/>
    <mergeCell ref="O8:P8"/>
    <mergeCell ref="O9:P9"/>
    <mergeCell ref="O11:P11"/>
    <mergeCell ref="O10:P10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X8:Z8"/>
    <mergeCell ref="X9:Z9"/>
    <mergeCell ref="X10:Z10"/>
    <mergeCell ref="Y11:Z11"/>
    <mergeCell ref="X3:Z3"/>
    <mergeCell ref="X4:Z4"/>
    <mergeCell ref="X5:Z5"/>
    <mergeCell ref="X6:Z6"/>
    <mergeCell ref="X7:Z7"/>
  </mergeCells>
  <phoneticPr fontId="2" type="noConversion"/>
  <pageMargins left="0.25" right="0.25" top="0.75" bottom="0.75" header="0.3" footer="0.3"/>
  <pageSetup paperSize="9" scale="4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FSS_NT551XED</cp:lastModifiedBy>
  <cp:lastPrinted>2026-02-04T04:36:09Z</cp:lastPrinted>
  <dcterms:created xsi:type="dcterms:W3CDTF">2021-08-24T04:22:45Z</dcterms:created>
  <dcterms:modified xsi:type="dcterms:W3CDTF">2026-02-04T11:01:34Z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NjgsICJub2RlMSIgOiB7ImRzZCI6IjAwMDAwMDAwMDAwMDAwMDAiLCJsb2dUaW1lIjoiMjAyNi0wMS0wOFQwNzozODozNVoiLCJwSUQiOjIwNDgsInRyYWNlSWQiOiI5QzdDMDgzQjQ0OEI0NjREQTUxNEZEMzdDM0UwNjM1RSIsInVzZXJDb2RlIjoiMjI0MDE5MyJ9LCJub2RlMiIgOiB7ImRzZCI6IjAxMDAwMDAwMDAwMDE3MzkiLCJsb2dUaW1lIjoiMjAyNi0wMS0xM1QwOTowMDozMloiLCJwSUQiOjEsInRyYWNlSWQiOiI1MDI5QjU2RTU1ODc0QzFCQjY4RjFCNDUzRkY1RjFCNyIsInVzZXJDb2RlIjoiMjI0MDE5MyJ9LCJub2RlMyIgOiB7ImRzZCI6IjAxMDAwMDAwMDAwMDE3MzkiLCJsb2dUaW1lIjoiMjAyNi0wMi0wMlQwNjoyMjoyNFoiLCJwSUQiOjEsInRyYWNlSWQiOiJBRjUyOUI0ODM3RTk0MkU3ODAxMUM1MDg5OUQwRDZDRSIsInVzZXJDb2RlIjoiMjI0MDcyMSJ9LCJub2RlNCIgOiB7ImRzZCI6IjAxMDAwMDAwMDAwMDE3MzkiLCJsb2dUaW1lIjoiMjAyNi0wMi0wNFQwMToyNjoyNloiLCJwSUQiOjEsInRyYWNlSWQiOiIwNURERjhCNjlDNDI0NUNBODQwQTg1MzIwNzY3MTc4RiIsInVzZXJDb2RlIjoiMjI0MDcyMSJ9LCJub2RlNSIgOiB7ICJ1c2VyQ29kZSIgOiAiMjI0MDcyMSIsICJ0cmFjZUlkIiA6ICJBODVCQjdENDA4ODUzNkVEMTYzRTI5QTg2OTNEMUI4NCIsICJkc2QiIDogIjAwMDAwMDAwMDAwMDAwMDAiLCAicElEIiA6ICIyMDQ4IiwgImxvZ1RpbWUiIDogIjIwMjYtMDYtMDhUMDA6MDk6MTdaIiB9fQ==</vt:lpwstr>
  </property>
</Properties>
</file>