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업무용\할인율\할인율 산출\26.03\공시파일\"/>
    </mc:Choice>
  </mc:AlternateContent>
  <xr:revisionPtr revIDLastSave="0" documentId="13_ncr:1_{744E60A2-4349-49CC-A131-69E9E438EBF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3" l="1"/>
  <c r="G34" i="3"/>
  <c r="J34" i="3" s="1"/>
  <c r="G35" i="3"/>
  <c r="J35" i="3" s="1"/>
  <c r="G36" i="3"/>
  <c r="J36" i="3" s="1"/>
  <c r="G33" i="3"/>
  <c r="J33" i="3" s="1"/>
  <c r="K4" i="3"/>
  <c r="J38" i="3" l="1"/>
  <c r="X7" i="3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U9" i="3"/>
  <c r="F8" i="3" a="1"/>
  <c r="Q13" i="3" a="1"/>
  <c r="X9" i="3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T864" i="3" s="1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X13" i="3" a="1"/>
  <c r="U13" i="3" a="1"/>
  <c r="T1133" i="3" l="1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417" i="3"/>
  <c r="Z418" i="3" s="1"/>
  <c r="Y113" i="3"/>
  <c r="Z114" i="3" s="1"/>
  <c r="Y1213" i="3"/>
  <c r="Y1021" i="3" l="1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W16" i="3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<sst xmlns="http://schemas.openxmlformats.org/spreadsheetml/2006/main" count="76" uniqueCount="64">
  <si>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</si>
  <si>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</si>
  <si>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</si>
  <si>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</si>
  <si>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</si>
  <si>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</si>
  <si>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</si>
  <si>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</si>
  <si>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</si>
  <si>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</si>
  <si>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</si>
  <si>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</si>
  <si>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</si>
  <si>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</si>
  <si>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</si>
  <si>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</si>
  <si>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</si>
  <si>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</si>
  <si>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</si>
  <si>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</si>
  <si>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</si>
  <si>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</si>
  <si>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</si>
  <si>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</si>
  <si>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</si>
  <si>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</si>
  <si>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</si>
  <si>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</si>
  <si>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</si>
  <si>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</si>
  <si>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</si>
  <si>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</si>
  <si>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</si>
  <si>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</si>
  <si>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</si>
  <si>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</si>
  <si>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</si>
  <si>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</si>
  <si>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</si>
  <si>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</si>
  <si>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유동성프리미엄 산출자료</t>
    <phoneticPr fontId="2" type="noConversion"/>
  </si>
  <si>
    <t>구분</t>
    <phoneticPr fontId="2" type="noConversion"/>
  </si>
  <si>
    <t>특수채</t>
    <phoneticPr fontId="2" type="noConversion"/>
  </si>
  <si>
    <t>금융채</t>
    <phoneticPr fontId="2" type="noConversion"/>
  </si>
  <si>
    <t>외화채</t>
    <phoneticPr fontId="2" type="noConversion"/>
  </si>
  <si>
    <t>개인대출</t>
    <phoneticPr fontId="2" type="noConversion"/>
  </si>
  <si>
    <t>계</t>
    <phoneticPr fontId="2" type="noConversion"/>
  </si>
  <si>
    <t>회사채 등</t>
    <phoneticPr fontId="2" type="noConversion"/>
  </si>
  <si>
    <t>위험스프레드
(A, bp)</t>
    <phoneticPr fontId="2" type="noConversion"/>
  </si>
  <si>
    <t>신용스프레드
(B, bp)</t>
    <phoneticPr fontId="2" type="noConversion"/>
  </si>
  <si>
    <t>자산별LP
(C=A-B, bp)</t>
    <phoneticPr fontId="2" type="noConversion"/>
  </si>
  <si>
    <t>장기선도금리 산출자료</t>
    <phoneticPr fontId="2" type="noConversion"/>
  </si>
  <si>
    <t>기대인플레이션</t>
    <phoneticPr fontId="2" type="noConversion"/>
  </si>
  <si>
    <t>장기선도
기준금리</t>
    <phoneticPr fontId="2" type="noConversion"/>
  </si>
  <si>
    <t>적용년도
(전년도 산출)</t>
    <phoneticPr fontId="2" type="noConversion"/>
  </si>
  <si>
    <t>△ 0.15%</t>
    <phoneticPr fontId="2" type="noConversion"/>
  </si>
  <si>
    <t>전년도 대비 조정</t>
    <phoneticPr fontId="2" type="noConversion"/>
  </si>
  <si>
    <t>△ 0.25%</t>
    <phoneticPr fontId="2" type="noConversion"/>
  </si>
  <si>
    <t>장기선도금리
(LTFR)</t>
    <phoneticPr fontId="2" type="noConversion"/>
  </si>
  <si>
    <t>자산비중
(D)</t>
    <phoneticPr fontId="2" type="noConversion"/>
  </si>
  <si>
    <t>가중평균
(C * D, bp)</t>
    <phoneticPr fontId="2" type="noConversion"/>
  </si>
  <si>
    <t>실질이자율 
장기평균</t>
    <phoneticPr fontId="2" type="noConversion"/>
  </si>
  <si>
    <t>※ 실질이자율 = { 명목이자율(=CD금리(91일물)) - 물가상승률 } / ( 1 + 물가상승률 )</t>
    <phoneticPr fontId="2" type="noConversion"/>
  </si>
  <si>
    <t>※ 실질이자율의 장기평균 : 각 연도별 국내 무위험 지표금리(CD91일물)에 
물가상승률을 차감조정한 값을 지수평활법을 통해 가중평균하여 산출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</si>
</sst>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2" x14ac:knownFonts="1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  <font>
      <sz val="10"/>
      <color theme="0" tint="-4.9989318521683403E-2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lightUp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79" fontId="8" fillId="0" borderId="2" xfId="0" applyNumberFormat="1" applyFont="1" applyFill="1" applyBorder="1" applyAlignment="1">
      <alignment horizontal="center" vertical="center"/>
    </xf>
    <xf numFmtId="10" fontId="8" fillId="0" borderId="2" xfId="5" applyNumberFormat="1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182" fontId="8" fillId="0" borderId="2" xfId="0" applyNumberFormat="1" applyFont="1" applyBorder="1" applyAlignment="1">
      <alignment horizontal="center" vertical="center"/>
    </xf>
    <xf numFmtId="182" fontId="19" fillId="15" borderId="2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0" fontId="19" fillId="15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 shrinkToFit="1"/>
    </xf>
    <xf numFmtId="0" fontId="7" fillId="12" borderId="8" xfId="0" applyFont="1" applyFill="1" applyBorder="1" applyAlignment="1">
      <alignment horizontal="center" vertical="center" shrinkToFit="1"/>
    </xf>
    <xf numFmtId="0" fontId="7" fillId="12" borderId="2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0" fillId="0" borderId="1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8" fillId="5" borderId="0" xfId="0" applyFont="1" applyFill="1" applyAlignment="1">
      <alignment horizontal="center" vertic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</cellXfs>
  <cellStyles count="10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보통 2" xfId="9" xr:uid="{588A7036-7D8B-4214-ABFE-C628FC0D4DD9}"/>
    <cellStyle name="쉼표 [0] 2" xfId="8" xr:uid="{9EC669DA-D8B4-4B23-9141-3FD1B6D54B07}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11206</xdr:colOff>
      <xdr:row>34</xdr:row>
      <xdr:rowOff>10886</xdr:rowOff>
    </xdr:from>
    <xdr:to>
      <xdr:col>9</xdr:col>
      <xdr:colOff>0</xdr:colOff>
      <xdr:row>35</xdr:row>
      <xdr:rowOff>5443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E6BD73B6-1D11-46B2-9829-CD1760562123}"/>
            </a:ext>
          </a:extLst>
        </xdr:cNvPr>
        <xdr:cNvSpPr/>
      </xdr:nvSpPr>
      <xdr:spPr>
        <a:xfrm>
          <a:off x="6221506" y="6362700"/>
          <a:ext cx="152080" cy="16872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11206</xdr:colOff>
      <xdr:row>46</xdr:row>
      <xdr:rowOff>10886</xdr:rowOff>
    </xdr:from>
    <xdr:to>
      <xdr:col>9</xdr:col>
      <xdr:colOff>0</xdr:colOff>
      <xdr:row>47</xdr:row>
      <xdr:rowOff>5443</xdr:rowOff>
    </xdr:to>
    <xdr:sp macro="" textlink="">
      <xdr:nvSpPr>
        <xdr:cNvPr id="3" name="화살표: 오른쪽 2">
          <a:extLst>
            <a:ext uri="{FF2B5EF4-FFF2-40B4-BE49-F238E27FC236}">
              <a16:creationId xmlns:a16="http://schemas.microsoft.com/office/drawing/2014/main" id="{694B77D4-2214-4CDD-8389-019EF8E95A65}"/>
            </a:ext>
          </a:extLst>
        </xdr:cNvPr>
        <xdr:cNvSpPr/>
      </xdr:nvSpPr>
      <xdr:spPr>
        <a:xfrm>
          <a:off x="6230471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zoomScale="70" zoomScaleNormal="70" workbookViewId="0">
      <selection activeCell="G12" sqref="G12"/>
    </sheetView>
  </sheetViews>
  <sheetFormatPr defaultRowHeight="16.5" x14ac:dyDescent="0.3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</cols>
  <sheetData>
    <row r="1" spans="1:29" ht="16.899999999999999" customHeight="1" x14ac:dyDescent="0.25">
      <c r="A1" s="35"/>
      <c r="B1" t="s">
        <v>18</v>
      </c>
      <c r="D1" s="105" t="s">
        <v>30</v>
      </c>
      <c r="E1" s="106"/>
      <c r="F1" s="106"/>
      <c r="G1" s="106"/>
      <c r="H1" s="106"/>
      <c r="J1" s="74" t="s">
        <v>38</v>
      </c>
      <c r="K1" s="74"/>
      <c r="L1" s="74"/>
      <c r="M1" s="74"/>
      <c r="O1" s="65" t="s">
        <v>12</v>
      </c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</row>
    <row r="2" spans="1:29" ht="13.9" customHeight="1" x14ac:dyDescent="0.3">
      <c r="E2" s="1"/>
      <c r="N2" s="38"/>
    </row>
    <row r="3" spans="1:29" ht="17.45" customHeight="1" x14ac:dyDescent="0.3">
      <c r="D3" s="14"/>
      <c r="E3" s="107" t="s">
        <v>9</v>
      </c>
      <c r="F3" s="110"/>
      <c r="G3" s="110"/>
      <c r="H3" s="78"/>
      <c r="J3" s="47"/>
      <c r="K3" s="69" t="s">
        <v>39</v>
      </c>
      <c r="L3" s="69"/>
      <c r="M3" s="69"/>
      <c r="N3" s="39"/>
      <c r="O3" s="75"/>
      <c r="P3" s="75"/>
      <c r="Q3" s="114" t="s">
        <v>24</v>
      </c>
      <c r="R3" s="115"/>
      <c r="S3" s="107" t="s">
        <v>19</v>
      </c>
      <c r="T3" s="78"/>
      <c r="U3" s="78" t="s">
        <v>20</v>
      </c>
      <c r="V3" s="79"/>
      <c r="W3" s="79"/>
      <c r="X3" s="78" t="s">
        <v>27</v>
      </c>
      <c r="Y3" s="79"/>
      <c r="Z3" s="79"/>
    </row>
    <row r="4" spans="1:29" s="1" customFormat="1" ht="13.9" customHeight="1" x14ac:dyDescent="0.25">
      <c r="D4" s="4" t="s">
        <v>0</v>
      </c>
      <c r="E4" s="111">
        <v>46112</v>
      </c>
      <c r="F4" s="112"/>
      <c r="G4" s="112"/>
      <c r="H4" s="113"/>
      <c r="I4" s="3"/>
      <c r="J4" s="48" t="s">
        <v>31</v>
      </c>
      <c r="K4" s="89">
        <f>E4</f>
        <v>46112</v>
      </c>
      <c r="L4" s="90"/>
      <c r="M4" s="91"/>
      <c r="N4" s="40"/>
      <c r="O4" s="76" t="s">
        <v>0</v>
      </c>
      <c r="P4" s="76"/>
      <c r="Q4" s="108">
        <f>E4</f>
        <v>46112</v>
      </c>
      <c r="R4" s="81"/>
      <c r="S4" s="108">
        <f>E4</f>
        <v>46112</v>
      </c>
      <c r="T4" s="81"/>
      <c r="U4" s="80">
        <f>E4</f>
        <v>46112</v>
      </c>
      <c r="V4" s="80"/>
      <c r="W4" s="81"/>
      <c r="X4" s="80">
        <f>E4</f>
        <v>46112</v>
      </c>
      <c r="Y4" s="80"/>
      <c r="Z4" s="81"/>
      <c r="AC4" s="37"/>
    </row>
    <row r="5" spans="1:29" s="1" customFormat="1" ht="13.9" customHeight="1" x14ac:dyDescent="0.25">
      <c r="D5" s="5" t="s">
        <v>6</v>
      </c>
      <c r="E5" s="84">
        <v>0.1</v>
      </c>
      <c r="F5" s="85"/>
      <c r="G5" s="85"/>
      <c r="H5" s="86"/>
      <c r="I5" s="3"/>
      <c r="J5" s="48" t="s">
        <v>32</v>
      </c>
      <c r="K5" s="87">
        <v>0.1</v>
      </c>
      <c r="L5" s="87"/>
      <c r="M5" s="88"/>
      <c r="N5" s="40"/>
      <c r="O5" s="76" t="s">
        <v>2</v>
      </c>
      <c r="P5" s="76"/>
      <c r="Q5" s="116" t="s">
        <v>26</v>
      </c>
      <c r="R5" s="117"/>
      <c r="S5" s="109">
        <v>23</v>
      </c>
      <c r="T5" s="82"/>
      <c r="U5" s="82">
        <v>23</v>
      </c>
      <c r="V5" s="83"/>
      <c r="W5" s="83"/>
      <c r="X5" s="82">
        <v>23</v>
      </c>
      <c r="Y5" s="83"/>
      <c r="Z5" s="83"/>
      <c r="AC5" s="37"/>
    </row>
    <row r="6" spans="1:29" ht="13.9" customHeight="1" x14ac:dyDescent="0.25">
      <c r="D6" s="5" t="s">
        <v>7</v>
      </c>
      <c r="E6" s="84">
        <v>2</v>
      </c>
      <c r="F6" s="85"/>
      <c r="G6" s="85"/>
      <c r="H6" s="86"/>
      <c r="J6" s="48" t="s">
        <v>33</v>
      </c>
      <c r="K6" s="87">
        <v>2</v>
      </c>
      <c r="L6" s="87"/>
      <c r="M6" s="88"/>
      <c r="N6" s="38"/>
      <c r="O6" s="77" t="s">
        <v>3</v>
      </c>
      <c r="P6" s="77"/>
      <c r="Q6" s="118"/>
      <c r="R6" s="119"/>
      <c r="S6" s="109">
        <v>60</v>
      </c>
      <c r="T6" s="82"/>
      <c r="U6" s="82">
        <v>60</v>
      </c>
      <c r="V6" s="83"/>
      <c r="W6" s="83"/>
      <c r="X6" s="82">
        <v>60</v>
      </c>
      <c r="Y6" s="83"/>
      <c r="Z6" s="83"/>
      <c r="AC6" s="37"/>
    </row>
    <row r="7" spans="1:29" ht="13.9" customHeight="1" x14ac:dyDescent="0.25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8" t="s">
        <v>34</v>
      </c>
      <c r="K7" s="48" t="s">
        <v>35</v>
      </c>
      <c r="L7" s="48" t="s">
        <v>36</v>
      </c>
      <c r="M7" s="48" t="s">
        <v>37</v>
      </c>
      <c r="N7" s="38"/>
      <c r="O7" s="77" t="s">
        <v>4</v>
      </c>
      <c r="P7" s="77"/>
      <c r="Q7" s="118"/>
      <c r="R7" s="119"/>
      <c r="S7" s="102">
        <v>4.2999999999999997E-2</v>
      </c>
      <c r="T7" s="94"/>
      <c r="U7" s="94">
        <f>S7</f>
        <v>4.2999999999999997E-2</v>
      </c>
      <c r="V7" s="95"/>
      <c r="W7" s="95"/>
      <c r="X7" s="94">
        <f>S7</f>
        <v>4.2999999999999997E-2</v>
      </c>
      <c r="Y7" s="95"/>
      <c r="Z7" s="95"/>
      <c r="AC7" s="37"/>
    </row>
    <row r="8" spans="1:29" ht="13.9" customHeight="1" x14ac:dyDescent="0.25">
      <c r="D8" s="7">
        <v>0.25</v>
      </c>
      <c r="E8" s="34">
        <v>2.6440000000000002E-2</v>
      </c>
      <c r="F8" s="19">
        <f t="array" ref="F8:F23">SmithWilsonYTM(E23,E5,D8:D23,E8:E23,E6,D8:D23)</f>
        <v>2.6352998974091435E-2</v>
      </c>
      <c r="G8" s="19">
        <f>LN(EXP(F8)+$V$11)</f>
        <v>3.0706987221064304E-2</v>
      </c>
      <c r="H8" s="19">
        <f>LN(EXP(F8)+$Y$11)</f>
        <v>2.9833822408510836E-2</v>
      </c>
      <c r="J8" s="42">
        <v>0.25</v>
      </c>
      <c r="K8" s="49">
        <f t="array" ref="K8:K24">SmithWilsonYTM(E23,E5,D8:D23,E8:E23,E6,J8:J24)</f>
        <v>2.6352998974091435E-2</v>
      </c>
      <c r="L8" s="49">
        <f>LN(EXP(K8)+$V$11)</f>
        <v>3.0706987221064304E-2</v>
      </c>
      <c r="M8" s="49">
        <f>LN(EXP(K8)+$Y$11)</f>
        <v>2.9833822408510836E-2</v>
      </c>
      <c r="N8" s="38"/>
      <c r="O8" s="77" t="s">
        <v>1</v>
      </c>
      <c r="P8" s="77"/>
      <c r="Q8" s="118"/>
      <c r="R8" s="119"/>
      <c r="S8" s="122">
        <v>1</v>
      </c>
      <c r="T8" s="96"/>
      <c r="U8" s="96">
        <v>1</v>
      </c>
      <c r="V8" s="97"/>
      <c r="W8" s="97"/>
      <c r="X8" s="96">
        <v>1</v>
      </c>
      <c r="Y8" s="97"/>
      <c r="Z8" s="97"/>
      <c r="AC8" s="37"/>
    </row>
    <row r="9" spans="1:29" ht="13.9" customHeight="1" x14ac:dyDescent="0.25">
      <c r="D9" s="8">
        <v>0.5</v>
      </c>
      <c r="E9" s="9">
        <v>2.7480000000000001E-2</v>
      </c>
      <c r="F9" s="19">
        <v>2.7292924067709081E-2</v>
      </c>
      <c r="G9" s="19">
        <f t="shared" ref="G9:G23" si="0">LN(EXP(F9)+$V$11)</f>
        <v>3.1642830698309234E-2</v>
      </c>
      <c r="H9" s="19">
        <f t="shared" ref="H9:H23" si="1">LN(EXP(F9)+$Y$11)</f>
        <v>3.0770483005463693E-2</v>
      </c>
      <c r="J9" s="42">
        <v>0.5</v>
      </c>
      <c r="K9" s="49">
        <v>2.7292924067709081E-2</v>
      </c>
      <c r="L9" s="49">
        <f>LN(EXP(K9)+$V$11)</f>
        <v>3.1642830698309234E-2</v>
      </c>
      <c r="M9" s="49">
        <f t="shared" ref="M9:M24" si="2">LN(EXP(K9)+$Y$11)</f>
        <v>3.0770483005463693E-2</v>
      </c>
      <c r="O9" s="103" t="s">
        <v>11</v>
      </c>
      <c r="P9" s="104"/>
      <c r="Q9" s="118"/>
      <c r="R9" s="119"/>
      <c r="S9" s="123">
        <f>SmithWilson_ALPHA_UB_LB(S7,J8:J22,K8:K22,S6,S8*0.0001)</f>
        <v>0.11306236509038234</v>
      </c>
      <c r="T9" s="98"/>
      <c r="U9" s="98">
        <f>SmithWilson_ALPHA_UB_LB(U7,$J8:$J22,$L8:$L22,U6,U8*0.0001)</f>
        <v>9.0576794479292622E-2</v>
      </c>
      <c r="V9" s="99"/>
      <c r="W9" s="99"/>
      <c r="X9" s="98">
        <f>SmithWilson_ALPHA_UB_LB(X7,$J8:$J22,$M8:$M22,X6,X8*0.0001)</f>
        <v>9.6999053825133658E-2</v>
      </c>
      <c r="Y9" s="99"/>
      <c r="Z9" s="99"/>
      <c r="AC9" s="37"/>
    </row>
    <row r="10" spans="1:29" ht="13.9" customHeight="1" x14ac:dyDescent="0.25">
      <c r="D10" s="8">
        <v>0.75</v>
      </c>
      <c r="E10" s="9">
        <v>2.8570000000000002E-2</v>
      </c>
      <c r="F10" s="19">
        <v>2.8278286379670625E-2</v>
      </c>
      <c r="G10" s="19">
        <f t="shared" si="0"/>
        <v>3.2623918182404253E-2</v>
      </c>
      <c r="H10" s="19">
        <f t="shared" si="1"/>
        <v>3.1752426292126025E-2</v>
      </c>
      <c r="J10" s="42">
        <v>0.75</v>
      </c>
      <c r="K10" s="49">
        <v>2.8278286379670625E-2</v>
      </c>
      <c r="L10" s="49">
        <f t="shared" ref="L10:L24" si="3">LN(EXP(K10)+$V$11)</f>
        <v>3.2623918182404253E-2</v>
      </c>
      <c r="M10" s="49">
        <f t="shared" si="2"/>
        <v>3.1752426292126025E-2</v>
      </c>
      <c r="O10" s="103" t="s">
        <v>21</v>
      </c>
      <c r="P10" s="104"/>
      <c r="Q10" s="118"/>
      <c r="R10" s="119"/>
      <c r="S10" s="125" t="str">
        <f>IF(ROUND(ABS((VLOOKUP($S$6*12-1,$P$13:$T$1213,5,0)+VLOOKUP($S$6*12,$P$13:$T$1213,5,0))/2-$S$7),4)&lt;=0.0001,"PASS","FAIL")</f>
        <v>PASS</v>
      </c>
      <c r="T10" s="126"/>
      <c r="U10" s="100" t="str">
        <f>IF(ROUND(ABS((VLOOKUP($U$6*12-1,$P$13:$V$1213,7,0)+VLOOKUP($U$6*12,$P$13:$V$1213,7,0))/2-$U$7),4)&lt;=0.0001,"PASS","FAIL")</f>
        <v>PASS</v>
      </c>
      <c r="V10" s="100"/>
      <c r="W10" s="101"/>
      <c r="X10" s="100" t="str">
        <f>IF(ROUND(ABS((VLOOKUP($X$6*12-1,$P$13:$Y$1213,10,0)+VLOOKUP($X$6*12,$P$13:$Y$1213,10,0))/2-$X$7),4)&lt;=0.0001,"PASS","FAIL")</f>
        <v>PASS</v>
      </c>
      <c r="Y10" s="100"/>
      <c r="Z10" s="101"/>
      <c r="AC10" s="37"/>
    </row>
    <row r="11" spans="1:29" ht="13.9" customHeight="1" x14ac:dyDescent="0.25">
      <c r="D11" s="8">
        <v>1</v>
      </c>
      <c r="E11" s="9">
        <v>3.056E-2</v>
      </c>
      <c r="F11" s="19">
        <v>3.0352085572460559E-2</v>
      </c>
      <c r="G11" s="19">
        <f t="shared" si="0"/>
        <v>3.4688734237923402E-2</v>
      </c>
      <c r="H11" s="19">
        <f t="shared" si="1"/>
        <v>3.3819040743496204E-2</v>
      </c>
      <c r="J11" s="42">
        <v>1</v>
      </c>
      <c r="K11" s="49">
        <v>3.0352085572460559E-2</v>
      </c>
      <c r="L11" s="49">
        <f t="shared" si="3"/>
        <v>3.4688734237923402E-2</v>
      </c>
      <c r="M11" s="49">
        <f t="shared" si="2"/>
        <v>3.3819040743496204E-2</v>
      </c>
      <c r="O11" s="103" t="s">
        <v>22</v>
      </c>
      <c r="P11" s="104"/>
      <c r="Q11" s="120"/>
      <c r="R11" s="121"/>
      <c r="S11" s="124">
        <v>0</v>
      </c>
      <c r="T11" s="86"/>
      <c r="U11" s="15" t="s">
        <v>23</v>
      </c>
      <c r="V11" s="92">
        <v>4.4799999999999996E-3</v>
      </c>
      <c r="W11" s="93"/>
      <c r="X11" s="32" t="s">
        <v>28</v>
      </c>
      <c r="Y11" s="92">
        <v>3.5799999999999998E-3</v>
      </c>
      <c r="Z11" s="93"/>
      <c r="AC11" s="37"/>
    </row>
    <row r="12" spans="1:29" ht="13.9" customHeight="1" x14ac:dyDescent="0.25">
      <c r="D12" s="8">
        <v>1.5</v>
      </c>
      <c r="E12" s="9">
        <v>3.2400000000000005E-2</v>
      </c>
      <c r="F12" s="19">
        <v>3.2186325057722003E-2</v>
      </c>
      <c r="G12" s="19">
        <f t="shared" si="0"/>
        <v>3.6515043737394462E-2</v>
      </c>
      <c r="H12" s="19">
        <f t="shared" si="1"/>
        <v>3.5646937811939193E-2</v>
      </c>
      <c r="J12" s="42">
        <v>1.5</v>
      </c>
      <c r="K12" s="49">
        <v>3.2186325057722003E-2</v>
      </c>
      <c r="L12" s="49">
        <f t="shared" si="3"/>
        <v>3.6515043737394462E-2</v>
      </c>
      <c r="M12" s="49">
        <f t="shared" si="2"/>
        <v>3.5646937811939193E-2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3.9" customHeight="1" x14ac:dyDescent="0.25">
      <c r="D13" s="8">
        <v>2</v>
      </c>
      <c r="E13" s="9">
        <v>3.4849999999999999E-2</v>
      </c>
      <c r="F13" s="19">
        <v>3.4650876711081836E-2</v>
      </c>
      <c r="G13" s="19">
        <f t="shared" si="0"/>
        <v>3.8968963147485325E-2</v>
      </c>
      <c r="H13" s="19">
        <f t="shared" si="1"/>
        <v>3.8102985793916438E-2</v>
      </c>
      <c r="J13" s="42">
        <v>2</v>
      </c>
      <c r="K13" s="49">
        <v>3.4650876711081836E-2</v>
      </c>
      <c r="L13" s="49">
        <f t="shared" si="3"/>
        <v>3.8968963147485325E-2</v>
      </c>
      <c r="M13" s="49">
        <f t="shared" si="2"/>
        <v>3.8102985793916438E-2</v>
      </c>
      <c r="O13" s="12">
        <v>0</v>
      </c>
      <c r="P13" s="13">
        <v>0</v>
      </c>
      <c r="Q13" s="31">
        <f t="array" ref="Q13:Q1214">Cont2Discrete(SmithWilsonYTM(E23,E5,D8:D23,E8:E23,E6,O13:O1214))</f>
        <v>2.6193821126206052E-2</v>
      </c>
      <c r="R13" s="30">
        <f>Q14</f>
        <v>2.6253490354660292E-2</v>
      </c>
      <c r="S13" s="22">
        <f t="array" ref="S13:S1214">Cont2Discrete(SmithWilson(S7,S9,J8:J22,K8:K22,O13:O1214))</f>
        <v>2.6181045505978329E-2</v>
      </c>
      <c r="T13" s="23">
        <f>S14</f>
        <v>2.624673771186381E-2</v>
      </c>
      <c r="U13" s="24">
        <f t="array" ref="U13:U1214">Cont2Discrete(SmithWilson(U7,U9,J8:J22,L8:L22,O13:O1214))</f>
        <v>3.0670771862545188E-2</v>
      </c>
      <c r="V13" s="25">
        <f>U14</f>
        <v>3.0731862286010214E-2</v>
      </c>
      <c r="W13" s="26"/>
      <c r="X13" s="24">
        <f t="array" ref="X13:X1214">Cont2Discrete(SmithWilson(X7,X9,J8:J22,M8:M22,O13:O1214))</f>
        <v>2.9769044370633102E-2</v>
      </c>
      <c r="Y13" s="25">
        <f>X14</f>
        <v>2.9830945657223662E-2</v>
      </c>
      <c r="Z13" s="26"/>
      <c r="AA13" s="36"/>
      <c r="AC13" s="37"/>
    </row>
    <row r="14" spans="1:29" ht="13.9" customHeight="1" x14ac:dyDescent="0.25">
      <c r="D14" s="8">
        <v>2.5</v>
      </c>
      <c r="E14" s="9">
        <v>3.508E-2</v>
      </c>
      <c r="F14" s="19">
        <v>3.4865363103251328E-2</v>
      </c>
      <c r="G14" s="19">
        <f t="shared" si="0"/>
        <v>3.9182525464318982E-2</v>
      </c>
      <c r="H14" s="19">
        <f t="shared" si="1"/>
        <v>3.8316733111207764E-2</v>
      </c>
      <c r="J14" s="42">
        <v>2.5</v>
      </c>
      <c r="K14" s="49">
        <v>3.4865363103251328E-2</v>
      </c>
      <c r="L14" s="49">
        <f t="shared" si="3"/>
        <v>3.9182525464318982E-2</v>
      </c>
      <c r="M14" s="49">
        <f t="shared" si="2"/>
        <v>3.8316733111207764E-2</v>
      </c>
      <c r="O14" s="12">
        <f t="shared" ref="O14:O77" si="4">P14/12</f>
        <v>8.3333333333333329E-2</v>
      </c>
      <c r="P14" s="13">
        <v>1</v>
      </c>
      <c r="Q14" s="22">
        <v>2.6253490354660292E-2</v>
      </c>
      <c r="R14" s="19">
        <f t="shared" ref="R14:R77" si="5">(1+Q15)^P15/(1+Q14)^P14-1</f>
        <v>2.6593309571738555E-2</v>
      </c>
      <c r="S14" s="22">
        <v>2.624673771186381E-2</v>
      </c>
      <c r="T14" s="19">
        <f t="shared" ref="T14:T77" si="6">(1+S15)^P15/(1+S14)^P14-1</f>
        <v>2.6595181654536448E-2</v>
      </c>
      <c r="U14" s="24">
        <v>3.0731862286010214E-2</v>
      </c>
      <c r="V14" s="24">
        <f t="shared" ref="V14:V77" si="7">(1+U15)^P15/(1+U14)^P14-1</f>
        <v>3.1073746182520567E-2</v>
      </c>
      <c r="W14" s="23">
        <f>(1+V13)^(1/12)-1</f>
        <v>2.5256086422980051E-3</v>
      </c>
      <c r="X14" s="24">
        <v>2.9830945657223662E-2</v>
      </c>
      <c r="Y14" s="24">
        <f>(1+X15)^P15/(1+X14)^P14-1</f>
        <v>3.0173998113802725E-2</v>
      </c>
      <c r="Z14" s="23">
        <f>(1+Y13)^(1/12)-1</f>
        <v>2.4525574724290067E-3</v>
      </c>
      <c r="AA14" s="36"/>
      <c r="AC14" s="37"/>
    </row>
    <row r="15" spans="1:29" ht="13.9" customHeight="1" x14ac:dyDescent="0.25">
      <c r="D15" s="8">
        <v>3</v>
      </c>
      <c r="E15" s="9">
        <v>3.5549999999999998E-2</v>
      </c>
      <c r="F15" s="19">
        <v>3.5334414130566615E-2</v>
      </c>
      <c r="G15" s="19">
        <f t="shared" si="0"/>
        <v>3.9649556358740082E-2</v>
      </c>
      <c r="H15" s="19">
        <f t="shared" si="1"/>
        <v>3.8784168437968433E-2</v>
      </c>
      <c r="J15" s="42">
        <v>3</v>
      </c>
      <c r="K15" s="49">
        <v>3.5334414130566615E-2</v>
      </c>
      <c r="L15" s="49">
        <f t="shared" si="3"/>
        <v>3.9649556358740082E-2</v>
      </c>
      <c r="M15" s="49">
        <f t="shared" si="2"/>
        <v>3.8784168437968433E-2</v>
      </c>
      <c r="O15" s="12">
        <f t="shared" si="4"/>
        <v>0.16666666666666666</v>
      </c>
      <c r="P15" s="13">
        <v>2</v>
      </c>
      <c r="Q15" s="22">
        <v>2.642338590015525E-2</v>
      </c>
      <c r="R15" s="19">
        <f t="shared" si="5"/>
        <v>2.7263386425461222E-2</v>
      </c>
      <c r="S15" s="22">
        <v>2.6420944897212362E-2</v>
      </c>
      <c r="T15" s="19">
        <f t="shared" si="6"/>
        <v>2.7268272444120445E-2</v>
      </c>
      <c r="U15" s="24">
        <v>3.0902790061663632E-2</v>
      </c>
      <c r="V15" s="24">
        <f>(1+U16)^P16/(1+U15)^P15-1</f>
        <v>3.1744578079048402E-2</v>
      </c>
      <c r="W15" s="23">
        <f>(1+V14)^(1/12)-1</f>
        <v>2.5533151098187101E-3</v>
      </c>
      <c r="X15" s="24">
        <v>3.0002457603388599E-2</v>
      </c>
      <c r="Y15" s="24">
        <f t="shared" ref="Y15:Y78" si="8">(1+X16)^P16/(1+X15)^P15-1</f>
        <v>3.0845243739460182E-2</v>
      </c>
      <c r="Z15" s="23">
        <f t="shared" ref="Z15:Z78" si="9">(1+Y14)^(1/12)-1</f>
        <v>2.4803809160158785E-3</v>
      </c>
      <c r="AA15" s="36"/>
      <c r="AC15" s="37"/>
    </row>
    <row r="16" spans="1:29" ht="13.9" customHeight="1" x14ac:dyDescent="0.25">
      <c r="D16" s="8">
        <v>4</v>
      </c>
      <c r="E16" s="9">
        <v>3.7450000000000004E-2</v>
      </c>
      <c r="F16" s="19">
        <v>3.7289894059673361E-2</v>
      </c>
      <c r="G16" s="19">
        <f t="shared" si="0"/>
        <v>4.1596624485452177E-2</v>
      </c>
      <c r="H16" s="19">
        <f t="shared" si="1"/>
        <v>4.0732920621766297E-2</v>
      </c>
      <c r="J16" s="42">
        <v>4</v>
      </c>
      <c r="K16" s="49">
        <v>3.7289894059673361E-2</v>
      </c>
      <c r="L16" s="49">
        <f t="shared" si="3"/>
        <v>4.1596624485452177E-2</v>
      </c>
      <c r="M16" s="49">
        <f t="shared" si="2"/>
        <v>4.0732920621766297E-2</v>
      </c>
      <c r="O16" s="12">
        <f t="shared" si="4"/>
        <v>0.25</v>
      </c>
      <c r="P16" s="13">
        <v>3</v>
      </c>
      <c r="Q16" s="22">
        <v>2.6703309728134172E-2</v>
      </c>
      <c r="R16" s="19">
        <f t="shared" si="5"/>
        <v>2.8144743662717353E-2</v>
      </c>
      <c r="S16" s="22">
        <v>2.6703309728142832E-2</v>
      </c>
      <c r="T16" s="19">
        <f t="shared" si="6"/>
        <v>2.8147500684355675E-2</v>
      </c>
      <c r="U16" s="24">
        <v>3.1183309728135766E-2</v>
      </c>
      <c r="V16" s="24">
        <f t="shared" si="7"/>
        <v>3.2625446848008721E-2</v>
      </c>
      <c r="W16" s="23">
        <f t="shared" ref="W16:W78" si="10">(1+V15)^(1/12)-1</f>
        <v>2.60765524760731E-3</v>
      </c>
      <c r="X16" s="24">
        <v>3.0283309728133867E-2</v>
      </c>
      <c r="Y16" s="24">
        <f t="shared" si="8"/>
        <v>3.1725829031572284E-2</v>
      </c>
      <c r="Z16" s="23">
        <f t="shared" si="9"/>
        <v>2.5347980739687248E-3</v>
      </c>
      <c r="AA16" s="36"/>
      <c r="AC16" s="37"/>
    </row>
    <row r="17" spans="4:30" ht="13.9" customHeight="1" x14ac:dyDescent="0.25">
      <c r="D17" s="8">
        <v>5</v>
      </c>
      <c r="E17" s="9">
        <v>3.771E-2</v>
      </c>
      <c r="F17" s="19">
        <v>3.7527267673658299E-2</v>
      </c>
      <c r="G17" s="19">
        <f t="shared" si="0"/>
        <v>4.1832978114052337E-2</v>
      </c>
      <c r="H17" s="19">
        <f t="shared" si="1"/>
        <v>4.0969478453938196E-2</v>
      </c>
      <c r="J17" s="42">
        <v>5</v>
      </c>
      <c r="K17" s="49">
        <v>3.7527267673658299E-2</v>
      </c>
      <c r="L17" s="49">
        <f t="shared" si="3"/>
        <v>4.1832978114052337E-2</v>
      </c>
      <c r="M17" s="49">
        <f t="shared" si="2"/>
        <v>4.0969478453938196E-2</v>
      </c>
      <c r="O17" s="12">
        <f t="shared" si="4"/>
        <v>0.33333333333333331</v>
      </c>
      <c r="P17" s="13">
        <v>4</v>
      </c>
      <c r="Q17" s="22">
        <v>2.7063478645833694E-2</v>
      </c>
      <c r="R17" s="19">
        <f t="shared" si="5"/>
        <v>2.8762531928687496E-2</v>
      </c>
      <c r="S17" s="22">
        <v>2.7064167175690823E-2</v>
      </c>
      <c r="T17" s="19">
        <f t="shared" si="6"/>
        <v>2.8762249254878247E-2</v>
      </c>
      <c r="U17" s="24">
        <v>3.1543655080938926E-2</v>
      </c>
      <c r="V17" s="24">
        <f t="shared" si="7"/>
        <v>3.3242474084459905E-2</v>
      </c>
      <c r="W17" s="23">
        <f t="shared" si="10"/>
        <v>2.6789600701189187E-3</v>
      </c>
      <c r="X17" s="24">
        <v>3.0643750361730726E-2</v>
      </c>
      <c r="Y17" s="24">
        <f t="shared" si="8"/>
        <v>3.234243838238382E-2</v>
      </c>
      <c r="Z17" s="23">
        <f t="shared" si="9"/>
        <v>2.6061369377872179E-3</v>
      </c>
      <c r="AA17" s="36"/>
      <c r="AC17" s="37"/>
    </row>
    <row r="18" spans="4:30" ht="13.9" customHeight="1" x14ac:dyDescent="0.25">
      <c r="D18" s="8">
        <v>7</v>
      </c>
      <c r="E18" s="9">
        <v>3.814E-2</v>
      </c>
      <c r="F18" s="19">
        <v>3.7950216358185594E-2</v>
      </c>
      <c r="G18" s="19">
        <f t="shared" si="0"/>
        <v>4.2254110001527304E-2</v>
      </c>
      <c r="H18" s="19">
        <f t="shared" si="1"/>
        <v>4.1390974069044496E-2</v>
      </c>
      <c r="J18" s="42">
        <v>7</v>
      </c>
      <c r="K18" s="49">
        <v>3.7950216358185594E-2</v>
      </c>
      <c r="L18" s="49">
        <f t="shared" si="3"/>
        <v>4.2254110001527304E-2</v>
      </c>
      <c r="M18" s="49">
        <f t="shared" si="2"/>
        <v>4.1390974069044496E-2</v>
      </c>
      <c r="O18" s="12">
        <f t="shared" si="4"/>
        <v>0.41666666666666669</v>
      </c>
      <c r="P18" s="13">
        <v>5</v>
      </c>
      <c r="Q18" s="22">
        <v>2.7403064668184651E-2</v>
      </c>
      <c r="R18" s="19">
        <f t="shared" si="5"/>
        <v>2.8998433495539988E-2</v>
      </c>
      <c r="S18" s="22">
        <v>2.7403559214066675E-2</v>
      </c>
      <c r="T18" s="19">
        <f t="shared" si="6"/>
        <v>2.8995956930071287E-2</v>
      </c>
      <c r="U18" s="24">
        <v>3.1883195283731958E-2</v>
      </c>
      <c r="V18" s="24">
        <f t="shared" si="7"/>
        <v>3.3477774929625781E-2</v>
      </c>
      <c r="W18" s="23">
        <f t="shared" si="10"/>
        <v>2.7288741715125742E-3</v>
      </c>
      <c r="X18" s="24">
        <v>3.0983264207400385E-2</v>
      </c>
      <c r="Y18" s="24">
        <f t="shared" si="8"/>
        <v>3.2577430674075369E-2</v>
      </c>
      <c r="Z18" s="23">
        <f t="shared" si="9"/>
        <v>2.6560570993325872E-3</v>
      </c>
      <c r="AA18" s="36"/>
      <c r="AC18" s="37"/>
    </row>
    <row r="19" spans="4:30" ht="13.9" customHeight="1" x14ac:dyDescent="0.25">
      <c r="D19" s="8">
        <v>10</v>
      </c>
      <c r="E19" s="9">
        <v>3.8769999999999999E-2</v>
      </c>
      <c r="F19" s="19">
        <v>3.861359251466779E-2</v>
      </c>
      <c r="G19" s="19">
        <f t="shared" si="0"/>
        <v>4.2914638133509049E-2</v>
      </c>
      <c r="H19" s="19">
        <f t="shared" si="1"/>
        <v>4.2052072384215752E-2</v>
      </c>
      <c r="J19" s="42">
        <v>10</v>
      </c>
      <c r="K19" s="49">
        <v>3.861359251466779E-2</v>
      </c>
      <c r="L19" s="49">
        <f t="shared" si="3"/>
        <v>4.2914638133509049E-2</v>
      </c>
      <c r="M19" s="49">
        <f t="shared" si="2"/>
        <v>4.2052072384215752E-2</v>
      </c>
      <c r="O19" s="12">
        <f t="shared" si="4"/>
        <v>0.5</v>
      </c>
      <c r="P19" s="13">
        <v>6</v>
      </c>
      <c r="Q19" s="22">
        <v>2.7668787600007461E-2</v>
      </c>
      <c r="R19" s="19">
        <f t="shared" si="5"/>
        <v>2.913221376741415E-2</v>
      </c>
      <c r="S19" s="22">
        <v>2.7668787600017675E-2</v>
      </c>
      <c r="T19" s="19">
        <f t="shared" si="6"/>
        <v>2.9129458781975925E-2</v>
      </c>
      <c r="U19" s="24">
        <v>3.2148787600008832E-2</v>
      </c>
      <c r="V19" s="24">
        <f t="shared" si="7"/>
        <v>3.3611433709421989E-2</v>
      </c>
      <c r="W19" s="23">
        <f t="shared" si="10"/>
        <v>2.7479015161879783E-3</v>
      </c>
      <c r="X19" s="24">
        <v>3.1248787600007599E-2</v>
      </c>
      <c r="Y19" s="24">
        <f t="shared" si="8"/>
        <v>3.2711046814754896E-2</v>
      </c>
      <c r="Z19" s="23">
        <f t="shared" si="9"/>
        <v>2.6750746799233394E-3</v>
      </c>
      <c r="AA19" s="36"/>
      <c r="AC19" s="37"/>
    </row>
    <row r="20" spans="4:30" ht="13.9" customHeight="1" x14ac:dyDescent="0.25">
      <c r="D20" s="8">
        <v>15</v>
      </c>
      <c r="E20" s="9">
        <v>3.8989999999999997E-2</v>
      </c>
      <c r="F20" s="19">
        <v>3.8797232770760269E-2</v>
      </c>
      <c r="G20" s="19">
        <f t="shared" si="0"/>
        <v>4.3097490312682792E-2</v>
      </c>
      <c r="H20" s="19">
        <f t="shared" si="1"/>
        <v>4.223508233902111E-2</v>
      </c>
      <c r="J20" s="42">
        <v>15</v>
      </c>
      <c r="K20" s="49">
        <v>3.8797232770760269E-2</v>
      </c>
      <c r="L20" s="49">
        <f t="shared" si="3"/>
        <v>4.3097490312682792E-2</v>
      </c>
      <c r="M20" s="49">
        <f t="shared" si="2"/>
        <v>4.223508233902111E-2</v>
      </c>
      <c r="O20" s="12">
        <f t="shared" si="4"/>
        <v>0.58333333333333337</v>
      </c>
      <c r="P20" s="13">
        <v>7</v>
      </c>
      <c r="Q20" s="22">
        <v>2.7877721004306411E-2</v>
      </c>
      <c r="R20" s="19">
        <f t="shared" si="5"/>
        <v>3.0280352573791136E-2</v>
      </c>
      <c r="S20" s="22">
        <v>2.7877327914269445E-2</v>
      </c>
      <c r="T20" s="19">
        <f t="shared" si="6"/>
        <v>3.0280093434702726E-2</v>
      </c>
      <c r="U20" s="24">
        <v>3.2357610255488778E-2</v>
      </c>
      <c r="V20" s="24">
        <f t="shared" si="7"/>
        <v>3.4760257343073864E-2</v>
      </c>
      <c r="W20" s="23">
        <f t="shared" si="10"/>
        <v>2.7587079183153396E-3</v>
      </c>
      <c r="X20" s="24">
        <v>3.1457554941361598E-2</v>
      </c>
      <c r="Y20" s="24">
        <f t="shared" si="8"/>
        <v>3.3860221981795169E-2</v>
      </c>
      <c r="Z20" s="23">
        <f t="shared" si="9"/>
        <v>2.6858862685368301E-3</v>
      </c>
      <c r="AA20" s="36"/>
    </row>
    <row r="21" spans="4:30" ht="13.9" customHeight="1" x14ac:dyDescent="0.25">
      <c r="D21" s="8">
        <v>20</v>
      </c>
      <c r="E21" s="9">
        <v>3.8629999999999998E-2</v>
      </c>
      <c r="F21" s="19">
        <v>3.8258558531112444E-2</v>
      </c>
      <c r="G21" s="19">
        <f t="shared" si="0"/>
        <v>4.2561128157490524E-2</v>
      </c>
      <c r="H21" s="19">
        <f t="shared" si="1"/>
        <v>4.1698257297079599E-2</v>
      </c>
      <c r="J21" s="42">
        <v>20</v>
      </c>
      <c r="K21" s="49">
        <v>3.8258558531112444E-2</v>
      </c>
      <c r="L21" s="49">
        <f t="shared" si="3"/>
        <v>4.2561128157490524E-2</v>
      </c>
      <c r="M21" s="49">
        <f t="shared" si="2"/>
        <v>4.1698257297079599E-2</v>
      </c>
      <c r="O21" s="12">
        <f t="shared" si="4"/>
        <v>0.66666666666666663</v>
      </c>
      <c r="P21" s="13">
        <v>8</v>
      </c>
      <c r="Q21" s="22">
        <v>2.8177743269323763E-2</v>
      </c>
      <c r="R21" s="19">
        <f t="shared" si="5"/>
        <v>3.2724178806545767E-2</v>
      </c>
      <c r="S21" s="22">
        <v>2.8177366888866073E-2</v>
      </c>
      <c r="T21" s="19">
        <f t="shared" si="6"/>
        <v>3.2727203169625074E-2</v>
      </c>
      <c r="U21" s="24">
        <v>3.2657635785229955E-2</v>
      </c>
      <c r="V21" s="24">
        <f t="shared" si="7"/>
        <v>3.7205003766315858E-2</v>
      </c>
      <c r="W21" s="23">
        <f t="shared" si="10"/>
        <v>2.8515382953056001E-3</v>
      </c>
      <c r="X21" s="24">
        <v>3.1757582694068143E-2</v>
      </c>
      <c r="Y21" s="24">
        <f t="shared" si="8"/>
        <v>3.6305438118344746E-2</v>
      </c>
      <c r="Z21" s="23">
        <f t="shared" si="9"/>
        <v>2.7788192064825967E-3</v>
      </c>
      <c r="AA21" s="36"/>
    </row>
    <row r="22" spans="4:30" ht="13.9" customHeight="1" x14ac:dyDescent="0.25">
      <c r="D22" s="8">
        <v>30</v>
      </c>
      <c r="E22" s="9">
        <v>3.7699999999999997E-2</v>
      </c>
      <c r="F22" s="19">
        <v>3.6851698108731866E-2</v>
      </c>
      <c r="G22" s="19">
        <f t="shared" si="0"/>
        <v>4.1160312079236629E-2</v>
      </c>
      <c r="H22" s="19">
        <f t="shared" si="1"/>
        <v>4.0296231125722164E-2</v>
      </c>
      <c r="J22" s="46">
        <v>23</v>
      </c>
      <c r="K22" s="49">
        <v>3.7827451702095692E-2</v>
      </c>
      <c r="L22" s="49">
        <f t="shared" si="3"/>
        <v>4.2131872608299092E-2</v>
      </c>
      <c r="M22" s="49">
        <f t="shared" si="2"/>
        <v>4.1268631116326046E-2</v>
      </c>
      <c r="O22" s="12">
        <f t="shared" si="4"/>
        <v>0.75</v>
      </c>
      <c r="P22" s="13">
        <v>9</v>
      </c>
      <c r="Q22" s="22">
        <v>2.8681912758188099E-2</v>
      </c>
      <c r="R22" s="19">
        <f t="shared" si="5"/>
        <v>3.5948960462472535E-2</v>
      </c>
      <c r="S22" s="22">
        <v>2.8681912758197869E-2</v>
      </c>
      <c r="T22" s="19">
        <f t="shared" si="6"/>
        <v>3.5953045028925823E-2</v>
      </c>
      <c r="U22" s="24">
        <v>3.3161912758188583E-2</v>
      </c>
      <c r="V22" s="24">
        <f t="shared" si="7"/>
        <v>4.043003534718137E-2</v>
      </c>
      <c r="W22" s="23">
        <f t="shared" si="10"/>
        <v>3.0487713264812921E-3</v>
      </c>
      <c r="X22" s="24">
        <v>3.226191275818957E-2</v>
      </c>
      <c r="Y22" s="24">
        <f t="shared" si="8"/>
        <v>3.9530636502046912E-2</v>
      </c>
      <c r="Z22" s="23">
        <f t="shared" si="9"/>
        <v>2.9762473243621912E-3</v>
      </c>
      <c r="AA22" s="36"/>
    </row>
    <row r="23" spans="4:30" ht="13.9" customHeight="1" x14ac:dyDescent="0.25">
      <c r="D23" s="8">
        <v>50</v>
      </c>
      <c r="E23" s="9">
        <v>3.6740000000000002E-2</v>
      </c>
      <c r="F23" s="19">
        <v>3.531176109661445E-2</v>
      </c>
      <c r="G23" s="19">
        <f t="shared" si="0"/>
        <v>3.9627000866349564E-2</v>
      </c>
      <c r="H23" s="19">
        <f t="shared" si="1"/>
        <v>3.876159341765853E-2</v>
      </c>
      <c r="J23" s="46">
        <v>30</v>
      </c>
      <c r="K23" s="49">
        <v>3.6851698108731866E-2</v>
      </c>
      <c r="L23" s="49">
        <f t="shared" si="3"/>
        <v>4.1160312079236629E-2</v>
      </c>
      <c r="M23" s="49">
        <f t="shared" si="2"/>
        <v>4.0296231125722164E-2</v>
      </c>
      <c r="O23" s="12">
        <f t="shared" si="4"/>
        <v>0.83333333333333337</v>
      </c>
      <c r="P23" s="13">
        <v>10</v>
      </c>
      <c r="Q23" s="22">
        <v>2.9406317623489775E-2</v>
      </c>
      <c r="R23" s="19">
        <f t="shared" si="5"/>
        <v>3.7864337469842635E-2</v>
      </c>
      <c r="S23" s="22">
        <v>2.940672349977369E-2</v>
      </c>
      <c r="T23" s="19">
        <f t="shared" si="6"/>
        <v>3.7864937350250649E-2</v>
      </c>
      <c r="U23" s="24">
        <v>3.388643436466432E-2</v>
      </c>
      <c r="V23" s="24">
        <f t="shared" si="7"/>
        <v>4.2344379200831339E-2</v>
      </c>
      <c r="W23" s="23">
        <f t="shared" si="10"/>
        <v>3.3083039990269292E-3</v>
      </c>
      <c r="X23" s="24">
        <v>3.2986492113422861E-2</v>
      </c>
      <c r="Y23" s="24">
        <f t="shared" si="8"/>
        <v>4.1444491695434849E-2</v>
      </c>
      <c r="Z23" s="23">
        <f t="shared" si="9"/>
        <v>3.2359995974144962E-3</v>
      </c>
      <c r="AA23" s="36"/>
      <c r="AD23" s="33"/>
    </row>
    <row r="24" spans="4:30" ht="13.9" customHeight="1" x14ac:dyDescent="0.25">
      <c r="D24" s="8"/>
      <c r="E24" s="9"/>
      <c r="F24" s="19"/>
      <c r="G24" s="19"/>
      <c r="H24" s="19"/>
      <c r="J24" s="46">
        <v>50</v>
      </c>
      <c r="K24" s="49">
        <v>3.531176109661445E-2</v>
      </c>
      <c r="L24" s="49">
        <f t="shared" si="3"/>
        <v>3.9627000866349564E-2</v>
      </c>
      <c r="M24" s="49">
        <f t="shared" si="2"/>
        <v>3.876159341765853E-2</v>
      </c>
      <c r="O24" s="12">
        <f t="shared" si="4"/>
        <v>0.91666666666666663</v>
      </c>
      <c r="P24" s="13">
        <v>11</v>
      </c>
      <c r="Q24" s="22">
        <v>3.0172371769910056E-2</v>
      </c>
      <c r="R24" s="19">
        <f t="shared" si="5"/>
        <v>3.7939494589560363E-2</v>
      </c>
      <c r="S24" s="22">
        <v>3.0172795153339704E-2</v>
      </c>
      <c r="T24" s="19">
        <f t="shared" si="6"/>
        <v>3.7934802269800505E-2</v>
      </c>
      <c r="U24" s="24">
        <v>3.4652494057366034E-2</v>
      </c>
      <c r="V24" s="24">
        <f t="shared" si="7"/>
        <v>4.241802342824319E-2</v>
      </c>
      <c r="W24" s="23">
        <f t="shared" si="10"/>
        <v>3.4620112154719607E-3</v>
      </c>
      <c r="X24" s="24">
        <v>3.3752554281048175E-2</v>
      </c>
      <c r="Y24" s="24">
        <f t="shared" si="8"/>
        <v>4.1517379185890491E-2</v>
      </c>
      <c r="Z24" s="23">
        <f t="shared" si="9"/>
        <v>3.3897893684782243E-3</v>
      </c>
      <c r="AA24" s="36"/>
    </row>
    <row r="25" spans="4:30" ht="13.9" customHeight="1" x14ac:dyDescent="0.25">
      <c r="D25" s="8"/>
      <c r="E25" s="9"/>
      <c r="F25" s="19"/>
      <c r="G25" s="19"/>
      <c r="H25" s="19"/>
      <c r="J25" s="44"/>
      <c r="K25" s="44"/>
      <c r="L25" s="44"/>
      <c r="M25" s="44"/>
      <c r="O25" s="12">
        <f t="shared" si="4"/>
        <v>1</v>
      </c>
      <c r="P25" s="13">
        <v>12</v>
      </c>
      <c r="Q25" s="22">
        <v>3.0817406005256842E-2</v>
      </c>
      <c r="R25" s="19">
        <f t="shared" si="5"/>
        <v>3.6603510686736618E-2</v>
      </c>
      <c r="S25" s="22">
        <v>3.0817406005266168E-2</v>
      </c>
      <c r="T25" s="19">
        <f t="shared" si="6"/>
        <v>3.6595476636481772E-2</v>
      </c>
      <c r="U25" s="24">
        <v>3.5297406005258214E-2</v>
      </c>
      <c r="V25" s="24">
        <f t="shared" si="7"/>
        <v>4.1081105685040864E-2</v>
      </c>
      <c r="W25" s="23">
        <f t="shared" si="10"/>
        <v>3.4679191150990274E-3</v>
      </c>
      <c r="X25" s="24">
        <v>3.4397406005258091E-2</v>
      </c>
      <c r="Y25" s="24">
        <f t="shared" si="8"/>
        <v>4.0179978836449415E-2</v>
      </c>
      <c r="Z25" s="23">
        <f t="shared" si="9"/>
        <v>3.3956411940292419E-3</v>
      </c>
      <c r="AA25" s="36"/>
    </row>
    <row r="26" spans="4:30" ht="13.9" customHeight="1" x14ac:dyDescent="0.25">
      <c r="D26" s="10"/>
      <c r="E26" s="11"/>
      <c r="F26" s="20"/>
      <c r="G26" s="20"/>
      <c r="H26" s="20"/>
      <c r="I26" s="50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3.1261342043523488E-2</v>
      </c>
      <c r="R26" s="19">
        <f t="shared" si="5"/>
        <v>3.5578623232269679E-2</v>
      </c>
      <c r="S26" s="22">
        <v>3.1260727222369278E-2</v>
      </c>
      <c r="T26" s="19">
        <f t="shared" si="6"/>
        <v>3.5571292442276858E-2</v>
      </c>
      <c r="U26" s="24">
        <v>3.5741162946516969E-2</v>
      </c>
      <c r="V26" s="24">
        <f t="shared" si="7"/>
        <v>4.0056429731893495E-2</v>
      </c>
      <c r="W26" s="23">
        <f t="shared" si="10"/>
        <v>3.3606090537439126E-3</v>
      </c>
      <c r="X26" s="24">
        <v>3.4841075719829195E-2</v>
      </c>
      <c r="Y26" s="24">
        <f t="shared" si="8"/>
        <v>3.9155401651587374E-2</v>
      </c>
      <c r="Z26" s="23">
        <f t="shared" si="9"/>
        <v>3.2882072276865237E-3</v>
      </c>
      <c r="AA26" s="36"/>
    </row>
    <row r="27" spans="4:30" ht="13.9" customHeight="1" x14ac:dyDescent="0.3">
      <c r="O27" s="12">
        <f t="shared" si="4"/>
        <v>1.1666666666666667</v>
      </c>
      <c r="P27" s="13">
        <v>14</v>
      </c>
      <c r="Q27" s="22">
        <v>3.15691214898568E-2</v>
      </c>
      <c r="R27" s="19">
        <f t="shared" si="5"/>
        <v>3.5293290981883496E-2</v>
      </c>
      <c r="S27" s="22">
        <v>3.1568028812174909E-2</v>
      </c>
      <c r="T27" s="19">
        <f t="shared" si="6"/>
        <v>3.5289658020344561E-2</v>
      </c>
      <c r="U27" s="24">
        <v>3.604880164009594E-2</v>
      </c>
      <c r="V27" s="24">
        <f t="shared" si="7"/>
        <v>3.977217188474147E-2</v>
      </c>
      <c r="W27" s="23">
        <f t="shared" si="10"/>
        <v>3.2782760851044479E-3</v>
      </c>
      <c r="X27" s="24">
        <v>3.5148646952896323E-2</v>
      </c>
      <c r="Y27" s="24">
        <f t="shared" si="8"/>
        <v>3.8871669110773777E-2</v>
      </c>
      <c r="Z27" s="23">
        <f t="shared" si="9"/>
        <v>3.2058167924586822E-3</v>
      </c>
      <c r="AA27" s="36"/>
    </row>
    <row r="28" spans="4:30" ht="13.9" customHeight="1" x14ac:dyDescent="0.3">
      <c r="O28" s="12">
        <f t="shared" si="4"/>
        <v>1.25</v>
      </c>
      <c r="P28" s="13">
        <v>15</v>
      </c>
      <c r="Q28" s="22">
        <v>3.181698213796702E-2</v>
      </c>
      <c r="R28" s="19">
        <f t="shared" si="5"/>
        <v>3.5746636590836101E-2</v>
      </c>
      <c r="S28" s="22">
        <v>3.1815720676045434E-2</v>
      </c>
      <c r="T28" s="19">
        <f t="shared" si="6"/>
        <v>3.574820657665323E-2</v>
      </c>
      <c r="U28" s="24">
        <v>3.6296610983408639E-2</v>
      </c>
      <c r="V28" s="24">
        <f t="shared" si="7"/>
        <v>4.0227041878526437E-2</v>
      </c>
      <c r="W28" s="23">
        <f t="shared" si="10"/>
        <v>3.2554227214289799E-3</v>
      </c>
      <c r="X28" s="24">
        <v>3.5396432807715872E-2</v>
      </c>
      <c r="Y28" s="24">
        <f t="shared" si="8"/>
        <v>3.9327274841407522E-2</v>
      </c>
      <c r="Z28" s="23">
        <f t="shared" si="9"/>
        <v>3.1829875343274416E-3</v>
      </c>
      <c r="AA28" s="36"/>
    </row>
    <row r="29" spans="4:30" ht="13.9" customHeight="1" x14ac:dyDescent="0.25">
      <c r="D29" s="65" t="s">
        <v>40</v>
      </c>
      <c r="E29" s="66"/>
      <c r="F29" s="66"/>
      <c r="G29" s="66"/>
      <c r="H29" s="66"/>
      <c r="I29" s="66"/>
      <c r="J29" s="66"/>
      <c r="O29" s="12">
        <f t="shared" si="4"/>
        <v>1.3333333333333333</v>
      </c>
      <c r="P29" s="13">
        <v>16</v>
      </c>
      <c r="Q29" s="22">
        <v>3.206214815936459E-2</v>
      </c>
      <c r="R29" s="19">
        <f t="shared" si="5"/>
        <v>3.693946552595162E-2</v>
      </c>
      <c r="S29" s="22">
        <v>3.2061063032642556E-2</v>
      </c>
      <c r="T29" s="19">
        <f t="shared" si="6"/>
        <v>3.6946279548930594E-2</v>
      </c>
      <c r="U29" s="24">
        <v>3.6541827246612035E-2</v>
      </c>
      <c r="V29" s="24">
        <f t="shared" si="7"/>
        <v>4.1421418882610084E-2</v>
      </c>
      <c r="W29" s="23">
        <f t="shared" si="10"/>
        <v>3.2919899717733792E-3</v>
      </c>
      <c r="X29" s="24">
        <v>3.5641674298116932E-2</v>
      </c>
      <c r="Y29" s="24">
        <f t="shared" si="8"/>
        <v>4.0522390985626044E-2</v>
      </c>
      <c r="Z29" s="23">
        <f t="shared" si="9"/>
        <v>3.2196430140494225E-3</v>
      </c>
      <c r="AA29" s="36"/>
    </row>
    <row r="30" spans="4:30" ht="13.9" customHeight="1" x14ac:dyDescent="0.3">
      <c r="O30" s="12">
        <f t="shared" si="4"/>
        <v>1.4166666666666667</v>
      </c>
      <c r="P30" s="13">
        <v>17</v>
      </c>
      <c r="Q30" s="22">
        <v>3.2348413084602345E-2</v>
      </c>
      <c r="R30" s="19">
        <f t="shared" si="5"/>
        <v>3.8874709036929689E-2</v>
      </c>
      <c r="S30" s="22">
        <v>3.2347790554152711E-2</v>
      </c>
      <c r="T30" s="19">
        <f t="shared" si="6"/>
        <v>3.8885359016200827E-2</v>
      </c>
      <c r="U30" s="24">
        <v>3.6828228103215288E-2</v>
      </c>
      <c r="V30" s="24">
        <f t="shared" si="7"/>
        <v>4.3357789523754686E-2</v>
      </c>
      <c r="W30" s="23">
        <f t="shared" si="10"/>
        <v>3.387936872572439E-3</v>
      </c>
      <c r="X30" s="24">
        <v>3.5928140492714311E-2</v>
      </c>
      <c r="Y30" s="24">
        <f t="shared" si="8"/>
        <v>4.2459305124107116E-2</v>
      </c>
      <c r="Z30" s="23">
        <f t="shared" si="9"/>
        <v>3.3157254022080362E-3</v>
      </c>
      <c r="AA30" s="36"/>
    </row>
    <row r="31" spans="4:30" ht="13.9" customHeight="1" x14ac:dyDescent="0.3">
      <c r="D31" s="69" t="s">
        <v>41</v>
      </c>
      <c r="E31" s="62" t="s">
        <v>48</v>
      </c>
      <c r="F31" s="62" t="s">
        <v>49</v>
      </c>
      <c r="G31" s="62" t="s">
        <v>50</v>
      </c>
      <c r="H31" s="62" t="s">
        <v>59</v>
      </c>
      <c r="I31" s="64"/>
      <c r="J31" s="62" t="s">
        <v>60</v>
      </c>
      <c r="O31" s="12">
        <f t="shared" si="4"/>
        <v>1.5</v>
      </c>
      <c r="P31" s="13">
        <v>18</v>
      </c>
      <c r="Q31" s="22">
        <v>3.2709907112975722E-2</v>
      </c>
      <c r="R31" s="19">
        <f t="shared" si="5"/>
        <v>4.1288995746895152E-2</v>
      </c>
      <c r="S31" s="22">
        <v>3.2709907112983938E-2</v>
      </c>
      <c r="T31" s="19">
        <f t="shared" si="6"/>
        <v>4.130049858856033E-2</v>
      </c>
      <c r="U31" s="24">
        <v>3.7189907112976872E-2</v>
      </c>
      <c r="V31" s="24">
        <f t="shared" si="7"/>
        <v>4.5772297751351498E-2</v>
      </c>
      <c r="W31" s="23">
        <f t="shared" si="10"/>
        <v>3.5432756159092804E-3</v>
      </c>
      <c r="X31" s="24">
        <v>3.6289907112976305E-2</v>
      </c>
      <c r="Y31" s="24">
        <f t="shared" si="8"/>
        <v>4.487394366659081E-2</v>
      </c>
      <c r="Z31" s="23">
        <f t="shared" si="9"/>
        <v>3.4712306549224969E-3</v>
      </c>
      <c r="AA31" s="36"/>
    </row>
    <row r="32" spans="4:30" ht="13.9" customHeight="1" x14ac:dyDescent="0.3">
      <c r="D32" s="69"/>
      <c r="E32" s="69"/>
      <c r="F32" s="69"/>
      <c r="G32" s="69"/>
      <c r="H32" s="69"/>
      <c r="I32" s="64"/>
      <c r="J32" s="69"/>
      <c r="O32" s="12">
        <f t="shared" si="4"/>
        <v>1.5833333333333333</v>
      </c>
      <c r="P32" s="13">
        <v>19</v>
      </c>
      <c r="Q32" s="22">
        <v>3.3159670813861508E-2</v>
      </c>
      <c r="R32" s="19">
        <f t="shared" si="5"/>
        <v>4.3109322379184301E-2</v>
      </c>
      <c r="S32" s="22">
        <v>3.3160271496998961E-2</v>
      </c>
      <c r="T32" s="19">
        <f t="shared" si="6"/>
        <v>4.3117801131430156E-2</v>
      </c>
      <c r="U32" s="24">
        <v>3.7639850845168743E-2</v>
      </c>
      <c r="V32" s="24">
        <f t="shared" si="7"/>
        <v>4.7591714980766975E-2</v>
      </c>
      <c r="W32" s="23">
        <f t="shared" si="10"/>
        <v>3.7366015346316228E-3</v>
      </c>
      <c r="X32" s="24">
        <v>3.6739935276720814E-2</v>
      </c>
      <c r="Y32" s="24">
        <f t="shared" si="8"/>
        <v>4.6692937814273527E-2</v>
      </c>
      <c r="Z32" s="23">
        <f t="shared" si="9"/>
        <v>3.6647195629611051E-3</v>
      </c>
      <c r="AA32" s="36"/>
    </row>
    <row r="33" spans="4:27" ht="13.9" customHeight="1" x14ac:dyDescent="0.3">
      <c r="D33" s="57" t="s">
        <v>42</v>
      </c>
      <c r="E33" s="53">
        <v>21.9</v>
      </c>
      <c r="F33" s="53">
        <v>6.1</v>
      </c>
      <c r="G33" s="53">
        <f>E33-F33</f>
        <v>15.799999999999999</v>
      </c>
      <c r="H33" s="54">
        <v>9.7229999999999997E-2</v>
      </c>
      <c r="I33" s="64"/>
      <c r="J33" s="55">
        <f>G33*H33</f>
        <v>1.5362339999999999</v>
      </c>
      <c r="O33" s="12">
        <f t="shared" si="4"/>
        <v>1.6666666666666667</v>
      </c>
      <c r="P33" s="13">
        <v>20</v>
      </c>
      <c r="Q33" s="22">
        <v>3.3654891853049707E-2</v>
      </c>
      <c r="R33" s="19">
        <f t="shared" si="5"/>
        <v>4.4062558721011058E-2</v>
      </c>
      <c r="S33" s="22">
        <v>3.365588286932808E-2</v>
      </c>
      <c r="T33" s="19">
        <f t="shared" si="6"/>
        <v>4.4065504481527684E-2</v>
      </c>
      <c r="U33" s="24">
        <v>3.8135191218529929E-2</v>
      </c>
      <c r="V33" s="24">
        <f t="shared" si="7"/>
        <v>4.8543304973330592E-2</v>
      </c>
      <c r="W33" s="23">
        <f t="shared" si="10"/>
        <v>3.8820093081883833E-3</v>
      </c>
      <c r="X33" s="24">
        <v>3.7235330112486809E-2</v>
      </c>
      <c r="Y33" s="24">
        <f t="shared" si="8"/>
        <v>4.7643747348058652E-2</v>
      </c>
      <c r="Z33" s="23">
        <f t="shared" si="9"/>
        <v>3.8102080199424737E-3</v>
      </c>
      <c r="AA33" s="36"/>
    </row>
    <row r="34" spans="4:27" ht="13.9" customHeight="1" x14ac:dyDescent="0.3">
      <c r="D34" s="57" t="s">
        <v>43</v>
      </c>
      <c r="E34" s="53">
        <v>59.2</v>
      </c>
      <c r="F34" s="53">
        <v>6.1</v>
      </c>
      <c r="G34" s="53">
        <f t="shared" ref="G34:G36" si="11">E34-F34</f>
        <v>53.1</v>
      </c>
      <c r="H34" s="54">
        <v>1.319E-2</v>
      </c>
      <c r="I34" s="64"/>
      <c r="J34" s="55">
        <f t="shared" ref="J34:J37" si="12">G34*H34</f>
        <v>0.70038900000000004</v>
      </c>
      <c r="O34" s="12">
        <f t="shared" si="4"/>
        <v>1.75</v>
      </c>
      <c r="P34" s="13">
        <v>21</v>
      </c>
      <c r="Q34" s="22">
        <v>3.4148134240697514E-2</v>
      </c>
      <c r="R34" s="19">
        <f t="shared" si="5"/>
        <v>4.4144756129403939E-2</v>
      </c>
      <c r="S34" s="22">
        <v>3.414921745828492E-2</v>
      </c>
      <c r="T34" s="19">
        <f t="shared" si="6"/>
        <v>4.4141430069560617E-2</v>
      </c>
      <c r="U34" s="24">
        <v>3.8628464807889173E-2</v>
      </c>
      <c r="V34" s="24">
        <f t="shared" si="7"/>
        <v>4.8623621219247903E-2</v>
      </c>
      <c r="W34" s="23">
        <f t="shared" si="10"/>
        <v>3.9579681777826003E-3</v>
      </c>
      <c r="X34" s="24">
        <v>3.7728615990232139E-2</v>
      </c>
      <c r="Y34" s="24">
        <f t="shared" si="8"/>
        <v>4.7723181808682957E-2</v>
      </c>
      <c r="Z34" s="23">
        <f t="shared" si="9"/>
        <v>3.8861643277134927E-3</v>
      </c>
      <c r="AA34" s="36"/>
    </row>
    <row r="35" spans="4:27" ht="13.9" customHeight="1" x14ac:dyDescent="0.3">
      <c r="D35" s="57" t="s">
        <v>47</v>
      </c>
      <c r="E35" s="53">
        <v>170.3</v>
      </c>
      <c r="F35" s="53">
        <v>6.1</v>
      </c>
      <c r="G35" s="53">
        <f t="shared" si="11"/>
        <v>164.20000000000002</v>
      </c>
      <c r="H35" s="54">
        <v>0.15679999999999999</v>
      </c>
      <c r="I35" s="64"/>
      <c r="J35" s="55">
        <f t="shared" si="12"/>
        <v>25.746560000000002</v>
      </c>
      <c r="O35" s="12">
        <f t="shared" si="4"/>
        <v>1.8333333333333333</v>
      </c>
      <c r="P35" s="13">
        <v>22</v>
      </c>
      <c r="Q35" s="22">
        <v>3.4600442884938687E-2</v>
      </c>
      <c r="R35" s="19">
        <f t="shared" si="5"/>
        <v>4.3353719483913755E-2</v>
      </c>
      <c r="S35" s="22">
        <v>3.4601327514604652E-2</v>
      </c>
      <c r="T35" s="19">
        <f t="shared" si="6"/>
        <v>4.33451492296546E-2</v>
      </c>
      <c r="U35" s="24">
        <v>3.9080716376417524E-2</v>
      </c>
      <c r="V35" s="24">
        <f t="shared" si="7"/>
        <v>4.7830978197333618E-2</v>
      </c>
      <c r="W35" s="23">
        <f t="shared" si="10"/>
        <v>3.9643763779306784E-3</v>
      </c>
      <c r="X35" s="24">
        <v>3.8180839171134018E-2</v>
      </c>
      <c r="Y35" s="24">
        <f t="shared" si="8"/>
        <v>4.692980795123014E-2</v>
      </c>
      <c r="Z35" s="23">
        <f t="shared" si="9"/>
        <v>3.892507163331782E-3</v>
      </c>
      <c r="AA35" s="36"/>
    </row>
    <row r="36" spans="4:27" ht="13.9" customHeight="1" x14ac:dyDescent="0.3">
      <c r="D36" s="57" t="s">
        <v>44</v>
      </c>
      <c r="E36" s="53">
        <v>89.3</v>
      </c>
      <c r="F36" s="53">
        <v>6.1</v>
      </c>
      <c r="G36" s="53">
        <f t="shared" si="11"/>
        <v>83.2</v>
      </c>
      <c r="H36" s="54">
        <v>8.3549999999999999E-2</v>
      </c>
      <c r="I36" s="64"/>
      <c r="J36" s="55">
        <f t="shared" si="12"/>
        <v>6.9513600000000002</v>
      </c>
      <c r="O36" s="12">
        <f t="shared" si="4"/>
        <v>1.9166666666666667</v>
      </c>
      <c r="P36" s="13">
        <v>23</v>
      </c>
      <c r="Q36" s="22">
        <v>3.4979488626031952E-2</v>
      </c>
      <c r="R36" s="19">
        <f t="shared" si="5"/>
        <v>4.1689630330272509E-2</v>
      </c>
      <c r="S36" s="22">
        <v>3.4979965472771601E-2</v>
      </c>
      <c r="T36" s="19">
        <f t="shared" si="6"/>
        <v>4.1678591810456078E-2</v>
      </c>
      <c r="U36" s="24">
        <v>3.9459638655038765E-2</v>
      </c>
      <c r="V36" s="24">
        <f t="shared" si="7"/>
        <v>4.6166067752396511E-2</v>
      </c>
      <c r="W36" s="23">
        <f t="shared" si="10"/>
        <v>3.9011139917719539E-3</v>
      </c>
      <c r="X36" s="24">
        <v>3.8559704366420089E-2</v>
      </c>
      <c r="Y36" s="24">
        <f t="shared" si="8"/>
        <v>4.5264564559021725E-2</v>
      </c>
      <c r="Z36" s="23">
        <f t="shared" si="9"/>
        <v>3.829136525944854E-3</v>
      </c>
      <c r="AA36" s="36"/>
    </row>
    <row r="37" spans="4:27" ht="13.9" customHeight="1" x14ac:dyDescent="0.3">
      <c r="D37" s="57" t="s">
        <v>45</v>
      </c>
      <c r="E37" s="58"/>
      <c r="F37" s="58"/>
      <c r="G37" s="53">
        <v>201</v>
      </c>
      <c r="H37" s="54">
        <v>4.9160000000000002E-2</v>
      </c>
      <c r="I37" s="64"/>
      <c r="J37" s="55">
        <f t="shared" si="12"/>
        <v>9.8811600000000013</v>
      </c>
      <c r="O37" s="12">
        <f t="shared" si="4"/>
        <v>2</v>
      </c>
      <c r="P37" s="13">
        <v>24</v>
      </c>
      <c r="Q37" s="22">
        <v>3.5258212947800738E-2</v>
      </c>
      <c r="R37" s="19">
        <f t="shared" si="5"/>
        <v>3.9395088520125077E-2</v>
      </c>
      <c r="S37" s="22">
        <v>3.5258212947810064E-2</v>
      </c>
      <c r="T37" s="19">
        <f t="shared" si="6"/>
        <v>3.938550206787772E-2</v>
      </c>
      <c r="U37" s="24">
        <v>3.9738212947801665E-2</v>
      </c>
      <c r="V37" s="24">
        <f t="shared" si="7"/>
        <v>4.3871840848531907E-2</v>
      </c>
      <c r="W37" s="23">
        <f t="shared" si="10"/>
        <v>3.7680912742950046E-3</v>
      </c>
      <c r="X37" s="24">
        <v>3.883821294780132E-2</v>
      </c>
      <c r="Y37" s="24">
        <f t="shared" si="8"/>
        <v>4.297056147535594E-2</v>
      </c>
      <c r="Z37" s="23">
        <f t="shared" si="9"/>
        <v>3.6959821258131242E-3</v>
      </c>
      <c r="AA37" s="36"/>
    </row>
    <row r="38" spans="4:27" ht="13.9" customHeight="1" x14ac:dyDescent="0.3">
      <c r="D38" s="57" t="s">
        <v>46</v>
      </c>
      <c r="E38" s="58"/>
      <c r="F38" s="58"/>
      <c r="G38" s="58"/>
      <c r="H38" s="58"/>
      <c r="I38" s="64"/>
      <c r="J38" s="56">
        <f>SUM(J33:J37)</f>
        <v>44.815703000000006</v>
      </c>
      <c r="O38" s="12">
        <f t="shared" si="4"/>
        <v>2.0833333333333335</v>
      </c>
      <c r="P38" s="13">
        <v>25</v>
      </c>
      <c r="Q38" s="22">
        <v>3.5423371403787041E-2</v>
      </c>
      <c r="R38" s="19">
        <f t="shared" si="5"/>
        <v>3.7430233307468086E-2</v>
      </c>
      <c r="S38" s="22">
        <v>3.5422989409277905E-2</v>
      </c>
      <c r="T38" s="19">
        <f t="shared" si="6"/>
        <v>3.7424472069428116E-2</v>
      </c>
      <c r="U38" s="24">
        <v>3.99032433514801E-2</v>
      </c>
      <c r="V38" s="24">
        <f t="shared" si="7"/>
        <v>4.1908064288577407E-2</v>
      </c>
      <c r="W38" s="23">
        <f t="shared" si="10"/>
        <v>3.5844692425368585E-3</v>
      </c>
      <c r="X38" s="24">
        <v>3.9003192099302364E-2</v>
      </c>
      <c r="Y38" s="24">
        <f t="shared" si="8"/>
        <v>4.1007336497273172E-2</v>
      </c>
      <c r="Z38" s="23">
        <f t="shared" si="9"/>
        <v>3.5122327155907573E-3</v>
      </c>
      <c r="AA38" s="36"/>
    </row>
    <row r="39" spans="4:27" ht="13.9" customHeight="1" x14ac:dyDescent="0.3">
      <c r="O39" s="12">
        <f t="shared" si="4"/>
        <v>2.1666666666666665</v>
      </c>
      <c r="P39" s="13">
        <v>26</v>
      </c>
      <c r="Q39" s="22">
        <v>3.5500486566025335E-2</v>
      </c>
      <c r="R39" s="19">
        <f t="shared" si="5"/>
        <v>3.6032838561224301E-2</v>
      </c>
      <c r="S39" s="22">
        <v>3.5499898061841062E-2</v>
      </c>
      <c r="T39" s="19">
        <f t="shared" si="6"/>
        <v>3.6031768552087007E-2</v>
      </c>
      <c r="U39" s="24">
        <v>3.9980280469388285E-2</v>
      </c>
      <c r="V39" s="24">
        <f t="shared" si="7"/>
        <v>4.0512134577430414E-2</v>
      </c>
      <c r="W39" s="23">
        <f t="shared" si="10"/>
        <v>3.4270012362822566E-3</v>
      </c>
      <c r="X39" s="24">
        <v>3.9080203182897399E-2</v>
      </c>
      <c r="Y39" s="24">
        <f t="shared" si="8"/>
        <v>3.9612058316471854E-2</v>
      </c>
      <c r="Z39" s="23">
        <f t="shared" si="9"/>
        <v>3.3546841630458513E-3</v>
      </c>
      <c r="AA39" s="36"/>
    </row>
    <row r="40" spans="4:27" ht="13.9" customHeight="1" x14ac:dyDescent="0.3">
      <c r="O40" s="12">
        <f t="shared" si="4"/>
        <v>2.25</v>
      </c>
      <c r="P40" s="13">
        <v>27</v>
      </c>
      <c r="Q40" s="22">
        <v>3.5520198427740901E-2</v>
      </c>
      <c r="R40" s="19">
        <f t="shared" si="5"/>
        <v>3.5201016610904912E-2</v>
      </c>
      <c r="S40" s="22">
        <v>3.5519592098857355E-2</v>
      </c>
      <c r="T40" s="19">
        <f t="shared" si="6"/>
        <v>3.5204347863470042E-2</v>
      </c>
      <c r="U40" s="24">
        <v>3.9999973920928689E-2</v>
      </c>
      <c r="V40" s="24">
        <f t="shared" si="7"/>
        <v>3.9681867886032895E-2</v>
      </c>
      <c r="W40" s="23">
        <f t="shared" si="10"/>
        <v>3.3149012599142935E-3</v>
      </c>
      <c r="X40" s="24">
        <v>3.9099896668203016E-2</v>
      </c>
      <c r="Y40" s="24">
        <f t="shared" si="8"/>
        <v>3.8782367739047974E-2</v>
      </c>
      <c r="Z40" s="23">
        <f t="shared" si="9"/>
        <v>3.2425476137520892E-3</v>
      </c>
      <c r="AA40" s="36"/>
    </row>
    <row r="41" spans="4:27" ht="13.9" customHeight="1" x14ac:dyDescent="0.25">
      <c r="D41" s="65" t="s">
        <v>51</v>
      </c>
      <c r="E41" s="66"/>
      <c r="F41" s="66"/>
      <c r="G41" s="66"/>
      <c r="H41" s="66"/>
      <c r="I41" s="66"/>
      <c r="J41" s="66"/>
      <c r="O41" s="12">
        <f t="shared" si="4"/>
        <v>2.3333333333333335</v>
      </c>
      <c r="P41" s="13">
        <v>28</v>
      </c>
      <c r="Q41" s="22">
        <v>3.5508797382711732E-2</v>
      </c>
      <c r="R41" s="19">
        <f t="shared" si="5"/>
        <v>3.49333384870818E-2</v>
      </c>
      <c r="S41" s="22">
        <v>3.5508331723288933E-2</v>
      </c>
      <c r="T41" s="19">
        <f t="shared" si="6"/>
        <v>3.4939643841486845E-2</v>
      </c>
      <c r="U41" s="24">
        <v>3.9988611315338041E-2</v>
      </c>
      <c r="V41" s="24">
        <f t="shared" si="7"/>
        <v>3.9415532611694504E-2</v>
      </c>
      <c r="W41" s="23">
        <f t="shared" si="10"/>
        <v>3.2481613884973726E-3</v>
      </c>
      <c r="X41" s="24">
        <v>3.9088554678160525E-2</v>
      </c>
      <c r="Y41" s="24">
        <f t="shared" si="8"/>
        <v>3.8516363880249482E-2</v>
      </c>
      <c r="Z41" s="23">
        <f t="shared" si="9"/>
        <v>3.1758011200297975E-3</v>
      </c>
      <c r="AA41" s="36"/>
    </row>
    <row r="42" spans="4:27" ht="13.9" customHeight="1" x14ac:dyDescent="0.3">
      <c r="O42" s="12">
        <f t="shared" si="4"/>
        <v>2.4166666666666665</v>
      </c>
      <c r="P42" s="13">
        <v>29</v>
      </c>
      <c r="Q42" s="22">
        <v>3.5488948646960727E-2</v>
      </c>
      <c r="R42" s="19">
        <f t="shared" si="5"/>
        <v>3.5229087616692079E-2</v>
      </c>
      <c r="S42" s="22">
        <v>3.548871659538011E-2</v>
      </c>
      <c r="T42" s="19">
        <f t="shared" si="6"/>
        <v>3.5235815446607033E-2</v>
      </c>
      <c r="U42" s="24">
        <v>3.9968844721903318E-2</v>
      </c>
      <c r="V42" s="24">
        <f t="shared" si="7"/>
        <v>3.9712100559059715E-2</v>
      </c>
      <c r="W42" s="23">
        <f t="shared" si="10"/>
        <v>3.226742035776109E-3</v>
      </c>
      <c r="X42" s="24">
        <v>3.9068818713908104E-2</v>
      </c>
      <c r="Y42" s="24">
        <f t="shared" si="8"/>
        <v>3.881285463134887E-2</v>
      </c>
      <c r="Z42" s="23">
        <f t="shared" si="9"/>
        <v>3.154391441520632E-3</v>
      </c>
      <c r="AA42" s="36"/>
    </row>
    <row r="43" spans="4:27" ht="13.9" customHeight="1" x14ac:dyDescent="0.3">
      <c r="D43" s="62" t="s">
        <v>54</v>
      </c>
      <c r="E43" s="62" t="s">
        <v>61</v>
      </c>
      <c r="F43" s="67" t="s">
        <v>52</v>
      </c>
      <c r="G43" s="62" t="s">
        <v>53</v>
      </c>
      <c r="H43" s="62" t="s">
        <v>56</v>
      </c>
      <c r="I43" s="64"/>
      <c r="J43" s="62" t="s">
        <v>58</v>
      </c>
      <c r="O43" s="12">
        <f t="shared" si="4"/>
        <v>2.5</v>
      </c>
      <c r="P43" s="13">
        <v>30</v>
      </c>
      <c r="Q43" s="22">
        <v>3.5480285561785285E-2</v>
      </c>
      <c r="R43" s="19">
        <f t="shared" si="5"/>
        <v>3.6001509743314175E-2</v>
      </c>
      <c r="S43" s="22">
        <v>3.5480285561793945E-2</v>
      </c>
      <c r="T43" s="19">
        <f t="shared" si="6"/>
        <v>3.60058565903707E-2</v>
      </c>
      <c r="U43" s="24">
        <v>3.9960285561787101E-2</v>
      </c>
      <c r="V43" s="24">
        <f t="shared" si="7"/>
        <v>4.0484596195331291E-2</v>
      </c>
      <c r="W43" s="23">
        <f t="shared" si="10"/>
        <v>3.2505924582257872E-3</v>
      </c>
      <c r="X43" s="24">
        <v>3.906028556178609E-2</v>
      </c>
      <c r="Y43" s="24">
        <f t="shared" si="8"/>
        <v>3.958485789002042E-2</v>
      </c>
      <c r="Z43" s="23">
        <f t="shared" si="9"/>
        <v>3.1782545775722593E-3</v>
      </c>
      <c r="AA43" s="36"/>
    </row>
    <row r="44" spans="4:27" ht="13.9" customHeight="1" x14ac:dyDescent="0.3">
      <c r="D44" s="63"/>
      <c r="E44" s="63"/>
      <c r="F44" s="68"/>
      <c r="G44" s="63"/>
      <c r="H44" s="63"/>
      <c r="I44" s="64"/>
      <c r="J44" s="63"/>
      <c r="O44" s="12">
        <f t="shared" si="4"/>
        <v>2.5833333333333335</v>
      </c>
      <c r="P44" s="13">
        <v>31</v>
      </c>
      <c r="Q44" s="22">
        <v>3.5497095151211688E-2</v>
      </c>
      <c r="R44" s="19">
        <f t="shared" si="5"/>
        <v>3.6903344546743488E-2</v>
      </c>
      <c r="S44" s="22">
        <v>3.5497235303536767E-2</v>
      </c>
      <c r="T44" s="19">
        <f t="shared" si="6"/>
        <v>3.6905207922346861E-2</v>
      </c>
      <c r="U44" s="24">
        <v>3.9977194683401773E-2</v>
      </c>
      <c r="V44" s="24">
        <f t="shared" si="7"/>
        <v>4.1385934033764338E-2</v>
      </c>
      <c r="W44" s="23">
        <f t="shared" si="10"/>
        <v>3.3126884069545337E-3</v>
      </c>
      <c r="X44" s="24">
        <v>3.9077203117472203E-2</v>
      </c>
      <c r="Y44" s="24">
        <f t="shared" si="8"/>
        <v>4.048579384430262E-2</v>
      </c>
      <c r="Z44" s="23">
        <f t="shared" si="9"/>
        <v>3.240360183021096E-3</v>
      </c>
      <c r="AA44" s="36"/>
    </row>
    <row r="45" spans="4:27" ht="13.9" customHeight="1" x14ac:dyDescent="0.3">
      <c r="D45" s="51">
        <v>2021</v>
      </c>
      <c r="E45" s="52">
        <v>2.6499999999999999E-2</v>
      </c>
      <c r="F45" s="59">
        <v>0.02</v>
      </c>
      <c r="G45" s="59">
        <v>4.65E-2</v>
      </c>
      <c r="H45" s="60" t="s">
        <v>26</v>
      </c>
      <c r="I45" s="64"/>
      <c r="J45" s="59">
        <v>4.9500000000000002E-2</v>
      </c>
      <c r="O45" s="12">
        <f t="shared" si="4"/>
        <v>2.6666666666666665</v>
      </c>
      <c r="P45" s="13">
        <v>32</v>
      </c>
      <c r="Q45" s="22">
        <v>3.5541011563257063E-2</v>
      </c>
      <c r="R45" s="19">
        <f t="shared" si="5"/>
        <v>3.7848009897506696E-2</v>
      </c>
      <c r="S45" s="22">
        <v>3.5541205495518646E-2</v>
      </c>
      <c r="T45" s="19">
        <f t="shared" si="6"/>
        <v>3.784799819866147E-2</v>
      </c>
      <c r="U45" s="24">
        <v>4.0021188928961671E-2</v>
      </c>
      <c r="V45" s="24">
        <f t="shared" si="7"/>
        <v>4.232957151720651E-2</v>
      </c>
      <c r="W45" s="23">
        <f t="shared" si="10"/>
        <v>3.385087751755167E-3</v>
      </c>
      <c r="X45" s="24">
        <v>3.9121192699664409E-2</v>
      </c>
      <c r="Y45" s="24">
        <f t="shared" si="8"/>
        <v>4.1429256133955983E-2</v>
      </c>
      <c r="Z45" s="23">
        <f t="shared" si="9"/>
        <v>3.3127846454268361E-3</v>
      </c>
      <c r="AA45" s="36"/>
    </row>
    <row r="46" spans="4:27" ht="13.9" customHeight="1" x14ac:dyDescent="0.3">
      <c r="D46" s="51">
        <v>2022</v>
      </c>
      <c r="E46" s="52">
        <v>2.5999999999999999E-2</v>
      </c>
      <c r="F46" s="59">
        <v>0.02</v>
      </c>
      <c r="G46" s="59">
        <v>4.5999999999999999E-2</v>
      </c>
      <c r="H46" s="60" t="s">
        <v>26</v>
      </c>
      <c r="I46" s="64"/>
      <c r="J46" s="59">
        <v>4.9500000000000002E-2</v>
      </c>
      <c r="O46" s="12">
        <f t="shared" si="4"/>
        <v>2.75</v>
      </c>
      <c r="P46" s="13">
        <v>33</v>
      </c>
      <c r="Q46" s="22">
        <v>3.5610845201370367E-2</v>
      </c>
      <c r="R46" s="19">
        <f t="shared" si="5"/>
        <v>3.8835911233517928E-2</v>
      </c>
      <c r="S46" s="22">
        <v>3.5611032915831675E-2</v>
      </c>
      <c r="T46" s="19">
        <f t="shared" si="6"/>
        <v>3.8834564431752927E-2</v>
      </c>
      <c r="U46" s="24">
        <v>4.0091064748451144E-2</v>
      </c>
      <c r="V46" s="24">
        <f t="shared" si="7"/>
        <v>4.3315874877380312E-2</v>
      </c>
      <c r="W46" s="23">
        <f t="shared" si="10"/>
        <v>3.4608232647783677E-3</v>
      </c>
      <c r="X46" s="24">
        <v>3.9191058803599299E-2</v>
      </c>
      <c r="Y46" s="24">
        <f t="shared" si="8"/>
        <v>4.2415607408313738E-2</v>
      </c>
      <c r="Z46" s="23">
        <f t="shared" si="9"/>
        <v>3.3885661228285624E-3</v>
      </c>
      <c r="AA46" s="36"/>
    </row>
    <row r="47" spans="4:27" ht="13.9" customHeight="1" x14ac:dyDescent="0.3">
      <c r="D47" s="51">
        <v>2023</v>
      </c>
      <c r="E47" s="52">
        <v>2.4500000000000001E-2</v>
      </c>
      <c r="F47" s="59">
        <v>0.02</v>
      </c>
      <c r="G47" s="59">
        <v>4.4499999999999998E-2</v>
      </c>
      <c r="H47" s="60" t="s">
        <v>55</v>
      </c>
      <c r="I47" s="64"/>
      <c r="J47" s="59">
        <v>4.8000000000000001E-2</v>
      </c>
      <c r="O47" s="12">
        <f t="shared" si="4"/>
        <v>2.8333333333333335</v>
      </c>
      <c r="P47" s="13">
        <v>34</v>
      </c>
      <c r="Q47" s="22">
        <v>3.5705557024246826E-2</v>
      </c>
      <c r="R47" s="19">
        <f t="shared" si="5"/>
        <v>3.9867496353036769E-2</v>
      </c>
      <c r="S47" s="22">
        <v>3.5705699741871655E-2</v>
      </c>
      <c r="T47" s="19">
        <f t="shared" si="6"/>
        <v>3.9865287091621404E-2</v>
      </c>
      <c r="U47" s="24">
        <v>4.0185769682328676E-2</v>
      </c>
      <c r="V47" s="24">
        <f t="shared" si="7"/>
        <v>4.4345251194645607E-2</v>
      </c>
      <c r="W47" s="23">
        <f t="shared" si="10"/>
        <v>3.5399159553617388E-3</v>
      </c>
      <c r="X47" s="24">
        <v>3.9285755945587475E-2</v>
      </c>
      <c r="Y47" s="24">
        <f t="shared" si="8"/>
        <v>4.3445251768646775E-2</v>
      </c>
      <c r="Z47" s="23">
        <f t="shared" si="9"/>
        <v>3.4677253028110311E-3</v>
      </c>
      <c r="AA47" s="36"/>
    </row>
    <row r="48" spans="4:27" ht="13.9" customHeight="1" x14ac:dyDescent="0.3">
      <c r="D48" s="51">
        <v>2024</v>
      </c>
      <c r="E48" s="52">
        <v>2.1999999999999999E-2</v>
      </c>
      <c r="F48" s="59">
        <v>0.02</v>
      </c>
      <c r="G48" s="59">
        <v>4.1999999999999996E-2</v>
      </c>
      <c r="H48" s="60" t="s">
        <v>57</v>
      </c>
      <c r="I48" s="64"/>
      <c r="J48" s="59">
        <v>4.5499999999999999E-2</v>
      </c>
      <c r="O48" s="12">
        <f t="shared" si="4"/>
        <v>2.9166666666666665</v>
      </c>
      <c r="P48" s="13">
        <v>35</v>
      </c>
      <c r="Q48" s="22">
        <v>3.5824238091378247E-2</v>
      </c>
      <c r="R48" s="19">
        <f t="shared" si="5"/>
        <v>4.094325750379868E-2</v>
      </c>
      <c r="S48" s="22">
        <v>3.5824313870847835E-2</v>
      </c>
      <c r="T48" s="19">
        <f t="shared" si="6"/>
        <v>4.0940592118656083E-2</v>
      </c>
      <c r="U48" s="24">
        <v>4.0304381792349409E-2</v>
      </c>
      <c r="V48" s="24">
        <f t="shared" si="7"/>
        <v>4.541815036457364E-2</v>
      </c>
      <c r="W48" s="23">
        <f t="shared" si="10"/>
        <v>3.6223896497580288E-3</v>
      </c>
      <c r="X48" s="24">
        <v>3.940436826405791E-2</v>
      </c>
      <c r="Y48" s="24">
        <f t="shared" si="8"/>
        <v>4.4518636747329365E-2</v>
      </c>
      <c r="Z48" s="23">
        <f t="shared" si="9"/>
        <v>3.5502857371814134E-3</v>
      </c>
      <c r="AA48" s="36"/>
    </row>
    <row r="49" spans="4:27" ht="13.9" customHeight="1" x14ac:dyDescent="0.3">
      <c r="D49" s="51">
        <v>2025</v>
      </c>
      <c r="E49" s="52">
        <v>2.1500000000000002E-2</v>
      </c>
      <c r="F49" s="59">
        <v>0.02</v>
      </c>
      <c r="G49" s="59">
        <v>4.1500000000000002E-2</v>
      </c>
      <c r="H49" s="60" t="s">
        <v>57</v>
      </c>
      <c r="I49" s="64"/>
      <c r="J49" s="59">
        <v>4.2999999999999997E-2</v>
      </c>
      <c r="O49" s="12">
        <f t="shared" si="4"/>
        <v>3</v>
      </c>
      <c r="P49" s="13">
        <v>36</v>
      </c>
      <c r="Q49" s="22">
        <v>3.5966092578726183E-2</v>
      </c>
      <c r="R49" s="19">
        <f t="shared" si="5"/>
        <v>4.2027802352666122E-2</v>
      </c>
      <c r="S49" s="22">
        <v>3.5966092578734399E-2</v>
      </c>
      <c r="T49" s="19">
        <f t="shared" si="6"/>
        <v>4.2024898550194756E-2</v>
      </c>
      <c r="U49" s="24">
        <v>4.0446092578727777E-2</v>
      </c>
      <c r="V49" s="24">
        <f t="shared" si="7"/>
        <v>4.6499473946923997E-2</v>
      </c>
      <c r="W49" s="23">
        <f t="shared" si="10"/>
        <v>3.7082711258629164E-3</v>
      </c>
      <c r="X49" s="24">
        <v>3.9546092578726544E-2</v>
      </c>
      <c r="Y49" s="24">
        <f t="shared" si="8"/>
        <v>4.5600567046169438E-2</v>
      </c>
      <c r="Z49" s="23">
        <f t="shared" si="9"/>
        <v>3.6362739776445441E-3</v>
      </c>
      <c r="AA49" s="36"/>
    </row>
    <row r="50" spans="4:27" ht="13.9" customHeight="1" x14ac:dyDescent="0.3">
      <c r="D50" s="51">
        <v>2026</v>
      </c>
      <c r="E50" s="52">
        <v>2.1999999999999999E-2</v>
      </c>
      <c r="F50" s="59">
        <v>0.02</v>
      </c>
      <c r="G50" s="59">
        <v>4.1999999999999996E-2</v>
      </c>
      <c r="H50" s="60" t="s">
        <v>26</v>
      </c>
      <c r="I50" s="70"/>
      <c r="J50" s="61">
        <v>4.2999999999999997E-2</v>
      </c>
      <c r="O50" s="12">
        <f t="shared" si="4"/>
        <v>3.0833333333333335</v>
      </c>
      <c r="P50" s="13">
        <v>37</v>
      </c>
      <c r="Q50" s="22">
        <v>3.6129458007483128E-2</v>
      </c>
      <c r="R50" s="19">
        <f t="shared" si="5"/>
        <v>4.2977588764213648E-2</v>
      </c>
      <c r="S50" s="22">
        <v>3.6129379970475828E-2</v>
      </c>
      <c r="T50" s="19">
        <f t="shared" si="6"/>
        <v>4.297424944770678E-2</v>
      </c>
      <c r="U50" s="24">
        <v>4.0609236175956021E-2</v>
      </c>
      <c r="V50" s="24">
        <f t="shared" si="7"/>
        <v>4.7447033504703029E-2</v>
      </c>
      <c r="W50" s="23">
        <f t="shared" si="10"/>
        <v>3.7947452345943322E-3</v>
      </c>
      <c r="X50" s="24">
        <v>3.9709265154876938E-2</v>
      </c>
      <c r="Y50" s="24">
        <f t="shared" si="8"/>
        <v>4.6548491394169833E-2</v>
      </c>
      <c r="Z50" s="23">
        <f t="shared" si="9"/>
        <v>3.7228648469451731E-3</v>
      </c>
      <c r="AA50" s="36"/>
    </row>
    <row r="51" spans="4:27" ht="13.9" customHeight="1" x14ac:dyDescent="0.3">
      <c r="D51" s="71" t="s">
        <v>62</v>
      </c>
      <c r="E51" s="71"/>
      <c r="F51" s="71"/>
      <c r="G51" s="71"/>
      <c r="H51" s="71"/>
      <c r="I51" s="71"/>
      <c r="J51" s="71"/>
      <c r="O51" s="12">
        <f t="shared" si="4"/>
        <v>3.1666666666666665</v>
      </c>
      <c r="P51" s="13">
        <v>38</v>
      </c>
      <c r="Q51" s="22">
        <v>3.6309094608594217E-2</v>
      </c>
      <c r="R51" s="19">
        <f t="shared" si="5"/>
        <v>4.375624877159745E-2</v>
      </c>
      <c r="S51" s="22">
        <v>3.6308931296997304E-2</v>
      </c>
      <c r="T51" s="19">
        <f t="shared" si="6"/>
        <v>4.3752481713089875E-2</v>
      </c>
      <c r="U51" s="24">
        <v>4.0788605049507209E-2</v>
      </c>
      <c r="V51" s="24">
        <f t="shared" si="7"/>
        <v>4.8224882935692825E-2</v>
      </c>
      <c r="W51" s="23">
        <f t="shared" si="10"/>
        <v>3.8704548444681297E-3</v>
      </c>
      <c r="X51" s="24">
        <v>3.9888670898079237E-2</v>
      </c>
      <c r="Y51" s="24">
        <f t="shared" si="8"/>
        <v>4.7326419240851347E-2</v>
      </c>
      <c r="Z51" s="23">
        <f t="shared" si="9"/>
        <v>3.7986632489621641E-3</v>
      </c>
      <c r="AA51" s="36"/>
    </row>
    <row r="52" spans="4:27" ht="13.9" customHeight="1" x14ac:dyDescent="0.3">
      <c r="D52" s="72"/>
      <c r="E52" s="72"/>
      <c r="F52" s="72"/>
      <c r="G52" s="72"/>
      <c r="H52" s="72"/>
      <c r="I52" s="72"/>
      <c r="J52" s="72"/>
      <c r="O52" s="12">
        <f t="shared" si="4"/>
        <v>3.25</v>
      </c>
      <c r="P52" s="13">
        <v>39</v>
      </c>
      <c r="Q52" s="22">
        <v>3.6499381902253214E-2</v>
      </c>
      <c r="R52" s="19">
        <f t="shared" si="5"/>
        <v>4.4363232655130869E-2</v>
      </c>
      <c r="S52" s="22">
        <v>3.6499126829081296E-2</v>
      </c>
      <c r="T52" s="19">
        <f t="shared" si="6"/>
        <v>4.4359407962509811E-2</v>
      </c>
      <c r="U52" s="24">
        <v>4.097861824388227E-2</v>
      </c>
      <c r="V52" s="24">
        <f t="shared" si="7"/>
        <v>4.8832570203767967E-2</v>
      </c>
      <c r="W52" s="23">
        <f t="shared" si="10"/>
        <v>3.932557778689949E-3</v>
      </c>
      <c r="X52" s="24">
        <v>4.0078720966560288E-2</v>
      </c>
      <c r="Y52" s="24">
        <f t="shared" si="8"/>
        <v>4.7933952969363647E-2</v>
      </c>
      <c r="Z52" s="23">
        <f t="shared" si="9"/>
        <v>3.8608213035142835E-3</v>
      </c>
      <c r="AA52" s="36"/>
    </row>
    <row r="53" spans="4:27" ht="13.9" customHeight="1" x14ac:dyDescent="0.3">
      <c r="D53" s="73" t="s">
        <v>63</v>
      </c>
      <c r="E53" s="73"/>
      <c r="F53" s="73"/>
      <c r="G53" s="73"/>
      <c r="H53" s="73"/>
      <c r="I53" s="73"/>
      <c r="J53" s="73"/>
      <c r="O53" s="12">
        <f t="shared" si="4"/>
        <v>3.3333333333333335</v>
      </c>
      <c r="P53" s="13">
        <v>40</v>
      </c>
      <c r="Q53" s="22">
        <v>3.6695254645787267E-2</v>
      </c>
      <c r="R53" s="19">
        <f t="shared" si="5"/>
        <v>4.4797967189409871E-2</v>
      </c>
      <c r="S53" s="22">
        <v>3.6694910987030704E-2</v>
      </c>
      <c r="T53" s="19">
        <f t="shared" si="6"/>
        <v>4.4794815311977931E-2</v>
      </c>
      <c r="U53" s="24">
        <v>4.1174248423563542E-2</v>
      </c>
      <c r="V53" s="24">
        <f t="shared" si="7"/>
        <v>4.926962187836037E-2</v>
      </c>
      <c r="W53" s="23">
        <f t="shared" si="10"/>
        <v>3.9810457033739866E-3</v>
      </c>
      <c r="X53" s="24">
        <v>4.0274382294738453E-2</v>
      </c>
      <c r="Y53" s="24">
        <f t="shared" si="8"/>
        <v>4.8370672451692576E-2</v>
      </c>
      <c r="Z53" s="23">
        <f t="shared" si="9"/>
        <v>3.9093350880552435E-3</v>
      </c>
      <c r="AA53" s="36"/>
    </row>
    <row r="54" spans="4:27" ht="13.9" customHeight="1" x14ac:dyDescent="0.3">
      <c r="D54" s="73"/>
      <c r="E54" s="73"/>
      <c r="F54" s="73"/>
      <c r="G54" s="73"/>
      <c r="H54" s="73"/>
      <c r="I54" s="73"/>
      <c r="J54" s="73"/>
      <c r="O54" s="12">
        <f t="shared" si="4"/>
        <v>3.4166666666666665</v>
      </c>
      <c r="P54" s="13">
        <v>41</v>
      </c>
      <c r="Q54" s="22">
        <v>3.6892132156265856E-2</v>
      </c>
      <c r="R54" s="19">
        <f t="shared" si="5"/>
        <v>4.5059879500400246E-2</v>
      </c>
      <c r="S54" s="22">
        <v>3.6891720522312266E-2</v>
      </c>
      <c r="T54" s="19">
        <f t="shared" si="6"/>
        <v>4.505848878261709E-2</v>
      </c>
      <c r="U54" s="24">
        <v>4.1370951488336249E-2</v>
      </c>
      <c r="V54" s="24">
        <f t="shared" si="7"/>
        <v>4.95355663948851E-2</v>
      </c>
      <c r="W54" s="23">
        <f t="shared" si="10"/>
        <v>4.015902539102445E-3</v>
      </c>
      <c r="X54" s="24">
        <v>4.0471106908412935E-2</v>
      </c>
      <c r="Y54" s="24">
        <f t="shared" si="8"/>
        <v>4.8636158333260182E-2</v>
      </c>
      <c r="Z54" s="23">
        <f t="shared" si="9"/>
        <v>3.9441928068579823E-3</v>
      </c>
      <c r="AA54" s="36"/>
    </row>
    <row r="55" spans="4:27" ht="13.9" customHeight="1" x14ac:dyDescent="0.3">
      <c r="D55" s="73"/>
      <c r="E55" s="73"/>
      <c r="F55" s="73"/>
      <c r="G55" s="73"/>
      <c r="H55" s="73"/>
      <c r="I55" s="73"/>
      <c r="J55" s="73"/>
      <c r="O55" s="12">
        <f t="shared" si="4"/>
        <v>3.5</v>
      </c>
      <c r="P55" s="13">
        <v>42</v>
      </c>
      <c r="Q55" s="22">
        <v>3.7085858490143453E-2</v>
      </c>
      <c r="R55" s="19">
        <f t="shared" si="5"/>
        <v>4.5148954282494547E-2</v>
      </c>
      <c r="S55" s="22">
        <v>3.7085423722237554E-2</v>
      </c>
      <c r="T55" s="19">
        <f t="shared" si="6"/>
        <v>4.5150234854144378E-2</v>
      </c>
      <c r="U55" s="24">
        <v>4.1564606989659136E-2</v>
      </c>
      <c r="V55" s="24">
        <f t="shared" si="7"/>
        <v>4.9629957575718198E-2</v>
      </c>
      <c r="W55" s="23">
        <f t="shared" si="10"/>
        <v>4.0371062971744642E-3</v>
      </c>
      <c r="X55" s="24">
        <v>4.0664772087248169E-2</v>
      </c>
      <c r="Y55" s="24">
        <f t="shared" si="8"/>
        <v>4.87300155604522E-2</v>
      </c>
      <c r="Z55" s="23">
        <f t="shared" si="9"/>
        <v>3.9653766372726995E-3</v>
      </c>
      <c r="AA55" s="36"/>
    </row>
    <row r="56" spans="4:27" ht="13.9" customHeight="1" x14ac:dyDescent="0.3">
      <c r="O56" s="12">
        <f t="shared" si="4"/>
        <v>3.5833333333333335</v>
      </c>
      <c r="P56" s="13">
        <v>43</v>
      </c>
      <c r="Q56" s="22">
        <v>3.7272663986477328E-2</v>
      </c>
      <c r="R56" s="19">
        <f t="shared" si="5"/>
        <v>4.5066826928483072E-2</v>
      </c>
      <c r="S56" s="22">
        <v>3.7272268809236619E-2</v>
      </c>
      <c r="T56" s="19">
        <f t="shared" si="6"/>
        <v>4.50699051392216E-2</v>
      </c>
      <c r="U56" s="24">
        <v>4.1751467560040778E-2</v>
      </c>
      <c r="V56" s="24">
        <f t="shared" si="7"/>
        <v>4.9552398387826102E-2</v>
      </c>
      <c r="W56" s="23">
        <f t="shared" si="10"/>
        <v>4.0446309224104748E-3</v>
      </c>
      <c r="X56" s="24">
        <v>4.0851629578223525E-2</v>
      </c>
      <c r="Y56" s="24">
        <f t="shared" si="8"/>
        <v>4.865189711581297E-2</v>
      </c>
      <c r="Z56" s="23">
        <f t="shared" si="9"/>
        <v>3.9728645808883023E-3</v>
      </c>
      <c r="AA56" s="36"/>
    </row>
    <row r="57" spans="4:27" ht="13.9" customHeight="1" x14ac:dyDescent="0.3">
      <c r="O57" s="12">
        <f t="shared" si="4"/>
        <v>3.6666666666666665</v>
      </c>
      <c r="P57" s="13">
        <v>44</v>
      </c>
      <c r="Q57" s="22">
        <v>3.7449156858601285E-2</v>
      </c>
      <c r="R57" s="19">
        <f t="shared" si="5"/>
        <v>4.4813610198038312E-2</v>
      </c>
      <c r="S57" s="22">
        <v>3.7448840046211851E-2</v>
      </c>
      <c r="T57" s="19">
        <f t="shared" si="6"/>
        <v>4.4817420139307451E-2</v>
      </c>
      <c r="U57" s="24">
        <v>4.1928115899715346E-2</v>
      </c>
      <c r="V57" s="24">
        <f t="shared" si="7"/>
        <v>4.9302564892337086E-2</v>
      </c>
      <c r="W57" s="23">
        <f t="shared" si="10"/>
        <v>4.0384481463540123E-3</v>
      </c>
      <c r="X57" s="24">
        <v>4.1028262397372783E-2</v>
      </c>
      <c r="Y57" s="24">
        <f t="shared" si="8"/>
        <v>4.8401527926646537E-2</v>
      </c>
      <c r="Z57" s="23">
        <f t="shared" si="9"/>
        <v>3.9666323225684419E-3</v>
      </c>
      <c r="AA57" s="36"/>
    </row>
    <row r="58" spans="4:27" ht="13.9" customHeight="1" x14ac:dyDescent="0.3">
      <c r="O58" s="12">
        <f t="shared" si="4"/>
        <v>3.75</v>
      </c>
      <c r="P58" s="13">
        <v>45</v>
      </c>
      <c r="Q58" s="22">
        <v>3.7612246068909894E-2</v>
      </c>
      <c r="R58" s="19">
        <f t="shared" si="5"/>
        <v>4.43889791358687E-2</v>
      </c>
      <c r="S58" s="22">
        <v>3.7612020329729656E-2</v>
      </c>
      <c r="T58" s="19">
        <f t="shared" si="6"/>
        <v>4.4392793020947119E-2</v>
      </c>
      <c r="U58" s="24">
        <v>4.2091428129006347E-2</v>
      </c>
      <c r="V58" s="24">
        <f t="shared" si="7"/>
        <v>4.8880230320324403E-2</v>
      </c>
      <c r="W58" s="23">
        <f t="shared" si="10"/>
        <v>4.0185293531325161E-3</v>
      </c>
      <c r="X58" s="24">
        <v>4.1191548022746272E-2</v>
      </c>
      <c r="Y58" s="24">
        <f t="shared" si="8"/>
        <v>4.7978728879773502E-2</v>
      </c>
      <c r="Z58" s="23">
        <f t="shared" si="9"/>
        <v>3.9466551004792016E-3</v>
      </c>
      <c r="AA58" s="36"/>
    </row>
    <row r="59" spans="4:27" ht="13.9" customHeight="1" x14ac:dyDescent="0.3">
      <c r="O59" s="12">
        <f t="shared" si="4"/>
        <v>3.8333333333333335</v>
      </c>
      <c r="P59" s="13">
        <v>46</v>
      </c>
      <c r="Q59" s="22">
        <v>3.7759097747687598E-2</v>
      </c>
      <c r="R59" s="19">
        <f t="shared" si="5"/>
        <v>4.3792727444352364E-2</v>
      </c>
      <c r="S59" s="22">
        <v>3.7758959268682668E-2</v>
      </c>
      <c r="T59" s="19">
        <f t="shared" si="6"/>
        <v>4.3796153333599985E-2</v>
      </c>
      <c r="U59" s="24">
        <v>4.223854252573167E-2</v>
      </c>
      <c r="V59" s="24">
        <f t="shared" si="7"/>
        <v>4.8285289198326087E-2</v>
      </c>
      <c r="W59" s="23">
        <f t="shared" si="10"/>
        <v>3.9848474586516858E-3</v>
      </c>
      <c r="X59" s="24">
        <v>4.1338626993449035E-2</v>
      </c>
      <c r="Y59" s="24">
        <f t="shared" si="8"/>
        <v>4.7383440863930426E-2</v>
      </c>
      <c r="Z59" s="23">
        <f t="shared" si="9"/>
        <v>3.9129095876730968E-3</v>
      </c>
      <c r="AA59" s="36"/>
    </row>
    <row r="60" spans="4:27" ht="13.9" customHeight="1" x14ac:dyDescent="0.3">
      <c r="O60" s="12">
        <f t="shared" si="4"/>
        <v>3.9166666666666665</v>
      </c>
      <c r="P60" s="13">
        <v>47</v>
      </c>
      <c r="Q60" s="22">
        <v>3.7887108990029894E-2</v>
      </c>
      <c r="R60" s="19">
        <f t="shared" si="5"/>
        <v>4.3024791574831411E-2</v>
      </c>
      <c r="S60" s="22">
        <v>3.7887045919395401E-2</v>
      </c>
      <c r="T60" s="19">
        <f t="shared" si="6"/>
        <v>4.3027770573175195E-2</v>
      </c>
      <c r="U60" s="24">
        <v>4.2366832836582713E-2</v>
      </c>
      <c r="V60" s="24">
        <f t="shared" si="7"/>
        <v>4.751778141804186E-2</v>
      </c>
      <c r="W60" s="23">
        <f t="shared" si="10"/>
        <v>3.9373788030272472E-3</v>
      </c>
      <c r="X60" s="24">
        <v>4.146687609993216E-2</v>
      </c>
      <c r="Y60" s="24">
        <f t="shared" si="8"/>
        <v>4.6615748736829277E-2</v>
      </c>
      <c r="Z60" s="23">
        <f t="shared" si="9"/>
        <v>3.8653757849671511E-3</v>
      </c>
      <c r="AA60" s="36"/>
    </row>
    <row r="61" spans="4:27" ht="13.9" customHeight="1" x14ac:dyDescent="0.3">
      <c r="O61" s="12">
        <f t="shared" si="4"/>
        <v>4</v>
      </c>
      <c r="P61" s="13">
        <v>48</v>
      </c>
      <c r="Q61" s="22">
        <v>3.7993885487992873E-2</v>
      </c>
      <c r="R61" s="19">
        <f t="shared" si="5"/>
        <v>4.212972640032131E-2</v>
      </c>
      <c r="S61" s="22">
        <v>3.7993885488000867E-2</v>
      </c>
      <c r="T61" s="19">
        <f t="shared" si="6"/>
        <v>4.2132488763920062E-2</v>
      </c>
      <c r="U61" s="24">
        <v>4.2473885487993357E-2</v>
      </c>
      <c r="V61" s="24">
        <f t="shared" si="7"/>
        <v>4.6622392765764076E-2</v>
      </c>
      <c r="W61" s="23">
        <f t="shared" si="10"/>
        <v>3.8761050539077857E-3</v>
      </c>
      <c r="X61" s="24">
        <v>4.1573885487993234E-2</v>
      </c>
      <c r="Y61" s="24">
        <f t="shared" si="8"/>
        <v>4.5720370870617755E-2</v>
      </c>
      <c r="Z61" s="23">
        <f t="shared" si="9"/>
        <v>3.8040389229585525E-3</v>
      </c>
      <c r="AA61" s="36"/>
    </row>
    <row r="62" spans="4:27" ht="13.9" customHeight="1" x14ac:dyDescent="0.3">
      <c r="O62" s="12">
        <f t="shared" si="4"/>
        <v>4.083333333333333</v>
      </c>
      <c r="P62" s="13">
        <v>49</v>
      </c>
      <c r="Q62" s="22">
        <v>3.8078126114251765E-2</v>
      </c>
      <c r="R62" s="19">
        <f t="shared" si="5"/>
        <v>4.1285469271896247E-2</v>
      </c>
      <c r="S62" s="22">
        <v>3.807818226977977E-2</v>
      </c>
      <c r="T62" s="19">
        <f t="shared" si="6"/>
        <v>4.1288232108739775E-2</v>
      </c>
      <c r="U62" s="24">
        <v>4.2558384313484687E-2</v>
      </c>
      <c r="V62" s="24">
        <f t="shared" si="7"/>
        <v>4.577721810951374E-2</v>
      </c>
      <c r="W62" s="23">
        <f t="shared" si="10"/>
        <v>3.8045699427144974E-3</v>
      </c>
      <c r="X62" s="24">
        <v>4.1658343068796677E-2</v>
      </c>
      <c r="Y62" s="24">
        <f t="shared" si="8"/>
        <v>4.4875375223070835E-2</v>
      </c>
      <c r="Z62" s="23">
        <f t="shared" si="9"/>
        <v>3.7324481370963891E-3</v>
      </c>
      <c r="AA62" s="36"/>
    </row>
    <row r="63" spans="4:27" ht="13.9" customHeight="1" x14ac:dyDescent="0.3">
      <c r="O63" s="12">
        <f t="shared" si="4"/>
        <v>4.166666666666667</v>
      </c>
      <c r="P63" s="13">
        <v>50</v>
      </c>
      <c r="Q63" s="22">
        <v>3.8142176059857702E-2</v>
      </c>
      <c r="R63" s="19">
        <f t="shared" si="5"/>
        <v>4.053650434570133E-2</v>
      </c>
      <c r="S63" s="22">
        <v>3.8142286185537166E-2</v>
      </c>
      <c r="T63" s="19">
        <f t="shared" si="6"/>
        <v>4.0539281914935055E-2</v>
      </c>
      <c r="U63" s="24">
        <v>4.2622663795515825E-2</v>
      </c>
      <c r="V63" s="24">
        <f t="shared" si="7"/>
        <v>4.5026736267675727E-2</v>
      </c>
      <c r="W63" s="23">
        <f t="shared" si="10"/>
        <v>3.7369950821355413E-3</v>
      </c>
      <c r="X63" s="24">
        <v>4.17225865429387E-2</v>
      </c>
      <c r="Y63" s="24">
        <f t="shared" si="8"/>
        <v>4.412520161733724E-2</v>
      </c>
      <c r="Z63" s="23">
        <f t="shared" si="9"/>
        <v>3.6648341542826479E-3</v>
      </c>
      <c r="AA63" s="36"/>
    </row>
    <row r="64" spans="4:27" ht="13.9" customHeight="1" x14ac:dyDescent="0.3">
      <c r="O64" s="12">
        <f t="shared" si="4"/>
        <v>4.25</v>
      </c>
      <c r="P64" s="13">
        <v>51</v>
      </c>
      <c r="Q64" s="22">
        <v>3.8189070676507342E-2</v>
      </c>
      <c r="R64" s="19">
        <f t="shared" si="5"/>
        <v>3.9882837358931056E-2</v>
      </c>
      <c r="S64" s="22">
        <v>3.8189232986947319E-2</v>
      </c>
      <c r="T64" s="19">
        <f t="shared" si="6"/>
        <v>3.9885439311755588E-2</v>
      </c>
      <c r="U64" s="24">
        <v>4.2669749271984969E-2</v>
      </c>
      <c r="V64" s="24">
        <f t="shared" si="7"/>
        <v>4.4370909080965859E-2</v>
      </c>
      <c r="W64" s="23">
        <f t="shared" si="10"/>
        <v>3.6769492890886823E-3</v>
      </c>
      <c r="X64" s="24">
        <v>4.1769643461573525E-2</v>
      </c>
      <c r="Y64" s="24">
        <f t="shared" si="8"/>
        <v>4.3469778200031284E-2</v>
      </c>
      <c r="Z64" s="23">
        <f t="shared" si="9"/>
        <v>3.6047655280757596E-3</v>
      </c>
      <c r="AA64" s="36"/>
    </row>
    <row r="65" spans="15:27" ht="13.9" customHeight="1" x14ac:dyDescent="0.3">
      <c r="O65" s="12">
        <f t="shared" si="4"/>
        <v>4.333333333333333</v>
      </c>
      <c r="P65" s="13">
        <v>52</v>
      </c>
      <c r="Q65" s="22">
        <v>3.8221617081356518E-2</v>
      </c>
      <c r="R65" s="19">
        <f t="shared" si="5"/>
        <v>3.9324453116849734E-2</v>
      </c>
      <c r="S65" s="22">
        <v>3.8221826232997413E-2</v>
      </c>
      <c r="T65" s="19">
        <f t="shared" si="6"/>
        <v>3.9326486852503839E-2</v>
      </c>
      <c r="U65" s="24">
        <v>4.2702437737445198E-2</v>
      </c>
      <c r="V65" s="24">
        <f t="shared" si="7"/>
        <v>4.3809676301993727E-2</v>
      </c>
      <c r="W65" s="23">
        <f t="shared" si="10"/>
        <v>3.6244444092026207E-3</v>
      </c>
      <c r="X65" s="24">
        <v>4.1802312223083282E-2</v>
      </c>
      <c r="Y65" s="24">
        <f t="shared" si="8"/>
        <v>4.2909011900536198E-2</v>
      </c>
      <c r="Z65" s="23">
        <f t="shared" si="9"/>
        <v>3.5522514402228644E-3</v>
      </c>
      <c r="AA65" s="36"/>
    </row>
    <row r="66" spans="15:27" ht="13.9" customHeight="1" x14ac:dyDescent="0.3">
      <c r="O66" s="12">
        <f t="shared" si="4"/>
        <v>4.416666666666667</v>
      </c>
      <c r="P66" s="13">
        <v>53</v>
      </c>
      <c r="Q66" s="22">
        <v>3.8242414472942077E-2</v>
      </c>
      <c r="R66" s="19">
        <f t="shared" si="5"/>
        <v>3.8861322812176802E-2</v>
      </c>
      <c r="S66" s="22">
        <v>3.8242658014828068E-2</v>
      </c>
      <c r="T66" s="19">
        <f t="shared" si="6"/>
        <v>3.8862195734831628E-2</v>
      </c>
      <c r="U66" s="24">
        <v>4.272331815586683E-2</v>
      </c>
      <c r="V66" s="24">
        <f t="shared" si="7"/>
        <v>4.3342962775511751E-2</v>
      </c>
      <c r="W66" s="23">
        <f t="shared" si="10"/>
        <v>3.5794886601587805E-3</v>
      </c>
      <c r="X66" s="24">
        <v>4.1823182475022813E-2</v>
      </c>
      <c r="Y66" s="24">
        <f t="shared" si="8"/>
        <v>4.244279562018427E-2</v>
      </c>
      <c r="Z66" s="23">
        <f t="shared" si="9"/>
        <v>3.5072974994372341E-3</v>
      </c>
      <c r="AA66" s="36"/>
    </row>
    <row r="67" spans="15:27" ht="13.9" customHeight="1" x14ac:dyDescent="0.3">
      <c r="O67" s="12">
        <f t="shared" si="4"/>
        <v>4.5</v>
      </c>
      <c r="P67" s="13">
        <v>54</v>
      </c>
      <c r="Q67" s="22">
        <v>3.8253872386967425E-2</v>
      </c>
      <c r="R67" s="19">
        <f t="shared" si="5"/>
        <v>3.8493118497270773E-2</v>
      </c>
      <c r="S67" s="22">
        <v>3.8254127577235009E-2</v>
      </c>
      <c r="T67" s="19">
        <f t="shared" si="6"/>
        <v>3.8492332956285624E-2</v>
      </c>
      <c r="U67" s="24">
        <v>4.2734789711168286E-2</v>
      </c>
      <c r="V67" s="24">
        <f t="shared" si="7"/>
        <v>4.2970685595166369E-2</v>
      </c>
      <c r="W67" s="23">
        <f t="shared" si="10"/>
        <v>3.5420871948517174E-3</v>
      </c>
      <c r="X67" s="24">
        <v>4.1834653444914549E-2</v>
      </c>
      <c r="Y67" s="24">
        <f t="shared" si="8"/>
        <v>4.2071015390081401E-2</v>
      </c>
      <c r="Z67" s="23">
        <f t="shared" si="9"/>
        <v>3.4699063080638748E-3</v>
      </c>
      <c r="AA67" s="36"/>
    </row>
    <row r="68" spans="15:27" ht="13.9" customHeight="1" x14ac:dyDescent="0.3">
      <c r="O68" s="12">
        <f t="shared" si="4"/>
        <v>4.583333333333333</v>
      </c>
      <c r="P68" s="13">
        <v>55</v>
      </c>
      <c r="Q68" s="22">
        <v>3.8258221824253091E-2</v>
      </c>
      <c r="R68" s="19">
        <f t="shared" si="5"/>
        <v>3.8218634938316898E-2</v>
      </c>
      <c r="S68" s="22">
        <v>3.8258458096405157E-2</v>
      </c>
      <c r="T68" s="19">
        <f t="shared" si="6"/>
        <v>3.8216668408126209E-2</v>
      </c>
      <c r="U68" s="24">
        <v>4.2739078250985107E-2</v>
      </c>
      <c r="V68" s="24">
        <f t="shared" si="7"/>
        <v>4.2692761233126042E-2</v>
      </c>
      <c r="W68" s="23">
        <f t="shared" si="10"/>
        <v>3.5122426675926466E-3</v>
      </c>
      <c r="X68" s="24">
        <v>4.1838950456274171E-2</v>
      </c>
      <c r="Y68" s="24">
        <f t="shared" si="8"/>
        <v>4.1793557494450573E-2</v>
      </c>
      <c r="Z68" s="23">
        <f t="shared" si="9"/>
        <v>3.4400780310939183E-3</v>
      </c>
      <c r="AA68" s="36"/>
    </row>
    <row r="69" spans="15:27" ht="13.9" customHeight="1" x14ac:dyDescent="0.3">
      <c r="O69" s="12">
        <f t="shared" si="4"/>
        <v>4.666666666666667</v>
      </c>
      <c r="P69" s="13">
        <v>56</v>
      </c>
      <c r="Q69" s="22">
        <v>3.8257514902339418E-2</v>
      </c>
      <c r="R69" s="19">
        <f t="shared" si="5"/>
        <v>3.8037553492181075E-2</v>
      </c>
      <c r="S69" s="22">
        <v>3.8257711837221375E-2</v>
      </c>
      <c r="T69" s="19">
        <f t="shared" si="6"/>
        <v>3.8034981904256915E-2</v>
      </c>
      <c r="U69" s="24">
        <v>4.2738251143338957E-2</v>
      </c>
      <c r="V69" s="24">
        <f t="shared" si="7"/>
        <v>4.2509112646297531E-2</v>
      </c>
      <c r="W69" s="23">
        <f t="shared" si="10"/>
        <v>3.4899558020811128E-3</v>
      </c>
      <c r="X69" s="24">
        <v>4.183813985032625E-2</v>
      </c>
      <c r="Y69" s="24">
        <f t="shared" si="8"/>
        <v>4.1610315561260602E-2</v>
      </c>
      <c r="Z69" s="23">
        <f t="shared" si="9"/>
        <v>3.4178109662845735E-3</v>
      </c>
      <c r="AA69" s="36"/>
    </row>
    <row r="70" spans="15:27" ht="13.9" customHeight="1" x14ac:dyDescent="0.3">
      <c r="O70" s="12">
        <f t="shared" si="4"/>
        <v>4.75</v>
      </c>
      <c r="P70" s="13">
        <v>57</v>
      </c>
      <c r="Q70" s="22">
        <v>3.825365552857285E-2</v>
      </c>
      <c r="R70" s="19">
        <f t="shared" si="5"/>
        <v>3.7949862962233905E-2</v>
      </c>
      <c r="S70" s="22">
        <v>3.8253803882704052E-2</v>
      </c>
      <c r="T70" s="19">
        <f t="shared" si="6"/>
        <v>3.7947070157142715E-2</v>
      </c>
      <c r="U70" s="24">
        <v>4.2734230735704148E-2</v>
      </c>
      <c r="V70" s="24">
        <f t="shared" si="7"/>
        <v>4.2419676359652714E-2</v>
      </c>
      <c r="W70" s="23">
        <f t="shared" si="10"/>
        <v>3.475225960452466E-3</v>
      </c>
      <c r="X70" s="24">
        <v>4.1834142503565541E-2</v>
      </c>
      <c r="Y70" s="24">
        <f t="shared" si="8"/>
        <v>4.1521197624365458E-2</v>
      </c>
      <c r="Z70" s="23">
        <f t="shared" si="9"/>
        <v>3.4031021145277673E-3</v>
      </c>
      <c r="AA70" s="36"/>
    </row>
    <row r="71" spans="15:27" ht="13.9" customHeight="1" x14ac:dyDescent="0.3">
      <c r="O71" s="12">
        <f t="shared" si="4"/>
        <v>4.833333333333333</v>
      </c>
      <c r="P71" s="13">
        <v>58</v>
      </c>
      <c r="Q71" s="22">
        <v>3.8248416972481714E-2</v>
      </c>
      <c r="R71" s="19">
        <f t="shared" si="5"/>
        <v>3.7955573761026429E-2</v>
      </c>
      <c r="S71" s="22">
        <v>3.8248514602314598E-2</v>
      </c>
      <c r="T71" s="19">
        <f t="shared" si="6"/>
        <v>3.7952753703450748E-2</v>
      </c>
      <c r="U71" s="24">
        <v>4.2728806580323964E-2</v>
      </c>
      <c r="V71" s="24">
        <f t="shared" si="7"/>
        <v>4.2424409536425456E-2</v>
      </c>
      <c r="W71" s="23">
        <f t="shared" si="10"/>
        <v>3.4680517124512367E-3</v>
      </c>
      <c r="X71" s="24">
        <v>4.182874610565146E-2</v>
      </c>
      <c r="Y71" s="24">
        <f t="shared" si="8"/>
        <v>4.1526133165750823E-2</v>
      </c>
      <c r="Z71" s="23">
        <f t="shared" si="9"/>
        <v>3.3959477498104462E-3</v>
      </c>
      <c r="AA71" s="36"/>
    </row>
    <row r="72" spans="15:27" ht="13.9" customHeight="1" x14ac:dyDescent="0.3">
      <c r="O72" s="12">
        <f t="shared" si="4"/>
        <v>4.916666666666667</v>
      </c>
      <c r="P72" s="13">
        <v>59</v>
      </c>
      <c r="Q72" s="22">
        <v>3.8243452839973324E-2</v>
      </c>
      <c r="R72" s="19">
        <f t="shared" si="5"/>
        <v>3.8054724934162509E-2</v>
      </c>
      <c r="S72" s="22">
        <v>3.8243501003693225E-2</v>
      </c>
      <c r="T72" s="19">
        <f t="shared" si="6"/>
        <v>3.8051883795595209E-2</v>
      </c>
      <c r="U72" s="24">
        <v>4.2723646567957907E-2</v>
      </c>
      <c r="V72" s="24">
        <f t="shared" si="7"/>
        <v>4.252329704311153E-2</v>
      </c>
      <c r="W72" s="23">
        <f t="shared" si="10"/>
        <v>3.4684314045190234E-3</v>
      </c>
      <c r="X72" s="24">
        <v>4.1823616340358916E-2</v>
      </c>
      <c r="Y72" s="24">
        <f t="shared" si="8"/>
        <v>4.1625080146394211E-2</v>
      </c>
      <c r="Z72" s="23">
        <f t="shared" si="9"/>
        <v>3.39634398846278E-3</v>
      </c>
      <c r="AA72" s="36"/>
    </row>
    <row r="73" spans="15:27" ht="13.9" customHeight="1" x14ac:dyDescent="0.3">
      <c r="O73" s="12">
        <f t="shared" si="4"/>
        <v>5</v>
      </c>
      <c r="P73" s="13">
        <v>60</v>
      </c>
      <c r="Q73" s="22">
        <v>3.8240307093722059E-2</v>
      </c>
      <c r="R73" s="19">
        <f t="shared" si="5"/>
        <v>3.8230610768065221E-2</v>
      </c>
      <c r="S73" s="22">
        <v>3.8240307093728942E-2</v>
      </c>
      <c r="T73" s="19">
        <f t="shared" si="6"/>
        <v>3.8227627339259662E-2</v>
      </c>
      <c r="U73" s="24">
        <v>4.2720307093722987E-2</v>
      </c>
      <c r="V73" s="24">
        <f t="shared" si="7"/>
        <v>4.2699497242594697E-2</v>
      </c>
      <c r="W73" s="23">
        <f t="shared" si="10"/>
        <v>3.4763637284476179E-3</v>
      </c>
      <c r="X73" s="24">
        <v>4.1820307093723086E-2</v>
      </c>
      <c r="Y73" s="24">
        <f t="shared" si="8"/>
        <v>4.1801198167491727E-2</v>
      </c>
      <c r="Z73" s="23">
        <f t="shared" si="9"/>
        <v>3.4042873573880694E-3</v>
      </c>
      <c r="AA73" s="36"/>
    </row>
    <row r="74" spans="15:27" ht="13.9" customHeight="1" x14ac:dyDescent="0.3">
      <c r="O74" s="12">
        <f t="shared" si="4"/>
        <v>5.083333333333333</v>
      </c>
      <c r="P74" s="13">
        <v>61</v>
      </c>
      <c r="Q74" s="22">
        <v>3.824014813683374E-2</v>
      </c>
      <c r="R74" s="19">
        <f t="shared" si="5"/>
        <v>3.8416180201655825E-2</v>
      </c>
      <c r="S74" s="22">
        <v>3.8240099227653035E-2</v>
      </c>
      <c r="T74" s="19">
        <f t="shared" si="6"/>
        <v>3.8413050066490095E-2</v>
      </c>
      <c r="U74" s="24">
        <v>4.2719965945274163E-2</v>
      </c>
      <c r="V74" s="24">
        <f t="shared" si="7"/>
        <v>4.2885599180107592E-2</v>
      </c>
      <c r="W74" s="23">
        <f t="shared" si="10"/>
        <v>3.4904960297559295E-3</v>
      </c>
      <c r="X74" s="24">
        <v>4.1819993829811386E-2</v>
      </c>
      <c r="Y74" s="24">
        <f t="shared" si="8"/>
        <v>4.1987169983384698E-2</v>
      </c>
      <c r="Z74" s="23">
        <f t="shared" si="9"/>
        <v>3.4184242325110414E-3</v>
      </c>
      <c r="AA74" s="36"/>
    </row>
    <row r="75" spans="15:27" ht="13.9" customHeight="1" x14ac:dyDescent="0.3">
      <c r="O75" s="12">
        <f t="shared" si="4"/>
        <v>5.166666666666667</v>
      </c>
      <c r="P75" s="13">
        <v>62</v>
      </c>
      <c r="Q75" s="22">
        <v>3.8242987126900996E-2</v>
      </c>
      <c r="R75" s="19">
        <f t="shared" si="5"/>
        <v>3.8594673411792124E-2</v>
      </c>
      <c r="S75" s="22">
        <v>3.8242888528743357E-2</v>
      </c>
      <c r="T75" s="19">
        <f t="shared" si="6"/>
        <v>3.8591451375007413E-2</v>
      </c>
      <c r="U75" s="24">
        <v>4.2722637240325323E-2</v>
      </c>
      <c r="V75" s="24">
        <f t="shared" si="7"/>
        <v>4.3064759288687249E-2</v>
      </c>
      <c r="W75" s="23">
        <f t="shared" si="10"/>
        <v>3.5054201322775036E-3</v>
      </c>
      <c r="X75" s="24">
        <v>4.1822690006558361E-2</v>
      </c>
      <c r="Y75" s="24">
        <f t="shared" si="8"/>
        <v>4.2166180547729581E-2</v>
      </c>
      <c r="Z75" s="23">
        <f t="shared" si="9"/>
        <v>3.43334968732667E-3</v>
      </c>
      <c r="AA75" s="36"/>
    </row>
    <row r="76" spans="15:27" ht="13.9" customHeight="1" x14ac:dyDescent="0.3">
      <c r="O76" s="12">
        <f t="shared" si="4"/>
        <v>5.25</v>
      </c>
      <c r="P76" s="13">
        <v>63</v>
      </c>
      <c r="Q76" s="22">
        <v>3.8248568518643111E-2</v>
      </c>
      <c r="R76" s="19">
        <f t="shared" si="5"/>
        <v>3.8766102746450093E-2</v>
      </c>
      <c r="S76" s="22">
        <v>3.8248420358542701E-2</v>
      </c>
      <c r="T76" s="19">
        <f t="shared" si="6"/>
        <v>3.8762861002261895E-2</v>
      </c>
      <c r="U76" s="24">
        <v>4.2728066872473436E-2</v>
      </c>
      <c r="V76" s="24">
        <f t="shared" si="7"/>
        <v>4.323699194534858E-2</v>
      </c>
      <c r="W76" s="23">
        <f t="shared" si="10"/>
        <v>3.5197852414126096E-3</v>
      </c>
      <c r="X76" s="24">
        <v>4.1828141353025705E-2</v>
      </c>
      <c r="Y76" s="24">
        <f t="shared" si="8"/>
        <v>4.2338247707049748E-2</v>
      </c>
      <c r="Z76" s="23">
        <f t="shared" si="9"/>
        <v>3.4477141498632236E-3</v>
      </c>
      <c r="AA76" s="36"/>
    </row>
    <row r="77" spans="15:27" ht="13.9" customHeight="1" x14ac:dyDescent="0.3">
      <c r="O77" s="12">
        <f t="shared" si="4"/>
        <v>5.333333333333333</v>
      </c>
      <c r="P77" s="13">
        <v>64</v>
      </c>
      <c r="Q77" s="22">
        <v>3.8256653007671559E-2</v>
      </c>
      <c r="R77" s="19">
        <f t="shared" si="5"/>
        <v>3.8930479220429914E-2</v>
      </c>
      <c r="S77" s="22">
        <v>3.8256456533955152E-2</v>
      </c>
      <c r="T77" s="19">
        <f t="shared" si="6"/>
        <v>3.892730722001092E-2</v>
      </c>
      <c r="U77" s="24">
        <v>4.2736016917116704E-2</v>
      </c>
      <c r="V77" s="24">
        <f t="shared" si="7"/>
        <v>4.340231030317887E-2</v>
      </c>
      <c r="W77" s="23">
        <f t="shared" si="10"/>
        <v>3.5335927733262107E-3</v>
      </c>
      <c r="X77" s="24">
        <v>4.1836109844656466E-2</v>
      </c>
      <c r="Y77" s="24">
        <f t="shared" si="8"/>
        <v>4.2503388023737543E-2</v>
      </c>
      <c r="Z77" s="23">
        <f t="shared" si="9"/>
        <v>3.4615193164899694E-3</v>
      </c>
      <c r="AA77" s="36"/>
    </row>
    <row r="78" spans="15:27" ht="13.9" customHeight="1" x14ac:dyDescent="0.3">
      <c r="O78" s="12">
        <f t="shared" ref="O78:O141" si="13">P78/12</f>
        <v>5.416666666666667</v>
      </c>
      <c r="P78" s="13">
        <v>65</v>
      </c>
      <c r="Q78" s="22">
        <v>3.8267016254029063E-2</v>
      </c>
      <c r="R78" s="19">
        <f t="shared" ref="R78:R141" si="14">(1+Q79)^P79/(1+Q78)^P78-1</f>
        <v>3.9087812558259438E-2</v>
      </c>
      <c r="S78" s="22">
        <v>3.8266774032147177E-2</v>
      </c>
      <c r="T78" s="19">
        <f t="shared" ref="T78:T141" si="15">(1+S79)^P79/(1+S78)^P78-1</f>
        <v>3.9084816880180506E-2</v>
      </c>
      <c r="U78" s="24">
        <v>4.2746264361327002E-2</v>
      </c>
      <c r="V78" s="24">
        <f t="shared" ref="V78:V141" si="16">(1+U79)^P79/(1+U78)^P78-1</f>
        <v>4.3560726332000144E-2</v>
      </c>
      <c r="W78" s="23">
        <f t="shared" si="10"/>
        <v>3.5468440350630015E-3</v>
      </c>
      <c r="X78" s="24">
        <v>4.1846372427204237E-2</v>
      </c>
      <c r="Y78" s="24">
        <f t="shared" si="8"/>
        <v>4.2661616817838643E-2</v>
      </c>
      <c r="Z78" s="23">
        <f t="shared" si="9"/>
        <v>3.4747667693124651E-3</v>
      </c>
      <c r="AA78" s="36"/>
    </row>
    <row r="79" spans="15:27" ht="13.9" customHeight="1" x14ac:dyDescent="0.3">
      <c r="O79" s="12">
        <f t="shared" si="13"/>
        <v>5.5</v>
      </c>
      <c r="P79" s="13">
        <v>66</v>
      </c>
      <c r="Q79" s="22">
        <v>3.8279447722952886E-2</v>
      </c>
      <c r="R79" s="19">
        <f t="shared" si="14"/>
        <v>3.9238134116740264E-2</v>
      </c>
      <c r="S79" s="22">
        <v>3.8279163814437744E-2</v>
      </c>
      <c r="T79" s="19">
        <f t="shared" si="15"/>
        <v>3.9235415458350964E-2</v>
      </c>
      <c r="U79" s="24">
        <v>4.2758599950331488E-2</v>
      </c>
      <c r="V79" s="24">
        <f t="shared" si="16"/>
        <v>4.3712250858450652E-2</v>
      </c>
      <c r="W79" s="23">
        <f t="shared" ref="W79:W142" si="17">(1+V78)^(1/12)-1</f>
        <v>3.5595402279615662E-3</v>
      </c>
      <c r="X79" s="24">
        <v>4.1858719857836846E-2</v>
      </c>
      <c r="Y79" s="24">
        <f t="shared" ref="Y79:Y142" si="18">(1+X80)^P80/(1+X79)^P79-1</f>
        <v>4.2812948207317403E-2</v>
      </c>
      <c r="Z79" s="23">
        <f t="shared" ref="Z79:Z142" si="19">(1+Y78)^(1/12)-1</f>
        <v>3.4874579797001815E-3</v>
      </c>
      <c r="AA79" s="36"/>
    </row>
    <row r="80" spans="15:27" ht="13.9" customHeight="1" x14ac:dyDescent="0.3">
      <c r="O80" s="12">
        <f t="shared" si="13"/>
        <v>5.583333333333333</v>
      </c>
      <c r="P80" s="13">
        <v>67</v>
      </c>
      <c r="Q80" s="22">
        <v>3.8293749971736402E-2</v>
      </c>
      <c r="R80" s="19">
        <f t="shared" si="14"/>
        <v>3.9381542750608123E-2</v>
      </c>
      <c r="S80" s="22">
        <v>3.8293429756649955E-2</v>
      </c>
      <c r="T80" s="19">
        <f t="shared" si="15"/>
        <v>3.9379127096960787E-2</v>
      </c>
      <c r="U80" s="24">
        <v>4.277282713835584E-2</v>
      </c>
      <c r="V80" s="24">
        <f t="shared" si="16"/>
        <v>4.3856893603786862E-2</v>
      </c>
      <c r="W80" s="23">
        <f t="shared" si="17"/>
        <v>3.5716824510079181E-3</v>
      </c>
      <c r="X80" s="24">
        <v>4.1872955651091504E-2</v>
      </c>
      <c r="Y80" s="24">
        <f t="shared" si="18"/>
        <v>4.2957395147909194E-2</v>
      </c>
      <c r="Z80" s="23">
        <f t="shared" si="19"/>
        <v>3.4995943116775674E-3</v>
      </c>
      <c r="AA80" s="36"/>
    </row>
    <row r="81" spans="15:27" ht="13.9" customHeight="1" x14ac:dyDescent="0.3">
      <c r="O81" s="12">
        <f t="shared" si="13"/>
        <v>5.666666666666667</v>
      </c>
      <c r="P81" s="13">
        <v>68</v>
      </c>
      <c r="Q81" s="22">
        <v>3.8309738673527827E-2</v>
      </c>
      <c r="R81" s="19">
        <f t="shared" si="14"/>
        <v>3.9518067610676999E-2</v>
      </c>
      <c r="S81" s="22">
        <v>3.8309387674911877E-2</v>
      </c>
      <c r="T81" s="19">
        <f t="shared" si="15"/>
        <v>3.9515974648370866E-2</v>
      </c>
      <c r="U81" s="24">
        <v>4.2788761133005337E-2</v>
      </c>
      <c r="V81" s="24">
        <f t="shared" si="16"/>
        <v>4.3994663224423913E-2</v>
      </c>
      <c r="W81" s="23">
        <f t="shared" si="17"/>
        <v>3.5832717039960826E-3</v>
      </c>
      <c r="X81" s="24">
        <v>4.1888895118835201E-2</v>
      </c>
      <c r="Y81" s="24">
        <f t="shared" si="18"/>
        <v>4.3094969472338596E-2</v>
      </c>
      <c r="Z81" s="23">
        <f t="shared" si="19"/>
        <v>3.5111770252713725E-3</v>
      </c>
      <c r="AA81" s="36"/>
    </row>
    <row r="82" spans="15:27" ht="13.9" customHeight="1" x14ac:dyDescent="0.3">
      <c r="O82" s="12">
        <f t="shared" si="13"/>
        <v>5.75</v>
      </c>
      <c r="P82" s="13">
        <v>69</v>
      </c>
      <c r="Q82" s="22">
        <v>3.8327240652746397E-2</v>
      </c>
      <c r="R82" s="19">
        <f t="shared" si="14"/>
        <v>3.9647713865792467E-2</v>
      </c>
      <c r="S82" s="22">
        <v>3.8326864437176145E-2</v>
      </c>
      <c r="T82" s="19">
        <f t="shared" si="15"/>
        <v>3.9645979715749124E-2</v>
      </c>
      <c r="U82" s="24">
        <v>4.2806228023691606E-2</v>
      </c>
      <c r="V82" s="24">
        <f t="shared" si="16"/>
        <v>4.4125567349232009E-2</v>
      </c>
      <c r="W82" s="23">
        <f t="shared" si="17"/>
        <v>3.5943088908960696E-3</v>
      </c>
      <c r="X82" s="24">
        <v>4.1906364494640691E-2</v>
      </c>
      <c r="Y82" s="24">
        <f t="shared" si="18"/>
        <v>4.3225681930598281E-2</v>
      </c>
      <c r="Z82" s="23">
        <f t="shared" si="19"/>
        <v>3.5222072797940207E-3</v>
      </c>
      <c r="AA82" s="36"/>
    </row>
    <row r="83" spans="15:27" ht="13.9" customHeight="1" x14ac:dyDescent="0.3">
      <c r="O83" s="12">
        <f t="shared" si="13"/>
        <v>5.833333333333333</v>
      </c>
      <c r="P83" s="13">
        <v>70</v>
      </c>
      <c r="Q83" s="22">
        <v>3.8346092742181259E-2</v>
      </c>
      <c r="R83" s="19">
        <f t="shared" si="14"/>
        <v>3.9770485611084982E-2</v>
      </c>
      <c r="S83" s="22">
        <v>3.8345697151817681E-2</v>
      </c>
      <c r="T83" s="19">
        <f t="shared" si="15"/>
        <v>3.976916269566666E-2</v>
      </c>
      <c r="U83" s="24">
        <v>4.2825063985616474E-2</v>
      </c>
      <c r="V83" s="24">
        <f t="shared" si="16"/>
        <v>4.4249612617646594E-2</v>
      </c>
      <c r="W83" s="23">
        <f t="shared" si="17"/>
        <v>3.604794822951396E-3</v>
      </c>
      <c r="X83" s="24">
        <v>4.1925200134113716E-2</v>
      </c>
      <c r="Y83" s="24">
        <f t="shared" si="18"/>
        <v>4.3349542227845594E-2</v>
      </c>
      <c r="Z83" s="23">
        <f t="shared" si="19"/>
        <v>3.5326861372004803E-3</v>
      </c>
      <c r="AA83" s="36"/>
    </row>
    <row r="84" spans="15:27" ht="13.9" customHeight="1" x14ac:dyDescent="0.3">
      <c r="O84" s="12">
        <f t="shared" si="13"/>
        <v>5.916666666666667</v>
      </c>
      <c r="P84" s="13">
        <v>71</v>
      </c>
      <c r="Q84" s="22">
        <v>3.8366141059350767E-2</v>
      </c>
      <c r="R84" s="19">
        <f t="shared" si="14"/>
        <v>3.9886385906198862E-2</v>
      </c>
      <c r="S84" s="22">
        <v>3.8365732425700516E-2</v>
      </c>
      <c r="T84" s="19">
        <f t="shared" si="15"/>
        <v>3.9885542817411634E-2</v>
      </c>
      <c r="U84" s="24">
        <v>4.2845114551845587E-2</v>
      </c>
      <c r="V84" s="24">
        <f t="shared" si="16"/>
        <v>4.4366804718846797E-2</v>
      </c>
      <c r="W84" s="23">
        <f t="shared" si="17"/>
        <v>3.6147302218294541E-3</v>
      </c>
      <c r="X84" s="24">
        <v>4.194524778362041E-2</v>
      </c>
      <c r="Y84" s="24">
        <f t="shared" si="18"/>
        <v>4.3466559062948162E-2</v>
      </c>
      <c r="Z84" s="23">
        <f t="shared" si="19"/>
        <v>3.5426145652435181E-3</v>
      </c>
      <c r="AA84" s="36"/>
    </row>
    <row r="85" spans="15:27" ht="13.9" customHeight="1" x14ac:dyDescent="0.3">
      <c r="O85" s="12">
        <f t="shared" si="13"/>
        <v>6</v>
      </c>
      <c r="P85" s="13">
        <v>72</v>
      </c>
      <c r="Q85" s="22">
        <v>3.8387240343941365E-2</v>
      </c>
      <c r="R85" s="19">
        <f t="shared" si="14"/>
        <v>3.9995439333185168E-2</v>
      </c>
      <c r="S85" s="22">
        <v>3.838682568488383E-2</v>
      </c>
      <c r="T85" s="19">
        <f t="shared" si="15"/>
        <v>3.9995138184957257E-2</v>
      </c>
      <c r="U85" s="24">
        <v>4.2866233946835308E-2</v>
      </c>
      <c r="V85" s="24">
        <f t="shared" si="16"/>
        <v>4.447714842858419E-2</v>
      </c>
      <c r="W85" s="23">
        <f t="shared" si="17"/>
        <v>3.624115722850485E-3</v>
      </c>
      <c r="X85" s="24">
        <v>4.1966361910741323E-2</v>
      </c>
      <c r="Y85" s="24">
        <f t="shared" si="18"/>
        <v>4.3576740167466044E-2</v>
      </c>
      <c r="Z85" s="23">
        <f t="shared" si="19"/>
        <v>3.5519934406700315E-3</v>
      </c>
      <c r="AA85" s="36"/>
    </row>
    <row r="86" spans="15:27" ht="13.9" customHeight="1" x14ac:dyDescent="0.3">
      <c r="O86" s="12">
        <f t="shared" si="13"/>
        <v>6.083333333333333</v>
      </c>
      <c r="P86" s="13">
        <v>73</v>
      </c>
      <c r="Q86" s="22">
        <v>3.8409253658465703E-2</v>
      </c>
      <c r="R86" s="19">
        <f t="shared" si="14"/>
        <v>4.0097737144258128E-2</v>
      </c>
      <c r="S86" s="22">
        <v>3.8408840551972689E-2</v>
      </c>
      <c r="T86" s="19">
        <f t="shared" si="15"/>
        <v>4.0097965814888337E-2</v>
      </c>
      <c r="U86" s="24">
        <v>4.2888284475465666E-2</v>
      </c>
      <c r="V86" s="24">
        <f t="shared" si="16"/>
        <v>4.458064764735048E-2</v>
      </c>
      <c r="W86" s="23">
        <f t="shared" si="17"/>
        <v>3.6329518780160441E-3</v>
      </c>
      <c r="X86" s="24">
        <v>4.1988405090517045E-2</v>
      </c>
      <c r="Y86" s="24">
        <f t="shared" si="18"/>
        <v>4.3680092342465615E-2</v>
      </c>
      <c r="Z86" s="23">
        <f t="shared" si="19"/>
        <v>3.5608235524424714E-3</v>
      </c>
      <c r="AA86" s="36"/>
    </row>
    <row r="87" spans="15:27" ht="13.9" customHeight="1" x14ac:dyDescent="0.3">
      <c r="O87" s="12">
        <f t="shared" si="13"/>
        <v>6.166666666666667</v>
      </c>
      <c r="P87" s="13">
        <v>74</v>
      </c>
      <c r="Q87" s="22">
        <v>3.843205272240402E-2</v>
      </c>
      <c r="R87" s="19">
        <f t="shared" si="14"/>
        <v>4.0193302219589722E-2</v>
      </c>
      <c r="S87" s="22">
        <v>3.8431648274675823E-2</v>
      </c>
      <c r="T87" s="19">
        <f t="shared" si="15"/>
        <v>4.019404167632068E-2</v>
      </c>
      <c r="U87" s="24">
        <v>4.2911135962323765E-2</v>
      </c>
      <c r="V87" s="24">
        <f t="shared" si="16"/>
        <v>4.4677305436642945E-2</v>
      </c>
      <c r="W87" s="23">
        <f t="shared" si="17"/>
        <v>3.6412391591365001E-3</v>
      </c>
      <c r="X87" s="24">
        <v>4.2011247442155453E-2</v>
      </c>
      <c r="Y87" s="24">
        <f t="shared" si="18"/>
        <v>4.3776621497607637E-2</v>
      </c>
      <c r="Z87" s="23">
        <f t="shared" si="19"/>
        <v>3.5691056047761904E-3</v>
      </c>
      <c r="AA87" s="36"/>
    </row>
    <row r="88" spans="15:27" ht="13.9" customHeight="1" x14ac:dyDescent="0.3">
      <c r="O88" s="12">
        <f t="shared" si="13"/>
        <v>6.25</v>
      </c>
      <c r="P88" s="13">
        <v>75</v>
      </c>
      <c r="Q88" s="22">
        <v>3.8455516421964875E-2</v>
      </c>
      <c r="R88" s="19">
        <f t="shared" si="14"/>
        <v>4.0282134059567154E-2</v>
      </c>
      <c r="S88" s="22">
        <v>3.8455127200799577E-2</v>
      </c>
      <c r="T88" s="19">
        <f t="shared" si="15"/>
        <v>4.0283380730663731E-2</v>
      </c>
      <c r="U88" s="24">
        <v>4.2934665236504133E-2</v>
      </c>
      <c r="V88" s="24">
        <f t="shared" si="16"/>
        <v>4.4767124058428864E-2</v>
      </c>
      <c r="W88" s="23">
        <f t="shared" si="17"/>
        <v>3.6489779607966621E-3</v>
      </c>
      <c r="X88" s="24">
        <v>4.203476611150081E-2</v>
      </c>
      <c r="Y88" s="24">
        <f t="shared" si="18"/>
        <v>4.3866332687643839E-2</v>
      </c>
      <c r="Z88" s="23">
        <f t="shared" si="19"/>
        <v>3.5768402203513183E-3</v>
      </c>
      <c r="AA88" s="36"/>
    </row>
    <row r="89" spans="15:27" ht="13.9" customHeight="1" x14ac:dyDescent="0.3">
      <c r="O89" s="12">
        <f t="shared" si="13"/>
        <v>6.333333333333333</v>
      </c>
      <c r="P89" s="13">
        <v>76</v>
      </c>
      <c r="Q89" s="22">
        <v>3.8479530028969089E-2</v>
      </c>
      <c r="R89" s="19">
        <f t="shared" si="14"/>
        <v>4.0364231328605449E-2</v>
      </c>
      <c r="S89" s="22">
        <v>3.8479162295379066E-2</v>
      </c>
      <c r="T89" s="19">
        <f t="shared" si="15"/>
        <v>4.0365996968497297E-2</v>
      </c>
      <c r="U89" s="24">
        <v>4.2958755657757086E-2</v>
      </c>
      <c r="V89" s="24">
        <f t="shared" si="16"/>
        <v>4.4850105010255437E-2</v>
      </c>
      <c r="W89" s="23">
        <f t="shared" si="17"/>
        <v>3.6561686035712082E-3</v>
      </c>
      <c r="X89" s="24">
        <v>4.2058844795000772E-2</v>
      </c>
      <c r="Y89" s="24">
        <f t="shared" si="18"/>
        <v>4.3949230150393648E-2</v>
      </c>
      <c r="Z89" s="23">
        <f t="shared" si="19"/>
        <v>3.584027943305701E-3</v>
      </c>
      <c r="AA89" s="36"/>
    </row>
    <row r="90" spans="15:27" ht="13.9" customHeight="1" x14ac:dyDescent="0.3">
      <c r="O90" s="12">
        <f t="shared" si="13"/>
        <v>6.416666666666667</v>
      </c>
      <c r="P90" s="13">
        <v>77</v>
      </c>
      <c r="Q90" s="22">
        <v>3.8503984773081479E-2</v>
      </c>
      <c r="R90" s="19">
        <f t="shared" si="14"/>
        <v>4.0439591888821846E-2</v>
      </c>
      <c r="S90" s="22">
        <v>3.8503644696064265E-2</v>
      </c>
      <c r="T90" s="19">
        <f t="shared" si="15"/>
        <v>4.0441903448590777E-2</v>
      </c>
      <c r="U90" s="24">
        <v>4.2983296680155991E-2</v>
      </c>
      <c r="V90" s="24">
        <f t="shared" si="16"/>
        <v>4.4926249063503176E-2</v>
      </c>
      <c r="W90" s="23">
        <f t="shared" si="17"/>
        <v>3.6628113368808446E-3</v>
      </c>
      <c r="X90" s="24">
        <v>4.2083373301400107E-2</v>
      </c>
      <c r="Y90" s="24">
        <f t="shared" si="18"/>
        <v>4.4025317343759918E-2</v>
      </c>
      <c r="Z90" s="23">
        <f t="shared" si="19"/>
        <v>3.5906692423401942E-3</v>
      </c>
      <c r="AA90" s="36"/>
    </row>
    <row r="91" spans="15:27" ht="13.9" customHeight="1" x14ac:dyDescent="0.3">
      <c r="O91" s="12">
        <f t="shared" si="13"/>
        <v>6.5</v>
      </c>
      <c r="P91" s="13">
        <v>78</v>
      </c>
      <c r="Q91" s="22">
        <v>3.8528777447498053E-2</v>
      </c>
      <c r="R91" s="19">
        <f t="shared" si="14"/>
        <v>4.0508235005232818E-2</v>
      </c>
      <c r="S91" s="22">
        <v>3.8528471303340028E-2</v>
      </c>
      <c r="T91" s="19">
        <f t="shared" si="15"/>
        <v>4.0511112335212873E-2</v>
      </c>
      <c r="U91" s="24">
        <v>4.3008183449942949E-2</v>
      </c>
      <c r="V91" s="24">
        <f t="shared" si="16"/>
        <v>4.4995556299467721E-2</v>
      </c>
      <c r="W91" s="23">
        <f t="shared" si="17"/>
        <v>3.668906342093825E-3</v>
      </c>
      <c r="X91" s="24">
        <v>4.210824714775141E-2</v>
      </c>
      <c r="Y91" s="24">
        <f t="shared" si="18"/>
        <v>4.4094596982440892E-2</v>
      </c>
      <c r="Z91" s="23">
        <f t="shared" si="19"/>
        <v>3.5967645137378046E-3</v>
      </c>
      <c r="AA91" s="36"/>
    </row>
    <row r="92" spans="15:27" ht="13.9" customHeight="1" x14ac:dyDescent="0.3">
      <c r="O92" s="12">
        <f t="shared" si="13"/>
        <v>6.583333333333333</v>
      </c>
      <c r="P92" s="13">
        <v>79</v>
      </c>
      <c r="Q92" s="22">
        <v>3.8553810325237636E-2</v>
      </c>
      <c r="R92" s="19">
        <f t="shared" si="14"/>
        <v>4.0570245782038938E-2</v>
      </c>
      <c r="S92" s="22">
        <v>3.8553544402461393E-2</v>
      </c>
      <c r="T92" s="19">
        <f t="shared" si="15"/>
        <v>4.0573634936230674E-2</v>
      </c>
      <c r="U92" s="24">
        <v>4.3033316434485602E-2</v>
      </c>
      <c r="V92" s="24">
        <f t="shared" si="16"/>
        <v>4.5058026148242503E-2</v>
      </c>
      <c r="W92" s="23">
        <f t="shared" si="17"/>
        <v>3.6744537354465034E-3</v>
      </c>
      <c r="X92" s="24">
        <v>4.2133367186686144E-2</v>
      </c>
      <c r="Y92" s="24">
        <f t="shared" si="18"/>
        <v>4.4157071075845655E-2</v>
      </c>
      <c r="Z92" s="23">
        <f t="shared" si="19"/>
        <v>3.6023140843517432E-3</v>
      </c>
      <c r="AA92" s="36"/>
    </row>
    <row r="93" spans="15:27" ht="13.9" customHeight="1" x14ac:dyDescent="0.3">
      <c r="O93" s="12">
        <f t="shared" si="13"/>
        <v>6.666666666666667</v>
      </c>
      <c r="P93" s="13">
        <v>80</v>
      </c>
      <c r="Q93" s="22">
        <v>3.8578991636154747E-2</v>
      </c>
      <c r="R93" s="19">
        <f t="shared" si="14"/>
        <v>4.0625642241109983E-2</v>
      </c>
      <c r="S93" s="22">
        <v>3.8578771314325078E-2</v>
      </c>
      <c r="T93" s="19">
        <f t="shared" si="15"/>
        <v>4.0629481738748474E-2</v>
      </c>
      <c r="U93" s="24">
        <v>4.3058601079645653E-2</v>
      </c>
      <c r="V93" s="24">
        <f t="shared" si="16"/>
        <v>4.5113657423446085E-2</v>
      </c>
      <c r="W93" s="23">
        <f t="shared" si="17"/>
        <v>3.6794535711810461E-3</v>
      </c>
      <c r="X93" s="24">
        <v>4.2158639262213971E-2</v>
      </c>
      <c r="Y93" s="24">
        <f t="shared" si="18"/>
        <v>4.4212740964203245E-2</v>
      </c>
      <c r="Z93" s="23">
        <f t="shared" si="19"/>
        <v>3.6073182146809657E-3</v>
      </c>
      <c r="AA93" s="36"/>
    </row>
    <row r="94" spans="15:27" ht="13.9" customHeight="1" x14ac:dyDescent="0.3">
      <c r="O94" s="12">
        <f t="shared" si="13"/>
        <v>6.75</v>
      </c>
      <c r="P94" s="13">
        <v>81</v>
      </c>
      <c r="Q94" s="22">
        <v>3.8604234370802626E-2</v>
      </c>
      <c r="R94" s="19">
        <f t="shared" si="14"/>
        <v>4.0674419602706458E-2</v>
      </c>
      <c r="S94" s="22">
        <v>3.8604064072739197E-2</v>
      </c>
      <c r="T94" s="19">
        <f t="shared" si="15"/>
        <v>4.0678662447861669E-2</v>
      </c>
      <c r="U94" s="24">
        <v>4.3083947493045116E-2</v>
      </c>
      <c r="V94" s="24">
        <f t="shared" si="16"/>
        <v>4.5162448360035023E-2</v>
      </c>
      <c r="W94" s="23">
        <f t="shared" si="17"/>
        <v>3.6839058443438599E-3</v>
      </c>
      <c r="X94" s="24">
        <v>4.2183973891554372E-2</v>
      </c>
      <c r="Y94" s="24">
        <f t="shared" si="18"/>
        <v>4.4261607355272181E-2</v>
      </c>
      <c r="Z94" s="23">
        <f t="shared" si="19"/>
        <v>3.6117771017967204E-3</v>
      </c>
      <c r="AA94" s="36"/>
    </row>
    <row r="95" spans="15:27" ht="13.9" customHeight="1" x14ac:dyDescent="0.3">
      <c r="O95" s="12">
        <f t="shared" si="13"/>
        <v>6.833333333333333</v>
      </c>
      <c r="P95" s="13">
        <v>82</v>
      </c>
      <c r="Q95" s="22">
        <v>3.8629455710980976E-2</v>
      </c>
      <c r="R95" s="19">
        <f t="shared" si="14"/>
        <v>4.0716572472222934E-2</v>
      </c>
      <c r="S95" s="22">
        <v>3.8629339125864748E-2</v>
      </c>
      <c r="T95" s="19">
        <f t="shared" si="15"/>
        <v>4.0721186021309697E-2</v>
      </c>
      <c r="U95" s="24">
        <v>4.3109270151048262E-2</v>
      </c>
      <c r="V95" s="24">
        <f t="shared" si="16"/>
        <v>4.5204396652301693E-2</v>
      </c>
      <c r="W95" s="23">
        <f t="shared" si="17"/>
        <v>3.687810493824939E-3</v>
      </c>
      <c r="X95" s="24">
        <v>4.2209285970777E-2</v>
      </c>
      <c r="Y95" s="24">
        <f t="shared" si="18"/>
        <v>4.4303670362385805E-2</v>
      </c>
      <c r="Z95" s="23">
        <f t="shared" si="19"/>
        <v>3.6156908823079537E-3</v>
      </c>
      <c r="AA95" s="36"/>
    </row>
    <row r="96" spans="15:27" ht="13.9" customHeight="1" x14ac:dyDescent="0.3">
      <c r="O96" s="12">
        <f t="shared" si="13"/>
        <v>6.916666666666667</v>
      </c>
      <c r="P96" s="13">
        <v>83</v>
      </c>
      <c r="Q96" s="22">
        <v>3.8654576768327509E-2</v>
      </c>
      <c r="R96" s="19">
        <f t="shared" si="14"/>
        <v>4.0752094873920841E-2</v>
      </c>
      <c r="S96" s="22">
        <v>3.8654517059734772E-2</v>
      </c>
      <c r="T96" s="19">
        <f t="shared" si="15"/>
        <v>4.0757060707705683E-2</v>
      </c>
      <c r="U96" s="24">
        <v>4.3134487627452867E-2</v>
      </c>
      <c r="V96" s="24">
        <f t="shared" si="16"/>
        <v>4.5239499488798351E-2</v>
      </c>
      <c r="W96" s="23">
        <f t="shared" si="17"/>
        <v>3.6911674054067589E-3</v>
      </c>
      <c r="X96" s="24">
        <v>4.2234494502250808E-2</v>
      </c>
      <c r="Y96" s="24">
        <f t="shared" si="18"/>
        <v>4.4338929539198046E-2</v>
      </c>
      <c r="Z96" s="23">
        <f t="shared" si="19"/>
        <v>3.6190596354299664E-3</v>
      </c>
      <c r="AA96" s="36"/>
    </row>
    <row r="97" spans="15:27" ht="13.9" customHeight="1" x14ac:dyDescent="0.3">
      <c r="O97" s="12">
        <f t="shared" si="13"/>
        <v>7</v>
      </c>
      <c r="P97" s="13">
        <v>84</v>
      </c>
      <c r="Q97" s="22">
        <v>3.8679522342038863E-2</v>
      </c>
      <c r="R97" s="19">
        <f t="shared" si="14"/>
        <v>4.0781844333624084E-2</v>
      </c>
      <c r="S97" s="22">
        <v>3.8679522342045303E-2</v>
      </c>
      <c r="T97" s="19">
        <f t="shared" si="15"/>
        <v>4.0787149286495739E-2</v>
      </c>
      <c r="U97" s="24">
        <v>4.3159522342039791E-2</v>
      </c>
      <c r="V97" s="24">
        <f t="shared" si="16"/>
        <v>4.5268660641738734E-2</v>
      </c>
      <c r="W97" s="23">
        <f t="shared" si="17"/>
        <v>3.6939764145611509E-3</v>
      </c>
      <c r="X97" s="24">
        <v>4.2259522342039002E-2</v>
      </c>
      <c r="Y97" s="24">
        <f t="shared" si="18"/>
        <v>4.4368280123999071E-2</v>
      </c>
      <c r="Z97" s="23">
        <f t="shared" si="19"/>
        <v>3.6218833857821764E-3</v>
      </c>
      <c r="AA97" s="36"/>
    </row>
    <row r="98" spans="15:27" ht="13.9" customHeight="1" x14ac:dyDescent="0.3">
      <c r="O98" s="12">
        <f t="shared" si="13"/>
        <v>7.083333333333333</v>
      </c>
      <c r="P98" s="13">
        <v>85</v>
      </c>
      <c r="Q98" s="22">
        <v>3.8704230839135656E-2</v>
      </c>
      <c r="R98" s="19">
        <f t="shared" si="14"/>
        <v>4.0809272476041825E-2</v>
      </c>
      <c r="S98" s="22">
        <v>3.8704293125609857E-2</v>
      </c>
      <c r="T98" s="19">
        <f t="shared" si="15"/>
        <v>4.0814878554809697E-2</v>
      </c>
      <c r="U98" s="24">
        <v>4.3184310977294027E-2</v>
      </c>
      <c r="V98" s="24">
        <f t="shared" si="16"/>
        <v>4.5295506139396702E-2</v>
      </c>
      <c r="W98" s="23">
        <f t="shared" si="17"/>
        <v>3.6963098908688874E-3</v>
      </c>
      <c r="X98" s="24">
        <v>4.2284306488198808E-2</v>
      </c>
      <c r="Y98" s="24">
        <f t="shared" si="18"/>
        <v>4.4395306498772547E-2</v>
      </c>
      <c r="Z98" s="23">
        <f t="shared" si="19"/>
        <v>3.6242338766787618E-3</v>
      </c>
      <c r="AA98" s="36"/>
    </row>
    <row r="99" spans="15:27" ht="13.9" customHeight="1" x14ac:dyDescent="0.3">
      <c r="O99" s="12">
        <f t="shared" si="13"/>
        <v>7.166666666666667</v>
      </c>
      <c r="P99" s="13">
        <v>86</v>
      </c>
      <c r="Q99" s="22">
        <v>3.8728683585936619E-2</v>
      </c>
      <c r="R99" s="19">
        <f t="shared" si="14"/>
        <v>4.083524272837713E-2</v>
      </c>
      <c r="S99" s="22">
        <v>3.872881020608232E-2</v>
      </c>
      <c r="T99" s="19">
        <f t="shared" si="15"/>
        <v>4.0841107543105437E-2</v>
      </c>
      <c r="U99" s="24">
        <v>4.3208835239082921E-2</v>
      </c>
      <c r="V99" s="24">
        <f t="shared" si="16"/>
        <v>4.5320943219814058E-2</v>
      </c>
      <c r="W99" s="23">
        <f t="shared" si="17"/>
        <v>3.6984580156191882E-3</v>
      </c>
      <c r="X99" s="24">
        <v>4.230882846417372E-2</v>
      </c>
      <c r="Y99" s="24">
        <f t="shared" si="18"/>
        <v>4.4420905839103408E-2</v>
      </c>
      <c r="Z99" s="23">
        <f t="shared" si="19"/>
        <v>3.6263981836799353E-3</v>
      </c>
      <c r="AA99" s="36"/>
    </row>
    <row r="100" spans="15:27" ht="13.9" customHeight="1" x14ac:dyDescent="0.3">
      <c r="O100" s="12">
        <f t="shared" si="13"/>
        <v>7.25</v>
      </c>
      <c r="P100" s="13">
        <v>87</v>
      </c>
      <c r="Q100" s="22">
        <v>3.8752872671689031E-2</v>
      </c>
      <c r="R100" s="19">
        <f t="shared" si="14"/>
        <v>4.0859754927170089E-2</v>
      </c>
      <c r="S100" s="22">
        <v>3.8753065115961105E-2</v>
      </c>
      <c r="T100" s="19">
        <f t="shared" si="15"/>
        <v>4.0865839635320311E-2</v>
      </c>
      <c r="U100" s="24">
        <v>4.3233088081315207E-2</v>
      </c>
      <c r="V100" s="24">
        <f t="shared" si="16"/>
        <v>4.5344972315845666E-2</v>
      </c>
      <c r="W100" s="23">
        <f t="shared" si="17"/>
        <v>3.7004933948878715E-3</v>
      </c>
      <c r="X100" s="24">
        <v>4.2333080934397804E-2</v>
      </c>
      <c r="Y100" s="24">
        <f t="shared" si="18"/>
        <v>4.4445079215104322E-2</v>
      </c>
      <c r="Z100" s="23">
        <f t="shared" si="19"/>
        <v>3.6284481645749711E-3</v>
      </c>
      <c r="AA100" s="36"/>
    </row>
    <row r="101" spans="15:27" ht="13.9" customHeight="1" x14ac:dyDescent="0.3">
      <c r="O101" s="12">
        <f t="shared" si="13"/>
        <v>7.333333333333333</v>
      </c>
      <c r="P101" s="13">
        <v>88</v>
      </c>
      <c r="Q101" s="22">
        <v>3.8776790543251893E-2</v>
      </c>
      <c r="R101" s="19">
        <f t="shared" si="14"/>
        <v>4.0882808783162083E-2</v>
      </c>
      <c r="S101" s="22">
        <v>3.8777049810890363E-2</v>
      </c>
      <c r="T101" s="19">
        <f t="shared" si="15"/>
        <v>4.08890780576181E-2</v>
      </c>
      <c r="U101" s="24">
        <v>4.3257062782965594E-2</v>
      </c>
      <c r="V101" s="24">
        <f t="shared" si="16"/>
        <v>4.5367593759437108E-2</v>
      </c>
      <c r="W101" s="23">
        <f t="shared" si="17"/>
        <v>3.7024160708531983E-3</v>
      </c>
      <c r="X101" s="24">
        <v>4.2357056908756352E-2</v>
      </c>
      <c r="Y101" s="24">
        <f t="shared" si="18"/>
        <v>4.446782758247747E-2</v>
      </c>
      <c r="Z101" s="23">
        <f t="shared" si="19"/>
        <v>3.6303839127602711E-3</v>
      </c>
      <c r="AA101" s="36"/>
    </row>
    <row r="102" spans="15:27" ht="13.9" customHeight="1" x14ac:dyDescent="0.3">
      <c r="O102" s="12">
        <f t="shared" si="13"/>
        <v>7.416666666666667</v>
      </c>
      <c r="P102" s="13">
        <v>89</v>
      </c>
      <c r="Q102" s="22">
        <v>3.8800429983556484E-2</v>
      </c>
      <c r="R102" s="19">
        <f t="shared" si="14"/>
        <v>4.0904403883781137E-2</v>
      </c>
      <c r="S102" s="22">
        <v>3.8800756644078893E-2</v>
      </c>
      <c r="T102" s="19">
        <f t="shared" si="15"/>
        <v>4.0910825880616786E-2</v>
      </c>
      <c r="U102" s="24">
        <v>4.3280752928646082E-2</v>
      </c>
      <c r="V102" s="24">
        <f t="shared" si="16"/>
        <v>4.5388807781220564E-2</v>
      </c>
      <c r="W102" s="23">
        <f t="shared" si="17"/>
        <v>3.7042260771982249E-3</v>
      </c>
      <c r="X102" s="24">
        <v>4.2380749721859567E-2</v>
      </c>
      <c r="Y102" s="24">
        <f t="shared" si="18"/>
        <v>4.4489151782152625E-2</v>
      </c>
      <c r="Z102" s="23">
        <f t="shared" si="19"/>
        <v>3.6322055120339147E-3</v>
      </c>
      <c r="AA102" s="36"/>
    </row>
    <row r="103" spans="15:27" ht="13.9" customHeight="1" x14ac:dyDescent="0.3">
      <c r="O103" s="12">
        <f t="shared" si="13"/>
        <v>7.5</v>
      </c>
      <c r="P103" s="13">
        <v>90</v>
      </c>
      <c r="Q103" s="22">
        <v>3.8823784091530644E-2</v>
      </c>
      <c r="R103" s="19">
        <f t="shared" si="14"/>
        <v>4.0924545360667697E-2</v>
      </c>
      <c r="S103" s="22">
        <v>3.8824178342449223E-2</v>
      </c>
      <c r="T103" s="19">
        <f t="shared" si="15"/>
        <v>4.0931086021057883E-2</v>
      </c>
      <c r="U103" s="24">
        <v>4.3304152390469808E-2</v>
      </c>
      <c r="V103" s="24">
        <f t="shared" si="16"/>
        <v>4.5408614512981949E-2</v>
      </c>
      <c r="W103" s="23">
        <f t="shared" si="17"/>
        <v>3.705923439080161E-3</v>
      </c>
      <c r="X103" s="24">
        <v>4.24041530136956E-2</v>
      </c>
      <c r="Y103" s="24">
        <f t="shared" si="18"/>
        <v>4.4509052544321248E-2</v>
      </c>
      <c r="Z103" s="23">
        <f t="shared" si="19"/>
        <v>3.633913036567904E-3</v>
      </c>
      <c r="AA103" s="36"/>
    </row>
    <row r="104" spans="15:27" ht="13.9" customHeight="1" x14ac:dyDescent="0.3">
      <c r="O104" s="12">
        <f t="shared" si="13"/>
        <v>7.583333333333333</v>
      </c>
      <c r="P104" s="13">
        <v>91</v>
      </c>
      <c r="Q104" s="22">
        <v>3.8846846325503614E-2</v>
      </c>
      <c r="R104" s="19">
        <f t="shared" si="14"/>
        <v>4.0943255240470044E-2</v>
      </c>
      <c r="S104" s="22">
        <v>3.8847307984378743E-2</v>
      </c>
      <c r="T104" s="19">
        <f t="shared" si="15"/>
        <v>4.0949861244272245E-2</v>
      </c>
      <c r="U104" s="24">
        <v>4.3327255311137014E-2</v>
      </c>
      <c r="V104" s="24">
        <f t="shared" si="16"/>
        <v>4.5427013988892817E-2</v>
      </c>
      <c r="W104" s="23">
        <f t="shared" si="17"/>
        <v>3.7075081733284332E-3</v>
      </c>
      <c r="X104" s="24">
        <v>4.2427260711603187E-2</v>
      </c>
      <c r="Y104" s="24">
        <f t="shared" si="18"/>
        <v>4.4527530487303846E-2</v>
      </c>
      <c r="Z104" s="23">
        <f t="shared" si="19"/>
        <v>3.6355065512345686E-3</v>
      </c>
      <c r="AA104" s="36"/>
    </row>
    <row r="105" spans="15:27" ht="13.9" customHeight="1" x14ac:dyDescent="0.3">
      <c r="O105" s="12">
        <f t="shared" si="13"/>
        <v>7.666666666666667</v>
      </c>
      <c r="P105" s="13">
        <v>92</v>
      </c>
      <c r="Q105" s="22">
        <v>3.8869610666915744E-2</v>
      </c>
      <c r="R105" s="19">
        <f t="shared" si="14"/>
        <v>4.0960538462046392E-2</v>
      </c>
      <c r="S105" s="22">
        <v>3.8870138978920332E-2</v>
      </c>
      <c r="T105" s="19">
        <f t="shared" si="15"/>
        <v>4.0967154165891806E-2</v>
      </c>
      <c r="U105" s="24">
        <v>4.3350056088138356E-2</v>
      </c>
      <c r="V105" s="24">
        <f t="shared" si="16"/>
        <v>4.5444006146595717E-2</v>
      </c>
      <c r="W105" s="23">
        <f t="shared" si="17"/>
        <v>3.7089802885446055E-3</v>
      </c>
      <c r="X105" s="24">
        <v>4.2450067013408255E-2</v>
      </c>
      <c r="Y105" s="24">
        <f t="shared" si="18"/>
        <v>4.4544586121374463E-2</v>
      </c>
      <c r="Z105" s="23">
        <f t="shared" si="19"/>
        <v>3.636986111516638E-3</v>
      </c>
      <c r="AA105" s="36"/>
    </row>
    <row r="106" spans="15:27" ht="13.9" customHeight="1" x14ac:dyDescent="0.3">
      <c r="O106" s="12">
        <f t="shared" si="13"/>
        <v>7.75</v>
      </c>
      <c r="P106" s="13">
        <v>93</v>
      </c>
      <c r="Q106" s="22">
        <v>3.889207140879436E-2</v>
      </c>
      <c r="R106" s="19">
        <f t="shared" si="14"/>
        <v>4.0976394186249987E-2</v>
      </c>
      <c r="S106" s="22">
        <v>3.8892665046382113E-2</v>
      </c>
      <c r="T106" s="19">
        <f t="shared" si="15"/>
        <v>4.0982967254863834E-2</v>
      </c>
      <c r="U106" s="24">
        <v>4.3372549358989154E-2</v>
      </c>
      <c r="V106" s="24">
        <f t="shared" si="16"/>
        <v>4.5459590829719732E-2</v>
      </c>
      <c r="W106" s="23">
        <f t="shared" si="17"/>
        <v>3.7103397851905306E-3</v>
      </c>
      <c r="X106" s="24">
        <v>4.2472566371689835E-2</v>
      </c>
      <c r="Y106" s="24">
        <f t="shared" si="18"/>
        <v>4.4560219849721028E-2</v>
      </c>
      <c r="Z106" s="23">
        <f t="shared" si="19"/>
        <v>3.6383517638147733E-3</v>
      </c>
      <c r="AA106" s="36"/>
    </row>
    <row r="107" spans="15:27" ht="13.9" customHeight="1" x14ac:dyDescent="0.3">
      <c r="O107" s="12">
        <f t="shared" si="13"/>
        <v>7.833333333333333</v>
      </c>
      <c r="P107" s="13">
        <v>94</v>
      </c>
      <c r="Q107" s="22">
        <v>3.8914223077804122E-2</v>
      </c>
      <c r="R107" s="19">
        <f t="shared" si="14"/>
        <v>4.0990821461571292E-2</v>
      </c>
      <c r="S107" s="22">
        <v>3.8914880200179303E-2</v>
      </c>
      <c r="T107" s="19">
        <f t="shared" si="15"/>
        <v>4.0997302833707172E-2</v>
      </c>
      <c r="U107" s="24">
        <v>4.3394729987433101E-2</v>
      </c>
      <c r="V107" s="24">
        <f t="shared" si="16"/>
        <v>4.5473767788482E-2</v>
      </c>
      <c r="W107" s="23">
        <f t="shared" si="17"/>
        <v>3.7115866557884125E-3</v>
      </c>
      <c r="X107" s="24">
        <v>4.2494753479061176E-2</v>
      </c>
      <c r="Y107" s="24">
        <f t="shared" si="18"/>
        <v>4.4574431969391259E-2</v>
      </c>
      <c r="Z107" s="23">
        <f t="shared" si="19"/>
        <v>3.639603545526171E-3</v>
      </c>
      <c r="AA107" s="36"/>
    </row>
    <row r="108" spans="15:27" ht="13.9" customHeight="1" x14ac:dyDescent="0.3">
      <c r="O108" s="12">
        <f t="shared" si="13"/>
        <v>7.916666666666667</v>
      </c>
      <c r="P108" s="13">
        <v>95</v>
      </c>
      <c r="Q108" s="22">
        <v>3.8936060420737384E-2</v>
      </c>
      <c r="R108" s="19">
        <f t="shared" si="14"/>
        <v>4.1003819223680127E-2</v>
      </c>
      <c r="S108" s="22">
        <v>3.8936778729836474E-2</v>
      </c>
      <c r="T108" s="19">
        <f t="shared" si="15"/>
        <v>4.1010163082404238E-2</v>
      </c>
      <c r="U108" s="24">
        <v>4.34165930505237E-2</v>
      </c>
      <c r="V108" s="24">
        <f t="shared" si="16"/>
        <v>4.548653668204361E-2</v>
      </c>
      <c r="W108" s="23">
        <f t="shared" si="17"/>
        <v>3.7127208849716542E-3</v>
      </c>
      <c r="X108" s="24">
        <v>4.2516623254390318E-2</v>
      </c>
      <c r="Y108" s="24">
        <f t="shared" si="18"/>
        <v>4.4587222673499793E-2</v>
      </c>
      <c r="Z108" s="23">
        <f t="shared" si="19"/>
        <v>3.6407414851211684E-3</v>
      </c>
      <c r="AA108" s="36"/>
    </row>
    <row r="109" spans="15:27" ht="13.9" customHeight="1" x14ac:dyDescent="0.3">
      <c r="O109" s="12">
        <f t="shared" si="13"/>
        <v>8</v>
      </c>
      <c r="P109" s="13">
        <v>96</v>
      </c>
      <c r="Q109" s="22">
        <v>3.895757839184455E-2</v>
      </c>
      <c r="R109" s="19">
        <f t="shared" si="14"/>
        <v>4.1015391876123353E-2</v>
      </c>
      <c r="S109" s="22">
        <v>3.8958355185091609E-2</v>
      </c>
      <c r="T109" s="19">
        <f t="shared" si="15"/>
        <v>4.1021550039046284E-2</v>
      </c>
      <c r="U109" s="24">
        <v>4.3438133826537717E-2</v>
      </c>
      <c r="V109" s="24">
        <f t="shared" si="16"/>
        <v>4.5497897079494143E-2</v>
      </c>
      <c r="W109" s="23">
        <f t="shared" si="17"/>
        <v>3.7137424496720417E-3</v>
      </c>
      <c r="X109" s="24">
        <v>4.2538170829904631E-2</v>
      </c>
      <c r="Y109" s="24">
        <f t="shared" si="18"/>
        <v>4.4598592053662012E-2</v>
      </c>
      <c r="Z109" s="23">
        <f t="shared" si="19"/>
        <v>3.6417656023211009E-3</v>
      </c>
      <c r="AA109" s="36"/>
    </row>
    <row r="110" spans="15:27" ht="13.9" customHeight="1" x14ac:dyDescent="0.3">
      <c r="O110" s="12">
        <f t="shared" si="13"/>
        <v>8.0833333333333339</v>
      </c>
      <c r="P110" s="13">
        <v>97</v>
      </c>
      <c r="Q110" s="22">
        <v>3.8978772198369205E-2</v>
      </c>
      <c r="R110" s="19">
        <f t="shared" si="14"/>
        <v>4.1025560459191812E-2</v>
      </c>
      <c r="S110" s="22">
        <v>3.8979604360992015E-2</v>
      </c>
      <c r="T110" s="19">
        <f t="shared" si="15"/>
        <v>4.103146560226878E-2</v>
      </c>
      <c r="U110" s="24">
        <v>4.3459347783646907E-2</v>
      </c>
      <c r="V110" s="24">
        <f t="shared" si="16"/>
        <v>4.5507848461033173E-2</v>
      </c>
      <c r="W110" s="23">
        <f t="shared" si="17"/>
        <v>3.7146513191994579E-3</v>
      </c>
      <c r="X110" s="24">
        <v>4.255939153911914E-2</v>
      </c>
      <c r="Y110" s="24">
        <f t="shared" si="18"/>
        <v>4.4608540099135396E-2</v>
      </c>
      <c r="Z110" s="23">
        <f t="shared" si="19"/>
        <v>3.6426759082941462E-3</v>
      </c>
      <c r="AA110" s="36"/>
    </row>
    <row r="111" spans="15:27" ht="13.9" customHeight="1" x14ac:dyDescent="0.3">
      <c r="O111" s="12">
        <f t="shared" si="13"/>
        <v>8.1666666666666661</v>
      </c>
      <c r="P111" s="13">
        <v>98</v>
      </c>
      <c r="Q111" s="22">
        <v>3.8999637457044489E-2</v>
      </c>
      <c r="R111" s="19">
        <f t="shared" si="14"/>
        <v>4.1034329205441589E-2</v>
      </c>
      <c r="S111" s="22">
        <v>3.9000521283926615E-2</v>
      </c>
      <c r="T111" s="19">
        <f t="shared" si="15"/>
        <v>4.1039911533904627E-2</v>
      </c>
      <c r="U111" s="24">
        <v>4.3480230569294953E-2</v>
      </c>
      <c r="V111" s="24">
        <f t="shared" si="16"/>
        <v>4.5516390220656122E-2</v>
      </c>
      <c r="W111" s="23">
        <f t="shared" si="17"/>
        <v>3.7154474553358074E-3</v>
      </c>
      <c r="X111" s="24">
        <v>4.2580280905494705E-2</v>
      </c>
      <c r="Y111" s="24">
        <f t="shared" si="18"/>
        <v>4.4617066701571062E-2</v>
      </c>
      <c r="Z111" s="23">
        <f t="shared" si="19"/>
        <v>3.6434724055862677E-3</v>
      </c>
      <c r="AA111" s="36"/>
    </row>
    <row r="112" spans="15:27" ht="13.9" customHeight="1" x14ac:dyDescent="0.3">
      <c r="O112" s="12">
        <f t="shared" si="13"/>
        <v>8.25</v>
      </c>
      <c r="P112" s="13">
        <v>99</v>
      </c>
      <c r="Q112" s="22">
        <v>3.9020170003950749E-2</v>
      </c>
      <c r="R112" s="19">
        <f t="shared" si="14"/>
        <v>4.1041696669825267E-2</v>
      </c>
      <c r="S112" s="22">
        <v>3.9021101198532637E-2</v>
      </c>
      <c r="T112" s="19">
        <f t="shared" si="15"/>
        <v>4.1046889459292135E-2</v>
      </c>
      <c r="U112" s="24">
        <v>4.3500778000245877E-2</v>
      </c>
      <c r="V112" s="24">
        <f t="shared" si="16"/>
        <v>4.5523521666686495E-2</v>
      </c>
      <c r="W112" s="23">
        <f t="shared" si="17"/>
        <v>3.7161308125508441E-3</v>
      </c>
      <c r="X112" s="24">
        <v>4.2600834631832063E-2</v>
      </c>
      <c r="Y112" s="24">
        <f t="shared" si="18"/>
        <v>4.4624171654052969E-2</v>
      </c>
      <c r="Z112" s="23">
        <f t="shared" si="19"/>
        <v>3.6441550885031315E-3</v>
      </c>
      <c r="AA112" s="36"/>
    </row>
    <row r="113" spans="15:27" ht="13.9" customHeight="1" x14ac:dyDescent="0.3">
      <c r="O113" s="12">
        <f t="shared" si="13"/>
        <v>8.3333333333333339</v>
      </c>
      <c r="P113" s="13">
        <v>100</v>
      </c>
      <c r="Q113" s="22">
        <v>3.9040365826854995E-2</v>
      </c>
      <c r="R113" s="19">
        <f t="shared" si="14"/>
        <v>4.1047661306425232E-2</v>
      </c>
      <c r="S113" s="22">
        <v>3.9041339555390797E-2</v>
      </c>
      <c r="T113" s="19">
        <f t="shared" si="15"/>
        <v>4.1052400870202677E-2</v>
      </c>
      <c r="U113" s="24">
        <v>4.3520986053233957E-2</v>
      </c>
      <c r="V113" s="24">
        <f t="shared" si="16"/>
        <v>4.5529242022891658E-2</v>
      </c>
      <c r="W113" s="23">
        <f t="shared" si="17"/>
        <v>3.7167013380430269E-3</v>
      </c>
      <c r="X113" s="24">
        <v>4.262104859029181E-2</v>
      </c>
      <c r="Y113" s="24">
        <f t="shared" si="18"/>
        <v>4.4629854653435386E-2</v>
      </c>
      <c r="Z113" s="23">
        <f t="shared" si="19"/>
        <v>3.6447239430326128E-3</v>
      </c>
      <c r="AA113" s="36"/>
    </row>
    <row r="114" spans="15:27" ht="13.9" customHeight="1" x14ac:dyDescent="0.3">
      <c r="O114" s="12">
        <f t="shared" si="13"/>
        <v>8.4166666666666661</v>
      </c>
      <c r="P114" s="13">
        <v>101</v>
      </c>
      <c r="Q114" s="22">
        <v>3.9060221056677724E-2</v>
      </c>
      <c r="R114" s="19">
        <f t="shared" si="14"/>
        <v>4.1052221467011707E-2</v>
      </c>
      <c r="S114" s="22">
        <v>3.9061231999481416E-2</v>
      </c>
      <c r="T114" s="19">
        <f t="shared" si="15"/>
        <v>4.105644712753409E-2</v>
      </c>
      <c r="U114" s="24">
        <v>4.3540850856181867E-2</v>
      </c>
      <c r="V114" s="24">
        <f t="shared" si="16"/>
        <v>4.553355043191476E-2</v>
      </c>
      <c r="W114" s="23">
        <f t="shared" si="17"/>
        <v>3.7171589718301146E-3</v>
      </c>
      <c r="X114" s="24">
        <v>4.2640918813031892E-2</v>
      </c>
      <c r="Y114" s="24">
        <f t="shared" si="18"/>
        <v>4.4634115302719879E-2</v>
      </c>
      <c r="Z114" s="23">
        <f t="shared" si="19"/>
        <v>3.6451789470330898E-3</v>
      </c>
      <c r="AA114" s="36"/>
    </row>
    <row r="115" spans="15:27" ht="13.9" customHeight="1" x14ac:dyDescent="0.3">
      <c r="O115" s="12">
        <f t="shared" si="13"/>
        <v>8.5</v>
      </c>
      <c r="P115" s="13">
        <v>102</v>
      </c>
      <c r="Q115" s="22">
        <v>3.9079731959445807E-2</v>
      </c>
      <c r="R115" s="19">
        <f t="shared" si="14"/>
        <v>4.1055380893829208E-2</v>
      </c>
      <c r="S115" s="22">
        <v>3.9080774359344428E-2</v>
      </c>
      <c r="T115" s="19">
        <f t="shared" si="15"/>
        <v>4.1059029460871477E-2</v>
      </c>
      <c r="U115" s="24">
        <v>4.3560368679967043E-2</v>
      </c>
      <c r="V115" s="24">
        <f t="shared" si="16"/>
        <v>4.5536445954495131E-2</v>
      </c>
      <c r="W115" s="23">
        <f t="shared" si="17"/>
        <v>3.7175036470211698E-3</v>
      </c>
      <c r="X115" s="24">
        <v>4.2660441483417744E-2</v>
      </c>
      <c r="Y115" s="24">
        <f t="shared" si="18"/>
        <v>4.4636953111387712E-2</v>
      </c>
      <c r="Z115" s="23">
        <f t="shared" si="19"/>
        <v>3.6455200704224033E-3</v>
      </c>
      <c r="AA115" s="36"/>
    </row>
    <row r="116" spans="15:27" ht="13.9" customHeight="1" x14ac:dyDescent="0.3">
      <c r="O116" s="12">
        <f t="shared" si="13"/>
        <v>8.5833333333333339</v>
      </c>
      <c r="P116" s="13">
        <v>103</v>
      </c>
      <c r="Q116" s="22">
        <v>3.9098894981942189E-2</v>
      </c>
      <c r="R116" s="19">
        <f t="shared" si="14"/>
        <v>4.1057159712875935E-2</v>
      </c>
      <c r="S116" s="22">
        <v>3.9099962636869323E-2</v>
      </c>
      <c r="T116" s="19">
        <f t="shared" si="15"/>
        <v>4.1060148973020238E-2</v>
      </c>
      <c r="U116" s="24">
        <v>4.3579535930661439E-2</v>
      </c>
      <c r="V116" s="24">
        <f t="shared" si="16"/>
        <v>4.5537927572445458E-2</v>
      </c>
      <c r="W116" s="23">
        <f t="shared" si="17"/>
        <v>3.7177352897557192E-3</v>
      </c>
      <c r="X116" s="24">
        <v>4.2679612927748467E-2</v>
      </c>
      <c r="Y116" s="24">
        <f t="shared" si="18"/>
        <v>4.4638367498193832E-2</v>
      </c>
      <c r="Z116" s="23">
        <f t="shared" si="19"/>
        <v>3.645747275205613E-3</v>
      </c>
      <c r="AA116" s="36"/>
    </row>
    <row r="117" spans="15:27" ht="13.9" customHeight="1" x14ac:dyDescent="0.3">
      <c r="O117" s="12">
        <f t="shared" si="13"/>
        <v>8.6666666666666661</v>
      </c>
      <c r="P117" s="13">
        <v>104</v>
      </c>
      <c r="Q117" s="22">
        <v>3.9117706900235749E-2</v>
      </c>
      <c r="R117" s="19">
        <f t="shared" si="14"/>
        <v>4.1057561515671637E-2</v>
      </c>
      <c r="S117" s="22">
        <v>3.9118792997715479E-2</v>
      </c>
      <c r="T117" s="19">
        <f t="shared" si="15"/>
        <v>4.1059806639489826E-2</v>
      </c>
      <c r="U117" s="24">
        <v>4.3598349142246917E-2</v>
      </c>
      <c r="V117" s="24">
        <f t="shared" si="16"/>
        <v>4.5537994189622122E-2</v>
      </c>
      <c r="W117" s="23">
        <f t="shared" si="17"/>
        <v>3.7178538194391209E-3</v>
      </c>
      <c r="X117" s="24">
        <v>4.2698429607487043E-2</v>
      </c>
      <c r="Y117" s="24">
        <f t="shared" si="18"/>
        <v>4.4638357791475514E-2</v>
      </c>
      <c r="Z117" s="23">
        <f t="shared" si="19"/>
        <v>3.6458605156968193E-3</v>
      </c>
      <c r="AA117" s="36"/>
    </row>
    <row r="118" spans="15:27" ht="13.9" customHeight="1" x14ac:dyDescent="0.3">
      <c r="O118" s="12">
        <f t="shared" si="13"/>
        <v>8.75</v>
      </c>
      <c r="P118" s="13">
        <v>105</v>
      </c>
      <c r="Q118" s="22">
        <v>3.9136164646810911E-2</v>
      </c>
      <c r="R118" s="19">
        <f t="shared" si="14"/>
        <v>4.1056584315727784E-2</v>
      </c>
      <c r="S118" s="22">
        <v>3.9137261762275832E-2</v>
      </c>
      <c r="T118" s="19">
        <f t="shared" si="15"/>
        <v>4.1058003311983393E-2</v>
      </c>
      <c r="U118" s="24">
        <v>4.3616804969756506E-2</v>
      </c>
      <c r="V118" s="24">
        <f t="shared" si="16"/>
        <v>4.5536644633828782E-2</v>
      </c>
      <c r="W118" s="23">
        <f t="shared" si="17"/>
        <v>3.7178591488207235E-3</v>
      </c>
      <c r="X118" s="24">
        <v>4.2716888111937301E-2</v>
      </c>
      <c r="Y118" s="24">
        <f t="shared" si="18"/>
        <v>4.4636923231347492E-2</v>
      </c>
      <c r="Z118" s="23">
        <f t="shared" si="19"/>
        <v>3.645859738545365E-3</v>
      </c>
      <c r="AA118" s="36"/>
    </row>
    <row r="119" spans="15:27" ht="13.9" customHeight="1" x14ac:dyDescent="0.3">
      <c r="O119" s="12">
        <f t="shared" si="13"/>
        <v>8.8333333333333339</v>
      </c>
      <c r="P119" s="13">
        <v>106</v>
      </c>
      <c r="Q119" s="22">
        <v>3.9154265250641584E-2</v>
      </c>
      <c r="R119" s="19">
        <f t="shared" si="14"/>
        <v>4.1054226034459296E-2</v>
      </c>
      <c r="S119" s="22">
        <v>3.9155365397185893E-2</v>
      </c>
      <c r="T119" s="19">
        <f t="shared" si="15"/>
        <v>4.1054739719538658E-2</v>
      </c>
      <c r="U119" s="24">
        <v>4.3634900182821346E-2</v>
      </c>
      <c r="V119" s="24">
        <f t="shared" si="16"/>
        <v>4.5533877657582433E-2</v>
      </c>
      <c r="W119" s="23">
        <f t="shared" si="17"/>
        <v>3.7177511841444133E-3</v>
      </c>
      <c r="X119" s="24">
        <v>4.2734985151356097E-2</v>
      </c>
      <c r="Y119" s="24">
        <f t="shared" si="18"/>
        <v>4.4634062971578015E-2</v>
      </c>
      <c r="Z119" s="23">
        <f t="shared" si="19"/>
        <v>3.64574488290903E-3</v>
      </c>
      <c r="AA119" s="36"/>
    </row>
    <row r="120" spans="15:27" ht="13.9" customHeight="1" x14ac:dyDescent="0.3">
      <c r="O120" s="12">
        <f t="shared" si="13"/>
        <v>8.9166666666666661</v>
      </c>
      <c r="P120" s="13">
        <v>107</v>
      </c>
      <c r="Q120" s="22">
        <v>3.9172005831797252E-2</v>
      </c>
      <c r="R120" s="19">
        <f t="shared" si="14"/>
        <v>4.1050484503430296E-2</v>
      </c>
      <c r="S120" s="22">
        <v>3.917310050731837E-2</v>
      </c>
      <c r="T120" s="19">
        <f t="shared" si="15"/>
        <v>4.1050016470418837E-2</v>
      </c>
      <c r="U120" s="24">
        <v>4.3652631659586882E-2</v>
      </c>
      <c r="V120" s="24">
        <f t="shared" si="16"/>
        <v>4.5529691940429773E-2</v>
      </c>
      <c r="W120" s="23">
        <f t="shared" si="17"/>
        <v>3.7175298252090094E-3</v>
      </c>
      <c r="X120" s="24">
        <v>4.2752717550469388E-2</v>
      </c>
      <c r="Y120" s="24">
        <f t="shared" si="18"/>
        <v>4.4629776080653105E-2</v>
      </c>
      <c r="Z120" s="23">
        <f t="shared" si="19"/>
        <v>3.6455158806047994E-3</v>
      </c>
      <c r="AA120" s="36"/>
    </row>
    <row r="121" spans="15:27" ht="13.9" customHeight="1" x14ac:dyDescent="0.3">
      <c r="O121" s="12">
        <f t="shared" si="13"/>
        <v>9</v>
      </c>
      <c r="P121" s="13">
        <v>108</v>
      </c>
      <c r="Q121" s="22">
        <v>3.9189383596369698E-2</v>
      </c>
      <c r="R121" s="19">
        <f t="shared" si="14"/>
        <v>4.1045362866658719E-2</v>
      </c>
      <c r="S121" s="22">
        <v>3.9190463828240318E-2</v>
      </c>
      <c r="T121" s="19">
        <f t="shared" si="15"/>
        <v>4.1043834053359873E-2</v>
      </c>
      <c r="U121" s="24">
        <v>4.3669996380987897E-2</v>
      </c>
      <c r="V121" s="24">
        <f t="shared" si="16"/>
        <v>4.5524086090036109E-2</v>
      </c>
      <c r="W121" s="23">
        <f t="shared" si="17"/>
        <v>3.7171949655518954E-3</v>
      </c>
      <c r="X121" s="24">
        <v>4.2770082242357566E-2</v>
      </c>
      <c r="Y121" s="24">
        <f t="shared" si="18"/>
        <v>4.4624061543242277E-2</v>
      </c>
      <c r="Z121" s="23">
        <f t="shared" si="19"/>
        <v>3.6451726561925746E-3</v>
      </c>
      <c r="AA121" s="36"/>
    </row>
    <row r="122" spans="15:27" ht="13.9" customHeight="1" x14ac:dyDescent="0.3">
      <c r="O122" s="12">
        <f t="shared" si="13"/>
        <v>9.0833333333333339</v>
      </c>
      <c r="P122" s="13">
        <v>109</v>
      </c>
      <c r="Q122" s="22">
        <v>3.9206395881153044E-2</v>
      </c>
      <c r="R122" s="19">
        <f t="shared" si="14"/>
        <v>4.1038880400683153E-2</v>
      </c>
      <c r="S122" s="22">
        <v>3.9207452219097716E-2</v>
      </c>
      <c r="T122" s="19">
        <f t="shared" si="15"/>
        <v>4.1036192840730124E-2</v>
      </c>
      <c r="U122" s="24">
        <v>4.3686991425349486E-2</v>
      </c>
      <c r="V122" s="24">
        <f t="shared" si="16"/>
        <v>4.5517058643494313E-2</v>
      </c>
      <c r="W122" s="23">
        <f t="shared" si="17"/>
        <v>3.7167464925351723E-3</v>
      </c>
      <c r="X122" s="24">
        <v>4.2787076262692292E-2</v>
      </c>
      <c r="Y122" s="24">
        <f t="shared" si="18"/>
        <v>4.461691826199754E-2</v>
      </c>
      <c r="Z122" s="23">
        <f t="shared" si="19"/>
        <v>3.6447151270917466E-3</v>
      </c>
      <c r="AA122" s="36"/>
    </row>
    <row r="123" spans="15:27" ht="13.9" customHeight="1" x14ac:dyDescent="0.3">
      <c r="O123" s="12">
        <f t="shared" si="13"/>
        <v>9.1666666666666661</v>
      </c>
      <c r="P123" s="13">
        <v>110</v>
      </c>
      <c r="Q123" s="22">
        <v>3.9223040294085854E-2</v>
      </c>
      <c r="R123" s="19">
        <f t="shared" si="14"/>
        <v>4.1031040117555762E-2</v>
      </c>
      <c r="S123" s="22">
        <v>3.9224062655915937E-2</v>
      </c>
      <c r="T123" s="19">
        <f t="shared" si="15"/>
        <v>4.1027093088785271E-2</v>
      </c>
      <c r="U123" s="24">
        <v>4.3703613963293142E-2</v>
      </c>
      <c r="V123" s="24">
        <f t="shared" si="16"/>
        <v>4.5508608069980916E-2</v>
      </c>
      <c r="W123" s="23">
        <f t="shared" si="17"/>
        <v>3.7161842874486872E-3</v>
      </c>
      <c r="X123" s="24">
        <v>4.2803696744301734E-2</v>
      </c>
      <c r="Y123" s="24">
        <f t="shared" si="18"/>
        <v>4.4608345059613752E-2</v>
      </c>
      <c r="Z123" s="23">
        <f t="shared" si="19"/>
        <v>3.6441432037237487E-3</v>
      </c>
      <c r="AA123" s="36"/>
    </row>
    <row r="124" spans="15:27" ht="13.9" customHeight="1" x14ac:dyDescent="0.3">
      <c r="O124" s="12">
        <f t="shared" si="13"/>
        <v>9.25</v>
      </c>
      <c r="P124" s="13">
        <v>111</v>
      </c>
      <c r="Q124" s="22">
        <v>3.9239314555758575E-2</v>
      </c>
      <c r="R124" s="19">
        <f t="shared" si="14"/>
        <v>4.1021839548839756E-2</v>
      </c>
      <c r="S124" s="22">
        <v>3.9240292225264595E-2</v>
      </c>
      <c r="T124" s="19">
        <f t="shared" si="15"/>
        <v>4.1016534940282012E-2</v>
      </c>
      <c r="U124" s="24">
        <v>4.3719861252942804E-2</v>
      </c>
      <c r="V124" s="24">
        <f t="shared" si="16"/>
        <v>4.5498732770637762E-2</v>
      </c>
      <c r="W124" s="23">
        <f t="shared" si="17"/>
        <v>3.71550822572142E-3</v>
      </c>
      <c r="X124" s="24">
        <v>4.2819940912049992E-2</v>
      </c>
      <c r="Y124" s="24">
        <f t="shared" si="18"/>
        <v>4.4598340679118609E-2</v>
      </c>
      <c r="Z124" s="23">
        <f t="shared" si="19"/>
        <v>3.6434567896759251E-3</v>
      </c>
      <c r="AA124" s="36"/>
    </row>
    <row r="125" spans="15:27" ht="13.9" customHeight="1" x14ac:dyDescent="0.3">
      <c r="O125" s="12">
        <f t="shared" si="13"/>
        <v>9.3333333333333339</v>
      </c>
      <c r="P125" s="13">
        <v>112</v>
      </c>
      <c r="Q125" s="22">
        <v>3.9255216445515106E-2</v>
      </c>
      <c r="R125" s="19">
        <f t="shared" si="14"/>
        <v>4.1011276143400277E-2</v>
      </c>
      <c r="S125" s="22">
        <v>3.9256138118286099E-2</v>
      </c>
      <c r="T125" s="19">
        <f t="shared" si="15"/>
        <v>4.1004518426162928E-2</v>
      </c>
      <c r="U125" s="24">
        <v>4.373573063538605E-2</v>
      </c>
      <c r="V125" s="24">
        <f t="shared" si="16"/>
        <v>4.5487431080975638E-2</v>
      </c>
      <c r="W125" s="23">
        <f t="shared" si="17"/>
        <v>3.7147181769090487E-3</v>
      </c>
      <c r="X125" s="24">
        <v>4.2835806077992311E-2</v>
      </c>
      <c r="Y125" s="24">
        <f t="shared" si="18"/>
        <v>4.4586903786396848E-2</v>
      </c>
      <c r="Z125" s="23">
        <f t="shared" si="19"/>
        <v>3.6426557817235139E-3</v>
      </c>
      <c r="AA125" s="36"/>
    </row>
    <row r="126" spans="15:27" ht="13.9" customHeight="1" x14ac:dyDescent="0.3">
      <c r="O126" s="12">
        <f t="shared" si="13"/>
        <v>9.4166666666666661</v>
      </c>
      <c r="P126" s="13">
        <v>113</v>
      </c>
      <c r="Q126" s="22">
        <v>3.9270743798098806E-2</v>
      </c>
      <c r="R126" s="19">
        <f t="shared" si="14"/>
        <v>4.0999347269246034E-2</v>
      </c>
      <c r="S126" s="22">
        <v>3.9271597625054833E-2</v>
      </c>
      <c r="T126" s="19">
        <f t="shared" si="15"/>
        <v>4.0991043466993782E-2</v>
      </c>
      <c r="U126" s="24">
        <v>4.3751219530398178E-2</v>
      </c>
      <c r="V126" s="24">
        <f t="shared" si="16"/>
        <v>4.5474701272970375E-2</v>
      </c>
      <c r="W126" s="23">
        <f t="shared" si="17"/>
        <v>3.7138140048855739E-3</v>
      </c>
      <c r="X126" s="24">
        <v>4.2851289636809398E-2</v>
      </c>
      <c r="Y126" s="24">
        <f t="shared" si="18"/>
        <v>4.4574032971953281E-2</v>
      </c>
      <c r="Z126" s="23">
        <f t="shared" si="19"/>
        <v>3.6417400700301528E-3</v>
      </c>
      <c r="AA126" s="36"/>
    </row>
    <row r="127" spans="15:27" ht="13.9" customHeight="1" x14ac:dyDescent="0.3">
      <c r="O127" s="12">
        <f t="shared" si="13"/>
        <v>9.5</v>
      </c>
      <c r="P127" s="13">
        <v>114</v>
      </c>
      <c r="Q127" s="22">
        <v>3.9285894500489693E-2</v>
      </c>
      <c r="R127" s="19">
        <f t="shared" si="14"/>
        <v>4.0986055531816223E-2</v>
      </c>
      <c r="S127" s="22">
        <v>3.9286668129246305E-2</v>
      </c>
      <c r="T127" s="19">
        <f t="shared" si="15"/>
        <v>4.0976109874921063E-2</v>
      </c>
      <c r="U127" s="24">
        <v>4.3766325432407882E-2</v>
      </c>
      <c r="V127" s="24">
        <f t="shared" si="16"/>
        <v>4.5460541555080169E-2</v>
      </c>
      <c r="W127" s="23">
        <f t="shared" si="17"/>
        <v>3.7127955680087421E-3</v>
      </c>
      <c r="X127" s="24">
        <v>4.2866389061498866E-2</v>
      </c>
      <c r="Y127" s="24">
        <f t="shared" si="18"/>
        <v>4.4559726751335793E-2</v>
      </c>
      <c r="Z127" s="23">
        <f t="shared" si="19"/>
        <v>3.6407095382868793E-3</v>
      </c>
      <c r="AA127" s="36"/>
    </row>
    <row r="128" spans="15:27" ht="13.9" customHeight="1" x14ac:dyDescent="0.3">
      <c r="O128" s="12">
        <f t="shared" si="13"/>
        <v>9.5833333333333339</v>
      </c>
      <c r="P128" s="13">
        <v>115</v>
      </c>
      <c r="Q128" s="22">
        <v>3.9300666535078799E-2</v>
      </c>
      <c r="R128" s="19">
        <f t="shared" si="14"/>
        <v>4.0971419420053889E-2</v>
      </c>
      <c r="S128" s="22">
        <v>3.9301347103101403E-2</v>
      </c>
      <c r="T128" s="19">
        <f t="shared" si="15"/>
        <v>4.0959717355514735E-2</v>
      </c>
      <c r="U128" s="24">
        <v>4.3781045906675864E-2</v>
      </c>
      <c r="V128" s="24">
        <f t="shared" si="16"/>
        <v>4.5444950075914869E-2</v>
      </c>
      <c r="W128" s="23">
        <f t="shared" si="17"/>
        <v>3.7116627191191576E-3</v>
      </c>
      <c r="X128" s="24">
        <v>4.2881101899292728E-2</v>
      </c>
      <c r="Y128" s="24">
        <f t="shared" si="18"/>
        <v>4.4543983567720602E-2</v>
      </c>
      <c r="Z128" s="23">
        <f t="shared" si="19"/>
        <v>3.6395640637449933E-3</v>
      </c>
      <c r="AA128" s="36"/>
    </row>
    <row r="129" spans="15:27" ht="13.9" customHeight="1" x14ac:dyDescent="0.3">
      <c r="O129" s="12">
        <f t="shared" si="13"/>
        <v>9.6666666666666661</v>
      </c>
      <c r="P129" s="13">
        <v>116</v>
      </c>
      <c r="Q129" s="22">
        <v>3.9315058112245671E-2</v>
      </c>
      <c r="R129" s="19">
        <f t="shared" si="14"/>
        <v>4.0955441423855099E-2</v>
      </c>
      <c r="S129" s="22">
        <v>3.9315632102667086E-2</v>
      </c>
      <c r="T129" s="19">
        <f t="shared" si="15"/>
        <v>4.0941865509225739E-2</v>
      </c>
      <c r="U129" s="24">
        <v>4.3795378585699929E-2</v>
      </c>
      <c r="V129" s="24">
        <f t="shared" si="16"/>
        <v>4.5427924923195029E-2</v>
      </c>
      <c r="W129" s="23">
        <f t="shared" si="17"/>
        <v>3.7104153058320488E-3</v>
      </c>
      <c r="X129" s="24">
        <v>4.2895425767810469E-2</v>
      </c>
      <c r="Y129" s="24">
        <f t="shared" si="18"/>
        <v>4.4526801793546733E-2</v>
      </c>
      <c r="Z129" s="23">
        <f t="shared" si="19"/>
        <v>3.6383035174207823E-3</v>
      </c>
      <c r="AA129" s="36"/>
    </row>
    <row r="130" spans="15:27" ht="13.9" customHeight="1" x14ac:dyDescent="0.3">
      <c r="O130" s="12">
        <f t="shared" si="13"/>
        <v>9.75</v>
      </c>
      <c r="P130" s="13">
        <v>117</v>
      </c>
      <c r="Q130" s="22">
        <v>3.9329067524084271E-2</v>
      </c>
      <c r="R130" s="19">
        <f t="shared" si="14"/>
        <v>4.093811864864505E-2</v>
      </c>
      <c r="S130" s="22">
        <v>3.9329520763292436E-2</v>
      </c>
      <c r="T130" s="19">
        <f t="shared" si="15"/>
        <v>4.0922553833039554E-2</v>
      </c>
      <c r="U130" s="24">
        <v>4.3809321165797499E-2</v>
      </c>
      <c r="V130" s="24">
        <f t="shared" si="16"/>
        <v>4.5409464127740939E-2</v>
      </c>
      <c r="W130" s="23">
        <f t="shared" si="17"/>
        <v>3.7090531704517815E-3</v>
      </c>
      <c r="X130" s="24">
        <v>4.2909358351421512E-2</v>
      </c>
      <c r="Y130" s="24">
        <f t="shared" si="18"/>
        <v>4.4508179731054254E-2</v>
      </c>
      <c r="Z130" s="23">
        <f t="shared" si="19"/>
        <v>3.6369277642240849E-3</v>
      </c>
      <c r="AA130" s="36"/>
    </row>
    <row r="131" spans="15:27" ht="13.9" customHeight="1" x14ac:dyDescent="0.3">
      <c r="O131" s="12">
        <f t="shared" si="13"/>
        <v>9.8333333333333339</v>
      </c>
      <c r="P131" s="13">
        <v>118</v>
      </c>
      <c r="Q131" s="22">
        <v>3.934269309536198E-2</v>
      </c>
      <c r="R131" s="19">
        <f t="shared" si="14"/>
        <v>4.0919448125952496E-2</v>
      </c>
      <c r="S131" s="22">
        <v>3.9343010795368949E-2</v>
      </c>
      <c r="T131" s="19">
        <f t="shared" si="15"/>
        <v>4.0901781723000852E-2</v>
      </c>
      <c r="U131" s="24">
        <v>4.3822871403893959E-2</v>
      </c>
      <c r="V131" s="24">
        <f t="shared" si="16"/>
        <v>4.5389565663675135E-2</v>
      </c>
      <c r="W131" s="23">
        <f t="shared" si="17"/>
        <v>3.707576150288272E-3</v>
      </c>
      <c r="X131" s="24">
        <v>4.2922897397797977E-2</v>
      </c>
      <c r="Y131" s="24">
        <f t="shared" si="18"/>
        <v>4.4488115614859769E-2</v>
      </c>
      <c r="Z131" s="23">
        <f t="shared" si="19"/>
        <v>3.6354366630002577E-3</v>
      </c>
      <c r="AA131" s="36"/>
    </row>
    <row r="132" spans="15:27" ht="13.9" customHeight="1" x14ac:dyDescent="0.3">
      <c r="O132" s="12">
        <f t="shared" si="13"/>
        <v>9.9166666666666661</v>
      </c>
      <c r="P132" s="13">
        <v>119</v>
      </c>
      <c r="Q132" s="22">
        <v>3.9355933181503655E-2</v>
      </c>
      <c r="R132" s="19">
        <f t="shared" si="14"/>
        <v>4.0899426816734641E-2</v>
      </c>
      <c r="S132" s="22">
        <v>3.9356099980305759E-2</v>
      </c>
      <c r="T132" s="19">
        <f t="shared" si="15"/>
        <v>4.0879548474550109E-2</v>
      </c>
      <c r="U132" s="24">
        <v>4.3836027114475762E-2</v>
      </c>
      <c r="V132" s="24">
        <f t="shared" si="16"/>
        <v>4.5368227449607001E-2</v>
      </c>
      <c r="W132" s="23">
        <f t="shared" si="17"/>
        <v>3.7059840776714204E-3</v>
      </c>
      <c r="X132" s="24">
        <v>4.2936040714662171E-2</v>
      </c>
      <c r="Y132" s="24">
        <f t="shared" si="18"/>
        <v>4.446660761280441E-2</v>
      </c>
      <c r="Z132" s="23">
        <f t="shared" si="19"/>
        <v>3.6338300667331236E-3</v>
      </c>
      <c r="AA132" s="36"/>
    </row>
    <row r="133" spans="15:27" ht="13.9" customHeight="1" x14ac:dyDescent="0.3">
      <c r="O133" s="12">
        <f t="shared" si="13"/>
        <v>10</v>
      </c>
      <c r="P133" s="13">
        <v>120</v>
      </c>
      <c r="Q133" s="22">
        <v>3.9368786166703362E-2</v>
      </c>
      <c r="R133" s="19">
        <f t="shared" si="14"/>
        <v>4.0878193491590054E-2</v>
      </c>
      <c r="S133" s="22">
        <v>3.9368786166708913E-2</v>
      </c>
      <c r="T133" s="19">
        <f t="shared" si="15"/>
        <v>4.0856042189194142E-2</v>
      </c>
      <c r="U133" s="24">
        <v>4.384878616670429E-2</v>
      </c>
      <c r="V133" s="24">
        <f t="shared" si="16"/>
        <v>4.5345621995629193E-2</v>
      </c>
      <c r="W133" s="23">
        <f t="shared" si="17"/>
        <v>3.7042767800425924E-3</v>
      </c>
      <c r="X133" s="24">
        <v>4.2948786166703723E-2</v>
      </c>
      <c r="Y133" s="24">
        <f t="shared" si="18"/>
        <v>4.4443831264538325E-2</v>
      </c>
      <c r="Z133" s="23">
        <f t="shared" si="19"/>
        <v>3.6321078226111414E-3</v>
      </c>
      <c r="AA133" s="36"/>
    </row>
    <row r="134" spans="15:27" ht="13.9" customHeight="1" x14ac:dyDescent="0.3">
      <c r="O134" s="12">
        <f t="shared" si="13"/>
        <v>10.083333333333334</v>
      </c>
      <c r="P134" s="13">
        <v>121</v>
      </c>
      <c r="Q134" s="22">
        <v>3.9381251633008096E-2</v>
      </c>
      <c r="R134" s="19">
        <f t="shared" si="14"/>
        <v>4.0856312855908739E-2</v>
      </c>
      <c r="S134" s="22">
        <v>3.9381068825750321E-2</v>
      </c>
      <c r="T134" s="19">
        <f t="shared" si="15"/>
        <v>4.0832017307804946E-2</v>
      </c>
      <c r="U134" s="24">
        <v>4.3861147922987787E-2</v>
      </c>
      <c r="V134" s="24">
        <f t="shared" si="16"/>
        <v>4.5322445931874178E-2</v>
      </c>
      <c r="W134" s="23">
        <f t="shared" si="17"/>
        <v>3.7024680540900246E-3</v>
      </c>
      <c r="X134" s="24">
        <v>4.2961133137002561E-2</v>
      </c>
      <c r="Y134" s="24">
        <f t="shared" si="18"/>
        <v>4.442049449686758E-2</v>
      </c>
      <c r="Z134" s="23">
        <f t="shared" si="19"/>
        <v>3.6302839807633713E-3</v>
      </c>
      <c r="AA134" s="36"/>
    </row>
    <row r="135" spans="15:27" ht="13.9" customHeight="1" x14ac:dyDescent="0.3">
      <c r="O135" s="12">
        <f t="shared" si="13"/>
        <v>10.166666666666666</v>
      </c>
      <c r="P135" s="13">
        <v>122</v>
      </c>
      <c r="Q135" s="22">
        <v>3.9393333797731467E-2</v>
      </c>
      <c r="R135" s="19">
        <f t="shared" si="14"/>
        <v>4.0833924573591585E-2</v>
      </c>
      <c r="S135" s="22">
        <v>3.9392953620589255E-2</v>
      </c>
      <c r="T135" s="19">
        <f t="shared" si="15"/>
        <v>4.0807661031162956E-2</v>
      </c>
      <c r="U135" s="24">
        <v>4.3873117468080869E-2</v>
      </c>
      <c r="V135" s="24">
        <f t="shared" si="16"/>
        <v>4.5298872358711773E-2</v>
      </c>
      <c r="W135" s="23">
        <f t="shared" si="17"/>
        <v>3.7006136348209928E-3</v>
      </c>
      <c r="X135" s="24">
        <v>4.2973086822774897E-2</v>
      </c>
      <c r="Y135" s="24">
        <f t="shared" si="18"/>
        <v>4.4396773155271685E-2</v>
      </c>
      <c r="Z135" s="23">
        <f t="shared" si="19"/>
        <v>3.6284152248822199E-3</v>
      </c>
      <c r="AA135" s="36"/>
    </row>
    <row r="136" spans="15:27" ht="13.9" customHeight="1" x14ac:dyDescent="0.3">
      <c r="O136" s="12">
        <f t="shared" si="13"/>
        <v>10.25</v>
      </c>
      <c r="P136" s="13">
        <v>123</v>
      </c>
      <c r="Q136" s="22">
        <v>3.9405037874796545E-2</v>
      </c>
      <c r="R136" s="19">
        <f t="shared" si="14"/>
        <v>4.0811026492400426E-2</v>
      </c>
      <c r="S136" s="22">
        <v>3.9404447550085209E-2</v>
      </c>
      <c r="T136" s="19">
        <f t="shared" si="15"/>
        <v>4.0782971566084791E-2</v>
      </c>
      <c r="U136" s="24">
        <v>4.3884701126706949E-2</v>
      </c>
      <c r="V136" s="24">
        <f t="shared" si="16"/>
        <v>4.527489977902488E-2</v>
      </c>
      <c r="W136" s="23">
        <f t="shared" si="17"/>
        <v>3.6987273704036649E-3</v>
      </c>
      <c r="X136" s="24">
        <v>4.2984653679847273E-2</v>
      </c>
      <c r="Y136" s="24">
        <f t="shared" si="18"/>
        <v>4.4372665668396483E-2</v>
      </c>
      <c r="Z136" s="23">
        <f t="shared" si="19"/>
        <v>3.6265156339581051E-3</v>
      </c>
      <c r="AA136" s="36"/>
    </row>
    <row r="137" spans="15:27" ht="13.9" customHeight="1" x14ac:dyDescent="0.3">
      <c r="O137" s="12">
        <f t="shared" si="13"/>
        <v>10.333333333333334</v>
      </c>
      <c r="P137" s="13">
        <v>124</v>
      </c>
      <c r="Q137" s="22">
        <v>3.9416368892556175E-2</v>
      </c>
      <c r="R137" s="19">
        <f t="shared" si="14"/>
        <v>4.078761643464146E-2</v>
      </c>
      <c r="S137" s="22">
        <v>3.9415557373011945E-2</v>
      </c>
      <c r="T137" s="19">
        <f t="shared" si="15"/>
        <v>4.0757947096858871E-2</v>
      </c>
      <c r="U137" s="24">
        <v>4.3895905007568459E-2</v>
      </c>
      <c r="V137" s="24">
        <f t="shared" si="16"/>
        <v>4.5250526680988168E-2</v>
      </c>
      <c r="W137" s="23">
        <f t="shared" si="17"/>
        <v>3.6968091390665592E-3</v>
      </c>
      <c r="X137" s="24">
        <v>4.2995839943210656E-2</v>
      </c>
      <c r="Y137" s="24">
        <f t="shared" si="18"/>
        <v>4.4348170447505941E-2</v>
      </c>
      <c r="Z137" s="23">
        <f t="shared" si="19"/>
        <v>3.6245850802283375E-3</v>
      </c>
      <c r="AA137" s="36"/>
    </row>
    <row r="138" spans="15:27" ht="13.9" customHeight="1" x14ac:dyDescent="0.3">
      <c r="O138" s="12">
        <f t="shared" si="13"/>
        <v>10.416666666666666</v>
      </c>
      <c r="P138" s="13">
        <v>125</v>
      </c>
      <c r="Q138" s="22">
        <v>3.9427331701002988E-2</v>
      </c>
      <c r="R138" s="19">
        <f t="shared" si="14"/>
        <v>4.0763692194120571E-2</v>
      </c>
      <c r="S138" s="22">
        <v>3.9426289617468413E-2</v>
      </c>
      <c r="T138" s="19">
        <f t="shared" si="15"/>
        <v>4.0732585786866782E-2</v>
      </c>
      <c r="U138" s="24">
        <v>4.3906735011858933E-2</v>
      </c>
      <c r="V138" s="24">
        <f t="shared" si="16"/>
        <v>4.5225751537162795E-2</v>
      </c>
      <c r="W138" s="23">
        <f t="shared" si="17"/>
        <v>3.6948588178178365E-3</v>
      </c>
      <c r="X138" s="24">
        <v>4.3006651635704163E-2</v>
      </c>
      <c r="Y138" s="24">
        <f t="shared" si="18"/>
        <v>4.4323285886036734E-2</v>
      </c>
      <c r="Z138" s="23">
        <f t="shared" si="19"/>
        <v>3.6226234344964858E-3</v>
      </c>
      <c r="AA138" s="36"/>
    </row>
    <row r="139" spans="15:27" ht="13.9" customHeight="1" x14ac:dyDescent="0.3">
      <c r="O139" s="12">
        <f t="shared" si="13"/>
        <v>10.5</v>
      </c>
      <c r="P139" s="13">
        <v>126</v>
      </c>
      <c r="Q139" s="22">
        <v>3.9437930978611258E-2</v>
      </c>
      <c r="R139" s="19">
        <f t="shared" si="14"/>
        <v>4.0739254079541043E-2</v>
      </c>
      <c r="S139" s="22">
        <v>3.9436650589856237E-2</v>
      </c>
      <c r="T139" s="19">
        <f t="shared" si="15"/>
        <v>4.0706885776445434E-2</v>
      </c>
      <c r="U139" s="24">
        <v>4.3917196841364303E-2</v>
      </c>
      <c r="V139" s="24">
        <f t="shared" si="16"/>
        <v>4.5200572805489836E-2</v>
      </c>
      <c r="W139" s="23">
        <f t="shared" si="17"/>
        <v>3.6928762823715822E-3</v>
      </c>
      <c r="X139" s="24">
        <v>4.3017094576282E-2</v>
      </c>
      <c r="Y139" s="24">
        <f t="shared" si="18"/>
        <v>4.4298010359939299E-2</v>
      </c>
      <c r="Z139" s="23">
        <f t="shared" si="19"/>
        <v>3.6206305660957394E-3</v>
      </c>
      <c r="AA139" s="36"/>
    </row>
    <row r="140" spans="15:27" ht="13.9" customHeight="1" x14ac:dyDescent="0.3">
      <c r="O140" s="12">
        <f t="shared" si="13"/>
        <v>10.583333333333334</v>
      </c>
      <c r="P140" s="13">
        <v>127</v>
      </c>
      <c r="Q140" s="22">
        <v>3.9448171258858133E-2</v>
      </c>
      <c r="R140" s="19">
        <f t="shared" si="14"/>
        <v>4.0714309999754672E-2</v>
      </c>
      <c r="S140" s="22">
        <v>3.9446646383414441E-2</v>
      </c>
      <c r="T140" s="19">
        <f t="shared" si="15"/>
        <v>4.0680845184643433E-2</v>
      </c>
      <c r="U140" s="24">
        <v>4.3927296006188499E-2</v>
      </c>
      <c r="V140" s="24">
        <f t="shared" si="16"/>
        <v>4.5174988928303739E-2</v>
      </c>
      <c r="W140" s="23">
        <f t="shared" si="17"/>
        <v>3.6908614072275192E-3</v>
      </c>
      <c r="X140" s="24">
        <v>4.3027174387893163E-2</v>
      </c>
      <c r="Y140" s="24">
        <f t="shared" si="18"/>
        <v>4.4272342227592798E-2</v>
      </c>
      <c r="Z140" s="23">
        <f t="shared" si="19"/>
        <v>3.6186063429153315E-3</v>
      </c>
      <c r="AA140" s="36"/>
    </row>
    <row r="141" spans="15:27" ht="13.9" customHeight="1" x14ac:dyDescent="0.3">
      <c r="O141" s="12">
        <f t="shared" si="13"/>
        <v>10.666666666666666</v>
      </c>
      <c r="P141" s="13">
        <v>128</v>
      </c>
      <c r="Q141" s="22">
        <v>3.9458056995185231E-2</v>
      </c>
      <c r="R141" s="19">
        <f t="shared" si="14"/>
        <v>4.0688860226811396E-2</v>
      </c>
      <c r="S141" s="22">
        <v>3.9456282886370042E-2</v>
      </c>
      <c r="T141" s="19">
        <f t="shared" si="15"/>
        <v>4.0654462108721479E-2</v>
      </c>
      <c r="U141" s="24">
        <v>4.3937037832110004E-2</v>
      </c>
      <c r="V141" s="24">
        <f t="shared" si="16"/>
        <v>4.514899833374808E-2</v>
      </c>
      <c r="W141" s="23">
        <f t="shared" si="17"/>
        <v>3.6888140655908508E-3</v>
      </c>
      <c r="X141" s="24">
        <v>4.3036896504990763E-2</v>
      </c>
      <c r="Y141" s="24">
        <f t="shared" si="18"/>
        <v>4.4246279829843749E-2</v>
      </c>
      <c r="Z141" s="23">
        <f t="shared" si="19"/>
        <v>3.6165506313932116E-3</v>
      </c>
      <c r="AA141" s="36"/>
    </row>
    <row r="142" spans="15:27" ht="13.9" customHeight="1" x14ac:dyDescent="0.3">
      <c r="O142" s="12">
        <f t="shared" ref="O142:O205" si="20">P142/12</f>
        <v>10.75</v>
      </c>
      <c r="P142" s="13">
        <v>129</v>
      </c>
      <c r="Q142" s="22">
        <v>3.9467592504973004E-2</v>
      </c>
      <c r="R142" s="19">
        <f t="shared" ref="R142:R205" si="21">(1+Q143)^P143/(1+Q142)^P142-1</f>
        <v>4.0662902469621676E-2</v>
      </c>
      <c r="S142" s="22">
        <v>3.9465565789705392E-2</v>
      </c>
      <c r="T142" s="19">
        <f t="shared" ref="T142:T205" si="22">(1+S143)^P143/(1+S142)^P142-1</f>
        <v>4.0627734623612799E-2</v>
      </c>
      <c r="U142" s="24">
        <v>4.394642746760713E-2</v>
      </c>
      <c r="V142" s="24">
        <f t="shared" ref="V142:V205" si="23">(1+U143)^P143/(1+U142)^P142-1</f>
        <v>4.5122599434327171E-2</v>
      </c>
      <c r="W142" s="23">
        <f t="shared" si="17"/>
        <v>3.6867341294855027E-3</v>
      </c>
      <c r="X142" s="24">
        <v>4.3046266180693182E-2</v>
      </c>
      <c r="Y142" s="24">
        <f t="shared" si="18"/>
        <v>4.4219821490289801E-2</v>
      </c>
      <c r="Z142" s="23">
        <f t="shared" si="19"/>
        <v>3.6144632965189327E-3</v>
      </c>
      <c r="AA142" s="36"/>
    </row>
    <row r="143" spans="15:27" ht="13.9" customHeight="1" x14ac:dyDescent="0.3">
      <c r="O143" s="12">
        <f t="shared" si="20"/>
        <v>10.833333333333334</v>
      </c>
      <c r="P143" s="13">
        <v>130</v>
      </c>
      <c r="Q143" s="22">
        <v>3.9476781955073648E-2</v>
      </c>
      <c r="R143" s="19">
        <f t="shared" si="21"/>
        <v>4.0636434410545874E-2</v>
      </c>
      <c r="S143" s="22">
        <v>3.9474500594562478E-2</v>
      </c>
      <c r="T143" s="19">
        <f t="shared" si="22"/>
        <v>4.0600660781994202E-2</v>
      </c>
      <c r="U143" s="24">
        <v>4.395546989054866E-2</v>
      </c>
      <c r="V143" s="24">
        <f t="shared" si="23"/>
        <v>4.5095790628683963E-2</v>
      </c>
      <c r="W143" s="23">
        <f t="shared" ref="W143:W206" si="24">(1+V142)^(1/12)-1</f>
        <v>3.684621469637106E-3</v>
      </c>
      <c r="X143" s="24">
        <v>4.3055288493617061E-2</v>
      </c>
      <c r="Y143" s="24">
        <f t="shared" ref="Y143:Y206" si="25">(1+X144)^P144/(1+X143)^P143-1</f>
        <v>4.4192965515005733E-2</v>
      </c>
      <c r="Z143" s="23">
        <f t="shared" ref="Z143:Z206" si="26">(1+Y142)^(1/12)-1</f>
        <v>3.6123442018556329E-3</v>
      </c>
      <c r="AA143" s="36"/>
    </row>
    <row r="144" spans="15:27" ht="13.9" customHeight="1" x14ac:dyDescent="0.3">
      <c r="O144" s="12">
        <f t="shared" si="20"/>
        <v>10.916666666666666</v>
      </c>
      <c r="P144" s="13">
        <v>131</v>
      </c>
      <c r="Q144" s="22">
        <v>3.9485629367345565E-2</v>
      </c>
      <c r="R144" s="19">
        <f t="shared" si="21"/>
        <v>4.0609453707194376E-2</v>
      </c>
      <c r="S144" s="22">
        <v>3.9483092619310378E-2</v>
      </c>
      <c r="T144" s="19">
        <f t="shared" si="22"/>
        <v>4.0573238615546181E-2</v>
      </c>
      <c r="U144" s="24">
        <v>4.39641699145914E-2</v>
      </c>
      <c r="V144" s="24">
        <f t="shared" si="23"/>
        <v>4.5068570299454658E-2</v>
      </c>
      <c r="W144" s="23">
        <f t="shared" si="24"/>
        <v>3.6824759556155495E-3</v>
      </c>
      <c r="X144" s="24">
        <v>4.3063968354395632E-2</v>
      </c>
      <c r="Y144" s="24">
        <f t="shared" si="25"/>
        <v>4.4165710192788366E-2</v>
      </c>
      <c r="Z144" s="23">
        <f t="shared" si="26"/>
        <v>3.6101932095169431E-3</v>
      </c>
      <c r="AA144" s="36"/>
    </row>
    <row r="145" spans="15:27" ht="13.9" customHeight="1" x14ac:dyDescent="0.3">
      <c r="O145" s="12">
        <f t="shared" si="20"/>
        <v>11</v>
      </c>
      <c r="P145" s="13">
        <v>132</v>
      </c>
      <c r="Q145" s="22">
        <v>3.9494138623949793E-2</v>
      </c>
      <c r="R145" s="19">
        <f t="shared" si="21"/>
        <v>4.0581960489510793E-2</v>
      </c>
      <c r="S145" s="22">
        <v>3.9491347006299637E-2</v>
      </c>
      <c r="T145" s="19">
        <f t="shared" si="22"/>
        <v>4.0545466133219632E-2</v>
      </c>
      <c r="U145" s="24">
        <v>4.3972532195271086E-2</v>
      </c>
      <c r="V145" s="24">
        <f t="shared" si="23"/>
        <v>4.5040936816749477E-2</v>
      </c>
      <c r="W145" s="23">
        <f t="shared" si="24"/>
        <v>3.680297455661119E-3</v>
      </c>
      <c r="X145" s="24">
        <v>4.307231051190219E-2</v>
      </c>
      <c r="Y145" s="24">
        <f t="shared" si="25"/>
        <v>4.4138053794995802E-2</v>
      </c>
      <c r="Z145" s="23">
        <f t="shared" si="26"/>
        <v>3.6080101801867492E-3</v>
      </c>
      <c r="AA145" s="36"/>
    </row>
    <row r="146" spans="15:27" ht="13.9" customHeight="1" x14ac:dyDescent="0.3">
      <c r="O146" s="12">
        <f t="shared" si="20"/>
        <v>11.083333333333334</v>
      </c>
      <c r="P146" s="13">
        <v>133</v>
      </c>
      <c r="Q146" s="22">
        <v>3.9502313491163177E-2</v>
      </c>
      <c r="R146" s="19">
        <f t="shared" si="21"/>
        <v>4.0553962367984919E-2</v>
      </c>
      <c r="S146" s="22">
        <v>3.9499268728300896E-2</v>
      </c>
      <c r="T146" s="19">
        <f t="shared" si="22"/>
        <v>4.0517341321780309E-2</v>
      </c>
      <c r="U146" s="24">
        <v>4.3980561235844817E-2</v>
      </c>
      <c r="V146" s="24">
        <f t="shared" si="23"/>
        <v>4.5012888533567885E-2</v>
      </c>
      <c r="W146" s="23">
        <f t="shared" si="24"/>
        <v>3.6780858369642733E-3</v>
      </c>
      <c r="X146" s="24">
        <v>4.308031955919267E-2</v>
      </c>
      <c r="Y146" s="24">
        <f t="shared" si="25"/>
        <v>4.4109994576388978E-2</v>
      </c>
      <c r="Z146" s="23">
        <f t="shared" si="26"/>
        <v>3.6057949731045369E-3</v>
      </c>
      <c r="AA146" s="36"/>
    </row>
    <row r="147" spans="15:27" ht="13.9" customHeight="1" x14ac:dyDescent="0.3">
      <c r="O147" s="12">
        <f t="shared" si="20"/>
        <v>11.166666666666666</v>
      </c>
      <c r="P147" s="13">
        <v>134</v>
      </c>
      <c r="Q147" s="22">
        <v>3.9510157679465863E-2</v>
      </c>
      <c r="R147" s="19">
        <f t="shared" si="21"/>
        <v>4.0525459438858658E-2</v>
      </c>
      <c r="S147" s="22">
        <v>3.9506862594657743E-2</v>
      </c>
      <c r="T147" s="19">
        <f t="shared" si="22"/>
        <v>4.0488862146857318E-2</v>
      </c>
      <c r="U147" s="24">
        <v>4.3988261392838179E-2</v>
      </c>
      <c r="V147" s="24">
        <f t="shared" si="23"/>
        <v>4.498442379104306E-2</v>
      </c>
      <c r="W147" s="23">
        <f t="shared" si="24"/>
        <v>3.6758409652970503E-3</v>
      </c>
      <c r="X147" s="24">
        <v>4.3087999939187993E-2</v>
      </c>
      <c r="Y147" s="24">
        <f t="shared" si="25"/>
        <v>4.4081530773901312E-2</v>
      </c>
      <c r="Z147" s="23">
        <f t="shared" si="26"/>
        <v>3.6035474461333372E-3</v>
      </c>
      <c r="AA147" s="36"/>
    </row>
    <row r="148" spans="15:27" ht="13.9" customHeight="1" x14ac:dyDescent="0.3">
      <c r="O148" s="12">
        <f t="shared" si="20"/>
        <v>11.25</v>
      </c>
      <c r="P148" s="13">
        <v>135</v>
      </c>
      <c r="Q148" s="22">
        <v>3.951767479000412E-2</v>
      </c>
      <c r="R148" s="19">
        <f t="shared" si="21"/>
        <v>4.0496449276940405E-2</v>
      </c>
      <c r="S148" s="22">
        <v>3.9514133257175343E-2</v>
      </c>
      <c r="T148" s="19">
        <f t="shared" si="22"/>
        <v>4.0460026551394357E-2</v>
      </c>
      <c r="U148" s="24">
        <v>4.3995636881384081E-2</v>
      </c>
      <c r="V148" s="24">
        <f t="shared" si="23"/>
        <v>4.4955540914212833E-2</v>
      </c>
      <c r="W148" s="23">
        <f t="shared" si="24"/>
        <v>3.6735627054320652E-3</v>
      </c>
      <c r="X148" s="24">
        <v>4.3095355950095282E-2</v>
      </c>
      <c r="Y148" s="24">
        <f t="shared" si="25"/>
        <v>4.4052660608212779E-2</v>
      </c>
      <c r="Z148" s="23">
        <f t="shared" si="26"/>
        <v>3.6012674556602509E-3</v>
      </c>
      <c r="AA148" s="36"/>
    </row>
    <row r="149" spans="15:27" ht="13.9" customHeight="1" x14ac:dyDescent="0.3">
      <c r="O149" s="12">
        <f t="shared" si="20"/>
        <v>11.333333333333334</v>
      </c>
      <c r="P149" s="13">
        <v>136</v>
      </c>
      <c r="Q149" s="22">
        <v>3.952486830008195E-2</v>
      </c>
      <c r="R149" s="19">
        <f t="shared" si="21"/>
        <v>4.0466929432511956E-2</v>
      </c>
      <c r="S149" s="22">
        <v>3.9521085215737939E-2</v>
      </c>
      <c r="T149" s="19">
        <f t="shared" si="22"/>
        <v>4.0430832456442856E-2</v>
      </c>
      <c r="U149" s="24">
        <v>4.4002691780296255E-2</v>
      </c>
      <c r="V149" s="24">
        <f t="shared" si="23"/>
        <v>4.492623821461561E-2</v>
      </c>
      <c r="W149" s="23">
        <f t="shared" si="24"/>
        <v>3.6712509208038924E-3</v>
      </c>
      <c r="X149" s="24">
        <v>4.3102391750601265E-2</v>
      </c>
      <c r="Y149" s="24">
        <f t="shared" si="25"/>
        <v>4.4023382282328383E-2</v>
      </c>
      <c r="Z149" s="23">
        <f t="shared" si="26"/>
        <v>3.598954856721015E-3</v>
      </c>
      <c r="AA149" s="36"/>
    </row>
    <row r="150" spans="15:27" ht="13.9" customHeight="1" x14ac:dyDescent="0.3">
      <c r="O150" s="12">
        <f t="shared" si="20"/>
        <v>11.416666666666666</v>
      </c>
      <c r="P150" s="13">
        <v>137</v>
      </c>
      <c r="Q150" s="22">
        <v>3.9531741567494061E-2</v>
      </c>
      <c r="R150" s="19">
        <f t="shared" si="21"/>
        <v>4.0436897432761354E-2</v>
      </c>
      <c r="S150" s="22">
        <v>3.9527722823685663E-2</v>
      </c>
      <c r="T150" s="19">
        <f t="shared" si="22"/>
        <v>4.0401277761111798E-2</v>
      </c>
      <c r="U150" s="24">
        <v>4.4009430036938468E-2</v>
      </c>
      <c r="V150" s="24">
        <f t="shared" si="23"/>
        <v>4.4896513989493902E-2</v>
      </c>
      <c r="W150" s="23">
        <f t="shared" si="24"/>
        <v>3.6689054737157889E-3</v>
      </c>
      <c r="X150" s="24">
        <v>4.3109111364828756E-2</v>
      </c>
      <c r="Y150" s="24">
        <f t="shared" si="25"/>
        <v>4.3993693982504078E-2</v>
      </c>
      <c r="Z150" s="23">
        <f t="shared" si="26"/>
        <v>3.5966095028863165E-3</v>
      </c>
      <c r="AA150" s="36"/>
    </row>
    <row r="151" spans="15:27" ht="13.9" customHeight="1" x14ac:dyDescent="0.3">
      <c r="O151" s="12">
        <f t="shared" si="20"/>
        <v>11.5</v>
      </c>
      <c r="P151" s="13">
        <v>138</v>
      </c>
      <c r="Q151" s="22">
        <v>3.9538297834681879E-2</v>
      </c>
      <c r="R151" s="19">
        <f t="shared" si="21"/>
        <v>4.040635323778341E-2</v>
      </c>
      <c r="S151" s="22">
        <v>3.9534050292957978E-2</v>
      </c>
      <c r="T151" s="19">
        <f t="shared" si="22"/>
        <v>4.0371360342674523E-2</v>
      </c>
      <c r="U151" s="24">
        <v>4.4015855471877252E-2</v>
      </c>
      <c r="V151" s="24">
        <f t="shared" si="23"/>
        <v>4.4866366522089196E-2</v>
      </c>
      <c r="W151" s="23">
        <f t="shared" si="24"/>
        <v>3.6665262252761899E-3</v>
      </c>
      <c r="X151" s="24">
        <v>4.3115518687083298E-2</v>
      </c>
      <c r="Y151" s="24">
        <f t="shared" si="25"/>
        <v>4.3963593878757479E-2</v>
      </c>
      <c r="Z151" s="23">
        <f t="shared" si="26"/>
        <v>3.5942312463350667E-3</v>
      </c>
      <c r="AA151" s="36"/>
    </row>
    <row r="152" spans="15:27" ht="13.9" customHeight="1" x14ac:dyDescent="0.3">
      <c r="O152" s="12">
        <f t="shared" si="20"/>
        <v>11.583333333333334</v>
      </c>
      <c r="P152" s="13">
        <v>139</v>
      </c>
      <c r="Q152" s="22">
        <v>3.954454025036358E-2</v>
      </c>
      <c r="R152" s="19">
        <f t="shared" si="21"/>
        <v>4.0375304165207293E-2</v>
      </c>
      <c r="S152" s="22">
        <v>3.9540071699015966E-2</v>
      </c>
      <c r="T152" s="19">
        <f t="shared" si="22"/>
        <v>4.0341078056179258E-2</v>
      </c>
      <c r="U152" s="24">
        <v>4.4021971783335667E-2</v>
      </c>
      <c r="V152" s="24">
        <f t="shared" si="23"/>
        <v>4.4835794081716784E-2</v>
      </c>
      <c r="W152" s="23">
        <f t="shared" si="24"/>
        <v>3.6641130354198026E-3</v>
      </c>
      <c r="X152" s="24">
        <v>4.3121617486399977E-2</v>
      </c>
      <c r="Y152" s="24">
        <f t="shared" si="25"/>
        <v>4.3933080123391699E-2</v>
      </c>
      <c r="Z152" s="23">
        <f t="shared" si="26"/>
        <v>3.5918199378943694E-3</v>
      </c>
      <c r="AA152" s="36"/>
    </row>
    <row r="153" spans="15:27" ht="13.9" customHeight="1" x14ac:dyDescent="0.3">
      <c r="O153" s="12">
        <f t="shared" si="20"/>
        <v>11.666666666666666</v>
      </c>
      <c r="P153" s="13">
        <v>140</v>
      </c>
      <c r="Q153" s="22">
        <v>3.9550471925389186E-2</v>
      </c>
      <c r="R153" s="19">
        <f t="shared" si="21"/>
        <v>4.0343750143743362E-2</v>
      </c>
      <c r="S153" s="22">
        <v>3.9545790985550333E-2</v>
      </c>
      <c r="T153" s="19">
        <f t="shared" si="22"/>
        <v>4.0310428734870785E-2</v>
      </c>
      <c r="U153" s="24">
        <v>4.4027782551456784E-2</v>
      </c>
      <c r="V153" s="24">
        <f t="shared" si="23"/>
        <v>4.4804794924127034E-2</v>
      </c>
      <c r="W153" s="23">
        <f t="shared" si="24"/>
        <v>3.6616657629153782E-3</v>
      </c>
      <c r="X153" s="24">
        <v>4.3127411410884164E-2</v>
      </c>
      <c r="Y153" s="24">
        <f t="shared" si="25"/>
        <v>4.3902150853010857E-2</v>
      </c>
      <c r="Z153" s="23">
        <f t="shared" si="26"/>
        <v>3.5893754269209488E-3</v>
      </c>
      <c r="AA153" s="36"/>
    </row>
    <row r="154" spans="15:27" ht="13.9" customHeight="1" x14ac:dyDescent="0.3">
      <c r="O154" s="12">
        <f t="shared" si="20"/>
        <v>11.75</v>
      </c>
      <c r="P154" s="13">
        <v>141</v>
      </c>
      <c r="Q154" s="22">
        <v>3.9556095881722486E-2</v>
      </c>
      <c r="R154" s="19">
        <f t="shared" si="21"/>
        <v>4.0311688620762842E-2</v>
      </c>
      <c r="S154" s="22">
        <v>3.9551211968993805E-2</v>
      </c>
      <c r="T154" s="19">
        <f t="shared" si="22"/>
        <v>4.0279410189221654E-2</v>
      </c>
      <c r="U154" s="24">
        <v>4.4033291242389083E-2</v>
      </c>
      <c r="V154" s="24">
        <f t="shared" si="23"/>
        <v>4.4773367290449784E-2</v>
      </c>
      <c r="W154" s="23">
        <f t="shared" si="24"/>
        <v>3.6591842653914686E-3</v>
      </c>
      <c r="X154" s="24">
        <v>4.3132903991881966E-2</v>
      </c>
      <c r="Y154" s="24">
        <f t="shared" si="25"/>
        <v>4.3870804186940893E-2</v>
      </c>
      <c r="Z154" s="23">
        <f t="shared" si="26"/>
        <v>3.5868975614612442E-3</v>
      </c>
      <c r="AA154" s="36"/>
    </row>
    <row r="155" spans="15:27" ht="13.9" customHeight="1" x14ac:dyDescent="0.3">
      <c r="O155" s="12">
        <f t="shared" si="20"/>
        <v>11.833333333333334</v>
      </c>
      <c r="P155" s="13">
        <v>142</v>
      </c>
      <c r="Q155" s="22">
        <v>3.9561415038104508E-2</v>
      </c>
      <c r="R155" s="19">
        <f t="shared" si="21"/>
        <v>4.0279117021537747E-2</v>
      </c>
      <c r="S155" s="22">
        <v>3.9556338342833897E-2</v>
      </c>
      <c r="T155" s="19">
        <f t="shared" si="22"/>
        <v>4.024802020921614E-2</v>
      </c>
      <c r="U155" s="24">
        <v>4.403850121219044E-2</v>
      </c>
      <c r="V155" s="24">
        <f t="shared" si="23"/>
        <v>4.4741509409347069E-2</v>
      </c>
      <c r="W155" s="23">
        <f t="shared" si="24"/>
        <v>3.6566683992533822E-3</v>
      </c>
      <c r="X155" s="24">
        <v>4.3138098647964362E-2</v>
      </c>
      <c r="Y155" s="24">
        <f t="shared" si="25"/>
        <v>4.3839038228251637E-2</v>
      </c>
      <c r="Z155" s="23">
        <f t="shared" si="26"/>
        <v>3.584386188124622E-3</v>
      </c>
      <c r="AA155" s="36"/>
    </row>
    <row r="156" spans="15:27" ht="13.9" customHeight="1" x14ac:dyDescent="0.3">
      <c r="O156" s="12">
        <f t="shared" si="20"/>
        <v>11.916666666666666</v>
      </c>
      <c r="P156" s="13">
        <v>143</v>
      </c>
      <c r="Q156" s="22">
        <v>3.956643221350209E-2</v>
      </c>
      <c r="R156" s="19">
        <f t="shared" si="21"/>
        <v>4.0246032747499605E-2</v>
      </c>
      <c r="S156" s="22">
        <v>3.9561173681763151E-2</v>
      </c>
      <c r="T156" s="19">
        <f t="shared" si="22"/>
        <v>4.0216256560815289E-2</v>
      </c>
      <c r="U156" s="24">
        <v>4.4043415710585343E-2</v>
      </c>
      <c r="V156" s="24">
        <f t="shared" si="23"/>
        <v>4.4709219494676322E-2</v>
      </c>
      <c r="W156" s="23">
        <f t="shared" si="24"/>
        <v>3.6541180198530476E-3</v>
      </c>
      <c r="X156" s="24">
        <v>4.3142998688749712E-2</v>
      </c>
      <c r="Y156" s="24">
        <f t="shared" si="25"/>
        <v>4.3806851063417307E-2</v>
      </c>
      <c r="Z156" s="23">
        <f t="shared" si="26"/>
        <v>3.5818411521650884E-3</v>
      </c>
      <c r="AA156" s="36"/>
    </row>
    <row r="157" spans="15:27" ht="13.9" customHeight="1" x14ac:dyDescent="0.3">
      <c r="O157" s="12">
        <f t="shared" si="20"/>
        <v>12</v>
      </c>
      <c r="P157" s="13">
        <v>144</v>
      </c>
      <c r="Q157" s="22">
        <v>3.9571150130399246E-2</v>
      </c>
      <c r="R157" s="19">
        <f t="shared" si="21"/>
        <v>4.0212435595977869E-2</v>
      </c>
      <c r="S157" s="22">
        <v>3.9565721445630198E-2</v>
      </c>
      <c r="T157" s="19">
        <f t="shared" si="22"/>
        <v>4.0184116990196417E-2</v>
      </c>
      <c r="U157" s="24">
        <v>4.4048037884547808E-2</v>
      </c>
      <c r="V157" s="24">
        <f t="shared" si="23"/>
        <v>4.4676495748563916E-2</v>
      </c>
      <c r="W157" s="23">
        <f t="shared" si="24"/>
        <v>3.6515329813029407E-3</v>
      </c>
      <c r="X157" s="24">
        <v>4.3147607318566594E-2</v>
      </c>
      <c r="Y157" s="24">
        <f t="shared" si="25"/>
        <v>4.3774240762535443E-2</v>
      </c>
      <c r="Z157" s="23">
        <f t="shared" si="26"/>
        <v>3.5792622974519794E-3</v>
      </c>
      <c r="AA157" s="36"/>
    </row>
    <row r="158" spans="15:27" ht="13.9" customHeight="1" x14ac:dyDescent="0.3">
      <c r="O158" s="12">
        <f t="shared" si="20"/>
        <v>12.083333333333334</v>
      </c>
      <c r="P158" s="13">
        <v>145</v>
      </c>
      <c r="Q158" s="22">
        <v>3.9575571434631529E-2</v>
      </c>
      <c r="R158" s="19">
        <f t="shared" si="21"/>
        <v>4.0178332601329414E-2</v>
      </c>
      <c r="S158" s="22">
        <v>3.9569984983257589E-2</v>
      </c>
      <c r="T158" s="19">
        <f t="shared" si="22"/>
        <v>4.0151599219484302E-2</v>
      </c>
      <c r="U158" s="24">
        <v>4.4052370781758388E-2</v>
      </c>
      <c r="V158" s="24">
        <f t="shared" si="23"/>
        <v>4.4643336357538699E-2</v>
      </c>
      <c r="W158" s="23">
        <f t="shared" si="24"/>
        <v>3.648913136719889E-3</v>
      </c>
      <c r="X158" s="24">
        <v>4.3151927639965226E-2</v>
      </c>
      <c r="Y158" s="24">
        <f t="shared" si="25"/>
        <v>4.374120538030879E-2</v>
      </c>
      <c r="Z158" s="23">
        <f t="shared" si="26"/>
        <v>3.5766494664877246E-3</v>
      </c>
      <c r="AA158" s="36"/>
    </row>
    <row r="159" spans="15:27" ht="13.9" customHeight="1" x14ac:dyDescent="0.3">
      <c r="O159" s="12">
        <f t="shared" si="20"/>
        <v>12.166666666666666</v>
      </c>
      <c r="P159" s="13">
        <v>146</v>
      </c>
      <c r="Q159" s="22">
        <v>3.9579698747546077E-2</v>
      </c>
      <c r="R159" s="19">
        <f t="shared" si="21"/>
        <v>4.014372352974438E-2</v>
      </c>
      <c r="S159" s="22">
        <v>3.957396753607334E-2</v>
      </c>
      <c r="T159" s="19">
        <f t="shared" si="22"/>
        <v>4.0118700950292574E-2</v>
      </c>
      <c r="U159" s="24">
        <v>4.4056417353891764E-2</v>
      </c>
      <c r="V159" s="24">
        <f t="shared" si="23"/>
        <v>4.4609739497400991E-2</v>
      </c>
      <c r="W159" s="23">
        <f t="shared" si="24"/>
        <v>3.6462583379157643E-3</v>
      </c>
      <c r="X159" s="24">
        <v>4.3155962657092095E-2</v>
      </c>
      <c r="Y159" s="24">
        <f t="shared" si="25"/>
        <v>4.3707742953671191E-2</v>
      </c>
      <c r="Z159" s="23">
        <f t="shared" si="26"/>
        <v>3.5740025004855625E-3</v>
      </c>
      <c r="AA159" s="36"/>
    </row>
    <row r="160" spans="15:27" ht="13.9" customHeight="1" x14ac:dyDescent="0.3">
      <c r="O160" s="12">
        <f t="shared" si="20"/>
        <v>12.25</v>
      </c>
      <c r="P160" s="13">
        <v>147</v>
      </c>
      <c r="Q160" s="22">
        <v>3.9583534617422034E-2</v>
      </c>
      <c r="R160" s="19">
        <f t="shared" si="21"/>
        <v>4.0108605708469192E-2</v>
      </c>
      <c r="S160" s="22">
        <v>3.9577672241618567E-2</v>
      </c>
      <c r="T160" s="19">
        <f t="shared" si="22"/>
        <v>4.0085419861202398E-2</v>
      </c>
      <c r="U160" s="24">
        <v>4.4060180459804643E-2</v>
      </c>
      <c r="V160" s="24">
        <f t="shared" si="23"/>
        <v>4.457570332860139E-2</v>
      </c>
      <c r="W160" s="23">
        <f t="shared" si="24"/>
        <v>3.6435684357865039E-3</v>
      </c>
      <c r="X160" s="24">
        <v>4.3159715278910937E-2</v>
      </c>
      <c r="Y160" s="24">
        <f t="shared" si="25"/>
        <v>4.3673851504251182E-2</v>
      </c>
      <c r="Z160" s="23">
        <f t="shared" si="26"/>
        <v>3.57132123917836E-3</v>
      </c>
      <c r="AA160" s="36"/>
    </row>
    <row r="161" spans="15:27" ht="13.9" customHeight="1" x14ac:dyDescent="0.3">
      <c r="O161" s="12">
        <f t="shared" si="20"/>
        <v>12.333333333333334</v>
      </c>
      <c r="P161" s="13">
        <v>148</v>
      </c>
      <c r="Q161" s="22">
        <v>3.958708150546375E-2</v>
      </c>
      <c r="R161" s="19">
        <f t="shared" si="21"/>
        <v>4.0072976442271813E-2</v>
      </c>
      <c r="S161" s="22">
        <v>3.9581102136895696E-2</v>
      </c>
      <c r="T161" s="19">
        <f t="shared" si="22"/>
        <v>4.0051753609698926E-2</v>
      </c>
      <c r="U161" s="24">
        <v>4.4063662868561559E-2</v>
      </c>
      <c r="V161" s="24">
        <f t="shared" si="23"/>
        <v>4.4541226000160972E-2</v>
      </c>
      <c r="W161" s="23">
        <f t="shared" si="24"/>
        <v>3.6408432799406309E-3</v>
      </c>
      <c r="X161" s="24">
        <v>4.3163188322308921E-2</v>
      </c>
      <c r="Y161" s="24">
        <f t="shared" si="25"/>
        <v>4.3639529038544955E-2</v>
      </c>
      <c r="Z161" s="23">
        <f t="shared" si="26"/>
        <v>3.5686055210153445E-3</v>
      </c>
      <c r="AA161" s="36"/>
    </row>
    <row r="162" spans="15:27" ht="13.9" customHeight="1" x14ac:dyDescent="0.3">
      <c r="O162" s="12">
        <f t="shared" si="20"/>
        <v>12.416666666666666</v>
      </c>
      <c r="P162" s="13">
        <v>149</v>
      </c>
      <c r="Q162" s="22">
        <v>3.9590341788565464E-2</v>
      </c>
      <c r="R162" s="19">
        <f t="shared" si="21"/>
        <v>4.0036833015318685E-2</v>
      </c>
      <c r="S162" s="22">
        <v>3.9584260161594997E-2</v>
      </c>
      <c r="T162" s="19">
        <f t="shared" si="22"/>
        <v>4.0017699830950271E-2</v>
      </c>
      <c r="U162" s="24">
        <v>4.4066867262366749E-2</v>
      </c>
      <c r="V162" s="24">
        <f t="shared" si="23"/>
        <v>4.4506305648044586E-2</v>
      </c>
      <c r="W162" s="23">
        <f t="shared" si="24"/>
        <v>3.6380827190134468E-3</v>
      </c>
      <c r="X162" s="24">
        <v>4.3166384515080258E-2</v>
      </c>
      <c r="Y162" s="24">
        <f t="shared" si="25"/>
        <v>4.3604773545637299E-2</v>
      </c>
      <c r="Z162" s="23">
        <f t="shared" si="26"/>
        <v>3.5658551831749818E-3</v>
      </c>
      <c r="AA162" s="36"/>
    </row>
    <row r="163" spans="15:27" ht="13.9" customHeight="1" x14ac:dyDescent="0.3">
      <c r="O163" s="12">
        <f t="shared" si="20"/>
        <v>12.5</v>
      </c>
      <c r="P163" s="13">
        <v>150</v>
      </c>
      <c r="Q163" s="22">
        <v>3.9593317761978053E-2</v>
      </c>
      <c r="R163" s="19">
        <f t="shared" si="21"/>
        <v>4.0000175067886889E-2</v>
      </c>
      <c r="S163" s="22">
        <v>3.9587149161184332E-2</v>
      </c>
      <c r="T163" s="19">
        <f t="shared" si="22"/>
        <v>3.9983256137522183E-2</v>
      </c>
      <c r="U163" s="24">
        <v>4.4069796239367021E-2</v>
      </c>
      <c r="V163" s="24">
        <f t="shared" si="23"/>
        <v>4.4470940394272906E-2</v>
      </c>
      <c r="W163" s="23">
        <f t="shared" si="24"/>
        <v>3.635286600535359E-3</v>
      </c>
      <c r="X163" s="24">
        <v>4.3169306498773929E-2</v>
      </c>
      <c r="Y163" s="24">
        <f t="shared" si="25"/>
        <v>4.3569582999548384E-2</v>
      </c>
      <c r="Z163" s="23">
        <f t="shared" si="26"/>
        <v>3.5630700613820121E-3</v>
      </c>
      <c r="AA163" s="36"/>
    </row>
    <row r="164" spans="15:27" ht="13.9" customHeight="1" x14ac:dyDescent="0.3">
      <c r="O164" s="12">
        <f t="shared" si="20"/>
        <v>12.583333333333334</v>
      </c>
      <c r="P164" s="13">
        <v>151</v>
      </c>
      <c r="Q164" s="22">
        <v>3.9596011657603736E-2</v>
      </c>
      <c r="R164" s="19">
        <f t="shared" si="21"/>
        <v>3.9963009358603419E-2</v>
      </c>
      <c r="S164" s="22">
        <v>3.9589771889873449E-2</v>
      </c>
      <c r="T164" s="19">
        <f t="shared" si="22"/>
        <v>3.9948420121340922E-2</v>
      </c>
      <c r="U164" s="24">
        <v>4.4072452316337829E-2</v>
      </c>
      <c r="V164" s="24">
        <f t="shared" si="23"/>
        <v>4.4435128349909148E-2</v>
      </c>
      <c r="W164" s="23">
        <f t="shared" si="24"/>
        <v>3.6324547708603827E-3</v>
      </c>
      <c r="X164" s="24">
        <v>4.3171956831445257E-2</v>
      </c>
      <c r="Y164" s="24">
        <f t="shared" si="25"/>
        <v>4.353395535879101E-2</v>
      </c>
      <c r="Z164" s="23">
        <f t="shared" si="26"/>
        <v>3.5602499900941886E-3</v>
      </c>
      <c r="AA164" s="36"/>
    </row>
    <row r="165" spans="15:27" ht="13.9" customHeight="1" x14ac:dyDescent="0.3">
      <c r="O165" s="12">
        <f t="shared" si="20"/>
        <v>12.666666666666666</v>
      </c>
      <c r="P165" s="13">
        <v>152</v>
      </c>
      <c r="Q165" s="22">
        <v>3.9598425692890515E-2</v>
      </c>
      <c r="R165" s="19">
        <f t="shared" si="21"/>
        <v>3.9925335498289138E-2</v>
      </c>
      <c r="S165" s="22">
        <v>3.9592131013475473E-2</v>
      </c>
      <c r="T165" s="19">
        <f t="shared" si="22"/>
        <v>3.9913189350943012E-2</v>
      </c>
      <c r="U165" s="24">
        <v>4.4074837931282751E-2</v>
      </c>
      <c r="V165" s="24">
        <f t="shared" si="23"/>
        <v>4.4398867611747495E-2</v>
      </c>
      <c r="W165" s="23">
        <f t="shared" si="24"/>
        <v>3.6295870754041726E-3</v>
      </c>
      <c r="X165" s="24">
        <v>4.3174337990294687E-2</v>
      </c>
      <c r="Y165" s="24">
        <f t="shared" si="25"/>
        <v>4.3497888565141585E-2</v>
      </c>
      <c r="Z165" s="23">
        <f t="shared" si="26"/>
        <v>3.5573948024660851E-3</v>
      </c>
      <c r="AA165" s="36"/>
    </row>
    <row r="166" spans="15:27" ht="13.9" customHeight="1" x14ac:dyDescent="0.3">
      <c r="O166" s="12">
        <f t="shared" si="20"/>
        <v>12.75</v>
      </c>
      <c r="P166" s="13">
        <v>153</v>
      </c>
      <c r="Q166" s="22">
        <v>3.9600562024605157E-2</v>
      </c>
      <c r="R166" s="19">
        <f t="shared" si="21"/>
        <v>3.9887150698588503E-2</v>
      </c>
      <c r="S166" s="22">
        <v>3.9594229112136947E-2</v>
      </c>
      <c r="T166" s="19">
        <f t="shared" si="22"/>
        <v>3.9877561374670245E-2</v>
      </c>
      <c r="U166" s="24">
        <v>4.4076955445909727E-2</v>
      </c>
      <c r="V166" s="24">
        <f t="shared" si="23"/>
        <v>4.4362156266431363E-2</v>
      </c>
      <c r="W166" s="23">
        <f t="shared" si="24"/>
        <v>3.6266833583786795E-3</v>
      </c>
      <c r="X166" s="24">
        <v>4.3176452374195984E-2</v>
      </c>
      <c r="Y166" s="24">
        <f t="shared" si="25"/>
        <v>4.3461380546875539E-2</v>
      </c>
      <c r="Z166" s="23">
        <f t="shared" si="26"/>
        <v>3.5545043302500634E-3</v>
      </c>
      <c r="AA166" s="36"/>
    </row>
    <row r="167" spans="15:27" ht="13.9" customHeight="1" x14ac:dyDescent="0.3">
      <c r="O167" s="12">
        <f t="shared" si="20"/>
        <v>12.833333333333334</v>
      </c>
      <c r="P167" s="13">
        <v>154</v>
      </c>
      <c r="Q167" s="22">
        <v>3.9602422735224962E-2</v>
      </c>
      <c r="R167" s="19">
        <f t="shared" si="21"/>
        <v>3.9848452152540847E-2</v>
      </c>
      <c r="S167" s="22">
        <v>3.9596068682983265E-2</v>
      </c>
      <c r="T167" s="19">
        <f t="shared" si="22"/>
        <v>3.9841533717029698E-2</v>
      </c>
      <c r="U167" s="24">
        <v>4.4078807148037358E-2</v>
      </c>
      <c r="V167" s="24">
        <f t="shared" si="23"/>
        <v>4.4324992386112427E-2</v>
      </c>
      <c r="W167" s="23">
        <f t="shared" si="24"/>
        <v>3.6237434631201104E-3</v>
      </c>
      <c r="X167" s="24">
        <v>4.3178302306146721E-2</v>
      </c>
      <c r="Y167" s="24">
        <f t="shared" si="25"/>
        <v>4.3424429214182325E-2</v>
      </c>
      <c r="Z167" s="23">
        <f t="shared" si="26"/>
        <v>3.5515784040545118E-3</v>
      </c>
      <c r="AA167" s="36"/>
    </row>
    <row r="168" spans="15:27" ht="13.9" customHeight="1" x14ac:dyDescent="0.3">
      <c r="O168" s="12">
        <f t="shared" si="20"/>
        <v>12.916666666666666</v>
      </c>
      <c r="P168" s="13">
        <v>155</v>
      </c>
      <c r="Q168" s="22">
        <v>3.9604009835207954E-2</v>
      </c>
      <c r="R168" s="19">
        <f t="shared" si="21"/>
        <v>3.9809237031497524E-2</v>
      </c>
      <c r="S168" s="22">
        <v>3.9597652142637774E-2</v>
      </c>
      <c r="T168" s="19">
        <f t="shared" si="22"/>
        <v>3.9805103881934922E-2</v>
      </c>
      <c r="U168" s="24">
        <v>4.4080395253879967E-2</v>
      </c>
      <c r="V168" s="24">
        <f t="shared" si="23"/>
        <v>4.4287374031901416E-2</v>
      </c>
      <c r="W168" s="23">
        <f t="shared" si="24"/>
        <v>3.6207672317418726E-3</v>
      </c>
      <c r="X168" s="24">
        <v>4.3179890035594193E-2</v>
      </c>
      <c r="Y168" s="24">
        <f t="shared" si="25"/>
        <v>4.3387032464288655E-2</v>
      </c>
      <c r="Z168" s="23">
        <f t="shared" si="26"/>
        <v>3.5486168529750284E-3</v>
      </c>
      <c r="AA168" s="36"/>
    </row>
    <row r="169" spans="15:27" ht="13.9" customHeight="1" x14ac:dyDescent="0.3">
      <c r="O169" s="12">
        <f t="shared" si="20"/>
        <v>13</v>
      </c>
      <c r="P169" s="13">
        <v>156</v>
      </c>
      <c r="Q169" s="22">
        <v>3.9605325265156255E-2</v>
      </c>
      <c r="R169" s="19">
        <f t="shared" si="21"/>
        <v>3.9769504825532875E-2</v>
      </c>
      <c r="S169" s="22">
        <v>3.9598981829664703E-2</v>
      </c>
      <c r="T169" s="19">
        <f t="shared" si="22"/>
        <v>3.9768269351425634E-2</v>
      </c>
      <c r="U169" s="24">
        <v>4.4081721910267602E-2</v>
      </c>
      <c r="V169" s="24">
        <f t="shared" si="23"/>
        <v>4.4249299253080743E-2</v>
      </c>
      <c r="W169" s="23">
        <f t="shared" si="24"/>
        <v>3.617754505409021E-3</v>
      </c>
      <c r="X169" s="24">
        <v>4.3181217740704936E-2</v>
      </c>
      <c r="Y169" s="24">
        <f t="shared" si="25"/>
        <v>4.3349188178007481E-2</v>
      </c>
      <c r="Z169" s="23">
        <f t="shared" si="26"/>
        <v>3.5456195050052042E-3</v>
      </c>
      <c r="AA169" s="36"/>
    </row>
    <row r="170" spans="15:27" ht="13.9" customHeight="1" x14ac:dyDescent="0.3">
      <c r="O170" s="12">
        <f t="shared" si="20"/>
        <v>13.083333333333334</v>
      </c>
      <c r="P170" s="13">
        <v>157</v>
      </c>
      <c r="Q170" s="22">
        <v>3.9606370912801392E-2</v>
      </c>
      <c r="R170" s="19">
        <f t="shared" si="21"/>
        <v>3.9729262025146816E-2</v>
      </c>
      <c r="S170" s="22">
        <v>3.9600060006911297E-2</v>
      </c>
      <c r="T170" s="19">
        <f t="shared" si="22"/>
        <v>3.9731027585090839E-2</v>
      </c>
      <c r="U170" s="24">
        <v>4.4082789196774774E-2</v>
      </c>
      <c r="V170" s="24">
        <f t="shared" si="23"/>
        <v>4.4210766086357323E-2</v>
      </c>
      <c r="W170" s="23">
        <f t="shared" si="24"/>
        <v>3.614705124274975E-3</v>
      </c>
      <c r="X170" s="24">
        <v>4.3182287530525221E-2</v>
      </c>
      <c r="Y170" s="24">
        <f t="shared" si="25"/>
        <v>4.3310894220986773E-2</v>
      </c>
      <c r="Z170" s="23">
        <f t="shared" si="26"/>
        <v>3.5425861867581787E-3</v>
      </c>
      <c r="AA170" s="36"/>
    </row>
    <row r="171" spans="15:27" ht="13.9" customHeight="1" x14ac:dyDescent="0.3">
      <c r="O171" s="12">
        <f t="shared" si="20"/>
        <v>13.166666666666666</v>
      </c>
      <c r="P171" s="13">
        <v>158</v>
      </c>
      <c r="Q171" s="22">
        <v>3.9607148658975078E-2</v>
      </c>
      <c r="R171" s="19">
        <f t="shared" si="21"/>
        <v>3.9688508092032393E-2</v>
      </c>
      <c r="S171" s="22">
        <v>3.9600888863756234E-2</v>
      </c>
      <c r="T171" s="19">
        <f t="shared" si="22"/>
        <v>3.9693376021587401E-2</v>
      </c>
      <c r="U171" s="24">
        <v>4.4083599127765716E-2</v>
      </c>
      <c r="V171" s="24">
        <f t="shared" si="23"/>
        <v>4.4171772557777267E-2</v>
      </c>
      <c r="W171" s="23">
        <f t="shared" si="24"/>
        <v>3.611618927420901E-3</v>
      </c>
      <c r="X171" s="24">
        <v>4.3183101447068051E-2</v>
      </c>
      <c r="Y171" s="24">
        <f t="shared" si="25"/>
        <v>4.3272148444841285E-2</v>
      </c>
      <c r="Z171" s="23">
        <f t="shared" si="26"/>
        <v>3.5395167235665603E-3</v>
      </c>
      <c r="AA171" s="36"/>
    </row>
    <row r="172" spans="15:27" ht="13.9" customHeight="1" x14ac:dyDescent="0.3">
      <c r="O172" s="12">
        <f t="shared" si="20"/>
        <v>13.25</v>
      </c>
      <c r="P172" s="13">
        <v>159</v>
      </c>
      <c r="Q172" s="22">
        <v>3.9607660333627059E-2</v>
      </c>
      <c r="R172" s="19">
        <f t="shared" si="21"/>
        <v>3.9647240130079808E-2</v>
      </c>
      <c r="S172" s="22">
        <v>3.960147051828411E-2</v>
      </c>
      <c r="T172" s="19">
        <f t="shared" si="22"/>
        <v>3.9655312076270377E-2</v>
      </c>
      <c r="U172" s="24">
        <v>4.4084153654372571E-2</v>
      </c>
      <c r="V172" s="24">
        <f t="shared" si="23"/>
        <v>4.4132316680567385E-2</v>
      </c>
      <c r="W172" s="23">
        <f t="shared" si="24"/>
        <v>3.6084957530075901E-3</v>
      </c>
      <c r="X172" s="24">
        <v>4.3183661467327994E-2</v>
      </c>
      <c r="Y172" s="24">
        <f t="shared" si="25"/>
        <v>4.3232948685032024E-2</v>
      </c>
      <c r="Z172" s="23">
        <f t="shared" si="26"/>
        <v>3.5364109395719101E-3</v>
      </c>
      <c r="AA172" s="36"/>
    </row>
    <row r="173" spans="15:27" ht="13.9" customHeight="1" x14ac:dyDescent="0.3">
      <c r="O173" s="12">
        <f t="shared" si="20"/>
        <v>13.333333333333334</v>
      </c>
      <c r="P173" s="13">
        <v>160</v>
      </c>
      <c r="Q173" s="22">
        <v>3.9607907702675416E-2</v>
      </c>
      <c r="R173" s="19">
        <f t="shared" si="21"/>
        <v>3.9605455225218522E-2</v>
      </c>
      <c r="S173" s="22">
        <v>3.9601807019362223E-2</v>
      </c>
      <c r="T173" s="19">
        <f t="shared" si="22"/>
        <v>3.9616833144517916E-2</v>
      </c>
      <c r="U173" s="24">
        <v>4.4084454666386996E-2</v>
      </c>
      <c r="V173" s="24">
        <f t="shared" si="23"/>
        <v>4.4092396457095395E-2</v>
      </c>
      <c r="W173" s="23">
        <f t="shared" si="24"/>
        <v>3.6053354381029301E-3</v>
      </c>
      <c r="X173" s="24">
        <v>4.3183969505207198E-2</v>
      </c>
      <c r="Y173" s="24">
        <f t="shared" si="25"/>
        <v>4.3193292763095803E-2</v>
      </c>
      <c r="Z173" s="23">
        <f t="shared" si="26"/>
        <v>3.5332686575537675E-3</v>
      </c>
      <c r="AA173" s="36"/>
    </row>
    <row r="174" spans="15:27" ht="13.9" customHeight="1" x14ac:dyDescent="0.3">
      <c r="O174" s="12">
        <f t="shared" si="20"/>
        <v>13.416666666666666</v>
      </c>
      <c r="P174" s="13">
        <v>161</v>
      </c>
      <c r="Q174" s="22">
        <v>3.9607892469878392E-2</v>
      </c>
      <c r="R174" s="19">
        <f t="shared" si="21"/>
        <v>3.9563150442054162E-2</v>
      </c>
      <c r="S174" s="22">
        <v>3.9601900348661845E-2</v>
      </c>
      <c r="T174" s="19">
        <f t="shared" si="22"/>
        <v>3.9577936599510366E-2</v>
      </c>
      <c r="U174" s="24">
        <v>4.4084503994093138E-2</v>
      </c>
      <c r="V174" s="24">
        <f t="shared" si="23"/>
        <v>4.4052009879291143E-2</v>
      </c>
      <c r="W174" s="23">
        <f t="shared" si="24"/>
        <v>3.6021378188366704E-3</v>
      </c>
      <c r="X174" s="24">
        <v>4.3184027413384118E-2</v>
      </c>
      <c r="Y174" s="24">
        <f t="shared" si="25"/>
        <v>4.315317848577771E-2</v>
      </c>
      <c r="Z174" s="23">
        <f t="shared" si="26"/>
        <v>3.5300896991077302E-3</v>
      </c>
      <c r="AA174" s="36"/>
    </row>
    <row r="175" spans="15:27" ht="13.9" customHeight="1" x14ac:dyDescent="0.3">
      <c r="O175" s="12">
        <f t="shared" si="20"/>
        <v>13.5</v>
      </c>
      <c r="P175" s="13">
        <v>162</v>
      </c>
      <c r="Q175" s="22">
        <v>3.9607616278614755E-2</v>
      </c>
      <c r="R175" s="19">
        <f t="shared" si="21"/>
        <v>3.9520325127408995E-2</v>
      </c>
      <c r="S175" s="22">
        <v>3.9601752422590009E-2</v>
      </c>
      <c r="T175" s="19">
        <f t="shared" si="22"/>
        <v>3.9538619791452678E-2</v>
      </c>
      <c r="U175" s="24">
        <v>4.4084303410035552E-2</v>
      </c>
      <c r="V175" s="24">
        <f t="shared" si="23"/>
        <v>4.4011154925575946E-2</v>
      </c>
      <c r="W175" s="23">
        <f t="shared" si="24"/>
        <v>3.5989027304348387E-3</v>
      </c>
      <c r="X175" s="24">
        <v>4.3183836985106749E-2</v>
      </c>
      <c r="Y175" s="24">
        <f t="shared" si="25"/>
        <v>4.3112603644538172E-2</v>
      </c>
      <c r="Z175" s="23">
        <f t="shared" si="26"/>
        <v>3.5268738845746217E-3</v>
      </c>
      <c r="AA175" s="36"/>
    </row>
    <row r="176" spans="15:27" ht="13.9" customHeight="1" x14ac:dyDescent="0.3">
      <c r="O176" s="12">
        <f t="shared" si="20"/>
        <v>13.583333333333334</v>
      </c>
      <c r="P176" s="13">
        <v>163</v>
      </c>
      <c r="Q176" s="22">
        <v>3.9607080727733557E-2</v>
      </c>
      <c r="R176" s="19">
        <f t="shared" si="21"/>
        <v>3.9476985512079121E-2</v>
      </c>
      <c r="S176" s="22">
        <v>3.9601365094145802E-2</v>
      </c>
      <c r="T176" s="19">
        <f t="shared" si="22"/>
        <v>3.949888005073654E-2</v>
      </c>
      <c r="U176" s="24">
        <v>4.4083854630702746E-2</v>
      </c>
      <c r="V176" s="24">
        <f t="shared" si="23"/>
        <v>4.3969829566355534E-2</v>
      </c>
      <c r="W176" s="23">
        <f t="shared" si="24"/>
        <v>3.5956300069717173E-3</v>
      </c>
      <c r="X176" s="24">
        <v>4.318339995591769E-2</v>
      </c>
      <c r="Y176" s="24">
        <f t="shared" si="25"/>
        <v>4.3071566018411778E-2</v>
      </c>
      <c r="Z176" s="23">
        <f t="shared" si="26"/>
        <v>3.5236210330005235E-3</v>
      </c>
      <c r="AA176" s="36"/>
    </row>
    <row r="177" spans="15:27" ht="13.9" customHeight="1" x14ac:dyDescent="0.3">
      <c r="O177" s="12">
        <f t="shared" si="20"/>
        <v>13.666666666666666</v>
      </c>
      <c r="P177" s="13">
        <v>164</v>
      </c>
      <c r="Q177" s="22">
        <v>3.960628741488792E-2</v>
      </c>
      <c r="R177" s="19">
        <f t="shared" si="21"/>
        <v>3.9433130914234615E-2</v>
      </c>
      <c r="S177" s="22">
        <v>3.9600740154728253E-2</v>
      </c>
      <c r="T177" s="19">
        <f t="shared" si="22"/>
        <v>3.945871468505624E-2</v>
      </c>
      <c r="U177" s="24">
        <v>4.4083159318183185E-2</v>
      </c>
      <c r="V177" s="24">
        <f t="shared" si="23"/>
        <v>4.3928031758779129E-2</v>
      </c>
      <c r="W177" s="23">
        <f t="shared" si="24"/>
        <v>3.5923194818097137E-3</v>
      </c>
      <c r="X177" s="24">
        <v>4.3182718005332799E-2</v>
      </c>
      <c r="Y177" s="24">
        <f t="shared" si="25"/>
        <v>4.3030063369552618E-2</v>
      </c>
      <c r="Z177" s="23">
        <f t="shared" si="26"/>
        <v>3.5203309623645929E-3</v>
      </c>
      <c r="AA177" s="36"/>
    </row>
    <row r="178" spans="15:27" ht="13.9" customHeight="1" x14ac:dyDescent="0.3">
      <c r="O178" s="12">
        <f t="shared" si="20"/>
        <v>13.75</v>
      </c>
      <c r="P178" s="13">
        <v>165</v>
      </c>
      <c r="Q178" s="22">
        <v>3.9605237894674072E-2</v>
      </c>
      <c r="R178" s="19">
        <f t="shared" si="21"/>
        <v>3.9388758336694751E-2</v>
      </c>
      <c r="S178" s="22">
        <v>3.9599879335860511E-2</v>
      </c>
      <c r="T178" s="19">
        <f t="shared" si="22"/>
        <v>3.9418120981026705E-2</v>
      </c>
      <c r="U178" s="24">
        <v>4.4082219081728935E-2</v>
      </c>
      <c r="V178" s="24">
        <f t="shared" si="23"/>
        <v>4.3885759450148054E-2</v>
      </c>
      <c r="W178" s="23">
        <f t="shared" si="24"/>
        <v>3.5889709871779196E-3</v>
      </c>
      <c r="X178" s="24">
        <v>4.3181792758432369E-2</v>
      </c>
      <c r="Y178" s="24">
        <f t="shared" si="25"/>
        <v>4.2988093447696052E-2</v>
      </c>
      <c r="Z178" s="23">
        <f t="shared" si="26"/>
        <v>3.5170034892213486E-3</v>
      </c>
      <c r="AA178" s="36"/>
    </row>
    <row r="179" spans="15:27" ht="13.9" customHeight="1" x14ac:dyDescent="0.3">
      <c r="O179" s="12">
        <f t="shared" si="20"/>
        <v>13.833333333333334</v>
      </c>
      <c r="P179" s="13">
        <v>166</v>
      </c>
      <c r="Q179" s="22">
        <v>3.9603933665973257E-2</v>
      </c>
      <c r="R179" s="19">
        <f t="shared" si="21"/>
        <v>3.9343864763011105E-2</v>
      </c>
      <c r="S179" s="22">
        <v>3.9598784310861612E-2</v>
      </c>
      <c r="T179" s="19">
        <f t="shared" si="22"/>
        <v>3.9377096203004003E-2</v>
      </c>
      <c r="U179" s="24">
        <v>4.4081035479283548E-2</v>
      </c>
      <c r="V179" s="24">
        <f t="shared" si="23"/>
        <v>4.3843010578160868E-2</v>
      </c>
      <c r="W179" s="23">
        <f t="shared" si="24"/>
        <v>3.58558435444567E-3</v>
      </c>
      <c r="X179" s="24">
        <v>4.3180625787421656E-2</v>
      </c>
      <c r="Y179" s="24">
        <f t="shared" si="25"/>
        <v>4.2945653988385901E-2</v>
      </c>
      <c r="Z179" s="23">
        <f t="shared" si="26"/>
        <v>3.5136384290570533E-3</v>
      </c>
      <c r="AA179" s="36"/>
    </row>
    <row r="180" spans="15:27" ht="13.9" customHeight="1" x14ac:dyDescent="0.3">
      <c r="O180" s="12">
        <f t="shared" si="20"/>
        <v>13.916666666666666</v>
      </c>
      <c r="P180" s="13">
        <v>167</v>
      </c>
      <c r="Q180" s="22">
        <v>3.9602376173499154E-2</v>
      </c>
      <c r="R180" s="19">
        <f t="shared" si="21"/>
        <v>3.9298447159931804E-2</v>
      </c>
      <c r="S180" s="22">
        <v>3.9597456696451649E-2</v>
      </c>
      <c r="T180" s="19">
        <f t="shared" si="22"/>
        <v>3.9335637595035111E-2</v>
      </c>
      <c r="U180" s="24">
        <v>4.4079610018956217E-2</v>
      </c>
      <c r="V180" s="24">
        <f t="shared" si="23"/>
        <v>4.3799783068280806E-2</v>
      </c>
      <c r="W180" s="23">
        <f t="shared" si="24"/>
        <v>3.5821594141398627E-3</v>
      </c>
      <c r="X180" s="24">
        <v>4.3179218613124126E-2</v>
      </c>
      <c r="Y180" s="24">
        <f t="shared" si="25"/>
        <v>4.2902742712768838E-2</v>
      </c>
      <c r="Z180" s="23">
        <f t="shared" si="26"/>
        <v>3.5102355961471599E-3</v>
      </c>
      <c r="AA180" s="36"/>
    </row>
    <row r="181" spans="15:27" ht="13.9" customHeight="1" x14ac:dyDescent="0.3">
      <c r="O181" s="12">
        <f t="shared" si="20"/>
        <v>14</v>
      </c>
      <c r="P181" s="13">
        <v>168</v>
      </c>
      <c r="Q181" s="22">
        <v>3.960056680930446E-2</v>
      </c>
      <c r="R181" s="19">
        <f t="shared" si="21"/>
        <v>3.9252504736672522E-2</v>
      </c>
      <c r="S181" s="22">
        <v>3.9595898054310075E-2</v>
      </c>
      <c r="T181" s="19">
        <f t="shared" si="22"/>
        <v>3.9293742379366225E-2</v>
      </c>
      <c r="U181" s="24">
        <v>4.4077944160427984E-2</v>
      </c>
      <c r="V181" s="24">
        <f t="shared" si="23"/>
        <v>4.3756074837240977E-2</v>
      </c>
      <c r="W181" s="23">
        <f t="shared" si="24"/>
        <v>3.5786959957337938E-3</v>
      </c>
      <c r="X181" s="24">
        <v>4.3177572706420753E-2</v>
      </c>
      <c r="Y181" s="24">
        <f t="shared" si="25"/>
        <v>4.2859357328561165E-2</v>
      </c>
      <c r="Z181" s="23">
        <f t="shared" si="26"/>
        <v>3.5067948035376606E-3</v>
      </c>
      <c r="AA181" s="36"/>
    </row>
    <row r="182" spans="15:27" ht="13.9" customHeight="1" x14ac:dyDescent="0.3">
      <c r="O182" s="12">
        <f t="shared" si="20"/>
        <v>14.083333333333334</v>
      </c>
      <c r="P182" s="13">
        <v>169</v>
      </c>
      <c r="Q182" s="22">
        <v>3.9598506927606358E-2</v>
      </c>
      <c r="R182" s="19">
        <f t="shared" si="21"/>
        <v>3.9206043470419782E-2</v>
      </c>
      <c r="S182" s="22">
        <v>3.959410989257095E-2</v>
      </c>
      <c r="T182" s="19">
        <f t="shared" si="22"/>
        <v>3.9251407755585443E-2</v>
      </c>
      <c r="U182" s="24">
        <v>4.4076039316328419E-2</v>
      </c>
      <c r="V182" s="24">
        <f t="shared" si="23"/>
        <v>4.3711883791050177E-2</v>
      </c>
      <c r="W182" s="23">
        <f t="shared" si="24"/>
        <v>3.5751939279273781E-3</v>
      </c>
      <c r="X182" s="24">
        <v>4.3175689489643565E-2</v>
      </c>
      <c r="Y182" s="24">
        <f t="shared" si="25"/>
        <v>4.2815495529469283E-2</v>
      </c>
      <c r="Z182" s="23">
        <f t="shared" si="26"/>
        <v>3.5033158631234684E-3</v>
      </c>
      <c r="AA182" s="36"/>
    </row>
    <row r="183" spans="15:27" ht="13.9" customHeight="1" x14ac:dyDescent="0.3">
      <c r="O183" s="12">
        <f t="shared" si="20"/>
        <v>14.166666666666666</v>
      </c>
      <c r="P183" s="13">
        <v>170</v>
      </c>
      <c r="Q183" s="22">
        <v>3.9596197885722662E-2</v>
      </c>
      <c r="R183" s="19">
        <f t="shared" si="21"/>
        <v>3.915906254479129E-2</v>
      </c>
      <c r="S183" s="22">
        <v>3.9592093667259798E-2</v>
      </c>
      <c r="T183" s="19">
        <f t="shared" si="22"/>
        <v>3.9208630903683206E-2</v>
      </c>
      <c r="U183" s="24">
        <v>4.4073896853552563E-2</v>
      </c>
      <c r="V183" s="24">
        <f t="shared" si="23"/>
        <v>4.3667207825355492E-2</v>
      </c>
      <c r="W183" s="23">
        <f t="shared" si="24"/>
        <v>3.5716530384863887E-3</v>
      </c>
      <c r="X183" s="24">
        <v>4.31735703379168E-2</v>
      </c>
      <c r="Y183" s="24">
        <f t="shared" si="25"/>
        <v>4.2771154996831484E-2</v>
      </c>
      <c r="Z183" s="23">
        <f t="shared" si="26"/>
        <v>3.4997985855991232E-3</v>
      </c>
      <c r="AA183" s="36"/>
    </row>
    <row r="184" spans="15:27" ht="13.9" customHeight="1" x14ac:dyDescent="0.3">
      <c r="O184" s="12">
        <f t="shared" si="20"/>
        <v>14.25</v>
      </c>
      <c r="P184" s="13">
        <v>171</v>
      </c>
      <c r="Q184" s="22">
        <v>3.9593641004239677E-2</v>
      </c>
      <c r="R184" s="19">
        <f t="shared" si="21"/>
        <v>3.9111558865958296E-2</v>
      </c>
      <c r="S184" s="22">
        <v>3.9589850783698033E-2</v>
      </c>
      <c r="T184" s="19">
        <f t="shared" si="22"/>
        <v>3.9165408981843619E-2</v>
      </c>
      <c r="U184" s="24">
        <v>4.407151809453258E-2</v>
      </c>
      <c r="V184" s="24">
        <f t="shared" si="23"/>
        <v>4.3622044828002027E-2</v>
      </c>
      <c r="W184" s="23">
        <f t="shared" si="24"/>
        <v>3.5680731542699906E-3</v>
      </c>
      <c r="X184" s="24">
        <v>4.3171216580460747E-2</v>
      </c>
      <c r="Y184" s="24">
        <f t="shared" si="25"/>
        <v>4.2726333397038685E-2</v>
      </c>
      <c r="Z184" s="23">
        <f t="shared" si="26"/>
        <v>3.4962427805906859E-3</v>
      </c>
      <c r="AA184" s="36"/>
    </row>
    <row r="185" spans="15:27" ht="13.9" customHeight="1" x14ac:dyDescent="0.3">
      <c r="O185" s="12">
        <f t="shared" si="20"/>
        <v>14.333333333333334</v>
      </c>
      <c r="P185" s="13">
        <v>172</v>
      </c>
      <c r="Q185" s="22">
        <v>3.9590837554828839E-2</v>
      </c>
      <c r="R185" s="19">
        <f t="shared" si="21"/>
        <v>3.9063529324236734E-2</v>
      </c>
      <c r="S185" s="22">
        <v>3.9587382597845444E-2</v>
      </c>
      <c r="T185" s="19">
        <f t="shared" si="22"/>
        <v>3.9121739126925403E-2</v>
      </c>
      <c r="U185" s="24">
        <v>4.4068904318481428E-2</v>
      </c>
      <c r="V185" s="24">
        <f t="shared" si="23"/>
        <v>4.3576392675084286E-2</v>
      </c>
      <c r="W185" s="23">
        <f t="shared" si="24"/>
        <v>3.5644541014356879E-3</v>
      </c>
      <c r="X185" s="24">
        <v>4.3168629501834532E-2</v>
      </c>
      <c r="Y185" s="24">
        <f t="shared" si="25"/>
        <v>4.2681028384659259E-2</v>
      </c>
      <c r="Z185" s="23">
        <f t="shared" si="26"/>
        <v>3.4926482564472394E-3</v>
      </c>
      <c r="AA185" s="36"/>
    </row>
    <row r="186" spans="15:27" ht="13.9" customHeight="1" x14ac:dyDescent="0.3">
      <c r="O186" s="12">
        <f t="shared" si="20"/>
        <v>14.416666666666666</v>
      </c>
      <c r="P186" s="13">
        <v>173</v>
      </c>
      <c r="Q186" s="22">
        <v>3.958778876156388E-2</v>
      </c>
      <c r="R186" s="19">
        <f t="shared" si="21"/>
        <v>3.9014970791313441E-2</v>
      </c>
      <c r="S186" s="22">
        <v>3.9584690417599155E-2</v>
      </c>
      <c r="T186" s="19">
        <f t="shared" si="22"/>
        <v>3.9077618453873919E-2</v>
      </c>
      <c r="U186" s="24">
        <v>4.4066056762569472E-2</v>
      </c>
      <c r="V186" s="24">
        <f t="shared" si="23"/>
        <v>4.3530249233656448E-2</v>
      </c>
      <c r="W186" s="23">
        <f t="shared" si="24"/>
        <v>3.5607957051215777E-3</v>
      </c>
      <c r="X186" s="24">
        <v>4.3165810343154254E-2</v>
      </c>
      <c r="Y186" s="24">
        <f t="shared" si="25"/>
        <v>4.2635237600436415E-2</v>
      </c>
      <c r="Z186" s="23">
        <f t="shared" si="26"/>
        <v>3.4890148204909099E-3</v>
      </c>
      <c r="AA186" s="36"/>
    </row>
    <row r="187" spans="15:27" ht="13.9" customHeight="1" x14ac:dyDescent="0.3">
      <c r="O187" s="12">
        <f t="shared" si="20"/>
        <v>14.5</v>
      </c>
      <c r="P187" s="13">
        <v>174</v>
      </c>
      <c r="Q187" s="22">
        <v>3.9584495802175823E-2</v>
      </c>
      <c r="R187" s="19">
        <f t="shared" si="21"/>
        <v>3.8965882347938186E-2</v>
      </c>
      <c r="S187" s="22">
        <v>3.9581775504043959E-2</v>
      </c>
      <c r="T187" s="19">
        <f t="shared" si="22"/>
        <v>3.9033044058602195E-2</v>
      </c>
      <c r="U187" s="24">
        <v>4.4062976623076455E-2</v>
      </c>
      <c r="V187" s="24">
        <f t="shared" si="23"/>
        <v>4.3483612363187651E-2</v>
      </c>
      <c r="W187" s="23">
        <f t="shared" si="24"/>
        <v>3.5570977896632883E-3</v>
      </c>
      <c r="X187" s="24">
        <v>4.3162760303257608E-2</v>
      </c>
      <c r="Y187" s="24">
        <f t="shared" si="25"/>
        <v>4.2588958673287935E-2</v>
      </c>
      <c r="Z187" s="23">
        <f t="shared" si="26"/>
        <v>3.4853422788545529E-3</v>
      </c>
      <c r="AA187" s="36"/>
    </row>
    <row r="188" spans="15:27" ht="13.9" customHeight="1" x14ac:dyDescent="0.3">
      <c r="O188" s="12">
        <f t="shared" si="20"/>
        <v>14.583333333333334</v>
      </c>
      <c r="P188" s="13">
        <v>175</v>
      </c>
      <c r="Q188" s="22">
        <v>3.9580959822001605E-2</v>
      </c>
      <c r="R188" s="19">
        <f t="shared" si="21"/>
        <v>3.8916269725502106E-2</v>
      </c>
      <c r="S188" s="22">
        <v>3.9578639072676669E-2</v>
      </c>
      <c r="T188" s="19">
        <f t="shared" si="22"/>
        <v>3.8988013013426581E-2</v>
      </c>
      <c r="U188" s="24">
        <v>4.4059665056512376E-2</v>
      </c>
      <c r="V188" s="24">
        <f t="shared" si="23"/>
        <v>4.3436479912881243E-2</v>
      </c>
      <c r="W188" s="23">
        <f t="shared" si="24"/>
        <v>3.5533601787085534E-3</v>
      </c>
      <c r="X188" s="24">
        <v>4.3159480539839867E-2</v>
      </c>
      <c r="Y188" s="24">
        <f t="shared" si="25"/>
        <v>4.2542189217575688E-2</v>
      </c>
      <c r="Z188" s="23">
        <f t="shared" si="26"/>
        <v>3.4816304366418471E-3</v>
      </c>
      <c r="AA188" s="36"/>
    </row>
    <row r="189" spans="15:27" ht="13.9" customHeight="1" x14ac:dyDescent="0.3">
      <c r="O189" s="12">
        <f t="shared" si="20"/>
        <v>14.666666666666666</v>
      </c>
      <c r="P189" s="13">
        <v>176</v>
      </c>
      <c r="Q189" s="22">
        <v>3.957718197271376E-2</v>
      </c>
      <c r="R189" s="19">
        <f t="shared" si="21"/>
        <v>3.8866131978765983E-2</v>
      </c>
      <c r="S189" s="22">
        <v>3.957528229456253E-2</v>
      </c>
      <c r="T189" s="19">
        <f t="shared" si="22"/>
        <v>3.8942522372353183E-2</v>
      </c>
      <c r="U189" s="24">
        <v>4.4056123180684414E-2</v>
      </c>
      <c r="V189" s="24">
        <f t="shared" si="23"/>
        <v>4.3388849722671985E-2</v>
      </c>
      <c r="W189" s="23">
        <f t="shared" si="24"/>
        <v>3.5495826950027176E-3</v>
      </c>
      <c r="X189" s="24">
        <v>4.3155972170535462E-2</v>
      </c>
      <c r="Y189" s="24">
        <f t="shared" si="25"/>
        <v>4.2494926837858493E-2</v>
      </c>
      <c r="Z189" s="23">
        <f t="shared" si="26"/>
        <v>3.4778790977070262E-3</v>
      </c>
      <c r="AA189" s="36"/>
    </row>
    <row r="190" spans="15:27" ht="13.9" customHeight="1" x14ac:dyDescent="0.3">
      <c r="O190" s="12">
        <f t="shared" si="20"/>
        <v>14.75</v>
      </c>
      <c r="P190" s="13">
        <v>177</v>
      </c>
      <c r="Q190" s="22">
        <v>3.957316337439698E-2</v>
      </c>
      <c r="R190" s="19">
        <f t="shared" si="21"/>
        <v>3.8815465925256198E-2</v>
      </c>
      <c r="S190" s="22">
        <v>3.9571706297482079E-2</v>
      </c>
      <c r="T190" s="19">
        <f t="shared" si="22"/>
        <v>3.8896569166228412E-2</v>
      </c>
      <c r="U190" s="24">
        <v>4.4052352075734325E-2</v>
      </c>
      <c r="V190" s="24">
        <f t="shared" si="23"/>
        <v>4.3340719624977542E-2</v>
      </c>
      <c r="W190" s="23">
        <f t="shared" si="24"/>
        <v>3.545765160466452E-3</v>
      </c>
      <c r="X190" s="24">
        <v>4.315223627399023E-2</v>
      </c>
      <c r="Y190" s="24">
        <f t="shared" si="25"/>
        <v>4.2447169122951767E-2</v>
      </c>
      <c r="Z190" s="23">
        <f t="shared" si="26"/>
        <v>3.4740880650345751E-3</v>
      </c>
      <c r="AA190" s="36"/>
    </row>
    <row r="191" spans="15:27" ht="13.9" customHeight="1" x14ac:dyDescent="0.3">
      <c r="O191" s="12">
        <f t="shared" si="20"/>
        <v>14.833333333333334</v>
      </c>
      <c r="P191" s="13">
        <v>178</v>
      </c>
      <c r="Q191" s="22">
        <v>3.9568905103854579E-2</v>
      </c>
      <c r="R191" s="19">
        <f t="shared" si="21"/>
        <v>3.8764268365756305E-2</v>
      </c>
      <c r="S191" s="22">
        <v>3.9567912167012498E-2</v>
      </c>
      <c r="T191" s="19">
        <f t="shared" si="22"/>
        <v>3.8850150406588568E-2</v>
      </c>
      <c r="U191" s="24">
        <v>4.4048352785149625E-2</v>
      </c>
      <c r="V191" s="24">
        <f t="shared" si="23"/>
        <v>4.3292087443417948E-2</v>
      </c>
      <c r="W191" s="23">
        <f t="shared" si="24"/>
        <v>3.54190739633653E-3</v>
      </c>
      <c r="X191" s="24">
        <v>4.3148273890863509E-2</v>
      </c>
      <c r="Y191" s="24">
        <f t="shared" si="25"/>
        <v>4.2398913652528458E-2</v>
      </c>
      <c r="Z191" s="23">
        <f t="shared" si="26"/>
        <v>3.4702571402622784E-3</v>
      </c>
      <c r="AA191" s="36"/>
    </row>
    <row r="192" spans="15:27" ht="13.9" customHeight="1" x14ac:dyDescent="0.3">
      <c r="O192" s="12">
        <f t="shared" si="20"/>
        <v>14.916666666666666</v>
      </c>
      <c r="P192" s="13">
        <v>179</v>
      </c>
      <c r="Q192" s="22">
        <v>3.9564408195718714E-2</v>
      </c>
      <c r="R192" s="19">
        <f t="shared" si="21"/>
        <v>3.8712536088406857E-2</v>
      </c>
      <c r="S192" s="22">
        <v>3.9563900947594322E-2</v>
      </c>
      <c r="T192" s="19">
        <f t="shared" si="22"/>
        <v>3.8803263083648565E-2</v>
      </c>
      <c r="U192" s="24">
        <v>4.4044126316733934E-2</v>
      </c>
      <c r="V192" s="24">
        <f t="shared" si="23"/>
        <v>4.3242950993004792E-2</v>
      </c>
      <c r="W192" s="23">
        <f t="shared" si="24"/>
        <v>3.5380092230612448E-3</v>
      </c>
      <c r="X192" s="24">
        <v>4.3144086024833994E-2</v>
      </c>
      <c r="Y192" s="24">
        <f t="shared" si="25"/>
        <v>4.2350157992558479E-2</v>
      </c>
      <c r="Z192" s="23">
        <f t="shared" si="26"/>
        <v>3.4663861242096861E-3</v>
      </c>
      <c r="AA192" s="36"/>
    </row>
    <row r="193" spans="15:27" ht="13.9" customHeight="1" x14ac:dyDescent="0.3">
      <c r="O193" s="12">
        <f t="shared" si="20"/>
        <v>15</v>
      </c>
      <c r="P193" s="13">
        <v>180</v>
      </c>
      <c r="Q193" s="22">
        <v>3.9559673643545512E-2</v>
      </c>
      <c r="R193" s="19">
        <f t="shared" si="21"/>
        <v>3.8660420706686738E-2</v>
      </c>
      <c r="S193" s="22">
        <v>3.9559673643549953E-2</v>
      </c>
      <c r="T193" s="19">
        <f t="shared" si="22"/>
        <v>3.8755982196761796E-2</v>
      </c>
      <c r="U193" s="24">
        <v>4.4039673643546662E-2</v>
      </c>
      <c r="V193" s="24">
        <f t="shared" si="23"/>
        <v>4.3193418627622826E-2</v>
      </c>
      <c r="W193" s="23">
        <f t="shared" si="24"/>
        <v>3.5340704603148421E-3</v>
      </c>
      <c r="X193" s="24">
        <v>4.3139673643546095E-2</v>
      </c>
      <c r="Y193" s="24">
        <f t="shared" si="25"/>
        <v>4.2301005423985627E-2</v>
      </c>
      <c r="Z193" s="23">
        <f t="shared" si="26"/>
        <v>3.4624748165099639E-3</v>
      </c>
      <c r="AA193" s="36"/>
    </row>
    <row r="194" spans="15:27" ht="13.9" customHeight="1" x14ac:dyDescent="0.3">
      <c r="O194" s="12">
        <f t="shared" si="20"/>
        <v>15.083333333333334</v>
      </c>
      <c r="P194" s="13">
        <v>181</v>
      </c>
      <c r="Q194" s="22">
        <v>3.9554703257069779E-2</v>
      </c>
      <c r="R194" s="19">
        <f t="shared" si="21"/>
        <v>3.8608538493839495E-2</v>
      </c>
      <c r="S194" s="22">
        <v>3.9555231651509981E-2</v>
      </c>
      <c r="T194" s="19">
        <f t="shared" si="22"/>
        <v>3.8708616582859401E-2</v>
      </c>
      <c r="U194" s="24">
        <v>4.4034996316063335E-2</v>
      </c>
      <c r="V194" s="24">
        <f t="shared" si="23"/>
        <v>4.3143930318896739E-2</v>
      </c>
      <c r="W194" s="23">
        <f t="shared" si="24"/>
        <v>3.5300997890270747E-3</v>
      </c>
      <c r="X194" s="24">
        <v>4.3135038264129566E-2</v>
      </c>
      <c r="Y194" s="24">
        <f t="shared" si="25"/>
        <v>4.2251876322435322E-2</v>
      </c>
      <c r="Z194" s="23">
        <f t="shared" si="26"/>
        <v>3.4585314979933557E-3</v>
      </c>
      <c r="AA194" s="36"/>
    </row>
    <row r="195" spans="15:27" ht="13.9" customHeight="1" x14ac:dyDescent="0.3">
      <c r="O195" s="12">
        <f t="shared" si="20"/>
        <v>15.166666666666666</v>
      </c>
      <c r="P195" s="13">
        <v>182</v>
      </c>
      <c r="Q195" s="22">
        <v>3.9549502195316943E-2</v>
      </c>
      <c r="R195" s="19">
        <f t="shared" si="21"/>
        <v>3.8557041459824859E-2</v>
      </c>
      <c r="S195" s="22">
        <v>3.9550578035562722E-2</v>
      </c>
      <c r="T195" s="19">
        <f t="shared" si="22"/>
        <v>3.8661240582421597E-2</v>
      </c>
      <c r="U195" s="24">
        <v>4.4030098270033902E-2</v>
      </c>
      <c r="V195" s="24">
        <f t="shared" si="23"/>
        <v>4.3094594368289219E-2</v>
      </c>
      <c r="W195" s="23">
        <f t="shared" si="24"/>
        <v>3.5261324768645075E-3</v>
      </c>
      <c r="X195" s="24">
        <v>4.3130183681943102E-2</v>
      </c>
      <c r="Y195" s="24">
        <f t="shared" si="25"/>
        <v>4.220287374961762E-2</v>
      </c>
      <c r="Z195" s="23">
        <f t="shared" si="26"/>
        <v>3.4545898918012519E-3</v>
      </c>
      <c r="AA195" s="36"/>
    </row>
    <row r="196" spans="15:27" ht="13.9" customHeight="1" x14ac:dyDescent="0.3">
      <c r="O196" s="12">
        <f t="shared" si="20"/>
        <v>15.25</v>
      </c>
      <c r="P196" s="13">
        <v>183</v>
      </c>
      <c r="Q196" s="22">
        <v>3.9544076336309075E-2</v>
      </c>
      <c r="R196" s="19">
        <f t="shared" si="21"/>
        <v>3.8505926823452663E-2</v>
      </c>
      <c r="S196" s="22">
        <v>3.9545716199471892E-2</v>
      </c>
      <c r="T196" s="19">
        <f t="shared" si="22"/>
        <v>3.8613850454902732E-2</v>
      </c>
      <c r="U196" s="24">
        <v>4.4024983947687613E-2</v>
      </c>
      <c r="V196" s="24">
        <f t="shared" si="23"/>
        <v>4.3045408533352036E-2</v>
      </c>
      <c r="W196" s="23">
        <f t="shared" si="24"/>
        <v>3.5221772070044288E-3</v>
      </c>
      <c r="X196" s="24">
        <v>4.3125114173215628E-2</v>
      </c>
      <c r="Y196" s="24">
        <f t="shared" si="25"/>
        <v>4.2153995031563252E-2</v>
      </c>
      <c r="Z196" s="23">
        <f t="shared" si="26"/>
        <v>3.4506582672930719E-3</v>
      </c>
      <c r="AA196" s="36"/>
    </row>
    <row r="197" spans="15:27" ht="13.9" customHeight="1" x14ac:dyDescent="0.3">
      <c r="O197" s="12">
        <f t="shared" si="20"/>
        <v>15.333333333333334</v>
      </c>
      <c r="P197" s="13">
        <v>184</v>
      </c>
      <c r="Q197" s="22">
        <v>3.9538431415566899E-2</v>
      </c>
      <c r="R197" s="19">
        <f t="shared" si="21"/>
        <v>3.8455191815086831E-2</v>
      </c>
      <c r="S197" s="22">
        <v>3.9540649452775245E-2</v>
      </c>
      <c r="T197" s="19">
        <f t="shared" si="22"/>
        <v>3.8566442460928885E-2</v>
      </c>
      <c r="U197" s="24">
        <v>4.4019657682718538E-2</v>
      </c>
      <c r="V197" s="24">
        <f t="shared" si="23"/>
        <v>4.2996370573902043E-2</v>
      </c>
      <c r="W197" s="23">
        <f t="shared" si="24"/>
        <v>3.5182338012307302E-3</v>
      </c>
      <c r="X197" s="24">
        <v>4.3119833906883009E-2</v>
      </c>
      <c r="Y197" s="24">
        <f t="shared" si="25"/>
        <v>4.2105237496151249E-2</v>
      </c>
      <c r="Z197" s="23">
        <f t="shared" si="26"/>
        <v>3.4467364112116261E-3</v>
      </c>
      <c r="AA197" s="36"/>
    </row>
    <row r="198" spans="15:27" ht="13.9" customHeight="1" x14ac:dyDescent="0.3">
      <c r="O198" s="12">
        <f t="shared" si="20"/>
        <v>15.416666666666666</v>
      </c>
      <c r="P198" s="13">
        <v>185</v>
      </c>
      <c r="Q198" s="22">
        <v>3.9532573030010676E-2</v>
      </c>
      <c r="R198" s="19">
        <f t="shared" si="21"/>
        <v>3.8404833674051897E-2</v>
      </c>
      <c r="S198" s="22">
        <v>3.9535381013331206E-2</v>
      </c>
      <c r="T198" s="19">
        <f t="shared" si="22"/>
        <v>3.8519012864479452E-2</v>
      </c>
      <c r="U198" s="24">
        <v>4.4014123703223884E-2</v>
      </c>
      <c r="V198" s="24">
        <f t="shared" si="23"/>
        <v>4.2947478253193783E-2</v>
      </c>
      <c r="W198" s="23">
        <f t="shared" si="24"/>
        <v>3.5143020814736303E-3</v>
      </c>
      <c r="X198" s="24">
        <v>4.311434694749039E-2</v>
      </c>
      <c r="Y198" s="24">
        <f t="shared" si="25"/>
        <v>4.2056598476413631E-2</v>
      </c>
      <c r="Z198" s="23">
        <f t="shared" si="26"/>
        <v>3.4428241104085266E-3</v>
      </c>
      <c r="AA198" s="36"/>
    </row>
    <row r="199" spans="15:27" ht="13.9" customHeight="1" x14ac:dyDescent="0.3">
      <c r="O199" s="12">
        <f t="shared" si="20"/>
        <v>15.5</v>
      </c>
      <c r="P199" s="13">
        <v>186</v>
      </c>
      <c r="Q199" s="22">
        <v>3.9526506641721859E-2</v>
      </c>
      <c r="R199" s="19">
        <f t="shared" si="21"/>
        <v>3.8354848873968672E-2</v>
      </c>
      <c r="S199" s="22">
        <v>3.9529914009795331E-2</v>
      </c>
      <c r="T199" s="19">
        <f t="shared" si="22"/>
        <v>3.8471557932601597E-2</v>
      </c>
      <c r="U199" s="24">
        <v>4.4008386134553712E-2</v>
      </c>
      <c r="V199" s="24">
        <f t="shared" si="23"/>
        <v>4.2898729336443342E-2</v>
      </c>
      <c r="W199" s="23">
        <f t="shared" si="24"/>
        <v>3.5103818699031564E-3</v>
      </c>
      <c r="X199" s="24">
        <v>4.3108657258019267E-2</v>
      </c>
      <c r="Y199" s="24">
        <f t="shared" si="25"/>
        <v>4.2008075308800574E-2</v>
      </c>
      <c r="Z199" s="23">
        <f t="shared" si="26"/>
        <v>3.4389211521084206E-3</v>
      </c>
      <c r="AA199" s="36"/>
    </row>
    <row r="200" spans="15:27" ht="13.9" customHeight="1" x14ac:dyDescent="0.3">
      <c r="O200" s="12">
        <f t="shared" si="20"/>
        <v>15.583333333333334</v>
      </c>
      <c r="P200" s="13">
        <v>187</v>
      </c>
      <c r="Q200" s="22">
        <v>3.9520237577436834E-2</v>
      </c>
      <c r="R200" s="19">
        <f t="shared" si="21"/>
        <v>3.8305231563102282E-2</v>
      </c>
      <c r="S200" s="22">
        <v>3.9524251484015949E-2</v>
      </c>
      <c r="T200" s="19">
        <f t="shared" si="22"/>
        <v>3.8424073934913316E-2</v>
      </c>
      <c r="U200" s="24">
        <v>4.4002449002061628E-2</v>
      </c>
      <c r="V200" s="24">
        <f t="shared" si="23"/>
        <v>4.2850121593868806E-2</v>
      </c>
      <c r="W200" s="23">
        <f t="shared" si="24"/>
        <v>3.506472988812348E-3</v>
      </c>
      <c r="X200" s="24">
        <v>4.3102768702614203E-2</v>
      </c>
      <c r="Y200" s="24">
        <f t="shared" si="25"/>
        <v>4.1959665333851426E-2</v>
      </c>
      <c r="Z200" s="23">
        <f t="shared" si="26"/>
        <v>3.4350273237713225E-3</v>
      </c>
      <c r="AA200" s="36"/>
    </row>
    <row r="201" spans="15:27" ht="13.9" customHeight="1" x14ac:dyDescent="0.3">
      <c r="O201" s="12">
        <f t="shared" si="20"/>
        <v>15.666666666666666</v>
      </c>
      <c r="P201" s="13">
        <v>188</v>
      </c>
      <c r="Q201" s="22">
        <v>3.9513771019751065E-2</v>
      </c>
      <c r="R201" s="19">
        <f t="shared" si="21"/>
        <v>3.8255978234639887E-2</v>
      </c>
      <c r="S201" s="22">
        <v>3.951839639335053E-2</v>
      </c>
      <c r="T201" s="19">
        <f t="shared" si="22"/>
        <v>3.8376557141290624E-2</v>
      </c>
      <c r="U201" s="24">
        <v>4.3996316233784194E-2</v>
      </c>
      <c r="V201" s="24">
        <f t="shared" si="23"/>
        <v>4.2801652796580658E-2</v>
      </c>
      <c r="W201" s="23">
        <f t="shared" si="24"/>
        <v>3.5025752608597305E-3</v>
      </c>
      <c r="X201" s="24">
        <v>4.309668504922648E-2</v>
      </c>
      <c r="Y201" s="24">
        <f t="shared" si="25"/>
        <v>4.1911365896949881E-2</v>
      </c>
      <c r="Z201" s="23">
        <f t="shared" si="26"/>
        <v>3.4311424131461266E-3</v>
      </c>
      <c r="AA201" s="36"/>
    </row>
    <row r="202" spans="15:27" ht="13.9" customHeight="1" x14ac:dyDescent="0.3">
      <c r="O202" s="12">
        <f t="shared" si="20"/>
        <v>15.75</v>
      </c>
      <c r="P202" s="13">
        <v>189</v>
      </c>
      <c r="Q202" s="22">
        <v>3.9507112023340341E-2</v>
      </c>
      <c r="R202" s="19">
        <f t="shared" si="21"/>
        <v>3.820708617046531E-2</v>
      </c>
      <c r="S202" s="22">
        <v>3.951235161289679E-2</v>
      </c>
      <c r="T202" s="19">
        <f t="shared" si="22"/>
        <v>3.8329003826546026E-2</v>
      </c>
      <c r="U202" s="24">
        <v>4.3989991663013761E-2</v>
      </c>
      <c r="V202" s="24">
        <f t="shared" si="23"/>
        <v>4.2753320720693155E-2</v>
      </c>
      <c r="W202" s="23">
        <f t="shared" si="24"/>
        <v>3.4986885087413544E-3</v>
      </c>
      <c r="X202" s="24">
        <v>4.3090409972178279E-2</v>
      </c>
      <c r="Y202" s="24">
        <f t="shared" si="25"/>
        <v>4.1863174346149279E-2</v>
      </c>
      <c r="Z202" s="23">
        <f t="shared" si="26"/>
        <v>3.4272662083314476E-3</v>
      </c>
      <c r="AA202" s="36"/>
    </row>
    <row r="203" spans="15:27" ht="13.9" customHeight="1" x14ac:dyDescent="0.3">
      <c r="O203" s="12">
        <f t="shared" si="20"/>
        <v>15.833333333333334</v>
      </c>
      <c r="P203" s="13">
        <v>190</v>
      </c>
      <c r="Q203" s="22">
        <v>3.9500265522471878E-2</v>
      </c>
      <c r="R203" s="19">
        <f t="shared" si="21"/>
        <v>3.8158552663508205E-2</v>
      </c>
      <c r="S203" s="22">
        <v>3.9506119937677386E-2</v>
      </c>
      <c r="T203" s="19">
        <f t="shared" si="22"/>
        <v>3.8281410265636362E-2</v>
      </c>
      <c r="U203" s="24">
        <v>4.3983479030811568E-2</v>
      </c>
      <c r="V203" s="24">
        <f t="shared" si="23"/>
        <v>4.2705123143545354E-2</v>
      </c>
      <c r="W203" s="23">
        <f t="shared" si="24"/>
        <v>3.4948125555200882E-3</v>
      </c>
      <c r="X203" s="24">
        <v>4.3083947054634253E-2</v>
      </c>
      <c r="Y203" s="24">
        <f t="shared" si="25"/>
        <v>4.1815088034568015E-2</v>
      </c>
      <c r="Z203" s="23">
        <f t="shared" si="26"/>
        <v>3.4233984976015375E-3</v>
      </c>
      <c r="AA203" s="36"/>
    </row>
    <row r="204" spans="15:27" ht="13.9" customHeight="1" x14ac:dyDescent="0.3">
      <c r="O204" s="12">
        <f t="shared" si="20"/>
        <v>15.916666666666666</v>
      </c>
      <c r="P204" s="13">
        <v>191</v>
      </c>
      <c r="Q204" s="22">
        <v>3.9493236334204207E-2</v>
      </c>
      <c r="R204" s="19">
        <f t="shared" si="21"/>
        <v>3.8110375017706533E-2</v>
      </c>
      <c r="S204" s="22">
        <v>3.9499704084732246E-2</v>
      </c>
      <c r="T204" s="19">
        <f t="shared" si="22"/>
        <v>3.8233772736132821E-2</v>
      </c>
      <c r="U204" s="24">
        <v>4.3976781988422919E-2</v>
      </c>
      <c r="V204" s="24">
        <f t="shared" si="23"/>
        <v>4.2657057846263946E-2</v>
      </c>
      <c r="W204" s="23">
        <f t="shared" si="24"/>
        <v>3.490947224322527E-3</v>
      </c>
      <c r="X204" s="24">
        <v>4.3077299791008494E-2</v>
      </c>
      <c r="Y204" s="24">
        <f t="shared" si="25"/>
        <v>4.1767104318285009E-2</v>
      </c>
      <c r="Z204" s="23">
        <f t="shared" si="26"/>
        <v>3.4195390695990202E-3</v>
      </c>
      <c r="AA204" s="36"/>
    </row>
    <row r="205" spans="15:27" ht="13.9" customHeight="1" x14ac:dyDescent="0.3">
      <c r="O205" s="12">
        <f t="shared" si="20"/>
        <v>16</v>
      </c>
      <c r="P205" s="13">
        <v>192</v>
      </c>
      <c r="Q205" s="22">
        <v>3.9486029161486691E-2</v>
      </c>
      <c r="R205" s="19">
        <f t="shared" si="21"/>
        <v>3.8062549782811317E-2</v>
      </c>
      <c r="S205" s="22">
        <v>3.9493106695157598E-2</v>
      </c>
      <c r="T205" s="19">
        <f t="shared" si="22"/>
        <v>3.8186087516801637E-2</v>
      </c>
      <c r="U205" s="24">
        <v>4.3969904099629531E-2</v>
      </c>
      <c r="V205" s="24">
        <f t="shared" si="23"/>
        <v>4.2609122613901818E-2</v>
      </c>
      <c r="W205" s="23">
        <f t="shared" si="24"/>
        <v>3.4870923385459385E-3</v>
      </c>
      <c r="X205" s="24">
        <v>4.3070471589285342E-2</v>
      </c>
      <c r="Y205" s="24">
        <f t="shared" si="25"/>
        <v>4.1719220557660863E-2</v>
      </c>
      <c r="Z205" s="23">
        <f t="shared" si="26"/>
        <v>3.4156877131659158E-3</v>
      </c>
      <c r="AA205" s="36"/>
    </row>
    <row r="206" spans="15:27" ht="13.9" customHeight="1" x14ac:dyDescent="0.3">
      <c r="O206" s="12">
        <f t="shared" ref="O206:O269" si="27">P206/12</f>
        <v>16.083333333333332</v>
      </c>
      <c r="P206" s="13">
        <v>193</v>
      </c>
      <c r="Q206" s="22">
        <v>3.9478648592192966E-2</v>
      </c>
      <c r="R206" s="19">
        <f t="shared" ref="R206:R269" si="28">(1+Q207)^P207/(1+Q206)^P206-1</f>
        <v>3.8015071225881991E-2</v>
      </c>
      <c r="S206" s="22">
        <v>3.9486330336074182E-2</v>
      </c>
      <c r="T206" s="19">
        <f t="shared" ref="T206:T269" si="29">(1+S207)^P207/(1+S206)^P206-1</f>
        <v>3.813835088820916E-2</v>
      </c>
      <c r="U206" s="24">
        <v>4.3962848843030367E-2</v>
      </c>
      <c r="V206" s="24">
        <f t="shared" ref="V206:V269" si="30">(1+U207)^P207/(1+U206)^P206-1</f>
        <v>4.2561315232743091E-2</v>
      </c>
      <c r="W206" s="23">
        <f t="shared" si="24"/>
        <v>3.4832477218684765E-3</v>
      </c>
      <c r="X206" s="24">
        <v>4.3063465773274912E-2</v>
      </c>
      <c r="Y206" s="24">
        <f t="shared" si="25"/>
        <v>4.1671434117363182E-2</v>
      </c>
      <c r="Z206" s="23">
        <f t="shared" si="26"/>
        <v>3.4118442174497776E-3</v>
      </c>
      <c r="AA206" s="36"/>
    </row>
    <row r="207" spans="15:27" ht="13.9" customHeight="1" x14ac:dyDescent="0.3">
      <c r="O207" s="12">
        <f t="shared" si="27"/>
        <v>16.166666666666668</v>
      </c>
      <c r="P207" s="13">
        <v>194</v>
      </c>
      <c r="Q207" s="22">
        <v>3.9471099090294226E-2</v>
      </c>
      <c r="R207" s="19">
        <f t="shared" si="28"/>
        <v>3.7967935917532003E-2</v>
      </c>
      <c r="S207" s="22">
        <v>3.9479377502538826E-2</v>
      </c>
      <c r="T207" s="19">
        <f t="shared" si="29"/>
        <v>3.8090559131915169E-2</v>
      </c>
      <c r="U207" s="24">
        <v>4.3955619614238106E-2</v>
      </c>
      <c r="V207" s="24">
        <f t="shared" si="30"/>
        <v>4.251363349261772E-2</v>
      </c>
      <c r="W207" s="23">
        <f t="shared" ref="W207:W270" si="31">(1+V206)^(1/12)-1</f>
        <v>3.4794131980340204E-3</v>
      </c>
      <c r="X207" s="24">
        <v>4.305628558479957E-2</v>
      </c>
      <c r="Y207" s="24">
        <f t="shared" ref="Y207:Y270" si="32">(1+X208)^P208/(1+X207)^P207-1</f>
        <v>4.162374236383215E-2</v>
      </c>
      <c r="Z207" s="23">
        <f t="shared" ref="Z207:Z270" si="33">(1+Y206)^(1/12)-1</f>
        <v>3.408008371906579E-3</v>
      </c>
      <c r="AA207" s="36"/>
    </row>
    <row r="208" spans="15:27" ht="13.9" customHeight="1" x14ac:dyDescent="0.3">
      <c r="O208" s="12">
        <f t="shared" si="27"/>
        <v>16.25</v>
      </c>
      <c r="P208" s="13">
        <v>195</v>
      </c>
      <c r="Q208" s="22">
        <v>3.9463385010855223E-2</v>
      </c>
      <c r="R208" s="19">
        <f t="shared" si="28"/>
        <v>3.7921141204118269E-2</v>
      </c>
      <c r="S208" s="22">
        <v>3.9472250619391636E-2</v>
      </c>
      <c r="T208" s="19">
        <f t="shared" si="29"/>
        <v>3.804270853202274E-2</v>
      </c>
      <c r="U208" s="24">
        <v>4.3948219728019433E-2</v>
      </c>
      <c r="V208" s="24">
        <f t="shared" si="30"/>
        <v>4.246607518770662E-2</v>
      </c>
      <c r="W208" s="23">
        <f t="shared" si="31"/>
        <v>3.4755885910369155E-3</v>
      </c>
      <c r="X208" s="24">
        <v>4.3048934185799581E-2</v>
      </c>
      <c r="Y208" s="24">
        <f t="shared" si="32"/>
        <v>4.1576142670207039E-2</v>
      </c>
      <c r="Z208" s="23">
        <f t="shared" si="33"/>
        <v>3.4041799660968763E-3</v>
      </c>
      <c r="AA208" s="36"/>
    </row>
    <row r="209" spans="15:27" ht="13.9" customHeight="1" x14ac:dyDescent="0.3">
      <c r="O209" s="12">
        <f t="shared" si="27"/>
        <v>16.333333333333332</v>
      </c>
      <c r="P209" s="13">
        <v>196</v>
      </c>
      <c r="Q209" s="22">
        <v>3.9455510606766664E-2</v>
      </c>
      <c r="R209" s="19">
        <f t="shared" si="28"/>
        <v>3.7874684442327E-2</v>
      </c>
      <c r="S209" s="22">
        <v>3.9464952043056556E-2</v>
      </c>
      <c r="T209" s="19">
        <f t="shared" si="29"/>
        <v>3.7994795371483425E-2</v>
      </c>
      <c r="U209" s="24">
        <v>4.394065242037537E-2</v>
      </c>
      <c r="V209" s="24">
        <f t="shared" si="30"/>
        <v>4.2418638113087326E-2</v>
      </c>
      <c r="W209" s="23">
        <f t="shared" si="31"/>
        <v>3.4717737251890313E-3</v>
      </c>
      <c r="X209" s="24">
        <v>4.3041414660400568E-2</v>
      </c>
      <c r="Y209" s="24">
        <f t="shared" si="32"/>
        <v>4.1528632410334554E-2</v>
      </c>
      <c r="Z209" s="23">
        <f t="shared" si="33"/>
        <v>3.4003587900817145E-3</v>
      </c>
      <c r="AA209" s="36"/>
    </row>
    <row r="210" spans="15:27" ht="13.9" customHeight="1" x14ac:dyDescent="0.3">
      <c r="O210" s="12">
        <f t="shared" si="27"/>
        <v>16.416666666666668</v>
      </c>
      <c r="P210" s="13">
        <v>197</v>
      </c>
      <c r="Q210" s="22">
        <v>3.944748003138332E-2</v>
      </c>
      <c r="R210" s="19">
        <f t="shared" si="28"/>
        <v>3.782856300055859E-2</v>
      </c>
      <c r="S210" s="22">
        <v>3.9457484063266879E-2</v>
      </c>
      <c r="T210" s="19">
        <f t="shared" si="29"/>
        <v>3.7946815936127365E-2</v>
      </c>
      <c r="U210" s="24">
        <v>4.3932920850539015E-2</v>
      </c>
      <c r="V210" s="24">
        <f t="shared" si="30"/>
        <v>4.237132006774802E-2</v>
      </c>
      <c r="W210" s="23">
        <f t="shared" si="31"/>
        <v>3.4679684248402065E-3</v>
      </c>
      <c r="X210" s="24">
        <v>4.3033730016886818E-2</v>
      </c>
      <c r="Y210" s="24">
        <f t="shared" si="32"/>
        <v>4.1481208963744409E-2</v>
      </c>
      <c r="Z210" s="23">
        <f t="shared" si="33"/>
        <v>3.3965446339419003E-3</v>
      </c>
      <c r="AA210" s="36"/>
    </row>
    <row r="211" spans="15:27" ht="13.9" customHeight="1" x14ac:dyDescent="0.3">
      <c r="O211" s="12">
        <f t="shared" si="27"/>
        <v>16.5</v>
      </c>
      <c r="P211" s="13">
        <v>198</v>
      </c>
      <c r="Q211" s="22">
        <v>3.943929734108842E-2</v>
      </c>
      <c r="R211" s="19">
        <f t="shared" si="28"/>
        <v>3.7782773507218259E-2</v>
      </c>
      <c r="S211" s="22">
        <v>3.9449848904759222E-2</v>
      </c>
      <c r="T211" s="19">
        <f t="shared" si="29"/>
        <v>3.789876651157198E-2</v>
      </c>
      <c r="U211" s="24">
        <v>4.3925028102929753E-2</v>
      </c>
      <c r="V211" s="24">
        <f t="shared" si="30"/>
        <v>4.2324118854009551E-2</v>
      </c>
      <c r="W211" s="23">
        <f t="shared" si="31"/>
        <v>3.4641725146222768E-3</v>
      </c>
      <c r="X211" s="24">
        <v>4.3025883189640624E-2</v>
      </c>
      <c r="Y211" s="24">
        <f t="shared" si="32"/>
        <v>4.143386971210794E-2</v>
      </c>
      <c r="Z211" s="23">
        <f t="shared" si="33"/>
        <v>3.392737288178127E-3</v>
      </c>
      <c r="AA211" s="36"/>
    </row>
    <row r="212" spans="15:27" ht="13.9" customHeight="1" x14ac:dyDescent="0.3">
      <c r="O212" s="12">
        <f t="shared" si="27"/>
        <v>16.583333333333332</v>
      </c>
      <c r="P212" s="13">
        <v>199</v>
      </c>
      <c r="Q212" s="22">
        <v>3.9430966493998021E-2</v>
      </c>
      <c r="R212" s="19">
        <f t="shared" si="28"/>
        <v>3.7737310346498631E-2</v>
      </c>
      <c r="S212" s="22">
        <v>3.944204872890178E-2</v>
      </c>
      <c r="T212" s="19">
        <f t="shared" si="29"/>
        <v>3.7850643384386151E-2</v>
      </c>
      <c r="U212" s="24">
        <v>4.3916977189045081E-2</v>
      </c>
      <c r="V212" s="24">
        <f t="shared" si="30"/>
        <v>4.2277032276132553E-2</v>
      </c>
      <c r="W212" s="23">
        <f t="shared" si="31"/>
        <v>3.460385819402001E-3</v>
      </c>
      <c r="X212" s="24">
        <v>4.3017877041005015E-2</v>
      </c>
      <c r="Y212" s="24">
        <f t="shared" si="32"/>
        <v>4.1386612041846016E-2</v>
      </c>
      <c r="Z212" s="23">
        <f t="shared" si="33"/>
        <v>3.388936543426091E-3</v>
      </c>
      <c r="AA212" s="36"/>
    </row>
    <row r="213" spans="15:27" ht="13.9" customHeight="1" x14ac:dyDescent="0.3">
      <c r="O213" s="12">
        <f t="shared" si="27"/>
        <v>16.666666666666668</v>
      </c>
      <c r="P213" s="13">
        <v>200</v>
      </c>
      <c r="Q213" s="22">
        <v>3.9422491341170707E-2</v>
      </c>
      <c r="R213" s="19">
        <f t="shared" si="28"/>
        <v>3.7692170166975902E-2</v>
      </c>
      <c r="S213" s="22">
        <v>3.9434085635278615E-2</v>
      </c>
      <c r="T213" s="19">
        <f t="shared" si="29"/>
        <v>3.7802442841764705E-2</v>
      </c>
      <c r="U213" s="24">
        <v>4.3908771049288697E-2</v>
      </c>
      <c r="V213" s="24">
        <f t="shared" si="30"/>
        <v>4.2230058142293192E-2</v>
      </c>
      <c r="W213" s="23">
        <f t="shared" si="31"/>
        <v>3.4566081641698165E-3</v>
      </c>
      <c r="X213" s="24">
        <v>4.3009714363104301E-2</v>
      </c>
      <c r="Y213" s="24">
        <f t="shared" si="32"/>
        <v>4.1339433342028276E-2</v>
      </c>
      <c r="Z213" s="23">
        <f t="shared" si="33"/>
        <v>3.3851421906661017E-3</v>
      </c>
      <c r="AA213" s="36"/>
    </row>
    <row r="214" spans="15:27" ht="13.9" customHeight="1" x14ac:dyDescent="0.3">
      <c r="O214" s="12">
        <f t="shared" si="27"/>
        <v>16.75</v>
      </c>
      <c r="P214" s="13">
        <v>201</v>
      </c>
      <c r="Q214" s="22">
        <v>3.941387564054577E-2</v>
      </c>
      <c r="R214" s="19">
        <f t="shared" si="28"/>
        <v>3.7647350380876077E-2</v>
      </c>
      <c r="S214" s="22">
        <v>3.9425961663225539E-2</v>
      </c>
      <c r="T214" s="19">
        <f t="shared" si="29"/>
        <v>3.7754161170751255E-2</v>
      </c>
      <c r="U214" s="24">
        <v>4.3900412554754409E-2</v>
      </c>
      <c r="V214" s="24">
        <f t="shared" si="30"/>
        <v>4.2183194262699786E-2</v>
      </c>
      <c r="W214" s="23">
        <f t="shared" si="31"/>
        <v>3.4528393741986019E-3</v>
      </c>
      <c r="X214" s="24">
        <v>4.3001397879599557E-2</v>
      </c>
      <c r="Y214" s="24">
        <f t="shared" si="32"/>
        <v>4.1292331005287508E-2</v>
      </c>
      <c r="Z214" s="23">
        <f t="shared" si="33"/>
        <v>3.3813540210556603E-3</v>
      </c>
      <c r="AA214" s="36"/>
    </row>
    <row r="215" spans="15:27" ht="13.9" customHeight="1" x14ac:dyDescent="0.3">
      <c r="O215" s="12">
        <f t="shared" si="27"/>
        <v>16.833333333333332</v>
      </c>
      <c r="P215" s="13">
        <v>202</v>
      </c>
      <c r="Q215" s="22">
        <v>3.9405123063027681E-2</v>
      </c>
      <c r="R215" s="19">
        <f t="shared" si="28"/>
        <v>3.7602848408881284E-2</v>
      </c>
      <c r="S215" s="22">
        <v>3.9417678793316924E-2</v>
      </c>
      <c r="T215" s="19">
        <f t="shared" si="29"/>
        <v>3.7705794659157243E-2</v>
      </c>
      <c r="U215" s="24">
        <v>4.3891904508947199E-2</v>
      </c>
      <c r="V215" s="24">
        <f t="shared" si="30"/>
        <v>4.2136438450910418E-2</v>
      </c>
      <c r="W215" s="23">
        <f t="shared" si="31"/>
        <v>3.4490792748924637E-3</v>
      </c>
      <c r="X215" s="24">
        <v>4.2992930247396588E-2</v>
      </c>
      <c r="Y215" s="24">
        <f t="shared" si="32"/>
        <v>4.1245302427418196E-2</v>
      </c>
      <c r="Z215" s="23">
        <f t="shared" si="33"/>
        <v>3.3775718260018461E-3</v>
      </c>
      <c r="AA215" s="36"/>
    </row>
    <row r="216" spans="15:27" ht="13.9" customHeight="1" x14ac:dyDescent="0.3">
      <c r="O216" s="12">
        <f t="shared" si="27"/>
        <v>16.916666666666668</v>
      </c>
      <c r="P216" s="13">
        <v>203</v>
      </c>
      <c r="Q216" s="22">
        <v>3.9396237194664785E-2</v>
      </c>
      <c r="R216" s="19">
        <f t="shared" si="28"/>
        <v>3.7558661684193195E-2</v>
      </c>
      <c r="S216" s="22">
        <v>3.9409238948812542E-2</v>
      </c>
      <c r="T216" s="19">
        <f t="shared" si="29"/>
        <v>3.7657339594558303E-2</v>
      </c>
      <c r="U216" s="24">
        <v>4.3883249649460998E-2</v>
      </c>
      <c r="V216" s="24">
        <f t="shared" si="30"/>
        <v>4.2089788523118399E-2</v>
      </c>
      <c r="W216" s="23">
        <f t="shared" si="31"/>
        <v>3.4453276918933184E-3</v>
      </c>
      <c r="X216" s="24">
        <v>4.2984314058302164E-2</v>
      </c>
      <c r="Y216" s="24">
        <f t="shared" si="32"/>
        <v>4.1198345008542692E-2</v>
      </c>
      <c r="Z216" s="23">
        <f t="shared" si="33"/>
        <v>3.3737953971295642E-3</v>
      </c>
      <c r="AA216" s="36"/>
    </row>
    <row r="217" spans="15:27" ht="13.9" customHeight="1" x14ac:dyDescent="0.3">
      <c r="O217" s="12">
        <f t="shared" si="27"/>
        <v>17</v>
      </c>
      <c r="P217" s="13">
        <v>204</v>
      </c>
      <c r="Q217" s="22">
        <v>3.9387221538784489E-2</v>
      </c>
      <c r="R217" s="19">
        <f t="shared" si="28"/>
        <v>3.7514786911796438E-2</v>
      </c>
      <c r="S217" s="22">
        <v>3.9400643997057339E-2</v>
      </c>
      <c r="T217" s="19">
        <f t="shared" si="29"/>
        <v>3.7608792264608004E-2</v>
      </c>
      <c r="U217" s="24">
        <v>4.3874450649602714E-2</v>
      </c>
      <c r="V217" s="24">
        <f t="shared" si="30"/>
        <v>4.2043242298362982E-2</v>
      </c>
      <c r="W217" s="23">
        <f t="shared" si="31"/>
        <v>3.4415844510227167E-3</v>
      </c>
      <c r="X217" s="24">
        <v>4.2975551840636061E-2</v>
      </c>
      <c r="Y217" s="24">
        <f t="shared" si="32"/>
        <v>4.1151456150754884E-2</v>
      </c>
      <c r="Z217" s="23">
        <f t="shared" si="33"/>
        <v>3.3700245263763584E-3</v>
      </c>
      <c r="AA217" s="36"/>
    </row>
    <row r="218" spans="15:27" ht="13.9" customHeight="1" x14ac:dyDescent="0.3">
      <c r="O218" s="12">
        <f t="shared" si="27"/>
        <v>17.083333333333332</v>
      </c>
      <c r="P218" s="13">
        <v>205</v>
      </c>
      <c r="Q218" s="22">
        <v>3.937807951444583E-2</v>
      </c>
      <c r="R218" s="19">
        <f t="shared" si="28"/>
        <v>3.7471218595251266E-2</v>
      </c>
      <c r="S218" s="22">
        <v>3.9391895750841677E-2</v>
      </c>
      <c r="T218" s="19">
        <f t="shared" si="29"/>
        <v>3.7560148956286676E-2</v>
      </c>
      <c r="U218" s="24">
        <v>4.3865510119970752E-2</v>
      </c>
      <c r="V218" s="24">
        <f t="shared" si="30"/>
        <v>4.1996797598380597E-2</v>
      </c>
      <c r="W218" s="23">
        <f t="shared" si="31"/>
        <v>3.4378493783004949E-3</v>
      </c>
      <c r="X218" s="24">
        <v>4.296664606078604E-2</v>
      </c>
      <c r="Y218" s="24">
        <f t="shared" si="32"/>
        <v>4.1104633260185874E-2</v>
      </c>
      <c r="Z218" s="23">
        <f t="shared" si="33"/>
        <v>3.3662590058021191E-3</v>
      </c>
      <c r="AA218" s="36"/>
    </row>
    <row r="219" spans="15:27" ht="13.9" customHeight="1" x14ac:dyDescent="0.3">
      <c r="O219" s="12">
        <f t="shared" si="27"/>
        <v>17.166666666666668</v>
      </c>
      <c r="P219" s="13">
        <v>206</v>
      </c>
      <c r="Q219" s="22">
        <v>3.9368814447772404E-2</v>
      </c>
      <c r="R219" s="19">
        <f t="shared" si="28"/>
        <v>3.7427953460853036E-2</v>
      </c>
      <c r="S219" s="22">
        <v>3.9382995969718726E-2</v>
      </c>
      <c r="T219" s="19">
        <f t="shared" si="29"/>
        <v>3.7511405957175947E-2</v>
      </c>
      <c r="U219" s="24">
        <v>4.3856430609985564E-2</v>
      </c>
      <c r="V219" s="24">
        <f t="shared" si="30"/>
        <v>4.1950452248331382E-2</v>
      </c>
      <c r="W219" s="23">
        <f t="shared" si="31"/>
        <v>3.4341222999310084E-3</v>
      </c>
      <c r="X219" s="24">
        <v>4.2957599124726631E-2</v>
      </c>
      <c r="Y219" s="24">
        <f t="shared" si="32"/>
        <v>4.1057873745720785E-2</v>
      </c>
      <c r="Z219" s="23">
        <f t="shared" si="33"/>
        <v>3.3624986277553948E-3</v>
      </c>
      <c r="AA219" s="36"/>
    </row>
    <row r="220" spans="15:27" ht="13.9" customHeight="1" x14ac:dyDescent="0.3">
      <c r="O220" s="12">
        <f t="shared" si="27"/>
        <v>17.25</v>
      </c>
      <c r="P220" s="13">
        <v>207</v>
      </c>
      <c r="Q220" s="22">
        <v>3.9359429584947758E-2</v>
      </c>
      <c r="R220" s="19">
        <f t="shared" si="28"/>
        <v>3.7384988984254575E-2</v>
      </c>
      <c r="S220" s="22">
        <v>3.9373946361289436E-2</v>
      </c>
      <c r="T220" s="19">
        <f t="shared" si="29"/>
        <v>3.7462559553651964E-2</v>
      </c>
      <c r="U220" s="24">
        <v>4.384721460938179E-2</v>
      </c>
      <c r="V220" s="24">
        <f t="shared" si="30"/>
        <v>4.1904204075489782E-2</v>
      </c>
      <c r="W220" s="23">
        <f t="shared" si="31"/>
        <v>3.4304030423637499E-3</v>
      </c>
      <c r="X220" s="24">
        <v>4.2948413379488404E-2</v>
      </c>
      <c r="Y220" s="24">
        <f t="shared" si="32"/>
        <v>4.1011175020162272E-2</v>
      </c>
      <c r="Z220" s="23">
        <f t="shared" si="33"/>
        <v>3.3587431847710292E-3</v>
      </c>
      <c r="AA220" s="36"/>
    </row>
    <row r="221" spans="15:27" ht="13.9" customHeight="1" x14ac:dyDescent="0.3">
      <c r="O221" s="12">
        <f t="shared" si="27"/>
        <v>17.333333333333332</v>
      </c>
      <c r="P221" s="13">
        <v>208</v>
      </c>
      <c r="Q221" s="22">
        <v>3.9349928097740294E-2</v>
      </c>
      <c r="R221" s="19">
        <f t="shared" si="28"/>
        <v>3.7342322651403137E-2</v>
      </c>
      <c r="S221" s="22">
        <v>3.9364748582441988E-2</v>
      </c>
      <c r="T221" s="19">
        <f t="shared" si="29"/>
        <v>3.7413606031507562E-2</v>
      </c>
      <c r="U221" s="24">
        <v>4.383786454964822E-2</v>
      </c>
      <c r="V221" s="24">
        <f t="shared" si="30"/>
        <v>4.185805090990824E-2</v>
      </c>
      <c r="W221" s="23">
        <f t="shared" si="31"/>
        <v>3.4266914321872122E-3</v>
      </c>
      <c r="X221" s="24">
        <v>4.2939091114589489E-2</v>
      </c>
      <c r="Y221" s="24">
        <f t="shared" si="32"/>
        <v>4.0964534497966998E-2</v>
      </c>
      <c r="Z221" s="23">
        <f t="shared" si="33"/>
        <v>3.3549924696636424E-3</v>
      </c>
      <c r="AA221" s="36"/>
    </row>
    <row r="222" spans="15:27" ht="13.9" customHeight="1" x14ac:dyDescent="0.3">
      <c r="O222" s="12">
        <f t="shared" si="27"/>
        <v>17.416666666666668</v>
      </c>
      <c r="P222" s="13">
        <v>209</v>
      </c>
      <c r="Q222" s="22">
        <v>3.9340313085327816E-2</v>
      </c>
      <c r="R222" s="19">
        <f t="shared" si="28"/>
        <v>3.7299951959358868E-2</v>
      </c>
      <c r="S222" s="22">
        <v>3.9355404240558611E-2</v>
      </c>
      <c r="T222" s="19">
        <f t="shared" si="29"/>
        <v>3.7364541675913854E-2</v>
      </c>
      <c r="U222" s="24">
        <v>4.3828382805432442E-2</v>
      </c>
      <c r="V222" s="24">
        <f t="shared" si="30"/>
        <v>4.181199058455376E-2</v>
      </c>
      <c r="W222" s="23">
        <f t="shared" si="31"/>
        <v>3.4229872961821783E-3</v>
      </c>
      <c r="X222" s="24">
        <v>4.2929634563417141E-2</v>
      </c>
      <c r="Y222" s="24">
        <f t="shared" si="32"/>
        <v>4.0917949598157755E-2</v>
      </c>
      <c r="Z222" s="23">
        <f t="shared" si="33"/>
        <v>3.351246275345332E-3</v>
      </c>
      <c r="AA222" s="36"/>
    </row>
    <row r="223" spans="15:27" ht="13.9" customHeight="1" x14ac:dyDescent="0.3">
      <c r="O223" s="12">
        <f t="shared" si="27"/>
        <v>17.5</v>
      </c>
      <c r="P223" s="13">
        <v>210</v>
      </c>
      <c r="Q223" s="22">
        <v>3.9330587576073883E-2</v>
      </c>
      <c r="R223" s="19">
        <f t="shared" si="28"/>
        <v>3.7257873691109777E-2</v>
      </c>
      <c r="S223" s="22">
        <v>3.9345914894687972E-2</v>
      </c>
      <c r="T223" s="19">
        <f t="shared" si="29"/>
        <v>3.7315362771367377E-2</v>
      </c>
      <c r="U223" s="24">
        <v>4.381877169590398E-2</v>
      </c>
      <c r="V223" s="24">
        <f t="shared" si="30"/>
        <v>4.1766020935287473E-2</v>
      </c>
      <c r="W223" s="23">
        <f t="shared" si="31"/>
        <v>3.4192904613337127E-3</v>
      </c>
      <c r="X223" s="24">
        <v>4.2920045904581539E-2</v>
      </c>
      <c r="Y223" s="24">
        <f t="shared" si="32"/>
        <v>4.0871417741653593E-2</v>
      </c>
      <c r="Z223" s="23">
        <f t="shared" si="33"/>
        <v>3.3475043950608185E-3</v>
      </c>
      <c r="AA223" s="36"/>
    </row>
    <row r="224" spans="15:27" ht="13.9" customHeight="1" x14ac:dyDescent="0.3">
      <c r="O224" s="12">
        <f t="shared" si="27"/>
        <v>17.583333333333332</v>
      </c>
      <c r="P224" s="13">
        <v>211</v>
      </c>
      <c r="Q224" s="22">
        <v>3.9320754525809409E-2</v>
      </c>
      <c r="R224" s="19">
        <f t="shared" si="28"/>
        <v>3.7216082466256184E-2</v>
      </c>
      <c r="S224" s="22">
        <v>3.9336282056683824E-2</v>
      </c>
      <c r="T224" s="19">
        <f t="shared" si="29"/>
        <v>3.7266065601164522E-2</v>
      </c>
      <c r="U224" s="24">
        <v>4.3809033486079896E-2</v>
      </c>
      <c r="V224" s="24">
        <f t="shared" si="30"/>
        <v>4.1720139801046496E-2</v>
      </c>
      <c r="W224" s="23">
        <f t="shared" si="31"/>
        <v>3.4156007548293843E-3</v>
      </c>
      <c r="X224" s="24">
        <v>4.2910327263220527E-2</v>
      </c>
      <c r="Y224" s="24">
        <f t="shared" si="32"/>
        <v>4.0824936353180963E-2</v>
      </c>
      <c r="Z224" s="23">
        <f t="shared" si="33"/>
        <v>3.3437666221720619E-3</v>
      </c>
      <c r="AA224" s="36"/>
    </row>
    <row r="225" spans="15:27" ht="13.9" customHeight="1" x14ac:dyDescent="0.3">
      <c r="O225" s="12">
        <f t="shared" si="27"/>
        <v>17.666666666666668</v>
      </c>
      <c r="P225" s="13">
        <v>212</v>
      </c>
      <c r="Q225" s="22">
        <v>3.9310816809313698E-2</v>
      </c>
      <c r="R225" s="19">
        <f t="shared" si="28"/>
        <v>3.7174575088104955E-2</v>
      </c>
      <c r="S225" s="22">
        <v>3.9326507192309235E-2</v>
      </c>
      <c r="T225" s="19">
        <f t="shared" si="29"/>
        <v>3.7216646447514545E-2</v>
      </c>
      <c r="U225" s="24">
        <v>4.379917038811354E-2</v>
      </c>
      <c r="V225" s="24">
        <f t="shared" si="30"/>
        <v>4.1674345021408321E-2</v>
      </c>
      <c r="W225" s="23">
        <f t="shared" si="31"/>
        <v>3.4119180040734776E-3</v>
      </c>
      <c r="X225" s="24">
        <v>4.2900480712275035E-2</v>
      </c>
      <c r="Y225" s="24">
        <f t="shared" si="32"/>
        <v>4.0778502859240895E-2</v>
      </c>
      <c r="Z225" s="23">
        <f t="shared" si="33"/>
        <v>3.3400327503128047E-3</v>
      </c>
      <c r="AA225" s="36"/>
    </row>
    <row r="226" spans="15:27" ht="13.9" customHeight="1" x14ac:dyDescent="0.3">
      <c r="O226" s="12">
        <f t="shared" si="27"/>
        <v>17.75</v>
      </c>
      <c r="P226" s="13">
        <v>213</v>
      </c>
      <c r="Q226" s="22">
        <v>3.9300777232483597E-2</v>
      </c>
      <c r="R226" s="19">
        <f t="shared" si="28"/>
        <v>3.7133349096835744E-2</v>
      </c>
      <c r="S226" s="22">
        <v>3.9316591722309724E-2</v>
      </c>
      <c r="T226" s="19">
        <f t="shared" si="29"/>
        <v>3.7167101590939833E-2</v>
      </c>
      <c r="U226" s="24">
        <v>4.3789184562535111E-2</v>
      </c>
      <c r="V226" s="24">
        <f t="shared" si="30"/>
        <v>4.1628634441761347E-2</v>
      </c>
      <c r="W226" s="23">
        <f t="shared" si="31"/>
        <v>3.4082420364922594E-3</v>
      </c>
      <c r="X226" s="24">
        <v>4.2890508273719874E-2</v>
      </c>
      <c r="Y226" s="24">
        <f t="shared" si="32"/>
        <v>4.0732114690436916E-2</v>
      </c>
      <c r="Z226" s="23">
        <f t="shared" si="33"/>
        <v>3.3363025732244811E-3</v>
      </c>
      <c r="AA226" s="36"/>
    </row>
    <row r="227" spans="15:27" ht="13.9" customHeight="1" x14ac:dyDescent="0.3">
      <c r="O227" s="12">
        <f t="shared" si="27"/>
        <v>17.833333333333332</v>
      </c>
      <c r="P227" s="13">
        <v>214</v>
      </c>
      <c r="Q227" s="22">
        <v>3.9290638537388567E-2</v>
      </c>
      <c r="R227" s="19">
        <f t="shared" si="28"/>
        <v>3.7092402041711603E-2</v>
      </c>
      <c r="S227" s="22">
        <v>3.9306537023454213E-2</v>
      </c>
      <c r="T227" s="19">
        <f t="shared" si="29"/>
        <v>3.7117427311689211E-2</v>
      </c>
      <c r="U227" s="24">
        <v>4.3779078119482451E-2</v>
      </c>
      <c r="V227" s="24">
        <f t="shared" si="30"/>
        <v>4.1583005907058768E-2</v>
      </c>
      <c r="W227" s="23">
        <f t="shared" si="31"/>
        <v>3.4045726799496467E-3</v>
      </c>
      <c r="X227" s="24">
        <v>4.2880411919770545E-2</v>
      </c>
      <c r="Y227" s="24">
        <f t="shared" si="32"/>
        <v>4.0685769279426687E-2</v>
      </c>
      <c r="Z227" s="23">
        <f t="shared" si="33"/>
        <v>3.3325758849442888E-3</v>
      </c>
      <c r="AA227" s="36"/>
    </row>
    <row r="228" spans="15:27" ht="13.9" customHeight="1" x14ac:dyDescent="0.3">
      <c r="O228" s="12">
        <f t="shared" si="27"/>
        <v>17.916666666666668</v>
      </c>
      <c r="P228" s="13">
        <v>215</v>
      </c>
      <c r="Q228" s="22">
        <v>3.928040340379324E-2</v>
      </c>
      <c r="R228" s="19">
        <f t="shared" si="28"/>
        <v>3.7051731483501493E-2</v>
      </c>
      <c r="S228" s="22">
        <v>3.9296344429553098E-2</v>
      </c>
      <c r="T228" s="19">
        <f t="shared" si="29"/>
        <v>3.7067619887274361E-2</v>
      </c>
      <c r="U228" s="24">
        <v>4.3768853119868112E-2</v>
      </c>
      <c r="V228" s="24">
        <f t="shared" si="30"/>
        <v>4.1537457267292854E-2</v>
      </c>
      <c r="W228" s="23">
        <f t="shared" si="31"/>
        <v>3.4009097622444973E-3</v>
      </c>
      <c r="X228" s="24">
        <v>4.2870193574047866E-2</v>
      </c>
      <c r="Y228" s="24">
        <f t="shared" si="32"/>
        <v>4.0639464061326791E-2</v>
      </c>
      <c r="Z228" s="23">
        <f t="shared" si="33"/>
        <v>3.3288524796402097E-3</v>
      </c>
      <c r="AA228" s="36"/>
    </row>
    <row r="229" spans="15:27" ht="13.9" customHeight="1" x14ac:dyDescent="0.3">
      <c r="O229" s="12">
        <f t="shared" si="27"/>
        <v>18</v>
      </c>
      <c r="P229" s="13">
        <v>216</v>
      </c>
      <c r="Q229" s="22">
        <v>3.9270074450649117E-2</v>
      </c>
      <c r="R229" s="19">
        <f t="shared" si="28"/>
        <v>3.7011334281265906E-2</v>
      </c>
      <c r="S229" s="22">
        <v>3.9286015232437022E-2</v>
      </c>
      <c r="T229" s="19">
        <f t="shared" si="29"/>
        <v>3.7017675594219757E-2</v>
      </c>
      <c r="U229" s="24">
        <v>4.3758511576539316E-2</v>
      </c>
      <c r="V229" s="24">
        <f t="shared" si="30"/>
        <v>4.1491986374116552E-2</v>
      </c>
      <c r="W229" s="23">
        <f t="shared" si="31"/>
        <v>3.3972531115515903E-3</v>
      </c>
      <c r="X229" s="24">
        <v>4.2859855112710621E-2</v>
      </c>
      <c r="Y229" s="24">
        <f t="shared" si="32"/>
        <v>4.0593196474800752E-2</v>
      </c>
      <c r="Z229" s="23">
        <f t="shared" si="33"/>
        <v>3.3251321516436505E-3</v>
      </c>
      <c r="AA229" s="36"/>
    </row>
    <row r="230" spans="15:27" ht="13.9" customHeight="1" x14ac:dyDescent="0.3">
      <c r="O230" s="12">
        <f t="shared" si="27"/>
        <v>18.083333333333332</v>
      </c>
      <c r="P230" s="13">
        <v>217</v>
      </c>
      <c r="Q230" s="22">
        <v>3.9259654234250707E-2</v>
      </c>
      <c r="R230" s="19">
        <f t="shared" si="28"/>
        <v>3.697120516922392E-2</v>
      </c>
      <c r="S230" s="22">
        <v>3.9275550682915883E-2</v>
      </c>
      <c r="T230" s="19">
        <f t="shared" si="29"/>
        <v>3.6967590707197795E-2</v>
      </c>
      <c r="U230" s="24">
        <v>4.37480554553904E-2</v>
      </c>
      <c r="V230" s="24">
        <f t="shared" si="30"/>
        <v>4.1446591080185335E-2</v>
      </c>
      <c r="W230" s="23">
        <f t="shared" si="31"/>
        <v>3.3936025561502881E-3</v>
      </c>
      <c r="X230" s="24">
        <v>4.2849398365562896E-2</v>
      </c>
      <c r="Y230" s="24">
        <f t="shared" si="32"/>
        <v>4.0546963960234716E-2</v>
      </c>
      <c r="Z230" s="23">
        <f t="shared" si="33"/>
        <v>3.3214146955373725E-3</v>
      </c>
      <c r="AA230" s="36"/>
    </row>
    <row r="231" spans="15:27" ht="13.9" customHeight="1" x14ac:dyDescent="0.3">
      <c r="O231" s="12">
        <f t="shared" si="27"/>
        <v>18.166666666666668</v>
      </c>
      <c r="P231" s="13">
        <v>218</v>
      </c>
      <c r="Q231" s="22">
        <v>3.9249145239900418E-2</v>
      </c>
      <c r="R231" s="19">
        <f t="shared" si="28"/>
        <v>3.6931341027941267E-2</v>
      </c>
      <c r="S231" s="22">
        <v>3.9264951991708763E-2</v>
      </c>
      <c r="T231" s="19">
        <f t="shared" si="29"/>
        <v>3.6917361499212209E-2</v>
      </c>
      <c r="U231" s="24">
        <v>4.3737486676442172E-2</v>
      </c>
      <c r="V231" s="24">
        <f t="shared" si="30"/>
        <v>4.140126924380616E-2</v>
      </c>
      <c r="W231" s="23">
        <f t="shared" si="31"/>
        <v>3.3899579243712452E-3</v>
      </c>
      <c r="X231" s="24">
        <v>4.2838825117123225E-2</v>
      </c>
      <c r="Y231" s="24">
        <f t="shared" si="32"/>
        <v>4.0500763961462294E-2</v>
      </c>
      <c r="Z231" s="23">
        <f t="shared" si="33"/>
        <v>3.3176999060087198E-3</v>
      </c>
      <c r="AA231" s="36"/>
    </row>
    <row r="232" spans="15:27" ht="13.9" customHeight="1" x14ac:dyDescent="0.3">
      <c r="O232" s="12">
        <f t="shared" si="27"/>
        <v>18.25</v>
      </c>
      <c r="P232" s="13">
        <v>219</v>
      </c>
      <c r="Q232" s="22">
        <v>3.9238549893346297E-2</v>
      </c>
      <c r="R232" s="19">
        <f t="shared" si="28"/>
        <v>3.6891739459263606E-2</v>
      </c>
      <c r="S232" s="22">
        <v>3.9254220330348311E-2</v>
      </c>
      <c r="T232" s="19">
        <f t="shared" si="29"/>
        <v>3.6866984240954137E-2</v>
      </c>
      <c r="U232" s="24">
        <v>4.3726807114911947E-2</v>
      </c>
      <c r="V232" s="24">
        <f t="shared" si="30"/>
        <v>4.1356018723328836E-2</v>
      </c>
      <c r="W232" s="23">
        <f t="shared" si="31"/>
        <v>3.3863190449703318E-3</v>
      </c>
      <c r="X232" s="24">
        <v>4.2828137107671083E-2</v>
      </c>
      <c r="Y232" s="24">
        <f t="shared" si="32"/>
        <v>4.0454593924254212E-2</v>
      </c>
      <c r="Z232" s="23">
        <f t="shared" si="33"/>
        <v>3.3139875779879535E-3</v>
      </c>
      <c r="AA232" s="36"/>
    </row>
    <row r="233" spans="15:27" ht="13.9" customHeight="1" x14ac:dyDescent="0.3">
      <c r="O233" s="12">
        <f t="shared" si="27"/>
        <v>18.333333333333332</v>
      </c>
      <c r="P233" s="13">
        <v>220</v>
      </c>
      <c r="Q233" s="22">
        <v>3.9227870565418321E-2</v>
      </c>
      <c r="R233" s="19">
        <f t="shared" si="28"/>
        <v>3.6852398075685189E-2</v>
      </c>
      <c r="S233" s="22">
        <v>3.9243356832057374E-2</v>
      </c>
      <c r="T233" s="19">
        <f t="shared" si="29"/>
        <v>3.6816455200926246E-2</v>
      </c>
      <c r="U233" s="24">
        <v>4.3716018602230289E-2</v>
      </c>
      <c r="V233" s="24">
        <f t="shared" si="30"/>
        <v>4.1310837381538956E-2</v>
      </c>
      <c r="W233" s="23">
        <f t="shared" si="31"/>
        <v>3.3826857466785487E-3</v>
      </c>
      <c r="X233" s="24">
        <v>4.2817336034258524E-2</v>
      </c>
      <c r="Y233" s="24">
        <f t="shared" si="32"/>
        <v>4.0408451297392789E-2</v>
      </c>
      <c r="Z233" s="23">
        <f t="shared" si="33"/>
        <v>3.3102775065279033E-3</v>
      </c>
      <c r="AA233" s="36"/>
    </row>
    <row r="234" spans="15:27" ht="13.9" customHeight="1" x14ac:dyDescent="0.3">
      <c r="O234" s="12">
        <f t="shared" si="27"/>
        <v>18.416666666666668</v>
      </c>
      <c r="P234" s="13">
        <v>221</v>
      </c>
      <c r="Q234" s="22">
        <v>3.9217109573314701E-2</v>
      </c>
      <c r="R234" s="19">
        <f t="shared" si="28"/>
        <v>3.6813314499677841E-2</v>
      </c>
      <c r="S234" s="22">
        <v>3.9232362592603431E-2</v>
      </c>
      <c r="T234" s="19">
        <f t="shared" si="29"/>
        <v>3.6765770645920126E-2</v>
      </c>
      <c r="U234" s="24">
        <v>4.3705122927048867E-2</v>
      </c>
      <c r="V234" s="24">
        <f t="shared" si="30"/>
        <v>4.1265723080253336E-2</v>
      </c>
      <c r="W234" s="23">
        <f t="shared" si="31"/>
        <v>3.3790578585546349E-3</v>
      </c>
      <c r="X234" s="24">
        <v>4.2806423551699835E-2</v>
      </c>
      <c r="Y234" s="24">
        <f t="shared" si="32"/>
        <v>4.0362333530681305E-2</v>
      </c>
      <c r="Z234" s="23">
        <f t="shared" si="33"/>
        <v>3.3065694868894546E-3</v>
      </c>
      <c r="AA234" s="36"/>
    </row>
    <row r="235" spans="15:27" ht="13.9" customHeight="1" x14ac:dyDescent="0.3">
      <c r="O235" s="12">
        <f t="shared" si="27"/>
        <v>18.5</v>
      </c>
      <c r="P235" s="13">
        <v>222</v>
      </c>
      <c r="Q235" s="22">
        <v>3.920626918185266E-2</v>
      </c>
      <c r="R235" s="19">
        <f t="shared" si="28"/>
        <v>3.6774485665048484E-2</v>
      </c>
      <c r="S235" s="22">
        <v>3.9221238671131031E-2</v>
      </c>
      <c r="T235" s="19">
        <f t="shared" si="29"/>
        <v>3.6714926840315742E-2</v>
      </c>
      <c r="U235" s="24">
        <v>4.3694121836197475E-2</v>
      </c>
      <c r="V235" s="24">
        <f t="shared" si="30"/>
        <v>4.1220673688723508E-2</v>
      </c>
      <c r="W235" s="23">
        <f t="shared" si="31"/>
        <v>3.3754352095509699E-3</v>
      </c>
      <c r="X235" s="24">
        <v>4.2795401273524991E-2</v>
      </c>
      <c r="Y235" s="24">
        <f t="shared" si="32"/>
        <v>4.0316238078724087E-2</v>
      </c>
      <c r="Z235" s="23">
        <f t="shared" si="33"/>
        <v>3.3028633143821207E-3</v>
      </c>
      <c r="AA235" s="36"/>
    </row>
    <row r="236" spans="15:27" ht="13.9" customHeight="1" x14ac:dyDescent="0.3">
      <c r="O236" s="12">
        <f t="shared" si="27"/>
        <v>18.583333333333332</v>
      </c>
      <c r="P236" s="13">
        <v>223</v>
      </c>
      <c r="Q236" s="22">
        <v>3.9195351601543305E-2</v>
      </c>
      <c r="R236" s="19">
        <f t="shared" si="28"/>
        <v>3.6735906419960385E-2</v>
      </c>
      <c r="S236" s="22">
        <v>3.9209986090969595E-2</v>
      </c>
      <c r="T236" s="19">
        <f t="shared" si="29"/>
        <v>3.6663920045439724E-2</v>
      </c>
      <c r="U236" s="24">
        <v>4.3683017035652805E-2</v>
      </c>
      <c r="V236" s="24">
        <f t="shared" si="30"/>
        <v>4.1175687074693768E-2</v>
      </c>
      <c r="W236" s="23">
        <f t="shared" si="31"/>
        <v>3.3718176291892554E-3</v>
      </c>
      <c r="X236" s="24">
        <v>4.2784270772924016E-2</v>
      </c>
      <c r="Y236" s="24">
        <f t="shared" si="32"/>
        <v>4.0270162396126352E-2</v>
      </c>
      <c r="Z236" s="23">
        <f t="shared" si="33"/>
        <v>3.2991587846682435E-3</v>
      </c>
      <c r="AA236" s="36"/>
    </row>
    <row r="237" spans="15:27" ht="13.9" customHeight="1" x14ac:dyDescent="0.3">
      <c r="O237" s="12">
        <f t="shared" si="27"/>
        <v>18.666666666666668</v>
      </c>
      <c r="P237" s="13">
        <v>224</v>
      </c>
      <c r="Q237" s="22">
        <v>3.9184358980468126E-2</v>
      </c>
      <c r="R237" s="19">
        <f t="shared" si="28"/>
        <v>3.6697573718818877E-2</v>
      </c>
      <c r="S237" s="22">
        <v>3.9198605840415679E-2</v>
      </c>
      <c r="T237" s="19">
        <f t="shared" si="29"/>
        <v>3.6612746520747752E-2</v>
      </c>
      <c r="U237" s="24">
        <v>4.3671810191441729E-2</v>
      </c>
      <c r="V237" s="24">
        <f t="shared" si="30"/>
        <v>4.1130761109459346E-2</v>
      </c>
      <c r="W237" s="23">
        <f t="shared" si="31"/>
        <v>3.3682049468422015E-3</v>
      </c>
      <c r="X237" s="24">
        <v>4.2773033583645814E-2</v>
      </c>
      <c r="Y237" s="24">
        <f t="shared" si="32"/>
        <v>4.0224103941163936E-2</v>
      </c>
      <c r="Z237" s="23">
        <f t="shared" si="33"/>
        <v>3.2954556933766366E-3</v>
      </c>
      <c r="AA237" s="36"/>
    </row>
    <row r="238" spans="15:27" ht="13.9" customHeight="1" x14ac:dyDescent="0.3">
      <c r="O238" s="12">
        <f t="shared" si="27"/>
        <v>18.75</v>
      </c>
      <c r="P238" s="13">
        <v>225</v>
      </c>
      <c r="Q238" s="22">
        <v>3.9173293415045274E-2</v>
      </c>
      <c r="R238" s="19">
        <f t="shared" si="28"/>
        <v>3.665948522439666E-2</v>
      </c>
      <c r="S238" s="22">
        <v>3.9187098873501025E-2</v>
      </c>
      <c r="T238" s="19">
        <f t="shared" si="29"/>
        <v>3.6561402523030306E-2</v>
      </c>
      <c r="U238" s="24">
        <v>4.3660502930542133E-2</v>
      </c>
      <c r="V238" s="24">
        <f t="shared" si="30"/>
        <v>4.1085893667702988E-2</v>
      </c>
      <c r="W238" s="23">
        <f t="shared" si="31"/>
        <v>3.3645969921394236E-3</v>
      </c>
      <c r="X238" s="24">
        <v>4.2761691200888352E-2</v>
      </c>
      <c r="Y238" s="24">
        <f t="shared" si="32"/>
        <v>4.0178060173954977E-2</v>
      </c>
      <c r="Z238" s="23">
        <f t="shared" si="33"/>
        <v>3.2917538363976817E-3</v>
      </c>
      <c r="AA238" s="36"/>
    </row>
    <row r="239" spans="15:27" ht="13.9" customHeight="1" x14ac:dyDescent="0.3">
      <c r="O239" s="12">
        <f t="shared" si="27"/>
        <v>18.833333333333332</v>
      </c>
      <c r="P239" s="13">
        <v>226</v>
      </c>
      <c r="Q239" s="22">
        <v>3.9162156954311245E-2</v>
      </c>
      <c r="R239" s="19">
        <f t="shared" si="28"/>
        <v>3.6621638610405904E-2</v>
      </c>
      <c r="S239" s="22">
        <v>3.9175466110735524E-2</v>
      </c>
      <c r="T239" s="19">
        <f t="shared" si="29"/>
        <v>3.6509884305723661E-2</v>
      </c>
      <c r="U239" s="24">
        <v>4.3649096841760437E-2</v>
      </c>
      <c r="V239" s="24">
        <f t="shared" si="30"/>
        <v>4.1041082624358127E-2</v>
      </c>
      <c r="W239" s="23">
        <f t="shared" si="31"/>
        <v>3.3609935949552305E-3</v>
      </c>
      <c r="X239" s="24">
        <v>4.2750245082157745E-2</v>
      </c>
      <c r="Y239" s="24">
        <f t="shared" si="32"/>
        <v>4.0132028556555177E-2</v>
      </c>
      <c r="Z239" s="23">
        <f t="shared" si="33"/>
        <v>3.288053009737002E-3</v>
      </c>
      <c r="AA239" s="36"/>
    </row>
    <row r="240" spans="15:27" ht="13.9" customHeight="1" x14ac:dyDescent="0.3">
      <c r="O240" s="12">
        <f t="shared" si="27"/>
        <v>18.916666666666668</v>
      </c>
      <c r="P240" s="13">
        <v>227</v>
      </c>
      <c r="Q240" s="22">
        <v>3.9150951601010231E-2</v>
      </c>
      <c r="R240" s="19">
        <f t="shared" si="28"/>
        <v>3.6584031560520369E-2</v>
      </c>
      <c r="S240" s="22">
        <v>3.9163708439827527E-2</v>
      </c>
      <c r="T240" s="19">
        <f t="shared" si="29"/>
        <v>3.6458188120549462E-2</v>
      </c>
      <c r="U240" s="24">
        <v>4.3637593476571368E-2</v>
      </c>
      <c r="V240" s="24">
        <f t="shared" si="30"/>
        <v>4.0996325859388394E-2</v>
      </c>
      <c r="W240" s="23">
        <f t="shared" si="31"/>
        <v>3.3573945851559372E-3</v>
      </c>
      <c r="X240" s="24">
        <v>4.2738696648104701E-2</v>
      </c>
      <c r="Y240" s="24">
        <f t="shared" si="32"/>
        <v>4.0086006553549325E-2</v>
      </c>
      <c r="Z240" s="23">
        <f t="shared" si="33"/>
        <v>3.284353009522567E-3</v>
      </c>
      <c r="AA240" s="36"/>
    </row>
    <row r="241" spans="15:27" ht="13.9" customHeight="1" x14ac:dyDescent="0.3">
      <c r="O241" s="12">
        <f t="shared" si="27"/>
        <v>19</v>
      </c>
      <c r="P241" s="13">
        <v>228</v>
      </c>
      <c r="Q241" s="22">
        <v>3.9139679312650388E-2</v>
      </c>
      <c r="R241" s="19">
        <f t="shared" si="28"/>
        <v>3.6546661080871123E-2</v>
      </c>
      <c r="S241" s="22">
        <v>3.9151826716393945E-2</v>
      </c>
      <c r="T241" s="19">
        <f t="shared" si="29"/>
        <v>3.6406310214572191E-2</v>
      </c>
      <c r="U241" s="24">
        <v>4.3625994349956176E-2</v>
      </c>
      <c r="V241" s="24">
        <f t="shared" si="30"/>
        <v>4.0951621252290238E-2</v>
      </c>
      <c r="W241" s="23">
        <f t="shared" si="31"/>
        <v>3.3537997929853347E-3</v>
      </c>
      <c r="X241" s="24">
        <v>4.272704728334209E-2</v>
      </c>
      <c r="Y241" s="24">
        <f t="shared" si="32"/>
        <v>4.0039991631168004E-2</v>
      </c>
      <c r="Z241" s="23">
        <f t="shared" si="33"/>
        <v>3.2806536320524327E-3</v>
      </c>
      <c r="AA241" s="36"/>
    </row>
    <row r="242" spans="15:27" ht="13.9" customHeight="1" x14ac:dyDescent="0.3">
      <c r="O242" s="12">
        <f t="shared" si="27"/>
        <v>19.083333333333332</v>
      </c>
      <c r="P242" s="13">
        <v>229</v>
      </c>
      <c r="Q242" s="22">
        <v>3.9128341999522753E-2</v>
      </c>
      <c r="R242" s="19">
        <f t="shared" si="28"/>
        <v>3.6509522130353966E-2</v>
      </c>
      <c r="S242" s="22">
        <v>3.9139821764636595E-2</v>
      </c>
      <c r="T242" s="19">
        <f t="shared" si="29"/>
        <v>3.6354246833967929E-2</v>
      </c>
      <c r="U242" s="24">
        <v>4.3614300941196227E-2</v>
      </c>
      <c r="V242" s="24">
        <f t="shared" si="30"/>
        <v>4.0906966686870883E-2</v>
      </c>
      <c r="W242" s="23">
        <f t="shared" si="31"/>
        <v>3.3502090486210445E-3</v>
      </c>
      <c r="X242" s="24">
        <v>4.2715298337236751E-2</v>
      </c>
      <c r="Y242" s="24">
        <f t="shared" si="32"/>
        <v>3.9993981258043432E-2</v>
      </c>
      <c r="Z242" s="23">
        <f t="shared" si="33"/>
        <v>3.2769546737243527E-3</v>
      </c>
      <c r="AA242" s="36"/>
    </row>
    <row r="243" spans="15:27" ht="13.9" customHeight="1" x14ac:dyDescent="0.3">
      <c r="O243" s="12">
        <f t="shared" si="27"/>
        <v>19.166666666666668</v>
      </c>
      <c r="P243" s="13">
        <v>230</v>
      </c>
      <c r="Q243" s="22">
        <v>3.911694151680134E-2</v>
      </c>
      <c r="R243" s="19">
        <f t="shared" si="28"/>
        <v>3.6472611735642868E-2</v>
      </c>
      <c r="S243" s="22">
        <v>3.9127694378019218E-2</v>
      </c>
      <c r="T243" s="19">
        <f t="shared" si="29"/>
        <v>3.6301994219793743E-2</v>
      </c>
      <c r="U243" s="24">
        <v>4.3602514694665695E-2</v>
      </c>
      <c r="V243" s="24">
        <f t="shared" si="30"/>
        <v>4.0862360048261603E-2</v>
      </c>
      <c r="W243" s="23">
        <f t="shared" si="31"/>
        <v>3.3466221825606546E-3</v>
      </c>
      <c r="X243" s="24">
        <v>4.2703451124684211E-2</v>
      </c>
      <c r="Y243" s="24">
        <f t="shared" si="32"/>
        <v>3.9947972904611939E-2</v>
      </c>
      <c r="Z243" s="23">
        <f t="shared" si="33"/>
        <v>3.2732559310955089E-3</v>
      </c>
      <c r="AA243" s="36"/>
    </row>
    <row r="244" spans="15:27" ht="13.9" customHeight="1" x14ac:dyDescent="0.3">
      <c r="O244" s="12">
        <f t="shared" si="27"/>
        <v>19.25</v>
      </c>
      <c r="P244" s="13">
        <v>231</v>
      </c>
      <c r="Q244" s="22">
        <v>3.9105479674707011E-2</v>
      </c>
      <c r="R244" s="19">
        <f t="shared" si="28"/>
        <v>3.6435927619642205E-2</v>
      </c>
      <c r="S244" s="22">
        <v>3.9115445319907627E-2</v>
      </c>
      <c r="T244" s="19">
        <f t="shared" si="29"/>
        <v>3.6249548611299254E-2</v>
      </c>
      <c r="U244" s="24">
        <v>4.3590637020590961E-2</v>
      </c>
      <c r="V244" s="24">
        <f t="shared" si="30"/>
        <v>4.0817799224067697E-2</v>
      </c>
      <c r="W244" s="23">
        <f t="shared" si="31"/>
        <v>3.3430390253803566E-3</v>
      </c>
      <c r="X244" s="24">
        <v>4.2691506926860523E-2</v>
      </c>
      <c r="Y244" s="24">
        <f t="shared" si="32"/>
        <v>3.9901964043618454E-2</v>
      </c>
      <c r="Z244" s="23">
        <f t="shared" si="33"/>
        <v>3.2695572008356599E-3</v>
      </c>
      <c r="AA244" s="36"/>
    </row>
    <row r="245" spans="15:27" ht="13.9" customHeight="1" x14ac:dyDescent="0.3">
      <c r="O245" s="12">
        <f t="shared" si="27"/>
        <v>19.333333333333332</v>
      </c>
      <c r="P245" s="13">
        <v>232</v>
      </c>
      <c r="Q245" s="22">
        <v>3.9093958242482518E-2</v>
      </c>
      <c r="R245" s="19">
        <f t="shared" si="28"/>
        <v>3.6399467514659722E-2</v>
      </c>
      <c r="S245" s="22">
        <v>3.9103075324207426E-2</v>
      </c>
      <c r="T245" s="19">
        <f t="shared" si="29"/>
        <v>3.6196906243524785E-2</v>
      </c>
      <c r="U245" s="24">
        <v>4.3578669295795569E-2</v>
      </c>
      <c r="V245" s="24">
        <f t="shared" si="30"/>
        <v>4.0773282103541586E-2</v>
      </c>
      <c r="W245" s="23">
        <f t="shared" si="31"/>
        <v>3.3394594078279827E-3</v>
      </c>
      <c r="X245" s="24">
        <v>4.2679466991957682E-2</v>
      </c>
      <c r="Y245" s="24">
        <f t="shared" si="32"/>
        <v>3.9855952148678542E-2</v>
      </c>
      <c r="Z245" s="23">
        <f t="shared" si="33"/>
        <v>3.2658582797666647E-3</v>
      </c>
      <c r="AA245" s="36"/>
    </row>
    <row r="246" spans="15:27" ht="13.9" customHeight="1" x14ac:dyDescent="0.3">
      <c r="O246" s="12">
        <f t="shared" si="27"/>
        <v>19.416666666666668</v>
      </c>
      <c r="P246" s="13">
        <v>233</v>
      </c>
      <c r="Q246" s="22">
        <v>3.9082378949309771E-2</v>
      </c>
      <c r="R246" s="19">
        <f t="shared" si="28"/>
        <v>3.6363229162623911E-2</v>
      </c>
      <c r="S246" s="22">
        <v>3.9090585095976182E-2</v>
      </c>
      <c r="T246" s="19">
        <f t="shared" si="29"/>
        <v>3.6144063348685362E-2</v>
      </c>
      <c r="U246" s="24">
        <v>4.3566612864422316E-2</v>
      </c>
      <c r="V246" s="24">
        <f t="shared" si="30"/>
        <v>4.0728806579198862E-2</v>
      </c>
      <c r="W246" s="23">
        <f t="shared" si="31"/>
        <v>3.3358831607568362E-3</v>
      </c>
      <c r="X246" s="24">
        <v>4.266733253589261E-2</v>
      </c>
      <c r="Y246" s="24">
        <f t="shared" si="32"/>
        <v>3.9809934696431792E-2</v>
      </c>
      <c r="Z246" s="23">
        <f t="shared" si="33"/>
        <v>3.2621589647479077E-3</v>
      </c>
      <c r="AA246" s="36"/>
    </row>
    <row r="247" spans="15:27" ht="13.9" customHeight="1" x14ac:dyDescent="0.3">
      <c r="O247" s="12">
        <f t="shared" si="27"/>
        <v>19.5</v>
      </c>
      <c r="P247" s="13">
        <v>234</v>
      </c>
      <c r="Q247" s="22">
        <v>3.9070743485204895E-2</v>
      </c>
      <c r="R247" s="19">
        <f t="shared" si="28"/>
        <v>3.6327209641036529E-2</v>
      </c>
      <c r="S247" s="22">
        <v>3.9077975312024282E-2</v>
      </c>
      <c r="T247" s="19">
        <f t="shared" si="29"/>
        <v>3.6091016155036515E-2</v>
      </c>
      <c r="U247" s="24">
        <v>4.3554469038644017E-2</v>
      </c>
      <c r="V247" s="24">
        <f t="shared" si="30"/>
        <v>4.0684370544687321E-2</v>
      </c>
      <c r="W247" s="23">
        <f t="shared" si="31"/>
        <v>3.3323101152553658E-3</v>
      </c>
      <c r="X247" s="24">
        <v>4.2655104743008154E-2</v>
      </c>
      <c r="Y247" s="24">
        <f t="shared" si="32"/>
        <v>3.9763909164340694E-2</v>
      </c>
      <c r="Z247" s="23">
        <f t="shared" si="33"/>
        <v>3.2584590528486057E-3</v>
      </c>
      <c r="AA247" s="36"/>
    </row>
    <row r="248" spans="15:27" ht="13.9" customHeight="1" x14ac:dyDescent="0.3">
      <c r="O248" s="12">
        <f t="shared" si="27"/>
        <v>19.583333333333332</v>
      </c>
      <c r="P248" s="13">
        <v>235</v>
      </c>
      <c r="Q248" s="22">
        <v>3.9059053499014729E-2</v>
      </c>
      <c r="R248" s="19">
        <f t="shared" si="28"/>
        <v>3.6291404016574047E-2</v>
      </c>
      <c r="S248" s="22">
        <v>3.9065246621496463E-2</v>
      </c>
      <c r="T248" s="19">
        <f t="shared" si="29"/>
        <v>3.6037760887585923E-2</v>
      </c>
      <c r="U248" s="24">
        <v>4.3542239099346514E-2</v>
      </c>
      <c r="V248" s="24">
        <f t="shared" si="30"/>
        <v>4.0639971896532012E-2</v>
      </c>
      <c r="W248" s="23">
        <f t="shared" si="31"/>
        <v>3.3287401024759689E-3</v>
      </c>
      <c r="X248" s="24">
        <v>4.2642784766746766E-2</v>
      </c>
      <c r="Y248" s="24">
        <f t="shared" si="32"/>
        <v>3.9717873032402817E-2</v>
      </c>
      <c r="Z248" s="23">
        <f t="shared" si="33"/>
        <v>3.2547583411712822E-3</v>
      </c>
      <c r="AA248" s="36"/>
    </row>
    <row r="249" spans="15:27" ht="13.9" customHeight="1" x14ac:dyDescent="0.3">
      <c r="O249" s="12">
        <f t="shared" si="27"/>
        <v>19.666666666666668</v>
      </c>
      <c r="P249" s="13">
        <v>236</v>
      </c>
      <c r="Q249" s="22">
        <v>3.9047310590743622E-2</v>
      </c>
      <c r="R249" s="19">
        <f t="shared" si="28"/>
        <v>3.6255809385768778E-2</v>
      </c>
      <c r="S249" s="22">
        <v>3.9052399646441804E-2</v>
      </c>
      <c r="T249" s="19">
        <f t="shared" si="29"/>
        <v>3.5984293768263065E-2</v>
      </c>
      <c r="U249" s="24">
        <v>4.3529924296802802E-2</v>
      </c>
      <c r="V249" s="24">
        <f t="shared" si="30"/>
        <v>4.0595608532673078E-2</v>
      </c>
      <c r="W249" s="23">
        <f t="shared" si="31"/>
        <v>3.32517295377599E-3</v>
      </c>
      <c r="X249" s="24">
        <v>4.2630373730313975E-2</v>
      </c>
      <c r="Y249" s="24">
        <f t="shared" si="32"/>
        <v>3.9671823781728843E-2</v>
      </c>
      <c r="Z249" s="23">
        <f t="shared" si="33"/>
        <v>3.2510566269894348E-3</v>
      </c>
      <c r="AA249" s="36"/>
    </row>
    <row r="250" spans="15:27" ht="13.9" customHeight="1" x14ac:dyDescent="0.3">
      <c r="O250" s="12">
        <f t="shared" si="27"/>
        <v>19.75</v>
      </c>
      <c r="P250" s="13">
        <v>237</v>
      </c>
      <c r="Q250" s="22">
        <v>3.903551632116864E-2</v>
      </c>
      <c r="R250" s="19">
        <f t="shared" si="28"/>
        <v>3.6220423529180978E-2</v>
      </c>
      <c r="S250" s="22">
        <v>3.9039434982369281E-2</v>
      </c>
      <c r="T250" s="19">
        <f t="shared" si="29"/>
        <v>3.593061101350381E-2</v>
      </c>
      <c r="U250" s="24">
        <v>4.3517525851322514E-2</v>
      </c>
      <c r="V250" s="24">
        <f t="shared" si="30"/>
        <v>4.0551278352978448E-2</v>
      </c>
      <c r="W250" s="23">
        <f t="shared" si="31"/>
        <v>3.3216085005993712E-3</v>
      </c>
      <c r="X250" s="24">
        <v>4.2617872727319428E-2</v>
      </c>
      <c r="Y250" s="24">
        <f t="shared" si="32"/>
        <v>3.9625758894970442E-2</v>
      </c>
      <c r="Z250" s="23">
        <f t="shared" si="33"/>
        <v>3.2473537076331827E-3</v>
      </c>
      <c r="AA250" s="36"/>
    </row>
    <row r="251" spans="15:27" ht="13.9" customHeight="1" x14ac:dyDescent="0.3">
      <c r="O251" s="12">
        <f t="shared" si="27"/>
        <v>19.833333333333332</v>
      </c>
      <c r="P251" s="13">
        <v>238</v>
      </c>
      <c r="Q251" s="22">
        <v>3.9023672215543481E-2</v>
      </c>
      <c r="R251" s="19">
        <f t="shared" si="28"/>
        <v>3.6185244235693137E-2</v>
      </c>
      <c r="S251" s="22">
        <v>3.9026353198779562E-2</v>
      </c>
      <c r="T251" s="19">
        <f t="shared" si="29"/>
        <v>3.5876708837888627E-2</v>
      </c>
      <c r="U251" s="24">
        <v>4.3505044953888294E-2</v>
      </c>
      <c r="V251" s="24">
        <f t="shared" si="30"/>
        <v>4.0506979260459097E-2</v>
      </c>
      <c r="W251" s="23">
        <f t="shared" si="31"/>
        <v>3.3180465745179522E-3</v>
      </c>
      <c r="X251" s="24">
        <v>4.2605282822403279E-2</v>
      </c>
      <c r="Y251" s="24">
        <f t="shared" si="32"/>
        <v>3.9579675857022378E-2</v>
      </c>
      <c r="Z251" s="23">
        <f t="shared" si="33"/>
        <v>3.2436493805236832E-3</v>
      </c>
      <c r="AA251" s="36"/>
    </row>
    <row r="252" spans="15:27" ht="13.9" customHeight="1" x14ac:dyDescent="0.3">
      <c r="O252" s="12">
        <f t="shared" si="27"/>
        <v>19.916666666666668</v>
      </c>
      <c r="P252" s="13">
        <v>239</v>
      </c>
      <c r="Q252" s="22">
        <v>3.9011779764374754E-2</v>
      </c>
      <c r="R252" s="19">
        <f t="shared" si="28"/>
        <v>3.6150269303130367E-2</v>
      </c>
      <c r="S252" s="22">
        <v>3.9013154839698805E-2</v>
      </c>
      <c r="T252" s="19">
        <f t="shared" si="29"/>
        <v>3.5822583450754397E-2</v>
      </c>
      <c r="U252" s="24">
        <v>4.3492482766781526E-2</v>
      </c>
      <c r="V252" s="24">
        <f t="shared" si="30"/>
        <v>4.0462709159049037E-2</v>
      </c>
      <c r="W252" s="23">
        <f t="shared" si="31"/>
        <v>3.3144870073302801E-3</v>
      </c>
      <c r="X252" s="24">
        <v>4.2592605051850141E-2</v>
      </c>
      <c r="Y252" s="24">
        <f t="shared" si="32"/>
        <v>3.9533572153507501E-2</v>
      </c>
      <c r="Z252" s="23">
        <f t="shared" si="33"/>
        <v>3.2399434432290874E-3</v>
      </c>
      <c r="AA252" s="36"/>
    </row>
    <row r="253" spans="15:27" ht="13.9" customHeight="1" x14ac:dyDescent="0.3">
      <c r="O253" s="12">
        <f t="shared" si="27"/>
        <v>20</v>
      </c>
      <c r="P253" s="13">
        <v>240</v>
      </c>
      <c r="Q253" s="22">
        <v>3.8999840424181142E-2</v>
      </c>
      <c r="R253" s="19">
        <f t="shared" si="28"/>
        <v>3.611551709888805E-2</v>
      </c>
      <c r="S253" s="22">
        <v>3.8999840424184473E-2</v>
      </c>
      <c r="T253" s="19">
        <f t="shared" si="29"/>
        <v>3.5768867808064986E-2</v>
      </c>
      <c r="U253" s="24">
        <v>4.3479840424181626E-2</v>
      </c>
      <c r="V253" s="24">
        <f t="shared" si="30"/>
        <v>4.0418780861289694E-2</v>
      </c>
      <c r="W253" s="23">
        <f t="shared" si="31"/>
        <v>3.3109296308824199E-3</v>
      </c>
      <c r="X253" s="24">
        <v>4.2579840424181281E-2</v>
      </c>
      <c r="Y253" s="24">
        <f t="shared" si="32"/>
        <v>3.948781969334525E-2</v>
      </c>
      <c r="Z253" s="23">
        <f t="shared" si="33"/>
        <v>3.2362356933435255E-3</v>
      </c>
      <c r="AA253" s="36"/>
    </row>
    <row r="254" spans="15:27" ht="13.9" customHeight="1" x14ac:dyDescent="0.3">
      <c r="O254" s="12">
        <f t="shared" si="27"/>
        <v>20.083333333333332</v>
      </c>
      <c r="P254" s="13">
        <v>241</v>
      </c>
      <c r="Q254" s="22">
        <v>3.8987855703784824E-2</v>
      </c>
      <c r="R254" s="19">
        <f t="shared" si="28"/>
        <v>3.6081067661332344E-2</v>
      </c>
      <c r="S254" s="22">
        <v>3.8986413097151784E-2</v>
      </c>
      <c r="T254" s="19">
        <f t="shared" si="29"/>
        <v>3.5718101975997119E-2</v>
      </c>
      <c r="U254" s="24">
        <v>4.3467120343251731E-2</v>
      </c>
      <c r="V254" s="24">
        <f t="shared" si="30"/>
        <v>4.0376451299648508E-2</v>
      </c>
      <c r="W254" s="23">
        <f t="shared" si="31"/>
        <v>3.3073995833245995E-3</v>
      </c>
      <c r="X254" s="24">
        <v>4.2566991478954819E-2</v>
      </c>
      <c r="Y254" s="24">
        <f t="shared" si="32"/>
        <v>3.9443912711305984E-2</v>
      </c>
      <c r="Z254" s="23">
        <f t="shared" si="33"/>
        <v>3.2325560421129218E-3</v>
      </c>
      <c r="AA254" s="36"/>
    </row>
    <row r="255" spans="15:27" ht="13.9" customHeight="1" x14ac:dyDescent="0.3">
      <c r="O255" s="12">
        <f t="shared" si="27"/>
        <v>20.166666666666668</v>
      </c>
      <c r="P255" s="13">
        <v>242</v>
      </c>
      <c r="Q255" s="22">
        <v>3.8975827418785691E-2</v>
      </c>
      <c r="R255" s="19">
        <f t="shared" si="28"/>
        <v>3.604693934665959E-2</v>
      </c>
      <c r="S255" s="22">
        <v>3.8972886480884927E-2</v>
      </c>
      <c r="T255" s="19">
        <f t="shared" si="29"/>
        <v>3.5670910466698347E-2</v>
      </c>
      <c r="U255" s="24">
        <v>4.3454330110634265E-2</v>
      </c>
      <c r="V255" s="24">
        <f t="shared" si="30"/>
        <v>4.0336031697475461E-2</v>
      </c>
      <c r="W255" s="23">
        <f t="shared" si="31"/>
        <v>3.3039978798339309E-3</v>
      </c>
      <c r="X255" s="24">
        <v>4.2554066906896892E-2</v>
      </c>
      <c r="Y255" s="24">
        <f t="shared" si="32"/>
        <v>3.9402220617742456E-2</v>
      </c>
      <c r="Z255" s="23">
        <f t="shared" si="33"/>
        <v>3.2290246742463502E-3</v>
      </c>
      <c r="AA255" s="36"/>
    </row>
    <row r="256" spans="15:27" ht="13.9" customHeight="1" x14ac:dyDescent="0.3">
      <c r="O256" s="12">
        <f t="shared" si="27"/>
        <v>20.25</v>
      </c>
      <c r="P256" s="13">
        <v>243</v>
      </c>
      <c r="Q256" s="22">
        <v>3.8963757430722223E-2</v>
      </c>
      <c r="R256" s="19">
        <f t="shared" si="28"/>
        <v>3.6013129963136103E-2</v>
      </c>
      <c r="S256" s="22">
        <v>3.8959276552789079E-2</v>
      </c>
      <c r="T256" s="19">
        <f t="shared" si="29"/>
        <v>3.5627280508236492E-2</v>
      </c>
      <c r="U256" s="24">
        <v>4.3441478473163153E-2</v>
      </c>
      <c r="V256" s="24">
        <f t="shared" si="30"/>
        <v>4.0297518290888901E-2</v>
      </c>
      <c r="W256" s="23">
        <f t="shared" si="31"/>
        <v>3.3007495467798353E-3</v>
      </c>
      <c r="X256" s="24">
        <v>4.254107678107899E-2</v>
      </c>
      <c r="Y256" s="24">
        <f t="shared" si="32"/>
        <v>3.9362738263861052E-2</v>
      </c>
      <c r="Z256" s="23">
        <f t="shared" si="33"/>
        <v>3.2256713197265086E-3</v>
      </c>
      <c r="AA256" s="36"/>
    </row>
    <row r="257" spans="15:27" ht="13.9" customHeight="1" x14ac:dyDescent="0.3">
      <c r="O257" s="12">
        <f t="shared" si="27"/>
        <v>20.333333333333332</v>
      </c>
      <c r="P257" s="13">
        <v>244</v>
      </c>
      <c r="Q257" s="22">
        <v>3.895164756168179E-2</v>
      </c>
      <c r="R257" s="19">
        <f t="shared" si="28"/>
        <v>3.5979637332773429E-2</v>
      </c>
      <c r="S257" s="22">
        <v>3.8945598977094376E-2</v>
      </c>
      <c r="T257" s="19">
        <f t="shared" si="29"/>
        <v>3.5587199569851569E-2</v>
      </c>
      <c r="U257" s="24">
        <v>4.3428574019348964E-2</v>
      </c>
      <c r="V257" s="24">
        <f t="shared" si="30"/>
        <v>4.0260907372328569E-2</v>
      </c>
      <c r="W257" s="23">
        <f t="shared" si="31"/>
        <v>3.2976542980516221E-3</v>
      </c>
      <c r="X257" s="24">
        <v>4.2528030988929988E-2</v>
      </c>
      <c r="Y257" s="24">
        <f t="shared" si="32"/>
        <v>3.9325460589864303E-2</v>
      </c>
      <c r="Z257" s="23">
        <f t="shared" si="33"/>
        <v>3.2224955840474134E-3</v>
      </c>
      <c r="AA257" s="36"/>
    </row>
    <row r="258" spans="15:27" ht="13.9" customHeight="1" x14ac:dyDescent="0.3">
      <c r="O258" s="12">
        <f t="shared" si="27"/>
        <v>20.416666666666668</v>
      </c>
      <c r="P258" s="13">
        <v>245</v>
      </c>
      <c r="Q258" s="22">
        <v>3.8939499595159965E-2</v>
      </c>
      <c r="R258" s="19">
        <f t="shared" si="28"/>
        <v>3.594645929272744E-2</v>
      </c>
      <c r="S258" s="22">
        <v>3.8931869112066808E-2</v>
      </c>
      <c r="T258" s="19">
        <f t="shared" si="29"/>
        <v>3.5550655372925233E-2</v>
      </c>
      <c r="U258" s="24">
        <v>4.3415625182792406E-2</v>
      </c>
      <c r="V258" s="24">
        <f t="shared" si="30"/>
        <v>4.0226195302591305E-2</v>
      </c>
      <c r="W258" s="23">
        <f t="shared" si="31"/>
        <v>3.294711851254517E-3</v>
      </c>
      <c r="X258" s="24">
        <v>4.2514939236323102E-2</v>
      </c>
      <c r="Y258" s="24">
        <f t="shared" si="32"/>
        <v>3.9290382632827248E-2</v>
      </c>
      <c r="Z258" s="23">
        <f t="shared" si="33"/>
        <v>3.2194970787662314E-3</v>
      </c>
      <c r="AA258" s="36"/>
    </row>
    <row r="259" spans="15:27" ht="13.9" customHeight="1" x14ac:dyDescent="0.3">
      <c r="O259" s="12">
        <f t="shared" si="27"/>
        <v>20.5</v>
      </c>
      <c r="P259" s="13">
        <v>246</v>
      </c>
      <c r="Q259" s="22">
        <v>3.8927315276903851E-2</v>
      </c>
      <c r="R259" s="19">
        <f t="shared" si="28"/>
        <v>3.5913592641758418E-2</v>
      </c>
      <c r="S259" s="22">
        <v>3.8918102017094336E-2</v>
      </c>
      <c r="T259" s="19">
        <f t="shared" si="29"/>
        <v>3.5517635898372424E-2</v>
      </c>
      <c r="U259" s="24">
        <v>4.3402640245563839E-2</v>
      </c>
      <c r="V259" s="24">
        <f t="shared" si="30"/>
        <v>4.0193378506004684E-2</v>
      </c>
      <c r="W259" s="23">
        <f t="shared" si="31"/>
        <v>3.2919219286813295E-3</v>
      </c>
      <c r="X259" s="24">
        <v>4.250181105159867E-2</v>
      </c>
      <c r="Y259" s="24">
        <f t="shared" si="32"/>
        <v>3.9257499524107953E-2</v>
      </c>
      <c r="Z259" s="23">
        <f t="shared" si="33"/>
        <v>3.216675422145876E-3</v>
      </c>
      <c r="AA259" s="36"/>
    </row>
    <row r="260" spans="15:27" ht="13.9" customHeight="1" x14ac:dyDescent="0.3">
      <c r="O260" s="12">
        <f t="shared" si="27"/>
        <v>20.583333333333332</v>
      </c>
      <c r="P260" s="13">
        <v>247</v>
      </c>
      <c r="Q260" s="22">
        <v>3.8915096311457953E-2</v>
      </c>
      <c r="R260" s="19">
        <f t="shared" si="28"/>
        <v>3.5881031040484013E-2</v>
      </c>
      <c r="S260" s="22">
        <v>3.8904312459632884E-2</v>
      </c>
      <c r="T260" s="19">
        <f t="shared" si="29"/>
        <v>3.5488129396961998E-2</v>
      </c>
      <c r="U260" s="24">
        <v>4.338962734148244E-2</v>
      </c>
      <c r="V260" s="24">
        <f t="shared" si="30"/>
        <v>4.0162453478423732E-2</v>
      </c>
      <c r="W260" s="23">
        <f t="shared" si="31"/>
        <v>3.2892842569303138E-3</v>
      </c>
      <c r="X260" s="24">
        <v>4.2488655789477914E-2</v>
      </c>
      <c r="Y260" s="24">
        <f t="shared" si="32"/>
        <v>3.9226806500856748E-2</v>
      </c>
      <c r="Z260" s="23">
        <f t="shared" si="33"/>
        <v>3.2140302389549458E-3</v>
      </c>
      <c r="AA260" s="36"/>
    </row>
    <row r="261" spans="15:27" ht="13.9" customHeight="1" x14ac:dyDescent="0.3">
      <c r="O261" s="12">
        <f t="shared" si="27"/>
        <v>20.666666666666668</v>
      </c>
      <c r="P261" s="13">
        <v>248</v>
      </c>
      <c r="Q261" s="22">
        <v>3.8902844350301446E-2</v>
      </c>
      <c r="R261" s="19">
        <f t="shared" si="28"/>
        <v>3.5848771317976258E-2</v>
      </c>
      <c r="S261" s="22">
        <v>3.8890514922031327E-2</v>
      </c>
      <c r="T261" s="19">
        <f t="shared" si="29"/>
        <v>3.5462124395122752E-2</v>
      </c>
      <c r="U261" s="24">
        <v>4.3376594459349382E-2</v>
      </c>
      <c r="V261" s="24">
        <f t="shared" si="30"/>
        <v>4.0133416786188869E-2</v>
      </c>
      <c r="W261" s="23">
        <f t="shared" si="31"/>
        <v>3.2867985675530953E-3</v>
      </c>
      <c r="X261" s="24">
        <v>4.2475482634931838E-2</v>
      </c>
      <c r="Y261" s="24">
        <f t="shared" si="32"/>
        <v>3.9198298900759987E-2</v>
      </c>
      <c r="Z261" s="23">
        <f t="shared" si="33"/>
        <v>3.2115611614018658E-3</v>
      </c>
      <c r="AA261" s="36"/>
    </row>
    <row r="262" spans="15:27" ht="13.9" customHeight="1" x14ac:dyDescent="0.3">
      <c r="O262" s="12">
        <f t="shared" si="27"/>
        <v>20.75</v>
      </c>
      <c r="P262" s="13">
        <v>249</v>
      </c>
      <c r="Q262" s="22">
        <v>3.8890561005672897E-2</v>
      </c>
      <c r="R262" s="19">
        <f t="shared" si="28"/>
        <v>3.5816811369897561E-2</v>
      </c>
      <c r="S262" s="22">
        <v>3.8876723608218366E-2</v>
      </c>
      <c r="T262" s="19">
        <f t="shared" si="29"/>
        <v>3.5439609706562791E-2</v>
      </c>
      <c r="U262" s="24">
        <v>4.3363549446098881E-2</v>
      </c>
      <c r="V262" s="24">
        <f t="shared" si="30"/>
        <v>4.010626507025683E-2</v>
      </c>
      <c r="W262" s="23">
        <f t="shared" si="31"/>
        <v>3.2844645969765107E-3</v>
      </c>
      <c r="X262" s="24">
        <v>4.2462300606935566E-2</v>
      </c>
      <c r="Y262" s="24">
        <f t="shared" si="32"/>
        <v>3.9171972173330349E-2</v>
      </c>
      <c r="Z262" s="23">
        <f t="shared" si="33"/>
        <v>3.2092678287212184E-3</v>
      </c>
      <c r="AA262" s="36"/>
    </row>
    <row r="263" spans="15:27" ht="13.9" customHeight="1" x14ac:dyDescent="0.3">
      <c r="O263" s="12">
        <f t="shared" si="27"/>
        <v>20.833333333333332</v>
      </c>
      <c r="P263" s="13">
        <v>250</v>
      </c>
      <c r="Q263" s="22">
        <v>3.887824785563132E-2</v>
      </c>
      <c r="R263" s="19">
        <f t="shared" si="28"/>
        <v>3.5785149104529124E-2</v>
      </c>
      <c r="S263" s="22">
        <v>3.8862952450279487E-2</v>
      </c>
      <c r="T263" s="19">
        <f t="shared" si="29"/>
        <v>3.5420574438061347E-2</v>
      </c>
      <c r="U263" s="24">
        <v>4.3350500009893045E-2</v>
      </c>
      <c r="V263" s="24">
        <f t="shared" si="30"/>
        <v>4.0080995050466361E-2</v>
      </c>
      <c r="W263" s="23">
        <f t="shared" si="31"/>
        <v>3.2822820868398939E-3</v>
      </c>
      <c r="X263" s="24">
        <v>4.2449118562180033E-2</v>
      </c>
      <c r="Y263" s="24">
        <f t="shared" si="32"/>
        <v>3.9147821877755451E-2</v>
      </c>
      <c r="Z263" s="23">
        <f t="shared" si="33"/>
        <v>3.2071498880892335E-3</v>
      </c>
      <c r="AA263" s="36"/>
    </row>
    <row r="264" spans="15:27" ht="13.9" customHeight="1" x14ac:dyDescent="0.3">
      <c r="O264" s="12">
        <f t="shared" si="27"/>
        <v>20.916666666666668</v>
      </c>
      <c r="P264" s="13">
        <v>251</v>
      </c>
      <c r="Q264" s="22">
        <v>3.8865906444785825E-2</v>
      </c>
      <c r="R264" s="19">
        <f t="shared" si="28"/>
        <v>3.5753782445491433E-2</v>
      </c>
      <c r="S264" s="22">
        <v>3.8849215114902691E-2</v>
      </c>
      <c r="T264" s="19">
        <f t="shared" si="29"/>
        <v>3.5405007999597116E-2</v>
      </c>
      <c r="U264" s="24">
        <v>4.3337453723158337E-2</v>
      </c>
      <c r="V264" s="24">
        <f t="shared" si="30"/>
        <v>4.005760352389931E-2</v>
      </c>
      <c r="W264" s="23">
        <f t="shared" si="31"/>
        <v>3.2802507843423534E-3</v>
      </c>
      <c r="X264" s="24">
        <v>4.2435945198686653E-2</v>
      </c>
      <c r="Y264" s="24">
        <f t="shared" si="32"/>
        <v>3.9125843689455042E-2</v>
      </c>
      <c r="Z264" s="23">
        <f t="shared" si="33"/>
        <v>3.2052069944592532E-3</v>
      </c>
      <c r="AA264" s="36"/>
    </row>
    <row r="265" spans="15:27" ht="13.9" customHeight="1" x14ac:dyDescent="0.3">
      <c r="O265" s="12">
        <f t="shared" si="27"/>
        <v>21</v>
      </c>
      <c r="P265" s="13">
        <v>252</v>
      </c>
      <c r="Q265" s="22">
        <v>3.8853538285018141E-2</v>
      </c>
      <c r="R265" s="19">
        <f t="shared" si="28"/>
        <v>3.572270829732882E-2</v>
      </c>
      <c r="S265" s="22">
        <v>3.8835525009715655E-2</v>
      </c>
      <c r="T265" s="19">
        <f t="shared" si="29"/>
        <v>3.5392900111721248E-2</v>
      </c>
      <c r="U265" s="24">
        <v>4.3324418025545208E-2</v>
      </c>
      <c r="V265" s="24">
        <f t="shared" si="30"/>
        <v>4.0036087373865881E-2</v>
      </c>
      <c r="W265" s="23">
        <f t="shared" si="31"/>
        <v>3.2783704421170956E-3</v>
      </c>
      <c r="X265" s="24">
        <v>4.2422789059363808E-2</v>
      </c>
      <c r="Y265" s="24">
        <f t="shared" si="32"/>
        <v>3.9106033403299545E-2</v>
      </c>
      <c r="Z265" s="23">
        <f t="shared" si="33"/>
        <v>3.2034388110964152E-3</v>
      </c>
      <c r="AA265" s="36"/>
    </row>
    <row r="266" spans="15:27" ht="13.9" customHeight="1" x14ac:dyDescent="0.3">
      <c r="O266" s="12">
        <f t="shared" si="27"/>
        <v>21.083333333333332</v>
      </c>
      <c r="P266" s="13">
        <v>253</v>
      </c>
      <c r="Q266" s="22">
        <v>3.8841144852087783E-2</v>
      </c>
      <c r="R266" s="19">
        <f t="shared" si="28"/>
        <v>3.5691920483025052E-2</v>
      </c>
      <c r="S266" s="22">
        <v>3.8821895289502972E-2</v>
      </c>
      <c r="T266" s="19">
        <f t="shared" si="29"/>
        <v>3.538424081383873E-2</v>
      </c>
      <c r="U266" s="24">
        <v>4.3311400226854202E-2</v>
      </c>
      <c r="V266" s="24">
        <f t="shared" si="30"/>
        <v>4.0016443564893756E-2</v>
      </c>
      <c r="W266" s="23">
        <f t="shared" si="31"/>
        <v>3.2766408189570662E-3</v>
      </c>
      <c r="X266" s="24">
        <v>4.24096585354925E-2</v>
      </c>
      <c r="Y266" s="24">
        <f t="shared" si="32"/>
        <v>3.9088386934868602E-2</v>
      </c>
      <c r="Z266" s="23">
        <f t="shared" si="33"/>
        <v>3.2018450098441065E-3</v>
      </c>
      <c r="AA266" s="36"/>
    </row>
    <row r="267" spans="15:27" ht="13.9" customHeight="1" x14ac:dyDescent="0.3">
      <c r="O267" s="12">
        <f t="shared" si="27"/>
        <v>21.166666666666668</v>
      </c>
      <c r="P267" s="13">
        <v>254</v>
      </c>
      <c r="Q267" s="22">
        <v>3.8828727574171662E-2</v>
      </c>
      <c r="R267" s="19">
        <f t="shared" si="28"/>
        <v>3.5661415937411789E-2</v>
      </c>
      <c r="S267" s="22">
        <v>3.8808338862314384E-2</v>
      </c>
      <c r="T267" s="19">
        <f t="shared" si="29"/>
        <v>3.5379020472111833E-2</v>
      </c>
      <c r="U267" s="24">
        <v>4.3298407509873238E-2</v>
      </c>
      <c r="V267" s="24">
        <f t="shared" si="30"/>
        <v>3.9998669151661392E-2</v>
      </c>
      <c r="W267" s="23">
        <f t="shared" si="31"/>
        <v>3.2750616794179344E-3</v>
      </c>
      <c r="X267" s="24">
        <v>4.2396561870135852E-2</v>
      </c>
      <c r="Y267" s="24">
        <f t="shared" si="32"/>
        <v>3.9072900326124094E-2</v>
      </c>
      <c r="Z267" s="23">
        <f t="shared" si="33"/>
        <v>3.2004252712329873E-3</v>
      </c>
      <c r="AA267" s="36"/>
    </row>
    <row r="268" spans="15:27" ht="13.9" customHeight="1" x14ac:dyDescent="0.3">
      <c r="O268" s="12">
        <f t="shared" si="27"/>
        <v>21.25</v>
      </c>
      <c r="P268" s="13">
        <v>255</v>
      </c>
      <c r="Q268" s="22">
        <v>3.8816287845035546E-2</v>
      </c>
      <c r="R268" s="19">
        <f t="shared" si="28"/>
        <v>3.5631192640466214E-2</v>
      </c>
      <c r="S268" s="22">
        <v>3.8794868395461535E-2</v>
      </c>
      <c r="T268" s="19">
        <f t="shared" si="29"/>
        <v>3.5377229788374098E-2</v>
      </c>
      <c r="U268" s="24">
        <v>4.3285446933184035E-2</v>
      </c>
      <c r="V268" s="24">
        <f t="shared" si="30"/>
        <v>3.9982761278508194E-2</v>
      </c>
      <c r="W268" s="23">
        <f t="shared" si="31"/>
        <v>3.2736327945408483E-3</v>
      </c>
      <c r="X268" s="24">
        <v>4.2383507161491529E-2</v>
      </c>
      <c r="Y268" s="24">
        <f t="shared" si="32"/>
        <v>3.9059569748128631E-2</v>
      </c>
      <c r="Z268" s="23">
        <f t="shared" si="33"/>
        <v>3.1991792849432876E-3</v>
      </c>
      <c r="AA268" s="36"/>
    </row>
    <row r="269" spans="15:27" ht="13.9" customHeight="1" x14ac:dyDescent="0.3">
      <c r="O269" s="12">
        <f t="shared" si="27"/>
        <v>21.333333333333332</v>
      </c>
      <c r="P269" s="13">
        <v>256</v>
      </c>
      <c r="Q269" s="22">
        <v>3.8803827028798921E-2</v>
      </c>
      <c r="R269" s="19">
        <f t="shared" si="28"/>
        <v>3.5601248585086509E-2</v>
      </c>
      <c r="S269" s="22">
        <v>3.8781496321413034E-2</v>
      </c>
      <c r="T269" s="19">
        <f t="shared" si="29"/>
        <v>3.5378859807295715E-2</v>
      </c>
      <c r="U269" s="24">
        <v>4.3272525433901921E-2</v>
      </c>
      <c r="V269" s="24">
        <f t="shared" si="30"/>
        <v>3.9968717183708868E-2</v>
      </c>
      <c r="W269" s="23">
        <f t="shared" si="31"/>
        <v>3.2723539418162417E-3</v>
      </c>
      <c r="X269" s="24">
        <v>4.2370502366177121E-2</v>
      </c>
      <c r="Y269" s="24">
        <f t="shared" si="32"/>
        <v>3.9048391505055013E-2</v>
      </c>
      <c r="Z269" s="23">
        <f t="shared" si="33"/>
        <v>3.1981067500312932E-3</v>
      </c>
      <c r="AA269" s="36"/>
    </row>
    <row r="270" spans="15:27" ht="13.9" customHeight="1" x14ac:dyDescent="0.3">
      <c r="O270" s="12">
        <f t="shared" ref="O270:O333" si="34">P270/12</f>
        <v>21.416666666666668</v>
      </c>
      <c r="P270" s="13">
        <v>257</v>
      </c>
      <c r="Q270" s="22">
        <v>3.8791346460560927E-2</v>
      </c>
      <c r="R270" s="19">
        <f t="shared" ref="R270:R333" si="35">(1+Q271)^P271/(1+Q270)^P270-1</f>
        <v>3.5571581779986872E-2</v>
      </c>
      <c r="S270" s="22">
        <v>3.8768234843581384E-2</v>
      </c>
      <c r="T270" s="19">
        <f t="shared" ref="T270:T333" si="36">(1+S271)^P271/(1+S270)^P270-1</f>
        <v>3.5383901924483929E-2</v>
      </c>
      <c r="U270" s="24">
        <v>4.3259649830368785E-2</v>
      </c>
      <c r="V270" s="24">
        <f t="shared" ref="V270:V333" si="37">(1+U271)^P271/(1+U270)^P270-1</f>
        <v>3.9956534198796634E-2</v>
      </c>
      <c r="W270" s="23">
        <f t="shared" si="31"/>
        <v>3.2712249055328879E-3</v>
      </c>
      <c r="X270" s="24">
        <v>4.2357555302455774E-2</v>
      </c>
      <c r="Y270" s="24">
        <f t="shared" si="32"/>
        <v>3.9039362034525737E-2</v>
      </c>
      <c r="Z270" s="23">
        <f t="shared" si="33"/>
        <v>3.197207375257749E-3</v>
      </c>
      <c r="AA270" s="36"/>
    </row>
    <row r="271" spans="15:27" ht="13.9" customHeight="1" x14ac:dyDescent="0.3">
      <c r="O271" s="12">
        <f t="shared" si="34"/>
        <v>21.5</v>
      </c>
      <c r="P271" s="13">
        <v>258</v>
      </c>
      <c r="Q271" s="22">
        <v>3.8778847447022091E-2</v>
      </c>
      <c r="R271" s="19">
        <f t="shared" si="35"/>
        <v>3.5542189231409616E-2</v>
      </c>
      <c r="S271" s="22">
        <v>3.8755095942010431E-2</v>
      </c>
      <c r="T271" s="19">
        <f t="shared" si="36"/>
        <v>3.5392347895191856E-2</v>
      </c>
      <c r="U271" s="24">
        <v>4.3246826824781426E-2</v>
      </c>
      <c r="V271" s="24">
        <f t="shared" si="37"/>
        <v>3.9946209755387763E-2</v>
      </c>
      <c r="W271" s="23">
        <f t="shared" ref="W271:W334" si="38">(1+V270)^(1/12)-1</f>
        <v>3.2702454767270517E-3</v>
      </c>
      <c r="X271" s="24">
        <v>4.2344673653388565E-2</v>
      </c>
      <c r="Y271" s="24">
        <f t="shared" ref="Y271:Y334" si="39">(1+X272)^P272/(1+X271)^P271-1</f>
        <v>3.9032477916177477E-2</v>
      </c>
      <c r="Z271" s="23">
        <f t="shared" ref="Z271:Z334" si="40">(1+Y270)^(1/12)-1</f>
        <v>3.1964808791216104E-3</v>
      </c>
      <c r="AA271" s="36"/>
    </row>
    <row r="272" spans="15:27" ht="13.9" customHeight="1" x14ac:dyDescent="0.3">
      <c r="O272" s="12">
        <f t="shared" si="34"/>
        <v>21.583333333333332</v>
      </c>
      <c r="P272" s="13">
        <v>259</v>
      </c>
      <c r="Q272" s="22">
        <v>3.8766331263149434E-2</v>
      </c>
      <c r="R272" s="19">
        <f t="shared" si="35"/>
        <v>3.5513064923494264E-2</v>
      </c>
      <c r="S272" s="22">
        <v>3.8742091378966226E-2</v>
      </c>
      <c r="T272" s="19">
        <f t="shared" si="36"/>
        <v>3.5404189841303557E-2</v>
      </c>
      <c r="U272" s="24">
        <v>4.3234063005786139E-2</v>
      </c>
      <c r="V272" s="24">
        <f t="shared" si="37"/>
        <v>3.9937741385483339E-2</v>
      </c>
      <c r="W272" s="23">
        <f t="shared" si="38"/>
        <v>3.2694154537353803E-3</v>
      </c>
      <c r="X272" s="24">
        <v>4.2331864969948008E-2</v>
      </c>
      <c r="Y272" s="24">
        <f t="shared" si="39"/>
        <v>3.9027735869557656E-2</v>
      </c>
      <c r="Z272" s="23">
        <f t="shared" si="40"/>
        <v>3.1959269905552645E-3</v>
      </c>
      <c r="AA272" s="36"/>
    </row>
    <row r="273" spans="15:27" ht="13.9" customHeight="1" x14ac:dyDescent="0.3">
      <c r="O273" s="12">
        <f t="shared" si="34"/>
        <v>21.666666666666668</v>
      </c>
      <c r="P273" s="13">
        <v>260</v>
      </c>
      <c r="Q273" s="22">
        <v>3.8753799141124201E-2</v>
      </c>
      <c r="R273" s="19">
        <f t="shared" si="35"/>
        <v>3.5484205892093446E-2</v>
      </c>
      <c r="S273" s="22">
        <v>3.8729232704428407E-2</v>
      </c>
      <c r="T273" s="19">
        <f t="shared" si="36"/>
        <v>3.5419420259545698E-2</v>
      </c>
      <c r="U273" s="24">
        <v>4.3221364851014688E-2</v>
      </c>
      <c r="V273" s="24">
        <f t="shared" si="37"/>
        <v>3.9931126723601329E-2</v>
      </c>
      <c r="W273" s="23">
        <f t="shared" si="38"/>
        <v>3.2687346422219932E-3</v>
      </c>
      <c r="X273" s="24">
        <v>4.2319136674052515E-2</v>
      </c>
      <c r="Y273" s="24">
        <f t="shared" si="39"/>
        <v>3.9025132761626669E-2</v>
      </c>
      <c r="Z273" s="23">
        <f t="shared" si="40"/>
        <v>3.1955454487597734E-3</v>
      </c>
      <c r="AA273" s="36"/>
    </row>
    <row r="274" spans="15:27" ht="13.9" customHeight="1" x14ac:dyDescent="0.3">
      <c r="O274" s="12">
        <f t="shared" si="34"/>
        <v>21.75</v>
      </c>
      <c r="P274" s="13">
        <v>261</v>
      </c>
      <c r="Q274" s="22">
        <v>3.8741252282889382E-2</v>
      </c>
      <c r="R274" s="19">
        <f t="shared" si="35"/>
        <v>3.5455610200965992E-2</v>
      </c>
      <c r="S274" s="22">
        <v>3.8716531261488774E-2</v>
      </c>
      <c r="T274" s="19">
        <f t="shared" si="36"/>
        <v>3.543803202941298E-2</v>
      </c>
      <c r="U274" s="24">
        <v>4.3208738729571872E-2</v>
      </c>
      <c r="V274" s="24">
        <f t="shared" si="37"/>
        <v>3.9926363509906748E-2</v>
      </c>
      <c r="W274" s="23">
        <f t="shared" si="38"/>
        <v>3.2682028553547848E-3</v>
      </c>
      <c r="X274" s="24">
        <v>4.230649606156045E-2</v>
      </c>
      <c r="Y274" s="24">
        <f t="shared" si="39"/>
        <v>3.9024665607731768E-2</v>
      </c>
      <c r="Z274" s="23">
        <f t="shared" si="40"/>
        <v>3.1953360038152745E-3</v>
      </c>
      <c r="AA274" s="36"/>
    </row>
    <row r="275" spans="15:27" ht="13.9" customHeight="1" x14ac:dyDescent="0.3">
      <c r="O275" s="12">
        <f t="shared" si="34"/>
        <v>21.833333333333332</v>
      </c>
      <c r="P275" s="13">
        <v>262</v>
      </c>
      <c r="Q275" s="22">
        <v>3.8728691864660325E-2</v>
      </c>
      <c r="R275" s="19">
        <f t="shared" si="35"/>
        <v>3.5427275925446589E-2</v>
      </c>
      <c r="S275" s="22">
        <v>3.8703998191659039E-2</v>
      </c>
      <c r="T275" s="19">
        <f t="shared" si="36"/>
        <v>3.5460018420973238E-2</v>
      </c>
      <c r="U275" s="24">
        <v>4.3196190904477128E-2</v>
      </c>
      <c r="V275" s="24">
        <f t="shared" si="37"/>
        <v>3.992344959422911E-2</v>
      </c>
      <c r="W275" s="23">
        <f t="shared" si="38"/>
        <v>3.2678199140592223E-3</v>
      </c>
      <c r="X275" s="24">
        <v>4.2293950305200223E-2</v>
      </c>
      <c r="Y275" s="24">
        <f t="shared" si="39"/>
        <v>3.9026331576418771E-2</v>
      </c>
      <c r="Z275" s="23">
        <f t="shared" si="40"/>
        <v>3.195298416762915E-3</v>
      </c>
      <c r="AA275" s="36"/>
    </row>
    <row r="276" spans="15:27" ht="13.9" customHeight="1" x14ac:dyDescent="0.3">
      <c r="O276" s="12">
        <f t="shared" si="34"/>
        <v>21.916666666666668</v>
      </c>
      <c r="P276" s="13">
        <v>263</v>
      </c>
      <c r="Q276" s="22">
        <v>3.8716119037456975E-2</v>
      </c>
      <c r="R276" s="19">
        <f t="shared" si="35"/>
        <v>3.5399201154160398E-2</v>
      </c>
      <c r="S276" s="22">
        <v>3.8691644440088657E-2</v>
      </c>
      <c r="T276" s="19">
        <f t="shared" si="36"/>
        <v>3.5485373103138595E-2</v>
      </c>
      <c r="U276" s="24">
        <v>4.3183727535067495E-2</v>
      </c>
      <c r="V276" s="24">
        <f t="shared" si="37"/>
        <v>3.9922382935261513E-2</v>
      </c>
      <c r="W276" s="23">
        <f t="shared" si="38"/>
        <v>3.2675856473451947E-3</v>
      </c>
      <c r="X276" s="24">
        <v>4.2281506457452878E-2</v>
      </c>
      <c r="Y276" s="24">
        <f t="shared" si="39"/>
        <v>3.9030127990955066E-2</v>
      </c>
      <c r="Z276" s="23">
        <f t="shared" si="40"/>
        <v>3.1954324599976491E-3</v>
      </c>
      <c r="AA276" s="36"/>
    </row>
    <row r="277" spans="15:27" ht="13.9" customHeight="1" x14ac:dyDescent="0.3">
      <c r="O277" s="12">
        <f t="shared" si="34"/>
        <v>22</v>
      </c>
      <c r="P277" s="13">
        <v>264</v>
      </c>
      <c r="Q277" s="22">
        <v>3.8703534927630345E-2</v>
      </c>
      <c r="R277" s="19">
        <f t="shared" si="35"/>
        <v>3.5371382995279976E-2</v>
      </c>
      <c r="S277" s="22">
        <v>3.867948076069716E-2</v>
      </c>
      <c r="T277" s="19">
        <f t="shared" si="36"/>
        <v>3.5514090149670663E-2</v>
      </c>
      <c r="U277" s="24">
        <v>4.3171354679342855E-2</v>
      </c>
      <c r="V277" s="24">
        <f t="shared" si="37"/>
        <v>3.9923161606723934E-2</v>
      </c>
      <c r="W277" s="23">
        <f t="shared" si="38"/>
        <v>3.2674998922455067E-3</v>
      </c>
      <c r="X277" s="24">
        <v>4.2269171453374499E-2</v>
      </c>
      <c r="Y277" s="24">
        <f t="shared" si="39"/>
        <v>3.9036052334274984E-2</v>
      </c>
      <c r="Z277" s="23">
        <f t="shared" si="40"/>
        <v>3.195737917394581E-3</v>
      </c>
      <c r="AA277" s="36"/>
    </row>
    <row r="278" spans="15:27" ht="13.9" customHeight="1" x14ac:dyDescent="0.3">
      <c r="O278" s="12">
        <f t="shared" si="34"/>
        <v>22.083333333333332</v>
      </c>
      <c r="P278" s="13">
        <v>265</v>
      </c>
      <c r="Q278" s="22">
        <v>3.869094063361489E-2</v>
      </c>
      <c r="R278" s="19">
        <f t="shared" si="35"/>
        <v>3.5343815589039096E-2</v>
      </c>
      <c r="S278" s="22">
        <v>3.8667517721214795E-2</v>
      </c>
      <c r="T278" s="19">
        <f t="shared" si="36"/>
        <v>3.5546164050552109E-2</v>
      </c>
      <c r="U278" s="24">
        <v>4.3159078296282072E-2</v>
      </c>
      <c r="V278" s="24">
        <f t="shared" si="37"/>
        <v>3.9925783797458259E-2</v>
      </c>
      <c r="W278" s="23">
        <f t="shared" si="38"/>
        <v>3.2675624943137027E-3</v>
      </c>
      <c r="X278" s="24">
        <v>4.2256952113375545E-2</v>
      </c>
      <c r="Y278" s="24">
        <f t="shared" si="39"/>
        <v>3.9044102251762913E-2</v>
      </c>
      <c r="Z278" s="23">
        <f t="shared" si="40"/>
        <v>3.1962145847113099E-3</v>
      </c>
      <c r="AA278" s="36"/>
    </row>
    <row r="279" spans="15:27" ht="13.9" customHeight="1" x14ac:dyDescent="0.3">
      <c r="O279" s="12">
        <f t="shared" si="34"/>
        <v>22.166666666666668</v>
      </c>
      <c r="P279" s="13">
        <v>266</v>
      </c>
      <c r="Q279" s="22">
        <v>3.8678337215258596E-2</v>
      </c>
      <c r="R279" s="19">
        <f t="shared" si="35"/>
        <v>3.531649606991305E-2</v>
      </c>
      <c r="S279" s="22">
        <v>3.8655765708153877E-2</v>
      </c>
      <c r="T279" s="19">
        <f t="shared" si="36"/>
        <v>3.5581589715864448E-2</v>
      </c>
      <c r="U279" s="24">
        <v>4.3146904248106965E-2</v>
      </c>
      <c r="V279" s="24">
        <f t="shared" si="37"/>
        <v>3.993024781494392E-2</v>
      </c>
      <c r="W279" s="23">
        <f t="shared" si="38"/>
        <v>3.2677733076349469E-3</v>
      </c>
      <c r="X279" s="24">
        <v>4.2244855145947779E-2</v>
      </c>
      <c r="Y279" s="24">
        <f t="shared" si="39"/>
        <v>3.9054275554807116E-2</v>
      </c>
      <c r="Z279" s="23">
        <f t="shared" si="40"/>
        <v>3.1968622698146376E-3</v>
      </c>
      <c r="AA279" s="36"/>
    </row>
    <row r="280" spans="15:27" ht="13.9" customHeight="1" x14ac:dyDescent="0.3">
      <c r="O280" s="12">
        <f t="shared" si="34"/>
        <v>22.25</v>
      </c>
      <c r="P280" s="13">
        <v>267</v>
      </c>
      <c r="Q280" s="22">
        <v>3.8665725705794296E-2</v>
      </c>
      <c r="R280" s="19">
        <f t="shared" si="35"/>
        <v>3.5289422582595709E-2</v>
      </c>
      <c r="S280" s="22">
        <v>3.8644234931684451E-2</v>
      </c>
      <c r="T280" s="19">
        <f t="shared" si="36"/>
        <v>3.5620362486550317E-2</v>
      </c>
      <c r="U280" s="24">
        <v>4.3134838302510525E-2</v>
      </c>
      <c r="V280" s="24">
        <f t="shared" si="37"/>
        <v>3.9936552087258992E-2</v>
      </c>
      <c r="W280" s="23">
        <f t="shared" si="38"/>
        <v>3.2681321951104625E-3</v>
      </c>
      <c r="X280" s="24">
        <v>4.2232887150343235E-2</v>
      </c>
      <c r="Y280" s="24">
        <f t="shared" si="39"/>
        <v>3.9066570222592745E-2</v>
      </c>
      <c r="Z280" s="23">
        <f t="shared" si="40"/>
        <v>3.1976807929707807E-3</v>
      </c>
      <c r="AA280" s="36"/>
    </row>
    <row r="281" spans="15:27" ht="13.9" customHeight="1" x14ac:dyDescent="0.3">
      <c r="O281" s="12">
        <f t="shared" si="34"/>
        <v>22.333333333333332</v>
      </c>
      <c r="P281" s="13">
        <v>268</v>
      </c>
      <c r="Q281" s="22">
        <v>3.8653107116116692E-2</v>
      </c>
      <c r="R281" s="19">
        <f t="shared" si="35"/>
        <v>3.5262593281290444E-2</v>
      </c>
      <c r="S281" s="22">
        <v>3.8632935430441995E-2</v>
      </c>
      <c r="T281" s="19">
        <f t="shared" si="36"/>
        <v>3.5662478140481291E-2</v>
      </c>
      <c r="U281" s="24">
        <v>4.3122886134841387E-2</v>
      </c>
      <c r="V281" s="24">
        <f t="shared" si="37"/>
        <v>3.9944695166913791E-2</v>
      </c>
      <c r="W281" s="23">
        <f t="shared" si="38"/>
        <v>3.2686390286176259E-3</v>
      </c>
      <c r="X281" s="24">
        <v>4.222105461920167E-2</v>
      </c>
      <c r="Y281" s="24">
        <f t="shared" si="39"/>
        <v>3.9080984408661257E-2</v>
      </c>
      <c r="Z281" s="23">
        <f t="shared" si="40"/>
        <v>3.1986699869914759E-3</v>
      </c>
      <c r="AA281" s="36"/>
    </row>
    <row r="282" spans="15:27" ht="13.9" customHeight="1" x14ac:dyDescent="0.3">
      <c r="O282" s="12">
        <f t="shared" si="34"/>
        <v>22.416666666666668</v>
      </c>
      <c r="P282" s="13">
        <v>269</v>
      </c>
      <c r="Q282" s="22">
        <v>3.8640482435231771E-2</v>
      </c>
      <c r="R282" s="19">
        <f t="shared" si="35"/>
        <v>3.5236006334257164E-2</v>
      </c>
      <c r="S282" s="22">
        <v>3.8621877076251865E-2</v>
      </c>
      <c r="T282" s="19">
        <f t="shared" si="36"/>
        <v>3.5707932901845041E-2</v>
      </c>
      <c r="U282" s="24">
        <v>4.3111053330255444E-2</v>
      </c>
      <c r="V282" s="24">
        <f t="shared" si="37"/>
        <v>3.9954675731828537E-2</v>
      </c>
      <c r="W282" s="23">
        <f t="shared" si="38"/>
        <v>3.2692936893199409E-3</v>
      </c>
      <c r="X282" s="24">
        <v>4.2209363941144051E-2</v>
      </c>
      <c r="Y282" s="24">
        <f t="shared" si="39"/>
        <v>3.9097516440554037E-2</v>
      </c>
      <c r="Z282" s="23">
        <f t="shared" si="40"/>
        <v>3.1998296977651108E-3</v>
      </c>
      <c r="AA282" s="36"/>
    </row>
    <row r="283" spans="15:27" ht="13.9" customHeight="1" x14ac:dyDescent="0.3">
      <c r="O283" s="12">
        <f t="shared" si="34"/>
        <v>22.5</v>
      </c>
      <c r="P283" s="13">
        <v>270</v>
      </c>
      <c r="Q283" s="22">
        <v>3.8627852630714221E-2</v>
      </c>
      <c r="R283" s="19">
        <f t="shared" si="35"/>
        <v>3.5209658946510292E-2</v>
      </c>
      <c r="S283" s="22">
        <v>3.8611069578784463E-2</v>
      </c>
      <c r="T283" s="19">
        <f t="shared" si="36"/>
        <v>3.5756723447429195E-2</v>
      </c>
      <c r="U283" s="24">
        <v>4.3099345385822385E-2</v>
      </c>
      <c r="V283" s="24">
        <f t="shared" si="37"/>
        <v>3.9966492588252578E-2</v>
      </c>
      <c r="W283" s="23">
        <f t="shared" si="38"/>
        <v>3.2700960677471969E-3</v>
      </c>
      <c r="X283" s="24">
        <v>4.2197821403306079E-2</v>
      </c>
      <c r="Y283" s="24">
        <f t="shared" si="39"/>
        <v>3.9116164825759192E-2</v>
      </c>
      <c r="Z283" s="23">
        <f t="shared" si="40"/>
        <v>3.2011597842300787E-3</v>
      </c>
      <c r="AA283" s="36"/>
    </row>
    <row r="284" spans="15:27" ht="13.9" customHeight="1" x14ac:dyDescent="0.3">
      <c r="O284" s="12">
        <f t="shared" si="34"/>
        <v>22.583333333333332</v>
      </c>
      <c r="P284" s="13">
        <v>271</v>
      </c>
      <c r="Q284" s="22">
        <v>3.8615218645534632E-2</v>
      </c>
      <c r="R284" s="19">
        <f t="shared" si="35"/>
        <v>3.5183545409717576E-2</v>
      </c>
      <c r="S284" s="22">
        <v>3.8600522490132239E-2</v>
      </c>
      <c r="T284" s="19">
        <f t="shared" si="36"/>
        <v>3.5808846916216996E-2</v>
      </c>
      <c r="U284" s="24">
        <v>4.3087767712598257E-2</v>
      </c>
      <c r="V284" s="24">
        <f t="shared" si="37"/>
        <v>3.9980144673970264E-2</v>
      </c>
      <c r="W284" s="23">
        <f t="shared" si="38"/>
        <v>3.271046064031724E-3</v>
      </c>
      <c r="X284" s="24">
        <v>4.2186433193840411E-2</v>
      </c>
      <c r="Y284" s="24">
        <f t="shared" si="39"/>
        <v>3.9136928253462155E-2</v>
      </c>
      <c r="Z284" s="23">
        <f t="shared" si="40"/>
        <v>3.2026601188543946E-3</v>
      </c>
      <c r="AA284" s="36"/>
    </row>
    <row r="285" spans="15:27" ht="13.9" customHeight="1" x14ac:dyDescent="0.3">
      <c r="O285" s="12">
        <f t="shared" si="34"/>
        <v>22.666666666666668</v>
      </c>
      <c r="P285" s="13">
        <v>272</v>
      </c>
      <c r="Q285" s="22">
        <v>3.8602581387765289E-2</v>
      </c>
      <c r="R285" s="19">
        <f t="shared" si="35"/>
        <v>3.5157662956933011E-2</v>
      </c>
      <c r="S285" s="22">
        <v>3.859024520932075E-2</v>
      </c>
      <c r="T285" s="19">
        <f t="shared" si="36"/>
        <v>3.5864300916805814E-2</v>
      </c>
      <c r="U285" s="24">
        <v>4.3076325637663171E-2</v>
      </c>
      <c r="V285" s="24">
        <f t="shared" si="37"/>
        <v>3.9995631060835368E-2</v>
      </c>
      <c r="W285" s="23">
        <f t="shared" si="38"/>
        <v>3.2721435881675198E-3</v>
      </c>
      <c r="X285" s="24">
        <v>4.2175205404368699E-2</v>
      </c>
      <c r="Y285" s="24">
        <f t="shared" si="39"/>
        <v>3.9159805599462416E-2</v>
      </c>
      <c r="Z285" s="23">
        <f t="shared" si="40"/>
        <v>3.204330587778248E-3</v>
      </c>
      <c r="AA285" s="36"/>
    </row>
    <row r="286" spans="15:27" ht="13.9" customHeight="1" x14ac:dyDescent="0.3">
      <c r="O286" s="12">
        <f t="shared" si="34"/>
        <v>22.75</v>
      </c>
      <c r="P286" s="13">
        <v>273</v>
      </c>
      <c r="Q286" s="22">
        <v>3.8589941742027678E-2</v>
      </c>
      <c r="R286" s="19">
        <f t="shared" si="35"/>
        <v>3.5132009807797404E-2</v>
      </c>
      <c r="S286" s="22">
        <v>3.8580246986749112E-2</v>
      </c>
      <c r="T286" s="19">
        <f t="shared" si="36"/>
        <v>3.5923083534776801E-2</v>
      </c>
      <c r="U286" s="24">
        <v>4.3065024406124364E-2</v>
      </c>
      <c r="V286" s="24">
        <f t="shared" si="37"/>
        <v>4.0012950956487492E-2</v>
      </c>
      <c r="W286" s="23">
        <f t="shared" si="38"/>
        <v>3.2733885602138635E-3</v>
      </c>
      <c r="X286" s="24">
        <v>4.2164144032398543E-2</v>
      </c>
      <c r="Y286" s="24">
        <f t="shared" si="39"/>
        <v>3.9184795928346006E-2</v>
      </c>
      <c r="Z286" s="23">
        <f t="shared" si="40"/>
        <v>3.2061710912107966E-3</v>
      </c>
      <c r="AA286" s="36"/>
    </row>
    <row r="287" spans="15:27" ht="13.9" customHeight="1" x14ac:dyDescent="0.3">
      <c r="O287" s="12">
        <f t="shared" si="34"/>
        <v>22.833333333333332</v>
      </c>
      <c r="P287" s="13">
        <v>274</v>
      </c>
      <c r="Q287" s="22">
        <v>3.8577300573531925E-2</v>
      </c>
      <c r="R287" s="19">
        <f t="shared" si="35"/>
        <v>3.5106584194207535E-2</v>
      </c>
      <c r="S287" s="22">
        <v>3.8570536928561605E-2</v>
      </c>
      <c r="T287" s="19">
        <f t="shared" si="36"/>
        <v>3.5985193341878885E-2</v>
      </c>
      <c r="U287" s="24">
        <v>4.3053869183081739E-2</v>
      </c>
      <c r="V287" s="24">
        <f t="shared" si="37"/>
        <v>4.0032103707825284E-2</v>
      </c>
      <c r="W287" s="23">
        <f t="shared" si="38"/>
        <v>3.2747809104352044E-3</v>
      </c>
      <c r="X287" s="24">
        <v>4.2153254983696931E-2</v>
      </c>
      <c r="Y287" s="24">
        <f t="shared" si="39"/>
        <v>3.9211898496779973E-2</v>
      </c>
      <c r="Z287" s="23">
        <f t="shared" si="40"/>
        <v>3.2081815436044714E-3</v>
      </c>
      <c r="AA287" s="36"/>
    </row>
    <row r="288" spans="15:27" ht="13.9" customHeight="1" x14ac:dyDescent="0.3">
      <c r="O288" s="12">
        <f t="shared" si="34"/>
        <v>22.916666666666668</v>
      </c>
      <c r="P288" s="13">
        <v>275</v>
      </c>
      <c r="Q288" s="22">
        <v>3.8564658728474033E-2</v>
      </c>
      <c r="R288" s="19">
        <f t="shared" si="35"/>
        <v>3.5081384360281298E-2</v>
      </c>
      <c r="S288" s="22">
        <v>3.8561124000956015E-2</v>
      </c>
      <c r="T288" s="19">
        <f t="shared" si="36"/>
        <v>3.6050629403181933E-2</v>
      </c>
      <c r="U288" s="24">
        <v>4.3042865055563651E-2</v>
      </c>
      <c r="V288" s="24">
        <f t="shared" si="37"/>
        <v>4.0053088802032066E-2</v>
      </c>
      <c r="W288" s="23">
        <f t="shared" si="38"/>
        <v>3.2763205795802719E-3</v>
      </c>
      <c r="X288" s="24">
        <v>4.2142544074622146E-2</v>
      </c>
      <c r="Y288" s="24">
        <f t="shared" si="39"/>
        <v>3.9241112758046315E-2</v>
      </c>
      <c r="Z288" s="23">
        <f t="shared" si="40"/>
        <v>3.2103618739214301E-3</v>
      </c>
      <c r="AA288" s="36"/>
    </row>
    <row r="289" spans="15:27" ht="13.9" customHeight="1" x14ac:dyDescent="0.3">
      <c r="O289" s="12">
        <f t="shared" si="34"/>
        <v>23</v>
      </c>
      <c r="P289" s="13">
        <v>276</v>
      </c>
      <c r="Q289" s="22">
        <v>3.8552017034423569E-2</v>
      </c>
      <c r="R289" s="19">
        <f t="shared" si="35"/>
        <v>3.5056407604467266E-2</v>
      </c>
      <c r="S289" s="22">
        <v>3.8552017034426456E-2</v>
      </c>
      <c r="T289" s="19">
        <f t="shared" si="36"/>
        <v>3.6118717420982938E-2</v>
      </c>
      <c r="U289" s="24">
        <v>4.3032017034424497E-2</v>
      </c>
      <c r="V289" s="24">
        <f t="shared" si="37"/>
        <v>4.0075570234009206E-2</v>
      </c>
      <c r="W289" s="23">
        <f t="shared" si="38"/>
        <v>3.2780075189646762E-3</v>
      </c>
      <c r="X289" s="24">
        <v>4.2132017034423708E-2</v>
      </c>
      <c r="Y289" s="24">
        <f t="shared" si="39"/>
        <v>3.9272041431123617E-2</v>
      </c>
      <c r="Z289" s="23">
        <f t="shared" si="40"/>
        <v>3.2127120259968223E-3</v>
      </c>
      <c r="AA289" s="36"/>
    </row>
    <row r="290" spans="15:27" ht="13.9" customHeight="1" x14ac:dyDescent="0.3">
      <c r="O290" s="12">
        <f t="shared" si="34"/>
        <v>23.083333333333332</v>
      </c>
      <c r="P290" s="13">
        <v>277</v>
      </c>
      <c r="Q290" s="22">
        <v>3.8539376297233696E-2</v>
      </c>
      <c r="R290" s="19">
        <f t="shared" si="35"/>
        <v>3.5031648367588986E-2</v>
      </c>
      <c r="S290" s="22">
        <v>3.8543222289528334E-2</v>
      </c>
      <c r="T290" s="19">
        <f t="shared" si="36"/>
        <v>3.6186764560299789E-2</v>
      </c>
      <c r="U290" s="24">
        <v>4.302132884109966E-2</v>
      </c>
      <c r="V290" s="24">
        <f t="shared" si="37"/>
        <v>4.0098205776231133E-2</v>
      </c>
      <c r="W290" s="23">
        <f t="shared" si="38"/>
        <v>3.2798147105932429E-3</v>
      </c>
      <c r="X290" s="24">
        <v>4.2121678070598856E-2</v>
      </c>
      <c r="Y290" s="24">
        <f t="shared" si="39"/>
        <v>3.9303097462611403E-2</v>
      </c>
      <c r="Z290" s="23">
        <f t="shared" si="40"/>
        <v>3.2152000285714522E-3</v>
      </c>
      <c r="AA290" s="36"/>
    </row>
    <row r="291" spans="15:27" ht="13.9" customHeight="1" x14ac:dyDescent="0.3">
      <c r="O291" s="12">
        <f t="shared" si="34"/>
        <v>23.166666666666668</v>
      </c>
      <c r="P291" s="13">
        <v>278</v>
      </c>
      <c r="Q291" s="22">
        <v>3.852673729111733E-2</v>
      </c>
      <c r="R291" s="19">
        <f t="shared" si="35"/>
        <v>3.5007103974539655E-2</v>
      </c>
      <c r="S291" s="22">
        <v>3.8534736226411237E-2</v>
      </c>
      <c r="T291" s="19">
        <f t="shared" si="36"/>
        <v>3.6254104386157504E-2</v>
      </c>
      <c r="U291" s="24">
        <v>4.3010799301305136E-2</v>
      </c>
      <c r="V291" s="24">
        <f t="shared" si="37"/>
        <v>4.012066116502333E-2</v>
      </c>
      <c r="W291" s="23">
        <f t="shared" si="38"/>
        <v>3.2816342543466881E-3</v>
      </c>
      <c r="X291" s="24">
        <v>4.2111525605159628E-2</v>
      </c>
      <c r="Y291" s="24">
        <f t="shared" si="39"/>
        <v>3.9333886162125742E-2</v>
      </c>
      <c r="Z291" s="23">
        <f t="shared" si="40"/>
        <v>3.2176982079776817E-3</v>
      </c>
      <c r="AA291" s="36"/>
    </row>
    <row r="292" spans="15:27" ht="13.9" customHeight="1" x14ac:dyDescent="0.3">
      <c r="O292" s="12">
        <f t="shared" si="34"/>
        <v>23.25</v>
      </c>
      <c r="P292" s="13">
        <v>279</v>
      </c>
      <c r="Q292" s="22">
        <v>3.8514100769584836E-2</v>
      </c>
      <c r="R292" s="19">
        <f t="shared" si="35"/>
        <v>3.4982772719919231E-2</v>
      </c>
      <c r="S292" s="22">
        <v>3.8526552962391492E-2</v>
      </c>
      <c r="T292" s="19">
        <f t="shared" si="36"/>
        <v>3.6320744927478943E-2</v>
      </c>
      <c r="U292" s="24">
        <v>4.3000426056211349E-2</v>
      </c>
      <c r="V292" s="24">
        <f t="shared" si="37"/>
        <v>4.014293790932788E-2</v>
      </c>
      <c r="W292" s="23">
        <f t="shared" si="38"/>
        <v>3.2834392807143953E-3</v>
      </c>
      <c r="X292" s="24">
        <v>4.2101556664354778E-2</v>
      </c>
      <c r="Y292" s="24">
        <f t="shared" si="39"/>
        <v>3.9364409973899006E-2</v>
      </c>
      <c r="Z292" s="23">
        <f t="shared" si="40"/>
        <v>3.2201748153752874E-3</v>
      </c>
      <c r="AA292" s="36"/>
    </row>
    <row r="293" spans="15:27" ht="13.9" customHeight="1" x14ac:dyDescent="0.3">
      <c r="O293" s="12">
        <f t="shared" si="34"/>
        <v>23.333333333333332</v>
      </c>
      <c r="P293" s="13">
        <v>280</v>
      </c>
      <c r="Q293" s="22">
        <v>3.8501467469287842E-2</v>
      </c>
      <c r="R293" s="19">
        <f t="shared" si="35"/>
        <v>3.4958652908423149E-2</v>
      </c>
      <c r="S293" s="22">
        <v>3.8518666728400097E-2</v>
      </c>
      <c r="T293" s="19">
        <f t="shared" si="36"/>
        <v>3.6386694107431339E-2</v>
      </c>
      <c r="U293" s="24">
        <v>4.2990206786227558E-2</v>
      </c>
      <c r="V293" s="24">
        <f t="shared" si="37"/>
        <v>4.0165037505830892E-2</v>
      </c>
      <c r="W293" s="23">
        <f t="shared" si="38"/>
        <v>3.2852299118470984E-3</v>
      </c>
      <c r="X293" s="24">
        <v>4.2091768325885903E-2</v>
      </c>
      <c r="Y293" s="24">
        <f t="shared" si="39"/>
        <v>3.9394671317043217E-2</v>
      </c>
      <c r="Z293" s="23">
        <f t="shared" si="40"/>
        <v>3.2226300491238202E-3</v>
      </c>
      <c r="AA293" s="36"/>
    </row>
    <row r="294" spans="15:27" ht="13.9" customHeight="1" x14ac:dyDescent="0.3">
      <c r="O294" s="12">
        <f t="shared" si="34"/>
        <v>23.416666666666668</v>
      </c>
      <c r="P294" s="13">
        <v>281</v>
      </c>
      <c r="Q294" s="22">
        <v>3.8488838110354973E-2</v>
      </c>
      <c r="R294" s="19">
        <f t="shared" si="35"/>
        <v>3.4934742857187118E-2</v>
      </c>
      <c r="S294" s="22">
        <v>3.8511071866557778E-2</v>
      </c>
      <c r="T294" s="19">
        <f t="shared" si="36"/>
        <v>3.6451959748611706E-2</v>
      </c>
      <c r="U294" s="24">
        <v>4.2980139210256674E-2</v>
      </c>
      <c r="V294" s="24">
        <f t="shared" si="37"/>
        <v>4.0186961438815283E-2</v>
      </c>
      <c r="W294" s="23">
        <f t="shared" si="38"/>
        <v>3.2870062688936663E-3</v>
      </c>
      <c r="X294" s="24">
        <v>4.2082157717896918E-2</v>
      </c>
      <c r="Y294" s="24">
        <f t="shared" si="39"/>
        <v>3.9424672587309084E-2</v>
      </c>
      <c r="Z294" s="23">
        <f t="shared" si="40"/>
        <v>3.2250641055249218E-3</v>
      </c>
      <c r="AA294" s="36"/>
    </row>
    <row r="295" spans="15:27" ht="13.9" customHeight="1" x14ac:dyDescent="0.3">
      <c r="O295" s="12">
        <f t="shared" si="34"/>
        <v>23.5</v>
      </c>
      <c r="P295" s="13">
        <v>282</v>
      </c>
      <c r="Q295" s="22">
        <v>3.8476213396728243E-2</v>
      </c>
      <c r="R295" s="19">
        <f t="shared" si="35"/>
        <v>3.4911039955226153E-2</v>
      </c>
      <c r="S295" s="22">
        <v>3.850376282782153E-2</v>
      </c>
      <c r="T295" s="19">
        <f t="shared" si="36"/>
        <v>3.6516549569566514E-2</v>
      </c>
      <c r="U295" s="24">
        <v>4.2970221084965843E-2</v>
      </c>
      <c r="V295" s="24">
        <f t="shared" si="37"/>
        <v>4.0208711174589906E-2</v>
      </c>
      <c r="W295" s="23">
        <f t="shared" si="38"/>
        <v>3.2887684719902222E-3</v>
      </c>
      <c r="X295" s="24">
        <v>4.2072722017991726E-2</v>
      </c>
      <c r="Y295" s="24">
        <f t="shared" si="39"/>
        <v>3.9454416154526717E-2</v>
      </c>
      <c r="Z295" s="23">
        <f t="shared" si="40"/>
        <v>3.2274771789659873E-3</v>
      </c>
      <c r="AA295" s="36"/>
    </row>
    <row r="296" spans="15:27" ht="13.9" customHeight="1" x14ac:dyDescent="0.3">
      <c r="O296" s="12">
        <f t="shared" si="34"/>
        <v>23.583333333333332</v>
      </c>
      <c r="P296" s="13">
        <v>283</v>
      </c>
      <c r="Q296" s="22">
        <v>3.8463594013157465E-2</v>
      </c>
      <c r="R296" s="19">
        <f t="shared" si="35"/>
        <v>3.4887538786965822E-2</v>
      </c>
      <c r="S296" s="22">
        <v>3.8496734169669589E-2</v>
      </c>
      <c r="T296" s="19">
        <f t="shared" si="36"/>
        <v>3.6580471191515418E-2</v>
      </c>
      <c r="U296" s="24">
        <v>4.2960450204051925E-2</v>
      </c>
      <c r="V296" s="24">
        <f t="shared" si="37"/>
        <v>4.0230288171122952E-2</v>
      </c>
      <c r="W296" s="23">
        <f t="shared" si="38"/>
        <v>3.2905166398122798E-3</v>
      </c>
      <c r="X296" s="24">
        <v>4.2063458452262559E-2</v>
      </c>
      <c r="Y296" s="24">
        <f t="shared" si="39"/>
        <v>3.9483904366401479E-2</v>
      </c>
      <c r="Z296" s="23">
        <f t="shared" si="40"/>
        <v>3.2298694617145518E-3</v>
      </c>
      <c r="AA296" s="36"/>
    </row>
    <row r="297" spans="15:27" ht="13.9" customHeight="1" x14ac:dyDescent="0.3">
      <c r="O297" s="12">
        <f t="shared" si="34"/>
        <v>23.666666666666668</v>
      </c>
      <c r="P297" s="13">
        <v>284</v>
      </c>
      <c r="Q297" s="22">
        <v>3.845098061562835E-2</v>
      </c>
      <c r="R297" s="19">
        <f t="shared" si="35"/>
        <v>3.4864236767241819E-2</v>
      </c>
      <c r="S297" s="22">
        <v>3.8489980553859438E-2</v>
      </c>
      <c r="T297" s="19">
        <f t="shared" si="36"/>
        <v>3.6643732135630991E-2</v>
      </c>
      <c r="U297" s="24">
        <v>4.2950824397557819E-2</v>
      </c>
      <c r="V297" s="24">
        <f t="shared" si="37"/>
        <v>4.025169386907379E-2</v>
      </c>
      <c r="W297" s="23">
        <f t="shared" si="38"/>
        <v>3.2922508903492353E-3</v>
      </c>
      <c r="X297" s="24">
        <v>4.2054364294353608E-2</v>
      </c>
      <c r="Y297" s="24">
        <f t="shared" si="39"/>
        <v>3.9513139545553244E-2</v>
      </c>
      <c r="Z297" s="23">
        <f t="shared" si="40"/>
        <v>3.2322411442240462E-3</v>
      </c>
      <c r="AA297" s="36"/>
    </row>
    <row r="298" spans="15:27" ht="13.9" customHeight="1" x14ac:dyDescent="0.3">
      <c r="O298" s="12">
        <f t="shared" si="34"/>
        <v>23.75</v>
      </c>
      <c r="P298" s="13">
        <v>285</v>
      </c>
      <c r="Q298" s="22">
        <v>3.8438373841831686E-2</v>
      </c>
      <c r="R298" s="19">
        <f t="shared" si="35"/>
        <v>3.4841132260289731E-2</v>
      </c>
      <c r="S298" s="22">
        <v>3.8483496744224022E-2</v>
      </c>
      <c r="T298" s="19">
        <f t="shared" si="36"/>
        <v>3.6706339828548762E-2</v>
      </c>
      <c r="U298" s="24">
        <v>4.294134153117013E-2</v>
      </c>
      <c r="V298" s="24">
        <f t="shared" si="37"/>
        <v>4.0272929699476601E-2</v>
      </c>
      <c r="W298" s="23">
        <f t="shared" si="38"/>
        <v>3.2939713401840542E-3</v>
      </c>
      <c r="X298" s="24">
        <v>4.2045436864533547E-2</v>
      </c>
      <c r="Y298" s="24">
        <f t="shared" si="39"/>
        <v>3.9542123992759137E-2</v>
      </c>
      <c r="Z298" s="23">
        <f t="shared" si="40"/>
        <v>3.2345924148970973E-3</v>
      </c>
      <c r="AA298" s="36"/>
    </row>
    <row r="299" spans="15:27" ht="13.9" customHeight="1" x14ac:dyDescent="0.3">
      <c r="O299" s="12">
        <f t="shared" si="34"/>
        <v>23.833333333333332</v>
      </c>
      <c r="P299" s="13">
        <v>286</v>
      </c>
      <c r="Q299" s="22">
        <v>3.8425774314813754E-2</v>
      </c>
      <c r="R299" s="19">
        <f t="shared" si="35"/>
        <v>3.4818223642126611E-2</v>
      </c>
      <c r="S299" s="22">
        <v>3.8477277604534565E-2</v>
      </c>
      <c r="T299" s="19">
        <f t="shared" si="36"/>
        <v>3.6768301599766628E-2</v>
      </c>
      <c r="U299" s="24">
        <v>4.293199950556037E-2</v>
      </c>
      <c r="V299" s="24">
        <f t="shared" si="37"/>
        <v>4.0293997076611854E-2</v>
      </c>
      <c r="W299" s="23">
        <f t="shared" si="38"/>
        <v>3.2956781051109996E-3</v>
      </c>
      <c r="X299" s="24">
        <v>4.2036673528798918E-2</v>
      </c>
      <c r="Y299" s="24">
        <f t="shared" si="39"/>
        <v>3.9570859984338069E-2</v>
      </c>
      <c r="Z299" s="23">
        <f t="shared" si="40"/>
        <v>3.2369234603462083E-3</v>
      </c>
      <c r="AA299" s="36"/>
    </row>
    <row r="300" spans="15:27" ht="13.9" customHeight="1" x14ac:dyDescent="0.3">
      <c r="O300" s="12">
        <f t="shared" si="34"/>
        <v>23.916666666666668</v>
      </c>
      <c r="P300" s="13">
        <v>287</v>
      </c>
      <c r="Q300" s="22">
        <v>3.8413182643271648E-2</v>
      </c>
      <c r="R300" s="19">
        <f t="shared" si="35"/>
        <v>3.4795509298669369E-2</v>
      </c>
      <c r="S300" s="22">
        <v>3.8471318096399587E-2</v>
      </c>
      <c r="T300" s="19">
        <f t="shared" si="36"/>
        <v>3.6829624686197437E-2</v>
      </c>
      <c r="U300" s="24">
        <v>4.2922796255713713E-2</v>
      </c>
      <c r="V300" s="24">
        <f t="shared" si="37"/>
        <v>4.0314897405714367E-2</v>
      </c>
      <c r="W300" s="23">
        <f t="shared" si="38"/>
        <v>3.2973712995629789E-3</v>
      </c>
      <c r="X300" s="24">
        <v>4.2028071697987723E-2</v>
      </c>
      <c r="Y300" s="24">
        <f t="shared" si="39"/>
        <v>3.9599349775286674E-2</v>
      </c>
      <c r="Z300" s="23">
        <f t="shared" si="40"/>
        <v>3.2392344651843707E-3</v>
      </c>
      <c r="AA300" s="36"/>
    </row>
    <row r="301" spans="15:27" ht="13.9" customHeight="1" x14ac:dyDescent="0.3">
      <c r="O301" s="12">
        <f t="shared" si="34"/>
        <v>24</v>
      </c>
      <c r="P301" s="13">
        <v>288</v>
      </c>
      <c r="Q301" s="22">
        <v>3.8400599421837045E-2</v>
      </c>
      <c r="R301" s="19">
        <f t="shared" si="35"/>
        <v>3.4772986705153608E-2</v>
      </c>
      <c r="S301" s="22">
        <v>3.8465613277223643E-2</v>
      </c>
      <c r="T301" s="19">
        <f t="shared" si="36"/>
        <v>3.6890316231805942E-2</v>
      </c>
      <c r="U301" s="24">
        <v>4.2913729750299057E-2</v>
      </c>
      <c r="V301" s="24">
        <f t="shared" si="37"/>
        <v>4.0335632075780392E-2</v>
      </c>
      <c r="W301" s="23">
        <f t="shared" si="38"/>
        <v>3.299051037231493E-3</v>
      </c>
      <c r="X301" s="24">
        <v>4.2019628826921673E-2</v>
      </c>
      <c r="Y301" s="24">
        <f t="shared" si="39"/>
        <v>3.9627595596196885E-2</v>
      </c>
      <c r="Z301" s="23">
        <f t="shared" si="40"/>
        <v>3.2415256122781955E-3</v>
      </c>
      <c r="AA301" s="36"/>
    </row>
    <row r="302" spans="15:27" ht="13.9" customHeight="1" x14ac:dyDescent="0.3">
      <c r="O302" s="12">
        <f t="shared" si="34"/>
        <v>24.083333333333332</v>
      </c>
      <c r="P302" s="13">
        <v>289</v>
      </c>
      <c r="Q302" s="22">
        <v>3.8388025228156319E-2</v>
      </c>
      <c r="R302" s="19">
        <f t="shared" si="35"/>
        <v>3.4750650587098919E-2</v>
      </c>
      <c r="S302" s="22">
        <v>3.846015829820848E-2</v>
      </c>
      <c r="T302" s="19">
        <f t="shared" si="36"/>
        <v>3.695038329043232E-2</v>
      </c>
      <c r="U302" s="24">
        <v>4.290479799102731E-2</v>
      </c>
      <c r="V302" s="24">
        <f t="shared" si="37"/>
        <v>4.0356202466412805E-2</v>
      </c>
      <c r="W302" s="23">
        <f t="shared" si="38"/>
        <v>3.3007174304886533E-3</v>
      </c>
      <c r="X302" s="24">
        <v>4.2011342413556862E-2</v>
      </c>
      <c r="Y302" s="24">
        <f t="shared" si="39"/>
        <v>3.9655599657793639E-2</v>
      </c>
      <c r="Z302" s="23">
        <f t="shared" si="40"/>
        <v>3.2437970824998885E-3</v>
      </c>
      <c r="AA302" s="36"/>
    </row>
    <row r="303" spans="15:27" ht="13.9" customHeight="1" x14ac:dyDescent="0.3">
      <c r="O303" s="12">
        <f t="shared" si="34"/>
        <v>24.166666666666668</v>
      </c>
      <c r="P303" s="13">
        <v>290</v>
      </c>
      <c r="Q303" s="22">
        <v>3.8375460613668366E-2</v>
      </c>
      <c r="R303" s="19">
        <f t="shared" si="35"/>
        <v>3.4728498443492128E-2</v>
      </c>
      <c r="S303" s="22">
        <v>3.8454948402405265E-2</v>
      </c>
      <c r="T303" s="19">
        <f t="shared" si="36"/>
        <v>3.7009832825736444E-2</v>
      </c>
      <c r="U303" s="24">
        <v>4.2895999012047215E-2</v>
      </c>
      <c r="V303" s="24">
        <f t="shared" si="37"/>
        <v>4.0376609942745167E-2</v>
      </c>
      <c r="W303" s="23">
        <f t="shared" si="38"/>
        <v>3.3023705909376311E-3</v>
      </c>
      <c r="X303" s="24">
        <v>4.2003209998166424E-2</v>
      </c>
      <c r="Y303" s="24">
        <f t="shared" si="39"/>
        <v>3.9683364146716027E-2</v>
      </c>
      <c r="Z303" s="23">
        <f t="shared" si="40"/>
        <v>3.246049055093847E-3</v>
      </c>
      <c r="AA303" s="36"/>
    </row>
    <row r="304" spans="15:27" ht="13.9" customHeight="1" x14ac:dyDescent="0.3">
      <c r="O304" s="12">
        <f t="shared" si="34"/>
        <v>24.25</v>
      </c>
      <c r="P304" s="13">
        <v>291</v>
      </c>
      <c r="Q304" s="22">
        <v>3.8362906113618145E-2</v>
      </c>
      <c r="R304" s="19">
        <f t="shared" si="35"/>
        <v>3.4706528705843009E-2</v>
      </c>
      <c r="S304" s="22">
        <v>3.8449978922807659E-2</v>
      </c>
      <c r="T304" s="19">
        <f t="shared" si="36"/>
        <v>3.7068671713389678E-2</v>
      </c>
      <c r="U304" s="24">
        <v>4.2887330879334939E-2</v>
      </c>
      <c r="V304" s="24">
        <f t="shared" si="37"/>
        <v>4.0396855857265823E-2</v>
      </c>
      <c r="W304" s="23">
        <f t="shared" si="38"/>
        <v>3.304010629004539E-3</v>
      </c>
      <c r="X304" s="24">
        <v>4.1995229162526737E-2</v>
      </c>
      <c r="Y304" s="24">
        <f t="shared" si="39"/>
        <v>3.9710891228711853E-2</v>
      </c>
      <c r="Z304" s="23">
        <f t="shared" si="40"/>
        <v>3.2482817073369308E-3</v>
      </c>
      <c r="AA304" s="36"/>
    </row>
    <row r="305" spans="15:27" ht="13.9" customHeight="1" x14ac:dyDescent="0.3">
      <c r="O305" s="12">
        <f t="shared" si="34"/>
        <v>24.333333333333332</v>
      </c>
      <c r="P305" s="13">
        <v>292</v>
      </c>
      <c r="Q305" s="22">
        <v>3.8350362250538117E-2</v>
      </c>
      <c r="R305" s="19">
        <f t="shared" si="35"/>
        <v>3.468473981742104E-2</v>
      </c>
      <c r="S305" s="22">
        <v>3.8445245280492424E-2</v>
      </c>
      <c r="T305" s="19">
        <f t="shared" si="36"/>
        <v>3.7126906742171339E-2</v>
      </c>
      <c r="U305" s="24">
        <v>4.287879169010389E-2</v>
      </c>
      <c r="V305" s="24">
        <f t="shared" si="37"/>
        <v>4.041694155209874E-2</v>
      </c>
      <c r="W305" s="23">
        <f t="shared" si="38"/>
        <v>3.305637654086313E-3</v>
      </c>
      <c r="X305" s="24">
        <v>4.1987397529131165E-2</v>
      </c>
      <c r="Y305" s="24">
        <f t="shared" si="39"/>
        <v>3.9738183048348086E-2</v>
      </c>
      <c r="Z305" s="23">
        <f t="shared" si="40"/>
        <v>3.2504952147969224E-3</v>
      </c>
      <c r="AA305" s="36"/>
    </row>
    <row r="306" spans="15:27" ht="13.9" customHeight="1" x14ac:dyDescent="0.3">
      <c r="O306" s="12">
        <f t="shared" si="34"/>
        <v>24.416666666666668</v>
      </c>
      <c r="P306" s="13">
        <v>293</v>
      </c>
      <c r="Q306" s="22">
        <v>3.8337829534505596E-2</v>
      </c>
      <c r="R306" s="19">
        <f t="shared" si="35"/>
        <v>3.4663130229988903E-2</v>
      </c>
      <c r="S306" s="22">
        <v>3.8440742982801535E-2</v>
      </c>
      <c r="T306" s="19">
        <f t="shared" si="36"/>
        <v>3.7184544614920156E-2</v>
      </c>
      <c r="U306" s="24">
        <v>4.2870379572233386E-2</v>
      </c>
      <c r="V306" s="24">
        <f t="shared" si="37"/>
        <v>4.0436868355196776E-2</v>
      </c>
      <c r="W306" s="23">
        <f t="shared" si="38"/>
        <v>3.307251774732789E-3</v>
      </c>
      <c r="X306" s="24">
        <v>4.1979712760418231E-2</v>
      </c>
      <c r="Y306" s="24">
        <f t="shared" si="39"/>
        <v>3.9765241728012102E-2</v>
      </c>
      <c r="Z306" s="23">
        <f t="shared" si="40"/>
        <v>3.2526897513092123E-3</v>
      </c>
      <c r="AA306" s="36"/>
    </row>
    <row r="307" spans="15:27" ht="13.9" customHeight="1" x14ac:dyDescent="0.3">
      <c r="O307" s="12">
        <f t="shared" si="34"/>
        <v>24.5</v>
      </c>
      <c r="P307" s="13">
        <v>294</v>
      </c>
      <c r="Q307" s="22">
        <v>3.8325308463382557E-2</v>
      </c>
      <c r="R307" s="19">
        <f t="shared" si="35"/>
        <v>3.4641697502223012E-2</v>
      </c>
      <c r="S307" s="22">
        <v>3.8436467621566051E-2</v>
      </c>
      <c r="T307" s="19">
        <f t="shared" si="36"/>
        <v>3.7241591951588715E-2</v>
      </c>
      <c r="U307" s="24">
        <v>4.2862092683697117E-2</v>
      </c>
      <c r="V307" s="24">
        <f t="shared" si="37"/>
        <v>4.0456637584949107E-2</v>
      </c>
      <c r="W307" s="23">
        <f t="shared" si="38"/>
        <v>3.3088530983429454E-3</v>
      </c>
      <c r="X307" s="24">
        <v>4.1972172558013554E-2</v>
      </c>
      <c r="Y307" s="24">
        <f t="shared" si="39"/>
        <v>3.9792069370834904E-2</v>
      </c>
      <c r="Z307" s="23">
        <f t="shared" si="40"/>
        <v>3.2548654888970852E-3</v>
      </c>
      <c r="AA307" s="36"/>
    </row>
    <row r="308" spans="15:27" ht="13.9" customHeight="1" x14ac:dyDescent="0.3">
      <c r="O308" s="12">
        <f t="shared" si="34"/>
        <v>24.583333333333332</v>
      </c>
      <c r="P308" s="13">
        <v>295</v>
      </c>
      <c r="Q308" s="22">
        <v>3.8312799519984564E-2</v>
      </c>
      <c r="R308" s="19">
        <f t="shared" si="35"/>
        <v>3.4620436492623696E-2</v>
      </c>
      <c r="S308" s="22">
        <v>3.8432414871376608E-2</v>
      </c>
      <c r="T308" s="19">
        <f t="shared" si="36"/>
        <v>3.7298055287160681E-2</v>
      </c>
      <c r="U308" s="24">
        <v>4.2853929212017583E-2</v>
      </c>
      <c r="V308" s="24">
        <f t="shared" si="37"/>
        <v>4.0476250545869563E-2</v>
      </c>
      <c r="W308" s="23">
        <f t="shared" si="38"/>
        <v>3.3104417315330537E-3</v>
      </c>
      <c r="X308" s="24">
        <v>4.1964774661996218E-2</v>
      </c>
      <c r="Y308" s="24">
        <f t="shared" si="39"/>
        <v>3.9818668056519346E-2</v>
      </c>
      <c r="Z308" s="23">
        <f t="shared" si="40"/>
        <v>3.2570225980075307E-3</v>
      </c>
      <c r="AA308" s="36"/>
    </row>
    <row r="309" spans="15:27" ht="13.9" customHeight="1" x14ac:dyDescent="0.3">
      <c r="O309" s="12">
        <f t="shared" si="34"/>
        <v>24.666666666666668</v>
      </c>
      <c r="P309" s="13">
        <v>296</v>
      </c>
      <c r="Q309" s="22">
        <v>3.8300303163179672E-2</v>
      </c>
      <c r="R309" s="19">
        <f t="shared" si="35"/>
        <v>3.4599344783949881E-2</v>
      </c>
      <c r="S309" s="22">
        <v>3.8428580487881892E-2</v>
      </c>
      <c r="T309" s="19">
        <f t="shared" si="36"/>
        <v>3.7353941075895625E-2</v>
      </c>
      <c r="U309" s="24">
        <v>4.2845887373718528E-2</v>
      </c>
      <c r="V309" s="24">
        <f t="shared" si="37"/>
        <v>4.0495708530319918E-2</v>
      </c>
      <c r="W309" s="23">
        <f t="shared" si="38"/>
        <v>3.3120177797927308E-3</v>
      </c>
      <c r="X309" s="24">
        <v>4.1957516850166243E-2</v>
      </c>
      <c r="Y309" s="24">
        <f t="shared" si="39"/>
        <v>3.9845039846242214E-2</v>
      </c>
      <c r="Z309" s="23">
        <f t="shared" si="40"/>
        <v>3.2591612471761788E-3</v>
      </c>
      <c r="AA309" s="36"/>
    </row>
    <row r="310" spans="15:27" ht="13.9" customHeight="1" x14ac:dyDescent="0.3">
      <c r="O310" s="12">
        <f t="shared" si="34"/>
        <v>24.75</v>
      </c>
      <c r="P310" s="13">
        <v>297</v>
      </c>
      <c r="Q310" s="22">
        <v>3.8287819837496295E-2</v>
      </c>
      <c r="R310" s="19">
        <f t="shared" si="35"/>
        <v>3.4578420870670756E-2</v>
      </c>
      <c r="S310" s="22">
        <v>3.8424960306137068E-2</v>
      </c>
      <c r="T310" s="19">
        <f t="shared" si="36"/>
        <v>3.7409255691195797E-2</v>
      </c>
      <c r="U310" s="24">
        <v>4.2837965413793366E-2</v>
      </c>
      <c r="V310" s="24">
        <f t="shared" si="37"/>
        <v>4.0515012822126106E-2</v>
      </c>
      <c r="W310" s="23">
        <f t="shared" si="38"/>
        <v>3.3135813476219411E-3</v>
      </c>
      <c r="X310" s="24">
        <v>4.1950396937343593E-2</v>
      </c>
      <c r="Y310" s="24">
        <f t="shared" si="39"/>
        <v>3.9871186780956247E-2</v>
      </c>
      <c r="Z310" s="23">
        <f t="shared" si="40"/>
        <v>3.2612816034223169E-3</v>
      </c>
      <c r="AA310" s="36"/>
    </row>
    <row r="311" spans="15:27" ht="13.9" customHeight="1" x14ac:dyDescent="0.3">
      <c r="O311" s="12">
        <f t="shared" si="34"/>
        <v>24.833333333333332</v>
      </c>
      <c r="P311" s="13">
        <v>298</v>
      </c>
      <c r="Q311" s="22">
        <v>3.827534997643367E-2</v>
      </c>
      <c r="R311" s="19">
        <f t="shared" si="35"/>
        <v>3.455766325887355E-2</v>
      </c>
      <c r="S311" s="22">
        <v>3.8421550238985303E-2</v>
      </c>
      <c r="T311" s="19">
        <f t="shared" si="36"/>
        <v>3.7464005427611413E-2</v>
      </c>
      <c r="U311" s="24">
        <v>4.2830161605196482E-2</v>
      </c>
      <c r="V311" s="24">
        <f t="shared" si="37"/>
        <v>4.0534164690498642E-2</v>
      </c>
      <c r="W311" s="23">
        <f t="shared" si="38"/>
        <v>3.3151325388229846E-3</v>
      </c>
      <c r="X311" s="24">
        <v>4.1943412774675837E-2</v>
      </c>
      <c r="Y311" s="24">
        <f t="shared" si="39"/>
        <v>3.9897110880278142E-2</v>
      </c>
      <c r="Z311" s="23">
        <f t="shared" si="40"/>
        <v>3.2633838321127762E-3</v>
      </c>
      <c r="AA311" s="36"/>
    </row>
    <row r="312" spans="15:27" ht="13.9" customHeight="1" x14ac:dyDescent="0.3">
      <c r="O312" s="12">
        <f t="shared" si="34"/>
        <v>24.916666666666668</v>
      </c>
      <c r="P312" s="13">
        <v>299</v>
      </c>
      <c r="Q312" s="22">
        <v>3.8262894002685233E-2</v>
      </c>
      <c r="R312" s="19">
        <f t="shared" si="35"/>
        <v>3.4537070462734798E-2</v>
      </c>
      <c r="S312" s="22">
        <v>3.8418346275478132E-2</v>
      </c>
      <c r="T312" s="19">
        <f t="shared" si="36"/>
        <v>3.7518196500230028E-2</v>
      </c>
      <c r="U312" s="24">
        <v>4.2822474248325193E-2</v>
      </c>
      <c r="V312" s="24">
        <f t="shared" si="37"/>
        <v>4.0553165394619173E-2</v>
      </c>
      <c r="W312" s="23">
        <f t="shared" si="38"/>
        <v>3.316671456011111E-3</v>
      </c>
      <c r="X312" s="24">
        <v>4.1936562248955367E-2</v>
      </c>
      <c r="Y312" s="24">
        <f t="shared" si="39"/>
        <v>3.9922814144699892E-2</v>
      </c>
      <c r="Z312" s="23">
        <f t="shared" si="40"/>
        <v>3.2654680968722261E-3</v>
      </c>
      <c r="AA312" s="36"/>
    </row>
    <row r="313" spans="15:27" ht="13.9" customHeight="1" x14ac:dyDescent="0.3">
      <c r="O313" s="12">
        <f t="shared" si="34"/>
        <v>25</v>
      </c>
      <c r="P313" s="13">
        <v>300</v>
      </c>
      <c r="Q313" s="22">
        <v>3.8250452328345119E-2</v>
      </c>
      <c r="R313" s="19">
        <f t="shared" si="35"/>
        <v>3.4516640120231035E-2</v>
      </c>
      <c r="S313" s="22">
        <v>3.8415344479327151E-2</v>
      </c>
      <c r="T313" s="19">
        <f t="shared" si="36"/>
        <v>3.7571835048307189E-2</v>
      </c>
      <c r="U313" s="24">
        <v>4.2814901670526373E-2</v>
      </c>
      <c r="V313" s="24">
        <f t="shared" si="37"/>
        <v>4.0572016182280457E-2</v>
      </c>
      <c r="W313" s="23">
        <f t="shared" si="38"/>
        <v>3.3181982009842237E-3</v>
      </c>
      <c r="X313" s="24">
        <v>4.1929843281958812E-2</v>
      </c>
      <c r="Y313" s="24">
        <f t="shared" si="39"/>
        <v>3.9948298554948192E-2</v>
      </c>
      <c r="Z313" s="23">
        <f t="shared" si="40"/>
        <v>3.2675345597632521E-3</v>
      </c>
      <c r="AA313" s="36"/>
    </row>
    <row r="314" spans="15:27" ht="13.9" customHeight="1" x14ac:dyDescent="0.3">
      <c r="O314" s="12">
        <f t="shared" si="34"/>
        <v>25.083333333333332</v>
      </c>
      <c r="P314" s="13">
        <v>301</v>
      </c>
      <c r="Q314" s="22">
        <v>3.8238025352162808E-2</v>
      </c>
      <c r="R314" s="19">
        <f t="shared" si="35"/>
        <v>3.4496367220278268E-2</v>
      </c>
      <c r="S314" s="22">
        <v>3.8412540987397659E-2</v>
      </c>
      <c r="T314" s="19">
        <f t="shared" si="36"/>
        <v>3.7624927133759867E-2</v>
      </c>
      <c r="U314" s="24">
        <v>4.2807442225609504E-2</v>
      </c>
      <c r="V314" s="24">
        <f t="shared" si="37"/>
        <v>4.0590718289626349E-2</v>
      </c>
      <c r="W314" s="23">
        <f t="shared" si="38"/>
        <v>3.3197128746131899E-3</v>
      </c>
      <c r="X314" s="24">
        <v>4.1923253829796669E-2</v>
      </c>
      <c r="Y314" s="24">
        <f t="shared" si="39"/>
        <v>3.997356607193514E-2</v>
      </c>
      <c r="Z314" s="23">
        <f t="shared" si="40"/>
        <v>3.2695833812337316E-3</v>
      </c>
      <c r="AA314" s="36"/>
    </row>
    <row r="315" spans="15:27" ht="13.9" customHeight="1" x14ac:dyDescent="0.3">
      <c r="O315" s="12">
        <f t="shared" si="34"/>
        <v>25.166666666666668</v>
      </c>
      <c r="P315" s="13">
        <v>302</v>
      </c>
      <c r="Q315" s="22">
        <v>3.8225613450960205E-2</v>
      </c>
      <c r="R315" s="19">
        <f t="shared" si="35"/>
        <v>3.4476249421975691E-2</v>
      </c>
      <c r="S315" s="22">
        <v>3.8409932008228287E-2</v>
      </c>
      <c r="T315" s="19">
        <f t="shared" si="36"/>
        <v>3.7677478745447468E-2</v>
      </c>
      <c r="U315" s="24">
        <v>4.280009429336773E-2</v>
      </c>
      <c r="V315" s="24">
        <f t="shared" si="37"/>
        <v>4.0609272944394759E-2</v>
      </c>
      <c r="W315" s="23">
        <f t="shared" si="38"/>
        <v>3.3212155768218565E-3</v>
      </c>
      <c r="X315" s="24">
        <v>4.1916791882275817E-2</v>
      </c>
      <c r="Y315" s="24">
        <f t="shared" si="39"/>
        <v>3.999861863971077E-2</v>
      </c>
      <c r="Z315" s="23">
        <f t="shared" si="40"/>
        <v>3.2716147201137247E-3</v>
      </c>
      <c r="AA315" s="36"/>
    </row>
    <row r="316" spans="15:27" ht="13.9" customHeight="1" x14ac:dyDescent="0.3">
      <c r="O316" s="12">
        <f t="shared" si="34"/>
        <v>25.25</v>
      </c>
      <c r="P316" s="13">
        <v>303</v>
      </c>
      <c r="Q316" s="22">
        <v>3.8213216988837395E-2</v>
      </c>
      <c r="R316" s="19">
        <f t="shared" si="35"/>
        <v>3.4456285281622367E-2</v>
      </c>
      <c r="S316" s="22">
        <v>3.8407513820594819E-2</v>
      </c>
      <c r="T316" s="19">
        <f t="shared" si="36"/>
        <v>3.7729495796327006E-2</v>
      </c>
      <c r="U316" s="24">
        <v>4.2792856279119551E-2</v>
      </c>
      <c r="V316" s="24">
        <f t="shared" si="37"/>
        <v>4.0627681357908729E-2</v>
      </c>
      <c r="W316" s="23">
        <f t="shared" si="38"/>
        <v>3.3227064068466206E-3</v>
      </c>
      <c r="X316" s="24">
        <v>4.1910455462285334E-2</v>
      </c>
      <c r="Y316" s="24">
        <f t="shared" si="39"/>
        <v>4.0023458178600313E-2</v>
      </c>
      <c r="Z316" s="23">
        <f t="shared" si="40"/>
        <v>3.2736287338537284E-3</v>
      </c>
      <c r="AA316" s="36"/>
    </row>
    <row r="317" spans="15:27" ht="13.9" customHeight="1" x14ac:dyDescent="0.3">
      <c r="O317" s="12">
        <f t="shared" si="34"/>
        <v>25.333333333333332</v>
      </c>
      <c r="P317" s="13">
        <v>304</v>
      </c>
      <c r="Q317" s="22">
        <v>3.8200836320343434E-2</v>
      </c>
      <c r="R317" s="19">
        <f t="shared" si="35"/>
        <v>3.4436473363662179E-2</v>
      </c>
      <c r="S317" s="22">
        <v>3.8405282772092653E-2</v>
      </c>
      <c r="T317" s="19">
        <f t="shared" si="36"/>
        <v>3.7780984128352291E-2</v>
      </c>
      <c r="U317" s="24">
        <v>4.278572661323321E-2</v>
      </c>
      <c r="V317" s="24">
        <f t="shared" si="37"/>
        <v>4.0645944736949158E-2</v>
      </c>
      <c r="W317" s="23">
        <f t="shared" si="38"/>
        <v>3.3241854625947198E-3</v>
      </c>
      <c r="X317" s="24">
        <v>4.1904242625170784E-2</v>
      </c>
      <c r="Y317" s="24">
        <f t="shared" si="39"/>
        <v>4.0048086595242172E-2</v>
      </c>
      <c r="Z317" s="23">
        <f t="shared" si="40"/>
        <v>3.2756255779735621E-3</v>
      </c>
      <c r="AA317" s="36"/>
    </row>
    <row r="318" spans="15:27" ht="13.9" customHeight="1" x14ac:dyDescent="0.3">
      <c r="O318" s="12">
        <f t="shared" si="34"/>
        <v>25.416666666666668</v>
      </c>
      <c r="P318" s="13">
        <v>305</v>
      </c>
      <c r="Q318" s="22">
        <v>3.8188471790659761E-2</v>
      </c>
      <c r="R318" s="19">
        <f t="shared" si="35"/>
        <v>3.4416812241360839E-2</v>
      </c>
      <c r="S318" s="22">
        <v>3.8403235277763681E-2</v>
      </c>
      <c r="T318" s="19">
        <f t="shared" si="36"/>
        <v>3.7831949510462648E-2</v>
      </c>
      <c r="U318" s="24">
        <v>4.2778703750699476E-2</v>
      </c>
      <c r="V318" s="24">
        <f t="shared" si="37"/>
        <v>4.0664064272521783E-2</v>
      </c>
      <c r="W318" s="23">
        <f t="shared" si="38"/>
        <v>3.3256528415968045E-3</v>
      </c>
      <c r="X318" s="24">
        <v>4.1898151458154897E-2</v>
      </c>
      <c r="Y318" s="24">
        <f t="shared" si="39"/>
        <v>4.0072505774645828E-2</v>
      </c>
      <c r="Z318" s="23">
        <f t="shared" si="40"/>
        <v>3.2776054068690552E-3</v>
      </c>
      <c r="AA318" s="36"/>
    </row>
    <row r="319" spans="15:27" ht="13.9" customHeight="1" x14ac:dyDescent="0.3">
      <c r="O319" s="12">
        <f t="shared" si="34"/>
        <v>25.5</v>
      </c>
      <c r="P319" s="13">
        <v>306</v>
      </c>
      <c r="Q319" s="22">
        <v>3.8176123735781609E-2</v>
      </c>
      <c r="R319" s="19">
        <f t="shared" si="35"/>
        <v>3.4397299627477951E-2</v>
      </c>
      <c r="S319" s="22">
        <v>3.8401367818744703E-2</v>
      </c>
      <c r="T319" s="19">
        <f t="shared" si="36"/>
        <v>3.7882397642538868E-2</v>
      </c>
      <c r="U319" s="24">
        <v>4.2771786170676007E-2</v>
      </c>
      <c r="V319" s="24">
        <f t="shared" si="37"/>
        <v>4.0682041149534331E-2</v>
      </c>
      <c r="W319" s="23">
        <f t="shared" si="38"/>
        <v>3.3271086401058803E-3</v>
      </c>
      <c r="X319" s="24">
        <v>4.1892180079742491E-2</v>
      </c>
      <c r="Y319" s="24">
        <f t="shared" si="39"/>
        <v>4.0096717584825914E-2</v>
      </c>
      <c r="Z319" s="23">
        <f t="shared" si="40"/>
        <v>3.2795683731747793E-3</v>
      </c>
      <c r="AA319" s="36"/>
    </row>
    <row r="320" spans="15:27" ht="13.9" customHeight="1" x14ac:dyDescent="0.3">
      <c r="O320" s="12">
        <f t="shared" si="34"/>
        <v>25.583333333333332</v>
      </c>
      <c r="P320" s="13">
        <v>307</v>
      </c>
      <c r="Q320" s="22">
        <v>3.8163792479854575E-2</v>
      </c>
      <c r="R320" s="19">
        <f t="shared" si="35"/>
        <v>3.4377930635818288E-2</v>
      </c>
      <c r="S320" s="22">
        <v>3.8399676940954031E-2</v>
      </c>
      <c r="T320" s="19">
        <f t="shared" si="36"/>
        <v>3.7932334153047087E-2</v>
      </c>
      <c r="U320" s="24">
        <v>4.2764972376071908E-2</v>
      </c>
      <c r="V320" s="24">
        <f t="shared" si="37"/>
        <v>4.0699876537408475E-2</v>
      </c>
      <c r="W320" s="23">
        <f t="shared" si="38"/>
        <v>3.3285529538740199E-3</v>
      </c>
      <c r="X320" s="24">
        <v>4.1886326639153593E-2</v>
      </c>
      <c r="Y320" s="24">
        <f t="shared" si="39"/>
        <v>4.0120723874130793E-2</v>
      </c>
      <c r="Z320" s="23">
        <f t="shared" si="40"/>
        <v>3.2815146281361951E-3</v>
      </c>
      <c r="AA320" s="36"/>
    </row>
    <row r="321" spans="15:27" ht="13.9" customHeight="1" x14ac:dyDescent="0.3">
      <c r="O321" s="12">
        <f t="shared" si="34"/>
        <v>25.666666666666668</v>
      </c>
      <c r="P321" s="13">
        <v>308</v>
      </c>
      <c r="Q321" s="22">
        <v>3.815147832689747E-2</v>
      </c>
      <c r="R321" s="19">
        <f t="shared" si="35"/>
        <v>3.4358703000731516E-2</v>
      </c>
      <c r="S321" s="22">
        <v>3.8398159253797637E-2</v>
      </c>
      <c r="T321" s="19">
        <f t="shared" si="36"/>
        <v>3.798176460282332E-2</v>
      </c>
      <c r="U321" s="24">
        <v>4.2758260893110522E-2</v>
      </c>
      <c r="V321" s="24">
        <f t="shared" si="37"/>
        <v>4.071757160044176E-2</v>
      </c>
      <c r="W321" s="23">
        <f t="shared" si="38"/>
        <v>3.3299858773989666E-3</v>
      </c>
      <c r="X321" s="24">
        <v>4.1880589315757888E-2</v>
      </c>
      <c r="Y321" s="24">
        <f t="shared" si="39"/>
        <v>4.0144526474952702E-2</v>
      </c>
      <c r="Z321" s="23">
        <f t="shared" si="40"/>
        <v>3.2834443213962672E-3</v>
      </c>
      <c r="AA321" s="36"/>
    </row>
    <row r="322" spans="15:27" ht="13.9" customHeight="1" x14ac:dyDescent="0.3">
      <c r="O322" s="12">
        <f t="shared" si="34"/>
        <v>25.75</v>
      </c>
      <c r="P322" s="13">
        <v>309</v>
      </c>
      <c r="Q322" s="22">
        <v>3.8139181569639469E-2</v>
      </c>
      <c r="R322" s="19">
        <f t="shared" si="35"/>
        <v>3.4339615333002005E-2</v>
      </c>
      <c r="S322" s="22">
        <v>3.8396811428912381E-2</v>
      </c>
      <c r="T322" s="19">
        <f t="shared" si="36"/>
        <v>3.8030694485096772E-2</v>
      </c>
      <c r="U322" s="24">
        <v>4.2751650270934416E-2</v>
      </c>
      <c r="V322" s="24">
        <f t="shared" si="37"/>
        <v>4.0735127488016776E-2</v>
      </c>
      <c r="W322" s="23">
        <f t="shared" si="38"/>
        <v>3.3314075047565783E-3</v>
      </c>
      <c r="X322" s="24">
        <v>4.1874966318532492E-2</v>
      </c>
      <c r="Y322" s="24">
        <f t="shared" si="39"/>
        <v>4.016812720044749E-2</v>
      </c>
      <c r="Z322" s="23">
        <f t="shared" si="40"/>
        <v>3.2853576012934482E-3</v>
      </c>
      <c r="AA322" s="36"/>
    </row>
    <row r="323" spans="15:27" ht="13.9" customHeight="1" x14ac:dyDescent="0.3">
      <c r="O323" s="12">
        <f t="shared" si="34"/>
        <v>25.833333333333332</v>
      </c>
      <c r="P323" s="13">
        <v>310</v>
      </c>
      <c r="Q323" s="22">
        <v>3.8126902492539694E-2</v>
      </c>
      <c r="R323" s="19">
        <f t="shared" si="35"/>
        <v>3.432066625377761E-2</v>
      </c>
      <c r="S323" s="22">
        <v>3.8395630198934105E-2</v>
      </c>
      <c r="T323" s="19">
        <f t="shared" si="36"/>
        <v>3.807912922606449E-2</v>
      </c>
      <c r="U323" s="24">
        <v>4.2745139081185046E-2</v>
      </c>
      <c r="V323" s="24">
        <f t="shared" si="37"/>
        <v>4.0752545342997992E-2</v>
      </c>
      <c r="W323" s="23">
        <f t="shared" si="38"/>
        <v>3.3328179288143467E-3</v>
      </c>
      <c r="X323" s="24">
        <v>4.1869455885520157E-2</v>
      </c>
      <c r="Y323" s="24">
        <f t="shared" si="39"/>
        <v>4.0191527847262432E-2</v>
      </c>
      <c r="Z323" s="23">
        <f t="shared" si="40"/>
        <v>3.2872546145992221E-3</v>
      </c>
      <c r="AA323" s="36"/>
    </row>
    <row r="324" spans="15:27" ht="13.9" customHeight="1" x14ac:dyDescent="0.3">
      <c r="O324" s="12">
        <f t="shared" si="34"/>
        <v>25.916666666666668</v>
      </c>
      <c r="P324" s="13">
        <v>311</v>
      </c>
      <c r="Q324" s="22">
        <v>3.8114641371953084E-2</v>
      </c>
      <c r="R324" s="19">
        <f t="shared" si="35"/>
        <v>3.4301854391524333E-2</v>
      </c>
      <c r="S324" s="22">
        <v>3.8394612356291047E-2</v>
      </c>
      <c r="T324" s="19">
        <f t="shared" si="36"/>
        <v>3.8127074186392385E-2</v>
      </c>
      <c r="U324" s="24">
        <v>4.2738725917619513E-2</v>
      </c>
      <c r="V324" s="24">
        <f t="shared" si="37"/>
        <v>4.0769826295730338E-2</v>
      </c>
      <c r="W324" s="23">
        <f t="shared" si="38"/>
        <v>3.33421724190619E-3</v>
      </c>
      <c r="X324" s="24">
        <v>4.1864056283306139E-2</v>
      </c>
      <c r="Y324" s="24">
        <f t="shared" si="39"/>
        <v>4.0214730193435688E-2</v>
      </c>
      <c r="Z324" s="23">
        <f t="shared" si="40"/>
        <v>3.2891355067365957E-3</v>
      </c>
      <c r="AA324" s="36"/>
    </row>
    <row r="325" spans="15:27" ht="13.9" customHeight="1" x14ac:dyDescent="0.3">
      <c r="O325" s="12">
        <f t="shared" si="34"/>
        <v>26</v>
      </c>
      <c r="P325" s="13">
        <v>312</v>
      </c>
      <c r="Q325" s="22">
        <v>3.8102398476283827E-2</v>
      </c>
      <c r="R325" s="19">
        <f t="shared" si="35"/>
        <v>3.4283177529413678E-2</v>
      </c>
      <c r="S325" s="22">
        <v>3.8393754752026998E-2</v>
      </c>
      <c r="T325" s="19">
        <f t="shared" si="36"/>
        <v>3.8174534661078896E-2</v>
      </c>
      <c r="U325" s="24">
        <v>4.2732409395713988E-2</v>
      </c>
      <c r="V325" s="24">
        <f t="shared" si="37"/>
        <v>4.078697146747734E-2</v>
      </c>
      <c r="W325" s="23">
        <f t="shared" si="38"/>
        <v>3.3356055353508385E-3</v>
      </c>
      <c r="X325" s="24">
        <v>4.1858765806499276E-2</v>
      </c>
      <c r="Y325" s="24">
        <f t="shared" si="39"/>
        <v>4.0237736001033753E-2</v>
      </c>
      <c r="Z325" s="23">
        <f t="shared" si="40"/>
        <v>3.2910004216122335E-3</v>
      </c>
      <c r="AA325" s="36"/>
    </row>
    <row r="326" spans="15:27" ht="13.9" customHeight="1" x14ac:dyDescent="0.3">
      <c r="O326" s="12">
        <f t="shared" si="34"/>
        <v>26.083333333333332</v>
      </c>
      <c r="P326" s="13">
        <v>313</v>
      </c>
      <c r="Q326" s="22">
        <v>3.8090174063401872E-2</v>
      </c>
      <c r="R326" s="19">
        <f t="shared" si="35"/>
        <v>3.4264630901877702E-2</v>
      </c>
      <c r="S326" s="22">
        <v>3.8393054294645124E-2</v>
      </c>
      <c r="T326" s="19">
        <f t="shared" si="36"/>
        <v>3.8221515883115842E-2</v>
      </c>
      <c r="U326" s="24">
        <v>4.2726188152286682E-2</v>
      </c>
      <c r="V326" s="24">
        <f t="shared" si="37"/>
        <v>4.0803981969652181E-2</v>
      </c>
      <c r="W326" s="23">
        <f t="shared" si="38"/>
        <v>3.33698289972717E-3</v>
      </c>
      <c r="X326" s="24">
        <v>4.1853582777229947E-2</v>
      </c>
      <c r="Y326" s="24">
        <f t="shared" si="39"/>
        <v>4.0260547013993175E-2</v>
      </c>
      <c r="Z326" s="23">
        <f t="shared" si="40"/>
        <v>3.292849501829842E-3</v>
      </c>
      <c r="AA326" s="36"/>
    </row>
    <row r="327" spans="15:27" ht="13.9" customHeight="1" x14ac:dyDescent="0.3">
      <c r="O327" s="12">
        <f t="shared" si="34"/>
        <v>26.166666666666668</v>
      </c>
      <c r="P327" s="13">
        <v>314</v>
      </c>
      <c r="Q327" s="22">
        <v>3.8077968372662863E-2</v>
      </c>
      <c r="R327" s="19">
        <f t="shared" si="35"/>
        <v>3.4246212312601054E-2</v>
      </c>
      <c r="S327" s="22">
        <v>3.8392507948986854E-2</v>
      </c>
      <c r="T327" s="19">
        <f t="shared" si="36"/>
        <v>3.8268023020297193E-2</v>
      </c>
      <c r="U327" s="24">
        <v>4.2720060845124808E-2</v>
      </c>
      <c r="V327" s="24">
        <f t="shared" si="37"/>
        <v>4.082085890366427E-2</v>
      </c>
      <c r="W327" s="23">
        <f t="shared" si="38"/>
        <v>3.3383494248142576E-3</v>
      </c>
      <c r="X327" s="24">
        <v>4.1848505544652914E-2</v>
      </c>
      <c r="Y327" s="24">
        <f t="shared" si="39"/>
        <v>4.0283164961128604E-2</v>
      </c>
      <c r="Z327" s="23">
        <f t="shared" si="40"/>
        <v>3.294682888514977E-3</v>
      </c>
      <c r="AA327" s="36"/>
    </row>
    <row r="328" spans="15:27" ht="13.9" customHeight="1" x14ac:dyDescent="0.3">
      <c r="O328" s="12">
        <f t="shared" si="34"/>
        <v>26.25</v>
      </c>
      <c r="P328" s="13">
        <v>315</v>
      </c>
      <c r="Q328" s="22">
        <v>3.8065781633388918E-2</v>
      </c>
      <c r="R328" s="19">
        <f t="shared" si="35"/>
        <v>3.422792042523537E-2</v>
      </c>
      <c r="S328" s="22">
        <v>3.8392112735122108E-2</v>
      </c>
      <c r="T328" s="19">
        <f t="shared" si="36"/>
        <v>3.8314061179704151E-2</v>
      </c>
      <c r="U328" s="24">
        <v>4.27140261526191E-2</v>
      </c>
      <c r="V328" s="24">
        <f t="shared" si="37"/>
        <v>4.0837603362232189E-2</v>
      </c>
      <c r="W328" s="23">
        <f t="shared" si="38"/>
        <v>3.3397051995776028E-3</v>
      </c>
      <c r="X328" s="24">
        <v>4.1843532484467261E-2</v>
      </c>
      <c r="Y328" s="24">
        <f t="shared" si="39"/>
        <v>4.0305591553317477E-2</v>
      </c>
      <c r="Z328" s="23">
        <f t="shared" si="40"/>
        <v>3.2965007215590703E-3</v>
      </c>
      <c r="AA328" s="36"/>
    </row>
    <row r="329" spans="15:27" ht="13.9" customHeight="1" x14ac:dyDescent="0.3">
      <c r="O329" s="12">
        <f t="shared" si="34"/>
        <v>26.333333333333332</v>
      </c>
      <c r="P329" s="13">
        <v>316</v>
      </c>
      <c r="Q329" s="22">
        <v>3.8053614067758312E-2</v>
      </c>
      <c r="R329" s="19">
        <f t="shared" si="35"/>
        <v>3.4209753913657659E-2</v>
      </c>
      <c r="S329" s="22">
        <v>3.8391865727275043E-2</v>
      </c>
      <c r="T329" s="19">
        <f t="shared" si="36"/>
        <v>3.8359635406896242E-2</v>
      </c>
      <c r="U329" s="24">
        <v>4.270808277340854E-2</v>
      </c>
      <c r="V329" s="24">
        <f t="shared" si="37"/>
        <v>4.0854216426810419E-2</v>
      </c>
      <c r="W329" s="23">
        <f t="shared" si="38"/>
        <v>3.3410503122757174E-3</v>
      </c>
      <c r="X329" s="24">
        <v>4.1838661998438331E-2</v>
      </c>
      <c r="Y329" s="24">
        <f t="shared" si="39"/>
        <v>4.032782848465355E-2</v>
      </c>
      <c r="Z329" s="23">
        <f t="shared" si="40"/>
        <v>3.2983031393929441E-3</v>
      </c>
      <c r="AA329" s="36"/>
    </row>
    <row r="330" spans="15:27" ht="13.9" customHeight="1" x14ac:dyDescent="0.3">
      <c r="O330" s="12">
        <f t="shared" si="34"/>
        <v>26.416666666666668</v>
      </c>
      <c r="P330" s="13">
        <v>317</v>
      </c>
      <c r="Q330" s="22">
        <v>3.8041465890950477E-2</v>
      </c>
      <c r="R330" s="19">
        <f t="shared" si="35"/>
        <v>3.419171145560207E-2</v>
      </c>
      <c r="S330" s="22">
        <v>3.8391764052767119E-2</v>
      </c>
      <c r="T330" s="19">
        <f t="shared" si="36"/>
        <v>3.8404750686644507E-2</v>
      </c>
      <c r="U330" s="24">
        <v>4.270222942602464E-2</v>
      </c>
      <c r="V330" s="24">
        <f t="shared" si="37"/>
        <v>4.0870699170643565E-2</v>
      </c>
      <c r="W330" s="23">
        <f t="shared" si="38"/>
        <v>3.3423848502536213E-3</v>
      </c>
      <c r="X330" s="24">
        <v>4.1833892513930548E-2</v>
      </c>
      <c r="Y330" s="24">
        <f t="shared" si="39"/>
        <v>4.0349877433895953E-2</v>
      </c>
      <c r="Z330" s="23">
        <f t="shared" si="40"/>
        <v>3.300090279079404E-3</v>
      </c>
      <c r="AA330" s="36"/>
    </row>
    <row r="331" spans="15:27" ht="13.9" customHeight="1" x14ac:dyDescent="0.3">
      <c r="O331" s="12">
        <f t="shared" si="34"/>
        <v>26.5</v>
      </c>
      <c r="P331" s="13">
        <v>318</v>
      </c>
      <c r="Q331" s="22">
        <v>3.8029337311267897E-2</v>
      </c>
      <c r="R331" s="19">
        <f t="shared" si="35"/>
        <v>3.4173790903182955E-2</v>
      </c>
      <c r="S331" s="22">
        <v>3.8391804890983927E-2</v>
      </c>
      <c r="T331" s="19">
        <f t="shared" si="36"/>
        <v>3.8449411944156964E-2</v>
      </c>
      <c r="U331" s="24">
        <v>4.2696464848551052E-2</v>
      </c>
      <c r="V331" s="24">
        <f t="shared" si="37"/>
        <v>4.0887052656525036E-2</v>
      </c>
      <c r="W331" s="23">
        <f t="shared" si="38"/>
        <v>3.3437089001873144E-3</v>
      </c>
      <c r="X331" s="24">
        <v>4.1829222483455553E-2</v>
      </c>
      <c r="Y331" s="24">
        <f t="shared" si="39"/>
        <v>4.0371740063624761E-2</v>
      </c>
      <c r="Z331" s="23">
        <f t="shared" si="40"/>
        <v>3.3018622764307004E-3</v>
      </c>
      <c r="AA331" s="36"/>
    </row>
    <row r="332" spans="15:27" ht="13.9" customHeight="1" x14ac:dyDescent="0.3">
      <c r="O332" s="12">
        <f t="shared" si="34"/>
        <v>26.583333333333332</v>
      </c>
      <c r="P332" s="13">
        <v>319</v>
      </c>
      <c r="Q332" s="22">
        <v>3.8017228527646552E-2</v>
      </c>
      <c r="R332" s="19">
        <f t="shared" si="35"/>
        <v>3.415598760489158E-2</v>
      </c>
      <c r="S332" s="22">
        <v>3.8391985472364221E-2</v>
      </c>
      <c r="T332" s="19">
        <f t="shared" si="36"/>
        <v>3.8493624046890718E-2</v>
      </c>
      <c r="U332" s="24">
        <v>4.2690787798283614E-2</v>
      </c>
      <c r="V332" s="24">
        <f t="shared" si="37"/>
        <v>4.0903277939924321E-2</v>
      </c>
      <c r="W332" s="23">
        <f t="shared" si="38"/>
        <v>3.34502254790503E-3</v>
      </c>
      <c r="X332" s="24">
        <v>4.1824650384224782E-2</v>
      </c>
      <c r="Y332" s="24">
        <f t="shared" si="39"/>
        <v>4.0393418021092087E-2</v>
      </c>
      <c r="Z332" s="23">
        <f t="shared" si="40"/>
        <v>3.3036192659403607E-3</v>
      </c>
      <c r="AA332" s="36"/>
    </row>
    <row r="333" spans="15:27" ht="13.9" customHeight="1" x14ac:dyDescent="0.3">
      <c r="O333" s="12">
        <f t="shared" si="34"/>
        <v>26.666666666666668</v>
      </c>
      <c r="P333" s="13">
        <v>320</v>
      </c>
      <c r="Q333" s="22">
        <v>3.8005139721948522E-2</v>
      </c>
      <c r="R333" s="19">
        <f t="shared" si="35"/>
        <v>3.413829943054747E-2</v>
      </c>
      <c r="S333" s="22">
        <v>3.8392303077414702E-2</v>
      </c>
      <c r="T333" s="19">
        <f t="shared" si="36"/>
        <v>3.853739180280491E-2</v>
      </c>
      <c r="U333" s="24">
        <v>4.2685197051405499E-2</v>
      </c>
      <c r="V333" s="24">
        <f t="shared" si="37"/>
        <v>4.0919376063799362E-2</v>
      </c>
      <c r="W333" s="23">
        <f t="shared" si="38"/>
        <v>3.3463258786385897E-3</v>
      </c>
      <c r="X333" s="24">
        <v>4.1820174717714043E-2</v>
      </c>
      <c r="Y333" s="24">
        <f t="shared" si="39"/>
        <v>4.0414912935199387E-2</v>
      </c>
      <c r="Z333" s="23">
        <f t="shared" si="40"/>
        <v>3.3053613808531335E-3</v>
      </c>
      <c r="AA333" s="36"/>
    </row>
    <row r="334" spans="15:27" ht="13.9" customHeight="1" x14ac:dyDescent="0.3">
      <c r="O334" s="12">
        <f t="shared" ref="O334:O397" si="41">P334/12</f>
        <v>26.75</v>
      </c>
      <c r="P334" s="13">
        <v>321</v>
      </c>
      <c r="Q334" s="22">
        <v>3.7993071067111694E-2</v>
      </c>
      <c r="R334" s="19">
        <f t="shared" ref="R334:R397" si="42">(1+Q335)^P335/(1+Q334)^P334-1</f>
        <v>3.4120725093418125E-2</v>
      </c>
      <c r="S334" s="22">
        <v>3.8392755035737691E-2</v>
      </c>
      <c r="T334" s="19">
        <f t="shared" ref="T334:T397" si="43">(1+S335)^P335/(1+S334)^P334-1</f>
        <v>3.8580719964238064E-2</v>
      </c>
      <c r="U334" s="24">
        <v>4.2679691402653708E-2</v>
      </c>
      <c r="V334" s="24">
        <f t="shared" ref="V334:V397" si="44">(1+U335)^P335/(1+U334)^P334-1</f>
        <v>4.0935348065638699E-2</v>
      </c>
      <c r="W334" s="23">
        <f t="shared" si="38"/>
        <v>3.3476189766059594E-3</v>
      </c>
      <c r="X334" s="24">
        <v>4.1815794009226082E-2</v>
      </c>
      <c r="Y334" s="24">
        <f t="shared" si="39"/>
        <v>4.0436226423176569E-2</v>
      </c>
      <c r="Z334" s="23">
        <f t="shared" si="40"/>
        <v>3.3070887529205173E-3</v>
      </c>
      <c r="AA334" s="36"/>
    </row>
    <row r="335" spans="15:27" ht="13.9" customHeight="1" x14ac:dyDescent="0.3">
      <c r="O335" s="12">
        <f t="shared" si="41"/>
        <v>26.833333333333332</v>
      </c>
      <c r="P335" s="13">
        <v>322</v>
      </c>
      <c r="Q335" s="22">
        <v>3.798102272991799E-2</v>
      </c>
      <c r="R335" s="19">
        <f t="shared" si="42"/>
        <v>3.4103263313702614E-2</v>
      </c>
      <c r="S335" s="22">
        <v>3.8393338725088988E-2</v>
      </c>
      <c r="T335" s="19">
        <f t="shared" si="43"/>
        <v>3.8623613225684306E-2</v>
      </c>
      <c r="U335" s="24">
        <v>4.2674269665011977E-2</v>
      </c>
      <c r="V335" s="24">
        <f t="shared" si="44"/>
        <v>4.0951194970917593E-2</v>
      </c>
      <c r="W335" s="23">
        <f t="shared" ref="W335:W398" si="45">(1+V334)^(1/12)-1</f>
        <v>3.3489019255772412E-3</v>
      </c>
      <c r="X335" s="24">
        <v>4.1811506807483134E-2</v>
      </c>
      <c r="Y335" s="24">
        <f t="shared" ref="Y335:Y398" si="46">(1+X336)^P336/(1+X335)^P335-1</f>
        <v>4.0457360082995164E-2</v>
      </c>
      <c r="Z335" s="23">
        <f t="shared" ref="Z335:Z398" si="47">(1+Y334)^(1/12)-1</f>
        <v>3.3088015129398851E-3</v>
      </c>
      <c r="AA335" s="36"/>
    </row>
    <row r="336" spans="15:27" ht="13.9" customHeight="1" x14ac:dyDescent="0.3">
      <c r="O336" s="12">
        <f t="shared" si="41"/>
        <v>26.916666666666668</v>
      </c>
      <c r="P336" s="13">
        <v>323</v>
      </c>
      <c r="Q336" s="22">
        <v>3.7968994871109274E-2</v>
      </c>
      <c r="R336" s="19">
        <f t="shared" si="42"/>
        <v>3.4085912817982011E-2</v>
      </c>
      <c r="S336" s="22">
        <v>3.8394051570446619E-2</v>
      </c>
      <c r="T336" s="19">
        <f t="shared" si="43"/>
        <v>3.86660762280715E-2</v>
      </c>
      <c r="U336" s="24">
        <v>4.2668930669390592E-2</v>
      </c>
      <c r="V336" s="24">
        <f t="shared" si="44"/>
        <v>4.0966917799054814E-2</v>
      </c>
      <c r="W336" s="23">
        <f t="shared" si="45"/>
        <v>3.3501748083504257E-3</v>
      </c>
      <c r="X336" s="24">
        <v>4.1807311684202375E-2</v>
      </c>
      <c r="Y336" s="24">
        <f t="shared" si="46"/>
        <v>4.0478315500851458E-2</v>
      </c>
      <c r="Z336" s="23">
        <f t="shared" si="47"/>
        <v>3.3104997901438615E-3</v>
      </c>
      <c r="AA336" s="36"/>
    </row>
    <row r="337" spans="15:27" ht="13.9" customHeight="1" x14ac:dyDescent="0.3">
      <c r="O337" s="12">
        <f t="shared" si="41"/>
        <v>27</v>
      </c>
      <c r="P337" s="13">
        <v>324</v>
      </c>
      <c r="Q337" s="22">
        <v>3.7956987645500817E-2</v>
      </c>
      <c r="R337" s="19">
        <f t="shared" si="42"/>
        <v>3.4068671520642635E-2</v>
      </c>
      <c r="S337" s="22">
        <v>3.8394891043110446E-2</v>
      </c>
      <c r="T337" s="19">
        <f t="shared" si="43"/>
        <v>3.8708113555361967E-2</v>
      </c>
      <c r="U337" s="24">
        <v>4.2663673264329516E-2</v>
      </c>
      <c r="V337" s="24">
        <f t="shared" si="44"/>
        <v>4.0982517556982234E-2</v>
      </c>
      <c r="W337" s="23">
        <f t="shared" si="45"/>
        <v>3.3514377072281221E-3</v>
      </c>
      <c r="X337" s="24">
        <v>4.1803207233703343E-2</v>
      </c>
      <c r="Y337" s="24">
        <f t="shared" si="46"/>
        <v>4.0499094245235678E-2</v>
      </c>
      <c r="Z337" s="23">
        <f t="shared" si="47"/>
        <v>3.3121837128020637E-3</v>
      </c>
      <c r="AA337" s="36"/>
    </row>
    <row r="338" spans="15:27" ht="13.9" customHeight="1" x14ac:dyDescent="0.3">
      <c r="O338" s="12">
        <f t="shared" si="41"/>
        <v>27.083333333333332</v>
      </c>
      <c r="P338" s="13">
        <v>325</v>
      </c>
      <c r="Q338" s="22">
        <v>3.7945001199563677E-2</v>
      </c>
      <c r="R338" s="19">
        <f t="shared" si="42"/>
        <v>3.4051534880836565E-2</v>
      </c>
      <c r="S338" s="22">
        <v>3.8395854659807993E-2</v>
      </c>
      <c r="T338" s="19">
        <f t="shared" si="43"/>
        <v>3.8749729738829508E-2</v>
      </c>
      <c r="U338" s="24">
        <v>4.265849631568841E-2</v>
      </c>
      <c r="V338" s="24">
        <f t="shared" si="44"/>
        <v>4.0997995245975583E-2</v>
      </c>
      <c r="W338" s="23">
        <f t="shared" si="45"/>
        <v>3.3526907035026365E-3</v>
      </c>
      <c r="X338" s="24">
        <v>4.1799192072504043E-2</v>
      </c>
      <c r="Y338" s="24">
        <f t="shared" si="46"/>
        <v>4.0519697871367999E-2</v>
      </c>
      <c r="Z338" s="23">
        <f t="shared" si="47"/>
        <v>3.3138534077454818E-3</v>
      </c>
      <c r="AA338" s="36"/>
    </row>
    <row r="339" spans="15:27" ht="13.9" customHeight="1" x14ac:dyDescent="0.3">
      <c r="O339" s="12">
        <f t="shared" si="41"/>
        <v>27.166666666666668</v>
      </c>
      <c r="P339" s="13">
        <v>326</v>
      </c>
      <c r="Q339" s="22">
        <v>3.7933035663992865E-2</v>
      </c>
      <c r="R339" s="19">
        <f t="shared" si="42"/>
        <v>3.403450083007753E-2</v>
      </c>
      <c r="S339" s="22">
        <v>3.8396939981829581E-2</v>
      </c>
      <c r="T339" s="19">
        <f t="shared" si="43"/>
        <v>3.8790929256047546E-2</v>
      </c>
      <c r="U339" s="24">
        <v>4.2653398706361756E-2</v>
      </c>
      <c r="V339" s="24">
        <f t="shared" si="44"/>
        <v>4.1013351857515312E-2</v>
      </c>
      <c r="W339" s="23">
        <f t="shared" si="45"/>
        <v>3.3539338780042005E-3</v>
      </c>
      <c r="X339" s="24">
        <v>4.1795264838937918E-2</v>
      </c>
      <c r="Y339" s="24">
        <f t="shared" si="46"/>
        <v>4.054012791797712E-2</v>
      </c>
      <c r="Z339" s="23">
        <f t="shared" si="47"/>
        <v>3.3155090007226384E-3</v>
      </c>
      <c r="AA339" s="36"/>
    </row>
    <row r="340" spans="15:27" ht="13.9" customHeight="1" x14ac:dyDescent="0.3">
      <c r="O340" s="12">
        <f t="shared" si="41"/>
        <v>27.25</v>
      </c>
      <c r="P340" s="13">
        <v>327</v>
      </c>
      <c r="Q340" s="22">
        <v>3.7921091161537968E-2</v>
      </c>
      <c r="R340" s="19">
        <f t="shared" si="42"/>
        <v>3.4017568126153863E-2</v>
      </c>
      <c r="S340" s="22">
        <v>3.8398144614177454E-2</v>
      </c>
      <c r="T340" s="19">
        <f t="shared" si="43"/>
        <v>3.8831716532285787E-2</v>
      </c>
      <c r="U340" s="24">
        <v>4.2648379335987974E-2</v>
      </c>
      <c r="V340" s="24">
        <f t="shared" si="44"/>
        <v>4.1028588374388164E-2</v>
      </c>
      <c r="W340" s="23">
        <f t="shared" si="45"/>
        <v>3.3551673107687918E-3</v>
      </c>
      <c r="X340" s="24">
        <v>4.1791424192768378E-2</v>
      </c>
      <c r="Y340" s="24">
        <f t="shared" si="46"/>
        <v>4.0560385912270958E-2</v>
      </c>
      <c r="Z340" s="23">
        <f t="shared" si="47"/>
        <v>3.3171506161413511E-3</v>
      </c>
      <c r="AA340" s="36"/>
    </row>
    <row r="341" spans="15:27" ht="13.9" customHeight="1" x14ac:dyDescent="0.3">
      <c r="O341" s="12">
        <f t="shared" si="41"/>
        <v>27.333333333333332</v>
      </c>
      <c r="P341" s="13">
        <v>328</v>
      </c>
      <c r="Q341" s="22">
        <v>3.7909167809651922E-2</v>
      </c>
      <c r="R341" s="19">
        <f t="shared" si="42"/>
        <v>3.400073553394023E-2</v>
      </c>
      <c r="S341" s="22">
        <v>3.8399466204734001E-2</v>
      </c>
      <c r="T341" s="19">
        <f t="shared" si="43"/>
        <v>3.8872095939995743E-2</v>
      </c>
      <c r="U341" s="24">
        <v>4.2643437120666539E-2</v>
      </c>
      <c r="V341" s="24">
        <f t="shared" si="44"/>
        <v>4.1043705770542616E-2</v>
      </c>
      <c r="W341" s="23">
        <f t="shared" si="45"/>
        <v>3.3563910811265085E-3</v>
      </c>
      <c r="X341" s="24">
        <v>4.1787668814825318E-2</v>
      </c>
      <c r="Y341" s="24">
        <f t="shared" si="46"/>
        <v>4.0580473363091007E-2</v>
      </c>
      <c r="Z341" s="23">
        <f t="shared" si="47"/>
        <v>3.318778377467968E-3</v>
      </c>
      <c r="AA341" s="36"/>
    </row>
    <row r="342" spans="15:27" ht="13.9" customHeight="1" x14ac:dyDescent="0.3">
      <c r="O342" s="12">
        <f t="shared" si="41"/>
        <v>27.416666666666668</v>
      </c>
      <c r="P342" s="13">
        <v>329</v>
      </c>
      <c r="Q342" s="22">
        <v>3.7897265720594042E-2</v>
      </c>
      <c r="R342" s="19">
        <f t="shared" si="42"/>
        <v>3.3984001823702537E-2</v>
      </c>
      <c r="S342" s="22">
        <v>3.8400902443443519E-2</v>
      </c>
      <c r="T342" s="19">
        <f t="shared" si="43"/>
        <v>3.8912071801709969E-2</v>
      </c>
      <c r="U342" s="24">
        <v>4.2638570992679981E-2</v>
      </c>
      <c r="V342" s="24">
        <f t="shared" si="44"/>
        <v>4.1058705011957519E-2</v>
      </c>
      <c r="W342" s="23">
        <f t="shared" si="45"/>
        <v>3.3576052676902446E-3</v>
      </c>
      <c r="X342" s="24">
        <v>4.1783997406628082E-2</v>
      </c>
      <c r="Y342" s="24">
        <f t="shared" si="46"/>
        <v>4.0600391768030653E-2</v>
      </c>
      <c r="Z342" s="23">
        <f t="shared" si="47"/>
        <v>3.320392406678474E-3</v>
      </c>
      <c r="AA342" s="36"/>
    </row>
    <row r="343" spans="15:27" ht="13.9" customHeight="1" x14ac:dyDescent="0.3">
      <c r="O343" s="12">
        <f t="shared" si="41"/>
        <v>27.5</v>
      </c>
      <c r="P343" s="13">
        <v>330</v>
      </c>
      <c r="Q343" s="22">
        <v>3.7885385001524385E-2</v>
      </c>
      <c r="R343" s="19">
        <f t="shared" si="42"/>
        <v>3.3967364967846914E-2</v>
      </c>
      <c r="S343" s="22">
        <v>3.8402451061519294E-2</v>
      </c>
      <c r="T343" s="19">
        <f t="shared" si="43"/>
        <v>3.8951648388705351E-2</v>
      </c>
      <c r="U343" s="24">
        <v>4.2633779900223878E-2</v>
      </c>
      <c r="V343" s="24">
        <f t="shared" si="44"/>
        <v>4.1073587056579708E-2</v>
      </c>
      <c r="W343" s="23">
        <f t="shared" si="45"/>
        <v>3.358809948425634E-3</v>
      </c>
      <c r="X343" s="24">
        <v>4.1780408690035742E-2</v>
      </c>
      <c r="Y343" s="24">
        <f t="shared" si="46"/>
        <v>4.0620142609303578E-2</v>
      </c>
      <c r="Z343" s="23">
        <f t="shared" si="47"/>
        <v>3.3219928248300334E-3</v>
      </c>
      <c r="AA343" s="36"/>
    </row>
    <row r="344" spans="15:27" ht="13.9" customHeight="1" x14ac:dyDescent="0.3">
      <c r="O344" s="12">
        <f t="shared" si="41"/>
        <v>27.583333333333332</v>
      </c>
      <c r="P344" s="13">
        <v>331</v>
      </c>
      <c r="Q344" s="22">
        <v>3.7873525752161408E-2</v>
      </c>
      <c r="R344" s="19">
        <f t="shared" si="42"/>
        <v>3.3950820532416159E-2</v>
      </c>
      <c r="S344" s="22">
        <v>3.8404109830659117E-2</v>
      </c>
      <c r="T344" s="19">
        <f t="shared" si="43"/>
        <v>3.89908299226569E-2</v>
      </c>
      <c r="U344" s="24">
        <v>4.2629062807140627E-2</v>
      </c>
      <c r="V344" s="24">
        <f t="shared" si="44"/>
        <v>4.1088352853335675E-2</v>
      </c>
      <c r="W344" s="23">
        <f t="shared" si="45"/>
        <v>3.3600052006463876E-3</v>
      </c>
      <c r="X344" s="24">
        <v>4.1776901406892275E-2</v>
      </c>
      <c r="Y344" s="24">
        <f t="shared" si="46"/>
        <v>4.0639727355631594E-2</v>
      </c>
      <c r="Z344" s="23">
        <f t="shared" si="47"/>
        <v>3.3235797517294774E-3</v>
      </c>
      <c r="AA344" s="36"/>
    </row>
    <row r="345" spans="15:27" ht="13.9" customHeight="1" x14ac:dyDescent="0.3">
      <c r="O345" s="12">
        <f t="shared" si="41"/>
        <v>27.666666666666668</v>
      </c>
      <c r="P345" s="13">
        <v>332</v>
      </c>
      <c r="Q345" s="22">
        <v>3.7861688057618359E-2</v>
      </c>
      <c r="R345" s="19">
        <f t="shared" si="42"/>
        <v>3.3934366505390612E-2</v>
      </c>
      <c r="S345" s="22">
        <v>3.8405876562282115E-2</v>
      </c>
      <c r="T345" s="19">
        <f t="shared" si="43"/>
        <v>3.902962057586179E-2</v>
      </c>
      <c r="U345" s="24">
        <v>4.262441869265654E-2</v>
      </c>
      <c r="V345" s="24">
        <f t="shared" si="44"/>
        <v>4.1103003343299527E-2</v>
      </c>
      <c r="W345" s="23">
        <f t="shared" si="45"/>
        <v>3.3611911009345796E-3</v>
      </c>
      <c r="X345" s="24">
        <v>4.1773474318683723E-2</v>
      </c>
      <c r="Y345" s="24">
        <f t="shared" si="46"/>
        <v>4.0659147460924583E-2</v>
      </c>
      <c r="Z345" s="23">
        <f t="shared" si="47"/>
        <v>3.3251533060854044E-3</v>
      </c>
      <c r="AA345" s="36"/>
    </row>
    <row r="346" spans="15:27" ht="13.9" customHeight="1" x14ac:dyDescent="0.3">
      <c r="O346" s="12">
        <f t="shared" si="41"/>
        <v>27.75</v>
      </c>
      <c r="P346" s="13">
        <v>333</v>
      </c>
      <c r="Q346" s="22">
        <v>3.7849871995923046E-2</v>
      </c>
      <c r="R346" s="19">
        <f t="shared" si="42"/>
        <v>3.3918001685944166E-2</v>
      </c>
      <c r="S346" s="22">
        <v>3.8407749106778244E-2</v>
      </c>
      <c r="T346" s="19">
        <f t="shared" si="43"/>
        <v>3.9068024472689311E-2</v>
      </c>
      <c r="U346" s="24">
        <v>4.2619846551125828E-2</v>
      </c>
      <c r="V346" s="24">
        <f t="shared" si="44"/>
        <v>4.1117539459209818E-2</v>
      </c>
      <c r="W346" s="23">
        <f t="shared" si="45"/>
        <v>3.3623677252343498E-3</v>
      </c>
      <c r="X346" s="24">
        <v>4.1770126206197133E-2</v>
      </c>
      <c r="Y346" s="24">
        <f t="shared" si="46"/>
        <v>4.0678404366883525E-2</v>
      </c>
      <c r="Z346" s="23">
        <f t="shared" si="47"/>
        <v>3.3267136054018209E-3</v>
      </c>
      <c r="AA346" s="36"/>
    </row>
    <row r="347" spans="15:27" ht="13.9" customHeight="1" x14ac:dyDescent="0.3">
      <c r="O347" s="12">
        <f t="shared" si="41"/>
        <v>27.833333333333332</v>
      </c>
      <c r="P347" s="13">
        <v>334</v>
      </c>
      <c r="Q347" s="22">
        <v>3.7838077640562018E-2</v>
      </c>
      <c r="R347" s="19">
        <f t="shared" si="42"/>
        <v>3.3901724879429107E-2</v>
      </c>
      <c r="S347" s="22">
        <v>3.8409725352777313E-2</v>
      </c>
      <c r="T347" s="19">
        <f t="shared" si="43"/>
        <v>3.9106045689262903E-2</v>
      </c>
      <c r="U347" s="24">
        <v>4.2615345391778803E-2</v>
      </c>
      <c r="V347" s="24">
        <f t="shared" si="44"/>
        <v>4.1131962126472077E-2</v>
      </c>
      <c r="W347" s="23">
        <f t="shared" si="45"/>
        <v>3.3635351488143783E-3</v>
      </c>
      <c r="X347" s="24">
        <v>4.1766855869193709E-2</v>
      </c>
      <c r="Y347" s="24">
        <f t="shared" si="46"/>
        <v>4.0697499500318424E-2</v>
      </c>
      <c r="Z347" s="23">
        <f t="shared" si="47"/>
        <v>3.3282607661888619E-3</v>
      </c>
      <c r="AA347" s="36"/>
    </row>
    <row r="348" spans="15:27" ht="13.9" customHeight="1" x14ac:dyDescent="0.3">
      <c r="O348" s="12">
        <f t="shared" si="41"/>
        <v>27.916666666666668</v>
      </c>
      <c r="P348" s="13">
        <v>335</v>
      </c>
      <c r="Q348" s="22">
        <v>3.7826305060566279E-2</v>
      </c>
      <c r="R348" s="19">
        <f t="shared" si="42"/>
        <v>3.3885534896021641E-2</v>
      </c>
      <c r="S348" s="22">
        <v>3.8411803226429564E-2</v>
      </c>
      <c r="T348" s="19">
        <f t="shared" si="43"/>
        <v>3.9143688253891584E-2</v>
      </c>
      <c r="U348" s="24">
        <v>4.2610914238476738E-2</v>
      </c>
      <c r="V348" s="24">
        <f t="shared" si="44"/>
        <v>4.1146272261241901E-2</v>
      </c>
      <c r="W348" s="23">
        <f t="shared" si="45"/>
        <v>3.3646934463471556E-3</v>
      </c>
      <c r="X348" s="24">
        <v>4.1763662126080181E-2</v>
      </c>
      <c r="Y348" s="24">
        <f t="shared" si="46"/>
        <v>4.071643427519489E-2</v>
      </c>
      <c r="Z348" s="23">
        <f t="shared" si="47"/>
        <v>3.329794903745853E-3</v>
      </c>
      <c r="AA348" s="36"/>
    </row>
    <row r="349" spans="15:27" ht="13.9" customHeight="1" x14ac:dyDescent="0.3">
      <c r="O349" s="12">
        <f t="shared" si="41"/>
        <v>28</v>
      </c>
      <c r="P349" s="13">
        <v>336</v>
      </c>
      <c r="Q349" s="22">
        <v>3.7814554320592553E-2</v>
      </c>
      <c r="R349" s="19">
        <f t="shared" si="42"/>
        <v>3.3869429762951153E-2</v>
      </c>
      <c r="S349" s="22">
        <v>3.8413980690700456E-2</v>
      </c>
      <c r="T349" s="19">
        <f t="shared" si="43"/>
        <v>3.9180956150215218E-2</v>
      </c>
      <c r="U349" s="24">
        <v>4.2606552129465847E-2</v>
      </c>
      <c r="V349" s="24">
        <f t="shared" si="44"/>
        <v>4.1160470773497826E-2</v>
      </c>
      <c r="W349" s="23">
        <f t="shared" si="45"/>
        <v>3.3658426917564377E-3</v>
      </c>
      <c r="X349" s="24">
        <v>4.1760543813591733E-2</v>
      </c>
      <c r="Y349" s="24">
        <f t="shared" si="46"/>
        <v>4.0735210093168384E-2</v>
      </c>
      <c r="Z349" s="23">
        <f t="shared" si="47"/>
        <v>3.3313161323273999E-3</v>
      </c>
      <c r="AA349" s="36"/>
    </row>
    <row r="350" spans="15:27" ht="13.9" customHeight="1" x14ac:dyDescent="0.3">
      <c r="O350" s="12">
        <f t="shared" si="41"/>
        <v>28.083333333333332</v>
      </c>
      <c r="P350" s="13">
        <v>337</v>
      </c>
      <c r="Q350" s="22">
        <v>3.7802825478655544E-2</v>
      </c>
      <c r="R350" s="19">
        <f t="shared" si="42"/>
        <v>3.3853405146169635E-2</v>
      </c>
      <c r="S350" s="22">
        <v>3.8416255744687655E-2</v>
      </c>
      <c r="T350" s="19">
        <f t="shared" si="43"/>
        <v>3.9217853313495921E-2</v>
      </c>
      <c r="U350" s="24">
        <v>4.2602258117145242E-2</v>
      </c>
      <c r="V350" s="24">
        <f t="shared" si="44"/>
        <v>4.1174558562957708E-2</v>
      </c>
      <c r="W350" s="23">
        <f t="shared" si="45"/>
        <v>3.3669829584628275E-3</v>
      </c>
      <c r="X350" s="24">
        <v>4.1757499786482022E-2</v>
      </c>
      <c r="Y350" s="24">
        <f t="shared" si="46"/>
        <v>4.0753828339954001E-2</v>
      </c>
      <c r="Z350" s="23">
        <f t="shared" si="47"/>
        <v>3.332824565185577E-3</v>
      </c>
      <c r="AA350" s="36"/>
    </row>
    <row r="351" spans="15:27" ht="13.9" customHeight="1" x14ac:dyDescent="0.3">
      <c r="O351" s="12">
        <f t="shared" si="41"/>
        <v>28.166666666666668</v>
      </c>
      <c r="P351" s="13">
        <v>338</v>
      </c>
      <c r="Q351" s="22">
        <v>3.7791118579213689E-2</v>
      </c>
      <c r="R351" s="19">
        <f t="shared" si="42"/>
        <v>3.3837459088492006E-2</v>
      </c>
      <c r="S351" s="22">
        <v>3.8418626422939139E-2</v>
      </c>
      <c r="T351" s="19">
        <f t="shared" si="43"/>
        <v>3.9254383636043499E-2</v>
      </c>
      <c r="U351" s="24">
        <v>4.2598031267825798E-2</v>
      </c>
      <c r="V351" s="24">
        <f t="shared" si="44"/>
        <v>4.1188536525555541E-2</v>
      </c>
      <c r="W351" s="23">
        <f t="shared" si="45"/>
        <v>3.3681143190571472E-3</v>
      </c>
      <c r="X351" s="24">
        <v>4.1754528917208766E-2</v>
      </c>
      <c r="Y351" s="24">
        <f t="shared" si="46"/>
        <v>4.0772290392707466E-2</v>
      </c>
      <c r="Z351" s="23">
        <f t="shared" si="47"/>
        <v>3.3343203142797151E-3</v>
      </c>
      <c r="AA351" s="36"/>
    </row>
    <row r="352" spans="15:27" ht="13.9" customHeight="1" x14ac:dyDescent="0.3">
      <c r="O352" s="12">
        <f t="shared" si="41"/>
        <v>28.25</v>
      </c>
      <c r="P352" s="13">
        <v>339</v>
      </c>
      <c r="Q352" s="22">
        <v>3.7779433660407369E-2</v>
      </c>
      <c r="R352" s="19">
        <f t="shared" si="42"/>
        <v>3.3821590425183512E-2</v>
      </c>
      <c r="S352" s="22">
        <v>3.8421090794799939E-2</v>
      </c>
      <c r="T352" s="19">
        <f t="shared" si="43"/>
        <v>3.9290550963286819E-2</v>
      </c>
      <c r="U352" s="24">
        <v>4.2593870661513433E-2</v>
      </c>
      <c r="V352" s="24">
        <f t="shared" si="44"/>
        <v>4.1202405544289666E-2</v>
      </c>
      <c r="W352" s="23">
        <f t="shared" si="45"/>
        <v>3.3692368458193567E-3</v>
      </c>
      <c r="X352" s="24">
        <v>4.1751630095645753E-2</v>
      </c>
      <c r="Y352" s="24">
        <f t="shared" si="46"/>
        <v>4.0790597610667945E-2</v>
      </c>
      <c r="Z352" s="23">
        <f t="shared" si="47"/>
        <v>3.3358034908679279E-3</v>
      </c>
      <c r="AA352" s="36"/>
    </row>
    <row r="353" spans="15:27" ht="13.9" customHeight="1" x14ac:dyDescent="0.3">
      <c r="O353" s="12">
        <f t="shared" si="41"/>
        <v>28.333333333333332</v>
      </c>
      <c r="P353" s="13">
        <v>340</v>
      </c>
      <c r="Q353" s="22">
        <v>3.7767770756490737E-2</v>
      </c>
      <c r="R353" s="19">
        <f t="shared" si="42"/>
        <v>3.3805797998766707E-2</v>
      </c>
      <c r="S353" s="22">
        <v>3.8423646963758218E-2</v>
      </c>
      <c r="T353" s="19">
        <f t="shared" si="43"/>
        <v>3.9326359097703989E-2</v>
      </c>
      <c r="U353" s="24">
        <v>4.258977539166886E-2</v>
      </c>
      <c r="V353" s="24">
        <f t="shared" si="44"/>
        <v>4.1216166499029594E-2</v>
      </c>
      <c r="W353" s="23">
        <f t="shared" si="45"/>
        <v>3.370350609985584E-3</v>
      </c>
      <c r="X353" s="24">
        <v>4.1748802228773085E-2</v>
      </c>
      <c r="Y353" s="24">
        <f t="shared" si="46"/>
        <v>4.0808751344813432E-2</v>
      </c>
      <c r="Z353" s="23">
        <f t="shared" si="47"/>
        <v>3.3372742047572679E-3</v>
      </c>
      <c r="AA353" s="36"/>
    </row>
    <row r="354" spans="15:27" ht="13.9" customHeight="1" x14ac:dyDescent="0.3">
      <c r="O354" s="12">
        <f t="shared" si="41"/>
        <v>28.416666666666668</v>
      </c>
      <c r="P354" s="13">
        <v>341</v>
      </c>
      <c r="Q354" s="22">
        <v>3.7756129897910773E-2</v>
      </c>
      <c r="R354" s="19">
        <f t="shared" si="42"/>
        <v>3.3790080655338395E-2</v>
      </c>
      <c r="S354" s="22">
        <v>3.8426293066815331E-2</v>
      </c>
      <c r="T354" s="19">
        <f t="shared" si="43"/>
        <v>3.9361811798082069E-2</v>
      </c>
      <c r="U354" s="24">
        <v>4.2585744565000416E-2</v>
      </c>
      <c r="V354" s="24">
        <f t="shared" si="44"/>
        <v>4.1229820260060279E-2</v>
      </c>
      <c r="W354" s="23">
        <f t="shared" si="45"/>
        <v>3.3714556825337194E-3</v>
      </c>
      <c r="X354" s="24">
        <v>4.1746044240401181E-2</v>
      </c>
      <c r="Y354" s="24">
        <f t="shared" si="46"/>
        <v>4.0826752930134491E-2</v>
      </c>
      <c r="Z354" s="23">
        <f t="shared" si="47"/>
        <v>3.3387325650784394E-3</v>
      </c>
      <c r="AA354" s="36"/>
    </row>
    <row r="355" spans="15:27" ht="13.9" customHeight="1" x14ac:dyDescent="0.3">
      <c r="O355" s="12">
        <f t="shared" si="41"/>
        <v>28.5</v>
      </c>
      <c r="P355" s="13">
        <v>342</v>
      </c>
      <c r="Q355" s="22">
        <v>3.774451111137278E-2</v>
      </c>
      <c r="R355" s="19">
        <f t="shared" si="42"/>
        <v>3.3774436473136271E-2</v>
      </c>
      <c r="S355" s="22">
        <v>3.8429027273863881E-2</v>
      </c>
      <c r="T355" s="19">
        <f t="shared" si="43"/>
        <v>3.9396912780145454E-2</v>
      </c>
      <c r="U355" s="24">
        <v>4.2581777301241797E-2</v>
      </c>
      <c r="V355" s="24">
        <f t="shared" si="44"/>
        <v>4.1243367690620536E-2</v>
      </c>
      <c r="W355" s="23">
        <f t="shared" si="45"/>
        <v>3.3725521336664954E-3</v>
      </c>
      <c r="X355" s="24">
        <v>4.1743355070876564E-2</v>
      </c>
      <c r="Y355" s="24">
        <f t="shared" si="46"/>
        <v>4.0844603691560843E-2</v>
      </c>
      <c r="Z355" s="23">
        <f t="shared" si="47"/>
        <v>3.3401786796662947E-3</v>
      </c>
      <c r="AA355" s="36"/>
    </row>
    <row r="356" spans="15:27" ht="13.9" customHeight="1" x14ac:dyDescent="0.3">
      <c r="O356" s="12">
        <f t="shared" si="41"/>
        <v>28.583333333333332</v>
      </c>
      <c r="P356" s="13">
        <v>343</v>
      </c>
      <c r="Q356" s="22">
        <v>3.7732914417648145E-2</v>
      </c>
      <c r="R356" s="19">
        <f t="shared" si="42"/>
        <v>3.3758861213107227E-2</v>
      </c>
      <c r="S356" s="22">
        <v>3.8431847787079976E-2</v>
      </c>
      <c r="T356" s="19">
        <f t="shared" si="43"/>
        <v>3.9431665716757047E-2</v>
      </c>
      <c r="U356" s="24">
        <v>4.2577872732940447E-2</v>
      </c>
      <c r="V356" s="24">
        <f t="shared" si="44"/>
        <v>4.1256809646639692E-2</v>
      </c>
      <c r="W356" s="23">
        <f t="shared" si="45"/>
        <v>3.3736400330148797E-3</v>
      </c>
      <c r="X356" s="24">
        <v>4.1740733676810748E-2</v>
      </c>
      <c r="Y356" s="24">
        <f t="shared" si="46"/>
        <v>4.0862304941050365E-2</v>
      </c>
      <c r="Z356" s="23">
        <f t="shared" si="47"/>
        <v>3.3416126555356751E-3</v>
      </c>
      <c r="AA356" s="36"/>
    </row>
    <row r="357" spans="15:27" ht="13.9" customHeight="1" x14ac:dyDescent="0.3">
      <c r="O357" s="12">
        <f t="shared" si="41"/>
        <v>28.666666666666668</v>
      </c>
      <c r="P357" s="13">
        <v>344</v>
      </c>
      <c r="Q357" s="22">
        <v>3.7721339824898115E-2</v>
      </c>
      <c r="R357" s="19">
        <f t="shared" si="42"/>
        <v>3.3743352968205409E-2</v>
      </c>
      <c r="S357" s="22">
        <v>3.8434752840325048E-2</v>
      </c>
      <c r="T357" s="19">
        <f t="shared" si="43"/>
        <v>3.9466074239683735E-2</v>
      </c>
      <c r="U357" s="24">
        <v>4.2574030005250396E-2</v>
      </c>
      <c r="V357" s="24">
        <f t="shared" si="44"/>
        <v>4.1270146976615685E-2</v>
      </c>
      <c r="W357" s="23">
        <f t="shared" si="45"/>
        <v>3.3747194496172028E-3</v>
      </c>
      <c r="X357" s="24">
        <v>4.1738179030804901E-2</v>
      </c>
      <c r="Y357" s="24">
        <f t="shared" si="46"/>
        <v>4.0879857977287548E-2</v>
      </c>
      <c r="Z357" s="23">
        <f t="shared" si="47"/>
        <v>3.3430345986471544E-3</v>
      </c>
      <c r="AA357" s="36"/>
    </row>
    <row r="358" spans="15:27" ht="13.9" customHeight="1" x14ac:dyDescent="0.3">
      <c r="O358" s="12">
        <f t="shared" si="41"/>
        <v>28.75</v>
      </c>
      <c r="P358" s="13">
        <v>345</v>
      </c>
      <c r="Q358" s="22">
        <v>3.7709787335642009E-2</v>
      </c>
      <c r="R358" s="19">
        <f t="shared" si="42"/>
        <v>3.3727910606846212E-2</v>
      </c>
      <c r="S358" s="22">
        <v>3.8437740698564982E-2</v>
      </c>
      <c r="T358" s="19">
        <f t="shared" si="43"/>
        <v>3.950014193833673E-2</v>
      </c>
      <c r="U358" s="24">
        <v>4.2570248275726197E-2</v>
      </c>
      <c r="V358" s="24">
        <f t="shared" si="44"/>
        <v>4.1283380521334623E-2</v>
      </c>
      <c r="W358" s="23">
        <f t="shared" si="45"/>
        <v>3.3757904519093884E-3</v>
      </c>
      <c r="X358" s="24">
        <v>4.1735690121178726E-2</v>
      </c>
      <c r="Y358" s="24">
        <f t="shared" si="46"/>
        <v>4.0897264087884189E-2</v>
      </c>
      <c r="Z358" s="23">
        <f t="shared" si="47"/>
        <v>3.3444446138846118E-3</v>
      </c>
      <c r="AA358" s="36"/>
    </row>
    <row r="359" spans="15:27" ht="13.9" customHeight="1" x14ac:dyDescent="0.3">
      <c r="O359" s="12">
        <f t="shared" si="41"/>
        <v>28.833333333333332</v>
      </c>
      <c r="P359" s="13">
        <v>346</v>
      </c>
      <c r="Q359" s="22">
        <v>3.769825694908846E-2</v>
      </c>
      <c r="R359" s="19">
        <f t="shared" si="42"/>
        <v>3.3712533004921053E-2</v>
      </c>
      <c r="S359" s="22">
        <v>3.844080965729435E-2</v>
      </c>
      <c r="T359" s="19">
        <f t="shared" si="43"/>
        <v>3.9533872362173428E-2</v>
      </c>
      <c r="U359" s="24">
        <v>4.2566526714121755E-2</v>
      </c>
      <c r="V359" s="24">
        <f t="shared" si="44"/>
        <v>4.1296511115566537E-2</v>
      </c>
      <c r="W359" s="23">
        <f t="shared" si="45"/>
        <v>3.3768531077027486E-3</v>
      </c>
      <c r="X359" s="24">
        <v>4.173326595171023E-2</v>
      </c>
      <c r="Y359" s="24">
        <f t="shared" si="46"/>
        <v>4.0914524548791409E-2</v>
      </c>
      <c r="Z359" s="23">
        <f t="shared" si="47"/>
        <v>3.3458428052306477E-3</v>
      </c>
      <c r="AA359" s="36"/>
    </row>
    <row r="360" spans="15:27" ht="13.9" customHeight="1" x14ac:dyDescent="0.3">
      <c r="O360" s="12">
        <f t="shared" si="41"/>
        <v>28.916666666666668</v>
      </c>
      <c r="P360" s="13">
        <v>347</v>
      </c>
      <c r="Q360" s="22">
        <v>3.7686748661204472E-2</v>
      </c>
      <c r="R360" s="19">
        <f t="shared" si="42"/>
        <v>3.3697219040465187E-2</v>
      </c>
      <c r="S360" s="22">
        <v>3.8443958041978865E-2</v>
      </c>
      <c r="T360" s="19">
        <f t="shared" si="43"/>
        <v>3.9567269019950668E-2</v>
      </c>
      <c r="U360" s="24">
        <v>4.2562864502196263E-2</v>
      </c>
      <c r="V360" s="24">
        <f t="shared" si="44"/>
        <v>4.1309539586134036E-2</v>
      </c>
      <c r="W360" s="23">
        <f t="shared" si="45"/>
        <v>3.3779074843194312E-3</v>
      </c>
      <c r="X360" s="24">
        <v>4.1730905541378593E-2</v>
      </c>
      <c r="Y360" s="24">
        <f t="shared" si="46"/>
        <v>4.093164062337995E-2</v>
      </c>
      <c r="Z360" s="23">
        <f t="shared" si="47"/>
        <v>3.3472292757203981E-3</v>
      </c>
      <c r="AA360" s="36"/>
    </row>
    <row r="361" spans="15:27" ht="13.9" customHeight="1" x14ac:dyDescent="0.3">
      <c r="O361" s="12">
        <f t="shared" si="41"/>
        <v>29</v>
      </c>
      <c r="P361" s="13">
        <v>348</v>
      </c>
      <c r="Q361" s="22">
        <v>3.7675262464768711E-2</v>
      </c>
      <c r="R361" s="19">
        <f t="shared" si="42"/>
        <v>3.3681966837624033E-2</v>
      </c>
      <c r="S361" s="22">
        <v>3.8447184207504259E-2</v>
      </c>
      <c r="T361" s="19">
        <f t="shared" si="43"/>
        <v>3.9600335381285268E-2</v>
      </c>
      <c r="U361" s="24">
        <v>4.2559260833517909E-2</v>
      </c>
      <c r="V361" s="24">
        <f t="shared" si="44"/>
        <v>4.1322466753086262E-2</v>
      </c>
      <c r="W361" s="23">
        <f t="shared" si="45"/>
        <v>3.378953648438987E-3</v>
      </c>
      <c r="X361" s="24">
        <v>4.1728607924108596E-2</v>
      </c>
      <c r="Y361" s="24">
        <f t="shared" si="46"/>
        <v>4.0948613563778213E-2</v>
      </c>
      <c r="Z361" s="23">
        <f t="shared" si="47"/>
        <v>3.3486041273680378E-3</v>
      </c>
      <c r="AA361" s="36"/>
    </row>
    <row r="362" spans="15:27" ht="13.9" customHeight="1" x14ac:dyDescent="0.3">
      <c r="O362" s="12">
        <f t="shared" si="41"/>
        <v>29.083333333333332</v>
      </c>
      <c r="P362" s="13">
        <v>349</v>
      </c>
      <c r="Q362" s="22">
        <v>3.7663798347248312E-2</v>
      </c>
      <c r="R362" s="19">
        <f t="shared" si="42"/>
        <v>3.3666772250429355E-2</v>
      </c>
      <c r="S362" s="22">
        <v>3.845048653764005E-2</v>
      </c>
      <c r="T362" s="19">
        <f t="shared" si="43"/>
        <v>3.9633074875080387E-2</v>
      </c>
      <c r="U362" s="24">
        <v>4.2555714913275589E-2</v>
      </c>
      <c r="V362" s="24">
        <f t="shared" si="44"/>
        <v>4.133529342949438E-2</v>
      </c>
      <c r="W362" s="23">
        <f t="shared" si="45"/>
        <v>3.3799916661907403E-3</v>
      </c>
      <c r="X362" s="24">
        <v>4.1726372148523261E-2</v>
      </c>
      <c r="Y362" s="24">
        <f t="shared" si="46"/>
        <v>4.0965444609794899E-2</v>
      </c>
      <c r="Z362" s="23">
        <f t="shared" si="47"/>
        <v>3.3499674612735841E-3</v>
      </c>
      <c r="AA362" s="36"/>
    </row>
    <row r="363" spans="15:27" ht="13.9" customHeight="1" x14ac:dyDescent="0.3">
      <c r="O363" s="12">
        <f t="shared" si="41"/>
        <v>29.166666666666668</v>
      </c>
      <c r="P363" s="13">
        <v>350</v>
      </c>
      <c r="Q363" s="22">
        <v>3.7652356284363586E-2</v>
      </c>
      <c r="R363" s="19">
        <f t="shared" si="42"/>
        <v>3.3651633414596427E-2</v>
      </c>
      <c r="S363" s="22">
        <v>3.8453863444507519E-2</v>
      </c>
      <c r="T363" s="19">
        <f t="shared" si="43"/>
        <v>3.966549089330651E-2</v>
      </c>
      <c r="U363" s="24">
        <v>4.2552225958091272E-2</v>
      </c>
      <c r="V363" s="24">
        <f t="shared" si="44"/>
        <v>4.134802042007979E-2</v>
      </c>
      <c r="W363" s="23">
        <f t="shared" si="45"/>
        <v>3.3810216031395779E-3</v>
      </c>
      <c r="X363" s="24">
        <v>4.1724197277698272E-2</v>
      </c>
      <c r="Y363" s="24">
        <f t="shared" si="46"/>
        <v>4.0982134991465635E-2</v>
      </c>
      <c r="Z363" s="23">
        <f t="shared" si="47"/>
        <v>3.3513193775374095E-3</v>
      </c>
      <c r="AA363" s="36"/>
    </row>
    <row r="364" spans="15:27" ht="13.9" customHeight="1" x14ac:dyDescent="0.3">
      <c r="O364" s="12">
        <f t="shared" si="41"/>
        <v>29.25</v>
      </c>
      <c r="P364" s="13">
        <v>351</v>
      </c>
      <c r="Q364" s="22">
        <v>3.7640936246781331E-2</v>
      </c>
      <c r="R364" s="19">
        <f t="shared" si="42"/>
        <v>3.3636549230025015E-2</v>
      </c>
      <c r="S364" s="22">
        <v>3.8457313368068125E-2</v>
      </c>
      <c r="T364" s="19">
        <f t="shared" si="43"/>
        <v>3.9697586788269179E-2</v>
      </c>
      <c r="U364" s="24">
        <v>4.2548793195833712E-2</v>
      </c>
      <c r="V364" s="24">
        <f t="shared" si="44"/>
        <v>4.1360648526420629E-2</v>
      </c>
      <c r="W364" s="23">
        <f t="shared" si="45"/>
        <v>3.3820435241740388E-3</v>
      </c>
      <c r="X364" s="24">
        <v>4.1722082388926829E-2</v>
      </c>
      <c r="Y364" s="24">
        <f t="shared" si="46"/>
        <v>4.0998685925140332E-2</v>
      </c>
      <c r="Z364" s="23">
        <f t="shared" si="47"/>
        <v>3.3526599754645225E-3</v>
      </c>
      <c r="AA364" s="36"/>
    </row>
    <row r="365" spans="15:27" ht="13.9" customHeight="1" x14ac:dyDescent="0.3">
      <c r="O365" s="12">
        <f t="shared" si="41"/>
        <v>29.333333333333332</v>
      </c>
      <c r="P365" s="13">
        <v>352</v>
      </c>
      <c r="Q365" s="22">
        <v>3.7629538202365476E-2</v>
      </c>
      <c r="R365" s="19">
        <f t="shared" si="42"/>
        <v>3.3621518601393507E-2</v>
      </c>
      <c r="S365" s="22">
        <v>3.8460834775612351E-2</v>
      </c>
      <c r="T365" s="19">
        <f t="shared" si="43"/>
        <v>3.9729365875492917E-2</v>
      </c>
      <c r="U365" s="24">
        <v>4.2545415865449021E-2</v>
      </c>
      <c r="V365" s="24">
        <f t="shared" si="44"/>
        <v>4.137317853936695E-2</v>
      </c>
      <c r="W365" s="23">
        <f t="shared" si="45"/>
        <v>3.3830574939255342E-3</v>
      </c>
      <c r="X365" s="24">
        <v>4.1720026573478286E-2</v>
      </c>
      <c r="Y365" s="24">
        <f t="shared" si="46"/>
        <v>4.1015098618491397E-2</v>
      </c>
      <c r="Z365" s="23">
        <f t="shared" si="47"/>
        <v>3.3539893532508191E-3</v>
      </c>
      <c r="AA365" s="36"/>
    </row>
    <row r="366" spans="15:27" ht="13.9" customHeight="1" x14ac:dyDescent="0.3">
      <c r="O366" s="12">
        <f t="shared" si="41"/>
        <v>29.416666666666668</v>
      </c>
      <c r="P366" s="13">
        <v>353</v>
      </c>
      <c r="Q366" s="22">
        <v>3.7618162116230591E-2</v>
      </c>
      <c r="R366" s="19">
        <f t="shared" si="42"/>
        <v>3.3606540434785837E-2</v>
      </c>
      <c r="S366" s="22">
        <v>3.8464426161266108E-2</v>
      </c>
      <c r="T366" s="19">
        <f t="shared" si="43"/>
        <v>3.9760831432390065E-2</v>
      </c>
      <c r="U366" s="24">
        <v>4.2542093216772381E-2</v>
      </c>
      <c r="V366" s="24">
        <f t="shared" si="44"/>
        <v>4.1385611245227327E-2</v>
      </c>
      <c r="W366" s="23">
        <f t="shared" si="45"/>
        <v>3.3840635761590576E-3</v>
      </c>
      <c r="X366" s="24">
        <v>4.1718028936374774E-2</v>
      </c>
      <c r="Y366" s="24">
        <f t="shared" si="46"/>
        <v>4.1031374265688259E-2</v>
      </c>
      <c r="Z366" s="23">
        <f t="shared" si="47"/>
        <v>3.3553076083852051E-3</v>
      </c>
      <c r="AA366" s="36"/>
    </row>
    <row r="367" spans="15:27" ht="13.9" customHeight="1" x14ac:dyDescent="0.3">
      <c r="O367" s="12">
        <f t="shared" si="41"/>
        <v>29.5</v>
      </c>
      <c r="P367" s="13">
        <v>354</v>
      </c>
      <c r="Q367" s="22">
        <v>3.7606807950784749E-2</v>
      </c>
      <c r="R367" s="19">
        <f t="shared" si="42"/>
        <v>3.3591612898141499E-2</v>
      </c>
      <c r="S367" s="22">
        <v>3.8468086045501781E-2</v>
      </c>
      <c r="T367" s="19">
        <f t="shared" si="43"/>
        <v>3.9791986700445925E-2</v>
      </c>
      <c r="U367" s="24">
        <v>4.2538824510361284E-2</v>
      </c>
      <c r="V367" s="24">
        <f t="shared" si="44"/>
        <v>4.1397947422485482E-2</v>
      </c>
      <c r="W367" s="23">
        <f t="shared" si="45"/>
        <v>3.38506183427012E-3</v>
      </c>
      <c r="X367" s="24">
        <v>4.1716088596158052E-2</v>
      </c>
      <c r="Y367" s="24">
        <f t="shared" si="46"/>
        <v>4.1047514051724132E-2</v>
      </c>
      <c r="Z367" s="23">
        <f t="shared" si="47"/>
        <v>3.3566148372623505E-3</v>
      </c>
      <c r="AA367" s="36"/>
    </row>
    <row r="368" spans="15:27" ht="13.9" customHeight="1" x14ac:dyDescent="0.3">
      <c r="O368" s="12">
        <f t="shared" si="41"/>
        <v>29.583333333333332</v>
      </c>
      <c r="P368" s="13">
        <v>355</v>
      </c>
      <c r="Q368" s="22">
        <v>3.7595475663680045E-2</v>
      </c>
      <c r="R368" s="19">
        <f t="shared" si="42"/>
        <v>3.3576731929722214E-2</v>
      </c>
      <c r="S368" s="22">
        <v>3.8471812974662623E-2</v>
      </c>
      <c r="T368" s="19">
        <f t="shared" si="43"/>
        <v>3.982283488403171E-2</v>
      </c>
      <c r="U368" s="24">
        <v>4.2535609017322118E-2</v>
      </c>
      <c r="V368" s="24">
        <f t="shared" si="44"/>
        <v>4.1410187844323598E-2</v>
      </c>
      <c r="W368" s="23">
        <f t="shared" si="45"/>
        <v>3.3860523310214052E-3</v>
      </c>
      <c r="X368" s="24">
        <v>4.1714204684672129E-2</v>
      </c>
      <c r="Y368" s="24">
        <f t="shared" si="46"/>
        <v>4.1063519149145078E-2</v>
      </c>
      <c r="Z368" s="23">
        <f t="shared" si="47"/>
        <v>3.3579111355306335E-3</v>
      </c>
      <c r="AA368" s="36"/>
    </row>
    <row r="369" spans="15:27" ht="13.9" customHeight="1" x14ac:dyDescent="0.3">
      <c r="O369" s="12">
        <f t="shared" si="41"/>
        <v>29.666666666666668</v>
      </c>
      <c r="P369" s="13">
        <v>356</v>
      </c>
      <c r="Q369" s="22">
        <v>3.7584165201592246E-2</v>
      </c>
      <c r="R369" s="19">
        <f t="shared" si="42"/>
        <v>3.3561895708816181E-2</v>
      </c>
      <c r="S369" s="22">
        <v>3.8475605520494005E-2</v>
      </c>
      <c r="T369" s="19">
        <f t="shared" si="43"/>
        <v>3.9853379152002599E-2</v>
      </c>
      <c r="U369" s="24">
        <v>4.2532446019146297E-2</v>
      </c>
      <c r="V369" s="24">
        <f t="shared" si="44"/>
        <v>4.1422333276189383E-2</v>
      </c>
      <c r="W369" s="23">
        <f t="shared" si="45"/>
        <v>3.3870351287448308E-3</v>
      </c>
      <c r="X369" s="24">
        <v>4.171237634684144E-2</v>
      </c>
      <c r="Y369" s="24">
        <f t="shared" si="46"/>
        <v>4.1079390721482367E-2</v>
      </c>
      <c r="Z369" s="23">
        <f t="shared" si="47"/>
        <v>3.3591965978287952E-3</v>
      </c>
      <c r="AA369" s="36"/>
    </row>
    <row r="370" spans="15:27" ht="13.9" customHeight="1" x14ac:dyDescent="0.3">
      <c r="O370" s="12">
        <f t="shared" si="41"/>
        <v>29.75</v>
      </c>
      <c r="P370" s="13">
        <v>357</v>
      </c>
      <c r="Q370" s="22">
        <v>3.7572876506676067E-2</v>
      </c>
      <c r="R370" s="19">
        <f t="shared" si="42"/>
        <v>3.3547103160622926E-2</v>
      </c>
      <c r="S370" s="22">
        <v>3.8479462279684684E-2</v>
      </c>
      <c r="T370" s="19">
        <f t="shared" si="43"/>
        <v>3.9883622637999494E-2</v>
      </c>
      <c r="U370" s="24">
        <v>4.252933480754284E-2</v>
      </c>
      <c r="V370" s="24">
        <f t="shared" si="44"/>
        <v>4.1434384478443054E-2</v>
      </c>
      <c r="W370" s="23">
        <f t="shared" si="45"/>
        <v>3.3880102891468145E-3</v>
      </c>
      <c r="X370" s="24">
        <v>4.1710602740461011E-2</v>
      </c>
      <c r="Y370" s="24">
        <f t="shared" si="46"/>
        <v>4.109512992066322E-2</v>
      </c>
      <c r="Z370" s="23">
        <f t="shared" si="47"/>
        <v>3.3604713180628298E-3</v>
      </c>
      <c r="AA370" s="36"/>
    </row>
    <row r="371" spans="15:27" ht="13.9" customHeight="1" x14ac:dyDescent="0.3">
      <c r="O371" s="12">
        <f t="shared" si="41"/>
        <v>29.833333333333332</v>
      </c>
      <c r="P371" s="13">
        <v>358</v>
      </c>
      <c r="Q371" s="22">
        <v>3.7561609518719674E-2</v>
      </c>
      <c r="R371" s="19">
        <f t="shared" si="42"/>
        <v>3.3532353214985378E-2</v>
      </c>
      <c r="S371" s="22">
        <v>3.8483381873418931E-2</v>
      </c>
      <c r="T371" s="19">
        <f t="shared" si="43"/>
        <v>3.991356844031313E-2</v>
      </c>
      <c r="U371" s="24">
        <v>4.252627468428094E-2</v>
      </c>
      <c r="V371" s="24">
        <f t="shared" si="44"/>
        <v>4.1446342202716036E-2</v>
      </c>
      <c r="W371" s="23">
        <f t="shared" si="45"/>
        <v>3.388977873520993E-3</v>
      </c>
      <c r="X371" s="24">
        <v>4.1708883035983746E-2</v>
      </c>
      <c r="Y371" s="24">
        <f t="shared" si="46"/>
        <v>4.1110737887072979E-2</v>
      </c>
      <c r="Z371" s="23">
        <f t="shared" si="47"/>
        <v>3.3617353891977064E-3</v>
      </c>
      <c r="AA371" s="36"/>
    </row>
    <row r="372" spans="15:27" ht="13.9" customHeight="1" x14ac:dyDescent="0.3">
      <c r="O372" s="12">
        <f t="shared" si="41"/>
        <v>29.916666666666668</v>
      </c>
      <c r="P372" s="13">
        <v>359</v>
      </c>
      <c r="Q372" s="22">
        <v>3.7550364175191309E-2</v>
      </c>
      <c r="R372" s="19">
        <f t="shared" si="42"/>
        <v>3.3517644802292024E-2</v>
      </c>
      <c r="S372" s="22">
        <v>3.8487362946934001E-2</v>
      </c>
      <c r="T372" s="19">
        <f t="shared" si="43"/>
        <v>3.9943219622864623E-2</v>
      </c>
      <c r="U372" s="24">
        <v>4.2523264961024987E-2</v>
      </c>
      <c r="V372" s="24">
        <f t="shared" si="44"/>
        <v>4.14582071970786E-2</v>
      </c>
      <c r="W372" s="23">
        <f t="shared" si="45"/>
        <v>3.3899379424551235E-3</v>
      </c>
      <c r="X372" s="24">
        <v>4.1707216416311477E-2</v>
      </c>
      <c r="Y372" s="24">
        <f t="shared" si="46"/>
        <v>4.1126215752449236E-2</v>
      </c>
      <c r="Z372" s="23">
        <f t="shared" si="47"/>
        <v>3.362988903262476E-3</v>
      </c>
      <c r="AA372" s="36"/>
    </row>
    <row r="373" spans="15:27" ht="13.9" customHeight="1" x14ac:dyDescent="0.3">
      <c r="O373" s="12">
        <f t="shared" si="41"/>
        <v>30</v>
      </c>
      <c r="P373" s="13">
        <v>360</v>
      </c>
      <c r="Q373" s="22">
        <v>3.7539140411272154E-2</v>
      </c>
      <c r="R373" s="19">
        <f t="shared" si="42"/>
        <v>3.3503019912853427E-2</v>
      </c>
      <c r="S373" s="22">
        <v>3.8491404169088916E-2</v>
      </c>
      <c r="T373" s="19">
        <f t="shared" si="43"/>
        <v>3.9972579215249215E-2</v>
      </c>
      <c r="U373" s="24">
        <v>4.2520304959186905E-2</v>
      </c>
      <c r="V373" s="24">
        <f t="shared" si="44"/>
        <v>4.1469980201071177E-2</v>
      </c>
      <c r="W373" s="23">
        <f t="shared" si="45"/>
        <v>3.3908905562474168E-3</v>
      </c>
      <c r="X373" s="24">
        <v>4.1705602076597126E-2</v>
      </c>
      <c r="Y373" s="24">
        <f t="shared" si="46"/>
        <v>4.114156463740537E-2</v>
      </c>
      <c r="Z373" s="23">
        <f t="shared" si="47"/>
        <v>3.3642319515827523E-3</v>
      </c>
      <c r="AA373" s="36"/>
    </row>
    <row r="374" spans="15:27" ht="13.9" customHeight="1" x14ac:dyDescent="0.3">
      <c r="O374" s="12">
        <f t="shared" si="41"/>
        <v>30.083333333333332</v>
      </c>
      <c r="P374" s="13">
        <v>361</v>
      </c>
      <c r="Q374" s="22">
        <v>3.7527938279632744E-2</v>
      </c>
      <c r="R374" s="19">
        <f t="shared" si="42"/>
        <v>3.3488649604644261E-2</v>
      </c>
      <c r="S374" s="22">
        <v>3.8495504231940147E-2</v>
      </c>
      <c r="T374" s="19">
        <f t="shared" si="43"/>
        <v>4.0001650214251061E-2</v>
      </c>
      <c r="U374" s="24">
        <v>4.2517394009767395E-2</v>
      </c>
      <c r="V374" s="24">
        <f t="shared" si="44"/>
        <v>4.1481661949245519E-2</v>
      </c>
      <c r="W374" s="23">
        <f t="shared" si="45"/>
        <v>3.3918357745059691E-3</v>
      </c>
      <c r="X374" s="24">
        <v>4.1704039224043754E-2</v>
      </c>
      <c r="Y374" s="24">
        <f t="shared" si="46"/>
        <v>4.1156785651608629E-2</v>
      </c>
      <c r="Z374" s="23">
        <f t="shared" si="47"/>
        <v>3.365464624582426E-3</v>
      </c>
      <c r="AA374" s="36"/>
    </row>
    <row r="375" spans="15:27" ht="13.9" customHeight="1" x14ac:dyDescent="0.3">
      <c r="O375" s="12">
        <f t="shared" si="41"/>
        <v>30.166666666666668</v>
      </c>
      <c r="P375" s="13">
        <v>362</v>
      </c>
      <c r="Q375" s="22">
        <v>3.7516758306740394E-2</v>
      </c>
      <c r="R375" s="19">
        <f t="shared" si="42"/>
        <v>3.3474575631597059E-2</v>
      </c>
      <c r="S375" s="22">
        <v>3.8499661850328604E-2</v>
      </c>
      <c r="T375" s="19">
        <f t="shared" si="43"/>
        <v>4.0030435582105728E-2</v>
      </c>
      <c r="U375" s="24">
        <v>4.2514531453208493E-2</v>
      </c>
      <c r="V375" s="24">
        <f t="shared" si="44"/>
        <v>4.1493253169432309E-2</v>
      </c>
      <c r="W375" s="23">
        <f t="shared" si="45"/>
        <v>3.3927736564349775E-3</v>
      </c>
      <c r="X375" s="24">
        <v>4.1702527077707163E-2</v>
      </c>
      <c r="Y375" s="24">
        <f t="shared" si="46"/>
        <v>4.1171879896457542E-2</v>
      </c>
      <c r="Z375" s="23">
        <f t="shared" si="47"/>
        <v>3.3666870117978753E-3</v>
      </c>
      <c r="AA375" s="36"/>
    </row>
    <row r="376" spans="15:27" ht="13.9" customHeight="1" x14ac:dyDescent="0.3">
      <c r="O376" s="12">
        <f t="shared" si="41"/>
        <v>30.25</v>
      </c>
      <c r="P376" s="13">
        <v>363</v>
      </c>
      <c r="Q376" s="22">
        <v>3.7505601128734689E-2</v>
      </c>
      <c r="R376" s="19">
        <f t="shared" si="42"/>
        <v>3.3460796687492689E-2</v>
      </c>
      <c r="S376" s="22">
        <v>3.8503875761468409E-2</v>
      </c>
      <c r="T376" s="19">
        <f t="shared" si="43"/>
        <v>4.0058938249346809E-2</v>
      </c>
      <c r="U376" s="24">
        <v>4.2511716639245467E-2</v>
      </c>
      <c r="V376" s="24">
        <f t="shared" si="44"/>
        <v>4.1504754584082315E-2</v>
      </c>
      <c r="W376" s="23">
        <f t="shared" si="45"/>
        <v>3.3937042606939638E-3</v>
      </c>
      <c r="X376" s="24">
        <v>4.1701064868309157E-2</v>
      </c>
      <c r="Y376" s="24">
        <f t="shared" si="46"/>
        <v>4.1186848460732728E-2</v>
      </c>
      <c r="Z376" s="23">
        <f t="shared" si="47"/>
        <v>3.3678992020926835E-3</v>
      </c>
      <c r="AA376" s="36"/>
    </row>
    <row r="377" spans="15:27" ht="13.9" customHeight="1" x14ac:dyDescent="0.3">
      <c r="O377" s="12">
        <f t="shared" si="41"/>
        <v>30.333333333333332</v>
      </c>
      <c r="P377" s="13">
        <v>364</v>
      </c>
      <c r="Q377" s="22">
        <v>3.749446737116191E-2</v>
      </c>
      <c r="R377" s="19">
        <f t="shared" si="42"/>
        <v>3.3447311486895615E-2</v>
      </c>
      <c r="S377" s="22">
        <v>3.8508144724551663E-2</v>
      </c>
      <c r="T377" s="19">
        <f t="shared" si="43"/>
        <v>4.0087161113199432E-2</v>
      </c>
      <c r="U377" s="24">
        <v>4.2508948926763157E-2</v>
      </c>
      <c r="V377" s="24">
        <f t="shared" si="44"/>
        <v>4.1516166908007746E-2</v>
      </c>
      <c r="W377" s="23">
        <f t="shared" si="45"/>
        <v>3.3946276455074642E-3</v>
      </c>
      <c r="X377" s="24">
        <v>4.169965183804214E-2</v>
      </c>
      <c r="Y377" s="24">
        <f t="shared" si="46"/>
        <v>4.1201692425278269E-2</v>
      </c>
      <c r="Z377" s="23">
        <f t="shared" si="47"/>
        <v>3.3691012833099165E-3</v>
      </c>
      <c r="AA377" s="36"/>
    </row>
    <row r="378" spans="15:27" ht="13.9" customHeight="1" x14ac:dyDescent="0.3">
      <c r="O378" s="12">
        <f t="shared" si="41"/>
        <v>30.416666666666668</v>
      </c>
      <c r="P378" s="13">
        <v>365</v>
      </c>
      <c r="Q378" s="22">
        <v>3.7483357649176652E-2</v>
      </c>
      <c r="R378" s="19">
        <f t="shared" si="42"/>
        <v>3.3434118760815368E-2</v>
      </c>
      <c r="S378" s="22">
        <v>3.8512467520352978E-2</v>
      </c>
      <c r="T378" s="19">
        <f t="shared" si="43"/>
        <v>4.0115107039926823E-2</v>
      </c>
      <c r="U378" s="24">
        <v>4.2506227683650089E-2</v>
      </c>
      <c r="V378" s="24">
        <f t="shared" si="44"/>
        <v>4.1527490852085291E-2</v>
      </c>
      <c r="W378" s="23">
        <f t="shared" si="45"/>
        <v>3.3955438684816208E-3</v>
      </c>
      <c r="X378" s="24">
        <v>4.1698287240389487E-2</v>
      </c>
      <c r="Y378" s="24">
        <f t="shared" si="46"/>
        <v>4.1216412861560858E-2</v>
      </c>
      <c r="Z378" s="23">
        <f t="shared" si="47"/>
        <v>3.3702933426462689E-3</v>
      </c>
      <c r="AA378" s="36"/>
    </row>
    <row r="379" spans="15:27" ht="13.9" customHeight="1" x14ac:dyDescent="0.3">
      <c r="O379" s="12">
        <f t="shared" si="41"/>
        <v>30.5</v>
      </c>
      <c r="P379" s="13">
        <v>366</v>
      </c>
      <c r="Q379" s="22">
        <v>3.747227256772856E-2</v>
      </c>
      <c r="R379" s="19">
        <f t="shared" si="42"/>
        <v>3.3421215733593357E-2</v>
      </c>
      <c r="S379" s="22">
        <v>3.8516842950849339E-2</v>
      </c>
      <c r="T379" s="19">
        <f t="shared" si="43"/>
        <v>4.0142778862779505E-2</v>
      </c>
      <c r="U379" s="24">
        <v>4.2503552286663915E-2</v>
      </c>
      <c r="V379" s="24">
        <f t="shared" si="44"/>
        <v>4.1538727118973773E-2</v>
      </c>
      <c r="W379" s="23">
        <f t="shared" si="45"/>
        <v>3.3964529869032756E-3</v>
      </c>
      <c r="X379" s="24">
        <v>4.1696970339945238E-2</v>
      </c>
      <c r="Y379" s="24">
        <f t="shared" si="46"/>
        <v>4.1231010827887937E-2</v>
      </c>
      <c r="Z379" s="23">
        <f t="shared" si="47"/>
        <v>3.3714754665381541E-3</v>
      </c>
      <c r="AA379" s="36"/>
    </row>
    <row r="380" spans="15:27" ht="13.9" customHeight="1" x14ac:dyDescent="0.3">
      <c r="O380" s="12">
        <f t="shared" si="41"/>
        <v>30.583333333333332</v>
      </c>
      <c r="P380" s="13">
        <v>367</v>
      </c>
      <c r="Q380" s="22">
        <v>3.7461212717579073E-2</v>
      </c>
      <c r="R380" s="19">
        <f t="shared" si="42"/>
        <v>3.3408595079708725E-2</v>
      </c>
      <c r="S380" s="22">
        <v>3.8521269838839522E-2</v>
      </c>
      <c r="T380" s="19">
        <f t="shared" si="43"/>
        <v>4.0170179385345284E-2</v>
      </c>
      <c r="U380" s="24">
        <v>4.2500922121287754E-2</v>
      </c>
      <c r="V380" s="24">
        <f t="shared" si="44"/>
        <v>4.1549876408414788E-2</v>
      </c>
      <c r="W380" s="23">
        <f t="shared" si="45"/>
        <v>3.397355057395357E-3</v>
      </c>
      <c r="X380" s="24">
        <v>4.1695700412226477E-2</v>
      </c>
      <c r="Y380" s="24">
        <f t="shared" si="46"/>
        <v>4.1245487377636225E-2</v>
      </c>
      <c r="Z380" s="23">
        <f t="shared" si="47"/>
        <v>3.3726477403575039E-3</v>
      </c>
      <c r="AA380" s="36"/>
    </row>
    <row r="381" spans="15:27" ht="13.9" customHeight="1" x14ac:dyDescent="0.3">
      <c r="O381" s="12">
        <f t="shared" si="41"/>
        <v>30.666666666666668</v>
      </c>
      <c r="P381" s="13">
        <v>368</v>
      </c>
      <c r="Q381" s="22">
        <v>3.745017866308209E-2</v>
      </c>
      <c r="R381" s="19">
        <f t="shared" si="42"/>
        <v>3.3396254067824316E-2</v>
      </c>
      <c r="S381" s="22">
        <v>3.8525747027578605E-2</v>
      </c>
      <c r="T381" s="19">
        <f t="shared" si="43"/>
        <v>4.0197311378917133E-2</v>
      </c>
      <c r="U381" s="24">
        <v>4.2498336581603624E-2</v>
      </c>
      <c r="V381" s="24">
        <f t="shared" si="44"/>
        <v>4.1560939410412168E-2</v>
      </c>
      <c r="W381" s="23">
        <f t="shared" si="45"/>
        <v>3.3982501363425399E-3</v>
      </c>
      <c r="X381" s="24">
        <v>4.1694476743510567E-2</v>
      </c>
      <c r="Y381" s="24">
        <f t="shared" si="46"/>
        <v>4.1259843550723874E-2</v>
      </c>
      <c r="Z381" s="23">
        <f t="shared" si="47"/>
        <v>3.3738102490723509E-3</v>
      </c>
      <c r="AA381" s="36"/>
    </row>
    <row r="382" spans="15:27" ht="13.9" customHeight="1" x14ac:dyDescent="0.3">
      <c r="O382" s="12">
        <f t="shared" si="41"/>
        <v>30.75</v>
      </c>
      <c r="P382" s="13">
        <v>369</v>
      </c>
      <c r="Q382" s="22">
        <v>3.7439170955039902E-2</v>
      </c>
      <c r="R382" s="19">
        <f t="shared" si="42"/>
        <v>3.3384191511931283E-2</v>
      </c>
      <c r="S382" s="22">
        <v>3.8530273380411817E-2</v>
      </c>
      <c r="T382" s="19">
        <f t="shared" si="43"/>
        <v>4.0224177585510779E-2</v>
      </c>
      <c r="U382" s="24">
        <v>4.2495795070148779E-2</v>
      </c>
      <c r="V382" s="24">
        <f t="shared" si="44"/>
        <v>4.1571916812710885E-2</v>
      </c>
      <c r="W382" s="23">
        <f t="shared" si="45"/>
        <v>3.3991382793443492E-3</v>
      </c>
      <c r="X382" s="24">
        <v>4.1693298630652409E-2</v>
      </c>
      <c r="Y382" s="24">
        <f t="shared" si="46"/>
        <v>4.1274080379945399E-2</v>
      </c>
      <c r="Z382" s="23">
        <f t="shared" si="47"/>
        <v>3.3749630765629313E-3</v>
      </c>
      <c r="AA382" s="36"/>
    </row>
    <row r="383" spans="15:27" ht="13.9" customHeight="1" x14ac:dyDescent="0.3">
      <c r="O383" s="12">
        <f t="shared" si="41"/>
        <v>30.833333333333332</v>
      </c>
      <c r="P383" s="13">
        <v>370</v>
      </c>
      <c r="Q383" s="22">
        <v>3.7428190135079475E-2</v>
      </c>
      <c r="R383" s="19">
        <f t="shared" si="42"/>
        <v>3.3372406242664132E-2</v>
      </c>
      <c r="S383" s="22">
        <v>3.8534847780422599E-2</v>
      </c>
      <c r="T383" s="19">
        <f t="shared" si="43"/>
        <v>4.0250780716073686E-2</v>
      </c>
      <c r="U383" s="24">
        <v>4.2493296997795582E-2</v>
      </c>
      <c r="V383" s="24">
        <f t="shared" si="44"/>
        <v>4.1582809295277467E-2</v>
      </c>
      <c r="W383" s="23">
        <f t="shared" si="45"/>
        <v>3.4000195418149026E-3</v>
      </c>
      <c r="X383" s="24">
        <v>4.169216538092213E-2</v>
      </c>
      <c r="Y383" s="24">
        <f t="shared" si="46"/>
        <v>4.1288198887833527E-2</v>
      </c>
      <c r="Z383" s="23">
        <f t="shared" si="47"/>
        <v>3.3761063061295005E-3</v>
      </c>
      <c r="AA383" s="36"/>
    </row>
    <row r="384" spans="15:27" ht="13.9" customHeight="1" x14ac:dyDescent="0.3">
      <c r="O384" s="12">
        <f t="shared" si="41"/>
        <v>30.916666666666668</v>
      </c>
      <c r="P384" s="13">
        <v>371</v>
      </c>
      <c r="Q384" s="22">
        <v>3.7417236735820314E-2</v>
      </c>
      <c r="R384" s="19">
        <f t="shared" si="42"/>
        <v>3.3360897109035337E-2</v>
      </c>
      <c r="S384" s="22">
        <v>3.853946913008155E-2</v>
      </c>
      <c r="T384" s="19">
        <f t="shared" si="43"/>
        <v>4.0277123452857833E-2</v>
      </c>
      <c r="U384" s="24">
        <v>4.2490841783617173E-2</v>
      </c>
      <c r="V384" s="24">
        <f t="shared" si="44"/>
        <v>4.159361753326607E-2</v>
      </c>
      <c r="W384" s="23">
        <f t="shared" si="45"/>
        <v>3.4008939785401537E-3</v>
      </c>
      <c r="X384" s="24">
        <v>4.1691076311836106E-2</v>
      </c>
      <c r="Y384" s="24">
        <f t="shared" si="46"/>
        <v>4.1302200087601992E-2</v>
      </c>
      <c r="Z384" s="23">
        <f t="shared" si="47"/>
        <v>3.3772400202418673E-3</v>
      </c>
      <c r="AA384" s="36"/>
    </row>
    <row r="385" spans="15:27" ht="13.9" customHeight="1" x14ac:dyDescent="0.3">
      <c r="O385" s="12">
        <f t="shared" si="41"/>
        <v>31</v>
      </c>
      <c r="P385" s="13">
        <v>372</v>
      </c>
      <c r="Q385" s="22">
        <v>3.7406311281044546E-2</v>
      </c>
      <c r="R385" s="19">
        <f t="shared" si="42"/>
        <v>3.3349661481576254E-2</v>
      </c>
      <c r="S385" s="22">
        <v>3.8544136350906699E-2</v>
      </c>
      <c r="T385" s="19">
        <f t="shared" si="43"/>
        <v>4.0303208447357797E-2</v>
      </c>
      <c r="U385" s="24">
        <v>4.2488428854764448E-2</v>
      </c>
      <c r="V385" s="24">
        <f t="shared" si="44"/>
        <v>4.1604342195639576E-2</v>
      </c>
      <c r="W385" s="23">
        <f t="shared" si="45"/>
        <v>3.4017616439165899E-3</v>
      </c>
      <c r="X385" s="24">
        <v>4.1690030750993978E-2</v>
      </c>
      <c r="Y385" s="24">
        <f t="shared" si="46"/>
        <v>4.1316084983497259E-2</v>
      </c>
      <c r="Z385" s="23">
        <f t="shared" si="47"/>
        <v>3.3783643006140007E-3</v>
      </c>
      <c r="AA385" s="36"/>
    </row>
    <row r="386" spans="15:27" ht="13.9" customHeight="1" x14ac:dyDescent="0.3">
      <c r="O386" s="12">
        <f t="shared" si="41"/>
        <v>31.083333333333332</v>
      </c>
      <c r="P386" s="13">
        <v>373</v>
      </c>
      <c r="Q386" s="22">
        <v>3.7395414281836237E-2</v>
      </c>
      <c r="R386" s="19">
        <f t="shared" si="42"/>
        <v>3.3338692268337411E-2</v>
      </c>
      <c r="S386" s="22">
        <v>3.854884838312489E-2</v>
      </c>
      <c r="T386" s="19">
        <f t="shared" si="43"/>
        <v>4.0329038323939859E-2</v>
      </c>
      <c r="U386" s="24">
        <v>4.2486057646340836E-2</v>
      </c>
      <c r="V386" s="24">
        <f t="shared" si="44"/>
        <v>4.1614983946477446E-2</v>
      </c>
      <c r="W386" s="23">
        <f t="shared" si="45"/>
        <v>3.4026225918390995E-3</v>
      </c>
      <c r="X386" s="24">
        <v>4.1689028035918785E-2</v>
      </c>
      <c r="Y386" s="24">
        <f t="shared" si="46"/>
        <v>4.1329854570957281E-2</v>
      </c>
      <c r="Z386" s="23">
        <f t="shared" si="47"/>
        <v>3.3794792282326735E-3</v>
      </c>
      <c r="AA386" s="36"/>
    </row>
    <row r="387" spans="15:27" ht="13.9" customHeight="1" x14ac:dyDescent="0.3">
      <c r="O387" s="12">
        <f t="shared" si="41"/>
        <v>31.166666666666668</v>
      </c>
      <c r="P387" s="13">
        <v>374</v>
      </c>
      <c r="Q387" s="22">
        <v>3.7384546224771942E-2</v>
      </c>
      <c r="R387" s="19">
        <f t="shared" si="42"/>
        <v>3.3327986883658234E-2</v>
      </c>
      <c r="S387" s="22">
        <v>3.8553604185347812E-2</v>
      </c>
      <c r="T387" s="19">
        <f t="shared" si="43"/>
        <v>4.0354615676851946E-2</v>
      </c>
      <c r="U387" s="24">
        <v>4.2483727601282384E-2</v>
      </c>
      <c r="V387" s="24">
        <f t="shared" si="44"/>
        <v>4.1625543444045343E-2</v>
      </c>
      <c r="W387" s="23">
        <f t="shared" si="45"/>
        <v>3.4034768758082201E-3</v>
      </c>
      <c r="X387" s="24">
        <v>4.1688067513900195E-2</v>
      </c>
      <c r="Y387" s="24">
        <f t="shared" si="46"/>
        <v>4.1343509836378134E-2</v>
      </c>
      <c r="Z387" s="23">
        <f t="shared" si="47"/>
        <v>3.3805848833710073E-3</v>
      </c>
      <c r="AA387" s="36"/>
    </row>
    <row r="388" spans="15:27" ht="13.9" customHeight="1" x14ac:dyDescent="0.3">
      <c r="O388" s="12">
        <f t="shared" si="41"/>
        <v>31.25</v>
      </c>
      <c r="P388" s="13">
        <v>375</v>
      </c>
      <c r="Q388" s="22">
        <v>3.7373707584311022E-2</v>
      </c>
      <c r="R388" s="19">
        <f t="shared" si="42"/>
        <v>3.3317544255351494E-2</v>
      </c>
      <c r="S388" s="22">
        <v>3.8558402734244712E-2</v>
      </c>
      <c r="T388" s="19">
        <f t="shared" si="43"/>
        <v>4.0379943072075486E-2</v>
      </c>
      <c r="U388" s="24">
        <v>4.2481438170237418E-2</v>
      </c>
      <c r="V388" s="24">
        <f t="shared" si="44"/>
        <v>4.1636021339822138E-2</v>
      </c>
      <c r="W388" s="23">
        <f t="shared" si="45"/>
        <v>3.4043245488533103E-3</v>
      </c>
      <c r="X388" s="24">
        <v>4.1687148541840191E-2</v>
      </c>
      <c r="Y388" s="24">
        <f t="shared" si="46"/>
        <v>4.1357051756273799E-2</v>
      </c>
      <c r="Z388" s="23">
        <f t="shared" si="47"/>
        <v>3.3816813455691541E-3</v>
      </c>
      <c r="AA388" s="36"/>
    </row>
    <row r="389" spans="15:27" ht="13.9" customHeight="1" x14ac:dyDescent="0.3">
      <c r="O389" s="12">
        <f t="shared" si="41"/>
        <v>31.333333333333332</v>
      </c>
      <c r="P389" s="13">
        <v>376</v>
      </c>
      <c r="Q389" s="22">
        <v>3.7362898826997615E-2</v>
      </c>
      <c r="R389" s="19">
        <f t="shared" si="42"/>
        <v>3.330736332783002E-2</v>
      </c>
      <c r="S389" s="22">
        <v>3.8563243024226646E-2</v>
      </c>
      <c r="T389" s="19">
        <f t="shared" si="43"/>
        <v>4.040502304879845E-2</v>
      </c>
      <c r="U389" s="24">
        <v>4.2479188811446189E-2</v>
      </c>
      <c r="V389" s="24">
        <f t="shared" si="44"/>
        <v>4.1646418282357711E-2</v>
      </c>
      <c r="W389" s="23">
        <f t="shared" si="45"/>
        <v>3.4051656634559446E-3</v>
      </c>
      <c r="X389" s="24">
        <v>4.1686270486097854E-2</v>
      </c>
      <c r="Y389" s="24">
        <f t="shared" si="46"/>
        <v>4.1370481299477069E-2</v>
      </c>
      <c r="Z389" s="23">
        <f t="shared" si="47"/>
        <v>3.3827686935672396E-3</v>
      </c>
      <c r="AA389" s="36"/>
    </row>
    <row r="390" spans="15:27" ht="13.9" customHeight="1" x14ac:dyDescent="0.3">
      <c r="O390" s="12">
        <f t="shared" si="41"/>
        <v>31.416666666666668</v>
      </c>
      <c r="P390" s="13">
        <v>377</v>
      </c>
      <c r="Q390" s="22">
        <v>3.7352120411609624E-2</v>
      </c>
      <c r="R390" s="19">
        <f t="shared" si="42"/>
        <v>3.3297443062536347E-2</v>
      </c>
      <c r="S390" s="22">
        <v>3.8568124067138276E-2</v>
      </c>
      <c r="T390" s="19">
        <f t="shared" si="43"/>
        <v>4.0429858117495554E-2</v>
      </c>
      <c r="U390" s="24">
        <v>4.2476978990631631E-2</v>
      </c>
      <c r="V390" s="24">
        <f t="shared" si="44"/>
        <v>4.1656734912735249E-2</v>
      </c>
      <c r="W390" s="23">
        <f t="shared" si="45"/>
        <v>3.406000271859666E-3</v>
      </c>
      <c r="X390" s="24">
        <v>4.1685432722343707E-2</v>
      </c>
      <c r="Y390" s="24">
        <f t="shared" si="46"/>
        <v>4.1383799425944723E-2</v>
      </c>
      <c r="Z390" s="23">
        <f t="shared" si="47"/>
        <v>3.3838470054818881E-3</v>
      </c>
      <c r="AA390" s="36"/>
    </row>
    <row r="391" spans="15:27" ht="13.9" customHeight="1" x14ac:dyDescent="0.3">
      <c r="O391" s="12">
        <f t="shared" si="41"/>
        <v>31.5</v>
      </c>
      <c r="P391" s="13">
        <v>378</v>
      </c>
      <c r="Q391" s="22">
        <v>3.7341372789305938E-2</v>
      </c>
      <c r="R391" s="19">
        <f t="shared" si="42"/>
        <v>3.3287780971602565E-2</v>
      </c>
      <c r="S391" s="22">
        <v>3.857304489195057E-2</v>
      </c>
      <c r="T391" s="19">
        <f t="shared" si="43"/>
        <v>4.0454450762151817E-2</v>
      </c>
      <c r="U391" s="24">
        <v>4.2474808180880119E-2</v>
      </c>
      <c r="V391" s="24">
        <f t="shared" si="44"/>
        <v>4.1666971868065117E-2</v>
      </c>
      <c r="W391" s="23">
        <f t="shared" si="45"/>
        <v>3.406828425704278E-3</v>
      </c>
      <c r="X391" s="24">
        <v>4.1684634635412054E-2</v>
      </c>
      <c r="Y391" s="24">
        <f t="shared" si="46"/>
        <v>4.139700708655969E-2</v>
      </c>
      <c r="Z391" s="23">
        <f t="shared" si="47"/>
        <v>3.3849163587107434E-3</v>
      </c>
      <c r="AA391" s="36"/>
    </row>
    <row r="392" spans="15:27" ht="13.9" customHeight="1" x14ac:dyDescent="0.3">
      <c r="O392" s="12">
        <f t="shared" si="41"/>
        <v>31.583333333333332</v>
      </c>
      <c r="P392" s="13">
        <v>379</v>
      </c>
      <c r="Q392" s="22">
        <v>3.7330656399888085E-2</v>
      </c>
      <c r="R392" s="19">
        <f t="shared" si="42"/>
        <v>3.3278370191587525E-2</v>
      </c>
      <c r="S392" s="22">
        <v>3.8578004544463473E-2</v>
      </c>
      <c r="T392" s="19">
        <f t="shared" si="43"/>
        <v>4.0478803439141897E-2</v>
      </c>
      <c r="U392" s="24">
        <v>4.2472675862534448E-2</v>
      </c>
      <c r="V392" s="24">
        <f t="shared" si="44"/>
        <v>4.1677129778365574E-2</v>
      </c>
      <c r="W392" s="23">
        <f t="shared" si="45"/>
        <v>3.4076501763082856E-3</v>
      </c>
      <c r="X392" s="24">
        <v>4.168387561915643E-2</v>
      </c>
      <c r="Y392" s="24">
        <f t="shared" si="46"/>
        <v>4.1410105224091387E-2</v>
      </c>
      <c r="Z392" s="23">
        <f t="shared" si="47"/>
        <v>3.3859768299169257E-3</v>
      </c>
      <c r="AA392" s="36"/>
    </row>
    <row r="393" spans="15:27" ht="13.9" customHeight="1" x14ac:dyDescent="0.3">
      <c r="O393" s="12">
        <f t="shared" si="41"/>
        <v>31.666666666666668</v>
      </c>
      <c r="P393" s="13">
        <v>380</v>
      </c>
      <c r="Q393" s="22">
        <v>3.731997166038914E-2</v>
      </c>
      <c r="R393" s="19">
        <f t="shared" si="42"/>
        <v>3.3269208276943463E-2</v>
      </c>
      <c r="S393" s="22">
        <v>3.8583002087011042E-2</v>
      </c>
      <c r="T393" s="19">
        <f t="shared" si="43"/>
        <v>4.0502918578597669E-2</v>
      </c>
      <c r="U393" s="24">
        <v>4.2470581523078366E-2</v>
      </c>
      <c r="V393" s="24">
        <f t="shared" si="44"/>
        <v>4.1687209270986125E-2</v>
      </c>
      <c r="W393" s="23">
        <f t="shared" si="45"/>
        <v>3.4084655744173187E-3</v>
      </c>
      <c r="X393" s="24">
        <v>4.1683155076308598E-2</v>
      </c>
      <c r="Y393" s="24">
        <f t="shared" si="46"/>
        <v>4.1423094772413238E-2</v>
      </c>
      <c r="Z393" s="23">
        <f t="shared" si="47"/>
        <v>3.3870284951056373E-3</v>
      </c>
      <c r="AA393" s="36"/>
    </row>
    <row r="394" spans="15:27" ht="13.9" customHeight="1" x14ac:dyDescent="0.3">
      <c r="O394" s="12">
        <f t="shared" si="41"/>
        <v>31.75</v>
      </c>
      <c r="P394" s="13">
        <v>381</v>
      </c>
      <c r="Q394" s="22">
        <v>3.730931897701395E-2</v>
      </c>
      <c r="R394" s="19">
        <f t="shared" si="42"/>
        <v>3.3260294265315293E-2</v>
      </c>
      <c r="S394" s="22">
        <v>3.8588036598174336E-2</v>
      </c>
      <c r="T394" s="19">
        <f t="shared" si="43"/>
        <v>4.0526798584014534E-2</v>
      </c>
      <c r="U394" s="24">
        <v>4.2468524657036433E-2</v>
      </c>
      <c r="V394" s="24">
        <f t="shared" si="44"/>
        <v>4.1697210965988996E-2</v>
      </c>
      <c r="W394" s="23">
        <f t="shared" si="45"/>
        <v>3.4092746705598476E-3</v>
      </c>
      <c r="X394" s="24">
        <v>4.1682472418338445E-2</v>
      </c>
      <c r="Y394" s="24">
        <f t="shared" si="46"/>
        <v>4.1435976656868378E-2</v>
      </c>
      <c r="Z394" s="23">
        <f t="shared" si="47"/>
        <v>3.3880714295619896E-3</v>
      </c>
      <c r="AA394" s="36"/>
    </row>
    <row r="395" spans="15:27" ht="13.9" customHeight="1" x14ac:dyDescent="0.3">
      <c r="O395" s="12">
        <f t="shared" si="41"/>
        <v>31.833333333333332</v>
      </c>
      <c r="P395" s="13">
        <v>382</v>
      </c>
      <c r="Q395" s="22">
        <v>3.7298698749178127E-2</v>
      </c>
      <c r="R395" s="19">
        <f t="shared" si="42"/>
        <v>3.325162721059205E-2</v>
      </c>
      <c r="S395" s="22">
        <v>3.8593107172498309E-2</v>
      </c>
      <c r="T395" s="19">
        <f t="shared" si="43"/>
        <v>4.0550445833358317E-2</v>
      </c>
      <c r="U395" s="24">
        <v>4.2466504765862112E-2</v>
      </c>
      <c r="V395" s="24">
        <f t="shared" si="44"/>
        <v>4.170713547842908E-2</v>
      </c>
      <c r="W395" s="23">
        <f t="shared" si="45"/>
        <v>3.4100775146763684E-3</v>
      </c>
      <c r="X395" s="24">
        <v>4.1681827065317201E-2</v>
      </c>
      <c r="Y395" s="24">
        <f t="shared" si="46"/>
        <v>4.1448751795529537E-2</v>
      </c>
      <c r="Z395" s="23">
        <f t="shared" si="47"/>
        <v>3.3891057078798692E-3</v>
      </c>
      <c r="AA395" s="36"/>
    </row>
    <row r="396" spans="15:27" ht="13.9" customHeight="1" x14ac:dyDescent="0.3">
      <c r="O396" s="12">
        <f t="shared" si="41"/>
        <v>31.916666666666668</v>
      </c>
      <c r="P396" s="13">
        <v>383</v>
      </c>
      <c r="Q396" s="22">
        <v>3.7288111369639054E-2</v>
      </c>
      <c r="R396" s="19">
        <f t="shared" si="42"/>
        <v>3.3243206182455243E-2</v>
      </c>
      <c r="S396" s="22">
        <v>3.8598212920215147E-2</v>
      </c>
      <c r="T396" s="19">
        <f t="shared" si="43"/>
        <v>4.0573862679361028E-2</v>
      </c>
      <c r="U396" s="24">
        <v>4.2464521357833851E-2</v>
      </c>
      <c r="V396" s="24">
        <f t="shared" si="44"/>
        <v>4.1716983419991527E-2</v>
      </c>
      <c r="W396" s="23">
        <f t="shared" si="45"/>
        <v>3.410874156301702E-3</v>
      </c>
      <c r="X396" s="24">
        <v>4.1681218445785095E-2</v>
      </c>
      <c r="Y396" s="24">
        <f t="shared" si="46"/>
        <v>4.1461421097155338E-2</v>
      </c>
      <c r="Z396" s="23">
        <f t="shared" si="47"/>
        <v>3.3901314040640784E-3</v>
      </c>
      <c r="AA396" s="36"/>
    </row>
    <row r="397" spans="15:27" ht="13.9" customHeight="1" x14ac:dyDescent="0.3">
      <c r="O397" s="12">
        <f t="shared" si="41"/>
        <v>32</v>
      </c>
      <c r="P397" s="13">
        <v>384</v>
      </c>
      <c r="Q397" s="22">
        <v>3.7277557224624003E-2</v>
      </c>
      <c r="R397" s="19">
        <f t="shared" si="42"/>
        <v>3.3235028831072766E-2</v>
      </c>
      <c r="S397" s="22">
        <v>3.8603352966974258E-2</v>
      </c>
      <c r="T397" s="19">
        <f t="shared" si="43"/>
        <v>4.0597051448052257E-2</v>
      </c>
      <c r="U397" s="24">
        <v>4.2462573947957605E-2</v>
      </c>
      <c r="V397" s="24">
        <f t="shared" si="44"/>
        <v>4.1726755395838699E-2</v>
      </c>
      <c r="W397" s="23">
        <f t="shared" si="45"/>
        <v>3.4116646446979981E-3</v>
      </c>
      <c r="X397" s="24">
        <v>4.1680645996617471E-2</v>
      </c>
      <c r="Y397" s="24">
        <f t="shared" si="46"/>
        <v>4.1473985463169605E-2</v>
      </c>
      <c r="Z397" s="23">
        <f t="shared" si="47"/>
        <v>3.3911485913655781E-3</v>
      </c>
      <c r="AA397" s="36"/>
    </row>
    <row r="398" spans="15:27" ht="13.9" customHeight="1" x14ac:dyDescent="0.3">
      <c r="O398" s="12">
        <f t="shared" ref="O398:O461" si="48">P398/12</f>
        <v>32.083333333333336</v>
      </c>
      <c r="P398" s="13">
        <v>385</v>
      </c>
      <c r="Q398" s="22">
        <v>3.7267036690212363E-2</v>
      </c>
      <c r="R398" s="19">
        <f t="shared" ref="R398:R461" si="49">(1+Q399)^P399/(1+Q398)^P398-1</f>
        <v>3.3227088513339886E-2</v>
      </c>
      <c r="S398" s="22">
        <v>3.8608526453570713E-2</v>
      </c>
      <c r="T398" s="19">
        <f t="shared" ref="T398:T461" si="50">(1+S399)^P399/(1+S398)^P398-1</f>
        <v>4.062001444096941E-2</v>
      </c>
      <c r="U398" s="24">
        <v>4.2460662057861809E-2</v>
      </c>
      <c r="V398" s="24">
        <f t="shared" ref="V398:V461" si="51">(1+U399)^P399/(1+U398)^P398-1</f>
        <v>4.1736452005573188E-2</v>
      </c>
      <c r="W398" s="23">
        <f t="shared" si="45"/>
        <v>3.412449028600717E-3</v>
      </c>
      <c r="X398" s="24">
        <v>4.1680109162895995E-2</v>
      </c>
      <c r="Y398" s="24">
        <f t="shared" si="46"/>
        <v>4.148644578544225E-2</v>
      </c>
      <c r="Z398" s="23">
        <f t="shared" si="47"/>
        <v>3.3921573424404716E-3</v>
      </c>
      <c r="AA398" s="36"/>
    </row>
    <row r="399" spans="15:27" ht="13.9" customHeight="1" x14ac:dyDescent="0.3">
      <c r="O399" s="12">
        <f t="shared" si="48"/>
        <v>32.166666666666664</v>
      </c>
      <c r="P399" s="13">
        <v>386</v>
      </c>
      <c r="Q399" s="22">
        <v>3.7256550121302245E-2</v>
      </c>
      <c r="R399" s="19">
        <f t="shared" si="49"/>
        <v>3.3219382920411489E-2</v>
      </c>
      <c r="S399" s="22">
        <v>3.8613732535685674E-2</v>
      </c>
      <c r="T399" s="19">
        <f t="shared" si="50"/>
        <v>4.06427539360803E-2</v>
      </c>
      <c r="U399" s="24">
        <v>4.2458785215697459E-2</v>
      </c>
      <c r="V399" s="24">
        <f t="shared" si="51"/>
        <v>4.1746073845875697E-2</v>
      </c>
      <c r="W399" s="23">
        <f t="shared" ref="W399:W462" si="52">(1+V398)^(1/12)-1</f>
        <v>3.4132273562956783E-3</v>
      </c>
      <c r="X399" s="24">
        <v>4.1679607397778318E-2</v>
      </c>
      <c r="Y399" s="24">
        <f t="shared" ref="Y399:Y462" si="53">(1+X400)^P400/(1+X399)^P399-1</f>
        <v>4.1498802951090985E-2</v>
      </c>
      <c r="Z399" s="23">
        <f t="shared" ref="Z399:Z462" si="54">(1+Y398)^(1/12)-1</f>
        <v>3.3931577291730353E-3</v>
      </c>
      <c r="AA399" s="36"/>
    </row>
    <row r="400" spans="15:27" ht="13.9" customHeight="1" x14ac:dyDescent="0.3">
      <c r="O400" s="12">
        <f t="shared" si="48"/>
        <v>32.25</v>
      </c>
      <c r="P400" s="13">
        <v>387</v>
      </c>
      <c r="Q400" s="22">
        <v>3.7246097863126382E-2</v>
      </c>
      <c r="R400" s="19">
        <f t="shared" si="49"/>
        <v>3.3211911195458743E-2</v>
      </c>
      <c r="S400" s="22">
        <v>3.8618970383631712E-2</v>
      </c>
      <c r="T400" s="19">
        <f t="shared" si="50"/>
        <v>4.06652721845151E-2</v>
      </c>
      <c r="U400" s="24">
        <v>4.2456942956045518E-2</v>
      </c>
      <c r="V400" s="24">
        <f t="shared" si="51"/>
        <v>4.1755621506006424E-2</v>
      </c>
      <c r="W400" s="23">
        <f t="shared" si="52"/>
        <v>3.4139996758317803E-3</v>
      </c>
      <c r="X400" s="24">
        <v>4.1679140162380168E-2</v>
      </c>
      <c r="Y400" s="24">
        <f t="shared" si="53"/>
        <v>4.1511057834304754E-2</v>
      </c>
      <c r="Z400" s="23">
        <f t="shared" si="54"/>
        <v>3.3941498230600775E-3</v>
      </c>
      <c r="AA400" s="36"/>
    </row>
    <row r="401" spans="15:27" ht="13.9" customHeight="1" x14ac:dyDescent="0.3">
      <c r="O401" s="12">
        <f t="shared" si="48"/>
        <v>32.333333333333336</v>
      </c>
      <c r="P401" s="13">
        <v>388</v>
      </c>
      <c r="Q401" s="22">
        <v>3.7235680255134129E-2</v>
      </c>
      <c r="R401" s="19">
        <f t="shared" si="49"/>
        <v>3.3204672496679022E-2</v>
      </c>
      <c r="S401" s="22">
        <v>3.8624239182094566E-2</v>
      </c>
      <c r="T401" s="19">
        <f t="shared" si="50"/>
        <v>4.0687571416095913E-2</v>
      </c>
      <c r="U401" s="24">
        <v>4.2455134819815221E-2</v>
      </c>
      <c r="V401" s="24">
        <f t="shared" si="51"/>
        <v>4.1765095572967148E-2</v>
      </c>
      <c r="W401" s="23">
        <f t="shared" si="52"/>
        <v>3.414766034659289E-3</v>
      </c>
      <c r="X401" s="24">
        <v>4.1678706925639908E-2</v>
      </c>
      <c r="Y401" s="24">
        <f t="shared" si="53"/>
        <v>4.1523211306774055E-2</v>
      </c>
      <c r="Z401" s="23">
        <f t="shared" si="54"/>
        <v>3.3951336945547972E-3</v>
      </c>
      <c r="AA401" s="36"/>
    </row>
    <row r="402" spans="15:27" ht="13.9" customHeight="1" x14ac:dyDescent="0.3">
      <c r="O402" s="12">
        <f t="shared" si="48"/>
        <v>32.416666666666664</v>
      </c>
      <c r="P402" s="13">
        <v>389</v>
      </c>
      <c r="Q402" s="22">
        <v>3.722529763110427E-2</v>
      </c>
      <c r="R402" s="19">
        <f t="shared" si="49"/>
        <v>3.3197666000001735E-2</v>
      </c>
      <c r="S402" s="22">
        <v>3.8629538129892227E-2</v>
      </c>
      <c r="T402" s="19">
        <f t="shared" si="50"/>
        <v>4.0709653833722825E-2</v>
      </c>
      <c r="U402" s="24">
        <v>4.2453360354156366E-2</v>
      </c>
      <c r="V402" s="24">
        <f t="shared" si="51"/>
        <v>4.1774496626578284E-2</v>
      </c>
      <c r="W402" s="23">
        <f t="shared" si="52"/>
        <v>3.4155264800443952E-3</v>
      </c>
      <c r="X402" s="24">
        <v>4.1678307164210837E-2</v>
      </c>
      <c r="Y402" s="24">
        <f t="shared" si="53"/>
        <v>4.1535264228758528E-2</v>
      </c>
      <c r="Z402" s="23">
        <f t="shared" si="54"/>
        <v>3.3961094139050019E-3</v>
      </c>
      <c r="AA402" s="36"/>
    </row>
    <row r="403" spans="15:27" ht="13.9" customHeight="1" x14ac:dyDescent="0.3">
      <c r="O403" s="12">
        <f t="shared" si="48"/>
        <v>32.5</v>
      </c>
      <c r="P403" s="13">
        <v>390</v>
      </c>
      <c r="Q403" s="22">
        <v>3.721495031926314E-2</v>
      </c>
      <c r="R403" s="19">
        <f t="shared" si="49"/>
        <v>3.3190889485826158E-2</v>
      </c>
      <c r="S403" s="22">
        <v>3.8634866439725135E-2</v>
      </c>
      <c r="T403" s="19">
        <f t="shared" si="50"/>
        <v>4.0731521619638889E-2</v>
      </c>
      <c r="U403" s="24">
        <v>4.2451619112360506E-2</v>
      </c>
      <c r="V403" s="24">
        <f t="shared" si="51"/>
        <v>4.1783825243777217E-2</v>
      </c>
      <c r="W403" s="23">
        <f t="shared" si="52"/>
        <v>3.4162810586744197E-3</v>
      </c>
      <c r="X403" s="24">
        <v>4.1677940362332633E-2</v>
      </c>
      <c r="Y403" s="24">
        <f t="shared" si="53"/>
        <v>4.1547217454005247E-2</v>
      </c>
      <c r="Z403" s="23">
        <f t="shared" si="54"/>
        <v>3.3970770504356818E-3</v>
      </c>
      <c r="AA403" s="36"/>
    </row>
    <row r="404" spans="15:27" ht="13.9" customHeight="1" x14ac:dyDescent="0.3">
      <c r="O404" s="12">
        <f t="shared" si="48"/>
        <v>32.583333333333336</v>
      </c>
      <c r="P404" s="13">
        <v>391</v>
      </c>
      <c r="Q404" s="22">
        <v>3.7204638638771881E-2</v>
      </c>
      <c r="R404" s="19">
        <f t="shared" si="49"/>
        <v>3.3184336528202518E-2</v>
      </c>
      <c r="S404" s="22">
        <v>3.8640223337943702E-2</v>
      </c>
      <c r="T404" s="19">
        <f t="shared" si="50"/>
        <v>4.0753176930765855E-2</v>
      </c>
      <c r="U404" s="24">
        <v>4.2449910653775458E-2</v>
      </c>
      <c r="V404" s="24">
        <f t="shared" si="51"/>
        <v>4.1793081994821124E-2</v>
      </c>
      <c r="W404" s="23">
        <f t="shared" si="52"/>
        <v>3.417029817002204E-3</v>
      </c>
      <c r="X404" s="24">
        <v>4.1677606011717883E-2</v>
      </c>
      <c r="Y404" s="24">
        <f t="shared" si="53"/>
        <v>4.1559071829489591E-2</v>
      </c>
      <c r="Z404" s="23">
        <f t="shared" si="54"/>
        <v>3.3980366729433609E-3</v>
      </c>
      <c r="AA404" s="36"/>
    </row>
    <row r="405" spans="15:27" ht="13.9" customHeight="1" x14ac:dyDescent="0.3">
      <c r="O405" s="12">
        <f t="shared" si="48"/>
        <v>32.666666666666664</v>
      </c>
      <c r="P405" s="13">
        <v>392</v>
      </c>
      <c r="Q405" s="22">
        <v>3.7194362889070742E-2</v>
      </c>
      <c r="R405" s="19">
        <f t="shared" si="49"/>
        <v>3.3178004947386652E-2</v>
      </c>
      <c r="S405" s="22">
        <v>3.8645608064309833E-2</v>
      </c>
      <c r="T405" s="19">
        <f t="shared" si="50"/>
        <v>4.0774621901041863E-2</v>
      </c>
      <c r="U405" s="24">
        <v>4.2448234543710273E-2</v>
      </c>
      <c r="V405" s="24">
        <f t="shared" si="51"/>
        <v>4.1802267447493824E-2</v>
      </c>
      <c r="W405" s="23">
        <f t="shared" si="52"/>
        <v>3.4177728009419095E-3</v>
      </c>
      <c r="X405" s="24">
        <v>4.1677303611438177E-2</v>
      </c>
      <c r="Y405" s="24">
        <f t="shared" si="53"/>
        <v>4.1570828193184584E-2</v>
      </c>
      <c r="Z405" s="23">
        <f t="shared" si="54"/>
        <v>3.3989883496765572E-3</v>
      </c>
      <c r="AA405" s="36"/>
    </row>
    <row r="406" spans="15:27" ht="13.9" customHeight="1" x14ac:dyDescent="0.3">
      <c r="O406" s="12">
        <f t="shared" si="48"/>
        <v>32.75</v>
      </c>
      <c r="P406" s="13">
        <v>393</v>
      </c>
      <c r="Q406" s="22">
        <v>3.7184123360976207E-2</v>
      </c>
      <c r="R406" s="19">
        <f t="shared" si="49"/>
        <v>3.3171893989959456E-2</v>
      </c>
      <c r="S406" s="22">
        <v>3.8651019871766668E-2</v>
      </c>
      <c r="T406" s="19">
        <f t="shared" si="50"/>
        <v>4.0795858643036143E-2</v>
      </c>
      <c r="U406" s="24">
        <v>4.2446590353352853E-2</v>
      </c>
      <c r="V406" s="24">
        <f t="shared" si="51"/>
        <v>4.1811382162933564E-2</v>
      </c>
      <c r="W406" s="23">
        <f t="shared" si="52"/>
        <v>3.4185100562069692E-3</v>
      </c>
      <c r="X406" s="24">
        <v>4.1677032667808422E-2</v>
      </c>
      <c r="Y406" s="24">
        <f t="shared" si="53"/>
        <v>4.1582487376248256E-2</v>
      </c>
      <c r="Z406" s="23">
        <f t="shared" si="54"/>
        <v>3.3999321481554823E-3</v>
      </c>
      <c r="AA406" s="36"/>
    </row>
    <row r="407" spans="15:27" ht="13.9" customHeight="1" x14ac:dyDescent="0.3">
      <c r="O407" s="12">
        <f t="shared" si="48"/>
        <v>32.833333333333336</v>
      </c>
      <c r="P407" s="13">
        <v>394</v>
      </c>
      <c r="Q407" s="22">
        <v>3.7173920340424216E-2</v>
      </c>
      <c r="R407" s="19">
        <f t="shared" si="49"/>
        <v>3.3166002914264414E-2</v>
      </c>
      <c r="S407" s="22">
        <v>3.8656458026216534E-2</v>
      </c>
      <c r="T407" s="19">
        <f t="shared" si="50"/>
        <v>4.0816889245642196E-2</v>
      </c>
      <c r="U407" s="24">
        <v>4.2444977659678695E-2</v>
      </c>
      <c r="V407" s="24">
        <f t="shared" si="51"/>
        <v>4.1820426698334412E-2</v>
      </c>
      <c r="W407" s="23">
        <f t="shared" si="52"/>
        <v>3.4192416279743565E-3</v>
      </c>
      <c r="X407" s="24">
        <v>4.167679269427671E-2</v>
      </c>
      <c r="Y407" s="24">
        <f t="shared" si="53"/>
        <v>4.1594050202935273E-2</v>
      </c>
      <c r="Z407" s="23">
        <f t="shared" si="54"/>
        <v>3.4008681353487891E-3</v>
      </c>
      <c r="AA407" s="36"/>
    </row>
    <row r="408" spans="15:27" ht="13.9" customHeight="1" x14ac:dyDescent="0.3">
      <c r="O408" s="12">
        <f t="shared" si="48"/>
        <v>32.916666666666664</v>
      </c>
      <c r="P408" s="13">
        <v>395</v>
      </c>
      <c r="Q408" s="22">
        <v>3.7163754108562319E-2</v>
      </c>
      <c r="R408" s="19">
        <f t="shared" si="49"/>
        <v>3.3160330996371501E-2</v>
      </c>
      <c r="S408" s="22">
        <v>3.866192180629624E-2</v>
      </c>
      <c r="T408" s="19">
        <f t="shared" si="50"/>
        <v>4.0837715775912553E-2</v>
      </c>
      <c r="U408" s="24">
        <v>4.2443396045367177E-2</v>
      </c>
      <c r="V408" s="24">
        <f t="shared" si="51"/>
        <v>4.182940160725046E-2</v>
      </c>
      <c r="W408" s="23">
        <f t="shared" si="52"/>
        <v>3.4199675611019664E-3</v>
      </c>
      <c r="X408" s="24">
        <v>4.1676583211316176E-2</v>
      </c>
      <c r="Y408" s="24">
        <f t="shared" si="53"/>
        <v>4.1605517489742505E-2</v>
      </c>
      <c r="Z408" s="23">
        <f t="shared" si="54"/>
        <v>3.4017963776662441E-3</v>
      </c>
      <c r="AA408" s="36"/>
    </row>
    <row r="409" spans="15:27" ht="13.9" customHeight="1" x14ac:dyDescent="0.3">
      <c r="O409" s="12">
        <f t="shared" si="48"/>
        <v>33</v>
      </c>
      <c r="P409" s="13">
        <v>396</v>
      </c>
      <c r="Q409" s="22">
        <v>3.7153624941854035E-2</v>
      </c>
      <c r="R409" s="19">
        <f t="shared" si="49"/>
        <v>3.3154876144768419E-2</v>
      </c>
      <c r="S409" s="22">
        <v>3.8667410503160582E-2</v>
      </c>
      <c r="T409" s="19">
        <f t="shared" si="50"/>
        <v>4.0858340278446814E-2</v>
      </c>
      <c r="U409" s="24">
        <v>4.2441845098720066E-2</v>
      </c>
      <c r="V409" s="24">
        <f t="shared" si="51"/>
        <v>4.1838307437264799E-2</v>
      </c>
      <c r="W409" s="23">
        <f t="shared" si="52"/>
        <v>3.4206879001534851E-3</v>
      </c>
      <c r="X409" s="24">
        <v>4.167640374631687E-2</v>
      </c>
      <c r="Y409" s="24">
        <f t="shared" si="53"/>
        <v>4.1616890045151012E-2</v>
      </c>
      <c r="Z409" s="23">
        <f t="shared" si="54"/>
        <v>3.4027169408903379E-3</v>
      </c>
      <c r="AA409" s="36"/>
    </row>
    <row r="410" spans="15:27" ht="13.9" customHeight="1" x14ac:dyDescent="0.3">
      <c r="O410" s="12">
        <f t="shared" si="48"/>
        <v>33.083333333333336</v>
      </c>
      <c r="P410" s="13">
        <v>397</v>
      </c>
      <c r="Q410" s="22">
        <v>3.7143533108680682E-2</v>
      </c>
      <c r="R410" s="19">
        <f t="shared" si="49"/>
        <v>3.3149632141945773E-2</v>
      </c>
      <c r="S410" s="22">
        <v>3.8672923420267402E-2</v>
      </c>
      <c r="T410" s="19">
        <f t="shared" si="50"/>
        <v>4.0878764777070753E-2</v>
      </c>
      <c r="U410" s="24">
        <v>4.2440324413575814E-2</v>
      </c>
      <c r="V410" s="24">
        <f t="shared" si="51"/>
        <v>4.1847144732214625E-2</v>
      </c>
      <c r="W410" s="23">
        <f t="shared" si="52"/>
        <v>3.4214026892105398E-3</v>
      </c>
      <c r="X410" s="24">
        <v>4.1676253833478061E-2</v>
      </c>
      <c r="Y410" s="24">
        <f t="shared" si="53"/>
        <v>4.1628168672393606E-2</v>
      </c>
      <c r="Z410" s="23">
        <f t="shared" si="54"/>
        <v>3.4036298901545248E-3</v>
      </c>
      <c r="AA410" s="36"/>
    </row>
    <row r="411" spans="15:27" ht="13.9" customHeight="1" x14ac:dyDescent="0.3">
      <c r="O411" s="12">
        <f t="shared" si="48"/>
        <v>33.166666666666664</v>
      </c>
      <c r="P411" s="13">
        <v>398</v>
      </c>
      <c r="Q411" s="22">
        <v>3.7133478859035174E-2</v>
      </c>
      <c r="R411" s="19">
        <f t="shared" si="49"/>
        <v>3.3144596935935411E-2</v>
      </c>
      <c r="S411" s="22">
        <v>3.8678459873170423E-2</v>
      </c>
      <c r="T411" s="19">
        <f t="shared" si="50"/>
        <v>4.0898991273079943E-2</v>
      </c>
      <c r="U411" s="24">
        <v>4.2438833589230063E-2</v>
      </c>
      <c r="V411" s="24">
        <f t="shared" si="51"/>
        <v>4.1855914031240671E-2</v>
      </c>
      <c r="W411" s="23">
        <f t="shared" si="52"/>
        <v>3.4221119720518889E-3</v>
      </c>
      <c r="X411" s="24">
        <v>4.167613301370876E-2</v>
      </c>
      <c r="Y411" s="24">
        <f t="shared" si="53"/>
        <v>4.1639354165327713E-2</v>
      </c>
      <c r="Z411" s="23">
        <f t="shared" si="54"/>
        <v>3.4045352901677095E-3</v>
      </c>
      <c r="AA411" s="36"/>
    </row>
    <row r="412" spans="15:27" ht="13.9" customHeight="1" x14ac:dyDescent="0.3">
      <c r="O412" s="12">
        <f t="shared" si="48"/>
        <v>33.25</v>
      </c>
      <c r="P412" s="13">
        <v>399</v>
      </c>
      <c r="Q412" s="22">
        <v>3.7123462435233234E-2</v>
      </c>
      <c r="R412" s="19">
        <f t="shared" si="49"/>
        <v>3.3139769868050228E-2</v>
      </c>
      <c r="S412" s="22">
        <v>3.8684019189310304E-2</v>
      </c>
      <c r="T412" s="19">
        <f t="shared" si="50"/>
        <v>4.0919021747576778E-2</v>
      </c>
      <c r="U412" s="24">
        <v>4.2437372230355486E-2</v>
      </c>
      <c r="V412" s="24">
        <f t="shared" si="51"/>
        <v>4.1864615869627864E-2</v>
      </c>
      <c r="W412" s="23">
        <f t="shared" si="52"/>
        <v>3.4228157920770386E-3</v>
      </c>
      <c r="X412" s="24">
        <v>4.16760408345207E-2</v>
      </c>
      <c r="Y412" s="24">
        <f t="shared" si="53"/>
        <v>4.1650447312659544E-2</v>
      </c>
      <c r="Z412" s="23">
        <f t="shared" si="54"/>
        <v>3.4054332048809588E-3</v>
      </c>
      <c r="AA412" s="36"/>
    </row>
    <row r="413" spans="15:27" ht="13.9" customHeight="1" x14ac:dyDescent="0.3">
      <c r="O413" s="12">
        <f t="shared" si="48"/>
        <v>33.333333333333336</v>
      </c>
      <c r="P413" s="13">
        <v>400</v>
      </c>
      <c r="Q413" s="22">
        <v>3.7113484075505632E-2</v>
      </c>
      <c r="R413" s="19">
        <f t="shared" si="49"/>
        <v>3.3135150296361493E-2</v>
      </c>
      <c r="S413" s="22">
        <v>3.8689600707815464E-2</v>
      </c>
      <c r="T413" s="19">
        <f t="shared" si="50"/>
        <v>4.093885815966658E-2</v>
      </c>
      <c r="U413" s="24">
        <v>4.2435939946924739E-2</v>
      </c>
      <c r="V413" s="24">
        <f t="shared" si="51"/>
        <v>4.1873250777379578E-2</v>
      </c>
      <c r="W413" s="23">
        <f t="shared" si="52"/>
        <v>3.4235141923737444E-3</v>
      </c>
      <c r="X413" s="24">
        <v>4.1675976849931962E-2</v>
      </c>
      <c r="Y413" s="24">
        <f t="shared" si="53"/>
        <v>4.1661448895118136E-2</v>
      </c>
      <c r="Z413" s="23">
        <f t="shared" si="54"/>
        <v>3.4063236978274514E-3</v>
      </c>
      <c r="AA413" s="36"/>
    </row>
    <row r="414" spans="15:27" ht="13.9" customHeight="1" x14ac:dyDescent="0.3">
      <c r="O414" s="12">
        <f t="shared" si="48"/>
        <v>33.416666666666664</v>
      </c>
      <c r="P414" s="13">
        <v>401</v>
      </c>
      <c r="Q414" s="22">
        <v>3.7103544014091661E-2</v>
      </c>
      <c r="R414" s="19">
        <f t="shared" si="49"/>
        <v>3.3130737591055004E-2</v>
      </c>
      <c r="S414" s="22">
        <v>3.8695203779300469E-2</v>
      </c>
      <c r="T414" s="19">
        <f t="shared" si="50"/>
        <v>4.0958502448389167E-2</v>
      </c>
      <c r="U414" s="24">
        <v>4.2434536354130969E-2</v>
      </c>
      <c r="V414" s="24">
        <f t="shared" si="51"/>
        <v>4.1881819279666388E-2</v>
      </c>
      <c r="W414" s="23">
        <f t="shared" si="52"/>
        <v>3.4242072156029923E-3</v>
      </c>
      <c r="X414" s="24">
        <v>4.167594062036617E-2</v>
      </c>
      <c r="Y414" s="24">
        <f t="shared" si="53"/>
        <v>4.1672359686256044E-2</v>
      </c>
      <c r="Z414" s="23">
        <f t="shared" si="54"/>
        <v>3.4072068318962145E-3</v>
      </c>
      <c r="AA414" s="36"/>
    </row>
    <row r="415" spans="15:27" ht="13.9" customHeight="1" x14ac:dyDescent="0.3">
      <c r="O415" s="12">
        <f t="shared" si="48"/>
        <v>33.5</v>
      </c>
      <c r="P415" s="13">
        <v>402</v>
      </c>
      <c r="Q415" s="22">
        <v>3.709364248131819E-2</v>
      </c>
      <c r="R415" s="19">
        <f t="shared" si="49"/>
        <v>3.3126529784570868E-2</v>
      </c>
      <c r="S415" s="22">
        <v>3.8700827765673074E-2</v>
      </c>
      <c r="T415" s="19">
        <f t="shared" si="50"/>
        <v>4.0977956532381121E-2</v>
      </c>
      <c r="U415" s="24">
        <v>4.2433161072310766E-2</v>
      </c>
      <c r="V415" s="24">
        <f t="shared" si="51"/>
        <v>4.1890321900529992E-2</v>
      </c>
      <c r="W415" s="23">
        <f t="shared" si="52"/>
        <v>3.424894904036524E-3</v>
      </c>
      <c r="X415" s="24">
        <v>4.167593171255457E-2</v>
      </c>
      <c r="Y415" s="24">
        <f t="shared" si="53"/>
        <v>4.1683180453914837E-2</v>
      </c>
      <c r="Z415" s="23">
        <f t="shared" si="54"/>
        <v>3.4080826693954069E-3</v>
      </c>
      <c r="AA415" s="36"/>
    </row>
    <row r="416" spans="15:27" ht="13.9" customHeight="1" x14ac:dyDescent="0.3">
      <c r="O416" s="12">
        <f t="shared" si="48"/>
        <v>33.583333333333336</v>
      </c>
      <c r="P416" s="13">
        <v>403</v>
      </c>
      <c r="Q416" s="22">
        <v>3.7083779700315844E-2</v>
      </c>
      <c r="R416" s="19">
        <f t="shared" si="49"/>
        <v>3.3122520862607141E-2</v>
      </c>
      <c r="S416" s="22">
        <v>3.8706472039942819E-2</v>
      </c>
      <c r="T416" s="19">
        <f t="shared" si="50"/>
        <v>4.0997222309503201E-2</v>
      </c>
      <c r="U416" s="24">
        <v>4.2431813726877321E-2</v>
      </c>
      <c r="V416" s="24">
        <f t="shared" si="51"/>
        <v>4.1898759155299947E-2</v>
      </c>
      <c r="W416" s="23">
        <f t="shared" si="52"/>
        <v>3.4255772998528222E-3</v>
      </c>
      <c r="X416" s="24">
        <v>4.1675949699443438E-2</v>
      </c>
      <c r="Y416" s="24">
        <f t="shared" si="53"/>
        <v>4.1693911958444962E-2</v>
      </c>
      <c r="Z416" s="23">
        <f t="shared" si="54"/>
        <v>3.4089512721711124E-3</v>
      </c>
      <c r="AA416" s="36"/>
    </row>
    <row r="417" spans="15:27" ht="13.9" customHeight="1" x14ac:dyDescent="0.3">
      <c r="O417" s="12">
        <f t="shared" si="48"/>
        <v>33.666666666666664</v>
      </c>
      <c r="P417" s="13">
        <v>404</v>
      </c>
      <c r="Q417" s="22">
        <v>3.7073955877053866E-2</v>
      </c>
      <c r="R417" s="19">
        <f t="shared" si="49"/>
        <v>3.31187088936582E-2</v>
      </c>
      <c r="S417" s="22">
        <v>3.871213598603207E-2</v>
      </c>
      <c r="T417" s="19">
        <f t="shared" si="50"/>
        <v>4.1016301657945675E-2</v>
      </c>
      <c r="U417" s="24">
        <v>4.2430493948236059E-2</v>
      </c>
      <c r="V417" s="24">
        <f t="shared" si="51"/>
        <v>4.1907131559000721E-2</v>
      </c>
      <c r="W417" s="23">
        <f t="shared" si="52"/>
        <v>3.4262544445291532E-3</v>
      </c>
      <c r="X417" s="24">
        <v>4.1675994160098151E-2</v>
      </c>
      <c r="Y417" s="24">
        <f t="shared" si="53"/>
        <v>4.1704554953292616E-2</v>
      </c>
      <c r="Z417" s="23">
        <f t="shared" si="54"/>
        <v>3.409812701463677E-3</v>
      </c>
      <c r="AA417" s="36"/>
    </row>
    <row r="418" spans="15:27" ht="13.9" customHeight="1" x14ac:dyDescent="0.3">
      <c r="O418" s="12">
        <f t="shared" si="48"/>
        <v>33.75</v>
      </c>
      <c r="P418" s="13">
        <v>405</v>
      </c>
      <c r="Q418" s="22">
        <v>3.7064171210670738E-2</v>
      </c>
      <c r="R418" s="19">
        <f t="shared" si="49"/>
        <v>3.3115093313472288E-2</v>
      </c>
      <c r="S418" s="22">
        <v>3.871781899859128E-2</v>
      </c>
      <c r="T418" s="19">
        <f t="shared" si="50"/>
        <v>4.1035196436253196E-2</v>
      </c>
      <c r="U418" s="24">
        <v>4.2429201371721792E-2</v>
      </c>
      <c r="V418" s="24">
        <f t="shared" si="51"/>
        <v>4.191543961930333E-2</v>
      </c>
      <c r="W418" s="23">
        <f t="shared" si="52"/>
        <v>3.4269263795156935E-3</v>
      </c>
      <c r="X418" s="24">
        <v>4.1676064679610825E-2</v>
      </c>
      <c r="Y418" s="24">
        <f t="shared" si="53"/>
        <v>4.1715110185784665E-2</v>
      </c>
      <c r="Z418" s="23">
        <f t="shared" si="54"/>
        <v>3.4106670179552268E-3</v>
      </c>
      <c r="AA418" s="36"/>
    </row>
    <row r="419" spans="15:27" ht="13.9" customHeight="1" x14ac:dyDescent="0.3">
      <c r="O419" s="12">
        <f t="shared" si="48"/>
        <v>33.833333333333336</v>
      </c>
      <c r="P419" s="13">
        <v>406</v>
      </c>
      <c r="Q419" s="22">
        <v>3.7054425896939858E-2</v>
      </c>
      <c r="R419" s="19">
        <f t="shared" si="49"/>
        <v>3.3111673572075784E-2</v>
      </c>
      <c r="S419" s="22">
        <v>3.8723520482819573E-2</v>
      </c>
      <c r="T419" s="19">
        <f t="shared" si="50"/>
        <v>4.1053908483126289E-2</v>
      </c>
      <c r="U419" s="24">
        <v>4.242793563752012E-2</v>
      </c>
      <c r="V419" s="24">
        <f t="shared" si="51"/>
        <v>4.1923683841700088E-2</v>
      </c>
      <c r="W419" s="23">
        <f t="shared" si="52"/>
        <v>3.4275931456708708E-3</v>
      </c>
      <c r="X419" s="24">
        <v>4.167616084901038E-2</v>
      </c>
      <c r="Y419" s="24">
        <f t="shared" si="53"/>
        <v>4.1725578396034191E-2</v>
      </c>
      <c r="Z419" s="23">
        <f t="shared" si="54"/>
        <v>3.4115142818329502E-3</v>
      </c>
      <c r="AA419" s="36"/>
    </row>
    <row r="420" spans="15:27" ht="13.9" customHeight="1" x14ac:dyDescent="0.3">
      <c r="O420" s="12">
        <f t="shared" si="48"/>
        <v>33.916666666666664</v>
      </c>
      <c r="P420" s="13">
        <v>407</v>
      </c>
      <c r="Q420" s="22">
        <v>3.704472012834481E-2</v>
      </c>
      <c r="R420" s="19">
        <f t="shared" si="49"/>
        <v>3.3108449133246509E-2</v>
      </c>
      <c r="S420" s="22">
        <v>3.8729239854284447E-2</v>
      </c>
      <c r="T420" s="19">
        <f t="shared" si="50"/>
        <v>4.1072439618034196E-2</v>
      </c>
      <c r="U420" s="24">
        <v>4.2426696390601704E-2</v>
      </c>
      <c r="V420" s="24">
        <f t="shared" si="51"/>
        <v>4.1931864727496215E-2</v>
      </c>
      <c r="W420" s="23">
        <f t="shared" si="52"/>
        <v>3.4282547836759214E-3</v>
      </c>
      <c r="X420" s="24">
        <v>4.1676282265171949E-2</v>
      </c>
      <c r="Y420" s="24">
        <f t="shared" si="53"/>
        <v>4.1735960318826537E-2</v>
      </c>
      <c r="Z420" s="23">
        <f t="shared" si="54"/>
        <v>3.4123545527011689E-3</v>
      </c>
      <c r="AA420" s="36"/>
    </row>
    <row r="421" spans="15:27" ht="13.9" customHeight="1" x14ac:dyDescent="0.3">
      <c r="O421" s="12">
        <f t="shared" si="48"/>
        <v>34</v>
      </c>
      <c r="P421" s="13">
        <v>408</v>
      </c>
      <c r="Q421" s="22">
        <v>3.7035054094154418E-2</v>
      </c>
      <c r="R421" s="19">
        <f t="shared" si="49"/>
        <v>3.3105418145579213E-2</v>
      </c>
      <c r="S421" s="22">
        <v>3.8734976538748134E-2</v>
      </c>
      <c r="T421" s="19">
        <f t="shared" si="50"/>
        <v>4.1090791641032576E-2</v>
      </c>
      <c r="U421" s="24">
        <v>4.2425483280654097E-2</v>
      </c>
      <c r="V421" s="24">
        <f t="shared" si="51"/>
        <v>4.1939982772216666E-2</v>
      </c>
      <c r="W421" s="23">
        <f t="shared" si="52"/>
        <v>3.4289113338743515E-3</v>
      </c>
      <c r="X421" s="24">
        <v>4.1676428530731835E-2</v>
      </c>
      <c r="Y421" s="24">
        <f t="shared" si="53"/>
        <v>4.1746256680303961E-2</v>
      </c>
      <c r="Z421" s="23">
        <f t="shared" si="54"/>
        <v>3.4131878897323276E-3</v>
      </c>
      <c r="AA421" s="36"/>
    </row>
    <row r="422" spans="15:27" ht="13.9" customHeight="1" x14ac:dyDescent="0.3">
      <c r="O422" s="12">
        <f t="shared" si="48"/>
        <v>34.083333333333336</v>
      </c>
      <c r="P422" s="13">
        <v>409</v>
      </c>
      <c r="Q422" s="22">
        <v>3.7025427977233738E-2</v>
      </c>
      <c r="R422" s="19">
        <f t="shared" si="49"/>
        <v>3.3102574793820949E-2</v>
      </c>
      <c r="S422" s="22">
        <v>3.8740729971994625E-2</v>
      </c>
      <c r="T422" s="19">
        <f t="shared" si="50"/>
        <v>4.1108966333954111E-2</v>
      </c>
      <c r="U422" s="24">
        <v>4.242429596200914E-2</v>
      </c>
      <c r="V422" s="24">
        <f t="shared" si="51"/>
        <v>4.1948038469718174E-2</v>
      </c>
      <c r="W422" s="23">
        <f t="shared" si="52"/>
        <v>3.4295628361431518E-3</v>
      </c>
      <c r="X422" s="24">
        <v>4.1676599253995805E-2</v>
      </c>
      <c r="Y422" s="24">
        <f t="shared" si="53"/>
        <v>4.1756468203210551E-2</v>
      </c>
      <c r="Z422" s="23">
        <f t="shared" si="54"/>
        <v>3.4140143514018728E-3</v>
      </c>
      <c r="AA422" s="36"/>
    </row>
    <row r="423" spans="15:27" ht="13.9" customHeight="1" x14ac:dyDescent="0.3">
      <c r="O423" s="12">
        <f t="shared" si="48"/>
        <v>34.166666666666664</v>
      </c>
      <c r="P423" s="13">
        <v>410</v>
      </c>
      <c r="Q423" s="22">
        <v>3.7015841944417538E-2</v>
      </c>
      <c r="R423" s="19">
        <f t="shared" si="49"/>
        <v>3.3099917261640188E-2</v>
      </c>
      <c r="S423" s="22">
        <v>3.8746499599662698E-2</v>
      </c>
      <c r="T423" s="19">
        <f t="shared" si="50"/>
        <v>4.112696545945016E-2</v>
      </c>
      <c r="U423" s="24">
        <v>4.2423134093582338E-2</v>
      </c>
      <c r="V423" s="24">
        <f t="shared" si="51"/>
        <v>4.1956032308037017E-2</v>
      </c>
      <c r="W423" s="23">
        <f t="shared" si="52"/>
        <v>3.4302093302240877E-3</v>
      </c>
      <c r="X423" s="24">
        <v>4.1676794048861376E-2</v>
      </c>
      <c r="Y423" s="24">
        <f t="shared" si="53"/>
        <v>4.1766595600806644E-2</v>
      </c>
      <c r="Z423" s="23">
        <f t="shared" si="54"/>
        <v>3.4148339959083618E-3</v>
      </c>
      <c r="AA423" s="36"/>
    </row>
    <row r="424" spans="15:27" ht="13.9" customHeight="1" x14ac:dyDescent="0.3">
      <c r="O424" s="12">
        <f t="shared" si="48"/>
        <v>34.25</v>
      </c>
      <c r="P424" s="13">
        <v>411</v>
      </c>
      <c r="Q424" s="22">
        <v>3.7006296156472107E-2</v>
      </c>
      <c r="R424" s="19">
        <f t="shared" si="49"/>
        <v>3.3097445075378484E-2</v>
      </c>
      <c r="S424" s="22">
        <v>3.8752284877079379E-2</v>
      </c>
      <c r="T424" s="19">
        <f t="shared" si="50"/>
        <v>4.1144790762315919E-2</v>
      </c>
      <c r="U424" s="24">
        <v>4.2421997338802697E-2</v>
      </c>
      <c r="V424" s="24">
        <f t="shared" si="51"/>
        <v>4.1963964771935647E-2</v>
      </c>
      <c r="W424" s="23">
        <f t="shared" si="52"/>
        <v>3.4308508553895223E-3</v>
      </c>
      <c r="X424" s="24">
        <v>4.1677012534726998E-2</v>
      </c>
      <c r="Y424" s="24">
        <f t="shared" si="53"/>
        <v>4.1776639582835395E-2</v>
      </c>
      <c r="Z424" s="23">
        <f t="shared" si="54"/>
        <v>3.415646880686074E-3</v>
      </c>
      <c r="AA424" s="36"/>
    </row>
    <row r="425" spans="15:27" ht="13.9" customHeight="1" x14ac:dyDescent="0.3">
      <c r="O425" s="12">
        <f t="shared" si="48"/>
        <v>34.333333333333336</v>
      </c>
      <c r="P425" s="13">
        <v>412</v>
      </c>
      <c r="Q425" s="22">
        <v>3.6996790771440802E-2</v>
      </c>
      <c r="R425" s="19">
        <f t="shared" si="49"/>
        <v>3.3095157773777917E-2</v>
      </c>
      <c r="S425" s="22">
        <v>3.8758085269097853E-2</v>
      </c>
      <c r="T425" s="19">
        <f t="shared" si="50"/>
        <v>4.1162443967964091E-2</v>
      </c>
      <c r="U425" s="24">
        <v>4.2420885365550109E-2</v>
      </c>
      <c r="V425" s="24">
        <f t="shared" si="51"/>
        <v>4.197183634286783E-2</v>
      </c>
      <c r="W425" s="23">
        <f t="shared" si="52"/>
        <v>3.4314874506471416E-3</v>
      </c>
      <c r="X425" s="24">
        <v>4.167725433641567E-2</v>
      </c>
      <c r="Y425" s="24">
        <f t="shared" si="53"/>
        <v>4.1786600850865163E-2</v>
      </c>
      <c r="Z425" s="23">
        <f t="shared" si="54"/>
        <v>3.4164530628826295E-3</v>
      </c>
      <c r="AA425" s="36"/>
    </row>
    <row r="426" spans="15:27" ht="13.9" customHeight="1" x14ac:dyDescent="0.3">
      <c r="O426" s="12">
        <f t="shared" si="48"/>
        <v>34.416666666666664</v>
      </c>
      <c r="P426" s="13">
        <v>413</v>
      </c>
      <c r="Q426" s="22">
        <v>3.6987325944706217E-2</v>
      </c>
      <c r="R426" s="19">
        <f t="shared" si="49"/>
        <v>3.3093054907791908E-2</v>
      </c>
      <c r="S426" s="22">
        <v>3.876390024993559E-2</v>
      </c>
      <c r="T426" s="19">
        <f t="shared" si="50"/>
        <v>4.1179926784693954E-2</v>
      </c>
      <c r="U426" s="24">
        <v>4.2419797846092955E-2</v>
      </c>
      <c r="V426" s="24">
        <f t="shared" si="51"/>
        <v>4.1979647496086736E-2</v>
      </c>
      <c r="W426" s="23">
        <f t="shared" si="52"/>
        <v>3.4321191547372898E-3</v>
      </c>
      <c r="X426" s="24">
        <v>4.1677519084090342E-2</v>
      </c>
      <c r="Y426" s="24">
        <f t="shared" si="53"/>
        <v>4.1796480101109479E-2</v>
      </c>
      <c r="Z426" s="23">
        <f t="shared" si="54"/>
        <v>3.4172525989868419E-3</v>
      </c>
      <c r="AA426" s="36"/>
    </row>
    <row r="427" spans="15:27" ht="13.9" customHeight="1" x14ac:dyDescent="0.3">
      <c r="O427" s="12">
        <f t="shared" si="48"/>
        <v>34.5</v>
      </c>
      <c r="P427" s="13">
        <v>414</v>
      </c>
      <c r="Q427" s="22">
        <v>3.6977901829052362E-2</v>
      </c>
      <c r="R427" s="19">
        <f t="shared" si="49"/>
        <v>3.3091134741620509E-2</v>
      </c>
      <c r="S427" s="22">
        <v>3.8769729303019362E-2</v>
      </c>
      <c r="T427" s="19">
        <f t="shared" si="50"/>
        <v>4.1197240902926646E-2</v>
      </c>
      <c r="U427" s="24">
        <v>4.2418734457020602E-2</v>
      </c>
      <c r="V427" s="24">
        <f t="shared" si="51"/>
        <v>4.1987398706383461E-2</v>
      </c>
      <c r="W427" s="23">
        <f t="shared" si="52"/>
        <v>3.4327460059009329E-3</v>
      </c>
      <c r="X427" s="24">
        <v>4.1677806413175311E-2</v>
      </c>
      <c r="Y427" s="24">
        <f t="shared" si="53"/>
        <v>4.1806278024017374E-2</v>
      </c>
      <c r="Z427" s="23">
        <f t="shared" si="54"/>
        <v>3.4180455450538716E-3</v>
      </c>
      <c r="AA427" s="36"/>
    </row>
    <row r="428" spans="15:27" ht="13.9" customHeight="1" x14ac:dyDescent="0.3">
      <c r="O428" s="12">
        <f t="shared" si="48"/>
        <v>34.583333333333336</v>
      </c>
      <c r="P428" s="13">
        <v>415</v>
      </c>
      <c r="Q428" s="22">
        <v>3.6968518571583564E-2</v>
      </c>
      <c r="R428" s="19">
        <f t="shared" si="49"/>
        <v>3.3089391649204991E-2</v>
      </c>
      <c r="S428" s="22">
        <v>3.8775571920830698E-2</v>
      </c>
      <c r="T428" s="19">
        <f t="shared" si="50"/>
        <v>4.1214387995029078E-2</v>
      </c>
      <c r="U428" s="24">
        <v>4.2417694879189449E-2</v>
      </c>
      <c r="V428" s="24">
        <f t="shared" si="51"/>
        <v>4.1995090441050875E-2</v>
      </c>
      <c r="W428" s="23">
        <f t="shared" si="52"/>
        <v>3.4333680423401791E-3</v>
      </c>
      <c r="X428" s="24">
        <v>4.1678115964279616E-2</v>
      </c>
      <c r="Y428" s="24">
        <f t="shared" si="53"/>
        <v>4.1815995302708853E-2</v>
      </c>
      <c r="Z428" s="23">
        <f t="shared" si="54"/>
        <v>3.4188319566725855E-3</v>
      </c>
      <c r="AA428" s="36"/>
    </row>
    <row r="429" spans="15:27" ht="13.9" customHeight="1" x14ac:dyDescent="0.3">
      <c r="O429" s="12">
        <f t="shared" si="48"/>
        <v>34.666666666666664</v>
      </c>
      <c r="P429" s="13">
        <v>416</v>
      </c>
      <c r="Q429" s="22">
        <v>3.6959176304406149E-2</v>
      </c>
      <c r="R429" s="19">
        <f t="shared" si="49"/>
        <v>3.3087823928371618E-2</v>
      </c>
      <c r="S429" s="22">
        <v>3.878142760475356E-2</v>
      </c>
      <c r="T429" s="19">
        <f t="shared" si="50"/>
        <v>4.1231369716317579E-2</v>
      </c>
      <c r="U429" s="24">
        <v>4.2416678797653651E-2</v>
      </c>
      <c r="V429" s="24">
        <f t="shared" si="51"/>
        <v>4.2002723166812972E-2</v>
      </c>
      <c r="W429" s="23">
        <f t="shared" si="52"/>
        <v>3.4339853016531752E-3</v>
      </c>
      <c r="X429" s="24">
        <v>4.1678447383116435E-2</v>
      </c>
      <c r="Y429" s="24">
        <f t="shared" si="53"/>
        <v>4.1825632615978936E-2</v>
      </c>
      <c r="Z429" s="23">
        <f t="shared" si="54"/>
        <v>3.4196118888407678E-3</v>
      </c>
      <c r="AA429" s="36"/>
    </row>
    <row r="430" spans="15:27" ht="13.9" customHeight="1" x14ac:dyDescent="0.3">
      <c r="O430" s="12">
        <f t="shared" si="48"/>
        <v>34.75</v>
      </c>
      <c r="P430" s="13">
        <v>417</v>
      </c>
      <c r="Q430" s="22">
        <v>3.6949875154253409E-2</v>
      </c>
      <c r="R430" s="19">
        <f t="shared" si="49"/>
        <v>3.3086431189029319E-2</v>
      </c>
      <c r="S430" s="22">
        <v>3.8787295864926019E-2</v>
      </c>
      <c r="T430" s="19">
        <f t="shared" si="50"/>
        <v>4.124818770463845E-2</v>
      </c>
      <c r="U430" s="24">
        <v>4.2415685901613598E-2</v>
      </c>
      <c r="V430" s="24">
        <f t="shared" si="51"/>
        <v>4.2010297345061121E-2</v>
      </c>
      <c r="W430" s="23">
        <f t="shared" si="52"/>
        <v>3.4345978213909945E-3</v>
      </c>
      <c r="X430" s="24">
        <v>4.1678800320431586E-2</v>
      </c>
      <c r="Y430" s="24">
        <f t="shared" si="53"/>
        <v>4.1835190635605146E-2</v>
      </c>
      <c r="Z430" s="23">
        <f t="shared" si="54"/>
        <v>3.4203853962055941E-3</v>
      </c>
      <c r="AA430" s="36"/>
    </row>
    <row r="431" spans="15:27" ht="13.9" customHeight="1" x14ac:dyDescent="0.3">
      <c r="O431" s="12">
        <f t="shared" si="48"/>
        <v>34.833333333333336</v>
      </c>
      <c r="P431" s="13">
        <v>418</v>
      </c>
      <c r="Q431" s="22">
        <v>3.6940615245701025E-2</v>
      </c>
      <c r="R431" s="19">
        <f t="shared" si="49"/>
        <v>3.3085213056284424E-2</v>
      </c>
      <c r="S431" s="22">
        <v>3.879317622009415E-2</v>
      </c>
      <c r="T431" s="19">
        <f t="shared" si="50"/>
        <v>4.1264843581015676E-2</v>
      </c>
      <c r="U431" s="24">
        <v>4.2414715884353305E-2</v>
      </c>
      <c r="V431" s="24">
        <f t="shared" si="51"/>
        <v>4.2017813432519091E-2</v>
      </c>
      <c r="W431" s="23">
        <f t="shared" si="52"/>
        <v>3.4352056386752761E-3</v>
      </c>
      <c r="X431" s="24">
        <v>4.1679174431926258E-2</v>
      </c>
      <c r="Y431" s="24">
        <f t="shared" si="53"/>
        <v>4.1844670027811448E-2</v>
      </c>
      <c r="Z431" s="23">
        <f t="shared" si="54"/>
        <v>3.4211525328475823E-3</v>
      </c>
      <c r="AA431" s="36"/>
    </row>
    <row r="432" spans="15:27" ht="13.9" customHeight="1" x14ac:dyDescent="0.3">
      <c r="O432" s="12">
        <f t="shared" si="48"/>
        <v>34.916666666666664</v>
      </c>
      <c r="P432" s="13">
        <v>419</v>
      </c>
      <c r="Q432" s="22">
        <v>3.6931396701229025E-2</v>
      </c>
      <c r="R432" s="19">
        <f t="shared" si="49"/>
        <v>3.3084169165180644E-2</v>
      </c>
      <c r="S432" s="22">
        <v>3.8799068197468145E-2</v>
      </c>
      <c r="T432" s="19">
        <f t="shared" si="50"/>
        <v>4.1281338949200386E-2</v>
      </c>
      <c r="U432" s="24">
        <v>4.2413768443180233E-2</v>
      </c>
      <c r="V432" s="24">
        <f t="shared" si="51"/>
        <v>4.2025271884474913E-2</v>
      </c>
      <c r="W432" s="23">
        <f t="shared" si="52"/>
        <v>3.4358087902506274E-3</v>
      </c>
      <c r="X432" s="24">
        <v>4.16795693781844E-2</v>
      </c>
      <c r="Y432" s="24">
        <f t="shared" si="53"/>
        <v>4.1854071452711139E-2</v>
      </c>
      <c r="Z432" s="23">
        <f t="shared" si="54"/>
        <v>3.421913352398942E-3</v>
      </c>
      <c r="AA432" s="36"/>
    </row>
    <row r="433" spans="15:27" ht="13.9" customHeight="1" x14ac:dyDescent="0.3">
      <c r="O433" s="12">
        <f t="shared" si="48"/>
        <v>35</v>
      </c>
      <c r="P433" s="13">
        <v>420</v>
      </c>
      <c r="Q433" s="22">
        <v>3.6922219641269738E-2</v>
      </c>
      <c r="R433" s="19">
        <f t="shared" si="49"/>
        <v>3.3083297888989449E-2</v>
      </c>
      <c r="S433" s="22">
        <v>3.8804971332580651E-2</v>
      </c>
      <c r="T433" s="19">
        <f t="shared" si="50"/>
        <v>4.1297675396950284E-2</v>
      </c>
      <c r="U433" s="24">
        <v>4.2412843279374224E-2</v>
      </c>
      <c r="V433" s="24">
        <f t="shared" si="51"/>
        <v>4.2032673150730337E-2</v>
      </c>
      <c r="W433" s="23">
        <f t="shared" si="52"/>
        <v>3.4364073127457484E-3</v>
      </c>
      <c r="X433" s="24">
        <v>4.1679984824600336E-2</v>
      </c>
      <c r="Y433" s="24">
        <f t="shared" si="53"/>
        <v>4.1863395565658879E-2</v>
      </c>
      <c r="Z433" s="23">
        <f t="shared" si="54"/>
        <v>3.4226679079976119E-3</v>
      </c>
      <c r="AA433" s="36"/>
    </row>
    <row r="434" spans="15:27" ht="13.9" customHeight="1" x14ac:dyDescent="0.3">
      <c r="O434" s="12">
        <f t="shared" si="48"/>
        <v>35.083333333333336</v>
      </c>
      <c r="P434" s="13">
        <v>421</v>
      </c>
      <c r="Q434" s="22">
        <v>3.6913084181225075E-2</v>
      </c>
      <c r="R434" s="19">
        <f t="shared" si="49"/>
        <v>3.3082593787796322E-2</v>
      </c>
      <c r="S434" s="22">
        <v>3.8810885169149545E-2</v>
      </c>
      <c r="T434" s="19">
        <f t="shared" si="50"/>
        <v>4.131385449497782E-2</v>
      </c>
      <c r="U434" s="24">
        <v>4.2411940098126655E-2</v>
      </c>
      <c r="V434" s="24">
        <f t="shared" si="51"/>
        <v>4.2040017677814623E-2</v>
      </c>
      <c r="W434" s="23">
        <f t="shared" si="52"/>
        <v>3.4370012423463603E-3</v>
      </c>
      <c r="X434" s="24">
        <v>4.1680420441309485E-2</v>
      </c>
      <c r="Y434" s="24">
        <f t="shared" si="53"/>
        <v>4.1872643014335464E-2</v>
      </c>
      <c r="Z434" s="23">
        <f t="shared" si="54"/>
        <v>3.4234162523969491E-3</v>
      </c>
      <c r="AA434" s="36"/>
    </row>
    <row r="435" spans="15:27" ht="13.9" customHeight="1" x14ac:dyDescent="0.3">
      <c r="O435" s="12">
        <f t="shared" si="48"/>
        <v>35.166666666666664</v>
      </c>
      <c r="P435" s="13">
        <v>422</v>
      </c>
      <c r="Q435" s="22">
        <v>3.6903990422455957E-2</v>
      </c>
      <c r="R435" s="19">
        <f t="shared" si="49"/>
        <v>3.3082055265842625E-2</v>
      </c>
      <c r="S435" s="22">
        <v>3.8816809258940044E-2</v>
      </c>
      <c r="T435" s="19">
        <f t="shared" si="50"/>
        <v>4.1329877798043091E-2</v>
      </c>
      <c r="U435" s="24">
        <v>4.2411058608486929E-2</v>
      </c>
      <c r="V435" s="24">
        <f t="shared" si="51"/>
        <v>4.2047305909779009E-2</v>
      </c>
      <c r="W435" s="23">
        <f t="shared" si="52"/>
        <v>3.4375906149748392E-3</v>
      </c>
      <c r="X435" s="24">
        <v>4.1680875903114423E-2</v>
      </c>
      <c r="Y435" s="24">
        <f t="shared" si="53"/>
        <v>4.1881814443120335E-2</v>
      </c>
      <c r="Z435" s="23">
        <f t="shared" si="54"/>
        <v>3.4241584377316947E-3</v>
      </c>
      <c r="AA435" s="36"/>
    </row>
    <row r="436" spans="15:27" ht="13.9" customHeight="1" x14ac:dyDescent="0.3">
      <c r="O436" s="12">
        <f t="shared" si="48"/>
        <v>35.25</v>
      </c>
      <c r="P436" s="13">
        <v>423</v>
      </c>
      <c r="Q436" s="22">
        <v>3.6894938461569993E-2</v>
      </c>
      <c r="R436" s="19">
        <f t="shared" si="49"/>
        <v>3.3081682016329994E-2</v>
      </c>
      <c r="S436" s="22">
        <v>3.8822743161631923E-2</v>
      </c>
      <c r="T436" s="19">
        <f t="shared" si="50"/>
        <v>4.134574684430592E-2</v>
      </c>
      <c r="U436" s="24">
        <v>4.2410198523310294E-2</v>
      </c>
      <c r="V436" s="24">
        <f t="shared" si="51"/>
        <v>4.2054538284180598E-2</v>
      </c>
      <c r="W436" s="23">
        <f t="shared" si="52"/>
        <v>3.4381754663523889E-3</v>
      </c>
      <c r="X436" s="24">
        <v>4.1681350889421598E-2</v>
      </c>
      <c r="Y436" s="24">
        <f t="shared" si="53"/>
        <v>4.1890910488403543E-2</v>
      </c>
      <c r="Z436" s="23">
        <f t="shared" si="54"/>
        <v>3.4248945158679156E-3</v>
      </c>
      <c r="AA436" s="36"/>
    </row>
    <row r="437" spans="15:27" ht="13.9" customHeight="1" x14ac:dyDescent="0.3">
      <c r="O437" s="12">
        <f t="shared" si="48"/>
        <v>35.333333333333336</v>
      </c>
      <c r="P437" s="13">
        <v>424</v>
      </c>
      <c r="Q437" s="22">
        <v>3.6885928393529221E-2</v>
      </c>
      <c r="R437" s="19">
        <f t="shared" si="49"/>
        <v>3.3081473744758005E-2</v>
      </c>
      <c r="S437" s="22">
        <v>3.8828686444686955E-2</v>
      </c>
      <c r="T437" s="19">
        <f t="shared" si="50"/>
        <v>4.136146315711442E-2</v>
      </c>
      <c r="U437" s="24">
        <v>4.240935955919789E-2</v>
      </c>
      <c r="V437" s="24">
        <f t="shared" si="51"/>
        <v>4.2061715240314657E-2</v>
      </c>
      <c r="W437" s="23">
        <f t="shared" si="52"/>
        <v>3.4387558316779643E-3</v>
      </c>
      <c r="X437" s="24">
        <v>4.1681845084168057E-2</v>
      </c>
      <c r="Y437" s="24">
        <f t="shared" si="53"/>
        <v>4.1899931784098232E-2</v>
      </c>
      <c r="Z437" s="23">
        <f t="shared" si="54"/>
        <v>3.4256245380284156E-3</v>
      </c>
      <c r="AA437" s="36"/>
    </row>
    <row r="438" spans="15:27" ht="13.9" customHeight="1" x14ac:dyDescent="0.3">
      <c r="O438" s="12">
        <f t="shared" si="48"/>
        <v>35.416666666666664</v>
      </c>
      <c r="P438" s="13">
        <v>425</v>
      </c>
      <c r="Q438" s="22">
        <v>3.6876960311698515E-2</v>
      </c>
      <c r="R438" s="19">
        <f t="shared" si="49"/>
        <v>3.308143016752374E-2</v>
      </c>
      <c r="S438" s="22">
        <v>3.88346386832219E-2</v>
      </c>
      <c r="T438" s="19">
        <f t="shared" si="50"/>
        <v>4.1377028242866043E-2</v>
      </c>
      <c r="U438" s="24">
        <v>4.2408541436456337E-2</v>
      </c>
      <c r="V438" s="24">
        <f t="shared" si="51"/>
        <v>4.2068837207196896E-2</v>
      </c>
      <c r="W438" s="23">
        <f t="shared" si="52"/>
        <v>3.4393317462884099E-3</v>
      </c>
      <c r="X438" s="24">
        <v>4.1682358175762158E-2</v>
      </c>
      <c r="Y438" s="24">
        <f t="shared" si="53"/>
        <v>4.190887895503792E-2</v>
      </c>
      <c r="Z438" s="23">
        <f t="shared" si="54"/>
        <v>3.4263485552337158E-3</v>
      </c>
      <c r="AA438" s="36"/>
    </row>
    <row r="439" spans="15:27" ht="13.9" customHeight="1" x14ac:dyDescent="0.3">
      <c r="O439" s="12">
        <f t="shared" si="48"/>
        <v>35.5</v>
      </c>
      <c r="P439" s="13">
        <v>426</v>
      </c>
      <c r="Q439" s="22">
        <v>3.6868034307889541E-2</v>
      </c>
      <c r="R439" s="19">
        <f t="shared" si="49"/>
        <v>3.308154976214106E-2</v>
      </c>
      <c r="S439" s="22">
        <v>3.8840599459878611E-2</v>
      </c>
      <c r="T439" s="19">
        <f t="shared" si="50"/>
        <v>4.139244359282479E-2</v>
      </c>
      <c r="U439" s="24">
        <v>4.2407743879030457E-2</v>
      </c>
      <c r="V439" s="24">
        <f t="shared" si="51"/>
        <v>4.207590461599886E-2</v>
      </c>
      <c r="W439" s="23">
        <f t="shared" si="52"/>
        <v>3.4399032446938982E-3</v>
      </c>
      <c r="X439" s="24">
        <v>4.1682889857009631E-2</v>
      </c>
      <c r="Y439" s="24">
        <f t="shared" si="53"/>
        <v>4.1917752623137794E-2</v>
      </c>
      <c r="Z439" s="23">
        <f t="shared" si="54"/>
        <v>3.4270666177731446E-3</v>
      </c>
      <c r="AA439" s="36"/>
    </row>
    <row r="440" spans="15:27" ht="13.9" customHeight="1" x14ac:dyDescent="0.3">
      <c r="O440" s="12">
        <f t="shared" si="48"/>
        <v>35.583333333333336</v>
      </c>
      <c r="P440" s="13">
        <v>427</v>
      </c>
      <c r="Q440" s="22">
        <v>3.6859150469467084E-2</v>
      </c>
      <c r="R440" s="19">
        <f t="shared" si="49"/>
        <v>3.3081827268227837E-2</v>
      </c>
      <c r="S440" s="22">
        <v>3.8846568364700573E-2</v>
      </c>
      <c r="T440" s="19">
        <f t="shared" si="50"/>
        <v>4.1407710683055932E-2</v>
      </c>
      <c r="U440" s="24">
        <v>4.2406966614465524E-2</v>
      </c>
      <c r="V440" s="24">
        <f t="shared" si="51"/>
        <v>4.2082917891534288E-2</v>
      </c>
      <c r="W440" s="23">
        <f t="shared" si="52"/>
        <v>3.4404703615760202E-3</v>
      </c>
      <c r="X440" s="24">
        <v>4.168343982505518E-2</v>
      </c>
      <c r="Y440" s="24">
        <f t="shared" si="53"/>
        <v>4.1926553403787148E-2</v>
      </c>
      <c r="Z440" s="23">
        <f t="shared" si="54"/>
        <v>3.4277787756991085E-3</v>
      </c>
      <c r="AA440" s="36"/>
    </row>
    <row r="441" spans="15:27" ht="13.9" customHeight="1" x14ac:dyDescent="0.3">
      <c r="O441" s="12">
        <f t="shared" si="48"/>
        <v>35.666666666666664</v>
      </c>
      <c r="P441" s="13">
        <v>428</v>
      </c>
      <c r="Q441" s="22">
        <v>3.6850308870635784E-2</v>
      </c>
      <c r="R441" s="19">
        <f t="shared" si="49"/>
        <v>3.3082261194739004E-2</v>
      </c>
      <c r="S441" s="22">
        <v>3.8852544995010785E-2</v>
      </c>
      <c r="T441" s="19">
        <f t="shared" si="50"/>
        <v>4.1422830974494174E-2</v>
      </c>
      <c r="U441" s="24">
        <v>4.2406209373849979E-2</v>
      </c>
      <c r="V441" s="24">
        <f t="shared" si="51"/>
        <v>4.208987745590731E-2</v>
      </c>
      <c r="W441" s="23">
        <f t="shared" si="52"/>
        <v>3.44103313110522E-3</v>
      </c>
      <c r="X441" s="24">
        <v>4.1684007781316534E-2</v>
      </c>
      <c r="Y441" s="24">
        <f t="shared" si="53"/>
        <v>4.1935281907613309E-2</v>
      </c>
      <c r="Z441" s="23">
        <f t="shared" si="54"/>
        <v>3.4284850785373244E-3</v>
      </c>
      <c r="AA441" s="36"/>
    </row>
    <row r="442" spans="15:27" ht="13.9" customHeight="1" x14ac:dyDescent="0.3">
      <c r="O442" s="12">
        <f t="shared" si="48"/>
        <v>35.75</v>
      </c>
      <c r="P442" s="13">
        <v>429</v>
      </c>
      <c r="Q442" s="22">
        <v>3.6841509581412524E-2</v>
      </c>
      <c r="R442" s="19">
        <f t="shared" si="49"/>
        <v>3.308285131282851E-2</v>
      </c>
      <c r="S442" s="22">
        <v>3.8858528955291183E-2</v>
      </c>
      <c r="T442" s="19">
        <f t="shared" si="50"/>
        <v>4.1437805912204917E-2</v>
      </c>
      <c r="U442" s="24">
        <v>4.2405471891767688E-2</v>
      </c>
      <c r="V442" s="24">
        <f t="shared" si="51"/>
        <v>4.2096783727495035E-2</v>
      </c>
      <c r="W442" s="23">
        <f t="shared" si="52"/>
        <v>3.441591587232562E-3</v>
      </c>
      <c r="X442" s="24">
        <v>4.1684593431423167E-2</v>
      </c>
      <c r="Y442" s="24">
        <f t="shared" si="53"/>
        <v>4.1943938739866349E-2</v>
      </c>
      <c r="Z442" s="23">
        <f t="shared" si="54"/>
        <v>3.4291855754287059E-3</v>
      </c>
      <c r="AA442" s="36"/>
    </row>
    <row r="443" spans="15:27" ht="13.9" customHeight="1" x14ac:dyDescent="0.3">
      <c r="O443" s="12">
        <f t="shared" si="48"/>
        <v>35.833333333333336</v>
      </c>
      <c r="P443" s="13">
        <v>430</v>
      </c>
      <c r="Q443" s="22">
        <v>3.6832752670620916E-2</v>
      </c>
      <c r="R443" s="19">
        <f t="shared" si="49"/>
        <v>3.3083597405218823E-2</v>
      </c>
      <c r="S443" s="22">
        <v>3.8864519857062296E-2</v>
      </c>
      <c r="T443" s="19">
        <f t="shared" si="50"/>
        <v>4.1452636927717279E-2</v>
      </c>
      <c r="U443" s="24">
        <v>4.2404753906249093E-2</v>
      </c>
      <c r="V443" s="24">
        <f t="shared" si="51"/>
        <v>4.2103637122443693E-2</v>
      </c>
      <c r="W443" s="23">
        <f t="shared" si="52"/>
        <v>3.4421457636086839E-3</v>
      </c>
      <c r="X443" s="24">
        <v>4.1685196485154785E-2</v>
      </c>
      <c r="Y443" s="24">
        <f t="shared" si="53"/>
        <v>4.1952524499746735E-2</v>
      </c>
      <c r="Z443" s="23">
        <f t="shared" si="54"/>
        <v>3.4298803150805135E-3</v>
      </c>
      <c r="AA443" s="36"/>
    </row>
    <row r="444" spans="15:27" ht="13.9" customHeight="1" x14ac:dyDescent="0.3">
      <c r="O444" s="12">
        <f t="shared" si="48"/>
        <v>35.916666666666664</v>
      </c>
      <c r="P444" s="13">
        <v>431</v>
      </c>
      <c r="Q444" s="22">
        <v>3.6824038205931942E-2</v>
      </c>
      <c r="R444" s="19">
        <f t="shared" si="49"/>
        <v>3.3084499264988576E-2</v>
      </c>
      <c r="S444" s="22">
        <v>3.8870517318770226E-2</v>
      </c>
      <c r="T444" s="19">
        <f t="shared" si="50"/>
        <v>4.1467325436446822E-2</v>
      </c>
      <c r="U444" s="24">
        <v>4.2404055158725473E-2</v>
      </c>
      <c r="V444" s="24">
        <f t="shared" si="51"/>
        <v>4.2110438051481625E-2</v>
      </c>
      <c r="W444" s="23">
        <f t="shared" si="52"/>
        <v>3.4426956937041453E-3</v>
      </c>
      <c r="X444" s="24">
        <v>4.1685816656379382E-2</v>
      </c>
      <c r="Y444" s="24">
        <f t="shared" si="53"/>
        <v>4.1961039782052456E-2</v>
      </c>
      <c r="Z444" s="23">
        <f t="shared" si="54"/>
        <v>3.4305693457112874E-3</v>
      </c>
      <c r="AA444" s="36"/>
    </row>
    <row r="445" spans="15:27" ht="13.9" customHeight="1" x14ac:dyDescent="0.3">
      <c r="O445" s="12">
        <f t="shared" si="48"/>
        <v>36</v>
      </c>
      <c r="P445" s="13">
        <v>432</v>
      </c>
      <c r="Q445" s="22">
        <v>3.6815366253901693E-2</v>
      </c>
      <c r="R445" s="19">
        <f t="shared" si="49"/>
        <v>3.3085555471556116E-2</v>
      </c>
      <c r="S445" s="22">
        <v>3.8876520965668737E-2</v>
      </c>
      <c r="T445" s="19">
        <f t="shared" si="50"/>
        <v>4.1481872840515965E-2</v>
      </c>
      <c r="U445" s="24">
        <v>4.2403375393977205E-2</v>
      </c>
      <c r="V445" s="24">
        <f t="shared" si="51"/>
        <v>4.2117186924680805E-2</v>
      </c>
      <c r="W445" s="23">
        <f t="shared" si="52"/>
        <v>3.4432414105527442E-3</v>
      </c>
      <c r="X445" s="24">
        <v>4.168645366299506E-2</v>
      </c>
      <c r="Y445" s="24">
        <f t="shared" si="53"/>
        <v>4.1969485176874377E-2</v>
      </c>
      <c r="Z445" s="23">
        <f t="shared" si="54"/>
        <v>3.4312527151840744E-3</v>
      </c>
      <c r="AA445" s="36"/>
    </row>
    <row r="446" spans="15:27" ht="13.9" customHeight="1" x14ac:dyDescent="0.3">
      <c r="O446" s="12">
        <f t="shared" si="48"/>
        <v>36.083333333333336</v>
      </c>
      <c r="P446" s="13">
        <v>433</v>
      </c>
      <c r="Q446" s="22">
        <v>3.6806736877170954E-2</v>
      </c>
      <c r="R446" s="19">
        <f t="shared" si="49"/>
        <v>3.3086760938219939E-2</v>
      </c>
      <c r="S446" s="22">
        <v>3.8882530429710238E-2</v>
      </c>
      <c r="T446" s="19">
        <f t="shared" si="50"/>
        <v>4.1496280526410079E-2</v>
      </c>
      <c r="U446" s="24">
        <v>4.240271436009313E-2</v>
      </c>
      <c r="V446" s="24">
        <f t="shared" si="51"/>
        <v>4.2123884146292312E-2</v>
      </c>
      <c r="W446" s="23">
        <f t="shared" si="52"/>
        <v>3.4437829471349879E-3</v>
      </c>
      <c r="X446" s="24">
        <v>4.1687107226872744E-2</v>
      </c>
      <c r="Y446" s="24">
        <f t="shared" si="53"/>
        <v>4.1977861268042593E-2</v>
      </c>
      <c r="Z446" s="23">
        <f t="shared" si="54"/>
        <v>3.431930470981559E-3</v>
      </c>
      <c r="AA446" s="36"/>
    </row>
    <row r="447" spans="15:27" ht="13.9" customHeight="1" x14ac:dyDescent="0.3">
      <c r="O447" s="12">
        <f t="shared" si="48"/>
        <v>36.166666666666664</v>
      </c>
      <c r="P447" s="13">
        <v>434</v>
      </c>
      <c r="Q447" s="22">
        <v>3.6798150126032603E-2</v>
      </c>
      <c r="R447" s="19">
        <f t="shared" si="49"/>
        <v>3.3088114273722269E-2</v>
      </c>
      <c r="S447" s="22">
        <v>3.8888545349431869E-2</v>
      </c>
      <c r="T447" s="19">
        <f t="shared" si="50"/>
        <v>4.1510549867637359E-2</v>
      </c>
      <c r="U447" s="24">
        <v>4.2402071808419484E-2</v>
      </c>
      <c r="V447" s="24">
        <f t="shared" si="51"/>
        <v>4.2130530118531739E-2</v>
      </c>
      <c r="W447" s="23">
        <f t="shared" si="52"/>
        <v>3.4443203359622032E-3</v>
      </c>
      <c r="X447" s="24">
        <v>4.1687777073796228E-2</v>
      </c>
      <c r="Y447" s="24">
        <f t="shared" si="53"/>
        <v>4.1986168634611021E-2</v>
      </c>
      <c r="Z447" s="23">
        <f t="shared" si="54"/>
        <v>3.4326026600812742E-3</v>
      </c>
      <c r="AA447" s="36"/>
    </row>
    <row r="448" spans="15:27" ht="13.9" customHeight="1" x14ac:dyDescent="0.3">
      <c r="O448" s="12">
        <f t="shared" si="48"/>
        <v>36.25</v>
      </c>
      <c r="P448" s="13">
        <v>435</v>
      </c>
      <c r="Q448" s="22">
        <v>3.6789606047100021E-2</v>
      </c>
      <c r="R448" s="19">
        <f t="shared" si="49"/>
        <v>3.3089615323079746E-2</v>
      </c>
      <c r="S448" s="22">
        <v>3.8894565369850254E-2</v>
      </c>
      <c r="T448" s="19">
        <f t="shared" si="50"/>
        <v>4.1524682222423781E-2</v>
      </c>
      <c r="U448" s="24">
        <v>4.2401447493517264E-2</v>
      </c>
      <c r="V448" s="24">
        <f t="shared" si="51"/>
        <v>4.2137125241304307E-2</v>
      </c>
      <c r="W448" s="23">
        <f t="shared" si="52"/>
        <v>3.4448536093814042E-3</v>
      </c>
      <c r="X448" s="24">
        <v>4.1688462933405557E-2</v>
      </c>
      <c r="Y448" s="24">
        <f t="shared" si="53"/>
        <v>4.1994407851225102E-2</v>
      </c>
      <c r="Z448" s="23">
        <f t="shared" si="54"/>
        <v>3.4332693290757277E-3</v>
      </c>
      <c r="AA448" s="36"/>
    </row>
    <row r="449" spans="15:27" ht="13.9" customHeight="1" x14ac:dyDescent="0.3">
      <c r="O449" s="12">
        <f t="shared" si="48"/>
        <v>36.333333333333336</v>
      </c>
      <c r="P449" s="13">
        <v>436</v>
      </c>
      <c r="Q449" s="22">
        <v>3.6781104686194777E-2</v>
      </c>
      <c r="R449" s="19">
        <f t="shared" si="49"/>
        <v>3.3091263944235783E-2</v>
      </c>
      <c r="S449" s="22">
        <v>3.890059014235181E-2</v>
      </c>
      <c r="T449" s="19">
        <f t="shared" si="50"/>
        <v>4.153867893606833E-2</v>
      </c>
      <c r="U449" s="24">
        <v>4.2400841173120041E-2</v>
      </c>
      <c r="V449" s="24">
        <f t="shared" si="51"/>
        <v>4.2143669908668357E-2</v>
      </c>
      <c r="W449" s="23">
        <f t="shared" si="52"/>
        <v>3.4453827995530872E-3</v>
      </c>
      <c r="X449" s="24">
        <v>4.1689164539142842E-2</v>
      </c>
      <c r="Y449" s="24">
        <f t="shared" si="53"/>
        <v>4.2002579487055103E-2</v>
      </c>
      <c r="Z449" s="23">
        <f t="shared" si="54"/>
        <v>3.4339305242008233E-3</v>
      </c>
      <c r="AA449" s="36"/>
    </row>
    <row r="450" spans="15:27" ht="13.9" customHeight="1" x14ac:dyDescent="0.3">
      <c r="O450" s="12">
        <f t="shared" si="48"/>
        <v>36.416666666666664</v>
      </c>
      <c r="P450" s="13">
        <v>437</v>
      </c>
      <c r="Q450" s="22">
        <v>3.6772646088385486E-2</v>
      </c>
      <c r="R450" s="19">
        <f t="shared" si="49"/>
        <v>3.3093060003552832E-2</v>
      </c>
      <c r="S450" s="22">
        <v>3.8906619324590164E-2</v>
      </c>
      <c r="T450" s="19">
        <f t="shared" si="50"/>
        <v>4.1552541339367588E-2</v>
      </c>
      <c r="U450" s="24">
        <v>4.2400252608084665E-2</v>
      </c>
      <c r="V450" s="24">
        <f t="shared" si="51"/>
        <v>4.2150164514161093E-2</v>
      </c>
      <c r="W450" s="23">
        <f t="shared" si="52"/>
        <v>3.4459079381670144E-3</v>
      </c>
      <c r="X450" s="24">
        <v>4.1689881628196312E-2</v>
      </c>
      <c r="Y450" s="24">
        <f t="shared" si="53"/>
        <v>4.2010684106544183E-2</v>
      </c>
      <c r="Z450" s="23">
        <f t="shared" si="54"/>
        <v>3.4345862912508185E-3</v>
      </c>
      <c r="AA450" s="36"/>
    </row>
    <row r="451" spans="15:27" ht="13.9" customHeight="1" x14ac:dyDescent="0.3">
      <c r="O451" s="12">
        <f t="shared" si="48"/>
        <v>36.5</v>
      </c>
      <c r="P451" s="13">
        <v>438</v>
      </c>
      <c r="Q451" s="22">
        <v>3.6764230298015566E-2</v>
      </c>
      <c r="R451" s="19">
        <f t="shared" si="49"/>
        <v>3.309500217758421E-2</v>
      </c>
      <c r="S451" s="22">
        <v>3.8912652580381346E-2</v>
      </c>
      <c r="T451" s="19">
        <f t="shared" si="50"/>
        <v>4.1566270750366119E-2</v>
      </c>
      <c r="U451" s="24">
        <v>4.2399681562353519E-2</v>
      </c>
      <c r="V451" s="24">
        <f t="shared" si="51"/>
        <v>4.2156609447018933E-2</v>
      </c>
      <c r="W451" s="23">
        <f t="shared" si="52"/>
        <v>3.4464290568700928E-3</v>
      </c>
      <c r="X451" s="24">
        <v>4.1690613941446353E-2</v>
      </c>
      <c r="Y451" s="24">
        <f t="shared" si="53"/>
        <v>4.2018722269306474E-2</v>
      </c>
      <c r="Z451" s="23">
        <f t="shared" si="54"/>
        <v>3.4352366756382757E-3</v>
      </c>
      <c r="AA451" s="36"/>
    </row>
    <row r="452" spans="15:27" ht="13.9" customHeight="1" x14ac:dyDescent="0.3">
      <c r="O452" s="12">
        <f t="shared" si="48"/>
        <v>36.583333333333336</v>
      </c>
      <c r="P452" s="13">
        <v>439</v>
      </c>
      <c r="Q452" s="22">
        <v>3.6755857355991406E-2</v>
      </c>
      <c r="R452" s="19">
        <f t="shared" si="49"/>
        <v>3.3097085548080774E-2</v>
      </c>
      <c r="S452" s="22">
        <v>3.8918689579604537E-2</v>
      </c>
      <c r="T452" s="19">
        <f t="shared" si="50"/>
        <v>4.157986847243289E-2</v>
      </c>
      <c r="U452" s="24">
        <v>4.239912780291033E-2</v>
      </c>
      <c r="V452" s="24">
        <f t="shared" si="51"/>
        <v>4.2163005093102557E-2</v>
      </c>
      <c r="W452" s="23">
        <f t="shared" si="52"/>
        <v>3.4469461869623963E-3</v>
      </c>
      <c r="X452" s="24">
        <v>4.1691361223412438E-2</v>
      </c>
      <c r="Y452" s="24">
        <f t="shared" si="53"/>
        <v>4.2026694529912589E-2</v>
      </c>
      <c r="Z452" s="23">
        <f t="shared" si="54"/>
        <v>3.4358817223862914E-3</v>
      </c>
      <c r="AA452" s="36"/>
    </row>
    <row r="453" spans="15:27" ht="13.9" customHeight="1" x14ac:dyDescent="0.3">
      <c r="O453" s="12">
        <f t="shared" si="48"/>
        <v>36.666666666666664</v>
      </c>
      <c r="P453" s="13">
        <v>440</v>
      </c>
      <c r="Q453" s="22">
        <v>3.6747527291623117E-2</v>
      </c>
      <c r="R453" s="19">
        <f t="shared" si="49"/>
        <v>3.3099308819070972E-2</v>
      </c>
      <c r="S453" s="22">
        <v>3.8924729998099705E-2</v>
      </c>
      <c r="T453" s="19">
        <f t="shared" si="50"/>
        <v>4.1593335796840547E-2</v>
      </c>
      <c r="U453" s="24">
        <v>4.2398591099737315E-2</v>
      </c>
      <c r="V453" s="24">
        <f t="shared" si="51"/>
        <v>4.216935183610282E-2</v>
      </c>
      <c r="W453" s="23">
        <f t="shared" si="52"/>
        <v>3.4474593594726599E-3</v>
      </c>
      <c r="X453" s="24">
        <v>4.1692123222200506E-2</v>
      </c>
      <c r="Y453" s="24">
        <f t="shared" si="53"/>
        <v>4.20346014382591E-2</v>
      </c>
      <c r="Z453" s="23">
        <f t="shared" si="54"/>
        <v>3.4365214761105101E-3</v>
      </c>
      <c r="AA453" s="36"/>
    </row>
    <row r="454" spans="15:27" ht="13.9" customHeight="1" x14ac:dyDescent="0.3">
      <c r="O454" s="12">
        <f t="shared" si="48"/>
        <v>36.75</v>
      </c>
      <c r="P454" s="13">
        <v>441</v>
      </c>
      <c r="Q454" s="22">
        <v>3.6739240130998496E-2</v>
      </c>
      <c r="R454" s="19">
        <f t="shared" si="49"/>
        <v>3.3101671908090102E-2</v>
      </c>
      <c r="S454" s="22">
        <v>3.8930773517572126E-2</v>
      </c>
      <c r="T454" s="19">
        <f t="shared" si="50"/>
        <v>4.1606674001010369E-2</v>
      </c>
      <c r="U454" s="24">
        <v>4.2398071225776324E-2</v>
      </c>
      <c r="V454" s="24">
        <f t="shared" si="51"/>
        <v>4.2175650055218616E-2</v>
      </c>
      <c r="W454" s="23">
        <f t="shared" si="52"/>
        <v>3.4479686052537595E-3</v>
      </c>
      <c r="X454" s="24">
        <v>4.1692899689451224E-2</v>
      </c>
      <c r="Y454" s="24">
        <f t="shared" si="53"/>
        <v>4.2042443539615615E-2</v>
      </c>
      <c r="Z454" s="23">
        <f t="shared" si="54"/>
        <v>3.4371559810495445E-3</v>
      </c>
      <c r="AA454" s="36"/>
    </row>
    <row r="455" spans="15:27" ht="13.9" customHeight="1" x14ac:dyDescent="0.3">
      <c r="O455" s="12">
        <f t="shared" si="48"/>
        <v>36.833333333333336</v>
      </c>
      <c r="P455" s="13">
        <v>442</v>
      </c>
      <c r="Q455" s="22">
        <v>3.6730995899775465E-2</v>
      </c>
      <c r="R455" s="19">
        <f t="shared" si="49"/>
        <v>3.3104174742805803E-2</v>
      </c>
      <c r="S455" s="22">
        <v>3.8936819825495128E-2</v>
      </c>
      <c r="T455" s="19">
        <f t="shared" si="50"/>
        <v>4.1619884349294534E-2</v>
      </c>
      <c r="U455" s="24">
        <v>4.239756795688554E-2</v>
      </c>
      <c r="V455" s="24">
        <f t="shared" si="51"/>
        <v>4.218190012785028E-2</v>
      </c>
      <c r="W455" s="23">
        <f t="shared" si="52"/>
        <v>3.4484739547970822E-3</v>
      </c>
      <c r="X455" s="24">
        <v>4.1693690380289583E-2</v>
      </c>
      <c r="Y455" s="24">
        <f t="shared" si="53"/>
        <v>4.2050221374133834E-2</v>
      </c>
      <c r="Z455" s="23">
        <f t="shared" si="54"/>
        <v>3.4377852810689724E-3</v>
      </c>
      <c r="AA455" s="36"/>
    </row>
    <row r="456" spans="15:27" ht="13.9" customHeight="1" x14ac:dyDescent="0.3">
      <c r="O456" s="12">
        <f t="shared" si="48"/>
        <v>36.916666666666664</v>
      </c>
      <c r="P456" s="13">
        <v>443</v>
      </c>
      <c r="Q456" s="22">
        <v>3.6722794623209154E-2</v>
      </c>
      <c r="R456" s="19">
        <f t="shared" si="49"/>
        <v>3.3106817261039811E-2</v>
      </c>
      <c r="S456" s="22">
        <v>3.8942868615014836E-2</v>
      </c>
      <c r="T456" s="19">
        <f t="shared" si="50"/>
        <v>4.1632968093341605E-2</v>
      </c>
      <c r="U456" s="24">
        <v>4.2397081071801734E-2</v>
      </c>
      <c r="V456" s="24">
        <f t="shared" si="51"/>
        <v>4.2188102428189822E-2</v>
      </c>
      <c r="W456" s="23">
        <f t="shared" si="52"/>
        <v>3.448975438448576E-3</v>
      </c>
      <c r="X456" s="24">
        <v>4.169449505327405E-2</v>
      </c>
      <c r="Y456" s="24">
        <f t="shared" si="53"/>
        <v>4.2057935477763708E-2</v>
      </c>
      <c r="Z456" s="23">
        <f t="shared" si="54"/>
        <v>3.4384094196211468E-3</v>
      </c>
      <c r="AA456" s="36"/>
    </row>
    <row r="457" spans="15:27" ht="13.9" customHeight="1" x14ac:dyDescent="0.3">
      <c r="O457" s="12">
        <f t="shared" si="48"/>
        <v>37</v>
      </c>
      <c r="P457" s="13">
        <v>444</v>
      </c>
      <c r="Q457" s="22">
        <v>3.6714636326179884E-2</v>
      </c>
      <c r="R457" s="19">
        <f t="shared" si="49"/>
        <v>3.3109598231084503E-2</v>
      </c>
      <c r="S457" s="22">
        <v>3.8948919584858244E-2</v>
      </c>
      <c r="T457" s="19">
        <f t="shared" si="50"/>
        <v>4.1645926471818306E-2</v>
      </c>
      <c r="U457" s="24">
        <v>4.2396610352100961E-2</v>
      </c>
      <c r="V457" s="24">
        <f t="shared" si="51"/>
        <v>4.2194257326241713E-2</v>
      </c>
      <c r="W457" s="23">
        <f t="shared" si="52"/>
        <v>3.449473086295507E-3</v>
      </c>
      <c r="X457" s="24">
        <v>4.1695313470348383E-2</v>
      </c>
      <c r="Y457" s="24">
        <f t="shared" si="53"/>
        <v>4.2065586381629272E-2</v>
      </c>
      <c r="Z457" s="23">
        <f t="shared" si="54"/>
        <v>3.4390284398193582E-3</v>
      </c>
      <c r="AA457" s="36"/>
    </row>
    <row r="458" spans="15:27" ht="13.9" customHeight="1" x14ac:dyDescent="0.3">
      <c r="O458" s="12">
        <f t="shared" si="48"/>
        <v>37.083333333333336</v>
      </c>
      <c r="P458" s="13">
        <v>445</v>
      </c>
      <c r="Q458" s="22">
        <v>3.6706521030559491E-2</v>
      </c>
      <c r="R458" s="19">
        <f t="shared" si="49"/>
        <v>3.3112512899331925E-2</v>
      </c>
      <c r="S458" s="22">
        <v>3.895497243924062E-2</v>
      </c>
      <c r="T458" s="19">
        <f t="shared" si="50"/>
        <v>4.1658760712176335E-2</v>
      </c>
      <c r="U458" s="24">
        <v>4.2396155582157258E-2</v>
      </c>
      <c r="V458" s="24">
        <f t="shared" si="51"/>
        <v>4.2200365192223144E-2</v>
      </c>
      <c r="W458" s="23">
        <f t="shared" si="52"/>
        <v>3.4499669280882994E-3</v>
      </c>
      <c r="X458" s="24">
        <v>4.1696145396792339E-2</v>
      </c>
      <c r="Y458" s="24">
        <f t="shared" si="53"/>
        <v>4.2073174612708986E-2</v>
      </c>
      <c r="Z458" s="23">
        <f t="shared" si="54"/>
        <v>3.4396423843872093E-3</v>
      </c>
      <c r="AA458" s="36"/>
    </row>
    <row r="459" spans="15:27" ht="13.9" customHeight="1" x14ac:dyDescent="0.3">
      <c r="O459" s="12">
        <f t="shared" si="48"/>
        <v>37.166666666666664</v>
      </c>
      <c r="P459" s="13">
        <v>446</v>
      </c>
      <c r="Q459" s="22">
        <v>3.6698448747321644E-2</v>
      </c>
      <c r="R459" s="19">
        <f t="shared" si="49"/>
        <v>3.311556006170191E-2</v>
      </c>
      <c r="S459" s="22">
        <v>3.8961026887778694E-2</v>
      </c>
      <c r="T459" s="19">
        <f t="shared" si="50"/>
        <v>4.1671472026787004E-2</v>
      </c>
      <c r="U459" s="24">
        <v>4.2395716549111562E-2</v>
      </c>
      <c r="V459" s="24">
        <f t="shared" si="51"/>
        <v>4.2206426388224472E-2</v>
      </c>
      <c r="W459" s="23">
        <f t="shared" si="52"/>
        <v>3.4504569935926988E-3</v>
      </c>
      <c r="X459" s="24">
        <v>4.1696990601175044E-2</v>
      </c>
      <c r="Y459" s="24">
        <f t="shared" si="53"/>
        <v>4.2080700692645356E-2</v>
      </c>
      <c r="Z459" s="23">
        <f t="shared" si="54"/>
        <v>3.4402512957141251E-3</v>
      </c>
      <c r="AA459" s="36"/>
    </row>
    <row r="460" spans="15:27" ht="13.9" customHeight="1" x14ac:dyDescent="0.3">
      <c r="O460" s="12">
        <f t="shared" si="48"/>
        <v>37.25</v>
      </c>
      <c r="P460" s="13">
        <v>447</v>
      </c>
      <c r="Q460" s="22">
        <v>3.6690419484632031E-2</v>
      </c>
      <c r="R460" s="19">
        <f t="shared" si="49"/>
        <v>3.3118739703992928E-2</v>
      </c>
      <c r="S460" s="22">
        <v>3.8967082645397166E-2</v>
      </c>
      <c r="T460" s="19">
        <f t="shared" si="50"/>
        <v>4.1684061618016965E-2</v>
      </c>
      <c r="U460" s="24">
        <v>4.2395293042822413E-2</v>
      </c>
      <c r="V460" s="24">
        <f t="shared" si="51"/>
        <v>4.2212441279225521E-2</v>
      </c>
      <c r="W460" s="23">
        <f t="shared" si="52"/>
        <v>3.4509433119220834E-3</v>
      </c>
      <c r="X460" s="24">
        <v>4.1697848855306807E-2</v>
      </c>
      <c r="Y460" s="24">
        <f t="shared" si="53"/>
        <v>4.2088165139243738E-2</v>
      </c>
      <c r="Z460" s="23">
        <f t="shared" si="54"/>
        <v>3.4408552157592087E-3</v>
      </c>
      <c r="AA460" s="36"/>
    </row>
    <row r="461" spans="15:27" ht="13.9" customHeight="1" x14ac:dyDescent="0.3">
      <c r="O461" s="12">
        <f t="shared" si="48"/>
        <v>37.333333333333336</v>
      </c>
      <c r="P461" s="13">
        <v>448</v>
      </c>
      <c r="Q461" s="22">
        <v>3.6682433250545099E-2</v>
      </c>
      <c r="R461" s="19">
        <f t="shared" si="49"/>
        <v>3.3122051821079967E-2</v>
      </c>
      <c r="S461" s="22">
        <v>3.897313943224634E-2</v>
      </c>
      <c r="T461" s="19">
        <f t="shared" si="50"/>
        <v>4.1696530674390164E-2</v>
      </c>
      <c r="U461" s="24">
        <v>4.2394884855842196E-2</v>
      </c>
      <c r="V461" s="24">
        <f t="shared" si="51"/>
        <v>4.2218410221893654E-2</v>
      </c>
      <c r="W461" s="23">
        <f t="shared" si="52"/>
        <v>3.4514259124198698E-3</v>
      </c>
      <c r="X461" s="24">
        <v>4.1698719934193162E-2</v>
      </c>
      <c r="Y461" s="24">
        <f t="shared" si="53"/>
        <v>4.2095568464965538E-2</v>
      </c>
      <c r="Z461" s="23">
        <f t="shared" si="54"/>
        <v>3.4414541861720327E-3</v>
      </c>
      <c r="AA461" s="36"/>
    </row>
    <row r="462" spans="15:27" ht="13.9" customHeight="1" x14ac:dyDescent="0.3">
      <c r="O462" s="12">
        <f t="shared" ref="O462:O525" si="55">P462/12</f>
        <v>37.416666666666664</v>
      </c>
      <c r="P462" s="13">
        <v>449</v>
      </c>
      <c r="Q462" s="22">
        <v>3.667449005302581E-2</v>
      </c>
      <c r="R462" s="19">
        <f t="shared" ref="R462:R525" si="56">(1+Q463)^P463/(1+Q462)^P462-1</f>
        <v>3.3125496417425682E-2</v>
      </c>
      <c r="S462" s="22">
        <v>3.8979196973613295E-2</v>
      </c>
      <c r="T462" s="19">
        <f t="shared" ref="T462:T525" si="57">(1+S463)^P463/(1+S462)^P462-1</f>
        <v>4.1708880374654367E-2</v>
      </c>
      <c r="U462" s="24">
        <v>4.2394491783368515E-2</v>
      </c>
      <c r="V462" s="24">
        <f t="shared" ref="V462:V525" si="58">(1+U463)^P463/(1+U462)^P462-1</f>
        <v>4.2224333574902406E-2</v>
      </c>
      <c r="W462" s="23">
        <f t="shared" si="52"/>
        <v>3.4519048237622307E-3</v>
      </c>
      <c r="X462" s="24">
        <v>4.1699603615988234E-2</v>
      </c>
      <c r="Y462" s="24">
        <f t="shared" si="53"/>
        <v>4.2102911180141422E-2</v>
      </c>
      <c r="Z462" s="23">
        <f t="shared" si="54"/>
        <v>3.4420482481707371E-3</v>
      </c>
      <c r="AA462" s="36"/>
    </row>
    <row r="463" spans="15:27" ht="13.9" customHeight="1" x14ac:dyDescent="0.3">
      <c r="O463" s="12">
        <f t="shared" si="55"/>
        <v>37.5</v>
      </c>
      <c r="P463" s="13">
        <v>450</v>
      </c>
      <c r="Q463" s="22">
        <v>3.6666589899971402E-2</v>
      </c>
      <c r="R463" s="19">
        <f t="shared" si="56"/>
        <v>3.3129072352557687E-2</v>
      </c>
      <c r="S463" s="22">
        <v>3.8985254999842844E-2</v>
      </c>
      <c r="T463" s="19">
        <f t="shared" si="57"/>
        <v>4.1721111881842132E-2</v>
      </c>
      <c r="U463" s="24">
        <v>4.2394113623219098E-2</v>
      </c>
      <c r="V463" s="24">
        <f t="shared" si="58"/>
        <v>4.2230211689747943E-2</v>
      </c>
      <c r="W463" s="23">
        <f t="shared" ref="W463:W526" si="59">(1+V462)^(1/12)-1</f>
        <v>3.4523800747843225E-3</v>
      </c>
      <c r="X463" s="24">
        <v>4.170049968195455E-2</v>
      </c>
      <c r="Y463" s="24">
        <f t="shared" ref="Y463:Y526" si="60">(1+X464)^P464/(1+X463)^P463-1</f>
        <v>4.2110193787432415E-2</v>
      </c>
      <c r="Z463" s="23">
        <f t="shared" ref="Z463:Z526" si="61">(1+Y462)^(1/12)-1</f>
        <v>3.4426374428011552E-3</v>
      </c>
      <c r="AA463" s="36"/>
    </row>
    <row r="464" spans="15:27" ht="13.9" customHeight="1" x14ac:dyDescent="0.3">
      <c r="O464" s="12">
        <f t="shared" si="55"/>
        <v>37.583333333333336</v>
      </c>
      <c r="P464" s="13">
        <v>451</v>
      </c>
      <c r="Q464" s="22">
        <v>3.6658732796664983E-2</v>
      </c>
      <c r="R464" s="19">
        <f t="shared" si="56"/>
        <v>3.3132775030165096E-2</v>
      </c>
      <c r="S464" s="22">
        <v>3.8991313246246939E-2</v>
      </c>
      <c r="T464" s="19">
        <f t="shared" si="57"/>
        <v>4.1733226351535979E-2</v>
      </c>
      <c r="U464" s="24">
        <v>4.2393750175786948E-2</v>
      </c>
      <c r="V464" s="24">
        <f t="shared" si="58"/>
        <v>4.2236044919224058E-2</v>
      </c>
      <c r="W464" s="23">
        <f t="shared" si="59"/>
        <v>3.4528516937450959E-3</v>
      </c>
      <c r="X464" s="24">
        <v>4.1701407916411526E-2</v>
      </c>
      <c r="Y464" s="24">
        <f t="shared" si="60"/>
        <v>4.2117416787774475E-2</v>
      </c>
      <c r="Z464" s="23">
        <f t="shared" si="61"/>
        <v>3.4432218104920587E-3</v>
      </c>
      <c r="AA464" s="36"/>
    </row>
    <row r="465" spans="15:27" ht="13.9" customHeight="1" x14ac:dyDescent="0.3">
      <c r="O465" s="12">
        <f t="shared" si="55"/>
        <v>37.666666666666664</v>
      </c>
      <c r="P465" s="13">
        <v>452</v>
      </c>
      <c r="Q465" s="22">
        <v>3.6650918738133198E-2</v>
      </c>
      <c r="R465" s="19">
        <f t="shared" si="56"/>
        <v>3.3136603334617876E-2</v>
      </c>
      <c r="S465" s="22">
        <v>3.8997371453032503E-2</v>
      </c>
      <c r="T465" s="19">
        <f t="shared" si="57"/>
        <v>4.1745224924408353E-2</v>
      </c>
      <c r="U465" s="24">
        <v>4.2393401244014584E-2</v>
      </c>
      <c r="V465" s="24">
        <f t="shared" si="58"/>
        <v>4.2241833609237167E-2</v>
      </c>
      <c r="W465" s="23">
        <f t="shared" si="59"/>
        <v>3.4533197090063084E-3</v>
      </c>
      <c r="X465" s="24">
        <v>4.1702328106698161E-2</v>
      </c>
      <c r="Y465" s="24">
        <f t="shared" si="60"/>
        <v>4.2124580676706547E-2</v>
      </c>
      <c r="Z465" s="23">
        <f t="shared" si="61"/>
        <v>3.4438013915312204E-3</v>
      </c>
      <c r="AA465" s="36"/>
    </row>
    <row r="466" spans="15:27" ht="13.9" customHeight="1" x14ac:dyDescent="0.3">
      <c r="O466" s="12">
        <f t="shared" si="55"/>
        <v>37.75</v>
      </c>
      <c r="P466" s="13">
        <v>453</v>
      </c>
      <c r="Q466" s="22">
        <v>3.6643147716969082E-2</v>
      </c>
      <c r="R466" s="19">
        <f t="shared" si="56"/>
        <v>3.3140557317515862E-2</v>
      </c>
      <c r="S466" s="22">
        <v>3.9003429365215281E-2</v>
      </c>
      <c r="T466" s="19">
        <f t="shared" si="57"/>
        <v>4.1757108730954284E-2</v>
      </c>
      <c r="U466" s="24">
        <v>4.239306663335074E-2</v>
      </c>
      <c r="V466" s="24">
        <f t="shared" si="58"/>
        <v>4.2247578106703765E-2</v>
      </c>
      <c r="W466" s="23">
        <f t="shared" si="59"/>
        <v>3.45378414837616E-3</v>
      </c>
      <c r="X466" s="24">
        <v>4.1703260043126855E-2</v>
      </c>
      <c r="Y466" s="24">
        <f t="shared" si="60"/>
        <v>4.2131685945534292E-2</v>
      </c>
      <c r="Z466" s="23">
        <f t="shared" si="61"/>
        <v>3.4443762257723165E-3</v>
      </c>
      <c r="AA466" s="36"/>
    </row>
    <row r="467" spans="15:27" ht="13.9" customHeight="1" x14ac:dyDescent="0.3">
      <c r="O467" s="12">
        <f t="shared" si="55"/>
        <v>37.833333333333336</v>
      </c>
      <c r="P467" s="13">
        <v>454</v>
      </c>
      <c r="Q467" s="22">
        <v>3.6635419725939089E-2</v>
      </c>
      <c r="R467" s="19">
        <f t="shared" si="56"/>
        <v>3.3144637038040825E-2</v>
      </c>
      <c r="S467" s="22">
        <v>3.9009486732543674E-2</v>
      </c>
      <c r="T467" s="19">
        <f t="shared" si="57"/>
        <v>4.1768878890222849E-2</v>
      </c>
      <c r="U467" s="24">
        <v>4.2392746151724614E-2</v>
      </c>
      <c r="V467" s="24">
        <f t="shared" si="58"/>
        <v>4.2253278752561352E-2</v>
      </c>
      <c r="W467" s="23">
        <f t="shared" si="59"/>
        <v>3.4542450397430091E-3</v>
      </c>
      <c r="X467" s="24">
        <v>4.1704203518942329E-2</v>
      </c>
      <c r="Y467" s="24">
        <f t="shared" si="60"/>
        <v>4.2138733082127233E-2</v>
      </c>
      <c r="Z467" s="23">
        <f t="shared" si="61"/>
        <v>3.4449463527272961E-3</v>
      </c>
      <c r="AA467" s="36"/>
    </row>
    <row r="468" spans="15:27" ht="13.9" customHeight="1" x14ac:dyDescent="0.3">
      <c r="O468" s="12">
        <f t="shared" si="55"/>
        <v>37.916666666666664</v>
      </c>
      <c r="P468" s="13">
        <v>455</v>
      </c>
      <c r="Q468" s="22">
        <v>3.6627734757997299E-2</v>
      </c>
      <c r="R468" s="19">
        <f t="shared" si="56"/>
        <v>3.3148842564758141E-2</v>
      </c>
      <c r="S468" s="22">
        <v>3.9015543309421918E-2</v>
      </c>
      <c r="T468" s="19">
        <f t="shared" si="57"/>
        <v>4.178053650927005E-2</v>
      </c>
      <c r="U468" s="24">
        <v>4.2392439609505894E-2</v>
      </c>
      <c r="V468" s="24">
        <f t="shared" si="58"/>
        <v>4.2258935887040439E-2</v>
      </c>
      <c r="W468" s="23">
        <f t="shared" si="59"/>
        <v>3.4547024105142654E-3</v>
      </c>
      <c r="X468" s="24">
        <v>4.1705158330280989E-2</v>
      </c>
      <c r="Y468" s="24">
        <f t="shared" si="60"/>
        <v>4.2145722568825539E-2</v>
      </c>
      <c r="Z468" s="23">
        <f t="shared" si="61"/>
        <v>3.4455118116307748E-3</v>
      </c>
      <c r="AA468" s="36"/>
    </row>
    <row r="469" spans="15:27" ht="13.9" customHeight="1" x14ac:dyDescent="0.3">
      <c r="O469" s="12">
        <f t="shared" si="55"/>
        <v>38</v>
      </c>
      <c r="P469" s="13">
        <v>456</v>
      </c>
      <c r="Q469" s="22">
        <v>3.6620092806304516E-2</v>
      </c>
      <c r="R469" s="19">
        <f t="shared" si="56"/>
        <v>3.3153172843398249E-2</v>
      </c>
      <c r="S469" s="22">
        <v>3.9021598854832362E-2</v>
      </c>
      <c r="T469" s="19">
        <f t="shared" si="57"/>
        <v>4.1792082684916076E-2</v>
      </c>
      <c r="U469" s="24">
        <v>4.2392146819475895E-2</v>
      </c>
      <c r="V469" s="24">
        <f t="shared" si="58"/>
        <v>4.2264549847365496E-2</v>
      </c>
      <c r="W469" s="23">
        <f t="shared" si="59"/>
        <v>3.455156288040051E-3</v>
      </c>
      <c r="X469" s="24">
        <v>4.170612427612741E-2</v>
      </c>
      <c r="Y469" s="24">
        <f t="shared" si="60"/>
        <v>4.2152654885185825E-2</v>
      </c>
      <c r="Z469" s="23">
        <f t="shared" si="61"/>
        <v>3.4460726412717246E-3</v>
      </c>
      <c r="AA469" s="36"/>
    </row>
    <row r="470" spans="15:27" ht="13.9" customHeight="1" x14ac:dyDescent="0.3">
      <c r="O470" s="12">
        <f t="shared" si="55"/>
        <v>38.083333333333336</v>
      </c>
      <c r="P470" s="13">
        <v>457</v>
      </c>
      <c r="Q470" s="22">
        <v>3.6612493861760687E-2</v>
      </c>
      <c r="R470" s="19">
        <f t="shared" si="56"/>
        <v>3.3157623431220973E-2</v>
      </c>
      <c r="S470" s="22">
        <v>3.9027653132263307E-2</v>
      </c>
      <c r="T470" s="19">
        <f t="shared" si="57"/>
        <v>4.1803518502192105E-2</v>
      </c>
      <c r="U470" s="24">
        <v>4.2391867596795141E-2</v>
      </c>
      <c r="V470" s="24">
        <f t="shared" si="58"/>
        <v>4.227012096735927E-2</v>
      </c>
      <c r="W470" s="23">
        <f t="shared" si="59"/>
        <v>3.4556066994282375E-3</v>
      </c>
      <c r="X470" s="24">
        <v>4.1707101158277027E-2</v>
      </c>
      <c r="Y470" s="24">
        <f t="shared" si="60"/>
        <v>4.215953050563459E-2</v>
      </c>
      <c r="Z470" s="23">
        <f t="shared" si="61"/>
        <v>3.4466288802144085E-3</v>
      </c>
      <c r="AA470" s="36"/>
    </row>
    <row r="471" spans="15:27" ht="13.9" customHeight="1" x14ac:dyDescent="0.3">
      <c r="O471" s="12">
        <f t="shared" si="55"/>
        <v>38.166666666666664</v>
      </c>
      <c r="P471" s="13">
        <v>458</v>
      </c>
      <c r="Q471" s="22">
        <v>3.660493790560615E-2</v>
      </c>
      <c r="R471" s="19">
        <f t="shared" si="56"/>
        <v>3.3162193298284626E-2</v>
      </c>
      <c r="S471" s="22">
        <v>3.9033705909633731E-2</v>
      </c>
      <c r="T471" s="19">
        <f t="shared" si="57"/>
        <v>4.1814845035266668E-2</v>
      </c>
      <c r="U471" s="24">
        <v>4.2391601758969388E-2</v>
      </c>
      <c r="V471" s="24">
        <f t="shared" si="58"/>
        <v>4.2275649578598307E-2</v>
      </c>
      <c r="W471" s="23">
        <f t="shared" si="59"/>
        <v>3.4560536715124712E-3</v>
      </c>
      <c r="X471" s="24">
        <v>4.170808878129395E-2</v>
      </c>
      <c r="Y471" s="24">
        <f t="shared" si="60"/>
        <v>4.2166349901108013E-2</v>
      </c>
      <c r="Z471" s="23">
        <f t="shared" si="61"/>
        <v>3.4471805666096422E-3</v>
      </c>
      <c r="AA471" s="36"/>
    </row>
    <row r="472" spans="15:27" ht="13.9" customHeight="1" x14ac:dyDescent="0.3">
      <c r="O472" s="12">
        <f t="shared" si="55"/>
        <v>38.25</v>
      </c>
      <c r="P472" s="13">
        <v>459</v>
      </c>
      <c r="Q472" s="22">
        <v>3.6597424916987586E-2</v>
      </c>
      <c r="R472" s="19">
        <f t="shared" si="56"/>
        <v>3.3166882557879696E-2</v>
      </c>
      <c r="S472" s="22">
        <v>3.9039756959221572E-2</v>
      </c>
      <c r="T472" s="19">
        <f t="shared" si="57"/>
        <v>4.1826063348144205E-2</v>
      </c>
      <c r="U472" s="24">
        <v>4.2391349125819433E-2</v>
      </c>
      <c r="V472" s="24">
        <f t="shared" si="58"/>
        <v>4.2281136011246945E-2</v>
      </c>
      <c r="W472" s="23">
        <f t="shared" si="59"/>
        <v>3.4564972309456543E-3</v>
      </c>
      <c r="X472" s="24">
        <v>4.1709086952473218E-2</v>
      </c>
      <c r="Y472" s="24">
        <f t="shared" si="60"/>
        <v>4.2173113539043516E-2</v>
      </c>
      <c r="Z472" s="23">
        <f t="shared" si="61"/>
        <v>3.4477277383269112E-3</v>
      </c>
      <c r="AA472" s="36"/>
    </row>
    <row r="473" spans="15:27" ht="13.9" customHeight="1" x14ac:dyDescent="0.3">
      <c r="O473" s="12">
        <f t="shared" si="55"/>
        <v>38.333333333333336</v>
      </c>
      <c r="P473" s="13">
        <v>460</v>
      </c>
      <c r="Q473" s="22">
        <v>3.6589954875474673E-2</v>
      </c>
      <c r="R473" s="19">
        <f t="shared" si="56"/>
        <v>3.317169133073361E-2</v>
      </c>
      <c r="S473" s="22">
        <v>3.9045806057594001E-2</v>
      </c>
      <c r="T473" s="19">
        <f t="shared" si="57"/>
        <v>4.1837174493011275E-2</v>
      </c>
      <c r="U473" s="24">
        <v>4.2391109519452463E-2</v>
      </c>
      <c r="V473" s="24">
        <f t="shared" si="58"/>
        <v>4.2286580589619094E-2</v>
      </c>
      <c r="W473" s="23">
        <f t="shared" si="59"/>
        <v>3.4569374042663359E-3</v>
      </c>
      <c r="X473" s="24">
        <v>4.1710095481803933E-2</v>
      </c>
      <c r="Y473" s="24">
        <f t="shared" si="60"/>
        <v>4.2179821881181079E-2</v>
      </c>
      <c r="Z473" s="23">
        <f t="shared" si="61"/>
        <v>3.4482704329528158E-3</v>
      </c>
      <c r="AA473" s="36"/>
    </row>
    <row r="474" spans="15:27" ht="13.9" customHeight="1" x14ac:dyDescent="0.3">
      <c r="O474" s="12">
        <f t="shared" si="55"/>
        <v>38.416666666666664</v>
      </c>
      <c r="P474" s="13">
        <v>461</v>
      </c>
      <c r="Q474" s="22">
        <v>3.6582527761071182E-2</v>
      </c>
      <c r="R474" s="19">
        <f t="shared" si="56"/>
        <v>3.3176619747605107E-2</v>
      </c>
      <c r="S474" s="22">
        <v>3.905185298553504E-2</v>
      </c>
      <c r="T474" s="19">
        <f t="shared" si="57"/>
        <v>4.1848179512752992E-2</v>
      </c>
      <c r="U474" s="24">
        <v>4.2390882764225202E-2</v>
      </c>
      <c r="V474" s="24">
        <f t="shared" si="58"/>
        <v>4.2291983639016095E-2</v>
      </c>
      <c r="W474" s="23">
        <f t="shared" si="59"/>
        <v>3.4573742175429967E-3</v>
      </c>
      <c r="X474" s="24">
        <v>4.1711114181926856E-2</v>
      </c>
      <c r="Y474" s="24">
        <f t="shared" si="60"/>
        <v>4.2186475387197442E-2</v>
      </c>
      <c r="Z474" s="23">
        <f t="shared" si="61"/>
        <v>3.4488086876158786E-3</v>
      </c>
      <c r="AA474" s="36"/>
    </row>
    <row r="475" spans="15:27" ht="13.9" customHeight="1" x14ac:dyDescent="0.3">
      <c r="O475" s="12">
        <f t="shared" si="55"/>
        <v>38.5</v>
      </c>
      <c r="P475" s="13">
        <v>462</v>
      </c>
      <c r="Q475" s="22">
        <v>3.6575143554232081E-2</v>
      </c>
      <c r="R475" s="19">
        <f t="shared" si="56"/>
        <v>3.3181666836302748E-2</v>
      </c>
      <c r="S475" s="22">
        <v>3.9057897527980279E-2</v>
      </c>
      <c r="T475" s="19">
        <f t="shared" si="57"/>
        <v>4.1859079438450353E-2</v>
      </c>
      <c r="U475" s="24">
        <v>4.2390668686720812E-2</v>
      </c>
      <c r="V475" s="24">
        <f t="shared" si="58"/>
        <v>4.229734548053643E-2</v>
      </c>
      <c r="W475" s="23">
        <f t="shared" si="59"/>
        <v>3.457807696922055E-3</v>
      </c>
      <c r="X475" s="24">
        <v>4.1712142868101543E-2</v>
      </c>
      <c r="Y475" s="24">
        <f t="shared" si="60"/>
        <v>4.2193074511738038E-2</v>
      </c>
      <c r="Z475" s="23">
        <f t="shared" si="61"/>
        <v>3.4493425392769783E-3</v>
      </c>
      <c r="AA475" s="36"/>
    </row>
    <row r="476" spans="15:27" ht="13.9" customHeight="1" x14ac:dyDescent="0.3">
      <c r="O476" s="12">
        <f t="shared" si="55"/>
        <v>38.583333333333336</v>
      </c>
      <c r="P476" s="13">
        <v>463</v>
      </c>
      <c r="Q476" s="22">
        <v>3.6567802233469227E-2</v>
      </c>
      <c r="R476" s="19">
        <f t="shared" si="56"/>
        <v>3.3186828303695126E-2</v>
      </c>
      <c r="S476" s="22">
        <v>3.9063939473946263E-2</v>
      </c>
      <c r="T476" s="19">
        <f t="shared" si="57"/>
        <v>4.1869875291690839E-2</v>
      </c>
      <c r="U476" s="24">
        <v>4.2390467115716701E-2</v>
      </c>
      <c r="V476" s="24">
        <f t="shared" si="58"/>
        <v>4.230266643200653E-2</v>
      </c>
      <c r="W476" s="23">
        <f t="shared" si="59"/>
        <v>3.4582378682126436E-3</v>
      </c>
      <c r="X476" s="24">
        <v>4.1713181358167706E-2</v>
      </c>
      <c r="Y476" s="24">
        <f t="shared" si="60"/>
        <v>4.2199619705334035E-2</v>
      </c>
      <c r="Z476" s="23">
        <f t="shared" si="61"/>
        <v>3.4498720244922065E-3</v>
      </c>
      <c r="AA476" s="36"/>
    </row>
    <row r="477" spans="15:27" ht="13.9" customHeight="1" x14ac:dyDescent="0.3">
      <c r="O477" s="12">
        <f t="shared" si="55"/>
        <v>38.666666666666664</v>
      </c>
      <c r="P477" s="13">
        <v>464</v>
      </c>
      <c r="Q477" s="22">
        <v>3.6560503768190644E-2</v>
      </c>
      <c r="R477" s="19">
        <f t="shared" si="56"/>
        <v>3.3192103201932222E-2</v>
      </c>
      <c r="S477" s="22">
        <v>3.9069978616465884E-2</v>
      </c>
      <c r="T477" s="19">
        <f t="shared" si="57"/>
        <v>4.1880568083789038E-2</v>
      </c>
      <c r="U477" s="24">
        <v>4.2390277882152771E-2</v>
      </c>
      <c r="V477" s="24">
        <f t="shared" si="58"/>
        <v>4.2307946810231201E-2</v>
      </c>
      <c r="W477" s="23">
        <f t="shared" si="59"/>
        <v>3.4586647569594398E-3</v>
      </c>
      <c r="X477" s="24">
        <v>4.1714229472507247E-2</v>
      </c>
      <c r="Y477" s="24">
        <f t="shared" si="60"/>
        <v>4.2206111416279724E-2</v>
      </c>
      <c r="Z477" s="23">
        <f t="shared" si="61"/>
        <v>3.4503971794861421E-3</v>
      </c>
      <c r="AA477" s="36"/>
    </row>
    <row r="478" spans="15:27" ht="13.9" customHeight="1" x14ac:dyDescent="0.3">
      <c r="O478" s="12">
        <f t="shared" si="55"/>
        <v>38.75</v>
      </c>
      <c r="P478" s="13">
        <v>465</v>
      </c>
      <c r="Q478" s="22">
        <v>3.6553248126017568E-2</v>
      </c>
      <c r="R478" s="19">
        <f t="shared" si="56"/>
        <v>3.319749170315256E-2</v>
      </c>
      <c r="S478" s="22">
        <v>3.9076014752523092E-2</v>
      </c>
      <c r="T478" s="19">
        <f t="shared" si="57"/>
        <v>4.1891158815112961E-2</v>
      </c>
      <c r="U478" s="24">
        <v>4.2390100819106546E-2</v>
      </c>
      <c r="V478" s="24">
        <f t="shared" si="58"/>
        <v>4.2313186928138125E-2</v>
      </c>
      <c r="W478" s="23">
        <f t="shared" si="59"/>
        <v>3.4590883886254087E-3</v>
      </c>
      <c r="X478" s="24">
        <v>4.1715287034013171E-2</v>
      </c>
      <c r="Y478" s="24">
        <f t="shared" si="60"/>
        <v>4.2212550086555334E-2</v>
      </c>
      <c r="Z478" s="23">
        <f t="shared" si="61"/>
        <v>3.4509180403019535E-3</v>
      </c>
      <c r="AA478" s="36"/>
    </row>
    <row r="479" spans="15:27" ht="13.9" customHeight="1" x14ac:dyDescent="0.3">
      <c r="O479" s="12">
        <f t="shared" si="55"/>
        <v>38.833333333333336</v>
      </c>
      <c r="P479" s="13">
        <v>466</v>
      </c>
      <c r="Q479" s="22">
        <v>3.6546035275214495E-2</v>
      </c>
      <c r="R479" s="19">
        <f t="shared" si="56"/>
        <v>3.3202993987722529E-2</v>
      </c>
      <c r="S479" s="22">
        <v>3.9082047682987175E-2</v>
      </c>
      <c r="T479" s="19">
        <f t="shared" si="57"/>
        <v>4.1901648477355113E-2</v>
      </c>
      <c r="U479" s="24">
        <v>4.2389935761761866E-2</v>
      </c>
      <c r="V479" s="24">
        <f t="shared" si="58"/>
        <v>4.2318387097681764E-2</v>
      </c>
      <c r="W479" s="23">
        <f t="shared" si="59"/>
        <v>3.4595087883608766E-3</v>
      </c>
      <c r="X479" s="24">
        <v>4.1716353868048728E-2</v>
      </c>
      <c r="Y479" s="24">
        <f t="shared" si="60"/>
        <v>4.2218936157422116E-2</v>
      </c>
      <c r="Z479" s="23">
        <f t="shared" si="61"/>
        <v>3.4514346424752151E-3</v>
      </c>
      <c r="AA479" s="36"/>
    </row>
    <row r="480" spans="15:27" ht="13.9" customHeight="1" x14ac:dyDescent="0.3">
      <c r="O480" s="12">
        <f t="shared" si="55"/>
        <v>38.916666666666664</v>
      </c>
      <c r="P480" s="13">
        <v>467</v>
      </c>
      <c r="Q480" s="22">
        <v>3.6538865184699398E-2</v>
      </c>
      <c r="R480" s="19">
        <f t="shared" si="56"/>
        <v>3.3208610244864101E-2</v>
      </c>
      <c r="S480" s="22">
        <v>3.9088077212552585E-2</v>
      </c>
      <c r="T480" s="19">
        <f t="shared" si="57"/>
        <v>4.1912038050740952E-2</v>
      </c>
      <c r="U480" s="24">
        <v>4.2389782547384014E-2</v>
      </c>
      <c r="V480" s="24">
        <f t="shared" si="58"/>
        <v>4.2323547627296731E-2</v>
      </c>
      <c r="W480" s="23">
        <f t="shared" si="59"/>
        <v>3.4599259812377881E-3</v>
      </c>
      <c r="X480" s="24">
        <v>4.1717429802418993E-2</v>
      </c>
      <c r="Y480" s="24">
        <f t="shared" si="60"/>
        <v>4.2225270063402709E-2</v>
      </c>
      <c r="Z480" s="23">
        <f t="shared" si="61"/>
        <v>3.4519470214819936E-3</v>
      </c>
      <c r="AA480" s="36"/>
    </row>
    <row r="481" spans="15:27" ht="13.9" customHeight="1" x14ac:dyDescent="0.3">
      <c r="O481" s="12">
        <f t="shared" si="55"/>
        <v>39</v>
      </c>
      <c r="P481" s="13">
        <v>468</v>
      </c>
      <c r="Q481" s="22">
        <v>3.6531737824056609E-2</v>
      </c>
      <c r="R481" s="19">
        <f t="shared" si="56"/>
        <v>3.3214339582380292E-2</v>
      </c>
      <c r="S481" s="22">
        <v>3.9094103149673209E-2</v>
      </c>
      <c r="T481" s="19">
        <f t="shared" si="57"/>
        <v>4.192232850670341E-2</v>
      </c>
      <c r="U481" s="24">
        <v>4.2389641015289969E-2</v>
      </c>
      <c r="V481" s="24">
        <f t="shared" si="58"/>
        <v>4.2328668822507298E-2</v>
      </c>
      <c r="W481" s="23">
        <f t="shared" si="59"/>
        <v>3.4603399920443145E-3</v>
      </c>
      <c r="X481" s="24">
        <v>4.1718514667330897E-2</v>
      </c>
      <c r="Y481" s="24">
        <f t="shared" si="60"/>
        <v>4.2231552237341985E-2</v>
      </c>
      <c r="Z481" s="23">
        <f t="shared" si="61"/>
        <v>3.4524552122567886E-3</v>
      </c>
      <c r="AA481" s="36"/>
    </row>
    <row r="482" spans="15:27" ht="13.9" customHeight="1" x14ac:dyDescent="0.3">
      <c r="O482" s="12">
        <f t="shared" si="55"/>
        <v>39.083333333333336</v>
      </c>
      <c r="P482" s="13">
        <v>469</v>
      </c>
      <c r="Q482" s="22">
        <v>3.6524653161215781E-2</v>
      </c>
      <c r="R482" s="19">
        <f t="shared" si="56"/>
        <v>3.3220177851906785E-2</v>
      </c>
      <c r="S482" s="22">
        <v>3.9100125306503974E-2</v>
      </c>
      <c r="T482" s="19">
        <f t="shared" si="57"/>
        <v>4.1932520806559515E-2</v>
      </c>
      <c r="U482" s="24">
        <v>4.2389511006820424E-2</v>
      </c>
      <c r="V482" s="24">
        <f t="shared" si="58"/>
        <v>4.2333750988023944E-2</v>
      </c>
      <c r="W482" s="23">
        <f t="shared" si="59"/>
        <v>3.4607508453350366E-3</v>
      </c>
      <c r="X482" s="24">
        <v>4.1719608295363697E-2</v>
      </c>
      <c r="Y482" s="24">
        <f t="shared" si="60"/>
        <v>4.2237783107482052E-2</v>
      </c>
      <c r="Z482" s="23">
        <f t="shared" si="61"/>
        <v>3.4529592495979866E-3</v>
      </c>
      <c r="AA482" s="36"/>
    </row>
    <row r="483" spans="15:27" ht="13.9" customHeight="1" x14ac:dyDescent="0.3">
      <c r="O483" s="12">
        <f t="shared" si="55"/>
        <v>39.166666666666664</v>
      </c>
      <c r="P483" s="13">
        <v>470</v>
      </c>
      <c r="Q483" s="22">
        <v>3.6517611155519658E-2</v>
      </c>
      <c r="R483" s="19">
        <f t="shared" si="56"/>
        <v>3.3226124183822314E-2</v>
      </c>
      <c r="S483" s="22">
        <v>3.9106143498839341E-2</v>
      </c>
      <c r="T483" s="19">
        <f t="shared" si="57"/>
        <v>4.1942615902631486E-2</v>
      </c>
      <c r="U483" s="24">
        <v>4.2389392365316025E-2</v>
      </c>
      <c r="V483" s="24">
        <f t="shared" si="58"/>
        <v>4.233879442463695E-2</v>
      </c>
      <c r="W483" s="23">
        <f t="shared" si="59"/>
        <v>3.4611585655981436E-3</v>
      </c>
      <c r="X483" s="24">
        <v>4.172071052143389E-2</v>
      </c>
      <c r="Y483" s="24">
        <f t="shared" si="60"/>
        <v>4.224396309865619E-2</v>
      </c>
      <c r="Z483" s="23">
        <f t="shared" si="61"/>
        <v>3.4534591679331594E-3</v>
      </c>
      <c r="AA483" s="36"/>
    </row>
    <row r="484" spans="15:27" ht="13.9" customHeight="1" x14ac:dyDescent="0.3">
      <c r="O484" s="12">
        <f t="shared" si="55"/>
        <v>39.25</v>
      </c>
      <c r="P484" s="13">
        <v>471</v>
      </c>
      <c r="Q484" s="22">
        <v>3.6510611764799084E-2</v>
      </c>
      <c r="R484" s="19">
        <f t="shared" si="56"/>
        <v>3.3232178808388246E-2</v>
      </c>
      <c r="S484" s="22">
        <v>3.9112157546056237E-2</v>
      </c>
      <c r="T484" s="19">
        <f t="shared" si="57"/>
        <v>4.1952614736053384E-2</v>
      </c>
      <c r="U484" s="24">
        <v>4.2389284936088512E-2</v>
      </c>
      <c r="V484" s="24">
        <f t="shared" si="58"/>
        <v>4.2343799431343809E-2</v>
      </c>
      <c r="W484" s="23">
        <f t="shared" si="59"/>
        <v>3.4615631770065214E-3</v>
      </c>
      <c r="X484" s="24">
        <v>4.1721821182763241E-2</v>
      </c>
      <c r="Y484" s="24">
        <f t="shared" si="60"/>
        <v>4.225009263196644E-2</v>
      </c>
      <c r="Z484" s="23">
        <f t="shared" si="61"/>
        <v>3.4539550014149878E-3</v>
      </c>
      <c r="AA484" s="36"/>
    </row>
    <row r="485" spans="15:27" ht="13.9" customHeight="1" x14ac:dyDescent="0.3">
      <c r="O485" s="12">
        <f t="shared" si="55"/>
        <v>39.333333333333336</v>
      </c>
      <c r="P485" s="13">
        <v>472</v>
      </c>
      <c r="Q485" s="22">
        <v>3.6503654947726671E-2</v>
      </c>
      <c r="R485" s="19">
        <f t="shared" si="56"/>
        <v>3.3238341961709938E-2</v>
      </c>
      <c r="S485" s="22">
        <v>3.9118167271051885E-2</v>
      </c>
      <c r="T485" s="19">
        <f t="shared" si="57"/>
        <v>4.1962518240777236E-2</v>
      </c>
      <c r="U485" s="24">
        <v>4.2389188566395619E-2</v>
      </c>
      <c r="V485" s="24">
        <f t="shared" si="58"/>
        <v>4.2348766304928898E-2</v>
      </c>
      <c r="W485" s="23">
        <f t="shared" si="59"/>
        <v>3.4619647035885048E-3</v>
      </c>
      <c r="X485" s="24">
        <v>4.1722940118846363E-2</v>
      </c>
      <c r="Y485" s="24">
        <f t="shared" si="60"/>
        <v>4.2256172125134883E-2</v>
      </c>
      <c r="Z485" s="23">
        <f t="shared" si="61"/>
        <v>3.4544467838959481E-3</v>
      </c>
      <c r="AA485" s="36"/>
    </row>
    <row r="486" spans="15:27" ht="13.9" customHeight="1" x14ac:dyDescent="0.3">
      <c r="O486" s="12">
        <f t="shared" si="55"/>
        <v>39.416666666666664</v>
      </c>
      <c r="P486" s="13">
        <v>473</v>
      </c>
      <c r="Q486" s="22">
        <v>3.649674066382036E-2</v>
      </c>
      <c r="R486" s="19">
        <f t="shared" si="56"/>
        <v>3.3244613889317653E-2</v>
      </c>
      <c r="S486" s="22">
        <v>3.9124172500191623E-2</v>
      </c>
      <c r="T486" s="19">
        <f t="shared" si="57"/>
        <v>4.1972327339309112E-2</v>
      </c>
      <c r="U486" s="24">
        <v>4.2389103105415549E-2</v>
      </c>
      <c r="V486" s="24">
        <f t="shared" si="58"/>
        <v>4.235369533950184E-2</v>
      </c>
      <c r="W486" s="23">
        <f t="shared" si="59"/>
        <v>3.4623631691943491E-3</v>
      </c>
      <c r="X486" s="24">
        <v>4.1724067171419632E-2</v>
      </c>
      <c r="Y486" s="24">
        <f t="shared" si="60"/>
        <v>4.2262201992337989E-2</v>
      </c>
      <c r="Z486" s="23">
        <f t="shared" si="61"/>
        <v>3.4549345489558458E-3</v>
      </c>
      <c r="AA486" s="36"/>
    </row>
    <row r="487" spans="15:27" ht="13.9" customHeight="1" x14ac:dyDescent="0.3">
      <c r="O487" s="12">
        <f t="shared" si="55"/>
        <v>39.5</v>
      </c>
      <c r="P487" s="13">
        <v>474</v>
      </c>
      <c r="Q487" s="22">
        <v>3.6489868873454068E-2</v>
      </c>
      <c r="R487" s="19">
        <f t="shared" si="56"/>
        <v>3.3250993776387405E-2</v>
      </c>
      <c r="S487" s="22">
        <v>3.9130173063248064E-2</v>
      </c>
      <c r="T487" s="19">
        <f t="shared" si="57"/>
        <v>4.1982042946983933E-2</v>
      </c>
      <c r="U487" s="24">
        <v>4.2389028404221429E-2</v>
      </c>
      <c r="V487" s="24">
        <f t="shared" si="58"/>
        <v>4.2358586827604627E-2</v>
      </c>
      <c r="W487" s="23">
        <f t="shared" si="59"/>
        <v>3.4627585974584818E-3</v>
      </c>
      <c r="X487" s="24">
        <v>4.1725202184429655E-2</v>
      </c>
      <c r="Y487" s="24">
        <f t="shared" si="60"/>
        <v>4.2268182644471963E-2</v>
      </c>
      <c r="Z487" s="23">
        <f t="shared" si="61"/>
        <v>3.4554183298882712E-3</v>
      </c>
      <c r="AA487" s="36"/>
    </row>
    <row r="488" spans="15:27" ht="13.9" customHeight="1" x14ac:dyDescent="0.3">
      <c r="O488" s="12">
        <f t="shared" si="55"/>
        <v>39.583333333333336</v>
      </c>
      <c r="P488" s="13">
        <v>475</v>
      </c>
      <c r="Q488" s="22">
        <v>3.648303953560994E-2</v>
      </c>
      <c r="R488" s="19">
        <f t="shared" si="56"/>
        <v>3.3257477613809705E-2</v>
      </c>
      <c r="S488" s="22">
        <v>3.9136168793350246E-2</v>
      </c>
      <c r="T488" s="19">
        <f t="shared" si="57"/>
        <v>4.1991665968478253E-2</v>
      </c>
      <c r="U488" s="24">
        <v>4.2388964315757782E-2</v>
      </c>
      <c r="V488" s="24">
        <f t="shared" si="58"/>
        <v>4.2363441058030693E-2</v>
      </c>
      <c r="W488" s="23">
        <f t="shared" si="59"/>
        <v>3.4631510118896536E-3</v>
      </c>
      <c r="X488" s="24">
        <v>4.1726345004003518E-2</v>
      </c>
      <c r="Y488" s="24">
        <f t="shared" si="60"/>
        <v>4.2274114487971914E-2</v>
      </c>
      <c r="Z488" s="23">
        <f t="shared" si="61"/>
        <v>3.4558981597234695E-3</v>
      </c>
      <c r="AA488" s="36"/>
    </row>
    <row r="489" spans="15:27" ht="13.9" customHeight="1" x14ac:dyDescent="0.3">
      <c r="O489" s="12">
        <f t="shared" si="55"/>
        <v>39.666666666666664</v>
      </c>
      <c r="P489" s="13">
        <v>476</v>
      </c>
      <c r="Q489" s="22">
        <v>3.6476252601160608E-2</v>
      </c>
      <c r="R489" s="19">
        <f t="shared" si="56"/>
        <v>3.3264064610565303E-2</v>
      </c>
      <c r="S489" s="22">
        <v>3.9142159526925679E-2</v>
      </c>
      <c r="T489" s="19">
        <f t="shared" si="57"/>
        <v>4.2001197299739834E-2</v>
      </c>
      <c r="U489" s="24">
        <v>4.2388910694813431E-2</v>
      </c>
      <c r="V489" s="24">
        <f t="shared" si="58"/>
        <v>4.2368258318659535E-2</v>
      </c>
      <c r="W489" s="23">
        <f t="shared" si="59"/>
        <v>3.4635404356944122E-3</v>
      </c>
      <c r="X489" s="24">
        <v>4.1727495478416143E-2</v>
      </c>
      <c r="Y489" s="24">
        <f t="shared" si="60"/>
        <v>4.2279997926610413E-2</v>
      </c>
      <c r="Z489" s="23">
        <f t="shared" si="61"/>
        <v>3.4563740711315294E-3</v>
      </c>
      <c r="AA489" s="36"/>
    </row>
    <row r="490" spans="15:27" ht="13.9" customHeight="1" x14ac:dyDescent="0.3">
      <c r="O490" s="12">
        <f t="shared" si="55"/>
        <v>39.75</v>
      </c>
      <c r="P490" s="13">
        <v>477</v>
      </c>
      <c r="Q490" s="22">
        <v>3.6469508019722596E-2</v>
      </c>
      <c r="R490" s="19">
        <f t="shared" si="56"/>
        <v>3.3270755048118383E-2</v>
      </c>
      <c r="S490" s="22">
        <v>3.9148145103647947E-2</v>
      </c>
      <c r="T490" s="19">
        <f t="shared" si="57"/>
        <v>4.2010637828101771E-2</v>
      </c>
      <c r="U490" s="24">
        <v>4.2388867397999297E-2</v>
      </c>
      <c r="V490" s="24">
        <f t="shared" si="58"/>
        <v>4.2373038894425008E-2</v>
      </c>
      <c r="W490" s="23">
        <f t="shared" si="59"/>
        <v>3.4639268920058086E-3</v>
      </c>
      <c r="X490" s="24">
        <v>4.1728653458062315E-2</v>
      </c>
      <c r="Y490" s="24">
        <f t="shared" si="60"/>
        <v>4.2285833361470404E-2</v>
      </c>
      <c r="Z490" s="23">
        <f t="shared" si="61"/>
        <v>3.4568460965682668E-3</v>
      </c>
      <c r="AA490" s="36"/>
    </row>
    <row r="491" spans="15:27" ht="13.9" customHeight="1" x14ac:dyDescent="0.3">
      <c r="O491" s="12">
        <f t="shared" si="55"/>
        <v>39.833333333333336</v>
      </c>
      <c r="P491" s="13">
        <v>478</v>
      </c>
      <c r="Q491" s="22">
        <v>3.6462805741920512E-2</v>
      </c>
      <c r="R491" s="19">
        <f t="shared" si="56"/>
        <v>3.3277549220172231E-2</v>
      </c>
      <c r="S491" s="22">
        <v>3.9154125366384296E-2</v>
      </c>
      <c r="T491" s="19">
        <f t="shared" si="57"/>
        <v>4.2019988432128841E-2</v>
      </c>
      <c r="U491" s="24">
        <v>4.2388834283724197E-2</v>
      </c>
      <c r="V491" s="24">
        <f t="shared" si="58"/>
        <v>4.237778306772233E-2</v>
      </c>
      <c r="W491" s="23">
        <f t="shared" si="59"/>
        <v>3.4643104037195283E-3</v>
      </c>
      <c r="X491" s="24">
        <v>4.1729818795428919E-2</v>
      </c>
      <c r="Y491" s="24">
        <f t="shared" si="60"/>
        <v>4.229162118770935E-2</v>
      </c>
      <c r="Z491" s="23">
        <f t="shared" si="61"/>
        <v>3.4573142682723379E-3</v>
      </c>
      <c r="AA491" s="36"/>
    </row>
    <row r="492" spans="15:27" ht="13.9" customHeight="1" x14ac:dyDescent="0.3">
      <c r="O492" s="12">
        <f t="shared" si="55"/>
        <v>39.916666666666664</v>
      </c>
      <c r="P492" s="13">
        <v>479</v>
      </c>
      <c r="Q492" s="22">
        <v>3.6456145719401034E-2</v>
      </c>
      <c r="R492" s="19">
        <f t="shared" si="56"/>
        <v>3.328444742355896E-2</v>
      </c>
      <c r="S492" s="22">
        <v>3.9160100161144129E-2</v>
      </c>
      <c r="T492" s="19">
        <f t="shared" si="57"/>
        <v>4.2029249981224703E-2</v>
      </c>
      <c r="U492" s="24">
        <v>4.2388811212169974E-2</v>
      </c>
      <c r="V492" s="24">
        <f t="shared" si="58"/>
        <v>4.2382491119904886E-2</v>
      </c>
      <c r="W492" s="23">
        <f t="shared" si="59"/>
        <v>3.4646909935274195E-3</v>
      </c>
      <c r="X492" s="24">
        <v>4.1730991345060309E-2</v>
      </c>
      <c r="Y492" s="24">
        <f t="shared" si="60"/>
        <v>4.2297361799889854E-2</v>
      </c>
      <c r="Z492" s="23">
        <f t="shared" si="61"/>
        <v>3.4577786180061132E-3</v>
      </c>
      <c r="AA492" s="36"/>
    </row>
    <row r="493" spans="15:27" ht="13.9" customHeight="1" x14ac:dyDescent="0.3">
      <c r="O493" s="12">
        <f t="shared" si="55"/>
        <v>40</v>
      </c>
      <c r="P493" s="13">
        <v>480</v>
      </c>
      <c r="Q493" s="22">
        <v>3.6449527904829804E-2</v>
      </c>
      <c r="R493" s="19">
        <f t="shared" si="56"/>
        <v>3.3291448919021471E-2</v>
      </c>
      <c r="S493" s="22">
        <v>3.9166069337027265E-2</v>
      </c>
      <c r="T493" s="19">
        <f t="shared" si="57"/>
        <v>4.2038423336282049E-2</v>
      </c>
      <c r="U493" s="24">
        <v>4.2388798045271292E-2</v>
      </c>
      <c r="V493" s="24">
        <f t="shared" si="58"/>
        <v>4.238716332910708E-2</v>
      </c>
      <c r="W493" s="23">
        <f t="shared" si="59"/>
        <v>3.4650686840367317E-3</v>
      </c>
      <c r="X493" s="24">
        <v>4.1732170963536319E-2</v>
      </c>
      <c r="Y493" s="24">
        <f t="shared" si="60"/>
        <v>4.230305558856684E-2</v>
      </c>
      <c r="Z493" s="23">
        <f t="shared" si="61"/>
        <v>3.4582391774831134E-3</v>
      </c>
      <c r="AA493" s="36"/>
    </row>
    <row r="494" spans="15:27" ht="13.9" customHeight="1" x14ac:dyDescent="0.3">
      <c r="O494" s="12">
        <f t="shared" si="55"/>
        <v>40.083333333333336</v>
      </c>
      <c r="P494" s="13">
        <v>481</v>
      </c>
      <c r="Q494" s="22">
        <v>3.6442952249719607E-2</v>
      </c>
      <c r="R494" s="19">
        <f t="shared" si="56"/>
        <v>3.3298549834406721E-2</v>
      </c>
      <c r="S494" s="22">
        <v>3.9172032746173979E-2</v>
      </c>
      <c r="T494" s="19">
        <f t="shared" si="57"/>
        <v>4.20475093500845E-2</v>
      </c>
      <c r="U494" s="24">
        <v>4.238879464669032E-2</v>
      </c>
      <c r="V494" s="24">
        <f t="shared" si="58"/>
        <v>4.2391799971048583E-2</v>
      </c>
      <c r="W494" s="23">
        <f t="shared" si="59"/>
        <v>3.4654434975958104E-3</v>
      </c>
      <c r="X494" s="24">
        <v>4.1733357509441849E-2</v>
      </c>
      <c r="Y494" s="24">
        <f t="shared" si="60"/>
        <v>4.2308702939597209E-2</v>
      </c>
      <c r="Z494" s="23">
        <f t="shared" si="61"/>
        <v>3.4586959780935622E-3</v>
      </c>
      <c r="AA494" s="36"/>
    </row>
    <row r="495" spans="15:27" ht="13.9" customHeight="1" x14ac:dyDescent="0.3">
      <c r="O495" s="12">
        <f t="shared" si="55"/>
        <v>40.166666666666664</v>
      </c>
      <c r="P495" s="13">
        <v>482</v>
      </c>
      <c r="Q495" s="22">
        <v>3.6436418697922912E-2</v>
      </c>
      <c r="R495" s="19">
        <f t="shared" si="56"/>
        <v>3.3305749449996869E-2</v>
      </c>
      <c r="S495" s="22">
        <v>3.917799024371682E-2</v>
      </c>
      <c r="T495" s="19">
        <f t="shared" si="57"/>
        <v>4.2056508866390896E-2</v>
      </c>
      <c r="U495" s="24">
        <v>4.2388800881794086E-2</v>
      </c>
      <c r="V495" s="24">
        <f t="shared" si="58"/>
        <v>4.2396401320570209E-2</v>
      </c>
      <c r="W495" s="23">
        <f t="shared" si="59"/>
        <v>3.4658154563587118E-3</v>
      </c>
      <c r="X495" s="24">
        <v>4.1734550843337104E-2</v>
      </c>
      <c r="Y495" s="24">
        <f t="shared" si="60"/>
        <v>4.2314304236437339E-2</v>
      </c>
      <c r="Z495" s="23">
        <f t="shared" si="61"/>
        <v>3.4591490508506517E-3</v>
      </c>
      <c r="AA495" s="36"/>
    </row>
    <row r="496" spans="15:27" ht="13.9" customHeight="1" x14ac:dyDescent="0.3">
      <c r="O496" s="12">
        <f t="shared" si="55"/>
        <v>40.25</v>
      </c>
      <c r="P496" s="13">
        <v>483</v>
      </c>
      <c r="Q496" s="22">
        <v>3.6429927192258349E-2</v>
      </c>
      <c r="R496" s="19">
        <f t="shared" si="56"/>
        <v>3.3313048102698861E-2</v>
      </c>
      <c r="S496" s="22">
        <v>3.918394168773065E-2</v>
      </c>
      <c r="T496" s="19">
        <f t="shared" si="57"/>
        <v>4.2065422720334977E-2</v>
      </c>
      <c r="U496" s="24">
        <v>4.2388816617634939E-2</v>
      </c>
      <c r="V496" s="24">
        <f t="shared" si="58"/>
        <v>4.2400967648804411E-2</v>
      </c>
      <c r="W496" s="23">
        <f t="shared" si="59"/>
        <v>3.4661845824084381E-3</v>
      </c>
      <c r="X496" s="24">
        <v>4.1735750827731621E-2</v>
      </c>
      <c r="Y496" s="24">
        <f t="shared" si="60"/>
        <v>4.231985986081388E-2</v>
      </c>
      <c r="Z496" s="23">
        <f t="shared" si="61"/>
        <v>3.4595984265730628E-3</v>
      </c>
      <c r="AA496" s="36"/>
    </row>
    <row r="497" spans="15:27" ht="13.9" customHeight="1" x14ac:dyDescent="0.3">
      <c r="O497" s="12">
        <f t="shared" si="55"/>
        <v>40.333333333333336</v>
      </c>
      <c r="P497" s="13">
        <v>484</v>
      </c>
      <c r="Q497" s="22">
        <v>3.6423477676710725E-2</v>
      </c>
      <c r="R497" s="19">
        <f t="shared" si="56"/>
        <v>3.3320446134943449E-2</v>
      </c>
      <c r="S497" s="22">
        <v>3.9189886939185126E-2</v>
      </c>
      <c r="T497" s="19">
        <f t="shared" si="57"/>
        <v>4.207425173965107E-2</v>
      </c>
      <c r="U497" s="24">
        <v>4.238884172292523E-2</v>
      </c>
      <c r="V497" s="24">
        <f t="shared" si="58"/>
        <v>4.2405499225501853E-2</v>
      </c>
      <c r="W497" s="23">
        <f t="shared" si="59"/>
        <v>3.4665508975297854E-3</v>
      </c>
      <c r="X497" s="24">
        <v>4.1736957327060731E-2</v>
      </c>
      <c r="Y497" s="24">
        <f t="shared" si="60"/>
        <v>4.2325370187900502E-2</v>
      </c>
      <c r="Z497" s="23">
        <f t="shared" si="61"/>
        <v>3.4600441359402545E-3</v>
      </c>
      <c r="AA497" s="36"/>
    </row>
    <row r="498" spans="15:27" ht="13.9" customHeight="1" x14ac:dyDescent="0.3">
      <c r="O498" s="12">
        <f t="shared" si="55"/>
        <v>40.416666666666664</v>
      </c>
      <c r="P498" s="13">
        <v>485</v>
      </c>
      <c r="Q498" s="22">
        <v>3.6417070096431026E-2</v>
      </c>
      <c r="R498" s="19">
        <f t="shared" si="56"/>
        <v>3.3327943897581092E-2</v>
      </c>
      <c r="S498" s="22">
        <v>3.9195825861898292E-2</v>
      </c>
      <c r="T498" s="19">
        <f t="shared" si="57"/>
        <v>4.2082996743444401E-2</v>
      </c>
      <c r="U498" s="24">
        <v>4.2388876068017556E-2</v>
      </c>
      <c r="V498" s="24">
        <f t="shared" si="58"/>
        <v>4.2409996318701904E-2</v>
      </c>
      <c r="W498" s="23">
        <f t="shared" si="59"/>
        <v>3.4669144233960836E-3</v>
      </c>
      <c r="X498" s="24">
        <v>4.1738170207652026E-2</v>
      </c>
      <c r="Y498" s="24">
        <f t="shared" si="60"/>
        <v>4.2330835593144434E-2</v>
      </c>
      <c r="Z498" s="23">
        <f t="shared" si="61"/>
        <v>3.4604862091045518E-3</v>
      </c>
      <c r="AA498" s="36"/>
    </row>
    <row r="499" spans="15:27" ht="13.9" customHeight="1" x14ac:dyDescent="0.3">
      <c r="O499" s="12">
        <f t="shared" si="55"/>
        <v>40.5</v>
      </c>
      <c r="P499" s="13">
        <v>486</v>
      </c>
      <c r="Q499" s="22">
        <v>3.6410704397740856E-2</v>
      </c>
      <c r="R499" s="19">
        <f t="shared" si="56"/>
        <v>3.3335540722987611E-2</v>
      </c>
      <c r="S499" s="22">
        <v>3.9201758322491065E-2</v>
      </c>
      <c r="T499" s="19">
        <f t="shared" si="57"/>
        <v>4.2091658541799415E-2</v>
      </c>
      <c r="U499" s="24">
        <v>4.2388919524884106E-2</v>
      </c>
      <c r="V499" s="24">
        <f t="shared" si="58"/>
        <v>4.2414459193344412E-2</v>
      </c>
      <c r="W499" s="23">
        <f t="shared" si="59"/>
        <v>3.4672751815429947E-3</v>
      </c>
      <c r="X499" s="24">
        <v>4.1739389337706712E-2</v>
      </c>
      <c r="Y499" s="24">
        <f t="shared" si="60"/>
        <v>4.2336256446100951E-2</v>
      </c>
      <c r="Z499" s="23">
        <f t="shared" si="61"/>
        <v>3.4609246762391521E-3</v>
      </c>
      <c r="AA499" s="36"/>
    </row>
    <row r="500" spans="15:27" ht="13.9" customHeight="1" x14ac:dyDescent="0.3">
      <c r="O500" s="12">
        <f t="shared" si="55"/>
        <v>40.583333333333336</v>
      </c>
      <c r="P500" s="13">
        <v>487</v>
      </c>
      <c r="Q500" s="22">
        <v>3.6404380526023683E-2</v>
      </c>
      <c r="R500" s="19">
        <f t="shared" si="56"/>
        <v>3.3343232870339135E-2</v>
      </c>
      <c r="S500" s="22">
        <v>3.9207684190338821E-2</v>
      </c>
      <c r="T500" s="19">
        <f t="shared" si="57"/>
        <v>4.2100237938911045E-2</v>
      </c>
      <c r="U500" s="24">
        <v>4.2388971967094013E-2</v>
      </c>
      <c r="V500" s="24">
        <f t="shared" si="58"/>
        <v>4.2418888113664233E-2</v>
      </c>
      <c r="W500" s="23">
        <f t="shared" si="59"/>
        <v>3.4676331932566029E-3</v>
      </c>
      <c r="X500" s="24">
        <v>4.1740614587268077E-2</v>
      </c>
      <c r="Y500" s="24">
        <f t="shared" si="60"/>
        <v>4.2341633115394517E-2</v>
      </c>
      <c r="Z500" s="23">
        <f t="shared" si="61"/>
        <v>3.4613595670442976E-3</v>
      </c>
      <c r="AA500" s="36"/>
    </row>
    <row r="501" spans="15:27" ht="13.9" customHeight="1" x14ac:dyDescent="0.3">
      <c r="O501" s="12">
        <f t="shared" si="55"/>
        <v>40.666666666666664</v>
      </c>
      <c r="P501" s="13">
        <v>488</v>
      </c>
      <c r="Q501" s="22">
        <v>3.6398098419417657E-2</v>
      </c>
      <c r="R501" s="19">
        <f t="shared" si="56"/>
        <v>3.3351019692405393E-2</v>
      </c>
      <c r="S501" s="22">
        <v>3.9213603337531655E-2</v>
      </c>
      <c r="T501" s="19">
        <f t="shared" si="57"/>
        <v>4.210873572822349E-2</v>
      </c>
      <c r="U501" s="24">
        <v>4.2389033269795151E-2</v>
      </c>
      <c r="V501" s="24">
        <f t="shared" si="58"/>
        <v>4.242328333964096E-2</v>
      </c>
      <c r="W501" s="23">
        <f t="shared" si="59"/>
        <v>3.4679884797661487E-3</v>
      </c>
      <c r="X501" s="24">
        <v>4.1741845828200397E-2</v>
      </c>
      <c r="Y501" s="24">
        <f t="shared" si="60"/>
        <v>4.2346965964667582E-2</v>
      </c>
      <c r="Z501" s="23">
        <f t="shared" si="61"/>
        <v>3.4617909111434031E-3</v>
      </c>
      <c r="AA501" s="36"/>
    </row>
    <row r="502" spans="15:27" ht="13.9" customHeight="1" x14ac:dyDescent="0.3">
      <c r="O502" s="12">
        <f t="shared" si="55"/>
        <v>40.75</v>
      </c>
      <c r="P502" s="13">
        <v>489</v>
      </c>
      <c r="Q502" s="22">
        <v>3.6391858015235368E-2</v>
      </c>
      <c r="R502" s="19">
        <f t="shared" si="56"/>
        <v>3.3358901575029076E-2</v>
      </c>
      <c r="S502" s="22">
        <v>3.921951563882442E-2</v>
      </c>
      <c r="T502" s="19">
        <f t="shared" si="57"/>
        <v>4.2117152697889404E-2</v>
      </c>
      <c r="U502" s="24">
        <v>4.238910330968948E-2</v>
      </c>
      <c r="V502" s="24">
        <f t="shared" si="58"/>
        <v>4.2427645131767333E-2</v>
      </c>
      <c r="W502" s="23">
        <f t="shared" si="59"/>
        <v>3.4683410619587018E-3</v>
      </c>
      <c r="X502" s="24">
        <v>4.1743082934160736E-2</v>
      </c>
      <c r="Y502" s="24">
        <f t="shared" si="60"/>
        <v>4.2352255355773361E-2</v>
      </c>
      <c r="Z502" s="23">
        <f t="shared" si="61"/>
        <v>3.4622187377604252E-3</v>
      </c>
      <c r="AA502" s="36"/>
    </row>
    <row r="503" spans="15:27" ht="13.9" customHeight="1" x14ac:dyDescent="0.3">
      <c r="O503" s="12">
        <f t="shared" si="55"/>
        <v>40.833333333333336</v>
      </c>
      <c r="P503" s="13">
        <v>490</v>
      </c>
      <c r="Q503" s="22">
        <v>3.6385659252087255E-2</v>
      </c>
      <c r="R503" s="19">
        <f t="shared" si="56"/>
        <v>3.3366878912147291E-2</v>
      </c>
      <c r="S503" s="22">
        <v>3.9225420971598757E-2</v>
      </c>
      <c r="T503" s="19">
        <f t="shared" si="57"/>
        <v>4.2125489626428703E-2</v>
      </c>
      <c r="U503" s="24">
        <v>4.2389181965018174E-2</v>
      </c>
      <c r="V503" s="24">
        <f t="shared" si="58"/>
        <v>4.2431973746284379E-2</v>
      </c>
      <c r="W503" s="23">
        <f t="shared" si="59"/>
        <v>3.4686909607621885E-3</v>
      </c>
      <c r="X503" s="24">
        <v>4.1744325780576297E-2</v>
      </c>
      <c r="Y503" s="24">
        <f t="shared" si="60"/>
        <v>4.2357501646831164E-2</v>
      </c>
      <c r="Z503" s="23">
        <f t="shared" si="61"/>
        <v>3.4626430759736593E-3</v>
      </c>
      <c r="AA503" s="36"/>
    </row>
    <row r="504" spans="15:27" ht="13.9" customHeight="1" x14ac:dyDescent="0.3">
      <c r="O504" s="12">
        <f t="shared" si="55"/>
        <v>40.916666666666664</v>
      </c>
      <c r="P504" s="13">
        <v>491</v>
      </c>
      <c r="Q504" s="22">
        <v>3.6379502069883829E-2</v>
      </c>
      <c r="R504" s="19">
        <f t="shared" si="56"/>
        <v>3.3374952103487177E-2</v>
      </c>
      <c r="S504" s="22">
        <v>3.9231319215816907E-2</v>
      </c>
      <c r="T504" s="19">
        <f t="shared" si="57"/>
        <v>4.2133747286011269E-2</v>
      </c>
      <c r="U504" s="24">
        <v>4.2389269115536976E-2</v>
      </c>
      <c r="V504" s="24">
        <f t="shared" si="58"/>
        <v>4.2436269439524388E-2</v>
      </c>
      <c r="W504" s="23">
        <f t="shared" si="59"/>
        <v>3.4690381967628081E-3</v>
      </c>
      <c r="X504" s="24">
        <v>4.1745574244619554E-2</v>
      </c>
      <c r="Y504" s="24">
        <f t="shared" si="60"/>
        <v>4.2362705194018746E-2</v>
      </c>
      <c r="Z504" s="23">
        <f t="shared" si="61"/>
        <v>3.4630639545618624E-3</v>
      </c>
      <c r="AA504" s="36"/>
    </row>
    <row r="505" spans="15:27" ht="13.9" customHeight="1" x14ac:dyDescent="0.3">
      <c r="O505" s="12">
        <f t="shared" si="55"/>
        <v>41</v>
      </c>
      <c r="P505" s="13">
        <v>492</v>
      </c>
      <c r="Q505" s="22">
        <v>3.6373386409835229E-2</v>
      </c>
      <c r="R505" s="19">
        <f t="shared" si="56"/>
        <v>3.3383120550082523E-2</v>
      </c>
      <c r="S505" s="22">
        <v>3.9237210253982413E-2</v>
      </c>
      <c r="T505" s="19">
        <f t="shared" si="57"/>
        <v>4.2141926439747346E-2</v>
      </c>
      <c r="U505" s="24">
        <v>4.2389364642501537E-2</v>
      </c>
      <c r="V505" s="24">
        <f t="shared" si="58"/>
        <v>4.2440532463238867E-2</v>
      </c>
      <c r="W505" s="23">
        <f t="shared" si="59"/>
        <v>3.4693827905534214E-3</v>
      </c>
      <c r="X505" s="24">
        <v>4.1746828205185382E-2</v>
      </c>
      <c r="Y505" s="24">
        <f t="shared" si="60"/>
        <v>4.2367866348176131E-2</v>
      </c>
      <c r="Z505" s="23">
        <f t="shared" si="61"/>
        <v>3.4634814021463622E-3</v>
      </c>
      <c r="AA505" s="36"/>
    </row>
    <row r="506" spans="15:27" ht="13.9" customHeight="1" x14ac:dyDescent="0.3">
      <c r="O506" s="12">
        <f t="shared" si="55"/>
        <v>41.083333333333336</v>
      </c>
      <c r="P506" s="13">
        <v>493</v>
      </c>
      <c r="Q506" s="22">
        <v>3.6367312212405745E-2</v>
      </c>
      <c r="R506" s="19">
        <f t="shared" si="56"/>
        <v>3.3391380642173063E-2</v>
      </c>
      <c r="S506" s="22">
        <v>3.9243093971096155E-2</v>
      </c>
      <c r="T506" s="19">
        <f t="shared" si="57"/>
        <v>4.2150027844807036E-2</v>
      </c>
      <c r="U506" s="24">
        <v>4.2389468428642552E-2</v>
      </c>
      <c r="V506" s="24">
        <f t="shared" si="58"/>
        <v>4.2444763070141667E-2</v>
      </c>
      <c r="W506" s="23">
        <f t="shared" si="59"/>
        <v>3.4697247623587391E-3</v>
      </c>
      <c r="X506" s="24">
        <v>4.1748087542864187E-2</v>
      </c>
      <c r="Y506" s="24">
        <f t="shared" si="60"/>
        <v>4.2372985460166213E-2</v>
      </c>
      <c r="Z506" s="23">
        <f t="shared" si="61"/>
        <v>3.4638954469201622E-3</v>
      </c>
      <c r="AA506" s="36"/>
    </row>
    <row r="507" spans="15:27" ht="13.9" customHeight="1" x14ac:dyDescent="0.3">
      <c r="O507" s="12">
        <f t="shared" si="55"/>
        <v>41.166666666666664</v>
      </c>
      <c r="P507" s="13">
        <v>494</v>
      </c>
      <c r="Q507" s="22">
        <v>3.6361279411209368E-2</v>
      </c>
      <c r="R507" s="19">
        <f t="shared" si="56"/>
        <v>3.3399731799683252E-2</v>
      </c>
      <c r="S507" s="22">
        <v>3.9248970254618598E-2</v>
      </c>
      <c r="T507" s="19">
        <f t="shared" si="57"/>
        <v>4.215805224955993E-2</v>
      </c>
      <c r="U507" s="24">
        <v>4.2389580358152434E-2</v>
      </c>
      <c r="V507" s="24">
        <f t="shared" si="58"/>
        <v>4.2448961508220195E-2</v>
      </c>
      <c r="W507" s="23">
        <f t="shared" si="59"/>
        <v>3.4700641324807435E-3</v>
      </c>
      <c r="X507" s="24">
        <v>4.1749352139923479E-2</v>
      </c>
      <c r="Y507" s="24">
        <f t="shared" si="60"/>
        <v>4.2378062875591427E-2</v>
      </c>
      <c r="Z507" s="23">
        <f t="shared" si="61"/>
        <v>3.4643061170767098E-3</v>
      </c>
      <c r="AA507" s="36"/>
    </row>
    <row r="508" spans="15:27" ht="13.9" customHeight="1" x14ac:dyDescent="0.3">
      <c r="O508" s="12">
        <f t="shared" si="55"/>
        <v>41.25</v>
      </c>
      <c r="P508" s="13">
        <v>495</v>
      </c>
      <c r="Q508" s="22">
        <v>3.6355287939217495E-2</v>
      </c>
      <c r="R508" s="19">
        <f t="shared" si="56"/>
        <v>3.340817445737021E-2</v>
      </c>
      <c r="S508" s="22">
        <v>3.9254838994428054E-2</v>
      </c>
      <c r="T508" s="19">
        <f t="shared" si="57"/>
        <v>4.2166000395385428E-2</v>
      </c>
      <c r="U508" s="24">
        <v>4.2389700316662005E-2</v>
      </c>
      <c r="V508" s="24">
        <f t="shared" si="58"/>
        <v>4.2453128025328191E-2</v>
      </c>
      <c r="W508" s="23">
        <f t="shared" si="59"/>
        <v>3.4704009208412767E-3</v>
      </c>
      <c r="X508" s="24">
        <v>4.1750621880281003E-2</v>
      </c>
      <c r="Y508" s="24">
        <f t="shared" si="60"/>
        <v>4.2383098937979868E-2</v>
      </c>
      <c r="Z508" s="23">
        <f t="shared" si="61"/>
        <v>3.4647134403862356E-3</v>
      </c>
      <c r="AA508" s="36"/>
    </row>
    <row r="509" spans="15:27" ht="13.9" customHeight="1" x14ac:dyDescent="0.3">
      <c r="O509" s="12">
        <f t="shared" si="55"/>
        <v>41.333333333333336</v>
      </c>
      <c r="P509" s="13">
        <v>496</v>
      </c>
      <c r="Q509" s="22">
        <v>3.6349337730817277E-2</v>
      </c>
      <c r="R509" s="19">
        <f t="shared" si="56"/>
        <v>3.3416709057175087E-2</v>
      </c>
      <c r="S509" s="22">
        <v>3.9260700082781375E-2</v>
      </c>
      <c r="T509" s="19">
        <f t="shared" si="57"/>
        <v>4.2173873016686736E-2</v>
      </c>
      <c r="U509" s="24">
        <v>4.2389828191224277E-2</v>
      </c>
      <c r="V509" s="24">
        <f t="shared" si="58"/>
        <v>4.2457262866663736E-2</v>
      </c>
      <c r="W509" s="23">
        <f t="shared" si="59"/>
        <v>3.4707351473508563E-3</v>
      </c>
      <c r="X509" s="24">
        <v>4.1751896649483866E-2</v>
      </c>
      <c r="Y509" s="24">
        <f t="shared" si="60"/>
        <v>4.2388093988305453E-2</v>
      </c>
      <c r="Z509" s="23">
        <f t="shared" si="61"/>
        <v>3.4651174444524369E-3</v>
      </c>
      <c r="AA509" s="36"/>
    </row>
    <row r="510" spans="15:27" ht="13.9" customHeight="1" x14ac:dyDescent="0.3">
      <c r="O510" s="12">
        <f t="shared" si="55"/>
        <v>41.416666666666664</v>
      </c>
      <c r="P510" s="13">
        <v>497</v>
      </c>
      <c r="Q510" s="22">
        <v>3.6343428721811843E-2</v>
      </c>
      <c r="R510" s="19">
        <f t="shared" si="56"/>
        <v>3.3425336047306908E-2</v>
      </c>
      <c r="S510" s="22">
        <v>3.9266553414276206E-2</v>
      </c>
      <c r="T510" s="19">
        <f t="shared" si="57"/>
        <v>4.218167084066371E-2</v>
      </c>
      <c r="U510" s="24">
        <v>4.2389963870296032E-2</v>
      </c>
      <c r="V510" s="24">
        <f t="shared" si="58"/>
        <v>4.2461366276407286E-2</v>
      </c>
      <c r="W510" s="23">
        <f t="shared" si="59"/>
        <v>3.4710668317066151E-3</v>
      </c>
      <c r="X510" s="24">
        <v>4.1753176334686781E-2</v>
      </c>
      <c r="Y510" s="24">
        <f t="shared" si="60"/>
        <v>4.2393048364265828E-2</v>
      </c>
      <c r="Z510" s="23">
        <f t="shared" si="61"/>
        <v>3.4655181566729532E-3</v>
      </c>
      <c r="AA510" s="36"/>
    </row>
    <row r="511" spans="15:27" ht="13.9" customHeight="1" x14ac:dyDescent="0.3">
      <c r="O511" s="12">
        <f t="shared" si="55"/>
        <v>41.5</v>
      </c>
      <c r="P511" s="13">
        <v>498</v>
      </c>
      <c r="Q511" s="22">
        <v>3.6337560849418526E-2</v>
      </c>
      <c r="R511" s="19">
        <f t="shared" si="56"/>
        <v>3.3434054896327003E-2</v>
      </c>
      <c r="S511" s="22">
        <v>3.9272398885813464E-2</v>
      </c>
      <c r="T511" s="19">
        <f t="shared" si="57"/>
        <v>4.2189394586195084E-2</v>
      </c>
      <c r="U511" s="24">
        <v>4.2390107243720943E-2</v>
      </c>
      <c r="V511" s="24">
        <f t="shared" si="58"/>
        <v>4.2465438494446284E-2</v>
      </c>
      <c r="W511" s="23">
        <f t="shared" si="59"/>
        <v>3.4713959935239735E-3</v>
      </c>
      <c r="X511" s="24">
        <v>4.1754460824629192E-2</v>
      </c>
      <c r="Y511" s="24">
        <f t="shared" si="60"/>
        <v>4.2397962400579248E-2</v>
      </c>
      <c r="Z511" s="23">
        <f t="shared" si="61"/>
        <v>3.4659156041814132E-3</v>
      </c>
      <c r="AA511" s="36"/>
    </row>
    <row r="512" spans="15:27" ht="13.9" customHeight="1" x14ac:dyDescent="0.3">
      <c r="O512" s="12">
        <f t="shared" si="55"/>
        <v>41.583333333333336</v>
      </c>
      <c r="P512" s="13">
        <v>499</v>
      </c>
      <c r="Q512" s="22">
        <v>3.6331734050286002E-2</v>
      </c>
      <c r="R512" s="19">
        <f t="shared" si="56"/>
        <v>3.3442862118606476E-2</v>
      </c>
      <c r="S512" s="22">
        <v>3.9278236396557142E-2</v>
      </c>
      <c r="T512" s="19">
        <f t="shared" si="57"/>
        <v>4.2197044966481245E-2</v>
      </c>
      <c r="U512" s="24">
        <v>4.2390258202707587E-2</v>
      </c>
      <c r="V512" s="24">
        <f t="shared" si="58"/>
        <v>4.246947976089821E-2</v>
      </c>
      <c r="W512" s="23">
        <f t="shared" si="59"/>
        <v>3.4717226520726285E-3</v>
      </c>
      <c r="X512" s="24">
        <v>4.1755750009613735E-2</v>
      </c>
      <c r="Y512" s="24">
        <f t="shared" si="60"/>
        <v>4.2402836429381141E-2</v>
      </c>
      <c r="Z512" s="23">
        <f t="shared" si="61"/>
        <v>3.4663098138720816E-3</v>
      </c>
      <c r="AA512" s="36"/>
    </row>
    <row r="513" spans="15:27" ht="13.9" customHeight="1" x14ac:dyDescent="0.3">
      <c r="O513" s="12">
        <f t="shared" si="55"/>
        <v>41.666666666666664</v>
      </c>
      <c r="P513" s="13">
        <v>500</v>
      </c>
      <c r="Q513" s="22">
        <v>3.6325948254575025E-2</v>
      </c>
      <c r="R513" s="19">
        <f t="shared" si="56"/>
        <v>3.3451757201755861E-2</v>
      </c>
      <c r="S513" s="22">
        <v>3.9284065847900562E-2</v>
      </c>
      <c r="T513" s="19">
        <f t="shared" si="57"/>
        <v>4.2204622686899063E-2</v>
      </c>
      <c r="U513" s="24">
        <v>4.2390416639815465E-2</v>
      </c>
      <c r="V513" s="24">
        <f t="shared" si="58"/>
        <v>4.2473490314456797E-2</v>
      </c>
      <c r="W513" s="23">
        <f t="shared" si="59"/>
        <v>3.4720468266409288E-3</v>
      </c>
      <c r="X513" s="24">
        <v>4.175704378148537E-2</v>
      </c>
      <c r="Y513" s="24">
        <f t="shared" si="60"/>
        <v>4.2407670779651463E-2</v>
      </c>
      <c r="Z513" s="23">
        <f t="shared" si="61"/>
        <v>3.4667008124311671E-3</v>
      </c>
      <c r="AA513" s="36"/>
    </row>
    <row r="514" spans="15:27" ht="13.9" customHeight="1" x14ac:dyDescent="0.3">
      <c r="O514" s="12">
        <f t="shared" si="55"/>
        <v>41.75</v>
      </c>
      <c r="P514" s="13">
        <v>501</v>
      </c>
      <c r="Q514" s="22">
        <v>3.6320203391974948E-2</v>
      </c>
      <c r="R514" s="19">
        <f t="shared" si="56"/>
        <v>3.3460740627161201E-2</v>
      </c>
      <c r="S514" s="22">
        <v>3.9289887143428182E-2</v>
      </c>
      <c r="T514" s="19">
        <f t="shared" si="57"/>
        <v>4.2212128446847519E-2</v>
      </c>
      <c r="U514" s="24">
        <v>4.2390582448939451E-2</v>
      </c>
      <c r="V514" s="24">
        <f t="shared" si="58"/>
        <v>4.2477470390329675E-2</v>
      </c>
      <c r="W514" s="23">
        <f t="shared" si="59"/>
        <v>3.4723685364024259E-3</v>
      </c>
      <c r="X514" s="24">
        <v>4.1758342033609619E-2</v>
      </c>
      <c r="Y514" s="24">
        <f t="shared" si="60"/>
        <v>4.2412465778614683E-2</v>
      </c>
      <c r="Z514" s="23">
        <f t="shared" si="61"/>
        <v>3.4670886262904155E-3</v>
      </c>
      <c r="AA514" s="36"/>
    </row>
    <row r="515" spans="15:27" ht="13.9" customHeight="1" x14ac:dyDescent="0.3">
      <c r="O515" s="12">
        <f t="shared" si="55"/>
        <v>41.833333333333336</v>
      </c>
      <c r="P515" s="13">
        <v>502</v>
      </c>
      <c r="Q515" s="22">
        <v>3.6314499393693023E-2</v>
      </c>
      <c r="R515" s="19">
        <f t="shared" si="56"/>
        <v>3.3469812883895722E-2</v>
      </c>
      <c r="S515" s="22">
        <v>3.929570018888251E-2</v>
      </c>
      <c r="T515" s="19">
        <f t="shared" si="57"/>
        <v>4.2219562937156452E-2</v>
      </c>
      <c r="U515" s="24">
        <v>4.2390755525289148E-2</v>
      </c>
      <c r="V515" s="24">
        <f t="shared" si="58"/>
        <v>4.2481420222756361E-2</v>
      </c>
      <c r="W515" s="23">
        <f t="shared" si="59"/>
        <v>3.4726878002504513E-3</v>
      </c>
      <c r="X515" s="24">
        <v>4.1759644660853468E-2</v>
      </c>
      <c r="Y515" s="24">
        <f t="shared" si="60"/>
        <v>4.2417221750021827E-2</v>
      </c>
      <c r="Z515" s="23">
        <f t="shared" si="61"/>
        <v>3.4674732817407961E-3</v>
      </c>
      <c r="AA515" s="36"/>
    </row>
    <row r="516" spans="15:27" ht="13.9" customHeight="1" x14ac:dyDescent="0.3">
      <c r="O516" s="12">
        <f t="shared" si="55"/>
        <v>41.916666666666664</v>
      </c>
      <c r="P516" s="13">
        <v>503</v>
      </c>
      <c r="Q516" s="22">
        <v>3.6308836192455063E-2</v>
      </c>
      <c r="R516" s="19">
        <f t="shared" si="56"/>
        <v>3.347897446556436E-2</v>
      </c>
      <c r="S516" s="22">
        <v>3.9301504892125028E-2</v>
      </c>
      <c r="T516" s="19">
        <f t="shared" si="57"/>
        <v>4.2226926842909629E-2</v>
      </c>
      <c r="U516" s="24">
        <v>4.2390935765374005E-2</v>
      </c>
      <c r="V516" s="24">
        <f t="shared" si="58"/>
        <v>4.248534004294946E-2</v>
      </c>
      <c r="W516" s="23">
        <f t="shared" si="59"/>
        <v>3.4730046369999545E-3</v>
      </c>
      <c r="X516" s="24">
        <v>4.1760951559564496E-2</v>
      </c>
      <c r="Y516" s="24">
        <f t="shared" si="60"/>
        <v>4.242193901435698E-2</v>
      </c>
      <c r="Z516" s="23">
        <f t="shared" si="61"/>
        <v>3.4678548047935021E-3</v>
      </c>
      <c r="AA516" s="36"/>
    </row>
    <row r="517" spans="15:27" ht="13.9" customHeight="1" x14ac:dyDescent="0.3">
      <c r="O517" s="12">
        <f t="shared" si="55"/>
        <v>42</v>
      </c>
      <c r="P517" s="13">
        <v>504</v>
      </c>
      <c r="Q517" s="22">
        <v>3.6303213722499228E-2</v>
      </c>
      <c r="R517" s="19">
        <f t="shared" si="56"/>
        <v>3.348822490597203E-2</v>
      </c>
      <c r="S517" s="22">
        <v>3.9307301163104214E-2</v>
      </c>
      <c r="T517" s="19">
        <f t="shared" si="57"/>
        <v>4.2234220843193393E-2</v>
      </c>
      <c r="U517" s="24">
        <v>4.2391123066984004E-2</v>
      </c>
      <c r="V517" s="24">
        <f t="shared" si="58"/>
        <v>4.2489230082958906E-2</v>
      </c>
      <c r="W517" s="23">
        <f t="shared" si="59"/>
        <v>3.4733190652231904E-3</v>
      </c>
      <c r="X517" s="24">
        <v>4.1762262627548896E-2</v>
      </c>
      <c r="Y517" s="24">
        <f t="shared" si="60"/>
        <v>4.2426617890175544E-2</v>
      </c>
      <c r="Z517" s="23">
        <f t="shared" si="61"/>
        <v>3.4682332211963818E-3</v>
      </c>
      <c r="AA517" s="36"/>
    </row>
    <row r="518" spans="15:27" ht="13.9" customHeight="1" x14ac:dyDescent="0.3">
      <c r="O518" s="12">
        <f t="shared" si="55"/>
        <v>42.083333333333336</v>
      </c>
      <c r="P518" s="13">
        <v>505</v>
      </c>
      <c r="Q518" s="22">
        <v>3.6297631917654893E-2</v>
      </c>
      <c r="R518" s="19">
        <f t="shared" si="56"/>
        <v>3.3497560842735474E-2</v>
      </c>
      <c r="S518" s="22">
        <v>3.931308891382268E-2</v>
      </c>
      <c r="T518" s="19">
        <f t="shared" si="57"/>
        <v>4.2241445608563355E-2</v>
      </c>
      <c r="U518" s="24">
        <v>4.2391317329179223E-2</v>
      </c>
      <c r="V518" s="24">
        <f t="shared" si="58"/>
        <v>4.249309056972006E-2</v>
      </c>
      <c r="W518" s="23">
        <f t="shared" si="59"/>
        <v>3.4736311035585832E-3</v>
      </c>
      <c r="X518" s="24">
        <v>4.1763577764053261E-2</v>
      </c>
      <c r="Y518" s="24">
        <f t="shared" si="60"/>
        <v>4.243125869341835E-2</v>
      </c>
      <c r="Z518" s="23">
        <f t="shared" si="61"/>
        <v>3.4686085565425184E-3</v>
      </c>
      <c r="AA518" s="36"/>
    </row>
    <row r="519" spans="15:27" ht="13.9" customHeight="1" x14ac:dyDescent="0.3">
      <c r="O519" s="12">
        <f t="shared" si="55"/>
        <v>42.166666666666664</v>
      </c>
      <c r="P519" s="13">
        <v>506</v>
      </c>
      <c r="Q519" s="22">
        <v>3.6292090705607905E-2</v>
      </c>
      <c r="R519" s="19">
        <f t="shared" si="56"/>
        <v>3.3506981828169025E-2</v>
      </c>
      <c r="S519" s="22">
        <v>3.9318868058300094E-2</v>
      </c>
      <c r="T519" s="19">
        <f t="shared" si="57"/>
        <v>4.224860180434975E-2</v>
      </c>
      <c r="U519" s="24">
        <v>4.2391518452266963E-2</v>
      </c>
      <c r="V519" s="24">
        <f t="shared" si="58"/>
        <v>4.2496921730777348E-2</v>
      </c>
      <c r="W519" s="23">
        <f t="shared" si="59"/>
        <v>3.4739407702344405E-3</v>
      </c>
      <c r="X519" s="24">
        <v>4.1764896869745494E-2</v>
      </c>
      <c r="Y519" s="24">
        <f t="shared" si="60"/>
        <v>4.2435861736883851E-2</v>
      </c>
      <c r="Z519" s="23">
        <f t="shared" si="61"/>
        <v>3.4689808362142749E-3</v>
      </c>
      <c r="AA519" s="36"/>
    </row>
    <row r="520" spans="15:27" ht="13.9" customHeight="1" x14ac:dyDescent="0.3">
      <c r="O520" s="12">
        <f t="shared" si="55"/>
        <v>42.25</v>
      </c>
      <c r="P520" s="13">
        <v>507</v>
      </c>
      <c r="Q520" s="22">
        <v>3.6286590013725695E-2</v>
      </c>
      <c r="R520" s="19">
        <f t="shared" si="56"/>
        <v>3.3516488388428911E-2</v>
      </c>
      <c r="S520" s="22">
        <v>3.9324638512543419E-2</v>
      </c>
      <c r="T520" s="19">
        <f t="shared" si="57"/>
        <v>4.2255690089370912E-2</v>
      </c>
      <c r="U520" s="24">
        <v>4.2391726337790425E-2</v>
      </c>
      <c r="V520" s="24">
        <f t="shared" si="58"/>
        <v>4.2500723790977135E-2</v>
      </c>
      <c r="W520" s="23">
        <f t="shared" si="59"/>
        <v>3.4742480835268097E-3</v>
      </c>
      <c r="X520" s="24">
        <v>4.1766219846694375E-2</v>
      </c>
      <c r="Y520" s="24">
        <f t="shared" si="60"/>
        <v>4.2440427331390529E-2</v>
      </c>
      <c r="Z520" s="23">
        <f t="shared" si="61"/>
        <v>3.4693500853413273E-3</v>
      </c>
      <c r="AA520" s="36"/>
    </row>
    <row r="521" spans="15:27" ht="13.9" customHeight="1" x14ac:dyDescent="0.3">
      <c r="O521" s="12">
        <f t="shared" si="55"/>
        <v>42.333333333333336</v>
      </c>
      <c r="P521" s="13">
        <v>508</v>
      </c>
      <c r="Q521" s="22">
        <v>3.6281129770982856E-2</v>
      </c>
      <c r="R521" s="19">
        <f t="shared" si="56"/>
        <v>3.3526081056475254E-2</v>
      </c>
      <c r="S521" s="22">
        <v>3.9330400194513837E-2</v>
      </c>
      <c r="T521" s="19">
        <f t="shared" si="57"/>
        <v>4.2262711115023777E-2</v>
      </c>
      <c r="U521" s="24">
        <v>4.239194088851117E-2</v>
      </c>
      <c r="V521" s="24">
        <f t="shared" si="58"/>
        <v>4.2504496973787775E-2</v>
      </c>
      <c r="W521" s="23">
        <f t="shared" si="59"/>
        <v>3.4745530614954667E-3</v>
      </c>
      <c r="X521" s="24">
        <v>4.1767546598352023E-2</v>
      </c>
      <c r="Y521" s="24">
        <f t="shared" si="60"/>
        <v>4.2444955784133764E-2</v>
      </c>
      <c r="Z521" s="23">
        <f t="shared" si="61"/>
        <v>3.4697163288934796E-3</v>
      </c>
      <c r="AA521" s="36"/>
    </row>
    <row r="522" spans="15:27" ht="13.9" customHeight="1" x14ac:dyDescent="0.3">
      <c r="O522" s="12">
        <f t="shared" si="55"/>
        <v>42.416666666666664</v>
      </c>
      <c r="P522" s="13">
        <v>509</v>
      </c>
      <c r="Q522" s="22">
        <v>3.6275709907958253E-2</v>
      </c>
      <c r="R522" s="19">
        <f t="shared" si="56"/>
        <v>3.3535760373463619E-2</v>
      </c>
      <c r="S522" s="22">
        <v>3.9336153024093878E-2</v>
      </c>
      <c r="T522" s="19">
        <f t="shared" si="57"/>
        <v>4.2269665527301381E-2</v>
      </c>
      <c r="U522" s="24">
        <v>4.2392162008394907E-2</v>
      </c>
      <c r="V522" s="24">
        <f t="shared" si="58"/>
        <v>4.2508241500641253E-2</v>
      </c>
      <c r="W522" s="23">
        <f t="shared" si="59"/>
        <v>3.4748557220889431E-3</v>
      </c>
      <c r="X522" s="24">
        <v>4.1768877029532803E-2</v>
      </c>
      <c r="Y522" s="24">
        <f t="shared" si="60"/>
        <v>4.2449447401358142E-2</v>
      </c>
      <c r="Z522" s="23">
        <f t="shared" si="61"/>
        <v>3.4700795915496574E-3</v>
      </c>
      <c r="AA522" s="36"/>
    </row>
    <row r="523" spans="15:27" ht="13.9" customHeight="1" x14ac:dyDescent="0.3">
      <c r="O523" s="12">
        <f t="shared" si="55"/>
        <v>42.5</v>
      </c>
      <c r="P523" s="13">
        <v>510</v>
      </c>
      <c r="Q523" s="22">
        <v>3.6270330356835911E-2</v>
      </c>
      <c r="R523" s="19">
        <f t="shared" si="56"/>
        <v>3.3545525934428166E-2</v>
      </c>
      <c r="S523" s="22">
        <v>3.9341896923057007E-2</v>
      </c>
      <c r="T523" s="19">
        <f t="shared" si="57"/>
        <v>4.227655396518637E-2</v>
      </c>
      <c r="U523" s="24">
        <v>4.2392389602595282E-2</v>
      </c>
      <c r="V523" s="24">
        <f t="shared" si="58"/>
        <v>4.2511957590824823E-2</v>
      </c>
      <c r="W523" s="23">
        <f t="shared" si="59"/>
        <v>3.4751560830921235E-3</v>
      </c>
      <c r="X523" s="24">
        <v>4.1770211046398442E-2</v>
      </c>
      <c r="Y523" s="24">
        <f t="shared" si="60"/>
        <v>4.2453902484150374E-2</v>
      </c>
      <c r="Z523" s="23">
        <f t="shared" si="61"/>
        <v>3.4704398979115147E-3</v>
      </c>
      <c r="AA523" s="36"/>
    </row>
    <row r="524" spans="15:27" ht="13.9" customHeight="1" x14ac:dyDescent="0.3">
      <c r="O524" s="12">
        <f t="shared" si="55"/>
        <v>42.583333333333336</v>
      </c>
      <c r="P524" s="13">
        <v>511</v>
      </c>
      <c r="Q524" s="22">
        <v>3.6264991049532069E-2</v>
      </c>
      <c r="R524" s="19">
        <f t="shared" si="56"/>
        <v>3.3555374498149382E-2</v>
      </c>
      <c r="S524" s="22">
        <v>3.9347631815036088E-2</v>
      </c>
      <c r="T524" s="19">
        <f t="shared" si="57"/>
        <v>4.2283377061816063E-2</v>
      </c>
      <c r="U524" s="24">
        <v>4.2392623577437893E-2</v>
      </c>
      <c r="V524" s="24">
        <f t="shared" si="58"/>
        <v>4.2515645463083063E-2</v>
      </c>
      <c r="W524" s="23">
        <f t="shared" si="59"/>
        <v>3.475454162117364E-3</v>
      </c>
      <c r="X524" s="24">
        <v>4.1771548556434945E-2</v>
      </c>
      <c r="Y524" s="24">
        <f t="shared" si="60"/>
        <v>4.2458321334574611E-2</v>
      </c>
      <c r="Z524" s="23">
        <f t="shared" si="61"/>
        <v>3.4707972721663705E-3</v>
      </c>
      <c r="AA524" s="36"/>
    </row>
    <row r="525" spans="15:27" ht="13.9" customHeight="1" x14ac:dyDescent="0.3">
      <c r="O525" s="12">
        <f t="shared" si="55"/>
        <v>42.666666666666664</v>
      </c>
      <c r="P525" s="13">
        <v>512</v>
      </c>
      <c r="Q525" s="22">
        <v>3.6259691912144509E-2</v>
      </c>
      <c r="R525" s="19">
        <f t="shared" si="56"/>
        <v>3.3565305677944579E-2</v>
      </c>
      <c r="S525" s="22">
        <v>3.9353357625493857E-2</v>
      </c>
      <c r="T525" s="19">
        <f t="shared" si="57"/>
        <v>4.2290135443460164E-2</v>
      </c>
      <c r="U525" s="24">
        <v>4.2392863840408523E-2</v>
      </c>
      <c r="V525" s="24">
        <f t="shared" si="58"/>
        <v>4.2519305333008628E-2</v>
      </c>
      <c r="W525" s="23">
        <f t="shared" si="59"/>
        <v>3.4757499767330557E-3</v>
      </c>
      <c r="X525" s="24">
        <v>4.1772889468440599E-2</v>
      </c>
      <c r="Y525" s="24">
        <f t="shared" si="60"/>
        <v>4.2462704248557026E-2</v>
      </c>
      <c r="Z525" s="23">
        <f t="shared" si="61"/>
        <v>3.4711517385790369E-3</v>
      </c>
      <c r="AA525" s="36"/>
    </row>
    <row r="526" spans="15:27" ht="13.9" customHeight="1" x14ac:dyDescent="0.3">
      <c r="O526" s="12">
        <f t="shared" ref="O526:O589" si="62">P526/12</f>
        <v>42.75</v>
      </c>
      <c r="P526" s="13">
        <v>513</v>
      </c>
      <c r="Q526" s="22">
        <v>3.6254432870588049E-2</v>
      </c>
      <c r="R526" s="19">
        <f t="shared" ref="R526:R589" si="63">(1+Q527)^P527/(1+Q526)^P526-1</f>
        <v>3.3575320044926249E-2</v>
      </c>
      <c r="S526" s="22">
        <v>3.9359074281691386E-2</v>
      </c>
      <c r="T526" s="19">
        <f t="shared" ref="T526:T589" si="64">(1+S527)^P527/(1+S526)^P526-1</f>
        <v>4.229682973163551E-2</v>
      </c>
      <c r="U526" s="24">
        <v>4.2393110300134706E-2</v>
      </c>
      <c r="V526" s="24">
        <f t="shared" ref="V526:V589" si="65">(1+U527)^P527/(1+U526)^P526-1</f>
        <v>4.2522937415840234E-2</v>
      </c>
      <c r="W526" s="23">
        <f t="shared" si="59"/>
        <v>3.4760435442544591E-3</v>
      </c>
      <c r="X526" s="24">
        <v>4.1774233692502438E-2</v>
      </c>
      <c r="Y526" s="24">
        <f t="shared" si="60"/>
        <v>4.2467051522243837E-2</v>
      </c>
      <c r="Z526" s="23">
        <f t="shared" si="61"/>
        <v>3.4715033209218316E-3</v>
      </c>
      <c r="AA526" s="36"/>
    </row>
    <row r="527" spans="15:27" ht="13.9" customHeight="1" x14ac:dyDescent="0.3">
      <c r="O527" s="12">
        <f t="shared" si="62"/>
        <v>42.833333333333336</v>
      </c>
      <c r="P527" s="13">
        <v>514</v>
      </c>
      <c r="Q527" s="22">
        <v>3.6249213852465045E-2</v>
      </c>
      <c r="R527" s="19">
        <f t="shared" si="63"/>
        <v>3.3585418176614423E-2</v>
      </c>
      <c r="S527" s="22">
        <v>3.9364781712661445E-2</v>
      </c>
      <c r="T527" s="19">
        <f t="shared" si="64"/>
        <v>4.2303460539890425E-2</v>
      </c>
      <c r="U527" s="24">
        <v>4.2393362866374629E-2</v>
      </c>
      <c r="V527" s="24">
        <f t="shared" si="65"/>
        <v>4.2526541924128747E-2</v>
      </c>
      <c r="W527" s="23">
        <f t="shared" ref="W527:W590" si="66">(1+V526)^(1/12)-1</f>
        <v>3.4763348819681905E-3</v>
      </c>
      <c r="X527" s="24">
        <v>4.1775581139983364E-2</v>
      </c>
      <c r="Y527" s="24">
        <f t="shared" ref="Y527:Y590" si="67">(1+X528)^P528/(1+X527)^P527-1</f>
        <v>4.247136344795388E-2</v>
      </c>
      <c r="Z527" s="23">
        <f t="shared" ref="Z527:Z590" si="68">(1+Y526)^(1/12)-1</f>
        <v>3.4718520429837252E-3</v>
      </c>
      <c r="AA527" s="36"/>
    </row>
    <row r="528" spans="15:27" ht="13.9" customHeight="1" x14ac:dyDescent="0.3">
      <c r="O528" s="12">
        <f t="shared" si="62"/>
        <v>42.916666666666664</v>
      </c>
      <c r="P528" s="13">
        <v>515</v>
      </c>
      <c r="Q528" s="22">
        <v>3.6244034787060508E-2</v>
      </c>
      <c r="R528" s="19">
        <f t="shared" si="63"/>
        <v>3.3595600656152635E-2</v>
      </c>
      <c r="S528" s="22">
        <v>3.9370479849176077E-2</v>
      </c>
      <c r="T528" s="19">
        <f t="shared" si="64"/>
        <v>4.231002847738119E-2</v>
      </c>
      <c r="U528" s="24">
        <v>4.2393621450000474E-2</v>
      </c>
      <c r="V528" s="24">
        <f t="shared" si="65"/>
        <v>4.253011906932902E-2</v>
      </c>
      <c r="W528" s="23">
        <f t="shared" si="66"/>
        <v>3.4766240069443732E-3</v>
      </c>
      <c r="X528" s="24">
        <v>4.1776931723502386E-2</v>
      </c>
      <c r="Y528" s="24">
        <f t="shared" si="67"/>
        <v>4.2475640315860819E-2</v>
      </c>
      <c r="Z528" s="23">
        <f t="shared" si="68"/>
        <v>3.4721979282461568E-3</v>
      </c>
      <c r="AA528" s="36"/>
    </row>
    <row r="529" spans="15:27" ht="13.9" customHeight="1" x14ac:dyDescent="0.3">
      <c r="O529" s="12">
        <f t="shared" si="62"/>
        <v>43</v>
      </c>
      <c r="P529" s="13">
        <v>516</v>
      </c>
      <c r="Q529" s="22">
        <v>3.6238895605337884E-2</v>
      </c>
      <c r="R529" s="19">
        <f t="shared" si="63"/>
        <v>3.3605867142600276E-2</v>
      </c>
      <c r="S529" s="22">
        <v>3.9376168623720842E-2</v>
      </c>
      <c r="T529" s="19">
        <f t="shared" si="64"/>
        <v>4.2316534146833673E-2</v>
      </c>
      <c r="U529" s="24">
        <v>4.2393885962985989E-2</v>
      </c>
      <c r="V529" s="24">
        <f t="shared" si="65"/>
        <v>4.2533669061783685E-2</v>
      </c>
      <c r="W529" s="23">
        <f t="shared" si="66"/>
        <v>3.4769109361656447E-3</v>
      </c>
      <c r="X529" s="24">
        <v>4.177828535691841E-2</v>
      </c>
      <c r="Y529" s="24">
        <f t="shared" si="67"/>
        <v>4.2479882414471204E-2</v>
      </c>
      <c r="Z529" s="23">
        <f t="shared" si="68"/>
        <v>3.4725410000175927E-3</v>
      </c>
      <c r="AA529" s="36"/>
    </row>
    <row r="530" spans="15:27" ht="13.9" customHeight="1" x14ac:dyDescent="0.3">
      <c r="O530" s="12">
        <f t="shared" si="62"/>
        <v>43.083333333333336</v>
      </c>
      <c r="P530" s="13">
        <v>517</v>
      </c>
      <c r="Q530" s="22">
        <v>3.6233796238129612E-2</v>
      </c>
      <c r="R530" s="19">
        <f t="shared" si="63"/>
        <v>3.3616214507864006E-2</v>
      </c>
      <c r="S530" s="22">
        <v>3.9381847970466399E-2</v>
      </c>
      <c r="T530" s="19">
        <f t="shared" si="64"/>
        <v>4.232297814433128E-2</v>
      </c>
      <c r="U530" s="24">
        <v>4.2394156318392939E-2</v>
      </c>
      <c r="V530" s="24">
        <f t="shared" si="65"/>
        <v>4.2537192108066835E-2</v>
      </c>
      <c r="W530" s="23">
        <f t="shared" si="66"/>
        <v>3.4771956865240483E-3</v>
      </c>
      <c r="X530" s="24">
        <v>4.1779641955315139E-2</v>
      </c>
      <c r="Y530" s="24">
        <f t="shared" si="67"/>
        <v>4.2484090027921084E-2</v>
      </c>
      <c r="Z530" s="23">
        <f t="shared" si="68"/>
        <v>3.4728812814726062E-3</v>
      </c>
      <c r="AA530" s="36"/>
    </row>
    <row r="531" spans="15:27" ht="13.9" customHeight="1" x14ac:dyDescent="0.3">
      <c r="O531" s="12">
        <f t="shared" si="62"/>
        <v>43.166666666666664</v>
      </c>
      <c r="P531" s="13">
        <v>518</v>
      </c>
      <c r="Q531" s="22">
        <v>3.6228736610744994E-2</v>
      </c>
      <c r="R531" s="19">
        <f t="shared" si="63"/>
        <v>3.3626642430050646E-2</v>
      </c>
      <c r="S531" s="22">
        <v>3.9387517825238749E-2</v>
      </c>
      <c r="T531" s="19">
        <f t="shared" si="64"/>
        <v>4.2329361060672532E-2</v>
      </c>
      <c r="U531" s="24">
        <v>4.2394432430354234E-2</v>
      </c>
      <c r="V531" s="24">
        <f t="shared" si="65"/>
        <v>4.2540688415987571E-2</v>
      </c>
      <c r="W531" s="23">
        <f t="shared" si="66"/>
        <v>3.4774782746100907E-3</v>
      </c>
      <c r="X531" s="24">
        <v>4.1781001434980425E-2</v>
      </c>
      <c r="Y531" s="24">
        <f t="shared" si="67"/>
        <v>4.2488263440614737E-2</v>
      </c>
      <c r="Z531" s="23">
        <f t="shared" si="68"/>
        <v>3.4732187954342741E-3</v>
      </c>
      <c r="AA531" s="36"/>
    </row>
    <row r="532" spans="15:27" ht="13.9" customHeight="1" x14ac:dyDescent="0.3">
      <c r="O532" s="12">
        <f t="shared" si="62"/>
        <v>43.25</v>
      </c>
      <c r="P532" s="13">
        <v>519</v>
      </c>
      <c r="Q532" s="22">
        <v>3.6223716648443816E-2</v>
      </c>
      <c r="R532" s="19">
        <f t="shared" si="63"/>
        <v>3.3637151521695552E-2</v>
      </c>
      <c r="S532" s="22">
        <v>3.9393178125493922E-2</v>
      </c>
      <c r="T532" s="19">
        <f t="shared" si="64"/>
        <v>4.233568348162553E-2</v>
      </c>
      <c r="U532" s="24">
        <v>4.2394714214065043E-2</v>
      </c>
      <c r="V532" s="24">
        <f t="shared" si="65"/>
        <v>4.2544158189596448E-2</v>
      </c>
      <c r="W532" s="23">
        <f t="shared" si="66"/>
        <v>3.4777587171119784E-3</v>
      </c>
      <c r="X532" s="24">
        <v>4.1782363713395609E-2</v>
      </c>
      <c r="Y532" s="24">
        <f t="shared" si="67"/>
        <v>4.2492402931555429E-2</v>
      </c>
      <c r="Z532" s="23">
        <f t="shared" si="68"/>
        <v>3.4735535647467675E-3</v>
      </c>
      <c r="AA532" s="36"/>
    </row>
    <row r="533" spans="15:27" ht="13.9" customHeight="1" x14ac:dyDescent="0.3">
      <c r="O533" s="12">
        <f t="shared" si="62"/>
        <v>43.333333333333336</v>
      </c>
      <c r="P533" s="13">
        <v>520</v>
      </c>
      <c r="Q533" s="22">
        <v>3.6218736278238683E-2</v>
      </c>
      <c r="R533" s="19">
        <f t="shared" si="63"/>
        <v>3.3647742402493241E-2</v>
      </c>
      <c r="S533" s="22">
        <v>3.9398828810291775E-2</v>
      </c>
      <c r="T533" s="19">
        <f t="shared" si="64"/>
        <v>4.234194598599661E-2</v>
      </c>
      <c r="U533" s="24">
        <v>4.2395001585766146E-2</v>
      </c>
      <c r="V533" s="24">
        <f t="shared" si="65"/>
        <v>4.2547601632088039E-2</v>
      </c>
      <c r="W533" s="23">
        <f t="shared" si="66"/>
        <v>3.4780370304168251E-3</v>
      </c>
      <c r="X533" s="24">
        <v>4.1783728709213319E-2</v>
      </c>
      <c r="Y533" s="24">
        <f t="shared" si="67"/>
        <v>4.249650878027067E-2</v>
      </c>
      <c r="Z533" s="23">
        <f t="shared" si="68"/>
        <v>3.47388561182016E-3</v>
      </c>
      <c r="AA533" s="36"/>
    </row>
    <row r="534" spans="15:27" ht="13.9" customHeight="1" x14ac:dyDescent="0.3">
      <c r="O534" s="12">
        <f t="shared" si="62"/>
        <v>43.416666666666664</v>
      </c>
      <c r="P534" s="13">
        <v>521</v>
      </c>
      <c r="Q534" s="22">
        <v>3.6213795428891693E-2</v>
      </c>
      <c r="R534" s="19">
        <f t="shared" si="63"/>
        <v>3.365841569860839E-2</v>
      </c>
      <c r="S534" s="22">
        <v>3.9404469820268018E-2</v>
      </c>
      <c r="T534" s="19">
        <f t="shared" si="64"/>
        <v>4.2348149147241054E-2</v>
      </c>
      <c r="U534" s="24">
        <v>4.2395294462731714E-2</v>
      </c>
      <c r="V534" s="24">
        <f t="shared" si="65"/>
        <v>4.2551018945467201E-2</v>
      </c>
      <c r="W534" s="23">
        <f t="shared" si="66"/>
        <v>3.4783132308424669E-3</v>
      </c>
      <c r="X534" s="24">
        <v>4.1785096342247252E-2</v>
      </c>
      <c r="Y534" s="24">
        <f t="shared" si="67"/>
        <v>4.2500581262363113E-2</v>
      </c>
      <c r="Z534" s="23">
        <f t="shared" si="68"/>
        <v>3.4742149591064919E-3</v>
      </c>
      <c r="AA534" s="36"/>
    </row>
    <row r="535" spans="15:27" ht="13.9" customHeight="1" x14ac:dyDescent="0.3">
      <c r="O535" s="12">
        <f t="shared" si="62"/>
        <v>43.5</v>
      </c>
      <c r="P535" s="13">
        <v>522</v>
      </c>
      <c r="Q535" s="22">
        <v>3.6208894030909766E-2</v>
      </c>
      <c r="R535" s="19">
        <f t="shared" si="63"/>
        <v>3.3669171129156794E-2</v>
      </c>
      <c r="S535" s="22">
        <v>3.9410101097608452E-2</v>
      </c>
      <c r="T535" s="19">
        <f t="shared" si="64"/>
        <v>4.2354293534115239E-2</v>
      </c>
      <c r="U535" s="24">
        <v>4.2395592763257106E-2</v>
      </c>
      <c r="V535" s="24">
        <f t="shared" si="65"/>
        <v>4.2554410329069148E-2</v>
      </c>
      <c r="W535" s="23">
        <f t="shared" si="66"/>
        <v>3.4785873346105944E-3</v>
      </c>
      <c r="X535" s="24">
        <v>4.178646653345397E-2</v>
      </c>
      <c r="Y535" s="24">
        <f t="shared" si="67"/>
        <v>4.2504620651557135E-2</v>
      </c>
      <c r="Z535" s="23">
        <f t="shared" si="68"/>
        <v>3.4745416287420561E-3</v>
      </c>
      <c r="AA535" s="36"/>
    </row>
    <row r="536" spans="15:27" ht="13.9" customHeight="1" x14ac:dyDescent="0.3">
      <c r="O536" s="12">
        <f t="shared" si="62"/>
        <v>43.583333333333336</v>
      </c>
      <c r="P536" s="13">
        <v>523</v>
      </c>
      <c r="Q536" s="22">
        <v>3.6204032014789833E-2</v>
      </c>
      <c r="R536" s="19">
        <f t="shared" si="63"/>
        <v>3.3680005681297587E-2</v>
      </c>
      <c r="S536" s="22">
        <v>3.9415722586025437E-2</v>
      </c>
      <c r="T536" s="19">
        <f t="shared" si="64"/>
        <v>4.2360379708418661E-2</v>
      </c>
      <c r="U536" s="24">
        <v>4.2395896406644429E-2</v>
      </c>
      <c r="V536" s="24">
        <f t="shared" si="65"/>
        <v>4.2557775982517754E-2</v>
      </c>
      <c r="W536" s="23">
        <f t="shared" si="66"/>
        <v>3.4788593577290694E-3</v>
      </c>
      <c r="X536" s="24">
        <v>4.1787839204917576E-2</v>
      </c>
      <c r="Y536" s="24">
        <f t="shared" si="67"/>
        <v>4.2508627219279838E-2</v>
      </c>
      <c r="Z536" s="23">
        <f t="shared" si="68"/>
        <v>3.4748656427117108E-3</v>
      </c>
      <c r="AA536" s="36"/>
    </row>
    <row r="537" spans="15:27" ht="13.9" customHeight="1" x14ac:dyDescent="0.3">
      <c r="O537" s="12">
        <f t="shared" si="62"/>
        <v>43.666666666666664</v>
      </c>
      <c r="P537" s="13">
        <v>524</v>
      </c>
      <c r="Q537" s="22">
        <v>3.6199209305792124E-2</v>
      </c>
      <c r="R537" s="19">
        <f t="shared" si="63"/>
        <v>3.3690919091276861E-2</v>
      </c>
      <c r="S537" s="22">
        <v>3.942133423072991E-2</v>
      </c>
      <c r="T537" s="19">
        <f t="shared" si="64"/>
        <v>4.2366408227908936E-2</v>
      </c>
      <c r="U537" s="24">
        <v>4.2396205313193214E-2</v>
      </c>
      <c r="V537" s="24">
        <f t="shared" si="65"/>
        <v>4.2561116101558882E-2</v>
      </c>
      <c r="W537" s="23">
        <f t="shared" si="66"/>
        <v>3.47912931622818E-3</v>
      </c>
      <c r="X537" s="24">
        <v>4.1789214279835285E-2</v>
      </c>
      <c r="Y537" s="24">
        <f t="shared" si="67"/>
        <v>4.2512601234104386E-2</v>
      </c>
      <c r="Z537" s="23">
        <f t="shared" si="68"/>
        <v>3.4751870228160175E-3</v>
      </c>
      <c r="AA537" s="36"/>
    </row>
    <row r="538" spans="15:27" ht="13.9" customHeight="1" x14ac:dyDescent="0.3">
      <c r="O538" s="12">
        <f t="shared" si="62"/>
        <v>43.75</v>
      </c>
      <c r="P538" s="13">
        <v>525</v>
      </c>
      <c r="Q538" s="22">
        <v>3.6194425829239707E-2</v>
      </c>
      <c r="R538" s="19">
        <f t="shared" si="63"/>
        <v>3.3701912013708979E-2</v>
      </c>
      <c r="S538" s="22">
        <v>3.9426935978409183E-2</v>
      </c>
      <c r="T538" s="19">
        <f t="shared" si="64"/>
        <v>4.2372379643884628E-2</v>
      </c>
      <c r="U538" s="24">
        <v>4.2396519404183319E-2</v>
      </c>
      <c r="V538" s="24">
        <f t="shared" si="65"/>
        <v>4.2564430882686022E-2</v>
      </c>
      <c r="W538" s="23">
        <f t="shared" si="66"/>
        <v>3.4793972258269079E-3</v>
      </c>
      <c r="X538" s="24">
        <v>4.1790591682500988E-2</v>
      </c>
      <c r="Y538" s="24">
        <f t="shared" si="67"/>
        <v>4.2516542963938697E-2</v>
      </c>
      <c r="Z538" s="23">
        <f t="shared" si="68"/>
        <v>3.4755057906259434E-3</v>
      </c>
      <c r="AA538" s="36"/>
    </row>
    <row r="539" spans="15:27" ht="13.9" customHeight="1" x14ac:dyDescent="0.3">
      <c r="O539" s="12">
        <f t="shared" si="62"/>
        <v>43.833333333333336</v>
      </c>
      <c r="P539" s="13">
        <v>526</v>
      </c>
      <c r="Q539" s="22">
        <v>3.6189681512267757E-2</v>
      </c>
      <c r="R539" s="19">
        <f t="shared" si="63"/>
        <v>3.3712985111339799E-2</v>
      </c>
      <c r="S539" s="22">
        <v>3.9432527777201409E-2</v>
      </c>
      <c r="T539" s="19">
        <f t="shared" si="64"/>
        <v>4.237829450205588E-2</v>
      </c>
      <c r="U539" s="24">
        <v>4.2396838601867604E-2</v>
      </c>
      <c r="V539" s="24">
        <f t="shared" si="65"/>
        <v>4.2567720518363661E-2</v>
      </c>
      <c r="W539" s="23">
        <f t="shared" si="66"/>
        <v>3.4796631023039648E-3</v>
      </c>
      <c r="X539" s="24">
        <v>4.179197133829371E-2</v>
      </c>
      <c r="Y539" s="24">
        <f t="shared" si="67"/>
        <v>4.252045267225113E-2</v>
      </c>
      <c r="Z539" s="23">
        <f t="shared" si="68"/>
        <v>3.4758219676582769E-3</v>
      </c>
      <c r="AA539" s="36"/>
    </row>
    <row r="540" spans="15:27" ht="13.9" customHeight="1" x14ac:dyDescent="0.3">
      <c r="O540" s="12">
        <f t="shared" si="62"/>
        <v>43.916666666666664</v>
      </c>
      <c r="P540" s="13">
        <v>527</v>
      </c>
      <c r="Q540" s="22">
        <v>3.6184976283822223E-2</v>
      </c>
      <c r="R540" s="19">
        <f t="shared" si="63"/>
        <v>3.3724139050285151E-2</v>
      </c>
      <c r="S540" s="22">
        <v>3.9438109576670488E-2</v>
      </c>
      <c r="T540" s="19">
        <f t="shared" si="64"/>
        <v>4.2384153344151798E-2</v>
      </c>
      <c r="U540" s="24">
        <v>4.239716282945416E-2</v>
      </c>
      <c r="V540" s="24">
        <f t="shared" si="65"/>
        <v>4.2570985202507794E-2</v>
      </c>
      <c r="W540" s="23">
        <f t="shared" si="66"/>
        <v>3.4799269611145434E-3</v>
      </c>
      <c r="X540" s="24">
        <v>4.1793353173658732E-2</v>
      </c>
      <c r="Y540" s="24">
        <f t="shared" si="67"/>
        <v>4.2524330622114359E-2</v>
      </c>
      <c r="Z540" s="23">
        <f t="shared" si="68"/>
        <v>3.4761355750732026E-3</v>
      </c>
      <c r="AA540" s="36"/>
    </row>
    <row r="541" spans="15:27" ht="13.9" customHeight="1" x14ac:dyDescent="0.3">
      <c r="O541" s="12">
        <f t="shared" si="62"/>
        <v>44</v>
      </c>
      <c r="P541" s="13">
        <v>528</v>
      </c>
      <c r="Q541" s="22">
        <v>3.6180310074648281E-2</v>
      </c>
      <c r="R541" s="19">
        <f t="shared" si="63"/>
        <v>3.37353736096071E-2</v>
      </c>
      <c r="S541" s="22">
        <v>3.9443681327785418E-2</v>
      </c>
      <c r="T541" s="19">
        <f t="shared" si="64"/>
        <v>4.2389956705076726E-2</v>
      </c>
      <c r="U541" s="24">
        <v>4.2397492011100768E-2</v>
      </c>
      <c r="V541" s="24">
        <f t="shared" si="65"/>
        <v>4.2574225124938803E-2</v>
      </c>
      <c r="W541" s="23">
        <f t="shared" si="66"/>
        <v>3.4801888178297435E-3</v>
      </c>
      <c r="X541" s="24">
        <v>4.1794737116097158E-2</v>
      </c>
      <c r="Y541" s="24">
        <f t="shared" si="67"/>
        <v>4.2528177073786866E-2</v>
      </c>
      <c r="Z541" s="23">
        <f t="shared" si="68"/>
        <v>3.4764466339993749E-3</v>
      </c>
      <c r="AA541" s="36"/>
    </row>
    <row r="542" spans="15:27" ht="13.9" customHeight="1" x14ac:dyDescent="0.3">
      <c r="O542" s="12">
        <f t="shared" si="62"/>
        <v>44.083333333333336</v>
      </c>
      <c r="P542" s="13">
        <v>529</v>
      </c>
      <c r="Q542" s="22">
        <v>3.6175682815593246E-2</v>
      </c>
      <c r="R542" s="19">
        <f t="shared" si="63"/>
        <v>3.3746685888047301E-2</v>
      </c>
      <c r="S542" s="22">
        <v>3.9449242982894095E-2</v>
      </c>
      <c r="T542" s="19">
        <f t="shared" si="64"/>
        <v>4.2395705115919391E-2</v>
      </c>
      <c r="U542" s="24">
        <v>4.2397826071898015E-2</v>
      </c>
      <c r="V542" s="24">
        <f t="shared" si="65"/>
        <v>4.2577440475202621E-2</v>
      </c>
      <c r="W542" s="23">
        <f t="shared" si="66"/>
        <v>3.4804486876922613E-3</v>
      </c>
      <c r="X542" s="24">
        <v>4.1796123094149706E-2</v>
      </c>
      <c r="Y542" s="24">
        <f t="shared" si="67"/>
        <v>4.253199228511817E-2</v>
      </c>
      <c r="Z542" s="23">
        <f t="shared" si="68"/>
        <v>3.4767551653380746E-3</v>
      </c>
      <c r="AA542" s="36"/>
    </row>
    <row r="543" spans="15:27" ht="13.9" customHeight="1" x14ac:dyDescent="0.3">
      <c r="O543" s="12">
        <f t="shared" si="62"/>
        <v>44.166666666666664</v>
      </c>
      <c r="P543" s="13">
        <v>530</v>
      </c>
      <c r="Q543" s="22">
        <v>3.6171094432535744E-2</v>
      </c>
      <c r="R543" s="19">
        <f t="shared" si="63"/>
        <v>3.3758075679709787E-2</v>
      </c>
      <c r="S543" s="22">
        <v>3.9454794495702883E-2</v>
      </c>
      <c r="T543" s="19">
        <f t="shared" si="64"/>
        <v>4.2401399101720694E-2</v>
      </c>
      <c r="U543" s="24">
        <v>4.239816493785975E-2</v>
      </c>
      <c r="V543" s="24">
        <f t="shared" si="65"/>
        <v>4.2580631442904249E-2</v>
      </c>
      <c r="W543" s="23">
        <f t="shared" si="66"/>
        <v>3.4807065859219222E-3</v>
      </c>
      <c r="X543" s="24">
        <v>4.1797511037383606E-2</v>
      </c>
      <c r="Y543" s="24">
        <f t="shared" si="67"/>
        <v>4.2535776512689472E-2</v>
      </c>
      <c r="Z543" s="23">
        <f t="shared" si="68"/>
        <v>3.4770611897978476E-3</v>
      </c>
      <c r="AA543" s="36"/>
    </row>
    <row r="544" spans="15:27" ht="13.9" customHeight="1" x14ac:dyDescent="0.3">
      <c r="O544" s="12">
        <f t="shared" si="62"/>
        <v>44.25</v>
      </c>
      <c r="P544" s="13">
        <v>531</v>
      </c>
      <c r="Q544" s="22">
        <v>3.6166544851521154E-2</v>
      </c>
      <c r="R544" s="19">
        <f t="shared" si="63"/>
        <v>3.376954368198315E-2</v>
      </c>
      <c r="S544" s="22">
        <v>3.9460335821253079E-2</v>
      </c>
      <c r="T544" s="19">
        <f t="shared" si="64"/>
        <v>4.2407039181841188E-2</v>
      </c>
      <c r="U544" s="24">
        <v>4.2398508535914425E-2</v>
      </c>
      <c r="V544" s="24">
        <f t="shared" si="65"/>
        <v>4.2583798211190071E-2</v>
      </c>
      <c r="W544" s="23">
        <f t="shared" si="66"/>
        <v>3.4809625277436584E-3</v>
      </c>
      <c r="X544" s="24">
        <v>4.1798900876379275E-2</v>
      </c>
      <c r="Y544" s="24">
        <f t="shared" si="67"/>
        <v>4.2539530008814941E-2</v>
      </c>
      <c r="Z544" s="23">
        <f t="shared" si="68"/>
        <v>3.4773647279844333E-3</v>
      </c>
      <c r="AA544" s="36"/>
    </row>
    <row r="545" spans="15:27" ht="13.9" customHeight="1" x14ac:dyDescent="0.3">
      <c r="O545" s="12">
        <f t="shared" si="62"/>
        <v>44.333333333333336</v>
      </c>
      <c r="P545" s="13">
        <v>532</v>
      </c>
      <c r="Q545" s="22">
        <v>3.6162034000461807E-2</v>
      </c>
      <c r="R545" s="19">
        <f t="shared" si="63"/>
        <v>3.3781090596520347E-2</v>
      </c>
      <c r="S545" s="22">
        <v>3.9465866915896708E-2</v>
      </c>
      <c r="T545" s="19">
        <f t="shared" si="64"/>
        <v>4.2412625872597864E-2</v>
      </c>
      <c r="U545" s="24">
        <v>4.2398856793884887E-2</v>
      </c>
      <c r="V545" s="24">
        <f t="shared" si="65"/>
        <v>4.2586940967695774E-2</v>
      </c>
      <c r="W545" s="23">
        <f t="shared" si="66"/>
        <v>3.4812165278634843E-3</v>
      </c>
      <c r="X545" s="24">
        <v>4.1800292542713668E-2</v>
      </c>
      <c r="Y545" s="24">
        <f t="shared" si="67"/>
        <v>4.2543253026879446E-2</v>
      </c>
      <c r="Z545" s="23">
        <f t="shared" si="68"/>
        <v>3.4776658001609562E-3</v>
      </c>
      <c r="AA545" s="36"/>
    </row>
    <row r="546" spans="15:27" ht="13.9" customHeight="1" x14ac:dyDescent="0.3">
      <c r="O546" s="12">
        <f t="shared" si="62"/>
        <v>44.416666666666664</v>
      </c>
      <c r="P546" s="13">
        <v>533</v>
      </c>
      <c r="Q546" s="22">
        <v>3.6157561809127436E-2</v>
      </c>
      <c r="R546" s="19">
        <f t="shared" si="63"/>
        <v>3.3792717131299055E-2</v>
      </c>
      <c r="S546" s="22">
        <v>3.9471387737279651E-2</v>
      </c>
      <c r="T546" s="19">
        <f t="shared" si="64"/>
        <v>4.2418159683142775E-2</v>
      </c>
      <c r="U546" s="24">
        <v>4.2399209640487712E-2</v>
      </c>
      <c r="V546" s="24">
        <f t="shared" si="65"/>
        <v>4.2590059895062593E-2</v>
      </c>
      <c r="W546" s="23">
        <f t="shared" si="66"/>
        <v>3.4814686013473484E-3</v>
      </c>
      <c r="X546" s="24">
        <v>4.1801685968952729E-2</v>
      </c>
      <c r="Y546" s="24">
        <f t="shared" si="67"/>
        <v>4.2546945814845749E-2</v>
      </c>
      <c r="Z546" s="23">
        <f t="shared" si="68"/>
        <v>3.4779644266762499E-3</v>
      </c>
      <c r="AA546" s="36"/>
    </row>
    <row r="547" spans="15:27" ht="13.9" customHeight="1" x14ac:dyDescent="0.3">
      <c r="O547" s="12">
        <f t="shared" si="62"/>
        <v>44.5</v>
      </c>
      <c r="P547" s="13">
        <v>534</v>
      </c>
      <c r="Q547" s="22">
        <v>3.6153128209139185E-2</v>
      </c>
      <c r="R547" s="19">
        <f t="shared" si="63"/>
        <v>3.3804423122500094E-2</v>
      </c>
      <c r="S547" s="22">
        <v>3.9476898244315217E-2</v>
      </c>
      <c r="T547" s="19">
        <f t="shared" si="64"/>
        <v>4.2423641118929378E-2</v>
      </c>
      <c r="U547" s="24">
        <v>4.2399567005315886E-2</v>
      </c>
      <c r="V547" s="24">
        <f t="shared" si="65"/>
        <v>4.2593155176064768E-2</v>
      </c>
      <c r="W547" s="23">
        <f t="shared" si="66"/>
        <v>3.4817187628608526E-3</v>
      </c>
      <c r="X547" s="24">
        <v>4.18030810886314E-2</v>
      </c>
      <c r="Y547" s="24">
        <f t="shared" si="67"/>
        <v>4.2550608621995112E-2</v>
      </c>
      <c r="Z547" s="23">
        <f t="shared" si="68"/>
        <v>3.4782606274432748E-3</v>
      </c>
      <c r="AA547" s="36"/>
    </row>
    <row r="548" spans="15:27" ht="13.9" customHeight="1" x14ac:dyDescent="0.3">
      <c r="O548" s="12">
        <f t="shared" si="62"/>
        <v>44.583333333333336</v>
      </c>
      <c r="P548" s="13">
        <v>535</v>
      </c>
      <c r="Q548" s="22">
        <v>3.6148733132319588E-2</v>
      </c>
      <c r="R548" s="19">
        <f t="shared" si="63"/>
        <v>3.3816205779647168E-2</v>
      </c>
      <c r="S548" s="22">
        <v>3.9482398397166163E-2</v>
      </c>
      <c r="T548" s="19">
        <f t="shared" si="64"/>
        <v>4.2429070680316538E-2</v>
      </c>
      <c r="U548" s="24">
        <v>4.2399928818831034E-2</v>
      </c>
      <c r="V548" s="24">
        <f t="shared" si="65"/>
        <v>4.2596226990280872E-2</v>
      </c>
      <c r="W548" s="23">
        <f t="shared" si="66"/>
        <v>3.4819670270789249E-3</v>
      </c>
      <c r="X548" s="24">
        <v>4.1804477836248077E-2</v>
      </c>
      <c r="Y548" s="24">
        <f t="shared" si="67"/>
        <v>4.2554241692250638E-2</v>
      </c>
      <c r="Z548" s="23">
        <f t="shared" si="68"/>
        <v>3.4785544224809062E-3</v>
      </c>
      <c r="AA548" s="36"/>
    </row>
    <row r="549" spans="15:27" ht="13.9" customHeight="1" x14ac:dyDescent="0.3">
      <c r="O549" s="12">
        <f t="shared" si="62"/>
        <v>44.666666666666664</v>
      </c>
      <c r="P549" s="13">
        <v>536</v>
      </c>
      <c r="Q549" s="22">
        <v>3.6144376505778508E-2</v>
      </c>
      <c r="R549" s="19">
        <f t="shared" si="63"/>
        <v>3.3828064953105308E-2</v>
      </c>
      <c r="S549" s="22">
        <v>3.9487888157222928E-2</v>
      </c>
      <c r="T549" s="19">
        <f t="shared" si="64"/>
        <v>4.2434448862234131E-2</v>
      </c>
      <c r="U549" s="24">
        <v>4.2400295012348543E-2</v>
      </c>
      <c r="V549" s="24">
        <f t="shared" si="65"/>
        <v>4.2599275518192536E-2</v>
      </c>
      <c r="W549" s="23">
        <f t="shared" si="66"/>
        <v>3.482213408421142E-3</v>
      </c>
      <c r="X549" s="24">
        <v>4.1805876147244403E-2</v>
      </c>
      <c r="Y549" s="24">
        <f t="shared" si="67"/>
        <v>4.2557845269713512E-2</v>
      </c>
      <c r="Z549" s="23">
        <f t="shared" si="68"/>
        <v>3.478845831377031E-3</v>
      </c>
      <c r="AA549" s="36"/>
    </row>
    <row r="550" spans="15:27" ht="13.9" customHeight="1" x14ac:dyDescent="0.3">
      <c r="O550" s="12">
        <f t="shared" si="62"/>
        <v>44.75</v>
      </c>
      <c r="P550" s="13">
        <v>537</v>
      </c>
      <c r="Q550" s="22">
        <v>3.6140058256886709E-2</v>
      </c>
      <c r="R550" s="19">
        <f t="shared" si="63"/>
        <v>3.3840001381107765E-2</v>
      </c>
      <c r="S550" s="22">
        <v>3.949336748708232E-2</v>
      </c>
      <c r="T550" s="19">
        <f t="shared" si="64"/>
        <v>4.24397761551214E-2</v>
      </c>
      <c r="U550" s="24">
        <v>4.2400665518032454E-2</v>
      </c>
      <c r="V550" s="24">
        <f t="shared" si="65"/>
        <v>4.2602300937273796E-2</v>
      </c>
      <c r="W550" s="23">
        <f t="shared" si="66"/>
        <v>3.4824579213779128E-3</v>
      </c>
      <c r="X550" s="24">
        <v>4.1807275957997936E-2</v>
      </c>
      <c r="Y550" s="24">
        <f t="shared" si="67"/>
        <v>4.2561419595749328E-2</v>
      </c>
      <c r="Z550" s="23">
        <f t="shared" si="68"/>
        <v>3.4791348737341909E-3</v>
      </c>
      <c r="AA550" s="36"/>
    </row>
    <row r="551" spans="15:27" ht="13.9" customHeight="1" x14ac:dyDescent="0.3">
      <c r="O551" s="12">
        <f t="shared" si="62"/>
        <v>44.833333333333336</v>
      </c>
      <c r="P551" s="13">
        <v>538</v>
      </c>
      <c r="Q551" s="22">
        <v>3.6135778314926981E-2</v>
      </c>
      <c r="R551" s="19">
        <f t="shared" si="63"/>
        <v>3.3852015805372337E-2</v>
      </c>
      <c r="S551" s="22">
        <v>3.9498836350528421E-2</v>
      </c>
      <c r="T551" s="19">
        <f t="shared" si="64"/>
        <v>4.2445053045602643E-2</v>
      </c>
      <c r="U551" s="24">
        <v>4.2401040268880807E-2</v>
      </c>
      <c r="V551" s="24">
        <f t="shared" si="65"/>
        <v>4.260530342407054E-2</v>
      </c>
      <c r="W551" s="23">
        <f t="shared" si="66"/>
        <v>3.4827005801996158E-3</v>
      </c>
      <c r="X551" s="24">
        <v>4.1808677205807498E-2</v>
      </c>
      <c r="Y551" s="24">
        <f t="shared" si="67"/>
        <v>4.2564964909844294E-2</v>
      </c>
      <c r="Z551" s="23">
        <f t="shared" si="68"/>
        <v>3.4794215689344377E-3</v>
      </c>
      <c r="AA551" s="36"/>
    </row>
    <row r="552" spans="15:27" ht="13.9" customHeight="1" x14ac:dyDescent="0.3">
      <c r="O552" s="12">
        <f t="shared" si="62"/>
        <v>44.916666666666664</v>
      </c>
      <c r="P552" s="13">
        <v>539</v>
      </c>
      <c r="Q552" s="22">
        <v>3.6131536611083037E-2</v>
      </c>
      <c r="R552" s="19">
        <f t="shared" si="63"/>
        <v>3.3864108974649865E-2</v>
      </c>
      <c r="S552" s="22">
        <v>3.950429471251371E-2</v>
      </c>
      <c r="T552" s="19">
        <f t="shared" si="64"/>
        <v>4.2450280013557107E-2</v>
      </c>
      <c r="U552" s="24">
        <v>4.2401419198717205E-2</v>
      </c>
      <c r="V552" s="24">
        <f t="shared" si="65"/>
        <v>4.2608283153653392E-2</v>
      </c>
      <c r="W552" s="23">
        <f t="shared" si="66"/>
        <v>3.4829413990604685E-3</v>
      </c>
      <c r="X552" s="24">
        <v>4.1810079828881852E-2</v>
      </c>
      <c r="Y552" s="24">
        <f t="shared" si="67"/>
        <v>4.2568481448672424E-2</v>
      </c>
      <c r="Z552" s="23">
        <f t="shared" si="68"/>
        <v>3.4797059362088323E-3</v>
      </c>
      <c r="AA552" s="36"/>
    </row>
    <row r="553" spans="15:27" ht="13.9" customHeight="1" x14ac:dyDescent="0.3">
      <c r="O553" s="12">
        <f t="shared" si="62"/>
        <v>45</v>
      </c>
      <c r="P553" s="13">
        <v>540</v>
      </c>
      <c r="Q553" s="22">
        <v>3.6127333078434631E-2</v>
      </c>
      <c r="R553" s="19">
        <f t="shared" si="63"/>
        <v>3.3876280782049406E-2</v>
      </c>
      <c r="S553" s="22">
        <v>3.9509742539136417E-2</v>
      </c>
      <c r="T553" s="19">
        <f t="shared" si="64"/>
        <v>4.2455457535738095E-2</v>
      </c>
      <c r="U553" s="24">
        <v>4.2401802242179487E-2</v>
      </c>
      <c r="V553" s="24">
        <f t="shared" si="65"/>
        <v>4.2611240299739617E-2</v>
      </c>
      <c r="W553" s="23">
        <f t="shared" si="66"/>
        <v>3.4831803920172266E-3</v>
      </c>
      <c r="X553" s="24">
        <v>4.1811483766325264E-2</v>
      </c>
      <c r="Y553" s="24">
        <f t="shared" si="67"/>
        <v>4.2571969448263136E-2</v>
      </c>
      <c r="Z553" s="23">
        <f t="shared" si="68"/>
        <v>3.4799879945626166E-3</v>
      </c>
      <c r="AA553" s="36"/>
    </row>
    <row r="554" spans="15:27" ht="13.9" customHeight="1" x14ac:dyDescent="0.3">
      <c r="O554" s="12">
        <f t="shared" si="62"/>
        <v>45.083333333333336</v>
      </c>
      <c r="P554" s="13">
        <v>541</v>
      </c>
      <c r="Q554" s="22">
        <v>3.6123167650355281E-2</v>
      </c>
      <c r="R554" s="19">
        <f t="shared" si="63"/>
        <v>3.3888528542813878E-2</v>
      </c>
      <c r="S554" s="22">
        <v>3.9515179797624089E-2</v>
      </c>
      <c r="T554" s="19">
        <f t="shared" si="64"/>
        <v>4.2460586084802632E-2</v>
      </c>
      <c r="U554" s="24">
        <v>4.2402189334710405E-2</v>
      </c>
      <c r="V554" s="24">
        <f t="shared" si="65"/>
        <v>4.2614175035637691E-2</v>
      </c>
      <c r="W554" s="23">
        <f t="shared" si="66"/>
        <v>3.4834175730171779E-3</v>
      </c>
      <c r="X554" s="24">
        <v>4.1812888958128847E-2</v>
      </c>
      <c r="Y554" s="24">
        <f t="shared" si="67"/>
        <v>4.2575429142232668E-2</v>
      </c>
      <c r="Z554" s="23">
        <f t="shared" si="68"/>
        <v>3.4802677629490741E-3</v>
      </c>
      <c r="AA554" s="36"/>
    </row>
    <row r="555" spans="15:27" ht="13.9" customHeight="1" x14ac:dyDescent="0.3">
      <c r="O555" s="12">
        <f t="shared" si="62"/>
        <v>45.166666666666664</v>
      </c>
      <c r="P555" s="13">
        <v>542</v>
      </c>
      <c r="Q555" s="22">
        <v>3.6119040255742307E-2</v>
      </c>
      <c r="R555" s="19">
        <f t="shared" si="63"/>
        <v>3.3900852166608209E-2</v>
      </c>
      <c r="S555" s="22">
        <v>3.9520606456315166E-2</v>
      </c>
      <c r="T555" s="19">
        <f t="shared" si="64"/>
        <v>4.246566612646907E-2</v>
      </c>
      <c r="U555" s="24">
        <v>4.2402580412549185E-2</v>
      </c>
      <c r="V555" s="24">
        <f t="shared" si="65"/>
        <v>4.2617087531444886E-2</v>
      </c>
      <c r="W555" s="23">
        <f t="shared" si="66"/>
        <v>3.4836529559747476E-3</v>
      </c>
      <c r="X555" s="24">
        <v>4.1814295345157459E-2</v>
      </c>
      <c r="Y555" s="24">
        <f t="shared" si="67"/>
        <v>4.2578860761664838E-2</v>
      </c>
      <c r="Z555" s="23">
        <f t="shared" si="68"/>
        <v>3.4805452601269771E-3</v>
      </c>
      <c r="AA555" s="36"/>
    </row>
    <row r="556" spans="15:27" ht="13.9" customHeight="1" x14ac:dyDescent="0.3">
      <c r="O556" s="12">
        <f t="shared" si="62"/>
        <v>45.25</v>
      </c>
      <c r="P556" s="13">
        <v>543</v>
      </c>
      <c r="Q556" s="22">
        <v>3.6114950823847636E-2</v>
      </c>
      <c r="R556" s="19">
        <f t="shared" si="63"/>
        <v>3.3913252429534246E-2</v>
      </c>
      <c r="S556" s="22">
        <v>3.9526022484636547E-2</v>
      </c>
      <c r="T556" s="19">
        <f t="shared" si="64"/>
        <v>4.2470698124603246E-2</v>
      </c>
      <c r="U556" s="24">
        <v>4.2402975412718202E-2</v>
      </c>
      <c r="V556" s="24">
        <f t="shared" si="65"/>
        <v>4.2619977957766952E-2</v>
      </c>
      <c r="W556" s="23">
        <f t="shared" si="66"/>
        <v>3.483886554546789E-3</v>
      </c>
      <c r="X556" s="24">
        <v>4.1815702869136828E-2</v>
      </c>
      <c r="Y556" s="24">
        <f t="shared" si="67"/>
        <v>4.258226453622993E-2</v>
      </c>
      <c r="Z556" s="23">
        <f t="shared" si="68"/>
        <v>3.4808205046517049E-3</v>
      </c>
      <c r="AA556" s="36"/>
    </row>
    <row r="557" spans="15:27" ht="13.9" customHeight="1" x14ac:dyDescent="0.3">
      <c r="O557" s="12">
        <f t="shared" si="62"/>
        <v>45.333333333333336</v>
      </c>
      <c r="P557" s="13">
        <v>544</v>
      </c>
      <c r="Q557" s="22">
        <v>3.6110899285869635E-2</v>
      </c>
      <c r="R557" s="19">
        <f t="shared" si="63"/>
        <v>3.3925730114384489E-2</v>
      </c>
      <c r="S557" s="22">
        <v>3.9531427853090051E-2</v>
      </c>
      <c r="T557" s="19">
        <f t="shared" si="64"/>
        <v>4.247568253625289E-2</v>
      </c>
      <c r="U557" s="24">
        <v>4.240337427301677E-2</v>
      </c>
      <c r="V557" s="24">
        <f t="shared" si="65"/>
        <v>4.2622846482388566E-2</v>
      </c>
      <c r="W557" s="23">
        <f t="shared" si="66"/>
        <v>3.4841183824305677E-3</v>
      </c>
      <c r="X557" s="24">
        <v>4.1817111472643553E-2</v>
      </c>
      <c r="Y557" s="24">
        <f t="shared" si="67"/>
        <v>4.2585640693658666E-2</v>
      </c>
      <c r="Z557" s="23">
        <f t="shared" si="68"/>
        <v>3.4810935149653943E-3</v>
      </c>
      <c r="AA557" s="36"/>
    </row>
    <row r="558" spans="15:27" ht="13.9" customHeight="1" x14ac:dyDescent="0.3">
      <c r="O558" s="12">
        <f t="shared" si="62"/>
        <v>45.416666666666664</v>
      </c>
      <c r="P558" s="13">
        <v>545</v>
      </c>
      <c r="Q558" s="22">
        <v>3.6106885574948011E-2</v>
      </c>
      <c r="R558" s="19">
        <f t="shared" si="63"/>
        <v>3.3938286008383667E-2</v>
      </c>
      <c r="S558" s="22">
        <v>3.9536822533229987E-2</v>
      </c>
      <c r="T558" s="19">
        <f t="shared" si="64"/>
        <v>4.2480619815934428E-2</v>
      </c>
      <c r="U558" s="24">
        <v>4.2403776932008919E-2</v>
      </c>
      <c r="V558" s="24">
        <f t="shared" si="65"/>
        <v>4.2625693273244503E-2</v>
      </c>
      <c r="W558" s="23">
        <f t="shared" si="66"/>
        <v>3.4843484530964197E-3</v>
      </c>
      <c r="X558" s="24">
        <v>4.1818521099093342E-2</v>
      </c>
      <c r="Y558" s="24">
        <f t="shared" si="67"/>
        <v>4.2588989459626081E-2</v>
      </c>
      <c r="Z558" s="23">
        <f t="shared" si="68"/>
        <v>3.4813643093538627E-3</v>
      </c>
      <c r="AA558" s="36"/>
    </row>
    <row r="559" spans="15:27" ht="13.9" customHeight="1" x14ac:dyDescent="0.3">
      <c r="O559" s="12">
        <f t="shared" si="62"/>
        <v>45.5</v>
      </c>
      <c r="P559" s="13">
        <v>546</v>
      </c>
      <c r="Q559" s="22">
        <v>3.6102909626153812E-2</v>
      </c>
      <c r="R559" s="19">
        <f t="shared" si="63"/>
        <v>3.3950920061678991E-2</v>
      </c>
      <c r="S559" s="22">
        <v>3.9542206497648946E-2</v>
      </c>
      <c r="T559" s="19">
        <f t="shared" si="64"/>
        <v>4.2485510413108774E-2</v>
      </c>
      <c r="U559" s="24">
        <v>4.2404183329016298E-2</v>
      </c>
      <c r="V559" s="24">
        <f t="shared" si="65"/>
        <v>4.2628518495808621E-2</v>
      </c>
      <c r="W559" s="23">
        <f t="shared" si="66"/>
        <v>3.4845767800271155E-3</v>
      </c>
      <c r="X559" s="24">
        <v>4.1819931692729906E-2</v>
      </c>
      <c r="Y559" s="24">
        <f t="shared" si="67"/>
        <v>4.2592311058662569E-2</v>
      </c>
      <c r="Z559" s="23">
        <f t="shared" si="68"/>
        <v>3.481632905937504E-3</v>
      </c>
      <c r="AA559" s="36"/>
    </row>
    <row r="560" spans="15:27" ht="13.9" customHeight="1" x14ac:dyDescent="0.3">
      <c r="O560" s="12">
        <f t="shared" si="62"/>
        <v>45.583333333333336</v>
      </c>
      <c r="P560" s="13">
        <v>547</v>
      </c>
      <c r="Q560" s="22">
        <v>3.6098971374938449E-2</v>
      </c>
      <c r="R560" s="19">
        <f t="shared" si="63"/>
        <v>3.3963629695804576E-2</v>
      </c>
      <c r="S560" s="22">
        <v>3.9547579719958925E-2</v>
      </c>
      <c r="T560" s="19">
        <f t="shared" si="64"/>
        <v>4.2490354771679284E-2</v>
      </c>
      <c r="U560" s="24">
        <v>4.2404593404107516E-2</v>
      </c>
      <c r="V560" s="24">
        <f t="shared" si="65"/>
        <v>4.2631322314991449E-2</v>
      </c>
      <c r="W560" s="23">
        <f t="shared" si="66"/>
        <v>3.4848033765073616E-3</v>
      </c>
      <c r="X560" s="24">
        <v>4.1821343198614747E-2</v>
      </c>
      <c r="Y560" s="24">
        <f t="shared" si="67"/>
        <v>4.2595605712021367E-2</v>
      </c>
      <c r="Z560" s="23">
        <f t="shared" si="68"/>
        <v>3.4818993227447859E-3</v>
      </c>
      <c r="AA560" s="36"/>
    </row>
    <row r="561" spans="15:27" ht="13.9" customHeight="1" x14ac:dyDescent="0.3">
      <c r="O561" s="12">
        <f t="shared" si="62"/>
        <v>45.666666666666664</v>
      </c>
      <c r="P561" s="13">
        <v>548</v>
      </c>
      <c r="Q561" s="22">
        <v>3.6095070752506064E-2</v>
      </c>
      <c r="R561" s="19">
        <f t="shared" si="63"/>
        <v>3.3976414874657745E-2</v>
      </c>
      <c r="S561" s="22">
        <v>3.9552942174772232E-2</v>
      </c>
      <c r="T561" s="19">
        <f t="shared" si="64"/>
        <v>4.2495153333364177E-2</v>
      </c>
      <c r="U561" s="24">
        <v>4.2405007098089254E-2</v>
      </c>
      <c r="V561" s="24">
        <f t="shared" si="65"/>
        <v>4.2634104893211733E-2</v>
      </c>
      <c r="W561" s="23">
        <f t="shared" si="66"/>
        <v>3.4850282557765677E-3</v>
      </c>
      <c r="X561" s="24">
        <v>4.1822755562614056E-2</v>
      </c>
      <c r="Y561" s="24">
        <f t="shared" si="67"/>
        <v>4.2598873639728696E-2</v>
      </c>
      <c r="Z561" s="23">
        <f t="shared" si="68"/>
        <v>3.4821635775408311E-3</v>
      </c>
      <c r="AA561" s="36"/>
    </row>
    <row r="562" spans="15:27" ht="13.9" customHeight="1" x14ac:dyDescent="0.3">
      <c r="O562" s="12">
        <f t="shared" si="62"/>
        <v>45.75</v>
      </c>
      <c r="P562" s="13">
        <v>549</v>
      </c>
      <c r="Q562" s="22">
        <v>3.6091207690492899E-2</v>
      </c>
      <c r="R562" s="19">
        <f t="shared" si="63"/>
        <v>3.3989276415432368E-2</v>
      </c>
      <c r="S562" s="22">
        <v>3.9558293837688163E-2</v>
      </c>
      <c r="T562" s="19">
        <f t="shared" si="64"/>
        <v>4.2499906534027909E-2</v>
      </c>
      <c r="U562" s="24">
        <v>4.2405424352496057E-2</v>
      </c>
      <c r="V562" s="24">
        <f t="shared" si="65"/>
        <v>4.2636866393600092E-2</v>
      </c>
      <c r="W562" s="23">
        <f t="shared" si="66"/>
        <v>3.4852514308745253E-3</v>
      </c>
      <c r="X562" s="24">
        <v>4.1824168731389388E-2</v>
      </c>
      <c r="Y562" s="24">
        <f t="shared" si="67"/>
        <v>4.2602115062053691E-2</v>
      </c>
      <c r="Z562" s="23">
        <f t="shared" si="68"/>
        <v>3.4824256879919524E-3</v>
      </c>
      <c r="AA562" s="36"/>
    </row>
    <row r="563" spans="15:27" ht="13.9" customHeight="1" x14ac:dyDescent="0.3">
      <c r="O563" s="12">
        <f t="shared" si="62"/>
        <v>45.833333333333336</v>
      </c>
      <c r="P563" s="13">
        <v>550</v>
      </c>
      <c r="Q563" s="22">
        <v>3.6087382122518719E-2</v>
      </c>
      <c r="R563" s="19">
        <f t="shared" si="63"/>
        <v>3.4002215139341763E-2</v>
      </c>
      <c r="S563" s="22">
        <v>3.9563634685273463E-2</v>
      </c>
      <c r="T563" s="19">
        <f t="shared" si="64"/>
        <v>4.2504614806494034E-2</v>
      </c>
      <c r="U563" s="24">
        <v>4.2405845109584117E-2</v>
      </c>
      <c r="V563" s="24">
        <f t="shared" si="65"/>
        <v>4.2639606977234124E-2</v>
      </c>
      <c r="W563" s="23">
        <f t="shared" si="66"/>
        <v>3.485472914896981E-3</v>
      </c>
      <c r="X563" s="24">
        <v>4.1825582652390336E-2</v>
      </c>
      <c r="Y563" s="24">
        <f t="shared" si="67"/>
        <v>4.2605330192989843E-2</v>
      </c>
      <c r="Z563" s="23">
        <f t="shared" si="68"/>
        <v>3.4826856717837806E-3</v>
      </c>
      <c r="AA563" s="36"/>
    </row>
    <row r="564" spans="15:27" ht="13.9" customHeight="1" x14ac:dyDescent="0.3">
      <c r="O564" s="12">
        <f t="shared" si="62"/>
        <v>45.916666666666664</v>
      </c>
      <c r="P564" s="13">
        <v>551</v>
      </c>
      <c r="Q564" s="22">
        <v>3.60835939841746E-2</v>
      </c>
      <c r="R564" s="19">
        <f t="shared" si="63"/>
        <v>3.4015231873943286E-2</v>
      </c>
      <c r="S564" s="22">
        <v>3.9568964695048114E-2</v>
      </c>
      <c r="T564" s="19">
        <f t="shared" si="64"/>
        <v>4.2509278577757881E-2</v>
      </c>
      <c r="U564" s="24">
        <v>4.2406269312321498E-2</v>
      </c>
      <c r="V564" s="24">
        <f t="shared" si="65"/>
        <v>4.2642326802550423E-2</v>
      </c>
      <c r="W564" s="23">
        <f t="shared" si="66"/>
        <v>3.4856927207758126E-3</v>
      </c>
      <c r="X564" s="24">
        <v>4.1826997273836541E-2</v>
      </c>
      <c r="Y564" s="24">
        <f t="shared" si="67"/>
        <v>4.2608519249273558E-2</v>
      </c>
      <c r="Z564" s="23">
        <f t="shared" si="68"/>
        <v>3.4829435460981273E-3</v>
      </c>
      <c r="AA564" s="36"/>
    </row>
    <row r="565" spans="15:27" ht="13.9" customHeight="1" x14ac:dyDescent="0.3">
      <c r="O565" s="12">
        <f t="shared" si="62"/>
        <v>46</v>
      </c>
      <c r="P565" s="13">
        <v>552</v>
      </c>
      <c r="Q565" s="22">
        <v>3.6079843213018048E-2</v>
      </c>
      <c r="R565" s="19">
        <f t="shared" si="63"/>
        <v>3.4028326624541583E-2</v>
      </c>
      <c r="S565" s="22">
        <v>3.957428384546624E-2</v>
      </c>
      <c r="T565" s="19">
        <f t="shared" si="64"/>
        <v>4.2513898272189321E-2</v>
      </c>
      <c r="U565" s="24">
        <v>4.2406696904376817E-2</v>
      </c>
      <c r="V565" s="24">
        <f t="shared" si="65"/>
        <v>4.2645026028206745E-2</v>
      </c>
      <c r="W565" s="23">
        <f t="shared" si="66"/>
        <v>3.4859108612299572E-3</v>
      </c>
      <c r="X565" s="24">
        <v>4.1828412544715032E-2</v>
      </c>
      <c r="Y565" s="24">
        <f t="shared" si="67"/>
        <v>4.2611682442896592E-2</v>
      </c>
      <c r="Z565" s="23">
        <f t="shared" si="68"/>
        <v>3.483199328336406E-3</v>
      </c>
      <c r="AA565" s="36"/>
    </row>
    <row r="566" spans="15:27" ht="13.9" customHeight="1" x14ac:dyDescent="0.3">
      <c r="O566" s="12">
        <f t="shared" si="62"/>
        <v>46.083333333333336</v>
      </c>
      <c r="P566" s="13">
        <v>553</v>
      </c>
      <c r="Q566" s="22">
        <v>3.6076129747063979E-2</v>
      </c>
      <c r="R566" s="19">
        <f t="shared" si="63"/>
        <v>3.4041496916336511E-2</v>
      </c>
      <c r="S566" s="22">
        <v>3.9579592115902784E-2</v>
      </c>
      <c r="T566" s="19">
        <f t="shared" si="64"/>
        <v>4.2518474309798826E-2</v>
      </c>
      <c r="U566" s="24">
        <v>4.2407127830113245E-2</v>
      </c>
      <c r="V566" s="24">
        <f t="shared" si="65"/>
        <v>4.2647704812360132E-2</v>
      </c>
      <c r="W566" s="23">
        <f t="shared" si="66"/>
        <v>3.4861273489963374E-3</v>
      </c>
      <c r="X566" s="24">
        <v>4.1829828414765347E-2</v>
      </c>
      <c r="Y566" s="24">
        <f t="shared" si="67"/>
        <v>4.2614819985699048E-2</v>
      </c>
      <c r="Z566" s="23">
        <f t="shared" si="68"/>
        <v>3.4834530355192239E-3</v>
      </c>
      <c r="AA566" s="36"/>
    </row>
    <row r="567" spans="15:27" ht="13.9" customHeight="1" x14ac:dyDescent="0.3">
      <c r="O567" s="12">
        <f t="shared" si="62"/>
        <v>46.166666666666664</v>
      </c>
      <c r="P567" s="13">
        <v>554</v>
      </c>
      <c r="Q567" s="22">
        <v>3.6072453520295644E-2</v>
      </c>
      <c r="R567" s="19">
        <f t="shared" si="63"/>
        <v>3.4054742769715096E-2</v>
      </c>
      <c r="S567" s="22">
        <v>3.9584889486637076E-2</v>
      </c>
      <c r="T567" s="19">
        <f t="shared" si="64"/>
        <v>4.2523007105985222E-2</v>
      </c>
      <c r="U567" s="24">
        <v>4.2407562034581181E-2</v>
      </c>
      <c r="V567" s="24">
        <f t="shared" si="65"/>
        <v>4.2650363309505224E-2</v>
      </c>
      <c r="W567" s="23">
        <f t="shared" si="66"/>
        <v>3.4863421967716857E-3</v>
      </c>
      <c r="X567" s="24">
        <v>4.1831244834471981E-2</v>
      </c>
      <c r="Y567" s="24">
        <f t="shared" si="67"/>
        <v>4.2617932087116062E-2</v>
      </c>
      <c r="Z567" s="23">
        <f t="shared" si="68"/>
        <v>3.4837046846547537E-3</v>
      </c>
      <c r="AA567" s="36"/>
    </row>
    <row r="568" spans="15:27" ht="13.9" customHeight="1" x14ac:dyDescent="0.3">
      <c r="O568" s="12">
        <f t="shared" si="62"/>
        <v>46.25</v>
      </c>
      <c r="P568" s="13">
        <v>555</v>
      </c>
      <c r="Q568" s="22">
        <v>3.6068814467206112E-2</v>
      </c>
      <c r="R568" s="19">
        <f t="shared" si="63"/>
        <v>3.4068065040444129E-2</v>
      </c>
      <c r="S568" s="22">
        <v>3.9590175938837069E-2</v>
      </c>
      <c r="T568" s="19">
        <f t="shared" si="64"/>
        <v>4.2527497072009535E-2</v>
      </c>
      <c r="U568" s="24">
        <v>4.2407999463505819E-2</v>
      </c>
      <c r="V568" s="24">
        <f t="shared" si="65"/>
        <v>4.265300167504793E-2</v>
      </c>
      <c r="W568" s="23">
        <f t="shared" si="66"/>
        <v>3.4865554169583035E-3</v>
      </c>
      <c r="X568" s="24">
        <v>4.1832661755053735E-2</v>
      </c>
      <c r="Y568" s="24">
        <f t="shared" si="67"/>
        <v>4.2621018953729051E-2</v>
      </c>
      <c r="Z568" s="23">
        <f t="shared" si="68"/>
        <v>3.4839542925577671E-3</v>
      </c>
      <c r="AA568" s="36"/>
    </row>
    <row r="569" spans="15:27" ht="13.9" customHeight="1" x14ac:dyDescent="0.3">
      <c r="O569" s="12">
        <f t="shared" si="62"/>
        <v>46.333333333333336</v>
      </c>
      <c r="P569" s="13">
        <v>556</v>
      </c>
      <c r="Q569" s="22">
        <v>3.6065212524298174E-2</v>
      </c>
      <c r="R569" s="19">
        <f t="shared" si="63"/>
        <v>3.4081464589190258E-2</v>
      </c>
      <c r="S569" s="22">
        <v>3.9595451454543573E-2</v>
      </c>
      <c r="T569" s="19">
        <f t="shared" si="64"/>
        <v>4.2531944616263528E-2</v>
      </c>
      <c r="U569" s="24">
        <v>4.2408440063282482E-2</v>
      </c>
      <c r="V569" s="24">
        <f t="shared" si="65"/>
        <v>4.2655620062009847E-2</v>
      </c>
      <c r="W569" s="23">
        <f t="shared" si="66"/>
        <v>3.486767022031545E-3</v>
      </c>
      <c r="X569" s="24">
        <v>4.1834079128451718E-2</v>
      </c>
      <c r="Y569" s="24">
        <f t="shared" si="67"/>
        <v>4.2624080793145946E-2</v>
      </c>
      <c r="Z569" s="23">
        <f t="shared" si="68"/>
        <v>3.484201875814108E-3</v>
      </c>
      <c r="AA569" s="36"/>
    </row>
    <row r="570" spans="15:27" ht="13.9" customHeight="1" x14ac:dyDescent="0.3">
      <c r="O570" s="12">
        <f t="shared" si="62"/>
        <v>46.416666666666664</v>
      </c>
      <c r="P570" s="13">
        <v>557</v>
      </c>
      <c r="Q570" s="22">
        <v>3.6061647630075688E-2</v>
      </c>
      <c r="R570" s="19">
        <f t="shared" si="63"/>
        <v>3.4094942283413587E-2</v>
      </c>
      <c r="S570" s="22">
        <v>3.9600716016657156E-2</v>
      </c>
      <c r="T570" s="19">
        <f t="shared" si="64"/>
        <v>4.253635014238033E-2</v>
      </c>
      <c r="U570" s="24">
        <v>4.2408883780966189E-2</v>
      </c>
      <c r="V570" s="24">
        <f t="shared" si="65"/>
        <v>4.2658218623482735E-2</v>
      </c>
      <c r="W570" s="23">
        <f t="shared" si="66"/>
        <v>3.4869770242758058E-3</v>
      </c>
      <c r="X570" s="24">
        <v>4.1835496907324687E-2</v>
      </c>
      <c r="Y570" s="24">
        <f t="shared" si="67"/>
        <v>4.2627117809197479E-2</v>
      </c>
      <c r="Z570" s="23">
        <f t="shared" si="68"/>
        <v>3.4844474510911105E-3</v>
      </c>
      <c r="AA570" s="36"/>
    </row>
    <row r="571" spans="15:27" ht="13.9" customHeight="1" x14ac:dyDescent="0.3">
      <c r="O571" s="12">
        <f t="shared" si="62"/>
        <v>46.5</v>
      </c>
      <c r="P571" s="13">
        <v>558</v>
      </c>
      <c r="Q571" s="22">
        <v>3.6058119725037807E-2</v>
      </c>
      <c r="R571" s="19">
        <f t="shared" si="63"/>
        <v>3.4108498182350955E-2</v>
      </c>
      <c r="S571" s="22">
        <v>3.9605969608921932E-2</v>
      </c>
      <c r="T571" s="19">
        <f t="shared" si="64"/>
        <v>4.2540714050296691E-2</v>
      </c>
      <c r="U571" s="24">
        <v>4.2409330564266101E-2</v>
      </c>
      <c r="V571" s="24">
        <f t="shared" si="65"/>
        <v>4.266079751074825E-2</v>
      </c>
      <c r="W571" s="23">
        <f t="shared" si="66"/>
        <v>3.4871854359801446E-3</v>
      </c>
      <c r="X571" s="24">
        <v>4.1836915045035949E-2</v>
      </c>
      <c r="Y571" s="24">
        <f t="shared" si="67"/>
        <v>4.2630130204754701E-2</v>
      </c>
      <c r="Z571" s="23">
        <f t="shared" si="68"/>
        <v>3.4846910347536841E-3</v>
      </c>
      <c r="AA571" s="36"/>
    </row>
    <row r="572" spans="15:27" ht="13.9" customHeight="1" x14ac:dyDescent="0.3">
      <c r="O572" s="12">
        <f t="shared" si="62"/>
        <v>46.583333333333336</v>
      </c>
      <c r="P572" s="13">
        <v>559</v>
      </c>
      <c r="Q572" s="22">
        <v>3.6054628750211926E-2</v>
      </c>
      <c r="R572" s="19">
        <f t="shared" si="63"/>
        <v>3.4122129915428401E-2</v>
      </c>
      <c r="S572" s="22">
        <v>3.9611212215911795E-2</v>
      </c>
      <c r="T572" s="19">
        <f t="shared" si="64"/>
        <v>4.2545036735159414E-2</v>
      </c>
      <c r="U572" s="24">
        <v>4.240978036153642E-2</v>
      </c>
      <c r="V572" s="24">
        <f t="shared" si="65"/>
        <v>4.266335687262468E-2</v>
      </c>
      <c r="W572" s="23">
        <f t="shared" si="66"/>
        <v>3.487392269288847E-3</v>
      </c>
      <c r="X572" s="24">
        <v>4.1838333495645363E-2</v>
      </c>
      <c r="Y572" s="24">
        <f t="shared" si="67"/>
        <v>4.2633118179965512E-2</v>
      </c>
      <c r="Z572" s="23">
        <f t="shared" si="68"/>
        <v>3.4849326430885785E-3</v>
      </c>
      <c r="AA572" s="36"/>
    </row>
    <row r="573" spans="15:27" ht="13.9" customHeight="1" x14ac:dyDescent="0.3">
      <c r="O573" s="12">
        <f t="shared" si="62"/>
        <v>46.666666666666664</v>
      </c>
      <c r="P573" s="13">
        <v>560</v>
      </c>
      <c r="Q573" s="22">
        <v>3.6051174642802053E-2</v>
      </c>
      <c r="R573" s="19">
        <f t="shared" si="63"/>
        <v>3.413583755766969E-2</v>
      </c>
      <c r="S573" s="22">
        <v>3.9616443823014214E-2</v>
      </c>
      <c r="T573" s="19">
        <f t="shared" si="64"/>
        <v>4.2549318590183294E-2</v>
      </c>
      <c r="U573" s="24">
        <v>4.2410233121766172E-2</v>
      </c>
      <c r="V573" s="24">
        <f t="shared" si="65"/>
        <v>4.2665896857692065E-2</v>
      </c>
      <c r="W573" s="23">
        <f t="shared" si="66"/>
        <v>3.4875975361481348E-3</v>
      </c>
      <c r="X573" s="24">
        <v>4.183975221389824E-2</v>
      </c>
      <c r="Y573" s="24">
        <f t="shared" si="67"/>
        <v>4.2636081933967507E-2</v>
      </c>
      <c r="Z573" s="23">
        <f t="shared" si="68"/>
        <v>3.4851722921642736E-3</v>
      </c>
      <c r="AA573" s="36"/>
    </row>
    <row r="574" spans="15:27" ht="13.9" customHeight="1" x14ac:dyDescent="0.3">
      <c r="O574" s="12">
        <f t="shared" si="62"/>
        <v>46.75</v>
      </c>
      <c r="P574" s="13">
        <v>561</v>
      </c>
      <c r="Q574" s="22">
        <v>3.6047757340591069E-2</v>
      </c>
      <c r="R574" s="19">
        <f t="shared" si="63"/>
        <v>3.4149622003435187E-2</v>
      </c>
      <c r="S574" s="22">
        <v>3.9621664416419344E-2</v>
      </c>
      <c r="T574" s="19">
        <f t="shared" si="64"/>
        <v>4.2553560003617763E-2</v>
      </c>
      <c r="U574" s="24">
        <v>4.2410688794572993E-2</v>
      </c>
      <c r="V574" s="24">
        <f t="shared" si="65"/>
        <v>4.2668417615844723E-2</v>
      </c>
      <c r="W574" s="23">
        <f t="shared" si="66"/>
        <v>3.4878012484849119E-3</v>
      </c>
      <c r="X574" s="24">
        <v>4.1841171155217349E-2</v>
      </c>
      <c r="Y574" s="24">
        <f t="shared" si="67"/>
        <v>4.2639021666111887E-2</v>
      </c>
      <c r="Z574" s="23">
        <f t="shared" si="68"/>
        <v>3.4854099979679809E-3</v>
      </c>
      <c r="AA574" s="36"/>
    </row>
    <row r="575" spans="15:27" ht="13.9" customHeight="1" x14ac:dyDescent="0.3">
      <c r="O575" s="12">
        <f t="shared" si="62"/>
        <v>46.833333333333336</v>
      </c>
      <c r="P575" s="13">
        <v>562</v>
      </c>
      <c r="Q575" s="22">
        <v>3.6044376783395338E-2</v>
      </c>
      <c r="R575" s="19">
        <f t="shared" si="63"/>
        <v>3.4163484152934576E-2</v>
      </c>
      <c r="S575" s="22">
        <v>3.9626873983104716E-2</v>
      </c>
      <c r="T575" s="19">
        <f t="shared" si="64"/>
        <v>4.255776135990752E-2</v>
      </c>
      <c r="U575" s="24">
        <v>4.2411147330200016E-2</v>
      </c>
      <c r="V575" s="24">
        <f t="shared" si="65"/>
        <v>4.2670919292186804E-2</v>
      </c>
      <c r="W575" s="23">
        <f t="shared" si="66"/>
        <v>3.4880034183315534E-3</v>
      </c>
      <c r="X575" s="24">
        <v>4.1842590275697367E-2</v>
      </c>
      <c r="Y575" s="24">
        <f t="shared" si="67"/>
        <v>4.2641937571645583E-2</v>
      </c>
      <c r="Z575" s="23">
        <f t="shared" si="68"/>
        <v>3.4856457765037874E-3</v>
      </c>
      <c r="AA575" s="36"/>
    </row>
    <row r="576" spans="15:27" ht="13.9" customHeight="1" x14ac:dyDescent="0.3">
      <c r="O576" s="12">
        <f t="shared" si="62"/>
        <v>46.916666666666664</v>
      </c>
      <c r="P576" s="13">
        <v>563</v>
      </c>
      <c r="Q576" s="22">
        <v>3.6041032913057602E-2</v>
      </c>
      <c r="R576" s="19">
        <f t="shared" si="63"/>
        <v>3.4177424914139776E-2</v>
      </c>
      <c r="S576" s="22">
        <v>3.9632072510820793E-2</v>
      </c>
      <c r="T576" s="19">
        <f t="shared" si="64"/>
        <v>4.2561923039901473E-2</v>
      </c>
      <c r="U576" s="24">
        <v>4.2411608679501667E-2</v>
      </c>
      <c r="V576" s="24">
        <f t="shared" si="65"/>
        <v>4.2673402031233154E-2</v>
      </c>
      <c r="W576" s="23">
        <f t="shared" si="66"/>
        <v>3.488204057335853E-3</v>
      </c>
      <c r="X576" s="24">
        <v>4.1844009532091331E-2</v>
      </c>
      <c r="Y576" s="24">
        <f t="shared" si="67"/>
        <v>4.2644829844310506E-2</v>
      </c>
      <c r="Z576" s="23">
        <f t="shared" si="68"/>
        <v>3.4858796434458217E-3</v>
      </c>
      <c r="AA576" s="36"/>
    </row>
    <row r="577" spans="15:27" ht="13.9" customHeight="1" x14ac:dyDescent="0.3">
      <c r="O577" s="12">
        <f t="shared" si="62"/>
        <v>47</v>
      </c>
      <c r="P577" s="13">
        <v>564</v>
      </c>
      <c r="Q577" s="22">
        <v>3.60377256734421E-2</v>
      </c>
      <c r="R577" s="19">
        <f t="shared" si="63"/>
        <v>3.4191444401123539E-2</v>
      </c>
      <c r="S577" s="22">
        <v>3.96372599880781E-2</v>
      </c>
      <c r="T577" s="19">
        <f t="shared" si="64"/>
        <v>4.2566045420770804E-2</v>
      </c>
      <c r="U577" s="24">
        <v>4.2412072793937661E-2</v>
      </c>
      <c r="V577" s="24">
        <f t="shared" si="65"/>
        <v>4.2675865978903271E-2</v>
      </c>
      <c r="W577" s="23">
        <f t="shared" si="66"/>
        <v>3.4884031770980872E-3</v>
      </c>
      <c r="X577" s="24">
        <v>4.1845428881802649E-2</v>
      </c>
      <c r="Y577" s="24">
        <f t="shared" si="67"/>
        <v>4.2647698676474555E-2</v>
      </c>
      <c r="Z577" s="23">
        <f t="shared" si="68"/>
        <v>3.4861116143478643E-3</v>
      </c>
      <c r="AA577" s="36"/>
    </row>
    <row r="578" spans="15:27" ht="13.9" customHeight="1" x14ac:dyDescent="0.3">
      <c r="O578" s="12">
        <f t="shared" si="62"/>
        <v>47.083333333333336</v>
      </c>
      <c r="P578" s="13">
        <v>565</v>
      </c>
      <c r="Q578" s="22">
        <v>3.6034455009009481E-2</v>
      </c>
      <c r="R578" s="19">
        <f t="shared" si="63"/>
        <v>3.4205540343430929E-2</v>
      </c>
      <c r="S578" s="22">
        <v>3.9642436404134118E-2</v>
      </c>
      <c r="T578" s="19">
        <f t="shared" si="64"/>
        <v>4.2570128876315616E-2</v>
      </c>
      <c r="U578" s="24">
        <v>4.2412539625569234E-2</v>
      </c>
      <c r="V578" s="24">
        <f t="shared" si="65"/>
        <v>4.2678311276985736E-2</v>
      </c>
      <c r="W578" s="23">
        <f t="shared" si="66"/>
        <v>3.4886007893313309E-3</v>
      </c>
      <c r="X578" s="24">
        <v>4.1846848282876659E-2</v>
      </c>
      <c r="Y578" s="24">
        <f t="shared" si="67"/>
        <v>4.2650544261262358E-2</v>
      </c>
      <c r="Z578" s="23">
        <f t="shared" si="68"/>
        <v>3.4863417046528955E-3</v>
      </c>
      <c r="AA578" s="36"/>
    </row>
    <row r="579" spans="15:27" ht="13.9" customHeight="1" x14ac:dyDescent="0.3">
      <c r="O579" s="12">
        <f t="shared" si="62"/>
        <v>47.166666666666664</v>
      </c>
      <c r="P579" s="13">
        <v>566</v>
      </c>
      <c r="Q579" s="22">
        <v>3.6031220860590851E-2</v>
      </c>
      <c r="R579" s="19">
        <f t="shared" si="63"/>
        <v>3.4219712872097796E-2</v>
      </c>
      <c r="S579" s="22">
        <v>3.964760174898041E-2</v>
      </c>
      <c r="T579" s="19">
        <f t="shared" si="64"/>
        <v>4.2574173777274238E-2</v>
      </c>
      <c r="U579" s="24">
        <v>4.2413009127047374E-2</v>
      </c>
      <c r="V579" s="24">
        <f t="shared" si="65"/>
        <v>4.268073806930528E-2</v>
      </c>
      <c r="W579" s="23">
        <f t="shared" si="66"/>
        <v>3.4887969054171464E-3</v>
      </c>
      <c r="X579" s="24">
        <v>4.1848267693995966E-2</v>
      </c>
      <c r="Y579" s="24">
        <f t="shared" si="67"/>
        <v>4.2653366787001268E-2</v>
      </c>
      <c r="Z579" s="23">
        <f t="shared" si="68"/>
        <v>3.4865699298642916E-3</v>
      </c>
      <c r="AA579" s="36"/>
    </row>
    <row r="580" spans="15:27" ht="13.9" customHeight="1" x14ac:dyDescent="0.3">
      <c r="O580" s="12">
        <f t="shared" si="62"/>
        <v>47.25</v>
      </c>
      <c r="P580" s="13">
        <v>567</v>
      </c>
      <c r="Q580" s="22">
        <v>3.6028023169662582E-2</v>
      </c>
      <c r="R580" s="19">
        <f t="shared" si="63"/>
        <v>3.4233962920359406E-2</v>
      </c>
      <c r="S580" s="22">
        <v>3.9652756013331292E-2</v>
      </c>
      <c r="T580" s="19">
        <f t="shared" si="64"/>
        <v>4.2578180488642925E-2</v>
      </c>
      <c r="U580" s="24">
        <v>4.241348125161104E-2</v>
      </c>
      <c r="V580" s="24">
        <f t="shared" si="65"/>
        <v>4.2683146494185475E-2</v>
      </c>
      <c r="W580" s="23">
        <f t="shared" si="66"/>
        <v>3.4889915368996327E-3</v>
      </c>
      <c r="X580" s="24">
        <v>4.1849687074466901E-2</v>
      </c>
      <c r="Y580" s="24">
        <f t="shared" si="67"/>
        <v>4.2656166441538579E-2</v>
      </c>
      <c r="Z580" s="23">
        <f t="shared" si="68"/>
        <v>3.4867963051004036E-3</v>
      </c>
      <c r="AA580" s="36"/>
    </row>
    <row r="581" spans="15:27" ht="13.9" customHeight="1" x14ac:dyDescent="0.3">
      <c r="O581" s="12">
        <f t="shared" si="62"/>
        <v>47.333333333333336</v>
      </c>
      <c r="P581" s="13">
        <v>568</v>
      </c>
      <c r="Q581" s="22">
        <v>3.6024861879756065E-2</v>
      </c>
      <c r="R581" s="19">
        <f t="shared" si="63"/>
        <v>3.4248291429932465E-2</v>
      </c>
      <c r="S581" s="22">
        <v>3.9657899188606738E-2</v>
      </c>
      <c r="T581" s="19">
        <f t="shared" si="64"/>
        <v>4.2582149374384537E-2</v>
      </c>
      <c r="U581" s="24">
        <v>4.2413955953071847E-2</v>
      </c>
      <c r="V581" s="24">
        <f t="shared" si="65"/>
        <v>4.2685536693807036E-2</v>
      </c>
      <c r="W581" s="23">
        <f t="shared" si="66"/>
        <v>3.4891846948823524E-3</v>
      </c>
      <c r="X581" s="24">
        <v>4.1851106384212855E-2</v>
      </c>
      <c r="Y581" s="24">
        <f t="shared" si="67"/>
        <v>4.2658943411699513E-2</v>
      </c>
      <c r="Z581" s="23">
        <f t="shared" si="68"/>
        <v>3.4870208454409468E-3</v>
      </c>
      <c r="AA581" s="36"/>
    </row>
    <row r="582" spans="15:27" ht="13.9" customHeight="1" x14ac:dyDescent="0.3">
      <c r="O582" s="12">
        <f t="shared" si="62"/>
        <v>47.416666666666664</v>
      </c>
      <c r="P582" s="13">
        <v>569</v>
      </c>
      <c r="Q582" s="22">
        <v>3.6021736936453719E-2</v>
      </c>
      <c r="R582" s="19">
        <f t="shared" si="63"/>
        <v>3.4262699345273484E-2</v>
      </c>
      <c r="S582" s="22">
        <v>3.9663031266924831E-2</v>
      </c>
      <c r="T582" s="19">
        <f t="shared" si="64"/>
        <v>4.258608079413273E-2</v>
      </c>
      <c r="U582" s="24">
        <v>4.2414433185816058E-2</v>
      </c>
      <c r="V582" s="24">
        <f t="shared" si="65"/>
        <v>4.2687908806182895E-2</v>
      </c>
      <c r="W582" s="23">
        <f t="shared" si="66"/>
        <v>3.4893763907775099E-3</v>
      </c>
      <c r="X582" s="24">
        <v>4.1852525583767175E-2</v>
      </c>
      <c r="Y582" s="24">
        <f t="shared" si="67"/>
        <v>4.26616978830201E-2</v>
      </c>
      <c r="Z582" s="23">
        <f t="shared" si="68"/>
        <v>3.4872435658834799E-3</v>
      </c>
      <c r="AA582" s="36"/>
    </row>
    <row r="583" spans="15:27" ht="13.9" customHeight="1" x14ac:dyDescent="0.3">
      <c r="O583" s="12">
        <f t="shared" si="62"/>
        <v>47.5</v>
      </c>
      <c r="P583" s="13">
        <v>570</v>
      </c>
      <c r="Q583" s="22">
        <v>3.6018648287376331E-2</v>
      </c>
      <c r="R583" s="19">
        <f t="shared" si="63"/>
        <v>3.4277186838268969E-2</v>
      </c>
      <c r="S583" s="22">
        <v>3.9668152241087995E-2</v>
      </c>
      <c r="T583" s="19">
        <f t="shared" si="64"/>
        <v>4.2589975103797473E-2</v>
      </c>
      <c r="U583" s="24">
        <v>4.2414912904792601E-2</v>
      </c>
      <c r="V583" s="24">
        <f t="shared" si="65"/>
        <v>4.269026296965106E-2</v>
      </c>
      <c r="W583" s="23">
        <f t="shared" si="66"/>
        <v>3.4895666356631327E-3</v>
      </c>
      <c r="X583" s="24">
        <v>4.1853944634265616E-2</v>
      </c>
      <c r="Y583" s="24">
        <f t="shared" si="67"/>
        <v>4.2664430039087042E-2</v>
      </c>
      <c r="Z583" s="23">
        <f t="shared" si="68"/>
        <v>3.4874644813214228E-3</v>
      </c>
      <c r="AA583" s="36"/>
    </row>
    <row r="584" spans="15:27" ht="13.9" customHeight="1" x14ac:dyDescent="0.3">
      <c r="O584" s="12">
        <f t="shared" si="62"/>
        <v>47.583333333333336</v>
      </c>
      <c r="P584" s="13">
        <v>571</v>
      </c>
      <c r="Q584" s="22">
        <v>3.6015595880809048E-2</v>
      </c>
      <c r="R584" s="19">
        <f t="shared" si="63"/>
        <v>3.4291751737657972E-2</v>
      </c>
      <c r="S584" s="22">
        <v>3.9673262104570339E-2</v>
      </c>
      <c r="T584" s="19">
        <f t="shared" si="64"/>
        <v>4.259383265473704E-2</v>
      </c>
      <c r="U584" s="24">
        <v>4.2415395065508177E-2</v>
      </c>
      <c r="V584" s="24">
        <f t="shared" si="65"/>
        <v>4.2692599319012148E-2</v>
      </c>
      <c r="W584" s="23">
        <f t="shared" si="66"/>
        <v>3.4897554406427833E-3</v>
      </c>
      <c r="X584" s="24">
        <v>4.1855363497437237E-2</v>
      </c>
      <c r="Y584" s="24">
        <f t="shared" si="67"/>
        <v>4.2667140059761355E-2</v>
      </c>
      <c r="Z584" s="23">
        <f t="shared" si="68"/>
        <v>3.487683606492098E-3</v>
      </c>
      <c r="AA584" s="36"/>
    </row>
    <row r="585" spans="15:27" ht="13.9" customHeight="1" x14ac:dyDescent="0.3">
      <c r="O585" s="12">
        <f t="shared" si="62"/>
        <v>47.666666666666664</v>
      </c>
      <c r="P585" s="13">
        <v>572</v>
      </c>
      <c r="Q585" s="22">
        <v>3.6012579661593103E-2</v>
      </c>
      <c r="R585" s="19">
        <f t="shared" si="63"/>
        <v>3.43063942295605E-2</v>
      </c>
      <c r="S585" s="22">
        <v>3.9678360851504113E-2</v>
      </c>
      <c r="T585" s="19">
        <f t="shared" si="64"/>
        <v>4.259765379745728E-2</v>
      </c>
      <c r="U585" s="24">
        <v>4.2415879624016384E-2</v>
      </c>
      <c r="V585" s="24">
        <f t="shared" si="65"/>
        <v>4.2694917991334069E-2</v>
      </c>
      <c r="W585" s="23">
        <f t="shared" si="66"/>
        <v>3.4899428165366952E-3</v>
      </c>
      <c r="X585" s="24">
        <v>4.1856782135593296E-2</v>
      </c>
      <c r="Y585" s="24">
        <f t="shared" si="67"/>
        <v>4.2669828127367637E-2</v>
      </c>
      <c r="Z585" s="23">
        <f t="shared" si="68"/>
        <v>3.4879009558339558E-3</v>
      </c>
      <c r="AA585" s="36"/>
    </row>
    <row r="586" spans="15:27" ht="13.9" customHeight="1" x14ac:dyDescent="0.3">
      <c r="O586" s="12">
        <f t="shared" si="62"/>
        <v>47.75</v>
      </c>
      <c r="P586" s="13">
        <v>573</v>
      </c>
      <c r="Q586" s="22">
        <v>3.6009599575276496E-2</v>
      </c>
      <c r="R586" s="19">
        <f t="shared" si="63"/>
        <v>3.4321115287531789E-2</v>
      </c>
      <c r="S586" s="22">
        <v>3.9683448476672156E-2</v>
      </c>
      <c r="T586" s="19">
        <f t="shared" si="64"/>
        <v>4.2601438877438502E-2</v>
      </c>
      <c r="U586" s="24">
        <v>4.241636653691705E-2</v>
      </c>
      <c r="V586" s="24">
        <f t="shared" si="65"/>
        <v>4.2697219121453189E-2</v>
      </c>
      <c r="W586" s="23">
        <f t="shared" si="66"/>
        <v>3.4901287743465126E-3</v>
      </c>
      <c r="X586" s="24">
        <v>4.1858200511626142E-2</v>
      </c>
      <c r="Y586" s="24">
        <f t="shared" si="67"/>
        <v>4.2672494420730178E-2</v>
      </c>
      <c r="Z586" s="23">
        <f t="shared" si="68"/>
        <v>3.4881165439819561E-3</v>
      </c>
      <c r="AA586" s="36"/>
    </row>
    <row r="587" spans="15:27" ht="13.9" customHeight="1" x14ac:dyDescent="0.3">
      <c r="O587" s="12">
        <f t="shared" si="62"/>
        <v>47.833333333333336</v>
      </c>
      <c r="P587" s="13">
        <v>574</v>
      </c>
      <c r="Q587" s="22">
        <v>3.6006655569482016E-2</v>
      </c>
      <c r="R587" s="19">
        <f t="shared" si="63"/>
        <v>3.4335915891704039E-2</v>
      </c>
      <c r="S587" s="22">
        <v>3.9688524975493689E-2</v>
      </c>
      <c r="T587" s="19">
        <f t="shared" si="64"/>
        <v>4.2605188237113234E-2</v>
      </c>
      <c r="U587" s="24">
        <v>4.2416855761347128E-2</v>
      </c>
      <c r="V587" s="24">
        <f t="shared" si="65"/>
        <v>4.2699502842502346E-2</v>
      </c>
      <c r="W587" s="23">
        <f t="shared" si="66"/>
        <v>3.4903133248946894E-3</v>
      </c>
      <c r="X587" s="24">
        <v>4.1859618588998115E-2</v>
      </c>
      <c r="Y587" s="24">
        <f t="shared" si="67"/>
        <v>4.267513911702725E-2</v>
      </c>
      <c r="Z587" s="23">
        <f t="shared" si="68"/>
        <v>3.4883303852906167E-3</v>
      </c>
      <c r="AA587" s="36"/>
    </row>
    <row r="588" spans="15:27" ht="13.9" customHeight="1" x14ac:dyDescent="0.3">
      <c r="O588" s="12">
        <f t="shared" si="62"/>
        <v>47.916666666666664</v>
      </c>
      <c r="P588" s="13">
        <v>575</v>
      </c>
      <c r="Q588" s="22">
        <v>3.600374759390057E-2</v>
      </c>
      <c r="R588" s="19">
        <f t="shared" si="63"/>
        <v>3.4350797029719438E-2</v>
      </c>
      <c r="S588" s="22">
        <v>3.9693590344013652E-2</v>
      </c>
      <c r="T588" s="19">
        <f t="shared" si="64"/>
        <v>4.2608902215548028E-2</v>
      </c>
      <c r="U588" s="24">
        <v>4.2417347254974036E-2</v>
      </c>
      <c r="V588" s="24">
        <f t="shared" si="65"/>
        <v>4.2701769286117131E-2</v>
      </c>
      <c r="W588" s="23">
        <f t="shared" si="66"/>
        <v>3.4904964788669002E-3</v>
      </c>
      <c r="X588" s="24">
        <v>4.1861036331733548E-2</v>
      </c>
      <c r="Y588" s="24">
        <f t="shared" si="67"/>
        <v>4.2677762391450269E-2</v>
      </c>
      <c r="Z588" s="23">
        <f t="shared" si="68"/>
        <v>3.4885424939825604E-3</v>
      </c>
      <c r="AA588" s="36"/>
    </row>
    <row r="589" spans="15:27" ht="13.9" customHeight="1" x14ac:dyDescent="0.3">
      <c r="O589" s="12">
        <f t="shared" si="62"/>
        <v>48</v>
      </c>
      <c r="P589" s="13">
        <v>576</v>
      </c>
      <c r="Q589" s="22">
        <v>3.6000875600285864E-2</v>
      </c>
      <c r="R589" s="19">
        <f t="shared" si="63"/>
        <v>3.436575892567606E-2</v>
      </c>
      <c r="S589" s="22">
        <v>3.9698644578891162E-2</v>
      </c>
      <c r="T589" s="19">
        <f t="shared" si="64"/>
        <v>4.2612581148497863E-2</v>
      </c>
      <c r="U589" s="24">
        <v>4.2417840975986998E-2</v>
      </c>
      <c r="V589" s="24">
        <f t="shared" si="65"/>
        <v>4.2704018584611925E-2</v>
      </c>
      <c r="W589" s="23">
        <f t="shared" si="66"/>
        <v>3.4906782468286934E-3</v>
      </c>
      <c r="X589" s="24">
        <v>4.1862453704410774E-2</v>
      </c>
      <c r="Y589" s="24">
        <f t="shared" si="67"/>
        <v>4.2680364419659167E-2</v>
      </c>
      <c r="Z589" s="23">
        <f t="shared" si="68"/>
        <v>3.4887528841200943E-3</v>
      </c>
      <c r="AA589" s="36"/>
    </row>
    <row r="590" spans="15:27" ht="13.9" customHeight="1" x14ac:dyDescent="0.3">
      <c r="O590" s="12">
        <f t="shared" ref="O590:O653" si="69">P590/12</f>
        <v>48.083333333333336</v>
      </c>
      <c r="P590" s="13">
        <v>577</v>
      </c>
      <c r="Q590" s="22">
        <v>3.5998039541111471E-2</v>
      </c>
      <c r="R590" s="19">
        <f t="shared" ref="R590:R653" si="70">(1+Q591)^P591/(1+Q590)^P590-1</f>
        <v>3.4380799509057036E-2</v>
      </c>
      <c r="S590" s="22">
        <v>3.9703687677388633E-2</v>
      </c>
      <c r="T590" s="19">
        <f t="shared" ref="T590:T653" si="71">(1+S591)^P591/(1+S590)^P590-1</f>
        <v>4.2616225369429328E-2</v>
      </c>
      <c r="U590" s="24">
        <v>4.2418336883095042E-2</v>
      </c>
      <c r="V590" s="24">
        <f t="shared" ref="V590:V653" si="72">(1+U591)^P591/(1+U590)^P590-1</f>
        <v>4.2706250868718376E-2</v>
      </c>
      <c r="W590" s="23">
        <f t="shared" si="66"/>
        <v>3.4908586394002405E-3</v>
      </c>
      <c r="X590" s="24">
        <v>4.186387067215791E-2</v>
      </c>
      <c r="Y590" s="24">
        <f t="shared" si="67"/>
        <v>4.2682945374283632E-2</v>
      </c>
      <c r="Z590" s="23">
        <f t="shared" si="68"/>
        <v>3.4889615698034948E-3</v>
      </c>
      <c r="AA590" s="36"/>
    </row>
    <row r="591" spans="15:27" ht="13.9" customHeight="1" x14ac:dyDescent="0.3">
      <c r="O591" s="12">
        <f t="shared" si="69"/>
        <v>48.166666666666664</v>
      </c>
      <c r="P591" s="13">
        <v>578</v>
      </c>
      <c r="Q591" s="22">
        <v>3.5995239365588017E-2</v>
      </c>
      <c r="R591" s="19">
        <f t="shared" si="70"/>
        <v>3.4395919021330545E-2</v>
      </c>
      <c r="S591" s="22">
        <v>3.9708719637362444E-2</v>
      </c>
      <c r="T591" s="19">
        <f t="shared" si="71"/>
        <v>4.2619835207528878E-2</v>
      </c>
      <c r="U591" s="24">
        <v>4.2418834935519012E-2</v>
      </c>
      <c r="V591" s="24">
        <f t="shared" si="72"/>
        <v>4.2708466268361445E-2</v>
      </c>
      <c r="W591" s="23">
        <f t="shared" ref="W591:W654" si="73">(1+V590)^(1/12)-1</f>
        <v>3.4910376670738152E-3</v>
      </c>
      <c r="X591" s="24">
        <v>4.1865287200642864E-2</v>
      </c>
      <c r="Y591" s="24">
        <f t="shared" ref="Y591:Y654" si="74">(1+X592)^P592/(1+X591)^P591-1</f>
        <v>4.2685505428084802E-2</v>
      </c>
      <c r="Z591" s="23">
        <f t="shared" ref="Z591:Z654" si="75">(1+Y590)^(1/12)-1</f>
        <v>3.4891685648892334E-3</v>
      </c>
      <c r="AA591" s="36"/>
    </row>
    <row r="592" spans="15:27" ht="13.9" customHeight="1" x14ac:dyDescent="0.3">
      <c r="O592" s="12">
        <f t="shared" si="69"/>
        <v>48.25</v>
      </c>
      <c r="P592" s="13">
        <v>579</v>
      </c>
      <c r="Q592" s="22">
        <v>3.5992475023691073E-2</v>
      </c>
      <c r="R592" s="19">
        <f t="shared" si="70"/>
        <v>3.4411118475836222E-2</v>
      </c>
      <c r="S592" s="22">
        <v>3.9713740457250735E-2</v>
      </c>
      <c r="T592" s="19">
        <f t="shared" si="71"/>
        <v>4.2623410988329669E-2</v>
      </c>
      <c r="U592" s="24">
        <v>4.241933509298601E-2</v>
      </c>
      <c r="V592" s="24">
        <f t="shared" si="72"/>
        <v>4.2710664909362261E-2</v>
      </c>
      <c r="W592" s="23">
        <f t="shared" si="73"/>
        <v>3.4912153402775203E-3</v>
      </c>
      <c r="X592" s="24">
        <v>4.1866703256068893E-2</v>
      </c>
      <c r="Y592" s="24">
        <f t="shared" si="74"/>
        <v>4.2688044748417475E-2</v>
      </c>
      <c r="Z592" s="23">
        <f t="shared" si="75"/>
        <v>3.4893738832444399E-3</v>
      </c>
      <c r="AA592" s="36"/>
    </row>
    <row r="593" spans="15:27" ht="13.9" customHeight="1" x14ac:dyDescent="0.3">
      <c r="O593" s="12">
        <f t="shared" si="69"/>
        <v>48.333333333333336</v>
      </c>
      <c r="P593" s="13">
        <v>580</v>
      </c>
      <c r="Q593" s="22">
        <v>3.5989746467487427E-2</v>
      </c>
      <c r="R593" s="19">
        <f t="shared" si="70"/>
        <v>3.4426398895545329E-2</v>
      </c>
      <c r="S593" s="22">
        <v>3.9718750136061853E-2</v>
      </c>
      <c r="T593" s="19">
        <f t="shared" si="71"/>
        <v>4.2626953036412063E-2</v>
      </c>
      <c r="U593" s="24">
        <v>4.2419837315717857E-2</v>
      </c>
      <c r="V593" s="24">
        <f t="shared" si="72"/>
        <v>4.2712846922537073E-2</v>
      </c>
      <c r="W593" s="23">
        <f t="shared" si="73"/>
        <v>3.4913916691099445E-3</v>
      </c>
      <c r="X593" s="24">
        <v>4.1868118805161059E-2</v>
      </c>
      <c r="Y593" s="24">
        <f t="shared" si="74"/>
        <v>4.2690563507539858E-2</v>
      </c>
      <c r="Z593" s="23">
        <f t="shared" si="75"/>
        <v>3.4895775383025907E-3</v>
      </c>
      <c r="AA593" s="36"/>
    </row>
    <row r="594" spans="15:27" ht="13.9" customHeight="1" x14ac:dyDescent="0.3">
      <c r="O594" s="12">
        <f t="shared" si="69"/>
        <v>48.416666666666664</v>
      </c>
      <c r="P594" s="13">
        <v>581</v>
      </c>
      <c r="Q594" s="22">
        <v>3.5987053651133083E-2</v>
      </c>
      <c r="R594" s="19">
        <f t="shared" si="70"/>
        <v>3.444176130478227E-2</v>
      </c>
      <c r="S594" s="22">
        <v>3.972374867336792E-2</v>
      </c>
      <c r="T594" s="19">
        <f t="shared" si="71"/>
        <v>4.2630461670376096E-2</v>
      </c>
      <c r="U594" s="24">
        <v>4.2420341564435526E-2</v>
      </c>
      <c r="V594" s="24">
        <f t="shared" si="72"/>
        <v>4.2715012432005928E-2</v>
      </c>
      <c r="W594" s="23">
        <f t="shared" si="73"/>
        <v>3.4915666640704668E-3</v>
      </c>
      <c r="X594" s="24">
        <v>4.1869533815169335E-2</v>
      </c>
      <c r="Y594" s="24">
        <f t="shared" si="74"/>
        <v>4.2693061870501481E-2</v>
      </c>
      <c r="Z594" s="23">
        <f t="shared" si="75"/>
        <v>3.4897795438899593E-3</v>
      </c>
      <c r="AA594" s="36"/>
    </row>
    <row r="595" spans="15:27" ht="13.9" customHeight="1" x14ac:dyDescent="0.3">
      <c r="O595" s="12">
        <f t="shared" si="69"/>
        <v>48.5</v>
      </c>
      <c r="P595" s="13">
        <v>582</v>
      </c>
      <c r="Q595" s="22">
        <v>3.5984396530858165E-2</v>
      </c>
      <c r="R595" s="19">
        <f t="shared" si="70"/>
        <v>3.4457205986719641E-2</v>
      </c>
      <c r="S595" s="22">
        <v>3.9728736069289949E-2</v>
      </c>
      <c r="T595" s="19">
        <f t="shared" si="71"/>
        <v>4.2633937209093808E-2</v>
      </c>
      <c r="U595" s="24">
        <v>4.2420847800343164E-2</v>
      </c>
      <c r="V595" s="24">
        <f t="shared" si="72"/>
        <v>4.2717161564788775E-2</v>
      </c>
      <c r="W595" s="23">
        <f t="shared" si="73"/>
        <v>3.4917403351204523E-3</v>
      </c>
      <c r="X595" s="24">
        <v>4.1870948253852625E-2</v>
      </c>
      <c r="Y595" s="24">
        <f t="shared" si="74"/>
        <v>4.2695540005021959E-2</v>
      </c>
      <c r="Z595" s="23">
        <f t="shared" si="75"/>
        <v>3.4899799132541709E-3</v>
      </c>
      <c r="AA595" s="36"/>
    </row>
    <row r="596" spans="15:27" ht="13.9" customHeight="1" x14ac:dyDescent="0.3">
      <c r="O596" s="12">
        <f t="shared" si="69"/>
        <v>48.583333333333336</v>
      </c>
      <c r="P596" s="13">
        <v>583</v>
      </c>
      <c r="Q596" s="22">
        <v>3.5981775063675281E-2</v>
      </c>
      <c r="R596" s="19">
        <f t="shared" si="70"/>
        <v>3.4472730968272636E-2</v>
      </c>
      <c r="S596" s="22">
        <v>3.9733712324492743E-2</v>
      </c>
      <c r="T596" s="19">
        <f t="shared" si="71"/>
        <v>4.2637379964698185E-2</v>
      </c>
      <c r="U596" s="24">
        <v>4.2421355985129194E-2</v>
      </c>
      <c r="V596" s="24">
        <f t="shared" si="72"/>
        <v>4.2719294444258038E-2</v>
      </c>
      <c r="W596" s="23">
        <f t="shared" si="73"/>
        <v>3.4919126924546351E-3</v>
      </c>
      <c r="X596" s="24">
        <v>4.187236208947831E-2</v>
      </c>
      <c r="Y596" s="24">
        <f t="shared" si="74"/>
        <v>4.2697998074588295E-2</v>
      </c>
      <c r="Z596" s="23">
        <f t="shared" si="75"/>
        <v>3.4901786598573459E-3</v>
      </c>
      <c r="AA596" s="36"/>
    </row>
    <row r="597" spans="15:27" ht="13.9" customHeight="1" x14ac:dyDescent="0.3">
      <c r="O597" s="12">
        <f t="shared" si="69"/>
        <v>48.666666666666664</v>
      </c>
      <c r="P597" s="13">
        <v>584</v>
      </c>
      <c r="Q597" s="22">
        <v>3.5979189203503958E-2</v>
      </c>
      <c r="R597" s="19">
        <f t="shared" si="70"/>
        <v>3.4488336546865339E-2</v>
      </c>
      <c r="S597" s="22">
        <v>3.9738677440170234E-2</v>
      </c>
      <c r="T597" s="19">
        <f t="shared" si="71"/>
        <v>4.2640790249289573E-2</v>
      </c>
      <c r="U597" s="24">
        <v>4.2421866080955661E-2</v>
      </c>
      <c r="V597" s="24">
        <f t="shared" si="72"/>
        <v>4.2721411194765579E-2</v>
      </c>
      <c r="W597" s="23">
        <f t="shared" si="73"/>
        <v>3.4920837459748721E-3</v>
      </c>
      <c r="X597" s="24">
        <v>4.1873775290810933E-2</v>
      </c>
      <c r="Y597" s="24">
        <f t="shared" si="74"/>
        <v>4.2700436243321205E-2</v>
      </c>
      <c r="Z597" s="23">
        <f t="shared" si="75"/>
        <v>3.4903757968218763E-3</v>
      </c>
      <c r="AA597" s="36"/>
    </row>
    <row r="598" spans="15:27" ht="13.9" customHeight="1" x14ac:dyDescent="0.3">
      <c r="O598" s="12">
        <f t="shared" si="69"/>
        <v>48.75</v>
      </c>
      <c r="P598" s="13">
        <v>585</v>
      </c>
      <c r="Q598" s="22">
        <v>3.5976638905084179E-2</v>
      </c>
      <c r="R598" s="19">
        <f t="shared" si="70"/>
        <v>3.4504023776960269E-2</v>
      </c>
      <c r="S598" s="22">
        <v>3.9743631418039493E-2</v>
      </c>
      <c r="T598" s="19">
        <f t="shared" si="71"/>
        <v>4.2644168370790547E-2</v>
      </c>
      <c r="U598" s="24">
        <v>4.2422378050456011E-2</v>
      </c>
      <c r="V598" s="24">
        <f t="shared" si="72"/>
        <v>4.2723511939150693E-2</v>
      </c>
      <c r="W598" s="23">
        <f t="shared" si="73"/>
        <v>3.4922535056609583E-3</v>
      </c>
      <c r="X598" s="24">
        <v>4.1875187827109084E-2</v>
      </c>
      <c r="Y598" s="24">
        <f t="shared" si="74"/>
        <v>4.2702854673186463E-2</v>
      </c>
      <c r="Z598" s="23">
        <f t="shared" si="75"/>
        <v>3.4905713373203362E-3</v>
      </c>
      <c r="AA598" s="36"/>
    </row>
    <row r="599" spans="15:27" ht="13.9" customHeight="1" x14ac:dyDescent="0.3">
      <c r="O599" s="12">
        <f t="shared" si="69"/>
        <v>48.833333333333336</v>
      </c>
      <c r="P599" s="13">
        <v>586</v>
      </c>
      <c r="Q599" s="22">
        <v>3.5974124125262685E-2</v>
      </c>
      <c r="R599" s="19">
        <f t="shared" si="70"/>
        <v>3.4519793721898617E-2</v>
      </c>
      <c r="S599" s="22">
        <v>3.974857426032985E-2</v>
      </c>
      <c r="T599" s="19">
        <f t="shared" si="71"/>
        <v>4.2647514633858297E-2</v>
      </c>
      <c r="U599" s="24">
        <v>4.2422891856728429E-2</v>
      </c>
      <c r="V599" s="24">
        <f t="shared" si="72"/>
        <v>4.27255967980118E-2</v>
      </c>
      <c r="W599" s="23">
        <f t="shared" si="73"/>
        <v>3.4924219813716739E-3</v>
      </c>
      <c r="X599" s="24">
        <v>4.1876599668117409E-2</v>
      </c>
      <c r="Y599" s="24">
        <f t="shared" si="74"/>
        <v>4.2705253524099707E-2</v>
      </c>
      <c r="Z599" s="23">
        <f t="shared" si="75"/>
        <v>3.4907652943527712E-3</v>
      </c>
      <c r="AA599" s="36"/>
    </row>
    <row r="600" spans="15:27" ht="13.9" customHeight="1" x14ac:dyDescent="0.3">
      <c r="O600" s="12">
        <f t="shared" si="69"/>
        <v>48.916666666666664</v>
      </c>
      <c r="P600" s="13">
        <v>587</v>
      </c>
      <c r="Q600" s="22">
        <v>3.5971644822990534E-2</v>
      </c>
      <c r="R600" s="19">
        <f t="shared" si="70"/>
        <v>3.4535647450050888E-2</v>
      </c>
      <c r="S600" s="22">
        <v>3.9753505969772895E-2</v>
      </c>
      <c r="T600" s="19">
        <f t="shared" si="71"/>
        <v>4.2650829340376228E-2</v>
      </c>
      <c r="U600" s="24">
        <v>4.2423407463328067E-2</v>
      </c>
      <c r="V600" s="24">
        <f t="shared" si="72"/>
        <v>4.2727665892825062E-2</v>
      </c>
      <c r="W600" s="23">
        <f t="shared" si="73"/>
        <v>3.4925891827859434E-3</v>
      </c>
      <c r="X600" s="24">
        <v>4.1878010784059061E-2</v>
      </c>
      <c r="Y600" s="24">
        <f t="shared" si="74"/>
        <v>4.2707632955971242E-2</v>
      </c>
      <c r="Z600" s="23">
        <f t="shared" si="75"/>
        <v>3.4909576807542475E-3</v>
      </c>
      <c r="AA600" s="36"/>
    </row>
    <row r="601" spans="15:27" ht="13.9" customHeight="1" x14ac:dyDescent="0.3">
      <c r="O601" s="12">
        <f t="shared" si="69"/>
        <v>49</v>
      </c>
      <c r="P601" s="13">
        <v>588</v>
      </c>
      <c r="Q601" s="22">
        <v>3.5969200959313108E-2</v>
      </c>
      <c r="R601" s="19">
        <f t="shared" si="70"/>
        <v>3.455158529804403E-2</v>
      </c>
      <c r="S601" s="22">
        <v>3.9758426549593384E-2</v>
      </c>
      <c r="T601" s="19">
        <f t="shared" si="71"/>
        <v>4.2654112790748711E-2</v>
      </c>
      <c r="U601" s="24">
        <v>4.2423924834264826E-2</v>
      </c>
      <c r="V601" s="24">
        <f t="shared" si="72"/>
        <v>4.2729719344424266E-2</v>
      </c>
      <c r="W601" s="23">
        <f t="shared" si="73"/>
        <v>3.4927551196528572E-3</v>
      </c>
      <c r="X601" s="24">
        <v>4.1879421145631257E-2</v>
      </c>
      <c r="Y601" s="24">
        <f t="shared" si="74"/>
        <v>4.2709993127688195E-2</v>
      </c>
      <c r="Z601" s="23">
        <f t="shared" si="75"/>
        <v>3.4911485093593875E-3</v>
      </c>
      <c r="AA601" s="36"/>
    </row>
    <row r="602" spans="15:27" ht="13.9" customHeight="1" x14ac:dyDescent="0.3">
      <c r="O602" s="12">
        <f t="shared" si="69"/>
        <v>49.083333333333336</v>
      </c>
      <c r="P602" s="13">
        <v>589</v>
      </c>
      <c r="Q602" s="22">
        <v>3.5966792496108457E-2</v>
      </c>
      <c r="R602" s="19">
        <f t="shared" si="70"/>
        <v>3.4567605392906264E-2</v>
      </c>
      <c r="S602" s="22">
        <v>3.9763336003502792E-2</v>
      </c>
      <c r="T602" s="19">
        <f t="shared" si="71"/>
        <v>4.2657365280066584E-2</v>
      </c>
      <c r="U602" s="24">
        <v>4.2424443933997802E-2</v>
      </c>
      <c r="V602" s="24">
        <f t="shared" si="72"/>
        <v>4.2731757270056736E-2</v>
      </c>
      <c r="W602" s="23">
        <f t="shared" si="73"/>
        <v>3.4929198016699914E-3</v>
      </c>
      <c r="X602" s="24">
        <v>4.1880830723999951E-2</v>
      </c>
      <c r="Y602" s="24">
        <f t="shared" si="74"/>
        <v>4.2712334194720647E-2</v>
      </c>
      <c r="Z602" s="23">
        <f t="shared" si="75"/>
        <v>3.4913377929206568E-3</v>
      </c>
      <c r="AA602" s="36"/>
    </row>
    <row r="603" spans="15:27" ht="13.9" customHeight="1" x14ac:dyDescent="0.3">
      <c r="O603" s="12">
        <f t="shared" si="69"/>
        <v>49.166666666666664</v>
      </c>
      <c r="P603" s="13">
        <v>590</v>
      </c>
      <c r="Q603" s="22">
        <v>3.5964419392330083E-2</v>
      </c>
      <c r="R603" s="19">
        <f t="shared" si="70"/>
        <v>3.4583708086640241E-2</v>
      </c>
      <c r="S603" s="22">
        <v>3.9768234335685992E-2</v>
      </c>
      <c r="T603" s="19">
        <f t="shared" si="71"/>
        <v>4.2660587102655745E-2</v>
      </c>
      <c r="U603" s="24">
        <v>4.2424964727426184E-2</v>
      </c>
      <c r="V603" s="24">
        <f t="shared" si="72"/>
        <v>4.2733779788368231E-2</v>
      </c>
      <c r="W603" s="23">
        <f t="shared" si="73"/>
        <v>3.4930832382467081E-3</v>
      </c>
      <c r="X603" s="24">
        <v>4.1882239490790285E-2</v>
      </c>
      <c r="Y603" s="24">
        <f t="shared" si="74"/>
        <v>4.271465631335114E-2</v>
      </c>
      <c r="Z603" s="23">
        <f t="shared" si="75"/>
        <v>3.4915255439162962E-3</v>
      </c>
      <c r="AA603" s="36"/>
    </row>
    <row r="604" spans="15:27" ht="13.9" customHeight="1" x14ac:dyDescent="0.3">
      <c r="O604" s="12">
        <f t="shared" si="69"/>
        <v>49.25</v>
      </c>
      <c r="P604" s="13">
        <v>591</v>
      </c>
      <c r="Q604" s="22">
        <v>3.5962081607801455E-2</v>
      </c>
      <c r="R604" s="19">
        <f t="shared" si="70"/>
        <v>3.4599894477927773E-2</v>
      </c>
      <c r="S604" s="22">
        <v>3.9773121550795931E-2</v>
      </c>
      <c r="T604" s="19">
        <f t="shared" si="71"/>
        <v>4.266377854903447E-2</v>
      </c>
      <c r="U604" s="24">
        <v>4.2425487179887478E-2</v>
      </c>
      <c r="V604" s="24">
        <f t="shared" si="72"/>
        <v>4.2735787016865645E-2</v>
      </c>
      <c r="W604" s="23">
        <f t="shared" si="73"/>
        <v>3.4932454389053902E-3</v>
      </c>
      <c r="X604" s="24">
        <v>4.1883647418083036E-2</v>
      </c>
      <c r="Y604" s="24">
        <f t="shared" si="74"/>
        <v>4.2716959636870833E-2</v>
      </c>
      <c r="Z604" s="23">
        <f t="shared" si="75"/>
        <v>3.4917117748891613E-3</v>
      </c>
      <c r="AA604" s="36"/>
    </row>
    <row r="605" spans="15:27" ht="13.9" customHeight="1" x14ac:dyDescent="0.3">
      <c r="O605" s="12">
        <f t="shared" si="69"/>
        <v>49.333333333333336</v>
      </c>
      <c r="P605" s="13">
        <v>592</v>
      </c>
      <c r="Q605" s="22">
        <v>3.5959779104471679E-2</v>
      </c>
      <c r="R605" s="19">
        <f t="shared" si="70"/>
        <v>3.4616165670950716E-2</v>
      </c>
      <c r="S605" s="22">
        <v>3.9777997653943409E-2</v>
      </c>
      <c r="T605" s="19">
        <f t="shared" si="71"/>
        <v>4.2666939906382151E-2</v>
      </c>
      <c r="U605" s="24">
        <v>4.242601125715173E-2</v>
      </c>
      <c r="V605" s="24">
        <f t="shared" si="72"/>
        <v>4.2737779071154058E-2</v>
      </c>
      <c r="W605" s="23">
        <f t="shared" si="73"/>
        <v>3.493406413075828E-3</v>
      </c>
      <c r="X605" s="24">
        <v>4.1885054478407069E-2</v>
      </c>
      <c r="Y605" s="24">
        <f t="shared" si="74"/>
        <v>4.2719244319059824E-2</v>
      </c>
      <c r="Z605" s="23">
        <f t="shared" si="75"/>
        <v>3.4918964981422995E-3</v>
      </c>
      <c r="AA605" s="36"/>
    </row>
    <row r="606" spans="15:27" ht="13.9" customHeight="1" x14ac:dyDescent="0.3">
      <c r="O606" s="12">
        <f t="shared" si="69"/>
        <v>49.416666666666664</v>
      </c>
      <c r="P606" s="13">
        <v>593</v>
      </c>
      <c r="Q606" s="22">
        <v>3.5957511846406609E-2</v>
      </c>
      <c r="R606" s="19">
        <f t="shared" si="70"/>
        <v>3.4632522776895769E-2</v>
      </c>
      <c r="S606" s="22">
        <v>3.9782862650687756E-2</v>
      </c>
      <c r="T606" s="19">
        <f t="shared" si="71"/>
        <v>4.2670071460933601E-2</v>
      </c>
      <c r="U606" s="24">
        <v>4.2426536925415315E-2</v>
      </c>
      <c r="V606" s="24">
        <f t="shared" si="72"/>
        <v>4.2739756067121881E-2</v>
      </c>
      <c r="W606" s="23">
        <f t="shared" si="73"/>
        <v>3.4935661700357112E-3</v>
      </c>
      <c r="X606" s="24">
        <v>4.1886460644735335E-2</v>
      </c>
      <c r="Y606" s="24">
        <f t="shared" si="74"/>
        <v>4.2721510511535277E-2</v>
      </c>
      <c r="Z606" s="23">
        <f t="shared" si="75"/>
        <v>3.4920797260178382E-3</v>
      </c>
      <c r="AA606" s="36"/>
    </row>
    <row r="607" spans="15:27" ht="13.9" customHeight="1" x14ac:dyDescent="0.3">
      <c r="O607" s="12">
        <f t="shared" si="69"/>
        <v>49.5</v>
      </c>
      <c r="P607" s="13">
        <v>594</v>
      </c>
      <c r="Q607" s="22">
        <v>3.5955279799782858E-2</v>
      </c>
      <c r="R607" s="19">
        <f t="shared" si="70"/>
        <v>3.4648966189362307E-2</v>
      </c>
      <c r="S607" s="22">
        <v>3.9787716547030838E-2</v>
      </c>
      <c r="T607" s="19">
        <f t="shared" si="71"/>
        <v>4.2673173494348848E-2</v>
      </c>
      <c r="U607" s="24">
        <v>4.2427064151296934E-2</v>
      </c>
      <c r="V607" s="24">
        <f t="shared" si="72"/>
        <v>4.2741718117971894E-2</v>
      </c>
      <c r="W607" s="23">
        <f t="shared" si="73"/>
        <v>3.4937247190856002E-3</v>
      </c>
      <c r="X607" s="24">
        <v>4.1887865890477771E-2</v>
      </c>
      <c r="Y607" s="24">
        <f t="shared" si="74"/>
        <v>4.2723758363740982E-2</v>
      </c>
      <c r="Z607" s="23">
        <f t="shared" si="75"/>
        <v>3.4922614706842658E-3</v>
      </c>
      <c r="AA607" s="36"/>
    </row>
    <row r="608" spans="15:27" ht="13.9" customHeight="1" x14ac:dyDescent="0.3">
      <c r="O608" s="12">
        <f t="shared" si="69"/>
        <v>49.583333333333336</v>
      </c>
      <c r="P608" s="13">
        <v>595</v>
      </c>
      <c r="Q608" s="22">
        <v>3.5953082931662106E-2</v>
      </c>
      <c r="R608" s="19">
        <f t="shared" si="70"/>
        <v>3.466549413351161E-2</v>
      </c>
      <c r="S608" s="22">
        <v>3.979255934940662E-2</v>
      </c>
      <c r="T608" s="19">
        <f t="shared" si="71"/>
        <v>4.2676246287105757E-2</v>
      </c>
      <c r="U608" s="24">
        <v>4.2427592901830069E-2</v>
      </c>
      <c r="V608" s="24">
        <f t="shared" si="72"/>
        <v>4.2743665339045167E-2</v>
      </c>
      <c r="W608" s="23">
        <f t="shared" si="73"/>
        <v>3.4938820693102279E-3</v>
      </c>
      <c r="X608" s="24">
        <v>4.1889270189474415E-2</v>
      </c>
      <c r="Y608" s="24">
        <f t="shared" si="74"/>
        <v>4.2725988026082407E-2</v>
      </c>
      <c r="Z608" s="23">
        <f t="shared" si="75"/>
        <v>3.4924417441355438E-3</v>
      </c>
      <c r="AA608" s="36"/>
    </row>
    <row r="609" spans="15:27" ht="13.9" customHeight="1" x14ac:dyDescent="0.3">
      <c r="O609" s="12">
        <f t="shared" si="69"/>
        <v>49.666666666666664</v>
      </c>
      <c r="P609" s="13">
        <v>596</v>
      </c>
      <c r="Q609" s="22">
        <v>3.5950921206341135E-2</v>
      </c>
      <c r="R609" s="19">
        <f t="shared" si="70"/>
        <v>3.4682107019017527E-2</v>
      </c>
      <c r="S609" s="22">
        <v>3.9797391064674725E-2</v>
      </c>
      <c r="T609" s="19">
        <f t="shared" si="71"/>
        <v>4.2679290115622104E-2</v>
      </c>
      <c r="U609" s="24">
        <v>4.2428123144463425E-2</v>
      </c>
      <c r="V609" s="24">
        <f t="shared" si="72"/>
        <v>4.2745597842152261E-2</v>
      </c>
      <c r="W609" s="23">
        <f t="shared" si="73"/>
        <v>3.4940382299657458E-3</v>
      </c>
      <c r="X609" s="24">
        <v>4.189067351599296E-2</v>
      </c>
      <c r="Y609" s="24">
        <f t="shared" si="74"/>
        <v>4.2728199646161702E-2</v>
      </c>
      <c r="Z609" s="23">
        <f t="shared" si="75"/>
        <v>3.4926205584424608E-3</v>
      </c>
      <c r="AA609" s="36"/>
    </row>
    <row r="610" spans="15:27" ht="13.9" customHeight="1" x14ac:dyDescent="0.3">
      <c r="O610" s="12">
        <f t="shared" si="69"/>
        <v>49.75</v>
      </c>
      <c r="P610" s="13">
        <v>597</v>
      </c>
      <c r="Q610" s="22">
        <v>3.5948794589038435E-2</v>
      </c>
      <c r="R610" s="19">
        <f t="shared" si="70"/>
        <v>3.4698805986554726E-2</v>
      </c>
      <c r="S610" s="22">
        <v>3.9802211700110446E-2</v>
      </c>
      <c r="T610" s="19">
        <f t="shared" si="71"/>
        <v>4.268230525448069E-2</v>
      </c>
      <c r="U610" s="24">
        <v>4.2428654847050495E-2</v>
      </c>
      <c r="V610" s="24">
        <f t="shared" si="72"/>
        <v>4.2747515738809971E-2</v>
      </c>
      <c r="W610" s="23">
        <f t="shared" si="73"/>
        <v>3.4941932100247541E-3</v>
      </c>
      <c r="X610" s="24">
        <v>4.1892075844720322E-2</v>
      </c>
      <c r="Y610" s="24">
        <f t="shared" si="74"/>
        <v>4.2730393370397968E-2</v>
      </c>
      <c r="Z610" s="23">
        <f t="shared" si="75"/>
        <v>3.4927979254510966E-3</v>
      </c>
      <c r="AA610" s="36"/>
    </row>
    <row r="611" spans="15:27" ht="13.9" customHeight="1" x14ac:dyDescent="0.3">
      <c r="O611" s="12">
        <f t="shared" si="69"/>
        <v>49.833333333333336</v>
      </c>
      <c r="P611" s="13">
        <v>598</v>
      </c>
      <c r="Q611" s="22">
        <v>3.5946703047110562E-2</v>
      </c>
      <c r="R611" s="19">
        <f t="shared" si="70"/>
        <v>3.4715592184926036E-2</v>
      </c>
      <c r="S611" s="22">
        <v>3.9807021263398523E-2</v>
      </c>
      <c r="T611" s="19">
        <f t="shared" si="71"/>
        <v>4.2685291975366857E-2</v>
      </c>
      <c r="U611" s="24">
        <v>4.2429187977846894E-2</v>
      </c>
      <c r="V611" s="24">
        <f t="shared" si="72"/>
        <v>4.274941913988406E-2</v>
      </c>
      <c r="W611" s="23">
        <f t="shared" si="73"/>
        <v>3.4943470184369829E-3</v>
      </c>
      <c r="X611" s="24">
        <v>4.1893477150757752E-2</v>
      </c>
      <c r="Y611" s="24">
        <f t="shared" si="74"/>
        <v>4.2732569344269056E-2</v>
      </c>
      <c r="Z611" s="23">
        <f t="shared" si="75"/>
        <v>3.4929738569122737E-3</v>
      </c>
      <c r="AA611" s="36"/>
    </row>
    <row r="612" spans="15:27" ht="13.9" customHeight="1" x14ac:dyDescent="0.3">
      <c r="O612" s="12">
        <f t="shared" si="69"/>
        <v>49.916666666666664</v>
      </c>
      <c r="P612" s="13">
        <v>599</v>
      </c>
      <c r="Q612" s="22">
        <v>3.5944646550047477E-2</v>
      </c>
      <c r="R612" s="19">
        <f t="shared" si="70"/>
        <v>3.4732466768225834E-2</v>
      </c>
      <c r="S612" s="22">
        <v>3.9811819762624046E-2</v>
      </c>
      <c r="T612" s="19">
        <f t="shared" si="71"/>
        <v>4.2688250547687767E-2</v>
      </c>
      <c r="U612" s="24">
        <v>4.2429722505504808E-2</v>
      </c>
      <c r="V612" s="24">
        <f t="shared" si="72"/>
        <v>4.275130815607886E-2</v>
      </c>
      <c r="W612" s="23">
        <f t="shared" si="73"/>
        <v>3.4944996640990933E-3</v>
      </c>
      <c r="X612" s="24">
        <v>4.1894877409615283E-2</v>
      </c>
      <c r="Y612" s="24">
        <f t="shared" si="74"/>
        <v>4.2734727712311127E-2</v>
      </c>
      <c r="Z612" s="23">
        <f t="shared" si="75"/>
        <v>3.4931483645010974E-3</v>
      </c>
      <c r="AA612" s="36"/>
    </row>
    <row r="613" spans="15:27" ht="13.9" customHeight="1" x14ac:dyDescent="0.3">
      <c r="O613" s="12">
        <f t="shared" si="69"/>
        <v>50</v>
      </c>
      <c r="P613" s="13">
        <v>600</v>
      </c>
      <c r="Q613" s="22">
        <v>3.5942625069463885E-2</v>
      </c>
      <c r="R613" s="19">
        <f t="shared" si="70"/>
        <v>3.4749391459454326E-2</v>
      </c>
      <c r="S613" s="22">
        <v>3.981660720626623E-2</v>
      </c>
      <c r="T613" s="19">
        <f t="shared" si="71"/>
        <v>4.2691181237936471E-2</v>
      </c>
      <c r="U613" s="24">
        <v>4.2430258399070553E-2</v>
      </c>
      <c r="V613" s="24">
        <f t="shared" si="72"/>
        <v>4.2753182896930975E-2</v>
      </c>
      <c r="W613" s="23">
        <f t="shared" si="73"/>
        <v>3.4946511558950899E-3</v>
      </c>
      <c r="X613" s="24">
        <v>4.1896276597207072E-2</v>
      </c>
      <c r="Y613" s="24">
        <f t="shared" si="74"/>
        <v>4.2736868618062029E-2</v>
      </c>
      <c r="Z613" s="23">
        <f t="shared" si="75"/>
        <v>3.4933214598176221E-3</v>
      </c>
      <c r="AA613" s="36"/>
    </row>
    <row r="614" spans="15:27" ht="13.9" customHeight="1" x14ac:dyDescent="0.3">
      <c r="O614" s="12">
        <f t="shared" si="69"/>
        <v>50.083333333333336</v>
      </c>
      <c r="P614" s="13">
        <v>601</v>
      </c>
      <c r="Q614" s="22">
        <v>3.5940638513396017E-2</v>
      </c>
      <c r="R614" s="19">
        <f t="shared" si="70"/>
        <v>3.4766209708503082E-2</v>
      </c>
      <c r="S614" s="22">
        <v>3.9821383603189986E-2</v>
      </c>
      <c r="T614" s="19">
        <f t="shared" si="71"/>
        <v>4.2694084309718994E-2</v>
      </c>
      <c r="U614" s="24">
        <v>4.2430795627978357E-2</v>
      </c>
      <c r="V614" s="24">
        <f t="shared" si="72"/>
        <v>4.2755043469477672E-2</v>
      </c>
      <c r="W614" s="23">
        <f t="shared" si="73"/>
        <v>3.4948015026150525E-3</v>
      </c>
      <c r="X614" s="24">
        <v>4.1897674689846065E-2</v>
      </c>
      <c r="Y614" s="24">
        <f t="shared" si="74"/>
        <v>4.2738992202832726E-2</v>
      </c>
      <c r="Z614" s="23">
        <f t="shared" si="75"/>
        <v>3.4934931543806336E-3</v>
      </c>
      <c r="AA614" s="36"/>
    </row>
    <row r="615" spans="15:27" ht="13.9" customHeight="1" x14ac:dyDescent="0.3">
      <c r="O615" s="12">
        <f t="shared" si="69"/>
        <v>50.166666666666664</v>
      </c>
      <c r="P615" s="13">
        <v>602</v>
      </c>
      <c r="Q615" s="22">
        <v>3.5938686530145869E-2</v>
      </c>
      <c r="R615" s="19">
        <f t="shared" si="70"/>
        <v>3.4782883361158534E-2</v>
      </c>
      <c r="S615" s="22">
        <v>3.9826148962637697E-2</v>
      </c>
      <c r="T615" s="19">
        <f t="shared" si="71"/>
        <v>4.2696960025224717E-2</v>
      </c>
      <c r="U615" s="24">
        <v>4.2431334162043255E-2</v>
      </c>
      <c r="V615" s="24">
        <f t="shared" si="72"/>
        <v>4.2756889982505486E-2</v>
      </c>
      <c r="W615" s="23">
        <f t="shared" si="73"/>
        <v>3.4949507128487767E-3</v>
      </c>
      <c r="X615" s="24">
        <v>4.1899071664237342E-2</v>
      </c>
      <c r="Y615" s="24">
        <f t="shared" si="74"/>
        <v>4.2741098607612438E-2</v>
      </c>
      <c r="Z615" s="23">
        <f t="shared" si="75"/>
        <v>3.493663459530838E-3</v>
      </c>
      <c r="AA615" s="36"/>
    </row>
    <row r="616" spans="15:27" ht="13.9" customHeight="1" x14ac:dyDescent="0.3">
      <c r="O616" s="12">
        <f t="shared" si="69"/>
        <v>50.25</v>
      </c>
      <c r="P616" s="13">
        <v>603</v>
      </c>
      <c r="Q616" s="22">
        <v>3.5936768707016675E-2</v>
      </c>
      <c r="R616" s="19">
        <f t="shared" si="70"/>
        <v>3.4799413702858439E-2</v>
      </c>
      <c r="S616" s="22">
        <v>3.9830903294223896E-2</v>
      </c>
      <c r="T616" s="19">
        <f t="shared" si="71"/>
        <v>4.2699808643491988E-2</v>
      </c>
      <c r="U616" s="24">
        <v>4.2431873971461309E-2</v>
      </c>
      <c r="V616" s="24">
        <f t="shared" si="72"/>
        <v>4.2758722542699745E-2</v>
      </c>
      <c r="W616" s="23">
        <f t="shared" si="73"/>
        <v>3.495098795325724E-3</v>
      </c>
      <c r="X616" s="24">
        <v>4.1900467497474114E-2</v>
      </c>
      <c r="Y616" s="24">
        <f t="shared" si="74"/>
        <v>4.2743187972272834E-2</v>
      </c>
      <c r="Z616" s="23">
        <f t="shared" si="75"/>
        <v>3.4938323865831844E-3</v>
      </c>
      <c r="AA616" s="36"/>
    </row>
    <row r="617" spans="15:27" ht="13.9" customHeight="1" x14ac:dyDescent="0.3">
      <c r="O617" s="12">
        <f t="shared" si="69"/>
        <v>50.333333333333336</v>
      </c>
      <c r="P617" s="13">
        <v>604</v>
      </c>
      <c r="Q617" s="22">
        <v>3.5934884636192654E-2</v>
      </c>
      <c r="R617" s="19">
        <f t="shared" si="70"/>
        <v>3.4815802006172403E-2</v>
      </c>
      <c r="S617" s="22">
        <v>3.9835646607927266E-2</v>
      </c>
      <c r="T617" s="19">
        <f t="shared" si="71"/>
        <v>4.270263042095257E-2</v>
      </c>
      <c r="U617" s="24">
        <v>4.2432415026802284E-2</v>
      </c>
      <c r="V617" s="24">
        <f t="shared" si="72"/>
        <v>4.2760541255745466E-2</v>
      </c>
      <c r="W617" s="23">
        <f t="shared" si="73"/>
        <v>3.4952457586070462E-3</v>
      </c>
      <c r="X617" s="24">
        <v>4.1901862167032844E-2</v>
      </c>
      <c r="Y617" s="24">
        <f t="shared" si="74"/>
        <v>4.2745260435445021E-2</v>
      </c>
      <c r="Z617" s="23">
        <f t="shared" si="75"/>
        <v>3.4939999467624716E-3</v>
      </c>
      <c r="AA617" s="36"/>
    </row>
    <row r="618" spans="15:27" ht="13.9" customHeight="1" x14ac:dyDescent="0.3">
      <c r="O618" s="12">
        <f t="shared" si="69"/>
        <v>50.416666666666664</v>
      </c>
      <c r="P618" s="13">
        <v>605</v>
      </c>
      <c r="Q618" s="22">
        <v>3.5933033914675949E-2</v>
      </c>
      <c r="R618" s="19">
        <f t="shared" si="70"/>
        <v>3.4832049533122467E-2</v>
      </c>
      <c r="S618" s="22">
        <v>3.9840378914082875E-2</v>
      </c>
      <c r="T618" s="19">
        <f t="shared" si="71"/>
        <v>4.2705425610858549E-2</v>
      </c>
      <c r="U618" s="24">
        <v>4.2432957299005647E-2</v>
      </c>
      <c r="V618" s="24">
        <f t="shared" si="72"/>
        <v>4.2762346226456804E-2</v>
      </c>
      <c r="W618" s="23">
        <f t="shared" si="73"/>
        <v>3.4953916111739591E-3</v>
      </c>
      <c r="X618" s="24">
        <v>4.1903255650767468E-2</v>
      </c>
      <c r="Y618" s="24">
        <f t="shared" si="74"/>
        <v>4.2747316134188029E-2</v>
      </c>
      <c r="Z618" s="23">
        <f t="shared" si="75"/>
        <v>3.4941661511940225E-3</v>
      </c>
      <c r="AA618" s="36"/>
    </row>
    <row r="619" spans="15:27" ht="13.9" customHeight="1" x14ac:dyDescent="0.3">
      <c r="O619" s="12">
        <f t="shared" si="69"/>
        <v>50.5</v>
      </c>
      <c r="P619" s="13">
        <v>606</v>
      </c>
      <c r="Q619" s="22">
        <v>3.5931216144230005E-2</v>
      </c>
      <c r="R619" s="19">
        <f t="shared" si="70"/>
        <v>3.484815753152759E-2</v>
      </c>
      <c r="S619" s="22">
        <v>3.9845100223374619E-2</v>
      </c>
      <c r="T619" s="19">
        <f t="shared" si="71"/>
        <v>4.2708194465738369E-2</v>
      </c>
      <c r="U619" s="24">
        <v>4.2433500759375242E-2</v>
      </c>
      <c r="V619" s="24">
        <f t="shared" si="72"/>
        <v>4.2764137559118787E-2</v>
      </c>
      <c r="W619" s="23">
        <f t="shared" si="73"/>
        <v>3.4955363614372903E-3</v>
      </c>
      <c r="X619" s="24">
        <v>4.1904647926904515E-2</v>
      </c>
      <c r="Y619" s="24">
        <f t="shared" si="74"/>
        <v>4.2749355204679373E-2</v>
      </c>
      <c r="Z619" s="23">
        <f t="shared" si="75"/>
        <v>3.4943310108765946E-3</v>
      </c>
      <c r="AA619" s="36"/>
    </row>
    <row r="620" spans="15:27" ht="13.9" customHeight="1" x14ac:dyDescent="0.3">
      <c r="O620" s="12">
        <f t="shared" si="69"/>
        <v>50.583333333333336</v>
      </c>
      <c r="P620" s="13">
        <v>607</v>
      </c>
      <c r="Q620" s="22">
        <v>3.5929430931315842E-2</v>
      </c>
      <c r="R620" s="19">
        <f t="shared" si="70"/>
        <v>3.4864127240691101E-2</v>
      </c>
      <c r="S620" s="22">
        <v>3.9849810546830122E-2</v>
      </c>
      <c r="T620" s="19">
        <f t="shared" si="71"/>
        <v>4.2710937235140412E-2</v>
      </c>
      <c r="U620" s="24">
        <v>4.2434045379575958E-2</v>
      </c>
      <c r="V620" s="24">
        <f t="shared" si="72"/>
        <v>4.2765915358484508E-2</v>
      </c>
      <c r="W620" s="23">
        <f t="shared" si="73"/>
        <v>3.4956800177652347E-3</v>
      </c>
      <c r="X620" s="24">
        <v>4.1906038974037996E-2</v>
      </c>
      <c r="Y620" s="24">
        <f t="shared" si="74"/>
        <v>4.275137778252569E-2</v>
      </c>
      <c r="Z620" s="23">
        <f t="shared" si="75"/>
        <v>3.4944945367385571E-3</v>
      </c>
      <c r="AA620" s="36"/>
    </row>
    <row r="621" spans="15:27" ht="13.9" customHeight="1" x14ac:dyDescent="0.3">
      <c r="O621" s="12">
        <f t="shared" si="69"/>
        <v>50.666666666666664</v>
      </c>
      <c r="P621" s="13">
        <v>608</v>
      </c>
      <c r="Q621" s="22">
        <v>3.5927677887039433E-2</v>
      </c>
      <c r="R621" s="19">
        <f t="shared" si="70"/>
        <v>3.4879959885156131E-2</v>
      </c>
      <c r="S621" s="22">
        <v>3.9854509895814294E-2</v>
      </c>
      <c r="T621" s="19">
        <f t="shared" si="71"/>
        <v>4.2713654165218218E-2</v>
      </c>
      <c r="U621" s="24">
        <v>4.2434591131631505E-2</v>
      </c>
      <c r="V621" s="24">
        <f t="shared" si="72"/>
        <v>4.2767679726068986E-2</v>
      </c>
      <c r="W621" s="23">
        <f t="shared" si="73"/>
        <v>3.4958225885637351E-3</v>
      </c>
      <c r="X621" s="24">
        <v>4.1907428771125632E-2</v>
      </c>
      <c r="Y621" s="24">
        <f t="shared" si="74"/>
        <v>4.2753384000757233E-2</v>
      </c>
      <c r="Z621" s="23">
        <f t="shared" si="75"/>
        <v>3.4946567396623163E-3</v>
      </c>
      <c r="AA621" s="36"/>
    </row>
    <row r="622" spans="15:27" ht="13.9" customHeight="1" x14ac:dyDescent="0.3">
      <c r="O622" s="12">
        <f t="shared" si="69"/>
        <v>50.75</v>
      </c>
      <c r="P622" s="13">
        <v>609</v>
      </c>
      <c r="Q622" s="22">
        <v>3.5925956627089084E-2</v>
      </c>
      <c r="R622" s="19">
        <f t="shared" si="70"/>
        <v>3.4895656679381437E-2</v>
      </c>
      <c r="S622" s="22">
        <v>3.9859198282020225E-2</v>
      </c>
      <c r="T622" s="19">
        <f t="shared" si="71"/>
        <v>4.2716345500507957E-2</v>
      </c>
      <c r="U622" s="24">
        <v>4.2435137987916205E-2</v>
      </c>
      <c r="V622" s="24">
        <f t="shared" si="72"/>
        <v>4.276943076367834E-2</v>
      </c>
      <c r="W622" s="23">
        <f t="shared" si="73"/>
        <v>3.4959640819789417E-3</v>
      </c>
      <c r="X622" s="24">
        <v>4.1908817297481971E-2</v>
      </c>
      <c r="Y622" s="24">
        <f t="shared" si="74"/>
        <v>4.2755373993181189E-2</v>
      </c>
      <c r="Z622" s="23">
        <f t="shared" si="75"/>
        <v>3.4948176303231104E-3</v>
      </c>
      <c r="AA622" s="36"/>
    </row>
    <row r="623" spans="15:27" ht="13.9" customHeight="1" x14ac:dyDescent="0.3">
      <c r="O623" s="12">
        <f t="shared" si="69"/>
        <v>50.833333333333336</v>
      </c>
      <c r="P623" s="13">
        <v>610</v>
      </c>
      <c r="Q623" s="22">
        <v>3.5924266771680591E-2</v>
      </c>
      <c r="R623" s="19">
        <f t="shared" si="70"/>
        <v>3.4911218826971346E-2</v>
      </c>
      <c r="S623" s="22">
        <v>3.9863875717463859E-2</v>
      </c>
      <c r="T623" s="19">
        <f t="shared" si="71"/>
        <v>4.2719011483540736E-2</v>
      </c>
      <c r="U623" s="24">
        <v>4.2435685921151878E-2</v>
      </c>
      <c r="V623" s="24">
        <f t="shared" si="72"/>
        <v>4.2771168573034313E-2</v>
      </c>
      <c r="W623" s="23">
        <f t="shared" si="73"/>
        <v>3.4961045061800977E-3</v>
      </c>
      <c r="X623" s="24">
        <v>4.1910204532775719E-2</v>
      </c>
      <c r="Y623" s="24">
        <f t="shared" si="74"/>
        <v>4.2757347891657416E-2</v>
      </c>
      <c r="Z623" s="23">
        <f t="shared" si="75"/>
        <v>3.4949772194590167E-3</v>
      </c>
      <c r="AA623" s="36"/>
    </row>
    <row r="624" spans="15:27" ht="13.9" customHeight="1" x14ac:dyDescent="0.3">
      <c r="O624" s="12">
        <f t="shared" si="69"/>
        <v>50.916666666666664</v>
      </c>
      <c r="P624" s="13">
        <v>611</v>
      </c>
      <c r="Q624" s="22">
        <v>3.5922607945502616E-2</v>
      </c>
      <c r="R624" s="19">
        <f t="shared" si="70"/>
        <v>3.4926647518917608E-2</v>
      </c>
      <c r="S624" s="22">
        <v>3.9868542214478442E-2</v>
      </c>
      <c r="T624" s="19">
        <f t="shared" si="71"/>
        <v>4.2721652354629214E-2</v>
      </c>
      <c r="U624" s="24">
        <v>4.2436234904406067E-2</v>
      </c>
      <c r="V624" s="24">
        <f t="shared" si="72"/>
        <v>4.2772893255323519E-2</v>
      </c>
      <c r="W624" s="23">
        <f t="shared" si="73"/>
        <v>3.4962438693297848E-3</v>
      </c>
      <c r="X624" s="24">
        <v>4.1911590457024861E-2</v>
      </c>
      <c r="Y624" s="24">
        <f t="shared" si="74"/>
        <v>4.2759305826891802E-2</v>
      </c>
      <c r="Z624" s="23">
        <f t="shared" si="75"/>
        <v>3.4951355176513488E-3</v>
      </c>
      <c r="AA624" s="36"/>
    </row>
    <row r="625" spans="15:27" ht="13.9" customHeight="1" x14ac:dyDescent="0.3">
      <c r="O625" s="12">
        <f t="shared" si="69"/>
        <v>51</v>
      </c>
      <c r="P625" s="13">
        <v>612</v>
      </c>
      <c r="Q625" s="22">
        <v>3.5920979777658513E-2</v>
      </c>
      <c r="R625" s="19">
        <f t="shared" si="70"/>
        <v>3.4941943936440234E-2</v>
      </c>
      <c r="S625" s="22">
        <v>3.9873197785707859E-2</v>
      </c>
      <c r="T625" s="19">
        <f t="shared" si="71"/>
        <v>4.2724268350789574E-2</v>
      </c>
      <c r="U625" s="24">
        <v>4.2436784911087377E-2</v>
      </c>
      <c r="V625" s="24">
        <f t="shared" si="72"/>
        <v>4.2774604909233904E-2</v>
      </c>
      <c r="W625" s="23">
        <f t="shared" si="73"/>
        <v>3.4963821795475081E-3</v>
      </c>
      <c r="X625" s="24">
        <v>4.1912975050591328E-2</v>
      </c>
      <c r="Y625" s="24">
        <f t="shared" si="74"/>
        <v>4.2761247928031931E-2</v>
      </c>
      <c r="Z625" s="23">
        <f t="shared" si="75"/>
        <v>3.4952925353886055E-3</v>
      </c>
      <c r="AA625" s="36"/>
    </row>
    <row r="626" spans="15:27" ht="13.9" customHeight="1" x14ac:dyDescent="0.3">
      <c r="O626" s="12">
        <f t="shared" si="69"/>
        <v>51.083333333333336</v>
      </c>
      <c r="P626" s="13">
        <v>613</v>
      </c>
      <c r="Q626" s="22">
        <v>3.5919381901615033E-2</v>
      </c>
      <c r="R626" s="19">
        <f t="shared" si="70"/>
        <v>3.4957109248158647E-2</v>
      </c>
      <c r="S626" s="22">
        <v>3.9877842444099532E-2</v>
      </c>
      <c r="T626" s="19">
        <f t="shared" si="71"/>
        <v>4.2726859706941456E-2</v>
      </c>
      <c r="U626" s="24">
        <v>4.2437335914938812E-2</v>
      </c>
      <c r="V626" s="24">
        <f t="shared" si="72"/>
        <v>4.2776303632640733E-2</v>
      </c>
      <c r="W626" s="23">
        <f t="shared" si="73"/>
        <v>3.4965194447520442E-3</v>
      </c>
      <c r="X626" s="24">
        <v>4.1914358294175669E-2</v>
      </c>
      <c r="Y626" s="24">
        <f t="shared" si="74"/>
        <v>4.2763174323991793E-2</v>
      </c>
      <c r="Z626" s="23">
        <f t="shared" si="75"/>
        <v>3.4954482830347189E-3</v>
      </c>
      <c r="AA626" s="36"/>
    </row>
    <row r="627" spans="15:27" ht="13.9" customHeight="1" x14ac:dyDescent="0.3">
      <c r="O627" s="12">
        <f t="shared" si="69"/>
        <v>51.166666666666664</v>
      </c>
      <c r="P627" s="13">
        <v>614</v>
      </c>
      <c r="Q627" s="22">
        <v>3.5917813955144817E-2</v>
      </c>
      <c r="R627" s="19">
        <f t="shared" si="70"/>
        <v>3.4972144612950729E-2</v>
      </c>
      <c r="S627" s="22">
        <v>3.988247620289731E-2</v>
      </c>
      <c r="T627" s="19">
        <f t="shared" si="71"/>
        <v>4.2729426656608949E-2</v>
      </c>
      <c r="U627" s="24">
        <v>4.243788789003422E-2</v>
      </c>
      <c r="V627" s="24">
        <f t="shared" si="72"/>
        <v>4.2777989525044191E-2</v>
      </c>
      <c r="W627" s="23">
        <f t="shared" si="73"/>
        <v>3.496655672797333E-3</v>
      </c>
      <c r="X627" s="24">
        <v>4.191574016881372E-2</v>
      </c>
      <c r="Y627" s="24">
        <f t="shared" si="74"/>
        <v>4.2765085142344672E-2</v>
      </c>
      <c r="Z627" s="23">
        <f t="shared" si="75"/>
        <v>3.495602770934525E-3</v>
      </c>
      <c r="AA627" s="36"/>
    </row>
    <row r="628" spans="15:27" ht="13.9" customHeight="1" x14ac:dyDescent="0.3">
      <c r="O628" s="12">
        <f t="shared" si="69"/>
        <v>51.25</v>
      </c>
      <c r="P628" s="13">
        <v>615</v>
      </c>
      <c r="Q628" s="22">
        <v>3.5916275580276213E-2</v>
      </c>
      <c r="R628" s="19">
        <f t="shared" si="70"/>
        <v>3.498705117896006E-2</v>
      </c>
      <c r="S628" s="22">
        <v>3.9887099075638144E-2</v>
      </c>
      <c r="T628" s="19">
        <f t="shared" si="71"/>
        <v>4.2731969431201389E-2</v>
      </c>
      <c r="U628" s="24">
        <v>4.2438440810777633E-2</v>
      </c>
      <c r="V628" s="24">
        <f t="shared" si="72"/>
        <v>4.2779662683833486E-2</v>
      </c>
      <c r="W628" s="23">
        <f t="shared" si="73"/>
        <v>3.4967908716672103E-3</v>
      </c>
      <c r="X628" s="24">
        <v>4.1917120655872386E-2</v>
      </c>
      <c r="Y628" s="24">
        <f t="shared" si="74"/>
        <v>4.2766980509687524E-2</v>
      </c>
      <c r="Z628" s="23">
        <f t="shared" si="75"/>
        <v>3.4957560093247242E-3</v>
      </c>
      <c r="AA628" s="36"/>
    </row>
    <row r="629" spans="15:27" ht="13.9" customHeight="1" x14ac:dyDescent="0.3">
      <c r="O629" s="12">
        <f t="shared" si="69"/>
        <v>51.333333333333336</v>
      </c>
      <c r="P629" s="13">
        <v>616</v>
      </c>
      <c r="Q629" s="22">
        <v>3.591476642324043E-2</v>
      </c>
      <c r="R629" s="19">
        <f t="shared" si="70"/>
        <v>3.5001830082398655E-2</v>
      </c>
      <c r="S629" s="22">
        <v>3.9891711076145198E-2</v>
      </c>
      <c r="T629" s="19">
        <f t="shared" si="71"/>
        <v>4.2734488258605374E-2</v>
      </c>
      <c r="U629" s="24">
        <v>4.2438994651897266E-2</v>
      </c>
      <c r="V629" s="24">
        <f t="shared" si="72"/>
        <v>4.278132320541661E-2</v>
      </c>
      <c r="W629" s="23">
        <f t="shared" si="73"/>
        <v>3.4969250491765358E-3</v>
      </c>
      <c r="X629" s="24">
        <v>4.1918499737044534E-2</v>
      </c>
      <c r="Y629" s="24">
        <f t="shared" si="74"/>
        <v>4.2768860551895882E-2</v>
      </c>
      <c r="Z629" s="23">
        <f t="shared" si="75"/>
        <v>3.4959080083645233E-3</v>
      </c>
      <c r="AA629" s="36"/>
    </row>
    <row r="630" spans="15:27" ht="13.9" customHeight="1" x14ac:dyDescent="0.3">
      <c r="O630" s="12">
        <f t="shared" si="69"/>
        <v>51.416666666666664</v>
      </c>
      <c r="P630" s="13">
        <v>617</v>
      </c>
      <c r="Q630" s="22">
        <v>3.5913286134418021E-2</v>
      </c>
      <c r="R630" s="19">
        <f t="shared" si="70"/>
        <v>3.5016482450434205E-2</v>
      </c>
      <c r="S630" s="22">
        <v>3.9896312218520746E-2</v>
      </c>
      <c r="T630" s="19">
        <f t="shared" si="71"/>
        <v>4.2736983365301739E-2</v>
      </c>
      <c r="U630" s="24">
        <v>4.2439549388441744E-2</v>
      </c>
      <c r="V630" s="24">
        <f t="shared" si="72"/>
        <v>4.2782971184766483E-2</v>
      </c>
      <c r="W630" s="23">
        <f t="shared" si="73"/>
        <v>3.4970582130611216E-3</v>
      </c>
      <c r="X630" s="24">
        <v>4.1919877394345884E-2</v>
      </c>
      <c r="Y630" s="24">
        <f t="shared" si="74"/>
        <v>4.277072539218274E-2</v>
      </c>
      <c r="Z630" s="23">
        <f t="shared" si="75"/>
        <v>3.4960587781545094E-3</v>
      </c>
      <c r="AA630" s="36"/>
    </row>
    <row r="631" spans="15:27" ht="13.9" customHeight="1" x14ac:dyDescent="0.3">
      <c r="O631" s="12">
        <f t="shared" si="69"/>
        <v>51.5</v>
      </c>
      <c r="P631" s="13">
        <v>618</v>
      </c>
      <c r="Q631" s="22">
        <v>3.5911834368290485E-2</v>
      </c>
      <c r="R631" s="19">
        <f t="shared" si="70"/>
        <v>3.5031009398506008E-2</v>
      </c>
      <c r="S631" s="22">
        <v>3.9900902517140624E-2</v>
      </c>
      <c r="T631" s="19">
        <f t="shared" si="71"/>
        <v>4.2739454975963209E-2</v>
      </c>
      <c r="U631" s="24">
        <v>4.2440104995774552E-2</v>
      </c>
      <c r="V631" s="24">
        <f t="shared" si="72"/>
        <v>4.2784606718255791E-2</v>
      </c>
      <c r="W631" s="23">
        <f t="shared" si="73"/>
        <v>3.4971903709415386E-3</v>
      </c>
      <c r="X631" s="24">
        <v>4.1921253610107456E-2</v>
      </c>
      <c r="Y631" s="24">
        <f t="shared" si="74"/>
        <v>4.2772575154662151E-2</v>
      </c>
      <c r="Z631" s="23">
        <f t="shared" si="75"/>
        <v>3.4962083285818846E-3</v>
      </c>
      <c r="AA631" s="36"/>
    </row>
    <row r="632" spans="15:27" ht="13.9" customHeight="1" x14ac:dyDescent="0.3">
      <c r="O632" s="12">
        <f t="shared" si="69"/>
        <v>51.583333333333336</v>
      </c>
      <c r="P632" s="13">
        <v>619</v>
      </c>
      <c r="Q632" s="22">
        <v>3.5910410783387636E-2</v>
      </c>
      <c r="R632" s="19">
        <f t="shared" si="70"/>
        <v>3.5045412031901479E-2</v>
      </c>
      <c r="S632" s="22">
        <v>3.9905481986650226E-2</v>
      </c>
      <c r="T632" s="19">
        <f t="shared" si="71"/>
        <v>4.2741903312938589E-2</v>
      </c>
      <c r="U632" s="24">
        <v>4.2440661449574479E-2</v>
      </c>
      <c r="V632" s="24">
        <f t="shared" si="72"/>
        <v>4.2786229899102857E-2</v>
      </c>
      <c r="W632" s="23">
        <f t="shared" si="73"/>
        <v>3.4973215305504901E-3</v>
      </c>
      <c r="X632" s="24">
        <v>4.1922628366975134E-2</v>
      </c>
      <c r="Y632" s="24">
        <f t="shared" si="74"/>
        <v>4.2774409962612614E-2</v>
      </c>
      <c r="Z632" s="23">
        <f t="shared" si="75"/>
        <v>3.4963566696057935E-3</v>
      </c>
      <c r="AA632" s="36"/>
    </row>
    <row r="633" spans="15:27" ht="13.9" customHeight="1" x14ac:dyDescent="0.3">
      <c r="O633" s="12">
        <f t="shared" si="69"/>
        <v>51.666666666666664</v>
      </c>
      <c r="P633" s="13">
        <v>620</v>
      </c>
      <c r="Q633" s="22">
        <v>3.5909015042238757E-2</v>
      </c>
      <c r="R633" s="19">
        <f t="shared" si="70"/>
        <v>3.5059691446472696E-2</v>
      </c>
      <c r="S633" s="22">
        <v>3.9910050641957628E-2</v>
      </c>
      <c r="T633" s="19">
        <f t="shared" si="71"/>
        <v>4.2744328595889725E-2</v>
      </c>
      <c r="U633" s="24">
        <v>4.2441218725827179E-2</v>
      </c>
      <c r="V633" s="24">
        <f t="shared" si="72"/>
        <v>4.2787840823526491E-2</v>
      </c>
      <c r="W633" s="23">
        <f t="shared" si="73"/>
        <v>3.4974516993679927E-3</v>
      </c>
      <c r="X633" s="24">
        <v>4.1924001647905218E-2</v>
      </c>
      <c r="Y633" s="24">
        <f t="shared" si="74"/>
        <v>4.2776229936986265E-2</v>
      </c>
      <c r="Z633" s="23">
        <f t="shared" si="75"/>
        <v>3.4965038111185454E-3</v>
      </c>
      <c r="AA633" s="36"/>
    </row>
    <row r="634" spans="15:27" ht="13.9" customHeight="1" x14ac:dyDescent="0.3">
      <c r="O634" s="12">
        <f t="shared" si="69"/>
        <v>51.75</v>
      </c>
      <c r="P634" s="13">
        <v>621</v>
      </c>
      <c r="Q634" s="22">
        <v>3.5907646811324412E-2</v>
      </c>
      <c r="R634" s="19">
        <f t="shared" si="70"/>
        <v>3.507384872628716E-2</v>
      </c>
      <c r="S634" s="22">
        <v>3.9914608498228032E-2</v>
      </c>
      <c r="T634" s="19">
        <f t="shared" si="71"/>
        <v>4.274673104216431E-2</v>
      </c>
      <c r="U634" s="24">
        <v>4.2441776800828057E-2</v>
      </c>
      <c r="V634" s="24">
        <f t="shared" si="72"/>
        <v>4.2789439579654864E-2</v>
      </c>
      <c r="W634" s="23">
        <f t="shared" si="73"/>
        <v>3.4975808851143153E-3</v>
      </c>
      <c r="X634" s="24">
        <v>4.1925373436158431E-2</v>
      </c>
      <c r="Y634" s="24">
        <f t="shared" si="74"/>
        <v>4.2778035196377573E-2</v>
      </c>
      <c r="Z634" s="23">
        <f t="shared" si="75"/>
        <v>3.4966497628252657E-3</v>
      </c>
      <c r="AA634" s="36"/>
    </row>
    <row r="635" spans="15:27" ht="13.9" customHeight="1" x14ac:dyDescent="0.3">
      <c r="O635" s="12">
        <f t="shared" si="69"/>
        <v>51.833333333333336</v>
      </c>
      <c r="P635" s="13">
        <v>622</v>
      </c>
      <c r="Q635" s="22">
        <v>3.5906305761025825E-2</v>
      </c>
      <c r="R635" s="19">
        <f t="shared" si="70"/>
        <v>3.5087884948191927E-2</v>
      </c>
      <c r="S635" s="22">
        <v>3.9919155570877107E-2</v>
      </c>
      <c r="T635" s="19">
        <f t="shared" si="71"/>
        <v>4.2749110869285678E-2</v>
      </c>
      <c r="U635" s="24">
        <v>4.2442335651166951E-2</v>
      </c>
      <c r="V635" s="24">
        <f t="shared" si="72"/>
        <v>4.2791026265275756E-2</v>
      </c>
      <c r="W635" s="23">
        <f t="shared" si="73"/>
        <v>3.4977090948611345E-3</v>
      </c>
      <c r="X635" s="24">
        <v>4.1926743715293702E-2</v>
      </c>
      <c r="Y635" s="24">
        <f t="shared" si="74"/>
        <v>4.2779825863216159E-2</v>
      </c>
      <c r="Z635" s="23">
        <f t="shared" si="75"/>
        <v>3.4967945342425644E-3</v>
      </c>
      <c r="AA635" s="36"/>
    </row>
    <row r="636" spans="15:27" ht="13.9" customHeight="1" x14ac:dyDescent="0.3">
      <c r="O636" s="12">
        <f t="shared" si="69"/>
        <v>51.916666666666664</v>
      </c>
      <c r="P636" s="13">
        <v>623</v>
      </c>
      <c r="Q636" s="22">
        <v>3.5904991565581579E-2</v>
      </c>
      <c r="R636" s="19">
        <f t="shared" si="70"/>
        <v>3.5101801174866054E-2</v>
      </c>
      <c r="S636" s="22">
        <v>3.9923691875569878E-2</v>
      </c>
      <c r="T636" s="19">
        <f t="shared" si="71"/>
        <v>4.275146828967813E-2</v>
      </c>
      <c r="U636" s="24">
        <v>4.2442895253740343E-2</v>
      </c>
      <c r="V636" s="24">
        <f t="shared" si="72"/>
        <v>4.2792600968326377E-2</v>
      </c>
      <c r="W636" s="23">
        <f t="shared" si="73"/>
        <v>3.4978363364541742E-3</v>
      </c>
      <c r="X636" s="24">
        <v>4.1928112469171941E-2</v>
      </c>
      <c r="Y636" s="24">
        <f t="shared" si="74"/>
        <v>4.2781602054101642E-2</v>
      </c>
      <c r="Z636" s="23">
        <f t="shared" si="75"/>
        <v>3.4969381351943607E-3</v>
      </c>
      <c r="AA636" s="36"/>
    </row>
    <row r="637" spans="15:27" ht="13.9" customHeight="1" x14ac:dyDescent="0.3">
      <c r="O637" s="12">
        <f t="shared" si="69"/>
        <v>52</v>
      </c>
      <c r="P637" s="13">
        <v>624</v>
      </c>
      <c r="Q637" s="22">
        <v>3.5903703903033879E-2</v>
      </c>
      <c r="R637" s="19">
        <f t="shared" si="70"/>
        <v>3.5115598463009823E-2</v>
      </c>
      <c r="S637" s="22">
        <v>3.9928217428210511E-2</v>
      </c>
      <c r="T637" s="19">
        <f t="shared" si="71"/>
        <v>4.2753803515569455E-2</v>
      </c>
      <c r="U637" s="24">
        <v>4.2443455585734258E-2</v>
      </c>
      <c r="V637" s="24">
        <f t="shared" si="72"/>
        <v>4.2794163780732752E-2</v>
      </c>
      <c r="W637" s="23">
        <f t="shared" si="73"/>
        <v>3.4979626169497902E-3</v>
      </c>
      <c r="X637" s="24">
        <v>4.1929479681944049E-2</v>
      </c>
      <c r="Y637" s="24">
        <f t="shared" si="74"/>
        <v>4.278336388701609E-2</v>
      </c>
      <c r="Z637" s="23">
        <f t="shared" si="75"/>
        <v>3.4970805750362821E-3</v>
      </c>
      <c r="AA637" s="36"/>
    </row>
    <row r="638" spans="15:27" ht="13.9" customHeight="1" x14ac:dyDescent="0.3">
      <c r="O638" s="12">
        <f t="shared" si="69"/>
        <v>52.083333333333336</v>
      </c>
      <c r="P638" s="13">
        <v>625</v>
      </c>
      <c r="Q638" s="22">
        <v>3.5902442455188144E-2</v>
      </c>
      <c r="R638" s="19">
        <f t="shared" si="70"/>
        <v>3.5129277857099517E-2</v>
      </c>
      <c r="S638" s="22">
        <v>3.9932732244939873E-2</v>
      </c>
      <c r="T638" s="19">
        <f t="shared" si="71"/>
        <v>4.2756116756697216E-2</v>
      </c>
      <c r="U638" s="24">
        <v>4.2444016624627601E-2</v>
      </c>
      <c r="V638" s="24">
        <f t="shared" si="72"/>
        <v>4.2795714792709161E-2</v>
      </c>
      <c r="W638" s="23">
        <f t="shared" si="73"/>
        <v>3.4980879437236378E-3</v>
      </c>
      <c r="X638" s="24">
        <v>4.1930845338051359E-2</v>
      </c>
      <c r="Y638" s="24">
        <f t="shared" si="74"/>
        <v>4.2785111477984916E-2</v>
      </c>
      <c r="Z638" s="23">
        <f t="shared" si="75"/>
        <v>3.4972218632356444E-3</v>
      </c>
      <c r="AA638" s="36"/>
    </row>
    <row r="639" spans="15:27" ht="13.9" customHeight="1" x14ac:dyDescent="0.3">
      <c r="O639" s="12">
        <f t="shared" si="69"/>
        <v>52.166666666666664</v>
      </c>
      <c r="P639" s="13">
        <v>626</v>
      </c>
      <c r="Q639" s="22">
        <v>3.5901206907563266E-2</v>
      </c>
      <c r="R639" s="19">
        <f t="shared" si="70"/>
        <v>3.5142840394065011E-2</v>
      </c>
      <c r="S639" s="22">
        <v>3.9937236342129756E-2</v>
      </c>
      <c r="T639" s="19">
        <f t="shared" si="71"/>
        <v>4.2758408221186706E-2</v>
      </c>
      <c r="U639" s="24">
        <v>4.2444578348187489E-2</v>
      </c>
      <c r="V639" s="24">
        <f t="shared" si="72"/>
        <v>4.2797254093710491E-2</v>
      </c>
      <c r="W639" s="23">
        <f t="shared" si="73"/>
        <v>3.4982123240139273E-3</v>
      </c>
      <c r="X639" s="24">
        <v>4.1932209422219202E-2</v>
      </c>
      <c r="Y639" s="24">
        <f t="shared" si="74"/>
        <v>4.2786844943243363E-2</v>
      </c>
      <c r="Z639" s="23">
        <f t="shared" si="75"/>
        <v>3.4973620091018898E-3</v>
      </c>
      <c r="AA639" s="36"/>
    </row>
    <row r="640" spans="15:27" ht="13.9" customHeight="1" x14ac:dyDescent="0.3">
      <c r="O640" s="12">
        <f t="shared" si="69"/>
        <v>52.25</v>
      </c>
      <c r="P640" s="13">
        <v>627</v>
      </c>
      <c r="Q640" s="22">
        <v>3.5899996949349644E-2</v>
      </c>
      <c r="R640" s="19">
        <f t="shared" si="70"/>
        <v>3.5156287098832228E-2</v>
      </c>
      <c r="S640" s="22">
        <v>3.994172973637844E-2</v>
      </c>
      <c r="T640" s="19">
        <f t="shared" si="71"/>
        <v>4.2760678114255546E-2</v>
      </c>
      <c r="U640" s="24">
        <v>4.2445140734465259E-2</v>
      </c>
      <c r="V640" s="24">
        <f t="shared" si="72"/>
        <v>4.2798781772198202E-2</v>
      </c>
      <c r="W640" s="23">
        <f t="shared" si="73"/>
        <v>3.4983357649986946E-3</v>
      </c>
      <c r="X640" s="24">
        <v>4.1933571919456236E-2</v>
      </c>
      <c r="Y640" s="24">
        <f t="shared" si="74"/>
        <v>4.2788564397559403E-2</v>
      </c>
      <c r="Z640" s="23">
        <f t="shared" si="75"/>
        <v>3.4975010219617797E-3</v>
      </c>
      <c r="AA640" s="36"/>
    </row>
    <row r="641" spans="15:27" ht="13.9" customHeight="1" x14ac:dyDescent="0.3">
      <c r="O641" s="12">
        <f t="shared" si="69"/>
        <v>52.333333333333336</v>
      </c>
      <c r="P641" s="13">
        <v>628</v>
      </c>
      <c r="Q641" s="22">
        <v>3.5898812273360781E-2</v>
      </c>
      <c r="R641" s="19">
        <f t="shared" si="70"/>
        <v>3.5169618988151186E-2</v>
      </c>
      <c r="S641" s="22">
        <v>3.9946212444504692E-2</v>
      </c>
      <c r="T641" s="19">
        <f t="shared" si="71"/>
        <v>4.2762926639910104E-2</v>
      </c>
      <c r="U641" s="24">
        <v>4.244570376179313E-2</v>
      </c>
      <c r="V641" s="24">
        <f t="shared" si="72"/>
        <v>4.2800297916966601E-2</v>
      </c>
      <c r="W641" s="23">
        <f t="shared" si="73"/>
        <v>3.4984582737753733E-3</v>
      </c>
      <c r="X641" s="24">
        <v>4.1934932815048676E-2</v>
      </c>
      <c r="Y641" s="24">
        <f t="shared" si="74"/>
        <v>4.2790269953869142E-2</v>
      </c>
      <c r="Z641" s="23">
        <f t="shared" si="75"/>
        <v>3.4976389110243922E-3</v>
      </c>
      <c r="AA641" s="36"/>
    </row>
    <row r="642" spans="15:27" ht="13.9" customHeight="1" x14ac:dyDescent="0.3">
      <c r="O642" s="12">
        <f t="shared" si="69"/>
        <v>52.416666666666664</v>
      </c>
      <c r="P642" s="13">
        <v>629</v>
      </c>
      <c r="Q642" s="22">
        <v>3.5897652575991312E-2</v>
      </c>
      <c r="R642" s="19">
        <f t="shared" si="70"/>
        <v>3.518283706999692E-2</v>
      </c>
      <c r="S642" s="22">
        <v>3.9950684483543331E-2</v>
      </c>
      <c r="T642" s="19">
        <f t="shared" si="71"/>
        <v>4.2765154000184102E-2</v>
      </c>
      <c r="U642" s="24">
        <v>4.244626740878199E-2</v>
      </c>
      <c r="V642" s="24">
        <f t="shared" si="72"/>
        <v>4.2801802614133022E-2</v>
      </c>
      <c r="W642" s="23">
        <f t="shared" si="73"/>
        <v>3.4985798574682647E-3</v>
      </c>
      <c r="X642" s="24">
        <v>4.1936292094556071E-2</v>
      </c>
      <c r="Y642" s="24">
        <f t="shared" si="74"/>
        <v>4.2791961725328065E-2</v>
      </c>
      <c r="Z642" s="23">
        <f t="shared" si="75"/>
        <v>3.4977756853511455E-3</v>
      </c>
      <c r="AA642" s="36"/>
    </row>
    <row r="643" spans="15:27" ht="13.9" customHeight="1" x14ac:dyDescent="0.3">
      <c r="O643" s="12">
        <f t="shared" si="69"/>
        <v>52.5</v>
      </c>
      <c r="P643" s="13">
        <v>630</v>
      </c>
      <c r="Q643" s="22">
        <v>3.5896517557173713E-2</v>
      </c>
      <c r="R643" s="19">
        <f t="shared" si="70"/>
        <v>3.5195942341795794E-2</v>
      </c>
      <c r="S643" s="22">
        <v>3.9955145870741005E-2</v>
      </c>
      <c r="T643" s="19">
        <f t="shared" si="71"/>
        <v>4.2767360395411957E-2</v>
      </c>
      <c r="U643" s="24">
        <v>4.244683165431562E-2</v>
      </c>
      <c r="V643" s="24">
        <f t="shared" si="72"/>
        <v>4.2803295952839493E-2</v>
      </c>
      <c r="W643" s="23">
        <f t="shared" si="73"/>
        <v>3.4987005229873969E-3</v>
      </c>
      <c r="X643" s="24">
        <v>4.1937649743809091E-2</v>
      </c>
      <c r="Y643" s="24">
        <f t="shared" si="74"/>
        <v>4.2793639824245888E-2</v>
      </c>
      <c r="Z643" s="23">
        <f t="shared" si="75"/>
        <v>3.4979113540216655E-3</v>
      </c>
      <c r="AA643" s="36"/>
    </row>
    <row r="644" spans="15:27" ht="13.9" customHeight="1" x14ac:dyDescent="0.3">
      <c r="O644" s="12">
        <f t="shared" si="69"/>
        <v>52.583333333333336</v>
      </c>
      <c r="P644" s="13">
        <v>631</v>
      </c>
      <c r="Q644" s="22">
        <v>3.5895406920334549E-2</v>
      </c>
      <c r="R644" s="19">
        <f t="shared" si="70"/>
        <v>3.5208935792442997E-2</v>
      </c>
      <c r="S644" s="22">
        <v>3.9959596623551752E-2</v>
      </c>
      <c r="T644" s="19">
        <f t="shared" si="71"/>
        <v>4.2769546022947358E-2</v>
      </c>
      <c r="U644" s="24">
        <v>4.244739647755269E-2</v>
      </c>
      <c r="V644" s="24">
        <f t="shared" si="72"/>
        <v>4.2804778016511724E-2</v>
      </c>
      <c r="W644" s="23">
        <f t="shared" si="73"/>
        <v>3.4988202774848265E-3</v>
      </c>
      <c r="X644" s="24">
        <v>4.1939005748905744E-2</v>
      </c>
      <c r="Y644" s="24">
        <f t="shared" si="74"/>
        <v>4.2795304360898179E-2</v>
      </c>
      <c r="Z644" s="23">
        <f t="shared" si="75"/>
        <v>3.4980459260471886E-3</v>
      </c>
      <c r="AA644" s="36"/>
    </row>
    <row r="645" spans="15:27" ht="13.9" customHeight="1" x14ac:dyDescent="0.3">
      <c r="O645" s="12">
        <f t="shared" si="69"/>
        <v>52.666666666666664</v>
      </c>
      <c r="P645" s="13">
        <v>632</v>
      </c>
      <c r="Q645" s="22">
        <v>3.5894320372352073E-2</v>
      </c>
      <c r="R645" s="19">
        <f t="shared" si="70"/>
        <v>3.5221818401686367E-2</v>
      </c>
      <c r="S645" s="22">
        <v>3.9964036759630117E-2</v>
      </c>
      <c r="T645" s="19">
        <f t="shared" si="71"/>
        <v>4.2771711079316432E-2</v>
      </c>
      <c r="U645" s="24">
        <v>4.2447961857915661E-2</v>
      </c>
      <c r="V645" s="24">
        <f t="shared" si="72"/>
        <v>4.2806248891970711E-2</v>
      </c>
      <c r="W645" s="23">
        <f t="shared" si="73"/>
        <v>3.4989391276538662E-3</v>
      </c>
      <c r="X645" s="24">
        <v>4.1940360096206719E-2</v>
      </c>
      <c r="Y645" s="24">
        <f t="shared" si="74"/>
        <v>4.2796955445492113E-2</v>
      </c>
      <c r="Z645" s="23">
        <f t="shared" si="75"/>
        <v>3.498179410275748E-3</v>
      </c>
      <c r="AA645" s="36"/>
    </row>
    <row r="646" spans="15:27" ht="13.9" customHeight="1" x14ac:dyDescent="0.3">
      <c r="O646" s="12">
        <f t="shared" si="69"/>
        <v>52.75</v>
      </c>
      <c r="P646" s="13">
        <v>633</v>
      </c>
      <c r="Q646" s="22">
        <v>3.5893257623514696E-2</v>
      </c>
      <c r="R646" s="19">
        <f t="shared" si="70"/>
        <v>3.523459114018701E-2</v>
      </c>
      <c r="S646" s="22">
        <v>3.9968466296829153E-2</v>
      </c>
      <c r="T646" s="19">
        <f t="shared" si="71"/>
        <v>4.2773855758667656E-2</v>
      </c>
      <c r="U646" s="24">
        <v>4.2448527775094336E-2</v>
      </c>
      <c r="V646" s="24">
        <f t="shared" si="72"/>
        <v>4.2807708663647803E-2</v>
      </c>
      <c r="W646" s="23">
        <f t="shared" si="73"/>
        <v>3.4990570804609433E-3</v>
      </c>
      <c r="X646" s="24">
        <v>4.1941712772332718E-2</v>
      </c>
      <c r="Y646" s="24">
        <f t="shared" si="74"/>
        <v>4.2798593186843981E-2</v>
      </c>
      <c r="Z646" s="23">
        <f t="shared" si="75"/>
        <v>3.4983118155502702E-3</v>
      </c>
      <c r="AA646" s="36"/>
    </row>
    <row r="647" spans="15:27" ht="13.9" customHeight="1" x14ac:dyDescent="0.3">
      <c r="O647" s="12">
        <f t="shared" si="69"/>
        <v>52.833333333333336</v>
      </c>
      <c r="P647" s="13">
        <v>634</v>
      </c>
      <c r="Q647" s="22">
        <v>3.5892218387479691E-2</v>
      </c>
      <c r="R647" s="19">
        <f t="shared" si="70"/>
        <v>3.5247254969619668E-2</v>
      </c>
      <c r="S647" s="22">
        <v>3.9972885253194423E-2</v>
      </c>
      <c r="T647" s="19">
        <f t="shared" si="71"/>
        <v>4.2775980253699553E-2</v>
      </c>
      <c r="U647" s="24">
        <v>4.2449094209040084E-2</v>
      </c>
      <c r="V647" s="24">
        <f t="shared" si="72"/>
        <v>4.2809157416746402E-2</v>
      </c>
      <c r="W647" s="23">
        <f t="shared" si="73"/>
        <v>3.4991741426799727E-3</v>
      </c>
      <c r="X647" s="24">
        <v>4.194306376416046E-2</v>
      </c>
      <c r="Y647" s="24">
        <f t="shared" si="74"/>
        <v>4.2800217693987452E-2</v>
      </c>
      <c r="Z647" s="23">
        <f t="shared" si="75"/>
        <v>3.4984431506013269E-3</v>
      </c>
      <c r="AA647" s="36"/>
    </row>
    <row r="648" spans="15:27" ht="13.9" customHeight="1" x14ac:dyDescent="0.3">
      <c r="O648" s="12">
        <f t="shared" si="69"/>
        <v>52.916666666666664</v>
      </c>
      <c r="P648" s="13">
        <v>635</v>
      </c>
      <c r="Q648" s="22">
        <v>3.5891202381232112E-2</v>
      </c>
      <c r="R648" s="19">
        <f t="shared" si="70"/>
        <v>3.5259810842724448E-2</v>
      </c>
      <c r="S648" s="22">
        <v>3.9977293646960455E-2</v>
      </c>
      <c r="T648" s="19">
        <f t="shared" si="71"/>
        <v>4.2778084754924395E-2</v>
      </c>
      <c r="U648" s="24">
        <v>4.2449661139964068E-2</v>
      </c>
      <c r="V648" s="24">
        <f t="shared" si="72"/>
        <v>4.281059523282571E-2</v>
      </c>
      <c r="W648" s="23">
        <f t="shared" si="73"/>
        <v>3.4992903211470416E-3</v>
      </c>
      <c r="X648" s="24">
        <v>4.1944413058820684E-2</v>
      </c>
      <c r="Y648" s="24">
        <f t="shared" si="74"/>
        <v>4.280182907397001E-2</v>
      </c>
      <c r="Z648" s="23">
        <f t="shared" si="75"/>
        <v>3.4985734241776978E-3</v>
      </c>
      <c r="AA648" s="36"/>
    </row>
    <row r="649" spans="15:27" ht="13.9" customHeight="1" x14ac:dyDescent="0.3">
      <c r="O649" s="12">
        <f t="shared" si="69"/>
        <v>53</v>
      </c>
      <c r="P649" s="13">
        <v>636</v>
      </c>
      <c r="Q649" s="22">
        <v>3.5890209325044387E-2</v>
      </c>
      <c r="R649" s="19">
        <f t="shared" si="70"/>
        <v>3.5272259704257181E-2</v>
      </c>
      <c r="S649" s="22">
        <v>3.9981691496545846E-2</v>
      </c>
      <c r="T649" s="19">
        <f t="shared" si="71"/>
        <v>4.2780169451151595E-2</v>
      </c>
      <c r="U649" s="24">
        <v>4.2450228548330804E-2</v>
      </c>
      <c r="V649" s="24">
        <f t="shared" si="72"/>
        <v>4.2812022196099475E-2</v>
      </c>
      <c r="W649" s="23">
        <f t="shared" si="73"/>
        <v>3.4994056224058046E-3</v>
      </c>
      <c r="X649" s="24">
        <v>4.1945760643693264E-2</v>
      </c>
      <c r="Y649" s="24">
        <f t="shared" si="74"/>
        <v>4.2803427432357211E-2</v>
      </c>
      <c r="Z649" s="23">
        <f t="shared" si="75"/>
        <v>3.498702644868068E-3</v>
      </c>
      <c r="AA649" s="36"/>
    </row>
    <row r="650" spans="15:27" ht="13.9" customHeight="1" x14ac:dyDescent="0.3">
      <c r="O650" s="12">
        <f t="shared" si="69"/>
        <v>53.083333333333336</v>
      </c>
      <c r="P650" s="13">
        <v>637</v>
      </c>
      <c r="Q650" s="22">
        <v>3.5889238942437895E-2</v>
      </c>
      <c r="R650" s="19">
        <f t="shared" si="70"/>
        <v>3.5284602489225492E-2</v>
      </c>
      <c r="S650" s="22">
        <v>3.9986078820549276E-2</v>
      </c>
      <c r="T650" s="19">
        <f t="shared" si="71"/>
        <v>4.27822345296196E-2</v>
      </c>
      <c r="U650" s="24">
        <v>4.2450796414859271E-2</v>
      </c>
      <c r="V650" s="24">
        <f t="shared" si="72"/>
        <v>4.2813438388633829E-2</v>
      </c>
      <c r="W650" s="23">
        <f t="shared" si="73"/>
        <v>3.4995200532130788E-3</v>
      </c>
      <c r="X650" s="24">
        <v>4.1947106506403209E-2</v>
      </c>
      <c r="Y650" s="24">
        <f t="shared" si="74"/>
        <v>4.2805012875964943E-2</v>
      </c>
      <c r="Z650" s="23">
        <f t="shared" si="75"/>
        <v>3.4988308211425512E-3</v>
      </c>
      <c r="AA650" s="36"/>
    </row>
    <row r="651" spans="15:27" ht="13.9" customHeight="1" x14ac:dyDescent="0.3">
      <c r="O651" s="12">
        <f t="shared" si="69"/>
        <v>53.166666666666664</v>
      </c>
      <c r="P651" s="13">
        <v>638</v>
      </c>
      <c r="Q651" s="22">
        <v>3.58882909601419E-2</v>
      </c>
      <c r="R651" s="19">
        <f t="shared" si="70"/>
        <v>3.529684012479084E-2</v>
      </c>
      <c r="S651" s="22">
        <v>3.9990455637745059E-2</v>
      </c>
      <c r="T651" s="19">
        <f t="shared" si="71"/>
        <v>4.2784280175468314E-2</v>
      </c>
      <c r="U651" s="24">
        <v>4.2451364720518026E-2</v>
      </c>
      <c r="V651" s="24">
        <f t="shared" si="72"/>
        <v>4.2814843892206467E-2</v>
      </c>
      <c r="W651" s="23">
        <f t="shared" si="73"/>
        <v>3.499633620153153E-3</v>
      </c>
      <c r="X651" s="24">
        <v>4.194845063482E-2</v>
      </c>
      <c r="Y651" s="24">
        <f t="shared" si="74"/>
        <v>4.2806585509562067E-2</v>
      </c>
      <c r="Z651" s="23">
        <f t="shared" si="75"/>
        <v>3.4989579615711808E-3</v>
      </c>
      <c r="AA651" s="36"/>
    </row>
    <row r="652" spans="15:27" ht="13.9" customHeight="1" x14ac:dyDescent="0.3">
      <c r="O652" s="12">
        <f t="shared" si="69"/>
        <v>53.25</v>
      </c>
      <c r="P652" s="13">
        <v>639</v>
      </c>
      <c r="Q652" s="22">
        <v>3.5887365108056457E-2</v>
      </c>
      <c r="R652" s="19">
        <f t="shared" si="70"/>
        <v>3.5308973529154741E-2</v>
      </c>
      <c r="S652" s="22">
        <v>3.9994821967079375E-2</v>
      </c>
      <c r="T652" s="19">
        <f t="shared" si="71"/>
        <v>4.2786306571935606E-2</v>
      </c>
      <c r="U652" s="24">
        <v>4.245193344652276E-2</v>
      </c>
      <c r="V652" s="24">
        <f t="shared" si="72"/>
        <v>4.2816238787340755E-2</v>
      </c>
      <c r="W652" s="23">
        <f t="shared" si="73"/>
        <v>3.4997463297867792E-3</v>
      </c>
      <c r="X652" s="24">
        <v>4.194979301705315E-2</v>
      </c>
      <c r="Y652" s="24">
        <f t="shared" si="74"/>
        <v>4.2808145435695888E-2</v>
      </c>
      <c r="Z652" s="23">
        <f t="shared" si="75"/>
        <v>3.4990840745603435E-3</v>
      </c>
      <c r="AA652" s="36"/>
    </row>
    <row r="653" spans="15:27" ht="13.9" customHeight="1" x14ac:dyDescent="0.3">
      <c r="O653" s="12">
        <f t="shared" si="69"/>
        <v>53.333333333333336</v>
      </c>
      <c r="P653" s="13">
        <v>640</v>
      </c>
      <c r="Q653" s="22">
        <v>3.5886461119212454E-2</v>
      </c>
      <c r="R653" s="19">
        <f t="shared" si="70"/>
        <v>3.5321003612344581E-2</v>
      </c>
      <c r="S653" s="22">
        <v>3.9999177827665378E-2</v>
      </c>
      <c r="T653" s="19">
        <f t="shared" si="71"/>
        <v>4.2788313900818498E-2</v>
      </c>
      <c r="U653" s="24">
        <v>4.2452502574332529E-2</v>
      </c>
      <c r="V653" s="24">
        <f t="shared" si="72"/>
        <v>4.2817623153764917E-2</v>
      </c>
      <c r="W653" s="23">
        <f t="shared" si="73"/>
        <v>3.4998581885750113E-3</v>
      </c>
      <c r="X653" s="24">
        <v>4.1951133641446425E-2</v>
      </c>
      <c r="Y653" s="24">
        <f t="shared" si="74"/>
        <v>4.2809692758086548E-2</v>
      </c>
      <c r="Z653" s="23">
        <f t="shared" si="75"/>
        <v>3.4992091683372362E-3</v>
      </c>
      <c r="AA653" s="36"/>
    </row>
    <row r="654" spans="15:27" ht="13.9" customHeight="1" x14ac:dyDescent="0.3">
      <c r="O654" s="12">
        <f t="shared" ref="O654:O717" si="76">P654/12</f>
        <v>53.416666666666664</v>
      </c>
      <c r="P654" s="13">
        <v>641</v>
      </c>
      <c r="Q654" s="22">
        <v>3.5885578729735412E-2</v>
      </c>
      <c r="R654" s="19">
        <f t="shared" ref="R654:R717" si="77">(1+Q655)^P655/(1+Q654)^P654-1</f>
        <v>3.5332931276863322E-2</v>
      </c>
      <c r="S654" s="22">
        <v>4.0003523238779648E-2</v>
      </c>
      <c r="T654" s="19">
        <f t="shared" ref="T654:T717" si="78">(1+S655)^P655/(1+S654)^P654-1</f>
        <v>4.27903023427183E-2</v>
      </c>
      <c r="U654" s="24">
        <v>4.2453072085646193E-2</v>
      </c>
      <c r="V654" s="24">
        <f t="shared" ref="V654:V717" si="79">(1+U655)^P655/(1+U654)^P654-1</f>
        <v>4.2818997072552323E-2</v>
      </c>
      <c r="W654" s="23">
        <f t="shared" si="73"/>
        <v>3.4999692029138441E-3</v>
      </c>
      <c r="X654" s="24">
        <v>4.1952472496578075E-2</v>
      </c>
      <c r="Y654" s="24">
        <f t="shared" si="74"/>
        <v>4.2811227579833355E-2</v>
      </c>
      <c r="Z654" s="23">
        <f t="shared" si="75"/>
        <v>3.4993332512238684E-3</v>
      </c>
      <c r="AA654" s="36"/>
    </row>
    <row r="655" spans="15:27" ht="13.9" customHeight="1" x14ac:dyDescent="0.3">
      <c r="O655" s="12">
        <f t="shared" si="76"/>
        <v>53.5</v>
      </c>
      <c r="P655" s="13">
        <v>642</v>
      </c>
      <c r="Q655" s="22">
        <v>3.5884717678808631E-2</v>
      </c>
      <c r="R655" s="19">
        <f t="shared" si="77"/>
        <v>3.5344757415018746E-2</v>
      </c>
      <c r="S655" s="22">
        <v>4.0007858219859305E-2</v>
      </c>
      <c r="T655" s="19">
        <f t="shared" si="78"/>
        <v>4.2792272075098614E-2</v>
      </c>
      <c r="U655" s="24">
        <v>4.2453641962403088E-2</v>
      </c>
      <c r="V655" s="24">
        <f t="shared" si="79"/>
        <v>4.2820360622803033E-2</v>
      </c>
      <c r="W655" s="23">
        <f t="shared" ref="W655:W718" si="80">(1+V654)^(1/12)-1</f>
        <v>3.5000793793082963E-3</v>
      </c>
      <c r="X655" s="24">
        <v>4.1953809571257938E-2</v>
      </c>
      <c r="Y655" s="24">
        <f t="shared" ref="Y655:Y718" si="81">(1+X656)^P656/(1+X655)^P655-1</f>
        <v>4.2812750001714361E-2</v>
      </c>
      <c r="Z655" s="23">
        <f t="shared" ref="Z655:Z718" si="82">(1+Y654)^(1/12)-1</f>
        <v>3.4994563314920679E-3</v>
      </c>
      <c r="AA655" s="36"/>
    </row>
    <row r="656" spans="15:27" ht="13.9" customHeight="1" x14ac:dyDescent="0.3">
      <c r="O656" s="12">
        <f t="shared" si="76"/>
        <v>53.583333333333336</v>
      </c>
      <c r="P656" s="13">
        <v>643</v>
      </c>
      <c r="Q656" s="22">
        <v>3.5883877708634104E-2</v>
      </c>
      <c r="R656" s="19">
        <f t="shared" si="77"/>
        <v>3.5356482913293741E-2</v>
      </c>
      <c r="S656" s="22">
        <v>4.0012182790496009E-2</v>
      </c>
      <c r="T656" s="19">
        <f t="shared" si="78"/>
        <v>4.2794223275248289E-2</v>
      </c>
      <c r="U656" s="24">
        <v>4.2454212186777696E-2</v>
      </c>
      <c r="V656" s="24">
        <f t="shared" si="79"/>
        <v>4.2821713882049917E-2</v>
      </c>
      <c r="W656" s="23">
        <f t="shared" si="80"/>
        <v>3.5001887241041807E-3</v>
      </c>
      <c r="X656" s="24">
        <v>4.195514485452212E-2</v>
      </c>
      <c r="Y656" s="24">
        <f t="shared" si="81"/>
        <v>4.2814260123073433E-2</v>
      </c>
      <c r="Z656" s="23">
        <f t="shared" si="82"/>
        <v>3.499578417227589E-3</v>
      </c>
      <c r="AA656" s="36"/>
    </row>
    <row r="657" spans="15:27" ht="13.9" customHeight="1" x14ac:dyDescent="0.3">
      <c r="O657" s="12">
        <f t="shared" si="76"/>
        <v>53.666666666666664</v>
      </c>
      <c r="P657" s="13">
        <v>644</v>
      </c>
      <c r="Q657" s="22">
        <v>3.5883058564398995E-2</v>
      </c>
      <c r="R657" s="19">
        <f t="shared" si="77"/>
        <v>3.5368108647968466E-2</v>
      </c>
      <c r="S657" s="22">
        <v>4.0016496970433968E-2</v>
      </c>
      <c r="T657" s="19">
        <f t="shared" si="78"/>
        <v>4.2796156117389073E-2</v>
      </c>
      <c r="U657" s="24">
        <v>4.2454782741175867E-2</v>
      </c>
      <c r="V657" s="24">
        <f t="shared" si="79"/>
        <v>4.282305692799504E-2</v>
      </c>
      <c r="W657" s="23">
        <f t="shared" si="80"/>
        <v>3.5002972435220769E-3</v>
      </c>
      <c r="X657" s="24">
        <v>4.1956478335628988E-2</v>
      </c>
      <c r="Y657" s="24">
        <f t="shared" si="81"/>
        <v>4.2815758044847163E-2</v>
      </c>
      <c r="Z657" s="23">
        <f t="shared" si="82"/>
        <v>3.4996995164007227E-3</v>
      </c>
      <c r="AA657" s="36"/>
    </row>
    <row r="658" spans="15:27" ht="13.9" customHeight="1" x14ac:dyDescent="0.3">
      <c r="O658" s="12">
        <f t="shared" si="76"/>
        <v>53.75</v>
      </c>
      <c r="P658" s="13">
        <v>645</v>
      </c>
      <c r="Q658" s="22">
        <v>3.5882259994237442E-2</v>
      </c>
      <c r="R658" s="19">
        <f t="shared" si="77"/>
        <v>3.5379635489010575E-2</v>
      </c>
      <c r="S658" s="22">
        <v>4.0020800779564603E-2</v>
      </c>
      <c r="T658" s="19">
        <f t="shared" si="78"/>
        <v>4.279807077550557E-2</v>
      </c>
      <c r="U658" s="24">
        <v>4.2455353608232826E-2</v>
      </c>
      <c r="V658" s="24">
        <f t="shared" si="79"/>
        <v>4.282438983970116E-2</v>
      </c>
      <c r="W658" s="23">
        <f t="shared" si="80"/>
        <v>3.5004049437958873E-3</v>
      </c>
      <c r="X658" s="24">
        <v>4.1957810004059626E-2</v>
      </c>
      <c r="Y658" s="24">
        <f t="shared" si="81"/>
        <v>4.2817243866473342E-2</v>
      </c>
      <c r="Z658" s="23">
        <f t="shared" si="82"/>
        <v>3.49981963710988E-3</v>
      </c>
      <c r="AA658" s="36"/>
    </row>
    <row r="659" spans="15:27" ht="13.9" customHeight="1" x14ac:dyDescent="0.3">
      <c r="O659" s="12">
        <f t="shared" si="76"/>
        <v>53.833333333333336</v>
      </c>
      <c r="P659" s="13">
        <v>646</v>
      </c>
      <c r="Q659" s="22">
        <v>3.5881481749197031E-2</v>
      </c>
      <c r="R659" s="19">
        <f t="shared" si="77"/>
        <v>3.5391064297334962E-2</v>
      </c>
      <c r="S659" s="22">
        <v>4.0025094237924552E-2</v>
      </c>
      <c r="T659" s="19">
        <f t="shared" si="78"/>
        <v>4.2799967421284002E-2</v>
      </c>
      <c r="U659" s="24">
        <v>4.2455924770813835E-2</v>
      </c>
      <c r="V659" s="24">
        <f t="shared" si="79"/>
        <v>4.2825712693271401E-2</v>
      </c>
      <c r="W659" s="23">
        <f t="shared" si="80"/>
        <v>3.5005118312685379E-3</v>
      </c>
      <c r="X659" s="24">
        <v>4.1959139849514271E-2</v>
      </c>
      <c r="Y659" s="24">
        <f t="shared" si="81"/>
        <v>4.2818717684843577E-2</v>
      </c>
      <c r="Z659" s="23">
        <f t="shared" si="82"/>
        <v>3.4999387873326793E-3</v>
      </c>
      <c r="AA659" s="36"/>
    </row>
    <row r="660" spans="15:27" ht="13.9" customHeight="1" x14ac:dyDescent="0.3">
      <c r="O660" s="12">
        <f t="shared" si="76"/>
        <v>53.916666666666664</v>
      </c>
      <c r="P660" s="13">
        <v>647</v>
      </c>
      <c r="Q660" s="22">
        <v>3.5880723583203045E-2</v>
      </c>
      <c r="R660" s="19">
        <f t="shared" si="77"/>
        <v>3.5402395926926955E-2</v>
      </c>
      <c r="S660" s="22">
        <v>4.0029377365691232E-2</v>
      </c>
      <c r="T660" s="19">
        <f t="shared" si="78"/>
        <v>4.2801846224208129E-2</v>
      </c>
      <c r="U660" s="24">
        <v>4.2456496212007533E-2</v>
      </c>
      <c r="V660" s="24">
        <f t="shared" si="79"/>
        <v>4.2827025563812127E-2</v>
      </c>
      <c r="W660" s="23">
        <f t="shared" si="80"/>
        <v>3.5006179120460335E-3</v>
      </c>
      <c r="X660" s="24">
        <v>4.1960467861906547E-2</v>
      </c>
      <c r="Y660" s="24">
        <f t="shared" si="81"/>
        <v>4.2820179597838237E-2</v>
      </c>
      <c r="Z660" s="23">
        <f t="shared" si="82"/>
        <v>3.5000569748431243E-3</v>
      </c>
      <c r="AA660" s="36"/>
    </row>
    <row r="661" spans="15:27" ht="13.9" customHeight="1" x14ac:dyDescent="0.3">
      <c r="O661" s="12">
        <f t="shared" si="76"/>
        <v>54</v>
      </c>
      <c r="P661" s="13">
        <v>648</v>
      </c>
      <c r="Q661" s="22">
        <v>3.5879985253024049E-2</v>
      </c>
      <c r="R661" s="19">
        <f t="shared" si="77"/>
        <v>3.5413631223310649E-2</v>
      </c>
      <c r="S661" s="22">
        <v>4.0033650183178615E-2</v>
      </c>
      <c r="T661" s="19">
        <f t="shared" si="78"/>
        <v>4.2803707352343956E-2</v>
      </c>
      <c r="U661" s="24">
        <v>4.2457067915122826E-2</v>
      </c>
      <c r="V661" s="24">
        <f t="shared" si="79"/>
        <v>4.2828328527439341E-2</v>
      </c>
      <c r="W661" s="23">
        <f t="shared" si="80"/>
        <v>3.5007231921535542E-3</v>
      </c>
      <c r="X661" s="24">
        <v>4.196179403136302E-2</v>
      </c>
      <c r="Y661" s="24">
        <f t="shared" si="81"/>
        <v>4.2821629701247588E-2</v>
      </c>
      <c r="Z661" s="23">
        <f t="shared" si="82"/>
        <v>3.5001742074938225E-3</v>
      </c>
      <c r="AA661" s="36"/>
    </row>
    <row r="662" spans="15:27" ht="13.9" customHeight="1" x14ac:dyDescent="0.3">
      <c r="O662" s="12">
        <f t="shared" si="76"/>
        <v>54.083333333333336</v>
      </c>
      <c r="P662" s="13">
        <v>649</v>
      </c>
      <c r="Q662" s="22">
        <v>3.5879266518238362E-2</v>
      </c>
      <c r="R662" s="19">
        <f t="shared" si="77"/>
        <v>3.5424771024304302E-2</v>
      </c>
      <c r="S662" s="22">
        <v>4.0037912710833456E-2</v>
      </c>
      <c r="T662" s="19">
        <f t="shared" si="78"/>
        <v>4.2805550973458839E-2</v>
      </c>
      <c r="U662" s="24">
        <v>4.2457639863689112E-2</v>
      </c>
      <c r="V662" s="24">
        <f t="shared" si="79"/>
        <v>4.2829621659898454E-2</v>
      </c>
      <c r="W662" s="23">
        <f t="shared" si="80"/>
        <v>3.500827677697993E-3</v>
      </c>
      <c r="X662" s="24">
        <v>4.1963118348218531E-2</v>
      </c>
      <c r="Y662" s="24">
        <f t="shared" si="81"/>
        <v>4.2823068092010308E-2</v>
      </c>
      <c r="Z662" s="23">
        <f t="shared" si="82"/>
        <v>3.5002904929704037E-3</v>
      </c>
      <c r="AA662" s="36"/>
    </row>
    <row r="663" spans="15:27" ht="13.9" customHeight="1" x14ac:dyDescent="0.3">
      <c r="O663" s="12">
        <f t="shared" si="76"/>
        <v>54.166666666666664</v>
      </c>
      <c r="P663" s="13">
        <v>650</v>
      </c>
      <c r="Q663" s="22">
        <v>3.5878567141199413E-2</v>
      </c>
      <c r="R663" s="19">
        <f t="shared" si="77"/>
        <v>3.5435816160842792E-2</v>
      </c>
      <c r="S663" s="22">
        <v>4.0042164969234406E-2</v>
      </c>
      <c r="T663" s="19">
        <f t="shared" si="78"/>
        <v>4.2807377252301437E-2</v>
      </c>
      <c r="U663" s="24">
        <v>4.2458212041453169E-2</v>
      </c>
      <c r="V663" s="24">
        <f t="shared" si="79"/>
        <v>4.2830905035241784E-2</v>
      </c>
      <c r="W663" s="23">
        <f t="shared" si="80"/>
        <v>3.5009313747558224E-3</v>
      </c>
      <c r="X663" s="24">
        <v>4.1964440803016867E-2</v>
      </c>
      <c r="Y663" s="24">
        <f t="shared" si="81"/>
        <v>4.2824494864101448E-2</v>
      </c>
      <c r="Z663" s="23">
        <f t="shared" si="82"/>
        <v>3.5004058390495363E-3</v>
      </c>
      <c r="AA663" s="36"/>
    </row>
    <row r="664" spans="15:27" ht="13.9" customHeight="1" x14ac:dyDescent="0.3">
      <c r="O664" s="12">
        <f t="shared" si="76"/>
        <v>54.25</v>
      </c>
      <c r="P664" s="13">
        <v>651</v>
      </c>
      <c r="Q664" s="22">
        <v>3.5877886887003774E-2</v>
      </c>
      <c r="R664" s="19">
        <f t="shared" si="77"/>
        <v>3.5446767455395767E-2</v>
      </c>
      <c r="S664" s="22">
        <v>4.0046406979085791E-2</v>
      </c>
      <c r="T664" s="19">
        <f t="shared" si="78"/>
        <v>4.2809186352119166E-2</v>
      </c>
      <c r="U664" s="24">
        <v>4.2458784432375607E-2</v>
      </c>
      <c r="V664" s="24">
        <f t="shared" si="79"/>
        <v>4.2832178726603054E-2</v>
      </c>
      <c r="W664" s="23">
        <f t="shared" si="80"/>
        <v>3.501034289268512E-3</v>
      </c>
      <c r="X664" s="24">
        <v>4.1965761386503653E-2</v>
      </c>
      <c r="Y664" s="24">
        <f t="shared" si="81"/>
        <v>4.2825910111706778E-2</v>
      </c>
      <c r="Z664" s="23">
        <f t="shared" si="82"/>
        <v>3.5005202532709667E-3</v>
      </c>
      <c r="AA664" s="36"/>
    </row>
    <row r="665" spans="15:27" ht="13.9" customHeight="1" x14ac:dyDescent="0.3">
      <c r="O665" s="12">
        <f t="shared" si="76"/>
        <v>54.333333333333336</v>
      </c>
      <c r="P665" s="13">
        <v>652</v>
      </c>
      <c r="Q665" s="22">
        <v>3.5877225523457623E-2</v>
      </c>
      <c r="R665" s="19">
        <f t="shared" si="77"/>
        <v>3.5457625723649411E-2</v>
      </c>
      <c r="S665" s="22">
        <v>4.005063876121473E-2</v>
      </c>
      <c r="T665" s="19">
        <f t="shared" si="78"/>
        <v>4.2810978435388503E-2</v>
      </c>
      <c r="U665" s="24">
        <v>4.2459357020627753E-2</v>
      </c>
      <c r="V665" s="24">
        <f t="shared" si="79"/>
        <v>4.2833442807720834E-2</v>
      </c>
      <c r="W665" s="23">
        <f t="shared" si="80"/>
        <v>3.5011364271027023E-3</v>
      </c>
      <c r="X665" s="24">
        <v>4.1967080089625908E-2</v>
      </c>
      <c r="Y665" s="24">
        <f t="shared" si="81"/>
        <v>4.2827313928580191E-2</v>
      </c>
      <c r="Z665" s="23">
        <f t="shared" si="82"/>
        <v>3.500633743191317E-3</v>
      </c>
      <c r="AA665" s="36"/>
    </row>
    <row r="666" spans="15:27" ht="13.9" customHeight="1" x14ac:dyDescent="0.3">
      <c r="O666" s="12">
        <f t="shared" si="76"/>
        <v>54.416666666666664</v>
      </c>
      <c r="P666" s="13">
        <v>653</v>
      </c>
      <c r="Q666" s="22">
        <v>3.5876582821044778E-2</v>
      </c>
      <c r="R666" s="19">
        <f t="shared" si="77"/>
        <v>3.5468391773311403E-2</v>
      </c>
      <c r="S666" s="22">
        <v>4.0054860336569131E-2</v>
      </c>
      <c r="T666" s="19">
        <f t="shared" si="78"/>
        <v>4.281275366290771E-2</v>
      </c>
      <c r="U666" s="24">
        <v>4.2459929790590545E-2</v>
      </c>
      <c r="V666" s="24">
        <f t="shared" si="79"/>
        <v>4.2834697352455819E-2</v>
      </c>
      <c r="W666" s="23">
        <f t="shared" si="80"/>
        <v>3.5012377941747719E-3</v>
      </c>
      <c r="X666" s="24">
        <v>4.1968396903529381E-2</v>
      </c>
      <c r="Y666" s="24">
        <f t="shared" si="81"/>
        <v>4.2828706407602724E-2</v>
      </c>
      <c r="Z666" s="23">
        <f t="shared" si="82"/>
        <v>3.5007463163319041E-3</v>
      </c>
      <c r="AA666" s="36"/>
    </row>
    <row r="667" spans="15:27" ht="13.9" customHeight="1" x14ac:dyDescent="0.3">
      <c r="O667" s="12">
        <f t="shared" si="76"/>
        <v>54.5</v>
      </c>
      <c r="P667" s="13">
        <v>654</v>
      </c>
      <c r="Q667" s="22">
        <v>3.5875958552894271E-2</v>
      </c>
      <c r="R667" s="19">
        <f t="shared" si="77"/>
        <v>3.5479066405868842E-2</v>
      </c>
      <c r="S667" s="22">
        <v>4.0059071726213702E-2</v>
      </c>
      <c r="T667" s="19">
        <f t="shared" si="78"/>
        <v>4.2814512193414034E-2</v>
      </c>
      <c r="U667" s="24">
        <v>4.2460502726853422E-2</v>
      </c>
      <c r="V667" s="24">
        <f t="shared" si="79"/>
        <v>4.283594243158606E-2</v>
      </c>
      <c r="W667" s="23">
        <f t="shared" si="80"/>
        <v>3.5013383964095368E-3</v>
      </c>
      <c r="X667" s="24">
        <v>4.1969711819555888E-2</v>
      </c>
      <c r="Y667" s="24">
        <f t="shared" si="81"/>
        <v>4.2830087640344239E-2</v>
      </c>
      <c r="Z667" s="23">
        <f t="shared" si="82"/>
        <v>3.5008579801443229E-3</v>
      </c>
      <c r="AA667" s="36"/>
    </row>
    <row r="668" spans="15:27" ht="13.9" customHeight="1" x14ac:dyDescent="0.3">
      <c r="O668" s="12">
        <f t="shared" si="76"/>
        <v>54.583333333333336</v>
      </c>
      <c r="P668" s="13">
        <v>655</v>
      </c>
      <c r="Q668" s="22">
        <v>3.5875352494750379E-2</v>
      </c>
      <c r="R668" s="19">
        <f t="shared" si="77"/>
        <v>3.548965041442198E-2</v>
      </c>
      <c r="S668" s="22">
        <v>4.006327295132639E-2</v>
      </c>
      <c r="T668" s="19">
        <f t="shared" si="78"/>
        <v>4.2816254184073754E-2</v>
      </c>
      <c r="U668" s="24">
        <v>4.2461075814208105E-2</v>
      </c>
      <c r="V668" s="24">
        <f t="shared" si="79"/>
        <v>4.2837178117224095E-2</v>
      </c>
      <c r="W668" s="23">
        <f t="shared" si="80"/>
        <v>3.5014382394857879E-3</v>
      </c>
      <c r="X668" s="24">
        <v>4.1971024829239978E-2</v>
      </c>
      <c r="Y668" s="24">
        <f t="shared" si="81"/>
        <v>4.2831457717257493E-2</v>
      </c>
      <c r="Z668" s="23">
        <f t="shared" si="82"/>
        <v>3.5009687419749191E-3</v>
      </c>
      <c r="AA668" s="36"/>
    </row>
    <row r="669" spans="15:27" ht="13.9" customHeight="1" x14ac:dyDescent="0.3">
      <c r="O669" s="12">
        <f t="shared" si="76"/>
        <v>54.666666666666664</v>
      </c>
      <c r="P669" s="13">
        <v>656</v>
      </c>
      <c r="Q669" s="22">
        <v>3.5874764424939976E-2</v>
      </c>
      <c r="R669" s="19">
        <f t="shared" si="77"/>
        <v>3.5500144584739601E-2</v>
      </c>
      <c r="S669" s="22">
        <v>4.0067464033195055E-2</v>
      </c>
      <c r="T669" s="19">
        <f t="shared" si="78"/>
        <v>4.2817979791002436E-2</v>
      </c>
      <c r="U669" s="24">
        <v>4.2461649037648597E-2</v>
      </c>
      <c r="V669" s="24">
        <f t="shared" si="79"/>
        <v>4.2838404479915049E-2</v>
      </c>
      <c r="W669" s="23">
        <f t="shared" si="80"/>
        <v>3.5015373291884533E-3</v>
      </c>
      <c r="X669" s="24">
        <v>4.1972335924305382E-2</v>
      </c>
      <c r="Y669" s="24">
        <f t="shared" si="81"/>
        <v>4.2832816729103218E-2</v>
      </c>
      <c r="Z669" s="23">
        <f t="shared" si="82"/>
        <v>3.5010786090807766E-3</v>
      </c>
      <c r="AA669" s="36"/>
    </row>
    <row r="670" spans="15:27" ht="13.9" customHeight="1" x14ac:dyDescent="0.3">
      <c r="O670" s="12">
        <f t="shared" si="76"/>
        <v>54.75</v>
      </c>
      <c r="P670" s="13">
        <v>657</v>
      </c>
      <c r="Q670" s="22">
        <v>3.5874194124341452E-2</v>
      </c>
      <c r="R670" s="19">
        <f t="shared" si="77"/>
        <v>3.5510549697716387E-2</v>
      </c>
      <c r="S670" s="22">
        <v>4.0071644993214806E-2</v>
      </c>
      <c r="T670" s="19">
        <f t="shared" si="78"/>
        <v>4.2819689169370401E-2</v>
      </c>
      <c r="U670" s="24">
        <v>4.2462222382368298E-2</v>
      </c>
      <c r="V670" s="24">
        <f t="shared" si="79"/>
        <v>4.2839621591608479E-2</v>
      </c>
      <c r="W670" s="23">
        <f t="shared" si="80"/>
        <v>3.5016356711770058E-3</v>
      </c>
      <c r="X670" s="24">
        <v>4.1973645096664347E-2</v>
      </c>
      <c r="Y670" s="24">
        <f t="shared" si="81"/>
        <v>4.283416476649915E-2</v>
      </c>
      <c r="Z670" s="23">
        <f t="shared" si="82"/>
        <v>3.5011875887427379E-3</v>
      </c>
      <c r="AA670" s="36"/>
    </row>
    <row r="671" spans="15:27" ht="13.9" customHeight="1" x14ac:dyDescent="0.3">
      <c r="O671" s="12">
        <f t="shared" si="76"/>
        <v>54.833333333333336</v>
      </c>
      <c r="P671" s="13">
        <v>658</v>
      </c>
      <c r="Q671" s="22">
        <v>3.5873641376357623E-2</v>
      </c>
      <c r="R671" s="19">
        <f t="shared" si="77"/>
        <v>3.552086652344788E-2</v>
      </c>
      <c r="S671" s="22">
        <v>4.0075815852885999E-2</v>
      </c>
      <c r="T671" s="19">
        <f t="shared" si="78"/>
        <v>4.2821382471883496E-2</v>
      </c>
      <c r="U671" s="24">
        <v>4.2462795833759115E-2</v>
      </c>
      <c r="V671" s="24">
        <f t="shared" si="79"/>
        <v>4.2840829521312962E-2</v>
      </c>
      <c r="W671" s="23">
        <f t="shared" si="80"/>
        <v>3.501733271223717E-3</v>
      </c>
      <c r="X671" s="24">
        <v>4.1974952338415861E-2</v>
      </c>
      <c r="Y671" s="24">
        <f t="shared" si="81"/>
        <v>4.2835501917222407E-2</v>
      </c>
      <c r="Z671" s="23">
        <f t="shared" si="82"/>
        <v>3.5012956882309876E-3</v>
      </c>
      <c r="AA671" s="36"/>
    </row>
    <row r="672" spans="15:27" ht="13.9" customHeight="1" x14ac:dyDescent="0.3">
      <c r="O672" s="12">
        <f t="shared" si="76"/>
        <v>54.916666666666664</v>
      </c>
      <c r="P672" s="13">
        <v>659</v>
      </c>
      <c r="Q672" s="22">
        <v>3.5873105966880425E-2</v>
      </c>
      <c r="R672" s="19">
        <f t="shared" si="77"/>
        <v>3.5531095828649883E-2</v>
      </c>
      <c r="S672" s="22">
        <v>4.0079976633809578E-2</v>
      </c>
      <c r="T672" s="19">
        <f t="shared" si="78"/>
        <v>4.2823059849514511E-2</v>
      </c>
      <c r="U672" s="24">
        <v>4.2463369377407023E-2</v>
      </c>
      <c r="V672" s="24">
        <f t="shared" si="79"/>
        <v>4.2842028338452742E-2</v>
      </c>
      <c r="W672" s="23">
        <f t="shared" si="80"/>
        <v>3.501830134864381E-3</v>
      </c>
      <c r="X672" s="24">
        <v>4.1976257641839876E-2</v>
      </c>
      <c r="Y672" s="24">
        <f t="shared" si="81"/>
        <v>4.2836828269595451E-2</v>
      </c>
      <c r="Z672" s="23">
        <f t="shared" si="82"/>
        <v>3.5014029145876702E-3</v>
      </c>
      <c r="AA672" s="36"/>
    </row>
    <row r="673" spans="15:27" ht="13.9" customHeight="1" x14ac:dyDescent="0.3">
      <c r="O673" s="12">
        <f t="shared" si="76"/>
        <v>55</v>
      </c>
      <c r="P673" s="13">
        <v>660</v>
      </c>
      <c r="Q673" s="22">
        <v>3.5872587684266488E-2</v>
      </c>
      <c r="R673" s="19">
        <f t="shared" si="77"/>
        <v>3.5541238370425887E-2</v>
      </c>
      <c r="S673" s="22">
        <v>4.0084127357683741E-2</v>
      </c>
      <c r="T673" s="19">
        <f t="shared" si="78"/>
        <v>4.2824721453665449E-2</v>
      </c>
      <c r="U673" s="24">
        <v>4.2463942999090065E-2</v>
      </c>
      <c r="V673" s="24">
        <f t="shared" si="79"/>
        <v>4.2843218112234682E-2</v>
      </c>
      <c r="W673" s="23">
        <f t="shared" si="80"/>
        <v>3.5019262676685425E-3</v>
      </c>
      <c r="X673" s="24">
        <v>4.1977560999396868E-2</v>
      </c>
      <c r="Y673" s="24">
        <f t="shared" si="81"/>
        <v>4.2838143911730686E-2</v>
      </c>
      <c r="Z673" s="23">
        <f t="shared" si="82"/>
        <v>3.501509274897785E-3</v>
      </c>
      <c r="AA673" s="36"/>
    </row>
    <row r="674" spans="15:27" ht="13.9" customHeight="1" x14ac:dyDescent="0.3">
      <c r="O674" s="12">
        <f t="shared" si="76"/>
        <v>55.083333333333336</v>
      </c>
      <c r="P674" s="13">
        <v>661</v>
      </c>
      <c r="Q674" s="22">
        <v>3.5872086319304275E-2</v>
      </c>
      <c r="R674" s="19">
        <f t="shared" si="77"/>
        <v>3.555129490161657E-2</v>
      </c>
      <c r="S674" s="22">
        <v>4.0088268046303943E-2</v>
      </c>
      <c r="T674" s="19">
        <f t="shared" si="78"/>
        <v>4.282636743181345E-2</v>
      </c>
      <c r="U674" s="24">
        <v>4.2464516684777243E-2</v>
      </c>
      <c r="V674" s="24">
        <f t="shared" si="79"/>
        <v>4.2844398910873327E-2</v>
      </c>
      <c r="W674" s="23">
        <f t="shared" si="80"/>
        <v>3.502021675188427E-3</v>
      </c>
      <c r="X674" s="24">
        <v>4.197886240372628E-2</v>
      </c>
      <c r="Y674" s="24">
        <f t="shared" si="81"/>
        <v>4.2839448929498092E-2</v>
      </c>
      <c r="Z674" s="23">
        <f t="shared" si="82"/>
        <v>3.5016147762307881E-3</v>
      </c>
      <c r="AA674" s="36"/>
    </row>
    <row r="675" spans="15:27" ht="13.9" customHeight="1" x14ac:dyDescent="0.3">
      <c r="O675" s="12">
        <f t="shared" si="76"/>
        <v>55.166666666666664</v>
      </c>
      <c r="P675" s="13">
        <v>662</v>
      </c>
      <c r="Q675" s="22">
        <v>3.5871601665188546E-2</v>
      </c>
      <c r="R675" s="19">
        <f t="shared" si="77"/>
        <v>3.5561266165995198E-2</v>
      </c>
      <c r="S675" s="22">
        <v>4.0092398721556011E-2</v>
      </c>
      <c r="T675" s="19">
        <f t="shared" si="78"/>
        <v>4.2827997932725737E-2</v>
      </c>
      <c r="U675" s="24">
        <v>4.2465090420625184E-2</v>
      </c>
      <c r="V675" s="24">
        <f t="shared" si="79"/>
        <v>4.284557080360929E-2</v>
      </c>
      <c r="W675" s="23">
        <f t="shared" si="80"/>
        <v>3.5021163628961016E-3</v>
      </c>
      <c r="X675" s="24">
        <v>4.1980161847641417E-2</v>
      </c>
      <c r="Y675" s="24">
        <f t="shared" si="81"/>
        <v>4.2840743410108129E-2</v>
      </c>
      <c r="Z675" s="23">
        <f t="shared" si="82"/>
        <v>3.5017194254751693E-3</v>
      </c>
      <c r="AA675" s="36"/>
    </row>
    <row r="676" spans="15:27" ht="13.9" customHeight="1" x14ac:dyDescent="0.3">
      <c r="O676" s="12">
        <f t="shared" si="76"/>
        <v>55.25</v>
      </c>
      <c r="P676" s="13">
        <v>663</v>
      </c>
      <c r="Q676" s="22">
        <v>3.5871133517488829E-2</v>
      </c>
      <c r="R676" s="19">
        <f t="shared" si="77"/>
        <v>3.5571152901847425E-2</v>
      </c>
      <c r="S676" s="22">
        <v>4.0096519405417697E-2</v>
      </c>
      <c r="T676" s="19">
        <f t="shared" si="78"/>
        <v>4.2829613100513031E-2</v>
      </c>
      <c r="U676" s="24">
        <v>4.2465664192978814E-2</v>
      </c>
      <c r="V676" s="24">
        <f t="shared" si="79"/>
        <v>4.2846733855229635E-2</v>
      </c>
      <c r="W676" s="23">
        <f t="shared" si="80"/>
        <v>3.5022103363464563E-3</v>
      </c>
      <c r="X676" s="24">
        <v>4.1981459324130554E-2</v>
      </c>
      <c r="Y676" s="24">
        <f t="shared" si="81"/>
        <v>4.2842027437278052E-2</v>
      </c>
      <c r="Z676" s="23">
        <f t="shared" si="82"/>
        <v>3.5018232296275542E-3</v>
      </c>
      <c r="AA676" s="36"/>
    </row>
    <row r="677" spans="15:27" ht="13.9" customHeight="1" x14ac:dyDescent="0.3">
      <c r="O677" s="12">
        <f t="shared" si="76"/>
        <v>55.333333333333336</v>
      </c>
      <c r="P677" s="13">
        <v>664</v>
      </c>
      <c r="Q677" s="22">
        <v>3.5870681674123439E-2</v>
      </c>
      <c r="R677" s="19">
        <f t="shared" si="77"/>
        <v>3.5580955840525341E-2</v>
      </c>
      <c r="S677" s="22">
        <v>4.0100630119950686E-2</v>
      </c>
      <c r="T677" s="19">
        <f t="shared" si="78"/>
        <v>4.2831213081722996E-2</v>
      </c>
      <c r="U677" s="24">
        <v>4.2466237988362465E-2</v>
      </c>
      <c r="V677" s="24">
        <f t="shared" si="79"/>
        <v>4.284788813534357E-2</v>
      </c>
      <c r="W677" s="23">
        <f t="shared" si="80"/>
        <v>3.502303600736667E-3</v>
      </c>
      <c r="X677" s="24">
        <v>4.1982754826349833E-2</v>
      </c>
      <c r="Y677" s="24">
        <f t="shared" si="81"/>
        <v>4.2843301097069242E-2</v>
      </c>
      <c r="Z677" s="23">
        <f t="shared" si="82"/>
        <v>3.5019261954036818E-3</v>
      </c>
      <c r="AA677" s="36"/>
    </row>
    <row r="678" spans="15:27" ht="13.9" customHeight="1" x14ac:dyDescent="0.3">
      <c r="O678" s="12">
        <f t="shared" si="76"/>
        <v>55.416666666666664</v>
      </c>
      <c r="P678" s="13">
        <v>665</v>
      </c>
      <c r="Q678" s="22">
        <v>3.5870245935330392E-2</v>
      </c>
      <c r="R678" s="19">
        <f t="shared" si="77"/>
        <v>3.5590675707122266E-2</v>
      </c>
      <c r="S678" s="22">
        <v>4.010473088730393E-2</v>
      </c>
      <c r="T678" s="19">
        <f t="shared" si="78"/>
        <v>4.2832798018063611E-2</v>
      </c>
      <c r="U678" s="24">
        <v>4.2466811793486325E-2</v>
      </c>
      <c r="V678" s="24">
        <f t="shared" si="79"/>
        <v>4.2849033708111772E-2</v>
      </c>
      <c r="W678" s="23">
        <f t="shared" si="80"/>
        <v>3.5023961616509336E-3</v>
      </c>
      <c r="X678" s="24">
        <v>4.1984048347626368E-2</v>
      </c>
      <c r="Y678" s="24">
        <f t="shared" si="81"/>
        <v>4.2844564472914737E-2</v>
      </c>
      <c r="Z678" s="23">
        <f t="shared" si="82"/>
        <v>3.502028329707807E-3</v>
      </c>
      <c r="AA678" s="36"/>
    </row>
    <row r="679" spans="15:27" ht="13.9" customHeight="1" x14ac:dyDescent="0.3">
      <c r="O679" s="12">
        <f t="shared" si="76"/>
        <v>55.5</v>
      </c>
      <c r="P679" s="13">
        <v>666</v>
      </c>
      <c r="Q679" s="22">
        <v>3.5869826103641422E-2</v>
      </c>
      <c r="R679" s="19">
        <f t="shared" si="77"/>
        <v>3.5600313219145363E-2</v>
      </c>
      <c r="S679" s="22">
        <v>4.0108821729705646E-2</v>
      </c>
      <c r="T679" s="19">
        <f t="shared" si="78"/>
        <v>4.2834368052281135E-2</v>
      </c>
      <c r="U679" s="24">
        <v>4.2467385595236884E-2</v>
      </c>
      <c r="V679" s="24">
        <f t="shared" si="79"/>
        <v>4.2850170641194563E-2</v>
      </c>
      <c r="W679" s="23">
        <f t="shared" si="80"/>
        <v>3.5024880242362499E-3</v>
      </c>
      <c r="X679" s="24">
        <v>4.1985339881452033E-2</v>
      </c>
      <c r="Y679" s="24">
        <f t="shared" si="81"/>
        <v>4.2845817647983342E-2</v>
      </c>
      <c r="Z679" s="23">
        <f t="shared" si="82"/>
        <v>3.5021296392332424E-3</v>
      </c>
      <c r="AA679" s="36"/>
    </row>
    <row r="680" spans="15:27" ht="13.9" customHeight="1" x14ac:dyDescent="0.3">
      <c r="O680" s="12">
        <f t="shared" si="76"/>
        <v>55.583333333333336</v>
      </c>
      <c r="P680" s="13">
        <v>667</v>
      </c>
      <c r="Q680" s="22">
        <v>3.58694219838529E-2</v>
      </c>
      <c r="R680" s="19">
        <f t="shared" si="77"/>
        <v>3.5609869089094248E-2</v>
      </c>
      <c r="S680" s="22">
        <v>4.011290266946399E-2</v>
      </c>
      <c r="T680" s="19">
        <f t="shared" si="78"/>
        <v>4.2835923324052949E-2</v>
      </c>
      <c r="U680" s="24">
        <v>4.2467959380680265E-2</v>
      </c>
      <c r="V680" s="24">
        <f t="shared" si="79"/>
        <v>4.2851298998815901E-2</v>
      </c>
      <c r="W680" s="23">
        <f t="shared" si="80"/>
        <v>3.5025791939207185E-3</v>
      </c>
      <c r="X680" s="24">
        <v>4.1986629421482569E-2</v>
      </c>
      <c r="Y680" s="24">
        <f t="shared" si="81"/>
        <v>4.2847060705370366E-2</v>
      </c>
      <c r="Z680" s="23">
        <f t="shared" si="82"/>
        <v>3.5022301306519843E-3</v>
      </c>
      <c r="AA680" s="36"/>
    </row>
    <row r="681" spans="15:27" ht="13.9" customHeight="1" x14ac:dyDescent="0.3">
      <c r="O681" s="12">
        <f t="shared" si="76"/>
        <v>55.666666666666664</v>
      </c>
      <c r="P681" s="13">
        <v>668</v>
      </c>
      <c r="Q681" s="22">
        <v>3.5869033383001181E-2</v>
      </c>
      <c r="R681" s="19">
        <f t="shared" si="77"/>
        <v>3.5619344022085109E-2</v>
      </c>
      <c r="S681" s="22">
        <v>4.0116973728962391E-2</v>
      </c>
      <c r="T681" s="19">
        <f t="shared" si="78"/>
        <v>4.2837463972790868E-2</v>
      </c>
      <c r="U681" s="24">
        <v>4.2468533137056674E-2</v>
      </c>
      <c r="V681" s="24">
        <f t="shared" si="79"/>
        <v>4.2852418845840345E-2</v>
      </c>
      <c r="W681" s="23">
        <f t="shared" si="80"/>
        <v>3.5026696758562181E-3</v>
      </c>
      <c r="X681" s="24">
        <v>4.1987916961536031E-2</v>
      </c>
      <c r="Y681" s="24">
        <f t="shared" si="81"/>
        <v>4.2848293726066577E-2</v>
      </c>
      <c r="Z681" s="23">
        <f t="shared" si="82"/>
        <v>3.5023298106300338E-3</v>
      </c>
      <c r="AA681" s="36"/>
    </row>
    <row r="682" spans="15:27" ht="13.9" customHeight="1" x14ac:dyDescent="0.3">
      <c r="O682" s="12">
        <f t="shared" si="76"/>
        <v>55.75</v>
      </c>
      <c r="P682" s="13">
        <v>669</v>
      </c>
      <c r="Q682" s="22">
        <v>3.5868660110334849E-2</v>
      </c>
      <c r="R682" s="19">
        <f t="shared" si="77"/>
        <v>3.5628738717588426E-2</v>
      </c>
      <c r="S682" s="22">
        <v>4.0121034930658217E-2</v>
      </c>
      <c r="T682" s="19">
        <f t="shared" si="78"/>
        <v>4.2838990137507249E-2</v>
      </c>
      <c r="U682" s="24">
        <v>4.2469106851779292E-2</v>
      </c>
      <c r="V682" s="24">
        <f t="shared" si="79"/>
        <v>4.2853530247713101E-2</v>
      </c>
      <c r="W682" s="23">
        <f t="shared" si="80"/>
        <v>3.5027594752461422E-3</v>
      </c>
      <c r="X682" s="24">
        <v>4.1989202495588129E-2</v>
      </c>
      <c r="Y682" s="24">
        <f t="shared" si="81"/>
        <v>4.2849516792525577E-2</v>
      </c>
      <c r="Z682" s="23">
        <f t="shared" si="82"/>
        <v>3.5024286856646381E-3</v>
      </c>
      <c r="AA682" s="36"/>
    </row>
    <row r="683" spans="15:27" ht="13.9" customHeight="1" x14ac:dyDescent="0.3">
      <c r="O683" s="12">
        <f t="shared" si="76"/>
        <v>55.833333333333336</v>
      </c>
      <c r="P683" s="13">
        <v>670</v>
      </c>
      <c r="Q683" s="22">
        <v>3.5868301977289851E-2</v>
      </c>
      <c r="R683" s="19">
        <f t="shared" si="77"/>
        <v>3.5638053868209507E-2</v>
      </c>
      <c r="S683" s="22">
        <v>4.0125086297081669E-2</v>
      </c>
      <c r="T683" s="19">
        <f t="shared" si="78"/>
        <v>4.2840501952709609E-2</v>
      </c>
      <c r="U683" s="24">
        <v>4.2469680512434049E-2</v>
      </c>
      <c r="V683" s="24">
        <f t="shared" si="79"/>
        <v>4.2854633267011444E-2</v>
      </c>
      <c r="W683" s="23">
        <f t="shared" si="80"/>
        <v>3.5028485973405132E-3</v>
      </c>
      <c r="X683" s="24">
        <v>4.1990486017773776E-2</v>
      </c>
      <c r="Y683" s="24">
        <f t="shared" si="81"/>
        <v>4.2850729983901159E-2</v>
      </c>
      <c r="Z683" s="23">
        <f t="shared" si="82"/>
        <v>3.5025267623705059E-3</v>
      </c>
      <c r="AA683" s="36"/>
    </row>
    <row r="684" spans="15:27" ht="13.9" customHeight="1" x14ac:dyDescent="0.3">
      <c r="O684" s="12">
        <f t="shared" si="76"/>
        <v>55.916666666666664</v>
      </c>
      <c r="P684" s="13">
        <v>671</v>
      </c>
      <c r="Q684" s="22">
        <v>3.5867958797462851E-2</v>
      </c>
      <c r="R684" s="19">
        <f t="shared" si="77"/>
        <v>3.5647290160538025E-2</v>
      </c>
      <c r="S684" s="22">
        <v>4.0129127850828672E-2</v>
      </c>
      <c r="T684" s="19">
        <f t="shared" si="78"/>
        <v>4.2841999554904753E-2</v>
      </c>
      <c r="U684" s="24">
        <v>4.2470254106774075E-2</v>
      </c>
      <c r="V684" s="24">
        <f t="shared" si="79"/>
        <v>4.2855727967232138E-2</v>
      </c>
      <c r="W684" s="23">
        <f t="shared" si="80"/>
        <v>3.5029370471595378E-3</v>
      </c>
      <c r="X684" s="24">
        <v>4.1991767522380652E-2</v>
      </c>
      <c r="Y684" s="24">
        <f t="shared" si="81"/>
        <v>4.2851933381767626E-2</v>
      </c>
      <c r="Z684" s="23">
        <f t="shared" si="82"/>
        <v>3.5026240470970027E-3</v>
      </c>
      <c r="AA684" s="36"/>
    </row>
    <row r="685" spans="15:27" ht="13.9" customHeight="1" x14ac:dyDescent="0.3">
      <c r="O685" s="12">
        <f t="shared" si="76"/>
        <v>56</v>
      </c>
      <c r="P685" s="13">
        <v>672</v>
      </c>
      <c r="Q685" s="22">
        <v>3.586763038658547E-2</v>
      </c>
      <c r="R685" s="19">
        <f t="shared" si="77"/>
        <v>3.565644827471659E-2</v>
      </c>
      <c r="S685" s="22">
        <v>4.0133159614563318E-2</v>
      </c>
      <c r="T685" s="19">
        <f t="shared" si="78"/>
        <v>4.2843483078531586E-2</v>
      </c>
      <c r="U685" s="24">
        <v>4.2470827622720142E-2</v>
      </c>
      <c r="V685" s="24">
        <f t="shared" si="79"/>
        <v>4.2856814413140709E-2</v>
      </c>
      <c r="W685" s="23">
        <f t="shared" si="80"/>
        <v>3.503024829796697E-3</v>
      </c>
      <c r="X685" s="24">
        <v>4.1993047003851425E-2</v>
      </c>
      <c r="Y685" s="24">
        <f t="shared" si="81"/>
        <v>4.285312706423916E-2</v>
      </c>
      <c r="Z685" s="23">
        <f t="shared" si="82"/>
        <v>3.5027205463884492E-3</v>
      </c>
      <c r="AA685" s="36"/>
    </row>
    <row r="686" spans="15:27" ht="13.9" customHeight="1" x14ac:dyDescent="0.3">
      <c r="O686" s="12">
        <f t="shared" si="76"/>
        <v>56.083333333333336</v>
      </c>
      <c r="P686" s="13">
        <v>673</v>
      </c>
      <c r="Q686" s="22">
        <v>3.5867316562499862E-2</v>
      </c>
      <c r="R686" s="19">
        <f t="shared" si="77"/>
        <v>3.5665528886441145E-2</v>
      </c>
      <c r="S686" s="22">
        <v>4.0137181611014316E-2</v>
      </c>
      <c r="T686" s="19">
        <f t="shared" si="78"/>
        <v>4.2844952654690793E-2</v>
      </c>
      <c r="U686" s="24">
        <v>4.2471401048360891E-2</v>
      </c>
      <c r="V686" s="24">
        <f t="shared" si="79"/>
        <v>4.2857892664718067E-2</v>
      </c>
      <c r="W686" s="23">
        <f t="shared" si="80"/>
        <v>3.5031119504473907E-3</v>
      </c>
      <c r="X686" s="24">
        <v>4.1994324456778198E-2</v>
      </c>
      <c r="Y686" s="24">
        <f t="shared" si="81"/>
        <v>4.28543111100681E-2</v>
      </c>
      <c r="Z686" s="23">
        <f t="shared" si="82"/>
        <v>3.5028162665111662E-3</v>
      </c>
      <c r="AA686" s="36"/>
    </row>
    <row r="687" spans="15:27" ht="13.9" customHeight="1" x14ac:dyDescent="0.3">
      <c r="O687" s="12">
        <f t="shared" si="76"/>
        <v>56.166666666666664</v>
      </c>
      <c r="P687" s="13">
        <v>674</v>
      </c>
      <c r="Q687" s="22">
        <v>3.5867017145135405E-2</v>
      </c>
      <c r="R687" s="19">
        <f t="shared" si="77"/>
        <v>3.5674532662634428E-2</v>
      </c>
      <c r="S687" s="22">
        <v>4.0141193862969438E-2</v>
      </c>
      <c r="T687" s="19">
        <f t="shared" si="78"/>
        <v>4.2846408416017168E-2</v>
      </c>
      <c r="U687" s="24">
        <v>4.2471974371944388E-2</v>
      </c>
      <c r="V687" s="24">
        <f t="shared" si="79"/>
        <v>4.2858962785623289E-2</v>
      </c>
      <c r="W687" s="23">
        <f t="shared" si="80"/>
        <v>3.5031984139233252E-3</v>
      </c>
      <c r="X687" s="24">
        <v>4.1995599875901624E-2</v>
      </c>
      <c r="Y687" s="24">
        <f t="shared" si="81"/>
        <v>4.2855485598179976E-2</v>
      </c>
      <c r="Z687" s="23">
        <f t="shared" si="82"/>
        <v>3.5029112137823226E-3</v>
      </c>
      <c r="AA687" s="36"/>
    </row>
    <row r="688" spans="15:27" ht="13.9" customHeight="1" x14ac:dyDescent="0.3">
      <c r="O688" s="12">
        <f t="shared" si="76"/>
        <v>56.25</v>
      </c>
      <c r="P688" s="13">
        <v>675</v>
      </c>
      <c r="Q688" s="22">
        <v>3.5866731956480713E-2</v>
      </c>
      <c r="R688" s="19">
        <f t="shared" si="77"/>
        <v>3.5683460266770828E-2</v>
      </c>
      <c r="S688" s="22">
        <v>4.0145196393277516E-2</v>
      </c>
      <c r="T688" s="19">
        <f t="shared" si="78"/>
        <v>4.2847850492347739E-2</v>
      </c>
      <c r="U688" s="24">
        <v>4.2472547581883013E-2</v>
      </c>
      <c r="V688" s="24">
        <f t="shared" si="79"/>
        <v>4.2860024836318455E-2</v>
      </c>
      <c r="W688" s="23">
        <f t="shared" si="80"/>
        <v>3.5032842253310825E-3</v>
      </c>
      <c r="X688" s="24">
        <v>4.1996873256110456E-2</v>
      </c>
      <c r="Y688" s="24">
        <f t="shared" si="81"/>
        <v>4.2856650604816471E-2</v>
      </c>
      <c r="Z688" s="23">
        <f t="shared" si="82"/>
        <v>3.5030053945337425E-3</v>
      </c>
      <c r="AA688" s="36"/>
    </row>
    <row r="689" spans="15:27" ht="13.9" customHeight="1" x14ac:dyDescent="0.3">
      <c r="O689" s="12">
        <f t="shared" si="76"/>
        <v>56.333333333333336</v>
      </c>
      <c r="P689" s="13">
        <v>676</v>
      </c>
      <c r="Q689" s="22">
        <v>3.5866460820562995E-2</v>
      </c>
      <c r="R689" s="19">
        <f t="shared" si="77"/>
        <v>3.5692312354252964E-2</v>
      </c>
      <c r="S689" s="22">
        <v>4.0149189224843784E-2</v>
      </c>
      <c r="T689" s="19">
        <f t="shared" si="78"/>
        <v>4.2849279012771468E-2</v>
      </c>
      <c r="U689" s="24">
        <v>4.24731206667468E-2</v>
      </c>
      <c r="V689" s="24">
        <f t="shared" si="79"/>
        <v>4.2861078878307923E-2</v>
      </c>
      <c r="W689" s="23">
        <f t="shared" si="80"/>
        <v>3.5033693895207829E-3</v>
      </c>
      <c r="X689" s="24">
        <v>4.1998144592436226E-2</v>
      </c>
      <c r="Y689" s="24">
        <f t="shared" si="81"/>
        <v>4.2857806207041493E-2</v>
      </c>
      <c r="Z689" s="23">
        <f t="shared" si="82"/>
        <v>3.5030988148812003E-3</v>
      </c>
      <c r="AA689" s="36"/>
    </row>
    <row r="690" spans="15:27" ht="13.9" customHeight="1" x14ac:dyDescent="0.3">
      <c r="O690" s="12">
        <f t="shared" si="76"/>
        <v>56.416666666666664</v>
      </c>
      <c r="P690" s="13">
        <v>677</v>
      </c>
      <c r="Q690" s="22">
        <v>3.5866203563420962E-2</v>
      </c>
      <c r="R690" s="19">
        <f t="shared" si="77"/>
        <v>3.5701089576670508E-2</v>
      </c>
      <c r="S690" s="22">
        <v>4.0153172380628321E-2</v>
      </c>
      <c r="T690" s="19">
        <f t="shared" si="78"/>
        <v>4.2850694104939357E-2</v>
      </c>
      <c r="U690" s="24">
        <v>4.2473693615264319E-2</v>
      </c>
      <c r="V690" s="24">
        <f t="shared" si="79"/>
        <v>4.286212497245323E-2</v>
      </c>
      <c r="W690" s="23">
        <f t="shared" si="80"/>
        <v>3.5034539114262575E-3</v>
      </c>
      <c r="X690" s="24">
        <v>4.1999413880053682E-2</v>
      </c>
      <c r="Y690" s="24">
        <f t="shared" si="81"/>
        <v>4.2858952481708457E-2</v>
      </c>
      <c r="Z690" s="23">
        <f t="shared" si="82"/>
        <v>3.5031914810068621E-3</v>
      </c>
      <c r="AA690" s="36"/>
    </row>
    <row r="691" spans="15:27" ht="13.9" customHeight="1" x14ac:dyDescent="0.3">
      <c r="O691" s="12">
        <f t="shared" si="76"/>
        <v>56.5</v>
      </c>
      <c r="P691" s="13">
        <v>678</v>
      </c>
      <c r="Q691" s="22">
        <v>3.5865960013084619E-2</v>
      </c>
      <c r="R691" s="19">
        <f t="shared" si="77"/>
        <v>3.5709792578665578E-2</v>
      </c>
      <c r="S691" s="22">
        <v>4.0157145883643608E-2</v>
      </c>
      <c r="T691" s="19">
        <f t="shared" si="78"/>
        <v>4.2852095894920561E-2</v>
      </c>
      <c r="U691" s="24">
        <v>4.2474266416320461E-2</v>
      </c>
      <c r="V691" s="24">
        <f t="shared" si="79"/>
        <v>4.2863163177873753E-2</v>
      </c>
      <c r="W691" s="23">
        <f t="shared" si="80"/>
        <v>3.503537795929601E-3</v>
      </c>
      <c r="X691" s="24">
        <v>4.2000681114279459E-2</v>
      </c>
      <c r="Y691" s="24">
        <f t="shared" si="81"/>
        <v>4.2860089502898324E-2</v>
      </c>
      <c r="Z691" s="23">
        <f t="shared" si="82"/>
        <v>3.5032833990757961E-3</v>
      </c>
      <c r="AA691" s="36"/>
    </row>
    <row r="692" spans="15:27" ht="13.9" customHeight="1" x14ac:dyDescent="0.3">
      <c r="O692" s="12">
        <f t="shared" si="76"/>
        <v>56.583333333333336</v>
      </c>
      <c r="P692" s="13">
        <v>679</v>
      </c>
      <c r="Q692" s="22">
        <v>3.5865729999549734E-2</v>
      </c>
      <c r="R692" s="19">
        <f t="shared" si="77"/>
        <v>3.5718421999187289E-2</v>
      </c>
      <c r="S692" s="22">
        <v>4.0161109756951863E-2</v>
      </c>
      <c r="T692" s="19">
        <f t="shared" si="78"/>
        <v>4.2853484509182804E-2</v>
      </c>
      <c r="U692" s="24">
        <v>4.247483905895244E-2</v>
      </c>
      <c r="V692" s="24">
        <f t="shared" si="79"/>
        <v>4.2864193555682162E-2</v>
      </c>
      <c r="W692" s="23">
        <f t="shared" si="80"/>
        <v>3.5036210477734642E-3</v>
      </c>
      <c r="X692" s="24">
        <v>4.2001946290566305E-2</v>
      </c>
      <c r="Y692" s="24">
        <f t="shared" si="81"/>
        <v>4.2861217346870761E-2</v>
      </c>
      <c r="Z692" s="23">
        <f t="shared" si="82"/>
        <v>3.5033745750303602E-3</v>
      </c>
      <c r="AA692" s="36"/>
    </row>
    <row r="693" spans="15:27" ht="13.9" customHeight="1" x14ac:dyDescent="0.3">
      <c r="O693" s="12">
        <f t="shared" si="76"/>
        <v>56.666666666666664</v>
      </c>
      <c r="P693" s="13">
        <v>680</v>
      </c>
      <c r="Q693" s="22">
        <v>3.5865513354755407E-2</v>
      </c>
      <c r="R693" s="19">
        <f t="shared" si="77"/>
        <v>3.5726978471412707E-2</v>
      </c>
      <c r="S693" s="22">
        <v>4.0165064023665042E-2</v>
      </c>
      <c r="T693" s="19">
        <f t="shared" si="78"/>
        <v>4.2854860070873801E-2</v>
      </c>
      <c r="U693" s="24">
        <v>4.2475411532351792E-2</v>
      </c>
      <c r="V693" s="24">
        <f t="shared" si="79"/>
        <v>4.2865216163744613E-2</v>
      </c>
      <c r="W693" s="23">
        <f t="shared" si="80"/>
        <v>3.5037036718599257E-3</v>
      </c>
      <c r="X693" s="24">
        <v>4.2003209404506192E-2</v>
      </c>
      <c r="Y693" s="24">
        <f t="shared" si="81"/>
        <v>4.2862336087574615E-2</v>
      </c>
      <c r="Z693" s="23">
        <f t="shared" si="82"/>
        <v>3.5034650149883273E-3</v>
      </c>
      <c r="AA693" s="36"/>
    </row>
    <row r="694" spans="15:27" ht="13.9" customHeight="1" x14ac:dyDescent="0.3">
      <c r="O694" s="12">
        <f t="shared" si="76"/>
        <v>56.75</v>
      </c>
      <c r="P694" s="13">
        <v>681</v>
      </c>
      <c r="Q694" s="22">
        <v>3.5865309912561205E-2</v>
      </c>
      <c r="R694" s="19">
        <f t="shared" si="77"/>
        <v>3.5735462623570635E-2</v>
      </c>
      <c r="S694" s="22">
        <v>4.0169008706939957E-2</v>
      </c>
      <c r="T694" s="19">
        <f t="shared" si="78"/>
        <v>4.2856222703266278E-2</v>
      </c>
      <c r="U694" s="24">
        <v>4.2475983825858821E-2</v>
      </c>
      <c r="V694" s="24">
        <f t="shared" si="79"/>
        <v>4.2866231061397198E-2</v>
      </c>
      <c r="W694" s="23">
        <f t="shared" si="80"/>
        <v>3.5037856728308281E-3</v>
      </c>
      <c r="X694" s="24">
        <v>4.2004470451825426E-2</v>
      </c>
      <c r="Y694" s="24">
        <f t="shared" si="81"/>
        <v>4.2863445797844735E-2</v>
      </c>
      <c r="Z694" s="23">
        <f t="shared" si="82"/>
        <v>3.503554724881397E-3</v>
      </c>
      <c r="AA694" s="36"/>
    </row>
    <row r="695" spans="15:27" ht="13.9" customHeight="1" x14ac:dyDescent="0.3">
      <c r="O695" s="12">
        <f t="shared" si="76"/>
        <v>56.833333333333336</v>
      </c>
      <c r="P695" s="13">
        <v>682</v>
      </c>
      <c r="Q695" s="22">
        <v>3.5865119508725396E-2</v>
      </c>
      <c r="R695" s="19">
        <f t="shared" si="77"/>
        <v>3.574387507722121E-2</v>
      </c>
      <c r="S695" s="22">
        <v>4.0172943829977825E-2</v>
      </c>
      <c r="T695" s="19">
        <f t="shared" si="78"/>
        <v>4.2857572527681187E-2</v>
      </c>
      <c r="U695" s="24">
        <v>4.2476555928962823E-2</v>
      </c>
      <c r="V695" s="24">
        <f t="shared" si="79"/>
        <v>4.2867238306529387E-2</v>
      </c>
      <c r="W695" s="23">
        <f t="shared" si="80"/>
        <v>3.5038670554459195E-3</v>
      </c>
      <c r="X695" s="24">
        <v>4.2005729428381766E-2</v>
      </c>
      <c r="Y695" s="24">
        <f t="shared" si="81"/>
        <v>4.2864546551348415E-2</v>
      </c>
      <c r="Z695" s="23">
        <f t="shared" si="82"/>
        <v>3.5036437105524509E-3</v>
      </c>
      <c r="AA695" s="36"/>
    </row>
    <row r="696" spans="15:27" ht="13.9" customHeight="1" x14ac:dyDescent="0.3">
      <c r="O696" s="12">
        <f t="shared" si="76"/>
        <v>56.916666666666664</v>
      </c>
      <c r="P696" s="13">
        <v>683</v>
      </c>
      <c r="Q696" s="22">
        <v>3.5864941980881637E-2</v>
      </c>
      <c r="R696" s="19">
        <f t="shared" si="77"/>
        <v>3.5752216449386198E-2</v>
      </c>
      <c r="S696" s="22">
        <v>4.0176869416021166E-2</v>
      </c>
      <c r="T696" s="19">
        <f t="shared" si="78"/>
        <v>4.285890966592043E-2</v>
      </c>
      <c r="U696" s="24">
        <v>4.2477127831299866E-2</v>
      </c>
      <c r="V696" s="24">
        <f>(1+U697)^P697/(1+U696)^P696-1</f>
        <v>4.2868237957144117E-2</v>
      </c>
      <c r="W696" s="23">
        <f t="shared" si="80"/>
        <v>3.5039478243490407E-3</v>
      </c>
      <c r="X696" s="24">
        <v>4.2006986330165308E-2</v>
      </c>
      <c r="Y696" s="24">
        <f t="shared" si="81"/>
        <v>4.2865638420826135E-2</v>
      </c>
      <c r="Z696" s="23">
        <f t="shared" si="82"/>
        <v>3.5037319779109843E-3</v>
      </c>
      <c r="AA696" s="36"/>
    </row>
    <row r="697" spans="15:27" ht="13.9" customHeight="1" x14ac:dyDescent="0.3">
      <c r="O697" s="12">
        <f t="shared" si="76"/>
        <v>57</v>
      </c>
      <c r="P697" s="13">
        <v>684</v>
      </c>
      <c r="Q697" s="22">
        <v>3.5864777168518325E-2</v>
      </c>
      <c r="R697" s="19">
        <f t="shared" si="77"/>
        <v>3.5760487351334858E-2</v>
      </c>
      <c r="S697" s="22">
        <v>4.0180785488354465E-2</v>
      </c>
      <c r="T697" s="19">
        <f t="shared" si="78"/>
        <v>4.2860234236611339E-2</v>
      </c>
      <c r="U697" s="24">
        <v>4.2477699522651235E-2</v>
      </c>
      <c r="V697" s="24">
        <f t="shared" si="79"/>
        <v>4.2869230071304276E-2</v>
      </c>
      <c r="W697" s="23">
        <f t="shared" si="80"/>
        <v>3.5040279841926925E-3</v>
      </c>
      <c r="X697" s="24">
        <v>4.2008241153295822E-2</v>
      </c>
      <c r="Y697" s="24">
        <f t="shared" si="81"/>
        <v>4.2866721478145964E-2</v>
      </c>
      <c r="Z697" s="23">
        <f t="shared" si="82"/>
        <v>3.5038195327914412E-3</v>
      </c>
      <c r="AA697" s="36"/>
    </row>
    <row r="698" spans="15:27" ht="13.9" customHeight="1" x14ac:dyDescent="0.3">
      <c r="O698" s="12">
        <f t="shared" si="76"/>
        <v>57.083333333333336</v>
      </c>
      <c r="P698" s="13">
        <v>685</v>
      </c>
      <c r="Q698" s="22">
        <v>3.5864624912956611E-2</v>
      </c>
      <c r="R698" s="19">
        <f t="shared" si="77"/>
        <v>3.5768688388728931E-2</v>
      </c>
      <c r="S698" s="22">
        <v>4.0184692070298622E-2</v>
      </c>
      <c r="T698" s="19">
        <f t="shared" si="78"/>
        <v>4.2861546358290648E-2</v>
      </c>
      <c r="U698" s="24">
        <v>4.2478270992942324E-2</v>
      </c>
      <c r="V698" s="24">
        <f t="shared" si="79"/>
        <v>4.2870214705755361E-2</v>
      </c>
      <c r="W698" s="23">
        <f t="shared" si="80"/>
        <v>3.5041075396344823E-3</v>
      </c>
      <c r="X698" s="24">
        <v>4.2009493894020311E-2</v>
      </c>
      <c r="Y698" s="24">
        <f t="shared" si="81"/>
        <v>4.2867795793955166E-2</v>
      </c>
      <c r="Z698" s="23">
        <f t="shared" si="82"/>
        <v>3.5039063809592097E-3</v>
      </c>
      <c r="AA698" s="36"/>
    </row>
    <row r="699" spans="15:27" ht="13.9" customHeight="1" x14ac:dyDescent="0.3">
      <c r="O699" s="12">
        <f t="shared" si="76"/>
        <v>57.166666666666664</v>
      </c>
      <c r="P699" s="13">
        <v>686</v>
      </c>
      <c r="Q699" s="22">
        <v>3.5864485057328865E-2</v>
      </c>
      <c r="R699" s="19">
        <f t="shared" si="77"/>
        <v>3.5776820160946965E-2</v>
      </c>
      <c r="S699" s="22">
        <v>4.0188589185211399E-2</v>
      </c>
      <c r="T699" s="19">
        <f t="shared" si="78"/>
        <v>4.2862846147868838E-2</v>
      </c>
      <c r="U699" s="24">
        <v>4.247884223224041E-2</v>
      </c>
      <c r="V699" s="24">
        <f t="shared" si="79"/>
        <v>4.287119191516009E-2</v>
      </c>
      <c r="W699" s="23">
        <f t="shared" si="80"/>
        <v>3.5041864952265467E-3</v>
      </c>
      <c r="X699" s="24">
        <v>4.2010744548710788E-2</v>
      </c>
      <c r="Y699" s="24">
        <f t="shared" si="81"/>
        <v>4.2868861438724037E-2</v>
      </c>
      <c r="Z699" s="23">
        <f t="shared" si="82"/>
        <v>3.5039925280815343E-3</v>
      </c>
      <c r="AA699" s="36"/>
    </row>
    <row r="700" spans="15:27" ht="13.9" customHeight="1" x14ac:dyDescent="0.3">
      <c r="O700" s="12">
        <f t="shared" si="76"/>
        <v>57.25</v>
      </c>
      <c r="P700" s="13">
        <v>687</v>
      </c>
      <c r="Q700" s="22">
        <v>3.5864357446556472E-2</v>
      </c>
      <c r="R700" s="19">
        <f t="shared" si="77"/>
        <v>3.5784883264672995E-2</v>
      </c>
      <c r="S700" s="22">
        <v>4.0192476856484083E-2</v>
      </c>
      <c r="T700" s="19">
        <f t="shared" si="78"/>
        <v>4.2864133722641196E-2</v>
      </c>
      <c r="U700" s="24">
        <v>4.2479413230749996E-2</v>
      </c>
      <c r="V700" s="24">
        <f t="shared" si="79"/>
        <v>4.2872161759404781E-2</v>
      </c>
      <c r="W700" s="23">
        <f t="shared" si="80"/>
        <v>3.5042648553533784E-3</v>
      </c>
      <c r="X700" s="24">
        <v>4.2011993113862944E-2</v>
      </c>
      <c r="Y700" s="24">
        <f t="shared" si="81"/>
        <v>4.286991848461974E-2</v>
      </c>
      <c r="Z700" s="23">
        <f t="shared" si="82"/>
        <v>3.5040779798107824E-3</v>
      </c>
      <c r="AA700" s="36"/>
    </row>
    <row r="701" spans="15:27" ht="13.9" customHeight="1" x14ac:dyDescent="0.3">
      <c r="O701" s="12">
        <f t="shared" si="76"/>
        <v>57.333333333333336</v>
      </c>
      <c r="P701" s="13">
        <v>688</v>
      </c>
      <c r="Q701" s="22">
        <v>3.5864241927332063E-2</v>
      </c>
      <c r="R701" s="19">
        <f t="shared" si="77"/>
        <v>3.579287828808142E-2</v>
      </c>
      <c r="S701" s="22">
        <v>4.0196355107542159E-2</v>
      </c>
      <c r="T701" s="19">
        <f t="shared" si="78"/>
        <v>4.2865409196485293E-2</v>
      </c>
      <c r="U701" s="24">
        <v>4.2479983978819469E-2</v>
      </c>
      <c r="V701" s="24">
        <f t="shared" si="79"/>
        <v>4.2873124290415232E-2</v>
      </c>
      <c r="W701" s="23">
        <f t="shared" si="80"/>
        <v>3.5043426248186904E-3</v>
      </c>
      <c r="X701" s="24">
        <v>4.2013239586097262E-2</v>
      </c>
      <c r="Y701" s="24">
        <f t="shared" si="81"/>
        <v>4.2870966999099203E-2</v>
      </c>
      <c r="Z701" s="23">
        <f t="shared" si="82"/>
        <v>3.504162741936101E-3</v>
      </c>
      <c r="AA701" s="36"/>
    </row>
    <row r="702" spans="15:27" ht="13.9" customHeight="1" x14ac:dyDescent="0.3">
      <c r="O702" s="12">
        <f t="shared" si="76"/>
        <v>57.416666666666664</v>
      </c>
      <c r="P702" s="13">
        <v>689</v>
      </c>
      <c r="Q702" s="22">
        <v>3.5864138348095542E-2</v>
      </c>
      <c r="R702" s="19">
        <f t="shared" si="77"/>
        <v>3.5800805816964987E-2</v>
      </c>
      <c r="S702" s="22">
        <v>4.0200223961840198E-2</v>
      </c>
      <c r="T702" s="19">
        <f t="shared" si="78"/>
        <v>4.2866672684016782E-2</v>
      </c>
      <c r="U702" s="24">
        <v>4.2480554466928666E-2</v>
      </c>
      <c r="V702" s="24">
        <f t="shared" si="79"/>
        <v>4.2874079566182166E-2</v>
      </c>
      <c r="W702" s="23">
        <f t="shared" si="80"/>
        <v>3.5044198077880395E-3</v>
      </c>
      <c r="X702" s="24">
        <v>4.2014483962152127E-2</v>
      </c>
      <c r="Y702" s="24">
        <f t="shared" si="81"/>
        <v>4.2872007052674688E-2</v>
      </c>
      <c r="Z702" s="23">
        <f t="shared" si="82"/>
        <v>3.5042468198687171E-3</v>
      </c>
      <c r="AA702" s="36"/>
    </row>
    <row r="703" spans="15:27" ht="13.9" customHeight="1" x14ac:dyDescent="0.3">
      <c r="O703" s="12">
        <f t="shared" si="76"/>
        <v>57.5</v>
      </c>
      <c r="P703" s="13">
        <v>690</v>
      </c>
      <c r="Q703" s="22">
        <v>3.5864046559016538E-2</v>
      </c>
      <c r="R703" s="19">
        <f t="shared" si="77"/>
        <v>3.580866642980407E-2</v>
      </c>
      <c r="S703" s="22">
        <v>4.0204083442862082E-2</v>
      </c>
      <c r="T703" s="19">
        <f t="shared" si="78"/>
        <v>4.2867924297565141E-2</v>
      </c>
      <c r="U703" s="24">
        <v>4.2481124685696425E-2</v>
      </c>
      <c r="V703" s="24">
        <f t="shared" si="79"/>
        <v>4.2875027639101226E-2</v>
      </c>
      <c r="W703" s="23">
        <f t="shared" si="80"/>
        <v>3.5044964089128161E-3</v>
      </c>
      <c r="X703" s="24">
        <v>4.2015726238886497E-2</v>
      </c>
      <c r="Y703" s="24">
        <f t="shared" si="81"/>
        <v>4.2873038711914724E-2</v>
      </c>
      <c r="Z703" s="23">
        <f t="shared" si="82"/>
        <v>3.5043302192645509E-3</v>
      </c>
      <c r="AA703" s="36"/>
    </row>
    <row r="704" spans="15:27" ht="13.9" customHeight="1" x14ac:dyDescent="0.3">
      <c r="O704" s="12">
        <f t="shared" si="76"/>
        <v>57.583333333333336</v>
      </c>
      <c r="P704" s="13">
        <v>691</v>
      </c>
      <c r="Q704" s="22">
        <v>3.5863966411972426E-2</v>
      </c>
      <c r="R704" s="19">
        <f t="shared" si="77"/>
        <v>3.5816460701125319E-2</v>
      </c>
      <c r="S704" s="22">
        <v>4.0207933574118337E-2</v>
      </c>
      <c r="T704" s="19">
        <f t="shared" si="78"/>
        <v>4.2869164149186068E-2</v>
      </c>
      <c r="U704" s="24">
        <v>4.2481694625872146E-2</v>
      </c>
      <c r="V704" s="24">
        <f t="shared" si="79"/>
        <v>4.2875968565921685E-2</v>
      </c>
      <c r="W704" s="23">
        <f t="shared" si="80"/>
        <v>3.5045724323961025E-3</v>
      </c>
      <c r="X704" s="24">
        <v>4.2016966413274126E-2</v>
      </c>
      <c r="Y704" s="24">
        <f t="shared" si="81"/>
        <v>4.2874062046065919E-2</v>
      </c>
      <c r="Z704" s="23">
        <f t="shared" si="82"/>
        <v>3.504412945463331E-3</v>
      </c>
      <c r="AA704" s="36"/>
    </row>
    <row r="705" spans="15:27" ht="13.9" customHeight="1" x14ac:dyDescent="0.3">
      <c r="O705" s="12">
        <f t="shared" si="76"/>
        <v>57.666666666666664</v>
      </c>
      <c r="P705" s="13">
        <v>692</v>
      </c>
      <c r="Q705" s="22">
        <v>3.5863897760529229E-2</v>
      </c>
      <c r="R705" s="19">
        <f t="shared" si="77"/>
        <v>3.5824189199914036E-2</v>
      </c>
      <c r="S705" s="22">
        <v>4.0211774379145249E-2</v>
      </c>
      <c r="T705" s="19">
        <f t="shared" si="78"/>
        <v>4.2870392350299547E-2</v>
      </c>
      <c r="U705" s="24">
        <v>4.2482264278340232E-2</v>
      </c>
      <c r="V705" s="24">
        <f t="shared" si="79"/>
        <v>4.2876902399379579E-2</v>
      </c>
      <c r="W705" s="23">
        <f t="shared" si="80"/>
        <v>3.5046478827895911E-3</v>
      </c>
      <c r="X705" s="24">
        <v>4.2018204482406007E-2</v>
      </c>
      <c r="Y705" s="24">
        <f t="shared" si="81"/>
        <v>4.2875077123326166E-2</v>
      </c>
      <c r="Z705" s="23">
        <f t="shared" si="82"/>
        <v>3.5044950040199474E-3</v>
      </c>
      <c r="AA705" s="36"/>
    </row>
    <row r="706" spans="15:27" ht="13.9" customHeight="1" x14ac:dyDescent="0.3">
      <c r="O706" s="12">
        <f t="shared" si="76"/>
        <v>57.75</v>
      </c>
      <c r="P706" s="13">
        <v>693</v>
      </c>
      <c r="Q706" s="22">
        <v>3.5863840459922303E-2</v>
      </c>
      <c r="R706" s="19">
        <f t="shared" si="77"/>
        <v>3.5831852490072036E-2</v>
      </c>
      <c r="S706" s="22">
        <v>4.0215605881503302E-2</v>
      </c>
      <c r="T706" s="19">
        <f t="shared" si="78"/>
        <v>4.2871609009553335E-2</v>
      </c>
      <c r="U706" s="24">
        <v>4.2482833634114092E-2</v>
      </c>
      <c r="V706" s="24">
        <f t="shared" si="79"/>
        <v>4.2877829193029182E-2</v>
      </c>
      <c r="W706" s="23">
        <f t="shared" si="80"/>
        <v>3.5047227643238976E-3</v>
      </c>
      <c r="X706" s="24">
        <v>4.2019440443488376E-2</v>
      </c>
      <c r="Y706" s="24">
        <f t="shared" si="81"/>
        <v>4.2876084007842152E-2</v>
      </c>
      <c r="Z706" s="23">
        <f t="shared" si="82"/>
        <v>3.5045764004046909E-3</v>
      </c>
      <c r="AA706" s="36"/>
    </row>
    <row r="707" spans="15:27" ht="13.9" customHeight="1" x14ac:dyDescent="0.3">
      <c r="O707" s="12">
        <f t="shared" si="76"/>
        <v>57.833333333333336</v>
      </c>
      <c r="P707" s="13">
        <v>694</v>
      </c>
      <c r="Q707" s="22">
        <v>3.5863794367036128E-2</v>
      </c>
      <c r="R707" s="19">
        <f t="shared" si="77"/>
        <v>3.5839451130929234E-2</v>
      </c>
      <c r="S707" s="22">
        <v>4.0219428104773636E-2</v>
      </c>
      <c r="T707" s="19">
        <f t="shared" si="78"/>
        <v>4.2872814236241785E-2</v>
      </c>
      <c r="U707" s="24">
        <v>4.2483402684335925E-2</v>
      </c>
      <c r="V707" s="24">
        <f t="shared" si="79"/>
        <v>4.2878749000430982E-2</v>
      </c>
      <c r="W707" s="23">
        <f t="shared" si="80"/>
        <v>3.5047970812944751E-3</v>
      </c>
      <c r="X707" s="24">
        <v>4.2020674293835825E-2</v>
      </c>
      <c r="Y707" s="24">
        <f t="shared" si="81"/>
        <v>4.2877082768637553E-2</v>
      </c>
      <c r="Z707" s="23">
        <f t="shared" si="82"/>
        <v>3.504657139762779E-3</v>
      </c>
      <c r="AA707" s="36"/>
    </row>
    <row r="708" spans="15:27" ht="13.9" customHeight="1" x14ac:dyDescent="0.3">
      <c r="O708" s="12">
        <f t="shared" si="76"/>
        <v>57.916666666666664</v>
      </c>
      <c r="P708" s="13">
        <v>695</v>
      </c>
      <c r="Q708" s="22">
        <v>3.5863759340386103E-2</v>
      </c>
      <c r="R708" s="19">
        <f t="shared" si="77"/>
        <v>3.5846985676488474E-2</v>
      </c>
      <c r="S708" s="22">
        <v>4.0223241072558702E-2</v>
      </c>
      <c r="T708" s="19">
        <f t="shared" si="78"/>
        <v>4.2874008137603337E-2</v>
      </c>
      <c r="U708" s="24">
        <v>4.2483971420275823E-2</v>
      </c>
      <c r="V708" s="24">
        <f t="shared" si="79"/>
        <v>4.2879661874077657E-2</v>
      </c>
      <c r="W708" s="23">
        <f t="shared" si="80"/>
        <v>3.5048708379978866E-3</v>
      </c>
      <c r="X708" s="24">
        <v>4.2021906030877521E-2</v>
      </c>
      <c r="Y708" s="24">
        <f t="shared" si="81"/>
        <v>4.2878073469031275E-2</v>
      </c>
      <c r="Z708" s="23">
        <f t="shared" si="82"/>
        <v>3.5047372276311162E-3</v>
      </c>
      <c r="AA708" s="36"/>
    </row>
    <row r="709" spans="15:27" ht="13.9" customHeight="1" x14ac:dyDescent="0.3">
      <c r="O709" s="12">
        <f t="shared" si="76"/>
        <v>58</v>
      </c>
      <c r="P709" s="13">
        <v>696</v>
      </c>
      <c r="Q709" s="22">
        <v>3.5863735240099448E-2</v>
      </c>
      <c r="R709" s="19">
        <f t="shared" si="77"/>
        <v>3.5854456676460478E-2</v>
      </c>
      <c r="S709" s="22">
        <v>4.0227044808478718E-2</v>
      </c>
      <c r="T709" s="19">
        <f t="shared" si="78"/>
        <v>4.2875190821358711E-2</v>
      </c>
      <c r="U709" s="24">
        <v>4.2484539833329782E-2</v>
      </c>
      <c r="V709" s="24">
        <f t="shared" si="79"/>
        <v>4.2880567867868091E-2</v>
      </c>
      <c r="W709" s="23">
        <f t="shared" si="80"/>
        <v>3.5049440386443198E-3</v>
      </c>
      <c r="X709" s="24">
        <v>4.2023135652148769E-2</v>
      </c>
      <c r="Y709" s="24">
        <f t="shared" si="81"/>
        <v>4.2879056177290265E-2</v>
      </c>
      <c r="Z709" s="23">
        <f t="shared" si="82"/>
        <v>3.5048166690885285E-3</v>
      </c>
      <c r="AA709" s="36"/>
    </row>
    <row r="710" spans="15:27" ht="13.9" customHeight="1" x14ac:dyDescent="0.3">
      <c r="O710" s="12">
        <f t="shared" si="76"/>
        <v>58.083333333333336</v>
      </c>
      <c r="P710" s="13">
        <v>697</v>
      </c>
      <c r="Q710" s="22">
        <v>3.5863721927896997E-2</v>
      </c>
      <c r="R710" s="19">
        <f t="shared" si="77"/>
        <v>3.5861864674003652E-2</v>
      </c>
      <c r="S710" s="22">
        <v>4.0230839336172997E-2</v>
      </c>
      <c r="T710" s="19">
        <f t="shared" si="78"/>
        <v>4.2876362391761846E-2</v>
      </c>
      <c r="U710" s="24">
        <v>4.2485107915020137E-2</v>
      </c>
      <c r="V710" s="24">
        <f t="shared" si="79"/>
        <v>4.288146703142437E-2</v>
      </c>
      <c r="W710" s="23">
        <f t="shared" si="80"/>
        <v>3.5050166875572053E-3</v>
      </c>
      <c r="X710" s="24">
        <v>4.2024363155296118E-2</v>
      </c>
      <c r="Y710" s="24">
        <f t="shared" si="81"/>
        <v>4.2880030954683068E-2</v>
      </c>
      <c r="Z710" s="23">
        <f t="shared" si="82"/>
        <v>3.5048954696110801E-3</v>
      </c>
      <c r="AA710" s="36"/>
    </row>
    <row r="711" spans="15:27" ht="13.9" customHeight="1" x14ac:dyDescent="0.3">
      <c r="O711" s="12">
        <f t="shared" si="76"/>
        <v>58.166666666666664</v>
      </c>
      <c r="P711" s="13">
        <v>698</v>
      </c>
      <c r="Q711" s="22">
        <v>3.5863719267072325E-2</v>
      </c>
      <c r="R711" s="19">
        <f t="shared" si="77"/>
        <v>3.5869210210902391E-2</v>
      </c>
      <c r="S711" s="22">
        <v>4.0234624679293951E-2</v>
      </c>
      <c r="T711" s="19">
        <f t="shared" si="78"/>
        <v>4.2877522953665537E-2</v>
      </c>
      <c r="U711" s="24">
        <v>4.248567565698913E-2</v>
      </c>
      <c r="V711" s="24">
        <f t="shared" si="79"/>
        <v>4.2882359417257598E-2</v>
      </c>
      <c r="W711" s="23">
        <f t="shared" si="80"/>
        <v>3.5050887887171367E-3</v>
      </c>
      <c r="X711" s="24">
        <v>4.2025588538068037E-2</v>
      </c>
      <c r="Y711" s="24">
        <f t="shared" si="81"/>
        <v>4.2880997867025927E-2</v>
      </c>
      <c r="Z711" s="23">
        <f t="shared" si="82"/>
        <v>3.5049736341132842E-3</v>
      </c>
      <c r="AA711" s="36"/>
    </row>
    <row r="712" spans="15:27" ht="13.9" customHeight="1" x14ac:dyDescent="0.3">
      <c r="O712" s="12">
        <f t="shared" si="76"/>
        <v>58.25</v>
      </c>
      <c r="P712" s="13">
        <v>699</v>
      </c>
      <c r="Q712" s="22">
        <v>3.5863727122479094E-2</v>
      </c>
      <c r="R712" s="19">
        <f t="shared" si="77"/>
        <v>3.5876493819547939E-2</v>
      </c>
      <c r="S712" s="22">
        <v>4.0238400861508872E-2</v>
      </c>
      <c r="T712" s="19">
        <f t="shared" si="78"/>
        <v>4.2878672611758484E-2</v>
      </c>
      <c r="U712" s="24">
        <v>4.2486243051001793E-2</v>
      </c>
      <c r="V712" s="24">
        <f t="shared" si="79"/>
        <v>4.288324507730934E-2</v>
      </c>
      <c r="W712" s="23">
        <f t="shared" si="80"/>
        <v>3.505160346335856E-3</v>
      </c>
      <c r="X712" s="24">
        <v>4.2026811798319574E-2</v>
      </c>
      <c r="Y712" s="24">
        <f t="shared" si="81"/>
        <v>4.2881956977962821E-2</v>
      </c>
      <c r="Z712" s="23">
        <f t="shared" si="82"/>
        <v>3.5050511678742513E-3</v>
      </c>
      <c r="AA712" s="36"/>
    </row>
    <row r="713" spans="15:27" ht="13.9" customHeight="1" x14ac:dyDescent="0.3">
      <c r="O713" s="12">
        <f t="shared" si="76"/>
        <v>58.333333333333336</v>
      </c>
      <c r="P713" s="13">
        <v>700</v>
      </c>
      <c r="Q713" s="22">
        <v>3.5863745360505517E-2</v>
      </c>
      <c r="R713" s="19">
        <f t="shared" si="77"/>
        <v>3.5883716031682944E-2</v>
      </c>
      <c r="S713" s="22">
        <v>4.0242167906498372E-2</v>
      </c>
      <c r="T713" s="19">
        <f t="shared" si="78"/>
        <v>4.2879811467262607E-2</v>
      </c>
      <c r="U713" s="24">
        <v>4.2486810088944393E-2</v>
      </c>
      <c r="V713" s="24">
        <f t="shared" si="79"/>
        <v>4.2884124061864481E-2</v>
      </c>
      <c r="W713" s="23">
        <f t="shared" si="80"/>
        <v>3.5052313645800304E-3</v>
      </c>
      <c r="X713" s="24">
        <v>4.2028032934008808E-2</v>
      </c>
      <c r="Y713" s="24">
        <f t="shared" si="81"/>
        <v>4.288290834997377E-2</v>
      </c>
      <c r="Z713" s="23">
        <f t="shared" si="82"/>
        <v>3.5051280759990089E-3</v>
      </c>
      <c r="AA713" s="36"/>
    </row>
    <row r="714" spans="15:27" ht="13.9" customHeight="1" x14ac:dyDescent="0.3">
      <c r="O714" s="12">
        <f t="shared" si="76"/>
        <v>58.416666666666664</v>
      </c>
      <c r="P714" s="13">
        <v>701</v>
      </c>
      <c r="Q714" s="22">
        <v>3.5863773849063252E-2</v>
      </c>
      <c r="R714" s="19">
        <f t="shared" si="77"/>
        <v>3.5890877372124708E-2</v>
      </c>
      <c r="S714" s="22">
        <v>4.0245925837952834E-2</v>
      </c>
      <c r="T714" s="19">
        <f t="shared" si="78"/>
        <v>4.2880939623368253E-2</v>
      </c>
      <c r="U714" s="24">
        <v>4.2487376762821327E-2</v>
      </c>
      <c r="V714" s="24">
        <f t="shared" si="79"/>
        <v>4.2884996421279853E-2</v>
      </c>
      <c r="W714" s="23">
        <f t="shared" si="80"/>
        <v>3.5053018474826558E-3</v>
      </c>
      <c r="X714" s="24">
        <v>4.2029251943194845E-2</v>
      </c>
      <c r="Y714" s="24">
        <f t="shared" si="81"/>
        <v>4.2883852046866622E-2</v>
      </c>
      <c r="Z714" s="23">
        <f t="shared" si="82"/>
        <v>3.5052043634995478E-3</v>
      </c>
      <c r="AA714" s="36"/>
    </row>
    <row r="715" spans="15:27" ht="13.9" customHeight="1" x14ac:dyDescent="0.3">
      <c r="O715" s="12">
        <f t="shared" si="76"/>
        <v>58.5</v>
      </c>
      <c r="P715" s="13">
        <v>702</v>
      </c>
      <c r="Q715" s="22">
        <v>3.5863812457566091E-2</v>
      </c>
      <c r="R715" s="19">
        <f t="shared" si="77"/>
        <v>3.5897978361337568E-2</v>
      </c>
      <c r="S715" s="22">
        <v>4.0249674679573744E-2</v>
      </c>
      <c r="T715" s="19">
        <f t="shared" si="78"/>
        <v>4.2882057179147726E-2</v>
      </c>
      <c r="U715" s="24">
        <v>4.2487943064754008E-2</v>
      </c>
      <c r="V715" s="24">
        <f t="shared" si="79"/>
        <v>4.2885862205294112E-2</v>
      </c>
      <c r="W715" s="23">
        <f t="shared" si="80"/>
        <v>3.5053717990829458E-3</v>
      </c>
      <c r="X715" s="24">
        <v>4.203046882403827E-2</v>
      </c>
      <c r="Y715" s="24">
        <f t="shared" si="81"/>
        <v>4.2884788129011087E-2</v>
      </c>
      <c r="Z715" s="23">
        <f t="shared" si="82"/>
        <v>3.505280035493552E-3</v>
      </c>
      <c r="AA715" s="36"/>
    </row>
    <row r="716" spans="15:27" ht="13.9" customHeight="1" x14ac:dyDescent="0.3">
      <c r="O716" s="12">
        <f t="shared" si="76"/>
        <v>58.583333333333336</v>
      </c>
      <c r="P716" s="13">
        <v>703</v>
      </c>
      <c r="Q716" s="22">
        <v>3.5863861056913304E-2</v>
      </c>
      <c r="R716" s="19">
        <f t="shared" si="77"/>
        <v>3.5905019516477177E-2</v>
      </c>
      <c r="S716" s="22">
        <v>4.0253414455068581E-2</v>
      </c>
      <c r="T716" s="19">
        <f t="shared" si="78"/>
        <v>4.2883164235784754E-2</v>
      </c>
      <c r="U716" s="24">
        <v>4.2488508986979756E-2</v>
      </c>
      <c r="V716" s="24">
        <f t="shared" si="79"/>
        <v>4.2886721464233224E-2</v>
      </c>
      <c r="W716" s="23">
        <f t="shared" si="80"/>
        <v>3.5054412233708199E-3</v>
      </c>
      <c r="X716" s="24">
        <v>4.2031683574796253E-2</v>
      </c>
      <c r="Y716" s="24">
        <f t="shared" si="81"/>
        <v>4.2885716658640494E-2</v>
      </c>
      <c r="Z716" s="23">
        <f t="shared" si="82"/>
        <v>3.5053550968235925E-3</v>
      </c>
      <c r="AA716" s="36"/>
    </row>
    <row r="717" spans="15:27" ht="13.9" customHeight="1" x14ac:dyDescent="0.3">
      <c r="O717" s="12">
        <f t="shared" si="76"/>
        <v>58.666666666666664</v>
      </c>
      <c r="P717" s="13">
        <v>704</v>
      </c>
      <c r="Q717" s="22">
        <v>3.5863919519474541E-2</v>
      </c>
      <c r="R717" s="19">
        <f t="shared" si="77"/>
        <v>3.5912001348643363E-2</v>
      </c>
      <c r="S717" s="22">
        <v>4.0257145188153487E-2</v>
      </c>
      <c r="T717" s="19">
        <f t="shared" si="78"/>
        <v>4.2884260891410175E-2</v>
      </c>
      <c r="U717" s="24">
        <v>4.2489074521851133E-2</v>
      </c>
      <c r="V717" s="24">
        <f t="shared" si="79"/>
        <v>4.2887574247300275E-2</v>
      </c>
      <c r="W717" s="23">
        <f t="shared" si="80"/>
        <v>3.5055101243828268E-3</v>
      </c>
      <c r="X717" s="24">
        <v>4.2032896193823888E-2</v>
      </c>
      <c r="Y717" s="24">
        <f t="shared" si="81"/>
        <v>4.2886637697965302E-2</v>
      </c>
      <c r="Z717" s="23">
        <f t="shared" si="82"/>
        <v>3.5054295524814538E-3</v>
      </c>
      <c r="AA717" s="36"/>
    </row>
    <row r="718" spans="15:27" ht="13.9" customHeight="1" x14ac:dyDescent="0.3">
      <c r="O718" s="12">
        <f t="shared" ref="O718:O781" si="83">P718/12</f>
        <v>58.75</v>
      </c>
      <c r="P718" s="13">
        <v>705</v>
      </c>
      <c r="Q718" s="22">
        <v>3.5863987719070067E-2</v>
      </c>
      <c r="R718" s="19">
        <f t="shared" ref="R718:R781" si="84">(1+Q719)^P719/(1+Q718)^P718-1</f>
        <v>3.5918924365137217E-2</v>
      </c>
      <c r="S718" s="22">
        <v>4.0260866902549042E-2</v>
      </c>
      <c r="T718" s="19">
        <f t="shared" ref="T718:T781" si="85">(1+S719)^P719/(1+S718)^P718-1</f>
        <v>4.2885347243712069E-2</v>
      </c>
      <c r="U718" s="24">
        <v>4.2489639661834167E-2</v>
      </c>
      <c r="V718" s="24">
        <f t="shared" ref="V718:V781" si="86">(1+U719)^P719/(1+U718)^P718-1</f>
        <v>4.2888420602394506E-2</v>
      </c>
      <c r="W718" s="23">
        <f t="shared" si="80"/>
        <v>3.5055785060655875E-3</v>
      </c>
      <c r="X718" s="24">
        <v>4.203410667957419E-2</v>
      </c>
      <c r="Y718" s="24">
        <f t="shared" si="81"/>
        <v>4.2887551305481164E-2</v>
      </c>
      <c r="Z718" s="23">
        <f t="shared" si="82"/>
        <v>3.5055034074569225E-3</v>
      </c>
      <c r="AA718" s="36"/>
    </row>
    <row r="719" spans="15:27" ht="13.9" customHeight="1" x14ac:dyDescent="0.3">
      <c r="O719" s="12">
        <f t="shared" si="83"/>
        <v>58.833333333333336</v>
      </c>
      <c r="P719" s="13">
        <v>706</v>
      </c>
      <c r="Q719" s="22">
        <v>3.5864065530955891E-2</v>
      </c>
      <c r="R719" s="19">
        <f t="shared" si="84"/>
        <v>3.5925789068684821E-2</v>
      </c>
      <c r="S719" s="22">
        <v>4.0264579621979601E-2</v>
      </c>
      <c r="T719" s="19">
        <f t="shared" si="85"/>
        <v>4.288642339095583E-2</v>
      </c>
      <c r="U719" s="24">
        <v>4.2490204399505016E-2</v>
      </c>
      <c r="V719" s="24">
        <f t="shared" si="86"/>
        <v>4.2889260580216915E-2</v>
      </c>
      <c r="W719" s="23">
        <f t="shared" ref="W719:W782" si="87">(1+V718)^(1/12)-1</f>
        <v>3.5056463722609177E-3</v>
      </c>
      <c r="X719" s="24">
        <v>4.2035315030591214E-2</v>
      </c>
      <c r="Y719" s="24">
        <f t="shared" ref="Y719:Y782" si="88">(1+X720)^P720/(1+X719)^P719-1</f>
        <v>4.2888457543051706E-2</v>
      </c>
      <c r="Z719" s="23">
        <f t="shared" ref="Z719:Z782" si="89">(1+Y718)^(1/12)-1</f>
        <v>3.505576666442245E-3</v>
      </c>
      <c r="AA719" s="36"/>
    </row>
    <row r="720" spans="15:27" ht="13.9" customHeight="1" x14ac:dyDescent="0.3">
      <c r="O720" s="12">
        <f t="shared" si="83"/>
        <v>58.916666666666664</v>
      </c>
      <c r="P720" s="13">
        <v>707</v>
      </c>
      <c r="Q720" s="22">
        <v>3.5864152831806662E-2</v>
      </c>
      <c r="R720" s="19">
        <f t="shared" si="84"/>
        <v>3.5932595957573366E-2</v>
      </c>
      <c r="S720" s="22">
        <v>4.0268283370173741E-2</v>
      </c>
      <c r="T720" s="19">
        <f t="shared" si="85"/>
        <v>4.2887489427332337E-2</v>
      </c>
      <c r="U720" s="24">
        <v>4.2490768727553974E-2</v>
      </c>
      <c r="V720" s="24">
        <f t="shared" si="86"/>
        <v>4.2890094226698317E-2</v>
      </c>
      <c r="W720" s="23">
        <f t="shared" si="87"/>
        <v>3.5057137270357863E-3</v>
      </c>
      <c r="X720" s="24">
        <v>4.2036521245514935E-2</v>
      </c>
      <c r="Y720" s="24">
        <f t="shared" si="88"/>
        <v>4.2889356469205886E-2</v>
      </c>
      <c r="Z720" s="23">
        <f t="shared" si="89"/>
        <v>3.5056493343992301E-3</v>
      </c>
      <c r="AA720" s="36"/>
    </row>
    <row r="721" spans="15:27" ht="13.9" customHeight="1" x14ac:dyDescent="0.3">
      <c r="O721" s="12">
        <f t="shared" si="83"/>
        <v>59</v>
      </c>
      <c r="P721" s="13">
        <v>708</v>
      </c>
      <c r="Q721" s="22">
        <v>3.5864249499699241E-2</v>
      </c>
      <c r="R721" s="19">
        <f t="shared" si="84"/>
        <v>3.5939345525834998E-2</v>
      </c>
      <c r="S721" s="22">
        <v>4.0271978170858924E-2</v>
      </c>
      <c r="T721" s="19">
        <f t="shared" si="85"/>
        <v>4.2888545449308424E-2</v>
      </c>
      <c r="U721" s="24">
        <v>4.2491332638777024E-2</v>
      </c>
      <c r="V721" s="24">
        <f t="shared" si="86"/>
        <v>4.289092159102359E-2</v>
      </c>
      <c r="W721" s="23">
        <f t="shared" si="87"/>
        <v>3.5057805740741355E-3</v>
      </c>
      <c r="X721" s="24">
        <v>4.2037725323075703E-2</v>
      </c>
      <c r="Y721" s="24">
        <f t="shared" si="88"/>
        <v>4.2890248143901966E-2</v>
      </c>
      <c r="Z721" s="23">
        <f t="shared" si="89"/>
        <v>3.505721416022789E-3</v>
      </c>
      <c r="AA721" s="36"/>
    </row>
    <row r="722" spans="15:27" ht="13.9" customHeight="1" x14ac:dyDescent="0.3">
      <c r="O722" s="12">
        <f t="shared" si="83"/>
        <v>59.083333333333336</v>
      </c>
      <c r="P722" s="13">
        <v>709</v>
      </c>
      <c r="Q722" s="22">
        <v>3.5864355414096938E-2</v>
      </c>
      <c r="R722" s="19">
        <f t="shared" si="84"/>
        <v>3.5946038262680169E-2</v>
      </c>
      <c r="S722" s="22">
        <v>4.0275664047764614E-2</v>
      </c>
      <c r="T722" s="19">
        <f t="shared" si="85"/>
        <v>4.2889591550462791E-2</v>
      </c>
      <c r="U722" s="24">
        <v>4.2491896126080508E-2</v>
      </c>
      <c r="V722" s="24">
        <f t="shared" si="86"/>
        <v>4.2891742719525006E-2</v>
      </c>
      <c r="W722" s="23">
        <f t="shared" si="87"/>
        <v>3.5058469173210316E-3</v>
      </c>
      <c r="X722" s="24">
        <v>4.2038927262095349E-2</v>
      </c>
      <c r="Y722" s="24">
        <f t="shared" si="88"/>
        <v>4.2891132624717665E-2</v>
      </c>
      <c r="Z722" s="23">
        <f t="shared" si="89"/>
        <v>3.5057929161219636E-3</v>
      </c>
      <c r="AA722" s="36"/>
    </row>
    <row r="723" spans="15:27" ht="13.9" customHeight="1" x14ac:dyDescent="0.3">
      <c r="O723" s="12">
        <f t="shared" si="83"/>
        <v>59.166666666666664</v>
      </c>
      <c r="P723" s="13">
        <v>710</v>
      </c>
      <c r="Q723" s="22">
        <v>3.5864470455833297E-2</v>
      </c>
      <c r="R723" s="19">
        <f t="shared" si="84"/>
        <v>3.595267465417451E-2</v>
      </c>
      <c r="S723" s="22">
        <v>4.0279341024618054E-2</v>
      </c>
      <c r="T723" s="19">
        <f t="shared" si="85"/>
        <v>4.289062782478692E-2</v>
      </c>
      <c r="U723" s="24">
        <v>4.2492459182475795E-2</v>
      </c>
      <c r="V723" s="24">
        <f t="shared" si="86"/>
        <v>4.2892557660366482E-2</v>
      </c>
      <c r="W723" s="23">
        <f t="shared" si="87"/>
        <v>3.5059127604930573E-3</v>
      </c>
      <c r="X723" s="24">
        <v>4.2040127061483412E-2</v>
      </c>
      <c r="Y723" s="24">
        <f t="shared" si="88"/>
        <v>4.289200997012288E-2</v>
      </c>
      <c r="Z723" s="23">
        <f t="shared" si="89"/>
        <v>3.5058638393150598E-3</v>
      </c>
      <c r="AA723" s="36"/>
    </row>
    <row r="724" spans="15:27" ht="13.9" customHeight="1" x14ac:dyDescent="0.3">
      <c r="O724" s="12">
        <f t="shared" si="83"/>
        <v>59.25</v>
      </c>
      <c r="P724" s="13">
        <v>711</v>
      </c>
      <c r="Q724" s="22">
        <v>3.5864594507097003E-2</v>
      </c>
      <c r="R724" s="19">
        <f t="shared" si="84"/>
        <v>3.5959255180750826E-2</v>
      </c>
      <c r="S724" s="22">
        <v>4.0283009125144709E-2</v>
      </c>
      <c r="T724" s="19">
        <f t="shared" si="85"/>
        <v>4.2891654364498377E-2</v>
      </c>
      <c r="U724" s="24">
        <v>4.2493021801081277E-2</v>
      </c>
      <c r="V724" s="24">
        <f t="shared" si="86"/>
        <v>4.2893366460527993E-2</v>
      </c>
      <c r="W724" s="23">
        <f t="shared" si="87"/>
        <v>3.5059781074529006E-3</v>
      </c>
      <c r="X724" s="24">
        <v>4.2041324720237805E-2</v>
      </c>
      <c r="Y724" s="24">
        <f t="shared" si="88"/>
        <v>4.2892880238889264E-2</v>
      </c>
      <c r="Z724" s="23">
        <f t="shared" si="89"/>
        <v>3.5059341902918817E-3</v>
      </c>
      <c r="AA724" s="36"/>
    </row>
    <row r="725" spans="15:27" ht="13.9" customHeight="1" x14ac:dyDescent="0.3">
      <c r="O725" s="12">
        <f t="shared" si="83"/>
        <v>59.333333333333336</v>
      </c>
      <c r="P725" s="13">
        <v>712</v>
      </c>
      <c r="Q725" s="22">
        <v>3.5864727451415446E-2</v>
      </c>
      <c r="R725" s="19">
        <f t="shared" si="84"/>
        <v>3.5965780319008545E-2</v>
      </c>
      <c r="S725" s="22">
        <v>4.0286668373066492E-2</v>
      </c>
      <c r="T725" s="19">
        <f t="shared" si="85"/>
        <v>4.2892671260308601E-2</v>
      </c>
      <c r="U725" s="24">
        <v>4.2493583975120153E-2</v>
      </c>
      <c r="V725" s="24">
        <f t="shared" si="86"/>
        <v>4.2894169164738871E-2</v>
      </c>
      <c r="W725" s="23">
        <f t="shared" si="87"/>
        <v>3.5060429619693245E-3</v>
      </c>
      <c r="X725" s="24">
        <v>4.204252023744437E-2</v>
      </c>
      <c r="Y725" s="24">
        <f t="shared" si="88"/>
        <v>4.2893743486743352E-2</v>
      </c>
      <c r="Z725" s="23">
        <f t="shared" si="89"/>
        <v>3.5060039737664361E-3</v>
      </c>
      <c r="AA725" s="36"/>
    </row>
    <row r="726" spans="15:27" ht="13.9" customHeight="1" x14ac:dyDescent="0.3">
      <c r="O726" s="12">
        <f t="shared" si="83"/>
        <v>59.416666666666664</v>
      </c>
      <c r="P726" s="13">
        <v>713</v>
      </c>
      <c r="Q726" s="22">
        <v>3.5864869173639624E-2</v>
      </c>
      <c r="R726" s="19">
        <f t="shared" si="84"/>
        <v>3.5972250542185114E-2</v>
      </c>
      <c r="S726" s="22">
        <v>4.0290318792098878E-2</v>
      </c>
      <c r="T726" s="19">
        <f t="shared" si="85"/>
        <v>4.289367860461013E-2</v>
      </c>
      <c r="U726" s="24">
        <v>4.2494145697915986E-2</v>
      </c>
      <c r="V726" s="24">
        <f t="shared" si="86"/>
        <v>4.2894965820074127E-2</v>
      </c>
      <c r="W726" s="23">
        <f t="shared" si="87"/>
        <v>3.5061073276296817E-3</v>
      </c>
      <c r="X726" s="24">
        <v>4.2043713612272215E-2</v>
      </c>
      <c r="Y726" s="24">
        <f t="shared" si="88"/>
        <v>4.2894599770621378E-2</v>
      </c>
      <c r="Z726" s="23">
        <f t="shared" si="89"/>
        <v>3.5060731942087031E-3</v>
      </c>
      <c r="AA726" s="36"/>
    </row>
    <row r="727" spans="15:27" ht="13.9" customHeight="1" x14ac:dyDescent="0.3">
      <c r="O727" s="12">
        <f t="shared" si="83"/>
        <v>59.5</v>
      </c>
      <c r="P727" s="13">
        <v>714</v>
      </c>
      <c r="Q727" s="22">
        <v>3.586501955992949E-2</v>
      </c>
      <c r="R727" s="19">
        <f t="shared" si="84"/>
        <v>3.5978666319161245E-2</v>
      </c>
      <c r="S727" s="22">
        <v>4.0293960405953566E-2</v>
      </c>
      <c r="T727" s="19">
        <f t="shared" si="85"/>
        <v>4.2894676486076699E-2</v>
      </c>
      <c r="U727" s="24">
        <v>4.2494706962896034E-2</v>
      </c>
      <c r="V727" s="24">
        <f t="shared" si="86"/>
        <v>4.2895756472815183E-2</v>
      </c>
      <c r="W727" s="23">
        <f t="shared" si="87"/>
        <v>3.5061712082098406E-3</v>
      </c>
      <c r="X727" s="24">
        <v>4.2044904843975051E-2</v>
      </c>
      <c r="Y727" s="24">
        <f t="shared" si="88"/>
        <v>4.2895449148425691E-2</v>
      </c>
      <c r="Z727" s="23">
        <f t="shared" si="89"/>
        <v>3.506141856185252E-3</v>
      </c>
      <c r="AA727" s="36"/>
    </row>
    <row r="728" spans="15:27" ht="13.9" customHeight="1" x14ac:dyDescent="0.3">
      <c r="O728" s="12">
        <f t="shared" si="83"/>
        <v>59.583333333333336</v>
      </c>
      <c r="P728" s="13">
        <v>715</v>
      </c>
      <c r="Q728" s="22">
        <v>3.5865178497739514E-2</v>
      </c>
      <c r="R728" s="19">
        <f t="shared" si="84"/>
        <v>3.5985028112792694E-2</v>
      </c>
      <c r="S728" s="22">
        <v>4.0297593238333818E-2</v>
      </c>
      <c r="T728" s="19">
        <f t="shared" si="85"/>
        <v>4.2895664993879645E-2</v>
      </c>
      <c r="U728" s="24">
        <v>4.2495267763588807E-2</v>
      </c>
      <c r="V728" s="24">
        <f t="shared" si="86"/>
        <v>4.2896541167467328E-2</v>
      </c>
      <c r="W728" s="23">
        <f t="shared" si="87"/>
        <v>3.506234607421721E-3</v>
      </c>
      <c r="X728" s="24">
        <v>4.2046093931891182E-2</v>
      </c>
      <c r="Y728" s="24">
        <f t="shared" si="88"/>
        <v>4.2896291673859555E-2</v>
      </c>
      <c r="Z728" s="23">
        <f t="shared" si="89"/>
        <v>3.5062099643401456E-3</v>
      </c>
      <c r="AA728" s="36"/>
    </row>
    <row r="729" spans="15:27" ht="13.9" customHeight="1" x14ac:dyDescent="0.3">
      <c r="O729" s="12">
        <f t="shared" si="83"/>
        <v>59.666666666666664</v>
      </c>
      <c r="P729" s="13">
        <v>716</v>
      </c>
      <c r="Q729" s="22">
        <v>3.5865345875800925E-2</v>
      </c>
      <c r="R729" s="19">
        <f t="shared" si="84"/>
        <v>3.5991336385190031E-2</v>
      </c>
      <c r="S729" s="22">
        <v>4.0301217312934234E-2</v>
      </c>
      <c r="T729" s="19">
        <f t="shared" si="85"/>
        <v>4.2896644217246926E-2</v>
      </c>
      <c r="U729" s="24">
        <v>4.249582809362118E-2</v>
      </c>
      <c r="V729" s="24">
        <f t="shared" si="86"/>
        <v>4.2897319948966395E-2</v>
      </c>
      <c r="W729" s="23">
        <f t="shared" si="87"/>
        <v>3.506297528835578E-3</v>
      </c>
      <c r="X729" s="24">
        <v>4.2047280875437965E-2</v>
      </c>
      <c r="Y729" s="24">
        <f t="shared" si="88"/>
        <v>4.2897127403572322E-2</v>
      </c>
      <c r="Z729" s="23">
        <f t="shared" si="89"/>
        <v>3.5062775229812715E-3</v>
      </c>
      <c r="AA729" s="36"/>
    </row>
    <row r="730" spans="15:27" ht="13.9" customHeight="1" x14ac:dyDescent="0.3">
      <c r="O730" s="12">
        <f t="shared" si="83"/>
        <v>59.75</v>
      </c>
      <c r="P730" s="13">
        <v>717</v>
      </c>
      <c r="Q730" s="22">
        <v>3.5865521584111493E-2</v>
      </c>
      <c r="R730" s="19">
        <f t="shared" si="84"/>
        <v>3.5997591591015565E-2</v>
      </c>
      <c r="S730" s="22">
        <v>4.0304832653441869E-2</v>
      </c>
      <c r="T730" s="19">
        <f t="shared" si="85"/>
        <v>4.2897614241495852E-2</v>
      </c>
      <c r="U730" s="24">
        <v>4.2496387946718173E-2</v>
      </c>
      <c r="V730" s="24">
        <f t="shared" si="86"/>
        <v>4.2898092862107884E-2</v>
      </c>
      <c r="W730" s="23">
        <f t="shared" si="87"/>
        <v>3.5063599760549735E-3</v>
      </c>
      <c r="X730" s="24">
        <v>4.2048465674114688E-2</v>
      </c>
      <c r="Y730" s="24">
        <f t="shared" si="88"/>
        <v>4.2897956391630965E-2</v>
      </c>
      <c r="Z730" s="23">
        <f t="shared" si="89"/>
        <v>3.5063445366521062E-3</v>
      </c>
      <c r="AA730" s="36"/>
    </row>
    <row r="731" spans="15:27" ht="13.9" customHeight="1" x14ac:dyDescent="0.3">
      <c r="O731" s="12">
        <f t="shared" si="83"/>
        <v>59.833333333333336</v>
      </c>
      <c r="P731" s="13">
        <v>718</v>
      </c>
      <c r="Q731" s="22">
        <v>3.5865705513916657E-2</v>
      </c>
      <c r="R731" s="19">
        <f t="shared" si="84"/>
        <v>3.6003794183733673E-2</v>
      </c>
      <c r="S731" s="22">
        <v>4.0308439283530229E-2</v>
      </c>
      <c r="T731" s="19">
        <f t="shared" si="85"/>
        <v>4.2898575155479124E-2</v>
      </c>
      <c r="U731" s="24">
        <v>4.2496947316702283E-2</v>
      </c>
      <c r="V731" s="24">
        <f t="shared" si="86"/>
        <v>4.2898859951904678E-2</v>
      </c>
      <c r="W731" s="23">
        <f t="shared" si="87"/>
        <v>3.5064219526734774E-3</v>
      </c>
      <c r="X731" s="24">
        <v>4.2049648327498801E-2</v>
      </c>
      <c r="Y731" s="24">
        <f t="shared" si="88"/>
        <v>4.2898778693709616E-2</v>
      </c>
      <c r="Z731" s="23">
        <f t="shared" si="89"/>
        <v>3.506411009689181E-3</v>
      </c>
      <c r="AA731" s="36"/>
    </row>
    <row r="732" spans="15:27" ht="13.9" customHeight="1" x14ac:dyDescent="0.3">
      <c r="O732" s="12">
        <f t="shared" si="83"/>
        <v>59.916666666666664</v>
      </c>
      <c r="P732" s="13">
        <v>719</v>
      </c>
      <c r="Q732" s="22">
        <v>3.5865897557698645E-2</v>
      </c>
      <c r="R732" s="19">
        <f t="shared" si="84"/>
        <v>3.6009944611511413E-2</v>
      </c>
      <c r="S732" s="22">
        <v>4.0312037226864605E-2</v>
      </c>
      <c r="T732" s="19">
        <f t="shared" si="85"/>
        <v>4.2899527043368968E-2</v>
      </c>
      <c r="U732" s="24">
        <v>4.2497506197492818E-2</v>
      </c>
      <c r="V732" s="24">
        <f t="shared" si="86"/>
        <v>4.289962126093938E-2</v>
      </c>
      <c r="W732" s="23">
        <f t="shared" si="87"/>
        <v>3.5064834623008689E-3</v>
      </c>
      <c r="X732" s="24">
        <v>4.2050828835247467E-2</v>
      </c>
      <c r="Y732" s="24">
        <f t="shared" si="88"/>
        <v>4.2899594363093874E-2</v>
      </c>
      <c r="Z732" s="23">
        <f t="shared" si="89"/>
        <v>3.5064769465580348E-3</v>
      </c>
      <c r="AA732" s="36"/>
    </row>
    <row r="733" spans="15:27" ht="13.9" customHeight="1" x14ac:dyDescent="0.3">
      <c r="O733" s="12">
        <f t="shared" si="83"/>
        <v>60</v>
      </c>
      <c r="P733" s="13">
        <v>720</v>
      </c>
      <c r="Q733" s="22">
        <v>3.5866097609161374E-2</v>
      </c>
      <c r="R733" s="19">
        <f t="shared" si="84"/>
        <v>3.6016043318780389E-2</v>
      </c>
      <c r="S733" s="22">
        <v>4.0315626507095192E-2</v>
      </c>
      <c r="T733" s="19">
        <f t="shared" si="85"/>
        <v>4.2900469990392098E-2</v>
      </c>
      <c r="U733" s="24">
        <v>4.2498064583101902E-2</v>
      </c>
      <c r="V733" s="24">
        <f t="shared" si="86"/>
        <v>4.2900376833934217E-2</v>
      </c>
      <c r="W733" s="23">
        <f t="shared" si="87"/>
        <v>3.5065445083528601E-3</v>
      </c>
      <c r="X733" s="24">
        <v>4.2052007197093566E-2</v>
      </c>
      <c r="Y733" s="24">
        <f t="shared" si="88"/>
        <v>4.290040345289059E-2</v>
      </c>
      <c r="Z733" s="23">
        <f t="shared" si="89"/>
        <v>3.5065423515325822E-3</v>
      </c>
      <c r="AA733" s="36"/>
    </row>
    <row r="734" spans="15:27" ht="13.9" customHeight="1" x14ac:dyDescent="0.3">
      <c r="O734" s="12">
        <f t="shared" si="83"/>
        <v>60.083333333333336</v>
      </c>
      <c r="P734" s="13">
        <v>721</v>
      </c>
      <c r="Q734" s="22">
        <v>3.5866305563215573E-2</v>
      </c>
      <c r="R734" s="19">
        <f t="shared" si="84"/>
        <v>3.6022090746086421E-2</v>
      </c>
      <c r="S734" s="22">
        <v>4.0319207147859304E-2</v>
      </c>
      <c r="T734" s="19">
        <f t="shared" si="85"/>
        <v>4.2901404080962324E-2</v>
      </c>
      <c r="U734" s="24">
        <v>4.2498622467637137E-2</v>
      </c>
      <c r="V734" s="24">
        <f t="shared" si="86"/>
        <v>4.290112671402202E-2</v>
      </c>
      <c r="W734" s="23">
        <f t="shared" si="87"/>
        <v>3.5066050944163596E-3</v>
      </c>
      <c r="X734" s="24">
        <v>4.2053183412845252E-2</v>
      </c>
      <c r="Y734" s="24">
        <f t="shared" si="88"/>
        <v>4.2901206017190274E-2</v>
      </c>
      <c r="Z734" s="23">
        <f t="shared" si="89"/>
        <v>3.5066072288723049E-3</v>
      </c>
      <c r="AA734" s="36"/>
    </row>
    <row r="735" spans="15:27" ht="13.9" customHeight="1" x14ac:dyDescent="0.3">
      <c r="O735" s="12">
        <f t="shared" si="83"/>
        <v>60.166666666666664</v>
      </c>
      <c r="P735" s="13">
        <v>722</v>
      </c>
      <c r="Q735" s="22">
        <v>3.5866521315966127E-2</v>
      </c>
      <c r="R735" s="19">
        <f t="shared" si="84"/>
        <v>3.6028087329193603E-2</v>
      </c>
      <c r="S735" s="22">
        <v>4.0322779172779821E-2</v>
      </c>
      <c r="T735" s="19">
        <f t="shared" si="85"/>
        <v>4.2902329398504246E-2</v>
      </c>
      <c r="U735" s="24">
        <v>4.2499179845298274E-2</v>
      </c>
      <c r="V735" s="24">
        <f t="shared" si="86"/>
        <v>4.2901870943839793E-2</v>
      </c>
      <c r="W735" s="23">
        <f t="shared" si="87"/>
        <v>3.5066652239512663E-3</v>
      </c>
      <c r="X735" s="24">
        <v>4.2054357482386395E-2</v>
      </c>
      <c r="Y735" s="24">
        <f t="shared" si="88"/>
        <v>4.2902002108239579E-2</v>
      </c>
      <c r="Z735" s="23">
        <f t="shared" si="89"/>
        <v>3.5066715829157324E-3</v>
      </c>
      <c r="AA735" s="36"/>
    </row>
    <row r="736" spans="15:27" ht="13.9" customHeight="1" x14ac:dyDescent="0.3">
      <c r="O736" s="12">
        <f t="shared" si="83"/>
        <v>60.25</v>
      </c>
      <c r="P736" s="13">
        <v>723</v>
      </c>
      <c r="Q736" s="22">
        <v>3.5866744764696534E-2</v>
      </c>
      <c r="R736" s="19">
        <f t="shared" si="84"/>
        <v>3.6034033503238305E-2</v>
      </c>
      <c r="S736" s="22">
        <v>4.0326342605464305E-2</v>
      </c>
      <c r="T736" s="19">
        <f t="shared" si="85"/>
        <v>4.2903246024766917E-2</v>
      </c>
      <c r="U736" s="24">
        <v>4.2499736710376324E-2</v>
      </c>
      <c r="V736" s="24">
        <f t="shared" si="86"/>
        <v>4.290260956680747E-2</v>
      </c>
      <c r="W736" s="23">
        <f t="shared" si="87"/>
        <v>3.5067249003768453E-3</v>
      </c>
      <c r="X736" s="24">
        <v>4.2055529405673697E-2</v>
      </c>
      <c r="Y736" s="24">
        <f t="shared" si="88"/>
        <v>4.2902791778726357E-2</v>
      </c>
      <c r="Z736" s="23">
        <f t="shared" si="89"/>
        <v>3.5067354178530685E-3</v>
      </c>
      <c r="AA736" s="36"/>
    </row>
    <row r="737" spans="15:27" ht="13.9" customHeight="1" x14ac:dyDescent="0.3">
      <c r="O737" s="12">
        <f t="shared" si="83"/>
        <v>60.333333333333336</v>
      </c>
      <c r="P737" s="13">
        <v>724</v>
      </c>
      <c r="Q737" s="22">
        <v>3.5866975807860024E-2</v>
      </c>
      <c r="R737" s="19">
        <f t="shared" si="84"/>
        <v>3.6039929694845041E-2</v>
      </c>
      <c r="S737" s="22">
        <v>4.0329897469502329E-2</v>
      </c>
      <c r="T737" s="19">
        <f t="shared" si="85"/>
        <v>4.2904154042504361E-2</v>
      </c>
      <c r="U737" s="24">
        <v>4.2500293057253558E-2</v>
      </c>
      <c r="V737" s="24">
        <f t="shared" si="86"/>
        <v>4.2903342624053931E-2</v>
      </c>
      <c r="W737" s="23">
        <f t="shared" si="87"/>
        <v>3.506784127175866E-3</v>
      </c>
      <c r="X737" s="24">
        <v>4.2056699182737134E-2</v>
      </c>
      <c r="Y737" s="24">
        <f t="shared" si="88"/>
        <v>4.2903575079865197E-2</v>
      </c>
      <c r="Z737" s="23">
        <f t="shared" si="89"/>
        <v>3.5067987379107102E-3</v>
      </c>
      <c r="AA737" s="36"/>
    </row>
    <row r="738" spans="15:27" ht="13.9" customHeight="1" x14ac:dyDescent="0.3">
      <c r="O738" s="12">
        <f t="shared" si="83"/>
        <v>60.416666666666664</v>
      </c>
      <c r="P738" s="13">
        <v>725</v>
      </c>
      <c r="Q738" s="22">
        <v>3.5867214345059795E-2</v>
      </c>
      <c r="R738" s="19">
        <f t="shared" si="84"/>
        <v>3.6045776331416146E-2</v>
      </c>
      <c r="S738" s="22">
        <v>4.0333443788467482E-2</v>
      </c>
      <c r="T738" s="19">
        <f t="shared" si="85"/>
        <v>4.2905053531746562E-2</v>
      </c>
      <c r="U738" s="24">
        <v>4.2500848880399955E-2</v>
      </c>
      <c r="V738" s="24">
        <f t="shared" si="86"/>
        <v>4.2904070157973928E-2</v>
      </c>
      <c r="W738" s="23">
        <f t="shared" si="87"/>
        <v>3.5068429076472452E-3</v>
      </c>
      <c r="X738" s="24">
        <v>4.2057866813676625E-2</v>
      </c>
      <c r="Y738" s="24">
        <f t="shared" si="88"/>
        <v>4.2904352063716678E-2</v>
      </c>
      <c r="Z738" s="23">
        <f t="shared" si="89"/>
        <v>3.5068615471960385E-3</v>
      </c>
      <c r="AA738" s="36"/>
    </row>
    <row r="739" spans="15:27" ht="13.9" customHeight="1" x14ac:dyDescent="0.3">
      <c r="O739" s="12">
        <f t="shared" si="83"/>
        <v>60.5</v>
      </c>
      <c r="P739" s="13">
        <v>726</v>
      </c>
      <c r="Q739" s="22">
        <v>3.5867460277042129E-2</v>
      </c>
      <c r="R739" s="19">
        <f t="shared" si="84"/>
        <v>3.6051573832642125E-2</v>
      </c>
      <c r="S739" s="22">
        <v>4.0336981585913367E-2</v>
      </c>
      <c r="T739" s="19">
        <f t="shared" si="85"/>
        <v>4.2905944573323529E-2</v>
      </c>
      <c r="U739" s="24">
        <v>4.2501404174374535E-2</v>
      </c>
      <c r="V739" s="24">
        <f t="shared" si="86"/>
        <v>4.290479221150556E-2</v>
      </c>
      <c r="W739" s="23">
        <f t="shared" si="87"/>
        <v>3.5069012451909298E-3</v>
      </c>
      <c r="X739" s="24">
        <v>4.205903229866359E-2</v>
      </c>
      <c r="Y739" s="24">
        <f t="shared" si="88"/>
        <v>4.290512278091696E-2</v>
      </c>
      <c r="Z739" s="23">
        <f t="shared" si="89"/>
        <v>3.5069238498846023E-3</v>
      </c>
      <c r="AA739" s="36"/>
    </row>
    <row r="740" spans="15:27" ht="13.9" customHeight="1" x14ac:dyDescent="0.3">
      <c r="O740" s="12">
        <f t="shared" si="83"/>
        <v>60.583333333333336</v>
      </c>
      <c r="P740" s="13">
        <v>727</v>
      </c>
      <c r="Q740" s="22">
        <v>3.5867713505677523E-2</v>
      </c>
      <c r="R740" s="19">
        <f t="shared" si="84"/>
        <v>3.6057322618622489E-2</v>
      </c>
      <c r="S740" s="22">
        <v>4.0340510885375158E-2</v>
      </c>
      <c r="T740" s="19">
        <f t="shared" si="85"/>
        <v>4.2906827246840029E-2</v>
      </c>
      <c r="U740" s="24">
        <v>4.2501958933825135E-2</v>
      </c>
      <c r="V740" s="24">
        <f t="shared" si="86"/>
        <v>4.2905508824155447E-2</v>
      </c>
      <c r="W740" s="23">
        <f t="shared" si="87"/>
        <v>3.5069591432512759E-3</v>
      </c>
      <c r="X740" s="24">
        <v>4.2060195637937836E-2</v>
      </c>
      <c r="Y740" s="24">
        <f t="shared" si="88"/>
        <v>4.2905887282738364E-2</v>
      </c>
      <c r="Z740" s="23">
        <f t="shared" si="89"/>
        <v>3.5069856500378194E-3</v>
      </c>
      <c r="AA740" s="36"/>
    </row>
    <row r="741" spans="15:27" ht="13.9" customHeight="1" x14ac:dyDescent="0.3">
      <c r="O741" s="12">
        <f t="shared" si="83"/>
        <v>60.666666666666664</v>
      </c>
      <c r="P741" s="13">
        <v>728</v>
      </c>
      <c r="Q741" s="22">
        <v>3.5867973933954467E-2</v>
      </c>
      <c r="R741" s="19">
        <f t="shared" si="84"/>
        <v>3.6063023102556269E-2</v>
      </c>
      <c r="S741" s="22">
        <v>4.03440317103676E-2</v>
      </c>
      <c r="T741" s="19">
        <f t="shared" si="85"/>
        <v>4.2907701630062967E-2</v>
      </c>
      <c r="U741" s="24">
        <v>4.2502513153483301E-2</v>
      </c>
      <c r="V741" s="24">
        <f t="shared" si="86"/>
        <v>4.290622003796063E-2</v>
      </c>
      <c r="W741" s="23">
        <f t="shared" si="87"/>
        <v>3.5070166049966378E-3</v>
      </c>
      <c r="X741" s="24">
        <v>4.2061356831808228E-2</v>
      </c>
      <c r="Y741" s="24">
        <f t="shared" si="88"/>
        <v>4.290664561832469E-2</v>
      </c>
      <c r="Z741" s="23">
        <f t="shared" si="89"/>
        <v>3.5070469517679559E-3</v>
      </c>
      <c r="AA741" s="36"/>
    </row>
    <row r="742" spans="15:27" ht="13.9" customHeight="1" x14ac:dyDescent="0.3">
      <c r="O742" s="12">
        <f t="shared" si="83"/>
        <v>60.75</v>
      </c>
      <c r="P742" s="13">
        <v>729</v>
      </c>
      <c r="Q742" s="22">
        <v>3.5868241465960793E-2</v>
      </c>
      <c r="R742" s="19">
        <f t="shared" si="84"/>
        <v>3.6068675694838959E-2</v>
      </c>
      <c r="S742" s="22">
        <v>4.0347544084383236E-2</v>
      </c>
      <c r="T742" s="19">
        <f t="shared" si="85"/>
        <v>4.2908567802080411E-2</v>
      </c>
      <c r="U742" s="24">
        <v>4.250306682816718E-2</v>
      </c>
      <c r="V742" s="24">
        <f t="shared" si="86"/>
        <v>4.2906925893894554E-2</v>
      </c>
      <c r="W742" s="23">
        <f t="shared" si="87"/>
        <v>3.5070736337985409E-3</v>
      </c>
      <c r="X742" s="24">
        <v>4.2062515880649576E-2</v>
      </c>
      <c r="Y742" s="24">
        <f t="shared" si="88"/>
        <v>4.2907397838305661E-2</v>
      </c>
      <c r="Z742" s="23">
        <f t="shared" si="89"/>
        <v>3.5071077590165256E-3</v>
      </c>
      <c r="AA742" s="36"/>
    </row>
    <row r="743" spans="15:27" ht="13.9" customHeight="1" x14ac:dyDescent="0.3">
      <c r="O743" s="12">
        <f t="shared" si="83"/>
        <v>60.833333333333336</v>
      </c>
      <c r="P743" s="13">
        <v>730</v>
      </c>
      <c r="Q743" s="22">
        <v>3.5868516006873907E-2</v>
      </c>
      <c r="R743" s="19">
        <f t="shared" si="84"/>
        <v>3.6074280804009762E-2</v>
      </c>
      <c r="S743" s="22">
        <v>4.0351048030893732E-2</v>
      </c>
      <c r="T743" s="19">
        <f t="shared" si="85"/>
        <v>4.2909425839859239E-2</v>
      </c>
      <c r="U743" s="24">
        <v>4.2503619952779292E-2</v>
      </c>
      <c r="V743" s="24">
        <f t="shared" si="86"/>
        <v>4.2907626432618473E-2</v>
      </c>
      <c r="W743" s="23">
        <f t="shared" si="87"/>
        <v>3.5071302329434673E-3</v>
      </c>
      <c r="X743" s="24">
        <v>4.2063672784903527E-2</v>
      </c>
      <c r="Y743" s="24">
        <f t="shared" si="88"/>
        <v>4.2908143992525849E-2</v>
      </c>
      <c r="Z743" s="23">
        <f t="shared" si="89"/>
        <v>3.5071680758445023E-3</v>
      </c>
      <c r="AA743" s="36"/>
    </row>
    <row r="744" spans="15:27" ht="13.9" customHeight="1" x14ac:dyDescent="0.3">
      <c r="O744" s="12">
        <f t="shared" si="83"/>
        <v>60.916666666666664</v>
      </c>
      <c r="P744" s="13">
        <v>731</v>
      </c>
      <c r="Q744" s="22">
        <v>3.5868797462949464E-2</v>
      </c>
      <c r="R744" s="19">
        <f t="shared" si="84"/>
        <v>3.6079838832694833E-2</v>
      </c>
      <c r="S744" s="22">
        <v>4.0354543573347668E-2</v>
      </c>
      <c r="T744" s="19">
        <f t="shared" si="85"/>
        <v>4.2910275819507016E-2</v>
      </c>
      <c r="U744" s="24">
        <v>4.250417252230565E-2</v>
      </c>
      <c r="V744" s="24">
        <f t="shared" si="86"/>
        <v>4.2908321693218454E-2</v>
      </c>
      <c r="W744" s="23">
        <f t="shared" si="87"/>
        <v>3.5071864056923641E-3</v>
      </c>
      <c r="X744" s="24">
        <v>4.2064827545077677E-2</v>
      </c>
      <c r="Y744" s="24">
        <f t="shared" si="88"/>
        <v>4.2908884129019276E-2</v>
      </c>
      <c r="Z744" s="23">
        <f t="shared" si="89"/>
        <v>3.507227906249355E-3</v>
      </c>
      <c r="AA744" s="36"/>
    </row>
    <row r="745" spans="15:27" ht="13.9" customHeight="1" x14ac:dyDescent="0.3">
      <c r="O745" s="12">
        <f t="shared" si="83"/>
        <v>61</v>
      </c>
      <c r="P745" s="13">
        <v>732</v>
      </c>
      <c r="Q745" s="22">
        <v>3.5869085741506712E-2</v>
      </c>
      <c r="R745" s="19">
        <f t="shared" si="84"/>
        <v>3.6085350180854459E-2</v>
      </c>
      <c r="S745" s="22">
        <v>4.0358030735169192E-2</v>
      </c>
      <c r="T745" s="19">
        <f t="shared" si="85"/>
        <v>4.2911117816492705E-2</v>
      </c>
      <c r="U745" s="24">
        <v>4.2504724531813309E-2</v>
      </c>
      <c r="V745" s="24">
        <f t="shared" si="86"/>
        <v>4.2909011715677181E-2</v>
      </c>
      <c r="W745" s="23">
        <f t="shared" si="87"/>
        <v>3.5072421551805011E-3</v>
      </c>
      <c r="X745" s="24">
        <v>4.2065980161742456E-2</v>
      </c>
      <c r="Y745" s="24">
        <f t="shared" si="88"/>
        <v>4.2909618296240737E-2</v>
      </c>
      <c r="Z745" s="23">
        <f t="shared" si="89"/>
        <v>3.5072872540837796E-3</v>
      </c>
      <c r="AA745" s="36"/>
    </row>
    <row r="746" spans="15:27" ht="13.9" customHeight="1" x14ac:dyDescent="0.3">
      <c r="O746" s="12">
        <f t="shared" si="83"/>
        <v>61.083333333333336</v>
      </c>
      <c r="P746" s="13">
        <v>733</v>
      </c>
      <c r="Q746" s="22">
        <v>3.5869380750917168E-2</v>
      </c>
      <c r="R746" s="19">
        <f t="shared" si="84"/>
        <v>3.6090815245768848E-2</v>
      </c>
      <c r="S746" s="22">
        <v>4.0361509539757368E-2</v>
      </c>
      <c r="T746" s="19">
        <f t="shared" si="85"/>
        <v>4.2911951906748458E-2</v>
      </c>
      <c r="U746" s="24">
        <v>4.2505275976450374E-2</v>
      </c>
      <c r="V746" s="24">
        <f t="shared" si="86"/>
        <v>4.29096965401492E-2</v>
      </c>
      <c r="W746" s="23">
        <f t="shared" si="87"/>
        <v>3.5072974846144245E-3</v>
      </c>
      <c r="X746" s="24">
        <v>4.2067130635530914E-2</v>
      </c>
      <c r="Y746" s="24">
        <f t="shared" si="88"/>
        <v>4.2910346543213684E-2</v>
      </c>
      <c r="Z746" s="23">
        <f t="shared" si="89"/>
        <v>3.5073461232342229E-3</v>
      </c>
      <c r="AA746" s="36"/>
    </row>
    <row r="747" spans="15:27" ht="13.9" customHeight="1" x14ac:dyDescent="0.3">
      <c r="O747" s="12">
        <f t="shared" si="83"/>
        <v>61.166666666666664</v>
      </c>
      <c r="P747" s="13">
        <v>734</v>
      </c>
      <c r="Q747" s="22">
        <v>3.5869682400593961E-2</v>
      </c>
      <c r="R747" s="19">
        <f t="shared" si="84"/>
        <v>3.6096234420192275E-2</v>
      </c>
      <c r="S747" s="22">
        <v>4.036498001048705E-2</v>
      </c>
      <c r="T747" s="19">
        <f t="shared" si="85"/>
        <v>4.2912778164438503E-2</v>
      </c>
      <c r="U747" s="24">
        <v>4.2505826851446438E-2</v>
      </c>
      <c r="V747" s="24">
        <f t="shared" si="86"/>
        <v>4.2910376206032774E-2</v>
      </c>
      <c r="W747" s="23">
        <f t="shared" si="87"/>
        <v>3.5073523972146692E-3</v>
      </c>
      <c r="X747" s="24">
        <v>4.2068278967139827E-2</v>
      </c>
      <c r="Y747" s="24">
        <f t="shared" si="88"/>
        <v>4.2911068918151551E-2</v>
      </c>
      <c r="Z747" s="23">
        <f t="shared" si="89"/>
        <v>3.5074045176324287E-3</v>
      </c>
      <c r="AA747" s="36"/>
    </row>
    <row r="748" spans="15:27" ht="13.9" customHeight="1" x14ac:dyDescent="0.3">
      <c r="O748" s="12">
        <f t="shared" si="83"/>
        <v>61.25</v>
      </c>
      <c r="P748" s="13">
        <v>735</v>
      </c>
      <c r="Q748" s="22">
        <v>3.5869990600978507E-2</v>
      </c>
      <c r="R748" s="19">
        <f t="shared" si="84"/>
        <v>3.610160809433971E-2</v>
      </c>
      <c r="S748" s="22">
        <v>4.0368442170706675E-2</v>
      </c>
      <c r="T748" s="19">
        <f t="shared" si="85"/>
        <v>4.2913596662680575E-2</v>
      </c>
      <c r="U748" s="24">
        <v>4.2506377152110364E-2</v>
      </c>
      <c r="V748" s="24">
        <f t="shared" si="86"/>
        <v>4.2911050751179847E-2</v>
      </c>
      <c r="W748" s="23">
        <f t="shared" si="87"/>
        <v>3.507406896141152E-3</v>
      </c>
      <c r="X748" s="24">
        <v>4.2069425157327256E-2</v>
      </c>
      <c r="Y748" s="24">
        <f t="shared" si="88"/>
        <v>4.2911785466557051E-2</v>
      </c>
      <c r="Z748" s="23">
        <f t="shared" si="89"/>
        <v>3.5074624411450817E-3</v>
      </c>
      <c r="AA748" s="36"/>
    </row>
    <row r="749" spans="15:27" ht="13.9" customHeight="1" x14ac:dyDescent="0.3">
      <c r="O749" s="12">
        <f t="shared" si="83"/>
        <v>61.333333333333336</v>
      </c>
      <c r="P749" s="13">
        <v>736</v>
      </c>
      <c r="Q749" s="22">
        <v>3.5870305263530078E-2</v>
      </c>
      <c r="R749" s="19">
        <f t="shared" si="84"/>
        <v>3.6106936654928923E-2</v>
      </c>
      <c r="S749" s="22">
        <v>4.0371896043736921E-2</v>
      </c>
      <c r="T749" s="19">
        <f t="shared" si="85"/>
        <v>4.2914407475039384E-2</v>
      </c>
      <c r="U749" s="24">
        <v>4.2506926873828066E-2</v>
      </c>
      <c r="V749" s="24">
        <f t="shared" si="86"/>
        <v>4.2911720215116356E-2</v>
      </c>
      <c r="W749" s="23">
        <f t="shared" si="87"/>
        <v>3.5074609844298887E-3</v>
      </c>
      <c r="X749" s="24">
        <v>4.2070569206909436E-2</v>
      </c>
      <c r="Y749" s="24">
        <f t="shared" si="88"/>
        <v>4.2912496237526021E-2</v>
      </c>
      <c r="Z749" s="23">
        <f t="shared" si="89"/>
        <v>3.507519897421929E-3</v>
      </c>
      <c r="AA749" s="36"/>
    </row>
    <row r="750" spans="15:27" ht="13.9" customHeight="1" x14ac:dyDescent="0.3">
      <c r="O750" s="12">
        <f t="shared" si="83"/>
        <v>61.416666666666664</v>
      </c>
      <c r="P750" s="13">
        <v>737</v>
      </c>
      <c r="Q750" s="22">
        <v>3.5870626300713804E-2</v>
      </c>
      <c r="R750" s="19">
        <f t="shared" si="84"/>
        <v>3.6112220483073942E-2</v>
      </c>
      <c r="S750" s="22">
        <v>4.0375341652871599E-2</v>
      </c>
      <c r="T750" s="19">
        <f t="shared" si="85"/>
        <v>4.2915210673146742E-2</v>
      </c>
      <c r="U750" s="24">
        <v>4.250747601206406E-2</v>
      </c>
      <c r="V750" s="24">
        <f t="shared" si="86"/>
        <v>4.2912384636037082E-2</v>
      </c>
      <c r="W750" s="23">
        <f t="shared" si="87"/>
        <v>3.5075146652510103E-3</v>
      </c>
      <c r="X750" s="24">
        <v>4.207171111676411E-2</v>
      </c>
      <c r="Y750" s="24">
        <f t="shared" si="88"/>
        <v>4.2913201276480351E-2</v>
      </c>
      <c r="Z750" s="23">
        <f t="shared" si="89"/>
        <v>3.5075768904007099E-3</v>
      </c>
      <c r="AA750" s="36"/>
    </row>
    <row r="751" spans="15:27" ht="13.9" customHeight="1" x14ac:dyDescent="0.3">
      <c r="O751" s="12">
        <f t="shared" si="83"/>
        <v>61.5</v>
      </c>
      <c r="P751" s="13">
        <v>738</v>
      </c>
      <c r="Q751" s="22">
        <v>3.5870953625987134E-2</v>
      </c>
      <c r="R751" s="19">
        <f t="shared" si="84"/>
        <v>3.6117459961245268E-2</v>
      </c>
      <c r="S751" s="22">
        <v>4.0378779021375211E-2</v>
      </c>
      <c r="T751" s="19">
        <f t="shared" si="85"/>
        <v>4.2916006329850376E-2</v>
      </c>
      <c r="U751" s="24">
        <v>4.2508024562359248E-2</v>
      </c>
      <c r="V751" s="24">
        <f t="shared" si="86"/>
        <v>4.2913044052971472E-2</v>
      </c>
      <c r="W751" s="23">
        <f t="shared" si="87"/>
        <v>3.507567941667622E-3</v>
      </c>
      <c r="X751" s="24">
        <v>4.2072850887826307E-2</v>
      </c>
      <c r="Y751" s="24">
        <f t="shared" si="88"/>
        <v>4.2913900631426971E-2</v>
      </c>
      <c r="Z751" s="23">
        <f t="shared" si="89"/>
        <v>3.5076334237240658E-3</v>
      </c>
      <c r="AA751" s="36"/>
    </row>
    <row r="752" spans="15:27" ht="13.9" customHeight="1" x14ac:dyDescent="0.3">
      <c r="O752" s="12">
        <f t="shared" si="83"/>
        <v>61.583333333333336</v>
      </c>
      <c r="P752" s="13">
        <v>739</v>
      </c>
      <c r="Q752" s="22">
        <v>3.5871287153793618E-2</v>
      </c>
      <c r="R752" s="19">
        <f t="shared" si="84"/>
        <v>3.6122655463755038E-2</v>
      </c>
      <c r="S752" s="22">
        <v>4.0382208172484502E-2</v>
      </c>
      <c r="T752" s="19">
        <f t="shared" si="85"/>
        <v>4.2916794514261003E-2</v>
      </c>
      <c r="U752" s="24">
        <v>4.2508572520331356E-2</v>
      </c>
      <c r="V752" s="24">
        <f t="shared" si="86"/>
        <v>4.2913698500314235E-2</v>
      </c>
      <c r="W752" s="23">
        <f t="shared" si="87"/>
        <v>3.5076208168103307E-3</v>
      </c>
      <c r="X752" s="24">
        <v>4.2073988521090566E-2</v>
      </c>
      <c r="Y752" s="24">
        <f t="shared" si="88"/>
        <v>4.2914594345516033E-2</v>
      </c>
      <c r="Z752" s="23">
        <f t="shared" si="89"/>
        <v>3.5076895012424725E-3</v>
      </c>
      <c r="AA752" s="36"/>
    </row>
    <row r="753" spans="15:27" ht="13.9" customHeight="1" x14ac:dyDescent="0.3">
      <c r="O753" s="12">
        <f t="shared" si="83"/>
        <v>61.666666666666664</v>
      </c>
      <c r="P753" s="13">
        <v>740</v>
      </c>
      <c r="Q753" s="22">
        <v>3.5871626799546474E-2</v>
      </c>
      <c r="R753" s="19">
        <f t="shared" si="84"/>
        <v>3.6127807365267328E-2</v>
      </c>
      <c r="S753" s="22">
        <v>4.0385629129404244E-2</v>
      </c>
      <c r="T753" s="19">
        <f t="shared" si="85"/>
        <v>4.2917575298177413E-2</v>
      </c>
      <c r="U753" s="24">
        <v>4.2509119881668278E-2</v>
      </c>
      <c r="V753" s="24">
        <f t="shared" si="86"/>
        <v>4.2914348019841064E-2</v>
      </c>
      <c r="W753" s="23">
        <f t="shared" si="87"/>
        <v>3.5076732934373744E-3</v>
      </c>
      <c r="X753" s="24">
        <v>4.2075124017604493E-2</v>
      </c>
      <c r="Y753" s="24">
        <f t="shared" si="88"/>
        <v>4.2915282465925131E-2</v>
      </c>
      <c r="Z753" s="23">
        <f t="shared" si="89"/>
        <v>3.507745126416939E-3</v>
      </c>
      <c r="AA753" s="36"/>
    </row>
    <row r="754" spans="15:27" ht="13.9" customHeight="1" x14ac:dyDescent="0.3">
      <c r="O754" s="12">
        <f t="shared" si="83"/>
        <v>61.75</v>
      </c>
      <c r="P754" s="13">
        <v>741</v>
      </c>
      <c r="Q754" s="22">
        <v>3.5871972479621705E-2</v>
      </c>
      <c r="R754" s="19">
        <f t="shared" si="84"/>
        <v>3.6132916034441465E-2</v>
      </c>
      <c r="S754" s="22">
        <v>4.0389041915310342E-2</v>
      </c>
      <c r="T754" s="19">
        <f t="shared" si="85"/>
        <v>4.2918348750498048E-2</v>
      </c>
      <c r="U754" s="24">
        <v>4.2509666642137622E-2</v>
      </c>
      <c r="V754" s="24">
        <f t="shared" si="86"/>
        <v>4.2914992646308603E-2</v>
      </c>
      <c r="W754" s="23">
        <f t="shared" si="87"/>
        <v>3.5077253748994064E-3</v>
      </c>
      <c r="X754" s="24">
        <v>4.2076257378473647E-2</v>
      </c>
      <c r="Y754" s="24">
        <f t="shared" si="88"/>
        <v>4.2915965038554882E-2</v>
      </c>
      <c r="Z754" s="23">
        <f t="shared" si="89"/>
        <v>3.5078003030308835E-3</v>
      </c>
      <c r="AA754" s="36"/>
    </row>
    <row r="755" spans="15:27" ht="13.9" customHeight="1" x14ac:dyDescent="0.3">
      <c r="O755" s="12">
        <f t="shared" si="83"/>
        <v>61.833333333333336</v>
      </c>
      <c r="P755" s="13">
        <v>742</v>
      </c>
      <c r="Q755" s="22">
        <v>3.587232411134389E-2</v>
      </c>
      <c r="R755" s="19">
        <f t="shared" si="84"/>
        <v>3.6137981838332722E-2</v>
      </c>
      <c r="S755" s="22">
        <v>4.0392446553346728E-2</v>
      </c>
      <c r="T755" s="19">
        <f t="shared" si="85"/>
        <v>4.2919114939876879E-2</v>
      </c>
      <c r="U755" s="24">
        <v>4.2510212797576497E-2</v>
      </c>
      <c r="V755" s="24">
        <f t="shared" si="86"/>
        <v>4.2915632416426597E-2</v>
      </c>
      <c r="W755" s="23">
        <f t="shared" si="87"/>
        <v>3.5077770639841965E-3</v>
      </c>
      <c r="X755" s="24">
        <v>4.2077388604859101E-2</v>
      </c>
      <c r="Y755" s="24">
        <f t="shared" si="88"/>
        <v>4.2916642106848091E-2</v>
      </c>
      <c r="Z755" s="23">
        <f t="shared" si="89"/>
        <v>3.5078550347655835E-3</v>
      </c>
      <c r="AA755" s="36"/>
    </row>
    <row r="756" spans="15:27" ht="13.9" customHeight="1" x14ac:dyDescent="0.3">
      <c r="O756" s="12">
        <f t="shared" si="83"/>
        <v>61.916666666666664</v>
      </c>
      <c r="P756" s="13">
        <v>743</v>
      </c>
      <c r="Q756" s="22">
        <v>3.5872681612977297E-2</v>
      </c>
      <c r="R756" s="19">
        <f t="shared" si="84"/>
        <v>3.6143005141411777E-2</v>
      </c>
      <c r="S756" s="22">
        <v>4.0395843066624915E-2</v>
      </c>
      <c r="T756" s="19">
        <f t="shared" si="85"/>
        <v>4.291987393542418E-2</v>
      </c>
      <c r="U756" s="24">
        <v>4.2510758343894173E-2</v>
      </c>
      <c r="V756" s="24">
        <f t="shared" si="86"/>
        <v>4.2916267368517058E-2</v>
      </c>
      <c r="W756" s="23">
        <f t="shared" si="87"/>
        <v>3.5078283636356122E-3</v>
      </c>
      <c r="X756" s="24">
        <v>4.2078517697974549E-2</v>
      </c>
      <c r="Y756" s="24">
        <f t="shared" si="88"/>
        <v>4.2917313716039684E-2</v>
      </c>
      <c r="Z756" s="23">
        <f t="shared" si="89"/>
        <v>3.5079093251058069E-3</v>
      </c>
      <c r="AA756" s="36"/>
    </row>
    <row r="757" spans="15:27" ht="13.9" customHeight="1" x14ac:dyDescent="0.3">
      <c r="O757" s="12">
        <f t="shared" si="83"/>
        <v>62</v>
      </c>
      <c r="P757" s="13">
        <v>744</v>
      </c>
      <c r="Q757" s="22">
        <v>3.5873044903716345E-2</v>
      </c>
      <c r="R757" s="19">
        <f t="shared" si="84"/>
        <v>3.6147986302770718E-2</v>
      </c>
      <c r="S757" s="22">
        <v>4.0399231478224884E-2</v>
      </c>
      <c r="T757" s="19">
        <f t="shared" si="85"/>
        <v>4.2920625804116375E-2</v>
      </c>
      <c r="U757" s="24">
        <v>4.2511303277072754E-2</v>
      </c>
      <c r="V757" s="24">
        <f t="shared" si="86"/>
        <v>4.2916897537379928E-2</v>
      </c>
      <c r="W757" s="23">
        <f t="shared" si="87"/>
        <v>3.507879276927417E-3</v>
      </c>
      <c r="X757" s="24">
        <v>4.2079644659087645E-2</v>
      </c>
      <c r="Y757" s="24">
        <f t="shared" si="88"/>
        <v>4.2917979909583348E-2</v>
      </c>
      <c r="Z757" s="23">
        <f t="shared" si="89"/>
        <v>3.5079631776788744E-3</v>
      </c>
      <c r="AA757" s="36"/>
    </row>
    <row r="758" spans="15:27" ht="13.9" customHeight="1" x14ac:dyDescent="0.3">
      <c r="O758" s="12">
        <f t="shared" si="83"/>
        <v>62.083333333333336</v>
      </c>
      <c r="P758" s="13">
        <v>745</v>
      </c>
      <c r="Q758" s="22">
        <v>3.5873413903672047E-2</v>
      </c>
      <c r="R758" s="19">
        <f t="shared" si="84"/>
        <v>3.6152925680834835E-2</v>
      </c>
      <c r="S758" s="22">
        <v>4.0402611811192424E-2</v>
      </c>
      <c r="T758" s="19">
        <f t="shared" si="85"/>
        <v>4.2921370613009602E-2</v>
      </c>
      <c r="U758" s="24">
        <v>4.2511847593163177E-2</v>
      </c>
      <c r="V758" s="24">
        <f t="shared" si="86"/>
        <v>4.2917522959516008E-2</v>
      </c>
      <c r="W758" s="23">
        <f t="shared" si="87"/>
        <v>3.5079298066507114E-3</v>
      </c>
      <c r="X758" s="24">
        <v>4.2080769489517555E-2</v>
      </c>
      <c r="Y758" s="24">
        <f t="shared" si="88"/>
        <v>4.2918640731708368E-2</v>
      </c>
      <c r="Z758" s="23">
        <f t="shared" si="89"/>
        <v>3.5080165959702203E-3</v>
      </c>
      <c r="AA758" s="36"/>
    </row>
    <row r="759" spans="15:27" ht="13.9" customHeight="1" x14ac:dyDescent="0.3">
      <c r="O759" s="12">
        <f t="shared" si="83"/>
        <v>62.166666666666664</v>
      </c>
      <c r="P759" s="13">
        <v>746</v>
      </c>
      <c r="Q759" s="22">
        <v>3.5873788533864914E-2</v>
      </c>
      <c r="R759" s="19">
        <f t="shared" si="84"/>
        <v>3.6157823628805597E-2</v>
      </c>
      <c r="S759" s="22">
        <v>4.040598408853957E-2</v>
      </c>
      <c r="T759" s="19">
        <f t="shared" si="85"/>
        <v>4.2922108429200634E-2</v>
      </c>
      <c r="U759" s="24">
        <v>4.2512391288286322E-2</v>
      </c>
      <c r="V759" s="24">
        <f t="shared" si="86"/>
        <v>4.2918143671525133E-2</v>
      </c>
      <c r="W759" s="23">
        <f t="shared" si="87"/>
        <v>3.5079799557327096E-3</v>
      </c>
      <c r="X759" s="24">
        <v>4.208189219063585E-2</v>
      </c>
      <c r="Y759" s="24">
        <f t="shared" si="88"/>
        <v>4.2919296225803594E-2</v>
      </c>
      <c r="Z759" s="23">
        <f t="shared" si="89"/>
        <v>3.508069583526785E-3</v>
      </c>
      <c r="AA759" s="36"/>
    </row>
    <row r="760" spans="15:27" ht="13.9" customHeight="1" x14ac:dyDescent="0.3">
      <c r="O760" s="12">
        <f t="shared" si="83"/>
        <v>62.25</v>
      </c>
      <c r="P760" s="13">
        <v>747</v>
      </c>
      <c r="Q760" s="22">
        <v>3.5874168716211852E-2</v>
      </c>
      <c r="R760" s="19">
        <f t="shared" si="84"/>
        <v>3.6162680498667665E-2</v>
      </c>
      <c r="S760" s="22">
        <v>4.0409348333244832E-2</v>
      </c>
      <c r="T760" s="19">
        <f t="shared" si="85"/>
        <v>4.2922839316935857E-2</v>
      </c>
      <c r="U760" s="24">
        <v>4.251293435863257E-2</v>
      </c>
      <c r="V760" s="24">
        <f t="shared" si="86"/>
        <v>4.2918759707224252E-2</v>
      </c>
      <c r="W760" s="23">
        <f t="shared" si="87"/>
        <v>3.5080297271090632E-3</v>
      </c>
      <c r="X760" s="24">
        <v>4.208301276386428E-2</v>
      </c>
      <c r="Y760" s="24">
        <f t="shared" si="88"/>
        <v>4.2919946434014644E-2</v>
      </c>
      <c r="Z760" s="23">
        <f t="shared" si="89"/>
        <v>3.5081221438288956E-3</v>
      </c>
      <c r="AA760" s="36"/>
    </row>
    <row r="761" spans="15:27" ht="13.9" customHeight="1" x14ac:dyDescent="0.3">
      <c r="O761" s="12">
        <f t="shared" si="83"/>
        <v>62.333333333333336</v>
      </c>
      <c r="P761" s="13">
        <v>748</v>
      </c>
      <c r="Q761" s="22">
        <v>3.5874554373518608E-2</v>
      </c>
      <c r="R761" s="19">
        <f t="shared" si="84"/>
        <v>3.6167496637961483E-2</v>
      </c>
      <c r="S761" s="22">
        <v>4.0412704568249636E-2</v>
      </c>
      <c r="T761" s="19">
        <f t="shared" si="85"/>
        <v>4.292356334320413E-2</v>
      </c>
      <c r="U761" s="24">
        <v>4.251347680045825E-2</v>
      </c>
      <c r="V761" s="24">
        <f t="shared" si="86"/>
        <v>4.2919371104287007E-2</v>
      </c>
      <c r="W761" s="23">
        <f t="shared" si="87"/>
        <v>3.5080791234916031E-3</v>
      </c>
      <c r="X761" s="24">
        <v>4.208413121067367E-2</v>
      </c>
      <c r="Y761" s="24">
        <f t="shared" si="88"/>
        <v>4.2920591401514718E-2</v>
      </c>
      <c r="Z761" s="23">
        <f t="shared" si="89"/>
        <v>3.5081742802562932E-3</v>
      </c>
      <c r="AA761" s="36"/>
    </row>
    <row r="762" spans="15:27" ht="13.9" customHeight="1" x14ac:dyDescent="0.3">
      <c r="O762" s="12">
        <f t="shared" si="83"/>
        <v>62.416666666666664</v>
      </c>
      <c r="P762" s="13">
        <v>749</v>
      </c>
      <c r="Q762" s="22">
        <v>3.5874945429467786E-2</v>
      </c>
      <c r="R762" s="19">
        <f t="shared" si="84"/>
        <v>3.6172272391881588E-2</v>
      </c>
      <c r="S762" s="22">
        <v>4.04160528164621E-2</v>
      </c>
      <c r="T762" s="19">
        <f t="shared" si="85"/>
        <v>4.2924280571015716E-2</v>
      </c>
      <c r="U762" s="24">
        <v>4.2514018610089632E-2</v>
      </c>
      <c r="V762" s="24">
        <f t="shared" si="86"/>
        <v>4.2919977895499173E-2</v>
      </c>
      <c r="W762" s="23">
        <f t="shared" si="87"/>
        <v>3.5081281479019122E-3</v>
      </c>
      <c r="X762" s="24">
        <v>4.2085247532587244E-2</v>
      </c>
      <c r="Y762" s="24">
        <f t="shared" si="88"/>
        <v>4.2921231167089458E-2</v>
      </c>
      <c r="Z762" s="23">
        <f t="shared" si="89"/>
        <v>3.5082259964320794E-3</v>
      </c>
      <c r="AA762" s="36"/>
    </row>
    <row r="763" spans="15:27" ht="13.9" customHeight="1" x14ac:dyDescent="0.3">
      <c r="O763" s="12">
        <f t="shared" si="83"/>
        <v>62.5</v>
      </c>
      <c r="P763" s="13">
        <v>750</v>
      </c>
      <c r="Q763" s="22">
        <v>3.5875341808609962E-2</v>
      </c>
      <c r="R763" s="19">
        <f t="shared" si="84"/>
        <v>3.6177008102951547E-2</v>
      </c>
      <c r="S763" s="22">
        <v>4.0419393100752155E-2</v>
      </c>
      <c r="T763" s="19">
        <f t="shared" si="85"/>
        <v>4.292499106501757E-2</v>
      </c>
      <c r="U763" s="24">
        <v>4.2514559783916495E-2</v>
      </c>
      <c r="V763" s="24">
        <f t="shared" si="86"/>
        <v>4.2920580117010498E-2</v>
      </c>
      <c r="W763" s="23">
        <f t="shared" si="87"/>
        <v>3.5081768029696647E-3</v>
      </c>
      <c r="X763" s="24">
        <v>4.2086361731171529E-2</v>
      </c>
      <c r="Y763" s="24">
        <f t="shared" si="88"/>
        <v>4.2921865775610968E-2</v>
      </c>
      <c r="Z763" s="23">
        <f t="shared" si="89"/>
        <v>3.5082772954668773E-3</v>
      </c>
      <c r="AA763" s="36"/>
    </row>
    <row r="764" spans="15:27" ht="13.9" customHeight="1" x14ac:dyDescent="0.3">
      <c r="O764" s="12">
        <f t="shared" si="83"/>
        <v>62.583333333333336</v>
      </c>
      <c r="P764" s="13">
        <v>751</v>
      </c>
      <c r="Q764" s="22">
        <v>3.5875743436354135E-2</v>
      </c>
      <c r="R764" s="19">
        <f t="shared" si="84"/>
        <v>3.6181704109551793E-2</v>
      </c>
      <c r="S764" s="22">
        <v>4.0422725443953755E-2</v>
      </c>
      <c r="T764" s="19">
        <f t="shared" si="85"/>
        <v>4.2925694888179322E-2</v>
      </c>
      <c r="U764" s="24">
        <v>4.2515100318395893E-2</v>
      </c>
      <c r="V764" s="24">
        <f t="shared" si="86"/>
        <v>4.2921177802501376E-2</v>
      </c>
      <c r="W764" s="23">
        <f t="shared" si="87"/>
        <v>3.5082250915938751E-3</v>
      </c>
      <c r="X764" s="24">
        <v>4.2087473808044784E-2</v>
      </c>
      <c r="Y764" s="24">
        <f t="shared" si="88"/>
        <v>4.2922495266847882E-2</v>
      </c>
      <c r="Z764" s="23">
        <f t="shared" si="89"/>
        <v>3.5083281809593636E-3</v>
      </c>
      <c r="AA764" s="36"/>
    </row>
    <row r="765" spans="15:27" ht="13.9" customHeight="1" x14ac:dyDescent="0.3">
      <c r="O765" s="12">
        <f t="shared" si="83"/>
        <v>62.666666666666664</v>
      </c>
      <c r="P765" s="13">
        <v>752</v>
      </c>
      <c r="Q765" s="22">
        <v>3.587615023895685E-2</v>
      </c>
      <c r="R765" s="19">
        <f t="shared" si="84"/>
        <v>3.6186360748702961E-2</v>
      </c>
      <c r="S765" s="22">
        <v>4.0426049868863334E-2</v>
      </c>
      <c r="T765" s="19">
        <f t="shared" si="85"/>
        <v>4.2926392103426636E-2</v>
      </c>
      <c r="U765" s="24">
        <v>4.2515640210048389E-2</v>
      </c>
      <c r="V765" s="24">
        <f t="shared" si="86"/>
        <v>4.2921770986259267E-2</v>
      </c>
      <c r="W765" s="23">
        <f t="shared" si="87"/>
        <v>3.5082730164757159E-3</v>
      </c>
      <c r="X765" s="24">
        <v>4.2088583764869014E-2</v>
      </c>
      <c r="Y765" s="24">
        <f t="shared" si="88"/>
        <v>4.2923119683337285E-2</v>
      </c>
      <c r="Z765" s="23">
        <f t="shared" si="89"/>
        <v>3.5083786560992092E-3</v>
      </c>
      <c r="AA765" s="36"/>
    </row>
    <row r="766" spans="15:27" ht="13.9" customHeight="1" x14ac:dyDescent="0.3">
      <c r="O766" s="12">
        <f t="shared" si="83"/>
        <v>62.75</v>
      </c>
      <c r="P766" s="13">
        <v>753</v>
      </c>
      <c r="Q766" s="22">
        <v>3.5876562143514423E-2</v>
      </c>
      <c r="R766" s="19">
        <f t="shared" si="84"/>
        <v>3.6190978352804715E-2</v>
      </c>
      <c r="S766" s="22">
        <v>4.042936639823913E-2</v>
      </c>
      <c r="T766" s="19">
        <f t="shared" si="85"/>
        <v>4.2927082772801661E-2</v>
      </c>
      <c r="U766" s="24">
        <v>4.2516179455458714E-2</v>
      </c>
      <c r="V766" s="24">
        <f t="shared" si="86"/>
        <v>4.2922359703053692E-2</v>
      </c>
      <c r="W766" s="23">
        <f t="shared" si="87"/>
        <v>3.5083205803654316E-3</v>
      </c>
      <c r="X766" s="24">
        <v>4.2089691603354407E-2</v>
      </c>
      <c r="Y766" s="24">
        <f t="shared" si="88"/>
        <v>4.2923739065675148E-2</v>
      </c>
      <c r="Z766" s="23">
        <f t="shared" si="89"/>
        <v>3.5084287242976853E-3</v>
      </c>
      <c r="AA766" s="36"/>
    </row>
    <row r="767" spans="15:27" ht="13.9" customHeight="1" x14ac:dyDescent="0.3">
      <c r="O767" s="12">
        <f t="shared" si="83"/>
        <v>62.833333333333336</v>
      </c>
      <c r="P767" s="13">
        <v>754</v>
      </c>
      <c r="Q767" s="22">
        <v>3.5876979077951177E-2</v>
      </c>
      <c r="R767" s="19">
        <f t="shared" si="84"/>
        <v>3.6195557252699517E-2</v>
      </c>
      <c r="S767" s="22">
        <v>4.0432675054801415E-2</v>
      </c>
      <c r="T767" s="19">
        <f t="shared" si="85"/>
        <v>4.2927766957887803E-2</v>
      </c>
      <c r="U767" s="24">
        <v>4.251671805127577E-2</v>
      </c>
      <c r="V767" s="24">
        <f t="shared" si="86"/>
        <v>4.2922943984975204E-2</v>
      </c>
      <c r="W767" s="23">
        <f t="shared" si="87"/>
        <v>3.5083677860512363E-3</v>
      </c>
      <c r="X767" s="24">
        <v>4.2090797325255336E-2</v>
      </c>
      <c r="Y767" s="24">
        <f t="shared" si="88"/>
        <v>4.2924353453972719E-2</v>
      </c>
      <c r="Z767" s="23">
        <f t="shared" si="89"/>
        <v>3.5084783888108539E-3</v>
      </c>
      <c r="AA767" s="36"/>
    </row>
    <row r="768" spans="15:27" ht="13.9" customHeight="1" x14ac:dyDescent="0.3">
      <c r="O768" s="12">
        <f t="shared" si="83"/>
        <v>62.916666666666664</v>
      </c>
      <c r="P768" s="13">
        <v>755</v>
      </c>
      <c r="Q768" s="22">
        <v>3.587740097101233E-2</v>
      </c>
      <c r="R768" s="19">
        <f t="shared" si="84"/>
        <v>3.6200097776765139E-2</v>
      </c>
      <c r="S768" s="22">
        <v>4.0435975861231155E-2</v>
      </c>
      <c r="T768" s="19">
        <f t="shared" si="85"/>
        <v>4.2928444719338543E-2</v>
      </c>
      <c r="U768" s="24">
        <v>4.2517255994208636E-2</v>
      </c>
      <c r="V768" s="24">
        <f t="shared" si="86"/>
        <v>4.292352386762377E-2</v>
      </c>
      <c r="W768" s="23">
        <f t="shared" si="87"/>
        <v>3.5084146361068491E-3</v>
      </c>
      <c r="X768" s="24">
        <v>4.2091900932370141E-2</v>
      </c>
      <c r="Y768" s="24">
        <f t="shared" si="88"/>
        <v>4.2924962889645313E-2</v>
      </c>
      <c r="Z768" s="23">
        <f t="shared" si="89"/>
        <v>3.5085276528554754E-3</v>
      </c>
      <c r="AA768" s="36"/>
    </row>
    <row r="769" spans="15:27" ht="13.9" customHeight="1" x14ac:dyDescent="0.3">
      <c r="O769" s="12">
        <f t="shared" si="83"/>
        <v>63</v>
      </c>
      <c r="P769" s="13">
        <v>756</v>
      </c>
      <c r="Q769" s="22">
        <v>3.5877827752254898E-2</v>
      </c>
      <c r="R769" s="19">
        <f t="shared" si="84"/>
        <v>3.6204600248351371E-2</v>
      </c>
      <c r="S769" s="22">
        <v>4.0439268840169573E-2</v>
      </c>
      <c r="T769" s="19">
        <f t="shared" si="85"/>
        <v>4.2929116118128441E-2</v>
      </c>
      <c r="U769" s="24">
        <v>4.251779328103078E-2</v>
      </c>
      <c r="V769" s="24">
        <f t="shared" si="86"/>
        <v>4.2924099382506631E-2</v>
      </c>
      <c r="W769" s="23">
        <f t="shared" si="87"/>
        <v>3.5084611333873195E-3</v>
      </c>
      <c r="X769" s="24">
        <v>4.2093002426542681E-2</v>
      </c>
      <c r="Y769" s="24">
        <f t="shared" si="88"/>
        <v>4.2925567412091858E-2</v>
      </c>
      <c r="Z769" s="23">
        <f t="shared" si="89"/>
        <v>3.5085765197531149E-3</v>
      </c>
      <c r="AA769" s="36"/>
    </row>
    <row r="770" spans="15:27" ht="13.9" customHeight="1" x14ac:dyDescent="0.3">
      <c r="O770" s="12">
        <f t="shared" si="83"/>
        <v>63.083333333333336</v>
      </c>
      <c r="P770" s="13">
        <v>757</v>
      </c>
      <c r="Q770" s="22">
        <v>3.5878259352035702E-2</v>
      </c>
      <c r="R770" s="19">
        <f t="shared" si="84"/>
        <v>3.620906499141574E-2</v>
      </c>
      <c r="S770" s="22">
        <v>4.0442554014218812E-2</v>
      </c>
      <c r="T770" s="19">
        <f t="shared" si="85"/>
        <v>4.2929781213236318E-2</v>
      </c>
      <c r="U770" s="24">
        <v>4.2518329908574515E-2</v>
      </c>
      <c r="V770" s="24">
        <f t="shared" si="86"/>
        <v>4.292467056316962E-2</v>
      </c>
      <c r="W770" s="23">
        <f t="shared" si="87"/>
        <v>3.508507280419737E-3</v>
      </c>
      <c r="X770" s="24">
        <v>4.2094101809658557E-2</v>
      </c>
      <c r="Y770" s="24">
        <f t="shared" si="88"/>
        <v>4.2926167059840203E-2</v>
      </c>
      <c r="Z770" s="23">
        <f t="shared" si="89"/>
        <v>3.5086249926634672E-3</v>
      </c>
      <c r="AA770" s="36"/>
    </row>
    <row r="771" spans="15:27" ht="13.9" customHeight="1" x14ac:dyDescent="0.3">
      <c r="O771" s="12">
        <f t="shared" si="83"/>
        <v>63.166666666666664</v>
      </c>
      <c r="P771" s="13">
        <v>758</v>
      </c>
      <c r="Q771" s="22">
        <v>3.5878695701506924E-2</v>
      </c>
      <c r="R771" s="19">
        <f t="shared" si="84"/>
        <v>3.6213492322557661E-2</v>
      </c>
      <c r="S771" s="22">
        <v>4.0445831405939048E-2</v>
      </c>
      <c r="T771" s="19">
        <f t="shared" si="85"/>
        <v>4.2930440064617326E-2</v>
      </c>
      <c r="U771" s="24">
        <v>4.2518865873733214E-2</v>
      </c>
      <c r="V771" s="24">
        <f t="shared" si="86"/>
        <v>4.2925237442581032E-2</v>
      </c>
      <c r="W771" s="23">
        <f t="shared" si="87"/>
        <v>3.5085530798946163E-3</v>
      </c>
      <c r="X771" s="24">
        <v>4.2095199083644674E-2</v>
      </c>
      <c r="Y771" s="24">
        <f t="shared" si="88"/>
        <v>4.2926761874908292E-2</v>
      </c>
      <c r="Z771" s="23">
        <f t="shared" si="89"/>
        <v>3.5086730746765049E-3</v>
      </c>
      <c r="AA771" s="36"/>
    </row>
    <row r="772" spans="15:27" ht="13.9" customHeight="1" x14ac:dyDescent="0.3">
      <c r="O772" s="12">
        <f t="shared" si="83"/>
        <v>63.25</v>
      </c>
      <c r="P772" s="13">
        <v>759</v>
      </c>
      <c r="Q772" s="22">
        <v>3.5879136732601458E-2</v>
      </c>
      <c r="R772" s="19">
        <f t="shared" si="84"/>
        <v>3.6217882559967496E-2</v>
      </c>
      <c r="S772" s="22">
        <v>4.0449101037850932E-2</v>
      </c>
      <c r="T772" s="19">
        <f t="shared" si="85"/>
        <v>4.2931092730643661E-2</v>
      </c>
      <c r="U772" s="24">
        <v>4.2519401173459537E-2</v>
      </c>
      <c r="V772" s="24">
        <f t="shared" si="86"/>
        <v>4.2925800051742291E-2</v>
      </c>
      <c r="W772" s="23">
        <f t="shared" si="87"/>
        <v>3.5085985344553983E-3</v>
      </c>
      <c r="X772" s="24">
        <v>4.2096294250472788E-2</v>
      </c>
      <c r="Y772" s="24">
        <f t="shared" si="88"/>
        <v>4.2927351893295773E-2</v>
      </c>
      <c r="Z772" s="23">
        <f t="shared" si="89"/>
        <v>3.5087207691619771E-3</v>
      </c>
      <c r="AA772" s="36"/>
    </row>
    <row r="773" spans="15:27" ht="13.9" customHeight="1" x14ac:dyDescent="0.3">
      <c r="O773" s="12">
        <f t="shared" si="83"/>
        <v>63.333333333333336</v>
      </c>
      <c r="P773" s="13">
        <v>760</v>
      </c>
      <c r="Q773" s="22">
        <v>3.5879582378029351E-2</v>
      </c>
      <c r="R773" s="19">
        <f t="shared" si="84"/>
        <v>3.6222236016965947E-2</v>
      </c>
      <c r="S773" s="22">
        <v>4.0452362932432928E-2</v>
      </c>
      <c r="T773" s="19">
        <f t="shared" si="85"/>
        <v>4.2931739269779889E-2</v>
      </c>
      <c r="U773" s="24">
        <v>4.2519935804763653E-2</v>
      </c>
      <c r="V773" s="24">
        <f t="shared" si="86"/>
        <v>4.292635842520065E-2</v>
      </c>
      <c r="W773" s="23">
        <f t="shared" si="87"/>
        <v>3.5086436465889825E-3</v>
      </c>
      <c r="X773" s="24">
        <v>4.2097387312151735E-2</v>
      </c>
      <c r="Y773" s="24">
        <f t="shared" si="88"/>
        <v>4.2927937156298945E-2</v>
      </c>
      <c r="Z773" s="23">
        <f t="shared" si="89"/>
        <v>3.5087680790071296E-3</v>
      </c>
      <c r="AA773" s="36"/>
    </row>
    <row r="774" spans="15:27" ht="13.9" customHeight="1" x14ac:dyDescent="0.3">
      <c r="O774" s="12">
        <f t="shared" si="83"/>
        <v>63.416666666666664</v>
      </c>
      <c r="P774" s="13">
        <v>761</v>
      </c>
      <c r="Q774" s="22">
        <v>3.5880032571266485E-2</v>
      </c>
      <c r="R774" s="19">
        <f t="shared" si="84"/>
        <v>3.6226553004896189E-2</v>
      </c>
      <c r="S774" s="22">
        <v>4.0455617112122422E-2</v>
      </c>
      <c r="T774" s="19">
        <f t="shared" si="85"/>
        <v>4.2932379738900295E-2</v>
      </c>
      <c r="U774" s="24">
        <v>4.2520469764716129E-2</v>
      </c>
      <c r="V774" s="24">
        <f t="shared" si="86"/>
        <v>4.2926912593257649E-2</v>
      </c>
      <c r="W774" s="23">
        <f t="shared" si="87"/>
        <v>3.5086884190658196E-3</v>
      </c>
      <c r="X774" s="24">
        <v>4.2098478270733874E-2</v>
      </c>
      <c r="Y774" s="24">
        <f t="shared" si="88"/>
        <v>4.2928517700480784E-2</v>
      </c>
      <c r="Z774" s="23">
        <f t="shared" si="89"/>
        <v>3.5088150075239799E-3</v>
      </c>
      <c r="AA774" s="36"/>
    </row>
    <row r="775" spans="15:27" ht="13.9" customHeight="1" x14ac:dyDescent="0.3">
      <c r="O775" s="12">
        <f t="shared" si="83"/>
        <v>63.5</v>
      </c>
      <c r="P775" s="13">
        <v>762</v>
      </c>
      <c r="Q775" s="22">
        <v>3.5880487246547244E-2</v>
      </c>
      <c r="R775" s="19">
        <f t="shared" si="84"/>
        <v>3.6230833830755094E-2</v>
      </c>
      <c r="S775" s="22">
        <v>4.0458863599313277E-2</v>
      </c>
      <c r="T775" s="19">
        <f t="shared" si="85"/>
        <v>4.2933014195746022E-2</v>
      </c>
      <c r="U775" s="24">
        <v>4.2521003050443262E-2</v>
      </c>
      <c r="V775" s="24">
        <f t="shared" si="86"/>
        <v>4.2927462587502907E-2</v>
      </c>
      <c r="W775" s="23">
        <f t="shared" si="87"/>
        <v>3.5087328543161878E-3</v>
      </c>
      <c r="X775" s="24">
        <v>4.209956712830909E-2</v>
      </c>
      <c r="Y775" s="24">
        <f t="shared" si="88"/>
        <v>4.2929093564797904E-2</v>
      </c>
      <c r="Z775" s="23">
        <f t="shared" si="89"/>
        <v>3.5088615576446269E-3</v>
      </c>
      <c r="AA775" s="36"/>
    </row>
    <row r="776" spans="15:27" ht="13.9" customHeight="1" x14ac:dyDescent="0.3">
      <c r="O776" s="12">
        <f t="shared" si="83"/>
        <v>63.583333333333336</v>
      </c>
      <c r="P776" s="13">
        <v>763</v>
      </c>
      <c r="Q776" s="22">
        <v>3.5880946338853414E-2</v>
      </c>
      <c r="R776" s="19">
        <f t="shared" si="84"/>
        <v>3.6235078802523191E-2</v>
      </c>
      <c r="S776" s="22">
        <v>4.0462102416357615E-2</v>
      </c>
      <c r="T776" s="19">
        <f t="shared" si="85"/>
        <v>4.2933642696498353E-2</v>
      </c>
      <c r="U776" s="24">
        <v>4.2521535659127307E-2</v>
      </c>
      <c r="V776" s="24">
        <f t="shared" si="86"/>
        <v>4.2928008440682675E-2</v>
      </c>
      <c r="W776" s="23">
        <f t="shared" si="87"/>
        <v>3.5087769548731718E-3</v>
      </c>
      <c r="X776" s="24">
        <v>4.2100653887006789E-2</v>
      </c>
      <c r="Y776" s="24">
        <f t="shared" si="88"/>
        <v>4.2929664787120903E-2</v>
      </c>
      <c r="Z776" s="23">
        <f t="shared" si="89"/>
        <v>3.5089077324932383E-3</v>
      </c>
      <c r="AA776" s="36"/>
    </row>
    <row r="777" spans="15:27" ht="13.9" customHeight="1" x14ac:dyDescent="0.3">
      <c r="O777" s="12">
        <f t="shared" si="83"/>
        <v>63.666666666666664</v>
      </c>
      <c r="P777" s="13">
        <v>764</v>
      </c>
      <c r="Q777" s="22">
        <v>3.5881409783910634E-2</v>
      </c>
      <c r="R777" s="19">
        <f t="shared" si="84"/>
        <v>3.6239288220131005E-2</v>
      </c>
      <c r="S777" s="22">
        <v>4.0465333585564034E-2</v>
      </c>
      <c r="T777" s="19">
        <f t="shared" si="85"/>
        <v>4.2934265296661556E-2</v>
      </c>
      <c r="U777" s="24">
        <v>4.2522067588008472E-2</v>
      </c>
      <c r="V777" s="24">
        <f t="shared" si="86"/>
        <v>4.2928550182341763E-2</v>
      </c>
      <c r="W777" s="23">
        <f t="shared" si="87"/>
        <v>3.5088207233635593E-3</v>
      </c>
      <c r="X777" s="24">
        <v>4.2101738548995238E-2</v>
      </c>
      <c r="Y777" s="24">
        <f t="shared" si="88"/>
        <v>4.293023140388752E-2</v>
      </c>
      <c r="Z777" s="23">
        <f t="shared" si="89"/>
        <v>3.5089535351073842E-3</v>
      </c>
      <c r="AA777" s="36"/>
    </row>
    <row r="778" spans="15:27" ht="13.9" customHeight="1" x14ac:dyDescent="0.3">
      <c r="O778" s="12">
        <f t="shared" si="83"/>
        <v>63.75</v>
      </c>
      <c r="P778" s="13">
        <v>765</v>
      </c>
      <c r="Q778" s="22">
        <v>3.5881877518173289E-2</v>
      </c>
      <c r="R778" s="19">
        <f t="shared" si="84"/>
        <v>3.6243462387702374E-2</v>
      </c>
      <c r="S778" s="22">
        <v>4.0468557129196947E-2</v>
      </c>
      <c r="T778" s="19">
        <f t="shared" si="85"/>
        <v>4.2934882053257351E-2</v>
      </c>
      <c r="U778" s="24">
        <v>4.252259883437981E-2</v>
      </c>
      <c r="V778" s="24">
        <f t="shared" si="86"/>
        <v>4.2929087845825942E-2</v>
      </c>
      <c r="W778" s="23">
        <f t="shared" si="87"/>
        <v>3.5088641621563443E-3</v>
      </c>
      <c r="X778" s="24">
        <v>4.2102821116478673E-2</v>
      </c>
      <c r="Y778" s="24">
        <f t="shared" si="88"/>
        <v>4.2930793454240446E-2</v>
      </c>
      <c r="Z778" s="23">
        <f t="shared" si="89"/>
        <v>3.5089989684089495E-3</v>
      </c>
      <c r="AA778" s="36"/>
    </row>
    <row r="779" spans="15:27" ht="13.9" customHeight="1" x14ac:dyDescent="0.3">
      <c r="O779" s="12">
        <f t="shared" si="83"/>
        <v>63.833333333333336</v>
      </c>
      <c r="P779" s="13">
        <v>766</v>
      </c>
      <c r="Q779" s="22">
        <v>3.588234947882496E-2</v>
      </c>
      <c r="R779" s="19">
        <f t="shared" si="84"/>
        <v>3.6247601599527668E-2</v>
      </c>
      <c r="S779" s="22">
        <v>4.04717730694788E-2</v>
      </c>
      <c r="T779" s="19">
        <f t="shared" si="85"/>
        <v>4.2935493019447879E-2</v>
      </c>
      <c r="U779" s="24">
        <v>4.2523129395592107E-2</v>
      </c>
      <c r="V779" s="24">
        <f t="shared" si="86"/>
        <v>4.2929621459695699E-2</v>
      </c>
      <c r="W779" s="23">
        <f t="shared" si="87"/>
        <v>3.508907273925832E-3</v>
      </c>
      <c r="X779" s="24">
        <v>4.2103901591701076E-2</v>
      </c>
      <c r="Y779" s="24">
        <f t="shared" si="88"/>
        <v>4.2931350972932325E-2</v>
      </c>
      <c r="Z779" s="23">
        <f t="shared" si="89"/>
        <v>3.5090440355374231E-3</v>
      </c>
      <c r="AA779" s="36"/>
    </row>
    <row r="780" spans="15:27" ht="13.9" customHeight="1" x14ac:dyDescent="0.3">
      <c r="O780" s="12">
        <f t="shared" si="83"/>
        <v>63.916666666666664</v>
      </c>
      <c r="P780" s="13">
        <v>767</v>
      </c>
      <c r="Q780" s="22">
        <v>3.5882825603760882E-2</v>
      </c>
      <c r="R780" s="19">
        <f t="shared" si="84"/>
        <v>3.625170615425799E-2</v>
      </c>
      <c r="S780" s="22">
        <v>4.047498142858541E-2</v>
      </c>
      <c r="T780" s="19">
        <f t="shared" si="85"/>
        <v>4.2936098250345944E-2</v>
      </c>
      <c r="U780" s="24">
        <v>4.2523659269046998E-2</v>
      </c>
      <c r="V780" s="24">
        <f t="shared" si="86"/>
        <v>4.2930151055043275E-2</v>
      </c>
      <c r="W780" s="23">
        <f t="shared" si="87"/>
        <v>3.5089500609628566E-3</v>
      </c>
      <c r="X780" s="24">
        <v>4.2104979976939738E-2</v>
      </c>
      <c r="Y780" s="24">
        <f t="shared" si="88"/>
        <v>4.293190399824498E-2</v>
      </c>
      <c r="Z780" s="23">
        <f t="shared" si="89"/>
        <v>3.5090887392796866E-3</v>
      </c>
      <c r="AA780" s="36"/>
    </row>
    <row r="781" spans="15:27" ht="13.9" customHeight="1" x14ac:dyDescent="0.3">
      <c r="O781" s="12">
        <f t="shared" si="83"/>
        <v>64</v>
      </c>
      <c r="P781" s="13">
        <v>768</v>
      </c>
      <c r="Q781" s="22">
        <v>3.588330583158883E-2</v>
      </c>
      <c r="R781" s="19">
        <f t="shared" si="84"/>
        <v>3.6255776341046486E-2</v>
      </c>
      <c r="S781" s="22">
        <v>4.0478182228648851E-2</v>
      </c>
      <c r="T781" s="19">
        <f t="shared" si="85"/>
        <v>4.2936697800203261E-2</v>
      </c>
      <c r="U781" s="24">
        <v>4.2524188452200518E-2</v>
      </c>
      <c r="V781" s="24">
        <f t="shared" si="86"/>
        <v>4.2930676662854106E-2</v>
      </c>
      <c r="W781" s="23">
        <f t="shared" si="87"/>
        <v>3.5089925257607568E-3</v>
      </c>
      <c r="X781" s="24">
        <v>4.210605627451014E-2</v>
      </c>
      <c r="Y781" s="24">
        <f t="shared" si="88"/>
        <v>4.2932452564611312E-2</v>
      </c>
      <c r="Z781" s="23">
        <f t="shared" si="89"/>
        <v>3.5091330827059508E-3</v>
      </c>
      <c r="AA781" s="36"/>
    </row>
    <row r="782" spans="15:27" ht="13.9" customHeight="1" x14ac:dyDescent="0.3">
      <c r="O782" s="12">
        <f t="shared" ref="O782:O845" si="90">P782/12</f>
        <v>64.083333333333329</v>
      </c>
      <c r="P782" s="13">
        <v>769</v>
      </c>
      <c r="Q782" s="22">
        <v>3.5883790101612689E-2</v>
      </c>
      <c r="R782" s="19">
        <f t="shared" ref="R782:R845" si="91">(1+Q783)^P783/(1+Q782)^P782-1</f>
        <v>3.6259812453844908E-2</v>
      </c>
      <c r="S782" s="22">
        <v>4.0481375491756344E-2</v>
      </c>
      <c r="T782" s="19">
        <f t="shared" ref="T782:T845" si="92">(1+S783)^P783/(1+S782)^P782-1</f>
        <v>4.293729172166838E-2</v>
      </c>
      <c r="U782" s="24">
        <v>4.2524716942561769E-2</v>
      </c>
      <c r="V782" s="24">
        <f t="shared" ref="V782:V845" si="93">(1+U783)^P783/(1+U782)^P782-1</f>
        <v>4.2931198312854191E-2</v>
      </c>
      <c r="W782" s="23">
        <f t="shared" si="87"/>
        <v>3.509034670804656E-3</v>
      </c>
      <c r="X782" s="24">
        <v>4.2107130486760402E-2</v>
      </c>
      <c r="Y782" s="24">
        <f t="shared" si="88"/>
        <v>4.2932996710002946E-2</v>
      </c>
      <c r="Z782" s="23">
        <f t="shared" si="89"/>
        <v>3.5091770685775625E-3</v>
      </c>
      <c r="AA782" s="36"/>
    </row>
    <row r="783" spans="15:27" ht="13.9" customHeight="1" x14ac:dyDescent="0.3">
      <c r="O783" s="12">
        <f t="shared" si="90"/>
        <v>64.166666666666671</v>
      </c>
      <c r="P783" s="13">
        <v>770</v>
      </c>
      <c r="Q783" s="22">
        <v>3.5884278353833343E-2</v>
      </c>
      <c r="R783" s="19">
        <f t="shared" si="91"/>
        <v>3.6263814777451664E-2</v>
      </c>
      <c r="S783" s="22">
        <v>4.0484561239948924E-2</v>
      </c>
      <c r="T783" s="19">
        <f t="shared" si="92"/>
        <v>4.2937880068099288E-2</v>
      </c>
      <c r="U783" s="24">
        <v>4.2525244737691592E-2</v>
      </c>
      <c r="V783" s="24">
        <f t="shared" si="93"/>
        <v>4.2931716034169787E-2</v>
      </c>
      <c r="W783" s="23">
        <f t="shared" ref="W783:W846" si="94">(1+V782)^(1/12)-1</f>
        <v>3.5090764984784251E-3</v>
      </c>
      <c r="X783" s="24">
        <v>4.2108202616075507E-2</v>
      </c>
      <c r="Y783" s="24">
        <f t="shared" ref="Y783:Y846" si="95">(1+X784)^P784/(1+X783)^P783-1</f>
        <v>4.2933536468374056E-2</v>
      </c>
      <c r="Z783" s="23">
        <f t="shared" ref="Z783:Z846" si="96">(1+Y782)^(1/12)-1</f>
        <v>3.5092206999396414E-3</v>
      </c>
      <c r="AA783" s="36"/>
    </row>
    <row r="784" spans="15:27" ht="13.9" customHeight="1" x14ac:dyDescent="0.3">
      <c r="O784" s="12">
        <f t="shared" si="90"/>
        <v>64.25</v>
      </c>
      <c r="P784" s="13">
        <v>771</v>
      </c>
      <c r="Q784" s="22">
        <v>3.5884770528932908E-2</v>
      </c>
      <c r="R784" s="19">
        <f t="shared" si="91"/>
        <v>3.6267783598618708E-2</v>
      </c>
      <c r="S784" s="22">
        <v>4.0487739495222108E-2</v>
      </c>
      <c r="T784" s="19">
        <f t="shared" si="92"/>
        <v>4.2938462891737528E-2</v>
      </c>
      <c r="U784" s="24">
        <v>4.2525771835201454E-2</v>
      </c>
      <c r="V784" s="24">
        <f t="shared" si="93"/>
        <v>4.2932229857231219E-2</v>
      </c>
      <c r="W784" s="23">
        <f t="shared" si="94"/>
        <v>3.5091180111177511E-3</v>
      </c>
      <c r="X784" s="24">
        <v>4.210927266487241E-2</v>
      </c>
      <c r="Y784" s="24">
        <f t="shared" si="95"/>
        <v>4.2934071876211011E-2</v>
      </c>
      <c r="Z784" s="23">
        <f t="shared" si="96"/>
        <v>3.5092639795157865E-3</v>
      </c>
      <c r="AA784" s="36"/>
    </row>
    <row r="785" spans="15:27" ht="13.9" customHeight="1" x14ac:dyDescent="0.3">
      <c r="O785" s="12">
        <f t="shared" si="90"/>
        <v>64.333333333333329</v>
      </c>
      <c r="P785" s="13">
        <v>772</v>
      </c>
      <c r="Q785" s="22">
        <v>3.5885266568272733E-2</v>
      </c>
      <c r="R785" s="19">
        <f t="shared" si="91"/>
        <v>3.6271719199854946E-2</v>
      </c>
      <c r="S785" s="22">
        <v>4.0490910279525449E-2</v>
      </c>
      <c r="T785" s="19">
        <f t="shared" si="92"/>
        <v>4.2939040245164595E-2</v>
      </c>
      <c r="U785" s="24">
        <v>4.2526298232754112E-2</v>
      </c>
      <c r="V785" s="24">
        <f t="shared" si="93"/>
        <v>4.2932739812282295E-2</v>
      </c>
      <c r="W785" s="23">
        <f t="shared" si="94"/>
        <v>3.5091592111633485E-3</v>
      </c>
      <c r="X785" s="24">
        <v>4.2110340635602483E-2</v>
      </c>
      <c r="Y785" s="24">
        <f t="shared" si="95"/>
        <v>4.2934602968941249E-2</v>
      </c>
      <c r="Z785" s="23">
        <f t="shared" si="96"/>
        <v>3.5093069102314356E-3</v>
      </c>
      <c r="AA785" s="36"/>
    </row>
    <row r="786" spans="15:27" ht="13.9" customHeight="1" x14ac:dyDescent="0.3">
      <c r="O786" s="12">
        <f t="shared" si="90"/>
        <v>64.416666666666671</v>
      </c>
      <c r="P786" s="13">
        <v>773</v>
      </c>
      <c r="Q786" s="22">
        <v>3.5885766413882969E-2</v>
      </c>
      <c r="R786" s="19">
        <f t="shared" si="91"/>
        <v>3.6275621861554752E-2</v>
      </c>
      <c r="S786" s="22">
        <v>4.0494073614762316E-2</v>
      </c>
      <c r="T786" s="19">
        <f t="shared" si="92"/>
        <v>4.2939612178103825E-2</v>
      </c>
      <c r="U786" s="24">
        <v>4.2526823928063839E-2</v>
      </c>
      <c r="V786" s="24">
        <f t="shared" si="93"/>
        <v>4.2933245925833141E-2</v>
      </c>
      <c r="W786" s="23">
        <f t="shared" si="94"/>
        <v>3.5092001010406104E-3</v>
      </c>
      <c r="X786" s="24">
        <v>4.2111406530750406E-2</v>
      </c>
      <c r="Y786" s="24">
        <f t="shared" si="95"/>
        <v>4.2935129780077075E-2</v>
      </c>
      <c r="Z786" s="23">
        <f t="shared" si="96"/>
        <v>3.5093494949280934E-3</v>
      </c>
      <c r="AA786" s="36"/>
    </row>
    <row r="787" spans="15:27" ht="13.9" customHeight="1" x14ac:dyDescent="0.3">
      <c r="O787" s="12">
        <f t="shared" si="90"/>
        <v>64.5</v>
      </c>
      <c r="P787" s="13">
        <v>774</v>
      </c>
      <c r="Q787" s="22">
        <v>3.5886270008456345E-2</v>
      </c>
      <c r="R787" s="19">
        <f t="shared" si="91"/>
        <v>3.6279491861862301E-2</v>
      </c>
      <c r="S787" s="22">
        <v>4.049722952278767E-2</v>
      </c>
      <c r="T787" s="19">
        <f t="shared" si="92"/>
        <v>4.2940178743230195E-2</v>
      </c>
      <c r="U787" s="24">
        <v>4.2527348918891095E-2</v>
      </c>
      <c r="V787" s="24">
        <f t="shared" si="93"/>
        <v>4.2933748229917912E-2</v>
      </c>
      <c r="W787" s="23">
        <f t="shared" si="94"/>
        <v>3.5092406828753919E-3</v>
      </c>
      <c r="X787" s="24">
        <v>4.2112470352831055E-2</v>
      </c>
      <c r="Y787" s="24">
        <f t="shared" si="95"/>
        <v>4.2935652345128084E-2</v>
      </c>
      <c r="Z787" s="23">
        <f t="shared" si="96"/>
        <v>3.509391736293388E-3</v>
      </c>
      <c r="AA787" s="36"/>
    </row>
    <row r="788" spans="15:27" ht="13.9" customHeight="1" x14ac:dyDescent="0.3">
      <c r="O788" s="12">
        <f t="shared" si="90"/>
        <v>64.583333333333329</v>
      </c>
      <c r="P788" s="13">
        <v>775</v>
      </c>
      <c r="Q788" s="22">
        <v>3.58867772953404E-2</v>
      </c>
      <c r="R788" s="19">
        <f t="shared" si="91"/>
        <v>3.6283329476196835E-2</v>
      </c>
      <c r="S788" s="22">
        <v>4.0500378025411177E-2</v>
      </c>
      <c r="T788" s="19">
        <f t="shared" si="92"/>
        <v>4.2940739989922649E-2</v>
      </c>
      <c r="U788" s="24">
        <v>4.2527873203048738E-2</v>
      </c>
      <c r="V788" s="24">
        <f t="shared" si="93"/>
        <v>4.2934246750361948E-2</v>
      </c>
      <c r="W788" s="23">
        <f t="shared" si="94"/>
        <v>3.5092809592371932E-3</v>
      </c>
      <c r="X788" s="24">
        <v>4.2113532104392393E-2</v>
      </c>
      <c r="Y788" s="24">
        <f t="shared" si="95"/>
        <v>4.2936170697453147E-2</v>
      </c>
      <c r="Z788" s="23">
        <f t="shared" si="96"/>
        <v>3.5094336371748192E-3</v>
      </c>
      <c r="AA788" s="36"/>
    </row>
    <row r="789" spans="15:27" ht="13.9" customHeight="1" x14ac:dyDescent="0.3">
      <c r="O789" s="12">
        <f t="shared" si="90"/>
        <v>64.666666666666671</v>
      </c>
      <c r="P789" s="13">
        <v>776</v>
      </c>
      <c r="Q789" s="22">
        <v>3.5887288218529934E-2</v>
      </c>
      <c r="R789" s="19">
        <f t="shared" si="91"/>
        <v>3.6287134978247426E-2</v>
      </c>
      <c r="S789" s="22">
        <v>4.0503519144393652E-2</v>
      </c>
      <c r="T789" s="19">
        <f t="shared" si="92"/>
        <v>4.2941295968657922E-2</v>
      </c>
      <c r="U789" s="24">
        <v>4.2528396778394706E-2</v>
      </c>
      <c r="V789" s="24">
        <f t="shared" si="93"/>
        <v>4.2934741518436681E-2</v>
      </c>
      <c r="W789" s="23">
        <f t="shared" si="94"/>
        <v>3.5093209321968022E-3</v>
      </c>
      <c r="X789" s="24">
        <v>4.2114591788011912E-2</v>
      </c>
      <c r="Y789" s="24">
        <f t="shared" si="95"/>
        <v>4.2936684872731945E-2</v>
      </c>
      <c r="Z789" s="23">
        <f t="shared" si="96"/>
        <v>3.5094752002480245E-3</v>
      </c>
      <c r="AA789" s="36"/>
    </row>
    <row r="790" spans="15:27" ht="13.9" customHeight="1" x14ac:dyDescent="0.3">
      <c r="O790" s="12">
        <f t="shared" si="90"/>
        <v>64.75</v>
      </c>
      <c r="P790" s="13">
        <v>777</v>
      </c>
      <c r="Q790" s="22">
        <v>3.5887802722660567E-2</v>
      </c>
      <c r="R790" s="19">
        <f t="shared" si="91"/>
        <v>3.6290908637397479E-2</v>
      </c>
      <c r="S790" s="22">
        <v>4.0506652901449058E-2</v>
      </c>
      <c r="T790" s="19">
        <f t="shared" si="92"/>
        <v>4.2941846728785649E-2</v>
      </c>
      <c r="U790" s="24">
        <v>4.2528919642837781E-2</v>
      </c>
      <c r="V790" s="24">
        <f t="shared" si="93"/>
        <v>4.2935232560602499E-2</v>
      </c>
      <c r="W790" s="23">
        <f t="shared" si="94"/>
        <v>3.5093606042619907E-3</v>
      </c>
      <c r="X790" s="24">
        <v>4.2115649406299971E-2</v>
      </c>
      <c r="Y790" s="24">
        <f t="shared" si="95"/>
        <v>4.2937194903174047E-2</v>
      </c>
      <c r="Z790" s="23">
        <f t="shared" si="96"/>
        <v>3.5095164283740488E-3</v>
      </c>
      <c r="AA790" s="36"/>
    </row>
    <row r="791" spans="15:27" ht="13.9" customHeight="1" x14ac:dyDescent="0.3">
      <c r="O791" s="12">
        <f t="shared" si="90"/>
        <v>64.833333333333329</v>
      </c>
      <c r="P791" s="13">
        <v>778</v>
      </c>
      <c r="Q791" s="22">
        <v>3.5888320752999192E-2</v>
      </c>
      <c r="R791" s="19">
        <f t="shared" si="91"/>
        <v>3.6294650724458588E-2</v>
      </c>
      <c r="S791" s="22">
        <v>4.0509779318242733E-2</v>
      </c>
      <c r="T791" s="19">
        <f t="shared" si="92"/>
        <v>4.2942392318979117E-2</v>
      </c>
      <c r="U791" s="24">
        <v>4.2529441794331824E-2</v>
      </c>
      <c r="V791" s="24">
        <f t="shared" si="93"/>
        <v>4.2935719905241587E-2</v>
      </c>
      <c r="W791" s="23">
        <f t="shared" si="94"/>
        <v>3.5093999775550611E-3</v>
      </c>
      <c r="X791" s="24">
        <v>4.211670496189468E-2</v>
      </c>
      <c r="Y791" s="24">
        <f t="shared" si="95"/>
        <v>4.2937700822615721E-2</v>
      </c>
      <c r="Z791" s="23">
        <f t="shared" si="96"/>
        <v>3.5095573241363809E-3</v>
      </c>
      <c r="AA791" s="36"/>
    </row>
    <row r="792" spans="15:27" ht="13.9" customHeight="1" x14ac:dyDescent="0.3">
      <c r="O792" s="12">
        <f t="shared" si="90"/>
        <v>64.916666666666671</v>
      </c>
      <c r="P792" s="13">
        <v>779</v>
      </c>
      <c r="Q792" s="22">
        <v>3.5888842255441533E-2</v>
      </c>
      <c r="R792" s="19">
        <f t="shared" si="91"/>
        <v>3.6298361504333743E-2</v>
      </c>
      <c r="S792" s="22">
        <v>4.0512898416391385E-2</v>
      </c>
      <c r="T792" s="19">
        <f t="shared" si="92"/>
        <v>4.2942932788680777E-2</v>
      </c>
      <c r="U792" s="24">
        <v>4.2529963230877321E-2</v>
      </c>
      <c r="V792" s="24">
        <f t="shared" si="93"/>
        <v>4.2936203580824062E-2</v>
      </c>
      <c r="W792" s="23">
        <f t="shared" si="94"/>
        <v>3.5094390543521925E-3</v>
      </c>
      <c r="X792" s="24">
        <v>4.2117758457464127E-2</v>
      </c>
      <c r="Y792" s="24">
        <f t="shared" si="95"/>
        <v>4.2938202664657421E-2</v>
      </c>
      <c r="Z792" s="23">
        <f t="shared" si="96"/>
        <v>3.5095978902481839E-3</v>
      </c>
      <c r="AA792" s="36"/>
    </row>
    <row r="793" spans="15:27" ht="13.9" customHeight="1" x14ac:dyDescent="0.3">
      <c r="O793" s="12">
        <f t="shared" si="90"/>
        <v>65</v>
      </c>
      <c r="P793" s="13">
        <v>780</v>
      </c>
      <c r="Q793" s="22">
        <v>3.5889367176500597E-2</v>
      </c>
      <c r="R793" s="19">
        <f t="shared" si="91"/>
        <v>3.6302041241390137E-2</v>
      </c>
      <c r="S793" s="22">
        <v>4.0516010217464205E-2</v>
      </c>
      <c r="T793" s="19">
        <f t="shared" si="92"/>
        <v>4.2943468184765132E-2</v>
      </c>
      <c r="U793" s="24">
        <v>4.2530483950521614E-2</v>
      </c>
      <c r="V793" s="24">
        <f t="shared" si="93"/>
        <v>4.293668361459213E-2</v>
      </c>
      <c r="W793" s="23">
        <f t="shared" si="94"/>
        <v>3.5094778369364477E-3</v>
      </c>
      <c r="X793" s="24">
        <v>4.2118809895705711E-2</v>
      </c>
      <c r="Y793" s="24">
        <f t="shared" si="95"/>
        <v>4.2938700461178092E-2</v>
      </c>
      <c r="Z793" s="23">
        <f t="shared" si="96"/>
        <v>3.5096381294041912E-3</v>
      </c>
      <c r="AA793" s="36"/>
    </row>
    <row r="794" spans="15:27" ht="13.9" customHeight="1" x14ac:dyDescent="0.3">
      <c r="O794" s="12">
        <f t="shared" si="90"/>
        <v>65.083333333333329</v>
      </c>
      <c r="P794" s="13">
        <v>781</v>
      </c>
      <c r="Q794" s="22">
        <v>3.5889895463302235E-2</v>
      </c>
      <c r="R794" s="19">
        <f t="shared" si="91"/>
        <v>3.630569019704466E-2</v>
      </c>
      <c r="S794" s="22">
        <v>4.0519114742979978E-2</v>
      </c>
      <c r="T794" s="19">
        <f t="shared" si="92"/>
        <v>4.2943998556357776E-2</v>
      </c>
      <c r="U794" s="24">
        <v>4.2531003951356894E-2</v>
      </c>
      <c r="V794" s="24">
        <f t="shared" si="93"/>
        <v>4.2937160034421717E-2</v>
      </c>
      <c r="W794" s="23">
        <f t="shared" si="94"/>
        <v>3.5095163274927454E-3</v>
      </c>
      <c r="X794" s="24">
        <v>4.2119859279343697E-2</v>
      </c>
      <c r="Y794" s="24">
        <f t="shared" si="95"/>
        <v>4.2939194246151446E-2</v>
      </c>
      <c r="Z794" s="23">
        <f t="shared" si="96"/>
        <v>3.5096780441610242E-3</v>
      </c>
      <c r="AA794" s="36"/>
    </row>
    <row r="795" spans="15:27" ht="13.9" customHeight="1" x14ac:dyDescent="0.3">
      <c r="O795" s="12">
        <f t="shared" si="90"/>
        <v>65.166666666666671</v>
      </c>
      <c r="P795" s="13">
        <v>782</v>
      </c>
      <c r="Q795" s="22">
        <v>3.5890427063577146E-2</v>
      </c>
      <c r="R795" s="19">
        <f t="shared" si="91"/>
        <v>3.6309308631656156E-2</v>
      </c>
      <c r="S795" s="22">
        <v>4.0522212014409753E-2</v>
      </c>
      <c r="T795" s="19">
        <f t="shared" si="92"/>
        <v>4.2944523949460134E-2</v>
      </c>
      <c r="U795" s="24">
        <v>4.2531523231520874E-2</v>
      </c>
      <c r="V795" s="24">
        <f t="shared" si="93"/>
        <v>4.2937632866623332E-2</v>
      </c>
      <c r="W795" s="23">
        <f t="shared" si="94"/>
        <v>3.5095545282564089E-3</v>
      </c>
      <c r="X795" s="24">
        <v>4.2120906611132103E-2</v>
      </c>
      <c r="Y795" s="24">
        <f t="shared" si="95"/>
        <v>4.2939684051016558E-2</v>
      </c>
      <c r="Z795" s="23">
        <f t="shared" si="96"/>
        <v>3.5097176372431704E-3</v>
      </c>
      <c r="AA795" s="36"/>
    </row>
    <row r="796" spans="15:27" ht="13.9" customHeight="1" x14ac:dyDescent="0.3">
      <c r="O796" s="12">
        <f t="shared" si="90"/>
        <v>65.25</v>
      </c>
      <c r="P796" s="13">
        <v>783</v>
      </c>
      <c r="Q796" s="22">
        <v>3.5890961925655995E-2</v>
      </c>
      <c r="R796" s="19">
        <f t="shared" si="91"/>
        <v>3.6312896801187211E-2</v>
      </c>
      <c r="S796" s="22">
        <v>4.0525302053174173E-2</v>
      </c>
      <c r="T796" s="19">
        <f t="shared" si="92"/>
        <v>4.2945044411635713E-2</v>
      </c>
      <c r="U796" s="24">
        <v>4.2532041789194341E-2</v>
      </c>
      <c r="V796" s="24">
        <f t="shared" si="93"/>
        <v>4.2938102139521206E-2</v>
      </c>
      <c r="W796" s="23">
        <f t="shared" si="94"/>
        <v>3.5095924413373059E-3</v>
      </c>
      <c r="X796" s="24">
        <v>4.2121951893850706E-2</v>
      </c>
      <c r="Y796" s="24">
        <f t="shared" si="95"/>
        <v>4.2940169908575188E-2</v>
      </c>
      <c r="Z796" s="23">
        <f t="shared" si="96"/>
        <v>3.5097569111719462E-3</v>
      </c>
      <c r="AA796" s="36"/>
    </row>
    <row r="797" spans="15:27" ht="13.9" customHeight="1" x14ac:dyDescent="0.3">
      <c r="O797" s="12">
        <f t="shared" si="90"/>
        <v>65.333333333333329</v>
      </c>
      <c r="P797" s="13">
        <v>784</v>
      </c>
      <c r="Q797" s="22">
        <v>3.5891499998459642E-2</v>
      </c>
      <c r="R797" s="19">
        <f t="shared" si="91"/>
        <v>3.6316454962074474E-2</v>
      </c>
      <c r="S797" s="22">
        <v>4.0528384880644586E-2</v>
      </c>
      <c r="T797" s="19">
        <f t="shared" si="92"/>
        <v>4.2945559988263549E-2</v>
      </c>
      <c r="U797" s="24">
        <v>4.2532559622603161E-2</v>
      </c>
      <c r="V797" s="24">
        <f t="shared" si="93"/>
        <v>4.2938567878403333E-2</v>
      </c>
      <c r="W797" s="23">
        <f t="shared" si="94"/>
        <v>3.5096300690073967E-3</v>
      </c>
      <c r="X797" s="24">
        <v>4.2122995130307039E-2</v>
      </c>
      <c r="Y797" s="24">
        <f t="shared" si="95"/>
        <v>4.2940651849957545E-2</v>
      </c>
      <c r="Z797" s="23">
        <f t="shared" si="96"/>
        <v>3.509795868577914E-3</v>
      </c>
      <c r="AA797" s="36"/>
    </row>
    <row r="798" spans="15:27" ht="13.9" customHeight="1" x14ac:dyDescent="0.3">
      <c r="O798" s="12">
        <f t="shared" si="90"/>
        <v>65.416666666666671</v>
      </c>
      <c r="P798" s="13">
        <v>785</v>
      </c>
      <c r="Q798" s="22">
        <v>3.589204123149603E-2</v>
      </c>
      <c r="R798" s="19">
        <f t="shared" si="91"/>
        <v>3.6319983365877828E-2</v>
      </c>
      <c r="S798" s="22">
        <v>4.0531460518141937E-2</v>
      </c>
      <c r="T798" s="19">
        <f t="shared" si="92"/>
        <v>4.2946070726406216E-2</v>
      </c>
      <c r="U798" s="24">
        <v>4.253307673001494E-2</v>
      </c>
      <c r="V798" s="24">
        <f t="shared" si="93"/>
        <v>4.2939030111197152E-2</v>
      </c>
      <c r="W798" s="23">
        <f t="shared" si="94"/>
        <v>3.5096674132943928E-3</v>
      </c>
      <c r="X798" s="24">
        <v>4.2124036323333947E-2</v>
      </c>
      <c r="Y798" s="24">
        <f t="shared" si="95"/>
        <v>4.2941129906497899E-2</v>
      </c>
      <c r="Z798" s="23">
        <f t="shared" si="96"/>
        <v>3.5098345119575214E-3</v>
      </c>
      <c r="AA798" s="36"/>
    </row>
    <row r="799" spans="15:27" ht="13.9" customHeight="1" x14ac:dyDescent="0.3">
      <c r="O799" s="12">
        <f t="shared" si="90"/>
        <v>65.5</v>
      </c>
      <c r="P799" s="13">
        <v>786</v>
      </c>
      <c r="Q799" s="22">
        <v>3.5892585574850422E-2</v>
      </c>
      <c r="R799" s="19">
        <f t="shared" si="91"/>
        <v>3.6323482264653872E-2</v>
      </c>
      <c r="S799" s="22">
        <v>4.0534528986937657E-2</v>
      </c>
      <c r="T799" s="19">
        <f t="shared" si="92"/>
        <v>4.2946576670384484E-2</v>
      </c>
      <c r="U799" s="24">
        <v>4.2533593109741252E-2</v>
      </c>
      <c r="V799" s="24">
        <f t="shared" si="93"/>
        <v>4.2939488863692699E-2</v>
      </c>
      <c r="W799" s="23">
        <f t="shared" si="94"/>
        <v>3.5097044764380581E-3</v>
      </c>
      <c r="X799" s="24">
        <v>4.2125075475789808E-2</v>
      </c>
      <c r="Y799" s="24">
        <f t="shared" si="95"/>
        <v>4.2941604111081499E-2</v>
      </c>
      <c r="Z799" s="23">
        <f t="shared" si="96"/>
        <v>3.5098728438238691E-3</v>
      </c>
      <c r="AA799" s="36"/>
    </row>
    <row r="800" spans="15:27" ht="13.9" customHeight="1" x14ac:dyDescent="0.3">
      <c r="O800" s="12">
        <f t="shared" si="90"/>
        <v>65.583333333333329</v>
      </c>
      <c r="P800" s="13">
        <v>787</v>
      </c>
      <c r="Q800" s="22">
        <v>3.5893132979182285E-2</v>
      </c>
      <c r="R800" s="19">
        <f t="shared" si="91"/>
        <v>3.6326951905770954E-2</v>
      </c>
      <c r="S800" s="22">
        <v>4.0537590308252103E-2</v>
      </c>
      <c r="T800" s="19">
        <f t="shared" si="92"/>
        <v>4.2947077866142047E-2</v>
      </c>
      <c r="U800" s="24">
        <v>4.253410876013497E-2</v>
      </c>
      <c r="V800" s="24">
        <f t="shared" si="93"/>
        <v>4.2939944162631472E-2</v>
      </c>
      <c r="W800" s="23">
        <f t="shared" si="94"/>
        <v>3.5097412605065159E-3</v>
      </c>
      <c r="X800" s="24">
        <v>4.2126112590559872E-2</v>
      </c>
      <c r="Y800" s="24">
        <f t="shared" si="95"/>
        <v>4.2942074493268256E-2</v>
      </c>
      <c r="Z800" s="23">
        <f t="shared" si="96"/>
        <v>3.5099108668139589E-3</v>
      </c>
      <c r="AA800" s="36"/>
    </row>
    <row r="801" spans="15:27" ht="13.9" customHeight="1" x14ac:dyDescent="0.3">
      <c r="O801" s="12">
        <f t="shared" si="90"/>
        <v>65.666666666666671</v>
      </c>
      <c r="P801" s="13">
        <v>788</v>
      </c>
      <c r="Q801" s="22">
        <v>3.5893683395715525E-2</v>
      </c>
      <c r="R801" s="19">
        <f t="shared" si="91"/>
        <v>3.6330392537330169E-2</v>
      </c>
      <c r="S801" s="22">
        <v>4.0540644503255674E-2</v>
      </c>
      <c r="T801" s="19">
        <f t="shared" si="92"/>
        <v>4.294757435774943E-2</v>
      </c>
      <c r="U801" s="24">
        <v>4.2534623679591599E-2</v>
      </c>
      <c r="V801" s="24">
        <f t="shared" si="93"/>
        <v>4.2940396033619654E-2</v>
      </c>
      <c r="W801" s="23">
        <f t="shared" si="94"/>
        <v>3.5097777676444952E-3</v>
      </c>
      <c r="X801" s="24">
        <v>4.21271476705527E-2</v>
      </c>
      <c r="Y801" s="24">
        <f t="shared" si="95"/>
        <v>4.2942541084782127E-2</v>
      </c>
      <c r="Z801" s="23">
        <f t="shared" si="96"/>
        <v>3.509948583298339E-3</v>
      </c>
      <c r="AA801" s="36"/>
    </row>
    <row r="802" spans="15:27" ht="13.9" customHeight="1" x14ac:dyDescent="0.3">
      <c r="O802" s="12">
        <f t="shared" si="90"/>
        <v>65.75</v>
      </c>
      <c r="P802" s="13">
        <v>789</v>
      </c>
      <c r="Q802" s="22">
        <v>3.5894236776236266E-2</v>
      </c>
      <c r="R802" s="19">
        <f t="shared" si="91"/>
        <v>3.6333804401593284E-2</v>
      </c>
      <c r="S802" s="22">
        <v>4.0543691593067255E-2</v>
      </c>
      <c r="T802" s="19">
        <f t="shared" si="92"/>
        <v>4.2948066189583134E-2</v>
      </c>
      <c r="U802" s="24">
        <v>4.2535137866547057E-2</v>
      </c>
      <c r="V802" s="24">
        <f t="shared" si="93"/>
        <v>4.2940844502606268E-2</v>
      </c>
      <c r="W802" s="23">
        <f t="shared" si="94"/>
        <v>3.5098139999052425E-3</v>
      </c>
      <c r="X802" s="24">
        <v>4.2128180718701724E-2</v>
      </c>
      <c r="Y802" s="24">
        <f t="shared" si="95"/>
        <v>4.29430039153611E-2</v>
      </c>
      <c r="Z802" s="23">
        <f t="shared" si="96"/>
        <v>3.5099859958211965E-3</v>
      </c>
      <c r="AA802" s="36"/>
    </row>
    <row r="803" spans="15:27" ht="13.9" customHeight="1" x14ac:dyDescent="0.3">
      <c r="O803" s="12">
        <f t="shared" si="90"/>
        <v>65.833333333333329</v>
      </c>
      <c r="P803" s="13">
        <v>790</v>
      </c>
      <c r="Q803" s="22">
        <v>3.5894793073081077E-2</v>
      </c>
      <c r="R803" s="19">
        <f t="shared" si="91"/>
        <v>3.6337187742363719E-2</v>
      </c>
      <c r="S803" s="22">
        <v>4.0546731598755326E-2</v>
      </c>
      <c r="T803" s="19">
        <f t="shared" si="92"/>
        <v>4.2948553405519396E-2</v>
      </c>
      <c r="U803" s="24">
        <v>4.2535651319477674E-2</v>
      </c>
      <c r="V803" s="24">
        <f t="shared" si="93"/>
        <v>4.2941289595013865E-2</v>
      </c>
      <c r="W803" s="23">
        <f t="shared" si="94"/>
        <v>3.5098499593699817E-3</v>
      </c>
      <c r="X803" s="24">
        <v>4.212921173796369E-2</v>
      </c>
      <c r="Y803" s="24">
        <f t="shared" si="95"/>
        <v>4.2943463016002159E-2</v>
      </c>
      <c r="Z803" s="23">
        <f t="shared" si="96"/>
        <v>3.5100231067672905E-3</v>
      </c>
      <c r="AA803" s="36"/>
    </row>
    <row r="804" spans="15:27" ht="13.9" customHeight="1" x14ac:dyDescent="0.3">
      <c r="O804" s="12">
        <f t="shared" si="90"/>
        <v>65.916666666666671</v>
      </c>
      <c r="P804" s="13">
        <v>791</v>
      </c>
      <c r="Q804" s="22">
        <v>3.5895352239136535E-2</v>
      </c>
      <c r="R804" s="19">
        <f t="shared" si="91"/>
        <v>3.6340542799564002E-2</v>
      </c>
      <c r="S804" s="22">
        <v>4.0549764541336852E-2</v>
      </c>
      <c r="T804" s="19">
        <f t="shared" si="92"/>
        <v>4.2949036048505196E-2</v>
      </c>
      <c r="U804" s="24">
        <v>4.2536164036900193E-2</v>
      </c>
      <c r="V804" s="24">
        <f t="shared" si="93"/>
        <v>4.2941731336821665E-2</v>
      </c>
      <c r="W804" s="23">
        <f t="shared" si="94"/>
        <v>3.5098856480773044E-3</v>
      </c>
      <c r="X804" s="24">
        <v>4.2130240731319324E-2</v>
      </c>
      <c r="Y804" s="24">
        <f t="shared" si="95"/>
        <v>4.29439184173106E-2</v>
      </c>
      <c r="Z804" s="23">
        <f t="shared" si="96"/>
        <v>3.5100599186224102E-3</v>
      </c>
      <c r="AA804" s="36"/>
    </row>
    <row r="805" spans="15:27" ht="13.9" customHeight="1" x14ac:dyDescent="0.3">
      <c r="O805" s="12">
        <f t="shared" si="90"/>
        <v>66</v>
      </c>
      <c r="P805" s="13">
        <v>792</v>
      </c>
      <c r="Q805" s="22">
        <v>3.5895914227829895E-2</v>
      </c>
      <c r="R805" s="19">
        <f t="shared" si="91"/>
        <v>3.6343869810568696E-2</v>
      </c>
      <c r="S805" s="22">
        <v>4.0552790441777065E-2</v>
      </c>
      <c r="T805" s="19">
        <f t="shared" si="92"/>
        <v>4.2949514162178515E-2</v>
      </c>
      <c r="U805" s="24">
        <v>4.2536676017371322E-2</v>
      </c>
      <c r="V805" s="24">
        <f t="shared" si="93"/>
        <v>4.2942169752870241E-2</v>
      </c>
      <c r="W805" s="23">
        <f t="shared" si="94"/>
        <v>3.5099210681108772E-3</v>
      </c>
      <c r="X805" s="24">
        <v>4.2131267701772668E-2</v>
      </c>
      <c r="Y805" s="24">
        <f t="shared" si="95"/>
        <v>4.2944370147638633E-2</v>
      </c>
      <c r="Z805" s="23">
        <f t="shared" si="96"/>
        <v>3.5100964338410368E-3</v>
      </c>
      <c r="AA805" s="36"/>
    </row>
    <row r="806" spans="15:27" ht="13.9" customHeight="1" x14ac:dyDescent="0.3">
      <c r="O806" s="12">
        <f t="shared" si="90"/>
        <v>66.083333333333329</v>
      </c>
      <c r="P806" s="13">
        <v>793</v>
      </c>
      <c r="Q806" s="22">
        <v>3.5896478993122871E-2</v>
      </c>
      <c r="R806" s="19">
        <f t="shared" si="91"/>
        <v>3.6347169012862279E-2</v>
      </c>
      <c r="S806" s="22">
        <v>4.0555809320990344E-2</v>
      </c>
      <c r="T806" s="19">
        <f t="shared" si="92"/>
        <v>4.2949987788318822E-2</v>
      </c>
      <c r="U806" s="24">
        <v>4.2537187259486187E-2</v>
      </c>
      <c r="V806" s="24">
        <f t="shared" si="93"/>
        <v>4.2942604868439815E-2</v>
      </c>
      <c r="W806" s="23">
        <f t="shared" si="94"/>
        <v>3.5099562214624402E-3</v>
      </c>
      <c r="X806" s="24">
        <v>4.2132292652348857E-2</v>
      </c>
      <c r="Y806" s="24">
        <f t="shared" si="95"/>
        <v>4.2944818237870441E-2</v>
      </c>
      <c r="Z806" s="23">
        <f t="shared" si="96"/>
        <v>3.5101326546969069E-3</v>
      </c>
      <c r="AA806" s="36"/>
    </row>
    <row r="807" spans="15:27" ht="13.9" customHeight="1" x14ac:dyDescent="0.3">
      <c r="O807" s="12">
        <f t="shared" si="90"/>
        <v>66.166666666666671</v>
      </c>
      <c r="P807" s="13">
        <v>794</v>
      </c>
      <c r="Q807" s="22">
        <v>3.5897046489508533E-2</v>
      </c>
      <c r="R807" s="19">
        <f t="shared" si="91"/>
        <v>3.6350440638993176E-2</v>
      </c>
      <c r="S807" s="22">
        <v>4.0558821199838224E-2</v>
      </c>
      <c r="T807" s="19">
        <f t="shared" si="92"/>
        <v>4.2950456969775175E-2</v>
      </c>
      <c r="U807" s="24">
        <v>4.2537697761879212E-2</v>
      </c>
      <c r="V807" s="24">
        <f t="shared" si="93"/>
        <v>4.2943036708468663E-2</v>
      </c>
      <c r="W807" s="23">
        <f t="shared" si="94"/>
        <v>3.5099911101597048E-3</v>
      </c>
      <c r="X807" s="24">
        <v>4.2133315586096121E-2</v>
      </c>
      <c r="Y807" s="24">
        <f t="shared" si="95"/>
        <v>4.2945262717315025E-2</v>
      </c>
      <c r="Z807" s="23">
        <f t="shared" si="96"/>
        <v>3.5101685836664842E-3</v>
      </c>
      <c r="AA807" s="36"/>
    </row>
    <row r="808" spans="15:27" ht="13.9" customHeight="1" x14ac:dyDescent="0.3">
      <c r="O808" s="12">
        <f t="shared" si="90"/>
        <v>66.25</v>
      </c>
      <c r="P808" s="13">
        <v>795</v>
      </c>
      <c r="Q808" s="22">
        <v>3.5897616672001309E-2</v>
      </c>
      <c r="R808" s="19">
        <f t="shared" si="91"/>
        <v>3.6353684922420415E-2</v>
      </c>
      <c r="S808" s="22">
        <v>4.0561826099131171E-2</v>
      </c>
      <c r="T808" s="19">
        <f t="shared" si="92"/>
        <v>4.2950921747458182E-2</v>
      </c>
      <c r="U808" s="24">
        <v>4.2538207523222793E-2</v>
      </c>
      <c r="V808" s="24">
        <f t="shared" si="93"/>
        <v>4.2943465296811256E-2</v>
      </c>
      <c r="W808" s="23">
        <f t="shared" si="94"/>
        <v>3.5100257362024045E-3</v>
      </c>
      <c r="X808" s="24">
        <v>4.2134336506084447E-2</v>
      </c>
      <c r="Y808" s="24">
        <f t="shared" si="95"/>
        <v>4.2945703613584074E-2</v>
      </c>
      <c r="Z808" s="23">
        <f t="shared" si="96"/>
        <v>3.5102042231003328E-3</v>
      </c>
      <c r="AA808" s="36"/>
    </row>
    <row r="809" spans="15:27" ht="13.9" customHeight="1" x14ac:dyDescent="0.3">
      <c r="O809" s="12">
        <f t="shared" si="90"/>
        <v>66.333333333333329</v>
      </c>
      <c r="P809" s="13">
        <v>796</v>
      </c>
      <c r="Q809" s="22">
        <v>3.5898189496135435E-2</v>
      </c>
      <c r="R809" s="19">
        <f t="shared" si="91"/>
        <v>3.6356902092194332E-2</v>
      </c>
      <c r="S809" s="22">
        <v>4.0564824039626579E-2</v>
      </c>
      <c r="T809" s="19">
        <f t="shared" si="92"/>
        <v>4.2951382163903817E-2</v>
      </c>
      <c r="U809" s="24">
        <v>4.2538716542225963E-2</v>
      </c>
      <c r="V809" s="24">
        <f t="shared" si="93"/>
        <v>4.2943890659520756E-2</v>
      </c>
      <c r="W809" s="23">
        <f t="shared" si="94"/>
        <v>3.5100601015034538E-3</v>
      </c>
      <c r="X809" s="24">
        <v>4.2135355415403142E-2</v>
      </c>
      <c r="Y809" s="24">
        <f t="shared" si="95"/>
        <v>4.294614095796967E-2</v>
      </c>
      <c r="Z809" s="23">
        <f t="shared" si="96"/>
        <v>3.5102395752129034E-3</v>
      </c>
      <c r="AA809" s="36"/>
    </row>
    <row r="810" spans="15:27" ht="13.9" customHeight="1" x14ac:dyDescent="0.3">
      <c r="O810" s="12">
        <f t="shared" si="90"/>
        <v>66.416666666666671</v>
      </c>
      <c r="P810" s="13">
        <v>797</v>
      </c>
      <c r="Q810" s="22">
        <v>3.5898764917955628E-2</v>
      </c>
      <c r="R810" s="19">
        <f t="shared" si="91"/>
        <v>3.636009237721094E-2</v>
      </c>
      <c r="S810" s="22">
        <v>4.0567815042030775E-2</v>
      </c>
      <c r="T810" s="19">
        <f t="shared" si="92"/>
        <v>4.2951838258701081E-2</v>
      </c>
      <c r="U810" s="24">
        <v>4.2539224817637056E-2</v>
      </c>
      <c r="V810" s="24">
        <f t="shared" si="93"/>
        <v>4.2944312819529928E-2</v>
      </c>
      <c r="W810" s="23">
        <f t="shared" si="94"/>
        <v>3.5100942081522923E-3</v>
      </c>
      <c r="X810" s="24">
        <v>4.2136372317165049E-2</v>
      </c>
      <c r="Y810" s="24">
        <f t="shared" si="95"/>
        <v>4.2946574776978608E-2</v>
      </c>
      <c r="Z810" s="23">
        <f t="shared" si="96"/>
        <v>3.5102746425135223E-3</v>
      </c>
      <c r="AA810" s="36"/>
    </row>
    <row r="811" spans="15:27" ht="13.9" customHeight="1" x14ac:dyDescent="0.3">
      <c r="O811" s="12">
        <f t="shared" si="90"/>
        <v>66.5</v>
      </c>
      <c r="P811" s="13">
        <v>798</v>
      </c>
      <c r="Q811" s="22">
        <v>3.5899342894013975E-2</v>
      </c>
      <c r="R811" s="19">
        <f t="shared" si="91"/>
        <v>3.6363256003650646E-2</v>
      </c>
      <c r="S811" s="22">
        <v>4.0570799126996127E-2</v>
      </c>
      <c r="T811" s="19">
        <f t="shared" si="92"/>
        <v>4.2952290073825505E-2</v>
      </c>
      <c r="U811" s="24">
        <v>4.2539732348239268E-2</v>
      </c>
      <c r="V811" s="24">
        <f t="shared" si="93"/>
        <v>4.2944731801587643E-2</v>
      </c>
      <c r="W811" s="23">
        <f t="shared" si="94"/>
        <v>3.5101280579878935E-3</v>
      </c>
      <c r="X811" s="24">
        <v>4.2137387214500777E-2</v>
      </c>
      <c r="Y811" s="24">
        <f t="shared" si="95"/>
        <v>4.2947005100742341E-2</v>
      </c>
      <c r="Z811" s="23">
        <f t="shared" si="96"/>
        <v>3.5103094271276003E-3</v>
      </c>
      <c r="AA811" s="36"/>
    </row>
    <row r="812" spans="15:27" ht="13.9" customHeight="1" x14ac:dyDescent="0.3">
      <c r="O812" s="12">
        <f t="shared" si="90"/>
        <v>66.583333333333329</v>
      </c>
      <c r="P812" s="13">
        <v>799</v>
      </c>
      <c r="Q812" s="22">
        <v>3.5899923381363275E-2</v>
      </c>
      <c r="R812" s="19">
        <f t="shared" si="91"/>
        <v>3.6366393195220281E-2</v>
      </c>
      <c r="S812" s="22">
        <v>4.0573776315123933E-2</v>
      </c>
      <c r="T812" s="19">
        <f t="shared" si="92"/>
        <v>4.2952737648399353E-2</v>
      </c>
      <c r="U812" s="24">
        <v>4.2540239132852875E-2</v>
      </c>
      <c r="V812" s="24">
        <f t="shared" si="93"/>
        <v>4.2945147629851022E-2</v>
      </c>
      <c r="W812" s="23">
        <f t="shared" si="94"/>
        <v>3.5101616529953361E-3</v>
      </c>
      <c r="X812" s="24">
        <v>4.213840011056269E-2</v>
      </c>
      <c r="Y812" s="24">
        <f t="shared" si="95"/>
        <v>4.2947431956370741E-2</v>
      </c>
      <c r="Z812" s="23">
        <f t="shared" si="96"/>
        <v>3.510343931471871E-3</v>
      </c>
      <c r="AA812" s="36"/>
    </row>
    <row r="813" spans="15:27" ht="13.9" customHeight="1" x14ac:dyDescent="0.3">
      <c r="O813" s="12">
        <f t="shared" si="90"/>
        <v>66.666666666666671</v>
      </c>
      <c r="P813" s="13">
        <v>800</v>
      </c>
      <c r="Q813" s="22">
        <v>3.5900506337550819E-2</v>
      </c>
      <c r="R813" s="19">
        <f t="shared" si="91"/>
        <v>3.636950417460505E-2</v>
      </c>
      <c r="S813" s="22">
        <v>4.0576746626961313E-2</v>
      </c>
      <c r="T813" s="19">
        <f t="shared" si="92"/>
        <v>4.295318102239909E-2</v>
      </c>
      <c r="U813" s="24">
        <v>4.2540745170334349E-2</v>
      </c>
      <c r="V813" s="24">
        <f t="shared" si="93"/>
        <v>4.2945560327231291E-2</v>
      </c>
      <c r="W813" s="23">
        <f t="shared" si="94"/>
        <v>3.5101949951112932E-3</v>
      </c>
      <c r="X813" s="24">
        <v>4.2139411008521588E-2</v>
      </c>
      <c r="Y813" s="24">
        <f t="shared" si="95"/>
        <v>4.2947855371743504E-2</v>
      </c>
      <c r="Z813" s="23">
        <f t="shared" si="96"/>
        <v>3.5103781577201509E-3</v>
      </c>
      <c r="AA813" s="36"/>
    </row>
    <row r="814" spans="15:27" ht="13.9" customHeight="1" x14ac:dyDescent="0.3">
      <c r="O814" s="12">
        <f t="shared" si="90"/>
        <v>66.75</v>
      </c>
      <c r="P814" s="13">
        <v>801</v>
      </c>
      <c r="Q814" s="22">
        <v>3.5901091720613953E-2</v>
      </c>
      <c r="R814" s="19">
        <f t="shared" si="91"/>
        <v>3.6372589162712909E-2</v>
      </c>
      <c r="S814" s="22">
        <v>4.0579710083002762E-2</v>
      </c>
      <c r="T814" s="19">
        <f t="shared" si="92"/>
        <v>4.2953620235811396E-2</v>
      </c>
      <c r="U814" s="24">
        <v>4.2541250459574131E-2</v>
      </c>
      <c r="V814" s="24">
        <f t="shared" si="93"/>
        <v>4.2945969917755011E-2</v>
      </c>
      <c r="W814" s="23">
        <f t="shared" si="94"/>
        <v>3.5102280861736279E-3</v>
      </c>
      <c r="X814" s="24">
        <v>4.2140419911566918E-2</v>
      </c>
      <c r="Y814" s="24">
        <f t="shared" si="95"/>
        <v>4.294827537536805E-2</v>
      </c>
      <c r="Z814" s="23">
        <f t="shared" si="96"/>
        <v>3.5104121081084294E-3</v>
      </c>
      <c r="AA814" s="36"/>
    </row>
    <row r="815" spans="15:27" ht="13.9" customHeight="1" x14ac:dyDescent="0.3">
      <c r="O815" s="12">
        <f t="shared" si="90"/>
        <v>66.833333333333329</v>
      </c>
      <c r="P815" s="13">
        <v>802</v>
      </c>
      <c r="Q815" s="22">
        <v>3.5901679489074967E-2</v>
      </c>
      <c r="R815" s="19">
        <f t="shared" si="91"/>
        <v>3.6375648376959502E-2</v>
      </c>
      <c r="S815" s="22">
        <v>4.0582666703690373E-2</v>
      </c>
      <c r="T815" s="19">
        <f t="shared" si="92"/>
        <v>4.295405532737151E-2</v>
      </c>
      <c r="U815" s="24">
        <v>4.2541754999498638E-2</v>
      </c>
      <c r="V815" s="24">
        <f t="shared" si="93"/>
        <v>4.29463764258875E-2</v>
      </c>
      <c r="W815" s="23">
        <f t="shared" si="94"/>
        <v>3.5102609281087993E-3</v>
      </c>
      <c r="X815" s="24">
        <v>4.214142682290789E-2</v>
      </c>
      <c r="Y815" s="24">
        <f t="shared" si="95"/>
        <v>4.2948691994494137E-2</v>
      </c>
      <c r="Z815" s="23">
        <f t="shared" si="96"/>
        <v>3.5104457849224335E-3</v>
      </c>
      <c r="AA815" s="36"/>
    </row>
    <row r="816" spans="15:27" ht="13.9" customHeight="1" x14ac:dyDescent="0.3">
      <c r="O816" s="12">
        <f t="shared" si="90"/>
        <v>66.916666666666671</v>
      </c>
      <c r="P816" s="13">
        <v>803</v>
      </c>
      <c r="Q816" s="22">
        <v>3.5902269601933545E-2</v>
      </c>
      <c r="R816" s="19">
        <f t="shared" si="91"/>
        <v>3.6378682036006582E-2</v>
      </c>
      <c r="S816" s="22">
        <v>4.0585616509412725E-2</v>
      </c>
      <c r="T816" s="19">
        <f t="shared" si="92"/>
        <v>4.2954486336108211E-2</v>
      </c>
      <c r="U816" s="24">
        <v>4.2542258789069587E-2</v>
      </c>
      <c r="V816" s="24">
        <f t="shared" si="93"/>
        <v>4.294677987282336E-2</v>
      </c>
      <c r="W816" s="23">
        <f t="shared" si="94"/>
        <v>3.5102935228787935E-3</v>
      </c>
      <c r="X816" s="24">
        <v>4.214243174577148E-2</v>
      </c>
      <c r="Y816" s="24">
        <f t="shared" si="95"/>
        <v>4.294910525619744E-2</v>
      </c>
      <c r="Z816" s="23">
        <f t="shared" si="96"/>
        <v>3.5104791903477484E-3</v>
      </c>
      <c r="AA816" s="36"/>
    </row>
    <row r="817" spans="15:27" ht="13.9" customHeight="1" x14ac:dyDescent="0.3">
      <c r="O817" s="12">
        <f t="shared" si="90"/>
        <v>67</v>
      </c>
      <c r="P817" s="13">
        <v>804</v>
      </c>
      <c r="Q817" s="22">
        <v>3.590286201866566E-2</v>
      </c>
      <c r="R817" s="19">
        <f t="shared" si="91"/>
        <v>3.6381690352447205E-2</v>
      </c>
      <c r="S817" s="22">
        <v>4.0588559520505108E-2</v>
      </c>
      <c r="T817" s="19">
        <f t="shared" si="92"/>
        <v>4.2954913299332986E-2</v>
      </c>
      <c r="U817" s="24">
        <v>4.2542761827280673E-2</v>
      </c>
      <c r="V817" s="24">
        <f t="shared" si="93"/>
        <v>4.2947180283472441E-2</v>
      </c>
      <c r="W817" s="23">
        <f t="shared" si="94"/>
        <v>3.5103258721835839E-3</v>
      </c>
      <c r="X817" s="24">
        <v>4.2143434683402647E-2</v>
      </c>
      <c r="Y817" s="24">
        <f t="shared" si="95"/>
        <v>4.2949515187250986E-2</v>
      </c>
      <c r="Z817" s="23">
        <f t="shared" si="96"/>
        <v>3.510512326555526E-3</v>
      </c>
      <c r="AA817" s="36"/>
    </row>
    <row r="818" spans="15:27" ht="13.9" customHeight="1" x14ac:dyDescent="0.3">
      <c r="O818" s="12">
        <f t="shared" si="90"/>
        <v>67.083333333333329</v>
      </c>
      <c r="P818" s="13">
        <v>805</v>
      </c>
      <c r="Q818" s="22">
        <v>3.5903456699212466E-2</v>
      </c>
      <c r="R818" s="19">
        <f t="shared" si="91"/>
        <v>3.6384673541240531E-2</v>
      </c>
      <c r="S818" s="22">
        <v>4.059149575724863E-2</v>
      </c>
      <c r="T818" s="19">
        <f t="shared" si="92"/>
        <v>4.295533625599024E-2</v>
      </c>
      <c r="U818" s="24">
        <v>4.2543264113161117E-2</v>
      </c>
      <c r="V818" s="24">
        <f t="shared" si="93"/>
        <v>4.2947577679297799E-2</v>
      </c>
      <c r="W818" s="23">
        <f t="shared" si="94"/>
        <v>3.5103579780204619E-3</v>
      </c>
      <c r="X818" s="24">
        <v>4.2144435639063005E-2</v>
      </c>
      <c r="Y818" s="24">
        <f t="shared" si="95"/>
        <v>4.2949921815229386E-2</v>
      </c>
      <c r="Z818" s="23">
        <f t="shared" si="96"/>
        <v>3.5105451956927158E-3</v>
      </c>
      <c r="AA818" s="36"/>
    </row>
    <row r="819" spans="15:27" ht="13.9" customHeight="1" x14ac:dyDescent="0.3">
      <c r="O819" s="12">
        <f t="shared" si="90"/>
        <v>67.166666666666671</v>
      </c>
      <c r="P819" s="13">
        <v>806</v>
      </c>
      <c r="Q819" s="22">
        <v>3.5904053603980968E-2</v>
      </c>
      <c r="R819" s="19">
        <f t="shared" si="91"/>
        <v>3.6387631812377474E-2</v>
      </c>
      <c r="S819" s="22">
        <v>4.0594425239871557E-2</v>
      </c>
      <c r="T819" s="19">
        <f t="shared" si="92"/>
        <v>4.2955755244296512E-2</v>
      </c>
      <c r="U819" s="24">
        <v>4.2543765645771892E-2</v>
      </c>
      <c r="V819" s="24">
        <f t="shared" si="93"/>
        <v>4.2947972084291797E-2</v>
      </c>
      <c r="W819" s="23">
        <f t="shared" si="94"/>
        <v>3.5103898421107171E-3</v>
      </c>
      <c r="X819" s="24">
        <v>4.2145434616032373E-2</v>
      </c>
      <c r="Y819" s="24">
        <f t="shared" si="95"/>
        <v>4.2950325167057546E-2</v>
      </c>
      <c r="Z819" s="23">
        <f t="shared" si="96"/>
        <v>3.510577799970882E-3</v>
      </c>
      <c r="AA819" s="36"/>
    </row>
    <row r="820" spans="15:27" ht="13.9" customHeight="1" x14ac:dyDescent="0.3">
      <c r="O820" s="12">
        <f t="shared" si="90"/>
        <v>67.25</v>
      </c>
      <c r="P820" s="13">
        <v>807</v>
      </c>
      <c r="Q820" s="22">
        <v>3.5904652693834693E-2</v>
      </c>
      <c r="R820" s="19">
        <f t="shared" si="91"/>
        <v>3.639056537653107E-2</v>
      </c>
      <c r="S820" s="22">
        <v>4.0597347988549526E-2</v>
      </c>
      <c r="T820" s="19">
        <f t="shared" si="92"/>
        <v>4.2956170300262997E-2</v>
      </c>
      <c r="U820" s="24">
        <v>4.2544266424208166E-2</v>
      </c>
      <c r="V820" s="24">
        <f t="shared" si="93"/>
        <v>4.2948363520525001E-2</v>
      </c>
      <c r="W820" s="23">
        <f t="shared" si="94"/>
        <v>3.5104214663783662E-3</v>
      </c>
      <c r="X820" s="24">
        <v>4.2146431617607671E-2</v>
      </c>
      <c r="Y820" s="24">
        <f t="shared" si="95"/>
        <v>4.2950725268497303E-2</v>
      </c>
      <c r="Z820" s="23">
        <f t="shared" si="96"/>
        <v>3.5106101415487423E-3</v>
      </c>
      <c r="AA820" s="36"/>
    </row>
    <row r="821" spans="15:27" ht="13.9" customHeight="1" x14ac:dyDescent="0.3">
      <c r="O821" s="12">
        <f t="shared" si="90"/>
        <v>67.333333333333329</v>
      </c>
      <c r="P821" s="13">
        <v>808</v>
      </c>
      <c r="Q821" s="22">
        <v>3.5905253930091474E-2</v>
      </c>
      <c r="R821" s="19">
        <f t="shared" si="91"/>
        <v>3.6393474440379991E-2</v>
      </c>
      <c r="S821" s="22">
        <v>4.0600264023402666E-2</v>
      </c>
      <c r="T821" s="19">
        <f t="shared" si="92"/>
        <v>4.2956581460985133E-2</v>
      </c>
      <c r="U821" s="24">
        <v>4.254476644759686E-2</v>
      </c>
      <c r="V821" s="24">
        <f t="shared" si="93"/>
        <v>4.2948752009926983E-2</v>
      </c>
      <c r="W821" s="23">
        <f t="shared" si="94"/>
        <v>3.5104528525933265E-3</v>
      </c>
      <c r="X821" s="24">
        <v>4.214742664710136E-2</v>
      </c>
      <c r="Y821" s="24">
        <f t="shared" si="95"/>
        <v>4.2951122145343357E-2</v>
      </c>
      <c r="Z821" s="23">
        <f t="shared" si="96"/>
        <v>3.5106422224926437E-3</v>
      </c>
      <c r="AA821" s="36"/>
    </row>
    <row r="822" spans="15:27" ht="13.9" customHeight="1" x14ac:dyDescent="0.3">
      <c r="O822" s="12">
        <f t="shared" si="90"/>
        <v>67.416666666666671</v>
      </c>
      <c r="P822" s="13">
        <v>809</v>
      </c>
      <c r="Q822" s="22">
        <v>3.5905857274516562E-2</v>
      </c>
      <c r="R822" s="19">
        <f t="shared" si="91"/>
        <v>3.6396359209506013E-2</v>
      </c>
      <c r="S822" s="22">
        <v>4.0603173364497591E-2</v>
      </c>
      <c r="T822" s="19">
        <f t="shared" si="92"/>
        <v>4.2956988763477977E-2</v>
      </c>
      <c r="U822" s="24">
        <v>4.2545265715096425E-2</v>
      </c>
      <c r="V822" s="24">
        <f t="shared" si="93"/>
        <v>4.2949137575091889E-2</v>
      </c>
      <c r="W822" s="23">
        <f t="shared" si="94"/>
        <v>3.5104840025144135E-3</v>
      </c>
      <c r="X822" s="24">
        <v>4.2148419707841223E-2</v>
      </c>
      <c r="Y822" s="24">
        <f t="shared" si="95"/>
        <v>4.2951515824415809E-2</v>
      </c>
      <c r="Z822" s="23">
        <f t="shared" si="96"/>
        <v>3.5106740448707097E-3</v>
      </c>
      <c r="AA822" s="36"/>
    </row>
    <row r="823" spans="15:27" ht="13.9" customHeight="1" x14ac:dyDescent="0.3">
      <c r="O823" s="12">
        <f t="shared" si="90"/>
        <v>67.5</v>
      </c>
      <c r="P823" s="13">
        <v>810</v>
      </c>
      <c r="Q823" s="22">
        <v>3.5906462689317076E-2</v>
      </c>
      <c r="R823" s="19">
        <f t="shared" si="91"/>
        <v>3.6399219889154066E-2</v>
      </c>
      <c r="S823" s="22">
        <v>4.0606076031847405E-2</v>
      </c>
      <c r="T823" s="19">
        <f t="shared" si="92"/>
        <v>4.295739224377626E-2</v>
      </c>
      <c r="U823" s="24">
        <v>4.2545764225897287E-2</v>
      </c>
      <c r="V823" s="24">
        <f t="shared" si="93"/>
        <v>4.2949520237359096E-2</v>
      </c>
      <c r="W823" s="23">
        <f t="shared" si="94"/>
        <v>3.510514917953067E-3</v>
      </c>
      <c r="X823" s="24">
        <v>4.2149410803171916E-2</v>
      </c>
      <c r="Y823" s="24">
        <f t="shared" si="95"/>
        <v>4.2951906331067491E-2</v>
      </c>
      <c r="Z823" s="23">
        <f t="shared" si="96"/>
        <v>3.5107056108341084E-3</v>
      </c>
      <c r="AA823" s="36"/>
    </row>
    <row r="824" spans="15:27" ht="13.9" customHeight="1" x14ac:dyDescent="0.3">
      <c r="O824" s="12">
        <f t="shared" si="90"/>
        <v>67.583333333333329</v>
      </c>
      <c r="P824" s="13">
        <v>811</v>
      </c>
      <c r="Q824" s="22">
        <v>3.5907070137140451E-2</v>
      </c>
      <c r="R824" s="19">
        <f t="shared" si="91"/>
        <v>3.6402056681018369E-2</v>
      </c>
      <c r="S824" s="22">
        <v>4.0608972045411029E-2</v>
      </c>
      <c r="T824" s="19">
        <f t="shared" si="92"/>
        <v>4.2957791938325274E-2</v>
      </c>
      <c r="U824" s="24">
        <v>4.254626197922029E-2</v>
      </c>
      <c r="V824" s="24">
        <f t="shared" si="93"/>
        <v>4.294990002038257E-2</v>
      </c>
      <c r="W824" s="23">
        <f t="shared" si="94"/>
        <v>3.5105456006210289E-3</v>
      </c>
      <c r="X824" s="24">
        <v>4.2150399936452754E-2</v>
      </c>
      <c r="Y824" s="24">
        <f t="shared" si="95"/>
        <v>4.2952293691585597E-2</v>
      </c>
      <c r="Z824" s="23">
        <f t="shared" si="96"/>
        <v>3.5107369224156582E-3</v>
      </c>
      <c r="AA824" s="36"/>
    </row>
    <row r="825" spans="15:27" ht="13.9" customHeight="1" x14ac:dyDescent="0.3">
      <c r="O825" s="12">
        <f t="shared" si="90"/>
        <v>67.666666666666671</v>
      </c>
      <c r="P825" s="13">
        <v>812</v>
      </c>
      <c r="Q825" s="22">
        <v>3.5907679581065999E-2</v>
      </c>
      <c r="R825" s="19">
        <f t="shared" si="91"/>
        <v>3.6404869786244021E-2</v>
      </c>
      <c r="S825" s="22">
        <v>4.0611861425093654E-2</v>
      </c>
      <c r="T825" s="19">
        <f t="shared" si="92"/>
        <v>4.2958187881521726E-2</v>
      </c>
      <c r="U825" s="24">
        <v>4.2546758974318921E-2</v>
      </c>
      <c r="V825" s="24">
        <f t="shared" si="93"/>
        <v>4.2950276943983123E-2</v>
      </c>
      <c r="W825" s="23">
        <f t="shared" si="94"/>
        <v>3.5105760524147822E-3</v>
      </c>
      <c r="X825" s="24">
        <v>4.2151387111058813E-2</v>
      </c>
      <c r="Y825" s="24">
        <f t="shared" si="95"/>
        <v>4.2952677929830596E-2</v>
      </c>
      <c r="Z825" s="23">
        <f t="shared" si="96"/>
        <v>3.5107679817236725E-3</v>
      </c>
      <c r="AA825" s="36"/>
    </row>
    <row r="826" spans="15:27" ht="13.9" customHeight="1" x14ac:dyDescent="0.3">
      <c r="O826" s="12">
        <f t="shared" si="90"/>
        <v>67.75</v>
      </c>
      <c r="P826" s="13">
        <v>813</v>
      </c>
      <c r="Q826" s="22">
        <v>3.5908290984602687E-2</v>
      </c>
      <c r="R826" s="19">
        <f t="shared" si="91"/>
        <v>3.6407659403126402E-2</v>
      </c>
      <c r="S826" s="22">
        <v>4.0614744190745178E-2</v>
      </c>
      <c r="T826" s="19">
        <f t="shared" si="92"/>
        <v>4.2958580109224709E-2</v>
      </c>
      <c r="U826" s="24">
        <v>4.2547255210475088E-2</v>
      </c>
      <c r="V826" s="24">
        <f t="shared" si="93"/>
        <v>4.2950651029475928E-2</v>
      </c>
      <c r="W826" s="23">
        <f t="shared" si="94"/>
        <v>3.5106062749241662E-3</v>
      </c>
      <c r="X826" s="24">
        <v>4.215237233037783E-2</v>
      </c>
      <c r="Y826" s="24">
        <f t="shared" si="95"/>
        <v>4.2953059072751154E-2</v>
      </c>
      <c r="Z826" s="23">
        <f t="shared" si="96"/>
        <v>3.5107987906712879E-3</v>
      </c>
      <c r="AA826" s="36"/>
    </row>
    <row r="827" spans="15:27" ht="13.9" customHeight="1" x14ac:dyDescent="0.3">
      <c r="O827" s="12">
        <f t="shared" si="90"/>
        <v>67.833333333333329</v>
      </c>
      <c r="P827" s="13">
        <v>814</v>
      </c>
      <c r="Q827" s="22">
        <v>3.5908904311682033E-2</v>
      </c>
      <c r="R827" s="19">
        <f t="shared" si="91"/>
        <v>3.6410425730253326E-2</v>
      </c>
      <c r="S827" s="22">
        <v>4.0617620362161766E-2</v>
      </c>
      <c r="T827" s="19">
        <f t="shared" si="92"/>
        <v>4.2958968657162977E-2</v>
      </c>
      <c r="U827" s="24">
        <v>4.254775068700023E-2</v>
      </c>
      <c r="V827" s="24">
        <f t="shared" si="93"/>
        <v>4.295102230140091E-2</v>
      </c>
      <c r="W827" s="23">
        <f t="shared" si="94"/>
        <v>3.5106362698582583E-3</v>
      </c>
      <c r="X827" s="24">
        <v>4.2153355597814191E-2</v>
      </c>
      <c r="Y827" s="24">
        <f t="shared" si="95"/>
        <v>4.2953437144636508E-2</v>
      </c>
      <c r="Z827" s="23">
        <f t="shared" si="96"/>
        <v>3.5108293514196642E-3</v>
      </c>
      <c r="AA827" s="36"/>
    </row>
    <row r="828" spans="15:27" ht="13.9" customHeight="1" x14ac:dyDescent="0.3">
      <c r="O828" s="12">
        <f t="shared" si="90"/>
        <v>67.916666666666671</v>
      </c>
      <c r="P828" s="13">
        <v>815</v>
      </c>
      <c r="Q828" s="22">
        <v>3.5909519526656553E-2</v>
      </c>
      <c r="R828" s="19">
        <f t="shared" si="91"/>
        <v>3.6413168961131781E-2</v>
      </c>
      <c r="S828" s="22">
        <v>4.0620489959086292E-2</v>
      </c>
      <c r="T828" s="19">
        <f t="shared" si="92"/>
        <v>4.2959353558048585E-2</v>
      </c>
      <c r="U828" s="24">
        <v>4.2548245403239093E-2</v>
      </c>
      <c r="V828" s="24">
        <f t="shared" si="93"/>
        <v>4.295139077759802E-2</v>
      </c>
      <c r="W828" s="23">
        <f t="shared" si="94"/>
        <v>3.5106660391850397E-3</v>
      </c>
      <c r="X828" s="24">
        <v>4.2154336916785162E-2</v>
      </c>
      <c r="Y828" s="24">
        <f t="shared" si="95"/>
        <v>4.2953812169696404E-2</v>
      </c>
      <c r="Z828" s="23">
        <f t="shared" si="96"/>
        <v>3.510859665916799E-3</v>
      </c>
      <c r="AA828" s="36"/>
    </row>
    <row r="829" spans="15:27" ht="13.9" customHeight="1" x14ac:dyDescent="0.3">
      <c r="O829" s="12">
        <f t="shared" si="90"/>
        <v>68</v>
      </c>
      <c r="P829" s="13">
        <v>816</v>
      </c>
      <c r="Q829" s="22">
        <v>3.5910136594290432E-2</v>
      </c>
      <c r="R829" s="19">
        <f t="shared" si="91"/>
        <v>3.6415889291847581E-2</v>
      </c>
      <c r="S829" s="22">
        <v>4.0623353001205009E-2</v>
      </c>
      <c r="T829" s="19">
        <f t="shared" si="92"/>
        <v>4.295973484786586E-2</v>
      </c>
      <c r="U829" s="24">
        <v>4.2548739358561738E-2</v>
      </c>
      <c r="V829" s="24">
        <f t="shared" si="93"/>
        <v>4.2951756479467473E-2</v>
      </c>
      <c r="W829" s="23">
        <f t="shared" si="94"/>
        <v>3.5106955843351439E-3</v>
      </c>
      <c r="X829" s="24">
        <v>4.215531629072089E-2</v>
      </c>
      <c r="Y829" s="24">
        <f t="shared" si="95"/>
        <v>4.2954184172551368E-2</v>
      </c>
      <c r="Z829" s="23">
        <f t="shared" si="96"/>
        <v>3.510889736103584E-3</v>
      </c>
      <c r="AA829" s="36"/>
    </row>
    <row r="830" spans="15:27" ht="13.9" customHeight="1" x14ac:dyDescent="0.3">
      <c r="O830" s="12">
        <f t="shared" si="90"/>
        <v>68.083333333333329</v>
      </c>
      <c r="P830" s="13">
        <v>817</v>
      </c>
      <c r="Q830" s="22">
        <v>3.5910755479760859E-2</v>
      </c>
      <c r="R830" s="19">
        <f t="shared" si="91"/>
        <v>3.6418586913354423E-2</v>
      </c>
      <c r="S830" s="22">
        <v>4.0626209508151767E-2</v>
      </c>
      <c r="T830" s="19">
        <f t="shared" si="92"/>
        <v>4.2960112559373487E-2</v>
      </c>
      <c r="U830" s="24">
        <v>4.2549232552367533E-2</v>
      </c>
      <c r="V830" s="24">
        <f t="shared" si="93"/>
        <v>4.2952119429572777E-2</v>
      </c>
      <c r="W830" s="23">
        <f t="shared" si="94"/>
        <v>3.5107249070247537E-3</v>
      </c>
      <c r="X830" s="24">
        <v>4.2156293723065064E-2</v>
      </c>
      <c r="Y830" s="24">
        <f t="shared" si="95"/>
        <v>4.2954553178578658E-2</v>
      </c>
      <c r="Z830" s="23">
        <f t="shared" si="96"/>
        <v>3.510919563954884E-3</v>
      </c>
      <c r="AA830" s="36"/>
    </row>
    <row r="831" spans="15:27" ht="13.9" customHeight="1" x14ac:dyDescent="0.3">
      <c r="O831" s="12">
        <f t="shared" si="90"/>
        <v>68.166666666666671</v>
      </c>
      <c r="P831" s="13">
        <v>818</v>
      </c>
      <c r="Q831" s="22">
        <v>3.5911376148648477E-2</v>
      </c>
      <c r="R831" s="19">
        <f t="shared" si="91"/>
        <v>3.6421262017129141E-2</v>
      </c>
      <c r="S831" s="22">
        <v>4.0629059499504461E-2</v>
      </c>
      <c r="T831" s="19">
        <f t="shared" si="92"/>
        <v>4.2960486726675073E-2</v>
      </c>
      <c r="U831" s="24">
        <v>4.2549724984086046E-2</v>
      </c>
      <c r="V831" s="24">
        <f t="shared" si="93"/>
        <v>4.2952479647738961E-2</v>
      </c>
      <c r="W831" s="23">
        <f t="shared" si="94"/>
        <v>3.5107540090630884E-3</v>
      </c>
      <c r="X831" s="24">
        <v>4.2157269217275362E-2</v>
      </c>
      <c r="Y831" s="24">
        <f t="shared" si="95"/>
        <v>4.2954919211375397E-2</v>
      </c>
      <c r="Z831" s="23">
        <f t="shared" si="96"/>
        <v>3.5109491515057378E-3</v>
      </c>
      <c r="AA831" s="36"/>
    </row>
    <row r="832" spans="15:27" ht="13.9" customHeight="1" x14ac:dyDescent="0.3">
      <c r="O832" s="12">
        <f t="shared" si="90"/>
        <v>68.25</v>
      </c>
      <c r="P832" s="13">
        <v>819</v>
      </c>
      <c r="Q832" s="22">
        <v>3.5911998566935832E-2</v>
      </c>
      <c r="R832" s="19">
        <f t="shared" si="91"/>
        <v>3.6423914791605005E-2</v>
      </c>
      <c r="S832" s="22">
        <v>4.0631902994786806E-2</v>
      </c>
      <c r="T832" s="19">
        <f t="shared" si="92"/>
        <v>4.2960857383248729E-2</v>
      </c>
      <c r="U832" s="24">
        <v>4.2550216653174155E-2</v>
      </c>
      <c r="V832" s="24">
        <f t="shared" si="93"/>
        <v>4.2952837154714096E-2</v>
      </c>
      <c r="W832" s="23">
        <f t="shared" si="94"/>
        <v>3.5107828920402095E-3</v>
      </c>
      <c r="X832" s="24">
        <v>4.2158242776821231E-2</v>
      </c>
      <c r="Y832" s="24">
        <f t="shared" si="95"/>
        <v>4.2955282294703467E-2</v>
      </c>
      <c r="Z832" s="23">
        <f t="shared" si="96"/>
        <v>3.5109785006479655E-3</v>
      </c>
      <c r="AA832" s="36"/>
    </row>
    <row r="833" spans="15:27" ht="13.9" customHeight="1" x14ac:dyDescent="0.3">
      <c r="O833" s="12">
        <f t="shared" si="90"/>
        <v>68.333333333333329</v>
      </c>
      <c r="P833" s="13">
        <v>820</v>
      </c>
      <c r="Q833" s="22">
        <v>3.5912622701001373E-2</v>
      </c>
      <c r="R833" s="19">
        <f t="shared" si="91"/>
        <v>3.6426545424682599E-2</v>
      </c>
      <c r="S833" s="22">
        <v>4.063474001346834E-2</v>
      </c>
      <c r="T833" s="19">
        <f t="shared" si="92"/>
        <v>4.2961224561651745E-2</v>
      </c>
      <c r="U833" s="24">
        <v>4.2550707559116496E-2</v>
      </c>
      <c r="V833" s="24">
        <f t="shared" si="93"/>
        <v>4.2953191970124704E-2</v>
      </c>
      <c r="W833" s="23">
        <f t="shared" si="94"/>
        <v>3.5108115576198973E-3</v>
      </c>
      <c r="X833" s="24">
        <v>4.2159214405184553E-2</v>
      </c>
      <c r="Y833" s="24">
        <f t="shared" si="95"/>
        <v>4.2955642452300768E-2</v>
      </c>
      <c r="Z833" s="23">
        <f t="shared" si="96"/>
        <v>3.5110076132875978E-3</v>
      </c>
      <c r="AA833" s="36"/>
    </row>
    <row r="834" spans="15:27" ht="13.9" customHeight="1" x14ac:dyDescent="0.3">
      <c r="O834" s="12">
        <f t="shared" si="90"/>
        <v>68.416666666666671</v>
      </c>
      <c r="P834" s="13">
        <v>821</v>
      </c>
      <c r="Q834" s="22">
        <v>3.5913248517616347E-2</v>
      </c>
      <c r="R834" s="19">
        <f t="shared" si="91"/>
        <v>3.6429154101475403E-2</v>
      </c>
      <c r="S834" s="22">
        <v>4.0637570574963311E-2</v>
      </c>
      <c r="T834" s="19">
        <f t="shared" si="92"/>
        <v>4.2961588294441855E-2</v>
      </c>
      <c r="U834" s="24">
        <v>4.2551197701424126E-2</v>
      </c>
      <c r="V834" s="24">
        <f t="shared" si="93"/>
        <v>4.2953544115766684E-2</v>
      </c>
      <c r="W834" s="23">
        <f t="shared" si="94"/>
        <v>3.5108400073760038E-3</v>
      </c>
      <c r="X834" s="24">
        <v>4.2160184105858756E-2</v>
      </c>
      <c r="Y834" s="24">
        <f t="shared" si="95"/>
        <v>4.295599970848385E-2</v>
      </c>
      <c r="Z834" s="23">
        <f t="shared" si="96"/>
        <v>3.5110364913280012E-3</v>
      </c>
      <c r="AA834" s="36"/>
    </row>
    <row r="835" spans="15:27" ht="13.9" customHeight="1" x14ac:dyDescent="0.3">
      <c r="O835" s="12">
        <f t="shared" si="90"/>
        <v>68.5</v>
      </c>
      <c r="P835" s="13">
        <v>822</v>
      </c>
      <c r="Q835" s="22">
        <v>3.5913875983938803E-2</v>
      </c>
      <c r="R835" s="19">
        <f t="shared" si="91"/>
        <v>3.6431741007700857E-2</v>
      </c>
      <c r="S835" s="22">
        <v>4.0640394698631122E-2</v>
      </c>
      <c r="T835" s="19">
        <f t="shared" si="92"/>
        <v>4.2961948614495427E-2</v>
      </c>
      <c r="U835" s="24">
        <v>4.2551687079636968E-2</v>
      </c>
      <c r="V835" s="24">
        <f t="shared" si="93"/>
        <v>4.295389361013946E-2</v>
      </c>
      <c r="W835" s="23">
        <f t="shared" si="94"/>
        <v>3.5108682430562421E-3</v>
      </c>
      <c r="X835" s="24">
        <v>4.2161151882349923E-2</v>
      </c>
      <c r="Y835" s="24">
        <f t="shared" si="95"/>
        <v>4.2956354085638582E-2</v>
      </c>
      <c r="Z835" s="23">
        <f t="shared" si="96"/>
        <v>3.5110651367189494E-3</v>
      </c>
      <c r="AA835" s="36"/>
    </row>
    <row r="836" spans="15:27" ht="13.9" customHeight="1" x14ac:dyDescent="0.3">
      <c r="O836" s="12">
        <f t="shared" si="90"/>
        <v>68.583333333333329</v>
      </c>
      <c r="P836" s="13">
        <v>823</v>
      </c>
      <c r="Q836" s="22">
        <v>3.5914505067512037E-2</v>
      </c>
      <c r="R836" s="19">
        <f t="shared" si="91"/>
        <v>3.6434306324373278E-2</v>
      </c>
      <c r="S836" s="22">
        <v>4.0643212403776774E-2</v>
      </c>
      <c r="T836" s="19">
        <f t="shared" si="92"/>
        <v>4.2962305553280178E-2</v>
      </c>
      <c r="U836" s="24">
        <v>4.2552175693319816E-2</v>
      </c>
      <c r="V836" s="24">
        <f t="shared" si="93"/>
        <v>4.2954240474891492E-2</v>
      </c>
      <c r="W836" s="23">
        <f t="shared" si="94"/>
        <v>3.5108962661443144E-3</v>
      </c>
      <c r="X836" s="24">
        <v>4.2162117738174354E-2</v>
      </c>
      <c r="Y836" s="24">
        <f t="shared" si="95"/>
        <v>4.2956705607694268E-2</v>
      </c>
      <c r="Z836" s="23">
        <f t="shared" si="96"/>
        <v>3.511093551255895E-3</v>
      </c>
      <c r="AA836" s="36"/>
    </row>
    <row r="837" spans="15:27" ht="13.9" customHeight="1" x14ac:dyDescent="0.3">
      <c r="O837" s="12">
        <f t="shared" si="90"/>
        <v>68.666666666666671</v>
      </c>
      <c r="P837" s="13">
        <v>824</v>
      </c>
      <c r="Q837" s="22">
        <v>3.591513573625682E-2</v>
      </c>
      <c r="R837" s="19">
        <f t="shared" si="91"/>
        <v>3.6436850234005336E-2</v>
      </c>
      <c r="S837" s="22">
        <v>4.0646023709650203E-2</v>
      </c>
      <c r="T837" s="19">
        <f t="shared" si="92"/>
        <v>4.2962659143104265E-2</v>
      </c>
      <c r="U837" s="24">
        <v>4.2552663542065661E-2</v>
      </c>
      <c r="V837" s="24">
        <f t="shared" si="93"/>
        <v>4.2954584728440715E-2</v>
      </c>
      <c r="W837" s="23">
        <f t="shared" si="94"/>
        <v>3.5109240783759432E-3</v>
      </c>
      <c r="X837" s="24">
        <v>4.2163081676860337E-2</v>
      </c>
      <c r="Y837" s="24">
        <f t="shared" si="95"/>
        <v>4.2957054297591002E-2</v>
      </c>
      <c r="Z837" s="23">
        <f t="shared" si="96"/>
        <v>3.5111217368575254E-3</v>
      </c>
      <c r="AA837" s="36"/>
    </row>
    <row r="838" spans="15:27" ht="13.9" customHeight="1" x14ac:dyDescent="0.3">
      <c r="O838" s="12">
        <f t="shared" si="90"/>
        <v>68.75</v>
      </c>
      <c r="P838" s="13">
        <v>825</v>
      </c>
      <c r="Q838" s="22">
        <v>3.5915767958470513E-2</v>
      </c>
      <c r="R838" s="19">
        <f t="shared" si="91"/>
        <v>3.643937291533117E-2</v>
      </c>
      <c r="S838" s="22">
        <v>4.0648828635446721E-2</v>
      </c>
      <c r="T838" s="19">
        <f t="shared" si="92"/>
        <v>4.2963009415175391E-2</v>
      </c>
      <c r="U838" s="24">
        <v>4.2553150625491698E-2</v>
      </c>
      <c r="V838" s="24">
        <f t="shared" si="93"/>
        <v>4.2954926391307824E-2</v>
      </c>
      <c r="W838" s="23">
        <f t="shared" si="94"/>
        <v>3.5109516812286135E-3</v>
      </c>
      <c r="X838" s="24">
        <v>4.2164043701946818E-2</v>
      </c>
      <c r="Y838" s="24">
        <f t="shared" si="95"/>
        <v>4.2957400178093685E-2</v>
      </c>
      <c r="Z838" s="23">
        <f t="shared" si="96"/>
        <v>3.5111496953634802E-3</v>
      </c>
      <c r="AA838" s="36"/>
    </row>
    <row r="839" spans="15:27" ht="13.9" customHeight="1" x14ac:dyDescent="0.3">
      <c r="O839" s="12">
        <f t="shared" si="90"/>
        <v>68.833333333333329</v>
      </c>
      <c r="P839" s="13">
        <v>826</v>
      </c>
      <c r="Q839" s="22">
        <v>3.5916401702820622E-2</v>
      </c>
      <c r="R839" s="19">
        <f t="shared" si="91"/>
        <v>3.6441874546897512E-2</v>
      </c>
      <c r="S839" s="22">
        <v>4.0651627200306795E-2</v>
      </c>
      <c r="T839" s="19">
        <f t="shared" si="92"/>
        <v>4.296335640020188E-2</v>
      </c>
      <c r="U839" s="24">
        <v>4.2553636943242212E-2</v>
      </c>
      <c r="V839" s="24">
        <f t="shared" si="93"/>
        <v>4.2955265481963378E-2</v>
      </c>
      <c r="W839" s="23">
        <f t="shared" si="94"/>
        <v>3.5109790763474535E-3</v>
      </c>
      <c r="X839" s="24">
        <v>4.216500381698296E-2</v>
      </c>
      <c r="Y839" s="24">
        <f t="shared" si="95"/>
        <v>4.2957743271515136E-2</v>
      </c>
      <c r="Z839" s="23">
        <f t="shared" si="96"/>
        <v>3.5111774285994102E-3</v>
      </c>
      <c r="AA839" s="36"/>
    </row>
    <row r="840" spans="15:27" ht="13.9" customHeight="1" x14ac:dyDescent="0.3">
      <c r="O840" s="12">
        <f t="shared" si="90"/>
        <v>68.916666666666671</v>
      </c>
      <c r="P840" s="13">
        <v>827</v>
      </c>
      <c r="Q840" s="22">
        <v>3.5917036938341917E-2</v>
      </c>
      <c r="R840" s="19">
        <f t="shared" si="91"/>
        <v>3.6444355305596643E-2</v>
      </c>
      <c r="S840" s="22">
        <v>4.0654419423315158E-2</v>
      </c>
      <c r="T840" s="19">
        <f t="shared" si="92"/>
        <v>4.2963700129850402E-2</v>
      </c>
      <c r="U840" s="24">
        <v>4.2554122494985025E-2</v>
      </c>
      <c r="V840" s="24">
        <f t="shared" si="93"/>
        <v>4.2955602021081285E-2</v>
      </c>
      <c r="W840" s="23">
        <f t="shared" si="94"/>
        <v>3.5110062652137231E-3</v>
      </c>
      <c r="X840" s="24">
        <v>4.2165962025527914E-2</v>
      </c>
      <c r="Y840" s="24">
        <f t="shared" si="95"/>
        <v>4.2958083600645125E-2</v>
      </c>
      <c r="Z840" s="23">
        <f t="shared" si="96"/>
        <v>3.5112049383545507E-3</v>
      </c>
      <c r="AA840" s="36"/>
    </row>
    <row r="841" spans="15:27" ht="13.9" customHeight="1" x14ac:dyDescent="0.3">
      <c r="O841" s="12">
        <f t="shared" si="90"/>
        <v>69</v>
      </c>
      <c r="P841" s="13">
        <v>828</v>
      </c>
      <c r="Q841" s="22">
        <v>3.5917673634432434E-2</v>
      </c>
      <c r="R841" s="19">
        <f t="shared" si="91"/>
        <v>3.6446815365292817E-2</v>
      </c>
      <c r="S841" s="22">
        <v>4.065720532350281E-2</v>
      </c>
      <c r="T841" s="19">
        <f t="shared" si="92"/>
        <v>4.2964040633764133E-2</v>
      </c>
      <c r="U841" s="24">
        <v>4.2554607280414825E-2</v>
      </c>
      <c r="V841" s="24">
        <f t="shared" si="93"/>
        <v>4.2955936027017971E-2</v>
      </c>
      <c r="W841" s="23">
        <f t="shared" si="94"/>
        <v>3.5110332494854291E-3</v>
      </c>
      <c r="X841" s="24">
        <v>4.2166918331151049E-2</v>
      </c>
      <c r="Y841" s="24">
        <f t="shared" si="95"/>
        <v>4.295842118759241E-2</v>
      </c>
      <c r="Z841" s="23">
        <f t="shared" si="96"/>
        <v>3.5112322264561069E-3</v>
      </c>
      <c r="AA841" s="36"/>
    </row>
    <row r="842" spans="15:27" ht="13.9" customHeight="1" x14ac:dyDescent="0.3">
      <c r="O842" s="12">
        <f t="shared" si="90"/>
        <v>69.083333333333329</v>
      </c>
      <c r="P842" s="13">
        <v>829</v>
      </c>
      <c r="Q842" s="22">
        <v>3.5918311760847699E-2</v>
      </c>
      <c r="R842" s="19">
        <f t="shared" si="91"/>
        <v>3.6449254901314454E-2</v>
      </c>
      <c r="S842" s="22">
        <v>4.0659984919844572E-2</v>
      </c>
      <c r="T842" s="19">
        <f t="shared" si="92"/>
        <v>4.2964377943322196E-2</v>
      </c>
      <c r="U842" s="24">
        <v>4.2555091299250059E-2</v>
      </c>
      <c r="V842" s="24">
        <f t="shared" si="93"/>
        <v>4.2956267519183688E-2</v>
      </c>
      <c r="W842" s="23">
        <f t="shared" si="94"/>
        <v>3.5110600306345052E-3</v>
      </c>
      <c r="X842" s="24">
        <v>4.2167872737431278E-2</v>
      </c>
      <c r="Y842" s="24">
        <f t="shared" si="95"/>
        <v>4.295875605540922E-2</v>
      </c>
      <c r="Z842" s="23">
        <f t="shared" si="96"/>
        <v>3.5112592946775489E-3</v>
      </c>
      <c r="AA842" s="36"/>
    </row>
    <row r="843" spans="15:27" ht="13.9" customHeight="1" x14ac:dyDescent="0.3">
      <c r="O843" s="12">
        <f t="shared" si="90"/>
        <v>69.166666666666671</v>
      </c>
      <c r="P843" s="13">
        <v>830</v>
      </c>
      <c r="Q843" s="22">
        <v>3.5918951287700285E-2</v>
      </c>
      <c r="R843" s="19">
        <f t="shared" si="91"/>
        <v>3.6451674084079899E-2</v>
      </c>
      <c r="S843" s="22">
        <v>4.0662758231261531E-2</v>
      </c>
      <c r="T843" s="19">
        <f t="shared" si="92"/>
        <v>4.2964712087243173E-2</v>
      </c>
      <c r="U843" s="24">
        <v>4.2555574551233377E-2</v>
      </c>
      <c r="V843" s="24">
        <f t="shared" si="93"/>
        <v>4.295659651606254E-2</v>
      </c>
      <c r="W843" s="23">
        <f t="shared" si="94"/>
        <v>3.5110866102174842E-3</v>
      </c>
      <c r="X843" s="24">
        <v>4.2168825247957953E-2</v>
      </c>
      <c r="Y843" s="24">
        <f t="shared" si="95"/>
        <v>4.2959088224139075E-2</v>
      </c>
      <c r="Z843" s="23">
        <f t="shared" si="96"/>
        <v>3.5112861448669541E-3</v>
      </c>
      <c r="AA843" s="36"/>
    </row>
    <row r="844" spans="15:27" ht="13.9" customHeight="1" x14ac:dyDescent="0.3">
      <c r="O844" s="12">
        <f t="shared" si="90"/>
        <v>69.25</v>
      </c>
      <c r="P844" s="13">
        <v>831</v>
      </c>
      <c r="Q844" s="22">
        <v>3.5919592185451599E-2</v>
      </c>
      <c r="R844" s="19">
        <f t="shared" si="91"/>
        <v>3.6454073086183536E-2</v>
      </c>
      <c r="S844" s="22">
        <v>4.0665525276618375E-2</v>
      </c>
      <c r="T844" s="19">
        <f t="shared" si="92"/>
        <v>4.2965043096583111E-2</v>
      </c>
      <c r="U844" s="24">
        <v>4.2556057036131412E-2</v>
      </c>
      <c r="V844" s="24">
        <f t="shared" si="93"/>
        <v>4.2956923037607675E-2</v>
      </c>
      <c r="W844" s="23">
        <f t="shared" si="94"/>
        <v>3.5111129897165139E-3</v>
      </c>
      <c r="X844" s="24">
        <v>4.2169775866327086E-2</v>
      </c>
      <c r="Y844" s="24">
        <f t="shared" si="95"/>
        <v>4.2959417717072901E-2</v>
      </c>
      <c r="Z844" s="23">
        <f t="shared" si="96"/>
        <v>3.5113127786319254E-3</v>
      </c>
      <c r="AA844" s="36"/>
    </row>
    <row r="845" spans="15:27" ht="13.9" customHeight="1" x14ac:dyDescent="0.3">
      <c r="O845" s="12">
        <f t="shared" si="90"/>
        <v>69.333333333333329</v>
      </c>
      <c r="P845" s="13">
        <v>832</v>
      </c>
      <c r="Q845" s="22">
        <v>3.5920234424912545E-2</v>
      </c>
      <c r="R845" s="19">
        <f t="shared" si="91"/>
        <v>3.645645207468462E-2</v>
      </c>
      <c r="S845" s="22">
        <v>4.0668286074726501E-2</v>
      </c>
      <c r="T845" s="19">
        <f t="shared" si="92"/>
        <v>4.2965370999890951E-2</v>
      </c>
      <c r="U845" s="24">
        <v>4.2556538753735662E-2</v>
      </c>
      <c r="V845" s="24">
        <f t="shared" si="93"/>
        <v>4.2957247101036211E-2</v>
      </c>
      <c r="W845" s="23">
        <f t="shared" si="94"/>
        <v>3.5111391707318695E-3</v>
      </c>
      <c r="X845" s="24">
        <v>4.2170724596145792E-2</v>
      </c>
      <c r="Y845" s="24">
        <f t="shared" si="95"/>
        <v>4.2959744555715051E-2</v>
      </c>
      <c r="Z845" s="23">
        <f t="shared" si="96"/>
        <v>3.5113391978400799E-3</v>
      </c>
      <c r="AA845" s="36"/>
    </row>
    <row r="846" spans="15:27" ht="13.9" customHeight="1" x14ac:dyDescent="0.3">
      <c r="O846" s="12">
        <f t="shared" ref="O846:O909" si="97">P846/12</f>
        <v>69.416666666666671</v>
      </c>
      <c r="P846" s="13">
        <v>833</v>
      </c>
      <c r="Q846" s="22">
        <v>3.5920877977234866E-2</v>
      </c>
      <c r="R846" s="19">
        <f t="shared" ref="R846:R909" si="98">(1+Q847)^P847/(1+Q846)^P846-1</f>
        <v>3.6458811219362675E-2</v>
      </c>
      <c r="S846" s="22">
        <v>4.0671040644341128E-2</v>
      </c>
      <c r="T846" s="19">
        <f t="shared" ref="T846:T909" si="99">(1+S847)^P847/(1+S846)^P846-1</f>
        <v>4.2965695826505002E-2</v>
      </c>
      <c r="U846" s="24">
        <v>4.2557019703859167E-2</v>
      </c>
      <c r="V846" s="24">
        <f t="shared" ref="V846:V909" si="100">(1+U847)^P847/(1+U846)^P846-1</f>
        <v>4.2957568725586093E-2</v>
      </c>
      <c r="W846" s="23">
        <f t="shared" si="94"/>
        <v>3.5111651546442246E-3</v>
      </c>
      <c r="X846" s="24">
        <v>4.2171671441029179E-2</v>
      </c>
      <c r="Y846" s="24">
        <f t="shared" si="95"/>
        <v>4.2960068760616643E-2</v>
      </c>
      <c r="Z846" s="23">
        <f t="shared" si="96"/>
        <v>3.511365404215816E-3</v>
      </c>
      <c r="AA846" s="36"/>
    </row>
    <row r="847" spans="15:27" ht="13.9" customHeight="1" x14ac:dyDescent="0.3">
      <c r="O847" s="12">
        <f t="shared" si="97"/>
        <v>69.5</v>
      </c>
      <c r="P847" s="13">
        <v>834</v>
      </c>
      <c r="Q847" s="22">
        <v>3.5921522813912032E-2</v>
      </c>
      <c r="R847" s="19">
        <f t="shared" si="98"/>
        <v>3.6461150684617971E-2</v>
      </c>
      <c r="S847" s="22">
        <v>4.067378900416263E-2</v>
      </c>
      <c r="T847" s="19">
        <f t="shared" si="99"/>
        <v>4.2966017605291063E-2</v>
      </c>
      <c r="U847" s="24">
        <v>4.2557499886339389E-2</v>
      </c>
      <c r="V847" s="24">
        <f t="shared" si="100"/>
        <v>4.2957887930198169E-2</v>
      </c>
      <c r="W847" s="23">
        <f t="shared" ref="W847:W910" si="101">(1+V846)^(1/12)-1</f>
        <v>3.511190942996123E-3</v>
      </c>
      <c r="X847" s="24">
        <v>4.2172616404599905E-2</v>
      </c>
      <c r="Y847" s="24">
        <f t="shared" ref="Y847:Y910" si="102">(1+X848)^P848/(1+X847)^P847-1</f>
        <v>4.296039035407806E-2</v>
      </c>
      <c r="Z847" s="23">
        <f t="shared" ref="Z847:Z910" si="103">(1+Y846)^(1/12)-1</f>
        <v>3.5113913994071488E-3</v>
      </c>
      <c r="AA847" s="36"/>
    </row>
    <row r="848" spans="15:27" ht="13.9" customHeight="1" x14ac:dyDescent="0.3">
      <c r="O848" s="12">
        <f t="shared" si="97"/>
        <v>69.583333333333329</v>
      </c>
      <c r="P848" s="13">
        <v>835</v>
      </c>
      <c r="Q848" s="22">
        <v>3.5922168906771246E-2</v>
      </c>
      <c r="R848" s="19">
        <f t="shared" si="98"/>
        <v>3.6463470637953188E-2</v>
      </c>
      <c r="S848" s="22">
        <v>4.0676531172836539E-2</v>
      </c>
      <c r="T848" s="19">
        <f t="shared" si="99"/>
        <v>4.2966336364968161E-2</v>
      </c>
      <c r="U848" s="24">
        <v>4.2557979301036664E-2</v>
      </c>
      <c r="V848" s="24">
        <f t="shared" si="100"/>
        <v>4.2958204731784466E-2</v>
      </c>
      <c r="W848" s="23">
        <f t="shared" si="101"/>
        <v>3.5112165373063497E-3</v>
      </c>
      <c r="X848" s="24">
        <v>4.2173559490489954E-2</v>
      </c>
      <c r="Y848" s="24">
        <f t="shared" si="102"/>
        <v>4.2960709356181459E-2</v>
      </c>
      <c r="Z848" s="23">
        <f t="shared" si="103"/>
        <v>3.5114171852024256E-3</v>
      </c>
      <c r="AA848" s="36"/>
    </row>
    <row r="849" spans="15:27" ht="13.9" customHeight="1" x14ac:dyDescent="0.3">
      <c r="O849" s="12">
        <f t="shared" si="97"/>
        <v>69.666666666666671</v>
      </c>
      <c r="P849" s="13">
        <v>836</v>
      </c>
      <c r="Q849" s="22">
        <v>3.5922816227974552E-2</v>
      </c>
      <c r="R849" s="19">
        <f t="shared" si="98"/>
        <v>3.6465771240253408E-2</v>
      </c>
      <c r="S849" s="22">
        <v>4.0679267168953537E-2</v>
      </c>
      <c r="T849" s="19">
        <f t="shared" si="99"/>
        <v>4.2966652133890948E-2</v>
      </c>
      <c r="U849" s="24">
        <v>4.255845794783264E-2</v>
      </c>
      <c r="V849" s="24">
        <f t="shared" si="100"/>
        <v>4.2958519149400853E-2</v>
      </c>
      <c r="W849" s="23">
        <f t="shared" si="101"/>
        <v>3.5112419389311533E-3</v>
      </c>
      <c r="X849" s="24">
        <v>4.2174500702337969E-2</v>
      </c>
      <c r="Y849" s="24">
        <f t="shared" si="102"/>
        <v>4.2961025788007756E-2</v>
      </c>
      <c r="Z849" s="23">
        <f t="shared" si="103"/>
        <v>3.5114427632116918E-3</v>
      </c>
      <c r="AA849" s="36"/>
    </row>
    <row r="850" spans="15:27" ht="13.9" customHeight="1" x14ac:dyDescent="0.3">
      <c r="O850" s="12">
        <f t="shared" si="97"/>
        <v>69.75</v>
      </c>
      <c r="P850" s="13">
        <v>837</v>
      </c>
      <c r="Q850" s="22">
        <v>3.5923464750009515E-2</v>
      </c>
      <c r="R850" s="19">
        <f t="shared" si="98"/>
        <v>3.6468052655932448E-2</v>
      </c>
      <c r="S850" s="22">
        <v>4.068199701104902E-2</v>
      </c>
      <c r="T850" s="19">
        <f t="shared" si="99"/>
        <v>4.2966964940151398E-2</v>
      </c>
      <c r="U850" s="24">
        <v>4.2558935826632061E-2</v>
      </c>
      <c r="V850" s="24">
        <f t="shared" si="100"/>
        <v>4.2958831200745173E-2</v>
      </c>
      <c r="W850" s="23">
        <f t="shared" si="101"/>
        <v>3.5112671493988667E-3</v>
      </c>
      <c r="X850" s="24">
        <v>4.2175440043790147E-2</v>
      </c>
      <c r="Y850" s="24">
        <f t="shared" si="102"/>
        <v>4.2961339670765764E-2</v>
      </c>
      <c r="Z850" s="23">
        <f t="shared" si="103"/>
        <v>3.511468135125817E-3</v>
      </c>
      <c r="AA850" s="36"/>
    </row>
    <row r="851" spans="15:27" ht="13.9" customHeight="1" x14ac:dyDescent="0.3">
      <c r="O851" s="12">
        <f t="shared" si="97"/>
        <v>69.833333333333329</v>
      </c>
      <c r="P851" s="13">
        <v>838</v>
      </c>
      <c r="Q851" s="22">
        <v>3.5924114445690991E-2</v>
      </c>
      <c r="R851" s="19">
        <f t="shared" si="98"/>
        <v>3.6470315044143664E-2</v>
      </c>
      <c r="S851" s="22">
        <v>4.0684720717603762E-2</v>
      </c>
      <c r="T851" s="19">
        <f t="shared" si="99"/>
        <v>4.2967274811371192E-2</v>
      </c>
      <c r="U851" s="24">
        <v>4.2559412937361207E-2</v>
      </c>
      <c r="V851" s="24">
        <f t="shared" si="100"/>
        <v>4.2959140903419568E-2</v>
      </c>
      <c r="W851" s="23">
        <f t="shared" si="101"/>
        <v>3.5112921701285771E-3</v>
      </c>
      <c r="X851" s="24">
        <v>4.2176377518500896E-2</v>
      </c>
      <c r="Y851" s="24">
        <f t="shared" si="102"/>
        <v>4.2961651024877145E-2</v>
      </c>
      <c r="Z851" s="23">
        <f t="shared" si="103"/>
        <v>3.5114933026454409E-3</v>
      </c>
      <c r="AA851" s="36"/>
    </row>
    <row r="852" spans="15:27" ht="13.9" customHeight="1" x14ac:dyDescent="0.3">
      <c r="O852" s="12">
        <f t="shared" si="97"/>
        <v>69.916666666666671</v>
      </c>
      <c r="P852" s="13">
        <v>839</v>
      </c>
      <c r="Q852" s="22">
        <v>3.592476528815336E-2</v>
      </c>
      <c r="R852" s="19">
        <f t="shared" si="98"/>
        <v>3.6472558565429303E-2</v>
      </c>
      <c r="S852" s="22">
        <v>4.0687438307043244E-2</v>
      </c>
      <c r="T852" s="19">
        <f t="shared" si="99"/>
        <v>4.2967581775094965E-2</v>
      </c>
      <c r="U852" s="24">
        <v>4.25598892799679E-2</v>
      </c>
      <c r="V852" s="24">
        <f t="shared" si="100"/>
        <v>4.2959448275748269E-2</v>
      </c>
      <c r="W852" s="23">
        <f t="shared" si="101"/>
        <v>3.5113170025315998E-3</v>
      </c>
      <c r="X852" s="24">
        <v>4.2177313130131289E-2</v>
      </c>
      <c r="Y852" s="24">
        <f t="shared" si="102"/>
        <v>4.2961959870214228E-2</v>
      </c>
      <c r="Z852" s="23">
        <f t="shared" si="103"/>
        <v>3.5115182674079204E-3</v>
      </c>
      <c r="AA852" s="36"/>
    </row>
    <row r="853" spans="15:27" ht="13.9" customHeight="1" x14ac:dyDescent="0.3">
      <c r="O853" s="12">
        <f t="shared" si="97"/>
        <v>70</v>
      </c>
      <c r="P853" s="13">
        <v>840</v>
      </c>
      <c r="Q853" s="22">
        <v>3.5925417250849856E-2</v>
      </c>
      <c r="R853" s="19">
        <f t="shared" si="98"/>
        <v>3.6474783377628661E-2</v>
      </c>
      <c r="S853" s="22">
        <v>4.0690149797738107E-2</v>
      </c>
      <c r="T853" s="19">
        <f t="shared" si="99"/>
        <v>4.2967885859123367E-2</v>
      </c>
      <c r="U853" s="24">
        <v>4.2560364854421939E-2</v>
      </c>
      <c r="V853" s="24">
        <f t="shared" si="100"/>
        <v>4.2959753334393502E-2</v>
      </c>
      <c r="W853" s="23">
        <f t="shared" si="101"/>
        <v>3.5113416480774262E-3</v>
      </c>
      <c r="X853" s="24">
        <v>4.2178246882348613E-2</v>
      </c>
      <c r="Y853" s="24">
        <f t="shared" si="102"/>
        <v>4.2962266227625889E-2</v>
      </c>
      <c r="Z853" s="23">
        <f t="shared" si="103"/>
        <v>3.5115430310070916E-3</v>
      </c>
      <c r="AA853" s="36"/>
    </row>
    <row r="854" spans="15:27" ht="13.9" customHeight="1" x14ac:dyDescent="0.3">
      <c r="O854" s="12">
        <f t="shared" si="97"/>
        <v>70.083333333333329</v>
      </c>
      <c r="P854" s="13">
        <v>841</v>
      </c>
      <c r="Q854" s="22">
        <v>3.5926070307547908E-2</v>
      </c>
      <c r="R854" s="19">
        <f t="shared" si="98"/>
        <v>3.6476989636975432E-2</v>
      </c>
      <c r="S854" s="22">
        <v>4.0692855208004364E-2</v>
      </c>
      <c r="T854" s="19">
        <f t="shared" si="99"/>
        <v>4.2968187090224763E-2</v>
      </c>
      <c r="U854" s="24">
        <v>4.256083966071289E-2</v>
      </c>
      <c r="V854" s="24">
        <f t="shared" si="100"/>
        <v>4.2960056097818944E-2</v>
      </c>
      <c r="W854" s="23">
        <f t="shared" si="101"/>
        <v>3.5113661081023206E-3</v>
      </c>
      <c r="X854" s="24">
        <v>4.2179178778827708E-2</v>
      </c>
      <c r="Y854" s="24">
        <f t="shared" si="102"/>
        <v>4.2962570117117016E-2</v>
      </c>
      <c r="Z854" s="23">
        <f t="shared" si="103"/>
        <v>3.5115675951147285E-3</v>
      </c>
      <c r="AA854" s="36"/>
    </row>
    <row r="855" spans="15:27" ht="13.9" customHeight="1" x14ac:dyDescent="0.3">
      <c r="O855" s="12">
        <f t="shared" si="97"/>
        <v>70.166666666666671</v>
      </c>
      <c r="P855" s="13">
        <v>842</v>
      </c>
      <c r="Q855" s="22">
        <v>3.5926724432324697E-2</v>
      </c>
      <c r="R855" s="19">
        <f t="shared" si="98"/>
        <v>3.6479177499826099E-2</v>
      </c>
      <c r="S855" s="22">
        <v>4.0695554556103186E-2</v>
      </c>
      <c r="T855" s="19">
        <f t="shared" si="99"/>
        <v>4.2968485494214059E-2</v>
      </c>
      <c r="U855" s="24">
        <v>4.2561313698852521E-2</v>
      </c>
      <c r="V855" s="24">
        <f t="shared" si="100"/>
        <v>4.2960356582160575E-2</v>
      </c>
      <c r="W855" s="23">
        <f t="shared" si="101"/>
        <v>3.5113903840868765E-3</v>
      </c>
      <c r="X855" s="24">
        <v>4.2180108823249407E-2</v>
      </c>
      <c r="Y855" s="24">
        <f t="shared" si="102"/>
        <v>4.296287155775147E-2</v>
      </c>
      <c r="Z855" s="23">
        <f t="shared" si="103"/>
        <v>3.5115919613348812E-3</v>
      </c>
      <c r="AA855" s="36"/>
    </row>
    <row r="856" spans="15:27" ht="13.9" customHeight="1" x14ac:dyDescent="0.3">
      <c r="O856" s="12">
        <f t="shared" si="97"/>
        <v>70.25</v>
      </c>
      <c r="P856" s="13">
        <v>843</v>
      </c>
      <c r="Q856" s="22">
        <v>3.5927379599566267E-2</v>
      </c>
      <c r="R856" s="19">
        <f t="shared" si="98"/>
        <v>3.6481347119081464E-2</v>
      </c>
      <c r="S856" s="22">
        <v>4.0698247860239567E-2</v>
      </c>
      <c r="T856" s="19">
        <f t="shared" si="99"/>
        <v>4.2968781099097964E-2</v>
      </c>
      <c r="U856" s="24">
        <v>4.2561786968871473E-2</v>
      </c>
      <c r="V856" s="24">
        <f t="shared" si="100"/>
        <v>4.2960654804912846E-2</v>
      </c>
      <c r="W856" s="23">
        <f t="shared" si="101"/>
        <v>3.5114144773249478E-3</v>
      </c>
      <c r="X856" s="24">
        <v>4.2181037019299872E-2</v>
      </c>
      <c r="Y856" s="24">
        <f t="shared" si="102"/>
        <v>4.296317056991894E-2</v>
      </c>
      <c r="Z856" s="23">
        <f t="shared" si="103"/>
        <v>3.5116161311963268E-3</v>
      </c>
      <c r="AA856" s="36"/>
    </row>
    <row r="857" spans="15:27" ht="13.9" customHeight="1" x14ac:dyDescent="0.3">
      <c r="O857" s="12">
        <f t="shared" si="97"/>
        <v>70.333333333333329</v>
      </c>
      <c r="P857" s="13">
        <v>844</v>
      </c>
      <c r="Q857" s="22">
        <v>3.5928035783961088E-2</v>
      </c>
      <c r="R857" s="19">
        <f t="shared" si="98"/>
        <v>3.648349864897682E-2</v>
      </c>
      <c r="S857" s="22">
        <v>4.0700935138565431E-2</v>
      </c>
      <c r="T857" s="19">
        <f t="shared" si="99"/>
        <v>4.2969073930379853E-2</v>
      </c>
      <c r="U857" s="24">
        <v>4.2562259470821262E-2</v>
      </c>
      <c r="V857" s="24">
        <f t="shared" si="100"/>
        <v>4.296095078420703E-2</v>
      </c>
      <c r="W857" s="23">
        <f t="shared" si="101"/>
        <v>3.5114383892196344E-3</v>
      </c>
      <c r="X857" s="24">
        <v>4.2181963370671927E-2</v>
      </c>
      <c r="Y857" s="24">
        <f t="shared" si="102"/>
        <v>4.2963467174212511E-2</v>
      </c>
      <c r="Z857" s="23">
        <f t="shared" si="103"/>
        <v>3.5116401063344238E-3</v>
      </c>
      <c r="AA857" s="36"/>
    </row>
    <row r="858" spans="15:27" ht="13.9" customHeight="1" x14ac:dyDescent="0.3">
      <c r="O858" s="12">
        <f t="shared" si="97"/>
        <v>70.416666666666671</v>
      </c>
      <c r="P858" s="13">
        <v>845</v>
      </c>
      <c r="Q858" s="22">
        <v>3.5928692960499831E-2</v>
      </c>
      <c r="R858" s="19">
        <f t="shared" si="98"/>
        <v>3.6485632240366606E-2</v>
      </c>
      <c r="S858" s="22">
        <v>4.0703616409176746E-2</v>
      </c>
      <c r="T858" s="19">
        <f t="shared" si="99"/>
        <v>4.2969364014500799E-2</v>
      </c>
      <c r="U858" s="24">
        <v>4.2562731204774273E-2</v>
      </c>
      <c r="V858" s="24">
        <f t="shared" si="100"/>
        <v>4.2961244535700827E-2</v>
      </c>
      <c r="W858" s="23">
        <f t="shared" si="101"/>
        <v>3.5114621212244401E-3</v>
      </c>
      <c r="X858" s="24">
        <v>4.2182887881065056E-2</v>
      </c>
      <c r="Y858" s="24">
        <f t="shared" si="102"/>
        <v>4.2963761387955435E-2</v>
      </c>
      <c r="Z858" s="23">
        <f t="shared" si="103"/>
        <v>3.5116638883998519E-3</v>
      </c>
      <c r="AA858" s="36"/>
    </row>
    <row r="859" spans="15:27" ht="13.9" customHeight="1" x14ac:dyDescent="0.3">
      <c r="O859" s="12">
        <f t="shared" si="97"/>
        <v>70.5</v>
      </c>
      <c r="P859" s="13">
        <v>846</v>
      </c>
      <c r="Q859" s="22">
        <v>3.592935110446982E-2</v>
      </c>
      <c r="R859" s="19">
        <f t="shared" si="98"/>
        <v>3.6487748043198653E-2</v>
      </c>
      <c r="S859" s="22">
        <v>4.0706291690115526E-2</v>
      </c>
      <c r="T859" s="19">
        <f t="shared" si="99"/>
        <v>4.2969651376787432E-2</v>
      </c>
      <c r="U859" s="24">
        <v>4.2563202170821102E-2</v>
      </c>
      <c r="V859" s="24">
        <f t="shared" si="100"/>
        <v>4.2961536076435713E-2</v>
      </c>
      <c r="W859" s="23">
        <f t="shared" si="101"/>
        <v>3.5114856745954715E-3</v>
      </c>
      <c r="X859" s="24">
        <v>4.2183810554182077E-2</v>
      </c>
      <c r="Y859" s="24">
        <f t="shared" si="102"/>
        <v>4.2964053231411725E-2</v>
      </c>
      <c r="Z859" s="23">
        <f t="shared" si="103"/>
        <v>3.5116874787823882E-3</v>
      </c>
      <c r="AA859" s="36"/>
    </row>
    <row r="860" spans="15:27" ht="13.9" customHeight="1" x14ac:dyDescent="0.3">
      <c r="O860" s="12">
        <f t="shared" si="97"/>
        <v>70.583333333333329</v>
      </c>
      <c r="P860" s="13">
        <v>847</v>
      </c>
      <c r="Q860" s="22">
        <v>3.5930010191452144E-2</v>
      </c>
      <c r="R860" s="19">
        <f t="shared" si="98"/>
        <v>3.6489846206722687E-2</v>
      </c>
      <c r="S860" s="22">
        <v>4.0708960999368271E-2</v>
      </c>
      <c r="T860" s="19">
        <f t="shared" si="99"/>
        <v>4.2969936042587698E-2</v>
      </c>
      <c r="U860" s="24">
        <v>4.2563672369072325E-2</v>
      </c>
      <c r="V860" s="24">
        <f t="shared" si="100"/>
        <v>4.2961825422805688E-2</v>
      </c>
      <c r="W860" s="23">
        <f t="shared" si="101"/>
        <v>3.5115090506987467E-3</v>
      </c>
      <c r="X860" s="24">
        <v>4.2184731393732022E-2</v>
      </c>
      <c r="Y860" s="24">
        <f t="shared" si="102"/>
        <v>4.2964342724064908E-2</v>
      </c>
      <c r="Z860" s="23">
        <f t="shared" si="103"/>
        <v>3.511710879106511E-3</v>
      </c>
      <c r="AA860" s="36"/>
    </row>
    <row r="861" spans="15:27" ht="13.9" customHeight="1" x14ac:dyDescent="0.3">
      <c r="O861" s="12">
        <f t="shared" si="97"/>
        <v>70.666666666666671</v>
      </c>
      <c r="P861" s="13">
        <v>848</v>
      </c>
      <c r="Q861" s="22">
        <v>3.5930670197318992E-2</v>
      </c>
      <c r="R861" s="19">
        <f t="shared" si="98"/>
        <v>3.6491926878889469E-2</v>
      </c>
      <c r="S861" s="22">
        <v>4.0711624354866638E-2</v>
      </c>
      <c r="T861" s="19">
        <f t="shared" si="99"/>
        <v>4.2970218038173691E-2</v>
      </c>
      <c r="U861" s="24">
        <v>4.2564141799656952E-2</v>
      </c>
      <c r="V861" s="24">
        <f t="shared" si="100"/>
        <v>4.2962112592976887E-2</v>
      </c>
      <c r="W861" s="23">
        <f t="shared" si="101"/>
        <v>3.5115322508492142E-3</v>
      </c>
      <c r="X861" s="24">
        <v>4.2185650403429253E-2</v>
      </c>
      <c r="Y861" s="24">
        <f t="shared" si="102"/>
        <v>4.2964629884971961E-2</v>
      </c>
      <c r="Z861" s="23">
        <f t="shared" si="103"/>
        <v>3.5117340909349704E-3</v>
      </c>
      <c r="AA861" s="36"/>
    </row>
    <row r="862" spans="15:27" ht="13.9" customHeight="1" x14ac:dyDescent="0.3">
      <c r="O862" s="12">
        <f t="shared" si="97"/>
        <v>70.75</v>
      </c>
      <c r="P862" s="13">
        <v>849</v>
      </c>
      <c r="Q862" s="22">
        <v>3.5931331098230546E-2</v>
      </c>
      <c r="R862" s="19">
        <f t="shared" si="98"/>
        <v>3.6493990206073912E-2</v>
      </c>
      <c r="S862" s="22">
        <v>4.071428177448877E-2</v>
      </c>
      <c r="T862" s="19">
        <f t="shared" si="99"/>
        <v>4.297049738821701E-2</v>
      </c>
      <c r="U862" s="24">
        <v>4.2564610462724861E-2</v>
      </c>
      <c r="V862" s="24">
        <f t="shared" si="100"/>
        <v>4.2962397601191471E-2</v>
      </c>
      <c r="W862" s="23">
        <f t="shared" si="101"/>
        <v>3.5115552765037084E-3</v>
      </c>
      <c r="X862" s="24">
        <v>4.218656758699324E-2</v>
      </c>
      <c r="Y862" s="24">
        <f t="shared" si="102"/>
        <v>4.2964914732481985E-2</v>
      </c>
      <c r="Z862" s="23">
        <f t="shared" si="103"/>
        <v>3.511757115795433E-3</v>
      </c>
      <c r="AA862" s="36"/>
    </row>
    <row r="863" spans="15:27" ht="13.9" customHeight="1" x14ac:dyDescent="0.3">
      <c r="O863" s="12">
        <f t="shared" si="97"/>
        <v>70.833333333333329</v>
      </c>
      <c r="P863" s="13">
        <v>850</v>
      </c>
      <c r="Q863" s="22">
        <v>3.5931992870631202E-2</v>
      </c>
      <c r="R863" s="19">
        <f t="shared" si="98"/>
        <v>3.6496036333721893E-2</v>
      </c>
      <c r="S863" s="22">
        <v>4.0716933276057521E-2</v>
      </c>
      <c r="T863" s="19">
        <f t="shared" si="99"/>
        <v>4.2970774117330857E-2</v>
      </c>
      <c r="U863" s="24">
        <v>4.2565078358442365E-2</v>
      </c>
      <c r="V863" s="24">
        <f t="shared" si="100"/>
        <v>4.2962680464876613E-2</v>
      </c>
      <c r="W863" s="23">
        <f t="shared" si="101"/>
        <v>3.5115781288039827E-3</v>
      </c>
      <c r="X863" s="24">
        <v>4.218748294814767E-2</v>
      </c>
      <c r="Y863" s="24">
        <f t="shared" si="102"/>
        <v>4.2965197284707157E-2</v>
      </c>
      <c r="Z863" s="23">
        <f t="shared" si="103"/>
        <v>3.5117799551598328E-3</v>
      </c>
      <c r="AA863" s="36"/>
    </row>
    <row r="864" spans="15:27" ht="13.9" customHeight="1" x14ac:dyDescent="0.3">
      <c r="O864" s="12">
        <f t="shared" si="97"/>
        <v>70.916666666666671</v>
      </c>
      <c r="P864" s="13">
        <v>851</v>
      </c>
      <c r="Q864" s="22">
        <v>3.5932655491247134E-2</v>
      </c>
      <c r="R864" s="19">
        <f t="shared" si="98"/>
        <v>3.6498065404303448E-2</v>
      </c>
      <c r="S864" s="22">
        <v>4.0719578877341123E-2</v>
      </c>
      <c r="T864" s="19">
        <f t="shared" si="99"/>
        <v>4.2971048249605515E-2</v>
      </c>
      <c r="U864" s="24">
        <v>4.2565545486994871E-2</v>
      </c>
      <c r="V864" s="24">
        <f t="shared" si="100"/>
        <v>4.2962961199594307E-2</v>
      </c>
      <c r="W864" s="23">
        <f t="shared" si="101"/>
        <v>3.5116008091475859E-3</v>
      </c>
      <c r="X864" s="24">
        <v>4.2188396490619562E-2</v>
      </c>
      <c r="Y864" s="24">
        <f t="shared" si="102"/>
        <v>4.2965477560995335E-2</v>
      </c>
      <c r="Z864" s="23">
        <f t="shared" si="103"/>
        <v>3.5118026104801192E-3</v>
      </c>
      <c r="AA864" s="36"/>
    </row>
    <row r="865" spans="15:27" ht="13.9" customHeight="1" x14ac:dyDescent="0.3">
      <c r="O865" s="12">
        <f t="shared" si="97"/>
        <v>71</v>
      </c>
      <c r="P865" s="13">
        <v>852</v>
      </c>
      <c r="Q865" s="22">
        <v>3.593331893708096E-2</v>
      </c>
      <c r="R865" s="19">
        <f t="shared" si="98"/>
        <v>3.650007756343765E-2</v>
      </c>
      <c r="S865" s="22">
        <v>4.0722218596052517E-2</v>
      </c>
      <c r="T865" s="19">
        <f t="shared" si="99"/>
        <v>4.2971319810095387E-2</v>
      </c>
      <c r="U865" s="24">
        <v>4.256601184858555E-2</v>
      </c>
      <c r="V865" s="24">
        <f t="shared" si="100"/>
        <v>4.2963239821849575E-2</v>
      </c>
      <c r="W865" s="23">
        <f t="shared" si="101"/>
        <v>3.5116233187826307E-3</v>
      </c>
      <c r="X865" s="24">
        <v>4.2189308218141708E-2</v>
      </c>
      <c r="Y865" s="24">
        <f t="shared" si="102"/>
        <v>4.2965755579036591E-2</v>
      </c>
      <c r="Z865" s="23">
        <f t="shared" si="103"/>
        <v>3.5118250833079401E-3</v>
      </c>
      <c r="AA865" s="36"/>
    </row>
    <row r="866" spans="15:27" ht="13.9" customHeight="1" x14ac:dyDescent="0.3">
      <c r="O866" s="12">
        <f t="shared" si="97"/>
        <v>71.083333333333329</v>
      </c>
      <c r="P866" s="13">
        <v>853</v>
      </c>
      <c r="Q866" s="22">
        <v>3.5933983185413743E-2</v>
      </c>
      <c r="R866" s="19">
        <f t="shared" si="98"/>
        <v>3.6502072950099773E-2</v>
      </c>
      <c r="S866" s="22">
        <v>4.0724852449851134E-2</v>
      </c>
      <c r="T866" s="19">
        <f t="shared" si="99"/>
        <v>4.2971588823514262E-2</v>
      </c>
      <c r="U866" s="24">
        <v>4.256647744343578E-2</v>
      </c>
      <c r="V866" s="24">
        <f t="shared" si="100"/>
        <v>4.29635163475377E-2</v>
      </c>
      <c r="W866" s="23">
        <f t="shared" si="101"/>
        <v>3.5116456590325029E-3</v>
      </c>
      <c r="X866" s="24">
        <v>4.2190218134449564E-2</v>
      </c>
      <c r="Y866" s="24">
        <f t="shared" si="102"/>
        <v>4.2966031358349754E-2</v>
      </c>
      <c r="Z866" s="23">
        <f t="shared" si="103"/>
        <v>3.5118473750619383E-3</v>
      </c>
      <c r="AA866" s="36"/>
    </row>
    <row r="867" spans="15:27" ht="13.9" customHeight="1" x14ac:dyDescent="0.3">
      <c r="O867" s="12">
        <f t="shared" si="97"/>
        <v>71.166666666666671</v>
      </c>
      <c r="P867" s="13">
        <v>854</v>
      </c>
      <c r="Q867" s="22">
        <v>3.5934648213795661E-2</v>
      </c>
      <c r="R867" s="19">
        <f t="shared" si="98"/>
        <v>3.6504051706361729E-2</v>
      </c>
      <c r="S867" s="22">
        <v>4.0727480456342446E-2</v>
      </c>
      <c r="T867" s="19">
        <f t="shared" si="99"/>
        <v>4.29718553123839E-2</v>
      </c>
      <c r="U867" s="24">
        <v>4.2566942271784702E-2</v>
      </c>
      <c r="V867" s="24">
        <f t="shared" si="100"/>
        <v>4.2963790792465373E-2</v>
      </c>
      <c r="W867" s="23">
        <f t="shared" si="101"/>
        <v>3.5116678311717386E-3</v>
      </c>
      <c r="X867" s="24">
        <v>4.2191126243284138E-2</v>
      </c>
      <c r="Y867" s="24">
        <f t="shared" si="102"/>
        <v>4.2966304914904274E-2</v>
      </c>
      <c r="Z867" s="23">
        <f t="shared" si="103"/>
        <v>3.5118694873073064E-3</v>
      </c>
      <c r="AA867" s="36"/>
    </row>
    <row r="868" spans="15:27" ht="13.9" customHeight="1" x14ac:dyDescent="0.3">
      <c r="O868" s="12">
        <f t="shared" si="97"/>
        <v>71.25</v>
      </c>
      <c r="P868" s="13">
        <v>855</v>
      </c>
      <c r="Q868" s="22">
        <v>3.5935314000048235E-2</v>
      </c>
      <c r="R868" s="19">
        <f t="shared" si="98"/>
        <v>3.6506013969977547E-2</v>
      </c>
      <c r="S868" s="22">
        <v>4.0730102633076193E-2</v>
      </c>
      <c r="T868" s="19">
        <f t="shared" si="99"/>
        <v>4.2972119301367906E-2</v>
      </c>
      <c r="U868" s="24">
        <v>4.2567406333888558E-2</v>
      </c>
      <c r="V868" s="24">
        <f t="shared" si="100"/>
        <v>4.2964063171358591E-2</v>
      </c>
      <c r="W868" s="23">
        <f t="shared" si="101"/>
        <v>3.5116898364679905E-3</v>
      </c>
      <c r="X868" s="24">
        <v>4.219203254838777E-2</v>
      </c>
      <c r="Y868" s="24">
        <f t="shared" si="102"/>
        <v>4.2966576268339773E-2</v>
      </c>
      <c r="Z868" s="23">
        <f t="shared" si="103"/>
        <v>3.5118914213243535E-3</v>
      </c>
      <c r="AA868" s="36"/>
    </row>
    <row r="869" spans="15:27" ht="13.9" customHeight="1" x14ac:dyDescent="0.3">
      <c r="O869" s="12">
        <f t="shared" si="97"/>
        <v>71.333333333333329</v>
      </c>
      <c r="P869" s="13">
        <v>856</v>
      </c>
      <c r="Q869" s="22">
        <v>3.5935980522257438E-2</v>
      </c>
      <c r="R869" s="19">
        <f t="shared" si="98"/>
        <v>3.6507959880593965E-2</v>
      </c>
      <c r="S869" s="22">
        <v>4.0732718997548378E-2</v>
      </c>
      <c r="T869" s="19">
        <f t="shared" si="99"/>
        <v>4.2972380813779631E-2</v>
      </c>
      <c r="U869" s="24">
        <v>4.2567869630019795E-2</v>
      </c>
      <c r="V869" s="24">
        <f t="shared" si="100"/>
        <v>4.2964333502199858E-2</v>
      </c>
      <c r="W869" s="23">
        <f t="shared" si="101"/>
        <v>3.5117116761020917E-3</v>
      </c>
      <c r="X869" s="24">
        <v>4.2192937053508128E-2</v>
      </c>
      <c r="Y869" s="24">
        <f t="shared" si="102"/>
        <v>4.2966845436302581E-2</v>
      </c>
      <c r="Z869" s="23">
        <f t="shared" si="103"/>
        <v>3.511913178688042E-3</v>
      </c>
      <c r="AA869" s="36"/>
    </row>
    <row r="870" spans="15:27" ht="13.9" customHeight="1" x14ac:dyDescent="0.3">
      <c r="O870" s="12">
        <f t="shared" si="97"/>
        <v>71.416666666666671</v>
      </c>
      <c r="P870" s="13">
        <v>857</v>
      </c>
      <c r="Q870" s="22">
        <v>3.5936647758774143E-2</v>
      </c>
      <c r="R870" s="19">
        <f t="shared" si="98"/>
        <v>3.6509889574015908E-2</v>
      </c>
      <c r="S870" s="22">
        <v>4.0735329567201273E-2</v>
      </c>
      <c r="T870" s="19">
        <f t="shared" si="99"/>
        <v>4.2972639872614016E-2</v>
      </c>
      <c r="U870" s="24">
        <v>4.2568332160470623E-2</v>
      </c>
      <c r="V870" s="24">
        <f t="shared" si="100"/>
        <v>4.2964601796944946E-2</v>
      </c>
      <c r="W870" s="23">
        <f t="shared" si="101"/>
        <v>3.5117333515159999E-3</v>
      </c>
      <c r="X870" s="24">
        <v>4.2193839762395768E-2</v>
      </c>
      <c r="Y870" s="24">
        <f t="shared" si="102"/>
        <v>4.2967112434812771E-2</v>
      </c>
      <c r="Z870" s="23">
        <f t="shared" si="103"/>
        <v>3.5119347608134621E-3</v>
      </c>
      <c r="AA870" s="36"/>
    </row>
    <row r="871" spans="15:27" ht="13.9" customHeight="1" x14ac:dyDescent="0.3">
      <c r="O871" s="12">
        <f t="shared" si="97"/>
        <v>71.5</v>
      </c>
      <c r="P871" s="13">
        <v>858</v>
      </c>
      <c r="Q871" s="22">
        <v>3.5937315688209015E-2</v>
      </c>
      <c r="R871" s="19">
        <f t="shared" si="98"/>
        <v>3.651180318612246E-2</v>
      </c>
      <c r="S871" s="22">
        <v>4.0737934359422079E-2</v>
      </c>
      <c r="T871" s="19">
        <f t="shared" si="99"/>
        <v>4.2972896500857782E-2</v>
      </c>
      <c r="U871" s="24">
        <v>4.2568793925545467E-2</v>
      </c>
      <c r="V871" s="24">
        <f t="shared" si="100"/>
        <v>4.2964868073858797E-2</v>
      </c>
      <c r="W871" s="23">
        <f t="shared" si="101"/>
        <v>3.5117548636685036E-3</v>
      </c>
      <c r="X871" s="24">
        <v>4.21947406788028E-2</v>
      </c>
      <c r="Y871" s="24">
        <f t="shared" si="102"/>
        <v>4.2967377283161134E-2</v>
      </c>
      <c r="Z871" s="23">
        <f t="shared" si="103"/>
        <v>3.511956168985142E-3</v>
      </c>
      <c r="AA871" s="36"/>
    </row>
    <row r="872" spans="15:27" ht="13.9" customHeight="1" x14ac:dyDescent="0.3">
      <c r="O872" s="12">
        <f t="shared" si="97"/>
        <v>71.583333333333329</v>
      </c>
      <c r="P872" s="13">
        <v>859</v>
      </c>
      <c r="Q872" s="22">
        <v>3.5937984289429847E-2</v>
      </c>
      <c r="R872" s="19">
        <f t="shared" si="98"/>
        <v>3.6513700852153441E-2</v>
      </c>
      <c r="S872" s="22">
        <v>4.0740533391544265E-2</v>
      </c>
      <c r="T872" s="19">
        <f t="shared" si="99"/>
        <v>4.2973150721650866E-2</v>
      </c>
      <c r="U872" s="24">
        <v>4.2569254925568956E-2</v>
      </c>
      <c r="V872" s="24">
        <f t="shared" si="100"/>
        <v>4.2965132346358903E-2</v>
      </c>
      <c r="W872" s="23">
        <f t="shared" si="101"/>
        <v>3.5117762140242093E-3</v>
      </c>
      <c r="X872" s="24">
        <v>4.2195639806485996E-2</v>
      </c>
      <c r="Y872" s="24">
        <f t="shared" si="102"/>
        <v>4.2967639997819829E-2</v>
      </c>
      <c r="Z872" s="23">
        <f t="shared" si="103"/>
        <v>3.5119774047500663E-3</v>
      </c>
      <c r="AA872" s="36"/>
    </row>
    <row r="873" spans="15:27" ht="13.9" customHeight="1" x14ac:dyDescent="0.3">
      <c r="O873" s="12">
        <f t="shared" si="97"/>
        <v>71.666666666666671</v>
      </c>
      <c r="P873" s="13">
        <v>860</v>
      </c>
      <c r="Q873" s="22">
        <v>3.593865354156045E-2</v>
      </c>
      <c r="R873" s="19">
        <f t="shared" si="98"/>
        <v>3.6515582703803062E-2</v>
      </c>
      <c r="S873" s="22">
        <v>4.0743126680847119E-2</v>
      </c>
      <c r="T873" s="19">
        <f t="shared" si="99"/>
        <v>4.2973402557862306E-2</v>
      </c>
      <c r="U873" s="24">
        <v>4.2569715160879706E-2</v>
      </c>
      <c r="V873" s="24">
        <f t="shared" si="100"/>
        <v>4.2965394631062193E-2</v>
      </c>
      <c r="W873" s="23">
        <f t="shared" si="101"/>
        <v>3.5117974036589228E-3</v>
      </c>
      <c r="X873" s="24">
        <v>4.2196537149203905E-2</v>
      </c>
      <c r="Y873" s="24">
        <f t="shared" si="102"/>
        <v>4.2967900596620145E-2</v>
      </c>
      <c r="Z873" s="23">
        <f t="shared" si="103"/>
        <v>3.5119984694289563E-3</v>
      </c>
      <c r="AA873" s="36"/>
    </row>
    <row r="874" spans="15:27" ht="13.9" customHeight="1" x14ac:dyDescent="0.3">
      <c r="O874" s="12">
        <f t="shared" si="97"/>
        <v>71.75</v>
      </c>
      <c r="P874" s="13">
        <v>861</v>
      </c>
      <c r="Q874" s="22">
        <v>3.5939323423974212E-2</v>
      </c>
      <c r="R874" s="19">
        <f t="shared" si="98"/>
        <v>3.651744887569297E-2</v>
      </c>
      <c r="S874" s="22">
        <v>4.0745714244556419E-2</v>
      </c>
      <c r="T874" s="19">
        <f t="shared" si="99"/>
        <v>4.2973652031090825E-2</v>
      </c>
      <c r="U874" s="24">
        <v>4.2570174631833879E-2</v>
      </c>
      <c r="V874" s="24">
        <f t="shared" si="100"/>
        <v>4.2965654941870435E-2</v>
      </c>
      <c r="W874" s="23">
        <f t="shared" si="101"/>
        <v>3.5118184339051339E-3</v>
      </c>
      <c r="X874" s="24">
        <v>4.2197432710718408E-2</v>
      </c>
      <c r="Y874" s="24">
        <f t="shared" si="102"/>
        <v>4.2968159095767122E-2</v>
      </c>
      <c r="Z874" s="23">
        <f t="shared" si="103"/>
        <v>3.5120193644520015E-3</v>
      </c>
      <c r="AA874" s="36"/>
    </row>
    <row r="875" spans="15:27" ht="13.9" customHeight="1" x14ac:dyDescent="0.3">
      <c r="O875" s="12">
        <f t="shared" si="97"/>
        <v>71.833333333333329</v>
      </c>
      <c r="P875" s="13">
        <v>862</v>
      </c>
      <c r="Q875" s="22">
        <v>3.5939993916296542E-2</v>
      </c>
      <c r="R875" s="19">
        <f t="shared" si="98"/>
        <v>3.6519299496991398E-2</v>
      </c>
      <c r="S875" s="22">
        <v>4.0748296099843317E-2</v>
      </c>
      <c r="T875" s="19">
        <f t="shared" si="99"/>
        <v>4.2973899163368356E-2</v>
      </c>
      <c r="U875" s="24">
        <v>4.2570633338802288E-2</v>
      </c>
      <c r="V875" s="24">
        <f t="shared" si="100"/>
        <v>4.2965913293242952E-2</v>
      </c>
      <c r="W875" s="23">
        <f t="shared" si="101"/>
        <v>3.5118393058779507E-3</v>
      </c>
      <c r="X875" s="24">
        <v>4.2198326494792493E-2</v>
      </c>
      <c r="Y875" s="24">
        <f t="shared" si="102"/>
        <v>4.296841551215147E-2</v>
      </c>
      <c r="Z875" s="23">
        <f t="shared" si="103"/>
        <v>3.5120400911181626E-3</v>
      </c>
      <c r="AA875" s="36"/>
    </row>
    <row r="876" spans="15:27" ht="13.9" customHeight="1" x14ac:dyDescent="0.3">
      <c r="O876" s="12">
        <f t="shared" si="97"/>
        <v>71.916666666666671</v>
      </c>
      <c r="P876" s="13">
        <v>863</v>
      </c>
      <c r="Q876" s="22">
        <v>3.5940664998396876E-2</v>
      </c>
      <c r="R876" s="19">
        <f t="shared" si="98"/>
        <v>3.6521134699439628E-2</v>
      </c>
      <c r="S876" s="22">
        <v>4.0750872263824789E-2</v>
      </c>
      <c r="T876" s="19">
        <f t="shared" si="99"/>
        <v>4.2974143977987156E-2</v>
      </c>
      <c r="U876" s="24">
        <v>4.2571091282170848E-2</v>
      </c>
      <c r="V876" s="24">
        <f t="shared" si="100"/>
        <v>4.2966169700793255E-2</v>
      </c>
      <c r="W876" s="23">
        <f t="shared" si="101"/>
        <v>3.5118600207364459E-3</v>
      </c>
      <c r="X876" s="24">
        <v>4.2199218505191372E-2</v>
      </c>
      <c r="Y876" s="24">
        <f t="shared" si="102"/>
        <v>4.2968669863772124E-2</v>
      </c>
      <c r="Z876" s="23">
        <f t="shared" si="103"/>
        <v>3.512060650782356E-3</v>
      </c>
      <c r="AA876" s="36"/>
    </row>
    <row r="877" spans="15:27" ht="13.9" customHeight="1" x14ac:dyDescent="0.3">
      <c r="O877" s="12">
        <f t="shared" si="97"/>
        <v>72</v>
      </c>
      <c r="P877" s="13">
        <v>864</v>
      </c>
      <c r="Q877" s="22">
        <v>3.5941336650390232E-2</v>
      </c>
      <c r="R877" s="19">
        <f t="shared" si="98"/>
        <v>3.6522954610618497E-2</v>
      </c>
      <c r="S877" s="22">
        <v>4.0753442753565183E-2</v>
      </c>
      <c r="T877" s="19">
        <f t="shared" si="99"/>
        <v>4.2974386495318928E-2</v>
      </c>
      <c r="U877" s="24">
        <v>4.2571548462341458E-2</v>
      </c>
      <c r="V877" s="24">
        <f t="shared" si="100"/>
        <v>4.2966424179612828E-2</v>
      </c>
      <c r="W877" s="23">
        <f t="shared" si="101"/>
        <v>3.511880579732729E-3</v>
      </c>
      <c r="X877" s="24">
        <v>4.2200108745683806E-2</v>
      </c>
      <c r="Y877" s="24">
        <f t="shared" si="102"/>
        <v>4.2968922165968371E-2</v>
      </c>
      <c r="Z877" s="23">
        <f t="shared" si="103"/>
        <v>3.5120810448874273E-3</v>
      </c>
      <c r="AA877" s="36"/>
    </row>
    <row r="878" spans="15:27" ht="13.9" customHeight="1" x14ac:dyDescent="0.3">
      <c r="O878" s="12">
        <f t="shared" si="97"/>
        <v>72.083333333333329</v>
      </c>
      <c r="P878" s="13">
        <v>865</v>
      </c>
      <c r="Q878" s="22">
        <v>3.5942008852631213E-2</v>
      </c>
      <c r="R878" s="19">
        <f t="shared" si="98"/>
        <v>3.6524759359757519E-2</v>
      </c>
      <c r="S878" s="22">
        <v>4.0756007586074006E-2</v>
      </c>
      <c r="T878" s="19">
        <f t="shared" si="99"/>
        <v>4.2974626737822819E-2</v>
      </c>
      <c r="U878" s="24">
        <v>4.2572004879731784E-2</v>
      </c>
      <c r="V878" s="24">
        <f t="shared" si="100"/>
        <v>4.2966676743064314E-2</v>
      </c>
      <c r="W878" s="23">
        <f t="shared" si="101"/>
        <v>3.5119009840769433E-3</v>
      </c>
      <c r="X878" s="24">
        <v>4.2200997220038561E-2</v>
      </c>
      <c r="Y878" s="24">
        <f t="shared" si="102"/>
        <v>4.2969172436355896E-2</v>
      </c>
      <c r="Z878" s="23">
        <f t="shared" si="103"/>
        <v>3.5121012746637259E-3</v>
      </c>
      <c r="AA878" s="36"/>
    </row>
    <row r="879" spans="15:27" ht="13.9" customHeight="1" x14ac:dyDescent="0.3">
      <c r="O879" s="12">
        <f t="shared" si="97"/>
        <v>72.166666666666671</v>
      </c>
      <c r="P879" s="13">
        <v>866</v>
      </c>
      <c r="Q879" s="22">
        <v>3.5942681585714231E-2</v>
      </c>
      <c r="R879" s="19">
        <f t="shared" si="98"/>
        <v>3.6526549072108061E-2</v>
      </c>
      <c r="S879" s="22">
        <v>4.0758566778307914E-2</v>
      </c>
      <c r="T879" s="19">
        <f t="shared" si="99"/>
        <v>4.2974864726638806E-2</v>
      </c>
      <c r="U879" s="24">
        <v>4.2572460534773038E-2</v>
      </c>
      <c r="V879" s="24">
        <f t="shared" si="100"/>
        <v>4.2966927405923006E-2</v>
      </c>
      <c r="W879" s="23">
        <f t="shared" si="101"/>
        <v>3.5119212348408979E-3</v>
      </c>
      <c r="X879" s="24">
        <v>4.2201883932027728E-2</v>
      </c>
      <c r="Y879" s="24">
        <f t="shared" si="102"/>
        <v>4.2969420690184279E-2</v>
      </c>
      <c r="Z879" s="23">
        <f t="shared" si="103"/>
        <v>3.5121213415236774E-3</v>
      </c>
      <c r="AA879" s="36"/>
    </row>
    <row r="880" spans="15:27" ht="13.9" customHeight="1" x14ac:dyDescent="0.3">
      <c r="O880" s="12">
        <f t="shared" si="97"/>
        <v>72.25</v>
      </c>
      <c r="P880" s="13">
        <v>867</v>
      </c>
      <c r="Q880" s="22">
        <v>3.5943354830467511E-2</v>
      </c>
      <c r="R880" s="19">
        <f t="shared" si="98"/>
        <v>3.6528323875208768E-2</v>
      </c>
      <c r="S880" s="22">
        <v>4.076112034716961E-2</v>
      </c>
      <c r="T880" s="19">
        <f t="shared" si="99"/>
        <v>4.2975100482369744E-2</v>
      </c>
      <c r="U880" s="24">
        <v>4.2572915427911306E-2</v>
      </c>
      <c r="V880" s="24">
        <f t="shared" si="100"/>
        <v>4.2967176183297262E-2</v>
      </c>
      <c r="W880" s="23">
        <f t="shared" si="101"/>
        <v>3.5119413332089788E-3</v>
      </c>
      <c r="X880" s="24">
        <v>4.2202768885422959E-2</v>
      </c>
      <c r="Y880" s="24">
        <f t="shared" si="102"/>
        <v>4.2969666944517426E-2</v>
      </c>
      <c r="Z880" s="23">
        <f t="shared" si="103"/>
        <v>3.5121412466900814E-3</v>
      </c>
      <c r="AA880" s="36"/>
    </row>
    <row r="881" spans="15:27" ht="13.9" customHeight="1" x14ac:dyDescent="0.3">
      <c r="O881" s="12">
        <f t="shared" si="97"/>
        <v>72.333333333333329</v>
      </c>
      <c r="P881" s="13">
        <v>868</v>
      </c>
      <c r="Q881" s="22">
        <v>3.5944028567954867E-2</v>
      </c>
      <c r="R881" s="19">
        <f t="shared" si="98"/>
        <v>3.6530083892017284E-2</v>
      </c>
      <c r="S881" s="22">
        <v>4.0763668309508061E-2</v>
      </c>
      <c r="T881" s="19">
        <f t="shared" si="99"/>
        <v>4.2975334026672973E-2</v>
      </c>
      <c r="U881" s="24">
        <v>4.2573369559608221E-2</v>
      </c>
      <c r="V881" s="24">
        <f t="shared" si="100"/>
        <v>4.2967423087749701E-2</v>
      </c>
      <c r="W881" s="23">
        <f t="shared" si="101"/>
        <v>3.5119612803931055E-3</v>
      </c>
      <c r="X881" s="24">
        <v>4.2203652083998788E-2</v>
      </c>
      <c r="Y881" s="24">
        <f t="shared" si="102"/>
        <v>4.2969911215124723E-2</v>
      </c>
      <c r="Z881" s="23">
        <f t="shared" si="103"/>
        <v>3.5121609915311769E-3</v>
      </c>
      <c r="AA881" s="36"/>
    </row>
    <row r="882" spans="15:27" ht="13.9" customHeight="1" x14ac:dyDescent="0.3">
      <c r="O882" s="12">
        <f t="shared" si="97"/>
        <v>72.416666666666671</v>
      </c>
      <c r="P882" s="13">
        <v>869</v>
      </c>
      <c r="Q882" s="22">
        <v>3.5944702779468374E-2</v>
      </c>
      <c r="R882" s="19">
        <f t="shared" si="98"/>
        <v>3.6531829247731906E-2</v>
      </c>
      <c r="S882" s="22">
        <v>4.0766210682119164E-2</v>
      </c>
      <c r="T882" s="19">
        <f t="shared" si="99"/>
        <v>4.2975565379971492E-2</v>
      </c>
      <c r="U882" s="24">
        <v>4.2573822930337624E-2</v>
      </c>
      <c r="V882" s="24">
        <f t="shared" si="100"/>
        <v>4.2967668135283965E-2</v>
      </c>
      <c r="W882" s="23">
        <f t="shared" si="101"/>
        <v>3.5119810774002502E-3</v>
      </c>
      <c r="X882" s="24">
        <v>4.2204533531530197E-2</v>
      </c>
      <c r="Y882" s="24">
        <f t="shared" si="102"/>
        <v>4.2970153518255838E-2</v>
      </c>
      <c r="Z882" s="23">
        <f t="shared" si="103"/>
        <v>3.5121805773115078E-3</v>
      </c>
      <c r="AA882" s="36"/>
    </row>
    <row r="883" spans="15:27" ht="13.9" customHeight="1" x14ac:dyDescent="0.3">
      <c r="O883" s="12">
        <f t="shared" si="97"/>
        <v>72.5</v>
      </c>
      <c r="P883" s="13">
        <v>870</v>
      </c>
      <c r="Q883" s="22">
        <v>3.5945377446530369E-2</v>
      </c>
      <c r="R883" s="19">
        <f t="shared" si="98"/>
        <v>3.6533560063344517E-2</v>
      </c>
      <c r="S883" s="22">
        <v>4.0768747481745304E-2</v>
      </c>
      <c r="T883" s="19">
        <f t="shared" si="99"/>
        <v>4.2975794562588154E-2</v>
      </c>
      <c r="U883" s="24">
        <v>4.2574275540589568E-2</v>
      </c>
      <c r="V883" s="24">
        <f t="shared" si="100"/>
        <v>4.2967911337864262E-2</v>
      </c>
      <c r="W883" s="23">
        <f t="shared" si="101"/>
        <v>3.5120007255140528E-3</v>
      </c>
      <c r="X883" s="24">
        <v>4.2205413231793498E-2</v>
      </c>
      <c r="Y883" s="24">
        <f t="shared" si="102"/>
        <v>4.2970393869212309E-2</v>
      </c>
      <c r="Z883" s="23">
        <f t="shared" si="103"/>
        <v>3.5122000053342539E-3</v>
      </c>
      <c r="AA883" s="36"/>
    </row>
    <row r="884" spans="15:27" ht="13.9" customHeight="1" x14ac:dyDescent="0.3">
      <c r="O884" s="12">
        <f t="shared" si="97"/>
        <v>72.583333333333329</v>
      </c>
      <c r="P884" s="13">
        <v>871</v>
      </c>
      <c r="Q884" s="22">
        <v>3.5946052550886565E-2</v>
      </c>
      <c r="R884" s="19">
        <f t="shared" si="98"/>
        <v>3.6535276461936661E-2</v>
      </c>
      <c r="S884" s="22">
        <v>4.0771278725075355E-2</v>
      </c>
      <c r="T884" s="19">
        <f t="shared" si="99"/>
        <v>4.2976021595713565E-2</v>
      </c>
      <c r="U884" s="24">
        <v>4.2574727390865652E-2</v>
      </c>
      <c r="V884" s="24">
        <f t="shared" si="100"/>
        <v>4.2968152711222674E-2</v>
      </c>
      <c r="W884" s="23">
        <f t="shared" si="101"/>
        <v>3.512020225693524E-3</v>
      </c>
      <c r="X884" s="24">
        <v>4.2206291188565226E-2</v>
      </c>
      <c r="Y884" s="24">
        <f t="shared" si="102"/>
        <v>4.2970632284275556E-2</v>
      </c>
      <c r="Z884" s="23">
        <f t="shared" si="103"/>
        <v>3.5122192768262117E-3</v>
      </c>
      <c r="AA884" s="36"/>
    </row>
    <row r="885" spans="15:27" ht="13.9" customHeight="1" x14ac:dyDescent="0.3">
      <c r="O885" s="12">
        <f t="shared" si="97"/>
        <v>72.666666666666671</v>
      </c>
      <c r="P885" s="13">
        <v>872</v>
      </c>
      <c r="Q885" s="22">
        <v>3.5946728074507828E-2</v>
      </c>
      <c r="R885" s="19">
        <f t="shared" si="98"/>
        <v>3.6536978563711742E-2</v>
      </c>
      <c r="S885" s="22">
        <v>4.0773804428745786E-2</v>
      </c>
      <c r="T885" s="19">
        <f t="shared" si="99"/>
        <v>4.2976246498756199E-2</v>
      </c>
      <c r="U885" s="24">
        <v>4.2575178481683018E-2</v>
      </c>
      <c r="V885" s="24">
        <f t="shared" si="100"/>
        <v>4.2968392268286193E-2</v>
      </c>
      <c r="W885" s="23">
        <f t="shared" si="101"/>
        <v>3.5120395792005432E-3</v>
      </c>
      <c r="X885" s="24">
        <v>4.2207167405623469E-2</v>
      </c>
      <c r="Y885" s="24">
        <f t="shared" si="102"/>
        <v>4.2970868778837046E-2</v>
      </c>
      <c r="Z885" s="23">
        <f t="shared" si="103"/>
        <v>3.5122383930932255E-3</v>
      </c>
      <c r="AA885" s="36"/>
    </row>
    <row r="886" spans="15:27" ht="13.9" customHeight="1" x14ac:dyDescent="0.3">
      <c r="O886" s="12">
        <f t="shared" si="97"/>
        <v>72.75</v>
      </c>
      <c r="P886" s="13">
        <v>873</v>
      </c>
      <c r="Q886" s="22">
        <v>3.5947403999584848E-2</v>
      </c>
      <c r="R886" s="19">
        <f t="shared" si="98"/>
        <v>3.6538666487183846E-2</v>
      </c>
      <c r="S886" s="22">
        <v>4.0776324609339332E-2</v>
      </c>
      <c r="T886" s="19">
        <f t="shared" si="99"/>
        <v>4.2976469291778008E-2</v>
      </c>
      <c r="U886" s="24">
        <v>4.2575628813571464E-2</v>
      </c>
      <c r="V886" s="24">
        <f t="shared" si="100"/>
        <v>4.2968630022651721E-2</v>
      </c>
      <c r="W886" s="23">
        <f t="shared" si="101"/>
        <v>3.5120587870713926E-3</v>
      </c>
      <c r="X886" s="24">
        <v>4.2208041886746317E-2</v>
      </c>
      <c r="Y886" s="24">
        <f t="shared" si="102"/>
        <v>4.2971103368779406E-2</v>
      </c>
      <c r="Z886" s="23">
        <f t="shared" si="103"/>
        <v>3.5122573553689751E-3</v>
      </c>
      <c r="AA886" s="36"/>
    </row>
    <row r="887" spans="15:27" ht="13.9" customHeight="1" x14ac:dyDescent="0.3">
      <c r="O887" s="12">
        <f t="shared" si="97"/>
        <v>72.833333333333329</v>
      </c>
      <c r="P887" s="13">
        <v>874</v>
      </c>
      <c r="Q887" s="22">
        <v>3.594808030852592E-2</v>
      </c>
      <c r="R887" s="19">
        <f t="shared" si="98"/>
        <v>3.654034035219822E-2</v>
      </c>
      <c r="S887" s="22">
        <v>4.0778839283385659E-2</v>
      </c>
      <c r="T887" s="19">
        <f t="shared" si="99"/>
        <v>4.2976689994911998E-2</v>
      </c>
      <c r="U887" s="24">
        <v>4.257607838707389E-2</v>
      </c>
      <c r="V887" s="24">
        <f t="shared" si="100"/>
        <v>4.296886598819305E-2</v>
      </c>
      <c r="W887" s="23">
        <f t="shared" si="101"/>
        <v>3.5120778503967554E-3</v>
      </c>
      <c r="X887" s="24">
        <v>4.2208914635712746E-2</v>
      </c>
      <c r="Y887" s="24">
        <f t="shared" si="102"/>
        <v>4.2971336068399868E-2</v>
      </c>
      <c r="Z887" s="23">
        <f t="shared" si="103"/>
        <v>3.5122761649275525E-3</v>
      </c>
      <c r="AA887" s="36"/>
    </row>
    <row r="888" spans="15:27" ht="13.9" customHeight="1" x14ac:dyDescent="0.3">
      <c r="O888" s="12">
        <f t="shared" si="97"/>
        <v>72.916666666666671</v>
      </c>
      <c r="P888" s="13">
        <v>875</v>
      </c>
      <c r="Q888" s="22">
        <v>3.5948756983956276E-2</v>
      </c>
      <c r="R888" s="19">
        <f t="shared" si="98"/>
        <v>3.6542000274946806E-2</v>
      </c>
      <c r="S888" s="22">
        <v>4.0781348467361811E-2</v>
      </c>
      <c r="T888" s="19">
        <f t="shared" si="99"/>
        <v>4.2976908627629928E-2</v>
      </c>
      <c r="U888" s="24">
        <v>4.2576527202746295E-2</v>
      </c>
      <c r="V888" s="24">
        <f t="shared" si="100"/>
        <v>4.2969100178261277E-2</v>
      </c>
      <c r="W888" s="23">
        <f t="shared" si="101"/>
        <v>3.5120967702886308E-3</v>
      </c>
      <c r="X888" s="24">
        <v>4.2209785656301069E-2</v>
      </c>
      <c r="Y888" s="24">
        <f t="shared" si="102"/>
        <v>4.2971566894226987E-2</v>
      </c>
      <c r="Z888" s="23">
        <f t="shared" si="103"/>
        <v>3.5122948229149298E-3</v>
      </c>
      <c r="AA888" s="36"/>
    </row>
    <row r="889" spans="15:27" ht="13.9" customHeight="1" x14ac:dyDescent="0.3">
      <c r="O889" s="12">
        <f t="shared" si="97"/>
        <v>73</v>
      </c>
      <c r="P889" s="13">
        <v>876</v>
      </c>
      <c r="Q889" s="22">
        <v>3.5949434008713199E-2</v>
      </c>
      <c r="R889" s="19">
        <f t="shared" si="98"/>
        <v>3.6543646373485839E-2</v>
      </c>
      <c r="S889" s="22">
        <v>4.0783852177691982E-2</v>
      </c>
      <c r="T889" s="19">
        <f t="shared" si="99"/>
        <v>4.2977125209384681E-2</v>
      </c>
      <c r="U889" s="24">
        <v>4.2576975261157779E-2</v>
      </c>
      <c r="V889" s="24">
        <f t="shared" si="100"/>
        <v>4.296933260607827E-2</v>
      </c>
      <c r="W889" s="23">
        <f t="shared" si="101"/>
        <v>3.51211554781794E-3</v>
      </c>
      <c r="X889" s="24">
        <v>4.2210654952290927E-2</v>
      </c>
      <c r="Y889" s="24">
        <f t="shared" si="102"/>
        <v>4.2971795860609063E-2</v>
      </c>
      <c r="Z889" s="23">
        <f t="shared" si="103"/>
        <v>3.5123133306569354E-3</v>
      </c>
      <c r="AA889" s="36"/>
    </row>
    <row r="890" spans="15:27" ht="13.9" customHeight="1" x14ac:dyDescent="0.3">
      <c r="O890" s="12">
        <f t="shared" si="97"/>
        <v>73.083333333333329</v>
      </c>
      <c r="P890" s="13">
        <v>877</v>
      </c>
      <c r="Q890" s="22">
        <v>3.5950111365847137E-2</v>
      </c>
      <c r="R890" s="19">
        <f t="shared" si="98"/>
        <v>3.6545278762080136E-2</v>
      </c>
      <c r="S890" s="22">
        <v>4.0786350430747742E-2</v>
      </c>
      <c r="T890" s="19">
        <f t="shared" si="99"/>
        <v>4.2977339759368238E-2</v>
      </c>
      <c r="U890" s="24">
        <v>4.2577422562889655E-2</v>
      </c>
      <c r="V890" s="24">
        <f t="shared" si="100"/>
        <v>4.2969563285209622E-2</v>
      </c>
      <c r="W890" s="23">
        <f t="shared" si="101"/>
        <v>3.512134184044946E-3</v>
      </c>
      <c r="X890" s="24">
        <v>4.2211522527461298E-2</v>
      </c>
      <c r="Y890" s="24">
        <f t="shared" si="102"/>
        <v>4.2972022982699754E-2</v>
      </c>
      <c r="Z890" s="23">
        <f t="shared" si="103"/>
        <v>3.5123316893037604E-3</v>
      </c>
      <c r="AA890" s="36"/>
    </row>
    <row r="891" spans="15:27" ht="13.9" customHeight="1" x14ac:dyDescent="0.3">
      <c r="O891" s="12">
        <f t="shared" si="97"/>
        <v>73.166666666666671</v>
      </c>
      <c r="P891" s="13">
        <v>878</v>
      </c>
      <c r="Q891" s="22">
        <v>3.5950789038615261E-2</v>
      </c>
      <c r="R891" s="19">
        <f t="shared" si="98"/>
        <v>3.6546897556088087E-2</v>
      </c>
      <c r="S891" s="22">
        <v>4.0788843242847594E-2</v>
      </c>
      <c r="T891" s="19">
        <f t="shared" si="99"/>
        <v>4.2977552296380894E-2</v>
      </c>
      <c r="U891" s="24">
        <v>4.2577869108536115E-2</v>
      </c>
      <c r="V891" s="24">
        <f t="shared" si="100"/>
        <v>4.2969792228667147E-2</v>
      </c>
      <c r="W891" s="23">
        <f t="shared" si="101"/>
        <v>3.5121526800574454E-3</v>
      </c>
      <c r="X891" s="24">
        <v>4.2212388385590938E-2</v>
      </c>
      <c r="Y891" s="24">
        <f t="shared" si="102"/>
        <v>4.2972248275304992E-2</v>
      </c>
      <c r="Z891" s="23">
        <f t="shared" si="103"/>
        <v>3.5123499000708769E-3</v>
      </c>
      <c r="AA891" s="36"/>
    </row>
    <row r="892" spans="15:27" ht="13.9" customHeight="1" x14ac:dyDescent="0.3">
      <c r="O892" s="12">
        <f t="shared" si="97"/>
        <v>73.25</v>
      </c>
      <c r="P892" s="13">
        <v>879</v>
      </c>
      <c r="Q892" s="22">
        <v>3.5951467010482574E-2</v>
      </c>
      <c r="R892" s="19">
        <f t="shared" si="98"/>
        <v>3.6548502868736454E-2</v>
      </c>
      <c r="S892" s="22">
        <v>4.0791330630257638E-2</v>
      </c>
      <c r="T892" s="19">
        <f t="shared" si="99"/>
        <v>4.2977762839746525E-2</v>
      </c>
      <c r="U892" s="24">
        <v>4.257831489870334E-2</v>
      </c>
      <c r="V892" s="24">
        <f t="shared" si="100"/>
        <v>4.2970019448919761E-2</v>
      </c>
      <c r="W892" s="23">
        <f t="shared" si="101"/>
        <v>3.5121710368983816E-3</v>
      </c>
      <c r="X892" s="24">
        <v>4.2213252530458378E-2</v>
      </c>
      <c r="Y892" s="24">
        <f t="shared" si="102"/>
        <v>4.2972471753101482E-2</v>
      </c>
      <c r="Z892" s="23">
        <f t="shared" si="103"/>
        <v>3.5123679641451133E-3</v>
      </c>
      <c r="AA892" s="36"/>
    </row>
    <row r="893" spans="15:27" ht="13.9" customHeight="1" x14ac:dyDescent="0.3">
      <c r="O893" s="12">
        <f t="shared" si="97"/>
        <v>73.333333333333329</v>
      </c>
      <c r="P893" s="13">
        <v>880</v>
      </c>
      <c r="Q893" s="22">
        <v>3.5952145265117696E-2</v>
      </c>
      <c r="R893" s="19">
        <f t="shared" si="98"/>
        <v>3.655009481312077E-2</v>
      </c>
      <c r="S893" s="22">
        <v>4.0793812609191793E-2</v>
      </c>
      <c r="T893" s="19">
        <f t="shared" si="99"/>
        <v>4.2977971408133531E-2</v>
      </c>
      <c r="U893" s="24">
        <v>4.2578759934009058E-2</v>
      </c>
      <c r="V893" s="24">
        <f t="shared" si="100"/>
        <v>4.2970244960215398E-2</v>
      </c>
      <c r="W893" s="23">
        <f t="shared" si="101"/>
        <v>3.5121892555682876E-3</v>
      </c>
      <c r="X893" s="24">
        <v>4.2214114965841709E-2</v>
      </c>
      <c r="Y893" s="24">
        <f t="shared" si="102"/>
        <v>4.2972693430918252E-2</v>
      </c>
      <c r="Z893" s="23">
        <f t="shared" si="103"/>
        <v>3.5123858827035281E-3</v>
      </c>
      <c r="AA893" s="36"/>
    </row>
    <row r="894" spans="15:27" ht="13.9" customHeight="1" x14ac:dyDescent="0.3">
      <c r="O894" s="12">
        <f t="shared" si="97"/>
        <v>73.416666666666671</v>
      </c>
      <c r="P894" s="13">
        <v>881</v>
      </c>
      <c r="Q894" s="22">
        <v>3.5952823786391752E-2</v>
      </c>
      <c r="R894" s="19">
        <f t="shared" si="98"/>
        <v>3.6551673500105686E-2</v>
      </c>
      <c r="S894" s="22">
        <v>4.0796289195811353E-2</v>
      </c>
      <c r="T894" s="19">
        <f t="shared" si="99"/>
        <v>4.2978178020007363E-2</v>
      </c>
      <c r="U894" s="24">
        <v>4.2579204215084321E-2</v>
      </c>
      <c r="V894" s="24">
        <f t="shared" si="100"/>
        <v>4.2970468774479631E-2</v>
      </c>
      <c r="W894" s="23">
        <f t="shared" si="101"/>
        <v>3.5122073372091389E-3</v>
      </c>
      <c r="X894" s="24">
        <v>4.2214975695518575E-2</v>
      </c>
      <c r="Y894" s="24">
        <f t="shared" si="102"/>
        <v>4.2972913323525486E-2</v>
      </c>
      <c r="Z894" s="23">
        <f t="shared" si="103"/>
        <v>3.5124036569353922E-3</v>
      </c>
      <c r="AA894" s="36"/>
    </row>
    <row r="895" spans="15:27" ht="13.9" customHeight="1" x14ac:dyDescent="0.3">
      <c r="O895" s="12">
        <f t="shared" si="97"/>
        <v>73.5</v>
      </c>
      <c r="P895" s="13">
        <v>882</v>
      </c>
      <c r="Q895" s="22">
        <v>3.5953502558374817E-2</v>
      </c>
      <c r="R895" s="19">
        <f t="shared" si="98"/>
        <v>3.6553239041183572E-2</v>
      </c>
      <c r="S895" s="22">
        <v>4.0798760406225654E-2</v>
      </c>
      <c r="T895" s="19">
        <f t="shared" si="99"/>
        <v>4.2978382693479977E-2</v>
      </c>
      <c r="U895" s="24">
        <v>4.2579647742570836E-2</v>
      </c>
      <c r="V895" s="24">
        <f t="shared" si="100"/>
        <v>4.2970690905028031E-2</v>
      </c>
      <c r="W895" s="23">
        <f t="shared" si="101"/>
        <v>3.5122252827772815E-3</v>
      </c>
      <c r="X895" s="24">
        <v>4.2215834723266399E-2</v>
      </c>
      <c r="Y895" s="24">
        <f t="shared" si="102"/>
        <v>4.2973131443937218E-2</v>
      </c>
      <c r="Z895" s="23">
        <f t="shared" si="103"/>
        <v>3.5124212880246475E-3</v>
      </c>
      <c r="AA895" s="36"/>
    </row>
    <row r="896" spans="15:27" ht="13.9" customHeight="1" x14ac:dyDescent="0.3">
      <c r="O896" s="12">
        <f t="shared" si="97"/>
        <v>73.583333333333329</v>
      </c>
      <c r="P896" s="13">
        <v>883</v>
      </c>
      <c r="Q896" s="22">
        <v>3.5954181565335031E-2</v>
      </c>
      <c r="R896" s="19">
        <f t="shared" si="98"/>
        <v>3.6554791545965415E-2</v>
      </c>
      <c r="S896" s="22">
        <v>4.0801226256491407E-2</v>
      </c>
      <c r="T896" s="19">
        <f t="shared" si="99"/>
        <v>4.2978585447491335E-2</v>
      </c>
      <c r="U896" s="24">
        <v>4.2580090517122304E-2</v>
      </c>
      <c r="V896" s="24">
        <f t="shared" si="100"/>
        <v>4.2970911364341724E-2</v>
      </c>
      <c r="W896" s="23">
        <f t="shared" si="101"/>
        <v>3.512243093340528E-3</v>
      </c>
      <c r="X896" s="24">
        <v>4.2216692052859939E-2</v>
      </c>
      <c r="Y896" s="24">
        <f t="shared" si="102"/>
        <v>4.2973347809021512E-2</v>
      </c>
      <c r="Z896" s="23">
        <f t="shared" si="103"/>
        <v>3.5124387770153476E-3</v>
      </c>
      <c r="AA896" s="36"/>
    </row>
    <row r="897" spans="15:27" ht="13.9" customHeight="1" x14ac:dyDescent="0.3">
      <c r="O897" s="12">
        <f t="shared" si="97"/>
        <v>73.666666666666671</v>
      </c>
      <c r="P897" s="13">
        <v>884</v>
      </c>
      <c r="Q897" s="22">
        <v>3.5954860791735932E-2</v>
      </c>
      <c r="R897" s="19">
        <f t="shared" si="98"/>
        <v>3.6556331124089736E-2</v>
      </c>
      <c r="S897" s="22">
        <v>4.0803686762614255E-2</v>
      </c>
      <c r="T897" s="19">
        <f t="shared" si="99"/>
        <v>4.2978786298502714E-2</v>
      </c>
      <c r="U897" s="24">
        <v>4.258053253940397E-2</v>
      </c>
      <c r="V897" s="24">
        <f t="shared" si="100"/>
        <v>4.2971130163911742E-2</v>
      </c>
      <c r="W897" s="23">
        <f t="shared" si="101"/>
        <v>3.5122607698998554E-3</v>
      </c>
      <c r="X897" s="24">
        <v>4.2217547688076174E-2</v>
      </c>
      <c r="Y897" s="24">
        <f t="shared" si="102"/>
        <v>4.2973562429890588E-2</v>
      </c>
      <c r="Z897" s="23">
        <f t="shared" si="103"/>
        <v>3.5124561252597442E-3</v>
      </c>
      <c r="AA897" s="36"/>
    </row>
    <row r="898" spans="15:27" ht="13.9" customHeight="1" x14ac:dyDescent="0.3">
      <c r="O898" s="12">
        <f t="shared" si="97"/>
        <v>73.75</v>
      </c>
      <c r="P898" s="13">
        <v>885</v>
      </c>
      <c r="Q898" s="22">
        <v>3.5955540222235127E-2</v>
      </c>
      <c r="R898" s="19">
        <f t="shared" si="98"/>
        <v>3.6557857881486688E-2</v>
      </c>
      <c r="S898" s="22">
        <v>4.0806141940545881E-2</v>
      </c>
      <c r="T898" s="19">
        <f t="shared" si="99"/>
        <v>4.2978985266029612E-2</v>
      </c>
      <c r="U898" s="24">
        <v>4.2580973810090628E-2</v>
      </c>
      <c r="V898" s="24">
        <f t="shared" si="100"/>
        <v>4.2971347317854791E-2</v>
      </c>
      <c r="W898" s="23">
        <f t="shared" si="101"/>
        <v>3.5122783133765267E-3</v>
      </c>
      <c r="X898" s="24">
        <v>4.2218401632687419E-2</v>
      </c>
      <c r="Y898" s="24">
        <f t="shared" si="102"/>
        <v>4.2973775322611596E-2</v>
      </c>
      <c r="Z898" s="23">
        <f t="shared" si="103"/>
        <v>3.5124733336489022E-3</v>
      </c>
      <c r="AA898" s="36"/>
    </row>
    <row r="899" spans="15:27" ht="13.9" customHeight="1" x14ac:dyDescent="0.3">
      <c r="O899" s="12">
        <f t="shared" si="97"/>
        <v>73.833333333333329</v>
      </c>
      <c r="P899" s="13">
        <v>886</v>
      </c>
      <c r="Q899" s="22">
        <v>3.5956219841678738E-2</v>
      </c>
      <c r="R899" s="19">
        <f t="shared" si="98"/>
        <v>3.6559371928063911E-2</v>
      </c>
      <c r="S899" s="22">
        <v>4.080859180618801E-2</v>
      </c>
      <c r="T899" s="19">
        <f t="shared" si="99"/>
        <v>4.2979182367290703E-2</v>
      </c>
      <c r="U899" s="24">
        <v>4.2581414329870171E-2</v>
      </c>
      <c r="V899" s="24">
        <f t="shared" si="100"/>
        <v>4.2971562838368893E-2</v>
      </c>
      <c r="W899" s="23">
        <f t="shared" si="101"/>
        <v>3.5122957249025255E-3</v>
      </c>
      <c r="X899" s="24">
        <v>4.2219253890467323E-2</v>
      </c>
      <c r="Y899" s="24">
        <f t="shared" si="102"/>
        <v>4.2973986500708383E-2</v>
      </c>
      <c r="Z899" s="23">
        <f t="shared" si="103"/>
        <v>3.5124904034711246E-3</v>
      </c>
      <c r="AA899" s="36"/>
    </row>
    <row r="900" spans="15:27" ht="13.9" customHeight="1" x14ac:dyDescent="0.3">
      <c r="O900" s="12">
        <f t="shared" si="97"/>
        <v>73.916666666666671</v>
      </c>
      <c r="P900" s="13">
        <v>887</v>
      </c>
      <c r="Q900" s="22">
        <v>3.5956899635105399E-2</v>
      </c>
      <c r="R900" s="19">
        <f t="shared" si="98"/>
        <v>3.6560873367318392E-2</v>
      </c>
      <c r="S900" s="22">
        <v>4.0811036375390408E-2</v>
      </c>
      <c r="T900" s="19">
        <f t="shared" si="99"/>
        <v>4.2979377618756365E-2</v>
      </c>
      <c r="U900" s="24">
        <v>4.2581854099441152E-2</v>
      </c>
      <c r="V900" s="24">
        <f t="shared" si="100"/>
        <v>4.2971776736531409E-2</v>
      </c>
      <c r="W900" s="23">
        <f t="shared" si="101"/>
        <v>3.5123130054559581E-3</v>
      </c>
      <c r="X900" s="24">
        <v>4.2220104465187314E-2</v>
      </c>
      <c r="Y900" s="24">
        <f t="shared" si="102"/>
        <v>4.2974195977582896E-2</v>
      </c>
      <c r="Z900" s="23">
        <f t="shared" si="103"/>
        <v>3.5125073358110992E-3</v>
      </c>
      <c r="AA900" s="36"/>
    </row>
    <row r="901" spans="15:27" ht="13.9" customHeight="1" x14ac:dyDescent="0.3">
      <c r="O901" s="12">
        <f t="shared" si="97"/>
        <v>74</v>
      </c>
      <c r="P901" s="13">
        <v>888</v>
      </c>
      <c r="Q901" s="22">
        <v>3.5957579587737376E-2</v>
      </c>
      <c r="R901" s="19">
        <f t="shared" si="98"/>
        <v>3.6562362307513974E-2</v>
      </c>
      <c r="S901" s="22">
        <v>4.0813475663949772E-2</v>
      </c>
      <c r="T901" s="19">
        <f t="shared" si="99"/>
        <v>4.2979571039683417E-2</v>
      </c>
      <c r="U901" s="24">
        <v>4.258229311951145E-2</v>
      </c>
      <c r="V901" s="24">
        <f t="shared" si="100"/>
        <v>4.297198902587529E-2</v>
      </c>
      <c r="W901" s="23">
        <f t="shared" si="101"/>
        <v>3.5123301559252251E-3</v>
      </c>
      <c r="X901" s="24">
        <v>4.2220953360617486E-2</v>
      </c>
      <c r="Y901" s="24">
        <f t="shared" si="102"/>
        <v>4.2974403767466418E-2</v>
      </c>
      <c r="Z901" s="23">
        <f t="shared" si="103"/>
        <v>3.5125241317432998E-3</v>
      </c>
      <c r="AA901" s="36"/>
    </row>
    <row r="902" spans="15:27" ht="13.9" customHeight="1" x14ac:dyDescent="0.3">
      <c r="O902" s="12">
        <f t="shared" si="97"/>
        <v>74.083333333333329</v>
      </c>
      <c r="P902" s="13">
        <v>889</v>
      </c>
      <c r="Q902" s="22">
        <v>3.595825968498545E-2</v>
      </c>
      <c r="R902" s="19">
        <f t="shared" si="98"/>
        <v>3.6563838849954733E-2</v>
      </c>
      <c r="S902" s="22">
        <v>4.0815909687613283E-2</v>
      </c>
      <c r="T902" s="19">
        <f t="shared" si="99"/>
        <v>4.2979762644907993E-2</v>
      </c>
      <c r="U902" s="24">
        <v>4.258273139080071E-2</v>
      </c>
      <c r="V902" s="24">
        <f t="shared" si="100"/>
        <v>4.2972199716976966E-2</v>
      </c>
      <c r="W902" s="23">
        <f t="shared" si="101"/>
        <v>3.5123471773952364E-3</v>
      </c>
      <c r="X902" s="24">
        <v>4.2221800580526381E-2</v>
      </c>
      <c r="Y902" s="24">
        <f t="shared" si="102"/>
        <v>4.2974609882968862E-2</v>
      </c>
      <c r="Z902" s="23">
        <f t="shared" si="103"/>
        <v>3.5125407924088137E-3</v>
      </c>
      <c r="AA902" s="36"/>
    </row>
    <row r="903" spans="15:27" ht="13.9" customHeight="1" x14ac:dyDescent="0.3">
      <c r="O903" s="12">
        <f t="shared" si="97"/>
        <v>74.166666666666671</v>
      </c>
      <c r="P903" s="13">
        <v>890</v>
      </c>
      <c r="Q903" s="22">
        <v>3.5958939912439591E-2</v>
      </c>
      <c r="R903" s="19">
        <f t="shared" si="98"/>
        <v>3.656530309991024E-2</v>
      </c>
      <c r="S903" s="22">
        <v>4.0818338462074388E-2</v>
      </c>
      <c r="T903" s="19">
        <f t="shared" si="99"/>
        <v>4.2979952454006431E-2</v>
      </c>
      <c r="U903" s="24">
        <v>4.2583168914037683E-2</v>
      </c>
      <c r="V903" s="24">
        <f t="shared" si="100"/>
        <v>4.2972408824613284E-2</v>
      </c>
      <c r="W903" s="23">
        <f t="shared" si="101"/>
        <v>3.5123640707142023E-3</v>
      </c>
      <c r="X903" s="24">
        <v>4.2222646128680319E-2</v>
      </c>
      <c r="Y903" s="24">
        <f t="shared" si="102"/>
        <v>4.2974814339533651E-2</v>
      </c>
      <c r="Z903" s="23">
        <f t="shared" si="103"/>
        <v>3.512557318819054E-3</v>
      </c>
      <c r="AA903" s="36"/>
    </row>
    <row r="904" spans="15:27" ht="13.9" customHeight="1" x14ac:dyDescent="0.3">
      <c r="O904" s="12">
        <f t="shared" si="97"/>
        <v>74.25</v>
      </c>
      <c r="P904" s="13">
        <v>891</v>
      </c>
      <c r="Q904" s="22">
        <v>3.5959620255872515E-2</v>
      </c>
      <c r="R904" s="19">
        <f t="shared" si="98"/>
        <v>3.656675515987784E-2</v>
      </c>
      <c r="S904" s="22">
        <v>4.0820762002977906E-2</v>
      </c>
      <c r="T904" s="19">
        <f t="shared" si="99"/>
        <v>4.2980140482440143E-2</v>
      </c>
      <c r="U904" s="24">
        <v>4.2583605689963999E-2</v>
      </c>
      <c r="V904" s="24">
        <f t="shared" si="100"/>
        <v>4.2972616358109006E-2</v>
      </c>
      <c r="W904" s="23">
        <f t="shared" si="101"/>
        <v>3.512380837067175E-3</v>
      </c>
      <c r="X904" s="24">
        <v>4.2223490008845621E-2</v>
      </c>
      <c r="Y904" s="24">
        <f t="shared" si="102"/>
        <v>4.2975017148553674E-2</v>
      </c>
      <c r="Z904" s="23">
        <f t="shared" si="103"/>
        <v>3.5125737122119194E-3</v>
      </c>
      <c r="AA904" s="36"/>
    </row>
    <row r="905" spans="15:27" ht="13.9" customHeight="1" x14ac:dyDescent="0.3">
      <c r="O905" s="12">
        <f t="shared" si="97"/>
        <v>74.333333333333329</v>
      </c>
      <c r="P905" s="13">
        <v>892</v>
      </c>
      <c r="Q905" s="22">
        <v>3.5960300701235681E-2</v>
      </c>
      <c r="R905" s="19">
        <f t="shared" si="98"/>
        <v>3.6568195131259085E-2</v>
      </c>
      <c r="S905" s="22">
        <v>4.0823180325915587E-2</v>
      </c>
      <c r="T905" s="19">
        <f t="shared" si="99"/>
        <v>4.298032674591834E-2</v>
      </c>
      <c r="U905" s="24">
        <v>4.2584041719328836E-2</v>
      </c>
      <c r="V905" s="24">
        <f t="shared" si="100"/>
        <v>4.2972822329636617E-2</v>
      </c>
      <c r="W905" s="23">
        <f t="shared" si="101"/>
        <v>3.5123974772015565E-3</v>
      </c>
      <c r="X905" s="24">
        <v>4.2224332224784611E-2</v>
      </c>
      <c r="Y905" s="24">
        <f t="shared" si="102"/>
        <v>4.297521832412099E-2</v>
      </c>
      <c r="Z905" s="23">
        <f t="shared" si="103"/>
        <v>3.5125899735013455E-3</v>
      </c>
      <c r="AA905" s="36"/>
    </row>
    <row r="906" spans="15:27" ht="13.9" customHeight="1" x14ac:dyDescent="0.3">
      <c r="O906" s="12">
        <f t="shared" si="97"/>
        <v>74.416666666666671</v>
      </c>
      <c r="P906" s="13">
        <v>893</v>
      </c>
      <c r="Q906" s="22">
        <v>3.5960981234657075E-2</v>
      </c>
      <c r="R906" s="19">
        <f t="shared" si="98"/>
        <v>3.6569623116335936E-2</v>
      </c>
      <c r="S906" s="22">
        <v>4.0825593446427444E-2</v>
      </c>
      <c r="T906" s="19">
        <f t="shared" si="99"/>
        <v>4.2980511263641885E-2</v>
      </c>
      <c r="U906" s="24">
        <v>4.2584477002891141E-2</v>
      </c>
      <c r="V906" s="24">
        <f t="shared" si="100"/>
        <v>4.2973026752543442E-2</v>
      </c>
      <c r="W906" s="23">
        <f t="shared" si="101"/>
        <v>3.512413992093677E-3</v>
      </c>
      <c r="X906" s="24">
        <v>4.2225172780258724E-2</v>
      </c>
      <c r="Y906" s="24">
        <f t="shared" si="102"/>
        <v>4.2975417879920208E-2</v>
      </c>
      <c r="Z906" s="23">
        <f t="shared" si="103"/>
        <v>3.5126061038170953E-3</v>
      </c>
      <c r="AA906" s="36"/>
    </row>
    <row r="907" spans="15:27" ht="13.9" customHeight="1" x14ac:dyDescent="0.3">
      <c r="O907" s="12">
        <f t="shared" si="97"/>
        <v>74.5</v>
      </c>
      <c r="P907" s="13">
        <v>894</v>
      </c>
      <c r="Q907" s="22">
        <v>3.5961661842440762E-2</v>
      </c>
      <c r="R907" s="19">
        <f t="shared" si="98"/>
        <v>3.6571039212474066E-2</v>
      </c>
      <c r="S907" s="22">
        <v>4.0828001380005086E-2</v>
      </c>
      <c r="T907" s="19">
        <f t="shared" si="99"/>
        <v>4.2980694049643997E-2</v>
      </c>
      <c r="U907" s="24">
        <v>4.2584911541421633E-2</v>
      </c>
      <c r="V907" s="24">
        <f t="shared" si="100"/>
        <v>4.2973229636816157E-2</v>
      </c>
      <c r="W907" s="23">
        <f t="shared" si="101"/>
        <v>3.5124303828137915E-3</v>
      </c>
      <c r="X907" s="24">
        <v>4.2226011679027398E-2</v>
      </c>
      <c r="Y907" s="24">
        <f t="shared" si="102"/>
        <v>4.2975615827374636E-2</v>
      </c>
      <c r="Z907" s="23">
        <f t="shared" si="103"/>
        <v>3.5126221042567352E-3</v>
      </c>
      <c r="AA907" s="36"/>
    </row>
    <row r="908" spans="15:27" ht="13.9" customHeight="1" x14ac:dyDescent="0.3">
      <c r="O908" s="12">
        <f t="shared" si="97"/>
        <v>74.583333333333329</v>
      </c>
      <c r="P908" s="13">
        <v>895</v>
      </c>
      <c r="Q908" s="22">
        <v>3.5962342511061118E-2</v>
      </c>
      <c r="R908" s="19">
        <f t="shared" si="98"/>
        <v>3.6572443521782461E-2</v>
      </c>
      <c r="S908" s="22">
        <v>4.0830404142086829E-2</v>
      </c>
      <c r="T908" s="19">
        <f t="shared" si="99"/>
        <v>4.2980875120966822E-2</v>
      </c>
      <c r="U908" s="24">
        <v>4.2585345335699021E-2</v>
      </c>
      <c r="V908" s="24">
        <f t="shared" si="100"/>
        <v>4.2973430994002193E-2</v>
      </c>
      <c r="W908" s="23">
        <f t="shared" si="101"/>
        <v>3.5124466501623708E-3</v>
      </c>
      <c r="X908" s="24">
        <v>4.2226848924846738E-2</v>
      </c>
      <c r="Y908" s="24">
        <f t="shared" si="102"/>
        <v>4.2975812181292206E-2</v>
      </c>
      <c r="Z908" s="23">
        <f t="shared" si="103"/>
        <v>3.5126379757357551E-3</v>
      </c>
      <c r="AA908" s="36"/>
    </row>
    <row r="909" spans="15:27" ht="13.9" customHeight="1" x14ac:dyDescent="0.3">
      <c r="O909" s="12">
        <f t="shared" si="97"/>
        <v>74.666666666666671</v>
      </c>
      <c r="P909" s="13">
        <v>896</v>
      </c>
      <c r="Q909" s="22">
        <v>3.5963023227166824E-2</v>
      </c>
      <c r="R909" s="19">
        <f t="shared" si="98"/>
        <v>3.6573836141227778E-2</v>
      </c>
      <c r="S909" s="22">
        <v>4.083280174806081E-2</v>
      </c>
      <c r="T909" s="19">
        <f t="shared" si="99"/>
        <v>4.298105449399392E-2</v>
      </c>
      <c r="U909" s="24">
        <v>4.2585778386510897E-2</v>
      </c>
      <c r="V909" s="24">
        <f t="shared" si="100"/>
        <v>4.297363083724437E-2</v>
      </c>
      <c r="W909" s="23">
        <f t="shared" si="101"/>
        <v>3.512462795065785E-3</v>
      </c>
      <c r="X909" s="24">
        <v>4.2227684521471742E-2</v>
      </c>
      <c r="Y909" s="24">
        <f t="shared" si="102"/>
        <v>4.2976006953247214E-2</v>
      </c>
      <c r="Z909" s="23">
        <f t="shared" si="103"/>
        <v>3.5126537194420937E-3</v>
      </c>
      <c r="AA909" s="36"/>
    </row>
    <row r="910" spans="15:27" ht="13.9" customHeight="1" x14ac:dyDescent="0.3">
      <c r="O910" s="12">
        <f t="shared" ref="O910:O973" si="104">P910/12</f>
        <v>74.75</v>
      </c>
      <c r="P910" s="13">
        <v>897</v>
      </c>
      <c r="Q910" s="22">
        <v>3.5963703977573758E-2</v>
      </c>
      <c r="R910" s="19">
        <f t="shared" ref="R910:R973" si="105">(1+Q911)^P911/(1+Q910)^P910-1</f>
        <v>3.6575217168511642E-2</v>
      </c>
      <c r="S910" s="22">
        <v>4.0835194213265202E-2</v>
      </c>
      <c r="T910" s="19">
        <f t="shared" ref="T910:T973" si="106">(1+S911)^P911/(1+S910)^P910-1</f>
        <v>4.2981232184229778E-2</v>
      </c>
      <c r="U910" s="24">
        <v>4.2586210694656401E-2</v>
      </c>
      <c r="V910" s="24">
        <f t="shared" ref="V910:V973" si="107">(1+U911)^P911/(1+U910)^P910-1</f>
        <v>4.2973829176128353E-2</v>
      </c>
      <c r="W910" s="23">
        <f t="shared" si="101"/>
        <v>3.5124788185778577E-3</v>
      </c>
      <c r="X910" s="24">
        <v>4.2228518472654297E-2</v>
      </c>
      <c r="Y910" s="24">
        <f t="shared" si="102"/>
        <v>4.2976200156151112E-2</v>
      </c>
      <c r="Z910" s="23">
        <f t="shared" si="103"/>
        <v>3.5126693363034533E-3</v>
      </c>
      <c r="AA910" s="36"/>
    </row>
    <row r="911" spans="15:27" ht="13.9" customHeight="1" x14ac:dyDescent="0.3">
      <c r="O911" s="12">
        <f t="shared" si="104"/>
        <v>74.833333333333329</v>
      </c>
      <c r="P911" s="13">
        <v>898</v>
      </c>
      <c r="Q911" s="22">
        <v>3.5964384749265887E-2</v>
      </c>
      <c r="R911" s="19">
        <f t="shared" si="105"/>
        <v>3.6576586700644231E-2</v>
      </c>
      <c r="S911" s="22">
        <v>4.083758155298689E-2</v>
      </c>
      <c r="T911" s="19">
        <f t="shared" si="106"/>
        <v>4.2981408208207394E-2</v>
      </c>
      <c r="U911" s="24">
        <v>4.2586642260941554E-2</v>
      </c>
      <c r="V911" s="24">
        <f t="shared" si="107"/>
        <v>4.2974026024001244E-2</v>
      </c>
      <c r="W911" s="23">
        <f t="shared" ref="W911:W974" si="108">(1+V910)^(1/12)-1</f>
        <v>3.5124947214668634E-3</v>
      </c>
      <c r="X911" s="24">
        <v>4.2229350782143626E-2</v>
      </c>
      <c r="Y911" s="24">
        <f t="shared" ref="Y911:Y974" si="109">(1+X912)^P912/(1+X911)^P911-1</f>
        <v>4.2976391804695258E-2</v>
      </c>
      <c r="Z911" s="23">
        <f t="shared" ref="Z911:Z974" si="110">(1+Y910)^(1/12)-1</f>
        <v>3.5126848273554501E-3</v>
      </c>
      <c r="AA911" s="36"/>
    </row>
    <row r="912" spans="15:27" ht="13.9" customHeight="1" x14ac:dyDescent="0.3">
      <c r="O912" s="12">
        <f t="shared" si="104"/>
        <v>74.916666666666671</v>
      </c>
      <c r="P912" s="13">
        <v>899</v>
      </c>
      <c r="Q912" s="22">
        <v>3.5965065529392382E-2</v>
      </c>
      <c r="R912" s="19">
        <f t="shared" si="105"/>
        <v>3.6577944833814602E-2</v>
      </c>
      <c r="S912" s="22">
        <v>4.083996378246324E-2</v>
      </c>
      <c r="T912" s="19">
        <f t="shared" si="106"/>
        <v>4.2981582580162492E-2</v>
      </c>
      <c r="U912" s="24">
        <v>4.2587073086183702E-2</v>
      </c>
      <c r="V912" s="24">
        <f t="shared" si="107"/>
        <v>4.2974221389665779E-2</v>
      </c>
      <c r="W912" s="23">
        <f t="shared" si="108"/>
        <v>3.512510504803279E-3</v>
      </c>
      <c r="X912" s="24">
        <v>4.2230181453688509E-2</v>
      </c>
      <c r="Y912" s="24">
        <f t="shared" si="109"/>
        <v>4.2976581907536282E-2</v>
      </c>
      <c r="Z912" s="23">
        <f t="shared" si="110"/>
        <v>3.5127001937758084E-3</v>
      </c>
      <c r="AA912" s="36"/>
    </row>
    <row r="913" spans="15:27" ht="13.9" customHeight="1" x14ac:dyDescent="0.3">
      <c r="O913" s="12">
        <f t="shared" si="104"/>
        <v>75</v>
      </c>
      <c r="P913" s="13">
        <v>900</v>
      </c>
      <c r="Q913" s="22">
        <v>3.5965746305266499E-2</v>
      </c>
      <c r="R913" s="19">
        <f t="shared" si="105"/>
        <v>3.6579291662438784E-2</v>
      </c>
      <c r="S913" s="22">
        <v>4.0842340916879882E-2</v>
      </c>
      <c r="T913" s="19">
        <f t="shared" si="106"/>
        <v>4.2981755317189396E-2</v>
      </c>
      <c r="U913" s="24">
        <v>4.2587503171206409E-2</v>
      </c>
      <c r="V913" s="24">
        <f t="shared" si="107"/>
        <v>4.2974415286159529E-2</v>
      </c>
      <c r="W913" s="23">
        <f t="shared" si="108"/>
        <v>3.5125261692932064E-3</v>
      </c>
      <c r="X913" s="24">
        <v>4.2231010491031062E-2</v>
      </c>
      <c r="Y913" s="24">
        <f t="shared" si="109"/>
        <v>4.2976770480404491E-2</v>
      </c>
      <c r="Z913" s="23">
        <f t="shared" si="110"/>
        <v>3.512715436258862E-3</v>
      </c>
      <c r="AA913" s="36"/>
    </row>
    <row r="914" spans="15:27" ht="13.9" customHeight="1" x14ac:dyDescent="0.3">
      <c r="O914" s="12">
        <f t="shared" si="104"/>
        <v>75.083333333333329</v>
      </c>
      <c r="P914" s="13">
        <v>901</v>
      </c>
      <c r="Q914" s="22">
        <v>3.5966427064362927E-2</v>
      </c>
      <c r="R914" s="19">
        <f t="shared" si="105"/>
        <v>3.6580627281556755E-2</v>
      </c>
      <c r="S914" s="22">
        <v>4.0844712971373598E-2</v>
      </c>
      <c r="T914" s="19">
        <f t="shared" si="106"/>
        <v>4.2981926433355078E-2</v>
      </c>
      <c r="U914" s="24">
        <v>4.2587932516843896E-2</v>
      </c>
      <c r="V914" s="24">
        <f t="shared" si="107"/>
        <v>4.297460772298467E-2</v>
      </c>
      <c r="W914" s="23">
        <f t="shared" si="108"/>
        <v>3.5125417159815875E-3</v>
      </c>
      <c r="X914" s="24">
        <v>4.2231837897913627E-2</v>
      </c>
      <c r="Y914" s="24">
        <f t="shared" si="109"/>
        <v>4.2976957533823246E-2</v>
      </c>
      <c r="Z914" s="23">
        <f t="shared" si="110"/>
        <v>3.512730556065824E-3</v>
      </c>
      <c r="AA914" s="36"/>
    </row>
    <row r="915" spans="15:27" ht="13.9" customHeight="1" x14ac:dyDescent="0.3">
      <c r="O915" s="12">
        <f t="shared" si="104"/>
        <v>75.166666666666671</v>
      </c>
      <c r="P915" s="13">
        <v>902</v>
      </c>
      <c r="Q915" s="22">
        <v>3.5967107794316888E-2</v>
      </c>
      <c r="R915" s="19">
        <f t="shared" si="105"/>
        <v>3.6581951785027433E-2</v>
      </c>
      <c r="S915" s="22">
        <v>4.0847079961030097E-2</v>
      </c>
      <c r="T915" s="19">
        <f t="shared" si="106"/>
        <v>4.2982095944575915E-2</v>
      </c>
      <c r="U915" s="24">
        <v>4.2588361123937268E-2</v>
      </c>
      <c r="V915" s="24">
        <f t="shared" si="107"/>
        <v>4.2974798713599771E-2</v>
      </c>
      <c r="W915" s="23">
        <f t="shared" si="108"/>
        <v>3.5125571456307014E-3</v>
      </c>
      <c r="X915" s="24">
        <v>4.22326636780741E-2</v>
      </c>
      <c r="Y915" s="24">
        <f t="shared" si="109"/>
        <v>4.297714308130085E-2</v>
      </c>
      <c r="Z915" s="23">
        <f t="shared" si="110"/>
        <v>3.512745554040686E-3</v>
      </c>
      <c r="AA915" s="36"/>
    </row>
    <row r="916" spans="15:27" ht="13.9" customHeight="1" x14ac:dyDescent="0.3">
      <c r="O916" s="12">
        <f t="shared" si="104"/>
        <v>75.25</v>
      </c>
      <c r="P916" s="13">
        <v>903</v>
      </c>
      <c r="Q916" s="22">
        <v>3.5967788482922147E-2</v>
      </c>
      <c r="R916" s="19">
        <f t="shared" si="105"/>
        <v>3.658326526446487E-2</v>
      </c>
      <c r="S916" s="22">
        <v>4.0849441900885797E-2</v>
      </c>
      <c r="T916" s="19">
        <f t="shared" si="106"/>
        <v>4.2982263866150117E-2</v>
      </c>
      <c r="U916" s="24">
        <v>4.2588788993338955E-2</v>
      </c>
      <c r="V916" s="24">
        <f t="shared" si="107"/>
        <v>4.2974988266103686E-2</v>
      </c>
      <c r="W916" s="23">
        <f t="shared" si="108"/>
        <v>3.512572459319685E-3</v>
      </c>
      <c r="X916" s="24">
        <v>4.2233487835248829E-2</v>
      </c>
      <c r="Y916" s="24">
        <f t="shared" si="109"/>
        <v>4.2977327134361198E-2</v>
      </c>
      <c r="Z916" s="23">
        <f t="shared" si="110"/>
        <v>3.5127604312663596E-3</v>
      </c>
      <c r="AA916" s="36"/>
    </row>
    <row r="917" spans="15:27" ht="13.9" customHeight="1" x14ac:dyDescent="0.3">
      <c r="O917" s="12">
        <f t="shared" si="104"/>
        <v>75.333333333333329</v>
      </c>
      <c r="P917" s="13">
        <v>904</v>
      </c>
      <c r="Q917" s="22">
        <v>3.5968469118128121E-2</v>
      </c>
      <c r="R917" s="19">
        <f t="shared" si="105"/>
        <v>3.6584567812389723E-2</v>
      </c>
      <c r="S917" s="22">
        <v>4.0851798805927375E-2</v>
      </c>
      <c r="T917" s="19">
        <f t="shared" si="106"/>
        <v>4.2982430211764289E-2</v>
      </c>
      <c r="U917" s="24">
        <v>4.2589216125906271E-2</v>
      </c>
      <c r="V917" s="24">
        <f t="shared" si="107"/>
        <v>4.2975176392635595E-2</v>
      </c>
      <c r="W917" s="23">
        <f t="shared" si="108"/>
        <v>3.5125876576977966E-3</v>
      </c>
      <c r="X917" s="24">
        <v>4.2234310373169937E-2</v>
      </c>
      <c r="Y917" s="24">
        <f t="shared" si="109"/>
        <v>4.297750970451153E-2</v>
      </c>
      <c r="Z917" s="23">
        <f t="shared" si="110"/>
        <v>3.5127751886669945E-3</v>
      </c>
      <c r="AA917" s="36"/>
    </row>
    <row r="918" spans="15:27" ht="13.9" customHeight="1" x14ac:dyDescent="0.3">
      <c r="O918" s="12">
        <f t="shared" si="104"/>
        <v>75.416666666666671</v>
      </c>
      <c r="P918" s="13">
        <v>905</v>
      </c>
      <c r="Q918" s="22">
        <v>3.5969149688039437E-2</v>
      </c>
      <c r="R918" s="19">
        <f t="shared" si="105"/>
        <v>3.6585859520674724E-2</v>
      </c>
      <c r="S918" s="22">
        <v>4.0854150691090663E-2</v>
      </c>
      <c r="T918" s="19">
        <f t="shared" si="106"/>
        <v>4.2982594997505341E-2</v>
      </c>
      <c r="U918" s="24">
        <v>4.2589642522506521E-2</v>
      </c>
      <c r="V918" s="24">
        <f t="shared" si="107"/>
        <v>4.2975363103861852E-2</v>
      </c>
      <c r="W918" s="23">
        <f t="shared" si="108"/>
        <v>3.5126027417387018E-3</v>
      </c>
      <c r="X918" s="24">
        <v>4.2235131295565997E-2</v>
      </c>
      <c r="Y918" s="24">
        <f t="shared" si="109"/>
        <v>4.2977690804212321E-2</v>
      </c>
      <c r="Z918" s="23">
        <f t="shared" si="110"/>
        <v>3.5127898271654079E-3</v>
      </c>
      <c r="AA918" s="36"/>
    </row>
    <row r="919" spans="15:27" ht="13.9" customHeight="1" x14ac:dyDescent="0.3">
      <c r="O919" s="12">
        <f t="shared" si="104"/>
        <v>75.5</v>
      </c>
      <c r="P919" s="13">
        <v>906</v>
      </c>
      <c r="Q919" s="22">
        <v>3.5969830180914819E-2</v>
      </c>
      <c r="R919" s="19">
        <f t="shared" si="105"/>
        <v>3.6587140479189983E-2</v>
      </c>
      <c r="S919" s="22">
        <v>4.0856497571263084E-2</v>
      </c>
      <c r="T919" s="19">
        <f t="shared" si="106"/>
        <v>4.2982758237731788E-2</v>
      </c>
      <c r="U919" s="24">
        <v>4.2590068184014562E-2</v>
      </c>
      <c r="V919" s="24">
        <f t="shared" si="107"/>
        <v>4.2975548410477682E-2</v>
      </c>
      <c r="W919" s="23">
        <f t="shared" si="108"/>
        <v>3.5126177122972724E-3</v>
      </c>
      <c r="X919" s="24">
        <v>4.2235950606163142E-2</v>
      </c>
      <c r="Y919" s="24">
        <f t="shared" si="109"/>
        <v>4.2977870446085253E-2</v>
      </c>
      <c r="Z919" s="23">
        <f t="shared" si="110"/>
        <v>3.5128043477608006E-3</v>
      </c>
      <c r="AA919" s="36"/>
    </row>
    <row r="920" spans="15:27" ht="13.9" customHeight="1" x14ac:dyDescent="0.3">
      <c r="O920" s="12">
        <f t="shared" si="104"/>
        <v>75.583333333333329</v>
      </c>
      <c r="P920" s="13">
        <v>907</v>
      </c>
      <c r="Q920" s="22">
        <v>3.597051058516354E-2</v>
      </c>
      <c r="R920" s="19">
        <f t="shared" si="105"/>
        <v>3.6588410777694591E-2</v>
      </c>
      <c r="S920" s="22">
        <v>4.0858839461282326E-2</v>
      </c>
      <c r="T920" s="19">
        <f t="shared" si="106"/>
        <v>4.298291994619885E-2</v>
      </c>
      <c r="U920" s="24">
        <v>4.2590493111313465E-2</v>
      </c>
      <c r="V920" s="24">
        <f t="shared" si="107"/>
        <v>4.2975732323133231E-2</v>
      </c>
      <c r="W920" s="23">
        <f t="shared" si="108"/>
        <v>3.5126325702314887E-3</v>
      </c>
      <c r="X920" s="24">
        <v>4.2236768308684391E-2</v>
      </c>
      <c r="Y920" s="24">
        <f t="shared" si="109"/>
        <v>4.2978048640610389E-2</v>
      </c>
      <c r="Z920" s="23">
        <f t="shared" si="110"/>
        <v>3.51281875146503E-3</v>
      </c>
      <c r="AA920" s="36"/>
    </row>
    <row r="921" spans="15:27" ht="13.9" customHeight="1" x14ac:dyDescent="0.3">
      <c r="O921" s="12">
        <f t="shared" si="104"/>
        <v>75.666666666666671</v>
      </c>
      <c r="P921" s="13">
        <v>908</v>
      </c>
      <c r="Q921" s="22">
        <v>3.5971190889344751E-2</v>
      </c>
      <c r="R921" s="19">
        <f t="shared" si="105"/>
        <v>3.6589670505303484E-2</v>
      </c>
      <c r="S921" s="22">
        <v>4.0861176375936115E-2</v>
      </c>
      <c r="T921" s="19">
        <f t="shared" si="106"/>
        <v>4.2983080138319307E-2</v>
      </c>
      <c r="U921" s="24">
        <v>4.2590917305294074E-2</v>
      </c>
      <c r="V921" s="24">
        <f t="shared" si="107"/>
        <v>4.297591485233454E-2</v>
      </c>
      <c r="W921" s="23">
        <f t="shared" si="108"/>
        <v>3.5126473163953342E-3</v>
      </c>
      <c r="X921" s="24">
        <v>4.2237584406848327E-2</v>
      </c>
      <c r="Y921" s="24">
        <f t="shared" si="109"/>
        <v>4.2978225400019499E-2</v>
      </c>
      <c r="Z921" s="23">
        <f t="shared" si="110"/>
        <v>3.5128330391183127E-3</v>
      </c>
      <c r="AA921" s="36"/>
    </row>
    <row r="922" spans="15:27" ht="13.9" customHeight="1" x14ac:dyDescent="0.3">
      <c r="O922" s="12">
        <f t="shared" si="104"/>
        <v>75.75</v>
      </c>
      <c r="P922" s="13">
        <v>909</v>
      </c>
      <c r="Q922" s="22">
        <v>3.5971871082166373E-2</v>
      </c>
      <c r="R922" s="19">
        <f t="shared" si="105"/>
        <v>3.6590919749797335E-2</v>
      </c>
      <c r="S922" s="22">
        <v>4.0863508329963771E-2</v>
      </c>
      <c r="T922" s="19">
        <f t="shared" si="106"/>
        <v>4.2983238827625447E-2</v>
      </c>
      <c r="U922" s="24">
        <v>4.2591340766854779E-2</v>
      </c>
      <c r="V922" s="24">
        <f t="shared" si="107"/>
        <v>4.2976096007892206E-2</v>
      </c>
      <c r="W922" s="23">
        <f t="shared" si="108"/>
        <v>3.5126619516308022E-3</v>
      </c>
      <c r="X922" s="24">
        <v>4.2238398904370644E-2</v>
      </c>
      <c r="Y922" s="24">
        <f t="shared" si="109"/>
        <v>4.2978400735795397E-2</v>
      </c>
      <c r="Z922" s="23">
        <f t="shared" si="110"/>
        <v>3.5128472117018639E-3</v>
      </c>
      <c r="AA922" s="36"/>
    </row>
    <row r="923" spans="15:27" ht="13.9" customHeight="1" x14ac:dyDescent="0.3">
      <c r="O923" s="12">
        <f t="shared" si="104"/>
        <v>75.833333333333329</v>
      </c>
      <c r="P923" s="13">
        <v>910</v>
      </c>
      <c r="Q923" s="22">
        <v>3.5972551152481769E-2</v>
      </c>
      <c r="R923" s="19">
        <f t="shared" si="105"/>
        <v>3.6592158599372704E-2</v>
      </c>
      <c r="S923" s="22">
        <v>4.0865835338054879E-2</v>
      </c>
      <c r="T923" s="19">
        <f t="shared" si="106"/>
        <v>4.2983396028431597E-2</v>
      </c>
      <c r="U923" s="24">
        <v>4.2591763496900858E-2</v>
      </c>
      <c r="V923" s="24">
        <f t="shared" si="107"/>
        <v>4.2976275800858055E-2</v>
      </c>
      <c r="W923" s="23">
        <f t="shared" si="108"/>
        <v>3.5126764767250407E-3</v>
      </c>
      <c r="X923" s="24">
        <v>4.2239211804963039E-2</v>
      </c>
      <c r="Y923" s="24">
        <f t="shared" si="109"/>
        <v>4.2978574659811253E-2</v>
      </c>
      <c r="Z923" s="23">
        <f t="shared" si="110"/>
        <v>3.5128612701360584E-3</v>
      </c>
      <c r="AA923" s="36"/>
    </row>
    <row r="924" spans="15:27" ht="13.9" customHeight="1" x14ac:dyDescent="0.3">
      <c r="O924" s="12">
        <f t="shared" si="104"/>
        <v>75.916666666666671</v>
      </c>
      <c r="P924" s="13">
        <v>911</v>
      </c>
      <c r="Q924" s="22">
        <v>3.5973231089290403E-2</v>
      </c>
      <c r="R924" s="19">
        <f t="shared" si="105"/>
        <v>3.6593387140060551E-2</v>
      </c>
      <c r="S924" s="22">
        <v>4.0868157414850392E-2</v>
      </c>
      <c r="T924" s="19">
        <f t="shared" si="106"/>
        <v>4.2983551754495197E-2</v>
      </c>
      <c r="U924" s="24">
        <v>4.2592185496345802E-2</v>
      </c>
      <c r="V924" s="24">
        <f t="shared" si="107"/>
        <v>4.2976454240486905E-2</v>
      </c>
      <c r="W924" s="23">
        <f t="shared" si="108"/>
        <v>3.5126908925642297E-3</v>
      </c>
      <c r="X924" s="24">
        <v>4.2240023112334102E-2</v>
      </c>
      <c r="Y924" s="24">
        <f t="shared" si="109"/>
        <v>4.2978747182375932E-2</v>
      </c>
      <c r="Z924" s="23">
        <f t="shared" si="110"/>
        <v>3.5128752153732457E-3</v>
      </c>
      <c r="AA924" s="36"/>
    </row>
    <row r="925" spans="15:27" ht="13.9" customHeight="1" x14ac:dyDescent="0.3">
      <c r="O925" s="12">
        <f t="shared" si="104"/>
        <v>76</v>
      </c>
      <c r="P925" s="13">
        <v>912</v>
      </c>
      <c r="Q925" s="22">
        <v>3.5973910881734295E-2</v>
      </c>
      <c r="R925" s="19">
        <f t="shared" si="105"/>
        <v>3.6594605458682539E-2</v>
      </c>
      <c r="S925" s="22">
        <v>4.0870474574941751E-2</v>
      </c>
      <c r="T925" s="19">
        <f t="shared" si="106"/>
        <v>4.2983706019755097E-2</v>
      </c>
      <c r="U925" s="24">
        <v>4.2592606766109098E-2</v>
      </c>
      <c r="V925" s="24">
        <f t="shared" si="107"/>
        <v>4.2976631338176086E-2</v>
      </c>
      <c r="W925" s="23">
        <f t="shared" si="108"/>
        <v>3.5127051998899983E-3</v>
      </c>
      <c r="X925" s="24">
        <v>4.2240832830187536E-2</v>
      </c>
      <c r="Y925" s="24">
        <f t="shared" si="109"/>
        <v>4.2978918315546455E-2</v>
      </c>
      <c r="Z925" s="23">
        <f t="shared" si="110"/>
        <v>3.5128890482398756E-3</v>
      </c>
      <c r="AA925" s="36"/>
    </row>
    <row r="926" spans="15:27" ht="13.9" customHeight="1" x14ac:dyDescent="0.3">
      <c r="O926" s="12">
        <f t="shared" si="104"/>
        <v>76.083333333333329</v>
      </c>
      <c r="P926" s="13">
        <v>913</v>
      </c>
      <c r="Q926" s="22">
        <v>3.5974590519097793E-2</v>
      </c>
      <c r="R926" s="19">
        <f t="shared" si="105"/>
        <v>3.6595813638974573E-2</v>
      </c>
      <c r="S926" s="22">
        <v>4.087278683287221E-2</v>
      </c>
      <c r="T926" s="19">
        <f t="shared" si="106"/>
        <v>4.2983858838335776E-2</v>
      </c>
      <c r="U926" s="24">
        <v>4.2593027307118669E-2</v>
      </c>
      <c r="V926" s="24">
        <f t="shared" si="107"/>
        <v>4.2976807103928705E-2</v>
      </c>
      <c r="W926" s="23">
        <f t="shared" si="108"/>
        <v>3.5127193996167261E-3</v>
      </c>
      <c r="X926" s="24">
        <v>4.2241640962223714E-2</v>
      </c>
      <c r="Y926" s="24">
        <f t="shared" si="109"/>
        <v>4.2979088071106286E-2</v>
      </c>
      <c r="Z926" s="23">
        <f t="shared" si="110"/>
        <v>3.5129027697027304E-3</v>
      </c>
      <c r="AA926" s="36"/>
    </row>
    <row r="927" spans="15:27" ht="13.9" customHeight="1" x14ac:dyDescent="0.3">
      <c r="O927" s="12">
        <f t="shared" si="104"/>
        <v>76.166666666666671</v>
      </c>
      <c r="P927" s="13">
        <v>914</v>
      </c>
      <c r="Q927" s="22">
        <v>3.5975269990804026E-2</v>
      </c>
      <c r="R927" s="19">
        <f t="shared" si="105"/>
        <v>3.6597011767704801E-2</v>
      </c>
      <c r="S927" s="22">
        <v>4.0875094203136619E-2</v>
      </c>
      <c r="T927" s="19">
        <f t="shared" si="106"/>
        <v>4.298401022317111E-2</v>
      </c>
      <c r="U927" s="24">
        <v>4.2593447120309547E-2</v>
      </c>
      <c r="V927" s="24">
        <f t="shared" si="107"/>
        <v>4.2976981546652526E-2</v>
      </c>
      <c r="W927" s="23">
        <f t="shared" si="108"/>
        <v>3.5127334925464382E-3</v>
      </c>
      <c r="X927" s="24">
        <v>4.2242447512140124E-2</v>
      </c>
      <c r="Y927" s="24">
        <f t="shared" si="109"/>
        <v>4.297925645846612E-2</v>
      </c>
      <c r="Z927" s="23">
        <f t="shared" si="110"/>
        <v>3.5129163807066099E-3</v>
      </c>
      <c r="AA927" s="36"/>
    </row>
    <row r="928" spans="15:27" ht="13.9" customHeight="1" x14ac:dyDescent="0.3">
      <c r="O928" s="12">
        <f t="shared" si="104"/>
        <v>76.25</v>
      </c>
      <c r="P928" s="13">
        <v>915</v>
      </c>
      <c r="Q928" s="22">
        <v>3.5975949286416897E-2</v>
      </c>
      <c r="R928" s="19">
        <f t="shared" si="105"/>
        <v>3.6598199926773933E-2</v>
      </c>
      <c r="S928" s="22">
        <v>4.0877396700180535E-2</v>
      </c>
      <c r="T928" s="19">
        <f t="shared" si="106"/>
        <v>4.2984160188400233E-2</v>
      </c>
      <c r="U928" s="24">
        <v>4.2593866206622311E-2</v>
      </c>
      <c r="V928" s="24">
        <f t="shared" si="107"/>
        <v>4.2977154677687812E-2</v>
      </c>
      <c r="W928" s="23">
        <f t="shared" si="108"/>
        <v>3.5127474793932301E-3</v>
      </c>
      <c r="X928" s="24">
        <v>4.2243252483628035E-2</v>
      </c>
      <c r="Y928" s="24">
        <f t="shared" si="109"/>
        <v>4.297942349062156E-2</v>
      </c>
      <c r="Z928" s="23">
        <f t="shared" si="110"/>
        <v>3.5129298820062438E-3</v>
      </c>
      <c r="AA928" s="36"/>
    </row>
    <row r="929" spans="15:27" ht="13.9" customHeight="1" x14ac:dyDescent="0.3">
      <c r="O929" s="12">
        <f t="shared" si="104"/>
        <v>76.333333333333329</v>
      </c>
      <c r="P929" s="13">
        <v>916</v>
      </c>
      <c r="Q929" s="22">
        <v>3.5976628395635313E-2</v>
      </c>
      <c r="R929" s="19">
        <f t="shared" si="105"/>
        <v>3.6599378200716792E-2</v>
      </c>
      <c r="S929" s="22">
        <v>4.0879694338402217E-2</v>
      </c>
      <c r="T929" s="19">
        <f t="shared" si="106"/>
        <v>4.2984308746432109E-2</v>
      </c>
      <c r="U929" s="24">
        <v>4.2594284567005536E-2</v>
      </c>
      <c r="V929" s="24">
        <f t="shared" si="107"/>
        <v>4.2977326505110547E-2</v>
      </c>
      <c r="W929" s="23">
        <f t="shared" si="108"/>
        <v>3.5127613610663744E-3</v>
      </c>
      <c r="X929" s="24">
        <v>4.2244055880376941E-2</v>
      </c>
      <c r="Y929" s="24">
        <f t="shared" si="109"/>
        <v>4.2979589176742161E-2</v>
      </c>
      <c r="Z929" s="23">
        <f t="shared" si="110"/>
        <v>3.5129432746436873E-3</v>
      </c>
      <c r="AA929" s="36"/>
    </row>
    <row r="930" spans="15:27" ht="13.9" customHeight="1" x14ac:dyDescent="0.3">
      <c r="O930" s="12">
        <f t="shared" si="104"/>
        <v>76.416666666666671</v>
      </c>
      <c r="P930" s="13">
        <v>917</v>
      </c>
      <c r="Q930" s="22">
        <v>3.5977307308295403E-2</v>
      </c>
      <c r="R930" s="19">
        <f t="shared" si="105"/>
        <v>3.6600546670753298E-2</v>
      </c>
      <c r="S930" s="22">
        <v>4.088198713215041E-2</v>
      </c>
      <c r="T930" s="19">
        <f t="shared" si="106"/>
        <v>4.2984455911573294E-2</v>
      </c>
      <c r="U930" s="24">
        <v>4.2594702202412904E-2</v>
      </c>
      <c r="V930" s="24">
        <f t="shared" si="107"/>
        <v>4.2977497041565726E-2</v>
      </c>
      <c r="W930" s="23">
        <f t="shared" si="108"/>
        <v>3.5127751382135752E-3</v>
      </c>
      <c r="X930" s="24">
        <v>4.2244857706070116E-2</v>
      </c>
      <c r="Y930" s="24">
        <f t="shared" si="109"/>
        <v>4.2979753529377662E-2</v>
      </c>
      <c r="Z930" s="23">
        <f t="shared" si="110"/>
        <v>3.512956559353908E-3</v>
      </c>
      <c r="AA930" s="36"/>
    </row>
    <row r="931" spans="15:27" ht="13.9" customHeight="1" x14ac:dyDescent="0.3">
      <c r="O931" s="12">
        <f t="shared" si="104"/>
        <v>76.5</v>
      </c>
      <c r="P931" s="13">
        <v>918</v>
      </c>
      <c r="Q931" s="22">
        <v>3.5977986014365859E-2</v>
      </c>
      <c r="R931" s="19">
        <f t="shared" si="105"/>
        <v>3.6601705420243436E-2</v>
      </c>
      <c r="S931" s="22">
        <v>4.0884275095727007E-2</v>
      </c>
      <c r="T931" s="19">
        <f t="shared" si="106"/>
        <v>4.2984601696121061E-2</v>
      </c>
      <c r="U931" s="24">
        <v>4.2595119113807423E-2</v>
      </c>
      <c r="V931" s="24">
        <f t="shared" si="107"/>
        <v>4.2977666293899874E-2</v>
      </c>
      <c r="W931" s="23">
        <f t="shared" si="108"/>
        <v>3.5127888118489103E-3</v>
      </c>
      <c r="X931" s="24">
        <v>4.2245657964388617E-2</v>
      </c>
      <c r="Y931" s="24">
        <f t="shared" si="109"/>
        <v>4.2979916557867481E-2</v>
      </c>
      <c r="Z931" s="23">
        <f t="shared" si="110"/>
        <v>3.5129697371436563E-3</v>
      </c>
      <c r="AA931" s="36"/>
    </row>
    <row r="932" spans="15:27" ht="13.9" customHeight="1" x14ac:dyDescent="0.3">
      <c r="O932" s="12">
        <f t="shared" si="104"/>
        <v>76.583333333333329</v>
      </c>
      <c r="P932" s="13">
        <v>919</v>
      </c>
      <c r="Q932" s="22">
        <v>3.5978664503949709E-2</v>
      </c>
      <c r="R932" s="19">
        <f t="shared" si="105"/>
        <v>3.6602854528024142E-2</v>
      </c>
      <c r="S932" s="22">
        <v>4.0886558243385052E-2</v>
      </c>
      <c r="T932" s="19">
        <f t="shared" si="106"/>
        <v>4.2984746112806782E-2</v>
      </c>
      <c r="U932" s="24">
        <v>4.2595535302155429E-2</v>
      </c>
      <c r="V932" s="24">
        <f t="shared" si="107"/>
        <v>4.2977834273104421E-2</v>
      </c>
      <c r="W932" s="23">
        <f t="shared" si="108"/>
        <v>3.5128023825210519E-3</v>
      </c>
      <c r="X932" s="24">
        <v>4.2246456659007503E-2</v>
      </c>
      <c r="Y932" s="24">
        <f t="shared" si="109"/>
        <v>4.2980078273198385E-2</v>
      </c>
      <c r="Z932" s="23">
        <f t="shared" si="110"/>
        <v>3.5129828087614445E-3</v>
      </c>
      <c r="AA932" s="36"/>
    </row>
    <row r="933" spans="15:27" ht="13.9" customHeight="1" x14ac:dyDescent="0.3">
      <c r="O933" s="12">
        <f t="shared" si="104"/>
        <v>76.666666666666671</v>
      </c>
      <c r="P933" s="13">
        <v>920</v>
      </c>
      <c r="Q933" s="22">
        <v>3.5979342767278766E-2</v>
      </c>
      <c r="R933" s="19">
        <f t="shared" si="105"/>
        <v>3.6603994076820578E-2</v>
      </c>
      <c r="S933" s="22">
        <v>4.0888836589329625E-2</v>
      </c>
      <c r="T933" s="19">
        <f t="shared" si="106"/>
        <v>4.2984889175523566E-2</v>
      </c>
      <c r="U933" s="24">
        <v>4.2595950768431035E-2</v>
      </c>
      <c r="V933" s="24">
        <f t="shared" si="107"/>
        <v>4.2978000988917131E-2</v>
      </c>
      <c r="W933" s="23">
        <f t="shared" si="108"/>
        <v>3.5128158511117391E-3</v>
      </c>
      <c r="X933" s="24">
        <v>4.2247253793597839E-2</v>
      </c>
      <c r="Y933" s="24">
        <f t="shared" si="109"/>
        <v>4.2980238686602723E-2</v>
      </c>
      <c r="Z933" s="23">
        <f t="shared" si="110"/>
        <v>3.5129957750883456E-3</v>
      </c>
      <c r="AA933" s="36"/>
    </row>
    <row r="934" spans="15:27" ht="13.9" customHeight="1" x14ac:dyDescent="0.3">
      <c r="O934" s="12">
        <f t="shared" si="104"/>
        <v>76.75</v>
      </c>
      <c r="P934" s="13">
        <v>921</v>
      </c>
      <c r="Q934" s="22">
        <v>3.598002079471696E-2</v>
      </c>
      <c r="R934" s="19">
        <f t="shared" si="105"/>
        <v>3.660512414514594E-2</v>
      </c>
      <c r="S934" s="22">
        <v>4.0891110147718956E-2</v>
      </c>
      <c r="T934" s="19">
        <f t="shared" si="106"/>
        <v>4.2985030895671184E-2</v>
      </c>
      <c r="U934" s="24">
        <v>4.2596365513614565E-2</v>
      </c>
      <c r="V934" s="24">
        <f t="shared" si="107"/>
        <v>4.2978166449748834E-2</v>
      </c>
      <c r="W934" s="23">
        <f t="shared" si="108"/>
        <v>3.5128292184014587E-3</v>
      </c>
      <c r="X934" s="24">
        <v>4.2248049371826912E-2</v>
      </c>
      <c r="Y934" s="24">
        <f t="shared" si="109"/>
        <v>4.2980397807260484E-2</v>
      </c>
      <c r="Z934" s="23">
        <f t="shared" si="110"/>
        <v>3.5130086370249725E-3</v>
      </c>
      <c r="AA934" s="36"/>
    </row>
    <row r="935" spans="15:27" ht="13.9" customHeight="1" x14ac:dyDescent="0.3">
      <c r="O935" s="12">
        <f t="shared" si="104"/>
        <v>76.833333333333329</v>
      </c>
      <c r="P935" s="13">
        <v>922</v>
      </c>
      <c r="Q935" s="22">
        <v>3.598069857675501E-2</v>
      </c>
      <c r="R935" s="19">
        <f t="shared" si="105"/>
        <v>3.6606244812607658E-2</v>
      </c>
      <c r="S935" s="22">
        <v>4.0893378932662428E-2</v>
      </c>
      <c r="T935" s="19">
        <f t="shared" si="106"/>
        <v>4.2985171287398538E-2</v>
      </c>
      <c r="U935" s="24">
        <v>4.2596779538691454E-2</v>
      </c>
      <c r="V935" s="24">
        <f t="shared" si="107"/>
        <v>4.2978330666808118E-2</v>
      </c>
      <c r="W935" s="23">
        <f t="shared" si="108"/>
        <v>3.5128424850647821E-3</v>
      </c>
      <c r="X935" s="24">
        <v>4.2248843397356239E-2</v>
      </c>
      <c r="Y935" s="24">
        <f t="shared" si="109"/>
        <v>4.2980555647597951E-2</v>
      </c>
      <c r="Z935" s="23">
        <f t="shared" si="110"/>
        <v>3.513021395307403E-3</v>
      </c>
      <c r="AA935" s="36"/>
    </row>
    <row r="936" spans="15:27" ht="13.9" customHeight="1" x14ac:dyDescent="0.3">
      <c r="O936" s="12">
        <f t="shared" si="104"/>
        <v>76.916666666666671</v>
      </c>
      <c r="P936" s="13">
        <v>923</v>
      </c>
      <c r="Q936" s="22">
        <v>3.5981376104011309E-2</v>
      </c>
      <c r="R936" s="19">
        <f t="shared" si="105"/>
        <v>3.6607356156746373E-2</v>
      </c>
      <c r="S936" s="22">
        <v>4.0895642958223677E-2</v>
      </c>
      <c r="T936" s="19">
        <f t="shared" si="106"/>
        <v>4.298531036109865E-2</v>
      </c>
      <c r="U936" s="24">
        <v>4.2597192844654685E-2</v>
      </c>
      <c r="V936" s="24">
        <f t="shared" si="107"/>
        <v>4.2978493647919613E-2</v>
      </c>
      <c r="W936" s="23">
        <f t="shared" si="108"/>
        <v>3.512855652000324E-3</v>
      </c>
      <c r="X936" s="24">
        <v>4.2249635873844449E-2</v>
      </c>
      <c r="Y936" s="24">
        <f t="shared" si="109"/>
        <v>4.2980712215386241E-2</v>
      </c>
      <c r="Z936" s="23">
        <f t="shared" si="110"/>
        <v>3.5130340509321734E-3</v>
      </c>
      <c r="AA936" s="36"/>
    </row>
    <row r="937" spans="15:27" ht="13.9" customHeight="1" x14ac:dyDescent="0.3">
      <c r="O937" s="12">
        <f t="shared" si="104"/>
        <v>77</v>
      </c>
      <c r="P937" s="13">
        <v>924</v>
      </c>
      <c r="Q937" s="22">
        <v>3.5982053367228595E-2</v>
      </c>
      <c r="R937" s="19">
        <f t="shared" si="105"/>
        <v>3.6608458255684706E-2</v>
      </c>
      <c r="S937" s="22">
        <v>4.0897902238416606E-2</v>
      </c>
      <c r="T937" s="19">
        <f t="shared" si="106"/>
        <v>4.2985448131334314E-2</v>
      </c>
      <c r="U937" s="24">
        <v>4.2597605432501684E-2</v>
      </c>
      <c r="V937" s="24">
        <f t="shared" si="107"/>
        <v>4.2978655403336008E-2</v>
      </c>
      <c r="W937" s="23">
        <f t="shared" si="108"/>
        <v>3.5128687198355824E-3</v>
      </c>
      <c r="X937" s="24">
        <v>4.2250426804943286E-2</v>
      </c>
      <c r="Y937" s="24">
        <f t="shared" si="109"/>
        <v>4.2980867523444655E-2</v>
      </c>
      <c r="Z937" s="23">
        <f t="shared" si="110"/>
        <v>3.5130466045223407E-3</v>
      </c>
      <c r="AA937" s="36"/>
    </row>
    <row r="938" spans="15:27" ht="13.9" customHeight="1" x14ac:dyDescent="0.3">
      <c r="O938" s="12">
        <f t="shared" si="104"/>
        <v>77.083333333333329</v>
      </c>
      <c r="P938" s="13">
        <v>925</v>
      </c>
      <c r="Q938" s="22">
        <v>3.5982730357273951E-2</v>
      </c>
      <c r="R938" s="19">
        <f t="shared" si="105"/>
        <v>3.6609551187374967E-2</v>
      </c>
      <c r="S938" s="22">
        <v>4.0900156787210262E-2</v>
      </c>
      <c r="T938" s="19">
        <f t="shared" si="106"/>
        <v>4.2985584609298799E-2</v>
      </c>
      <c r="U938" s="24">
        <v>4.2598017303236535E-2</v>
      </c>
      <c r="V938" s="24">
        <f t="shared" si="107"/>
        <v>4.2978815941448589E-2</v>
      </c>
      <c r="W938" s="23">
        <f t="shared" si="108"/>
        <v>3.5128816893927883E-3</v>
      </c>
      <c r="X938" s="24">
        <v>4.2251216194302277E-2</v>
      </c>
      <c r="Y938" s="24">
        <f t="shared" si="109"/>
        <v>4.2981021580660528E-2</v>
      </c>
      <c r="Z938" s="23">
        <f t="shared" si="110"/>
        <v>3.5130590571059717E-3</v>
      </c>
      <c r="AA938" s="36"/>
    </row>
    <row r="939" spans="15:27" ht="13.9" customHeight="1" x14ac:dyDescent="0.3">
      <c r="O939" s="12">
        <f t="shared" si="104"/>
        <v>77.166666666666671</v>
      </c>
      <c r="P939" s="13">
        <v>926</v>
      </c>
      <c r="Q939" s="22">
        <v>3.5983407065138362E-2</v>
      </c>
      <c r="R939" s="19">
        <f t="shared" si="105"/>
        <v>3.661063502716555E-2</v>
      </c>
      <c r="S939" s="22">
        <v>4.0902406618525511E-2</v>
      </c>
      <c r="T939" s="19">
        <f t="shared" si="106"/>
        <v>4.2985719806196476E-2</v>
      </c>
      <c r="U939" s="24">
        <v>4.2598428457867987E-2</v>
      </c>
      <c r="V939" s="24">
        <f t="shared" si="107"/>
        <v>4.2978975272081499E-2</v>
      </c>
      <c r="W939" s="23">
        <f t="shared" si="108"/>
        <v>3.5128945613447371E-3</v>
      </c>
      <c r="X939" s="24">
        <v>4.2252004045564728E-2</v>
      </c>
      <c r="Y939" s="24">
        <f t="shared" si="109"/>
        <v>4.2981174395995358E-2</v>
      </c>
      <c r="Z939" s="23">
        <f t="shared" si="110"/>
        <v>3.5130714093951632E-3</v>
      </c>
      <c r="AA939" s="36"/>
    </row>
    <row r="940" spans="15:27" ht="13.9" customHeight="1" x14ac:dyDescent="0.3">
      <c r="O940" s="12">
        <f t="shared" si="104"/>
        <v>77.25</v>
      </c>
      <c r="P940" s="13">
        <v>927</v>
      </c>
      <c r="Q940" s="22">
        <v>3.5984083481932494E-2</v>
      </c>
      <c r="R940" s="19">
        <f t="shared" si="105"/>
        <v>3.6611709851398277E-2</v>
      </c>
      <c r="S940" s="22">
        <v>4.0904651746235476E-2</v>
      </c>
      <c r="T940" s="19">
        <f t="shared" si="106"/>
        <v>4.2985853735495017E-2</v>
      </c>
      <c r="U940" s="24">
        <v>4.2598838897411229E-2</v>
      </c>
      <c r="V940" s="24">
        <f t="shared" si="107"/>
        <v>4.2979133403942216E-2</v>
      </c>
      <c r="W940" s="23">
        <f t="shared" si="108"/>
        <v>3.5129073364790209E-3</v>
      </c>
      <c r="X940" s="24">
        <v>4.2252790362368176E-2</v>
      </c>
      <c r="Y940" s="24">
        <f t="shared" si="109"/>
        <v>4.2981325981733098E-2</v>
      </c>
      <c r="Z940" s="23">
        <f t="shared" si="110"/>
        <v>3.5130836621091177E-3</v>
      </c>
      <c r="AA940" s="36"/>
    </row>
    <row r="941" spans="15:27" ht="13.9" customHeight="1" x14ac:dyDescent="0.3">
      <c r="O941" s="12">
        <f t="shared" si="104"/>
        <v>77.333333333333329</v>
      </c>
      <c r="P941" s="13">
        <v>928</v>
      </c>
      <c r="Q941" s="22">
        <v>3.5984759598888028E-2</v>
      </c>
      <c r="R941" s="19">
        <f t="shared" si="105"/>
        <v>3.6612775734167657E-2</v>
      </c>
      <c r="S941" s="22">
        <v>4.0906892184167765E-2</v>
      </c>
      <c r="T941" s="19">
        <f t="shared" si="106"/>
        <v>4.2985986408586419E-2</v>
      </c>
      <c r="U941" s="24">
        <v>4.259924862288611E-2</v>
      </c>
      <c r="V941" s="24">
        <f t="shared" si="107"/>
        <v>4.2979290346275567E-2</v>
      </c>
      <c r="W941" s="23">
        <f t="shared" si="108"/>
        <v>3.5129200154939699E-3</v>
      </c>
      <c r="X941" s="24">
        <v>4.2253575148347267E-2</v>
      </c>
      <c r="Y941" s="24">
        <f t="shared" si="109"/>
        <v>4.2981476346346303E-2</v>
      </c>
      <c r="Z941" s="23">
        <f t="shared" si="110"/>
        <v>3.5130958162323811E-3</v>
      </c>
      <c r="AA941" s="36"/>
    </row>
    <row r="942" spans="15:27" ht="13.9" customHeight="1" x14ac:dyDescent="0.3">
      <c r="O942" s="12">
        <f t="shared" si="104"/>
        <v>77.416666666666671</v>
      </c>
      <c r="P942" s="13">
        <v>929</v>
      </c>
      <c r="Q942" s="22">
        <v>3.5985435407353661E-2</v>
      </c>
      <c r="R942" s="19">
        <f t="shared" si="105"/>
        <v>3.6613832752508291E-2</v>
      </c>
      <c r="S942" s="22">
        <v>4.0909127946102686E-2</v>
      </c>
      <c r="T942" s="19">
        <f t="shared" si="106"/>
        <v>4.2986117837783722E-2</v>
      </c>
      <c r="U942" s="24">
        <v>4.2599657635318255E-2</v>
      </c>
      <c r="V942" s="24">
        <f t="shared" si="107"/>
        <v>4.2979446108172947E-2</v>
      </c>
      <c r="W942" s="23">
        <f t="shared" si="108"/>
        <v>3.5129325991307692E-3</v>
      </c>
      <c r="X942" s="24">
        <v>4.2254358407130432E-2</v>
      </c>
      <c r="Y942" s="24">
        <f t="shared" si="109"/>
        <v>4.2981625499955323E-2</v>
      </c>
      <c r="Z942" s="23">
        <f t="shared" si="110"/>
        <v>3.5131078724444098E-3</v>
      </c>
      <c r="AA942" s="36"/>
    </row>
    <row r="943" spans="15:27" ht="13.9" customHeight="1" x14ac:dyDescent="0.3">
      <c r="O943" s="12">
        <f t="shared" si="104"/>
        <v>77.5</v>
      </c>
      <c r="P943" s="13">
        <v>930</v>
      </c>
      <c r="Q943" s="22">
        <v>3.598611089879844E-2</v>
      </c>
      <c r="R943" s="19">
        <f t="shared" si="105"/>
        <v>3.6614880977809072E-2</v>
      </c>
      <c r="S943" s="22">
        <v>4.0911359045774809E-2</v>
      </c>
      <c r="T943" s="19">
        <f t="shared" si="106"/>
        <v>4.2986248033600072E-2</v>
      </c>
      <c r="U943" s="24">
        <v>4.260006593573884E-2</v>
      </c>
      <c r="V943" s="24">
        <f t="shared" si="107"/>
        <v>4.2979600698326959E-2</v>
      </c>
      <c r="W943" s="23">
        <f t="shared" si="108"/>
        <v>3.5129450881186131E-3</v>
      </c>
      <c r="X943" s="24">
        <v>4.2255140142341441E-2</v>
      </c>
      <c r="Y943" s="24">
        <f t="shared" si="109"/>
        <v>4.2981773452445582E-2</v>
      </c>
      <c r="Z943" s="23">
        <f t="shared" si="110"/>
        <v>3.5131198315567769E-3</v>
      </c>
      <c r="AA943" s="36"/>
    </row>
    <row r="944" spans="15:27" ht="13.9" customHeight="1" x14ac:dyDescent="0.3">
      <c r="O944" s="12">
        <f t="shared" si="104"/>
        <v>77.583333333333329</v>
      </c>
      <c r="P944" s="13">
        <v>931</v>
      </c>
      <c r="Q944" s="22">
        <v>3.5986786064804432E-2</v>
      </c>
      <c r="R944" s="19">
        <f t="shared" si="105"/>
        <v>3.6615920484931452E-2</v>
      </c>
      <c r="S944" s="22">
        <v>4.0913585496870741E-2</v>
      </c>
      <c r="T944" s="19">
        <f t="shared" si="106"/>
        <v>4.2986377007781407E-2</v>
      </c>
      <c r="U944" s="24">
        <v>4.260047352518348E-2</v>
      </c>
      <c r="V944" s="24">
        <f t="shared" si="107"/>
        <v>4.2979754124490066E-2</v>
      </c>
      <c r="W944" s="23">
        <f t="shared" si="108"/>
        <v>3.5129574831542776E-3</v>
      </c>
      <c r="X944" s="24">
        <v>4.2255920357598953E-2</v>
      </c>
      <c r="Y944" s="24">
        <f t="shared" si="109"/>
        <v>4.2981920213088998E-2</v>
      </c>
      <c r="Z944" s="23">
        <f t="shared" si="110"/>
        <v>3.5131316943619595E-3</v>
      </c>
      <c r="AA944" s="36"/>
    </row>
    <row r="945" spans="15:27" ht="13.9" customHeight="1" x14ac:dyDescent="0.3">
      <c r="O945" s="12">
        <f t="shared" si="104"/>
        <v>77.666666666666671</v>
      </c>
      <c r="P945" s="13">
        <v>932</v>
      </c>
      <c r="Q945" s="22">
        <v>3.5987460897070278E-2</v>
      </c>
      <c r="R945" s="19">
        <f t="shared" si="105"/>
        <v>3.661695134472942E-2</v>
      </c>
      <c r="S945" s="22">
        <v>4.0915807313031127E-2</v>
      </c>
      <c r="T945" s="19">
        <f t="shared" si="106"/>
        <v>4.2986504773142586E-2</v>
      </c>
      <c r="U945" s="24">
        <v>4.2600880404692232E-2</v>
      </c>
      <c r="V945" s="24">
        <f t="shared" si="107"/>
        <v>4.2979906397201839E-2</v>
      </c>
      <c r="W945" s="23">
        <f t="shared" si="108"/>
        <v>3.5129697848597097E-3</v>
      </c>
      <c r="X945" s="24">
        <v>4.2256699056515856E-2</v>
      </c>
      <c r="Y945" s="24">
        <f t="shared" si="109"/>
        <v>4.2982065792216861E-2</v>
      </c>
      <c r="Z945" s="23">
        <f t="shared" si="110"/>
        <v>3.5131434616038071E-3</v>
      </c>
      <c r="AA945" s="36"/>
    </row>
    <row r="946" spans="15:27" ht="13.9" customHeight="1" x14ac:dyDescent="0.3">
      <c r="O946" s="12">
        <f t="shared" si="104"/>
        <v>77.75</v>
      </c>
      <c r="P946" s="13">
        <v>933</v>
      </c>
      <c r="Q946" s="22">
        <v>3.5988135387406084E-2</v>
      </c>
      <c r="R946" s="19">
        <f t="shared" si="105"/>
        <v>3.6617973631643874E-2</v>
      </c>
      <c r="S946" s="22">
        <v>4.091802450785198E-2</v>
      </c>
      <c r="T946" s="19">
        <f t="shared" si="106"/>
        <v>4.2986631339716475E-2</v>
      </c>
      <c r="U946" s="24">
        <v>4.260128657531137E-2</v>
      </c>
      <c r="V946" s="24">
        <f t="shared" si="107"/>
        <v>4.298005752569023E-2</v>
      </c>
      <c r="W946" s="23">
        <f t="shared" si="108"/>
        <v>3.512981994079567E-3</v>
      </c>
      <c r="X946" s="24">
        <v>4.2257476242701042E-2</v>
      </c>
      <c r="Y946" s="24">
        <f t="shared" si="109"/>
        <v>4.2982210198773574E-2</v>
      </c>
      <c r="Z946" s="23">
        <f t="shared" si="110"/>
        <v>3.5131551341101019E-3</v>
      </c>
      <c r="AA946" s="36"/>
    </row>
    <row r="947" spans="15:27" ht="13.9" customHeight="1" x14ac:dyDescent="0.3">
      <c r="O947" s="12">
        <f t="shared" si="104"/>
        <v>77.833333333333329</v>
      </c>
      <c r="P947" s="13">
        <v>934</v>
      </c>
      <c r="Q947" s="22">
        <v>3.5988809527736754E-2</v>
      </c>
      <c r="R947" s="19">
        <f t="shared" si="105"/>
        <v>3.6618987416050741E-2</v>
      </c>
      <c r="S947" s="22">
        <v>4.0920237094881573E-2</v>
      </c>
      <c r="T947" s="19">
        <f t="shared" si="106"/>
        <v>4.2986756719002539E-2</v>
      </c>
      <c r="U947" s="24">
        <v>4.2601692038092942E-2</v>
      </c>
      <c r="V947" s="24">
        <f t="shared" si="107"/>
        <v>4.2980207515624924E-2</v>
      </c>
      <c r="W947" s="23">
        <f t="shared" si="108"/>
        <v>3.5129941115541463E-3</v>
      </c>
      <c r="X947" s="24">
        <v>4.2258251919757184E-2</v>
      </c>
      <c r="Y947" s="24">
        <f t="shared" si="109"/>
        <v>4.2982353442670096E-2</v>
      </c>
      <c r="Z947" s="23">
        <f t="shared" si="110"/>
        <v>3.5131667125987143E-3</v>
      </c>
      <c r="AA947" s="36"/>
    </row>
    <row r="948" spans="15:27" ht="13.9" customHeight="1" x14ac:dyDescent="0.3">
      <c r="O948" s="12">
        <f t="shared" si="104"/>
        <v>77.916666666666671</v>
      </c>
      <c r="P948" s="13">
        <v>935</v>
      </c>
      <c r="Q948" s="22">
        <v>3.5989483310096659E-2</v>
      </c>
      <c r="R948" s="19">
        <f t="shared" si="105"/>
        <v>3.6619992768259335E-2</v>
      </c>
      <c r="S948" s="22">
        <v>4.0922445087622883E-2</v>
      </c>
      <c r="T948" s="19">
        <f t="shared" si="106"/>
        <v>4.2986880922867288E-2</v>
      </c>
      <c r="U948" s="24">
        <v>4.2602096794090549E-2</v>
      </c>
      <c r="V948" s="24">
        <f t="shared" si="107"/>
        <v>4.2980356377634754E-2</v>
      </c>
      <c r="W948" s="23">
        <f t="shared" si="108"/>
        <v>3.5130061377379729E-3</v>
      </c>
      <c r="X948" s="24">
        <v>4.2259026091282292E-2</v>
      </c>
      <c r="Y948" s="24">
        <f t="shared" si="109"/>
        <v>4.2982495532666531E-2</v>
      </c>
      <c r="Z948" s="23">
        <f t="shared" si="110"/>
        <v>3.5131781978638976E-3</v>
      </c>
      <c r="AA948" s="36"/>
    </row>
    <row r="949" spans="15:27" ht="13.9" customHeight="1" x14ac:dyDescent="0.3">
      <c r="O949" s="12">
        <f t="shared" si="104"/>
        <v>78</v>
      </c>
      <c r="P949" s="13">
        <v>936</v>
      </c>
      <c r="Q949" s="22">
        <v>3.5990156726629641E-2</v>
      </c>
      <c r="R949" s="19">
        <f t="shared" si="105"/>
        <v>3.662098975890804E-2</v>
      </c>
      <c r="S949" s="22">
        <v>4.0924648499533589E-2</v>
      </c>
      <c r="T949" s="19">
        <f t="shared" si="106"/>
        <v>4.2987003961297177E-2</v>
      </c>
      <c r="U949" s="24">
        <v>4.2602500844364677E-2</v>
      </c>
      <c r="V949" s="24">
        <f t="shared" si="107"/>
        <v>4.2980504120472496E-2</v>
      </c>
      <c r="W949" s="23">
        <f t="shared" si="108"/>
        <v>3.5130180734832539E-3</v>
      </c>
      <c r="X949" s="24">
        <v>4.2259798760868383E-2</v>
      </c>
      <c r="Y949" s="24">
        <f t="shared" si="109"/>
        <v>4.2982636478317682E-2</v>
      </c>
      <c r="Z949" s="23">
        <f t="shared" si="110"/>
        <v>3.5131895906082011E-3</v>
      </c>
      <c r="AA949" s="36"/>
    </row>
    <row r="950" spans="15:27" ht="13.9" customHeight="1" x14ac:dyDescent="0.3">
      <c r="O950" s="12">
        <f t="shared" si="104"/>
        <v>78.083333333333329</v>
      </c>
      <c r="P950" s="13">
        <v>937</v>
      </c>
      <c r="Q950" s="22">
        <v>3.5990829769588339E-2</v>
      </c>
      <c r="R950" s="19">
        <f t="shared" si="105"/>
        <v>3.6621978458166282E-2</v>
      </c>
      <c r="S950" s="22">
        <v>4.0926847344024742E-2</v>
      </c>
      <c r="T950" s="19">
        <f t="shared" si="106"/>
        <v>4.2987125845531216E-2</v>
      </c>
      <c r="U950" s="24">
        <v>4.2602904189980251E-2</v>
      </c>
      <c r="V950" s="24">
        <f t="shared" si="107"/>
        <v>4.2980650750779059E-2</v>
      </c>
      <c r="W950" s="23">
        <f t="shared" si="108"/>
        <v>3.5130299194918724E-3</v>
      </c>
      <c r="X950" s="24">
        <v>4.2260569932102143E-2</v>
      </c>
      <c r="Y950" s="24">
        <f t="shared" si="109"/>
        <v>4.2982776289041125E-2</v>
      </c>
      <c r="Z950" s="23">
        <f t="shared" si="110"/>
        <v>3.5132008915976787E-3</v>
      </c>
      <c r="AA950" s="36"/>
    </row>
    <row r="951" spans="15:27" ht="13.9" customHeight="1" x14ac:dyDescent="0.3">
      <c r="O951" s="12">
        <f t="shared" si="104"/>
        <v>78.166666666666671</v>
      </c>
      <c r="P951" s="13">
        <v>938</v>
      </c>
      <c r="Q951" s="22">
        <v>3.5991502431333089E-2</v>
      </c>
      <c r="R951" s="19">
        <f t="shared" si="105"/>
        <v>3.6622958935434102E-2</v>
      </c>
      <c r="S951" s="22">
        <v>4.0929041634462315E-2</v>
      </c>
      <c r="T951" s="19">
        <f t="shared" si="106"/>
        <v>4.2987246586694949E-2</v>
      </c>
      <c r="U951" s="24">
        <v>4.2603306832005083E-2</v>
      </c>
      <c r="V951" s="24">
        <f t="shared" si="107"/>
        <v>4.2980796278798472E-2</v>
      </c>
      <c r="W951" s="23">
        <f t="shared" si="108"/>
        <v>3.5130416762962913E-3</v>
      </c>
      <c r="X951" s="24">
        <v>4.2261339608565152E-2</v>
      </c>
      <c r="Y951" s="24">
        <f t="shared" si="109"/>
        <v>4.2982914973982655E-2</v>
      </c>
      <c r="Z951" s="23">
        <f t="shared" si="110"/>
        <v>3.513212101587504E-3</v>
      </c>
      <c r="AA951" s="36"/>
    </row>
    <row r="952" spans="15:27" ht="13.9" customHeight="1" x14ac:dyDescent="0.3">
      <c r="O952" s="12">
        <f t="shared" si="104"/>
        <v>78.25</v>
      </c>
      <c r="P952" s="13">
        <v>939</v>
      </c>
      <c r="Q952" s="22">
        <v>3.5992174704330582E-2</v>
      </c>
      <c r="R952" s="19">
        <f t="shared" si="105"/>
        <v>3.6623931257510067E-2</v>
      </c>
      <c r="S952" s="22">
        <v>4.0931231384166988E-2</v>
      </c>
      <c r="T952" s="19">
        <f t="shared" si="106"/>
        <v>4.2987366195274879E-2</v>
      </c>
      <c r="U952" s="24">
        <v>4.2603708771513427E-2</v>
      </c>
      <c r="V952" s="24">
        <f t="shared" si="107"/>
        <v>4.2980940711581539E-2</v>
      </c>
      <c r="W952" s="23">
        <f t="shared" si="108"/>
        <v>3.5130533447180756E-3</v>
      </c>
      <c r="X952" s="24">
        <v>4.2262107793833437E-2</v>
      </c>
      <c r="Y952" s="24">
        <f t="shared" si="109"/>
        <v>4.2983052541270661E-2</v>
      </c>
      <c r="Z952" s="23">
        <f t="shared" si="110"/>
        <v>3.5132232213113124E-3</v>
      </c>
      <c r="AA952" s="36"/>
    </row>
    <row r="953" spans="15:27" ht="13.9" customHeight="1" x14ac:dyDescent="0.3">
      <c r="O953" s="12">
        <f t="shared" si="104"/>
        <v>78.333333333333329</v>
      </c>
      <c r="P953" s="13">
        <v>940</v>
      </c>
      <c r="Q953" s="22">
        <v>3.5992846581150983E-2</v>
      </c>
      <c r="R953" s="19">
        <f t="shared" si="105"/>
        <v>3.6624895494274279E-2</v>
      </c>
      <c r="S953" s="22">
        <v>4.0933416606414141E-2</v>
      </c>
      <c r="T953" s="19">
        <f t="shared" si="106"/>
        <v>4.2987484682651012E-2</v>
      </c>
      <c r="U953" s="24">
        <v>4.2604110009582197E-2</v>
      </c>
      <c r="V953" s="24">
        <f t="shared" si="107"/>
        <v>4.2981084058859809E-2</v>
      </c>
      <c r="W953" s="23">
        <f t="shared" si="108"/>
        <v>3.5130649253223289E-3</v>
      </c>
      <c r="X953" s="24">
        <v>4.2262874491476587E-2</v>
      </c>
      <c r="Y953" s="24">
        <f t="shared" si="109"/>
        <v>4.2983189002073985E-2</v>
      </c>
      <c r="Z953" s="23">
        <f t="shared" si="110"/>
        <v>3.5132342514203607E-3</v>
      </c>
      <c r="AA953" s="36"/>
    </row>
    <row r="954" spans="15:27" ht="13.9" customHeight="1" x14ac:dyDescent="0.3">
      <c r="O954" s="12">
        <f t="shared" si="104"/>
        <v>78.416666666666671</v>
      </c>
      <c r="P954" s="13">
        <v>941</v>
      </c>
      <c r="Q954" s="22">
        <v>3.5993518054469709E-2</v>
      </c>
      <c r="R954" s="19">
        <f t="shared" si="105"/>
        <v>3.6625851711638902E-2</v>
      </c>
      <c r="S954" s="22">
        <v>4.0935597314434746E-2</v>
      </c>
      <c r="T954" s="19">
        <f t="shared" si="106"/>
        <v>4.2987602057816376E-2</v>
      </c>
      <c r="U954" s="24">
        <v>4.2604510547294083E-2</v>
      </c>
      <c r="V954" s="24">
        <f t="shared" si="107"/>
        <v>4.2981226326457289E-2</v>
      </c>
      <c r="W954" s="23">
        <f t="shared" si="108"/>
        <v>3.513076418889316E-3</v>
      </c>
      <c r="X954" s="24">
        <v>4.226363970506064E-2</v>
      </c>
      <c r="Y954" s="24">
        <f t="shared" si="109"/>
        <v>4.2983324362606101E-2</v>
      </c>
      <c r="Z954" s="23">
        <f t="shared" si="110"/>
        <v>3.513245192810599E-3</v>
      </c>
      <c r="AA954" s="36"/>
    </row>
    <row r="955" spans="15:27" ht="13.9" customHeight="1" x14ac:dyDescent="0.3">
      <c r="O955" s="12">
        <f t="shared" si="104"/>
        <v>78.5</v>
      </c>
      <c r="P955" s="13">
        <v>942</v>
      </c>
      <c r="Q955" s="22">
        <v>3.5994189117063424E-2</v>
      </c>
      <c r="R955" s="19">
        <f t="shared" si="105"/>
        <v>3.6626799977641067E-2</v>
      </c>
      <c r="S955" s="22">
        <v>4.0937773521413146E-2</v>
      </c>
      <c r="T955" s="19">
        <f t="shared" si="106"/>
        <v>4.2987718332459846E-2</v>
      </c>
      <c r="U955" s="24">
        <v>4.2604910385733552E-2</v>
      </c>
      <c r="V955" s="24">
        <f t="shared" si="107"/>
        <v>4.2981367524700387E-2</v>
      </c>
      <c r="W955" s="23">
        <f t="shared" si="108"/>
        <v>3.5130878258864406E-3</v>
      </c>
      <c r="X955" s="24">
        <v>4.2264403438143194E-2</v>
      </c>
      <c r="Y955" s="24">
        <f t="shared" si="109"/>
        <v>4.2983458633668148E-2</v>
      </c>
      <c r="Z955" s="23">
        <f t="shared" si="110"/>
        <v>3.5132560459798512E-3</v>
      </c>
      <c r="AA955" s="36"/>
    </row>
    <row r="956" spans="15:27" ht="13.9" customHeight="1" x14ac:dyDescent="0.3">
      <c r="O956" s="12">
        <f t="shared" si="104"/>
        <v>78.583333333333329</v>
      </c>
      <c r="P956" s="13">
        <v>943</v>
      </c>
      <c r="Q956" s="22">
        <v>3.5994859761811826E-2</v>
      </c>
      <c r="R956" s="19">
        <f t="shared" si="105"/>
        <v>3.6627740357816796E-2</v>
      </c>
      <c r="S956" s="22">
        <v>4.0939945240490161E-2</v>
      </c>
      <c r="T956" s="19">
        <f t="shared" si="106"/>
        <v>4.2987833515921947E-2</v>
      </c>
      <c r="U956" s="24">
        <v>4.2605309525991286E-2</v>
      </c>
      <c r="V956" s="24">
        <f t="shared" si="107"/>
        <v>4.2981507660608154E-2</v>
      </c>
      <c r="W956" s="23">
        <f t="shared" si="108"/>
        <v>3.5130991471412631E-3</v>
      </c>
      <c r="X956" s="24">
        <v>4.2265165694278295E-2</v>
      </c>
      <c r="Y956" s="24">
        <f t="shared" si="109"/>
        <v>4.2983591823005263E-2</v>
      </c>
      <c r="Z956" s="23">
        <f t="shared" si="110"/>
        <v>3.5132668117945354E-3</v>
      </c>
      <c r="AA956" s="36"/>
    </row>
    <row r="957" spans="15:27" ht="13.9" customHeight="1" x14ac:dyDescent="0.3">
      <c r="O957" s="12">
        <f t="shared" si="104"/>
        <v>78.666666666666671</v>
      </c>
      <c r="P957" s="13">
        <v>944</v>
      </c>
      <c r="Q957" s="22">
        <v>3.5995529981693863E-2</v>
      </c>
      <c r="R957" s="19">
        <f t="shared" si="105"/>
        <v>3.6628672918367799E-2</v>
      </c>
      <c r="S957" s="22">
        <v>4.0942112484761095E-2</v>
      </c>
      <c r="T957" s="19">
        <f t="shared" si="106"/>
        <v>4.2987947619961053E-2</v>
      </c>
      <c r="U957" s="24">
        <v>4.2605707969160633E-2</v>
      </c>
      <c r="V957" s="24">
        <f t="shared" si="107"/>
        <v>4.2981646742359381E-2</v>
      </c>
      <c r="W957" s="23">
        <f t="shared" si="108"/>
        <v>3.5131103832168886E-3</v>
      </c>
      <c r="X957" s="24">
        <v>4.2265926477012883E-2</v>
      </c>
      <c r="Y957" s="24">
        <f t="shared" si="109"/>
        <v>4.298372394055705E-2</v>
      </c>
      <c r="Z957" s="23">
        <f t="shared" si="110"/>
        <v>3.5132774908757103E-3</v>
      </c>
      <c r="AA957" s="36"/>
    </row>
    <row r="958" spans="15:27" ht="13.9" customHeight="1" x14ac:dyDescent="0.3">
      <c r="O958" s="12">
        <f t="shared" si="104"/>
        <v>78.75</v>
      </c>
      <c r="P958" s="13">
        <v>945</v>
      </c>
      <c r="Q958" s="22">
        <v>3.5996199769788184E-2</v>
      </c>
      <c r="R958" s="19">
        <f t="shared" si="105"/>
        <v>3.6629597723643714E-2</v>
      </c>
      <c r="S958" s="22">
        <v>4.0944275267277952E-2</v>
      </c>
      <c r="T958" s="19">
        <f t="shared" si="106"/>
        <v>4.2988060653948557E-2</v>
      </c>
      <c r="U958" s="24">
        <v>4.2606105716339382E-2</v>
      </c>
      <c r="V958" s="24">
        <f t="shared" si="107"/>
        <v>4.2981784778261867E-2</v>
      </c>
      <c r="W958" s="23">
        <f t="shared" si="108"/>
        <v>3.5131215347690148E-3</v>
      </c>
      <c r="X958" s="24">
        <v>4.226668578988968E-2</v>
      </c>
      <c r="Y958" s="24">
        <f t="shared" si="109"/>
        <v>4.2983854994025794E-2</v>
      </c>
      <c r="Z958" s="23">
        <f t="shared" si="110"/>
        <v>3.513288084020072E-3</v>
      </c>
      <c r="AA958" s="36"/>
    </row>
    <row r="959" spans="15:27" ht="13.9" customHeight="1" x14ac:dyDescent="0.3">
      <c r="O959" s="12">
        <f t="shared" si="104"/>
        <v>78.833333333333329</v>
      </c>
      <c r="P959" s="13">
        <v>946</v>
      </c>
      <c r="Q959" s="22">
        <v>3.5996869119270913E-2</v>
      </c>
      <c r="R959" s="19">
        <f t="shared" si="105"/>
        <v>3.6630514839268269E-2</v>
      </c>
      <c r="S959" s="22">
        <v>4.094643360104766E-2</v>
      </c>
      <c r="T959" s="19">
        <f t="shared" si="106"/>
        <v>4.2988172626240662E-2</v>
      </c>
      <c r="U959" s="24">
        <v>4.2606502768629095E-2</v>
      </c>
      <c r="V959" s="24">
        <f t="shared" si="107"/>
        <v>4.2981921774692067E-2</v>
      </c>
      <c r="W959" s="23">
        <f t="shared" si="108"/>
        <v>3.5131326024639975E-3</v>
      </c>
      <c r="X959" s="24">
        <v>4.2267443636444524E-2</v>
      </c>
      <c r="Y959" s="24">
        <f t="shared" si="109"/>
        <v>4.2983984991243451E-2</v>
      </c>
      <c r="Z959" s="23">
        <f t="shared" si="110"/>
        <v>3.5132985918453485E-3</v>
      </c>
      <c r="AA959" s="36"/>
    </row>
    <row r="960" spans="15:27" ht="13.9" customHeight="1" x14ac:dyDescent="0.3">
      <c r="O960" s="12">
        <f t="shared" si="104"/>
        <v>78.916666666666671</v>
      </c>
      <c r="P960" s="13">
        <v>947</v>
      </c>
      <c r="Q960" s="22">
        <v>3.5997538023416098E-2</v>
      </c>
      <c r="R960" s="19">
        <f t="shared" si="105"/>
        <v>3.6631424328208206E-2</v>
      </c>
      <c r="S960" s="22">
        <v>4.0948587499031186E-2</v>
      </c>
      <c r="T960" s="19">
        <f t="shared" si="106"/>
        <v>4.2988283549658446E-2</v>
      </c>
      <c r="U960" s="24">
        <v>4.2606899127133557E-2</v>
      </c>
      <c r="V960" s="24">
        <f t="shared" si="107"/>
        <v>4.2982057741729918E-2</v>
      </c>
      <c r="W960" s="23">
        <f t="shared" si="108"/>
        <v>3.5131435868127614E-3</v>
      </c>
      <c r="X960" s="24">
        <v>4.226820002020637E-2</v>
      </c>
      <c r="Y960" s="24">
        <f t="shared" si="109"/>
        <v>4.2984113942214019E-2</v>
      </c>
      <c r="Z960" s="23">
        <f t="shared" si="110"/>
        <v>3.5133090149797042E-3</v>
      </c>
      <c r="AA960" s="36"/>
    </row>
    <row r="961" spans="15:27" ht="13.9" customHeight="1" x14ac:dyDescent="0.3">
      <c r="O961" s="12">
        <f t="shared" si="104"/>
        <v>79</v>
      </c>
      <c r="P961" s="13">
        <v>948</v>
      </c>
      <c r="Q961" s="22">
        <v>3.5998206475592376E-2</v>
      </c>
      <c r="R961" s="19">
        <f t="shared" si="105"/>
        <v>3.6632326255175984E-2</v>
      </c>
      <c r="S961" s="22">
        <v>4.0950736974147972E-2</v>
      </c>
      <c r="T961" s="19">
        <f t="shared" si="106"/>
        <v>4.2988393432097594E-2</v>
      </c>
      <c r="U961" s="24">
        <v>4.2607294792962325E-2</v>
      </c>
      <c r="V961" s="24">
        <f t="shared" si="107"/>
        <v>4.298219268504555E-2</v>
      </c>
      <c r="W961" s="23">
        <f t="shared" si="108"/>
        <v>3.5131544886237709E-3</v>
      </c>
      <c r="X961" s="24">
        <v>4.2268954944699955E-2</v>
      </c>
      <c r="Y961" s="24">
        <f t="shared" si="109"/>
        <v>4.2984241854316263E-2</v>
      </c>
      <c r="Z961" s="23">
        <f t="shared" si="110"/>
        <v>3.5133193542251639E-3</v>
      </c>
      <c r="AA961" s="36"/>
    </row>
    <row r="962" spans="15:27" ht="13.9" customHeight="1" x14ac:dyDescent="0.3">
      <c r="O962" s="12">
        <f t="shared" si="104"/>
        <v>79.083333333333329</v>
      </c>
      <c r="P962" s="13">
        <v>949</v>
      </c>
      <c r="Q962" s="22">
        <v>3.5998874469264974E-2</v>
      </c>
      <c r="R962" s="19">
        <f t="shared" si="105"/>
        <v>3.663322068223529E-2</v>
      </c>
      <c r="S962" s="22">
        <v>4.0952882039271721E-2</v>
      </c>
      <c r="T962" s="19">
        <f t="shared" si="106"/>
        <v>4.2988502284247776E-2</v>
      </c>
      <c r="U962" s="24">
        <v>4.2607689767226731E-2</v>
      </c>
      <c r="V962" s="24">
        <f t="shared" si="107"/>
        <v>4.2982326614472433E-2</v>
      </c>
      <c r="W962" s="23">
        <f t="shared" si="108"/>
        <v>3.5131653083515513E-3</v>
      </c>
      <c r="X962" s="24">
        <v>4.226970841344313E-2</v>
      </c>
      <c r="Y962" s="24">
        <f t="shared" si="109"/>
        <v>4.2984368736846079E-2</v>
      </c>
      <c r="Z962" s="23">
        <f t="shared" si="110"/>
        <v>3.5133296101732547E-3</v>
      </c>
      <c r="AA962" s="36"/>
    </row>
    <row r="963" spans="15:27" ht="13.9" customHeight="1" x14ac:dyDescent="0.3">
      <c r="O963" s="12">
        <f t="shared" si="104"/>
        <v>79.166666666666671</v>
      </c>
      <c r="P963" s="13">
        <v>950</v>
      </c>
      <c r="Q963" s="22">
        <v>3.5999541997991491E-2</v>
      </c>
      <c r="R963" s="19">
        <f t="shared" si="105"/>
        <v>3.6634107672930405E-2</v>
      </c>
      <c r="S963" s="22">
        <v>4.0955022707233057E-2</v>
      </c>
      <c r="T963" s="19">
        <f t="shared" si="106"/>
        <v>4.2988610115190617E-2</v>
      </c>
      <c r="U963" s="24">
        <v>4.2608084051043216E-2</v>
      </c>
      <c r="V963" s="24">
        <f t="shared" si="107"/>
        <v>4.2982459535202633E-2</v>
      </c>
      <c r="W963" s="23">
        <f t="shared" si="108"/>
        <v>3.513176046784805E-3</v>
      </c>
      <c r="X963" s="24">
        <v>4.227046042994842E-2</v>
      </c>
      <c r="Y963" s="24">
        <f t="shared" si="109"/>
        <v>4.2984494597828826E-2</v>
      </c>
      <c r="Z963" s="23">
        <f t="shared" si="110"/>
        <v>3.5133397835693803E-3</v>
      </c>
      <c r="AA963" s="36"/>
    </row>
    <row r="964" spans="15:27" ht="13.9" customHeight="1" x14ac:dyDescent="0.3">
      <c r="O964" s="12">
        <f t="shared" si="104"/>
        <v>79.25</v>
      </c>
      <c r="P964" s="13">
        <v>951</v>
      </c>
      <c r="Q964" s="22">
        <v>3.6000209055423449E-2</v>
      </c>
      <c r="R964" s="19">
        <f t="shared" si="105"/>
        <v>3.6634987286968679E-2</v>
      </c>
      <c r="S964" s="22">
        <v>4.0957158990818199E-2</v>
      </c>
      <c r="T964" s="19">
        <f t="shared" si="106"/>
        <v>4.2988716934641902E-2</v>
      </c>
      <c r="U964" s="24">
        <v>4.260847764552933E-2</v>
      </c>
      <c r="V964" s="24">
        <f t="shared" si="107"/>
        <v>4.2982591456710573E-2</v>
      </c>
      <c r="W964" s="23">
        <f t="shared" si="108"/>
        <v>3.5131867043396436E-3</v>
      </c>
      <c r="X964" s="24">
        <v>4.2271210997722131E-2</v>
      </c>
      <c r="Y964" s="24">
        <f t="shared" si="109"/>
        <v>4.2984619444225602E-2</v>
      </c>
      <c r="Z964" s="23">
        <f t="shared" si="110"/>
        <v>3.5133498750570258E-3</v>
      </c>
      <c r="AA964" s="36"/>
    </row>
    <row r="965" spans="15:27" ht="13.9" customHeight="1" x14ac:dyDescent="0.3">
      <c r="O965" s="12">
        <f t="shared" si="104"/>
        <v>79.333333333333329</v>
      </c>
      <c r="P965" s="13">
        <v>952</v>
      </c>
      <c r="Q965" s="22">
        <v>3.6000875635302076E-2</v>
      </c>
      <c r="R965" s="19">
        <f t="shared" si="105"/>
        <v>3.6635859589150721E-2</v>
      </c>
      <c r="S965" s="22">
        <v>4.0959290902770062E-2</v>
      </c>
      <c r="T965" s="19">
        <f t="shared" si="106"/>
        <v>4.2988822752653144E-2</v>
      </c>
      <c r="U965" s="24">
        <v>4.2608870551807732E-2</v>
      </c>
      <c r="V965" s="24">
        <f t="shared" si="107"/>
        <v>4.2982722386372352E-2</v>
      </c>
      <c r="W965" s="23">
        <f t="shared" si="108"/>
        <v>3.5131972817759038E-3</v>
      </c>
      <c r="X965" s="24">
        <v>4.2271960120263241E-2</v>
      </c>
      <c r="Y965" s="24">
        <f t="shared" si="109"/>
        <v>4.2984743286476723E-2</v>
      </c>
      <c r="Z965" s="23">
        <f t="shared" si="110"/>
        <v>3.5133598851946335E-3</v>
      </c>
      <c r="AA965" s="36"/>
    </row>
    <row r="966" spans="15:27" ht="13.9" customHeight="1" x14ac:dyDescent="0.3">
      <c r="O966" s="12">
        <f t="shared" si="104"/>
        <v>79.416666666666671</v>
      </c>
      <c r="P966" s="13">
        <v>953</v>
      </c>
      <c r="Q966" s="22">
        <v>3.6001541731462305E-2</v>
      </c>
      <c r="R966" s="19">
        <f t="shared" si="105"/>
        <v>3.6636724637506557E-2</v>
      </c>
      <c r="S966" s="22">
        <v>4.0961418455788268E-2</v>
      </c>
      <c r="T966" s="19">
        <f t="shared" si="106"/>
        <v>4.2988927577914504E-2</v>
      </c>
      <c r="U966" s="24">
        <v>4.2609262771004186E-2</v>
      </c>
      <c r="V966" s="24">
        <f t="shared" si="107"/>
        <v>4.2982852330017529E-2</v>
      </c>
      <c r="W966" s="23">
        <f t="shared" si="108"/>
        <v>3.5132077796848904E-3</v>
      </c>
      <c r="X966" s="24">
        <v>4.2272707801066733E-2</v>
      </c>
      <c r="Y966" s="24">
        <f t="shared" si="109"/>
        <v>4.2984866130284516E-2</v>
      </c>
      <c r="Z966" s="23">
        <f t="shared" si="110"/>
        <v>3.5133698148190895E-3</v>
      </c>
      <c r="AA966" s="36"/>
    </row>
    <row r="967" spans="15:27" ht="13.9" customHeight="1" x14ac:dyDescent="0.3">
      <c r="O967" s="12">
        <f t="shared" si="104"/>
        <v>79.5</v>
      </c>
      <c r="P967" s="13">
        <v>954</v>
      </c>
      <c r="Q967" s="22">
        <v>3.6002207337826109E-2</v>
      </c>
      <c r="R967" s="19">
        <f t="shared" si="105"/>
        <v>3.66375824941505E-2</v>
      </c>
      <c r="S967" s="22">
        <v>4.0963541662528691E-2</v>
      </c>
      <c r="T967" s="19">
        <f t="shared" si="106"/>
        <v>4.298903141951893E-2</v>
      </c>
      <c r="U967" s="24">
        <v>4.2609654304245792E-2</v>
      </c>
      <c r="V967" s="24">
        <f t="shared" si="107"/>
        <v>4.2982981296383338E-2</v>
      </c>
      <c r="W967" s="23">
        <f t="shared" si="108"/>
        <v>3.5132181985340072E-3</v>
      </c>
      <c r="X967" s="24">
        <v>4.2273454043619152E-2</v>
      </c>
      <c r="Y967" s="24">
        <f t="shared" si="109"/>
        <v>4.2984987984923118E-2</v>
      </c>
      <c r="Z967" s="23">
        <f t="shared" si="110"/>
        <v>3.5133796643875836E-3</v>
      </c>
      <c r="AA967" s="36"/>
    </row>
    <row r="968" spans="15:27" ht="13.9" customHeight="1" x14ac:dyDescent="0.3">
      <c r="O968" s="12">
        <f t="shared" si="104"/>
        <v>79.583333333333329</v>
      </c>
      <c r="P968" s="13">
        <v>955</v>
      </c>
      <c r="Q968" s="22">
        <v>3.6002872448405832E-2</v>
      </c>
      <c r="R968" s="19">
        <f t="shared" si="105"/>
        <v>3.6638433217686561E-2</v>
      </c>
      <c r="S968" s="22">
        <v>4.0965660535603687E-2</v>
      </c>
      <c r="T968" s="19">
        <f t="shared" si="106"/>
        <v>4.2989134288229147E-2</v>
      </c>
      <c r="U968" s="24">
        <v>4.2610045152664089E-2</v>
      </c>
      <c r="V968" s="24">
        <f t="shared" si="107"/>
        <v>4.2983109293066368E-2</v>
      </c>
      <c r="W968" s="23">
        <f t="shared" si="108"/>
        <v>3.513228539024027E-3</v>
      </c>
      <c r="X968" s="24">
        <v>4.2274198851402156E-2</v>
      </c>
      <c r="Y968" s="24">
        <f t="shared" si="109"/>
        <v>4.298510885939244E-2</v>
      </c>
      <c r="Z968" s="23">
        <f t="shared" si="110"/>
        <v>3.5133894346439654E-3</v>
      </c>
      <c r="AA968" s="36"/>
    </row>
    <row r="969" spans="15:27" ht="13.9" customHeight="1" x14ac:dyDescent="0.3">
      <c r="O969" s="12">
        <f t="shared" si="104"/>
        <v>79.666666666666671</v>
      </c>
      <c r="P969" s="13">
        <v>956</v>
      </c>
      <c r="Q969" s="22">
        <v>3.6003537057299972E-2</v>
      </c>
      <c r="R969" s="19">
        <f t="shared" si="105"/>
        <v>3.6639276868561499E-2</v>
      </c>
      <c r="S969" s="22">
        <v>4.0967775087583869E-2</v>
      </c>
      <c r="T969" s="19">
        <f t="shared" si="106"/>
        <v>4.2989236190853042E-2</v>
      </c>
      <c r="U969" s="24">
        <v>4.2610435317393947E-2</v>
      </c>
      <c r="V969" s="24">
        <f t="shared" si="107"/>
        <v>4.2983236326859187E-2</v>
      </c>
      <c r="W969" s="23">
        <f t="shared" si="108"/>
        <v>3.5132388017640181E-3</v>
      </c>
      <c r="X969" s="24">
        <v>4.2274942227892076E-2</v>
      </c>
      <c r="Y969" s="24">
        <f t="shared" si="109"/>
        <v>4.2985228759206739E-2</v>
      </c>
      <c r="Z969" s="23">
        <f t="shared" si="110"/>
        <v>3.5133991263096576E-3</v>
      </c>
      <c r="AA969" s="36"/>
    </row>
    <row r="970" spans="15:27" ht="13.9" customHeight="1" x14ac:dyDescent="0.3">
      <c r="O970" s="12">
        <f t="shared" si="104"/>
        <v>79.75</v>
      </c>
      <c r="P970" s="13">
        <v>957</v>
      </c>
      <c r="Q970" s="22">
        <v>3.600420115869496E-2</v>
      </c>
      <c r="R970" s="19">
        <f t="shared" si="105"/>
        <v>3.6640113505947758E-2</v>
      </c>
      <c r="S970" s="22">
        <v>4.0969885330994771E-2</v>
      </c>
      <c r="T970" s="19">
        <f t="shared" si="106"/>
        <v>4.2989337138726214E-2</v>
      </c>
      <c r="U970" s="24">
        <v>4.2610824799572233E-2</v>
      </c>
      <c r="V970" s="24">
        <f t="shared" si="107"/>
        <v>4.2983362405321746E-2</v>
      </c>
      <c r="W970" s="23">
        <f t="shared" si="108"/>
        <v>3.5132489872986561E-3</v>
      </c>
      <c r="X970" s="24">
        <v>4.2275684176556583E-2</v>
      </c>
      <c r="Y970" s="24">
        <f t="shared" si="109"/>
        <v>4.2985347694457721E-2</v>
      </c>
      <c r="Z970" s="23">
        <f t="shared" si="110"/>
        <v>3.5134087398269731E-3</v>
      </c>
      <c r="AA970" s="36"/>
    </row>
    <row r="971" spans="15:27" ht="13.9" customHeight="1" x14ac:dyDescent="0.3">
      <c r="O971" s="12">
        <f t="shared" si="104"/>
        <v>79.833333333333329</v>
      </c>
      <c r="P971" s="13">
        <v>958</v>
      </c>
      <c r="Q971" s="22">
        <v>3.6004864746863152E-2</v>
      </c>
      <c r="R971" s="19">
        <f t="shared" si="105"/>
        <v>3.6640943186601493E-2</v>
      </c>
      <c r="S971" s="22">
        <v>4.0971991278321296E-2</v>
      </c>
      <c r="T971" s="19">
        <f t="shared" si="106"/>
        <v>4.2989437138880149E-2</v>
      </c>
      <c r="U971" s="24">
        <v>4.261121360033937E-2</v>
      </c>
      <c r="V971" s="24">
        <f t="shared" si="107"/>
        <v>4.298348753401493E-2</v>
      </c>
      <c r="W971" s="23">
        <f t="shared" si="108"/>
        <v>3.5132590962339005E-3</v>
      </c>
      <c r="X971" s="24">
        <v>4.227642470085935E-2</v>
      </c>
      <c r="Y971" s="24">
        <f t="shared" si="109"/>
        <v>4.2985465671081746E-2</v>
      </c>
      <c r="Z971" s="23">
        <f t="shared" si="110"/>
        <v>3.5134182760048205E-3</v>
      </c>
      <c r="AA971" s="36"/>
    </row>
    <row r="972" spans="15:27" ht="13.9" customHeight="1" x14ac:dyDescent="0.3">
      <c r="O972" s="12">
        <f t="shared" si="104"/>
        <v>79.916666666666671</v>
      </c>
      <c r="P972" s="13">
        <v>959</v>
      </c>
      <c r="Q972" s="22">
        <v>3.6005527816160177E-2</v>
      </c>
      <c r="R972" s="19">
        <f t="shared" si="105"/>
        <v>3.664176597079627E-2</v>
      </c>
      <c r="S972" s="22">
        <v>4.0974092942003715E-2</v>
      </c>
      <c r="T972" s="19">
        <f t="shared" si="106"/>
        <v>4.2989536202325818E-2</v>
      </c>
      <c r="U972" s="24">
        <v>4.2611601720836667E-2</v>
      </c>
      <c r="V972" s="24">
        <f t="shared" si="107"/>
        <v>4.2983611723936166E-2</v>
      </c>
      <c r="W972" s="23">
        <f t="shared" si="108"/>
        <v>3.5132691290158391E-3</v>
      </c>
      <c r="X972" s="24">
        <v>4.2277163804255835E-2</v>
      </c>
      <c r="Y972" s="24">
        <f t="shared" si="109"/>
        <v>4.2985582698404912E-2</v>
      </c>
      <c r="Z972" s="23">
        <f t="shared" si="110"/>
        <v>3.5134277353194854E-3</v>
      </c>
      <c r="AA972" s="36"/>
    </row>
    <row r="973" spans="15:27" ht="13.9" customHeight="1" x14ac:dyDescent="0.3">
      <c r="O973" s="12">
        <f t="shared" si="104"/>
        <v>80</v>
      </c>
      <c r="P973" s="13">
        <v>960</v>
      </c>
      <c r="Q973" s="22">
        <v>3.600619036102759E-2</v>
      </c>
      <c r="R973" s="19">
        <f t="shared" si="105"/>
        <v>3.6642581913234551E-2</v>
      </c>
      <c r="S973" s="22">
        <v>4.0976190334441887E-2</v>
      </c>
      <c r="T973" s="19">
        <f t="shared" si="106"/>
        <v>4.2989634335569349E-2</v>
      </c>
      <c r="U973" s="24">
        <v>4.2611989162211872E-2</v>
      </c>
      <c r="V973" s="24">
        <f t="shared" si="107"/>
        <v>4.2983734977568355E-2</v>
      </c>
      <c r="W973" s="23">
        <f t="shared" si="108"/>
        <v>3.5132790865262109E-3</v>
      </c>
      <c r="X973" s="24">
        <v>4.2277901490196834E-2</v>
      </c>
      <c r="Y973" s="24">
        <f t="shared" si="109"/>
        <v>4.2985698782925796E-2</v>
      </c>
      <c r="Z973" s="23">
        <f t="shared" si="110"/>
        <v>3.513437118518592E-3</v>
      </c>
      <c r="AA973" s="36"/>
    </row>
    <row r="974" spans="15:27" ht="13.9" customHeight="1" x14ac:dyDescent="0.3">
      <c r="O974" s="12">
        <f t="shared" ref="O974:O1037" si="111">P974/12</f>
        <v>80.083333333333329</v>
      </c>
      <c r="P974" s="13">
        <v>961</v>
      </c>
      <c r="Q974" s="22">
        <v>3.6006852375987108E-2</v>
      </c>
      <c r="R974" s="19">
        <f t="shared" ref="R974:R1037" si="112">(1+Q975)^P975/(1+Q974)^P974-1</f>
        <v>3.6643391073319931E-2</v>
      </c>
      <c r="S974" s="22">
        <v>4.0978283467991039E-2</v>
      </c>
      <c r="T974" s="19">
        <f t="shared" ref="T974:T1037" si="113">(1+S975)^P975/(1+S974)^P974-1</f>
        <v>4.298973154906216E-2</v>
      </c>
      <c r="U974" s="24">
        <v>4.2612375925611179E-2</v>
      </c>
      <c r="V974" s="24">
        <f t="shared" ref="V974:V1037" si="114">(1+U975)^P975/(1+U974)^P974-1</f>
        <v>4.2983857305215922E-2</v>
      </c>
      <c r="W974" s="23">
        <f t="shared" si="108"/>
        <v>3.51328896896419E-3</v>
      </c>
      <c r="X974" s="24">
        <v>4.2278637762125593E-2</v>
      </c>
      <c r="Y974" s="24">
        <f t="shared" si="109"/>
        <v>4.2985813932515882E-2</v>
      </c>
      <c r="Z974" s="23">
        <f t="shared" si="110"/>
        <v>3.513446426123501E-3</v>
      </c>
      <c r="AA974" s="36"/>
    </row>
    <row r="975" spans="15:27" ht="13.9" customHeight="1" x14ac:dyDescent="0.3">
      <c r="O975" s="12">
        <f t="shared" si="111"/>
        <v>80.166666666666671</v>
      </c>
      <c r="P975" s="13">
        <v>962</v>
      </c>
      <c r="Q975" s="22">
        <v>3.6007513855645046E-2</v>
      </c>
      <c r="R975" s="19">
        <f t="shared" si="112"/>
        <v>3.6644193506514267E-2</v>
      </c>
      <c r="S975" s="22">
        <v>4.0980372354965544E-2</v>
      </c>
      <c r="T975" s="19">
        <f t="shared" si="113"/>
        <v>4.298982785030514E-2</v>
      </c>
      <c r="U975" s="24">
        <v>4.261276201218589E-2</v>
      </c>
      <c r="V975" s="24">
        <f t="shared" si="114"/>
        <v>4.2983978712126891E-2</v>
      </c>
      <c r="W975" s="23">
        <f t="shared" ref="W975:W1038" si="115">(1+V974)^(1/12)-1</f>
        <v>3.5132987771560042E-3</v>
      </c>
      <c r="X975" s="24">
        <v>4.2279372623478917E-2</v>
      </c>
      <c r="Y975" s="24">
        <f t="shared" ref="Y975:Y1038" si="116">(1+X976)^P976/(1+X975)^P975-1</f>
        <v>4.2985928155299336E-2</v>
      </c>
      <c r="Z975" s="23">
        <f t="shared" ref="Z975:Z1038" si="117">(1+Y974)^(1/12)-1</f>
        <v>3.5134556587648191E-3</v>
      </c>
      <c r="AA975" s="36"/>
    </row>
    <row r="976" spans="15:27" ht="13.9" customHeight="1" x14ac:dyDescent="0.3">
      <c r="O976" s="12">
        <f t="shared" si="111"/>
        <v>80.25</v>
      </c>
      <c r="P976" s="13">
        <v>963</v>
      </c>
      <c r="Q976" s="22">
        <v>3.6008174794687431E-2</v>
      </c>
      <c r="R976" s="19">
        <f t="shared" si="112"/>
        <v>3.6644989268753703E-2</v>
      </c>
      <c r="S976" s="22">
        <v>4.0982457007636919E-2</v>
      </c>
      <c r="T976" s="19">
        <f t="shared" si="113"/>
        <v>4.2989923248544226E-2</v>
      </c>
      <c r="U976" s="24">
        <v>4.2613147423088638E-2</v>
      </c>
      <c r="V976" s="24">
        <f t="shared" si="114"/>
        <v>4.298409920593782E-2</v>
      </c>
      <c r="W976" s="23">
        <f t="shared" si="115"/>
        <v>3.5133085115222062E-3</v>
      </c>
      <c r="X976" s="24">
        <v>4.2280106077688062E-2</v>
      </c>
      <c r="Y976" s="24">
        <f t="shared" si="116"/>
        <v>4.298604145797813E-2</v>
      </c>
      <c r="Z976" s="23">
        <f t="shared" si="117"/>
        <v>3.5134648170944693E-3</v>
      </c>
      <c r="AA976" s="36"/>
    </row>
    <row r="977" spans="15:27" ht="13.9" customHeight="1" x14ac:dyDescent="0.3">
      <c r="O977" s="12">
        <f t="shared" si="111"/>
        <v>80.333333333333329</v>
      </c>
      <c r="P977" s="13">
        <v>964</v>
      </c>
      <c r="Q977" s="22">
        <v>3.6008835187880672E-2</v>
      </c>
      <c r="R977" s="19">
        <f t="shared" si="112"/>
        <v>3.6645778415489882E-2</v>
      </c>
      <c r="S977" s="22">
        <v>4.0984537438234936E-2</v>
      </c>
      <c r="T977" s="19">
        <f t="shared" si="113"/>
        <v>4.2990017752069676E-2</v>
      </c>
      <c r="U977" s="24">
        <v>4.2613532159474943E-2</v>
      </c>
      <c r="V977" s="24">
        <f t="shared" si="114"/>
        <v>4.298421879343417E-2</v>
      </c>
      <c r="W977" s="23">
        <f t="shared" si="115"/>
        <v>3.513318172675417E-3</v>
      </c>
      <c r="X977" s="24">
        <v>4.2280838128176956E-2</v>
      </c>
      <c r="Y977" s="24">
        <f t="shared" si="116"/>
        <v>4.298615384825788E-2</v>
      </c>
      <c r="Z977" s="23">
        <f t="shared" si="117"/>
        <v>3.5134739016495775E-3</v>
      </c>
      <c r="AA977" s="36"/>
    </row>
    <row r="978" spans="15:27" ht="13.9" customHeight="1" x14ac:dyDescent="0.3">
      <c r="O978" s="12">
        <f t="shared" si="111"/>
        <v>80.416666666666671</v>
      </c>
      <c r="P978" s="13">
        <v>965</v>
      </c>
      <c r="Q978" s="22">
        <v>3.6009495030070005E-2</v>
      </c>
      <c r="R978" s="19">
        <f t="shared" si="112"/>
        <v>3.6646561002760647E-2</v>
      </c>
      <c r="S978" s="22">
        <v>4.0986613658947624E-2</v>
      </c>
      <c r="T978" s="19">
        <f t="shared" si="113"/>
        <v>4.2990111368962136E-2</v>
      </c>
      <c r="U978" s="24">
        <v>4.2613916222502546E-2</v>
      </c>
      <c r="V978" s="24">
        <f t="shared" si="114"/>
        <v>4.2984337481438262E-2</v>
      </c>
      <c r="W978" s="23">
        <f t="shared" si="115"/>
        <v>3.5133277611596458E-3</v>
      </c>
      <c r="X978" s="24">
        <v>4.228156877836331E-2</v>
      </c>
      <c r="Y978" s="24">
        <f t="shared" si="116"/>
        <v>4.2986265333284868E-2</v>
      </c>
      <c r="Z978" s="23">
        <f t="shared" si="117"/>
        <v>3.5134829130480938E-3</v>
      </c>
      <c r="AA978" s="36"/>
    </row>
    <row r="979" spans="15:27" ht="13.9" customHeight="1" x14ac:dyDescent="0.3">
      <c r="O979" s="12">
        <f t="shared" si="111"/>
        <v>80.5</v>
      </c>
      <c r="P979" s="13">
        <v>966</v>
      </c>
      <c r="Q979" s="22">
        <v>3.6010154316180154E-2</v>
      </c>
      <c r="R979" s="19">
        <f t="shared" si="112"/>
        <v>3.6647337083428599E-2</v>
      </c>
      <c r="S979" s="22">
        <v>4.0988685681920822E-2</v>
      </c>
      <c r="T979" s="19">
        <f t="shared" si="113"/>
        <v>4.2990204108251939E-2</v>
      </c>
      <c r="U979" s="24">
        <v>4.2614299613331408E-2</v>
      </c>
      <c r="V979" s="24">
        <f t="shared" si="114"/>
        <v>4.2984455276557698E-2</v>
      </c>
      <c r="W979" s="23">
        <f t="shared" si="115"/>
        <v>3.5133372775220106E-3</v>
      </c>
      <c r="X979" s="24">
        <v>4.228229803165795E-2</v>
      </c>
      <c r="Y979" s="24">
        <f t="shared" si="116"/>
        <v>4.2986375920957665E-2</v>
      </c>
      <c r="Z979" s="23">
        <f t="shared" si="117"/>
        <v>3.5134918518631153E-3</v>
      </c>
      <c r="AA979" s="36"/>
    </row>
    <row r="980" spans="15:27" ht="13.9" customHeight="1" x14ac:dyDescent="0.3">
      <c r="O980" s="12">
        <f t="shared" si="111"/>
        <v>80.583333333333329</v>
      </c>
      <c r="P980" s="13">
        <v>967</v>
      </c>
      <c r="Q980" s="22">
        <v>3.6010813041211343E-2</v>
      </c>
      <c r="R980" s="19">
        <f t="shared" si="112"/>
        <v>3.664810671443286E-2</v>
      </c>
      <c r="S980" s="22">
        <v>4.0990753519259293E-2</v>
      </c>
      <c r="T980" s="19">
        <f t="shared" si="113"/>
        <v>4.2990295977610504E-2</v>
      </c>
      <c r="U980" s="24">
        <v>4.261468233312371E-2</v>
      </c>
      <c r="V980" s="24">
        <f t="shared" si="114"/>
        <v>4.2984572186142822E-2</v>
      </c>
      <c r="W980" s="23">
        <f t="shared" si="115"/>
        <v>3.5133467222920878E-3</v>
      </c>
      <c r="X980" s="24">
        <v>4.2283025891465931E-2</v>
      </c>
      <c r="Y980" s="24">
        <f t="shared" si="116"/>
        <v>4.2986485617839465E-2</v>
      </c>
      <c r="Z980" s="23">
        <f t="shared" si="117"/>
        <v>3.5135007187276912E-3</v>
      </c>
      <c r="AA980" s="36"/>
    </row>
    <row r="981" spans="15:27" ht="13.9" customHeight="1" x14ac:dyDescent="0.3">
      <c r="O981" s="12">
        <f t="shared" si="111"/>
        <v>80.666666666666671</v>
      </c>
      <c r="P981" s="13">
        <v>968</v>
      </c>
      <c r="Q981" s="22">
        <v>3.6011471200243284E-2</v>
      </c>
      <c r="R981" s="19">
        <f t="shared" si="112"/>
        <v>3.6648869945876017E-2</v>
      </c>
      <c r="S981" s="22">
        <v>4.0992817183026053E-2</v>
      </c>
      <c r="T981" s="19">
        <f t="shared" si="113"/>
        <v>4.2990386985044537E-2</v>
      </c>
      <c r="U981" s="24">
        <v>4.2615064383044299E-2</v>
      </c>
      <c r="V981" s="24">
        <f t="shared" si="114"/>
        <v>4.2984688215215838E-2</v>
      </c>
      <c r="W981" s="23">
        <f t="shared" si="115"/>
        <v>3.5133560960594057E-3</v>
      </c>
      <c r="X981" s="24">
        <v>4.2283752361184979E-2</v>
      </c>
      <c r="Y981" s="24">
        <f t="shared" si="116"/>
        <v>4.2986594431488223E-2</v>
      </c>
      <c r="Z981" s="23">
        <f t="shared" si="117"/>
        <v>3.5135095141682893E-3</v>
      </c>
      <c r="AA981" s="36"/>
    </row>
    <row r="982" spans="15:27" ht="13.9" customHeight="1" x14ac:dyDescent="0.3">
      <c r="O982" s="12">
        <f t="shared" si="111"/>
        <v>80.75</v>
      </c>
      <c r="P982" s="13">
        <v>969</v>
      </c>
      <c r="Q982" s="22">
        <v>3.6012128788427633E-2</v>
      </c>
      <c r="R982" s="19">
        <f t="shared" si="112"/>
        <v>3.6649626834434512E-2</v>
      </c>
      <c r="S982" s="22">
        <v>4.0994876685242598E-2</v>
      </c>
      <c r="T982" s="19">
        <f t="shared" si="113"/>
        <v>4.2990477138931338E-2</v>
      </c>
      <c r="U982" s="24">
        <v>4.2615445764258464E-2</v>
      </c>
      <c r="V982" s="24">
        <f t="shared" si="114"/>
        <v>4.2984803372336344E-2</v>
      </c>
      <c r="W982" s="23">
        <f t="shared" si="115"/>
        <v>3.5133653992265312E-3</v>
      </c>
      <c r="X982" s="24">
        <v>4.2284477444206381E-2</v>
      </c>
      <c r="Y982" s="24">
        <f t="shared" si="116"/>
        <v>4.2986702368629448E-2</v>
      </c>
      <c r="Z982" s="23">
        <f t="shared" si="117"/>
        <v>3.5135182387908692E-3</v>
      </c>
      <c r="AA982" s="36"/>
    </row>
    <row r="983" spans="15:27" ht="13.9" customHeight="1" x14ac:dyDescent="0.3">
      <c r="O983" s="12">
        <f t="shared" si="111"/>
        <v>80.833333333333329</v>
      </c>
      <c r="P983" s="13">
        <v>970</v>
      </c>
      <c r="Q983" s="22">
        <v>3.6012785800994651E-2</v>
      </c>
      <c r="R983" s="19">
        <f t="shared" si="112"/>
        <v>3.6650377429878311E-2</v>
      </c>
      <c r="S983" s="22">
        <v>4.0996932037889122E-2</v>
      </c>
      <c r="T983" s="19">
        <f t="shared" si="113"/>
        <v>4.2990566447504985E-2</v>
      </c>
      <c r="U983" s="24">
        <v>4.261582647793527E-2</v>
      </c>
      <c r="V983" s="24">
        <f t="shared" si="114"/>
        <v>4.298491766301038E-2</v>
      </c>
      <c r="W983" s="23">
        <f t="shared" si="115"/>
        <v>3.5133746324800263E-3</v>
      </c>
      <c r="X983" s="24">
        <v>4.2285201143914763E-2</v>
      </c>
      <c r="Y983" s="24">
        <f t="shared" si="116"/>
        <v>4.2986809436676543E-2</v>
      </c>
      <c r="Z983" s="23">
        <f t="shared" si="117"/>
        <v>3.5135268931347774E-3</v>
      </c>
      <c r="AA983" s="36"/>
    </row>
    <row r="984" spans="15:27" ht="13.9" customHeight="1" x14ac:dyDescent="0.3">
      <c r="O984" s="12">
        <f t="shared" si="111"/>
        <v>80.916666666666671</v>
      </c>
      <c r="P984" s="13">
        <v>971</v>
      </c>
      <c r="Q984" s="22">
        <v>3.6013442233245208E-2</v>
      </c>
      <c r="R984" s="19">
        <f t="shared" si="112"/>
        <v>3.665112178797103E-2</v>
      </c>
      <c r="S984" s="22">
        <v>4.0998983252905408E-2</v>
      </c>
      <c r="T984" s="19">
        <f t="shared" si="113"/>
        <v>4.2990654918464433E-2</v>
      </c>
      <c r="U984" s="24">
        <v>4.2616206525244893E-2</v>
      </c>
      <c r="V984" s="24">
        <f t="shared" si="114"/>
        <v>4.2985031094450177E-2</v>
      </c>
      <c r="W984" s="23">
        <f t="shared" si="115"/>
        <v>3.5133837962610937E-3</v>
      </c>
      <c r="X984" s="24">
        <v>4.2285923463688091E-2</v>
      </c>
      <c r="Y984" s="24">
        <f t="shared" si="116"/>
        <v>4.2986915643322243E-2</v>
      </c>
      <c r="Z984" s="23">
        <f t="shared" si="117"/>
        <v>3.5135354777942052E-3</v>
      </c>
      <c r="AA984" s="36"/>
    </row>
    <row r="985" spans="15:27" ht="13.9" customHeight="1" x14ac:dyDescent="0.3">
      <c r="O985" s="12">
        <f t="shared" si="111"/>
        <v>81</v>
      </c>
      <c r="P985" s="13">
        <v>972</v>
      </c>
      <c r="Q985" s="22">
        <v>3.6014098080557E-2</v>
      </c>
      <c r="R985" s="19">
        <f t="shared" si="112"/>
        <v>3.6651859957404387E-2</v>
      </c>
      <c r="S985" s="22">
        <v>4.1001030342189937E-2</v>
      </c>
      <c r="T985" s="19">
        <f t="shared" si="113"/>
        <v>4.299074255959745E-2</v>
      </c>
      <c r="U985" s="24">
        <v>4.2616585907360172E-2</v>
      </c>
      <c r="V985" s="24">
        <f t="shared" si="114"/>
        <v>4.298514367214934E-2</v>
      </c>
      <c r="W985" s="23">
        <f t="shared" si="115"/>
        <v>3.5133928911483814E-3</v>
      </c>
      <c r="X985" s="24">
        <v>4.2286644406898555E-2</v>
      </c>
      <c r="Y985" s="24">
        <f t="shared" si="116"/>
        <v>4.298702099357965E-2</v>
      </c>
      <c r="Z985" s="23">
        <f t="shared" si="117"/>
        <v>3.5135439933862145E-3</v>
      </c>
      <c r="AA985" s="36"/>
    </row>
    <row r="986" spans="15:27" ht="13.9" customHeight="1" x14ac:dyDescent="0.3">
      <c r="O986" s="12">
        <f t="shared" si="111"/>
        <v>81.083333333333329</v>
      </c>
      <c r="P986" s="13">
        <v>973</v>
      </c>
      <c r="Q986" s="22">
        <v>3.6014753338376559E-2</v>
      </c>
      <c r="R986" s="19">
        <f t="shared" si="112"/>
        <v>3.6652591991956474E-2</v>
      </c>
      <c r="S986" s="22">
        <v>4.1003073317600114E-2</v>
      </c>
      <c r="T986" s="19">
        <f t="shared" si="113"/>
        <v>4.2990829378336537E-2</v>
      </c>
      <c r="U986" s="24">
        <v>4.261696462545439E-2</v>
      </c>
      <c r="V986" s="24">
        <f t="shared" si="114"/>
        <v>4.2985255402671285E-2</v>
      </c>
      <c r="W986" s="23">
        <f t="shared" si="115"/>
        <v>3.513401917582204E-3</v>
      </c>
      <c r="X986" s="24">
        <v>4.2287363976909464E-2</v>
      </c>
      <c r="Y986" s="24">
        <f t="shared" si="116"/>
        <v>4.2987125496000367E-2</v>
      </c>
      <c r="Z986" s="23">
        <f t="shared" si="117"/>
        <v>3.5135524403127061E-3</v>
      </c>
      <c r="AA986" s="36"/>
    </row>
    <row r="987" spans="15:27" ht="13.9" customHeight="1" x14ac:dyDescent="0.3">
      <c r="O987" s="12">
        <f t="shared" si="111"/>
        <v>81.166666666666671</v>
      </c>
      <c r="P987" s="13">
        <v>974</v>
      </c>
      <c r="Q987" s="22">
        <v>3.601540800222458E-2</v>
      </c>
      <c r="R987" s="19">
        <f t="shared" si="112"/>
        <v>3.6653317941766961E-2</v>
      </c>
      <c r="S987" s="22">
        <v>4.1005112190952486E-2</v>
      </c>
      <c r="T987" s="19">
        <f t="shared" si="113"/>
        <v>4.2990915383629424E-2</v>
      </c>
      <c r="U987" s="24">
        <v>4.2617342680703274E-2</v>
      </c>
      <c r="V987" s="24">
        <f t="shared" si="114"/>
        <v>4.2985366293568861E-2</v>
      </c>
      <c r="W987" s="23">
        <f t="shared" si="115"/>
        <v>3.5134108760885852E-3</v>
      </c>
      <c r="X987" s="24">
        <v>4.2288082177079245E-2</v>
      </c>
      <c r="Y987" s="24">
        <f t="shared" si="116"/>
        <v>4.2987229156491003E-2</v>
      </c>
      <c r="Z987" s="23">
        <f t="shared" si="117"/>
        <v>3.5135608192593537E-3</v>
      </c>
      <c r="AA987" s="36"/>
    </row>
    <row r="988" spans="15:27" ht="13.9" customHeight="1" x14ac:dyDescent="0.3">
      <c r="O988" s="12">
        <f t="shared" si="111"/>
        <v>81.25</v>
      </c>
      <c r="P988" s="13">
        <v>975</v>
      </c>
      <c r="Q988" s="22">
        <v>3.6016062067691257E-2</v>
      </c>
      <c r="R988" s="19">
        <f t="shared" si="112"/>
        <v>3.6654037856957755E-2</v>
      </c>
      <c r="S988" s="22">
        <v>4.10071469740243E-2</v>
      </c>
      <c r="T988" s="19">
        <f t="shared" si="113"/>
        <v>4.2991000581759309E-2</v>
      </c>
      <c r="U988" s="24">
        <v>4.2617720074284993E-2</v>
      </c>
      <c r="V988" s="24">
        <f t="shared" si="114"/>
        <v>4.2985476350659413E-2</v>
      </c>
      <c r="W988" s="23">
        <f t="shared" si="115"/>
        <v>3.5134197672737066E-3</v>
      </c>
      <c r="X988" s="24">
        <v>4.2288799010758549E-2</v>
      </c>
      <c r="Y988" s="24">
        <f t="shared" si="116"/>
        <v>4.2987331983233901E-2</v>
      </c>
      <c r="Z988" s="23">
        <f t="shared" si="117"/>
        <v>3.5135691306995565E-3</v>
      </c>
      <c r="AA988" s="36"/>
    </row>
    <row r="989" spans="15:27" ht="13.9" customHeight="1" x14ac:dyDescent="0.3">
      <c r="O989" s="12">
        <f t="shared" si="111"/>
        <v>81.333333333333329</v>
      </c>
      <c r="P989" s="13">
        <v>976</v>
      </c>
      <c r="Q989" s="22">
        <v>3.6016715530436283E-2</v>
      </c>
      <c r="R989" s="19">
        <f t="shared" si="112"/>
        <v>3.6654751789367834E-2</v>
      </c>
      <c r="S989" s="22">
        <v>4.1009177678551056E-2</v>
      </c>
      <c r="T989" s="19">
        <f t="shared" si="113"/>
        <v>4.2991084980479322E-2</v>
      </c>
      <c r="U989" s="24">
        <v>4.2618096807379047E-2</v>
      </c>
      <c r="V989" s="24">
        <f t="shared" si="114"/>
        <v>4.2985585578650287E-2</v>
      </c>
      <c r="W989" s="23">
        <f t="shared" si="115"/>
        <v>3.513428591603418E-3</v>
      </c>
      <c r="X989" s="24">
        <v>4.22895144812927E-2</v>
      </c>
      <c r="Y989" s="24">
        <f t="shared" si="116"/>
        <v>4.2987433981114931E-2</v>
      </c>
      <c r="Z989" s="23">
        <f t="shared" si="117"/>
        <v>3.5135773752899002E-3</v>
      </c>
      <c r="AA989" s="36"/>
    </row>
    <row r="990" spans="15:27" ht="13.9" customHeight="1" x14ac:dyDescent="0.3">
      <c r="O990" s="12">
        <f t="shared" si="111"/>
        <v>81.416666666666671</v>
      </c>
      <c r="P990" s="13">
        <v>977</v>
      </c>
      <c r="Q990" s="22">
        <v>3.6017368386190185E-2</v>
      </c>
      <c r="R990" s="19">
        <f t="shared" si="112"/>
        <v>3.6655459786918865E-2</v>
      </c>
      <c r="S990" s="22">
        <v>4.1011204316228067E-2</v>
      </c>
      <c r="T990" s="19">
        <f t="shared" si="113"/>
        <v>4.299116858841634E-2</v>
      </c>
      <c r="U990" s="24">
        <v>4.2618472881164937E-2</v>
      </c>
      <c r="V990" s="24">
        <f t="shared" si="114"/>
        <v>4.2985693986024032E-2</v>
      </c>
      <c r="W990" s="23">
        <f t="shared" si="115"/>
        <v>3.5134373494554172E-3</v>
      </c>
      <c r="X990" s="24">
        <v>4.2290228592018142E-2</v>
      </c>
      <c r="Y990" s="24">
        <f t="shared" si="116"/>
        <v>4.2987535157885004E-2</v>
      </c>
      <c r="Z990" s="23">
        <f t="shared" si="117"/>
        <v>3.5135855534216276E-3</v>
      </c>
      <c r="AA990" s="36"/>
    </row>
    <row r="991" spans="15:27" ht="13.9" customHeight="1" x14ac:dyDescent="0.3">
      <c r="O991" s="12">
        <f t="shared" si="111"/>
        <v>81.5</v>
      </c>
      <c r="P991" s="13">
        <v>978</v>
      </c>
      <c r="Q991" s="22">
        <v>3.6018020630749881E-2</v>
      </c>
      <c r="R991" s="19">
        <f t="shared" si="112"/>
        <v>3.6656161900888051E-2</v>
      </c>
      <c r="S991" s="22">
        <v>4.1013226898711785E-2</v>
      </c>
      <c r="T991" s="19">
        <f t="shared" si="113"/>
        <v>4.2991251411876874E-2</v>
      </c>
      <c r="U991" s="24">
        <v>4.2618848296826162E-2</v>
      </c>
      <c r="V991" s="24">
        <f t="shared" si="114"/>
        <v>4.2985801577934302E-2</v>
      </c>
      <c r="W991" s="23">
        <f t="shared" si="115"/>
        <v>3.5134460415100488E-3</v>
      </c>
      <c r="X991" s="24">
        <v>4.2290941346265987E-2</v>
      </c>
      <c r="Y991" s="24">
        <f t="shared" si="116"/>
        <v>4.2987635520099987E-2</v>
      </c>
      <c r="Z991" s="23">
        <f t="shared" si="117"/>
        <v>3.5135936657164635E-3</v>
      </c>
      <c r="AA991" s="36"/>
    </row>
    <row r="992" spans="15:27" ht="13.9" customHeight="1" x14ac:dyDescent="0.3">
      <c r="O992" s="12">
        <f t="shared" si="111"/>
        <v>81.583333333333329</v>
      </c>
      <c r="P992" s="13">
        <v>979</v>
      </c>
      <c r="Q992" s="22">
        <v>3.6018672259981788E-2</v>
      </c>
      <c r="R992" s="19">
        <f t="shared" si="112"/>
        <v>3.6656858178216511E-2</v>
      </c>
      <c r="S992" s="22">
        <v>4.1015245437617143E-2</v>
      </c>
      <c r="T992" s="19">
        <f t="shared" si="113"/>
        <v>4.2991333458250791E-2</v>
      </c>
      <c r="U992" s="24">
        <v>4.2619223055546218E-2</v>
      </c>
      <c r="V992" s="24">
        <f t="shared" si="114"/>
        <v>4.2985908360043013E-2</v>
      </c>
      <c r="W992" s="23">
        <f t="shared" si="115"/>
        <v>3.5134546681803158E-3</v>
      </c>
      <c r="X992" s="24">
        <v>4.229165274736002E-2</v>
      </c>
      <c r="Y992" s="24">
        <f t="shared" si="116"/>
        <v>4.298773507376219E-2</v>
      </c>
      <c r="Z992" s="23">
        <f t="shared" si="117"/>
        <v>3.5136017126999874E-3</v>
      </c>
      <c r="AA992" s="36"/>
    </row>
    <row r="993" spans="15:27" ht="13.9" customHeight="1" x14ac:dyDescent="0.3">
      <c r="O993" s="12">
        <f t="shared" si="111"/>
        <v>81.666666666666671</v>
      </c>
      <c r="P993" s="13">
        <v>980</v>
      </c>
      <c r="Q993" s="22">
        <v>3.6019323269817161E-2</v>
      </c>
      <c r="R993" s="19">
        <f t="shared" si="112"/>
        <v>3.6657548669607243E-2</v>
      </c>
      <c r="S993" s="22">
        <v>4.1017259944519768E-2</v>
      </c>
      <c r="T993" s="19">
        <f t="shared" si="113"/>
        <v>4.2991414735104261E-2</v>
      </c>
      <c r="U993" s="24">
        <v>4.2619597158509936E-2</v>
      </c>
      <c r="V993" s="24">
        <f t="shared" si="114"/>
        <v>4.2986014339176704E-2</v>
      </c>
      <c r="W993" s="23">
        <f t="shared" si="115"/>
        <v>3.5134632299200774E-3</v>
      </c>
      <c r="X993" s="24">
        <v>4.2292362798616701E-2</v>
      </c>
      <c r="Y993" s="24">
        <f t="shared" si="116"/>
        <v>4.2987833825964827E-2</v>
      </c>
      <c r="Z993" s="23">
        <f t="shared" si="117"/>
        <v>3.5136096948535922E-3</v>
      </c>
      <c r="AA993" s="36"/>
    </row>
    <row r="994" spans="15:27" ht="13.9" customHeight="1" x14ac:dyDescent="0.3">
      <c r="O994" s="12">
        <f t="shared" si="111"/>
        <v>81.75</v>
      </c>
      <c r="P994" s="13">
        <v>981</v>
      </c>
      <c r="Q994" s="22">
        <v>3.60199736562552E-2</v>
      </c>
      <c r="R994" s="19">
        <f t="shared" si="112"/>
        <v>3.6658233421455577E-2</v>
      </c>
      <c r="S994" s="22">
        <v>4.1019270430955546E-2</v>
      </c>
      <c r="T994" s="19">
        <f t="shared" si="113"/>
        <v>4.2991495250362277E-2</v>
      </c>
      <c r="U994" s="24">
        <v>4.2619970606904145E-2</v>
      </c>
      <c r="V994" s="24">
        <f t="shared" si="114"/>
        <v>4.2986119521214894E-2</v>
      </c>
      <c r="W994" s="23">
        <f t="shared" si="115"/>
        <v>3.5134717272771177E-3</v>
      </c>
      <c r="X994" s="24">
        <v>4.2293071503346491E-2</v>
      </c>
      <c r="Y994" s="24">
        <f t="shared" si="116"/>
        <v>4.2987931783012634E-2</v>
      </c>
      <c r="Z994" s="23">
        <f t="shared" si="117"/>
        <v>3.513617612745934E-3</v>
      </c>
      <c r="AA994" s="36"/>
    </row>
    <row r="995" spans="15:27" ht="13.9" customHeight="1" x14ac:dyDescent="0.3">
      <c r="O995" s="12">
        <f t="shared" si="111"/>
        <v>81.833333333333329</v>
      </c>
      <c r="P995" s="13">
        <v>982</v>
      </c>
      <c r="Q995" s="22">
        <v>3.6020623415359054E-2</v>
      </c>
      <c r="R995" s="19">
        <f t="shared" si="112"/>
        <v>3.6658912482963935E-2</v>
      </c>
      <c r="S995" s="22">
        <v>4.1021276908421278E-2</v>
      </c>
      <c r="T995" s="19">
        <f t="shared" si="113"/>
        <v>4.2991575009991623E-2</v>
      </c>
      <c r="U995" s="24">
        <v>4.2620343401916783E-2</v>
      </c>
      <c r="V995" s="24">
        <f t="shared" si="114"/>
        <v>4.2986223912782062E-2</v>
      </c>
      <c r="W995" s="23">
        <f t="shared" si="115"/>
        <v>3.5134801607223931E-3</v>
      </c>
      <c r="X995" s="24">
        <v>4.2293778864852305E-2</v>
      </c>
      <c r="Y995" s="24">
        <f t="shared" si="116"/>
        <v>4.298802895132825E-2</v>
      </c>
      <c r="Z995" s="23">
        <f t="shared" si="117"/>
        <v>3.5136254668823863E-3</v>
      </c>
      <c r="AA995" s="36"/>
    </row>
    <row r="996" spans="15:27" ht="13.9" customHeight="1" x14ac:dyDescent="0.3">
      <c r="O996" s="12">
        <f t="shared" si="111"/>
        <v>81.916666666666671</v>
      </c>
      <c r="P996" s="13">
        <v>983</v>
      </c>
      <c r="Q996" s="22">
        <v>3.6021272543257599E-2</v>
      </c>
      <c r="R996" s="19">
        <f t="shared" si="112"/>
        <v>3.6659585900012504E-2</v>
      </c>
      <c r="S996" s="22">
        <v>4.1023279388373579E-2</v>
      </c>
      <c r="T996" s="19">
        <f t="shared" si="113"/>
        <v>4.2991654021403924E-2</v>
      </c>
      <c r="U996" s="24">
        <v>4.2620715544737786E-2</v>
      </c>
      <c r="V996" s="24">
        <f t="shared" si="114"/>
        <v>4.2986327517921863E-2</v>
      </c>
      <c r="W996" s="23">
        <f t="shared" si="115"/>
        <v>3.5134885307874786E-3</v>
      </c>
      <c r="X996" s="24">
        <v>4.2294484886430617E-2</v>
      </c>
      <c r="Y996" s="24">
        <f t="shared" si="116"/>
        <v>4.2988125336856031E-2</v>
      </c>
      <c r="Z996" s="23">
        <f t="shared" si="117"/>
        <v>3.5136332577783147E-3</v>
      </c>
      <c r="AA996" s="36"/>
    </row>
    <row r="997" spans="15:27" ht="13.9" customHeight="1" x14ac:dyDescent="0.3">
      <c r="O997" s="12">
        <f t="shared" si="111"/>
        <v>82</v>
      </c>
      <c r="P997" s="13">
        <v>984</v>
      </c>
      <c r="Q997" s="22">
        <v>3.6021921036142102E-2</v>
      </c>
      <c r="R997" s="19">
        <f t="shared" si="112"/>
        <v>3.666025372082693E-2</v>
      </c>
      <c r="S997" s="22">
        <v>4.1025277882229538E-2</v>
      </c>
      <c r="T997" s="19">
        <f t="shared" si="113"/>
        <v>4.2991732292063212E-2</v>
      </c>
      <c r="U997" s="24">
        <v>4.2621087036556204E-2</v>
      </c>
      <c r="V997" s="24">
        <f t="shared" si="114"/>
        <v>4.2986430344224003E-2</v>
      </c>
      <c r="W997" s="23">
        <f t="shared" si="115"/>
        <v>3.5134968377965592E-3</v>
      </c>
      <c r="X997" s="24">
        <v>4.2295189571370129E-2</v>
      </c>
      <c r="Y997" s="24">
        <f t="shared" si="116"/>
        <v>4.2988220946587719E-2</v>
      </c>
      <c r="Z997" s="23">
        <f t="shared" si="117"/>
        <v>3.5136409859102269E-3</v>
      </c>
      <c r="AA997" s="36"/>
    </row>
    <row r="998" spans="15:27" ht="13.9" customHeight="1" x14ac:dyDescent="0.3">
      <c r="O998" s="12">
        <f t="shared" si="111"/>
        <v>82.083333333333329</v>
      </c>
      <c r="P998" s="13">
        <v>985</v>
      </c>
      <c r="Q998" s="22">
        <v>3.6022568890268447E-2</v>
      </c>
      <c r="R998" s="19">
        <f t="shared" si="112"/>
        <v>3.6660915991255205E-2</v>
      </c>
      <c r="S998" s="22">
        <v>4.1027272401367831E-2</v>
      </c>
      <c r="T998" s="19">
        <f t="shared" si="113"/>
        <v>4.2991809828241356E-2</v>
      </c>
      <c r="U998" s="24">
        <v>4.2621457878564195E-2</v>
      </c>
      <c r="V998" s="24">
        <f t="shared" si="114"/>
        <v>4.2986532396863453E-2</v>
      </c>
      <c r="W998" s="23">
        <f t="shared" si="115"/>
        <v>3.5135050823578151E-3</v>
      </c>
      <c r="X998" s="24">
        <v>4.2295892922953549E-2</v>
      </c>
      <c r="Y998" s="24">
        <f t="shared" si="116"/>
        <v>4.2988315786062659E-2</v>
      </c>
      <c r="Z998" s="23">
        <f t="shared" si="117"/>
        <v>3.5136486518383414E-3</v>
      </c>
      <c r="AA998" s="36"/>
    </row>
    <row r="999" spans="15:27" ht="13.9" customHeight="1" x14ac:dyDescent="0.3">
      <c r="O999" s="12">
        <f t="shared" si="111"/>
        <v>82.166666666666671</v>
      </c>
      <c r="P999" s="13">
        <v>986</v>
      </c>
      <c r="Q999" s="22">
        <v>3.6023216101953803E-2</v>
      </c>
      <c r="R999" s="19">
        <f t="shared" si="112"/>
        <v>3.6661572758516003E-2</v>
      </c>
      <c r="S999" s="22">
        <v>4.1029262957127166E-2</v>
      </c>
      <c r="T999" s="19">
        <f t="shared" si="113"/>
        <v>4.2991886637900434E-2</v>
      </c>
      <c r="U999" s="24">
        <v>4.2621828071954138E-2</v>
      </c>
      <c r="V999" s="24">
        <f t="shared" si="114"/>
        <v>4.2986633682903008E-2</v>
      </c>
      <c r="W999" s="23">
        <f t="shared" si="115"/>
        <v>3.5135132648866918E-3</v>
      </c>
      <c r="X999" s="24">
        <v>4.2296594944455812E-2</v>
      </c>
      <c r="Y999" s="24">
        <f t="shared" si="116"/>
        <v>4.2988409862457555E-2</v>
      </c>
      <c r="Z999" s="23">
        <f t="shared" si="117"/>
        <v>3.5136562560074136E-3</v>
      </c>
      <c r="AA999" s="36"/>
    </row>
    <row r="1000" spans="15:27" ht="13.9" customHeight="1" x14ac:dyDescent="0.3">
      <c r="O1000" s="12">
        <f t="shared" si="111"/>
        <v>82.25</v>
      </c>
      <c r="P1000" s="13">
        <v>987</v>
      </c>
      <c r="Q1000" s="22">
        <v>3.6023862667578177E-2</v>
      </c>
      <c r="R1000" s="19">
        <f t="shared" si="112"/>
        <v>3.6662224066455362E-2</v>
      </c>
      <c r="S1000" s="22">
        <v>4.1031249560808503E-2</v>
      </c>
      <c r="T1000" s="19">
        <f t="shared" si="113"/>
        <v>4.2991962726735888E-2</v>
      </c>
      <c r="U1000" s="24">
        <v>4.2622197617920854E-2</v>
      </c>
      <c r="V1000" s="24">
        <f t="shared" si="114"/>
        <v>4.2986734206266197E-2</v>
      </c>
      <c r="W1000" s="23">
        <f t="shared" si="115"/>
        <v>3.5135213859489589E-3</v>
      </c>
      <c r="X1000" s="24">
        <v>4.229729563914586E-2</v>
      </c>
      <c r="Y1000" s="24">
        <f t="shared" si="116"/>
        <v>4.2988503180967585E-2</v>
      </c>
      <c r="Z1000" s="23">
        <f t="shared" si="117"/>
        <v>3.513663798992317E-3</v>
      </c>
      <c r="AA1000" s="36"/>
    </row>
    <row r="1001" spans="15:27" ht="13.9" customHeight="1" x14ac:dyDescent="0.3">
      <c r="O1001" s="12">
        <f t="shared" si="111"/>
        <v>82.333333333333329</v>
      </c>
      <c r="P1001" s="13">
        <v>988</v>
      </c>
      <c r="Q1001" s="22">
        <v>3.6024508583580861E-2</v>
      </c>
      <c r="R1001" s="19">
        <f t="shared" si="112"/>
        <v>3.6662869962573286E-2</v>
      </c>
      <c r="S1001" s="22">
        <v>4.1033232223672833E-2</v>
      </c>
      <c r="T1001" s="19">
        <f t="shared" si="113"/>
        <v>4.2992038102009023E-2</v>
      </c>
      <c r="U1001" s="24">
        <v>4.2622566517658056E-2</v>
      </c>
      <c r="V1001" s="24">
        <f t="shared" si="114"/>
        <v>4.2986833973100769E-2</v>
      </c>
      <c r="W1001" s="23">
        <f t="shared" si="115"/>
        <v>3.5135294458596977E-3</v>
      </c>
      <c r="X1001" s="24">
        <v>4.2297995010284639E-2</v>
      </c>
      <c r="Y1001" s="24">
        <f t="shared" si="116"/>
        <v>4.2988595748115088E-2</v>
      </c>
      <c r="Z1001" s="23">
        <f t="shared" si="117"/>
        <v>3.5136712812100512E-3</v>
      </c>
      <c r="AA1001" s="36"/>
    </row>
    <row r="1002" spans="15:27" ht="13.9" customHeight="1" x14ac:dyDescent="0.3">
      <c r="O1002" s="12">
        <f t="shared" si="111"/>
        <v>82.416666666666671</v>
      </c>
      <c r="P1002" s="13">
        <v>989</v>
      </c>
      <c r="Q1002" s="22">
        <v>3.602515384646332E-2</v>
      </c>
      <c r="R1002" s="19">
        <f t="shared" si="112"/>
        <v>3.6663510491210971E-2</v>
      </c>
      <c r="S1002" s="22">
        <v>4.1035210956942958E-2</v>
      </c>
      <c r="T1002" s="19">
        <f t="shared" si="113"/>
        <v>4.2992112770118496E-2</v>
      </c>
      <c r="U1002" s="24">
        <v>4.2622934772361232E-2</v>
      </c>
      <c r="V1002" s="24">
        <f t="shared" si="114"/>
        <v>4.2986932990516369E-2</v>
      </c>
      <c r="W1002" s="23">
        <f t="shared" si="115"/>
        <v>3.5135374451116252E-3</v>
      </c>
      <c r="X1002" s="24">
        <v>4.2298693061126436E-2</v>
      </c>
      <c r="Y1002" s="24">
        <f t="shared" si="116"/>
        <v>4.2988687569259998E-2</v>
      </c>
      <c r="Z1002" s="23">
        <f t="shared" si="117"/>
        <v>3.5136787031833094E-3</v>
      </c>
      <c r="AA1002" s="36"/>
    </row>
    <row r="1003" spans="15:27" ht="13.9" customHeight="1" x14ac:dyDescent="0.3">
      <c r="O1003" s="12">
        <f t="shared" si="111"/>
        <v>82.5</v>
      </c>
      <c r="P1003" s="13">
        <v>990</v>
      </c>
      <c r="Q1003" s="22">
        <v>3.6025798452785862E-2</v>
      </c>
      <c r="R1003" s="19">
        <f t="shared" si="112"/>
        <v>3.6664145696285289E-2</v>
      </c>
      <c r="S1003" s="22">
        <v>4.103718577180282E-2</v>
      </c>
      <c r="T1003" s="19">
        <f t="shared" si="113"/>
        <v>4.2992186738317173E-2</v>
      </c>
      <c r="U1003" s="24">
        <v>4.2623302383227868E-2</v>
      </c>
      <c r="V1003" s="24">
        <f t="shared" si="114"/>
        <v>4.2987031262833542E-2</v>
      </c>
      <c r="W1003" s="23">
        <f t="shared" si="115"/>
        <v>3.513545384274952E-3</v>
      </c>
      <c r="X1003" s="24">
        <v>4.2299389794917985E-2</v>
      </c>
      <c r="Y1003" s="24">
        <f t="shared" si="116"/>
        <v>4.2988778651791515E-2</v>
      </c>
      <c r="Z1003" s="23">
        <f t="shared" si="117"/>
        <v>3.513686065342192E-3</v>
      </c>
      <c r="AA1003" s="36"/>
    </row>
    <row r="1004" spans="15:27" ht="13.9" customHeight="1" x14ac:dyDescent="0.3">
      <c r="O1004" s="12">
        <f t="shared" si="111"/>
        <v>82.583333333333329</v>
      </c>
      <c r="P1004" s="13">
        <v>991</v>
      </c>
      <c r="Q1004" s="22">
        <v>3.6026442399166969E-2</v>
      </c>
      <c r="R1004" s="19">
        <f t="shared" si="112"/>
        <v>3.6664775622573975E-2</v>
      </c>
      <c r="S1004" s="22">
        <v>4.1039156679398392E-2</v>
      </c>
      <c r="T1004" s="19">
        <f t="shared" si="113"/>
        <v>4.2992260012530981E-2</v>
      </c>
      <c r="U1004" s="24">
        <v>4.2623669351455229E-2</v>
      </c>
      <c r="V1004" s="24">
        <f t="shared" si="114"/>
        <v>4.2987128795832996E-2</v>
      </c>
      <c r="W1004" s="23">
        <f t="shared" si="115"/>
        <v>3.5135532636958455E-3</v>
      </c>
      <c r="X1004" s="24">
        <v>4.2300085214900252E-2</v>
      </c>
      <c r="Y1004" s="24">
        <f t="shared" si="116"/>
        <v>4.2988869000691654E-2</v>
      </c>
      <c r="Z1004" s="23">
        <f t="shared" si="117"/>
        <v>3.5136933682786697E-3</v>
      </c>
      <c r="AA1004" s="36"/>
    </row>
    <row r="1005" spans="15:27" ht="13.9" customHeight="1" x14ac:dyDescent="0.3">
      <c r="O1005" s="12">
        <f t="shared" si="111"/>
        <v>82.666666666666671</v>
      </c>
      <c r="P1005" s="13">
        <v>992</v>
      </c>
      <c r="Q1005" s="22">
        <v>3.6027085682284188E-2</v>
      </c>
      <c r="R1005" s="19">
        <f t="shared" si="112"/>
        <v>3.6665400314379815E-2</v>
      </c>
      <c r="S1005" s="22">
        <v>4.1041123690837011E-2</v>
      </c>
      <c r="T1005" s="19">
        <f t="shared" si="113"/>
        <v>4.2992332599867789E-2</v>
      </c>
      <c r="U1005" s="24">
        <v>4.2624035678241246E-2</v>
      </c>
      <c r="V1005" s="24">
        <f t="shared" si="114"/>
        <v>4.298722559512469E-2</v>
      </c>
      <c r="W1005" s="23">
        <f t="shared" si="115"/>
        <v>3.513561083837935E-3</v>
      </c>
      <c r="X1005" s="24">
        <v>4.2300779324305982E-2</v>
      </c>
      <c r="Y1005" s="24">
        <f t="shared" si="116"/>
        <v>4.2988958622280471E-2</v>
      </c>
      <c r="Z1005" s="23">
        <f t="shared" si="117"/>
        <v>3.5137006123926451E-3</v>
      </c>
      <c r="AA1005" s="36"/>
    </row>
    <row r="1006" spans="15:27" ht="13.9" customHeight="1" x14ac:dyDescent="0.3">
      <c r="O1006" s="12">
        <f t="shared" si="111"/>
        <v>82.75</v>
      </c>
      <c r="P1006" s="13">
        <v>993</v>
      </c>
      <c r="Q1006" s="22">
        <v>3.6027728298872574E-2</v>
      </c>
      <c r="R1006" s="19">
        <f t="shared" si="112"/>
        <v>3.6666019815345674E-2</v>
      </c>
      <c r="S1006" s="22">
        <v>4.1043086817188268E-2</v>
      </c>
      <c r="T1006" s="19">
        <f t="shared" si="113"/>
        <v>4.2992404505916015E-2</v>
      </c>
      <c r="U1006" s="24">
        <v>4.262440136478518E-2</v>
      </c>
      <c r="V1006" s="24">
        <f t="shared" si="114"/>
        <v>4.2987321666932976E-2</v>
      </c>
      <c r="W1006" s="23">
        <f t="shared" si="115"/>
        <v>3.5135688451513047E-3</v>
      </c>
      <c r="X1006" s="24">
        <v>4.2301472126361706E-2</v>
      </c>
      <c r="Y1006" s="24">
        <f t="shared" si="116"/>
        <v>4.2989047521500012E-2</v>
      </c>
      <c r="Z1006" s="23">
        <f t="shared" si="117"/>
        <v>3.5137077981908238E-3</v>
      </c>
      <c r="AA1006" s="36"/>
    </row>
    <row r="1007" spans="15:27" ht="13.9" customHeight="1" x14ac:dyDescent="0.3">
      <c r="O1007" s="12">
        <f t="shared" si="111"/>
        <v>82.833333333333329</v>
      </c>
      <c r="P1007" s="13">
        <v>994</v>
      </c>
      <c r="Q1007" s="22">
        <v>3.6028370245724473E-2</v>
      </c>
      <c r="R1007" s="19">
        <f t="shared" si="112"/>
        <v>3.6666634167533463E-2</v>
      </c>
      <c r="S1007" s="22">
        <v>4.1045046069482893E-2</v>
      </c>
      <c r="T1007" s="19">
        <f t="shared" si="113"/>
        <v>4.299247573827758E-2</v>
      </c>
      <c r="U1007" s="24">
        <v>4.2624766412287185E-2</v>
      </c>
      <c r="V1007" s="24">
        <f t="shared" si="114"/>
        <v>4.2987417015643237E-2</v>
      </c>
      <c r="W1007" s="23">
        <f t="shared" si="115"/>
        <v>3.513576548134667E-3</v>
      </c>
      <c r="X1007" s="24">
        <v>4.2302163624285516E-2</v>
      </c>
      <c r="Y1007" s="24">
        <f t="shared" si="116"/>
        <v>4.2989135705982839E-2</v>
      </c>
      <c r="Z1007" s="23">
        <f t="shared" si="117"/>
        <v>3.5137149260691114E-3</v>
      </c>
      <c r="AA1007" s="36"/>
    </row>
    <row r="1008" spans="15:27" ht="13.9" customHeight="1" x14ac:dyDescent="0.3">
      <c r="O1008" s="12">
        <f t="shared" si="111"/>
        <v>82.916666666666671</v>
      </c>
      <c r="P1008" s="13">
        <v>995</v>
      </c>
      <c r="Q1008" s="22">
        <v>3.6029011519687293E-2</v>
      </c>
      <c r="R1008" s="19">
        <f t="shared" si="112"/>
        <v>3.6667243415498207E-2</v>
      </c>
      <c r="S1008" s="22">
        <v>4.1047001458714982E-2</v>
      </c>
      <c r="T1008" s="19">
        <f t="shared" si="113"/>
        <v>4.2992546301662715E-2</v>
      </c>
      <c r="U1008" s="24">
        <v>4.262513082194741E-2</v>
      </c>
      <c r="V1008" s="24">
        <f t="shared" si="114"/>
        <v>4.2987511647073484E-2</v>
      </c>
      <c r="W1008" s="23">
        <f t="shared" si="115"/>
        <v>3.5135841931397405E-3</v>
      </c>
      <c r="X1008" s="24">
        <v>4.2302853821290398E-2</v>
      </c>
      <c r="Y1008" s="24">
        <f t="shared" si="116"/>
        <v>4.2989223179181968E-2</v>
      </c>
      <c r="Z1008" s="23">
        <f t="shared" si="117"/>
        <v>3.5137219966399069E-3</v>
      </c>
      <c r="AA1008" s="36"/>
    </row>
    <row r="1009" spans="15:27" ht="13.9" customHeight="1" x14ac:dyDescent="0.3">
      <c r="O1009" s="12">
        <f t="shared" si="111"/>
        <v>83</v>
      </c>
      <c r="P1009" s="13">
        <v>996</v>
      </c>
      <c r="Q1009" s="22">
        <v>3.6029652117665734E-2</v>
      </c>
      <c r="R1009" s="19">
        <f t="shared" si="112"/>
        <v>3.6667847600067027E-2</v>
      </c>
      <c r="S1009" s="22">
        <v>4.1048952995839105E-2</v>
      </c>
      <c r="T1009" s="19">
        <f t="shared" si="113"/>
        <v>4.2992616203811673E-2</v>
      </c>
      <c r="U1009" s="24">
        <v>4.2625494594966895E-2</v>
      </c>
      <c r="V1009" s="24">
        <f t="shared" si="114"/>
        <v>4.2987605566774167E-2</v>
      </c>
      <c r="W1009" s="23">
        <f t="shared" si="115"/>
        <v>3.5135917806332628E-3</v>
      </c>
      <c r="X1009" s="24">
        <v>4.2303542720580012E-2</v>
      </c>
      <c r="Y1009" s="24">
        <f t="shared" si="116"/>
        <v>4.2989309948758159E-2</v>
      </c>
      <c r="Z1009" s="23">
        <f t="shared" si="117"/>
        <v>3.5137290101798779E-3</v>
      </c>
      <c r="AA1009" s="36"/>
    </row>
    <row r="1010" spans="15:27" ht="13.9" customHeight="1" x14ac:dyDescent="0.3">
      <c r="O1010" s="12">
        <f t="shared" si="111"/>
        <v>83.083333333333329</v>
      </c>
      <c r="P1010" s="13">
        <v>997</v>
      </c>
      <c r="Q1010" s="22">
        <v>3.6030292036618228E-2</v>
      </c>
      <c r="R1010" s="19">
        <f t="shared" si="112"/>
        <v>3.6668446764718032E-2</v>
      </c>
      <c r="S1010" s="22">
        <v>4.1050900691773862E-2</v>
      </c>
      <c r="T1010" s="19">
        <f t="shared" si="113"/>
        <v>4.2992685450490287E-2</v>
      </c>
      <c r="U1010" s="24">
        <v>4.2625857732547123E-2</v>
      </c>
      <c r="V1010" s="24">
        <f t="shared" si="114"/>
        <v>4.2987698780253769E-2</v>
      </c>
      <c r="W1010" s="23">
        <f t="shared" si="115"/>
        <v>3.5135993110599895E-3</v>
      </c>
      <c r="X1010" s="24">
        <v>4.2304230325352687E-2</v>
      </c>
      <c r="Y1010" s="24">
        <f t="shared" si="116"/>
        <v>4.2989396019306181E-2</v>
      </c>
      <c r="Z1010" s="23">
        <f t="shared" si="117"/>
        <v>3.5137359673034219E-3</v>
      </c>
      <c r="AA1010" s="36"/>
    </row>
    <row r="1011" spans="15:27" ht="13.9" customHeight="1" x14ac:dyDescent="0.3">
      <c r="O1011" s="12">
        <f t="shared" si="111"/>
        <v>83.166666666666671</v>
      </c>
      <c r="P1011" s="13">
        <v>998</v>
      </c>
      <c r="Q1011" s="22">
        <v>3.6030931273558275E-2</v>
      </c>
      <c r="R1011" s="19">
        <f t="shared" si="112"/>
        <v>3.6669040949530496E-2</v>
      </c>
      <c r="S1011" s="22">
        <v>4.1052844557399659E-2</v>
      </c>
      <c r="T1011" s="19">
        <f t="shared" si="113"/>
        <v>4.2992754047406434E-2</v>
      </c>
      <c r="U1011" s="24">
        <v>4.262622023589091E-2</v>
      </c>
      <c r="V1011" s="24">
        <f t="shared" si="114"/>
        <v>4.2987791292444788E-2</v>
      </c>
      <c r="W1011" s="23">
        <f t="shared" si="115"/>
        <v>3.5136067848615671E-3</v>
      </c>
      <c r="X1011" s="24">
        <v>4.230491663879854E-2</v>
      </c>
      <c r="Y1011" s="24">
        <f t="shared" si="116"/>
        <v>4.2989481397044393E-2</v>
      </c>
      <c r="Z1011" s="23">
        <f t="shared" si="117"/>
        <v>3.5137428683786887E-3</v>
      </c>
      <c r="AA1011" s="36"/>
    </row>
    <row r="1012" spans="15:27" ht="13.9" customHeight="1" x14ac:dyDescent="0.3">
      <c r="O1012" s="12">
        <f t="shared" si="111"/>
        <v>83.25</v>
      </c>
      <c r="P1012" s="13">
        <v>999</v>
      </c>
      <c r="Q1012" s="22">
        <v>3.6031569825552001E-2</v>
      </c>
      <c r="R1012" s="19">
        <f t="shared" si="112"/>
        <v>3.6669630197917247E-2</v>
      </c>
      <c r="S1012" s="22">
        <v>4.105478460355938E-2</v>
      </c>
      <c r="T1012" s="19">
        <f t="shared" si="113"/>
        <v>4.2992822001061137E-2</v>
      </c>
      <c r="U1012" s="24">
        <v>4.2626582106200628E-2</v>
      </c>
      <c r="V1012" s="24">
        <f t="shared" si="114"/>
        <v>4.2987883109113501E-2</v>
      </c>
      <c r="W1012" s="23">
        <f t="shared" si="115"/>
        <v>3.5136142024339012E-3</v>
      </c>
      <c r="X1012" s="24">
        <v>4.2305601664101244E-2</v>
      </c>
      <c r="Y1012" s="24">
        <f t="shared" si="116"/>
        <v>4.2989566087273223E-2</v>
      </c>
      <c r="Z1012" s="23">
        <f t="shared" si="117"/>
        <v>3.5137497139046125E-3</v>
      </c>
      <c r="AA1012" s="36"/>
    </row>
    <row r="1013" spans="15:27" ht="13.9" customHeight="1" x14ac:dyDescent="0.3">
      <c r="O1013" s="12">
        <f t="shared" si="111"/>
        <v>83.333333333333329</v>
      </c>
      <c r="P1013" s="13">
        <v>1000</v>
      </c>
      <c r="Q1013" s="22">
        <v>3.6032207689720375E-2</v>
      </c>
      <c r="R1013" s="19">
        <f t="shared" si="112"/>
        <v>3.6670214549934688E-2</v>
      </c>
      <c r="S1013" s="22">
        <v>4.1056720841058825E-2</v>
      </c>
      <c r="T1013" s="19">
        <f t="shared" si="113"/>
        <v>4.2992889317150507E-2</v>
      </c>
      <c r="U1013" s="24">
        <v>4.2626943344679757E-2</v>
      </c>
      <c r="V1013" s="24">
        <f t="shared" si="114"/>
        <v>4.2987974234398596E-2</v>
      </c>
      <c r="W1013" s="23">
        <f t="shared" si="115"/>
        <v>3.5136215642388446E-3</v>
      </c>
      <c r="X1013" s="24">
        <v>4.2306285404436927E-2</v>
      </c>
      <c r="Y1013" s="24">
        <f t="shared" si="116"/>
        <v>4.2989650094805043E-2</v>
      </c>
      <c r="Z1013" s="23">
        <f t="shared" si="117"/>
        <v>3.5137565043059649E-3</v>
      </c>
      <c r="AA1013" s="36"/>
    </row>
    <row r="1014" spans="15:27" ht="13.9" customHeight="1" x14ac:dyDescent="0.3">
      <c r="O1014" s="12">
        <f t="shared" si="111"/>
        <v>83.416666666666671</v>
      </c>
      <c r="P1014" s="13">
        <v>1001</v>
      </c>
      <c r="Q1014" s="22">
        <v>3.603284486323588E-2</v>
      </c>
      <c r="R1014" s="19">
        <f t="shared" si="112"/>
        <v>3.667079404622231E-2</v>
      </c>
      <c r="S1014" s="22">
        <v>4.1058653280666491E-2</v>
      </c>
      <c r="T1014" s="19">
        <f t="shared" si="113"/>
        <v>4.2992956002637861E-2</v>
      </c>
      <c r="U1014" s="24">
        <v>4.2627303952531337E-2</v>
      </c>
      <c r="V1014" s="24">
        <f t="shared" si="114"/>
        <v>4.2988064675536952E-2</v>
      </c>
      <c r="W1014" s="23">
        <f t="shared" si="115"/>
        <v>3.5136288706085761E-3</v>
      </c>
      <c r="X1014" s="24">
        <v>4.2306967862973943E-2</v>
      </c>
      <c r="Y1014" s="24">
        <f t="shared" si="116"/>
        <v>4.2989733427343246E-2</v>
      </c>
      <c r="Z1014" s="23">
        <f t="shared" si="117"/>
        <v>3.5137632399686591E-3</v>
      </c>
      <c r="AA1014" s="36"/>
    </row>
    <row r="1015" spans="15:27" ht="13.9" customHeight="1" x14ac:dyDescent="0.3">
      <c r="O1015" s="12">
        <f t="shared" si="111"/>
        <v>83.5</v>
      </c>
      <c r="P1015" s="13">
        <v>1002</v>
      </c>
      <c r="Q1015" s="22">
        <v>3.6033481343322959E-2</v>
      </c>
      <c r="R1015" s="19">
        <f t="shared" si="112"/>
        <v>3.6671368727008824E-2</v>
      </c>
      <c r="S1015" s="22">
        <v>4.1060581933114459E-2</v>
      </c>
      <c r="T1015" s="19">
        <f t="shared" si="113"/>
        <v>4.2993022061857955E-2</v>
      </c>
      <c r="U1015" s="24">
        <v>4.2627663930960624E-2</v>
      </c>
      <c r="V1015" s="24">
        <f t="shared" si="114"/>
        <v>4.2988154435378512E-2</v>
      </c>
      <c r="W1015" s="23">
        <f t="shared" si="115"/>
        <v>3.5136361221232981E-3</v>
      </c>
      <c r="X1015" s="24">
        <v>4.2307649042875539E-2</v>
      </c>
      <c r="Y1015" s="24">
        <f t="shared" si="116"/>
        <v>4.2989816088035093E-2</v>
      </c>
      <c r="Z1015" s="23">
        <f t="shared" si="117"/>
        <v>3.5137699215104234E-3</v>
      </c>
      <c r="AA1015" s="36"/>
    </row>
    <row r="1016" spans="15:27" ht="13.9" customHeight="1" x14ac:dyDescent="0.3">
      <c r="O1016" s="12">
        <f t="shared" si="111"/>
        <v>83.583333333333329</v>
      </c>
      <c r="P1016" s="13">
        <v>1003</v>
      </c>
      <c r="Q1016" s="22">
        <v>3.6034117127256904E-2</v>
      </c>
      <c r="R1016" s="19">
        <f t="shared" si="112"/>
        <v>3.6671938633437096E-2</v>
      </c>
      <c r="S1016" s="22">
        <v>4.1062506809097066E-2</v>
      </c>
      <c r="T1016" s="19">
        <f t="shared" si="113"/>
        <v>4.299308750213271E-2</v>
      </c>
      <c r="U1016" s="24">
        <v>4.2628023281170657E-2</v>
      </c>
      <c r="V1016" s="24">
        <f t="shared" si="114"/>
        <v>4.2988243520621028E-2</v>
      </c>
      <c r="W1016" s="23">
        <f t="shared" si="115"/>
        <v>3.5136433190114946E-3</v>
      </c>
      <c r="X1016" s="24">
        <v>4.2308328947295637E-2</v>
      </c>
      <c r="Y1016" s="24">
        <f t="shared" si="116"/>
        <v>4.2989898082781641E-2</v>
      </c>
      <c r="Z1016" s="23">
        <f t="shared" si="117"/>
        <v>3.5137765491835005E-3</v>
      </c>
      <c r="AA1016" s="36"/>
    </row>
    <row r="1017" spans="15:27" ht="13.9" customHeight="1" x14ac:dyDescent="0.3">
      <c r="O1017" s="12">
        <f t="shared" si="111"/>
        <v>83.666666666666671</v>
      </c>
      <c r="P1017" s="13">
        <v>1004</v>
      </c>
      <c r="Q1017" s="22">
        <v>3.6034752212365184E-2</v>
      </c>
      <c r="R1017" s="19">
        <f t="shared" si="112"/>
        <v>3.6672503803936607E-2</v>
      </c>
      <c r="S1017" s="22">
        <v>4.1064427919272672E-2</v>
      </c>
      <c r="T1017" s="19">
        <f t="shared" si="113"/>
        <v>4.2993152328360207E-2</v>
      </c>
      <c r="U1017" s="24">
        <v>4.2628382004366916E-2</v>
      </c>
      <c r="V1017" s="24">
        <f t="shared" si="114"/>
        <v>4.2988331935820856E-2</v>
      </c>
      <c r="W1017" s="23">
        <f t="shared" si="115"/>
        <v>3.5136504618100695E-3</v>
      </c>
      <c r="X1017" s="24">
        <v>4.2309007579381497E-2</v>
      </c>
      <c r="Y1017" s="24">
        <f t="shared" si="116"/>
        <v>4.2989979417744628E-2</v>
      </c>
      <c r="Z1017" s="23">
        <f t="shared" si="117"/>
        <v>3.5137831234610672E-3</v>
      </c>
      <c r="AA1017" s="36"/>
    </row>
    <row r="1018" spans="15:27" ht="13.9" customHeight="1" x14ac:dyDescent="0.3">
      <c r="O1018" s="12">
        <f t="shared" si="111"/>
        <v>83.75</v>
      </c>
      <c r="P1018" s="13">
        <v>1005</v>
      </c>
      <c r="Q1018" s="22">
        <v>3.6035386596023899E-2</v>
      </c>
      <c r="R1018" s="19">
        <f t="shared" si="112"/>
        <v>3.6673064279000078E-2</v>
      </c>
      <c r="S1018" s="22">
        <v>4.1066345274262561E-2</v>
      </c>
      <c r="T1018" s="19">
        <f t="shared" si="113"/>
        <v>4.2993216546622026E-2</v>
      </c>
      <c r="U1018" s="24">
        <v>4.2628740101754214E-2</v>
      </c>
      <c r="V1018" s="24">
        <f t="shared" si="114"/>
        <v>4.2988419685666246E-2</v>
      </c>
      <c r="W1018" s="23">
        <f t="shared" si="115"/>
        <v>3.5136575508847301E-3</v>
      </c>
      <c r="X1018" s="24">
        <v>4.2309684942273718E-2</v>
      </c>
      <c r="Y1018" s="24">
        <f t="shared" si="116"/>
        <v>4.2990060097781502E-2</v>
      </c>
      <c r="Z1018" s="23">
        <f t="shared" si="117"/>
        <v>3.513789644837173E-3</v>
      </c>
      <c r="AA1018" s="36"/>
    </row>
    <row r="1019" spans="15:27" ht="13.9" customHeight="1" x14ac:dyDescent="0.3">
      <c r="O1019" s="12">
        <f t="shared" si="111"/>
        <v>83.833333333333329</v>
      </c>
      <c r="P1019" s="13">
        <v>1006</v>
      </c>
      <c r="Q1019" s="22">
        <v>3.6036020275659775E-2</v>
      </c>
      <c r="R1019" s="19">
        <f t="shared" si="112"/>
        <v>3.6673620096375537E-2</v>
      </c>
      <c r="S1019" s="22">
        <v>4.1068258884651598E-2</v>
      </c>
      <c r="T1019" s="19">
        <f t="shared" si="113"/>
        <v>4.2993280162796799E-2</v>
      </c>
      <c r="U1019" s="24">
        <v>4.2629097574537367E-2</v>
      </c>
      <c r="V1019" s="24">
        <f t="shared" si="114"/>
        <v>4.2988506776000968E-2</v>
      </c>
      <c r="W1019" s="23">
        <f t="shared" si="115"/>
        <v>3.5136645866109539E-3</v>
      </c>
      <c r="X1019" s="24">
        <v>4.2310361039105571E-2</v>
      </c>
      <c r="Y1019" s="24">
        <f t="shared" si="116"/>
        <v>4.299014012833835E-2</v>
      </c>
      <c r="Z1019" s="23">
        <f t="shared" si="117"/>
        <v>3.5137961137012841E-3</v>
      </c>
      <c r="AA1019" s="36"/>
    </row>
    <row r="1020" spans="15:27" ht="13.9" customHeight="1" x14ac:dyDescent="0.3">
      <c r="O1020" s="12">
        <f t="shared" si="111"/>
        <v>83.916666666666671</v>
      </c>
      <c r="P1020" s="13">
        <v>1007</v>
      </c>
      <c r="Q1020" s="22">
        <v>3.6036653248747497E-2</v>
      </c>
      <c r="R1020" s="19">
        <f t="shared" si="112"/>
        <v>3.667417129626882E-2</v>
      </c>
      <c r="S1020" s="22">
        <v>4.1070168760988679E-2</v>
      </c>
      <c r="T1020" s="19">
        <f t="shared" si="113"/>
        <v>4.2993343182022414E-2</v>
      </c>
      <c r="U1020" s="24">
        <v>4.2629454423922075E-2</v>
      </c>
      <c r="V1020" s="24">
        <f t="shared" si="114"/>
        <v>4.2988593210750103E-2</v>
      </c>
      <c r="W1020" s="23">
        <f t="shared" si="115"/>
        <v>3.5136715694574772E-3</v>
      </c>
      <c r="X1020" s="24">
        <v>4.2311035873003E-2</v>
      </c>
      <c r="Y1020" s="24">
        <f t="shared" si="116"/>
        <v>4.2990219513645345E-2</v>
      </c>
      <c r="Z1020" s="23">
        <f t="shared" si="117"/>
        <v>3.5138025304903842E-3</v>
      </c>
      <c r="AA1020" s="36"/>
    </row>
    <row r="1021" spans="15:27" ht="13.9" customHeight="1" x14ac:dyDescent="0.3">
      <c r="O1021" s="12">
        <f t="shared" si="111"/>
        <v>84</v>
      </c>
      <c r="P1021" s="13">
        <v>1008</v>
      </c>
      <c r="Q1021" s="22">
        <v>3.6037285512811268E-2</v>
      </c>
      <c r="R1021" s="19">
        <f t="shared" si="112"/>
        <v>3.6674717916021393E-2</v>
      </c>
      <c r="S1021" s="22">
        <v>4.1072074913785839E-2</v>
      </c>
      <c r="T1021" s="19">
        <f t="shared" si="113"/>
        <v>4.2993405610504132E-2</v>
      </c>
      <c r="U1021" s="24">
        <v>4.2629810651113376E-2</v>
      </c>
      <c r="V1021" s="24">
        <f t="shared" si="114"/>
        <v>4.2988678995331098E-2</v>
      </c>
      <c r="W1021" s="23">
        <f t="shared" si="115"/>
        <v>3.513678499739159E-3</v>
      </c>
      <c r="X1021" s="24">
        <v>4.2311709447083956E-2</v>
      </c>
      <c r="Y1021" s="24">
        <f t="shared" si="116"/>
        <v>4.2990298260749293E-2</v>
      </c>
      <c r="Z1021" s="23">
        <f t="shared" si="117"/>
        <v>3.5138088955430913E-3</v>
      </c>
      <c r="AA1021" s="36"/>
    </row>
    <row r="1022" spans="15:27" ht="13.9" customHeight="1" x14ac:dyDescent="0.3">
      <c r="O1022" s="12">
        <f t="shared" si="111"/>
        <v>84.083333333333329</v>
      </c>
      <c r="P1022" s="13">
        <v>1009</v>
      </c>
      <c r="Q1022" s="22">
        <v>3.6037917065422143E-2</v>
      </c>
      <c r="R1022" s="19">
        <f t="shared" si="112"/>
        <v>3.6675259994384923E-2</v>
      </c>
      <c r="S1022" s="22">
        <v>4.1073977353519586E-2</v>
      </c>
      <c r="T1022" s="19">
        <f t="shared" si="113"/>
        <v>4.2993467453808165E-2</v>
      </c>
      <c r="U1022" s="24">
        <v>4.2630166257316748E-2</v>
      </c>
      <c r="V1022" s="24">
        <f t="shared" si="114"/>
        <v>4.2988764135810209E-2</v>
      </c>
      <c r="W1022" s="23">
        <f t="shared" si="115"/>
        <v>3.5136853778900967E-3</v>
      </c>
      <c r="X1022" s="24">
        <v>4.2312381764460838E-2</v>
      </c>
      <c r="Y1022" s="24">
        <f t="shared" si="116"/>
        <v>4.2990376373839956E-2</v>
      </c>
      <c r="Z1022" s="23">
        <f t="shared" si="117"/>
        <v>3.5138152094249531E-3</v>
      </c>
      <c r="AA1022" s="36"/>
    </row>
    <row r="1023" spans="15:27" ht="13.9" customHeight="1" x14ac:dyDescent="0.3">
      <c r="O1023" s="12">
        <f t="shared" si="111"/>
        <v>84.166666666666671</v>
      </c>
      <c r="P1023" s="13">
        <v>1010</v>
      </c>
      <c r="Q1023" s="22">
        <v>3.603854790419958E-2</v>
      </c>
      <c r="R1023" s="19">
        <f t="shared" si="112"/>
        <v>3.6675797569236002E-2</v>
      </c>
      <c r="S1023" s="22">
        <v>4.1075876090630459E-2</v>
      </c>
      <c r="T1023" s="19">
        <f t="shared" si="113"/>
        <v>4.2993528716163576E-2</v>
      </c>
      <c r="U1023" s="24">
        <v>4.2630521243738784E-2</v>
      </c>
      <c r="V1023" s="24">
        <f t="shared" si="114"/>
        <v>4.2988848634584631E-2</v>
      </c>
      <c r="W1023" s="23">
        <f t="shared" si="115"/>
        <v>3.513692204397012E-3</v>
      </c>
      <c r="X1023" s="24">
        <v>4.2313052828238051E-2</v>
      </c>
      <c r="Y1023" s="24">
        <f t="shared" si="116"/>
        <v>4.2990453856814881E-2</v>
      </c>
      <c r="Z1023" s="23">
        <f t="shared" si="117"/>
        <v>3.513821472471701E-3</v>
      </c>
      <c r="AA1023" s="36"/>
    </row>
    <row r="1024" spans="15:27" ht="13.9" customHeight="1" x14ac:dyDescent="0.3">
      <c r="O1024" s="12">
        <f t="shared" si="111"/>
        <v>84.25</v>
      </c>
      <c r="P1024" s="13">
        <v>1011</v>
      </c>
      <c r="Q1024" s="22">
        <v>3.6039178026809227E-2</v>
      </c>
      <c r="R1024" s="19">
        <f t="shared" si="112"/>
        <v>3.6676330676839619E-2</v>
      </c>
      <c r="S1024" s="22">
        <v>4.1077771135522134E-2</v>
      </c>
      <c r="T1024" s="19">
        <f t="shared" si="113"/>
        <v>4.2993589404963783E-2</v>
      </c>
      <c r="U1024" s="24">
        <v>4.2630875611584074E-2</v>
      </c>
      <c r="V1024" s="24">
        <f t="shared" si="114"/>
        <v>4.298893249859459E-2</v>
      </c>
      <c r="W1024" s="23">
        <f t="shared" si="115"/>
        <v>3.5136989794519735E-3</v>
      </c>
      <c r="X1024" s="24">
        <v>4.2313722641511564E-2</v>
      </c>
      <c r="Y1024" s="24">
        <f t="shared" si="116"/>
        <v>4.2990530716756403E-2</v>
      </c>
      <c r="Z1024" s="23">
        <f t="shared" si="117"/>
        <v>3.5138276849957517E-3</v>
      </c>
      <c r="AA1024" s="36"/>
    </row>
    <row r="1025" spans="15:27" ht="13.9" customHeight="1" x14ac:dyDescent="0.3">
      <c r="O1025" s="12">
        <f t="shared" si="111"/>
        <v>84.333333333333329</v>
      </c>
      <c r="P1025" s="13">
        <v>1012</v>
      </c>
      <c r="Q1025" s="22">
        <v>3.6039807430962245E-2</v>
      </c>
      <c r="R1025" s="19">
        <f t="shared" si="112"/>
        <v>3.6676859355858182E-2</v>
      </c>
      <c r="S1025" s="22">
        <v>4.1079662498564096E-2</v>
      </c>
      <c r="T1025" s="19">
        <f t="shared" si="113"/>
        <v>4.2993649523428878E-2</v>
      </c>
      <c r="U1025" s="24">
        <v>4.2631229362058765E-2</v>
      </c>
      <c r="V1025" s="24">
        <f t="shared" si="114"/>
        <v>4.2989015731076607E-2</v>
      </c>
      <c r="W1025" s="23">
        <f t="shared" si="115"/>
        <v>3.513705703611425E-3</v>
      </c>
      <c r="X1025" s="24">
        <v>4.2314391207371793E-2</v>
      </c>
      <c r="Y1025" s="24">
        <f t="shared" si="116"/>
        <v>4.2990606957271638E-2</v>
      </c>
      <c r="Z1025" s="23">
        <f t="shared" si="117"/>
        <v>3.5138338475648734E-3</v>
      </c>
      <c r="AA1025" s="36"/>
    </row>
    <row r="1026" spans="15:27" ht="13.9" customHeight="1" x14ac:dyDescent="0.3">
      <c r="O1026" s="12">
        <f t="shared" si="111"/>
        <v>84.416666666666671</v>
      </c>
      <c r="P1026" s="13">
        <v>1013</v>
      </c>
      <c r="Q1026" s="22">
        <v>3.6040436114416874E-2</v>
      </c>
      <c r="R1026" s="19">
        <f t="shared" si="112"/>
        <v>3.6677383641856576E-2</v>
      </c>
      <c r="S1026" s="22">
        <v>4.1081550190088523E-2</v>
      </c>
      <c r="T1026" s="19">
        <f t="shared" si="113"/>
        <v>4.2993709079427012E-2</v>
      </c>
      <c r="U1026" s="24">
        <v>4.2631582496367892E-2</v>
      </c>
      <c r="V1026" s="24">
        <f t="shared" si="114"/>
        <v>4.298909833839204E-2</v>
      </c>
      <c r="W1026" s="23">
        <f t="shared" si="115"/>
        <v>3.5137123771349366E-3</v>
      </c>
      <c r="X1026" s="24">
        <v>4.231505852890094E-2</v>
      </c>
      <c r="Y1026" s="24">
        <f t="shared" si="116"/>
        <v>4.2990682584676865E-2</v>
      </c>
      <c r="Z1026" s="23">
        <f t="shared" si="117"/>
        <v>3.5138399604688342E-3</v>
      </c>
      <c r="AA1026" s="36"/>
    </row>
    <row r="1027" spans="15:27" ht="13.9" customHeight="1" x14ac:dyDescent="0.3">
      <c r="O1027" s="12">
        <f t="shared" si="111"/>
        <v>84.5</v>
      </c>
      <c r="P1027" s="13">
        <v>1014</v>
      </c>
      <c r="Q1027" s="22">
        <v>3.6041064074975093E-2</v>
      </c>
      <c r="R1027" s="19">
        <f t="shared" si="112"/>
        <v>3.6677903572924997E-2</v>
      </c>
      <c r="S1027" s="22">
        <v>4.1083434220394288E-2</v>
      </c>
      <c r="T1027" s="19">
        <f t="shared" si="113"/>
        <v>4.2993768075852978E-2</v>
      </c>
      <c r="U1027" s="24">
        <v>4.2631935015717826E-2</v>
      </c>
      <c r="V1027" s="24">
        <f t="shared" si="114"/>
        <v>4.2989180324051857E-2</v>
      </c>
      <c r="W1027" s="23">
        <f t="shared" si="115"/>
        <v>3.5137190005325447E-3</v>
      </c>
      <c r="X1027" s="24">
        <v>4.2315724609174987E-2</v>
      </c>
      <c r="Y1027" s="24">
        <f t="shared" si="116"/>
        <v>4.2990757602402452E-2</v>
      </c>
      <c r="Z1027" s="23">
        <f t="shared" si="117"/>
        <v>3.5138460242134517E-3</v>
      </c>
      <c r="AA1027" s="36"/>
    </row>
    <row r="1028" spans="15:27" ht="13.9" customHeight="1" x14ac:dyDescent="0.3">
      <c r="O1028" s="12">
        <f t="shared" si="111"/>
        <v>84.583333333333329</v>
      </c>
      <c r="P1028" s="13">
        <v>1015</v>
      </c>
      <c r="Q1028" s="22">
        <v>3.6041691310485291E-2</v>
      </c>
      <c r="R1028" s="19">
        <f t="shared" si="112"/>
        <v>3.6678419183375555E-2</v>
      </c>
      <c r="S1028" s="22">
        <v>4.1085314599742739E-2</v>
      </c>
      <c r="T1028" s="19">
        <f t="shared" si="113"/>
        <v>4.2993826519114098E-2</v>
      </c>
      <c r="U1028" s="24">
        <v>4.26322869213136E-2</v>
      </c>
      <c r="V1028" s="24">
        <f t="shared" si="114"/>
        <v>4.2989261692693903E-2</v>
      </c>
      <c r="W1028" s="23">
        <f t="shared" si="115"/>
        <v>3.51372557408558E-3</v>
      </c>
      <c r="X1028" s="24">
        <v>4.231638945126126E-2</v>
      </c>
      <c r="Y1028" s="24">
        <f t="shared" si="116"/>
        <v>4.299083201615761E-2</v>
      </c>
      <c r="Z1028" s="23">
        <f t="shared" si="117"/>
        <v>3.5138520390740613E-3</v>
      </c>
      <c r="AA1028" s="36"/>
    </row>
    <row r="1029" spans="15:27" ht="13.9" customHeight="1" x14ac:dyDescent="0.3">
      <c r="O1029" s="12">
        <f t="shared" si="111"/>
        <v>84.666666666666671</v>
      </c>
      <c r="P1029" s="13">
        <v>1016</v>
      </c>
      <c r="Q1029" s="22">
        <v>3.6042317818837821E-2</v>
      </c>
      <c r="R1029" s="19">
        <f t="shared" si="112"/>
        <v>3.6678930510673613E-2</v>
      </c>
      <c r="S1029" s="22">
        <v>4.1087191338361029E-2</v>
      </c>
      <c r="T1029" s="19">
        <f t="shared" si="113"/>
        <v>4.2993884414769701E-2</v>
      </c>
      <c r="U1029" s="24">
        <v>4.263263821436003E-2</v>
      </c>
      <c r="V1029" s="24">
        <f t="shared" si="114"/>
        <v>4.2989342449976098E-2</v>
      </c>
      <c r="W1029" s="23">
        <f t="shared" si="115"/>
        <v>3.513732098166189E-3</v>
      </c>
      <c r="X1029" s="24">
        <v>4.2317053058220644E-2</v>
      </c>
      <c r="Y1029" s="24">
        <f t="shared" si="116"/>
        <v>4.2990905830902149E-2</v>
      </c>
      <c r="Z1029" s="23">
        <f t="shared" si="117"/>
        <v>3.5138580055085189E-3</v>
      </c>
      <c r="AA1029" s="36"/>
    </row>
    <row r="1030" spans="15:27" ht="13.9" customHeight="1" x14ac:dyDescent="0.3">
      <c r="O1030" s="12">
        <f t="shared" si="111"/>
        <v>84.75</v>
      </c>
      <c r="P1030" s="13">
        <v>1017</v>
      </c>
      <c r="Q1030" s="22">
        <v>3.6042943597968335E-2</v>
      </c>
      <c r="R1030" s="19">
        <f t="shared" si="112"/>
        <v>3.6679437589855812E-2</v>
      </c>
      <c r="S1030" s="22">
        <v>4.108906444644167E-2</v>
      </c>
      <c r="T1030" s="19">
        <f t="shared" si="113"/>
        <v>4.2993941767306199E-2</v>
      </c>
      <c r="U1030" s="24">
        <v>4.263298889606304E-2</v>
      </c>
      <c r="V1030" s="24">
        <f t="shared" si="114"/>
        <v>4.2989422599545746E-2</v>
      </c>
      <c r="W1030" s="23">
        <f t="shared" si="115"/>
        <v>3.5137385732280091E-3</v>
      </c>
      <c r="X1030" s="24">
        <v>4.2317715433106917E-2</v>
      </c>
      <c r="Y1030" s="24">
        <f t="shared" si="116"/>
        <v>4.2990979051431566E-2</v>
      </c>
      <c r="Z1030" s="23">
        <f t="shared" si="117"/>
        <v>3.5138639239145064E-3</v>
      </c>
      <c r="AA1030" s="36"/>
    </row>
    <row r="1031" spans="15:27" ht="13.9" customHeight="1" x14ac:dyDescent="0.3">
      <c r="O1031" s="12">
        <f t="shared" si="111"/>
        <v>84.833333333333329</v>
      </c>
      <c r="P1031" s="13">
        <v>1018</v>
      </c>
      <c r="Q1031" s="22">
        <v>3.6043568645854895E-2</v>
      </c>
      <c r="R1031" s="19">
        <f t="shared" si="112"/>
        <v>3.667994045633316E-2</v>
      </c>
      <c r="S1031" s="22">
        <v>4.1090933934141427E-2</v>
      </c>
      <c r="T1031" s="19">
        <f t="shared" si="113"/>
        <v>4.2993998581640991E-2</v>
      </c>
      <c r="U1031" s="24">
        <v>4.2633338967626999E-2</v>
      </c>
      <c r="V1031" s="24">
        <f t="shared" si="114"/>
        <v>4.2989502146668856E-2</v>
      </c>
      <c r="W1031" s="23">
        <f t="shared" si="115"/>
        <v>3.5137449995634729E-3</v>
      </c>
      <c r="X1031" s="24">
        <v>4.2318376578966532E-2</v>
      </c>
      <c r="Y1031" s="24">
        <f t="shared" si="116"/>
        <v>4.2991051682475856E-2</v>
      </c>
      <c r="Z1031" s="23">
        <f t="shared" si="117"/>
        <v>3.513869794676161E-3</v>
      </c>
      <c r="AA1031" s="36"/>
    </row>
    <row r="1032" spans="15:27" ht="13.9" customHeight="1" x14ac:dyDescent="0.3">
      <c r="O1032" s="12">
        <f t="shared" si="111"/>
        <v>84.916666666666671</v>
      </c>
      <c r="P1032" s="13">
        <v>1019</v>
      </c>
      <c r="Q1032" s="22">
        <v>3.6044192960518195E-2</v>
      </c>
      <c r="R1032" s="19">
        <f t="shared" si="112"/>
        <v>3.6680439144367583E-2</v>
      </c>
      <c r="S1032" s="22">
        <v>4.1092799811582426E-2</v>
      </c>
      <c r="T1032" s="19">
        <f t="shared" si="113"/>
        <v>4.2994054863517928E-2</v>
      </c>
      <c r="U1032" s="24">
        <v>4.2633688430256944E-2</v>
      </c>
      <c r="V1032" s="24">
        <f t="shared" si="114"/>
        <v>4.2989581094923679E-2</v>
      </c>
      <c r="W1032" s="23">
        <f t="shared" si="115"/>
        <v>3.5137513775944651E-3</v>
      </c>
      <c r="X1032" s="24">
        <v>4.2319036498838392E-2</v>
      </c>
      <c r="Y1032" s="24">
        <f t="shared" si="116"/>
        <v>4.2991123728786551E-2</v>
      </c>
      <c r="Z1032" s="23">
        <f t="shared" si="117"/>
        <v>3.5138756181731789E-3</v>
      </c>
      <c r="AA1032" s="36"/>
    </row>
    <row r="1033" spans="15:27" ht="13.9" customHeight="1" x14ac:dyDescent="0.3">
      <c r="O1033" s="12">
        <f t="shared" si="111"/>
        <v>85</v>
      </c>
      <c r="P1033" s="13">
        <v>1020</v>
      </c>
      <c r="Q1033" s="22">
        <v>3.6044816540020452E-2</v>
      </c>
      <c r="R1033" s="19">
        <f t="shared" si="112"/>
        <v>3.6680933690564244E-2</v>
      </c>
      <c r="S1033" s="22">
        <v>4.1094662088852152E-2</v>
      </c>
      <c r="T1033" s="19">
        <f t="shared" si="113"/>
        <v>4.2994110617179837E-2</v>
      </c>
      <c r="U1033" s="24">
        <v>4.2634037285156801E-2</v>
      </c>
      <c r="V1033" s="24">
        <f t="shared" si="114"/>
        <v>4.2989659449507167E-2</v>
      </c>
      <c r="W1033" s="23">
        <f t="shared" si="115"/>
        <v>3.5137577076085336E-3</v>
      </c>
      <c r="X1033" s="24">
        <v>4.2319695195754514E-2</v>
      </c>
      <c r="Y1033" s="24">
        <f t="shared" si="116"/>
        <v>4.2991195193826215E-2</v>
      </c>
      <c r="Z1033" s="23">
        <f t="shared" si="117"/>
        <v>3.5138813947863667E-3</v>
      </c>
      <c r="AA1033" s="36"/>
    </row>
    <row r="1034" spans="15:27" ht="13.9" customHeight="1" x14ac:dyDescent="0.3">
      <c r="O1034" s="12">
        <f t="shared" si="111"/>
        <v>85.083333333333329</v>
      </c>
      <c r="P1034" s="13">
        <v>1021</v>
      </c>
      <c r="Q1034" s="22">
        <v>3.6045439382467181E-2</v>
      </c>
      <c r="R1034" s="19">
        <f t="shared" si="112"/>
        <v>3.6681424127318119E-2</v>
      </c>
      <c r="S1034" s="22">
        <v>4.1096520776003231E-2</v>
      </c>
      <c r="T1034" s="19">
        <f t="shared" si="113"/>
        <v>4.2994165848243338E-2</v>
      </c>
      <c r="U1034" s="24">
        <v>4.2634385533530494E-2</v>
      </c>
      <c r="V1034" s="24">
        <f t="shared" si="114"/>
        <v>4.2989737215183066E-2</v>
      </c>
      <c r="W1034" s="23">
        <f t="shared" si="115"/>
        <v>3.5137639900217899E-3</v>
      </c>
      <c r="X1034" s="24">
        <v>4.232035267273826E-2</v>
      </c>
      <c r="Y1034" s="24">
        <f t="shared" si="116"/>
        <v>4.2991266084889013E-2</v>
      </c>
      <c r="Z1034" s="23">
        <f t="shared" si="117"/>
        <v>3.5138871247935022E-3</v>
      </c>
      <c r="AA1034" s="36"/>
    </row>
    <row r="1035" spans="15:27" ht="13.9" customHeight="1" x14ac:dyDescent="0.3">
      <c r="O1035" s="12">
        <f t="shared" si="111"/>
        <v>85.166666666666671</v>
      </c>
      <c r="P1035" s="13">
        <v>1022</v>
      </c>
      <c r="Q1035" s="22">
        <v>3.6046061486002756E-2</v>
      </c>
      <c r="R1035" s="19">
        <f t="shared" si="112"/>
        <v>3.6681910490145908E-2</v>
      </c>
      <c r="S1035" s="22">
        <v>4.1098375883054317E-2</v>
      </c>
      <c r="T1035" s="19">
        <f t="shared" si="113"/>
        <v>4.2994220561196395E-2</v>
      </c>
      <c r="U1035" s="24">
        <v>4.2634733176582396E-2</v>
      </c>
      <c r="V1035" s="24">
        <f t="shared" si="114"/>
        <v>4.2989814395677506E-2</v>
      </c>
      <c r="W1035" s="23">
        <f t="shared" si="115"/>
        <v>3.5137702252165948E-3</v>
      </c>
      <c r="X1035" s="24">
        <v>4.2321008932808102E-2</v>
      </c>
      <c r="Y1035" s="24">
        <f t="shared" si="116"/>
        <v>4.2991336404236691E-2</v>
      </c>
      <c r="Z1035" s="23">
        <f t="shared" si="117"/>
        <v>3.5138928087790067E-3</v>
      </c>
      <c r="AA1035" s="36"/>
    </row>
    <row r="1036" spans="15:27" ht="13.9" customHeight="1" x14ac:dyDescent="0.3">
      <c r="O1036" s="12">
        <f t="shared" si="111"/>
        <v>85.25</v>
      </c>
      <c r="P1036" s="13">
        <v>1023</v>
      </c>
      <c r="Q1036" s="22">
        <v>3.604668284881396E-2</v>
      </c>
      <c r="R1036" s="19">
        <f t="shared" si="112"/>
        <v>3.6682392812446896E-2</v>
      </c>
      <c r="S1036" s="22">
        <v>4.1100227419989199E-2</v>
      </c>
      <c r="T1036" s="19">
        <f t="shared" si="113"/>
        <v>4.2994274761058326E-2</v>
      </c>
      <c r="U1036" s="24">
        <v>4.263508021551532E-2</v>
      </c>
      <c r="V1036" s="24">
        <f t="shared" si="114"/>
        <v>4.2989890995844382E-2</v>
      </c>
      <c r="W1036" s="23">
        <f t="shared" si="115"/>
        <v>3.5137764134913763E-3</v>
      </c>
      <c r="X1036" s="24">
        <v>4.2321663978973412E-2</v>
      </c>
      <c r="Y1036" s="24">
        <f t="shared" si="116"/>
        <v>4.299140615747965E-2</v>
      </c>
      <c r="Z1036" s="23">
        <f t="shared" si="117"/>
        <v>3.5138984469247347E-3</v>
      </c>
      <c r="AA1036" s="36"/>
    </row>
    <row r="1037" spans="15:27" ht="13.9" customHeight="1" x14ac:dyDescent="0.3">
      <c r="O1037" s="12">
        <f t="shared" si="111"/>
        <v>85.333333333333329</v>
      </c>
      <c r="P1037" s="13">
        <v>1024</v>
      </c>
      <c r="Q1037" s="22">
        <v>3.6047303469126879E-2</v>
      </c>
      <c r="R1037" s="19">
        <f t="shared" si="112"/>
        <v>3.6682871127848182E-2</v>
      </c>
      <c r="S1037" s="22">
        <v>4.110207539675792E-2</v>
      </c>
      <c r="T1037" s="19">
        <f t="shared" si="113"/>
        <v>4.2994328452635289E-2</v>
      </c>
      <c r="U1037" s="24">
        <v>4.2635426651532526E-2</v>
      </c>
      <c r="V1037" s="24">
        <f t="shared" si="114"/>
        <v>4.2989967019747333E-2</v>
      </c>
      <c r="W1037" s="23">
        <f t="shared" si="115"/>
        <v>3.5137825552356006E-3</v>
      </c>
      <c r="X1037" s="24">
        <v>4.2322317814236898E-2</v>
      </c>
      <c r="Y1037" s="24">
        <f t="shared" si="116"/>
        <v>4.2991475349676733E-2</v>
      </c>
      <c r="Z1037" s="23">
        <f t="shared" si="117"/>
        <v>3.5139040396803267E-3</v>
      </c>
      <c r="AA1037" s="36"/>
    </row>
    <row r="1038" spans="15:27" ht="13.9" customHeight="1" x14ac:dyDescent="0.3">
      <c r="O1038" s="12">
        <f t="shared" ref="O1038:O1101" si="118">P1038/12</f>
        <v>85.416666666666671</v>
      </c>
      <c r="P1038" s="13">
        <v>1025</v>
      </c>
      <c r="Q1038" s="22">
        <v>3.6047923345207566E-2</v>
      </c>
      <c r="R1038" s="19">
        <f t="shared" ref="R1038:R1101" si="119">(1+Q1039)^P1039/(1+Q1038)^P1038-1</f>
        <v>3.6683345470060358E-2</v>
      </c>
      <c r="S1038" s="22">
        <v>4.1103919823275881E-2</v>
      </c>
      <c r="T1038" s="19">
        <f t="shared" ref="T1038:T1101" si="120">(1+S1039)^P1039/(1+S1038)^P1038-1</f>
        <v>4.2994381640548474E-2</v>
      </c>
      <c r="U1038" s="24">
        <v>4.2635772485836165E-2</v>
      </c>
      <c r="V1038" s="24">
        <f t="shared" ref="V1038:V1101" si="121">(1+U1039)^P1039/(1+U1038)^P1038-1</f>
        <v>4.2990042471467094E-2</v>
      </c>
      <c r="W1038" s="23">
        <f t="shared" si="115"/>
        <v>3.5137886507750071E-3</v>
      </c>
      <c r="X1038" s="24">
        <v>4.2322970441594387E-2</v>
      </c>
      <c r="Y1038" s="24">
        <f t="shared" si="116"/>
        <v>4.2991543983982083E-2</v>
      </c>
      <c r="Z1038" s="23">
        <f t="shared" si="117"/>
        <v>3.513909587451236E-3</v>
      </c>
      <c r="AA1038" s="36"/>
    </row>
    <row r="1039" spans="15:27" ht="13.9" customHeight="1" x14ac:dyDescent="0.3">
      <c r="O1039" s="12">
        <f t="shared" si="118"/>
        <v>85.5</v>
      </c>
      <c r="P1039" s="13">
        <v>1026</v>
      </c>
      <c r="Q1039" s="22">
        <v>3.6048542475361378E-2</v>
      </c>
      <c r="R1039" s="19">
        <f t="shared" si="119"/>
        <v>3.6683815871330072E-2</v>
      </c>
      <c r="S1039" s="22">
        <v>4.1105760709424732E-2</v>
      </c>
      <c r="T1039" s="19">
        <f t="shared" si="120"/>
        <v>4.2994434329674869E-2</v>
      </c>
      <c r="U1039" s="24">
        <v>4.2636117719627942E-2</v>
      </c>
      <c r="V1039" s="24">
        <f t="shared" si="121"/>
        <v>4.2990117355990121E-2</v>
      </c>
      <c r="W1039" s="23">
        <f t="shared" ref="W1039:W1102" si="122">(1+V1038)^(1/12)-1</f>
        <v>3.5137947004368897E-3</v>
      </c>
      <c r="X1039" s="24">
        <v>4.2323621864033489E-2</v>
      </c>
      <c r="Y1039" s="24">
        <f t="shared" ref="Y1039:Y1102" si="123">(1+X1040)^P1040/(1+X1039)^P1039-1</f>
        <v>4.2991612065950369E-2</v>
      </c>
      <c r="Z1039" s="23">
        <f t="shared" ref="Z1039:Z1102" si="124">(1+Y1038)^(1/12)-1</f>
        <v>3.5139150904905936E-3</v>
      </c>
      <c r="AA1039" s="36"/>
    </row>
    <row r="1040" spans="15:27" ht="13.9" customHeight="1" x14ac:dyDescent="0.3">
      <c r="O1040" s="12">
        <f t="shared" si="118"/>
        <v>85.583333333333329</v>
      </c>
      <c r="P1040" s="13">
        <v>1027</v>
      </c>
      <c r="Q1040" s="22">
        <v>3.6049160857931861E-2</v>
      </c>
      <c r="R1040" s="19">
        <f t="shared" si="119"/>
        <v>3.6684282364974008E-2</v>
      </c>
      <c r="S1040" s="22">
        <v>4.1107598065052375E-2</v>
      </c>
      <c r="T1040" s="19">
        <f t="shared" si="120"/>
        <v>4.2994486524625453E-2</v>
      </c>
      <c r="U1040" s="24">
        <v>4.2636462354109783E-2</v>
      </c>
      <c r="V1040" s="24">
        <f t="shared" si="121"/>
        <v>4.2990191677673817E-2</v>
      </c>
      <c r="W1040" s="23">
        <f t="shared" si="122"/>
        <v>3.5138007046209285E-3</v>
      </c>
      <c r="X1040" s="24">
        <v>4.2324272084535375E-2</v>
      </c>
      <c r="Y1040" s="24">
        <f t="shared" si="123"/>
        <v>4.2991679599532207E-2</v>
      </c>
      <c r="Z1040" s="23">
        <f t="shared" si="124"/>
        <v>3.5139205492438208E-3</v>
      </c>
      <c r="AA1040" s="36"/>
    </row>
    <row r="1041" spans="15:27" ht="13.9" customHeight="1" x14ac:dyDescent="0.3">
      <c r="O1041" s="12">
        <f t="shared" si="118"/>
        <v>85.666666666666671</v>
      </c>
      <c r="P1041" s="13">
        <v>1028</v>
      </c>
      <c r="Q1041" s="22">
        <v>3.6049778491301421E-2</v>
      </c>
      <c r="R1041" s="19">
        <f t="shared" si="119"/>
        <v>3.6684744983469963E-2</v>
      </c>
      <c r="S1041" s="22">
        <v>4.1109431899972959E-2</v>
      </c>
      <c r="T1041" s="19">
        <f t="shared" si="120"/>
        <v>4.299453823020527E-2</v>
      </c>
      <c r="U1041" s="24">
        <v>4.2636806390482951E-2</v>
      </c>
      <c r="V1041" s="24">
        <f t="shared" si="121"/>
        <v>4.2990265439720954E-2</v>
      </c>
      <c r="W1041" s="23">
        <f t="shared" si="122"/>
        <v>3.5138066636763998E-3</v>
      </c>
      <c r="X1041" s="24">
        <v>4.2324921106073221E-2</v>
      </c>
      <c r="Y1041" s="24">
        <f t="shared" si="123"/>
        <v>4.2991746590066438E-2</v>
      </c>
      <c r="Z1041" s="23">
        <f t="shared" si="124"/>
        <v>3.5139259640275533E-3</v>
      </c>
      <c r="AA1041" s="36"/>
    </row>
    <row r="1042" spans="15:27" ht="13.9" customHeight="1" x14ac:dyDescent="0.3">
      <c r="O1042" s="12">
        <f t="shared" si="118"/>
        <v>85.75</v>
      </c>
      <c r="P1042" s="13">
        <v>1029</v>
      </c>
      <c r="Q1042" s="22">
        <v>3.6050395373890209E-2</v>
      </c>
      <c r="R1042" s="19">
        <f t="shared" si="119"/>
        <v>3.6685203759056595E-2</v>
      </c>
      <c r="S1042" s="22">
        <v>4.1111262223966882E-2</v>
      </c>
      <c r="T1042" s="19">
        <f t="shared" si="120"/>
        <v>4.2994589450706E-2</v>
      </c>
      <c r="U1042" s="24">
        <v>4.2637149829947374E-2</v>
      </c>
      <c r="V1042" s="24">
        <f t="shared" si="121"/>
        <v>4.299033864800661E-2</v>
      </c>
      <c r="W1042" s="23">
        <f t="shared" si="122"/>
        <v>3.5138125778604312E-3</v>
      </c>
      <c r="X1042" s="24">
        <v>4.2325568931614432E-2</v>
      </c>
      <c r="Y1042" s="24">
        <f t="shared" si="123"/>
        <v>4.2991813040357263E-2</v>
      </c>
      <c r="Z1042" s="23">
        <f t="shared" si="124"/>
        <v>3.5139313352696711E-3</v>
      </c>
      <c r="AA1042" s="36"/>
    </row>
    <row r="1043" spans="15:27" ht="13.9" customHeight="1" x14ac:dyDescent="0.3">
      <c r="O1043" s="12">
        <f t="shared" si="118"/>
        <v>85.833333333333329</v>
      </c>
      <c r="P1043" s="13">
        <v>1030</v>
      </c>
      <c r="Q1043" s="22">
        <v>3.6051011504155683E-2</v>
      </c>
      <c r="R1043" s="19">
        <f t="shared" si="119"/>
        <v>3.668565872324181E-2</v>
      </c>
      <c r="S1043" s="22">
        <v>4.1113089046781015E-2</v>
      </c>
      <c r="T1043" s="19">
        <f t="shared" si="120"/>
        <v>4.2994640191184041E-2</v>
      </c>
      <c r="U1043" s="24">
        <v>4.2637492673703647E-2</v>
      </c>
      <c r="V1043" s="24">
        <f t="shared" si="121"/>
        <v>4.2990411304480114E-2</v>
      </c>
      <c r="W1043" s="23">
        <f t="shared" si="122"/>
        <v>3.5138184476437573E-3</v>
      </c>
      <c r="X1043" s="24">
        <v>4.2326215564117087E-2</v>
      </c>
      <c r="Y1043" s="24">
        <f t="shared" si="123"/>
        <v>4.2991878956019525E-2</v>
      </c>
      <c r="Z1043" s="23">
        <f t="shared" si="124"/>
        <v>3.5139366631955493E-3</v>
      </c>
      <c r="AA1043" s="36"/>
    </row>
    <row r="1044" spans="15:27" ht="13.9" customHeight="1" x14ac:dyDescent="0.3">
      <c r="O1044" s="12">
        <f t="shared" si="118"/>
        <v>85.916666666666671</v>
      </c>
      <c r="P1044" s="13">
        <v>1031</v>
      </c>
      <c r="Q1044" s="22">
        <v>3.6051626880592158E-2</v>
      </c>
      <c r="R1044" s="19">
        <f t="shared" si="119"/>
        <v>3.6686109908313558E-2</v>
      </c>
      <c r="S1044" s="22">
        <v>4.1114912378129143E-2</v>
      </c>
      <c r="T1044" s="19">
        <f t="shared" si="120"/>
        <v>4.2994690455452567E-2</v>
      </c>
      <c r="U1044" s="24">
        <v>4.2637834922950146E-2</v>
      </c>
      <c r="V1044" s="24">
        <f t="shared" si="121"/>
        <v>4.2990483415417557E-2</v>
      </c>
      <c r="W1044" s="23">
        <f t="shared" si="122"/>
        <v>3.5138242731829195E-3</v>
      </c>
      <c r="X1044" s="24">
        <v>4.2326861006533489E-2</v>
      </c>
      <c r="Y1044" s="24">
        <f t="shared" si="123"/>
        <v>4.2991944340823762E-2</v>
      </c>
      <c r="Z1044" s="23">
        <f t="shared" si="124"/>
        <v>3.5139419482548284E-3</v>
      </c>
      <c r="AA1044" s="36"/>
    </row>
    <row r="1045" spans="15:27" ht="13.9" customHeight="1" x14ac:dyDescent="0.3">
      <c r="O1045" s="12">
        <f t="shared" si="118"/>
        <v>86</v>
      </c>
      <c r="P1045" s="13">
        <v>1032</v>
      </c>
      <c r="Q1045" s="22">
        <v>3.6052241501730586E-2</v>
      </c>
      <c r="R1045" s="19">
        <f t="shared" si="119"/>
        <v>3.6686557345362969E-2</v>
      </c>
      <c r="S1045" s="22">
        <v>4.1116732227691521E-2</v>
      </c>
      <c r="T1045" s="19">
        <f t="shared" si="120"/>
        <v>4.299474024843386E-2</v>
      </c>
      <c r="U1045" s="24">
        <v>4.2638176578886133E-2</v>
      </c>
      <c r="V1045" s="24">
        <f t="shared" si="121"/>
        <v>4.299055498346549E-2</v>
      </c>
      <c r="W1045" s="23">
        <f t="shared" si="122"/>
        <v>3.5138300549810708E-3</v>
      </c>
      <c r="X1045" s="24">
        <v>4.2327505261807952E-2</v>
      </c>
      <c r="Y1045" s="24">
        <f t="shared" si="123"/>
        <v>4.2992009199204206E-2</v>
      </c>
      <c r="Z1045" s="23">
        <f t="shared" si="124"/>
        <v>3.5139471907501552E-3</v>
      </c>
      <c r="AA1045" s="36"/>
    </row>
    <row r="1046" spans="15:27" ht="13.9" customHeight="1" x14ac:dyDescent="0.3">
      <c r="O1046" s="12">
        <f t="shared" si="118"/>
        <v>86.083333333333329</v>
      </c>
      <c r="P1046" s="13">
        <v>1033</v>
      </c>
      <c r="Q1046" s="22">
        <v>3.6052855366138115E-2</v>
      </c>
      <c r="R1046" s="19">
        <f t="shared" si="119"/>
        <v>3.6687001065889513E-2</v>
      </c>
      <c r="S1046" s="22">
        <v>4.1118548605115102E-2</v>
      </c>
      <c r="T1046" s="19">
        <f t="shared" si="120"/>
        <v>4.2994789574503312E-2</v>
      </c>
      <c r="U1046" s="24">
        <v>4.2638517642709317E-2</v>
      </c>
      <c r="V1046" s="24">
        <f t="shared" si="121"/>
        <v>4.2990626013204247E-2</v>
      </c>
      <c r="W1046" s="23">
        <f t="shared" si="122"/>
        <v>3.513835793250486E-3</v>
      </c>
      <c r="X1046" s="24">
        <v>4.2328148332877902E-2</v>
      </c>
      <c r="Y1046" s="24">
        <f t="shared" si="123"/>
        <v>4.2992073535293551E-2</v>
      </c>
      <c r="Z1046" s="23">
        <f t="shared" si="124"/>
        <v>3.5139523910370229E-3</v>
      </c>
      <c r="AA1046" s="36"/>
    </row>
    <row r="1047" spans="15:27" ht="13.9" customHeight="1" x14ac:dyDescent="0.3">
      <c r="O1047" s="12">
        <f t="shared" si="118"/>
        <v>86.166666666666671</v>
      </c>
      <c r="P1047" s="13">
        <v>1034</v>
      </c>
      <c r="Q1047" s="22">
        <v>3.6053468472417638E-2</v>
      </c>
      <c r="R1047" s="19">
        <f t="shared" si="119"/>
        <v>3.6687441100164087E-2</v>
      </c>
      <c r="S1047" s="22">
        <v>4.1120361520014415E-2</v>
      </c>
      <c r="T1047" s="19">
        <f t="shared" si="120"/>
        <v>4.2994838437790284E-2</v>
      </c>
      <c r="U1047" s="24">
        <v>4.263885811561674E-2</v>
      </c>
      <c r="V1047" s="24">
        <f t="shared" si="121"/>
        <v>4.2990696509154436E-2</v>
      </c>
      <c r="W1047" s="23">
        <f t="shared" si="122"/>
        <v>3.5138414883582048E-3</v>
      </c>
      <c r="X1047" s="24">
        <v>4.2328790222673218E-2</v>
      </c>
      <c r="Y1047" s="24">
        <f t="shared" si="123"/>
        <v>4.2992137353279336E-2</v>
      </c>
      <c r="Z1047" s="23">
        <f t="shared" si="124"/>
        <v>3.5139575494467223E-3</v>
      </c>
      <c r="AA1047" s="36"/>
    </row>
    <row r="1048" spans="15:27" ht="13.9" customHeight="1" x14ac:dyDescent="0.3">
      <c r="O1048" s="12">
        <f t="shared" si="118"/>
        <v>86.25</v>
      </c>
      <c r="P1048" s="13">
        <v>1035</v>
      </c>
      <c r="Q1048" s="22">
        <v>3.6054080819206691E-2</v>
      </c>
      <c r="R1048" s="19">
        <f t="shared" si="119"/>
        <v>3.6687877479898212E-2</v>
      </c>
      <c r="S1048" s="22">
        <v>4.1122170981970241E-2</v>
      </c>
      <c r="T1048" s="19">
        <f t="shared" si="120"/>
        <v>4.2994886842945279E-2</v>
      </c>
      <c r="U1048" s="24">
        <v>4.2639197998805445E-2</v>
      </c>
      <c r="V1048" s="24">
        <f t="shared" si="121"/>
        <v>4.2990766475031528E-2</v>
      </c>
      <c r="W1048" s="23">
        <f t="shared" si="122"/>
        <v>3.5138471406668259E-3</v>
      </c>
      <c r="X1048" s="24">
        <v>4.2329430934116674E-2</v>
      </c>
      <c r="Y1048" s="24">
        <f t="shared" si="123"/>
        <v>4.2992200657871349E-2</v>
      </c>
      <c r="Z1048" s="23">
        <f t="shared" si="124"/>
        <v>3.5139626663149848E-3</v>
      </c>
      <c r="AA1048" s="36"/>
    </row>
    <row r="1049" spans="15:27" ht="13.9" customHeight="1" x14ac:dyDescent="0.3">
      <c r="O1049" s="12">
        <f t="shared" si="118"/>
        <v>86.333333333333329</v>
      </c>
      <c r="P1049" s="13">
        <v>1036</v>
      </c>
      <c r="Q1049" s="22">
        <v>3.6054692405178779E-2</v>
      </c>
      <c r="R1049" s="19">
        <f t="shared" si="119"/>
        <v>3.6688310233838006E-2</v>
      </c>
      <c r="S1049" s="22">
        <v>4.1123977000531386E-2</v>
      </c>
      <c r="T1049" s="19">
        <f t="shared" si="120"/>
        <v>4.2994934794058359E-2</v>
      </c>
      <c r="U1049" s="24">
        <v>4.2639537293471363E-2</v>
      </c>
      <c r="V1049" s="24">
        <f t="shared" si="121"/>
        <v>4.299083591422348E-2</v>
      </c>
      <c r="W1049" s="23">
        <f t="shared" si="122"/>
        <v>3.5138527504743333E-3</v>
      </c>
      <c r="X1049" s="24">
        <v>4.2330070470124159E-2</v>
      </c>
      <c r="Y1049" s="24">
        <f t="shared" si="123"/>
        <v>4.2992263452544366E-2</v>
      </c>
      <c r="Z1049" s="23">
        <f t="shared" si="124"/>
        <v>3.5139677420197302E-3</v>
      </c>
      <c r="AA1049" s="36"/>
    </row>
    <row r="1050" spans="15:27" ht="13.9" customHeight="1" x14ac:dyDescent="0.3">
      <c r="O1050" s="12">
        <f t="shared" si="118"/>
        <v>86.416666666666671</v>
      </c>
      <c r="P1050" s="13">
        <v>1037</v>
      </c>
      <c r="Q1050" s="22">
        <v>3.6055303229040048E-2</v>
      </c>
      <c r="R1050" s="19">
        <f t="shared" si="119"/>
        <v>3.6688739393686109E-2</v>
      </c>
      <c r="S1050" s="22">
        <v>4.1125779585213573E-2</v>
      </c>
      <c r="T1050" s="19">
        <f t="shared" si="120"/>
        <v>4.2994982295658346E-2</v>
      </c>
      <c r="U1050" s="24">
        <v>4.2639876000809096E-2</v>
      </c>
      <c r="V1050" s="24">
        <f t="shared" si="121"/>
        <v>4.2990904831137433E-2</v>
      </c>
      <c r="W1050" s="23">
        <f t="shared" si="122"/>
        <v>3.5138583180522875E-3</v>
      </c>
      <c r="X1050" s="24">
        <v>4.2330708833603792E-2</v>
      </c>
      <c r="Y1050" s="24">
        <f t="shared" si="123"/>
        <v>4.299232574071854E-2</v>
      </c>
      <c r="Z1050" s="23">
        <f t="shared" si="124"/>
        <v>3.5139727768391804E-3</v>
      </c>
      <c r="AA1050" s="36"/>
    </row>
    <row r="1051" spans="15:27" ht="13.9" customHeight="1" x14ac:dyDescent="0.3">
      <c r="O1051" s="12">
        <f t="shared" si="118"/>
        <v>86.5</v>
      </c>
      <c r="P1051" s="13">
        <v>1038</v>
      </c>
      <c r="Q1051" s="22">
        <v>3.6055913289532393E-2</v>
      </c>
      <c r="R1051" s="19">
        <f t="shared" si="119"/>
        <v>3.6689164988198186E-2</v>
      </c>
      <c r="S1051" s="22">
        <v>4.1127578745500104E-2</v>
      </c>
      <c r="T1051" s="19">
        <f t="shared" si="120"/>
        <v>4.299502935151267E-2</v>
      </c>
      <c r="U1051" s="24">
        <v>4.2640214122012798E-2</v>
      </c>
      <c r="V1051" s="24">
        <f t="shared" si="121"/>
        <v>4.2990973229629637E-2</v>
      </c>
      <c r="W1051" s="23">
        <f t="shared" si="122"/>
        <v>3.5138638437541836E-3</v>
      </c>
      <c r="X1051" s="24">
        <v>4.2331346027455696E-2</v>
      </c>
      <c r="Y1051" s="24">
        <f t="shared" si="123"/>
        <v>4.2992387528579146E-2</v>
      </c>
      <c r="Z1051" s="23">
        <f t="shared" si="124"/>
        <v>3.5139777710477826E-3</v>
      </c>
      <c r="AA1051" s="36"/>
    </row>
    <row r="1052" spans="15:27" ht="13.9" customHeight="1" x14ac:dyDescent="0.3">
      <c r="O1052" s="12">
        <f t="shared" si="118"/>
        <v>86.583333333333329</v>
      </c>
      <c r="P1052" s="13">
        <v>1039</v>
      </c>
      <c r="Q1052" s="22">
        <v>3.6056522585429907E-2</v>
      </c>
      <c r="R1052" s="19">
        <f t="shared" si="119"/>
        <v>3.6689587048768235E-2</v>
      </c>
      <c r="S1052" s="22">
        <v>4.1129374490841641E-2</v>
      </c>
      <c r="T1052" s="19">
        <f t="shared" si="120"/>
        <v>4.2995075966360652E-2</v>
      </c>
      <c r="U1052" s="24">
        <v>4.264055165827596E-2</v>
      </c>
      <c r="V1052" s="24">
        <f t="shared" si="121"/>
        <v>4.2991041114619488E-2</v>
      </c>
      <c r="W1052" s="23">
        <f t="shared" si="122"/>
        <v>3.5138693278888855E-3</v>
      </c>
      <c r="X1052" s="24">
        <v>4.2331982054574668E-2</v>
      </c>
      <c r="Y1052" s="24">
        <f t="shared" si="123"/>
        <v>4.2992448818653717E-2</v>
      </c>
      <c r="Z1052" s="23">
        <f t="shared" si="124"/>
        <v>3.5139827251415845E-3</v>
      </c>
      <c r="AA1052" s="36"/>
    </row>
    <row r="1053" spans="15:27" ht="13.9" customHeight="1" x14ac:dyDescent="0.3">
      <c r="O1053" s="12">
        <f t="shared" si="118"/>
        <v>86.666666666666671</v>
      </c>
      <c r="P1053" s="13">
        <v>1040</v>
      </c>
      <c r="Q1053" s="22">
        <v>3.6057131115541763E-2</v>
      </c>
      <c r="R1053" s="19">
        <f t="shared" si="119"/>
        <v>3.6690005602509457E-2</v>
      </c>
      <c r="S1053" s="22">
        <v>4.1131166830657095E-2</v>
      </c>
      <c r="T1053" s="19">
        <f t="shared" si="120"/>
        <v>4.2995122143710374E-2</v>
      </c>
      <c r="U1053" s="24">
        <v>4.2640888610792071E-2</v>
      </c>
      <c r="V1053" s="24">
        <f t="shared" si="121"/>
        <v>4.2991108487570706E-2</v>
      </c>
      <c r="W1053" s="23">
        <f t="shared" si="122"/>
        <v>3.5138747708514106E-3</v>
      </c>
      <c r="X1053" s="24">
        <v>4.2332616917847066E-2</v>
      </c>
      <c r="Y1053" s="24">
        <f t="shared" si="123"/>
        <v>4.2992509614345753E-2</v>
      </c>
      <c r="Z1053" s="23">
        <f t="shared" si="124"/>
        <v>3.5139876393228686E-3</v>
      </c>
      <c r="AA1053" s="36"/>
    </row>
    <row r="1054" spans="15:27" ht="13.9" customHeight="1" x14ac:dyDescent="0.3">
      <c r="O1054" s="12">
        <f t="shared" si="118"/>
        <v>86.75</v>
      </c>
      <c r="P1054" s="13">
        <v>1041</v>
      </c>
      <c r="Q1054" s="22">
        <v>3.6057738878707779E-2</v>
      </c>
      <c r="R1054" s="19">
        <f t="shared" si="119"/>
        <v>3.6690420679543312E-2</v>
      </c>
      <c r="S1054" s="22">
        <v>4.1132955774332292E-2</v>
      </c>
      <c r="T1054" s="19">
        <f t="shared" si="120"/>
        <v>4.2995167888021157E-2</v>
      </c>
      <c r="U1054" s="24">
        <v>4.2641224980751291E-2</v>
      </c>
      <c r="V1054" s="24">
        <f t="shared" si="121"/>
        <v>4.2991175354935685E-2</v>
      </c>
      <c r="W1054" s="23">
        <f t="shared" si="122"/>
        <v>3.5138801727585545E-3</v>
      </c>
      <c r="X1054" s="24">
        <v>4.2333250620151253E-2</v>
      </c>
      <c r="Y1054" s="24">
        <f t="shared" si="123"/>
        <v>4.2992569921762147E-2</v>
      </c>
      <c r="Z1054" s="23">
        <f t="shared" si="124"/>
        <v>3.5139925138647499E-3</v>
      </c>
      <c r="AA1054" s="36"/>
    </row>
    <row r="1055" spans="15:27" ht="13.9" customHeight="1" x14ac:dyDescent="0.3">
      <c r="O1055" s="12">
        <f t="shared" si="118"/>
        <v>86.833333333333329</v>
      </c>
      <c r="P1055" s="13">
        <v>1042</v>
      </c>
      <c r="Q1055" s="22">
        <v>3.6058345873801079E-2</v>
      </c>
      <c r="R1055" s="19">
        <f t="shared" si="119"/>
        <v>3.66908323097348E-2</v>
      </c>
      <c r="S1055" s="22">
        <v>4.1134741331221747E-2</v>
      </c>
      <c r="T1055" s="19">
        <f t="shared" si="120"/>
        <v>4.2995213203284921E-2</v>
      </c>
      <c r="U1055" s="24">
        <v>4.2641560769345555E-2</v>
      </c>
      <c r="V1055" s="24">
        <f t="shared" si="121"/>
        <v>4.2991241718890016E-2</v>
      </c>
      <c r="W1055" s="23">
        <f t="shared" si="122"/>
        <v>3.5138855341279029E-3</v>
      </c>
      <c r="X1055" s="24">
        <v>4.2333883164360486E-2</v>
      </c>
      <c r="Y1055" s="24">
        <f t="shared" si="123"/>
        <v>4.2992629742525157E-2</v>
      </c>
      <c r="Z1055" s="23">
        <f t="shared" si="124"/>
        <v>3.5139973492570586E-3</v>
      </c>
      <c r="AA1055" s="36"/>
    </row>
    <row r="1056" spans="15:27" ht="13.9" customHeight="1" x14ac:dyDescent="0.3">
      <c r="O1056" s="12">
        <f t="shared" si="118"/>
        <v>86.916666666666671</v>
      </c>
      <c r="P1056" s="13">
        <v>1043</v>
      </c>
      <c r="Q1056" s="22">
        <v>3.6058952099727426E-2</v>
      </c>
      <c r="R1056" s="19">
        <f t="shared" si="119"/>
        <v>3.6691240519956869E-2</v>
      </c>
      <c r="S1056" s="22">
        <v>4.113652351064756E-2</v>
      </c>
      <c r="T1056" s="19">
        <f t="shared" si="120"/>
        <v>4.2995258094344457E-2</v>
      </c>
      <c r="U1056" s="24">
        <v>4.2641895977764355E-2</v>
      </c>
      <c r="V1056" s="24">
        <f t="shared" si="121"/>
        <v>4.2991307584310245E-2</v>
      </c>
      <c r="W1056" s="23">
        <f t="shared" si="122"/>
        <v>3.5138908551337611E-3</v>
      </c>
      <c r="X1056" s="24">
        <v>4.2334514553338476E-2</v>
      </c>
      <c r="Y1056" s="24">
        <f t="shared" si="123"/>
        <v>4.2992689082730573E-2</v>
      </c>
      <c r="Z1056" s="23">
        <f t="shared" si="124"/>
        <v>3.514002145629691E-3</v>
      </c>
      <c r="AA1056" s="36"/>
    </row>
    <row r="1057" spans="15:27" ht="13.9" customHeight="1" x14ac:dyDescent="0.3">
      <c r="O1057" s="12">
        <f t="shared" si="118"/>
        <v>87</v>
      </c>
      <c r="P1057" s="13">
        <v>1044</v>
      </c>
      <c r="Q1057" s="22">
        <v>3.6059557555423005E-2</v>
      </c>
      <c r="R1057" s="19">
        <f t="shared" si="119"/>
        <v>3.6691645340191981E-2</v>
      </c>
      <c r="S1057" s="22">
        <v>4.1138302321900966E-2</v>
      </c>
      <c r="T1057" s="19">
        <f t="shared" si="120"/>
        <v>4.2995302563484605E-2</v>
      </c>
      <c r="U1057" s="24">
        <v>4.2642230607197407E-2</v>
      </c>
      <c r="V1057" s="24">
        <f t="shared" si="121"/>
        <v>4.2991372953745888E-2</v>
      </c>
      <c r="W1057" s="23">
        <f t="shared" si="122"/>
        <v>3.5138961361675936E-3</v>
      </c>
      <c r="X1057" s="24">
        <v>4.2335144789943824E-2</v>
      </c>
      <c r="Y1057" s="24">
        <f t="shared" si="123"/>
        <v>4.2992747944037291E-2</v>
      </c>
      <c r="Z1057" s="23">
        <f t="shared" si="124"/>
        <v>3.5140069034713672E-3</v>
      </c>
      <c r="AA1057" s="36"/>
    </row>
    <row r="1058" spans="15:27" ht="13.9" customHeight="1" x14ac:dyDescent="0.3">
      <c r="O1058" s="12">
        <f t="shared" si="118"/>
        <v>87.083333333333329</v>
      </c>
      <c r="P1058" s="13">
        <v>1045</v>
      </c>
      <c r="Q1058" s="22">
        <v>3.6060162239856419E-2</v>
      </c>
      <c r="R1058" s="19">
        <f t="shared" si="119"/>
        <v>3.6692046796774402E-2</v>
      </c>
      <c r="S1058" s="22">
        <v>4.1140077774239892E-2</v>
      </c>
      <c r="T1058" s="19">
        <f t="shared" si="120"/>
        <v>4.2995346615979591E-2</v>
      </c>
      <c r="U1058" s="24">
        <v>4.2642564658831983E-2</v>
      </c>
      <c r="V1058" s="24">
        <f t="shared" si="121"/>
        <v>4.2991437831604973E-2</v>
      </c>
      <c r="W1058" s="23">
        <f t="shared" si="122"/>
        <v>3.5139013774332373E-3</v>
      </c>
      <c r="X1058" s="24">
        <v>4.2335773877025806E-2</v>
      </c>
      <c r="Y1058" s="24">
        <f t="shared" si="123"/>
        <v>4.2992806332244893E-2</v>
      </c>
      <c r="Z1058" s="23">
        <f t="shared" si="124"/>
        <v>3.5140116229150919E-3</v>
      </c>
      <c r="AA1058" s="36"/>
    </row>
    <row r="1059" spans="15:27" ht="13.9" customHeight="1" x14ac:dyDescent="0.3">
      <c r="O1059" s="12">
        <f t="shared" si="118"/>
        <v>87.166666666666671</v>
      </c>
      <c r="P1059" s="13">
        <v>1046</v>
      </c>
      <c r="Q1059" s="22">
        <v>3.6060766152025359E-2</v>
      </c>
      <c r="R1059" s="19">
        <f t="shared" si="119"/>
        <v>3.6692444920628731E-2</v>
      </c>
      <c r="S1059" s="22">
        <v>4.1141849876891845E-2</v>
      </c>
      <c r="T1059" s="19">
        <f t="shared" si="120"/>
        <v>4.2995390255307742E-2</v>
      </c>
      <c r="U1059" s="24">
        <v>4.2642898133855134E-2</v>
      </c>
      <c r="V1059" s="24">
        <f t="shared" si="121"/>
        <v>4.299150222168624E-2</v>
      </c>
      <c r="W1059" s="23">
        <f t="shared" si="122"/>
        <v>3.5139065792844093E-3</v>
      </c>
      <c r="X1059" s="24">
        <v>4.2336401817428371E-2</v>
      </c>
      <c r="Y1059" s="24">
        <f t="shared" si="123"/>
        <v>4.2992864249948637E-2</v>
      </c>
      <c r="Z1059" s="23">
        <f t="shared" si="124"/>
        <v>3.5140163044260486E-3</v>
      </c>
      <c r="AA1059" s="36"/>
    </row>
    <row r="1060" spans="15:27" ht="13.9" customHeight="1" x14ac:dyDescent="0.3">
      <c r="O1060" s="12">
        <f t="shared" si="118"/>
        <v>87.25</v>
      </c>
      <c r="P1060" s="13">
        <v>1047</v>
      </c>
      <c r="Q1060" s="22">
        <v>3.6061369290961043E-2</v>
      </c>
      <c r="R1060" s="19">
        <f t="shared" si="119"/>
        <v>3.6692839736366611E-2</v>
      </c>
      <c r="S1060" s="22">
        <v>4.1143618639052359E-2</v>
      </c>
      <c r="T1060" s="19">
        <f t="shared" si="120"/>
        <v>4.2995433485153001E-2</v>
      </c>
      <c r="U1060" s="24">
        <v>4.2643231033453244E-2</v>
      </c>
      <c r="V1060" s="24">
        <f t="shared" si="121"/>
        <v>4.2991566127538183E-2</v>
      </c>
      <c r="W1060" s="23">
        <f t="shared" si="122"/>
        <v>3.5139117420257548E-3</v>
      </c>
      <c r="X1060" s="24">
        <v>4.2337028613987027E-2</v>
      </c>
      <c r="Y1060" s="24">
        <f t="shared" si="123"/>
        <v>4.2992921701268338E-2</v>
      </c>
      <c r="Z1060" s="23">
        <f t="shared" si="124"/>
        <v>3.514020948212071E-3</v>
      </c>
      <c r="AA1060" s="36"/>
    </row>
    <row r="1061" spans="15:27" ht="13.9" customHeight="1" x14ac:dyDescent="0.3">
      <c r="O1061" s="12">
        <f t="shared" si="118"/>
        <v>87.333333333333329</v>
      </c>
      <c r="P1061" s="13">
        <v>1048</v>
      </c>
      <c r="Q1061" s="22">
        <v>3.6061971655721781E-2</v>
      </c>
      <c r="R1061" s="19">
        <f t="shared" si="119"/>
        <v>3.66932312741588E-2</v>
      </c>
      <c r="S1061" s="22">
        <v>4.114538406988566E-2</v>
      </c>
      <c r="T1061" s="19">
        <f t="shared" si="120"/>
        <v>4.2995476309757974E-2</v>
      </c>
      <c r="U1061" s="24">
        <v>4.2643563358811143E-2</v>
      </c>
      <c r="V1061" s="24">
        <f t="shared" si="121"/>
        <v>4.2991629552715294E-2</v>
      </c>
      <c r="W1061" s="23">
        <f t="shared" si="122"/>
        <v>3.513916865941713E-3</v>
      </c>
      <c r="X1061" s="24">
        <v>4.23376542695304E-2</v>
      </c>
      <c r="Y1061" s="24">
        <f t="shared" si="123"/>
        <v>4.299297869031804E-2</v>
      </c>
      <c r="Z1061" s="23">
        <f t="shared" si="124"/>
        <v>3.5140255546037835E-3</v>
      </c>
      <c r="AA1061" s="36"/>
    </row>
    <row r="1062" spans="15:27" ht="13.9" customHeight="1" x14ac:dyDescent="0.3">
      <c r="O1062" s="12">
        <f t="shared" si="118"/>
        <v>87.416666666666671</v>
      </c>
      <c r="P1062" s="13">
        <v>1049</v>
      </c>
      <c r="Q1062" s="22">
        <v>3.6062573245398077E-2</v>
      </c>
      <c r="R1062" s="19">
        <f t="shared" si="119"/>
        <v>3.6693619558477497E-2</v>
      </c>
      <c r="S1062" s="22">
        <v>4.1147146178524663E-2</v>
      </c>
      <c r="T1062" s="19">
        <f t="shared" si="120"/>
        <v>4.2995518732477755E-2</v>
      </c>
      <c r="U1062" s="24">
        <v>4.2643895111112995E-2</v>
      </c>
      <c r="V1062" s="24">
        <f t="shared" si="121"/>
        <v>4.2991692500692125E-2</v>
      </c>
      <c r="W1062" s="23">
        <f t="shared" si="122"/>
        <v>3.5139219513173892E-3</v>
      </c>
      <c r="X1062" s="24">
        <v>4.2338278786880235E-2</v>
      </c>
      <c r="Y1062" s="24">
        <f t="shared" si="123"/>
        <v>4.2993035219642595E-2</v>
      </c>
      <c r="Z1062" s="23">
        <f t="shared" si="124"/>
        <v>3.5140301239307004E-3</v>
      </c>
      <c r="AA1062" s="36"/>
    </row>
    <row r="1063" spans="15:27" ht="13.9" customHeight="1" x14ac:dyDescent="0.3">
      <c r="O1063" s="12">
        <f t="shared" si="118"/>
        <v>87.5</v>
      </c>
      <c r="P1063" s="13">
        <v>1050</v>
      </c>
      <c r="Q1063" s="22">
        <v>3.6063174059107306E-2</v>
      </c>
      <c r="R1063" s="19">
        <f t="shared" si="119"/>
        <v>3.669400461829353E-2</v>
      </c>
      <c r="S1063" s="22">
        <v>4.1148904974071199E-2</v>
      </c>
      <c r="T1063" s="19">
        <f t="shared" si="120"/>
        <v>4.2995560757813855E-2</v>
      </c>
      <c r="U1063" s="24">
        <v>4.2644226291541409E-2</v>
      </c>
      <c r="V1063" s="24">
        <f t="shared" si="121"/>
        <v>4.2991754975015173E-2</v>
      </c>
      <c r="W1063" s="23">
        <f t="shared" si="122"/>
        <v>3.5139269984312271E-3</v>
      </c>
      <c r="X1063" s="24">
        <v>4.2338902168850057E-2</v>
      </c>
      <c r="Y1063" s="24">
        <f t="shared" si="123"/>
        <v>4.2993091295013164E-2</v>
      </c>
      <c r="Z1063" s="23">
        <f t="shared" si="124"/>
        <v>3.5140346563973246E-3</v>
      </c>
      <c r="AA1063" s="36"/>
    </row>
    <row r="1064" spans="15:27" ht="13.9" customHeight="1" x14ac:dyDescent="0.3">
      <c r="O1064" s="12">
        <f t="shared" si="118"/>
        <v>87.583333333333329</v>
      </c>
      <c r="P1064" s="13">
        <v>1051</v>
      </c>
      <c r="Q1064" s="22">
        <v>3.6063774095997925E-2</v>
      </c>
      <c r="R1064" s="19">
        <f t="shared" si="119"/>
        <v>3.6694386480292218E-2</v>
      </c>
      <c r="S1064" s="22">
        <v>4.1150660465596456E-2</v>
      </c>
      <c r="T1064" s="19">
        <f t="shared" si="120"/>
        <v>4.2995602388905763E-2</v>
      </c>
      <c r="U1064" s="24">
        <v>4.2644556901278108E-2</v>
      </c>
      <c r="V1064" s="24">
        <f t="shared" si="121"/>
        <v>4.2991816981123199E-2</v>
      </c>
      <c r="W1064" s="23">
        <f t="shared" si="122"/>
        <v>3.5139320075674441E-3</v>
      </c>
      <c r="X1064" s="24">
        <v>4.2339524418248065E-2</v>
      </c>
      <c r="Y1064" s="24">
        <f t="shared" si="123"/>
        <v>4.2993146918806291E-2</v>
      </c>
      <c r="Z1064" s="23">
        <f t="shared" si="124"/>
        <v>3.5140391524659531E-3</v>
      </c>
      <c r="AA1064" s="36"/>
    </row>
    <row r="1065" spans="15:27" ht="13.9" customHeight="1" x14ac:dyDescent="0.3">
      <c r="O1065" s="12">
        <f t="shared" si="118"/>
        <v>87.666666666666671</v>
      </c>
      <c r="P1065" s="13">
        <v>1052</v>
      </c>
      <c r="Q1065" s="22">
        <v>3.6064373355246593E-2</v>
      </c>
      <c r="R1065" s="19">
        <f t="shared" si="119"/>
        <v>3.6694765170601329E-2</v>
      </c>
      <c r="S1065" s="22">
        <v>4.1152412662140314E-2</v>
      </c>
      <c r="T1065" s="19">
        <f t="shared" si="120"/>
        <v>4.2995643629495817E-2</v>
      </c>
      <c r="U1065" s="24">
        <v>4.2644886941505256E-2</v>
      </c>
      <c r="V1065" s="24">
        <f t="shared" si="121"/>
        <v>4.2991878518693571E-2</v>
      </c>
      <c r="W1065" s="23">
        <f t="shared" si="122"/>
        <v>3.5139369791625796E-3</v>
      </c>
      <c r="X1065" s="24">
        <v>4.2340145537874019E-2</v>
      </c>
      <c r="Y1065" s="24">
        <f t="shared" si="123"/>
        <v>4.2993202093434268E-2</v>
      </c>
      <c r="Z1065" s="23">
        <f t="shared" si="124"/>
        <v>3.5140436123273222E-3</v>
      </c>
      <c r="AA1065" s="36"/>
    </row>
    <row r="1066" spans="15:27" ht="13.9" customHeight="1" x14ac:dyDescent="0.3">
      <c r="O1066" s="12">
        <f t="shared" si="118"/>
        <v>87.75</v>
      </c>
      <c r="P1066" s="13">
        <v>1053</v>
      </c>
      <c r="Q1066" s="22">
        <v>3.6064971836058168E-2</v>
      </c>
      <c r="R1066" s="19">
        <f t="shared" si="119"/>
        <v>3.6695140715010455E-2</v>
      </c>
      <c r="S1066" s="22">
        <v>4.1154161572711567E-2</v>
      </c>
      <c r="T1066" s="19">
        <f t="shared" si="120"/>
        <v>4.2995684482876717E-2</v>
      </c>
      <c r="U1066" s="24">
        <v>4.2645216413400355E-2</v>
      </c>
      <c r="V1066" s="24">
        <f t="shared" si="121"/>
        <v>4.2991939594631878E-2</v>
      </c>
      <c r="W1066" s="23">
        <f t="shared" si="122"/>
        <v>3.5139419131904326E-3</v>
      </c>
      <c r="X1066" s="24">
        <v>4.2340765530519464E-2</v>
      </c>
      <c r="Y1066" s="24">
        <f t="shared" si="123"/>
        <v>4.2993256824868986E-2</v>
      </c>
      <c r="Z1066" s="23">
        <f t="shared" si="124"/>
        <v>3.5140480361750548E-3</v>
      </c>
      <c r="AA1066" s="36"/>
    </row>
    <row r="1067" spans="15:27" ht="13.9" customHeight="1" x14ac:dyDescent="0.3">
      <c r="O1067" s="12">
        <f t="shared" si="118"/>
        <v>87.833333333333329</v>
      </c>
      <c r="P1067" s="13">
        <v>1054</v>
      </c>
      <c r="Q1067" s="22">
        <v>3.6065569537665043E-2</v>
      </c>
      <c r="R1067" s="19">
        <f t="shared" si="119"/>
        <v>3.6695513141185021E-2</v>
      </c>
      <c r="S1067" s="22">
        <v>4.1155907206288367E-2</v>
      </c>
      <c r="T1067" s="19">
        <f t="shared" si="120"/>
        <v>4.2995724953789782E-2</v>
      </c>
      <c r="U1067" s="24">
        <v>4.2645545318142908E-2</v>
      </c>
      <c r="V1067" s="24">
        <f t="shared" si="121"/>
        <v>4.2992000210340775E-2</v>
      </c>
      <c r="W1067" s="23">
        <f t="shared" si="122"/>
        <v>3.5139468102047822E-3</v>
      </c>
      <c r="X1067" s="24">
        <v>4.2341384398970838E-2</v>
      </c>
      <c r="Y1067" s="24">
        <f t="shared" si="123"/>
        <v>4.2993311115322452E-2</v>
      </c>
      <c r="Z1067" s="23">
        <f t="shared" si="124"/>
        <v>3.514052424487657E-3</v>
      </c>
      <c r="AA1067" s="36"/>
    </row>
    <row r="1068" spans="15:27" ht="13.9" customHeight="1" x14ac:dyDescent="0.3">
      <c r="O1068" s="12">
        <f t="shared" si="118"/>
        <v>87.916666666666671</v>
      </c>
      <c r="P1068" s="13">
        <v>1055</v>
      </c>
      <c r="Q1068" s="22">
        <v>3.6066166459328475E-2</v>
      </c>
      <c r="R1068" s="19">
        <f t="shared" si="119"/>
        <v>3.6695882473829933E-2</v>
      </c>
      <c r="S1068" s="22">
        <v>4.115764957181911E-2</v>
      </c>
      <c r="T1068" s="19">
        <f t="shared" si="120"/>
        <v>4.2995765044927081E-2</v>
      </c>
      <c r="U1068" s="24">
        <v>4.2645873656909528E-2</v>
      </c>
      <c r="V1068" s="24">
        <f t="shared" si="121"/>
        <v>4.2992060371711771E-2</v>
      </c>
      <c r="W1068" s="23">
        <f t="shared" si="122"/>
        <v>3.5139516703179829E-3</v>
      </c>
      <c r="X1068" s="24">
        <v>4.2342002146006363E-2</v>
      </c>
      <c r="Y1068" s="24">
        <f t="shared" si="123"/>
        <v>4.2993364968962888E-2</v>
      </c>
      <c r="Z1068" s="23">
        <f t="shared" si="124"/>
        <v>3.5140567774425424E-3</v>
      </c>
      <c r="AA1068" s="36"/>
    </row>
    <row r="1069" spans="15:27" ht="13.9" customHeight="1" x14ac:dyDescent="0.3">
      <c r="O1069" s="12">
        <f t="shared" si="118"/>
        <v>88</v>
      </c>
      <c r="P1069" s="13">
        <v>1056</v>
      </c>
      <c r="Q1069" s="22">
        <v>3.6066762600335922E-2</v>
      </c>
      <c r="R1069" s="19">
        <f t="shared" si="119"/>
        <v>3.6696248739053638E-2</v>
      </c>
      <c r="S1069" s="22">
        <v>4.1159388678220887E-2</v>
      </c>
      <c r="T1069" s="19">
        <f t="shared" si="120"/>
        <v>4.2995804760072032E-2</v>
      </c>
      <c r="U1069" s="24">
        <v>4.2646201430877495E-2</v>
      </c>
      <c r="V1069" s="24">
        <f t="shared" si="121"/>
        <v>4.2992120079405893E-2</v>
      </c>
      <c r="W1069" s="23">
        <f t="shared" si="122"/>
        <v>3.5139564940025458E-3</v>
      </c>
      <c r="X1069" s="24">
        <v>4.2342618774397378E-2</v>
      </c>
      <c r="Y1069" s="24">
        <f t="shared" si="123"/>
        <v>4.2993418388555193E-2</v>
      </c>
      <c r="Z1069" s="23">
        <f t="shared" si="124"/>
        <v>3.5140610953741103E-3</v>
      </c>
      <c r="AA1069" s="36"/>
    </row>
    <row r="1070" spans="15:27" ht="13.9" customHeight="1" x14ac:dyDescent="0.3">
      <c r="O1070" s="12">
        <f t="shared" si="118"/>
        <v>88.083333333333329</v>
      </c>
      <c r="P1070" s="13">
        <v>1057</v>
      </c>
      <c r="Q1070" s="22">
        <v>3.60673579600026E-2</v>
      </c>
      <c r="R1070" s="19">
        <f t="shared" si="119"/>
        <v>3.6696611962571346E-2</v>
      </c>
      <c r="S1070" s="22">
        <v>4.1161124534380811E-2</v>
      </c>
      <c r="T1070" s="19">
        <f t="shared" si="120"/>
        <v>4.2995844102593939E-2</v>
      </c>
      <c r="U1070" s="24">
        <v>4.264652864122076E-2</v>
      </c>
      <c r="V1070" s="24">
        <f t="shared" si="121"/>
        <v>4.2992179337900671E-2</v>
      </c>
      <c r="W1070" s="23">
        <f t="shared" si="122"/>
        <v>3.5139612813115395E-3</v>
      </c>
      <c r="X1070" s="24">
        <v>4.2343234286907672E-2</v>
      </c>
      <c r="Y1070" s="24">
        <f t="shared" si="123"/>
        <v>4.2993471377948955E-2</v>
      </c>
      <c r="Z1070" s="23">
        <f t="shared" si="124"/>
        <v>3.514065378503739E-3</v>
      </c>
      <c r="AA1070" s="36"/>
    </row>
    <row r="1071" spans="15:27" ht="13.9" customHeight="1" x14ac:dyDescent="0.3">
      <c r="O1071" s="12">
        <f t="shared" si="118"/>
        <v>88.166666666666671</v>
      </c>
      <c r="P1071" s="13">
        <v>1058</v>
      </c>
      <c r="Q1071" s="22">
        <v>3.6067952537669923E-2</v>
      </c>
      <c r="R1071" s="19">
        <f t="shared" si="119"/>
        <v>3.6696972168637876E-2</v>
      </c>
      <c r="S1071" s="22">
        <v>4.1162857149155352E-2</v>
      </c>
      <c r="T1071" s="19">
        <f t="shared" si="120"/>
        <v>4.2995883076208052E-2</v>
      </c>
      <c r="U1071" s="24">
        <v>4.2646855289112606E-2</v>
      </c>
      <c r="V1071" s="24">
        <f t="shared" si="121"/>
        <v>4.2992238151177142E-2</v>
      </c>
      <c r="W1071" s="23">
        <f t="shared" si="122"/>
        <v>3.513966032603788E-3</v>
      </c>
      <c r="X1071" s="24">
        <v>4.2343848686293928E-2</v>
      </c>
      <c r="Y1071" s="24">
        <f t="shared" si="123"/>
        <v>4.2993523940902056E-2</v>
      </c>
      <c r="Z1071" s="23">
        <f t="shared" si="124"/>
        <v>3.5140696271402927E-3</v>
      </c>
      <c r="AA1071" s="36"/>
    </row>
    <row r="1072" spans="15:27" ht="13.9" customHeight="1" x14ac:dyDescent="0.3">
      <c r="O1072" s="12">
        <f t="shared" si="118"/>
        <v>88.25</v>
      </c>
      <c r="P1072" s="13">
        <v>1059</v>
      </c>
      <c r="Q1072" s="22">
        <v>3.6068546332705509E-2</v>
      </c>
      <c r="R1072" s="19">
        <f t="shared" si="119"/>
        <v>3.669732938401693E-2</v>
      </c>
      <c r="S1072" s="22">
        <v>4.1164586531371228E-2</v>
      </c>
      <c r="T1072" s="19">
        <f t="shared" si="120"/>
        <v>4.2995921684651384E-2</v>
      </c>
      <c r="U1072" s="24">
        <v>4.2647181375726095E-2</v>
      </c>
      <c r="V1072" s="24">
        <f t="shared" si="121"/>
        <v>4.2992296522501805E-2</v>
      </c>
      <c r="W1072" s="23">
        <f t="shared" si="122"/>
        <v>3.5139707481988136E-3</v>
      </c>
      <c r="X1072" s="24">
        <v>4.2344461975306169E-2</v>
      </c>
      <c r="Y1072" s="24">
        <f t="shared" si="123"/>
        <v>4.2993576081111984E-2</v>
      </c>
      <c r="Z1072" s="23">
        <f t="shared" si="124"/>
        <v>3.5140738415853079E-3</v>
      </c>
      <c r="AA1072" s="36"/>
    </row>
    <row r="1073" spans="15:27" ht="13.9" customHeight="1" x14ac:dyDescent="0.3">
      <c r="O1073" s="12">
        <f t="shared" si="118"/>
        <v>88.333333333333329</v>
      </c>
      <c r="P1073" s="13">
        <v>1060</v>
      </c>
      <c r="Q1073" s="22">
        <v>3.6069139344503842E-2</v>
      </c>
      <c r="R1073" s="19">
        <f t="shared" si="119"/>
        <v>3.6697683632000544E-2</v>
      </c>
      <c r="S1073" s="22">
        <v>4.1166312689825402E-2</v>
      </c>
      <c r="T1073" s="19">
        <f t="shared" si="120"/>
        <v>4.2995959930586913E-2</v>
      </c>
      <c r="U1073" s="24">
        <v>4.2647506902232513E-2</v>
      </c>
      <c r="V1073" s="24">
        <f t="shared" si="121"/>
        <v>4.2992354454526538E-2</v>
      </c>
      <c r="W1073" s="23">
        <f t="shared" si="122"/>
        <v>3.5139754283581848E-3</v>
      </c>
      <c r="X1073" s="24">
        <v>4.2345074156687534E-2</v>
      </c>
      <c r="Y1073" s="24">
        <f t="shared" si="123"/>
        <v>4.299362780087379E-2</v>
      </c>
      <c r="Z1073" s="23">
        <f t="shared" si="124"/>
        <v>3.5140780221347701E-3</v>
      </c>
      <c r="AA1073" s="36"/>
    </row>
    <row r="1074" spans="15:27" ht="13.9" customHeight="1" x14ac:dyDescent="0.3">
      <c r="O1074" s="12">
        <f t="shared" si="118"/>
        <v>88.416666666666671</v>
      </c>
      <c r="P1074" s="13">
        <v>1061</v>
      </c>
      <c r="Q1074" s="22">
        <v>3.6069731572484054E-2</v>
      </c>
      <c r="R1074" s="19">
        <f t="shared" si="119"/>
        <v>3.669803493839674E-2</v>
      </c>
      <c r="S1074" s="22">
        <v>4.1168035633284195E-2</v>
      </c>
      <c r="T1074" s="19">
        <f t="shared" si="120"/>
        <v>4.2995997817981246E-2</v>
      </c>
      <c r="U1074" s="24">
        <v>4.2647831869801589E-2</v>
      </c>
      <c r="V1074" s="24">
        <f t="shared" si="121"/>
        <v>4.2992411950528941E-2</v>
      </c>
      <c r="W1074" s="23">
        <f t="shared" si="122"/>
        <v>3.5139800732946203E-3</v>
      </c>
      <c r="X1074" s="24">
        <v>4.2345685233172725E-2</v>
      </c>
      <c r="Y1074" s="24">
        <f t="shared" si="123"/>
        <v>4.2993679104659677E-2</v>
      </c>
      <c r="Z1074" s="23">
        <f t="shared" si="124"/>
        <v>3.5140821689729762E-3</v>
      </c>
      <c r="AA1074" s="36"/>
    </row>
    <row r="1075" spans="15:27" ht="13.9" customHeight="1" x14ac:dyDescent="0.3">
      <c r="O1075" s="12">
        <f t="shared" si="118"/>
        <v>88.5</v>
      </c>
      <c r="P1075" s="13">
        <v>1062</v>
      </c>
      <c r="Q1075" s="22">
        <v>3.6070323016091699E-2</v>
      </c>
      <c r="R1075" s="19">
        <f t="shared" si="119"/>
        <v>3.6698383326918327E-2</v>
      </c>
      <c r="S1075" s="22">
        <v>4.1169755370484395E-2</v>
      </c>
      <c r="T1075" s="19">
        <f t="shared" si="120"/>
        <v>4.2996035350383321E-2</v>
      </c>
      <c r="U1075" s="24">
        <v>4.2648156279601501E-2</v>
      </c>
      <c r="V1075" s="24">
        <f t="shared" si="121"/>
        <v>4.2992469014660584E-2</v>
      </c>
      <c r="W1075" s="23">
        <f t="shared" si="122"/>
        <v>3.5139846832707988E-3</v>
      </c>
      <c r="X1075" s="24">
        <v>4.234629520749067E-2</v>
      </c>
      <c r="Y1075" s="24">
        <f t="shared" si="123"/>
        <v>4.2993729995074226E-2</v>
      </c>
      <c r="Z1075" s="23">
        <f t="shared" si="124"/>
        <v>3.5140862824585284E-3</v>
      </c>
      <c r="AA1075" s="36"/>
    </row>
    <row r="1076" spans="15:27" ht="13.9" customHeight="1" x14ac:dyDescent="0.3">
      <c r="O1076" s="12">
        <f t="shared" si="118"/>
        <v>88.583333333333329</v>
      </c>
      <c r="P1076" s="13">
        <v>1063</v>
      </c>
      <c r="Q1076" s="22">
        <v>3.6070913674796534E-2</v>
      </c>
      <c r="R1076" s="19">
        <f t="shared" si="119"/>
        <v>3.6698728821868087E-2</v>
      </c>
      <c r="S1076" s="22">
        <v>4.1171471910133706E-2</v>
      </c>
      <c r="T1076" s="19">
        <f t="shared" si="120"/>
        <v>4.2996072530254725E-2</v>
      </c>
      <c r="U1076" s="24">
        <v>4.2648480132799982E-2</v>
      </c>
      <c r="V1076" s="24">
        <f t="shared" si="121"/>
        <v>4.2992525649183877E-2</v>
      </c>
      <c r="W1076" s="23">
        <f t="shared" si="122"/>
        <v>3.5139892586200094E-3</v>
      </c>
      <c r="X1076" s="24">
        <v>4.2346904082362302E-2</v>
      </c>
      <c r="Y1076" s="24">
        <f t="shared" si="123"/>
        <v>4.2993780475840904E-2</v>
      </c>
      <c r="Z1076" s="23">
        <f t="shared" si="124"/>
        <v>3.5140903628003706E-3</v>
      </c>
      <c r="AA1076" s="36"/>
    </row>
    <row r="1077" spans="15:27" ht="13.9" customHeight="1" x14ac:dyDescent="0.3">
      <c r="O1077" s="12">
        <f t="shared" si="118"/>
        <v>88.666666666666671</v>
      </c>
      <c r="P1077" s="13">
        <v>1064</v>
      </c>
      <c r="Q1077" s="22">
        <v>3.6071503548093409E-2</v>
      </c>
      <c r="R1077" s="19">
        <f t="shared" si="119"/>
        <v>3.6699071448266007E-2</v>
      </c>
      <c r="S1077" s="22">
        <v>4.1173185260909184E-2</v>
      </c>
      <c r="T1077" s="19">
        <f t="shared" si="120"/>
        <v>4.2996109362018142E-2</v>
      </c>
      <c r="U1077" s="24">
        <v>4.2648803430562543E-2</v>
      </c>
      <c r="V1077" s="24">
        <f t="shared" si="121"/>
        <v>4.2992581857947298E-2</v>
      </c>
      <c r="W1077" s="23">
        <f t="shared" si="122"/>
        <v>3.5139937995232184E-3</v>
      </c>
      <c r="X1077" s="24">
        <v>4.2347511860501896E-2</v>
      </c>
      <c r="Y1077" s="24">
        <f t="shared" si="123"/>
        <v>4.2993830549781231E-2</v>
      </c>
      <c r="Z1077" s="23">
        <f t="shared" si="124"/>
        <v>3.5140944102964866E-3</v>
      </c>
      <c r="AA1077" s="36"/>
    </row>
    <row r="1078" spans="15:27" ht="13.9" customHeight="1" x14ac:dyDescent="0.3">
      <c r="O1078" s="12">
        <f t="shared" si="118"/>
        <v>88.75</v>
      </c>
      <c r="P1078" s="13">
        <v>1065</v>
      </c>
      <c r="Q1078" s="22">
        <v>3.6072092635502262E-2</v>
      </c>
      <c r="R1078" s="19">
        <f t="shared" si="119"/>
        <v>3.6699411228384937E-2</v>
      </c>
      <c r="S1078" s="22">
        <v>4.1174895431459468E-2</v>
      </c>
      <c r="T1078" s="19">
        <f t="shared" si="120"/>
        <v>4.2996145847727485E-2</v>
      </c>
      <c r="U1078" s="24">
        <v>4.2649126174054031E-2</v>
      </c>
      <c r="V1078" s="24">
        <f t="shared" si="121"/>
        <v>4.2992637643560316E-2</v>
      </c>
      <c r="W1078" s="23">
        <f t="shared" si="122"/>
        <v>3.5139983062892899E-3</v>
      </c>
      <c r="X1078" s="24">
        <v>4.2348118544616176E-2</v>
      </c>
      <c r="Y1078" s="24">
        <f t="shared" si="123"/>
        <v>4.299388022090822E-2</v>
      </c>
      <c r="Z1078" s="23">
        <f t="shared" si="124"/>
        <v>3.5140984251738061E-3</v>
      </c>
      <c r="AA1078" s="36"/>
    </row>
    <row r="1079" spans="15:27" ht="13.9" customHeight="1" x14ac:dyDescent="0.3">
      <c r="O1079" s="12">
        <f t="shared" si="118"/>
        <v>88.833333333333329</v>
      </c>
      <c r="P1079" s="13">
        <v>1066</v>
      </c>
      <c r="Q1079" s="22">
        <v>3.6072680936565904E-2</v>
      </c>
      <c r="R1079" s="19">
        <f t="shared" si="119"/>
        <v>3.6699748186984626E-2</v>
      </c>
      <c r="S1079" s="22">
        <v>4.1176602430402776E-2</v>
      </c>
      <c r="T1079" s="19">
        <f t="shared" si="120"/>
        <v>4.2996181991834082E-2</v>
      </c>
      <c r="U1079" s="24">
        <v>4.264944836443707E-2</v>
      </c>
      <c r="V1079" s="24">
        <f t="shared" si="121"/>
        <v>4.2992693010485139E-2</v>
      </c>
      <c r="W1079" s="23">
        <f t="shared" si="122"/>
        <v>3.5140027791271677E-3</v>
      </c>
      <c r="X1079" s="24">
        <v>4.2348724137405425E-2</v>
      </c>
      <c r="Y1079" s="24">
        <f t="shared" si="123"/>
        <v>4.2993929492393779E-2</v>
      </c>
      <c r="Z1079" s="23">
        <f t="shared" si="124"/>
        <v>3.5141024077536276E-3</v>
      </c>
      <c r="AA1079" s="36"/>
    </row>
    <row r="1080" spans="15:27" ht="13.9" customHeight="1" x14ac:dyDescent="0.3">
      <c r="O1080" s="12">
        <f t="shared" si="118"/>
        <v>88.916666666666671</v>
      </c>
      <c r="P1080" s="13">
        <v>1067</v>
      </c>
      <c r="Q1080" s="22">
        <v>3.6073268450852014E-2</v>
      </c>
      <c r="R1080" s="19">
        <f t="shared" si="119"/>
        <v>3.6700082347375318E-2</v>
      </c>
      <c r="S1080" s="22">
        <v>4.1178306266329123E-2</v>
      </c>
      <c r="T1080" s="19">
        <f t="shared" si="120"/>
        <v>4.2996217796780423E-2</v>
      </c>
      <c r="U1080" s="24">
        <v>4.2649770002874288E-2</v>
      </c>
      <c r="V1080" s="24">
        <f t="shared" si="121"/>
        <v>4.299274796055963E-2</v>
      </c>
      <c r="W1080" s="23">
        <f t="shared" si="122"/>
        <v>3.51400721839501E-3</v>
      </c>
      <c r="X1080" s="24">
        <v>4.2349328641562822E-2</v>
      </c>
      <c r="Y1080" s="24">
        <f t="shared" si="123"/>
        <v>4.2993978366649088E-2</v>
      </c>
      <c r="Z1080" s="23">
        <f t="shared" si="124"/>
        <v>3.5141063582906362E-3</v>
      </c>
      <c r="AA1080" s="36"/>
    </row>
    <row r="1081" spans="15:27" ht="13.9" customHeight="1" x14ac:dyDescent="0.3">
      <c r="O1081" s="12">
        <f t="shared" si="118"/>
        <v>89</v>
      </c>
      <c r="P1081" s="13">
        <v>1068</v>
      </c>
      <c r="Q1081" s="22">
        <v>3.6073855177951586E-2</v>
      </c>
      <c r="R1081" s="19">
        <f t="shared" si="119"/>
        <v>3.670041373206212E-2</v>
      </c>
      <c r="S1081" s="22">
        <v>4.1180006947798775E-2</v>
      </c>
      <c r="T1081" s="19">
        <f t="shared" si="120"/>
        <v>4.2996253265777273E-2</v>
      </c>
      <c r="U1081" s="24">
        <v>4.2650091090525866E-2</v>
      </c>
      <c r="V1081" s="24">
        <f t="shared" si="121"/>
        <v>4.2992802496884419E-2</v>
      </c>
      <c r="W1081" s="23">
        <f t="shared" si="122"/>
        <v>3.5140116242398101E-3</v>
      </c>
      <c r="X1081" s="24">
        <v>4.2349932059773776E-2</v>
      </c>
      <c r="Y1081" s="24">
        <f t="shared" si="123"/>
        <v>4.2994026847293032E-2</v>
      </c>
      <c r="Z1081" s="23">
        <f t="shared" si="124"/>
        <v>3.5141102769777888E-3</v>
      </c>
      <c r="AA1081" s="36"/>
    </row>
    <row r="1082" spans="15:27" ht="13.9" customHeight="1" x14ac:dyDescent="0.3">
      <c r="O1082" s="12">
        <f t="shared" si="118"/>
        <v>89.083333333333329</v>
      </c>
      <c r="P1082" s="13">
        <v>1069</v>
      </c>
      <c r="Q1082" s="22">
        <v>3.6074441117478262E-2</v>
      </c>
      <c r="R1082" s="19">
        <f t="shared" si="119"/>
        <v>3.6700742365490813E-2</v>
      </c>
      <c r="S1082" s="22">
        <v>4.1181704483342907E-2</v>
      </c>
      <c r="T1082" s="19">
        <f t="shared" si="120"/>
        <v>4.2996288401933258E-2</v>
      </c>
      <c r="U1082" s="24">
        <v>4.2650411628550211E-2</v>
      </c>
      <c r="V1082" s="24">
        <f t="shared" si="121"/>
        <v>4.2992856623490505E-2</v>
      </c>
      <c r="W1082" s="23">
        <f t="shared" si="122"/>
        <v>3.5140159969104801E-3</v>
      </c>
      <c r="X1082" s="24">
        <v>4.235053439471681E-2</v>
      </c>
      <c r="Y1082" s="24">
        <f t="shared" si="123"/>
        <v>4.2994074938032201E-2</v>
      </c>
      <c r="Z1082" s="23">
        <f t="shared" si="124"/>
        <v>3.5141141641055196E-3</v>
      </c>
      <c r="AA1082" s="36"/>
    </row>
    <row r="1083" spans="15:27" ht="13.9" customHeight="1" x14ac:dyDescent="0.3">
      <c r="O1083" s="12">
        <f t="shared" si="118"/>
        <v>89.166666666666671</v>
      </c>
      <c r="P1083" s="13">
        <v>1070</v>
      </c>
      <c r="Q1083" s="22">
        <v>3.607502626907011E-2</v>
      </c>
      <c r="R1083" s="19">
        <f t="shared" si="119"/>
        <v>3.6701068269007209E-2</v>
      </c>
      <c r="S1083" s="22">
        <v>4.1183398881463829E-2</v>
      </c>
      <c r="T1083" s="19">
        <f t="shared" si="120"/>
        <v>4.2996323209194554E-2</v>
      </c>
      <c r="U1083" s="24">
        <v>4.2650731618105286E-2</v>
      </c>
      <c r="V1083" s="24">
        <f t="shared" si="121"/>
        <v>4.2992910343132351E-2</v>
      </c>
      <c r="W1083" s="23">
        <f t="shared" si="122"/>
        <v>3.5140203367300948E-3</v>
      </c>
      <c r="X1083" s="24">
        <v>4.2351135649064231E-2</v>
      </c>
      <c r="Y1083" s="24">
        <f t="shared" si="123"/>
        <v>4.2994122641311749E-2</v>
      </c>
      <c r="Z1083" s="23">
        <f t="shared" si="124"/>
        <v>3.5141180199709243E-3</v>
      </c>
      <c r="AA1083" s="36"/>
    </row>
    <row r="1084" spans="15:27" ht="13.9" customHeight="1" x14ac:dyDescent="0.3">
      <c r="O1084" s="12">
        <f t="shared" si="118"/>
        <v>89.25</v>
      </c>
      <c r="P1084" s="13">
        <v>1071</v>
      </c>
      <c r="Q1084" s="22">
        <v>3.607561063238629E-2</v>
      </c>
      <c r="R1084" s="19">
        <f t="shared" si="119"/>
        <v>3.6701391466623212E-2</v>
      </c>
      <c r="S1084" s="22">
        <v>4.118509015063565E-2</v>
      </c>
      <c r="T1084" s="19">
        <f t="shared" si="120"/>
        <v>4.2996357689744746E-2</v>
      </c>
      <c r="U1084" s="24">
        <v>4.26510510603475E-2</v>
      </c>
      <c r="V1084" s="24">
        <f t="shared" si="121"/>
        <v>4.2992963658551098E-2</v>
      </c>
      <c r="W1084" s="23">
        <f t="shared" si="122"/>
        <v>3.5140246439193668E-3</v>
      </c>
      <c r="X1084" s="24">
        <v>4.2351735825480352E-2</v>
      </c>
      <c r="Y1084" s="24">
        <f t="shared" si="123"/>
        <v>4.2994169960778761E-2</v>
      </c>
      <c r="Z1084" s="23">
        <f t="shared" si="124"/>
        <v>3.5141218447698463E-3</v>
      </c>
      <c r="AA1084" s="36"/>
    </row>
    <row r="1085" spans="15:27" ht="13.9" customHeight="1" x14ac:dyDescent="0.3">
      <c r="O1085" s="12">
        <f t="shared" si="118"/>
        <v>89.333333333333329</v>
      </c>
      <c r="P1085" s="13">
        <v>1072</v>
      </c>
      <c r="Q1085" s="22">
        <v>3.6076194207109502E-2</v>
      </c>
      <c r="R1085" s="19">
        <f t="shared" si="119"/>
        <v>3.6701711979830298E-2</v>
      </c>
      <c r="S1085" s="22">
        <v>4.1186778299302951E-2</v>
      </c>
      <c r="T1085" s="19">
        <f t="shared" si="120"/>
        <v>4.2996391846996218E-2</v>
      </c>
      <c r="U1085" s="24">
        <v>4.265136995643104E-2</v>
      </c>
      <c r="V1085" s="24">
        <f t="shared" si="121"/>
        <v>4.2993016573451559E-2</v>
      </c>
      <c r="W1085" s="23">
        <f t="shared" si="122"/>
        <v>3.514028918698342E-3</v>
      </c>
      <c r="X1085" s="24">
        <v>4.2352334926623048E-2</v>
      </c>
      <c r="Y1085" s="24">
        <f t="shared" si="123"/>
        <v>4.2994216899076232E-2</v>
      </c>
      <c r="Z1085" s="23">
        <f t="shared" si="124"/>
        <v>3.5141256387951625E-3</v>
      </c>
      <c r="AA1085" s="36"/>
    </row>
    <row r="1086" spans="15:27" ht="13.9" customHeight="1" x14ac:dyDescent="0.3">
      <c r="O1086" s="12">
        <f t="shared" si="118"/>
        <v>89.416666666666671</v>
      </c>
      <c r="P1086" s="13">
        <v>1073</v>
      </c>
      <c r="Q1086" s="22">
        <v>3.6076776992943982E-2</v>
      </c>
      <c r="R1086" s="19">
        <f t="shared" si="119"/>
        <v>3.6702029831418015E-2</v>
      </c>
      <c r="S1086" s="22">
        <v>4.1188463335882108E-2</v>
      </c>
      <c r="T1086" s="19">
        <f t="shared" si="120"/>
        <v>4.2996425683646367E-2</v>
      </c>
      <c r="U1086" s="24">
        <v>4.2651688307509872E-2</v>
      </c>
      <c r="V1086" s="24">
        <f t="shared" si="121"/>
        <v>4.2993069089874103E-2</v>
      </c>
      <c r="W1086" s="23">
        <f t="shared" si="122"/>
        <v>3.5140331613638942E-3</v>
      </c>
      <c r="X1086" s="24">
        <v>4.2352932955142863E-2</v>
      </c>
      <c r="Y1086" s="24">
        <f t="shared" si="123"/>
        <v>4.2994263459183779E-2</v>
      </c>
      <c r="Z1086" s="23">
        <f t="shared" si="124"/>
        <v>3.5141294022584812E-3</v>
      </c>
      <c r="AA1086" s="36"/>
    </row>
    <row r="1087" spans="15:27" ht="13.9" customHeight="1" x14ac:dyDescent="0.3">
      <c r="O1087" s="12">
        <f t="shared" si="118"/>
        <v>89.5</v>
      </c>
      <c r="P1087" s="13">
        <v>1074</v>
      </c>
      <c r="Q1087" s="22">
        <v>3.6077358989615949E-2</v>
      </c>
      <c r="R1087" s="19">
        <f t="shared" si="119"/>
        <v>3.6702345043385431E-2</v>
      </c>
      <c r="S1087" s="22">
        <v>4.1190145268760636E-2</v>
      </c>
      <c r="T1087" s="19">
        <f t="shared" si="120"/>
        <v>4.2996459203226367E-2</v>
      </c>
      <c r="U1087" s="24">
        <v>4.2652006114735075E-2</v>
      </c>
      <c r="V1087" s="24">
        <f t="shared" si="121"/>
        <v>4.2993121211444274E-2</v>
      </c>
      <c r="W1087" s="23">
        <f t="shared" si="122"/>
        <v>3.5140373720796703E-3</v>
      </c>
      <c r="X1087" s="24">
        <v>4.2353529913683019E-2</v>
      </c>
      <c r="Y1087" s="24">
        <f t="shared" si="123"/>
        <v>4.2994309645215667E-2</v>
      </c>
      <c r="Z1087" s="23">
        <f t="shared" si="124"/>
        <v>3.5141331353987226E-3</v>
      </c>
      <c r="AA1087" s="36"/>
    </row>
    <row r="1088" spans="15:27" ht="13.9" customHeight="1" x14ac:dyDescent="0.3">
      <c r="O1088" s="12">
        <f t="shared" si="118"/>
        <v>89.583333333333329</v>
      </c>
      <c r="P1088" s="13">
        <v>1075</v>
      </c>
      <c r="Q1088" s="22">
        <v>3.6077940196873381E-2</v>
      </c>
      <c r="R1088" s="19">
        <f t="shared" si="119"/>
        <v>3.670265763782421E-2</v>
      </c>
      <c r="S1088" s="22">
        <v>4.1191824106298291E-2</v>
      </c>
      <c r="T1088" s="19">
        <f t="shared" si="120"/>
        <v>4.2996492408176712E-2</v>
      </c>
      <c r="U1088" s="24">
        <v>4.265232337925684E-2</v>
      </c>
      <c r="V1088" s="24">
        <f t="shared" si="121"/>
        <v>4.2993172941394819E-2</v>
      </c>
      <c r="W1088" s="23">
        <f t="shared" si="122"/>
        <v>3.5140415511363265E-3</v>
      </c>
      <c r="X1088" s="24">
        <v>4.235412580488096E-2</v>
      </c>
      <c r="Y1088" s="24">
        <f t="shared" si="123"/>
        <v>4.2994355458408018E-2</v>
      </c>
      <c r="Z1088" s="23">
        <f t="shared" si="124"/>
        <v>3.514136838546067E-3</v>
      </c>
      <c r="AA1088" s="36"/>
    </row>
    <row r="1089" spans="15:27" ht="13.9" customHeight="1" x14ac:dyDescent="0.3">
      <c r="O1089" s="12">
        <f t="shared" si="118"/>
        <v>89.666666666666671</v>
      </c>
      <c r="P1089" s="13">
        <v>1076</v>
      </c>
      <c r="Q1089" s="22">
        <v>3.6078520614485354E-2</v>
      </c>
      <c r="R1089" s="19">
        <f t="shared" si="119"/>
        <v>3.6702967636755179E-2</v>
      </c>
      <c r="S1089" s="22">
        <v>4.1193499856825744E-2</v>
      </c>
      <c r="T1089" s="19">
        <f t="shared" si="120"/>
        <v>4.2996525302418931E-2</v>
      </c>
      <c r="U1089" s="24">
        <v>4.2652640102224471E-2</v>
      </c>
      <c r="V1089" s="24">
        <f t="shared" si="121"/>
        <v>4.2993224281950404E-2</v>
      </c>
      <c r="W1089" s="23">
        <f t="shared" si="122"/>
        <v>3.5140456987929891E-3</v>
      </c>
      <c r="X1089" s="24">
        <v>4.2354720631365472E-2</v>
      </c>
      <c r="Y1089" s="24">
        <f t="shared" si="123"/>
        <v>4.2994400903075602E-2</v>
      </c>
      <c r="Z1089" s="23">
        <f t="shared" si="124"/>
        <v>3.514140511799102E-3</v>
      </c>
      <c r="AA1089" s="36"/>
    </row>
    <row r="1090" spans="15:27" ht="13.9" customHeight="1" x14ac:dyDescent="0.3">
      <c r="O1090" s="12">
        <f t="shared" si="118"/>
        <v>89.75</v>
      </c>
      <c r="P1090" s="13">
        <v>1077</v>
      </c>
      <c r="Q1090" s="22">
        <v>3.6079100242242701E-2</v>
      </c>
      <c r="R1090" s="19">
        <f t="shared" si="119"/>
        <v>3.6703275060269602E-2</v>
      </c>
      <c r="S1090" s="22">
        <v>4.1195172528646573E-2</v>
      </c>
      <c r="T1090" s="19">
        <f t="shared" si="120"/>
        <v>4.299655788758816E-2</v>
      </c>
      <c r="U1090" s="24">
        <v>4.2652956284784604E-2</v>
      </c>
      <c r="V1090" s="24">
        <f t="shared" si="121"/>
        <v>4.2993275235912565E-2</v>
      </c>
      <c r="W1090" s="23">
        <f t="shared" si="122"/>
        <v>3.5140498152284039E-3</v>
      </c>
      <c r="X1090" s="24">
        <v>4.2355314395759347E-2</v>
      </c>
      <c r="Y1090" s="24">
        <f t="shared" si="123"/>
        <v>4.2994445981993756E-2</v>
      </c>
      <c r="Z1090" s="23">
        <f t="shared" si="124"/>
        <v>3.5141441555042174E-3</v>
      </c>
      <c r="AA1090" s="36"/>
    </row>
    <row r="1091" spans="15:27" ht="13.9" customHeight="1" x14ac:dyDescent="0.3">
      <c r="O1091" s="12">
        <f t="shared" si="118"/>
        <v>89.833333333333329</v>
      </c>
      <c r="P1091" s="13">
        <v>1078</v>
      </c>
      <c r="Q1091" s="22">
        <v>3.6079679079955129E-2</v>
      </c>
      <c r="R1091" s="19">
        <f t="shared" si="119"/>
        <v>3.6703579931961716E-2</v>
      </c>
      <c r="S1091" s="22">
        <v>4.119684213003505E-2</v>
      </c>
      <c r="T1091" s="19">
        <f t="shared" si="120"/>
        <v>4.2996590167287962E-2</v>
      </c>
      <c r="U1091" s="24">
        <v>4.2653271928082548E-2</v>
      </c>
      <c r="V1091" s="24">
        <f t="shared" si="121"/>
        <v>4.299332580833215E-2</v>
      </c>
      <c r="W1091" s="23">
        <f t="shared" si="122"/>
        <v>3.5140539006668359E-3</v>
      </c>
      <c r="X1091" s="24">
        <v>4.2355907100678269E-2</v>
      </c>
      <c r="Y1091" s="24">
        <f t="shared" si="123"/>
        <v>4.2994490698397447E-2</v>
      </c>
      <c r="Z1091" s="23">
        <f t="shared" si="124"/>
        <v>3.5141477698836798E-3</v>
      </c>
      <c r="AA1091" s="36"/>
    </row>
    <row r="1092" spans="15:27" ht="13.9" customHeight="1" x14ac:dyDescent="0.3">
      <c r="O1092" s="12">
        <f t="shared" si="118"/>
        <v>89.916666666666671</v>
      </c>
      <c r="P1092" s="13">
        <v>1079</v>
      </c>
      <c r="Q1092" s="22">
        <v>3.608025712745544E-2</v>
      </c>
      <c r="R1092" s="19">
        <f t="shared" si="119"/>
        <v>3.6703882271117649E-2</v>
      </c>
      <c r="S1092" s="22">
        <v>4.1198508669238354E-2</v>
      </c>
      <c r="T1092" s="19">
        <f t="shared" si="120"/>
        <v>4.2996622144035213E-2</v>
      </c>
      <c r="U1092" s="24">
        <v>4.2653587033263829E-2</v>
      </c>
      <c r="V1092" s="24">
        <f t="shared" si="121"/>
        <v>4.299337599834363E-2</v>
      </c>
      <c r="W1092" s="23">
        <f t="shared" si="122"/>
        <v>3.5140579555135165E-3</v>
      </c>
      <c r="X1092" s="24">
        <v>4.2356498748731486E-2</v>
      </c>
      <c r="Y1092" s="24">
        <f t="shared" si="123"/>
        <v>4.299453505395201E-2</v>
      </c>
      <c r="Z1092" s="23">
        <f t="shared" si="124"/>
        <v>3.5141513551970593E-3</v>
      </c>
      <c r="AA1092" s="36"/>
    </row>
    <row r="1093" spans="15:27" ht="13.9" customHeight="1" x14ac:dyDescent="0.3">
      <c r="O1093" s="12">
        <f t="shared" si="118"/>
        <v>90</v>
      </c>
      <c r="P1093" s="13">
        <v>1080</v>
      </c>
      <c r="Q1093" s="22">
        <v>3.6080834384594418E-2</v>
      </c>
      <c r="R1093" s="19">
        <f t="shared" si="119"/>
        <v>3.6704182100133265E-2</v>
      </c>
      <c r="S1093" s="22">
        <v>4.1200172154475023E-2</v>
      </c>
      <c r="T1093" s="19">
        <f t="shared" si="120"/>
        <v>4.2996653821319564E-2</v>
      </c>
      <c r="U1093" s="24">
        <v>4.2653901601469091E-2</v>
      </c>
      <c r="V1093" s="24">
        <f t="shared" si="121"/>
        <v>4.2993425812313246E-2</v>
      </c>
      <c r="W1093" s="23">
        <f t="shared" si="122"/>
        <v>3.5140619796987238E-3</v>
      </c>
      <c r="X1093" s="24">
        <v>4.2357089342520027E-2</v>
      </c>
      <c r="Y1093" s="24">
        <f t="shared" si="123"/>
        <v>4.299457905272952E-2</v>
      </c>
      <c r="Z1093" s="23">
        <f t="shared" si="124"/>
        <v>3.5141549115778048E-3</v>
      </c>
      <c r="AA1093" s="36"/>
    </row>
    <row r="1094" spans="15:27" ht="13.9" customHeight="1" x14ac:dyDescent="0.3">
      <c r="O1094" s="12">
        <f t="shared" si="118"/>
        <v>90.083333333333329</v>
      </c>
      <c r="P1094" s="13">
        <v>1081</v>
      </c>
      <c r="Q1094" s="22">
        <v>3.6081410851244389E-2</v>
      </c>
      <c r="R1094" s="19">
        <f t="shared" si="119"/>
        <v>3.6704479439233939E-2</v>
      </c>
      <c r="S1094" s="22">
        <v>4.1201832593936727E-2</v>
      </c>
      <c r="T1094" s="19">
        <f t="shared" si="120"/>
        <v>4.2996685201129647E-2</v>
      </c>
      <c r="U1094" s="24">
        <v>4.2654215633840531E-2</v>
      </c>
      <c r="V1094" s="24">
        <f t="shared" si="121"/>
        <v>4.2993475250926894E-2</v>
      </c>
      <c r="W1094" s="23">
        <f t="shared" si="122"/>
        <v>3.5140659737331603E-3</v>
      </c>
      <c r="X1094" s="24">
        <v>4.2357678884638705E-2</v>
      </c>
      <c r="Y1094" s="24">
        <f t="shared" si="123"/>
        <v>4.2994622696986617E-2</v>
      </c>
      <c r="Z1094" s="23">
        <f t="shared" si="124"/>
        <v>3.5141584393523217E-3</v>
      </c>
      <c r="AA1094" s="36"/>
    </row>
    <row r="1095" spans="15:27" ht="13.9" customHeight="1" x14ac:dyDescent="0.3">
      <c r="O1095" s="12">
        <f t="shared" si="118"/>
        <v>90.166666666666671</v>
      </c>
      <c r="P1095" s="13">
        <v>1082</v>
      </c>
      <c r="Q1095" s="22">
        <v>3.6081986527296772E-2</v>
      </c>
      <c r="R1095" s="19">
        <f t="shared" si="119"/>
        <v>3.6704774309263E-2</v>
      </c>
      <c r="S1095" s="22">
        <v>4.1203489995786713E-2</v>
      </c>
      <c r="T1095" s="19">
        <f t="shared" si="120"/>
        <v>4.2996716287066805E-2</v>
      </c>
      <c r="U1095" s="24">
        <v>4.2654529131516794E-2</v>
      </c>
      <c r="V1095" s="24">
        <f t="shared" si="121"/>
        <v>4.2993524318028165E-2</v>
      </c>
      <c r="W1095" s="23">
        <f t="shared" si="122"/>
        <v>3.5140699376718931E-3</v>
      </c>
      <c r="X1095" s="24">
        <v>4.2358267377675451E-2</v>
      </c>
      <c r="Y1095" s="24">
        <f t="shared" si="123"/>
        <v>4.2994665990055081E-2</v>
      </c>
      <c r="Z1095" s="23">
        <f t="shared" si="124"/>
        <v>3.5141619387015766E-3</v>
      </c>
      <c r="AA1095" s="36"/>
    </row>
    <row r="1096" spans="15:27" ht="13.9" customHeight="1" x14ac:dyDescent="0.3">
      <c r="O1096" s="12">
        <f t="shared" si="118"/>
        <v>90.25</v>
      </c>
      <c r="P1096" s="13">
        <v>1083</v>
      </c>
      <c r="Q1096" s="22">
        <v>3.6082561412662528E-2</v>
      </c>
      <c r="R1096" s="19">
        <f t="shared" si="119"/>
        <v>3.6705066730019276E-2</v>
      </c>
      <c r="S1096" s="22">
        <v>4.1205144368161362E-2</v>
      </c>
      <c r="T1096" s="19">
        <f t="shared" si="120"/>
        <v>4.2996747081081921E-2</v>
      </c>
      <c r="U1096" s="24">
        <v>4.2654842095636081E-2</v>
      </c>
      <c r="V1096" s="24">
        <f t="shared" si="121"/>
        <v>4.2993573016056219E-2</v>
      </c>
      <c r="W1096" s="23">
        <f t="shared" si="122"/>
        <v>3.5140738718228981E-3</v>
      </c>
      <c r="X1096" s="24">
        <v>4.235885482421109E-2</v>
      </c>
      <c r="Y1096" s="24">
        <f t="shared" si="123"/>
        <v>4.2994708934765091E-2</v>
      </c>
      <c r="Z1096" s="23">
        <f t="shared" si="124"/>
        <v>3.5141654098929109E-3</v>
      </c>
      <c r="AA1096" s="36"/>
    </row>
    <row r="1097" spans="15:27" ht="13.9" customHeight="1" x14ac:dyDescent="0.3">
      <c r="O1097" s="12">
        <f t="shared" si="118"/>
        <v>90.333333333333329</v>
      </c>
      <c r="P1097" s="13">
        <v>1084</v>
      </c>
      <c r="Q1097" s="22">
        <v>3.6083135507271269E-2</v>
      </c>
      <c r="R1097" s="19">
        <f t="shared" si="119"/>
        <v>3.6705356723933935E-2</v>
      </c>
      <c r="S1097" s="22">
        <v>4.1206795719168854E-2</v>
      </c>
      <c r="T1097" s="19">
        <f t="shared" si="120"/>
        <v>4.2996777586562729E-2</v>
      </c>
      <c r="U1097" s="24">
        <v>4.2655154527334149E-2</v>
      </c>
      <c r="V1097" s="24">
        <f t="shared" si="121"/>
        <v>4.2993621347179545E-2</v>
      </c>
      <c r="W1097" s="23">
        <f t="shared" si="122"/>
        <v>3.5140777763817965E-3</v>
      </c>
      <c r="X1097" s="24">
        <v>4.2359441226820005E-2</v>
      </c>
      <c r="Y1097" s="24">
        <f t="shared" si="123"/>
        <v>4.2994751533038889E-2</v>
      </c>
      <c r="Z1097" s="23">
        <f t="shared" si="124"/>
        <v>3.5141688531530324E-3</v>
      </c>
      <c r="AA1097" s="36"/>
    </row>
    <row r="1098" spans="15:27" ht="13.9" customHeight="1" x14ac:dyDescent="0.3">
      <c r="O1098" s="12">
        <f t="shared" si="118"/>
        <v>90.416666666666671</v>
      </c>
      <c r="P1098" s="13">
        <v>1085</v>
      </c>
      <c r="Q1098" s="22">
        <v>3.60837088110737E-2</v>
      </c>
      <c r="R1098" s="19">
        <f t="shared" si="119"/>
        <v>3.6705644307526875E-2</v>
      </c>
      <c r="S1098" s="22">
        <v>4.1208444056890503E-2</v>
      </c>
      <c r="T1098" s="19">
        <f t="shared" si="120"/>
        <v>4.2996807806033432E-2</v>
      </c>
      <c r="U1098" s="24">
        <v>4.2655466427744981E-2</v>
      </c>
      <c r="V1098" s="24">
        <f t="shared" si="121"/>
        <v>4.2993669316478078E-2</v>
      </c>
      <c r="W1098" s="23">
        <f t="shared" si="122"/>
        <v>3.5140816515224493E-3</v>
      </c>
      <c r="X1098" s="24">
        <v>4.2360026588068589E-2</v>
      </c>
      <c r="Y1098" s="24">
        <f t="shared" si="123"/>
        <v>4.2994793789384644E-2</v>
      </c>
      <c r="Z1098" s="23">
        <f t="shared" si="124"/>
        <v>3.514172268636262E-3</v>
      </c>
      <c r="AA1098" s="36"/>
    </row>
    <row r="1099" spans="15:27" ht="13.9" customHeight="1" x14ac:dyDescent="0.3">
      <c r="O1099" s="12">
        <f t="shared" si="118"/>
        <v>90.5</v>
      </c>
      <c r="P1099" s="13">
        <v>1086</v>
      </c>
      <c r="Q1099" s="22">
        <v>3.6084281324035627E-2</v>
      </c>
      <c r="R1099" s="19">
        <f t="shared" si="119"/>
        <v>3.6705929505640666E-2</v>
      </c>
      <c r="S1099" s="22">
        <v>4.1210089389380533E-2</v>
      </c>
      <c r="T1099" s="19">
        <f t="shared" si="120"/>
        <v>4.2996837741920535E-2</v>
      </c>
      <c r="U1099" s="24">
        <v>4.2655777798003003E-2</v>
      </c>
      <c r="V1099" s="24">
        <f t="shared" si="121"/>
        <v>4.2993716923570569E-2</v>
      </c>
      <c r="W1099" s="23">
        <f t="shared" si="122"/>
        <v>3.5140854976520863E-3</v>
      </c>
      <c r="X1099" s="24">
        <v>4.2360610910518126E-2</v>
      </c>
      <c r="Y1099" s="24">
        <f t="shared" si="123"/>
        <v>4.2994835704640799E-2</v>
      </c>
      <c r="Z1099" s="23">
        <f t="shared" si="124"/>
        <v>3.5141756567038662E-3</v>
      </c>
      <c r="AA1099" s="36"/>
    </row>
    <row r="1100" spans="15:27" ht="13.9" customHeight="1" x14ac:dyDescent="0.3">
      <c r="O1100" s="12">
        <f t="shared" si="118"/>
        <v>90.583333333333329</v>
      </c>
      <c r="P1100" s="13">
        <v>1087</v>
      </c>
      <c r="Q1100" s="22">
        <v>3.6084853046145948E-2</v>
      </c>
      <c r="R1100" s="19">
        <f t="shared" si="119"/>
        <v>3.6706212333506016E-2</v>
      </c>
      <c r="S1100" s="22">
        <v>4.1211731724665412E-2</v>
      </c>
      <c r="T1100" s="19">
        <f t="shared" si="120"/>
        <v>4.299686739681019E-2</v>
      </c>
      <c r="U1100" s="24">
        <v>4.2656088639237977E-2</v>
      </c>
      <c r="V1100" s="24">
        <f t="shared" si="121"/>
        <v>4.2993764173381521E-2</v>
      </c>
      <c r="W1100" s="23">
        <f t="shared" si="122"/>
        <v>3.5140893147405095E-3</v>
      </c>
      <c r="X1100" s="24">
        <v>4.2361194196721019E-2</v>
      </c>
      <c r="Y1100" s="24">
        <f t="shared" si="123"/>
        <v>4.2994877282727773E-2</v>
      </c>
      <c r="Z1100" s="23">
        <f t="shared" si="124"/>
        <v>3.5141790174233467E-3</v>
      </c>
      <c r="AA1100" s="36"/>
    </row>
    <row r="1101" spans="15:27" ht="13.9" customHeight="1" x14ac:dyDescent="0.3">
      <c r="O1101" s="12">
        <f t="shared" si="118"/>
        <v>90.666666666666671</v>
      </c>
      <c r="P1101" s="13">
        <v>1088</v>
      </c>
      <c r="Q1101" s="22">
        <v>3.6085423977407549E-2</v>
      </c>
      <c r="R1101" s="19">
        <f t="shared" si="119"/>
        <v>3.6706492813782576E-2</v>
      </c>
      <c r="S1101" s="22">
        <v>4.1213371070744742E-2</v>
      </c>
      <c r="T1101" s="19">
        <f t="shared" si="120"/>
        <v>4.2996896774614601E-2</v>
      </c>
      <c r="U1101" s="24">
        <v>4.265639895258011E-2</v>
      </c>
      <c r="V1101" s="24">
        <f t="shared" si="121"/>
        <v>4.2993811067597809E-2</v>
      </c>
      <c r="W1101" s="23">
        <f t="shared" si="122"/>
        <v>3.5140931031820699E-3</v>
      </c>
      <c r="X1101" s="24">
        <v>4.236177644922412E-2</v>
      </c>
      <c r="Y1101" s="24">
        <f t="shared" si="123"/>
        <v>4.2994918526310988E-2</v>
      </c>
      <c r="Z1101" s="23">
        <f t="shared" si="124"/>
        <v>3.5141823511086745E-3</v>
      </c>
      <c r="AA1101" s="36"/>
    </row>
    <row r="1102" spans="15:27" ht="13.9" customHeight="1" x14ac:dyDescent="0.3">
      <c r="O1102" s="12">
        <f t="shared" ref="O1102:O1165" si="125">P1102/12</f>
        <v>90.75</v>
      </c>
      <c r="P1102" s="13">
        <v>1089</v>
      </c>
      <c r="Q1102" s="22">
        <v>3.6085994117844189E-2</v>
      </c>
      <c r="R1102" s="19">
        <f t="shared" ref="R1102:R1165" si="126">(1+Q1103)^P1103/(1+Q1102)^P1102-1</f>
        <v>3.6706770964707536E-2</v>
      </c>
      <c r="S1102" s="22">
        <v>4.1215007435592144E-2</v>
      </c>
      <c r="T1102" s="19">
        <f t="shared" ref="T1102:T1165" si="127">(1+S1103)^P1103/(1+S1102)^P1102-1</f>
        <v>4.2996925875456116E-2</v>
      </c>
      <c r="U1102" s="24">
        <v>4.2656708739156945E-2</v>
      </c>
      <c r="V1102" s="24">
        <f t="shared" ref="V1102:V1165" si="128">(1+U1103)^P1103/(1+U1102)^P1102-1</f>
        <v>4.2993857608555563E-2</v>
      </c>
      <c r="W1102" s="23">
        <f t="shared" si="122"/>
        <v>3.514096863112437E-3</v>
      </c>
      <c r="X1102" s="24">
        <v>4.2362357670567174E-2</v>
      </c>
      <c r="Y1102" s="24">
        <f t="shared" si="123"/>
        <v>4.2994959437349767E-2</v>
      </c>
      <c r="Z1102" s="23">
        <f t="shared" si="124"/>
        <v>3.5141856579736785E-3</v>
      </c>
      <c r="AA1102" s="36"/>
    </row>
    <row r="1103" spans="15:27" ht="13.9" customHeight="1" x14ac:dyDescent="0.3">
      <c r="O1103" s="12">
        <f t="shared" si="125"/>
        <v>90.833333333333329</v>
      </c>
      <c r="P1103" s="13">
        <v>1090</v>
      </c>
      <c r="Q1103" s="22">
        <v>3.6086563467496058E-2</v>
      </c>
      <c r="R1103" s="19">
        <f t="shared" si="126"/>
        <v>3.6707046805920296E-2</v>
      </c>
      <c r="S1103" s="22">
        <v>4.1216640827152373E-2</v>
      </c>
      <c r="T1103" s="19">
        <f t="shared" si="127"/>
        <v>4.2996954704237034E-2</v>
      </c>
      <c r="U1103" s="24">
        <v>4.2657018000094249E-2</v>
      </c>
      <c r="V1103" s="24">
        <f t="shared" si="128"/>
        <v>4.2993903800281563E-2</v>
      </c>
      <c r="W1103" s="23">
        <f t="shared" ref="W1103:W1166" si="129">(1+V1102)^(1/12)-1</f>
        <v>3.5141005947185722E-3</v>
      </c>
      <c r="X1103" s="24">
        <v>4.2362937863282601E-2</v>
      </c>
      <c r="Y1103" s="24">
        <f t="shared" ref="Y1103:Y1166" si="130">(1+X1104)^P1104/(1+X1103)^P1103-1</f>
        <v>4.2995000018816176E-2</v>
      </c>
      <c r="Z1103" s="23">
        <f t="shared" ref="Z1103:Z1166" si="131">(1+Y1102)^(1/12)-1</f>
        <v>3.5141889381755664E-3</v>
      </c>
      <c r="AA1103" s="36"/>
    </row>
    <row r="1104" spans="15:27" ht="13.9" customHeight="1" x14ac:dyDescent="0.3">
      <c r="O1104" s="12">
        <f t="shared" si="125"/>
        <v>90.916666666666671</v>
      </c>
      <c r="P1104" s="13">
        <v>1091</v>
      </c>
      <c r="Q1104" s="22">
        <v>3.6087132026421553E-2</v>
      </c>
      <c r="R1104" s="19">
        <f t="shared" si="126"/>
        <v>3.6707320356937911E-2</v>
      </c>
      <c r="S1104" s="22">
        <v>4.1218271253345318E-2</v>
      </c>
      <c r="T1104" s="19">
        <f t="shared" si="127"/>
        <v>4.2996983262454158E-2</v>
      </c>
      <c r="U1104" s="24">
        <v>4.265732673651712E-2</v>
      </c>
      <c r="V1104" s="24">
        <f t="shared" si="128"/>
        <v>4.2993949644287488E-2</v>
      </c>
      <c r="W1104" s="23">
        <f t="shared" si="129"/>
        <v>3.5141042983235504E-3</v>
      </c>
      <c r="X1104" s="24">
        <v>4.2363517029896158E-2</v>
      </c>
      <c r="Y1104" s="24">
        <f t="shared" si="130"/>
        <v>4.2995040274095064E-2</v>
      </c>
      <c r="Z1104" s="23">
        <f t="shared" si="131"/>
        <v>3.514192191952592E-3</v>
      </c>
      <c r="AA1104" s="36"/>
    </row>
    <row r="1105" spans="15:27" ht="13.9" customHeight="1" x14ac:dyDescent="0.3">
      <c r="O1105" s="12">
        <f t="shared" si="125"/>
        <v>91</v>
      </c>
      <c r="P1105" s="13">
        <v>1092</v>
      </c>
      <c r="Q1105" s="22">
        <v>3.6087699794696393E-2</v>
      </c>
      <c r="R1105" s="19">
        <f t="shared" si="126"/>
        <v>3.6707591636012893E-2</v>
      </c>
      <c r="S1105" s="22">
        <v>4.1219898722063553E-2</v>
      </c>
      <c r="T1105" s="19">
        <f t="shared" si="127"/>
        <v>4.2997011553260744E-2</v>
      </c>
      <c r="U1105" s="24">
        <v>4.2657634949547996E-2</v>
      </c>
      <c r="V1105" s="24">
        <f t="shared" si="128"/>
        <v>4.2993995143832953E-2</v>
      </c>
      <c r="W1105" s="23">
        <f t="shared" si="129"/>
        <v>3.5141079740486081E-3</v>
      </c>
      <c r="X1105" s="24">
        <v>4.2364095172927385E-2</v>
      </c>
      <c r="Y1105" s="24">
        <f t="shared" si="130"/>
        <v>4.2995080205032954E-2</v>
      </c>
      <c r="Z1105" s="23">
        <f t="shared" si="131"/>
        <v>3.5141954195760938E-3</v>
      </c>
      <c r="AA1105" s="36"/>
    </row>
    <row r="1106" spans="15:27" ht="13.9" customHeight="1" x14ac:dyDescent="0.3">
      <c r="O1106" s="12">
        <f t="shared" si="125"/>
        <v>91.083333333333329</v>
      </c>
      <c r="P1106" s="13">
        <v>1093</v>
      </c>
      <c r="Q1106" s="22">
        <v>3.6088266772412725E-2</v>
      </c>
      <c r="R1106" s="19">
        <f t="shared" si="126"/>
        <v>3.670786066323739E-2</v>
      </c>
      <c r="S1106" s="22">
        <v>4.122152324117323E-2</v>
      </c>
      <c r="T1106" s="19">
        <f t="shared" si="127"/>
        <v>4.2997039578836382E-2</v>
      </c>
      <c r="U1106" s="24">
        <v>4.26579426403082E-2</v>
      </c>
      <c r="V1106" s="24">
        <f t="shared" si="128"/>
        <v>4.2994040301404635E-2</v>
      </c>
      <c r="W1106" s="23">
        <f t="shared" si="129"/>
        <v>3.5141116221550917E-3</v>
      </c>
      <c r="X1106" s="24">
        <v>4.2364672294888495E-2</v>
      </c>
      <c r="Y1106" s="24">
        <f t="shared" si="130"/>
        <v>4.2995119815249394E-2</v>
      </c>
      <c r="Z1106" s="23">
        <f t="shared" si="131"/>
        <v>3.5141986211943976E-3</v>
      </c>
      <c r="AA1106" s="36"/>
    </row>
    <row r="1107" spans="15:27" ht="13.9" customHeight="1" x14ac:dyDescent="0.3">
      <c r="O1107" s="12">
        <f t="shared" si="125"/>
        <v>91.166666666666671</v>
      </c>
      <c r="P1107" s="13">
        <v>1094</v>
      </c>
      <c r="Q1107" s="22">
        <v>3.6088832959680905E-2</v>
      </c>
      <c r="R1107" s="19">
        <f t="shared" si="126"/>
        <v>3.6708127455704176E-2</v>
      </c>
      <c r="S1107" s="22">
        <v>4.1223144818514079E-2</v>
      </c>
      <c r="T1107" s="19">
        <f t="shared" si="127"/>
        <v>4.2997067340649453E-2</v>
      </c>
      <c r="U1107" s="24">
        <v>4.2658249809917059E-2</v>
      </c>
      <c r="V1107" s="24">
        <f t="shared" si="128"/>
        <v>4.299408511834657E-2</v>
      </c>
      <c r="W1107" s="23">
        <f t="shared" si="129"/>
        <v>3.5141152428421751E-3</v>
      </c>
      <c r="X1107" s="24">
        <v>4.2365248398285482E-2</v>
      </c>
      <c r="Y1107" s="24">
        <f t="shared" si="130"/>
        <v>4.2995159105076786E-2</v>
      </c>
      <c r="Z1107" s="23">
        <f t="shared" si="131"/>
        <v>3.5142017970972717E-3</v>
      </c>
      <c r="AA1107" s="36"/>
    </row>
    <row r="1108" spans="15:27" ht="13.9" customHeight="1" x14ac:dyDescent="0.3">
      <c r="O1108" s="12">
        <f t="shared" si="125"/>
        <v>91.25</v>
      </c>
      <c r="P1108" s="13">
        <v>1095</v>
      </c>
      <c r="Q1108" s="22">
        <v>3.608939835662639E-2</v>
      </c>
      <c r="R1108" s="19">
        <f t="shared" si="126"/>
        <v>3.6708392033719672E-2</v>
      </c>
      <c r="S1108" s="22">
        <v>4.1224763461898517E-2</v>
      </c>
      <c r="T1108" s="19">
        <f t="shared" si="127"/>
        <v>4.2997094842522676E-2</v>
      </c>
      <c r="U1108" s="24">
        <v>4.2658556459491459E-2</v>
      </c>
      <c r="V1108" s="24">
        <f t="shared" si="128"/>
        <v>4.2994129599367881E-2</v>
      </c>
      <c r="W1108" s="23">
        <f t="shared" si="129"/>
        <v>3.5141188362177722E-3</v>
      </c>
      <c r="X1108" s="24">
        <v>4.2365823485615905E-2</v>
      </c>
      <c r="Y1108" s="24">
        <f t="shared" si="130"/>
        <v>4.2995198079466279E-2</v>
      </c>
      <c r="Z1108" s="23">
        <f t="shared" si="131"/>
        <v>3.5142049473115833E-3</v>
      </c>
      <c r="AA1108" s="36"/>
    </row>
    <row r="1109" spans="15:27" ht="13.9" customHeight="1" x14ac:dyDescent="0.3">
      <c r="O1109" s="12">
        <f t="shared" si="125"/>
        <v>91.333333333333329</v>
      </c>
      <c r="P1109" s="13">
        <v>1096</v>
      </c>
      <c r="Q1109" s="22">
        <v>3.6089962963392619E-2</v>
      </c>
      <c r="R1109" s="19">
        <f t="shared" si="126"/>
        <v>3.670865441339366E-2</v>
      </c>
      <c r="S1109" s="22">
        <v>4.122637917911387E-2</v>
      </c>
      <c r="T1109" s="19">
        <f t="shared" si="127"/>
        <v>4.2997122086669171E-2</v>
      </c>
      <c r="U1109" s="24">
        <v>4.2658862590148061E-2</v>
      </c>
      <c r="V1109" s="24">
        <f t="shared" si="128"/>
        <v>4.2994173744560715E-2</v>
      </c>
      <c r="W1109" s="23">
        <f t="shared" si="129"/>
        <v>3.5141224026595808E-3</v>
      </c>
      <c r="X1109" s="24">
        <v>4.2366397559372437E-2</v>
      </c>
      <c r="Y1109" s="24">
        <f t="shared" si="130"/>
        <v>4.2995236739540088E-2</v>
      </c>
      <c r="Z1109" s="23">
        <f t="shared" si="131"/>
        <v>3.5142080722345703E-3</v>
      </c>
      <c r="AA1109" s="36"/>
    </row>
    <row r="1110" spans="15:27" ht="13.9" customHeight="1" x14ac:dyDescent="0.3">
      <c r="O1110" s="12">
        <f t="shared" si="125"/>
        <v>91.416666666666671</v>
      </c>
      <c r="P1110" s="13">
        <v>1097</v>
      </c>
      <c r="Q1110" s="22">
        <v>3.6090526780137244E-2</v>
      </c>
      <c r="R1110" s="19">
        <f t="shared" si="126"/>
        <v>3.6708914616246924E-2</v>
      </c>
      <c r="S1110" s="22">
        <v>4.1227991977921263E-2</v>
      </c>
      <c r="T1110" s="19">
        <f t="shared" si="127"/>
        <v>4.2997149075330254E-2</v>
      </c>
      <c r="U1110" s="24">
        <v>4.2659168202999753E-2</v>
      </c>
      <c r="V1110" s="24">
        <f t="shared" si="128"/>
        <v>4.2994217558988135E-2</v>
      </c>
      <c r="W1110" s="23">
        <f t="shared" si="129"/>
        <v>3.5141259421749282E-3</v>
      </c>
      <c r="X1110" s="24">
        <v>4.2366970622039757E-2</v>
      </c>
      <c r="Y1110" s="24">
        <f t="shared" si="130"/>
        <v>4.2995275089368734E-2</v>
      </c>
      <c r="Z1110" s="23">
        <f t="shared" si="131"/>
        <v>3.5142111719557168E-3</v>
      </c>
      <c r="AA1110" s="36"/>
    </row>
    <row r="1111" spans="15:27" ht="13.9" customHeight="1" x14ac:dyDescent="0.3">
      <c r="O1111" s="12">
        <f t="shared" si="125"/>
        <v>91.5</v>
      </c>
      <c r="P1111" s="13">
        <v>1098</v>
      </c>
      <c r="Q1111" s="22">
        <v>3.6091089807037013E-2</v>
      </c>
      <c r="R1111" s="19">
        <f t="shared" si="126"/>
        <v>3.6709172657063638E-2</v>
      </c>
      <c r="S1111" s="22">
        <v>4.1229601866055399E-2</v>
      </c>
      <c r="T1111" s="19">
        <f t="shared" si="127"/>
        <v>4.2997175810857824E-2</v>
      </c>
      <c r="U1111" s="24">
        <v>4.2659473299160089E-2</v>
      </c>
      <c r="V1111" s="24">
        <f t="shared" si="128"/>
        <v>4.2994261043105553E-2</v>
      </c>
      <c r="W1111" s="23">
        <f t="shared" si="129"/>
        <v>3.5141294551694902E-3</v>
      </c>
      <c r="X1111" s="24">
        <v>4.2367542676097214E-2</v>
      </c>
      <c r="Y1111" s="24">
        <f t="shared" si="130"/>
        <v>4.2995313129290613E-2</v>
      </c>
      <c r="Z1111" s="23">
        <f t="shared" si="131"/>
        <v>3.5142142468018722E-3</v>
      </c>
      <c r="AA1111" s="36"/>
    </row>
    <row r="1112" spans="15:27" ht="13.9" customHeight="1" x14ac:dyDescent="0.3">
      <c r="O1112" s="12">
        <f t="shared" si="125"/>
        <v>91.583333333333329</v>
      </c>
      <c r="P1112" s="13">
        <v>1099</v>
      </c>
      <c r="Q1112" s="22">
        <v>3.609165204428133E-2</v>
      </c>
      <c r="R1112" s="19">
        <f t="shared" si="126"/>
        <v>3.6709428556125356E-2</v>
      </c>
      <c r="S1112" s="22">
        <v>4.1231208851224999E-2</v>
      </c>
      <c r="T1112" s="19">
        <f t="shared" si="127"/>
        <v>4.2997202295479875E-2</v>
      </c>
      <c r="U1112" s="24">
        <v>4.2659777879738625E-2</v>
      </c>
      <c r="V1112" s="24">
        <f t="shared" si="128"/>
        <v>4.2994304200598688E-2</v>
      </c>
      <c r="W1112" s="23">
        <f t="shared" si="129"/>
        <v>3.5141329416801259E-3</v>
      </c>
      <c r="X1112" s="24">
        <v>4.2368113724015499E-2</v>
      </c>
      <c r="Y1112" s="24">
        <f t="shared" si="130"/>
        <v>4.2995350863201054E-2</v>
      </c>
      <c r="Z1112" s="23">
        <f t="shared" si="131"/>
        <v>3.5142172967999041E-3</v>
      </c>
      <c r="AA1112" s="36"/>
    </row>
    <row r="1113" spans="15:27" ht="13.9" customHeight="1" x14ac:dyDescent="0.3">
      <c r="O1113" s="12">
        <f t="shared" si="125"/>
        <v>91.666666666666671</v>
      </c>
      <c r="P1113" s="13">
        <v>1100</v>
      </c>
      <c r="Q1113" s="22">
        <v>3.6092213492077363E-2</v>
      </c>
      <c r="R1113" s="19">
        <f t="shared" si="126"/>
        <v>3.6709682329729043E-2</v>
      </c>
      <c r="S1113" s="22">
        <v>4.1232812941113028E-2</v>
      </c>
      <c r="T1113" s="19">
        <f t="shared" si="127"/>
        <v>4.2997228531887366E-2</v>
      </c>
      <c r="U1113" s="24">
        <v>4.2660081945844475E-2</v>
      </c>
      <c r="V1113" s="24">
        <f t="shared" si="128"/>
        <v>4.2994347033360469E-2</v>
      </c>
      <c r="W1113" s="23">
        <f t="shared" si="129"/>
        <v>3.5141364020023769E-3</v>
      </c>
      <c r="X1113" s="24">
        <v>4.2368683768259752E-2</v>
      </c>
      <c r="Y1113" s="24">
        <f t="shared" si="130"/>
        <v>4.2995388293615155E-2</v>
      </c>
      <c r="Z1113" s="23">
        <f t="shared" si="131"/>
        <v>3.5142203222620072E-3</v>
      </c>
      <c r="AA1113" s="36"/>
    </row>
    <row r="1114" spans="15:27" ht="13.9" customHeight="1" x14ac:dyDescent="0.3">
      <c r="O1114" s="12">
        <f t="shared" si="125"/>
        <v>91.75</v>
      </c>
      <c r="P1114" s="13">
        <v>1101</v>
      </c>
      <c r="Q1114" s="22">
        <v>3.6092774150646489E-2</v>
      </c>
      <c r="R1114" s="19">
        <f t="shared" si="126"/>
        <v>3.6709933996950328E-2</v>
      </c>
      <c r="S1114" s="22">
        <v>4.1234414143376696E-2</v>
      </c>
      <c r="T1114" s="19">
        <f t="shared" si="127"/>
        <v>4.2997254522127548E-2</v>
      </c>
      <c r="U1114" s="24">
        <v>4.266038549858453E-2</v>
      </c>
      <c r="V1114" s="24">
        <f t="shared" si="128"/>
        <v>4.2994389544442457E-2</v>
      </c>
      <c r="W1114" s="23">
        <f t="shared" si="129"/>
        <v>3.5141398362876775E-3</v>
      </c>
      <c r="X1114" s="24">
        <v>4.2369252811288671E-2</v>
      </c>
      <c r="Y1114" s="24">
        <f t="shared" si="130"/>
        <v>4.2995425422835964E-2</v>
      </c>
      <c r="Z1114" s="23">
        <f t="shared" si="131"/>
        <v>3.514223323390242E-3</v>
      </c>
      <c r="AA1114" s="36"/>
    </row>
    <row r="1115" spans="15:27" ht="13.9" customHeight="1" x14ac:dyDescent="0.3">
      <c r="O1115" s="12">
        <f t="shared" si="125"/>
        <v>91.833333333333329</v>
      </c>
      <c r="P1115" s="13">
        <v>1102</v>
      </c>
      <c r="Q1115" s="22">
        <v>3.6093334020226298E-2</v>
      </c>
      <c r="R1115" s="19">
        <f t="shared" si="126"/>
        <v>3.6710183573849253E-2</v>
      </c>
      <c r="S1115" s="22">
        <v>4.1236012465647676E-2</v>
      </c>
      <c r="T1115" s="19">
        <f t="shared" si="127"/>
        <v>4.2997280269246652E-2</v>
      </c>
      <c r="U1115" s="24">
        <v>4.2660688539064351E-2</v>
      </c>
      <c r="V1115" s="24">
        <f t="shared" si="128"/>
        <v>4.2994431735908778E-2</v>
      </c>
      <c r="W1115" s="23">
        <f t="shared" si="129"/>
        <v>3.5141432447809429E-3</v>
      </c>
      <c r="X1115" s="24">
        <v>4.236982085555363E-2</v>
      </c>
      <c r="Y1115" s="24">
        <f t="shared" si="130"/>
        <v>4.299546225304729E-2</v>
      </c>
      <c r="Z1115" s="23">
        <f t="shared" si="131"/>
        <v>3.5142263003689056E-3</v>
      </c>
      <c r="AA1115" s="36"/>
    </row>
    <row r="1116" spans="15:27" ht="13.9" customHeight="1" x14ac:dyDescent="0.3">
      <c r="O1116" s="12">
        <f t="shared" si="125"/>
        <v>91.916666666666671</v>
      </c>
      <c r="P1116" s="13">
        <v>1103</v>
      </c>
      <c r="Q1116" s="22">
        <v>3.6093893101068364E-2</v>
      </c>
      <c r="R1116" s="19">
        <f t="shared" si="126"/>
        <v>3.6710431078829986E-2</v>
      </c>
      <c r="S1116" s="22">
        <v>4.1237607915532326E-2</v>
      </c>
      <c r="T1116" s="19">
        <f t="shared" si="127"/>
        <v>4.2997305774104211E-2</v>
      </c>
      <c r="U1116" s="24">
        <v>4.2660991068387055E-2</v>
      </c>
      <c r="V1116" s="24">
        <f t="shared" si="128"/>
        <v>4.2994473609068828E-2</v>
      </c>
      <c r="W1116" s="23">
        <f t="shared" si="129"/>
        <v>3.5141466276478184E-3</v>
      </c>
      <c r="X1116" s="24">
        <v>4.2370387903499562E-2</v>
      </c>
      <c r="Y1116" s="24">
        <f t="shared" si="130"/>
        <v>4.2995498786331243E-2</v>
      </c>
      <c r="Z1116" s="23">
        <f t="shared" si="131"/>
        <v>3.5142292533731911E-3</v>
      </c>
      <c r="AA1116" s="36"/>
    </row>
    <row r="1117" spans="15:27" ht="13.9" customHeight="1" x14ac:dyDescent="0.3">
      <c r="O1117" s="12">
        <f t="shared" si="125"/>
        <v>92</v>
      </c>
      <c r="P1117" s="13">
        <v>1104</v>
      </c>
      <c r="Q1117" s="22">
        <v>3.6094451393439808E-2</v>
      </c>
      <c r="R1117" s="19">
        <f t="shared" si="126"/>
        <v>3.6710676528366237E-2</v>
      </c>
      <c r="S1117" s="22">
        <v>4.1239200500610584E-2</v>
      </c>
      <c r="T1117" s="19">
        <f t="shared" si="127"/>
        <v>4.2997331040071529E-2</v>
      </c>
      <c r="U1117" s="24">
        <v>4.266129308765354E-2</v>
      </c>
      <c r="V1117" s="24">
        <f t="shared" si="128"/>
        <v>4.299451516817232E-2</v>
      </c>
      <c r="W1117" s="23">
        <f t="shared" si="129"/>
        <v>3.514149984992887E-3</v>
      </c>
      <c r="X1117" s="24">
        <v>4.2370953957564295E-2</v>
      </c>
      <c r="Y1117" s="24">
        <f t="shared" si="130"/>
        <v>4.2995535025408094E-2</v>
      </c>
      <c r="Z1117" s="23">
        <f t="shared" si="131"/>
        <v>3.5142321825700762E-3</v>
      </c>
      <c r="AA1117" s="36"/>
    </row>
    <row r="1118" spans="15:27" ht="13.9" customHeight="1" x14ac:dyDescent="0.3">
      <c r="O1118" s="12">
        <f t="shared" si="125"/>
        <v>92.083333333333329</v>
      </c>
      <c r="P1118" s="13">
        <v>1105</v>
      </c>
      <c r="Q1118" s="22">
        <v>3.6095008897621739E-2</v>
      </c>
      <c r="R1118" s="19">
        <f t="shared" si="126"/>
        <v>3.6710919939906939E-2</v>
      </c>
      <c r="S1118" s="22">
        <v>4.124079022843774E-2</v>
      </c>
      <c r="T1118" s="19">
        <f t="shared" si="127"/>
        <v>4.2997356068846804E-2</v>
      </c>
      <c r="U1118" s="24">
        <v>4.2661594597964037E-2</v>
      </c>
      <c r="V1118" s="24">
        <f t="shared" si="128"/>
        <v>4.2994556414227336E-2</v>
      </c>
      <c r="W1118" s="23">
        <f t="shared" si="129"/>
        <v>3.5141533171572092E-3</v>
      </c>
      <c r="X1118" s="24">
        <v>4.2371519020179438E-2</v>
      </c>
      <c r="Y1118" s="24">
        <f t="shared" si="130"/>
        <v>4.2995570972987451E-2</v>
      </c>
      <c r="Z1118" s="23">
        <f t="shared" si="131"/>
        <v>3.5142350881778306E-3</v>
      </c>
      <c r="AA1118" s="36"/>
    </row>
    <row r="1119" spans="15:27" ht="13.9" customHeight="1" x14ac:dyDescent="0.3">
      <c r="O1119" s="12">
        <f t="shared" si="125"/>
        <v>92.166666666666671</v>
      </c>
      <c r="P1119" s="13">
        <v>1106</v>
      </c>
      <c r="Q1119" s="22">
        <v>3.6095565613909919E-2</v>
      </c>
      <c r="R1119" s="19">
        <f t="shared" si="126"/>
        <v>3.6711161331169695E-2</v>
      </c>
      <c r="S1119" s="22">
        <v>4.1242377106543548E-2</v>
      </c>
      <c r="T1119" s="19">
        <f t="shared" si="127"/>
        <v>4.2997380863188717E-2</v>
      </c>
      <c r="U1119" s="24">
        <v>4.2661895600416111E-2</v>
      </c>
      <c r="V1119" s="24">
        <f t="shared" si="128"/>
        <v>4.299459735018285E-2</v>
      </c>
      <c r="W1119" s="23">
        <f t="shared" si="129"/>
        <v>3.5141566242216093E-3</v>
      </c>
      <c r="X1119" s="24">
        <v>4.2372083093769719E-2</v>
      </c>
      <c r="Y1119" s="24">
        <f t="shared" si="130"/>
        <v>4.2995606631080152E-2</v>
      </c>
      <c r="Z1119" s="23">
        <f t="shared" si="131"/>
        <v>3.514237970413614E-3</v>
      </c>
      <c r="AA1119" s="36"/>
    </row>
    <row r="1120" spans="15:27" ht="13.9" customHeight="1" x14ac:dyDescent="0.3">
      <c r="O1120" s="12">
        <f t="shared" si="125"/>
        <v>92.25</v>
      </c>
      <c r="P1120" s="13">
        <v>1107</v>
      </c>
      <c r="Q1120" s="22">
        <v>3.6096121542615212E-2</v>
      </c>
      <c r="R1120" s="19">
        <f t="shared" si="126"/>
        <v>3.6711400717468479E-2</v>
      </c>
      <c r="S1120" s="22">
        <v>4.1243961142432894E-2</v>
      </c>
      <c r="T1120" s="19">
        <f t="shared" si="127"/>
        <v>4.2997405425258872E-2</v>
      </c>
      <c r="U1120" s="24">
        <v>4.2662196096105554E-2</v>
      </c>
      <c r="V1120" s="24">
        <f t="shared" si="128"/>
        <v>4.2994637978845951E-2</v>
      </c>
      <c r="W1120" s="23">
        <f t="shared" si="129"/>
        <v>3.5141599064223428E-3</v>
      </c>
      <c r="X1120" s="24">
        <v>4.2372646180753648E-2</v>
      </c>
      <c r="Y1120" s="24">
        <f t="shared" si="130"/>
        <v>4.2995642002208401E-2</v>
      </c>
      <c r="Z1120" s="23">
        <f t="shared" si="131"/>
        <v>3.5142408294384087E-3</v>
      </c>
      <c r="AA1120" s="36"/>
    </row>
    <row r="1121" spans="15:27" ht="13.9" customHeight="1" x14ac:dyDescent="0.3">
      <c r="O1121" s="12">
        <f t="shared" si="125"/>
        <v>92.333333333333329</v>
      </c>
      <c r="P1121" s="13">
        <v>1108</v>
      </c>
      <c r="Q1121" s="22">
        <v>3.6096676684061135E-2</v>
      </c>
      <c r="R1121" s="19">
        <f t="shared" si="126"/>
        <v>3.6711638116182721E-2</v>
      </c>
      <c r="S1121" s="22">
        <v>4.1245542343585573E-2</v>
      </c>
      <c r="T1121" s="19">
        <f t="shared" si="127"/>
        <v>4.2997429756597372E-2</v>
      </c>
      <c r="U1121" s="24">
        <v>4.2662496086127266E-2</v>
      </c>
      <c r="V1121" s="24">
        <f t="shared" si="128"/>
        <v>4.299467830167325E-2</v>
      </c>
      <c r="W1121" s="23">
        <f t="shared" si="129"/>
        <v>3.5141631639845627E-3</v>
      </c>
      <c r="X1121" s="24">
        <v>4.2373208283542629E-2</v>
      </c>
      <c r="Y1121" s="24">
        <f t="shared" si="130"/>
        <v>4.2995677088774054E-2</v>
      </c>
      <c r="Z1121" s="23">
        <f t="shared" si="131"/>
        <v>3.5142436654547193E-3</v>
      </c>
      <c r="AA1121" s="36"/>
    </row>
    <row r="1122" spans="15:27" ht="13.9" customHeight="1" x14ac:dyDescent="0.3">
      <c r="O1122" s="12">
        <f t="shared" si="125"/>
        <v>92.416666666666671</v>
      </c>
      <c r="P1122" s="13">
        <v>1109</v>
      </c>
      <c r="Q1122" s="22">
        <v>3.6097231038585642E-2</v>
      </c>
      <c r="R1122" s="19">
        <f t="shared" si="126"/>
        <v>3.6711873543184392E-2</v>
      </c>
      <c r="S1122" s="22">
        <v>4.1247120717456065E-2</v>
      </c>
      <c r="T1122" s="19">
        <f t="shared" si="127"/>
        <v>4.299745385989362E-2</v>
      </c>
      <c r="U1122" s="24">
        <v>4.2662795571573042E-2</v>
      </c>
      <c r="V1122" s="24">
        <f t="shared" si="128"/>
        <v>4.2994718321083703E-2</v>
      </c>
      <c r="W1122" s="23">
        <f t="shared" si="129"/>
        <v>3.5141663970250647E-3</v>
      </c>
      <c r="X1122" s="24">
        <v>4.2373769404542072E-2</v>
      </c>
      <c r="Y1122" s="24">
        <f t="shared" si="130"/>
        <v>4.2995711892498178E-2</v>
      </c>
      <c r="Z1122" s="23">
        <f t="shared" si="131"/>
        <v>3.5142464786550587E-3</v>
      </c>
      <c r="AA1122" s="36"/>
    </row>
    <row r="1123" spans="15:27" ht="13.9" customHeight="1" x14ac:dyDescent="0.3">
      <c r="O1123" s="12">
        <f t="shared" si="125"/>
        <v>92.5</v>
      </c>
      <c r="P1123" s="13">
        <v>1110</v>
      </c>
      <c r="Q1123" s="22">
        <v>3.6097784606539784E-2</v>
      </c>
      <c r="R1123" s="19">
        <f t="shared" si="126"/>
        <v>3.6712107016792617E-2</v>
      </c>
      <c r="S1123" s="22">
        <v>4.1248696271473984E-2</v>
      </c>
      <c r="T1123" s="19">
        <f t="shared" si="127"/>
        <v>4.299747773709095E-2</v>
      </c>
      <c r="U1123" s="24">
        <v>4.2663094553533343E-2</v>
      </c>
      <c r="V1123" s="24">
        <f t="shared" si="128"/>
        <v>4.2994758038980674E-2</v>
      </c>
      <c r="W1123" s="23">
        <f t="shared" si="129"/>
        <v>3.5141696057379157E-3</v>
      </c>
      <c r="X1123" s="24">
        <v>4.2374329546150058E-2</v>
      </c>
      <c r="Y1123" s="24">
        <f t="shared" si="130"/>
        <v>4.2995746415333436E-2</v>
      </c>
      <c r="Z1123" s="23">
        <f t="shared" si="131"/>
        <v>3.5142492691773164E-3</v>
      </c>
      <c r="AA1123" s="36"/>
    </row>
    <row r="1124" spans="15:27" ht="13.9" customHeight="1" x14ac:dyDescent="0.3">
      <c r="O1124" s="12">
        <f t="shared" si="125"/>
        <v>92.583333333333329</v>
      </c>
      <c r="P1124" s="13">
        <v>1111</v>
      </c>
      <c r="Q1124" s="22">
        <v>3.6098337388289714E-2</v>
      </c>
      <c r="R1124" s="19">
        <f t="shared" si="126"/>
        <v>3.6712338550808798E-2</v>
      </c>
      <c r="S1124" s="22">
        <v>4.1250269013044294E-2</v>
      </c>
      <c r="T1124" s="19">
        <f t="shared" si="127"/>
        <v>4.2997501390018789E-2</v>
      </c>
      <c r="U1124" s="24">
        <v>4.2663393033096186E-2</v>
      </c>
      <c r="V1124" s="24">
        <f t="shared" si="128"/>
        <v>4.2994797458888234E-2</v>
      </c>
      <c r="W1124" s="23">
        <f t="shared" si="129"/>
        <v>3.5141727902756603E-3</v>
      </c>
      <c r="X1124" s="24">
        <v>4.2374888710757563E-2</v>
      </c>
      <c r="Y1124" s="24">
        <f t="shared" si="130"/>
        <v>4.2995780661139182E-2</v>
      </c>
      <c r="Z1124" s="23">
        <f t="shared" si="131"/>
        <v>3.514252037178256E-3</v>
      </c>
      <c r="AA1124" s="36"/>
    </row>
    <row r="1125" spans="15:27" ht="13.9" customHeight="1" x14ac:dyDescent="0.3">
      <c r="O1125" s="12">
        <f t="shared" si="125"/>
        <v>92.666666666666671</v>
      </c>
      <c r="P1125" s="13">
        <v>1112</v>
      </c>
      <c r="Q1125" s="22">
        <v>3.6098889384212907E-2</v>
      </c>
      <c r="R1125" s="19">
        <f t="shared" si="126"/>
        <v>3.6712568163068227E-2</v>
      </c>
      <c r="S1125" s="22">
        <v>4.1251838949546871E-2</v>
      </c>
      <c r="T1125" s="19">
        <f t="shared" si="127"/>
        <v>4.2997524821607458E-2</v>
      </c>
      <c r="U1125" s="24">
        <v>4.2663691011348703E-2</v>
      </c>
      <c r="V1125" s="24">
        <f t="shared" si="128"/>
        <v>4.2994836582403329E-2</v>
      </c>
      <c r="W1125" s="23">
        <f t="shared" si="129"/>
        <v>3.5141759509207393E-3</v>
      </c>
      <c r="X1125" s="24">
        <v>4.237544690075068E-2</v>
      </c>
      <c r="Y1125" s="24">
        <f t="shared" si="130"/>
        <v>4.2995814631141327E-2</v>
      </c>
      <c r="Z1125" s="23">
        <f t="shared" si="131"/>
        <v>3.5142547829669635E-3</v>
      </c>
      <c r="AA1125" s="36"/>
    </row>
    <row r="1126" spans="15:27" ht="13.9" customHeight="1" x14ac:dyDescent="0.3">
      <c r="O1126" s="12">
        <f t="shared" si="125"/>
        <v>92.75</v>
      </c>
      <c r="P1126" s="13">
        <v>1113</v>
      </c>
      <c r="Q1126" s="22">
        <v>3.6099440594701271E-2</v>
      </c>
      <c r="R1126" s="19">
        <f t="shared" si="126"/>
        <v>3.6712795868613757E-2</v>
      </c>
      <c r="S1126" s="22">
        <v>4.1253406088337607E-2</v>
      </c>
      <c r="T1126" s="19">
        <f t="shared" si="127"/>
        <v>4.299754803345901E-2</v>
      </c>
      <c r="U1126" s="24">
        <v>4.2663988489375804E-2</v>
      </c>
      <c r="V1126" s="24">
        <f t="shared" si="128"/>
        <v>4.2994875411138223E-2</v>
      </c>
      <c r="W1126" s="23">
        <f t="shared" si="129"/>
        <v>3.5141790878012724E-3</v>
      </c>
      <c r="X1126" s="24">
        <v>4.237600411850817E-2</v>
      </c>
      <c r="Y1126" s="24">
        <f t="shared" si="130"/>
        <v>4.29958483273154E-2</v>
      </c>
      <c r="Z1126" s="23">
        <f t="shared" si="131"/>
        <v>3.5142575066422488E-3</v>
      </c>
      <c r="AA1126" s="36"/>
    </row>
    <row r="1127" spans="15:27" ht="13.9" customHeight="1" x14ac:dyDescent="0.3">
      <c r="O1127" s="12">
        <f t="shared" si="125"/>
        <v>92.833333333333329</v>
      </c>
      <c r="P1127" s="13">
        <v>1114</v>
      </c>
      <c r="Q1127" s="22">
        <v>3.6099991020158928E-2</v>
      </c>
      <c r="R1127" s="19">
        <f t="shared" si="126"/>
        <v>3.6713021683618452E-2</v>
      </c>
      <c r="S1127" s="22">
        <v>4.1254970436747751E-2</v>
      </c>
      <c r="T1127" s="19">
        <f t="shared" si="127"/>
        <v>4.2997571027604264E-2</v>
      </c>
      <c r="U1127" s="24">
        <v>4.2664285468259955E-2</v>
      </c>
      <c r="V1127" s="24">
        <f t="shared" si="128"/>
        <v>4.2994913948869451E-2</v>
      </c>
      <c r="W1127" s="23">
        <f t="shared" si="129"/>
        <v>3.5141822010464896E-3</v>
      </c>
      <c r="X1127" s="24">
        <v>4.2376560366401694E-2</v>
      </c>
      <c r="Y1127" s="24">
        <f t="shared" si="130"/>
        <v>4.2995881752783349E-2</v>
      </c>
      <c r="Z1127" s="23">
        <f t="shared" si="131"/>
        <v>3.5142602083622076E-3</v>
      </c>
      <c r="AA1127" s="36"/>
    </row>
    <row r="1128" spans="15:27" ht="13.9" customHeight="1" x14ac:dyDescent="0.3">
      <c r="O1128" s="12">
        <f t="shared" si="125"/>
        <v>92.916666666666671</v>
      </c>
      <c r="P1128" s="13">
        <v>1115</v>
      </c>
      <c r="Q1128" s="22">
        <v>3.61005406610031E-2</v>
      </c>
      <c r="R1128" s="19">
        <f t="shared" si="126"/>
        <v>3.6713245623118951E-2</v>
      </c>
      <c r="S1128" s="22">
        <v>4.1256532002083901E-2</v>
      </c>
      <c r="T1128" s="19">
        <f t="shared" si="127"/>
        <v>4.2997593805977008E-2</v>
      </c>
      <c r="U1128" s="24">
        <v>4.2664581949082958E-2</v>
      </c>
      <c r="V1128" s="24">
        <f t="shared" si="128"/>
        <v>4.2994952195790637E-2</v>
      </c>
      <c r="W1128" s="23">
        <f t="shared" si="129"/>
        <v>3.5141852909594817E-3</v>
      </c>
      <c r="X1128" s="24">
        <v>4.2377115646797359E-2</v>
      </c>
      <c r="Y1128" s="24">
        <f t="shared" si="130"/>
        <v>4.299591490842003E-2</v>
      </c>
      <c r="Z1128" s="23">
        <f t="shared" si="131"/>
        <v>3.5142628883770843E-3</v>
      </c>
      <c r="AA1128" s="36"/>
    </row>
    <row r="1129" spans="15:27" ht="13.9" customHeight="1" x14ac:dyDescent="0.3">
      <c r="O1129" s="12">
        <f t="shared" si="125"/>
        <v>93</v>
      </c>
      <c r="P1129" s="13">
        <v>1116</v>
      </c>
      <c r="Q1129" s="22">
        <v>3.6101089517662777E-2</v>
      </c>
      <c r="R1129" s="19">
        <f t="shared" si="126"/>
        <v>3.671346770437145E-2</v>
      </c>
      <c r="S1129" s="22">
        <v>4.125809079162801E-2</v>
      </c>
      <c r="T1129" s="19">
        <f t="shared" si="127"/>
        <v>4.2997616370743508E-2</v>
      </c>
      <c r="U1129" s="24">
        <v>4.266487793292284E-2</v>
      </c>
      <c r="V1129" s="24">
        <f t="shared" si="128"/>
        <v>4.2994990155643675E-2</v>
      </c>
      <c r="W1129" s="23">
        <f t="shared" si="129"/>
        <v>3.5141883575553479E-3</v>
      </c>
      <c r="X1129" s="24">
        <v>4.2377669962053721E-2</v>
      </c>
      <c r="Y1129" s="24">
        <f t="shared" si="130"/>
        <v>4.2995947797968892E-2</v>
      </c>
      <c r="Z1129" s="23">
        <f t="shared" si="131"/>
        <v>3.5142655467570449E-3</v>
      </c>
      <c r="AA1129" s="36"/>
    </row>
    <row r="1130" spans="15:27" ht="13.9" customHeight="1" x14ac:dyDescent="0.3">
      <c r="O1130" s="12">
        <f t="shared" si="125"/>
        <v>93.083333333333329</v>
      </c>
      <c r="P1130" s="13">
        <v>1117</v>
      </c>
      <c r="Q1130" s="22">
        <v>3.6101637590580937E-2</v>
      </c>
      <c r="R1130" s="19">
        <f t="shared" si="126"/>
        <v>3.6713687940692852E-2</v>
      </c>
      <c r="S1130" s="22">
        <v>4.1259646812638273E-2</v>
      </c>
      <c r="T1130" s="19">
        <f t="shared" si="127"/>
        <v>4.299763872374629E-2</v>
      </c>
      <c r="U1130" s="24">
        <v>4.2665173420857627E-2</v>
      </c>
      <c r="V1130" s="24">
        <f t="shared" si="128"/>
        <v>4.2995027830041721E-2</v>
      </c>
      <c r="W1130" s="23">
        <f t="shared" si="129"/>
        <v>3.5141914011342923E-3</v>
      </c>
      <c r="X1130" s="24">
        <v>4.2378223314523789E-2</v>
      </c>
      <c r="Y1130" s="24">
        <f t="shared" si="130"/>
        <v>4.2995980421615565E-2</v>
      </c>
      <c r="Z1130" s="23">
        <f t="shared" si="131"/>
        <v>3.5142681838025158E-3</v>
      </c>
      <c r="AA1130" s="36"/>
    </row>
    <row r="1131" spans="15:27" ht="13.9" customHeight="1" x14ac:dyDescent="0.3">
      <c r="O1131" s="12">
        <f t="shared" si="125"/>
        <v>93.166666666666671</v>
      </c>
      <c r="P1131" s="13">
        <v>1118</v>
      </c>
      <c r="Q1131" s="22">
        <v>3.6102184880210997E-2</v>
      </c>
      <c r="R1131" s="19">
        <f t="shared" si="126"/>
        <v>3.6713906349790104E-2</v>
      </c>
      <c r="S1131" s="22">
        <v>4.1261200072348458E-2</v>
      </c>
      <c r="T1131" s="19">
        <f t="shared" si="127"/>
        <v>4.2997660867726051E-2</v>
      </c>
      <c r="U1131" s="24">
        <v>4.2665468413962238E-2</v>
      </c>
      <c r="V1131" s="24">
        <f t="shared" si="128"/>
        <v>4.299506522062635E-2</v>
      </c>
      <c r="W1131" s="23">
        <f t="shared" si="129"/>
        <v>3.514194421825767E-3</v>
      </c>
      <c r="X1131" s="24">
        <v>4.2378775706553018E-2</v>
      </c>
      <c r="Y1131" s="24">
        <f t="shared" si="130"/>
        <v>4.2996012783166337E-2</v>
      </c>
      <c r="Z1131" s="23">
        <f t="shared" si="131"/>
        <v>3.5142707995281519E-3</v>
      </c>
      <c r="AA1131" s="36"/>
    </row>
    <row r="1132" spans="15:27" ht="13.9" customHeight="1" x14ac:dyDescent="0.3">
      <c r="O1132" s="12">
        <f t="shared" si="125"/>
        <v>93.25</v>
      </c>
      <c r="P1132" s="13">
        <v>1119</v>
      </c>
      <c r="Q1132" s="22">
        <v>3.6102731387020359E-2</v>
      </c>
      <c r="R1132" s="19">
        <f t="shared" si="126"/>
        <v>3.6714122943917182E-2</v>
      </c>
      <c r="S1132" s="22">
        <v>4.1262750577968799E-2</v>
      </c>
      <c r="T1132" s="19">
        <f t="shared" si="127"/>
        <v>4.2997682803505688E-2</v>
      </c>
      <c r="U1132" s="24">
        <v>4.2665762913309591E-2</v>
      </c>
      <c r="V1132" s="24">
        <f t="shared" si="128"/>
        <v>4.2995102330206647E-2</v>
      </c>
      <c r="W1132" s="23">
        <f t="shared" si="129"/>
        <v>3.5141974197612225E-3</v>
      </c>
      <c r="X1132" s="24">
        <v>4.2379327140481315E-2</v>
      </c>
      <c r="Y1132" s="24">
        <f t="shared" si="130"/>
        <v>4.2996044884214379E-2</v>
      </c>
      <c r="Z1132" s="23">
        <f t="shared" si="131"/>
        <v>3.5142733942390425E-3</v>
      </c>
      <c r="AA1132" s="36"/>
    </row>
    <row r="1133" spans="15:27" ht="13.9" customHeight="1" x14ac:dyDescent="0.3">
      <c r="O1133" s="12">
        <f t="shared" si="125"/>
        <v>93.333333333333329</v>
      </c>
      <c r="P1133" s="13">
        <v>1120</v>
      </c>
      <c r="Q1133" s="22">
        <v>3.6103277111485976E-2</v>
      </c>
      <c r="R1133" s="19">
        <f t="shared" si="126"/>
        <v>3.6714337741051706E-2</v>
      </c>
      <c r="S1133" s="22">
        <v>4.1264298336684657E-2</v>
      </c>
      <c r="T1133" s="19">
        <f t="shared" si="127"/>
        <v>4.299770453306051E-2</v>
      </c>
      <c r="U1133" s="24">
        <v>4.2666056919971496E-2</v>
      </c>
      <c r="V1133" s="24">
        <f t="shared" si="128"/>
        <v>4.2995139160497464E-2</v>
      </c>
      <c r="W1133" s="23">
        <f t="shared" si="129"/>
        <v>3.5142003951660339E-3</v>
      </c>
      <c r="X1133" s="24">
        <v>4.2379877618641704E-2</v>
      </c>
      <c r="Y1133" s="24">
        <f t="shared" si="130"/>
        <v>4.2996076726485422E-2</v>
      </c>
      <c r="Z1133" s="23">
        <f t="shared" si="131"/>
        <v>3.5142759680633073E-3</v>
      </c>
      <c r="AA1133" s="36"/>
    </row>
    <row r="1134" spans="15:27" ht="13.9" customHeight="1" x14ac:dyDescent="0.3">
      <c r="O1134" s="12">
        <f t="shared" si="125"/>
        <v>93.416666666666671</v>
      </c>
      <c r="P1134" s="13">
        <v>1121</v>
      </c>
      <c r="Q1134" s="22">
        <v>3.6103822054098789E-2</v>
      </c>
      <c r="R1134" s="19">
        <f t="shared" si="126"/>
        <v>3.6714550754034292E-2</v>
      </c>
      <c r="S1134" s="22">
        <v>4.1265843355657639E-2</v>
      </c>
      <c r="T1134" s="19">
        <f t="shared" si="127"/>
        <v>4.2997726060149066E-2</v>
      </c>
      <c r="U1134" s="24">
        <v>4.2666350435016875E-2</v>
      </c>
      <c r="V1134" s="24">
        <f t="shared" si="128"/>
        <v>4.2995175714423572E-2</v>
      </c>
      <c r="W1134" s="23">
        <f t="shared" si="129"/>
        <v>3.5142033481776469E-3</v>
      </c>
      <c r="X1134" s="24">
        <v>4.2380427143360766E-2</v>
      </c>
      <c r="Y1134" s="24">
        <f t="shared" si="130"/>
        <v>4.2996108312967296E-2</v>
      </c>
      <c r="Z1134" s="23">
        <f t="shared" si="131"/>
        <v>3.5142785211388361E-3</v>
      </c>
      <c r="AA1134" s="36"/>
    </row>
    <row r="1135" spans="15:27" ht="13.9" customHeight="1" x14ac:dyDescent="0.3">
      <c r="O1135" s="12">
        <f t="shared" si="125"/>
        <v>93.5</v>
      </c>
      <c r="P1135" s="13">
        <v>1122</v>
      </c>
      <c r="Q1135" s="22">
        <v>3.6104366215359729E-2</v>
      </c>
      <c r="R1135" s="19">
        <f t="shared" si="126"/>
        <v>3.6714761998818402E-2</v>
      </c>
      <c r="S1135" s="22">
        <v>4.1267385642026921E-2</v>
      </c>
      <c r="T1135" s="19">
        <f t="shared" si="127"/>
        <v>4.2997747384381002E-2</v>
      </c>
      <c r="U1135" s="24">
        <v>4.2666643459513987E-2</v>
      </c>
      <c r="V1135" s="24">
        <f t="shared" si="128"/>
        <v>4.2995211993046345E-2</v>
      </c>
      <c r="W1135" s="23">
        <f t="shared" si="129"/>
        <v>3.5142062790305406E-3</v>
      </c>
      <c r="X1135" s="24">
        <v>4.2380975716959091E-2</v>
      </c>
      <c r="Y1135" s="24">
        <f t="shared" si="130"/>
        <v>4.2996139644507325E-2</v>
      </c>
      <c r="Z1135" s="23">
        <f t="shared" si="131"/>
        <v>3.514281053705437E-3</v>
      </c>
      <c r="AA1135" s="36"/>
    </row>
    <row r="1136" spans="15:27" ht="13.9" customHeight="1" x14ac:dyDescent="0.3">
      <c r="O1136" s="12">
        <f t="shared" si="125"/>
        <v>93.583333333333329</v>
      </c>
      <c r="P1136" s="13">
        <v>1123</v>
      </c>
      <c r="Q1136" s="22">
        <v>3.6104909595781942E-2</v>
      </c>
      <c r="R1136" s="19">
        <f t="shared" si="126"/>
        <v>3.671497148943792E-2</v>
      </c>
      <c r="S1136" s="22">
        <v>4.1268925202906148E-2</v>
      </c>
      <c r="T1136" s="19">
        <f t="shared" si="127"/>
        <v>4.2997768508853174E-2</v>
      </c>
      <c r="U1136" s="24">
        <v>4.2666935994527977E-2</v>
      </c>
      <c r="V1136" s="24">
        <f t="shared" si="128"/>
        <v>4.2995247998592889E-2</v>
      </c>
      <c r="W1136" s="23">
        <f t="shared" si="129"/>
        <v>3.5142091878097581E-3</v>
      </c>
      <c r="X1136" s="24">
        <v>4.2381523341749938E-2</v>
      </c>
      <c r="Y1136" s="24">
        <f t="shared" si="130"/>
        <v>4.2996170724150184E-2</v>
      </c>
      <c r="Z1136" s="23">
        <f t="shared" si="131"/>
        <v>3.5142835658312777E-3</v>
      </c>
      <c r="AA1136" s="36"/>
    </row>
    <row r="1137" spans="15:27" ht="13.9" customHeight="1" x14ac:dyDescent="0.3">
      <c r="O1137" s="12">
        <f t="shared" si="125"/>
        <v>93.666666666666671</v>
      </c>
      <c r="P1137" s="13">
        <v>1124</v>
      </c>
      <c r="Q1137" s="22">
        <v>3.6105452195889232E-2</v>
      </c>
      <c r="R1137" s="19">
        <f t="shared" si="126"/>
        <v>3.6715179240811358E-2</v>
      </c>
      <c r="S1137" s="22">
        <v>4.1270462045386314E-2</v>
      </c>
      <c r="T1137" s="19">
        <f t="shared" si="127"/>
        <v>4.2997789435262668E-2</v>
      </c>
      <c r="U1137" s="24">
        <v>4.2667228041122218E-2</v>
      </c>
      <c r="V1137" s="24">
        <f t="shared" si="128"/>
        <v>4.2995283734359679E-2</v>
      </c>
      <c r="W1137" s="23">
        <f t="shared" si="129"/>
        <v>3.5142120746940453E-3</v>
      </c>
      <c r="X1137" s="24">
        <v>4.2382070020041018E-2</v>
      </c>
      <c r="Y1137" s="24">
        <f t="shared" si="130"/>
        <v>4.2996201553446856E-2</v>
      </c>
      <c r="Z1137" s="23">
        <f t="shared" si="131"/>
        <v>3.5142860577599411E-3</v>
      </c>
      <c r="AA1137" s="36"/>
    </row>
    <row r="1138" spans="15:27" ht="13.9" customHeight="1" x14ac:dyDescent="0.3">
      <c r="O1138" s="12">
        <f t="shared" si="125"/>
        <v>93.75</v>
      </c>
      <c r="P1138" s="13">
        <v>1125</v>
      </c>
      <c r="Q1138" s="22">
        <v>3.6105994016216947E-2</v>
      </c>
      <c r="R1138" s="19">
        <f t="shared" si="126"/>
        <v>3.6715385268354828E-2</v>
      </c>
      <c r="S1138" s="22">
        <v>4.1271996176534875E-2</v>
      </c>
      <c r="T1138" s="19">
        <f t="shared" si="127"/>
        <v>4.2997810165920525E-2</v>
      </c>
      <c r="U1138" s="24">
        <v>4.2667519600359194E-2</v>
      </c>
      <c r="V1138" s="24">
        <f t="shared" si="128"/>
        <v>4.2995319200515469E-2</v>
      </c>
      <c r="W1138" s="23">
        <f t="shared" si="129"/>
        <v>3.5142149399474132E-3</v>
      </c>
      <c r="X1138" s="24">
        <v>4.2382615754133379E-2</v>
      </c>
      <c r="Y1138" s="24">
        <f t="shared" si="130"/>
        <v>4.2996232134930645E-2</v>
      </c>
      <c r="Z1138" s="23">
        <f t="shared" si="131"/>
        <v>3.5142885296162163E-3</v>
      </c>
      <c r="AA1138" s="36"/>
    </row>
    <row r="1139" spans="15:27" ht="13.9" customHeight="1" x14ac:dyDescent="0.3">
      <c r="O1139" s="12">
        <f t="shared" si="125"/>
        <v>93.833333333333329</v>
      </c>
      <c r="P1139" s="13">
        <v>1126</v>
      </c>
      <c r="Q1139" s="22">
        <v>3.6106535057311984E-2</v>
      </c>
      <c r="R1139" s="19">
        <f t="shared" si="126"/>
        <v>3.6715589583607322E-2</v>
      </c>
      <c r="S1139" s="22">
        <v>4.1273527603395976E-2</v>
      </c>
      <c r="T1139" s="19">
        <f t="shared" si="127"/>
        <v>4.299783070158969E-2</v>
      </c>
      <c r="U1139" s="24">
        <v>4.2667810673297835E-2</v>
      </c>
      <c r="V1139" s="24">
        <f t="shared" si="128"/>
        <v>4.2995354399991914E-2</v>
      </c>
      <c r="W1139" s="23">
        <f t="shared" si="129"/>
        <v>3.5142177835838506E-3</v>
      </c>
      <c r="X1139" s="24">
        <v>4.238316054632163E-2</v>
      </c>
      <c r="Y1139" s="24">
        <f t="shared" si="130"/>
        <v>4.2996262469850777E-2</v>
      </c>
      <c r="Z1139" s="23">
        <f t="shared" si="131"/>
        <v>3.5142909816030521E-3</v>
      </c>
      <c r="AA1139" s="36"/>
    </row>
    <row r="1140" spans="15:27" ht="13.9" customHeight="1" x14ac:dyDescent="0.3">
      <c r="O1140" s="12">
        <f t="shared" si="125"/>
        <v>93.916666666666671</v>
      </c>
      <c r="P1140" s="13">
        <v>1127</v>
      </c>
      <c r="Q1140" s="22">
        <v>3.6107075319729898E-2</v>
      </c>
      <c r="R1140" s="19">
        <f t="shared" si="126"/>
        <v>3.6715792203876552E-2</v>
      </c>
      <c r="S1140" s="22">
        <v>4.1275056332989557E-2</v>
      </c>
      <c r="T1140" s="19">
        <f t="shared" si="127"/>
        <v>4.2997851044411339E-2</v>
      </c>
      <c r="U1140" s="24">
        <v>4.2668101260995961E-2</v>
      </c>
      <c r="V1140" s="24">
        <f t="shared" si="128"/>
        <v>4.2995389334872902E-2</v>
      </c>
      <c r="W1140" s="23">
        <f t="shared" si="129"/>
        <v>3.5142206058378367E-3</v>
      </c>
      <c r="X1140" s="24">
        <v>4.238370439889394E-2</v>
      </c>
      <c r="Y1140" s="24">
        <f t="shared" si="130"/>
        <v>4.2996292560090632E-2</v>
      </c>
      <c r="Z1140" s="23">
        <f t="shared" si="131"/>
        <v>3.5142934138205906E-3</v>
      </c>
      <c r="AA1140" s="36"/>
    </row>
    <row r="1141" spans="15:27" ht="13.9" customHeight="1" x14ac:dyDescent="0.3">
      <c r="O1141" s="12">
        <f t="shared" si="125"/>
        <v>94</v>
      </c>
      <c r="P1141" s="13">
        <v>1128</v>
      </c>
      <c r="Q1141" s="22">
        <v>3.6107614804039123E-2</v>
      </c>
      <c r="R1141" s="19">
        <f t="shared" si="126"/>
        <v>3.6715993141304359E-2</v>
      </c>
      <c r="S1141" s="22">
        <v>4.1276582372312909E-2</v>
      </c>
      <c r="T1141" s="19">
        <f t="shared" si="127"/>
        <v>4.2997871197177462E-2</v>
      </c>
      <c r="U1141" s="24">
        <v>4.2668391364509395E-2</v>
      </c>
      <c r="V1141" s="24">
        <f t="shared" si="128"/>
        <v>4.2995424007332472E-2</v>
      </c>
      <c r="W1141" s="23">
        <f t="shared" si="129"/>
        <v>3.5142234068770151E-3</v>
      </c>
      <c r="X1141" s="24">
        <v>4.2384247314131818E-2</v>
      </c>
      <c r="Y1141" s="24">
        <f t="shared" si="130"/>
        <v>4.2996322408760834E-2</v>
      </c>
      <c r="Z1141" s="23">
        <f t="shared" si="131"/>
        <v>3.5142958264200441E-3</v>
      </c>
      <c r="AA1141" s="36"/>
    </row>
    <row r="1142" spans="15:27" ht="13.9" customHeight="1" x14ac:dyDescent="0.3">
      <c r="O1142" s="12">
        <f t="shared" si="125"/>
        <v>94.083333333333329</v>
      </c>
      <c r="P1142" s="13">
        <v>1129</v>
      </c>
      <c r="Q1142" s="22">
        <v>3.6108153510817198E-2</v>
      </c>
      <c r="R1142" s="19">
        <f t="shared" si="126"/>
        <v>3.6716192410970239E-2</v>
      </c>
      <c r="S1142" s="22">
        <v>4.1278105728340453E-2</v>
      </c>
      <c r="T1142" s="19">
        <f t="shared" si="127"/>
        <v>4.2997891160550861E-2</v>
      </c>
      <c r="U1142" s="24">
        <v>4.2668680984892182E-2</v>
      </c>
      <c r="V1142" s="24">
        <f t="shared" si="128"/>
        <v>4.299545841891339E-2</v>
      </c>
      <c r="W1142" s="23">
        <f t="shared" si="129"/>
        <v>3.5142261868754687E-3</v>
      </c>
      <c r="X1142" s="24">
        <v>4.238478929431122E-2</v>
      </c>
      <c r="Y1142" s="24">
        <f t="shared" si="130"/>
        <v>4.2996352017379058E-2</v>
      </c>
      <c r="Z1142" s="23">
        <f t="shared" si="131"/>
        <v>3.5142982196505468E-3</v>
      </c>
      <c r="AA1142" s="36"/>
    </row>
    <row r="1143" spans="15:27" ht="13.9" customHeight="1" x14ac:dyDescent="0.3">
      <c r="O1143" s="12">
        <f t="shared" si="125"/>
        <v>94.166666666666671</v>
      </c>
      <c r="P1143" s="13">
        <v>1130</v>
      </c>
      <c r="Q1143" s="22">
        <v>3.6108691440652763E-2</v>
      </c>
      <c r="R1143" s="19">
        <f t="shared" si="126"/>
        <v>3.6716390025282264E-2</v>
      </c>
      <c r="S1143" s="22">
        <v>4.1279626408023073E-2</v>
      </c>
      <c r="T1143" s="19">
        <f t="shared" si="127"/>
        <v>4.299791093673333E-2</v>
      </c>
      <c r="U1143" s="24">
        <v>4.2668970123195926E-2</v>
      </c>
      <c r="V1143" s="24">
        <f t="shared" si="128"/>
        <v>4.299549257151547E-2</v>
      </c>
      <c r="W1143" s="23">
        <f t="shared" si="129"/>
        <v>3.5142289459566545E-3</v>
      </c>
      <c r="X1143" s="24">
        <v>4.2385330341701666E-2</v>
      </c>
      <c r="Y1143" s="24">
        <f t="shared" si="130"/>
        <v>4.2996381386775528E-2</v>
      </c>
      <c r="Z1143" s="23">
        <f t="shared" si="131"/>
        <v>3.514300593634001E-3</v>
      </c>
      <c r="AA1143" s="36"/>
    </row>
    <row r="1144" spans="15:27" ht="13.9" customHeight="1" x14ac:dyDescent="0.3">
      <c r="O1144" s="12">
        <f t="shared" si="125"/>
        <v>94.25</v>
      </c>
      <c r="P1144" s="13">
        <v>1131</v>
      </c>
      <c r="Q1144" s="22">
        <v>3.6109228594143561E-2</v>
      </c>
      <c r="R1144" s="19">
        <f t="shared" si="126"/>
        <v>3.6716586000396401E-2</v>
      </c>
      <c r="S1144" s="22">
        <v>4.1281144418288562E-2</v>
      </c>
      <c r="T1144" s="19">
        <f t="shared" si="127"/>
        <v>4.2997930527592709E-2</v>
      </c>
      <c r="U1144" s="24">
        <v>4.2669258780470232E-2</v>
      </c>
      <c r="V1144" s="24">
        <f t="shared" si="128"/>
        <v>4.2995526467037415E-2</v>
      </c>
      <c r="W1144" s="23">
        <f t="shared" si="129"/>
        <v>3.514231684273339E-3</v>
      </c>
      <c r="X1144" s="24">
        <v>4.2385870458565345E-2</v>
      </c>
      <c r="Y1144" s="24">
        <f t="shared" si="130"/>
        <v>4.2996410519451578E-2</v>
      </c>
      <c r="Z1144" s="23">
        <f t="shared" si="131"/>
        <v>3.5143029484367982E-3</v>
      </c>
      <c r="AA1144" s="36"/>
    </row>
    <row r="1145" spans="15:27" ht="13.9" customHeight="1" x14ac:dyDescent="0.3">
      <c r="O1145" s="12">
        <f t="shared" si="125"/>
        <v>94.333333333333329</v>
      </c>
      <c r="P1145" s="13">
        <v>1132</v>
      </c>
      <c r="Q1145" s="22">
        <v>3.6109764971899105E-2</v>
      </c>
      <c r="R1145" s="19">
        <f t="shared" si="126"/>
        <v>3.6716780347247902E-2</v>
      </c>
      <c r="S1145" s="22">
        <v>4.1282659766042284E-2</v>
      </c>
      <c r="T1145" s="19">
        <f t="shared" si="127"/>
        <v>4.2997949934470814E-2</v>
      </c>
      <c r="U1145" s="24">
        <v>4.2669546957762705E-2</v>
      </c>
      <c r="V1145" s="24">
        <f t="shared" si="128"/>
        <v>4.2995560107558006E-2</v>
      </c>
      <c r="W1145" s="23">
        <f t="shared" si="129"/>
        <v>3.5142344019774008E-3</v>
      </c>
      <c r="X1145" s="24">
        <v>4.2386409647158674E-2</v>
      </c>
      <c r="Y1145" s="24">
        <f t="shared" si="130"/>
        <v>4.2996439418390153E-2</v>
      </c>
      <c r="Z1145" s="23">
        <f t="shared" si="131"/>
        <v>3.5143052842594447E-3</v>
      </c>
      <c r="AA1145" s="36"/>
    </row>
    <row r="1146" spans="15:27" ht="13.9" customHeight="1" x14ac:dyDescent="0.3">
      <c r="O1146" s="12">
        <f t="shared" si="125"/>
        <v>94.416666666666671</v>
      </c>
      <c r="P1146" s="13">
        <v>1133</v>
      </c>
      <c r="Q1146" s="22">
        <v>3.6110300574536902E-2</v>
      </c>
      <c r="R1146" s="19">
        <f t="shared" si="126"/>
        <v>3.6716973080949789E-2</v>
      </c>
      <c r="S1146" s="22">
        <v>4.1284172458166069E-2</v>
      </c>
      <c r="T1146" s="19">
        <f t="shared" si="127"/>
        <v>4.2997969159469074E-2</v>
      </c>
      <c r="U1146" s="24">
        <v>4.2669834656119177E-2</v>
      </c>
      <c r="V1146" s="24">
        <f t="shared" si="128"/>
        <v>4.2995593496250484E-2</v>
      </c>
      <c r="W1146" s="23">
        <f t="shared" si="129"/>
        <v>3.5142370992358174E-3</v>
      </c>
      <c r="X1146" s="24">
        <v>4.238694790973252E-2</v>
      </c>
      <c r="Y1146" s="24">
        <f t="shared" si="130"/>
        <v>4.2996468084650408E-2</v>
      </c>
      <c r="Z1146" s="23">
        <f t="shared" si="131"/>
        <v>3.5143076013415264E-3</v>
      </c>
      <c r="AA1146" s="36"/>
    </row>
    <row r="1147" spans="15:27" ht="13.9" customHeight="1" x14ac:dyDescent="0.3">
      <c r="O1147" s="12">
        <f t="shared" si="125"/>
        <v>94.5</v>
      </c>
      <c r="P1147" s="13">
        <v>1134</v>
      </c>
      <c r="Q1147" s="22">
        <v>3.6110835402685115E-2</v>
      </c>
      <c r="R1147" s="19">
        <f t="shared" si="126"/>
        <v>3.6717164214691955E-2</v>
      </c>
      <c r="S1147" s="22">
        <v>4.128568250151976E-2</v>
      </c>
      <c r="T1147" s="19">
        <f t="shared" si="127"/>
        <v>4.2997988204362958E-2</v>
      </c>
      <c r="U1147" s="24">
        <v>4.2670121876584366E-2</v>
      </c>
      <c r="V1147" s="24">
        <f t="shared" si="128"/>
        <v>4.2995626632520656E-2</v>
      </c>
      <c r="W1147" s="23">
        <f t="shared" si="129"/>
        <v>3.5142397763028299E-3</v>
      </c>
      <c r="X1147" s="24">
        <v>4.2387485248531087E-2</v>
      </c>
      <c r="Y1147" s="24">
        <f t="shared" si="130"/>
        <v>4.2996496520041783E-2</v>
      </c>
      <c r="Z1147" s="23">
        <f t="shared" si="131"/>
        <v>3.5143098997674205E-3</v>
      </c>
      <c r="AA1147" s="36"/>
    </row>
    <row r="1148" spans="15:27" ht="13.9" customHeight="1" x14ac:dyDescent="0.3">
      <c r="O1148" s="12">
        <f t="shared" si="125"/>
        <v>94.583333333333329</v>
      </c>
      <c r="P1148" s="13">
        <v>1135</v>
      </c>
      <c r="Q1148" s="22">
        <v>3.6111369456981679E-2</v>
      </c>
      <c r="R1148" s="19">
        <f t="shared" si="126"/>
        <v>3.6717353761883231E-2</v>
      </c>
      <c r="S1148" s="22">
        <v>4.1287189902940113E-2</v>
      </c>
      <c r="T1148" s="19">
        <f t="shared" si="127"/>
        <v>4.2998007070332411E-2</v>
      </c>
      <c r="U1148" s="24">
        <v>4.2670408620198996E-2</v>
      </c>
      <c r="V1148" s="24">
        <f t="shared" si="128"/>
        <v>4.2995659520471241E-2</v>
      </c>
      <c r="W1148" s="23">
        <f t="shared" si="129"/>
        <v>3.5142424331309208E-3</v>
      </c>
      <c r="X1148" s="24">
        <v>4.238802166579192E-2</v>
      </c>
      <c r="Y1148" s="24">
        <f t="shared" si="130"/>
        <v>4.2996524725676721E-2</v>
      </c>
      <c r="Z1148" s="23">
        <f t="shared" si="131"/>
        <v>3.5143121796827881E-3</v>
      </c>
      <c r="AA1148" s="36"/>
    </row>
    <row r="1149" spans="15:27" ht="13.9" customHeight="1" x14ac:dyDescent="0.3">
      <c r="O1149" s="12">
        <f t="shared" si="125"/>
        <v>94.666666666666671</v>
      </c>
      <c r="P1149" s="13">
        <v>1136</v>
      </c>
      <c r="Q1149" s="22">
        <v>3.6111902738073853E-2</v>
      </c>
      <c r="R1149" s="19">
        <f t="shared" si="126"/>
        <v>3.6717541734548664E-2</v>
      </c>
      <c r="S1149" s="22">
        <v>4.1288694669241455E-2</v>
      </c>
      <c r="T1149" s="19">
        <f t="shared" si="127"/>
        <v>4.2998025759403369E-2</v>
      </c>
      <c r="U1149" s="24">
        <v>4.2670694888003569E-2</v>
      </c>
      <c r="V1149" s="24">
        <f t="shared" si="128"/>
        <v>4.2995692160755494E-2</v>
      </c>
      <c r="W1149" s="23">
        <f t="shared" si="129"/>
        <v>3.514245070048716E-3</v>
      </c>
      <c r="X1149" s="24">
        <v>4.2388557163745899E-2</v>
      </c>
      <c r="Y1149" s="24">
        <f t="shared" si="130"/>
        <v>4.2996552705169222E-2</v>
      </c>
      <c r="Z1149" s="23">
        <f t="shared" si="131"/>
        <v>3.514314441176225E-3</v>
      </c>
      <c r="AA1149" s="36"/>
    </row>
    <row r="1150" spans="15:27" ht="13.9" customHeight="1" x14ac:dyDescent="0.3">
      <c r="O1150" s="12">
        <f t="shared" si="125"/>
        <v>94.75</v>
      </c>
      <c r="P1150" s="13">
        <v>1137</v>
      </c>
      <c r="Q1150" s="22">
        <v>3.6112435246617114E-2</v>
      </c>
      <c r="R1150" s="19">
        <f t="shared" si="126"/>
        <v>3.6717728147503514E-2</v>
      </c>
      <c r="S1150" s="22">
        <v>4.1290196807215462E-2</v>
      </c>
      <c r="T1150" s="19">
        <f t="shared" si="127"/>
        <v>4.2998044273742764E-2</v>
      </c>
      <c r="U1150" s="24">
        <v>4.2670980681035697E-2</v>
      </c>
      <c r="V1150" s="24">
        <f t="shared" si="128"/>
        <v>4.2995724555220605E-2</v>
      </c>
      <c r="W1150" s="23">
        <f t="shared" si="129"/>
        <v>3.5142476871090622E-3</v>
      </c>
      <c r="X1150" s="24">
        <v>4.2389091744619245E-2</v>
      </c>
      <c r="Y1150" s="24">
        <f t="shared" si="130"/>
        <v>4.2996580459267575E-2</v>
      </c>
      <c r="Z1150" s="23">
        <f t="shared" si="131"/>
        <v>3.5143166845379437E-3</v>
      </c>
      <c r="AA1150" s="36"/>
    </row>
    <row r="1151" spans="15:27" ht="13.9" customHeight="1" x14ac:dyDescent="0.3">
      <c r="O1151" s="12">
        <f t="shared" si="125"/>
        <v>94.833333333333329</v>
      </c>
      <c r="P1151" s="13">
        <v>1138</v>
      </c>
      <c r="Q1151" s="22">
        <v>3.6112966983278039E-2</v>
      </c>
      <c r="R1151" s="19">
        <f t="shared" si="126"/>
        <v>3.6717913012163539E-2</v>
      </c>
      <c r="S1151" s="22">
        <v>4.1291696323631832E-2</v>
      </c>
      <c r="T1151" s="19">
        <f t="shared" si="127"/>
        <v>4.2998062613903931E-2</v>
      </c>
      <c r="U1151" s="24">
        <v>4.2671266000330776E-2</v>
      </c>
      <c r="V1151" s="24">
        <f t="shared" si="128"/>
        <v>4.2995756706685206E-2</v>
      </c>
      <c r="W1151" s="23">
        <f t="shared" si="129"/>
        <v>3.5142502844596191E-3</v>
      </c>
      <c r="X1151" s="24">
        <v>4.2389625410630849E-2</v>
      </c>
      <c r="Y1151" s="24">
        <f t="shared" si="130"/>
        <v>4.2996607989655766E-2</v>
      </c>
      <c r="Z1151" s="23">
        <f t="shared" si="131"/>
        <v>3.5143189098276739E-3</v>
      </c>
      <c r="AA1151" s="36"/>
    </row>
    <row r="1152" spans="15:27" ht="13.9" customHeight="1" x14ac:dyDescent="0.3">
      <c r="O1152" s="12">
        <f t="shared" si="125"/>
        <v>94.916666666666671</v>
      </c>
      <c r="P1152" s="13">
        <v>1139</v>
      </c>
      <c r="Q1152" s="22">
        <v>3.6113497948730533E-2</v>
      </c>
      <c r="R1152" s="19">
        <f t="shared" si="126"/>
        <v>3.6718096342675643E-2</v>
      </c>
      <c r="S1152" s="22">
        <v>4.129319322523739E-2</v>
      </c>
      <c r="T1152" s="19">
        <f t="shared" si="127"/>
        <v>4.2998080782290948E-2</v>
      </c>
      <c r="U1152" s="24">
        <v>4.267155084692309E-2</v>
      </c>
      <c r="V1152" s="24">
        <f t="shared" si="128"/>
        <v>4.2995788616297714E-2</v>
      </c>
      <c r="W1152" s="23">
        <f t="shared" si="129"/>
        <v>3.5142528623268721E-3</v>
      </c>
      <c r="X1152" s="24">
        <v>4.2390158163993386E-2</v>
      </c>
      <c r="Y1152" s="24">
        <f t="shared" si="130"/>
        <v>4.2996635298555352E-2</v>
      </c>
      <c r="Z1152" s="23">
        <f t="shared" si="131"/>
        <v>3.514321117180641E-3</v>
      </c>
      <c r="AA1152" s="36"/>
    </row>
    <row r="1153" spans="15:27" ht="13.9" customHeight="1" x14ac:dyDescent="0.3">
      <c r="O1153" s="12">
        <f t="shared" si="125"/>
        <v>95</v>
      </c>
      <c r="P1153" s="13">
        <v>1140</v>
      </c>
      <c r="Q1153" s="22">
        <v>3.6114028143658494E-2</v>
      </c>
      <c r="R1153" s="19">
        <f t="shared" si="126"/>
        <v>3.6718278150483785E-2</v>
      </c>
      <c r="S1153" s="22">
        <v>4.12946875187572E-2</v>
      </c>
      <c r="T1153" s="19">
        <f t="shared" si="127"/>
        <v>4.2998098780340666E-2</v>
      </c>
      <c r="U1153" s="24">
        <v>4.2671835221844256E-2</v>
      </c>
      <c r="V1153" s="24">
        <f t="shared" si="128"/>
        <v>4.299582028584914E-2</v>
      </c>
      <c r="W1153" s="23">
        <f t="shared" si="129"/>
        <v>3.5142554208023036E-3</v>
      </c>
      <c r="X1153" s="24">
        <v>4.2390690006913756E-2</v>
      </c>
      <c r="Y1153" s="24">
        <f t="shared" si="130"/>
        <v>4.2996662387646323E-2</v>
      </c>
      <c r="Z1153" s="23">
        <f t="shared" si="131"/>
        <v>3.5143233067747026E-3</v>
      </c>
      <c r="AA1153" s="36"/>
    </row>
    <row r="1154" spans="15:27" ht="13.9" customHeight="1" x14ac:dyDescent="0.3">
      <c r="O1154" s="12">
        <f t="shared" si="125"/>
        <v>95.083333333333329</v>
      </c>
      <c r="P1154" s="13">
        <v>1141</v>
      </c>
      <c r="Q1154" s="22">
        <v>3.6114557568753813E-2</v>
      </c>
      <c r="R1154" s="19">
        <f t="shared" si="126"/>
        <v>3.6718458449400249E-2</v>
      </c>
      <c r="S1154" s="22">
        <v>4.1296179210893902E-2</v>
      </c>
      <c r="T1154" s="19">
        <f t="shared" si="127"/>
        <v>4.2998116609561654E-2</v>
      </c>
      <c r="U1154" s="24">
        <v>4.267211912612412E-2</v>
      </c>
      <c r="V1154" s="24">
        <f t="shared" si="128"/>
        <v>4.2995851717382072E-2</v>
      </c>
      <c r="W1154" s="23">
        <f t="shared" si="129"/>
        <v>3.5142579600300206E-3</v>
      </c>
      <c r="X1154" s="24">
        <v>4.2391220941592422E-2</v>
      </c>
      <c r="Y1154" s="24">
        <f t="shared" si="130"/>
        <v>4.2996689258446352E-2</v>
      </c>
      <c r="Z1154" s="23">
        <f t="shared" si="131"/>
        <v>3.5143254787448619E-3</v>
      </c>
      <c r="AA1154" s="36"/>
    </row>
    <row r="1155" spans="15:27" ht="13.9" customHeight="1" x14ac:dyDescent="0.3">
      <c r="O1155" s="12">
        <f t="shared" si="125"/>
        <v>95.166666666666671</v>
      </c>
      <c r="P1155" s="13">
        <v>1142</v>
      </c>
      <c r="Q1155" s="22">
        <v>3.6115086224717707E-2</v>
      </c>
      <c r="R1155" s="19">
        <f t="shared" si="126"/>
        <v>3.6718637251779374E-2</v>
      </c>
      <c r="S1155" s="22">
        <v>4.129766830832815E-2</v>
      </c>
      <c r="T1155" s="19">
        <f t="shared" si="127"/>
        <v>4.2998134271721611E-2</v>
      </c>
      <c r="U1155" s="24">
        <v>4.2672402560790301E-2</v>
      </c>
      <c r="V1155" s="24">
        <f t="shared" si="128"/>
        <v>4.2995882912352901E-2</v>
      </c>
      <c r="W1155" s="23">
        <f t="shared" si="129"/>
        <v>3.5142604801736699E-3</v>
      </c>
      <c r="X1155" s="24">
        <v>4.2391750970223852E-2</v>
      </c>
      <c r="Y1155" s="24">
        <f t="shared" si="130"/>
        <v>4.2996715912959838E-2</v>
      </c>
      <c r="Z1155" s="23">
        <f t="shared" si="131"/>
        <v>3.5143276332125772E-3</v>
      </c>
      <c r="AA1155" s="36"/>
    </row>
    <row r="1156" spans="15:27" ht="13.9" customHeight="1" x14ac:dyDescent="0.3">
      <c r="O1156" s="12">
        <f t="shared" si="125"/>
        <v>95.25</v>
      </c>
      <c r="P1156" s="13">
        <v>1143</v>
      </c>
      <c r="Q1156" s="22">
        <v>3.6115614112259831E-2</v>
      </c>
      <c r="R1156" s="19">
        <f t="shared" si="126"/>
        <v>3.671881456917192E-2</v>
      </c>
      <c r="S1156" s="22">
        <v>4.1299154817718842E-2</v>
      </c>
      <c r="T1156" s="19">
        <f t="shared" si="127"/>
        <v>4.2998151767566828E-2</v>
      </c>
      <c r="U1156" s="24">
        <v>4.2672685526868426E-2</v>
      </c>
      <c r="V1156" s="24">
        <f t="shared" si="128"/>
        <v>4.2995913871712421E-2</v>
      </c>
      <c r="W1156" s="23">
        <f t="shared" si="129"/>
        <v>3.514262981350047E-3</v>
      </c>
      <c r="X1156" s="24">
        <v>4.2392280094996071E-2</v>
      </c>
      <c r="Y1156" s="24">
        <f t="shared" si="130"/>
        <v>4.2996742352613859E-2</v>
      </c>
      <c r="Z1156" s="23">
        <f t="shared" si="131"/>
        <v>3.514329770338831E-3</v>
      </c>
      <c r="AA1156" s="36"/>
    </row>
    <row r="1157" spans="15:27" ht="13.9" customHeight="1" x14ac:dyDescent="0.3">
      <c r="O1157" s="12">
        <f t="shared" si="125"/>
        <v>95.333333333333329</v>
      </c>
      <c r="P1157" s="13">
        <v>1144</v>
      </c>
      <c r="Q1157" s="22">
        <v>3.6116141232097609E-2</v>
      </c>
      <c r="R1157" s="19">
        <f t="shared" si="126"/>
        <v>3.6718990414711161E-2</v>
      </c>
      <c r="S1157" s="22">
        <v>4.1300638745702001E-2</v>
      </c>
      <c r="T1157" s="19">
        <f t="shared" si="127"/>
        <v>4.2998169100125772E-2</v>
      </c>
      <c r="U1157" s="24">
        <v>4.267296802538123E-2</v>
      </c>
      <c r="V1157" s="24">
        <f t="shared" si="128"/>
        <v>4.2995944600412228E-2</v>
      </c>
      <c r="W1157" s="23">
        <f t="shared" si="129"/>
        <v>3.5142654636350912E-3</v>
      </c>
      <c r="X1157" s="24">
        <v>4.2392808318091113E-2</v>
      </c>
      <c r="Y1157" s="24">
        <f t="shared" si="130"/>
        <v>4.2996768580323419E-2</v>
      </c>
      <c r="Z1157" s="23">
        <f t="shared" si="131"/>
        <v>3.5143318902377541E-3</v>
      </c>
      <c r="AA1157" s="36"/>
    </row>
    <row r="1158" spans="15:27" ht="13.9" customHeight="1" x14ac:dyDescent="0.3">
      <c r="O1158" s="12">
        <f t="shared" si="125"/>
        <v>95.416666666666671</v>
      </c>
      <c r="P1158" s="13">
        <v>1145</v>
      </c>
      <c r="Q1158" s="22">
        <v>3.6116667584957129E-2</v>
      </c>
      <c r="R1158" s="19">
        <f t="shared" si="126"/>
        <v>3.6719164800419257E-2</v>
      </c>
      <c r="S1158" s="22">
        <v>4.1302120098893447E-2</v>
      </c>
      <c r="T1158" s="19">
        <f t="shared" si="127"/>
        <v>4.2998186269784355E-2</v>
      </c>
      <c r="U1158" s="24">
        <v>4.2673250057352119E-2</v>
      </c>
      <c r="V1158" s="24">
        <f t="shared" si="128"/>
        <v>4.2995975096216998E-2</v>
      </c>
      <c r="W1158" s="23">
        <f t="shared" si="129"/>
        <v>3.5142679274262623E-3</v>
      </c>
      <c r="X1158" s="24">
        <v>4.2393335641685681E-2</v>
      </c>
      <c r="Y1158" s="24">
        <f t="shared" si="130"/>
        <v>4.2996794595501431E-2</v>
      </c>
      <c r="Z1158" s="23">
        <f t="shared" si="131"/>
        <v>3.5143339931431594E-3</v>
      </c>
      <c r="AA1158" s="36"/>
    </row>
    <row r="1159" spans="15:27" ht="13.9" customHeight="1" x14ac:dyDescent="0.3">
      <c r="O1159" s="12">
        <f t="shared" si="125"/>
        <v>95.5</v>
      </c>
      <c r="P1159" s="13">
        <v>1146</v>
      </c>
      <c r="Q1159" s="22">
        <v>3.6117193171572692E-2</v>
      </c>
      <c r="R1159" s="19">
        <f t="shared" si="126"/>
        <v>3.6719337738644109E-2</v>
      </c>
      <c r="S1159" s="22">
        <v>4.1303598883885906E-2</v>
      </c>
      <c r="T1159" s="19">
        <f t="shared" si="127"/>
        <v>4.299820327841064E-2</v>
      </c>
      <c r="U1159" s="24">
        <v>4.2673531623799166E-2</v>
      </c>
      <c r="V1159" s="24">
        <f t="shared" si="128"/>
        <v>4.2996005363164391E-2</v>
      </c>
      <c r="W1159" s="23">
        <f t="shared" si="129"/>
        <v>3.5142703725439262E-3</v>
      </c>
      <c r="X1159" s="24">
        <v>4.2393862067948707E-2</v>
      </c>
      <c r="Y1159" s="24">
        <f t="shared" si="130"/>
        <v>4.2996820402213309E-2</v>
      </c>
      <c r="Z1159" s="23">
        <f t="shared" si="131"/>
        <v>3.5143360790079736E-3</v>
      </c>
      <c r="AA1159" s="36"/>
    </row>
    <row r="1160" spans="15:27" ht="13.9" customHeight="1" x14ac:dyDescent="0.3">
      <c r="O1160" s="12">
        <f t="shared" si="125"/>
        <v>95.583333333333329</v>
      </c>
      <c r="P1160" s="13">
        <v>1147</v>
      </c>
      <c r="Q1160" s="22">
        <v>3.6117717992686593E-2</v>
      </c>
      <c r="R1160" s="19">
        <f t="shared" si="126"/>
        <v>3.6719509240552783E-2</v>
      </c>
      <c r="S1160" s="22">
        <v>4.1305075107251232E-2</v>
      </c>
      <c r="T1160" s="19">
        <f t="shared" si="127"/>
        <v>4.2998220127387521E-2</v>
      </c>
      <c r="U1160" s="24">
        <v>4.2673812725740223E-2</v>
      </c>
      <c r="V1160" s="24">
        <f t="shared" si="128"/>
        <v>4.2996035402259603E-2</v>
      </c>
      <c r="W1160" s="23">
        <f t="shared" si="129"/>
        <v>3.5142727993120459E-3</v>
      </c>
      <c r="X1160" s="24">
        <v>4.2394387599044459E-2</v>
      </c>
      <c r="Y1160" s="24">
        <f t="shared" si="130"/>
        <v>4.2996846000225464E-2</v>
      </c>
      <c r="Z1160" s="23">
        <f t="shared" si="131"/>
        <v>3.5143381481581581E-3</v>
      </c>
      <c r="AA1160" s="36"/>
    </row>
    <row r="1161" spans="15:27" ht="13.9" customHeight="1" x14ac:dyDescent="0.3">
      <c r="O1161" s="12">
        <f t="shared" si="125"/>
        <v>95.666666666666671</v>
      </c>
      <c r="P1161" s="13">
        <v>1148</v>
      </c>
      <c r="Q1161" s="22">
        <v>3.6118242049048455E-2</v>
      </c>
      <c r="R1161" s="19">
        <f t="shared" si="126"/>
        <v>3.6719679319600518E-2</v>
      </c>
      <c r="S1161" s="22">
        <v>4.1306548775539076E-2</v>
      </c>
      <c r="T1161" s="19">
        <f t="shared" si="127"/>
        <v>4.2998236818979851E-2</v>
      </c>
      <c r="U1161" s="24">
        <v>4.2674093364190702E-2</v>
      </c>
      <c r="V1161" s="24">
        <f t="shared" si="128"/>
        <v>4.2996065216120316E-2</v>
      </c>
      <c r="W1161" s="23">
        <f t="shared" si="129"/>
        <v>3.5142752078112238E-3</v>
      </c>
      <c r="X1161" s="24">
        <v>4.2394912237130322E-2</v>
      </c>
      <c r="Y1161" s="24">
        <f t="shared" si="130"/>
        <v>4.2996871393118363E-2</v>
      </c>
      <c r="Z1161" s="23">
        <f t="shared" si="131"/>
        <v>3.5143402005752833E-3</v>
      </c>
      <c r="AA1161" s="36"/>
    </row>
    <row r="1162" spans="15:27" ht="13.9" customHeight="1" x14ac:dyDescent="0.3">
      <c r="O1162" s="12">
        <f t="shared" si="125"/>
        <v>95.75</v>
      </c>
      <c r="P1162" s="13">
        <v>1149</v>
      </c>
      <c r="Q1162" s="22">
        <v>3.6118765341416781E-2</v>
      </c>
      <c r="R1162" s="19">
        <f t="shared" si="126"/>
        <v>3.6719847985403176E-2</v>
      </c>
      <c r="S1162" s="22">
        <v>4.1308019895278658E-2</v>
      </c>
      <c r="T1162" s="19">
        <f t="shared" si="127"/>
        <v>4.2998253353572879E-2</v>
      </c>
      <c r="U1162" s="24">
        <v>4.2674373540164456E-2</v>
      </c>
      <c r="V1162" s="24">
        <f t="shared" si="128"/>
        <v>4.299609480647737E-2</v>
      </c>
      <c r="W1162" s="23">
        <f t="shared" si="129"/>
        <v>3.514277598251514E-3</v>
      </c>
      <c r="X1162" s="24">
        <v>4.2395435984358576E-2</v>
      </c>
      <c r="Y1162" s="24">
        <f t="shared" si="130"/>
        <v>4.2996896581969368E-2</v>
      </c>
      <c r="Z1162" s="23">
        <f t="shared" si="131"/>
        <v>3.5143422365457866E-3</v>
      </c>
      <c r="AA1162" s="36"/>
    </row>
    <row r="1163" spans="15:27" ht="13.9" customHeight="1" x14ac:dyDescent="0.3">
      <c r="O1163" s="12">
        <f t="shared" si="125"/>
        <v>95.833333333333329</v>
      </c>
      <c r="P1163" s="13">
        <v>1150</v>
      </c>
      <c r="Q1163" s="22">
        <v>3.6119287870556072E-2</v>
      </c>
      <c r="R1163" s="19">
        <f t="shared" si="126"/>
        <v>3.6720015252339255E-2</v>
      </c>
      <c r="S1163" s="22">
        <v>4.1309488472976774E-2</v>
      </c>
      <c r="T1163" s="19">
        <f t="shared" si="127"/>
        <v>4.2998269733217631E-2</v>
      </c>
      <c r="U1163" s="24">
        <v>4.2674653254673567E-2</v>
      </c>
      <c r="V1163" s="24">
        <f t="shared" si="128"/>
        <v>4.2996124172369088E-2</v>
      </c>
      <c r="W1163" s="23">
        <f t="shared" si="129"/>
        <v>3.5142799707712502E-3</v>
      </c>
      <c r="X1163" s="24">
        <v>4.2395958842875281E-2</v>
      </c>
      <c r="Y1163" s="24">
        <f t="shared" si="130"/>
        <v>4.2996921566722968E-2</v>
      </c>
      <c r="Z1163" s="23">
        <f t="shared" si="131"/>
        <v>3.5143442561567095E-3</v>
      </c>
      <c r="AA1163" s="36"/>
    </row>
    <row r="1164" spans="15:27" ht="13.9" customHeight="1" x14ac:dyDescent="0.3">
      <c r="O1164" s="12">
        <f t="shared" si="125"/>
        <v>95.916666666666671</v>
      </c>
      <c r="P1164" s="13">
        <v>1151</v>
      </c>
      <c r="Q1164" s="22">
        <v>3.6119809637240374E-2</v>
      </c>
      <c r="R1164" s="19">
        <f t="shared" si="126"/>
        <v>3.6720181129466622E-2</v>
      </c>
      <c r="S1164" s="22">
        <v>4.1310954515119125E-2</v>
      </c>
      <c r="T1164" s="19">
        <f t="shared" si="127"/>
        <v>4.2998285959441551E-2</v>
      </c>
      <c r="U1164" s="24">
        <v>4.2674932508725671E-2</v>
      </c>
      <c r="V1164" s="24">
        <f t="shared" si="128"/>
        <v>4.2996153318818786E-2</v>
      </c>
      <c r="W1164" s="23">
        <f t="shared" si="129"/>
        <v>3.5142823252936051E-3</v>
      </c>
      <c r="X1164" s="24">
        <v>4.2396480814818949E-2</v>
      </c>
      <c r="Y1164" s="24">
        <f t="shared" si="130"/>
        <v>4.2996946351248511E-2</v>
      </c>
      <c r="Z1164" s="23">
        <f t="shared" si="131"/>
        <v>3.5143462594031671E-3</v>
      </c>
      <c r="AA1164" s="36"/>
    </row>
    <row r="1165" spans="15:27" ht="13.9" customHeight="1" x14ac:dyDescent="0.3">
      <c r="O1165" s="12">
        <f t="shared" si="125"/>
        <v>96</v>
      </c>
      <c r="P1165" s="13">
        <v>1152</v>
      </c>
      <c r="Q1165" s="22">
        <v>3.6120330642249066E-2</v>
      </c>
      <c r="R1165" s="19">
        <f t="shared" si="126"/>
        <v>3.6720345630464113E-2</v>
      </c>
      <c r="S1165" s="22">
        <v>4.1312418028170539E-2</v>
      </c>
      <c r="T1165" s="19">
        <f t="shared" si="127"/>
        <v>4.2998302032931202E-2</v>
      </c>
      <c r="U1165" s="24">
        <v>4.2675211303329297E-2</v>
      </c>
      <c r="V1165" s="24">
        <f t="shared" si="128"/>
        <v>4.2996182245333525E-2</v>
      </c>
      <c r="W1165" s="23">
        <f t="shared" si="129"/>
        <v>3.5142846622211454E-3</v>
      </c>
      <c r="X1165" s="24">
        <v>4.2397001902323872E-2</v>
      </c>
      <c r="Y1165" s="24">
        <f t="shared" si="130"/>
        <v>4.2996970935696988E-2</v>
      </c>
      <c r="Z1165" s="23">
        <f t="shared" si="131"/>
        <v>3.5143482465955778E-3</v>
      </c>
      <c r="AA1165" s="36"/>
    </row>
    <row r="1166" spans="15:27" ht="13.9" customHeight="1" x14ac:dyDescent="0.3">
      <c r="O1166" s="12">
        <f t="shared" ref="O1166:O1214" si="132">P1166/12</f>
        <v>96.083333333333329</v>
      </c>
      <c r="P1166" s="13">
        <v>1153</v>
      </c>
      <c r="Q1166" s="22">
        <v>3.6120850886370626E-2</v>
      </c>
      <c r="R1166" s="19">
        <f t="shared" ref="R1166:R1213" si="133">(1+Q1167)^P1167/(1+Q1166)^P1166-1</f>
        <v>3.6720508765073712E-2</v>
      </c>
      <c r="S1166" s="22">
        <v>4.1313879018574085E-2</v>
      </c>
      <c r="T1166" s="19">
        <f t="shared" ref="T1166:T1213" si="134">(1+S1167)^P1167/(1+S1166)^P1166-1</f>
        <v>4.2998317956197907E-2</v>
      </c>
      <c r="U1166" s="24">
        <v>4.2675489639488973E-2</v>
      </c>
      <c r="V1166" s="24">
        <f t="shared" ref="V1166:V1213" si="135">(1+U1167)^P1167/(1+U1166)^P1166-1</f>
        <v>4.2996210955188907E-2</v>
      </c>
      <c r="W1166" s="23">
        <f t="shared" si="129"/>
        <v>3.5142869815147915E-3</v>
      </c>
      <c r="X1166" s="24">
        <v>4.239752210751746E-2</v>
      </c>
      <c r="Y1166" s="24">
        <f t="shared" si="130"/>
        <v>4.2996995322484244E-2</v>
      </c>
      <c r="Z1166" s="23">
        <f t="shared" si="131"/>
        <v>3.5143502177459318E-3</v>
      </c>
      <c r="AA1166" s="36"/>
    </row>
    <row r="1167" spans="15:27" ht="13.9" customHeight="1" x14ac:dyDescent="0.3">
      <c r="O1167" s="12">
        <f t="shared" si="132"/>
        <v>96.166666666666671</v>
      </c>
      <c r="P1167" s="13">
        <v>1154</v>
      </c>
      <c r="Q1167" s="22">
        <v>3.6121370370399308E-2</v>
      </c>
      <c r="R1167" s="19">
        <f t="shared" si="133"/>
        <v>3.6720670546400269E-2</v>
      </c>
      <c r="S1167" s="22">
        <v>4.1315337492752402E-2</v>
      </c>
      <c r="T1167" s="19">
        <f t="shared" si="134"/>
        <v>4.2998333729980409E-2</v>
      </c>
      <c r="U1167" s="24">
        <v>4.2675767518208563E-2</v>
      </c>
      <c r="V1167" s="24">
        <f t="shared" si="135"/>
        <v>4.2996239447979701E-2</v>
      </c>
      <c r="W1167" s="23">
        <f t="shared" ref="W1167:W1213" si="136">(1+V1166)^(1/12)-1</f>
        <v>3.5142892834367778E-3</v>
      </c>
      <c r="X1167" s="24">
        <v>4.2398041432521349E-2</v>
      </c>
      <c r="Y1167" s="24">
        <f t="shared" ref="Y1167:Y1213" si="137">(1+X1168)^P1168/(1+X1167)^P1167-1</f>
        <v>4.2997019512911461E-2</v>
      </c>
      <c r="Z1167" s="23">
        <f t="shared" ref="Z1167:Z1213" si="138">(1+Y1166)^(1/12)-1</f>
        <v>3.5143521730480742E-3</v>
      </c>
      <c r="AA1167" s="36"/>
    </row>
    <row r="1168" spans="15:27" ht="13.9" customHeight="1" x14ac:dyDescent="0.3">
      <c r="O1168" s="12">
        <f t="shared" si="132"/>
        <v>96.25</v>
      </c>
      <c r="P1168" s="13">
        <v>1155</v>
      </c>
      <c r="Q1168" s="22">
        <v>3.6121889095137805E-2</v>
      </c>
      <c r="R1168" s="19">
        <f t="shared" si="133"/>
        <v>3.6720830983163921E-2</v>
      </c>
      <c r="S1168" s="22">
        <v>4.1316793457106593E-2</v>
      </c>
      <c r="T1168" s="19">
        <f t="shared" si="134"/>
        <v>4.2998349355188648E-2</v>
      </c>
      <c r="U1168" s="24">
        <v>4.2676044940488378E-2</v>
      </c>
      <c r="V1168" s="24">
        <f t="shared" si="135"/>
        <v>4.2996267726990167E-2</v>
      </c>
      <c r="W1168" s="23">
        <f t="shared" si="136"/>
        <v>3.514291567954686E-3</v>
      </c>
      <c r="X1168" s="24">
        <v>4.2398559879451403E-2</v>
      </c>
      <c r="Y1168" s="24">
        <f t="shared" si="137"/>
        <v>4.2997043507941424E-2</v>
      </c>
      <c r="Z1168" s="23">
        <f t="shared" si="138"/>
        <v>3.514354112606366E-3</v>
      </c>
      <c r="AA1168" s="36"/>
    </row>
    <row r="1169" spans="15:27" ht="13.9" customHeight="1" x14ac:dyDescent="0.3">
      <c r="O1169" s="12">
        <f t="shared" si="132"/>
        <v>96.333333333333329</v>
      </c>
      <c r="P1169" s="13">
        <v>1156</v>
      </c>
      <c r="Q1169" s="22">
        <v>3.6122407061393691E-2</v>
      </c>
      <c r="R1169" s="19">
        <f t="shared" si="133"/>
        <v>3.6720990089628813E-2</v>
      </c>
      <c r="S1169" s="22">
        <v>4.1318246918016666E-2</v>
      </c>
      <c r="T1169" s="19">
        <f t="shared" si="134"/>
        <v>4.299836483554631E-2</v>
      </c>
      <c r="U1169" s="24">
        <v>4.2676321907327619E-2</v>
      </c>
      <c r="V1169" s="24">
        <f t="shared" si="135"/>
        <v>4.2996295793709116E-2</v>
      </c>
      <c r="W1169" s="23">
        <f t="shared" si="136"/>
        <v>3.5142938353318609E-3</v>
      </c>
      <c r="X1169" s="24">
        <v>4.23990774504166E-2</v>
      </c>
      <c r="Y1169" s="24">
        <f t="shared" si="137"/>
        <v>4.2997067310776016E-2</v>
      </c>
      <c r="Z1169" s="23">
        <f t="shared" si="138"/>
        <v>3.5143560364978566E-3</v>
      </c>
      <c r="AA1169" s="36"/>
    </row>
    <row r="1170" spans="15:27" ht="13.9" customHeight="1" x14ac:dyDescent="0.3">
      <c r="O1170" s="12">
        <f t="shared" si="132"/>
        <v>96.416666666666671</v>
      </c>
      <c r="P1170" s="13">
        <v>1157</v>
      </c>
      <c r="Q1170" s="22">
        <v>3.6122924269984091E-2</v>
      </c>
      <c r="R1170" s="19">
        <f t="shared" si="133"/>
        <v>3.6721147874596127E-2</v>
      </c>
      <c r="S1170" s="22">
        <v>4.1319697881843531E-2</v>
      </c>
      <c r="T1170" s="19">
        <f t="shared" si="134"/>
        <v>4.2998380168927319E-2</v>
      </c>
      <c r="U1170" s="24">
        <v>4.2676598419723932E-2</v>
      </c>
      <c r="V1170" s="24">
        <f t="shared" si="135"/>
        <v>4.2996323648882839E-2</v>
      </c>
      <c r="W1170" s="23">
        <f t="shared" si="136"/>
        <v>3.5142960856877625E-3</v>
      </c>
      <c r="X1170" s="24">
        <v>4.2399594147521702E-2</v>
      </c>
      <c r="Y1170" s="24">
        <f t="shared" si="137"/>
        <v>4.299709092130799E-2</v>
      </c>
      <c r="Z1170" s="23">
        <f t="shared" si="138"/>
        <v>3.5143579449792295E-3</v>
      </c>
      <c r="AA1170" s="36"/>
    </row>
    <row r="1171" spans="15:27" ht="13.9" customHeight="1" x14ac:dyDescent="0.3">
      <c r="O1171" s="12">
        <f t="shared" si="132"/>
        <v>96.5</v>
      </c>
      <c r="P1171" s="13">
        <v>1158</v>
      </c>
      <c r="Q1171" s="22">
        <v>3.6123440721730793E-2</v>
      </c>
      <c r="R1171" s="19">
        <f t="shared" si="133"/>
        <v>3.6721304349430328E-2</v>
      </c>
      <c r="S1171" s="22">
        <v>4.1321146354924565E-2</v>
      </c>
      <c r="T1171" s="19">
        <f t="shared" si="134"/>
        <v>4.2998395359727049E-2</v>
      </c>
      <c r="U1171" s="24">
        <v>4.2676874478671634E-2</v>
      </c>
      <c r="V1171" s="24">
        <f t="shared" si="135"/>
        <v>4.2996351295234492E-2</v>
      </c>
      <c r="W1171" s="23">
        <f t="shared" si="136"/>
        <v>3.5142983190821209E-3</v>
      </c>
      <c r="X1171" s="24">
        <v>4.240010997286392E-2</v>
      </c>
      <c r="Y1171" s="24">
        <f t="shared" si="137"/>
        <v>4.2997114342296472E-2</v>
      </c>
      <c r="Z1171" s="23">
        <f t="shared" si="138"/>
        <v>3.5143598380420471E-3</v>
      </c>
      <c r="AA1171" s="36"/>
    </row>
    <row r="1172" spans="15:27" ht="13.9" customHeight="1" x14ac:dyDescent="0.3">
      <c r="O1172" s="12">
        <f t="shared" si="132"/>
        <v>96.583333333333329</v>
      </c>
      <c r="P1172" s="13">
        <v>1159</v>
      </c>
      <c r="Q1172" s="22">
        <v>3.6123956417462688E-2</v>
      </c>
      <c r="R1172" s="19">
        <f t="shared" si="133"/>
        <v>3.6721459525718814E-2</v>
      </c>
      <c r="S1172" s="22">
        <v>4.1322592343578712E-2</v>
      </c>
      <c r="T1172" s="19">
        <f t="shared" si="134"/>
        <v>4.2998410406944076E-2</v>
      </c>
      <c r="U1172" s="24">
        <v>4.2677150085164151E-2</v>
      </c>
      <c r="V1172" s="24">
        <f t="shared" si="135"/>
        <v>4.299637873264639E-2</v>
      </c>
      <c r="W1172" s="23">
        <f t="shared" si="136"/>
        <v>3.5143005357332058E-3</v>
      </c>
      <c r="X1172" s="24">
        <v>4.2400624928535802E-2</v>
      </c>
      <c r="Y1172" s="24">
        <f t="shared" si="137"/>
        <v>4.2997137574028566E-2</v>
      </c>
      <c r="Z1172" s="23">
        <f t="shared" si="138"/>
        <v>3.5143617159074658E-3</v>
      </c>
      <c r="AA1172" s="36"/>
    </row>
    <row r="1173" spans="15:27" ht="13.9" customHeight="1" x14ac:dyDescent="0.3">
      <c r="O1173" s="12">
        <f t="shared" si="132"/>
        <v>96.666666666666671</v>
      </c>
      <c r="P1173" s="13">
        <v>1160</v>
      </c>
      <c r="Q1173" s="22">
        <v>3.6124471358015553E-2</v>
      </c>
      <c r="R1173" s="19">
        <f t="shared" si="133"/>
        <v>3.6721613413090548E-2</v>
      </c>
      <c r="S1173" s="22">
        <v>4.1324035854102714E-2</v>
      </c>
      <c r="T1173" s="19">
        <f t="shared" si="134"/>
        <v>4.299842531427589E-2</v>
      </c>
      <c r="U1173" s="24">
        <v>4.2677425240191358E-2</v>
      </c>
      <c r="V1173" s="24">
        <f t="shared" si="135"/>
        <v>4.2996405964385698E-2</v>
      </c>
      <c r="W1173" s="23">
        <f t="shared" si="136"/>
        <v>3.5143027356319134E-3</v>
      </c>
      <c r="X1173" s="24">
        <v>4.2401139016622569E-2</v>
      </c>
      <c r="Y1173" s="24">
        <f t="shared" si="137"/>
        <v>4.2997160619270502E-2</v>
      </c>
      <c r="Z1173" s="23">
        <f t="shared" si="138"/>
        <v>3.5143635785985783E-3</v>
      </c>
      <c r="AA1173" s="36"/>
    </row>
    <row r="1174" spans="15:27" ht="13.9" customHeight="1" x14ac:dyDescent="0.3">
      <c r="O1174" s="12">
        <f t="shared" si="132"/>
        <v>96.75</v>
      </c>
      <c r="P1174" s="13">
        <v>1161</v>
      </c>
      <c r="Q1174" s="22">
        <v>3.6124985544230936E-2</v>
      </c>
      <c r="R1174" s="19">
        <f t="shared" si="133"/>
        <v>3.6721766024101488E-2</v>
      </c>
      <c r="S1174" s="22">
        <v>4.1325476892774438E-2</v>
      </c>
      <c r="T1174" s="19">
        <f t="shared" si="134"/>
        <v>4.2998440081580158E-2</v>
      </c>
      <c r="U1174" s="24">
        <v>4.2677699944742686E-2</v>
      </c>
      <c r="V1174" s="24">
        <f t="shared" si="135"/>
        <v>4.2996432991891709E-2</v>
      </c>
      <c r="W1174" s="23">
        <f t="shared" si="136"/>
        <v>3.5143049190398123E-3</v>
      </c>
      <c r="X1174" s="24">
        <v>4.2401652239205223E-2</v>
      </c>
      <c r="Y1174" s="24">
        <f t="shared" si="137"/>
        <v>4.299718347939141E-2</v>
      </c>
      <c r="Z1174" s="23">
        <f t="shared" si="138"/>
        <v>3.514365426336985E-3</v>
      </c>
      <c r="AA1174" s="36"/>
    </row>
    <row r="1175" spans="15:27" ht="13.9" customHeight="1" x14ac:dyDescent="0.3">
      <c r="O1175" s="12">
        <f t="shared" si="132"/>
        <v>96.833333333333329</v>
      </c>
      <c r="P1175" s="13">
        <v>1162</v>
      </c>
      <c r="Q1175" s="22">
        <v>3.6125498976957937E-2</v>
      </c>
      <c r="R1175" s="19">
        <f t="shared" si="133"/>
        <v>3.6721917367011692E-2</v>
      </c>
      <c r="S1175" s="22">
        <v>4.1326915465850211E-2</v>
      </c>
      <c r="T1175" s="19">
        <f t="shared" si="134"/>
        <v>4.2998454709511247E-2</v>
      </c>
      <c r="U1175" s="24">
        <v>4.2677974199805346E-2</v>
      </c>
      <c r="V1175" s="24">
        <f t="shared" si="135"/>
        <v>4.2996459814790056E-2</v>
      </c>
      <c r="W1175" s="23">
        <f t="shared" si="136"/>
        <v>3.5143070860725878E-3</v>
      </c>
      <c r="X1175" s="24">
        <v>4.2402164598358105E-2</v>
      </c>
      <c r="Y1175" s="24">
        <f t="shared" si="137"/>
        <v>4.299720615370739E-2</v>
      </c>
      <c r="Z1175" s="23">
        <f t="shared" si="138"/>
        <v>3.5143672592325981E-3</v>
      </c>
      <c r="AA1175" s="36"/>
    </row>
    <row r="1176" spans="15:27" ht="13.9" customHeight="1" x14ac:dyDescent="0.3">
      <c r="O1176" s="12">
        <f t="shared" si="132"/>
        <v>96.916666666666671</v>
      </c>
      <c r="P1176" s="13">
        <v>1163</v>
      </c>
      <c r="Q1176" s="22">
        <v>3.6126011657050094E-2</v>
      </c>
      <c r="R1176" s="19">
        <f t="shared" si="133"/>
        <v>3.672206745486406E-2</v>
      </c>
      <c r="S1176" s="22">
        <v>4.1328351579565492E-2</v>
      </c>
      <c r="T1176" s="19">
        <f t="shared" si="134"/>
        <v>4.2998469201179779E-2</v>
      </c>
      <c r="U1176" s="24">
        <v>4.2678248006362551E-2</v>
      </c>
      <c r="V1176" s="24">
        <f t="shared" si="135"/>
        <v>4.2996486437122394E-2</v>
      </c>
      <c r="W1176" s="23">
        <f t="shared" si="136"/>
        <v>3.5143092367000417E-3</v>
      </c>
      <c r="X1176" s="24">
        <v>4.2402676096148451E-2</v>
      </c>
      <c r="Y1176" s="24">
        <f t="shared" si="137"/>
        <v>4.2997228647686514E-2</v>
      </c>
      <c r="Z1176" s="23">
        <f t="shared" si="138"/>
        <v>3.5143690772305725E-3</v>
      </c>
      <c r="AA1176" s="36"/>
    </row>
    <row r="1177" spans="15:27" ht="13.9" customHeight="1" x14ac:dyDescent="0.3">
      <c r="O1177" s="12">
        <f t="shared" si="132"/>
        <v>97</v>
      </c>
      <c r="P1177" s="13">
        <v>1164</v>
      </c>
      <c r="Q1177" s="22">
        <v>3.6126523585368941E-2</v>
      </c>
      <c r="R1177" s="19">
        <f t="shared" si="133"/>
        <v>3.6722216295425492E-2</v>
      </c>
      <c r="S1177" s="22">
        <v>4.1329785240136863E-2</v>
      </c>
      <c r="T1177" s="19">
        <f t="shared" si="134"/>
        <v>4.299848355593805E-2</v>
      </c>
      <c r="U1177" s="24">
        <v>4.2678521365397959E-2</v>
      </c>
      <c r="V1177" s="24">
        <f t="shared" si="135"/>
        <v>4.2996512858190616E-2</v>
      </c>
      <c r="W1177" s="23">
        <f t="shared" si="136"/>
        <v>3.5143113712465812E-3</v>
      </c>
      <c r="X1177" s="24">
        <v>4.2403186734640608E-2</v>
      </c>
      <c r="Y1177" s="24">
        <f t="shared" si="137"/>
        <v>4.299725095850504E-2</v>
      </c>
      <c r="Z1177" s="23">
        <f t="shared" si="138"/>
        <v>3.5143708807694463E-3</v>
      </c>
      <c r="AA1177" s="36"/>
    </row>
    <row r="1178" spans="15:27" ht="13.9" customHeight="1" x14ac:dyDescent="0.3">
      <c r="O1178" s="12">
        <f t="shared" si="132"/>
        <v>97.083333333333329</v>
      </c>
      <c r="P1178" s="13">
        <v>1165</v>
      </c>
      <c r="Q1178" s="22">
        <v>3.6127034762780008E-2</v>
      </c>
      <c r="R1178" s="19">
        <f t="shared" si="133"/>
        <v>3.6722363901598332E-2</v>
      </c>
      <c r="S1178" s="22">
        <v>4.1331216453759145E-2</v>
      </c>
      <c r="T1178" s="19">
        <f t="shared" si="134"/>
        <v>4.2998497777325451E-2</v>
      </c>
      <c r="U1178" s="24">
        <v>4.2678794277891008E-2</v>
      </c>
      <c r="V1178" s="24">
        <f t="shared" si="135"/>
        <v>4.2996539081995966E-2</v>
      </c>
      <c r="W1178" s="23">
        <f t="shared" si="136"/>
        <v>3.514313489655585E-3</v>
      </c>
      <c r="X1178" s="24">
        <v>4.24036965158896E-2</v>
      </c>
      <c r="Y1178" s="24">
        <f t="shared" si="137"/>
        <v>4.2997273091571531E-2</v>
      </c>
      <c r="Z1178" s="23">
        <f t="shared" si="138"/>
        <v>3.5143726696225119E-3</v>
      </c>
      <c r="AA1178" s="36"/>
    </row>
    <row r="1179" spans="15:27" ht="13.9" customHeight="1" x14ac:dyDescent="0.3">
      <c r="O1179" s="12">
        <f t="shared" si="132"/>
        <v>97.166666666666671</v>
      </c>
      <c r="P1179" s="13">
        <v>1166</v>
      </c>
      <c r="Q1179" s="22">
        <v>3.6127545190156818E-2</v>
      </c>
      <c r="R1179" s="19">
        <f t="shared" si="133"/>
        <v>3.6722510280929432E-2</v>
      </c>
      <c r="S1179" s="22">
        <v>4.1332645226608733E-2</v>
      </c>
      <c r="T1179" s="19">
        <f t="shared" si="134"/>
        <v>4.2998511864753342E-2</v>
      </c>
      <c r="U1179" s="24">
        <v>4.2679066744821359E-2</v>
      </c>
      <c r="V1179" s="24">
        <f t="shared" si="135"/>
        <v>4.2996565107282336E-2</v>
      </c>
      <c r="W1179" s="23">
        <f t="shared" si="136"/>
        <v>3.5143155922483515E-3</v>
      </c>
      <c r="X1179" s="24">
        <v>4.2404205441948228E-2</v>
      </c>
      <c r="Y1179" s="24">
        <f t="shared" si="137"/>
        <v>4.2997295045088091E-2</v>
      </c>
      <c r="Z1179" s="23">
        <f t="shared" si="138"/>
        <v>3.5143744442238667E-3</v>
      </c>
      <c r="AA1179" s="36"/>
    </row>
    <row r="1180" spans="15:27" ht="13.9" customHeight="1" x14ac:dyDescent="0.3">
      <c r="O1180" s="12">
        <f t="shared" si="132"/>
        <v>97.25</v>
      </c>
      <c r="P1180" s="13">
        <v>1167</v>
      </c>
      <c r="Q1180" s="22">
        <v>3.6128054868376225E-2</v>
      </c>
      <c r="R1180" s="19">
        <f t="shared" si="133"/>
        <v>3.6722655446930208E-2</v>
      </c>
      <c r="S1180" s="22">
        <v>4.1334071564840702E-2</v>
      </c>
      <c r="T1180" s="19">
        <f t="shared" si="134"/>
        <v>4.2998525820146405E-2</v>
      </c>
      <c r="U1180" s="24">
        <v>4.2679338767164232E-2</v>
      </c>
      <c r="V1180" s="24">
        <f t="shared" si="135"/>
        <v>4.2996590937491419E-2</v>
      </c>
      <c r="W1180" s="23">
        <f t="shared" si="136"/>
        <v>3.5143176789242947E-3</v>
      </c>
      <c r="X1180" s="24">
        <v>4.2404713514860415E-2</v>
      </c>
      <c r="Y1180" s="24">
        <f t="shared" si="137"/>
        <v>4.2997316822926068E-2</v>
      </c>
      <c r="Z1180" s="23">
        <f t="shared" si="138"/>
        <v>3.5143762044289595E-3</v>
      </c>
      <c r="AA1180" s="36"/>
    </row>
    <row r="1181" spans="15:27" ht="13.9" customHeight="1" x14ac:dyDescent="0.3">
      <c r="O1181" s="12">
        <f t="shared" si="132"/>
        <v>97.333333333333329</v>
      </c>
      <c r="P1181" s="13">
        <v>1168</v>
      </c>
      <c r="Q1181" s="22">
        <v>3.6128563798323743E-2</v>
      </c>
      <c r="R1181" s="19">
        <f t="shared" si="133"/>
        <v>3.6722799406796014E-2</v>
      </c>
      <c r="S1181" s="22">
        <v>4.1335495474590367E-2</v>
      </c>
      <c r="T1181" s="19">
        <f t="shared" si="134"/>
        <v>4.2998539644747202E-2</v>
      </c>
      <c r="U1181" s="24">
        <v>4.2679610345894403E-2</v>
      </c>
      <c r="V1181" s="24">
        <f t="shared" si="135"/>
        <v>4.2996616574193736E-2</v>
      </c>
      <c r="W1181" s="23">
        <f t="shared" si="136"/>
        <v>3.5143197499589718E-3</v>
      </c>
      <c r="X1181" s="24">
        <v>4.2405220736666527E-2</v>
      </c>
      <c r="Y1181" s="24">
        <f t="shared" si="137"/>
        <v>4.2997338424799691E-2</v>
      </c>
      <c r="Z1181" s="23">
        <f t="shared" si="138"/>
        <v>3.5143779505482087E-3</v>
      </c>
      <c r="AA1181" s="36"/>
    </row>
    <row r="1182" spans="15:27" ht="13.9" customHeight="1" x14ac:dyDescent="0.3">
      <c r="O1182" s="12">
        <f t="shared" si="132"/>
        <v>97.416666666666671</v>
      </c>
      <c r="P1182" s="13">
        <v>1169</v>
      </c>
      <c r="Q1182" s="22">
        <v>3.6129071980887995E-2</v>
      </c>
      <c r="R1182" s="19">
        <f t="shared" si="133"/>
        <v>3.672294217204497E-2</v>
      </c>
      <c r="S1182" s="22">
        <v>4.133691696197328E-2</v>
      </c>
      <c r="T1182" s="19">
        <f t="shared" si="134"/>
        <v>4.2998553339017143E-2</v>
      </c>
      <c r="U1182" s="24">
        <v>4.2679881481984649E-2</v>
      </c>
      <c r="V1182" s="24">
        <f t="shared" si="135"/>
        <v>4.299664201613651E-2</v>
      </c>
      <c r="W1182" s="23">
        <f t="shared" si="136"/>
        <v>3.5143218054782821E-3</v>
      </c>
      <c r="X1182" s="24">
        <v>4.2405727109399827E-2</v>
      </c>
      <c r="Y1182" s="24">
        <f t="shared" si="137"/>
        <v>4.2997359852402051E-2</v>
      </c>
      <c r="Z1182" s="23">
        <f t="shared" si="138"/>
        <v>3.5143796825589657E-3</v>
      </c>
      <c r="AA1182" s="36"/>
    </row>
    <row r="1183" spans="15:27" ht="13.9" customHeight="1" x14ac:dyDescent="0.3">
      <c r="O1183" s="12">
        <f t="shared" si="132"/>
        <v>97.5</v>
      </c>
      <c r="P1183" s="13">
        <v>1170</v>
      </c>
      <c r="Q1183" s="22">
        <v>3.6129579416964486E-2</v>
      </c>
      <c r="R1183" s="19">
        <f t="shared" si="133"/>
        <v>3.6723083751215357E-2</v>
      </c>
      <c r="S1183" s="22">
        <v>4.1338336033084566E-2</v>
      </c>
      <c r="T1183" s="19">
        <f t="shared" si="134"/>
        <v>4.2998566905799951E-2</v>
      </c>
      <c r="U1183" s="24">
        <v>4.268015217640353E-2</v>
      </c>
      <c r="V1183" s="24">
        <f t="shared" si="135"/>
        <v>4.2996667268339062E-2</v>
      </c>
      <c r="W1183" s="23">
        <f t="shared" si="136"/>
        <v>3.5143238453820835E-3</v>
      </c>
      <c r="X1183" s="24">
        <v>4.2406232635087804E-2</v>
      </c>
      <c r="Y1183" s="24">
        <f t="shared" si="137"/>
        <v>4.2997381107769961E-2</v>
      </c>
      <c r="Z1183" s="23">
        <f t="shared" si="138"/>
        <v>3.5143814005968999E-3</v>
      </c>
      <c r="AA1183" s="36"/>
    </row>
    <row r="1184" spans="15:27" ht="13.9" customHeight="1" x14ac:dyDescent="0.3">
      <c r="O1184" s="12">
        <f t="shared" si="132"/>
        <v>97.583333333333329</v>
      </c>
      <c r="P1184" s="13">
        <v>1171</v>
      </c>
      <c r="Q1184" s="22">
        <v>3.6130086107452941E-2</v>
      </c>
      <c r="R1184" s="19">
        <f t="shared" si="133"/>
        <v>3.6723224156300693E-2</v>
      </c>
      <c r="S1184" s="22">
        <v>4.133975269400092E-2</v>
      </c>
      <c r="T1184" s="19">
        <f t="shared" si="134"/>
        <v>4.2998580344685733E-2</v>
      </c>
      <c r="U1184" s="24">
        <v>4.2680422430120046E-2</v>
      </c>
      <c r="V1184" s="24">
        <f t="shared" si="135"/>
        <v>4.2996692329646757E-2</v>
      </c>
      <c r="W1184" s="23">
        <f t="shared" si="136"/>
        <v>3.5143258700729429E-3</v>
      </c>
      <c r="X1184" s="24">
        <v>4.2406737315753062E-2</v>
      </c>
      <c r="Y1184" s="24">
        <f t="shared" si="137"/>
        <v>4.2997402192188394E-2</v>
      </c>
      <c r="Z1184" s="23">
        <f t="shared" si="138"/>
        <v>3.5143831048252139E-3</v>
      </c>
      <c r="AA1184" s="36"/>
    </row>
    <row r="1185" spans="15:27" ht="13.9" customHeight="1" x14ac:dyDescent="0.3">
      <c r="O1185" s="12">
        <f t="shared" si="132"/>
        <v>97.666666666666671</v>
      </c>
      <c r="P1185" s="13">
        <v>1172</v>
      </c>
      <c r="Q1185" s="22">
        <v>3.6130592053259969E-2</v>
      </c>
      <c r="R1185" s="19">
        <f t="shared" si="133"/>
        <v>3.6723363395364972E-2</v>
      </c>
      <c r="S1185" s="22">
        <v>4.1341166950777941E-2</v>
      </c>
      <c r="T1185" s="19">
        <f t="shared" si="134"/>
        <v>4.299859365808123E-2</v>
      </c>
      <c r="U1185" s="24">
        <v>4.2680692244099649E-2</v>
      </c>
      <c r="V1185" s="24">
        <f t="shared" si="135"/>
        <v>4.2996717203230839E-2</v>
      </c>
      <c r="W1185" s="23">
        <f t="shared" si="136"/>
        <v>3.5143278794578237E-3</v>
      </c>
      <c r="X1185" s="24">
        <v>4.2407241153412212E-2</v>
      </c>
      <c r="Y1185" s="24">
        <f t="shared" si="137"/>
        <v>4.2997423107054678E-2</v>
      </c>
      <c r="Z1185" s="23">
        <f t="shared" si="138"/>
        <v>3.5143847953469365E-3</v>
      </c>
      <c r="AA1185" s="36"/>
    </row>
    <row r="1186" spans="15:27" ht="13.9" customHeight="1" x14ac:dyDescent="0.3">
      <c r="O1186" s="12">
        <f t="shared" si="132"/>
        <v>97.75</v>
      </c>
      <c r="P1186" s="13">
        <v>1173</v>
      </c>
      <c r="Q1186" s="22">
        <v>3.6131097255296396E-2</v>
      </c>
      <c r="R1186" s="19">
        <f t="shared" si="133"/>
        <v>3.6723501478411524E-2</v>
      </c>
      <c r="S1186" s="22">
        <v>4.1342578809452579E-2</v>
      </c>
      <c r="T1186" s="19">
        <f t="shared" si="134"/>
        <v>4.2998606845979115E-2</v>
      </c>
      <c r="U1186" s="24">
        <v>4.2680961619306679E-2</v>
      </c>
      <c r="V1186" s="24">
        <f t="shared" si="135"/>
        <v>4.2996741889517631E-2</v>
      </c>
      <c r="W1186" s="23">
        <f t="shared" si="136"/>
        <v>3.5143298737911888E-3</v>
      </c>
      <c r="X1186" s="24">
        <v>4.2407744150076088E-2</v>
      </c>
      <c r="Y1186" s="24">
        <f t="shared" si="137"/>
        <v>4.2997443853428408E-2</v>
      </c>
      <c r="Z1186" s="23">
        <f t="shared" si="138"/>
        <v>3.5143864722742002E-3</v>
      </c>
      <c r="AA1186" s="36"/>
    </row>
    <row r="1187" spans="15:27" ht="13.9" customHeight="1" x14ac:dyDescent="0.3">
      <c r="O1187" s="12">
        <f t="shared" si="132"/>
        <v>97.833333333333329</v>
      </c>
      <c r="P1187" s="13">
        <v>1174</v>
      </c>
      <c r="Q1187" s="22">
        <v>3.6131601714478156E-2</v>
      </c>
      <c r="R1187" s="19">
        <f t="shared" si="133"/>
        <v>3.672363841537396E-2</v>
      </c>
      <c r="S1187" s="22">
        <v>4.1343988276041355E-2</v>
      </c>
      <c r="T1187" s="19">
        <f t="shared" si="134"/>
        <v>4.2998619910965319E-2</v>
      </c>
      <c r="U1187" s="24">
        <v>4.2681230556702587E-2</v>
      </c>
      <c r="V1187" s="24">
        <f t="shared" si="135"/>
        <v>4.2996766389798546E-2</v>
      </c>
      <c r="W1187" s="23">
        <f t="shared" si="136"/>
        <v>3.5143318531072332E-3</v>
      </c>
      <c r="X1187" s="24">
        <v>4.2408246307749753E-2</v>
      </c>
      <c r="Y1187" s="24">
        <f t="shared" si="137"/>
        <v>4.2997464431956622E-2</v>
      </c>
      <c r="Z1187" s="23">
        <f t="shared" si="138"/>
        <v>3.5143881356918261E-3</v>
      </c>
      <c r="AA1187" s="36"/>
    </row>
    <row r="1188" spans="15:27" ht="13.9" customHeight="1" x14ac:dyDescent="0.3">
      <c r="O1188" s="12">
        <f t="shared" si="132"/>
        <v>97.916666666666671</v>
      </c>
      <c r="P1188" s="13">
        <v>1175</v>
      </c>
      <c r="Q1188" s="22">
        <v>3.6132105431726513E-2</v>
      </c>
      <c r="R1188" s="19">
        <f t="shared" si="133"/>
        <v>3.6723774215333238E-2</v>
      </c>
      <c r="S1188" s="22">
        <v>4.1345395356542358E-2</v>
      </c>
      <c r="T1188" s="19">
        <f t="shared" si="134"/>
        <v>4.2998632852652596E-2</v>
      </c>
      <c r="U1188" s="24">
        <v>4.2681499057247052E-2</v>
      </c>
      <c r="V1188" s="24">
        <f t="shared" si="135"/>
        <v>4.299679070697815E-2</v>
      </c>
      <c r="W1188" s="23">
        <f t="shared" si="136"/>
        <v>3.5143338175096517E-3</v>
      </c>
      <c r="X1188" s="24">
        <v>4.2408747628432053E-2</v>
      </c>
      <c r="Y1188" s="24">
        <f t="shared" si="137"/>
        <v>4.2997484845617162E-2</v>
      </c>
      <c r="Z1188" s="23">
        <f t="shared" si="138"/>
        <v>3.5143897856517725E-3</v>
      </c>
      <c r="AA1188" s="36"/>
    </row>
    <row r="1189" spans="15:27" ht="13.9" customHeight="1" x14ac:dyDescent="0.3">
      <c r="O1189" s="12">
        <f t="shared" si="132"/>
        <v>98</v>
      </c>
      <c r="P1189" s="13">
        <v>1176</v>
      </c>
      <c r="Q1189" s="22">
        <v>3.6132608407967393E-2</v>
      </c>
      <c r="R1189" s="19">
        <f t="shared" si="133"/>
        <v>3.6723908888613321E-2</v>
      </c>
      <c r="S1189" s="22">
        <v>4.1346800056933253E-2</v>
      </c>
      <c r="T1189" s="19">
        <f t="shared" si="134"/>
        <v>4.2998645673769209E-2</v>
      </c>
      <c r="U1189" s="24">
        <v>4.2681767121898417E-2</v>
      </c>
      <c r="V1189" s="24">
        <f t="shared" si="135"/>
        <v>4.2996814840260855E-2</v>
      </c>
      <c r="W1189" s="23">
        <f t="shared" si="136"/>
        <v>3.514335767230925E-3</v>
      </c>
      <c r="X1189" s="24">
        <v>4.2409248114117393E-2</v>
      </c>
      <c r="Y1189" s="24">
        <f t="shared" si="137"/>
        <v>4.2997505095277111E-2</v>
      </c>
      <c r="Z1189" s="23">
        <f t="shared" si="138"/>
        <v>3.5143914223929595E-3</v>
      </c>
      <c r="AA1189" s="36"/>
    </row>
    <row r="1190" spans="15:27" ht="13.9" customHeight="1" x14ac:dyDescent="0.3">
      <c r="O1190" s="12">
        <f t="shared" si="132"/>
        <v>98.083333333333329</v>
      </c>
      <c r="P1190" s="13">
        <v>1177</v>
      </c>
      <c r="Q1190" s="22">
        <v>3.6133110644132493E-2</v>
      </c>
      <c r="R1190" s="19">
        <f t="shared" si="133"/>
        <v>3.6724042443190941E-2</v>
      </c>
      <c r="S1190" s="22">
        <v>4.1348202383173271E-2</v>
      </c>
      <c r="T1190" s="19">
        <f t="shared" si="134"/>
        <v>4.2998658374153953E-2</v>
      </c>
      <c r="U1190" s="24">
        <v>4.2682034751611475E-2</v>
      </c>
      <c r="V1190" s="24">
        <f t="shared" si="135"/>
        <v>4.2996838792392467E-2</v>
      </c>
      <c r="W1190" s="23">
        <f t="shared" si="136"/>
        <v>3.5143377022077704E-3</v>
      </c>
      <c r="X1190" s="24">
        <v>4.2409747766794181E-2</v>
      </c>
      <c r="Y1190" s="24">
        <f t="shared" si="137"/>
        <v>4.2997525181348362E-2</v>
      </c>
      <c r="Z1190" s="23">
        <f t="shared" si="138"/>
        <v>3.5143930459846651E-3</v>
      </c>
      <c r="AA1190" s="36"/>
    </row>
    <row r="1191" spans="15:27" ht="13.9" customHeight="1" x14ac:dyDescent="0.3">
      <c r="O1191" s="12">
        <f t="shared" si="132"/>
        <v>98.166666666666671</v>
      </c>
      <c r="P1191" s="13">
        <v>1178</v>
      </c>
      <c r="Q1191" s="22">
        <v>3.6133612141156846E-2</v>
      </c>
      <c r="R1191" s="19">
        <f t="shared" si="133"/>
        <v>3.6724174889575689E-2</v>
      </c>
      <c r="S1191" s="22">
        <v>4.1349602341201885E-2</v>
      </c>
      <c r="T1191" s="19">
        <f t="shared" si="134"/>
        <v>4.299867095555121E-2</v>
      </c>
      <c r="U1191" s="24">
        <v>4.2682301947340129E-2</v>
      </c>
      <c r="V1191" s="24">
        <f t="shared" si="135"/>
        <v>4.2996862564277594E-2</v>
      </c>
      <c r="W1191" s="23">
        <f t="shared" si="136"/>
        <v>3.5143396226600121E-3</v>
      </c>
      <c r="X1191" s="24">
        <v>4.2410246588444611E-2</v>
      </c>
      <c r="Y1191" s="24">
        <f t="shared" si="137"/>
        <v>4.2997545105357471E-2</v>
      </c>
      <c r="Z1191" s="23">
        <f t="shared" si="138"/>
        <v>3.5143946564599737E-3</v>
      </c>
      <c r="AA1191" s="36"/>
    </row>
    <row r="1192" spans="15:27" ht="13.9" customHeight="1" x14ac:dyDescent="0.3">
      <c r="O1192" s="12">
        <f t="shared" si="132"/>
        <v>98.25</v>
      </c>
      <c r="P1192" s="13">
        <v>1179</v>
      </c>
      <c r="Q1192" s="22">
        <v>3.6134112899981474E-2</v>
      </c>
      <c r="R1192" s="19">
        <f t="shared" si="133"/>
        <v>3.6724306236650905E-2</v>
      </c>
      <c r="S1192" s="22">
        <v>4.1350999936939248E-2</v>
      </c>
      <c r="T1192" s="19">
        <f t="shared" si="134"/>
        <v>4.2998683418972616E-2</v>
      </c>
      <c r="U1192" s="24">
        <v>4.2682568710035396E-2</v>
      </c>
      <c r="V1192" s="24">
        <f t="shared" si="135"/>
        <v>4.299688615718722E-2</v>
      </c>
      <c r="W1192" s="23">
        <f t="shared" si="136"/>
        <v>3.5143415286602586E-3</v>
      </c>
      <c r="X1192" s="24">
        <v>4.2410744581045101E-2</v>
      </c>
      <c r="Y1192" s="24">
        <f t="shared" si="137"/>
        <v>4.2997564869661886E-2</v>
      </c>
      <c r="Z1192" s="23">
        <f t="shared" si="138"/>
        <v>3.5143962539414542E-3</v>
      </c>
      <c r="AA1192" s="36"/>
    </row>
    <row r="1193" spans="15:27" ht="13.9" customHeight="1" x14ac:dyDescent="0.3">
      <c r="O1193" s="12">
        <f t="shared" si="132"/>
        <v>98.333333333333329</v>
      </c>
      <c r="P1193" s="13">
        <v>1180</v>
      </c>
      <c r="Q1193" s="22">
        <v>3.6134612921551401E-2</v>
      </c>
      <c r="R1193" s="19">
        <f t="shared" si="133"/>
        <v>3.6724436493089874E-2</v>
      </c>
      <c r="S1193" s="22">
        <v>4.135239517628686E-2</v>
      </c>
      <c r="T1193" s="19">
        <f t="shared" si="134"/>
        <v>4.299869576547577E-2</v>
      </c>
      <c r="U1193" s="24">
        <v>4.2682835040646516E-2</v>
      </c>
      <c r="V1193" s="24">
        <f t="shared" si="135"/>
        <v>4.2996909573075337E-2</v>
      </c>
      <c r="W1193" s="23">
        <f t="shared" si="136"/>
        <v>3.5143434203106505E-3</v>
      </c>
      <c r="X1193" s="24">
        <v>4.2411241746567629E-2</v>
      </c>
      <c r="Y1193" s="24">
        <f t="shared" si="137"/>
        <v>4.2997584474424588E-2</v>
      </c>
      <c r="Z1193" s="23">
        <f t="shared" si="138"/>
        <v>3.5143978386178443E-3</v>
      </c>
      <c r="AA1193" s="36"/>
    </row>
    <row r="1194" spans="15:27" ht="13.9" customHeight="1" x14ac:dyDescent="0.3">
      <c r="O1194" s="12">
        <f t="shared" si="132"/>
        <v>98.416666666666671</v>
      </c>
      <c r="P1194" s="13">
        <v>1181</v>
      </c>
      <c r="Q1194" s="22">
        <v>3.6135112206816089E-2</v>
      </c>
      <c r="R1194" s="19">
        <f t="shared" si="133"/>
        <v>3.6724565668314835E-2</v>
      </c>
      <c r="S1194" s="22">
        <v>4.1353788065126684E-2</v>
      </c>
      <c r="T1194" s="19">
        <f t="shared" si="134"/>
        <v>4.2998707996089847E-2</v>
      </c>
      <c r="U1194" s="24">
        <v>4.2683100940121177E-2</v>
      </c>
      <c r="V1194" s="24">
        <f t="shared" si="135"/>
        <v>4.299693281274708E-2</v>
      </c>
      <c r="W1194" s="23">
        <f t="shared" si="136"/>
        <v>3.5143452977675071E-3</v>
      </c>
      <c r="X1194" s="24">
        <v>4.2411738086977513E-2</v>
      </c>
      <c r="Y1194" s="24">
        <f t="shared" si="137"/>
        <v>4.2997603921139493E-2</v>
      </c>
      <c r="Z1194" s="23">
        <f t="shared" si="138"/>
        <v>3.5143994105024667E-3</v>
      </c>
      <c r="AA1194" s="36"/>
    </row>
    <row r="1195" spans="15:27" ht="13.9" customHeight="1" x14ac:dyDescent="0.3">
      <c r="O1195" s="12">
        <f t="shared" si="132"/>
        <v>98.5</v>
      </c>
      <c r="P1195" s="13">
        <v>1182</v>
      </c>
      <c r="Q1195" s="22">
        <v>3.6135610756729664E-2</v>
      </c>
      <c r="R1195" s="19">
        <f t="shared" si="133"/>
        <v>3.6724693771310379E-2</v>
      </c>
      <c r="S1195" s="22">
        <v>4.1355178609322252E-2</v>
      </c>
      <c r="T1195" s="19">
        <f t="shared" si="134"/>
        <v>4.2998720112293887E-2</v>
      </c>
      <c r="U1195" s="24">
        <v>4.26833664094044E-2</v>
      </c>
      <c r="V1195" s="24">
        <f t="shared" si="135"/>
        <v>4.2996955877747656E-2</v>
      </c>
      <c r="W1195" s="23">
        <f t="shared" si="136"/>
        <v>3.5143471610954435E-3</v>
      </c>
      <c r="X1195" s="24">
        <v>4.2412233604234961E-2</v>
      </c>
      <c r="Y1195" s="24">
        <f t="shared" si="137"/>
        <v>4.2997623212252423E-2</v>
      </c>
      <c r="Z1195" s="23">
        <f t="shared" si="138"/>
        <v>3.5144009697150036E-3</v>
      </c>
      <c r="AA1195" s="36"/>
    </row>
    <row r="1196" spans="15:27" ht="13.9" customHeight="1" x14ac:dyDescent="0.3">
      <c r="O1196" s="12">
        <f t="shared" si="132"/>
        <v>98.583333333333329</v>
      </c>
      <c r="P1196" s="13">
        <v>1183</v>
      </c>
      <c r="Q1196" s="22">
        <v>3.6136108572250691E-2</v>
      </c>
      <c r="R1196" s="19">
        <f t="shared" si="133"/>
        <v>3.6724820810666525E-2</v>
      </c>
      <c r="S1196" s="22">
        <v>4.1356566814717777E-2</v>
      </c>
      <c r="T1196" s="19">
        <f t="shared" si="134"/>
        <v>4.2998732114988281E-2</v>
      </c>
      <c r="U1196" s="24">
        <v>4.2683631449439208E-2</v>
      </c>
      <c r="V1196" s="24">
        <f t="shared" si="135"/>
        <v>4.2996978769359595E-2</v>
      </c>
      <c r="W1196" s="23">
        <f t="shared" si="136"/>
        <v>3.5143490104183606E-3</v>
      </c>
      <c r="X1196" s="24">
        <v>4.2412728300295077E-2</v>
      </c>
      <c r="Y1196" s="24">
        <f t="shared" si="137"/>
        <v>4.2997642347362142E-2</v>
      </c>
      <c r="Z1196" s="23">
        <f t="shared" si="138"/>
        <v>3.5144025164512982E-3</v>
      </c>
      <c r="AA1196" s="36"/>
    </row>
    <row r="1197" spans="15:27" ht="13.9" customHeight="1" x14ac:dyDescent="0.3">
      <c r="O1197" s="12">
        <f t="shared" si="132"/>
        <v>98.666666666666671</v>
      </c>
      <c r="P1197" s="13">
        <v>1184</v>
      </c>
      <c r="Q1197" s="22">
        <v>3.6136605654341514E-2</v>
      </c>
      <c r="R1197" s="19">
        <f t="shared" si="133"/>
        <v>3.6724946796016456E-2</v>
      </c>
      <c r="S1197" s="22">
        <v>4.1357952687139266E-2</v>
      </c>
      <c r="T1197" s="19">
        <f t="shared" si="134"/>
        <v>4.2998744004361988E-2</v>
      </c>
      <c r="U1197" s="24">
        <v>4.2683896061166848E-2</v>
      </c>
      <c r="V1197" s="24">
        <f t="shared" si="135"/>
        <v>4.299700148866159E-2</v>
      </c>
      <c r="W1197" s="23">
        <f t="shared" si="136"/>
        <v>3.5143508458392869E-3</v>
      </c>
      <c r="X1197" s="24">
        <v>4.2413222177106524E-2</v>
      </c>
      <c r="Y1197" s="24">
        <f t="shared" si="137"/>
        <v>4.299766132850702E-2</v>
      </c>
      <c r="Z1197" s="23">
        <f t="shared" si="138"/>
        <v>3.5144040506798202E-3</v>
      </c>
      <c r="AA1197" s="36"/>
    </row>
    <row r="1198" spans="15:27" ht="13.9" customHeight="1" x14ac:dyDescent="0.3">
      <c r="O1198" s="12">
        <f t="shared" si="132"/>
        <v>98.75</v>
      </c>
      <c r="P1198" s="13">
        <v>1185</v>
      </c>
      <c r="Q1198" s="22">
        <v>3.6137102003969579E-2</v>
      </c>
      <c r="R1198" s="19">
        <f t="shared" si="133"/>
        <v>3.672507173482531E-2</v>
      </c>
      <c r="S1198" s="22">
        <v>4.135933623239274E-2</v>
      </c>
      <c r="T1198" s="19">
        <f t="shared" si="134"/>
        <v>4.2998755783043574E-2</v>
      </c>
      <c r="U1198" s="24">
        <v>4.2684160245526126E-2</v>
      </c>
      <c r="V1198" s="24">
        <f t="shared" si="135"/>
        <v>4.2997024036742326E-2</v>
      </c>
      <c r="W1198" s="23">
        <f t="shared" si="136"/>
        <v>3.514352667444598E-3</v>
      </c>
      <c r="X1198" s="24">
        <v>4.2413715236612859E-2</v>
      </c>
      <c r="Y1198" s="24">
        <f t="shared" si="137"/>
        <v>4.2997680156431128E-2</v>
      </c>
      <c r="Z1198" s="23">
        <f t="shared" si="138"/>
        <v>3.5144055725633283E-3</v>
      </c>
      <c r="AA1198" s="36"/>
    </row>
    <row r="1199" spans="15:27" ht="13.9" customHeight="1" x14ac:dyDescent="0.3">
      <c r="O1199" s="12">
        <f t="shared" si="132"/>
        <v>98.833333333333329</v>
      </c>
      <c r="P1199" s="13">
        <v>1186</v>
      </c>
      <c r="Q1199" s="22">
        <v>3.6137597622105222E-2</v>
      </c>
      <c r="R1199" s="19">
        <f t="shared" si="133"/>
        <v>3.6725195637574259E-2</v>
      </c>
      <c r="S1199" s="22">
        <v>4.1360717456266904E-2</v>
      </c>
      <c r="T1199" s="19">
        <f t="shared" si="134"/>
        <v>4.2998767450499686E-2</v>
      </c>
      <c r="U1199" s="24">
        <v>4.2684424003453403E-2</v>
      </c>
      <c r="V1199" s="24">
        <f t="shared" si="135"/>
        <v>4.2997046415286677E-2</v>
      </c>
      <c r="W1199" s="23">
        <f t="shared" si="136"/>
        <v>3.5143544753213352E-3</v>
      </c>
      <c r="X1199" s="24">
        <v>4.2414207480751864E-2</v>
      </c>
      <c r="Y1199" s="24">
        <f t="shared" si="137"/>
        <v>4.2997698833043829E-2</v>
      </c>
      <c r="Z1199" s="23">
        <f t="shared" si="138"/>
        <v>3.5144070821617746E-3</v>
      </c>
      <c r="AA1199" s="36"/>
    </row>
    <row r="1200" spans="15:27" ht="13.9" customHeight="1" x14ac:dyDescent="0.3">
      <c r="O1200" s="12">
        <f t="shared" si="132"/>
        <v>98.916666666666671</v>
      </c>
      <c r="P1200" s="13">
        <v>1187</v>
      </c>
      <c r="Q1200" s="22">
        <v>3.6138092509724551E-2</v>
      </c>
      <c r="R1200" s="19">
        <f t="shared" si="133"/>
        <v>3.672531851073435E-2</v>
      </c>
      <c r="S1200" s="22">
        <v>4.1362096364530698E-2</v>
      </c>
      <c r="T1200" s="19">
        <f t="shared" si="134"/>
        <v>4.2998779009457033E-2</v>
      </c>
      <c r="U1200" s="24">
        <v>4.2684687335883709E-2</v>
      </c>
      <c r="V1200" s="24">
        <f t="shared" si="135"/>
        <v>4.2997068626551282E-2</v>
      </c>
      <c r="W1200" s="23">
        <f t="shared" si="136"/>
        <v>3.5143562696051678E-3</v>
      </c>
      <c r="X1200" s="24">
        <v>4.2414698911456217E-2</v>
      </c>
      <c r="Y1200" s="24">
        <f t="shared" si="137"/>
        <v>4.2997717359670728E-2</v>
      </c>
      <c r="Z1200" s="23">
        <f t="shared" si="138"/>
        <v>3.5144085796283697E-3</v>
      </c>
      <c r="AA1200" s="36"/>
    </row>
    <row r="1201" spans="15:27" ht="13.9" customHeight="1" x14ac:dyDescent="0.3">
      <c r="O1201" s="12">
        <f t="shared" si="132"/>
        <v>99</v>
      </c>
      <c r="P1201" s="13">
        <v>1188</v>
      </c>
      <c r="Q1201" s="22">
        <v>3.613858666780545E-2</v>
      </c>
      <c r="R1201" s="19">
        <f t="shared" si="133"/>
        <v>3.6725440364677953E-2</v>
      </c>
      <c r="S1201" s="22">
        <v>4.1363472962935965E-2</v>
      </c>
      <c r="T1201" s="19">
        <f t="shared" si="134"/>
        <v>4.2998790459190639E-2</v>
      </c>
      <c r="U1201" s="24">
        <v>4.2684950243750519E-2</v>
      </c>
      <c r="V1201" s="24">
        <f t="shared" si="135"/>
        <v>4.2997090669830262E-2</v>
      </c>
      <c r="W1201" s="23">
        <f t="shared" si="136"/>
        <v>3.514358050476396E-3</v>
      </c>
      <c r="X1201" s="24">
        <v>4.2415189530653263E-2</v>
      </c>
      <c r="Y1201" s="24">
        <f t="shared" si="137"/>
        <v>4.2997735736916898E-2</v>
      </c>
      <c r="Z1201" s="23">
        <f t="shared" si="138"/>
        <v>3.5144100650692511E-3</v>
      </c>
      <c r="AA1201" s="36"/>
    </row>
    <row r="1202" spans="15:27" ht="13.9" customHeight="1" x14ac:dyDescent="0.3">
      <c r="O1202" s="12">
        <f t="shared" si="132"/>
        <v>99.083333333333329</v>
      </c>
      <c r="P1202" s="13">
        <v>1189</v>
      </c>
      <c r="Q1202" s="22">
        <v>3.6139080097331577E-2</v>
      </c>
      <c r="R1202" s="19">
        <f t="shared" si="133"/>
        <v>3.6725561206263801E-2</v>
      </c>
      <c r="S1202" s="22">
        <v>4.1364847257214343E-2</v>
      </c>
      <c r="T1202" s="19">
        <f t="shared" si="134"/>
        <v>4.299880180186344E-2</v>
      </c>
      <c r="U1202" s="24">
        <v>4.2685212727983535E-2</v>
      </c>
      <c r="V1202" s="24">
        <f t="shared" si="135"/>
        <v>4.2997112547214611E-2</v>
      </c>
      <c r="W1202" s="23">
        <f t="shared" si="136"/>
        <v>3.5143598178788427E-3</v>
      </c>
      <c r="X1202" s="24">
        <v>4.2415679340264578E-2</v>
      </c>
      <c r="Y1202" s="24">
        <f t="shared" si="137"/>
        <v>4.2997753965651642E-2</v>
      </c>
      <c r="Z1202" s="23">
        <f t="shared" si="138"/>
        <v>3.5144115385330466E-3</v>
      </c>
      <c r="AA1202" s="36"/>
    </row>
    <row r="1203" spans="15:27" ht="13.9" customHeight="1" x14ac:dyDescent="0.3">
      <c r="O1203" s="12">
        <f t="shared" si="132"/>
        <v>99.166666666666671</v>
      </c>
      <c r="P1203" s="13">
        <v>1190</v>
      </c>
      <c r="Q1203" s="22">
        <v>3.6139572799289033E-2</v>
      </c>
      <c r="R1203" s="19">
        <f t="shared" si="133"/>
        <v>3.6725681045633785E-2</v>
      </c>
      <c r="S1203" s="22">
        <v>4.1366219253080372E-2</v>
      </c>
      <c r="T1203" s="19">
        <f t="shared" si="134"/>
        <v>4.2998813038687356E-2</v>
      </c>
      <c r="U1203" s="24">
        <v>4.2685474789511568E-2</v>
      </c>
      <c r="V1203" s="24">
        <f t="shared" si="135"/>
        <v>4.2997134260912784E-2</v>
      </c>
      <c r="W1203" s="23">
        <f t="shared" si="136"/>
        <v>3.5143615719801513E-3</v>
      </c>
      <c r="X1203" s="24">
        <v>4.241616834220574E-2</v>
      </c>
      <c r="Y1203" s="24">
        <f t="shared" si="137"/>
        <v>4.2997772048269045E-2</v>
      </c>
      <c r="Z1203" s="23">
        <f t="shared" si="138"/>
        <v>3.5144130000892559E-3</v>
      </c>
      <c r="AA1203" s="36"/>
    </row>
    <row r="1204" spans="15:27" ht="13.9" customHeight="1" x14ac:dyDescent="0.3">
      <c r="O1204" s="12">
        <f t="shared" si="132"/>
        <v>99.25</v>
      </c>
      <c r="P1204" s="13">
        <v>1191</v>
      </c>
      <c r="Q1204" s="22">
        <v>3.6140064774668801E-2</v>
      </c>
      <c r="R1204" s="19">
        <f t="shared" si="133"/>
        <v>3.6725799890270139E-2</v>
      </c>
      <c r="S1204" s="22">
        <v>4.1367588956229939E-2</v>
      </c>
      <c r="T1204" s="19">
        <f t="shared" si="134"/>
        <v>4.2998824169340866E-2</v>
      </c>
      <c r="U1204" s="24">
        <v>4.2685736429261434E-2</v>
      </c>
      <c r="V1204" s="24">
        <f t="shared" si="135"/>
        <v>4.2997155811014709E-2</v>
      </c>
      <c r="W1204" s="23">
        <f t="shared" si="136"/>
        <v>3.5143633129570695E-3</v>
      </c>
      <c r="X1204" s="24">
        <v>4.2416656538388109E-2</v>
      </c>
      <c r="Y1204" s="24">
        <f t="shared" si="137"/>
        <v>4.2997789985350199E-2</v>
      </c>
      <c r="Z1204" s="23">
        <f t="shared" si="138"/>
        <v>3.5144144499299479E-3</v>
      </c>
      <c r="AA1204" s="36"/>
    </row>
    <row r="1205" spans="15:27" ht="13.9" customHeight="1" x14ac:dyDescent="0.3">
      <c r="O1205" s="12">
        <f t="shared" si="132"/>
        <v>99.333333333333329</v>
      </c>
      <c r="P1205" s="13">
        <v>1192</v>
      </c>
      <c r="Q1205" s="22">
        <v>3.6140556024465198E-2</v>
      </c>
      <c r="R1205" s="19">
        <f t="shared" si="133"/>
        <v>3.6725917747516768E-2</v>
      </c>
      <c r="S1205" s="22">
        <v>4.1368956372340282E-2</v>
      </c>
      <c r="T1205" s="19">
        <f t="shared" si="134"/>
        <v>4.2998835196059515E-2</v>
      </c>
      <c r="U1205" s="24">
        <v>4.2685997648157503E-2</v>
      </c>
      <c r="V1205" s="24">
        <f t="shared" si="135"/>
        <v>4.2997177198510261E-2</v>
      </c>
      <c r="W1205" s="23">
        <f t="shared" si="136"/>
        <v>3.5143650408171467E-3</v>
      </c>
      <c r="X1205" s="24">
        <v>4.2417143930716827E-2</v>
      </c>
      <c r="Y1205" s="24">
        <f t="shared" si="137"/>
        <v>4.2997807778015318E-2</v>
      </c>
      <c r="Z1205" s="23">
        <f t="shared" si="138"/>
        <v>3.5144158881017518E-3</v>
      </c>
      <c r="AA1205" s="36"/>
    </row>
    <row r="1206" spans="15:27" ht="13.9" customHeight="1" x14ac:dyDescent="0.3">
      <c r="O1206" s="12">
        <f t="shared" si="132"/>
        <v>99.416666666666671</v>
      </c>
      <c r="P1206" s="13">
        <v>1193</v>
      </c>
      <c r="Q1206" s="22">
        <v>3.6141046549675204E-2</v>
      </c>
      <c r="R1206" s="19">
        <f t="shared" si="133"/>
        <v>3.6726034627126314E-2</v>
      </c>
      <c r="S1206" s="22">
        <v>4.1370321507070873E-2</v>
      </c>
      <c r="T1206" s="19">
        <f t="shared" si="134"/>
        <v>4.2998846119242984E-2</v>
      </c>
      <c r="U1206" s="24">
        <v>4.2686258447121705E-2</v>
      </c>
      <c r="V1206" s="24">
        <f t="shared" si="135"/>
        <v>4.2997198426029559E-2</v>
      </c>
      <c r="W1206" s="23">
        <f t="shared" si="136"/>
        <v>3.5143667556394309E-3</v>
      </c>
      <c r="X1206" s="24">
        <v>4.2417630521091931E-2</v>
      </c>
      <c r="Y1206" s="24">
        <f t="shared" si="137"/>
        <v>4.2997825427272041E-2</v>
      </c>
      <c r="Z1206" s="23">
        <f t="shared" si="138"/>
        <v>3.5144173146943736E-3</v>
      </c>
      <c r="AA1206" s="36"/>
    </row>
    <row r="1207" spans="15:27" ht="13.9" customHeight="1" x14ac:dyDescent="0.3">
      <c r="O1207" s="12">
        <f t="shared" si="132"/>
        <v>99.5</v>
      </c>
      <c r="P1207" s="13">
        <v>1194</v>
      </c>
      <c r="Q1207" s="22">
        <v>3.6141536351300463E-2</v>
      </c>
      <c r="R1207" s="19">
        <f t="shared" si="133"/>
        <v>3.6726150536458446E-2</v>
      </c>
      <c r="S1207" s="22">
        <v>4.1371684366062755E-2</v>
      </c>
      <c r="T1207" s="19">
        <f t="shared" si="134"/>
        <v>4.2998856939693519E-2</v>
      </c>
      <c r="U1207" s="24">
        <v>4.268651882707486E-2</v>
      </c>
      <c r="V1207" s="24">
        <f t="shared" si="135"/>
        <v>4.2997219493305483E-2</v>
      </c>
      <c r="W1207" s="23">
        <f t="shared" si="136"/>
        <v>3.5143684576350864E-3</v>
      </c>
      <c r="X1207" s="24">
        <v>4.2418116311407683E-2</v>
      </c>
      <c r="Y1207" s="24">
        <f t="shared" si="137"/>
        <v>4.2997842933929054E-2</v>
      </c>
      <c r="Z1207" s="23">
        <f t="shared" si="138"/>
        <v>3.5144187297886376E-3</v>
      </c>
      <c r="AA1207" s="36"/>
    </row>
    <row r="1208" spans="15:27" ht="13.9" customHeight="1" x14ac:dyDescent="0.3">
      <c r="O1208" s="12">
        <f t="shared" si="132"/>
        <v>99.583333333333329</v>
      </c>
      <c r="P1208" s="13">
        <v>1195</v>
      </c>
      <c r="Q1208" s="22">
        <v>3.6142025430345504E-2</v>
      </c>
      <c r="R1208" s="19">
        <f t="shared" si="133"/>
        <v>3.6726265483185028E-2</v>
      </c>
      <c r="S1208" s="22">
        <v>4.1373044954938987E-2</v>
      </c>
      <c r="T1208" s="19">
        <f t="shared" si="134"/>
        <v>4.2998867659351347E-2</v>
      </c>
      <c r="U1208" s="24">
        <v>4.2686778788934898E-2</v>
      </c>
      <c r="V1208" s="24">
        <f t="shared" si="135"/>
        <v>4.299724040227737E-2</v>
      </c>
      <c r="W1208" s="23">
        <f t="shared" si="136"/>
        <v>3.514370146782797E-3</v>
      </c>
      <c r="X1208" s="24">
        <v>4.2418601303553016E-2</v>
      </c>
      <c r="Y1208" s="24">
        <f t="shared" si="137"/>
        <v>4.2997860300097113E-2</v>
      </c>
      <c r="Z1208" s="23">
        <f t="shared" si="138"/>
        <v>3.5144201334496028E-3</v>
      </c>
      <c r="AA1208" s="36"/>
    </row>
    <row r="1209" spans="15:27" ht="13.9" customHeight="1" x14ac:dyDescent="0.3">
      <c r="O1209" s="12">
        <f t="shared" si="132"/>
        <v>99.666666666666671</v>
      </c>
      <c r="P1209" s="13">
        <v>1196</v>
      </c>
      <c r="Q1209" s="22">
        <v>3.6142513787818187E-2</v>
      </c>
      <c r="R1209" s="19">
        <f t="shared" si="133"/>
        <v>3.6726379476252902E-2</v>
      </c>
      <c r="S1209" s="22">
        <v>4.1374403279305083E-2</v>
      </c>
      <c r="T1209" s="19">
        <f t="shared" si="134"/>
        <v>4.2998878277830777E-2</v>
      </c>
      <c r="U1209" s="24">
        <v>4.2687038333617977E-2</v>
      </c>
      <c r="V1209" s="24">
        <f t="shared" si="135"/>
        <v>4.2997261154195776E-2</v>
      </c>
      <c r="W1209" s="23">
        <f t="shared" si="136"/>
        <v>3.5143718232375498E-3</v>
      </c>
      <c r="X1209" s="24">
        <v>4.2419085499411757E-2</v>
      </c>
      <c r="Y1209" s="24">
        <f t="shared" si="137"/>
        <v>4.2997877526665507E-2</v>
      </c>
      <c r="Z1209" s="23">
        <f t="shared" si="138"/>
        <v>3.5144215258460232E-3</v>
      </c>
      <c r="AA1209" s="36"/>
    </row>
    <row r="1210" spans="15:27" ht="13.9" customHeight="1" x14ac:dyDescent="0.3">
      <c r="O1210" s="12">
        <f t="shared" si="132"/>
        <v>99.75</v>
      </c>
      <c r="P1210" s="13">
        <v>1197</v>
      </c>
      <c r="Q1210" s="22">
        <v>3.6143001424730148E-2</v>
      </c>
      <c r="R1210" s="19">
        <f t="shared" si="133"/>
        <v>3.6726492523478704E-2</v>
      </c>
      <c r="S1210" s="22">
        <v>4.1375759344747687E-2</v>
      </c>
      <c r="T1210" s="19">
        <f t="shared" si="134"/>
        <v>4.2998888797276758E-2</v>
      </c>
      <c r="U1210" s="24">
        <v>4.2687297462038254E-2</v>
      </c>
      <c r="V1210" s="24">
        <f t="shared" si="135"/>
        <v>4.2997281749802108E-2</v>
      </c>
      <c r="W1210" s="23">
        <f t="shared" si="136"/>
        <v>3.5143734871001531E-3</v>
      </c>
      <c r="X1210" s="24">
        <v>4.2419568900862847E-2</v>
      </c>
      <c r="Y1210" s="24">
        <f t="shared" si="137"/>
        <v>4.299789461456327E-2</v>
      </c>
      <c r="Z1210" s="23">
        <f t="shared" si="138"/>
        <v>3.5144229070498412E-3</v>
      </c>
      <c r="AA1210" s="36"/>
    </row>
    <row r="1211" spans="15:27" ht="13.9" customHeight="1" x14ac:dyDescent="0.3">
      <c r="O1211" s="12">
        <f t="shared" si="132"/>
        <v>99.833333333333329</v>
      </c>
      <c r="P1211" s="13">
        <v>1198</v>
      </c>
      <c r="Q1211" s="22">
        <v>3.6143488342096131E-2</v>
      </c>
      <c r="R1211" s="19">
        <f t="shared" si="133"/>
        <v>3.672660463131705E-2</v>
      </c>
      <c r="S1211" s="22">
        <v>4.1377113156836787E-2</v>
      </c>
      <c r="T1211" s="19">
        <f t="shared" si="134"/>
        <v>4.299889921796729E-2</v>
      </c>
      <c r="U1211" s="24">
        <v>4.2687556175107666E-2</v>
      </c>
      <c r="V1211" s="24">
        <f t="shared" si="135"/>
        <v>4.2997302190992182E-2</v>
      </c>
      <c r="W1211" s="23">
        <f t="shared" si="136"/>
        <v>3.5143751384296706E-3</v>
      </c>
      <c r="X1211" s="24">
        <v>4.2420051509779011E-2</v>
      </c>
      <c r="Y1211" s="24">
        <f t="shared" si="137"/>
        <v>4.2997911564765845E-2</v>
      </c>
      <c r="Z1211" s="23">
        <f t="shared" si="138"/>
        <v>3.5144242771349976E-3</v>
      </c>
      <c r="AA1211" s="36"/>
    </row>
    <row r="1212" spans="15:27" ht="13.9" customHeight="1" x14ac:dyDescent="0.3">
      <c r="O1212" s="12">
        <f t="shared" si="132"/>
        <v>99.916666666666671</v>
      </c>
      <c r="P1212" s="13">
        <v>1199</v>
      </c>
      <c r="Q1212" s="22">
        <v>3.6143974540933321E-2</v>
      </c>
      <c r="R1212" s="19">
        <f t="shared" si="133"/>
        <v>3.6726715809556332E-2</v>
      </c>
      <c r="S1212" s="22">
        <v>4.137846472112372E-2</v>
      </c>
      <c r="T1212" s="19">
        <f t="shared" si="134"/>
        <v>4.2998909540403085E-2</v>
      </c>
      <c r="U1212" s="24">
        <v>4.2687814473736596E-2</v>
      </c>
      <c r="V1212" s="24">
        <f t="shared" si="135"/>
        <v>4.2997322477875688E-2</v>
      </c>
      <c r="W1212" s="23">
        <f t="shared" si="136"/>
        <v>3.5143767773784251E-3</v>
      </c>
      <c r="X1212" s="24">
        <v>4.2420533328028309E-2</v>
      </c>
      <c r="Y1212" s="24">
        <f t="shared" si="137"/>
        <v>4.2997928378036399E-2</v>
      </c>
      <c r="Z1212" s="23">
        <f t="shared" si="138"/>
        <v>3.5144256361798742E-3</v>
      </c>
      <c r="AA1212" s="36"/>
    </row>
    <row r="1213" spans="15:27" ht="13.9" customHeight="1" x14ac:dyDescent="0.3">
      <c r="O1213" s="12">
        <f t="shared" si="132"/>
        <v>100</v>
      </c>
      <c r="P1213" s="13">
        <v>1200</v>
      </c>
      <c r="Q1213" s="22">
        <v>3.6144460022263125E-2</v>
      </c>
      <c r="R1213" s="19">
        <f t="shared" si="133"/>
        <v>3.6726826064110041E-2</v>
      </c>
      <c r="S1213" s="22">
        <v>4.137981404314206E-2</v>
      </c>
      <c r="T1213" s="19">
        <f t="shared" si="134"/>
        <v>4.2998919766393584E-2</v>
      </c>
      <c r="U1213" s="24">
        <v>4.2688072358832319E-2</v>
      </c>
      <c r="V1213" s="24">
        <f t="shared" si="135"/>
        <v>4.2997342612362655E-2</v>
      </c>
      <c r="W1213" s="23">
        <f t="shared" si="136"/>
        <v>3.5143784039548542E-3</v>
      </c>
      <c r="X1213" s="24">
        <v>4.2421014357472586E-2</v>
      </c>
      <c r="Y1213" s="24">
        <f t="shared" si="137"/>
        <v>4.2997945056504339E-2</v>
      </c>
      <c r="Z1213" s="23">
        <f t="shared" si="138"/>
        <v>3.5144269842459774E-3</v>
      </c>
      <c r="AA1213" s="36"/>
    </row>
    <row r="1214" spans="15:27" ht="13.9" customHeight="1" x14ac:dyDescent="0.3">
      <c r="O1214" s="12">
        <f t="shared" si="132"/>
        <v>100.08333333333333</v>
      </c>
      <c r="P1214" s="13">
        <v>1201</v>
      </c>
      <c r="Q1214" s="27">
        <v>3.6144944787108724E-2</v>
      </c>
      <c r="R1214" s="20"/>
      <c r="S1214" s="27">
        <v>4.1381161128408062E-2</v>
      </c>
      <c r="T1214" s="20"/>
      <c r="U1214" s="28">
        <v>4.2688329831300775E-2</v>
      </c>
      <c r="V1214" s="28"/>
      <c r="W1214" s="29"/>
      <c r="X1214" s="28">
        <v>4.2421494599969467E-2</v>
      </c>
      <c r="Y1214" s="28"/>
      <c r="Z1214" s="29"/>
      <c r="AA1214" s="36"/>
    </row>
  </sheetData>
  <mergeCells count="68">
    <mergeCell ref="X8:Z8"/>
    <mergeCell ref="X9:Z9"/>
    <mergeCell ref="X10:Z10"/>
    <mergeCell ref="Y11:Z11"/>
    <mergeCell ref="X3:Z3"/>
    <mergeCell ref="X4:Z4"/>
    <mergeCell ref="X5:Z5"/>
    <mergeCell ref="X6:Z6"/>
    <mergeCell ref="X7:Z7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S7:T7"/>
    <mergeCell ref="O8:P8"/>
    <mergeCell ref="O9:P9"/>
    <mergeCell ref="O11:P11"/>
    <mergeCell ref="O10:P10"/>
    <mergeCell ref="V11:W11"/>
    <mergeCell ref="U6:W6"/>
    <mergeCell ref="U7:W7"/>
    <mergeCell ref="U8:W8"/>
    <mergeCell ref="U9:W9"/>
    <mergeCell ref="U10:W10"/>
    <mergeCell ref="D51:J52"/>
    <mergeCell ref="D53:J55"/>
    <mergeCell ref="J1:M1"/>
    <mergeCell ref="O1:Z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J43:J44"/>
    <mergeCell ref="I31:I38"/>
    <mergeCell ref="D29:J29"/>
    <mergeCell ref="D41:J41"/>
    <mergeCell ref="D43:D44"/>
    <mergeCell ref="E43:E44"/>
    <mergeCell ref="F43:F44"/>
    <mergeCell ref="G43:G44"/>
    <mergeCell ref="H43:H44"/>
    <mergeCell ref="J31:J32"/>
    <mergeCell ref="I43:I50"/>
    <mergeCell ref="D31:D32"/>
    <mergeCell ref="E31:E32"/>
    <mergeCell ref="F31:F32"/>
    <mergeCell ref="G31:G32"/>
    <mergeCell ref="H31:H32"/>
  </mergeCells>
  <phoneticPr fontId="2" type="noConversion"/>
  <pageMargins left="0.25" right="0.25" top="0.75" bottom="0.75" header="0.3" footer="0.3"/>
  <pageSetup paperSize="9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2026-02-04T04:36:09Z</cp:lastPrinted>
  <dcterms:created xsi:type="dcterms:W3CDTF">2021-08-24T04:22:45Z</dcterms:created>
  <dcterms:modified xsi:type="dcterms:W3CDTF">2026-04-01T09:01:57Z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zEsICJub2RlMSIgOiB7ImRzZCI6IjAxMDAwMDAwMDAwMDE3MzkiLCJsb2dUaW1lIjoiMjAyNi0wMi0wNFQwMToyNjoyNloiLCJwSUQiOjEsInRyYWNlSWQiOiIwNURERjhCNjlDNDI0NUNBODQwQTg1MzIwNzY3MTc4RiIsInVzZXJDb2RlIjoiMjI0MDcyMSJ9LCJub2RlMiIgOiB7ImRzZCI6IjAxMDAwMDAwMDAwMDE3MzkiLCJsb2dUaW1lIjoiMjAyNi0wMy0wM1QwNDo1NzoxNFoiLCJwSUQiOjEsInRyYWNlSWQiOiI0NDZBNDk2NTI1RTE0Q0U0ODlGNTIxQzFENDFEN0IyNCIsInVzZXJDb2RlIjoiMjI0MDcyMSJ9LCJub2RlMyIgOiB7ImRzZCI6IjAxMDAwMDAwMDAwMDE3MzkiLCJsb2dUaW1lIjoiMjAyNi0wMy0wNVQwNTozNjowM1oiLCJwSUQiOjEsInRyYWNlSWQiOiI3M0UzQkZFRTA5MDU0QzI1OTZFRUNFRUZDNzQyNjYwRiIsInVzZXJDb2RlIjoiMjI0MDcyMSJ9LCJub2RlNCIgOiB7ImRzZCI6IjAxMDAwMDAwMDAwMDE3MzkiLCJsb2dUaW1lIjoiMjAyNi0wNC0wMVQwNzozNDozOFoiLCJwSUQiOjEsInRyYWNlSWQiOiJDNDkwMjY0MTc3ODc0OTJFQUJCM0UxQzNCMkVGNkYyQiIsInVzZXJDb2RlIjoiMjI0MDcyMSJ9LCJub2RlNSIgOiB7ICJ1c2VyQ29kZSIgOiAiMjI0MDcyMSIsICJ0cmFjZUlkIiA6ICIyRjZGQzBFQkY1NTBDRTA4MkNERUMyQTE5MDkwQkE0QyIsICJkc2QiIDogIjAwMDAwMDAwMDAwMDAwMDAiLCAicElEIiA6ICIyMDQ4IiwgImxvZ1RpbWUiIDogIjIwMjYtMDYtMDhUMDA6MDk6MTdaIiB9fQ==</vt:lpwstr>
  </property>
</Properties>
</file>