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FSS_NT551XED\Desktop\업무용\할인율\할인율 산출\26.05\공시파일\"/>
    </mc:Choice>
  </mc:AlternateContent>
  <xr:revisionPtr revIDLastSave="0" documentId="13_ncr:1_{558D7AB2-3942-47BB-89B2-37536CF51780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원화 무위험 금리기간구조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7" i="3" l="1"/>
  <c r="J38" i="3" l="1"/>
  <c r="J34" i="3"/>
  <c r="J35" i="3"/>
  <c r="J36" i="3"/>
  <c r="J33" i="3"/>
  <c r="G34" i="3"/>
  <c r="G35" i="3"/>
  <c r="G36" i="3"/>
  <c r="G33" i="3"/>
  <c r="K4" i="3" l="1"/>
  <c r="X7" i="3" l="1"/>
  <c r="U7" i="3"/>
  <c r="K8" i="3" a="1"/>
  <c r="K8" i="3" l="1"/>
  <c r="K10" i="3"/>
  <c r="K16" i="3"/>
  <c r="K23" i="3"/>
  <c r="K24" i="3"/>
  <c r="K11" i="3"/>
  <c r="K19" i="3"/>
  <c r="K15" i="3"/>
  <c r="K12" i="3"/>
  <c r="K9" i="3"/>
  <c r="K18" i="3"/>
  <c r="K14" i="3"/>
  <c r="K13" i="3"/>
  <c r="K22" i="3"/>
  <c r="K17" i="3"/>
  <c r="K20" i="3"/>
  <c r="K21" i="3"/>
  <c r="X4" i="3"/>
  <c r="U4" i="3"/>
  <c r="Q4" i="3"/>
  <c r="S4" i="3"/>
  <c r="S9" i="3"/>
  <c r="M8" i="3" l="1"/>
  <c r="L8" i="3"/>
  <c r="L21" i="3"/>
  <c r="M21" i="3"/>
  <c r="M24" i="3"/>
  <c r="L24" i="3"/>
  <c r="L20" i="3"/>
  <c r="M20" i="3"/>
  <c r="L23" i="3"/>
  <c r="M23" i="3"/>
  <c r="L17" i="3"/>
  <c r="M17" i="3"/>
  <c r="M16" i="3"/>
  <c r="L16" i="3"/>
  <c r="L22" i="3"/>
  <c r="M22" i="3"/>
  <c r="M10" i="3"/>
  <c r="L10" i="3"/>
  <c r="M13" i="3"/>
  <c r="L13" i="3"/>
  <c r="M14" i="3"/>
  <c r="L14" i="3"/>
  <c r="M18" i="3"/>
  <c r="L18" i="3"/>
  <c r="L9" i="3"/>
  <c r="M9" i="3"/>
  <c r="M12" i="3"/>
  <c r="L12" i="3"/>
  <c r="M15" i="3"/>
  <c r="L15" i="3"/>
  <c r="L19" i="3"/>
  <c r="M19" i="3"/>
  <c r="M11" i="3"/>
  <c r="L11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4" i="3"/>
  <c r="Q13" i="3" a="1"/>
  <c r="X9" i="3"/>
  <c r="U9" i="3"/>
  <c r="F8" i="3" a="1"/>
  <c r="F15" i="3" l="1"/>
  <c r="F10" i="3"/>
  <c r="H10" i="3" s="1"/>
  <c r="F20" i="3"/>
  <c r="F23" i="3"/>
  <c r="F8" i="3"/>
  <c r="F14" i="3"/>
  <c r="F17" i="3"/>
  <c r="F18" i="3"/>
  <c r="F13" i="3"/>
  <c r="F11" i="3"/>
  <c r="F19" i="3"/>
  <c r="F12" i="3"/>
  <c r="F22" i="3"/>
  <c r="F16" i="3"/>
  <c r="F9" i="3"/>
  <c r="F21" i="3"/>
  <c r="Q21" i="3"/>
  <c r="Q85" i="3"/>
  <c r="Q149" i="3"/>
  <c r="Q213" i="3"/>
  <c r="Q277" i="3"/>
  <c r="Q341" i="3"/>
  <c r="Q405" i="3"/>
  <c r="Q469" i="3"/>
  <c r="Q533" i="3"/>
  <c r="Q597" i="3"/>
  <c r="Q661" i="3"/>
  <c r="Q46" i="3"/>
  <c r="Q110" i="3"/>
  <c r="Q174" i="3"/>
  <c r="Q238" i="3"/>
  <c r="Q302" i="3"/>
  <c r="Q366" i="3"/>
  <c r="Q430" i="3"/>
  <c r="Q494" i="3"/>
  <c r="Q558" i="3"/>
  <c r="Q622" i="3"/>
  <c r="Q686" i="3"/>
  <c r="Q71" i="3"/>
  <c r="Q135" i="3"/>
  <c r="Q199" i="3"/>
  <c r="Q263" i="3"/>
  <c r="Q327" i="3"/>
  <c r="Q391" i="3"/>
  <c r="Q455" i="3"/>
  <c r="Q519" i="3"/>
  <c r="Q583" i="3"/>
  <c r="Q647" i="3"/>
  <c r="Q33" i="3"/>
  <c r="Q97" i="3"/>
  <c r="Q161" i="3"/>
  <c r="Q225" i="3"/>
  <c r="Q289" i="3"/>
  <c r="Q353" i="3"/>
  <c r="Q417" i="3"/>
  <c r="Q481" i="3"/>
  <c r="Q545" i="3"/>
  <c r="Q609" i="3"/>
  <c r="Q18" i="3"/>
  <c r="Q82" i="3"/>
  <c r="Q146" i="3"/>
  <c r="Q210" i="3"/>
  <c r="Q274" i="3"/>
  <c r="Q338" i="3"/>
  <c r="Q402" i="3"/>
  <c r="Q466" i="3"/>
  <c r="Q530" i="3"/>
  <c r="Q594" i="3"/>
  <c r="Q658" i="3"/>
  <c r="Q99" i="3"/>
  <c r="Q268" i="3"/>
  <c r="Q440" i="3"/>
  <c r="Q611" i="3"/>
  <c r="Q722" i="3"/>
  <c r="Q786" i="3"/>
  <c r="Q850" i="3"/>
  <c r="Q914" i="3"/>
  <c r="Q978" i="3"/>
  <c r="Q1042" i="3"/>
  <c r="Q144" i="3"/>
  <c r="Q315" i="3"/>
  <c r="Q484" i="3"/>
  <c r="Q656" i="3"/>
  <c r="Q739" i="3"/>
  <c r="Q803" i="3"/>
  <c r="Q867" i="3"/>
  <c r="Q931" i="3"/>
  <c r="Q995" i="3"/>
  <c r="Q1059" i="3"/>
  <c r="Q1123" i="3"/>
  <c r="Q1187" i="3"/>
  <c r="Q1012" i="3"/>
  <c r="Q1108" i="3"/>
  <c r="Q168" i="3"/>
  <c r="Q339" i="3"/>
  <c r="Q508" i="3"/>
  <c r="Q676" i="3"/>
  <c r="Q29" i="3"/>
  <c r="Q93" i="3"/>
  <c r="Q157" i="3"/>
  <c r="Q221" i="3"/>
  <c r="Q285" i="3"/>
  <c r="Q349" i="3"/>
  <c r="Q413" i="3"/>
  <c r="Q477" i="3"/>
  <c r="Q541" i="3"/>
  <c r="Q605" i="3"/>
  <c r="Q669" i="3"/>
  <c r="Q54" i="3"/>
  <c r="Q118" i="3"/>
  <c r="Q182" i="3"/>
  <c r="Q246" i="3"/>
  <c r="Q310" i="3"/>
  <c r="Q374" i="3"/>
  <c r="Q438" i="3"/>
  <c r="Q502" i="3"/>
  <c r="Q566" i="3"/>
  <c r="Q630" i="3"/>
  <c r="Q15" i="3"/>
  <c r="Q79" i="3"/>
  <c r="Q143" i="3"/>
  <c r="Q207" i="3"/>
  <c r="Q271" i="3"/>
  <c r="Q335" i="3"/>
  <c r="Q399" i="3"/>
  <c r="Q463" i="3"/>
  <c r="Q527" i="3"/>
  <c r="Q591" i="3"/>
  <c r="Q655" i="3"/>
  <c r="Q41" i="3"/>
  <c r="Q105" i="3"/>
  <c r="Q169" i="3"/>
  <c r="Q233" i="3"/>
  <c r="Q297" i="3"/>
  <c r="Q361" i="3"/>
  <c r="Q425" i="3"/>
  <c r="Q489" i="3"/>
  <c r="Q553" i="3"/>
  <c r="Q617" i="3"/>
  <c r="Q26" i="3"/>
  <c r="Q90" i="3"/>
  <c r="Q154" i="3"/>
  <c r="Q218" i="3"/>
  <c r="Q282" i="3"/>
  <c r="Q346" i="3"/>
  <c r="Q410" i="3"/>
  <c r="Q474" i="3"/>
  <c r="Q538" i="3"/>
  <c r="Q602" i="3"/>
  <c r="Q666" i="3"/>
  <c r="Q120" i="3"/>
  <c r="Q291" i="3"/>
  <c r="Q460" i="3"/>
  <c r="Q632" i="3"/>
  <c r="Q730" i="3"/>
  <c r="Q794" i="3"/>
  <c r="Q858" i="3"/>
  <c r="Q922" i="3"/>
  <c r="Q986" i="3"/>
  <c r="Q1050" i="3"/>
  <c r="Q164" i="3"/>
  <c r="Q336" i="3"/>
  <c r="Q507" i="3"/>
  <c r="Q675" i="3"/>
  <c r="Q747" i="3"/>
  <c r="Q811" i="3"/>
  <c r="Q875" i="3"/>
  <c r="Q939" i="3"/>
  <c r="Q1003" i="3"/>
  <c r="Q1067" i="3"/>
  <c r="Q1131" i="3"/>
  <c r="Q1195" i="3"/>
  <c r="Q1028" i="3"/>
  <c r="Q19" i="3"/>
  <c r="Q188" i="3"/>
  <c r="Q360" i="3"/>
  <c r="Q531" i="3"/>
  <c r="Q692" i="3"/>
  <c r="Q756" i="3"/>
  <c r="Q820" i="3"/>
  <c r="Q884" i="3"/>
  <c r="Q956" i="3"/>
  <c r="Q37" i="3"/>
  <c r="Q101" i="3"/>
  <c r="Q165" i="3"/>
  <c r="Q229" i="3"/>
  <c r="Q293" i="3"/>
  <c r="Q357" i="3"/>
  <c r="Q421" i="3"/>
  <c r="Q485" i="3"/>
  <c r="Q549" i="3"/>
  <c r="Q613" i="3"/>
  <c r="Q677" i="3"/>
  <c r="Q62" i="3"/>
  <c r="Q126" i="3"/>
  <c r="Q190" i="3"/>
  <c r="Q254" i="3"/>
  <c r="Q318" i="3"/>
  <c r="Q382" i="3"/>
  <c r="Q446" i="3"/>
  <c r="Q510" i="3"/>
  <c r="Q574" i="3"/>
  <c r="Q638" i="3"/>
  <c r="Q23" i="3"/>
  <c r="Q87" i="3"/>
  <c r="Q151" i="3"/>
  <c r="Q215" i="3"/>
  <c r="Q279" i="3"/>
  <c r="Q343" i="3"/>
  <c r="Q407" i="3"/>
  <c r="Q471" i="3"/>
  <c r="Q535" i="3"/>
  <c r="Q599" i="3"/>
  <c r="Q663" i="3"/>
  <c r="Q49" i="3"/>
  <c r="Q113" i="3"/>
  <c r="Q177" i="3"/>
  <c r="Q241" i="3"/>
  <c r="Q305" i="3"/>
  <c r="Q369" i="3"/>
  <c r="Q433" i="3"/>
  <c r="Q497" i="3"/>
  <c r="Q561" i="3"/>
  <c r="Q625" i="3"/>
  <c r="Q34" i="3"/>
  <c r="Q98" i="3"/>
  <c r="Q162" i="3"/>
  <c r="Q226" i="3"/>
  <c r="Q290" i="3"/>
  <c r="Q354" i="3"/>
  <c r="Q418" i="3"/>
  <c r="Q482" i="3"/>
  <c r="Q546" i="3"/>
  <c r="Q610" i="3"/>
  <c r="Q674" i="3"/>
  <c r="Q140" i="3"/>
  <c r="Q312" i="3"/>
  <c r="Q483" i="3"/>
  <c r="Q652" i="3"/>
  <c r="Q738" i="3"/>
  <c r="Q802" i="3"/>
  <c r="Q866" i="3"/>
  <c r="Q930" i="3"/>
  <c r="Q994" i="3"/>
  <c r="Q16" i="3"/>
  <c r="Q187" i="3"/>
  <c r="Q356" i="3"/>
  <c r="Q528" i="3"/>
  <c r="Q691" i="3"/>
  <c r="Q755" i="3"/>
  <c r="Q819" i="3"/>
  <c r="Q883" i="3"/>
  <c r="Q947" i="3"/>
  <c r="Q1011" i="3"/>
  <c r="Q1075" i="3"/>
  <c r="Q1139" i="3"/>
  <c r="Q1203" i="3"/>
  <c r="Q1036" i="3"/>
  <c r="Q40" i="3"/>
  <c r="Q211" i="3"/>
  <c r="Q380" i="3"/>
  <c r="Q552" i="3"/>
  <c r="Q700" i="3"/>
  <c r="Q764" i="3"/>
  <c r="Q828" i="3"/>
  <c r="Q45" i="3"/>
  <c r="Q109" i="3"/>
  <c r="Q173" i="3"/>
  <c r="Q237" i="3"/>
  <c r="Q301" i="3"/>
  <c r="Q365" i="3"/>
  <c r="Q429" i="3"/>
  <c r="Q493" i="3"/>
  <c r="Q557" i="3"/>
  <c r="Q621" i="3"/>
  <c r="Q685" i="3"/>
  <c r="Q70" i="3"/>
  <c r="Q134" i="3"/>
  <c r="Q198" i="3"/>
  <c r="Q262" i="3"/>
  <c r="Q326" i="3"/>
  <c r="Q390" i="3"/>
  <c r="Q454" i="3"/>
  <c r="Q518" i="3"/>
  <c r="Q582" i="3"/>
  <c r="Q646" i="3"/>
  <c r="Q31" i="3"/>
  <c r="Q95" i="3"/>
  <c r="Q159" i="3"/>
  <c r="Q223" i="3"/>
  <c r="Q287" i="3"/>
  <c r="Q351" i="3"/>
  <c r="Q415" i="3"/>
  <c r="Q479" i="3"/>
  <c r="Q543" i="3"/>
  <c r="Q607" i="3"/>
  <c r="Q671" i="3"/>
  <c r="Q57" i="3"/>
  <c r="Q121" i="3"/>
  <c r="Q185" i="3"/>
  <c r="Q249" i="3"/>
  <c r="Q313" i="3"/>
  <c r="Q377" i="3"/>
  <c r="Q441" i="3"/>
  <c r="Q505" i="3"/>
  <c r="Q569" i="3"/>
  <c r="Q633" i="3"/>
  <c r="Q42" i="3"/>
  <c r="Q106" i="3"/>
  <c r="Q170" i="3"/>
  <c r="Q234" i="3"/>
  <c r="Q298" i="3"/>
  <c r="Q362" i="3"/>
  <c r="Q426" i="3"/>
  <c r="Q490" i="3"/>
  <c r="Q554" i="3"/>
  <c r="Q618" i="3"/>
  <c r="Q682" i="3"/>
  <c r="Q163" i="3"/>
  <c r="Q332" i="3"/>
  <c r="Q504" i="3"/>
  <c r="Q673" i="3"/>
  <c r="Q746" i="3"/>
  <c r="Q810" i="3"/>
  <c r="Q874" i="3"/>
  <c r="Q938" i="3"/>
  <c r="Q1002" i="3"/>
  <c r="Q36" i="3"/>
  <c r="Q208" i="3"/>
  <c r="Q379" i="3"/>
  <c r="Q548" i="3"/>
  <c r="Q699" i="3"/>
  <c r="Q763" i="3"/>
  <c r="Q827" i="3"/>
  <c r="Q891" i="3"/>
  <c r="Q955" i="3"/>
  <c r="Q1019" i="3"/>
  <c r="Q1083" i="3"/>
  <c r="Q1147" i="3"/>
  <c r="Q1211" i="3"/>
  <c r="Q1052" i="3"/>
  <c r="Q60" i="3"/>
  <c r="Q232" i="3"/>
  <c r="Q403" i="3"/>
  <c r="Q572" i="3"/>
  <c r="Q708" i="3"/>
  <c r="Q772" i="3"/>
  <c r="Q836" i="3"/>
  <c r="Q900" i="3"/>
  <c r="Q980" i="3"/>
  <c r="Q53" i="3"/>
  <c r="Q117" i="3"/>
  <c r="Q181" i="3"/>
  <c r="Q245" i="3"/>
  <c r="Q309" i="3"/>
  <c r="Q373" i="3"/>
  <c r="Q437" i="3"/>
  <c r="Q501" i="3"/>
  <c r="Q565" i="3"/>
  <c r="Q629" i="3"/>
  <c r="Q14" i="3"/>
  <c r="R13" i="3" s="1"/>
  <c r="Q78" i="3"/>
  <c r="Q142" i="3"/>
  <c r="Q206" i="3"/>
  <c r="Q270" i="3"/>
  <c r="Q334" i="3"/>
  <c r="Q398" i="3"/>
  <c r="Q462" i="3"/>
  <c r="Q526" i="3"/>
  <c r="Q590" i="3"/>
  <c r="Q654" i="3"/>
  <c r="Q39" i="3"/>
  <c r="Q103" i="3"/>
  <c r="Q167" i="3"/>
  <c r="Q231" i="3"/>
  <c r="Q295" i="3"/>
  <c r="Q359" i="3"/>
  <c r="Q423" i="3"/>
  <c r="Q487" i="3"/>
  <c r="Q551" i="3"/>
  <c r="Q615" i="3"/>
  <c r="Q679" i="3"/>
  <c r="Q65" i="3"/>
  <c r="Q129" i="3"/>
  <c r="Q193" i="3"/>
  <c r="Q257" i="3"/>
  <c r="Q321" i="3"/>
  <c r="Q385" i="3"/>
  <c r="Q449" i="3"/>
  <c r="Q513" i="3"/>
  <c r="Q577" i="3"/>
  <c r="Q641" i="3"/>
  <c r="Q50" i="3"/>
  <c r="Q114" i="3"/>
  <c r="Q178" i="3"/>
  <c r="Q242" i="3"/>
  <c r="Q306" i="3"/>
  <c r="Q370" i="3"/>
  <c r="Q434" i="3"/>
  <c r="Q498" i="3"/>
  <c r="Q562" i="3"/>
  <c r="Q626" i="3"/>
  <c r="Q690" i="3"/>
  <c r="Q184" i="3"/>
  <c r="Q355" i="3"/>
  <c r="Q524" i="3"/>
  <c r="Q689" i="3"/>
  <c r="Q754" i="3"/>
  <c r="Q818" i="3"/>
  <c r="Q882" i="3"/>
  <c r="Q946" i="3"/>
  <c r="Q1010" i="3"/>
  <c r="Q59" i="3"/>
  <c r="Q228" i="3"/>
  <c r="Q400" i="3"/>
  <c r="Q571" i="3"/>
  <c r="Q707" i="3"/>
  <c r="Q771" i="3"/>
  <c r="Q835" i="3"/>
  <c r="Q899" i="3"/>
  <c r="Q963" i="3"/>
  <c r="Q1027" i="3"/>
  <c r="Q1091" i="3"/>
  <c r="Q1155" i="3"/>
  <c r="Q916" i="3"/>
  <c r="Q1060" i="3"/>
  <c r="Q83" i="3"/>
  <c r="Q252" i="3"/>
  <c r="Q424" i="3"/>
  <c r="Q595" i="3"/>
  <c r="Q716" i="3"/>
  <c r="Q780" i="3"/>
  <c r="Q844" i="3"/>
  <c r="Q908" i="3"/>
  <c r="Q996" i="3"/>
  <c r="Q61" i="3"/>
  <c r="Q125" i="3"/>
  <c r="Q189" i="3"/>
  <c r="Q253" i="3"/>
  <c r="Q317" i="3"/>
  <c r="Q381" i="3"/>
  <c r="Q445" i="3"/>
  <c r="Q509" i="3"/>
  <c r="Q573" i="3"/>
  <c r="Q637" i="3"/>
  <c r="Q22" i="3"/>
  <c r="Q86" i="3"/>
  <c r="Q150" i="3"/>
  <c r="Q214" i="3"/>
  <c r="Q278" i="3"/>
  <c r="Q342" i="3"/>
  <c r="Q406" i="3"/>
  <c r="Q470" i="3"/>
  <c r="Q534" i="3"/>
  <c r="Q598" i="3"/>
  <c r="Q662" i="3"/>
  <c r="Q47" i="3"/>
  <c r="Q111" i="3"/>
  <c r="Q175" i="3"/>
  <c r="Q239" i="3"/>
  <c r="Q303" i="3"/>
  <c r="Q367" i="3"/>
  <c r="Q431" i="3"/>
  <c r="Q495" i="3"/>
  <c r="Q559" i="3"/>
  <c r="Q623" i="3"/>
  <c r="Q687" i="3"/>
  <c r="Q73" i="3"/>
  <c r="Q137" i="3"/>
  <c r="Q201" i="3"/>
  <c r="Q265" i="3"/>
  <c r="Q329" i="3"/>
  <c r="Q393" i="3"/>
  <c r="Q457" i="3"/>
  <c r="Q521" i="3"/>
  <c r="Q585" i="3"/>
  <c r="Q649" i="3"/>
  <c r="Q58" i="3"/>
  <c r="Q122" i="3"/>
  <c r="Q186" i="3"/>
  <c r="Q250" i="3"/>
  <c r="Q314" i="3"/>
  <c r="Q378" i="3"/>
  <c r="Q442" i="3"/>
  <c r="Q506" i="3"/>
  <c r="Q570" i="3"/>
  <c r="Q634" i="3"/>
  <c r="Q35" i="3"/>
  <c r="Q204" i="3"/>
  <c r="Q376" i="3"/>
  <c r="Q547" i="3"/>
  <c r="Q698" i="3"/>
  <c r="Q762" i="3"/>
  <c r="Q826" i="3"/>
  <c r="Q890" i="3"/>
  <c r="Q954" i="3"/>
  <c r="Q1018" i="3"/>
  <c r="Q80" i="3"/>
  <c r="Q251" i="3"/>
  <c r="Q420" i="3"/>
  <c r="Q592" i="3"/>
  <c r="Q715" i="3"/>
  <c r="Q779" i="3"/>
  <c r="Q843" i="3"/>
  <c r="Q907" i="3"/>
  <c r="Q971" i="3"/>
  <c r="Q1035" i="3"/>
  <c r="Q1099" i="3"/>
  <c r="Q1163" i="3"/>
  <c r="Q972" i="3"/>
  <c r="Q1076" i="3"/>
  <c r="Q104" i="3"/>
  <c r="Q275" i="3"/>
  <c r="Q444" i="3"/>
  <c r="Q616" i="3"/>
  <c r="Q724" i="3"/>
  <c r="Q788" i="3"/>
  <c r="Q852" i="3"/>
  <c r="Q69" i="3"/>
  <c r="Q133" i="3"/>
  <c r="Q197" i="3"/>
  <c r="Q261" i="3"/>
  <c r="Q325" i="3"/>
  <c r="Q389" i="3"/>
  <c r="Q453" i="3"/>
  <c r="Q517" i="3"/>
  <c r="Q581" i="3"/>
  <c r="Q645" i="3"/>
  <c r="Q30" i="3"/>
  <c r="Q94" i="3"/>
  <c r="Q158" i="3"/>
  <c r="Q222" i="3"/>
  <c r="Q286" i="3"/>
  <c r="Q350" i="3"/>
  <c r="Q414" i="3"/>
  <c r="Q478" i="3"/>
  <c r="Q542" i="3"/>
  <c r="Q606" i="3"/>
  <c r="Q670" i="3"/>
  <c r="Q55" i="3"/>
  <c r="Q119" i="3"/>
  <c r="Q183" i="3"/>
  <c r="Q247" i="3"/>
  <c r="Q311" i="3"/>
  <c r="Q375" i="3"/>
  <c r="Q439" i="3"/>
  <c r="Q503" i="3"/>
  <c r="Q567" i="3"/>
  <c r="Q631" i="3"/>
  <c r="Q17" i="3"/>
  <c r="Q81" i="3"/>
  <c r="Q145" i="3"/>
  <c r="Q209" i="3"/>
  <c r="Q273" i="3"/>
  <c r="Q337" i="3"/>
  <c r="Q401" i="3"/>
  <c r="Q465" i="3"/>
  <c r="Q529" i="3"/>
  <c r="Q593" i="3"/>
  <c r="Q657" i="3"/>
  <c r="Q66" i="3"/>
  <c r="Q130" i="3"/>
  <c r="Q194" i="3"/>
  <c r="Q258" i="3"/>
  <c r="Q322" i="3"/>
  <c r="Q386" i="3"/>
  <c r="Q450" i="3"/>
  <c r="Q514" i="3"/>
  <c r="Q578" i="3"/>
  <c r="Q642" i="3"/>
  <c r="Q56" i="3"/>
  <c r="Q227" i="3"/>
  <c r="Q396" i="3"/>
  <c r="Q568" i="3"/>
  <c r="Q706" i="3"/>
  <c r="Q770" i="3"/>
  <c r="Q834" i="3"/>
  <c r="Q898" i="3"/>
  <c r="Q962" i="3"/>
  <c r="Q1026" i="3"/>
  <c r="Q100" i="3"/>
  <c r="Q272" i="3"/>
  <c r="Q443" i="3"/>
  <c r="Q612" i="3"/>
  <c r="Q723" i="3"/>
  <c r="Q787" i="3"/>
  <c r="Q851" i="3"/>
  <c r="Q915" i="3"/>
  <c r="Q979" i="3"/>
  <c r="Q1043" i="3"/>
  <c r="Q1107" i="3"/>
  <c r="Q1171" i="3"/>
  <c r="Q988" i="3"/>
  <c r="Q1084" i="3"/>
  <c r="Q124" i="3"/>
  <c r="Q296" i="3"/>
  <c r="Q467" i="3"/>
  <c r="Q636" i="3"/>
  <c r="Q732" i="3"/>
  <c r="Q796" i="3"/>
  <c r="Q860" i="3"/>
  <c r="Q932" i="3"/>
  <c r="Q1044" i="3"/>
  <c r="Q269" i="3"/>
  <c r="Q102" i="3"/>
  <c r="Q614" i="3"/>
  <c r="Q447" i="3"/>
  <c r="Q281" i="3"/>
  <c r="Q138" i="3"/>
  <c r="Q650" i="3"/>
  <c r="Q906" i="3"/>
  <c r="Q795" i="3"/>
  <c r="Q1092" i="3"/>
  <c r="Q812" i="3"/>
  <c r="Q1020" i="3"/>
  <c r="Q128" i="3"/>
  <c r="Q299" i="3"/>
  <c r="Q468" i="3"/>
  <c r="Q640" i="3"/>
  <c r="Q733" i="3"/>
  <c r="Q797" i="3"/>
  <c r="Q861" i="3"/>
  <c r="Q925" i="3"/>
  <c r="Q989" i="3"/>
  <c r="Q1053" i="3"/>
  <c r="Q1117" i="3"/>
  <c r="Q1181" i="3"/>
  <c r="Q172" i="3"/>
  <c r="Q344" i="3"/>
  <c r="Q515" i="3"/>
  <c r="Q681" i="3"/>
  <c r="Q750" i="3"/>
  <c r="Q814" i="3"/>
  <c r="Q878" i="3"/>
  <c r="Q942" i="3"/>
  <c r="Q1006" i="3"/>
  <c r="Q1070" i="3"/>
  <c r="Q68" i="3"/>
  <c r="Q240" i="3"/>
  <c r="Q411" i="3"/>
  <c r="Q580" i="3"/>
  <c r="Q711" i="3"/>
  <c r="Q775" i="3"/>
  <c r="Q839" i="3"/>
  <c r="Q903" i="3"/>
  <c r="Q967" i="3"/>
  <c r="Q1031" i="3"/>
  <c r="Q371" i="3"/>
  <c r="Q824" i="3"/>
  <c r="Q1066" i="3"/>
  <c r="Q1168" i="3"/>
  <c r="Q1191" i="3"/>
  <c r="Q785" i="3"/>
  <c r="Q372" i="3"/>
  <c r="Q825" i="3"/>
  <c r="Q1071" i="3"/>
  <c r="Q1169" i="3"/>
  <c r="Q1182" i="3"/>
  <c r="Q352" i="3"/>
  <c r="Q136" i="3"/>
  <c r="Q736" i="3"/>
  <c r="Q992" i="3"/>
  <c r="Q1040" i="3"/>
  <c r="Q139" i="3"/>
  <c r="Q737" i="3"/>
  <c r="Q993" i="3"/>
  <c r="Q1140" i="3"/>
  <c r="Q1164" i="3"/>
  <c r="Q913" i="3"/>
  <c r="Q412" i="3"/>
  <c r="Q840" i="3"/>
  <c r="Q1074" i="3"/>
  <c r="Q1174" i="3"/>
  <c r="Q92" i="3"/>
  <c r="Q721" i="3"/>
  <c r="Q416" i="3"/>
  <c r="Q841" i="3"/>
  <c r="Q1079" i="3"/>
  <c r="Q264" i="3"/>
  <c r="Q881" i="3"/>
  <c r="Q13" i="3"/>
  <c r="Q525" i="3"/>
  <c r="Q358" i="3"/>
  <c r="Q191" i="3"/>
  <c r="Q25" i="3"/>
  <c r="Q537" i="3"/>
  <c r="Q394" i="3"/>
  <c r="Q588" i="3"/>
  <c r="Q292" i="3"/>
  <c r="Q1051" i="3"/>
  <c r="Q659" i="3"/>
  <c r="Q924" i="3"/>
  <c r="Q43" i="3"/>
  <c r="Q212" i="3"/>
  <c r="Q384" i="3"/>
  <c r="Q555" i="3"/>
  <c r="Q701" i="3"/>
  <c r="Q765" i="3"/>
  <c r="Q829" i="3"/>
  <c r="Q893" i="3"/>
  <c r="Q957" i="3"/>
  <c r="Q1021" i="3"/>
  <c r="Q1085" i="3"/>
  <c r="Q1149" i="3"/>
  <c r="Q88" i="3"/>
  <c r="Q259" i="3"/>
  <c r="Q428" i="3"/>
  <c r="Q600" i="3"/>
  <c r="Q718" i="3"/>
  <c r="Q782" i="3"/>
  <c r="Q846" i="3"/>
  <c r="Q910" i="3"/>
  <c r="Q974" i="3"/>
  <c r="Q1038" i="3"/>
  <c r="Q1102" i="3"/>
  <c r="Q155" i="3"/>
  <c r="Q324" i="3"/>
  <c r="Q496" i="3"/>
  <c r="Q667" i="3"/>
  <c r="Q743" i="3"/>
  <c r="Q807" i="3"/>
  <c r="Q871" i="3"/>
  <c r="Q935" i="3"/>
  <c r="Q999" i="3"/>
  <c r="Q28" i="3"/>
  <c r="Q696" i="3"/>
  <c r="Q952" i="3"/>
  <c r="Q1126" i="3"/>
  <c r="Q1207" i="3"/>
  <c r="Q1008" i="3"/>
  <c r="Q32" i="3"/>
  <c r="Q697" i="3"/>
  <c r="Q953" i="3"/>
  <c r="Q1127" i="3"/>
  <c r="Q1208" i="3"/>
  <c r="Q912" i="3"/>
  <c r="Q1081" i="3"/>
  <c r="Q476" i="3"/>
  <c r="Q864" i="3"/>
  <c r="Q1118" i="3"/>
  <c r="Q849" i="3"/>
  <c r="Q480" i="3"/>
  <c r="Q865" i="3"/>
  <c r="Q1089" i="3"/>
  <c r="Q1183" i="3"/>
  <c r="Q1096" i="3"/>
  <c r="Q72" i="3"/>
  <c r="Q712" i="3"/>
  <c r="Q968" i="3"/>
  <c r="Q1130" i="3"/>
  <c r="Q1212" i="3"/>
  <c r="Q1112" i="3"/>
  <c r="Q75" i="3"/>
  <c r="Q713" i="3"/>
  <c r="Q969" i="3"/>
  <c r="Q1143" i="3"/>
  <c r="Q1080" i="3"/>
  <c r="Q397" i="3"/>
  <c r="Q422" i="3"/>
  <c r="Q383" i="3"/>
  <c r="Q409" i="3"/>
  <c r="Q458" i="3"/>
  <c r="Q842" i="3"/>
  <c r="Q923" i="3"/>
  <c r="Q740" i="3"/>
  <c r="Q964" i="3"/>
  <c r="Q171" i="3"/>
  <c r="Q404" i="3"/>
  <c r="Q619" i="3"/>
  <c r="Q749" i="3"/>
  <c r="Q837" i="3"/>
  <c r="Q917" i="3"/>
  <c r="Q1005" i="3"/>
  <c r="Q1093" i="3"/>
  <c r="Q1173" i="3"/>
  <c r="Q216" i="3"/>
  <c r="Q451" i="3"/>
  <c r="Q664" i="3"/>
  <c r="Q766" i="3"/>
  <c r="Q854" i="3"/>
  <c r="Q934" i="3"/>
  <c r="Q1022" i="3"/>
  <c r="Q1110" i="3"/>
  <c r="Q219" i="3"/>
  <c r="Q452" i="3"/>
  <c r="Q683" i="3"/>
  <c r="Q767" i="3"/>
  <c r="Q855" i="3"/>
  <c r="Q943" i="3"/>
  <c r="Q1023" i="3"/>
  <c r="Q540" i="3"/>
  <c r="Q984" i="3"/>
  <c r="Q1158" i="3"/>
  <c r="Q752" i="3"/>
  <c r="Q116" i="3"/>
  <c r="Q793" i="3"/>
  <c r="Q1103" i="3"/>
  <c r="Q1104" i="3"/>
  <c r="Q1186" i="3"/>
  <c r="R1186" i="3" s="1"/>
  <c r="Q307" i="3"/>
  <c r="Q896" i="3"/>
  <c r="Q520" i="3"/>
  <c r="Q308" i="3"/>
  <c r="Q897" i="3"/>
  <c r="Q1129" i="3"/>
  <c r="Q179" i="3"/>
  <c r="Q156" i="3"/>
  <c r="Q808" i="3"/>
  <c r="Q1106" i="3"/>
  <c r="Q1132" i="3"/>
  <c r="Q96" i="3"/>
  <c r="Q587" i="3"/>
  <c r="Q1001" i="3"/>
  <c r="Q1213" i="3"/>
  <c r="Q1188" i="3"/>
  <c r="Q77" i="3"/>
  <c r="Q38" i="3"/>
  <c r="Q63" i="3"/>
  <c r="Q89" i="3"/>
  <c r="Q74" i="3"/>
  <c r="Q248" i="3"/>
  <c r="Q464" i="3"/>
  <c r="Q1004" i="3"/>
  <c r="Q876" i="3"/>
  <c r="Q64" i="3"/>
  <c r="Q276" i="3"/>
  <c r="Q512" i="3"/>
  <c r="Q709" i="3"/>
  <c r="Q789" i="3"/>
  <c r="R788" i="3" s="1"/>
  <c r="Q877" i="3"/>
  <c r="Q965" i="3"/>
  <c r="Q1045" i="3"/>
  <c r="Q1133" i="3"/>
  <c r="Q108" i="3"/>
  <c r="Q323" i="3"/>
  <c r="Q556" i="3"/>
  <c r="Q726" i="3"/>
  <c r="Q806" i="3"/>
  <c r="Q894" i="3"/>
  <c r="Q982" i="3"/>
  <c r="Q1062" i="3"/>
  <c r="Q112" i="3"/>
  <c r="Q347" i="3"/>
  <c r="Q560" i="3"/>
  <c r="Q727" i="3"/>
  <c r="Q815" i="3"/>
  <c r="Q895" i="3"/>
  <c r="Q983" i="3"/>
  <c r="Q115" i="3"/>
  <c r="Q792" i="3"/>
  <c r="Q1098" i="3"/>
  <c r="Q1088" i="3"/>
  <c r="Q267" i="3"/>
  <c r="Q544" i="3"/>
  <c r="Q985" i="3"/>
  <c r="R985" i="3" s="1"/>
  <c r="Q1159" i="3"/>
  <c r="Q348" i="3"/>
  <c r="Q1145" i="3"/>
  <c r="Q704" i="3"/>
  <c r="Q1056" i="3"/>
  <c r="Q1041" i="3"/>
  <c r="Q705" i="3"/>
  <c r="Q1057" i="3"/>
  <c r="Q1192" i="3"/>
  <c r="Q753" i="3"/>
  <c r="Q584" i="3"/>
  <c r="Q1000" i="3"/>
  <c r="Q1162" i="3"/>
  <c r="Q784" i="3"/>
  <c r="Q160" i="3"/>
  <c r="Q809" i="3"/>
  <c r="Q1111" i="3"/>
  <c r="Q1176" i="3"/>
  <c r="Q205" i="3"/>
  <c r="Q486" i="3"/>
  <c r="Q639" i="3"/>
  <c r="Q266" i="3"/>
  <c r="Q970" i="3"/>
  <c r="Q1179" i="3"/>
  <c r="Q940" i="3"/>
  <c r="Q192" i="3"/>
  <c r="Q491" i="3"/>
  <c r="Q725" i="3"/>
  <c r="Q845" i="3"/>
  <c r="Q949" i="3"/>
  <c r="Q1069" i="3"/>
  <c r="Q24" i="3"/>
  <c r="Q300" i="3"/>
  <c r="Q620" i="3"/>
  <c r="Q774" i="3"/>
  <c r="Q886" i="3"/>
  <c r="Q998" i="3"/>
  <c r="Q27" i="3"/>
  <c r="Q304" i="3"/>
  <c r="Q624" i="3"/>
  <c r="Q783" i="3"/>
  <c r="Q887" i="3"/>
  <c r="Q1007" i="3"/>
  <c r="Q627" i="3"/>
  <c r="Q1082" i="3"/>
  <c r="Q1170" i="3"/>
  <c r="Q203" i="3"/>
  <c r="Q921" i="3"/>
  <c r="Q1190" i="3"/>
  <c r="Q608" i="3"/>
  <c r="Q648" i="3"/>
  <c r="Q1150" i="3"/>
  <c r="Q395" i="3"/>
  <c r="Q1025" i="3"/>
  <c r="Q1210" i="3"/>
  <c r="Q243" i="3"/>
  <c r="Q936" i="3"/>
  <c r="Q1193" i="3"/>
  <c r="Q977" i="3"/>
  <c r="Q777" i="3"/>
  <c r="Q1153" i="3"/>
  <c r="Q333" i="3"/>
  <c r="Q461" i="3"/>
  <c r="Q678" i="3"/>
  <c r="Q217" i="3"/>
  <c r="R216" i="3" s="1"/>
  <c r="Q522" i="3"/>
  <c r="Q123" i="3"/>
  <c r="Q316" i="3"/>
  <c r="Q1068" i="3"/>
  <c r="Q256" i="3"/>
  <c r="Q576" i="3"/>
  <c r="Q757" i="3"/>
  <c r="Q869" i="3"/>
  <c r="Q981" i="3"/>
  <c r="Q1101" i="3"/>
  <c r="Q67" i="3"/>
  <c r="Q387" i="3"/>
  <c r="Q694" i="3"/>
  <c r="Q798" i="3"/>
  <c r="Q918" i="3"/>
  <c r="Q1030" i="3"/>
  <c r="Q91" i="3"/>
  <c r="Q388" i="3"/>
  <c r="Q695" i="3"/>
  <c r="Q799" i="3"/>
  <c r="Q919" i="3"/>
  <c r="Q1039" i="3"/>
  <c r="Q760" i="3"/>
  <c r="Q1136" i="3"/>
  <c r="Q848" i="3"/>
  <c r="Q459" i="3"/>
  <c r="Q1049" i="3"/>
  <c r="Q1128" i="3"/>
  <c r="Q945" i="3"/>
  <c r="Q800" i="3"/>
  <c r="Q1144" i="3"/>
  <c r="Q651" i="3"/>
  <c r="Q1105" i="3"/>
  <c r="Q880" i="3"/>
  <c r="Q499" i="3"/>
  <c r="Q1058" i="3"/>
  <c r="Q1175" i="3"/>
  <c r="Q1167" i="3"/>
  <c r="Q905" i="3"/>
  <c r="Q684" i="3"/>
  <c r="Q589" i="3"/>
  <c r="Q127" i="3"/>
  <c r="Q345" i="3"/>
  <c r="Q586" i="3"/>
  <c r="Q635" i="3"/>
  <c r="Q488" i="3"/>
  <c r="Q1100" i="3"/>
  <c r="Q320" i="3"/>
  <c r="Q596" i="3"/>
  <c r="Q773" i="3"/>
  <c r="Q885" i="3"/>
  <c r="Q997" i="3"/>
  <c r="Q1109" i="3"/>
  <c r="Q131" i="3"/>
  <c r="Q408" i="3"/>
  <c r="Q702" i="3"/>
  <c r="Q822" i="3"/>
  <c r="Q926" i="3"/>
  <c r="Q1046" i="3"/>
  <c r="Q132" i="3"/>
  <c r="Q432" i="3"/>
  <c r="Q703" i="3"/>
  <c r="Q823" i="3"/>
  <c r="Q927" i="3"/>
  <c r="Q1047" i="3"/>
  <c r="Q856" i="3"/>
  <c r="Q1146" i="3"/>
  <c r="Q1134" i="3"/>
  <c r="Q628" i="3"/>
  <c r="Q1087" i="3"/>
  <c r="Q1160" i="3"/>
  <c r="Q1197" i="3"/>
  <c r="Q832" i="3"/>
  <c r="Q1214" i="3"/>
  <c r="Q769" i="3"/>
  <c r="Q1119" i="3"/>
  <c r="Q1166" i="3"/>
  <c r="Q668" i="3"/>
  <c r="Q1090" i="3"/>
  <c r="Q1204" i="3"/>
  <c r="Q244" i="3"/>
  <c r="Q937" i="3"/>
  <c r="Q816" i="3"/>
  <c r="Q653" i="3"/>
  <c r="Q255" i="3"/>
  <c r="Q473" i="3"/>
  <c r="Q76" i="3"/>
  <c r="Q731" i="3"/>
  <c r="Q748" i="3"/>
  <c r="Q20" i="3"/>
  <c r="Q340" i="3"/>
  <c r="Q660" i="3"/>
  <c r="Q781" i="3"/>
  <c r="Q901" i="3"/>
  <c r="Q1013" i="3"/>
  <c r="Q1125" i="3"/>
  <c r="Q152" i="3"/>
  <c r="Q472" i="3"/>
  <c r="Q710" i="3"/>
  <c r="Q830" i="3"/>
  <c r="Q950" i="3"/>
  <c r="Q1054" i="3"/>
  <c r="Q176" i="3"/>
  <c r="Q475" i="3"/>
  <c r="Q719" i="3"/>
  <c r="Q831" i="3"/>
  <c r="Q951" i="3"/>
  <c r="Q1055" i="3"/>
  <c r="Q888" i="3"/>
  <c r="Q1178" i="3"/>
  <c r="Q1196" i="3"/>
  <c r="Q729" i="3"/>
  <c r="Q1116" i="3"/>
  <c r="Q1200" i="3"/>
  <c r="Q51" i="3"/>
  <c r="Q928" i="3"/>
  <c r="Q523" i="3"/>
  <c r="Q801" i="3"/>
  <c r="Q1151" i="3"/>
  <c r="Q436" i="3"/>
  <c r="Q744" i="3"/>
  <c r="Q1120" i="3"/>
  <c r="Q604" i="3"/>
  <c r="Q331" i="3"/>
  <c r="Q1033" i="3"/>
  <c r="Q944" i="3"/>
  <c r="Q230" i="3"/>
  <c r="Q511" i="3"/>
  <c r="Q665" i="3"/>
  <c r="Q714" i="3"/>
  <c r="Q987" i="3"/>
  <c r="Q868" i="3"/>
  <c r="Q107" i="3"/>
  <c r="Q427" i="3"/>
  <c r="Q693" i="3"/>
  <c r="Q813" i="3"/>
  <c r="Q933" i="3"/>
  <c r="Q1037" i="3"/>
  <c r="Q1157" i="3"/>
  <c r="Q236" i="3"/>
  <c r="Q536" i="3"/>
  <c r="Q742" i="3"/>
  <c r="Q862" i="3"/>
  <c r="Q966" i="3"/>
  <c r="Q1086" i="3"/>
  <c r="Q260" i="3"/>
  <c r="Q539" i="3"/>
  <c r="Q751" i="3"/>
  <c r="Q863" i="3"/>
  <c r="Q975" i="3"/>
  <c r="Q284" i="3"/>
  <c r="Q1016" i="3"/>
  <c r="Q1198" i="3"/>
  <c r="Q1124" i="3"/>
  <c r="R1123" i="3" s="1"/>
  <c r="Q857" i="3"/>
  <c r="Q1148" i="3"/>
  <c r="Q1064" i="3"/>
  <c r="Q392" i="3"/>
  <c r="Q1024" i="3"/>
  <c r="Q52" i="3"/>
  <c r="Q929" i="3"/>
  <c r="Q1172" i="3"/>
  <c r="Q1135" i="3"/>
  <c r="Q872" i="3"/>
  <c r="Q1152" i="3"/>
  <c r="Q1154" i="3"/>
  <c r="Q672" i="3"/>
  <c r="Q1095" i="3"/>
  <c r="Q688" i="3"/>
  <c r="Q141" i="3"/>
  <c r="Q294" i="3"/>
  <c r="Q575" i="3"/>
  <c r="Q202" i="3"/>
  <c r="Q778" i="3"/>
  <c r="Q1115" i="3"/>
  <c r="Q892" i="3"/>
  <c r="Q148" i="3"/>
  <c r="Q448" i="3"/>
  <c r="Q717" i="3"/>
  <c r="Q821" i="3"/>
  <c r="Q941" i="3"/>
  <c r="Q1061" i="3"/>
  <c r="Q1165" i="3"/>
  <c r="Q280" i="3"/>
  <c r="Q579" i="3"/>
  <c r="Q758" i="3"/>
  <c r="Q870" i="3"/>
  <c r="Q990" i="3"/>
  <c r="Q1094" i="3"/>
  <c r="Q283" i="3"/>
  <c r="Q603" i="3"/>
  <c r="Q759" i="3"/>
  <c r="Q879" i="3"/>
  <c r="Q991" i="3"/>
  <c r="Q456" i="3"/>
  <c r="Q1048" i="3"/>
  <c r="Q1138" i="3"/>
  <c r="Q1177" i="3"/>
  <c r="Q889" i="3"/>
  <c r="Q1180" i="3"/>
  <c r="Q1122" i="3"/>
  <c r="Q563" i="3"/>
  <c r="Q1072" i="3"/>
  <c r="Q224" i="3"/>
  <c r="Q961" i="3"/>
  <c r="Q1201" i="3"/>
  <c r="Q1206" i="3"/>
  <c r="Q904" i="3"/>
  <c r="Q1184" i="3"/>
  <c r="Q1205" i="3"/>
  <c r="Q745" i="3"/>
  <c r="Q1121" i="3"/>
  <c r="Q1113" i="3"/>
  <c r="Q153" i="3"/>
  <c r="Q948" i="3"/>
  <c r="Q853" i="3"/>
  <c r="Q364" i="3"/>
  <c r="Q1014" i="3"/>
  <c r="Q791" i="3"/>
  <c r="Q1114" i="3"/>
  <c r="Q1199" i="3"/>
  <c r="Q564" i="3"/>
  <c r="Q1032" i="3"/>
  <c r="Q1185" i="3"/>
  <c r="Q601" i="3"/>
  <c r="Q84" i="3"/>
  <c r="Q909" i="3"/>
  <c r="Q492" i="3"/>
  <c r="Q1078" i="3"/>
  <c r="Q847" i="3"/>
  <c r="Q1189" i="3"/>
  <c r="Q720" i="3"/>
  <c r="Q833" i="3"/>
  <c r="Q1142" i="3"/>
  <c r="Q180" i="3"/>
  <c r="Q1034" i="3"/>
  <c r="Q532" i="3"/>
  <c r="Q1077" i="3"/>
  <c r="Q790" i="3"/>
  <c r="Q368" i="3"/>
  <c r="Q1015" i="3"/>
  <c r="Q288" i="3"/>
  <c r="Q768" i="3"/>
  <c r="Q1194" i="3"/>
  <c r="Q1097" i="3"/>
  <c r="Q166" i="3"/>
  <c r="Q859" i="3"/>
  <c r="Q680" i="3"/>
  <c r="Q1141" i="3"/>
  <c r="Q838" i="3"/>
  <c r="Q516" i="3"/>
  <c r="Q200" i="3"/>
  <c r="Q761" i="3"/>
  <c r="Q960" i="3"/>
  <c r="Q1065" i="3"/>
  <c r="Q500" i="3"/>
  <c r="Q319" i="3"/>
  <c r="Q805" i="3"/>
  <c r="Q958" i="3"/>
  <c r="Q920" i="3"/>
  <c r="Q1156" i="3"/>
  <c r="Q1063" i="3"/>
  <c r="Q330" i="3"/>
  <c r="Q973" i="3"/>
  <c r="Q419" i="3"/>
  <c r="Q1029" i="3"/>
  <c r="Q196" i="3"/>
  <c r="Q1009" i="3"/>
  <c r="Q1161" i="3"/>
  <c r="Q147" i="3"/>
  <c r="Q44" i="3"/>
  <c r="Q644" i="3"/>
  <c r="Q1017" i="3"/>
  <c r="Q328" i="3"/>
  <c r="Q804" i="3"/>
  <c r="Q195" i="3"/>
  <c r="Q735" i="3"/>
  <c r="Q1137" i="3"/>
  <c r="Q776" i="3"/>
  <c r="Q235" i="3"/>
  <c r="Q643" i="3"/>
  <c r="Q363" i="3"/>
  <c r="Q734" i="3"/>
  <c r="Q959" i="3"/>
  <c r="Q220" i="3"/>
  <c r="Q976" i="3"/>
  <c r="Q550" i="3"/>
  <c r="Q741" i="3"/>
  <c r="Q902" i="3"/>
  <c r="Q728" i="3"/>
  <c r="Q1209" i="3"/>
  <c r="Q873" i="3"/>
  <c r="Q911" i="3"/>
  <c r="Q435" i="3"/>
  <c r="Q817" i="3"/>
  <c r="Q1073" i="3"/>
  <c r="Q1202" i="3"/>
  <c r="R1202" i="3" s="1"/>
  <c r="Q48" i="3"/>
  <c r="R1105" i="3" l="1"/>
  <c r="G8" i="3"/>
  <c r="H8" i="3"/>
  <c r="R479" i="3"/>
  <c r="R885" i="3"/>
  <c r="R619" i="3"/>
  <c r="R785" i="3"/>
  <c r="R776" i="3"/>
  <c r="R121" i="3"/>
  <c r="R343" i="3"/>
  <c r="R176" i="3"/>
  <c r="R1187" i="3"/>
  <c r="R616" i="3"/>
  <c r="R1075" i="3"/>
  <c r="R1059" i="3"/>
  <c r="R546" i="3"/>
  <c r="R504" i="3"/>
  <c r="R368" i="3"/>
  <c r="R800" i="3"/>
  <c r="R490" i="3"/>
  <c r="R1083" i="3"/>
  <c r="R578" i="3"/>
  <c r="R208" i="3"/>
  <c r="R872" i="3"/>
  <c r="R279" i="3"/>
  <c r="R1118" i="3"/>
  <c r="R403" i="3"/>
  <c r="R144" i="3"/>
  <c r="R671" i="3"/>
  <c r="R83" i="3"/>
  <c r="R510" i="3"/>
  <c r="R832" i="3"/>
  <c r="R949" i="3"/>
  <c r="R1108" i="3"/>
  <c r="R854" i="3"/>
  <c r="R549" i="3"/>
  <c r="R939" i="3"/>
  <c r="R440" i="3"/>
  <c r="R1021" i="3"/>
  <c r="R811" i="3"/>
  <c r="R240" i="3"/>
  <c r="R88" i="3"/>
  <c r="R837" i="3"/>
  <c r="R520" i="3"/>
  <c r="R93" i="3"/>
  <c r="R305" i="3"/>
  <c r="R270" i="3"/>
  <c r="R572" i="3"/>
  <c r="R610" i="3"/>
  <c r="R691" i="3"/>
  <c r="R40" i="3"/>
  <c r="R541" i="3"/>
  <c r="R223" i="3"/>
  <c r="R390" i="3"/>
  <c r="R908" i="3"/>
  <c r="R205" i="3"/>
  <c r="R915" i="3"/>
  <c r="R642" i="3"/>
  <c r="R374" i="3"/>
  <c r="R177" i="3"/>
  <c r="R859" i="3"/>
  <c r="R677" i="3"/>
  <c r="R1003" i="3"/>
  <c r="R408" i="3"/>
  <c r="R196" i="3"/>
  <c r="R180" i="3"/>
  <c r="R346" i="3"/>
  <c r="R1116" i="3"/>
  <c r="R790" i="3"/>
  <c r="R864" i="3"/>
  <c r="R1080" i="3"/>
  <c r="R744" i="3"/>
  <c r="R525" i="3"/>
  <c r="R363" i="3"/>
  <c r="R1141" i="3"/>
  <c r="R712" i="3"/>
  <c r="R1181" i="3"/>
  <c r="R771" i="3"/>
  <c r="R907" i="3"/>
  <c r="R664" i="3"/>
  <c r="R748" i="3"/>
  <c r="R1144" i="3"/>
  <c r="R1173" i="3"/>
  <c r="R1207" i="3"/>
  <c r="R1019" i="3"/>
  <c r="R450" i="3"/>
  <c r="R430" i="3"/>
  <c r="R597" i="3"/>
  <c r="R85" i="3"/>
  <c r="R198" i="3"/>
  <c r="R726" i="3"/>
  <c r="R74" i="3"/>
  <c r="R1168" i="3"/>
  <c r="R250" i="3"/>
  <c r="R736" i="3"/>
  <c r="R649" i="3"/>
  <c r="R896" i="3"/>
  <c r="R456" i="3"/>
  <c r="R444" i="3"/>
  <c r="R423" i="3"/>
  <c r="R1013" i="3"/>
  <c r="R1084" i="3"/>
  <c r="R80" i="3"/>
  <c r="R700" i="3"/>
  <c r="R561" i="3"/>
  <c r="R14" i="3"/>
  <c r="R378" i="3"/>
  <c r="R925" i="3"/>
  <c r="R418" i="3"/>
  <c r="R274" i="3"/>
  <c r="R894" i="3"/>
  <c r="R530" i="3"/>
  <c r="R856" i="3"/>
  <c r="R1145" i="3"/>
  <c r="R765" i="3"/>
  <c r="R326" i="3"/>
  <c r="R122" i="3"/>
  <c r="R1007" i="3"/>
  <c r="R931" i="3"/>
  <c r="R260" i="3"/>
  <c r="R589" i="3"/>
  <c r="R1096" i="3"/>
  <c r="R256" i="3"/>
  <c r="R1120" i="3"/>
  <c r="R1048" i="3"/>
  <c r="R1147" i="3"/>
  <c r="R653" i="3"/>
  <c r="R792" i="3"/>
  <c r="R723" i="3"/>
  <c r="R745" i="3"/>
  <c r="R56" i="3"/>
  <c r="R29" i="3"/>
  <c r="R49" i="3"/>
  <c r="R680" i="3"/>
  <c r="R720" i="3"/>
  <c r="R904" i="3"/>
  <c r="R1180" i="3"/>
  <c r="R891" i="3"/>
  <c r="R52" i="3"/>
  <c r="R1015" i="3"/>
  <c r="R729" i="3"/>
  <c r="R731" i="3"/>
  <c r="R1204" i="3"/>
  <c r="R701" i="3"/>
  <c r="R320" i="3"/>
  <c r="R650" i="3"/>
  <c r="R1135" i="3"/>
  <c r="R1029" i="3"/>
  <c r="R936" i="3"/>
  <c r="R981" i="3"/>
  <c r="R1044" i="3"/>
  <c r="R875" i="3"/>
  <c r="R808" i="3"/>
  <c r="R984" i="3"/>
  <c r="R218" i="3"/>
  <c r="R215" i="3"/>
  <c r="R382" i="3"/>
  <c r="R1149" i="3"/>
  <c r="R881" i="3"/>
  <c r="R138" i="3"/>
  <c r="R410" i="3"/>
  <c r="R795" i="3"/>
  <c r="R1171" i="3"/>
  <c r="R656" i="3"/>
  <c r="R477" i="3"/>
  <c r="R103" i="3"/>
  <c r="R661" i="3"/>
  <c r="R149" i="3"/>
  <c r="R753" i="3"/>
  <c r="R607" i="3"/>
  <c r="R262" i="3"/>
  <c r="R359" i="3"/>
  <c r="R688" i="3"/>
  <c r="R1062" i="3"/>
  <c r="R152" i="3"/>
  <c r="R1176" i="3"/>
  <c r="R392" i="3"/>
  <c r="R426" i="3"/>
  <c r="R130" i="3"/>
  <c r="R304" i="3"/>
  <c r="R704" i="3"/>
  <c r="R544" i="3"/>
  <c r="R806" i="3"/>
  <c r="R1104" i="3"/>
  <c r="R860" i="3"/>
  <c r="R568" i="3"/>
  <c r="R533" i="3"/>
  <c r="R768" i="3"/>
  <c r="R328" i="3"/>
  <c r="R316" i="3"/>
  <c r="R779" i="3"/>
  <c r="R498" i="3"/>
  <c r="R640" i="3"/>
  <c r="R116" i="3"/>
  <c r="R95" i="3"/>
  <c r="R764" i="3"/>
  <c r="R1139" i="3"/>
  <c r="R624" i="3"/>
  <c r="R113" i="3"/>
  <c r="R1049" i="3"/>
  <c r="R246" i="3"/>
  <c r="R413" i="3"/>
  <c r="R508" i="3"/>
  <c r="R995" i="3"/>
  <c r="R376" i="3"/>
  <c r="R272" i="3"/>
  <c r="R552" i="3"/>
  <c r="R483" i="3"/>
  <c r="R362" i="3"/>
  <c r="R634" i="3"/>
  <c r="R1102" i="3"/>
  <c r="R934" i="3"/>
  <c r="R787" i="3"/>
  <c r="R506" i="3"/>
  <c r="R637" i="3"/>
  <c r="R48" i="3"/>
  <c r="R1213" i="3"/>
  <c r="R1043" i="3"/>
  <c r="R851" i="3"/>
  <c r="R1160" i="3"/>
  <c r="R1032" i="3"/>
  <c r="R888" i="3"/>
  <c r="R968" i="3"/>
  <c r="R962" i="3"/>
  <c r="R355" i="3"/>
  <c r="R1052" i="3"/>
  <c r="R70" i="3"/>
  <c r="R454" i="3"/>
  <c r="R817" i="3"/>
  <c r="R816" i="3"/>
  <c r="R264" i="3"/>
  <c r="R230" i="3"/>
  <c r="R231" i="3"/>
  <c r="H9" i="3"/>
  <c r="G9" i="3"/>
  <c r="H17" i="3"/>
  <c r="G17" i="3"/>
  <c r="R1125" i="3"/>
  <c r="H21" i="3"/>
  <c r="G21" i="3"/>
  <c r="H18" i="3"/>
  <c r="G18" i="3"/>
  <c r="R693" i="3"/>
  <c r="R1024" i="3"/>
  <c r="R1004" i="3"/>
  <c r="R24" i="3"/>
  <c r="R761" i="3"/>
  <c r="H22" i="3"/>
  <c r="G22" i="3"/>
  <c r="R564" i="3"/>
  <c r="R778" i="3"/>
  <c r="R397" i="3"/>
  <c r="R68" i="3"/>
  <c r="R349" i="3"/>
  <c r="R715" i="3"/>
  <c r="R188" i="3"/>
  <c r="G16" i="3"/>
  <c r="H16" i="3"/>
  <c r="G14" i="3"/>
  <c r="H14" i="3"/>
  <c r="R920" i="3"/>
  <c r="R330" i="3"/>
  <c r="R394" i="3"/>
  <c r="R1056" i="3"/>
  <c r="R560" i="3"/>
  <c r="R917" i="3"/>
  <c r="R400" i="3"/>
  <c r="R405" i="3"/>
  <c r="R252" i="3"/>
  <c r="R699" i="3"/>
  <c r="H12" i="3"/>
  <c r="G12" i="3"/>
  <c r="G23" i="3"/>
  <c r="H23" i="3"/>
  <c r="H19" i="3"/>
  <c r="G19" i="3"/>
  <c r="H20" i="3"/>
  <c r="G20" i="3"/>
  <c r="H11" i="3"/>
  <c r="G11" i="3"/>
  <c r="G10" i="3"/>
  <c r="H13" i="3"/>
  <c r="G13" i="3"/>
  <c r="H15" i="3"/>
  <c r="G15" i="3"/>
  <c r="R35" i="3"/>
  <c r="R280" i="3"/>
  <c r="R644" i="3"/>
  <c r="R112" i="3"/>
  <c r="R1045" i="3"/>
  <c r="R282" i="3"/>
  <c r="R742" i="3"/>
  <c r="R461" i="3"/>
  <c r="R876" i="3"/>
  <c r="R514" i="3"/>
  <c r="R613" i="3"/>
  <c r="R606" i="3"/>
  <c r="R1155" i="3"/>
  <c r="R1094" i="3"/>
  <c r="R780" i="3"/>
  <c r="R628" i="3"/>
  <c r="R740" i="3"/>
  <c r="R953" i="3"/>
  <c r="R912" i="3"/>
  <c r="R796" i="3"/>
  <c r="R452" i="3"/>
  <c r="R424" i="3"/>
  <c r="R615" i="3"/>
  <c r="R763" i="3"/>
  <c r="R132" i="3"/>
  <c r="R1088" i="3"/>
  <c r="R600" i="3"/>
  <c r="R1190" i="3"/>
  <c r="R733" i="3"/>
  <c r="R295" i="3"/>
  <c r="R441" i="3"/>
  <c r="R584" i="3"/>
  <c r="R72" i="3"/>
  <c r="R1211" i="3"/>
  <c r="R351" i="3"/>
  <c r="R157" i="3"/>
  <c r="R557" i="3"/>
  <c r="R1137" i="3"/>
  <c r="R960" i="3"/>
  <c r="R464" i="3"/>
  <c r="R697" i="3"/>
  <c r="R899" i="3"/>
  <c r="R1009" i="3"/>
  <c r="R184" i="3"/>
  <c r="R23" i="3"/>
  <c r="R538" i="3"/>
  <c r="R46" i="3"/>
  <c r="R213" i="3"/>
  <c r="R344" i="3"/>
  <c r="R1148" i="3"/>
  <c r="R1054" i="3"/>
  <c r="R1068" i="3"/>
  <c r="R372" i="3"/>
  <c r="R227" i="3"/>
  <c r="R1113" i="3"/>
  <c r="R535" i="3"/>
  <c r="R26" i="3"/>
  <c r="R739" i="3"/>
  <c r="R849" i="3"/>
  <c r="R42" i="3"/>
  <c r="R1163" i="3"/>
  <c r="R732" i="3"/>
  <c r="R202" i="3"/>
  <c r="R682" i="3"/>
  <c r="R170" i="3"/>
  <c r="R902" i="3"/>
  <c r="R448" i="3"/>
  <c r="R1051" i="3"/>
  <c r="R415" i="3"/>
  <c r="R380" i="3"/>
  <c r="R398" i="3"/>
  <c r="R565" i="3"/>
  <c r="R621" i="3"/>
  <c r="R784" i="3"/>
  <c r="R248" i="3"/>
  <c r="R747" i="3"/>
  <c r="R602" i="3"/>
  <c r="R90" i="3"/>
  <c r="R1107" i="3"/>
  <c r="R277" i="3"/>
  <c r="R848" i="3"/>
  <c r="R1112" i="3"/>
  <c r="R921" i="3"/>
  <c r="R285" i="3"/>
  <c r="R99" i="3"/>
  <c r="R812" i="3"/>
  <c r="R1093" i="3"/>
  <c r="R536" i="3"/>
  <c r="R1078" i="3"/>
  <c r="R386" i="3"/>
  <c r="R516" i="3"/>
  <c r="R852" i="3"/>
  <c r="R972" i="3"/>
  <c r="R825" i="3"/>
  <c r="R570" i="3"/>
  <c r="R58" i="3"/>
  <c r="R200" i="3"/>
  <c r="R594" i="3"/>
  <c r="R679" i="3"/>
  <c r="R334" i="3"/>
  <c r="R979" i="3"/>
  <c r="R60" i="3"/>
  <c r="R312" i="3"/>
  <c r="R134" i="3"/>
  <c r="R1011" i="3"/>
  <c r="R956" i="3"/>
  <c r="R18" i="3"/>
  <c r="R666" i="3"/>
  <c r="R154" i="3"/>
  <c r="R629" i="3"/>
  <c r="R118" i="3"/>
  <c r="R518" i="3"/>
  <c r="R174" i="3"/>
  <c r="R341" i="3"/>
  <c r="R805" i="3"/>
  <c r="R543" i="3"/>
  <c r="R515" i="3"/>
  <c r="R721" i="3"/>
  <c r="R1162" i="3"/>
  <c r="R1041" i="3"/>
  <c r="R868" i="3"/>
  <c r="R432" i="3"/>
  <c r="R458" i="3"/>
  <c r="R803" i="3"/>
  <c r="R1132" i="3"/>
  <c r="R1072" i="3"/>
  <c r="R645" i="3"/>
  <c r="R1067" i="3"/>
  <c r="R487" i="3"/>
  <c r="R324" i="3"/>
  <c r="R718" i="3"/>
  <c r="R1169" i="3"/>
  <c r="R760" i="3"/>
  <c r="R755" i="3"/>
  <c r="R469" i="3"/>
  <c r="R120" i="3"/>
  <c r="R658" i="3"/>
  <c r="R632" i="3"/>
  <c r="R1158" i="3"/>
  <c r="R417" i="3"/>
  <c r="R998" i="3"/>
  <c r="R976" i="3"/>
  <c r="R234" i="3"/>
  <c r="R1027" i="3"/>
  <c r="R1110" i="3"/>
  <c r="R924" i="3"/>
  <c r="R916" i="3"/>
  <c r="R636" i="3"/>
  <c r="R965" i="3"/>
  <c r="R611" i="3"/>
  <c r="R1026" i="3"/>
  <c r="R1115" i="3"/>
  <c r="R599" i="3"/>
  <c r="R87" i="3"/>
  <c r="R254" i="3"/>
  <c r="R269" i="3"/>
  <c r="R436" i="3"/>
  <c r="R928" i="3"/>
  <c r="R1064" i="3"/>
  <c r="R1081" i="3"/>
  <c r="R728" i="3"/>
  <c r="R287" i="3"/>
  <c r="R124" i="3"/>
  <c r="R797" i="3"/>
  <c r="R433" i="3"/>
  <c r="R862" i="3"/>
  <c r="R940" i="3"/>
  <c r="R709" i="3"/>
  <c r="R1035" i="3"/>
  <c r="R974" i="3"/>
  <c r="R1099" i="3"/>
  <c r="R1177" i="3"/>
  <c r="R1000" i="3"/>
  <c r="R526" i="3"/>
  <c r="R592" i="3"/>
  <c r="R724" i="3"/>
  <c r="R462" i="3"/>
  <c r="R947" i="3"/>
  <c r="R64" i="3"/>
  <c r="R31" i="3"/>
  <c r="R266" i="3"/>
  <c r="R987" i="3"/>
  <c r="R167" i="3"/>
  <c r="R159" i="3"/>
  <c r="R466" i="3"/>
  <c r="R471" i="3"/>
  <c r="R126" i="3"/>
  <c r="R141" i="3"/>
  <c r="R308" i="3"/>
  <c r="R586" i="3"/>
  <c r="R161" i="3"/>
  <c r="R339" i="3"/>
  <c r="R38" i="3"/>
  <c r="R1194" i="3"/>
  <c r="R706" i="3"/>
  <c r="R830" i="3"/>
  <c r="R971" i="3"/>
  <c r="R977" i="3"/>
  <c r="R1085" i="3"/>
  <c r="R879" i="3"/>
  <c r="R773" i="3"/>
  <c r="R1184" i="3"/>
  <c r="R1091" i="3"/>
  <c r="R1192" i="3"/>
  <c r="R1157" i="3"/>
  <c r="R106" i="3"/>
  <c r="R1172" i="3"/>
  <c r="R827" i="3"/>
  <c r="R695" i="3"/>
  <c r="R206" i="3"/>
  <c r="R883" i="3"/>
  <c r="R291" i="3"/>
  <c r="R194" i="3"/>
  <c r="R580" i="3"/>
  <c r="R528" i="3"/>
  <c r="R923" i="3"/>
  <c r="R582" i="3"/>
  <c r="R407" i="3"/>
  <c r="R62" i="3"/>
  <c r="R77" i="3"/>
  <c r="R244" i="3"/>
  <c r="R438" i="3"/>
  <c r="R238" i="3"/>
  <c r="R486" i="3"/>
  <c r="R789" i="3"/>
  <c r="R824" i="3"/>
  <c r="R950" i="3"/>
  <c r="R1109" i="3"/>
  <c r="R1006" i="3"/>
  <c r="R190" i="3"/>
  <c r="R988" i="3"/>
  <c r="R1174" i="3"/>
  <c r="R992" i="3"/>
  <c r="R842" i="3"/>
  <c r="R821" i="3"/>
  <c r="R21" i="3"/>
  <c r="R982" i="3"/>
  <c r="R844" i="3"/>
  <c r="R793" i="3"/>
  <c r="R1040" i="3"/>
  <c r="R472" i="3"/>
  <c r="R168" i="3"/>
  <c r="R958" i="3"/>
  <c r="R943" i="3"/>
  <c r="R1038" i="3"/>
  <c r="R522" i="3"/>
  <c r="R1131" i="3"/>
  <c r="R496" i="3"/>
  <c r="R210" i="3"/>
  <c r="R233" i="3"/>
  <c r="R354" i="3"/>
  <c r="R609" i="3"/>
  <c r="R587" i="3"/>
  <c r="R1152" i="3"/>
  <c r="R1030" i="3"/>
  <c r="R751" i="3"/>
  <c r="R298" i="3"/>
  <c r="R819" i="3"/>
  <c r="R422" i="3"/>
  <c r="R710" i="3"/>
  <c r="R941" i="3"/>
  <c r="R185" i="3"/>
  <c r="R573" i="3"/>
  <c r="R1201" i="3"/>
  <c r="R314" i="3"/>
  <c r="R136" i="3"/>
  <c r="R221" i="3"/>
  <c r="R1077" i="3"/>
  <c r="R242" i="3"/>
  <c r="R446" i="3"/>
  <c r="R512" i="3"/>
  <c r="R481" i="3"/>
  <c r="R310" i="3"/>
  <c r="R147" i="3"/>
  <c r="R402" i="3"/>
  <c r="R110" i="3"/>
  <c r="R17" i="3"/>
  <c r="R358" i="3"/>
  <c r="R352" i="3"/>
  <c r="R840" i="3"/>
  <c r="R1001" i="3"/>
  <c r="R980" i="3"/>
  <c r="R892" i="3"/>
  <c r="R834" i="3"/>
  <c r="R685" i="3"/>
  <c r="R1034" i="3"/>
  <c r="R551" i="3"/>
  <c r="R388" i="3"/>
  <c r="R1179" i="3"/>
  <c r="R663" i="3"/>
  <c r="R151" i="3"/>
  <c r="R318" i="3"/>
  <c r="R333" i="3"/>
  <c r="R500" i="3"/>
  <c r="R674" i="3"/>
  <c r="R846" i="3"/>
  <c r="R1100" i="3"/>
  <c r="R861" i="3"/>
  <c r="R474" i="3"/>
  <c r="R142" i="3"/>
  <c r="R948" i="3"/>
  <c r="R467" i="3"/>
  <c r="R322" i="3"/>
  <c r="R166" i="3"/>
  <c r="R384" i="3"/>
  <c r="R449" i="3"/>
  <c r="R627" i="3"/>
  <c r="R336" i="3"/>
  <c r="R1197" i="3"/>
  <c r="R867" i="3"/>
  <c r="R1128" i="3"/>
  <c r="R162" i="3"/>
  <c r="R813" i="3"/>
  <c r="R759" i="3"/>
  <c r="R1016" i="3"/>
  <c r="R646" i="3"/>
  <c r="R955" i="3"/>
  <c r="R39" i="3"/>
  <c r="R555" i="3"/>
  <c r="R901" i="3"/>
  <c r="R54" i="3"/>
  <c r="R66" i="3"/>
  <c r="R366" i="3"/>
  <c r="R1195" i="3"/>
  <c r="R1153" i="3"/>
  <c r="R869" i="3"/>
  <c r="R843" i="3"/>
  <c r="R838" i="3"/>
  <c r="R1198" i="3"/>
  <c r="R1129" i="3"/>
  <c r="R996" i="3"/>
  <c r="R1022" i="3"/>
  <c r="R1142" i="3"/>
  <c r="R1089" i="3"/>
  <c r="R873" i="3"/>
  <c r="R918" i="3"/>
  <c r="R833" i="3"/>
  <c r="R1200" i="3"/>
  <c r="R1150" i="3"/>
  <c r="R296" i="3"/>
  <c r="R945" i="3"/>
  <c r="R841" i="3"/>
  <c r="R951" i="3"/>
  <c r="R299" i="3"/>
  <c r="R547" i="3"/>
  <c r="R1166" i="3"/>
  <c r="R913" i="3"/>
  <c r="R757" i="3"/>
  <c r="R1196" i="3"/>
  <c r="R1028" i="3"/>
  <c r="R672" i="3"/>
  <c r="R313" i="3"/>
  <c r="R758" i="3"/>
  <c r="R750" i="3"/>
  <c r="R845" i="3"/>
  <c r="R1033" i="3"/>
  <c r="R820" i="3"/>
  <c r="R683" i="3"/>
  <c r="R562" i="3"/>
  <c r="R675" i="3"/>
  <c r="R954" i="3"/>
  <c r="R1127" i="3"/>
  <c r="R297" i="3"/>
  <c r="R638" i="3"/>
  <c r="R475" i="3"/>
  <c r="R818" i="3"/>
  <c r="R991" i="3"/>
  <c r="R673" i="3"/>
  <c r="R335" i="3"/>
  <c r="R502" i="3"/>
  <c r="R517" i="3"/>
  <c r="R684" i="3"/>
  <c r="R172" i="3"/>
  <c r="R1130" i="3"/>
  <c r="R480" i="3"/>
  <c r="R791" i="3"/>
  <c r="R473" i="3"/>
  <c r="R647" i="3"/>
  <c r="R135" i="3"/>
  <c r="R302" i="3"/>
  <c r="R317" i="3"/>
  <c r="R484" i="3"/>
  <c r="R651" i="3"/>
  <c r="R139" i="3"/>
  <c r="R866" i="3"/>
  <c r="R1039" i="3"/>
  <c r="R114" i="3"/>
  <c r="R209" i="3"/>
  <c r="R383" i="3"/>
  <c r="R550" i="3"/>
  <c r="R53" i="3"/>
  <c r="R220" i="3"/>
  <c r="R387" i="3"/>
  <c r="R1178" i="3"/>
  <c r="R626" i="3"/>
  <c r="R839" i="3"/>
  <c r="R521" i="3"/>
  <c r="R16" i="3"/>
  <c r="R183" i="3"/>
  <c r="R350" i="3"/>
  <c r="R365" i="3"/>
  <c r="R532" i="3"/>
  <c r="R20" i="3"/>
  <c r="R187" i="3"/>
  <c r="R978" i="3"/>
  <c r="R1151" i="3"/>
  <c r="R554" i="3"/>
  <c r="R321" i="3"/>
  <c r="R495" i="3"/>
  <c r="R662" i="3"/>
  <c r="R150" i="3"/>
  <c r="R165" i="3"/>
  <c r="R332" i="3"/>
  <c r="R499" i="3"/>
  <c r="R989" i="3"/>
  <c r="R1086" i="3"/>
  <c r="R766" i="3"/>
  <c r="R997" i="3"/>
  <c r="R801" i="3"/>
  <c r="R713" i="3"/>
  <c r="R43" i="3"/>
  <c r="R1133" i="3"/>
  <c r="R964" i="3"/>
  <c r="R57" i="3"/>
  <c r="R1025" i="3"/>
  <c r="R717" i="3"/>
  <c r="R905" i="3"/>
  <c r="R756" i="3"/>
  <c r="R1079" i="3"/>
  <c r="R590" i="3"/>
  <c r="R427" i="3"/>
  <c r="R1071" i="3"/>
  <c r="R419" i="3"/>
  <c r="R890" i="3"/>
  <c r="R1063" i="3"/>
  <c r="R574" i="3"/>
  <c r="R411" i="3"/>
  <c r="R754" i="3"/>
  <c r="R927" i="3"/>
  <c r="R97" i="3"/>
  <c r="R271" i="3"/>
  <c r="R453" i="3"/>
  <c r="R620" i="3"/>
  <c r="R108" i="3"/>
  <c r="R275" i="3"/>
  <c r="R1066" i="3"/>
  <c r="R224" i="3"/>
  <c r="R727" i="3"/>
  <c r="R409" i="3"/>
  <c r="R583" i="3"/>
  <c r="R71" i="3"/>
  <c r="R253" i="3"/>
  <c r="R420" i="3"/>
  <c r="R75" i="3"/>
  <c r="R802" i="3"/>
  <c r="R975" i="3"/>
  <c r="R657" i="3"/>
  <c r="R145" i="3"/>
  <c r="R319" i="3"/>
  <c r="R501" i="3"/>
  <c r="R668" i="3"/>
  <c r="R156" i="3"/>
  <c r="R323" i="3"/>
  <c r="R1114" i="3"/>
  <c r="R416" i="3"/>
  <c r="R775" i="3"/>
  <c r="R457" i="3"/>
  <c r="R631" i="3"/>
  <c r="R119" i="3"/>
  <c r="R286" i="3"/>
  <c r="R301" i="3"/>
  <c r="R468" i="3"/>
  <c r="R635" i="3"/>
  <c r="R123" i="3"/>
  <c r="R914" i="3"/>
  <c r="R1087" i="3"/>
  <c r="R306" i="3"/>
  <c r="R257" i="3"/>
  <c r="R431" i="3"/>
  <c r="R598" i="3"/>
  <c r="R86" i="3"/>
  <c r="R101" i="3"/>
  <c r="R268" i="3"/>
  <c r="R435" i="3"/>
  <c r="R1164" i="3"/>
  <c r="R893" i="3"/>
  <c r="R107" i="3"/>
  <c r="R734" i="3"/>
  <c r="R741" i="3"/>
  <c r="R933" i="3"/>
  <c r="R633" i="3"/>
  <c r="R910" i="3"/>
  <c r="R1005" i="3"/>
  <c r="R1189" i="3"/>
  <c r="R952" i="3"/>
  <c r="R900" i="3"/>
  <c r="R970" i="3"/>
  <c r="R865" i="3"/>
  <c r="R1210" i="3"/>
  <c r="R777" i="3"/>
  <c r="R692" i="3"/>
  <c r="R823" i="3"/>
  <c r="R171" i="3"/>
  <c r="R815" i="3"/>
  <c r="R163" i="3"/>
  <c r="R826" i="3"/>
  <c r="R999" i="3"/>
  <c r="R681" i="3"/>
  <c r="R169" i="3"/>
  <c r="R347" i="3"/>
  <c r="R98" i="3"/>
  <c r="R690" i="3"/>
  <c r="R863" i="3"/>
  <c r="R545" i="3"/>
  <c r="R33" i="3"/>
  <c r="R207" i="3"/>
  <c r="R389" i="3"/>
  <c r="R556" i="3"/>
  <c r="R44" i="3"/>
  <c r="R211" i="3"/>
  <c r="R1002" i="3"/>
  <c r="R1175" i="3"/>
  <c r="R618" i="3"/>
  <c r="R345" i="3"/>
  <c r="R519" i="3"/>
  <c r="R686" i="3"/>
  <c r="R189" i="3"/>
  <c r="R356" i="3"/>
  <c r="R523" i="3"/>
  <c r="R290" i="3"/>
  <c r="R738" i="3"/>
  <c r="R911" i="3"/>
  <c r="R593" i="3"/>
  <c r="R81" i="3"/>
  <c r="R255" i="3"/>
  <c r="R437" i="3"/>
  <c r="R604" i="3"/>
  <c r="R92" i="3"/>
  <c r="R259" i="3"/>
  <c r="R1050" i="3"/>
  <c r="R160" i="3"/>
  <c r="R711" i="3"/>
  <c r="R393" i="3"/>
  <c r="R567" i="3"/>
  <c r="R55" i="3"/>
  <c r="R222" i="3"/>
  <c r="R237" i="3"/>
  <c r="R404" i="3"/>
  <c r="R571" i="3"/>
  <c r="R59" i="3"/>
  <c r="R850" i="3"/>
  <c r="R1023" i="3"/>
  <c r="R50" i="3"/>
  <c r="R193" i="3"/>
  <c r="R367" i="3"/>
  <c r="R534" i="3"/>
  <c r="R22" i="3"/>
  <c r="R37" i="3"/>
  <c r="R204" i="3"/>
  <c r="R371" i="3"/>
  <c r="R1060" i="3"/>
  <c r="R1199" i="3"/>
  <c r="R1036" i="3"/>
  <c r="R1098" i="3"/>
  <c r="R1193" i="3"/>
  <c r="R1046" i="3"/>
  <c r="R1124" i="3"/>
  <c r="R944" i="3"/>
  <c r="R1191" i="3"/>
  <c r="R1057" i="3"/>
  <c r="R1212" i="3"/>
  <c r="R377" i="3"/>
  <c r="R360" i="3"/>
  <c r="R625" i="3"/>
  <c r="R782" i="3"/>
  <c r="R877" i="3"/>
  <c r="R1065" i="3"/>
  <c r="R836" i="3"/>
  <c r="R714" i="3"/>
  <c r="R1136" i="3"/>
  <c r="R737" i="3"/>
  <c r="R1061" i="3"/>
  <c r="R581" i="3"/>
  <c r="R1140" i="3"/>
  <c r="R78" i="3"/>
  <c r="R488" i="3"/>
  <c r="R762" i="3"/>
  <c r="R935" i="3"/>
  <c r="R617" i="3"/>
  <c r="R105" i="3"/>
  <c r="R283" i="3"/>
  <c r="R1138" i="3"/>
  <c r="R799" i="3"/>
  <c r="R655" i="3"/>
  <c r="R143" i="3"/>
  <c r="R325" i="3"/>
  <c r="R492" i="3"/>
  <c r="R659" i="3"/>
  <c r="R938" i="3"/>
  <c r="R1111" i="3"/>
  <c r="R281" i="3"/>
  <c r="R455" i="3"/>
  <c r="R622" i="3"/>
  <c r="R125" i="3"/>
  <c r="R292" i="3"/>
  <c r="R459" i="3"/>
  <c r="R34" i="3"/>
  <c r="R648" i="3"/>
  <c r="R847" i="3"/>
  <c r="R529" i="3"/>
  <c r="R191" i="3"/>
  <c r="R373" i="3"/>
  <c r="R540" i="3"/>
  <c r="R28" i="3"/>
  <c r="R195" i="3"/>
  <c r="R986" i="3"/>
  <c r="R1159" i="3"/>
  <c r="R576" i="3"/>
  <c r="R329" i="3"/>
  <c r="R503" i="3"/>
  <c r="R670" i="3"/>
  <c r="R158" i="3"/>
  <c r="R173" i="3"/>
  <c r="R340" i="3"/>
  <c r="R507" i="3"/>
  <c r="R482" i="3"/>
  <c r="R786" i="3"/>
  <c r="R959" i="3"/>
  <c r="R641" i="3"/>
  <c r="R129" i="3"/>
  <c r="R303" i="3"/>
  <c r="R470" i="3"/>
  <c r="R485" i="3"/>
  <c r="R652" i="3"/>
  <c r="R140" i="3"/>
  <c r="R307" i="3"/>
  <c r="R1121" i="3"/>
  <c r="R889" i="3"/>
  <c r="R1208" i="3"/>
  <c r="R990" i="3"/>
  <c r="R926" i="3"/>
  <c r="R870" i="3"/>
  <c r="R957" i="3"/>
  <c r="R1126" i="3"/>
  <c r="R857" i="3"/>
  <c r="R932" i="3"/>
  <c r="R1017" i="3"/>
  <c r="R1020" i="3"/>
  <c r="R1090" i="3"/>
  <c r="R1070" i="3"/>
  <c r="R1165" i="3"/>
  <c r="R104" i="3"/>
  <c r="R369" i="3"/>
  <c r="R1073" i="3"/>
  <c r="R749" i="3"/>
  <c r="R937" i="3"/>
  <c r="R696" i="3"/>
  <c r="R772" i="3"/>
  <c r="R1143" i="3"/>
  <c r="R654" i="3"/>
  <c r="R491" i="3"/>
  <c r="R1008" i="3"/>
  <c r="R442" i="3"/>
  <c r="R1185" i="3"/>
  <c r="R853" i="3"/>
  <c r="R1076" i="3"/>
  <c r="R505" i="3"/>
  <c r="R232" i="3"/>
  <c r="R497" i="3"/>
  <c r="R698" i="3"/>
  <c r="R871" i="3"/>
  <c r="R553" i="3"/>
  <c r="R41" i="3"/>
  <c r="R219" i="3"/>
  <c r="R1074" i="3"/>
  <c r="R735" i="3"/>
  <c r="R591" i="3"/>
  <c r="R79" i="3"/>
  <c r="R261" i="3"/>
  <c r="R428" i="3"/>
  <c r="R595" i="3"/>
  <c r="R874" i="3"/>
  <c r="R1047" i="3"/>
  <c r="R146" i="3"/>
  <c r="R217" i="3"/>
  <c r="R391" i="3"/>
  <c r="R558" i="3"/>
  <c r="R61" i="3"/>
  <c r="R228" i="3"/>
  <c r="R395" i="3"/>
  <c r="R1122" i="3"/>
  <c r="R783" i="3"/>
  <c r="R465" i="3"/>
  <c r="R639" i="3"/>
  <c r="R127" i="3"/>
  <c r="R294" i="3"/>
  <c r="R309" i="3"/>
  <c r="R476" i="3"/>
  <c r="R643" i="3"/>
  <c r="R131" i="3"/>
  <c r="R922" i="3"/>
  <c r="R1095" i="3"/>
  <c r="R338" i="3"/>
  <c r="R265" i="3"/>
  <c r="R439" i="3"/>
  <c r="R94" i="3"/>
  <c r="R109" i="3"/>
  <c r="R276" i="3"/>
  <c r="R443" i="3"/>
  <c r="R226" i="3"/>
  <c r="R722" i="3"/>
  <c r="R895" i="3"/>
  <c r="R577" i="3"/>
  <c r="R65" i="3"/>
  <c r="R239" i="3"/>
  <c r="R406" i="3"/>
  <c r="R421" i="3"/>
  <c r="R588" i="3"/>
  <c r="R76" i="3"/>
  <c r="R243" i="3"/>
  <c r="R993" i="3"/>
  <c r="R1117" i="3"/>
  <c r="R798" i="3"/>
  <c r="R963" i="3"/>
  <c r="R804" i="3"/>
  <c r="R966" i="3"/>
  <c r="R961" i="3"/>
  <c r="R1069" i="3"/>
  <c r="R828" i="3"/>
  <c r="R689" i="3"/>
  <c r="R1209" i="3"/>
  <c r="R186" i="3"/>
  <c r="R942" i="3"/>
  <c r="R1037" i="3"/>
  <c r="R1205" i="3"/>
  <c r="R897" i="3"/>
  <c r="R809" i="3"/>
  <c r="R708" i="3"/>
  <c r="R887" i="3"/>
  <c r="R235" i="3"/>
  <c r="R880" i="3"/>
  <c r="R1134" i="3"/>
  <c r="R1206" i="3"/>
  <c r="R725" i="3"/>
  <c r="R1012" i="3"/>
  <c r="R249" i="3"/>
  <c r="R608" i="3"/>
  <c r="R241" i="3"/>
  <c r="R1146" i="3"/>
  <c r="R807" i="3"/>
  <c r="R489" i="3"/>
  <c r="R667" i="3"/>
  <c r="R155" i="3"/>
  <c r="R1010" i="3"/>
  <c r="R1183" i="3"/>
  <c r="R353" i="3"/>
  <c r="R527" i="3"/>
  <c r="R15" i="3"/>
  <c r="R182" i="3"/>
  <c r="R197" i="3"/>
  <c r="R364" i="3"/>
  <c r="R531" i="3"/>
  <c r="R19" i="3"/>
  <c r="R810" i="3"/>
  <c r="R983" i="3"/>
  <c r="R665" i="3"/>
  <c r="R153" i="3"/>
  <c r="R327" i="3"/>
  <c r="R494" i="3"/>
  <c r="R509" i="3"/>
  <c r="R676" i="3"/>
  <c r="R164" i="3"/>
  <c r="R331" i="3"/>
  <c r="R1058" i="3"/>
  <c r="R192" i="3"/>
  <c r="R719" i="3"/>
  <c r="R401" i="3"/>
  <c r="R575" i="3"/>
  <c r="R63" i="3"/>
  <c r="R245" i="3"/>
  <c r="R412" i="3"/>
  <c r="R579" i="3"/>
  <c r="R67" i="3"/>
  <c r="R858" i="3"/>
  <c r="R1031" i="3"/>
  <c r="R82" i="3"/>
  <c r="R201" i="3"/>
  <c r="R375" i="3"/>
  <c r="R542" i="3"/>
  <c r="R30" i="3"/>
  <c r="R45" i="3"/>
  <c r="R212" i="3"/>
  <c r="R379" i="3"/>
  <c r="R1170" i="3"/>
  <c r="R605" i="3"/>
  <c r="R831" i="3"/>
  <c r="R513" i="3"/>
  <c r="R687" i="3"/>
  <c r="R175" i="3"/>
  <c r="R342" i="3"/>
  <c r="R357" i="3"/>
  <c r="R524" i="3"/>
  <c r="R179" i="3"/>
  <c r="R929" i="3"/>
  <c r="R1053" i="3"/>
  <c r="R822" i="3"/>
  <c r="R814" i="3"/>
  <c r="R909" i="3"/>
  <c r="R1097" i="3"/>
  <c r="R769" i="3"/>
  <c r="R1156" i="3"/>
  <c r="R1014" i="3"/>
  <c r="R752" i="3"/>
  <c r="R1101" i="3"/>
  <c r="R1154" i="3"/>
  <c r="R1082" i="3"/>
  <c r="R288" i="3"/>
  <c r="R743" i="3"/>
  <c r="R425" i="3"/>
  <c r="R603" i="3"/>
  <c r="R91" i="3"/>
  <c r="R946" i="3"/>
  <c r="R1119" i="3"/>
  <c r="R434" i="3"/>
  <c r="R289" i="3"/>
  <c r="R463" i="3"/>
  <c r="R630" i="3"/>
  <c r="R133" i="3"/>
  <c r="R300" i="3"/>
  <c r="R746" i="3"/>
  <c r="R919" i="3"/>
  <c r="R601" i="3"/>
  <c r="R89" i="3"/>
  <c r="R263" i="3"/>
  <c r="R445" i="3"/>
  <c r="R612" i="3"/>
  <c r="R100" i="3"/>
  <c r="R267" i="3"/>
  <c r="R994" i="3"/>
  <c r="R1167" i="3"/>
  <c r="R337" i="3"/>
  <c r="R511" i="3"/>
  <c r="R678" i="3"/>
  <c r="R181" i="3"/>
  <c r="R348" i="3"/>
  <c r="R794" i="3"/>
  <c r="R967" i="3"/>
  <c r="R137" i="3"/>
  <c r="R311" i="3"/>
  <c r="R478" i="3"/>
  <c r="R493" i="3"/>
  <c r="R660" i="3"/>
  <c r="R148" i="3"/>
  <c r="R315" i="3"/>
  <c r="R1106" i="3"/>
  <c r="R767" i="3"/>
  <c r="R623" i="3"/>
  <c r="R111" i="3"/>
  <c r="R278" i="3"/>
  <c r="R293" i="3"/>
  <c r="R460" i="3"/>
  <c r="R115" i="3"/>
  <c r="R835" i="3"/>
  <c r="R707" i="3"/>
  <c r="R1203" i="3"/>
  <c r="R702" i="3"/>
  <c r="R1182" i="3"/>
  <c r="R774" i="3"/>
  <c r="R705" i="3"/>
  <c r="R829" i="3"/>
  <c r="R1188" i="3"/>
  <c r="R716" i="3"/>
  <c r="R694" i="3"/>
  <c r="R781" i="3"/>
  <c r="R969" i="3"/>
  <c r="R96" i="3"/>
  <c r="R770" i="3"/>
  <c r="R1092" i="3"/>
  <c r="R569" i="3"/>
  <c r="R886" i="3"/>
  <c r="R878" i="3"/>
  <c r="R973" i="3"/>
  <c r="R1161" i="3"/>
  <c r="R884" i="3"/>
  <c r="R906" i="3"/>
  <c r="R898" i="3"/>
  <c r="R1018" i="3"/>
  <c r="R32" i="3"/>
  <c r="R361" i="3"/>
  <c r="R539" i="3"/>
  <c r="R27" i="3"/>
  <c r="R882" i="3"/>
  <c r="R1055" i="3"/>
  <c r="R178" i="3"/>
  <c r="R225" i="3"/>
  <c r="R399" i="3"/>
  <c r="R566" i="3"/>
  <c r="R69" i="3"/>
  <c r="R236" i="3"/>
  <c r="R669" i="3"/>
  <c r="R855" i="3"/>
  <c r="R537" i="3"/>
  <c r="R25" i="3"/>
  <c r="R199" i="3"/>
  <c r="R381" i="3"/>
  <c r="R548" i="3"/>
  <c r="R36" i="3"/>
  <c r="R203" i="3"/>
  <c r="R930" i="3"/>
  <c r="R1103" i="3"/>
  <c r="R370" i="3"/>
  <c r="R273" i="3"/>
  <c r="R447" i="3"/>
  <c r="R614" i="3"/>
  <c r="R102" i="3"/>
  <c r="R117" i="3"/>
  <c r="R284" i="3"/>
  <c r="R451" i="3"/>
  <c r="R258" i="3"/>
  <c r="R730" i="3"/>
  <c r="R903" i="3"/>
  <c r="R585" i="3"/>
  <c r="R73" i="3"/>
  <c r="R247" i="3"/>
  <c r="R414" i="3"/>
  <c r="R429" i="3"/>
  <c r="R596" i="3"/>
  <c r="R84" i="3"/>
  <c r="R251" i="3"/>
  <c r="R1042" i="3"/>
  <c r="R128" i="3"/>
  <c r="R703" i="3"/>
  <c r="R385" i="3"/>
  <c r="R559" i="3"/>
  <c r="R47" i="3"/>
  <c r="R214" i="3"/>
  <c r="R229" i="3"/>
  <c r="R396" i="3"/>
  <c r="R563" i="3"/>
  <c r="R51" i="3"/>
  <c r="S13" i="3" a="1"/>
  <c r="S204" i="3" l="1"/>
  <c r="S938" i="3"/>
  <c r="S275" i="3"/>
  <c r="S551" i="3"/>
  <c r="S831" i="3"/>
  <c r="S396" i="3"/>
  <c r="S291" i="3"/>
  <c r="S29" i="3"/>
  <c r="S305" i="3"/>
  <c r="S69" i="3"/>
  <c r="S636" i="3"/>
  <c r="S834" i="3"/>
  <c r="S79" i="3"/>
  <c r="S635" i="3"/>
  <c r="S266" i="3"/>
  <c r="S654" i="3"/>
  <c r="S1100" i="3"/>
  <c r="S907" i="3"/>
  <c r="S1119" i="3"/>
  <c r="S475" i="3"/>
  <c r="S1143" i="3"/>
  <c r="S310" i="3"/>
  <c r="S1132" i="3"/>
  <c r="S570" i="3"/>
  <c r="S1155" i="3"/>
  <c r="S357" i="3"/>
  <c r="S36" i="3"/>
  <c r="S60" i="3"/>
  <c r="S601" i="3"/>
  <c r="S873" i="3"/>
  <c r="S43" i="3"/>
  <c r="S860" i="3"/>
  <c r="S1146" i="3"/>
  <c r="S1020" i="3"/>
  <c r="S273" i="3"/>
  <c r="S1130" i="3"/>
  <c r="S708" i="3"/>
  <c r="S99" i="3"/>
  <c r="S1153" i="3"/>
  <c r="S704" i="3"/>
  <c r="S1145" i="3"/>
  <c r="S533" i="3"/>
  <c r="S1138" i="3"/>
  <c r="S740" i="3"/>
  <c r="S55" i="3"/>
  <c r="S492" i="3"/>
  <c r="S785" i="3"/>
  <c r="S553" i="3"/>
  <c r="S405" i="3"/>
  <c r="S943" i="3"/>
  <c r="S1206" i="3"/>
  <c r="S1089" i="3"/>
  <c r="S683" i="3"/>
  <c r="S549" i="3"/>
  <c r="S421" i="3"/>
  <c r="S836" i="3"/>
  <c r="S672" i="3"/>
  <c r="S690" i="3"/>
  <c r="S674" i="3"/>
  <c r="S495" i="3"/>
  <c r="S134" i="3"/>
  <c r="S1159" i="3"/>
  <c r="S176" i="3"/>
  <c r="S477" i="3"/>
  <c r="S42" i="3"/>
  <c r="S827" i="3"/>
  <c r="S871" i="3"/>
  <c r="S528" i="3"/>
  <c r="S435" i="3"/>
  <c r="S677" i="3"/>
  <c r="S375" i="3"/>
  <c r="S629" i="3"/>
  <c r="S237" i="3"/>
  <c r="S945" i="3"/>
  <c r="S986" i="3"/>
  <c r="S367" i="3"/>
  <c r="S424" i="3"/>
  <c r="S220" i="3"/>
  <c r="S30" i="3"/>
  <c r="S1067" i="3"/>
  <c r="S619" i="3"/>
  <c r="S377" i="3"/>
  <c r="S1050" i="3"/>
  <c r="S540" i="3"/>
  <c r="S169" i="3"/>
  <c r="S423" i="3"/>
  <c r="S312" i="3"/>
  <c r="S1005" i="3"/>
  <c r="S822" i="3"/>
  <c r="S1063" i="3"/>
  <c r="S816" i="3"/>
  <c r="S197" i="3"/>
  <c r="S503" i="3"/>
  <c r="S741" i="3"/>
  <c r="S1154" i="3"/>
  <c r="S759" i="3"/>
  <c r="S780" i="3"/>
  <c r="S1016" i="3"/>
  <c r="S642" i="3"/>
  <c r="S217" i="3"/>
  <c r="S530" i="3"/>
  <c r="S47" i="3"/>
  <c r="S1081" i="3"/>
  <c r="S694" i="3"/>
  <c r="S1054" i="3"/>
  <c r="S670" i="3"/>
  <c r="S245" i="3"/>
  <c r="S1149" i="3"/>
  <c r="S990" i="3"/>
  <c r="S308" i="3"/>
  <c r="S277" i="3"/>
  <c r="S446" i="3"/>
  <c r="S293" i="3"/>
  <c r="S599" i="3"/>
  <c r="S820" i="3"/>
  <c r="S372" i="3"/>
  <c r="S863" i="3"/>
  <c r="S1209" i="3"/>
  <c r="S730" i="3"/>
  <c r="S124" i="3"/>
  <c r="S505" i="3"/>
  <c r="S772" i="3"/>
  <c r="S586" i="3"/>
  <c r="S1198" i="3"/>
  <c r="S954" i="3"/>
  <c r="S993" i="3"/>
  <c r="S177" i="3"/>
  <c r="S1034" i="3"/>
  <c r="S916" i="3"/>
  <c r="S634" i="3"/>
  <c r="S988" i="3"/>
  <c r="S1183" i="3"/>
  <c r="S712" i="3"/>
  <c r="S437" i="3"/>
  <c r="S1042" i="3"/>
  <c r="S937" i="3"/>
  <c r="S366" i="3"/>
  <c r="S1051" i="3"/>
  <c r="S889" i="3"/>
  <c r="S180" i="3"/>
  <c r="S49" i="3"/>
  <c r="S962" i="3"/>
  <c r="S701" i="3"/>
  <c r="S54" i="3"/>
  <c r="S729" i="3"/>
  <c r="S825" i="3"/>
  <c r="S303" i="3"/>
  <c r="S429" i="3"/>
  <c r="S951" i="3"/>
  <c r="S343" i="3"/>
  <c r="S17" i="3"/>
  <c r="S638" i="3"/>
  <c r="S389" i="3"/>
  <c r="S597" i="3"/>
  <c r="S1028" i="3"/>
  <c r="S592" i="3"/>
  <c r="S714" i="3"/>
  <c r="S485" i="3"/>
  <c r="S594" i="3"/>
  <c r="S645" i="3"/>
  <c r="S1071" i="3"/>
  <c r="S605" i="3"/>
  <c r="S781" i="3"/>
  <c r="S493" i="3"/>
  <c r="S19" i="3"/>
  <c r="S752" i="3"/>
  <c r="S481" i="3"/>
  <c r="S181" i="3"/>
  <c r="S1044" i="3"/>
  <c r="S454" i="3"/>
  <c r="S464" i="3"/>
  <c r="S39" i="3"/>
  <c r="S335" i="3"/>
  <c r="S845" i="3"/>
  <c r="S1115" i="3"/>
  <c r="S578" i="3"/>
  <c r="S644" i="3"/>
  <c r="S87" i="3"/>
  <c r="S341" i="3"/>
  <c r="S961" i="3"/>
  <c r="S1086" i="3"/>
  <c r="S698" i="3"/>
  <c r="S661" i="3"/>
  <c r="S103" i="3"/>
  <c r="S478" i="3"/>
  <c r="S823" i="3"/>
  <c r="S527" i="3"/>
  <c r="S1080" i="3"/>
  <c r="S415" i="3"/>
  <c r="S921" i="3"/>
  <c r="S576" i="3"/>
  <c r="S267" i="3"/>
  <c r="S1158" i="3"/>
  <c r="S24" i="3"/>
  <c r="S1120" i="3"/>
  <c r="S537" i="3"/>
  <c r="S725" i="3"/>
  <c r="S641" i="3"/>
  <c r="S615" i="3"/>
  <c r="S705" i="3"/>
  <c r="S216" i="3"/>
  <c r="S784" i="3"/>
  <c r="S585" i="3"/>
  <c r="S924" i="3"/>
  <c r="S191" i="3"/>
  <c r="S1023" i="3"/>
  <c r="S380" i="3"/>
  <c r="S120" i="3"/>
  <c r="S808" i="3"/>
  <c r="S544" i="3"/>
  <c r="S1108" i="3"/>
  <c r="S325" i="3"/>
  <c r="S193" i="3"/>
  <c r="S1066" i="3"/>
  <c r="S952" i="3"/>
  <c r="S914" i="3"/>
  <c r="S791" i="3"/>
  <c r="S649" i="3"/>
  <c r="S569" i="3"/>
  <c r="S77" i="3"/>
  <c r="S695" i="3"/>
  <c r="S604" i="3"/>
  <c r="S663" i="3"/>
  <c r="S285" i="3"/>
  <c r="S473" i="3"/>
  <c r="S468" i="3"/>
  <c r="S687" i="3"/>
  <c r="S518" i="3"/>
  <c r="S651" i="3"/>
  <c r="S201" i="3"/>
  <c r="S370" i="3"/>
  <c r="S584" i="3"/>
  <c r="S190" i="3"/>
  <c r="S287" i="3"/>
  <c r="S268" i="3"/>
  <c r="S667" i="3"/>
  <c r="S847" i="3"/>
  <c r="S264" i="3"/>
  <c r="S90" i="3"/>
  <c r="S1177" i="3"/>
  <c r="S258" i="3"/>
  <c r="S512" i="3"/>
  <c r="S26" i="3"/>
  <c r="S653" i="3"/>
  <c r="S412" i="3"/>
  <c r="S436" i="3"/>
  <c r="S1043" i="3"/>
  <c r="S560" i="3"/>
  <c r="S135" i="3"/>
  <c r="S487" i="3"/>
  <c r="S1196" i="3"/>
  <c r="S1211" i="3"/>
  <c r="S155" i="3"/>
  <c r="S887" i="3"/>
  <c r="S73" i="3"/>
  <c r="S374" i="3"/>
  <c r="S139" i="3"/>
  <c r="S726" i="3"/>
  <c r="S1090" i="3"/>
  <c r="S35" i="3"/>
  <c r="S665" i="3"/>
  <c r="S406" i="3"/>
  <c r="S852" i="3"/>
  <c r="S27" i="3"/>
  <c r="S507" i="3"/>
  <c r="S62" i="3"/>
  <c r="S173" i="3"/>
  <c r="S172" i="3"/>
  <c r="S18" i="3"/>
  <c r="S1193" i="3"/>
  <c r="S179" i="3"/>
  <c r="S1025" i="3"/>
  <c r="S699" i="3"/>
  <c r="S141" i="3"/>
  <c r="S369" i="3"/>
  <c r="S571" i="3"/>
  <c r="S1109" i="3"/>
  <c r="S227" i="3"/>
  <c r="S1012" i="3"/>
  <c r="S896" i="3"/>
  <c r="S1096" i="3"/>
  <c r="S407" i="3"/>
  <c r="S927" i="3"/>
  <c r="S1190" i="3"/>
  <c r="S925" i="3"/>
  <c r="S1017" i="3"/>
  <c r="S1147" i="3"/>
  <c r="S301" i="3"/>
  <c r="S523" i="3"/>
  <c r="S225" i="3"/>
  <c r="S1026" i="3"/>
  <c r="S859" i="3"/>
  <c r="S66" i="3"/>
  <c r="S110" i="3"/>
  <c r="S1151" i="3"/>
  <c r="S1009" i="3"/>
  <c r="S222" i="3"/>
  <c r="S282" i="3"/>
  <c r="S1003" i="3"/>
  <c r="S795" i="3"/>
  <c r="S742" i="3"/>
  <c r="S920" i="3"/>
  <c r="S272" i="3"/>
  <c r="S620" i="3"/>
  <c r="S1169" i="3"/>
  <c r="S568" i="3"/>
  <c r="S737" i="3"/>
  <c r="S1072" i="3"/>
  <c r="S278" i="3"/>
  <c r="S1030" i="3"/>
  <c r="S1205" i="3"/>
  <c r="S872" i="3"/>
  <c r="S723" i="3"/>
  <c r="S1160" i="3"/>
  <c r="S1107" i="3"/>
  <c r="S639" i="3"/>
  <c r="S38" i="3"/>
  <c r="S939" i="3"/>
  <c r="S81" i="3"/>
  <c r="S470" i="3"/>
  <c r="S1070" i="3"/>
  <c r="S659" i="3"/>
  <c r="S514" i="3"/>
  <c r="S835" i="3"/>
  <c r="S65" i="3"/>
  <c r="S109" i="3"/>
  <c r="S306" i="3"/>
  <c r="S1031" i="3"/>
  <c r="S640" i="3"/>
  <c r="S789" i="3"/>
  <c r="S876" i="3"/>
  <c r="S997" i="3"/>
  <c r="S354" i="3"/>
  <c r="S608" i="3"/>
  <c r="S146" i="3"/>
  <c r="S166" i="3"/>
  <c r="S948" i="3"/>
  <c r="S819" i="3"/>
  <c r="S443" i="3"/>
  <c r="S259" i="3"/>
  <c r="S288" i="3"/>
  <c r="S627" i="3"/>
  <c r="S1092" i="3"/>
  <c r="S749" i="3"/>
  <c r="S766" i="3"/>
  <c r="S912" i="3"/>
  <c r="S37" i="3"/>
  <c r="S456" i="3"/>
  <c r="S778" i="3"/>
  <c r="S1039" i="3"/>
  <c r="S1008" i="3"/>
  <c r="S506" i="3"/>
  <c r="S183" i="3"/>
  <c r="S52" i="3"/>
  <c r="S504" i="3"/>
  <c r="S794" i="3"/>
  <c r="S249" i="3"/>
  <c r="S85" i="3"/>
  <c r="S145" i="3"/>
  <c r="S92" i="3"/>
  <c r="S881" i="3"/>
  <c r="S344" i="3"/>
  <c r="S499" i="3"/>
  <c r="S676" i="3"/>
  <c r="S157" i="3"/>
  <c r="S897" i="3"/>
  <c r="S46" i="3"/>
  <c r="S691" i="3"/>
  <c r="S188" i="3"/>
  <c r="S40" i="3"/>
  <c r="S525" i="3"/>
  <c r="S1129" i="3"/>
  <c r="S479" i="3"/>
  <c r="S779" i="3"/>
  <c r="S1055" i="3"/>
  <c r="S655" i="3"/>
  <c r="S281" i="3"/>
  <c r="S397" i="3"/>
  <c r="S689" i="3"/>
  <c r="S803" i="3"/>
  <c r="S260" i="3"/>
  <c r="S400" i="3"/>
  <c r="S944" i="3"/>
  <c r="S885" i="3"/>
  <c r="S793" i="3"/>
  <c r="S432" i="3"/>
  <c r="S1150" i="3"/>
  <c r="S546" i="3"/>
  <c r="S351" i="3"/>
  <c r="S365" i="3"/>
  <c r="S74" i="3"/>
  <c r="S501" i="3"/>
  <c r="S218" i="3"/>
  <c r="S746" i="3"/>
  <c r="S219" i="3"/>
  <c r="S226" i="3"/>
  <c r="S398" i="3"/>
  <c r="S315" i="3"/>
  <c r="S239" i="3"/>
  <c r="S767" i="3"/>
  <c r="S870" i="3"/>
  <c r="S739" i="3"/>
  <c r="S1194" i="3"/>
  <c r="S554" i="3"/>
  <c r="S463" i="3"/>
  <c r="S1060" i="3"/>
  <c r="S1195" i="3"/>
  <c r="S736" i="3"/>
  <c r="S1124" i="3"/>
  <c r="S1048" i="3"/>
  <c r="S582" i="3"/>
  <c r="S1015" i="3"/>
  <c r="S850" i="3"/>
  <c r="S147" i="3"/>
  <c r="S295" i="3"/>
  <c r="S384" i="3"/>
  <c r="S1208" i="3"/>
  <c r="S205" i="3"/>
  <c r="S402" i="3"/>
  <c r="S1135" i="3"/>
  <c r="S97" i="3"/>
  <c r="S857" i="3"/>
  <c r="S953" i="3"/>
  <c r="S733" i="3"/>
  <c r="S390" i="3"/>
  <c r="S235" i="3"/>
  <c r="S798" i="3"/>
  <c r="S646" i="3"/>
  <c r="S195" i="3"/>
  <c r="S230" i="3"/>
  <c r="S84" i="3"/>
  <c r="S1056" i="3"/>
  <c r="S70" i="3"/>
  <c r="S703" i="3"/>
  <c r="S132" i="3"/>
  <c r="S678" i="3"/>
  <c r="S946" i="3"/>
  <c r="S455" i="3"/>
  <c r="S922" i="3"/>
  <c r="S842" i="3"/>
  <c r="S386" i="3"/>
  <c r="S975" i="3"/>
  <c r="S486" i="3"/>
  <c r="S420" i="3"/>
  <c r="S761" i="3"/>
  <c r="S1210" i="3"/>
  <c r="S133" i="3"/>
  <c r="S168" i="3"/>
  <c r="S349" i="3"/>
  <c r="S763" i="3"/>
  <c r="S114" i="3"/>
  <c r="S1094" i="3"/>
  <c r="S72" i="3"/>
  <c r="S1104" i="3"/>
  <c r="S185" i="3"/>
  <c r="S548" i="3"/>
  <c r="S459" i="3"/>
  <c r="S515" i="3"/>
  <c r="S787" i="3"/>
  <c r="S1144" i="3"/>
  <c r="S880" i="3"/>
  <c r="S441" i="3"/>
  <c r="S799" i="3"/>
  <c r="T798" i="3" s="1"/>
  <c r="S539" i="3"/>
  <c r="S1204" i="3"/>
  <c r="S590" i="3"/>
  <c r="S940" i="3"/>
  <c r="S1032" i="3"/>
  <c r="S856" i="3"/>
  <c r="S488" i="3"/>
  <c r="S854" i="3"/>
  <c r="S490" i="3"/>
  <c r="S328" i="3"/>
  <c r="S1202" i="3"/>
  <c r="S624" i="3"/>
  <c r="S319" i="3"/>
  <c r="S996" i="3"/>
  <c r="S606" i="3"/>
  <c r="S977" i="3"/>
  <c r="S304" i="3"/>
  <c r="S359" i="3"/>
  <c r="S543" i="3"/>
  <c r="S727" i="3"/>
  <c r="S516" i="3"/>
  <c r="S810" i="3"/>
  <c r="S186" i="3"/>
  <c r="S105" i="3"/>
  <c r="S867" i="3"/>
  <c r="S331" i="3"/>
  <c r="S1036" i="3"/>
  <c r="S233" i="3"/>
  <c r="S175" i="3"/>
  <c r="S966" i="3"/>
  <c r="S307" i="3"/>
  <c r="S888" i="3"/>
  <c r="S53" i="3"/>
  <c r="S581" i="3"/>
  <c r="S899" i="3"/>
  <c r="S1053" i="3"/>
  <c r="S524" i="3"/>
  <c r="S290" i="3"/>
  <c r="S472" i="3"/>
  <c r="S782" i="3"/>
  <c r="S130" i="3"/>
  <c r="S511" i="3"/>
  <c r="S1062" i="3"/>
  <c r="S1024" i="3"/>
  <c r="S444" i="3"/>
  <c r="S119" i="3"/>
  <c r="S770" i="3"/>
  <c r="S56" i="3"/>
  <c r="S1188" i="3"/>
  <c r="S215" i="3"/>
  <c r="S484" i="3"/>
  <c r="S395" i="3"/>
  <c r="S547" i="3"/>
  <c r="S164" i="3"/>
  <c r="S360" i="3"/>
  <c r="S722" i="3"/>
  <c r="S957" i="3"/>
  <c r="S460" i="3"/>
  <c r="S1082" i="3"/>
  <c r="S418" i="3"/>
  <c r="S830" i="3"/>
  <c r="S453" i="3"/>
  <c r="S932" i="3"/>
  <c r="S385" i="3"/>
  <c r="S555" i="3"/>
  <c r="S94" i="3"/>
  <c r="S1075" i="3"/>
  <c r="S565" i="3"/>
  <c r="S445" i="3"/>
  <c r="S947" i="3"/>
  <c r="S326" i="3"/>
  <c r="S442" i="3"/>
  <c r="S231" i="3"/>
  <c r="S900" i="3"/>
  <c r="S382" i="3"/>
  <c r="S973" i="3"/>
  <c r="S80" i="3"/>
  <c r="S247" i="3"/>
  <c r="S643" i="3"/>
  <c r="S618" i="3"/>
  <c r="S409" i="3"/>
  <c r="S203" i="3"/>
  <c r="S115" i="3"/>
  <c r="S710" i="3"/>
  <c r="S693" i="3"/>
  <c r="S658" i="3"/>
  <c r="S580" i="3"/>
  <c r="S775" i="3"/>
  <c r="S1164" i="3"/>
  <c r="S809" i="3"/>
  <c r="S906" i="3"/>
  <c r="S1136" i="3"/>
  <c r="S1001" i="3"/>
  <c r="S1095" i="3"/>
  <c r="S1029" i="3"/>
  <c r="S491" i="3"/>
  <c r="S958" i="3"/>
  <c r="S246" i="3"/>
  <c r="S786" i="3"/>
  <c r="S866" i="3"/>
  <c r="S513" i="3"/>
  <c r="S1192" i="3"/>
  <c r="S934" i="3"/>
  <c r="S532" i="3"/>
  <c r="S286" i="3"/>
  <c r="S1019" i="3"/>
  <c r="S1084" i="3"/>
  <c r="S595" i="3"/>
  <c r="S413" i="3"/>
  <c r="S905" i="3"/>
  <c r="S588" i="3"/>
  <c r="S675" i="3"/>
  <c r="S992" i="3"/>
  <c r="S125" i="3"/>
  <c r="S261" i="3"/>
  <c r="S930" i="3"/>
  <c r="S758" i="3"/>
  <c r="S144" i="3"/>
  <c r="S388" i="3"/>
  <c r="S242" i="3"/>
  <c r="S149" i="3"/>
  <c r="S894" i="3"/>
  <c r="S324" i="3"/>
  <c r="S1038" i="3"/>
  <c r="S21" i="3"/>
  <c r="S874" i="3"/>
  <c r="S378" i="3"/>
  <c r="S1142" i="3"/>
  <c r="S213" i="3"/>
  <c r="S299" i="3"/>
  <c r="S964" i="3"/>
  <c r="S567" i="3"/>
  <c r="S660" i="3"/>
  <c r="S980" i="3"/>
  <c r="S1083" i="3"/>
  <c r="S1010" i="3"/>
  <c r="S337" i="3"/>
  <c r="S352" i="3"/>
  <c r="S575" i="3"/>
  <c r="S883" i="3"/>
  <c r="S450" i="3"/>
  <c r="S1173" i="3"/>
  <c r="S297" i="3"/>
  <c r="S587" i="3"/>
  <c r="S797" i="3"/>
  <c r="S702" i="3"/>
  <c r="S633" i="3"/>
  <c r="S669" i="3"/>
  <c r="S843" i="3"/>
  <c r="S613" i="3"/>
  <c r="S1035" i="3"/>
  <c r="S318" i="3"/>
  <c r="S572" i="3"/>
  <c r="S577" i="3"/>
  <c r="S626" i="3"/>
  <c r="S410" i="3"/>
  <c r="S1121" i="3"/>
  <c r="S136" i="3"/>
  <c r="S466" i="3"/>
  <c r="S950" i="3"/>
  <c r="S805" i="3"/>
  <c r="S346" i="3"/>
  <c r="S254" i="3"/>
  <c r="S792" i="3"/>
  <c r="S1116" i="3"/>
  <c r="S353" i="3"/>
  <c r="S804" i="3"/>
  <c r="S893" i="3"/>
  <c r="S802" i="3"/>
  <c r="S853" i="3"/>
  <c r="S408" i="3"/>
  <c r="S381" i="3"/>
  <c r="S960" i="3"/>
  <c r="S709" i="3"/>
  <c r="S1103" i="3"/>
  <c r="S265" i="3"/>
  <c r="S1166" i="3"/>
  <c r="S1174" i="3"/>
  <c r="S942" i="3"/>
  <c r="S363" i="3"/>
  <c r="S557" i="3"/>
  <c r="S743" i="3"/>
  <c r="S520" i="3"/>
  <c r="S1076" i="3"/>
  <c r="S625" i="3"/>
  <c r="S706" i="3"/>
  <c r="S234" i="3"/>
  <c r="S656" i="3"/>
  <c r="S214" i="3"/>
  <c r="S496" i="3"/>
  <c r="S207" i="3"/>
  <c r="S332" i="3"/>
  <c r="S174" i="3"/>
  <c r="S821" i="3"/>
  <c r="S1114" i="3"/>
  <c r="S598" i="3"/>
  <c r="S336" i="3"/>
  <c r="S253" i="3"/>
  <c r="S812" i="3"/>
  <c r="S243" i="3"/>
  <c r="S1022" i="3"/>
  <c r="S1018" i="3"/>
  <c r="S519" i="3"/>
  <c r="S902" i="3"/>
  <c r="S236" i="3"/>
  <c r="S773" i="3"/>
  <c r="S600" i="3"/>
  <c r="S998" i="3"/>
  <c r="S439" i="3"/>
  <c r="S1139" i="3"/>
  <c r="S45" i="3"/>
  <c r="S890" i="3"/>
  <c r="S154" i="3"/>
  <c r="S101" i="3"/>
  <c r="S1137" i="3"/>
  <c r="S440" i="3"/>
  <c r="S558" i="3"/>
  <c r="S561" i="3"/>
  <c r="S1047" i="3"/>
  <c r="S913" i="3"/>
  <c r="S657" i="3"/>
  <c r="S841" i="3"/>
  <c r="S685" i="3"/>
  <c r="S542" i="3"/>
  <c r="S364" i="3"/>
  <c r="S668" i="3"/>
  <c r="S982" i="3"/>
  <c r="S434" i="3"/>
  <c r="S614" i="3"/>
  <c r="S1128" i="3"/>
  <c r="S244" i="3"/>
  <c r="S416" i="3"/>
  <c r="S529" i="3"/>
  <c r="S121" i="3"/>
  <c r="S1197" i="3"/>
  <c r="S878" i="3"/>
  <c r="S1073" i="3"/>
  <c r="S1097" i="3"/>
  <c r="S1117" i="3"/>
  <c r="S163" i="3"/>
  <c r="S909" i="3"/>
  <c r="S153" i="3"/>
  <c r="S848" i="3"/>
  <c r="S926" i="3"/>
  <c r="S198" i="3"/>
  <c r="S78" i="3"/>
  <c r="S673" i="3"/>
  <c r="S838" i="3"/>
  <c r="S828" i="3"/>
  <c r="S104" i="3"/>
  <c r="S1065" i="3"/>
  <c r="S422" i="3"/>
  <c r="S1013" i="3"/>
  <c r="S61" i="3"/>
  <c r="S552" i="3"/>
  <c r="S681" i="3"/>
  <c r="S837" i="3"/>
  <c r="S989" i="3"/>
  <c r="S796" i="3"/>
  <c r="S875" i="3"/>
  <c r="S622" i="3"/>
  <c r="S923" i="3"/>
  <c r="S34" i="3"/>
  <c r="S428" i="3"/>
  <c r="S414" i="3"/>
  <c r="S202" i="3"/>
  <c r="S915" i="3"/>
  <c r="S160" i="3"/>
  <c r="S879" i="3"/>
  <c r="S392" i="3"/>
  <c r="S562" i="3"/>
  <c r="S538" i="3"/>
  <c r="S194" i="3"/>
  <c r="S563" i="3"/>
  <c r="S700" i="3"/>
  <c r="S756" i="3"/>
  <c r="S919" i="3"/>
  <c r="S892" i="3"/>
  <c r="S612" i="3"/>
  <c r="S991" i="3"/>
  <c r="S911" i="3"/>
  <c r="S1014" i="3"/>
  <c r="S1200" i="3"/>
  <c r="S983" i="3"/>
  <c r="S57" i="3"/>
  <c r="S1110" i="3"/>
  <c r="S891" i="3"/>
  <c r="S471" i="3"/>
  <c r="S1157" i="3"/>
  <c r="S347" i="3"/>
  <c r="S1093" i="3"/>
  <c r="S221" i="3"/>
  <c r="S707" i="3"/>
  <c r="S602" i="3"/>
  <c r="S317" i="3"/>
  <c r="S884" i="3"/>
  <c r="S88" i="3"/>
  <c r="S864" i="3"/>
  <c r="S771" i="3"/>
  <c r="S1170" i="3"/>
  <c r="S720" i="3"/>
  <c r="S868" i="3"/>
  <c r="S1207" i="3"/>
  <c r="S662" i="3"/>
  <c r="S447" i="3"/>
  <c r="S159" i="3"/>
  <c r="S289" i="3"/>
  <c r="S302" i="3"/>
  <c r="S886" i="3"/>
  <c r="S682" i="3"/>
  <c r="S137" i="3"/>
  <c r="S713" i="3"/>
  <c r="S419" i="3"/>
  <c r="S118" i="3"/>
  <c r="S928" i="3"/>
  <c r="S817" i="3"/>
  <c r="S350" i="3"/>
  <c r="S910" i="3"/>
  <c r="S591" i="3"/>
  <c r="S628" i="3"/>
  <c r="S861" i="3"/>
  <c r="S732" i="3"/>
  <c r="S1074" i="3"/>
  <c r="S877" i="3"/>
  <c r="S724" i="3"/>
  <c r="S274" i="3"/>
  <c r="S999" i="3"/>
  <c r="S340" i="3"/>
  <c r="S158" i="3"/>
  <c r="S394" i="3"/>
  <c r="S510" i="3"/>
  <c r="S851" i="3"/>
  <c r="S31" i="3"/>
  <c r="S1181" i="3"/>
  <c r="S1069" i="3"/>
  <c r="S467" i="3"/>
  <c r="S1000" i="3"/>
  <c r="S480" i="3"/>
  <c r="S679" i="3"/>
  <c r="S559" i="3"/>
  <c r="S1182" i="3"/>
  <c r="S91" i="3"/>
  <c r="S970" i="3"/>
  <c r="S994" i="3"/>
  <c r="S536" i="3"/>
  <c r="S323" i="3"/>
  <c r="S44" i="3"/>
  <c r="S801" i="3"/>
  <c r="S208" i="3"/>
  <c r="S1175" i="3"/>
  <c r="S28" i="3"/>
  <c r="S426" i="3"/>
  <c r="S411" i="3"/>
  <c r="S126" i="3"/>
  <c r="S768" i="3"/>
  <c r="S316" i="3"/>
  <c r="S978" i="3"/>
  <c r="S974" i="3"/>
  <c r="S855" i="3"/>
  <c r="S718" i="3"/>
  <c r="S76" i="3"/>
  <c r="S48" i="3"/>
  <c r="S1033" i="3"/>
  <c r="S755" i="3"/>
  <c r="S684" i="3"/>
  <c r="S1189" i="3"/>
  <c r="S972" i="3"/>
  <c r="S276" i="3"/>
  <c r="S815" i="3"/>
  <c r="S342" i="3"/>
  <c r="S469" i="3"/>
  <c r="S13" i="3"/>
  <c r="S140" i="3"/>
  <c r="S738" i="3"/>
  <c r="S129" i="3"/>
  <c r="S399" i="3"/>
  <c r="S1162" i="3"/>
  <c r="S908" i="3"/>
  <c r="S517" i="3"/>
  <c r="S269" i="3"/>
  <c r="S362" i="3"/>
  <c r="S1091" i="3"/>
  <c r="S489" i="3"/>
  <c r="S508" i="3"/>
  <c r="S102" i="3"/>
  <c r="S984" i="3"/>
  <c r="S1045" i="3"/>
  <c r="S979" i="3"/>
  <c r="S697" i="3"/>
  <c r="S1171" i="3"/>
  <c r="S762" i="3"/>
  <c r="S971" i="3"/>
  <c r="S106" i="3"/>
  <c r="S869" i="3"/>
  <c r="S826" i="3"/>
  <c r="S461" i="3"/>
  <c r="S371" i="3"/>
  <c r="S116" i="3"/>
  <c r="S858" i="3"/>
  <c r="S596" i="3"/>
  <c r="S995" i="3"/>
  <c r="S152" i="3"/>
  <c r="S334" i="3"/>
  <c r="S611" i="3"/>
  <c r="S1052" i="3"/>
  <c r="S294" i="3"/>
  <c r="S929" i="3"/>
  <c r="S846" i="3"/>
  <c r="S526" i="3"/>
  <c r="S1152" i="3"/>
  <c r="S1191" i="3"/>
  <c r="S270" i="3"/>
  <c r="S688" i="3"/>
  <c r="S113" i="3"/>
  <c r="S898" i="3"/>
  <c r="S162" i="3"/>
  <c r="S1122" i="3"/>
  <c r="S621" i="3"/>
  <c r="S1180" i="3"/>
  <c r="S550" i="3"/>
  <c r="S89" i="3"/>
  <c r="S355" i="3"/>
  <c r="S156" i="3"/>
  <c r="S15" i="3"/>
  <c r="S862" i="3"/>
  <c r="S32" i="3"/>
  <c r="S1214" i="3"/>
  <c r="S93" i="3"/>
  <c r="S949" i="3"/>
  <c r="S321" i="3"/>
  <c r="S223" i="3"/>
  <c r="S41" i="3"/>
  <c r="S138" i="3"/>
  <c r="S379" i="3"/>
  <c r="S376" i="3"/>
  <c r="S968" i="3"/>
  <c r="S167" i="3"/>
  <c r="S1111" i="3"/>
  <c r="S283" i="3"/>
  <c r="S680" i="3"/>
  <c r="S664" i="3"/>
  <c r="S1125" i="3"/>
  <c r="S1046" i="3"/>
  <c r="S1212" i="3"/>
  <c r="S448" i="3"/>
  <c r="S1176" i="3"/>
  <c r="S824" i="3"/>
  <c r="S783" i="3"/>
  <c r="S108" i="3"/>
  <c r="S631" i="3"/>
  <c r="S959" i="3"/>
  <c r="S279" i="3"/>
  <c r="S901" i="3"/>
  <c r="S760" i="3"/>
  <c r="S1167" i="3"/>
  <c r="S383" i="3"/>
  <c r="S209" i="3"/>
  <c r="S1168" i="3"/>
  <c r="S1088" i="3"/>
  <c r="S16" i="3"/>
  <c r="S1077" i="3"/>
  <c r="S64" i="3"/>
  <c r="S112" i="3"/>
  <c r="S345" i="3"/>
  <c r="S430" i="3"/>
  <c r="S865" i="3"/>
  <c r="S1011" i="3"/>
  <c r="S474" i="3"/>
  <c r="S184" i="3"/>
  <c r="S462" i="3"/>
  <c r="S607" i="3"/>
  <c r="S593" i="3"/>
  <c r="S255" i="3"/>
  <c r="S178" i="3"/>
  <c r="S753" i="3"/>
  <c r="S647" i="3"/>
  <c r="S122" i="3"/>
  <c r="S451" i="3"/>
  <c r="S1027" i="3"/>
  <c r="S715" i="3"/>
  <c r="S271" i="3"/>
  <c r="S452" i="3"/>
  <c r="S322" i="3"/>
  <c r="S1185" i="3"/>
  <c r="S609" i="3"/>
  <c r="S192" i="3"/>
  <c r="S189" i="3"/>
  <c r="S882" i="3"/>
  <c r="S777" i="3"/>
  <c r="S666" i="3"/>
  <c r="S1134" i="3"/>
  <c r="S790" i="3"/>
  <c r="S330" i="3"/>
  <c r="S1049" i="3"/>
  <c r="S1068" i="3"/>
  <c r="S356" i="3"/>
  <c r="S734" i="3"/>
  <c r="S1127" i="3"/>
  <c r="S686" i="3"/>
  <c r="S170" i="3"/>
  <c r="S811" i="3"/>
  <c r="S935" i="3"/>
  <c r="S182" i="3"/>
  <c r="S1064" i="3"/>
  <c r="S1184" i="3"/>
  <c r="S171" i="3"/>
  <c r="S535" i="3"/>
  <c r="S33" i="3"/>
  <c r="S1199" i="3"/>
  <c r="S284" i="3"/>
  <c r="S918" i="3"/>
  <c r="S329" i="3"/>
  <c r="S361" i="3"/>
  <c r="S616" i="3"/>
  <c r="S300" i="3"/>
  <c r="S1118" i="3"/>
  <c r="S457" i="3"/>
  <c r="S981" i="3"/>
  <c r="S917" i="3"/>
  <c r="S262" i="3"/>
  <c r="S465" i="3"/>
  <c r="S1058" i="3"/>
  <c r="S844" i="3"/>
  <c r="S541" i="3"/>
  <c r="S142" i="3"/>
  <c r="S117" i="3"/>
  <c r="S1106" i="3"/>
  <c r="S238" i="3"/>
  <c r="S404" i="3"/>
  <c r="S25" i="3"/>
  <c r="S358" i="3"/>
  <c r="S333" i="3"/>
  <c r="S931" i="3"/>
  <c r="S458" i="3"/>
  <c r="S963" i="3"/>
  <c r="S814" i="3"/>
  <c r="S1140" i="3"/>
  <c r="S728" i="3"/>
  <c r="S1141" i="3"/>
  <c r="S51" i="3"/>
  <c r="S603" i="3"/>
  <c r="S1102" i="3"/>
  <c r="S250" i="3"/>
  <c r="S757" i="3"/>
  <c r="S241" i="3"/>
  <c r="S579" i="3"/>
  <c r="S522" i="3"/>
  <c r="S187" i="3"/>
  <c r="S764" i="3"/>
  <c r="S1161" i="3"/>
  <c r="S1105" i="3"/>
  <c r="S107" i="3"/>
  <c r="S1079" i="3"/>
  <c r="S1131" i="3"/>
  <c r="S1099" i="3"/>
  <c r="S22" i="3"/>
  <c r="S833" i="3"/>
  <c r="S58" i="3"/>
  <c r="S71" i="3"/>
  <c r="S832" i="3"/>
  <c r="S719" i="3"/>
  <c r="S63" i="3"/>
  <c r="S774" i="3"/>
  <c r="S1179" i="3"/>
  <c r="S502" i="3"/>
  <c r="T501" i="3" s="1"/>
  <c r="S1148" i="3"/>
  <c r="S788" i="3"/>
  <c r="S433" i="3"/>
  <c r="S965" i="3"/>
  <c r="S431" i="3"/>
  <c r="S100" i="3"/>
  <c r="S745" i="3"/>
  <c r="S427" i="3"/>
  <c r="S20" i="3"/>
  <c r="S348" i="3"/>
  <c r="S933" i="3"/>
  <c r="S1041" i="3"/>
  <c r="S68" i="3"/>
  <c r="S711" i="3"/>
  <c r="S637" i="3"/>
  <c r="S232" i="3"/>
  <c r="S111" i="3"/>
  <c r="S632" i="3"/>
  <c r="S976" i="3"/>
  <c r="S339" i="3"/>
  <c r="S196" i="3"/>
  <c r="S1201" i="3"/>
  <c r="S338" i="3"/>
  <c r="S1004" i="3"/>
  <c r="S224" i="3"/>
  <c r="S967" i="3"/>
  <c r="S1213" i="3"/>
  <c r="S320" i="3"/>
  <c r="S1133" i="3"/>
  <c r="S211" i="3"/>
  <c r="S50" i="3"/>
  <c r="S1078" i="3"/>
  <c r="S583" i="3"/>
  <c r="S671" i="3"/>
  <c r="S849" i="3"/>
  <c r="S165" i="3"/>
  <c r="S731" i="3"/>
  <c r="S212" i="3"/>
  <c r="S776" i="3"/>
  <c r="S240" i="3"/>
  <c r="S298" i="3"/>
  <c r="S368" i="3"/>
  <c r="S449" i="3"/>
  <c r="S83" i="3"/>
  <c r="S1101" i="3"/>
  <c r="S956" i="3"/>
  <c r="S1037" i="3"/>
  <c r="S98" i="3"/>
  <c r="S393" i="3"/>
  <c r="S292" i="3"/>
  <c r="S1126" i="3"/>
  <c r="S1061" i="3"/>
  <c r="S610" i="3"/>
  <c r="S482" i="3"/>
  <c r="S131" i="3"/>
  <c r="S123" i="3"/>
  <c r="S500" i="3"/>
  <c r="S564" i="3"/>
  <c r="S150" i="3"/>
  <c r="S257" i="3"/>
  <c r="S256" i="3"/>
  <c r="S531" i="3"/>
  <c r="S1057" i="3"/>
  <c r="S1172" i="3"/>
  <c r="S296" i="3"/>
  <c r="S566" i="3"/>
  <c r="S617" i="3"/>
  <c r="S807" i="3"/>
  <c r="S1113" i="3"/>
  <c r="S1087" i="3"/>
  <c r="S23" i="3"/>
  <c r="S806" i="3"/>
  <c r="S941" i="3"/>
  <c r="S574" i="3"/>
  <c r="S754" i="3"/>
  <c r="S143" i="3"/>
  <c r="S751" i="3"/>
  <c r="S95" i="3"/>
  <c r="S735" i="3"/>
  <c r="S652" i="3"/>
  <c r="S829" i="3"/>
  <c r="S229" i="3"/>
  <c r="S839" i="3"/>
  <c r="S969" i="3"/>
  <c r="S955" i="3"/>
  <c r="S128" i="3"/>
  <c r="S148" i="3"/>
  <c r="S438" i="3"/>
  <c r="S716" i="3"/>
  <c r="S498" i="3"/>
  <c r="S1178" i="3"/>
  <c r="S1123" i="3"/>
  <c r="S744" i="3"/>
  <c r="S309" i="3"/>
  <c r="S151" i="3"/>
  <c r="S14" i="3"/>
  <c r="T13" i="3" s="1"/>
  <c r="S521" i="3"/>
  <c r="S800" i="3"/>
  <c r="S200" i="3"/>
  <c r="S1203" i="3"/>
  <c r="S263" i="3"/>
  <c r="S161" i="3"/>
  <c r="S59" i="3"/>
  <c r="S206" i="3"/>
  <c r="S1112" i="3"/>
  <c r="S813" i="3"/>
  <c r="S650" i="3"/>
  <c r="S483" i="3"/>
  <c r="S692" i="3"/>
  <c r="S903" i="3"/>
  <c r="S403" i="3"/>
  <c r="S556" i="3"/>
  <c r="S96" i="3"/>
  <c r="S589" i="3"/>
  <c r="S373" i="3"/>
  <c r="S417" i="3"/>
  <c r="S1040" i="3"/>
  <c r="S765" i="3"/>
  <c r="S67" i="3"/>
  <c r="S252" i="3"/>
  <c r="S387" i="3"/>
  <c r="S1002" i="3"/>
  <c r="S1186" i="3"/>
  <c r="S623" i="3"/>
  <c r="S476" i="3"/>
  <c r="S401" i="3"/>
  <c r="S86" i="3"/>
  <c r="S311" i="3"/>
  <c r="S210" i="3"/>
  <c r="S748" i="3"/>
  <c r="S895" i="3"/>
  <c r="S1059" i="3"/>
  <c r="S985" i="3"/>
  <c r="S1165" i="3"/>
  <c r="S494" i="3"/>
  <c r="S573" i="3"/>
  <c r="S509" i="3"/>
  <c r="S630" i="3"/>
  <c r="S1007" i="3"/>
  <c r="S1098" i="3"/>
  <c r="S721" i="3"/>
  <c r="S840" i="3"/>
  <c r="S717" i="3"/>
  <c r="S280" i="3"/>
  <c r="S534" i="3"/>
  <c r="S248" i="3"/>
  <c r="S1163" i="3"/>
  <c r="S1021" i="3"/>
  <c r="S228" i="3"/>
  <c r="S199" i="3"/>
  <c r="S127" i="3"/>
  <c r="S497" i="3"/>
  <c r="S818" i="3"/>
  <c r="S987" i="3"/>
  <c r="S75" i="3"/>
  <c r="S648" i="3"/>
  <c r="S82" i="3"/>
  <c r="S1085" i="3"/>
  <c r="S425" i="3"/>
  <c r="S750" i="3"/>
  <c r="S1156" i="3"/>
  <c r="S904" i="3"/>
  <c r="S327" i="3"/>
  <c r="S747" i="3"/>
  <c r="S1187" i="3"/>
  <c r="S1006" i="3"/>
  <c r="S391" i="3"/>
  <c r="S545" i="3"/>
  <c r="S251" i="3"/>
  <c r="S769" i="3"/>
  <c r="S936" i="3"/>
  <c r="S313" i="3"/>
  <c r="S314" i="3"/>
  <c r="S696" i="3"/>
  <c r="U13" i="3" a="1"/>
  <c r="X13" i="3" a="1"/>
  <c r="T864" i="3" l="1"/>
  <c r="T1133" i="3"/>
  <c r="T947" i="3"/>
  <c r="T1163" i="3"/>
  <c r="T136" i="3"/>
  <c r="T773" i="3"/>
  <c r="T659" i="3"/>
  <c r="T817" i="3"/>
  <c r="T807" i="3"/>
  <c r="T810" i="3"/>
  <c r="T900" i="3"/>
  <c r="T515" i="3"/>
  <c r="T1030" i="3"/>
  <c r="T163" i="3"/>
  <c r="T626" i="3"/>
  <c r="T956" i="3"/>
  <c r="T1204" i="3"/>
  <c r="T473" i="3"/>
  <c r="T863" i="3"/>
  <c r="T693" i="3"/>
  <c r="T739" i="3"/>
  <c r="T186" i="3"/>
  <c r="T906" i="3"/>
  <c r="T1039" i="3"/>
  <c r="T886" i="3"/>
  <c r="T1110" i="3"/>
  <c r="T601" i="3"/>
  <c r="T707" i="3"/>
  <c r="T246" i="3"/>
  <c r="T696" i="3"/>
  <c r="T438" i="3"/>
  <c r="T456" i="3"/>
  <c r="T517" i="3"/>
  <c r="T218" i="3"/>
  <c r="T1154" i="3"/>
  <c r="U623" i="3"/>
  <c r="U412" i="3"/>
  <c r="U273" i="3"/>
  <c r="U256" i="3"/>
  <c r="U223" i="3"/>
  <c r="U171" i="3"/>
  <c r="U726" i="3"/>
  <c r="U388" i="3"/>
  <c r="U632" i="3"/>
  <c r="U815" i="3"/>
  <c r="U1184" i="3"/>
  <c r="U68" i="3"/>
  <c r="U25" i="3"/>
  <c r="U827" i="3"/>
  <c r="U51" i="3"/>
  <c r="U164" i="3"/>
  <c r="U196" i="3"/>
  <c r="U380" i="3"/>
  <c r="U521" i="3"/>
  <c r="U1044" i="3"/>
  <c r="U339" i="3"/>
  <c r="U476" i="3"/>
  <c r="U524" i="3"/>
  <c r="U660" i="3"/>
  <c r="U305" i="3"/>
  <c r="U510" i="3"/>
  <c r="U589" i="3"/>
  <c r="U578" i="3"/>
  <c r="U1156" i="3"/>
  <c r="U153" i="3"/>
  <c r="U1204" i="3"/>
  <c r="U641" i="3"/>
  <c r="U655" i="3"/>
  <c r="U687" i="3"/>
  <c r="U104" i="3"/>
  <c r="U669" i="3"/>
  <c r="U108" i="3"/>
  <c r="U281" i="3"/>
  <c r="U517" i="3"/>
  <c r="U590" i="3"/>
  <c r="U1179" i="3"/>
  <c r="U430" i="3"/>
  <c r="U993" i="3"/>
  <c r="U419" i="3"/>
  <c r="U320" i="3"/>
  <c r="U308" i="3"/>
  <c r="U657" i="3"/>
  <c r="U219" i="3"/>
  <c r="U978" i="3"/>
  <c r="U40" i="3"/>
  <c r="U239" i="3"/>
  <c r="U604" i="3"/>
  <c r="U283" i="3"/>
  <c r="U307" i="3"/>
  <c r="U403" i="3"/>
  <c r="U1213" i="3"/>
  <c r="U1079" i="3"/>
  <c r="U47" i="3"/>
  <c r="U451" i="3"/>
  <c r="U483" i="3"/>
  <c r="U579" i="3"/>
  <c r="U586" i="3"/>
  <c r="U133" i="3"/>
  <c r="U359" i="3"/>
  <c r="U595" i="3"/>
  <c r="U659" i="3"/>
  <c r="U212" i="3"/>
  <c r="U501" i="3"/>
  <c r="U1168" i="3"/>
  <c r="U1192" i="3"/>
  <c r="U136" i="3"/>
  <c r="U929" i="3"/>
  <c r="U755" i="3"/>
  <c r="U984" i="3"/>
  <c r="U64" i="3"/>
  <c r="U914" i="3"/>
  <c r="U970" i="3"/>
  <c r="U82" i="3"/>
  <c r="U402" i="3"/>
  <c r="U209" i="3"/>
  <c r="U428" i="3"/>
  <c r="U279" i="3"/>
  <c r="U386" i="3"/>
  <c r="U853" i="3"/>
  <c r="U33" i="3"/>
  <c r="U481" i="3"/>
  <c r="U443" i="3"/>
  <c r="U790" i="3"/>
  <c r="U13" i="3"/>
  <c r="U269" i="3"/>
  <c r="U262" i="3"/>
  <c r="U1214" i="3"/>
  <c r="U539" i="3"/>
  <c r="U318" i="3"/>
  <c r="U446" i="3"/>
  <c r="U686" i="3"/>
  <c r="U661" i="3"/>
  <c r="U1138" i="3"/>
  <c r="U635" i="3"/>
  <c r="U711" i="3"/>
  <c r="U753" i="3"/>
  <c r="U540" i="3"/>
  <c r="U31" i="3"/>
  <c r="U110" i="3"/>
  <c r="U355" i="3"/>
  <c r="U746" i="3"/>
  <c r="U849" i="3"/>
  <c r="U174" i="3"/>
  <c r="U904" i="3"/>
  <c r="U66" i="3"/>
  <c r="U1171" i="3"/>
  <c r="U1195" i="3"/>
  <c r="U142" i="3"/>
  <c r="U580" i="3"/>
  <c r="U569" i="3"/>
  <c r="U676" i="3"/>
  <c r="U75" i="3"/>
  <c r="U127" i="3"/>
  <c r="U607" i="3"/>
  <c r="U734" i="3"/>
  <c r="U953" i="3"/>
  <c r="U71" i="3"/>
  <c r="U1068" i="3"/>
  <c r="U1092" i="3"/>
  <c r="U1148" i="3"/>
  <c r="U28" i="3"/>
  <c r="U646" i="3"/>
  <c r="U175" i="3"/>
  <c r="U1164" i="3"/>
  <c r="U1188" i="3"/>
  <c r="U122" i="3"/>
  <c r="U644" i="3"/>
  <c r="U1116" i="3"/>
  <c r="U471" i="3"/>
  <c r="U173" i="3"/>
  <c r="U250" i="3"/>
  <c r="U224" i="3"/>
  <c r="U114" i="3"/>
  <c r="U312" i="3"/>
  <c r="U117" i="3"/>
  <c r="U351" i="3"/>
  <c r="U741" i="3"/>
  <c r="U1183" i="3"/>
  <c r="U843" i="3"/>
  <c r="U272" i="3"/>
  <c r="U956" i="3"/>
  <c r="U983" i="3"/>
  <c r="U440" i="3"/>
  <c r="U335" i="3"/>
  <c r="U123" i="3"/>
  <c r="U882" i="3"/>
  <c r="U227" i="3"/>
  <c r="U275" i="3"/>
  <c r="U639" i="3"/>
  <c r="U396" i="3"/>
  <c r="U363" i="3"/>
  <c r="U829" i="3"/>
  <c r="U856" i="3"/>
  <c r="U304" i="3"/>
  <c r="U218" i="3"/>
  <c r="U266" i="3"/>
  <c r="U459" i="3"/>
  <c r="U939" i="3"/>
  <c r="U966" i="3"/>
  <c r="U648" i="3"/>
  <c r="U807" i="3"/>
  <c r="U1174" i="3"/>
  <c r="U651" i="3"/>
  <c r="U1046" i="3"/>
  <c r="U1070" i="3"/>
  <c r="U1026" i="3"/>
  <c r="U845" i="3"/>
  <c r="U498" i="3"/>
  <c r="U1108" i="3"/>
  <c r="U257" i="3"/>
  <c r="U463" i="3"/>
  <c r="U495" i="3"/>
  <c r="U599" i="3"/>
  <c r="U689" i="3"/>
  <c r="U857" i="3"/>
  <c r="U885" i="3"/>
  <c r="U466" i="3"/>
  <c r="U1132" i="3"/>
  <c r="U268" i="3"/>
  <c r="U1053" i="3"/>
  <c r="U871" i="3"/>
  <c r="U1101" i="3"/>
  <c r="U645" i="3"/>
  <c r="U514" i="3"/>
  <c r="U383" i="3"/>
  <c r="U1027" i="3"/>
  <c r="U658" i="3"/>
  <c r="U92" i="3"/>
  <c r="U169" i="3"/>
  <c r="U492" i="3"/>
  <c r="U449" i="3"/>
  <c r="U131" i="3"/>
  <c r="U194" i="3"/>
  <c r="U732" i="3"/>
  <c r="U594" i="3"/>
  <c r="U782" i="3"/>
  <c r="U65" i="3"/>
  <c r="U588" i="3"/>
  <c r="U473" i="3"/>
  <c r="U739" i="3"/>
  <c r="U771" i="3"/>
  <c r="U526" i="3"/>
  <c r="U865" i="3"/>
  <c r="U684" i="3"/>
  <c r="U665" i="3"/>
  <c r="U859" i="3"/>
  <c r="U886" i="3"/>
  <c r="U863" i="3"/>
  <c r="U1030" i="3"/>
  <c r="U20" i="3"/>
  <c r="U774" i="3"/>
  <c r="U968" i="3"/>
  <c r="U996" i="3"/>
  <c r="U527" i="3"/>
  <c r="U820" i="3"/>
  <c r="U554" i="3"/>
  <c r="U875" i="3"/>
  <c r="U647" i="3"/>
  <c r="U754" i="3"/>
  <c r="U802" i="3"/>
  <c r="U15" i="3"/>
  <c r="U76" i="3"/>
  <c r="U518" i="3"/>
  <c r="U572" i="3"/>
  <c r="U1165" i="3"/>
  <c r="U389" i="3"/>
  <c r="U323" i="3"/>
  <c r="U958" i="3"/>
  <c r="U533" i="3"/>
  <c r="U1013" i="3"/>
  <c r="U460" i="3"/>
  <c r="U509" i="3"/>
  <c r="U1124" i="3"/>
  <c r="U52" i="3"/>
  <c r="U697" i="3"/>
  <c r="U543" i="3"/>
  <c r="U282" i="3"/>
  <c r="U132" i="3"/>
  <c r="U159" i="3"/>
  <c r="U938" i="3"/>
  <c r="U23" i="3"/>
  <c r="U511" i="3"/>
  <c r="U255" i="3"/>
  <c r="U1060" i="3"/>
  <c r="U263" i="3"/>
  <c r="U236" i="3"/>
  <c r="U319" i="3"/>
  <c r="U907" i="3"/>
  <c r="U376" i="3"/>
  <c r="U921" i="3"/>
  <c r="U841" i="3"/>
  <c r="U332" i="3"/>
  <c r="U415" i="3"/>
  <c r="U61" i="3"/>
  <c r="U528" i="3"/>
  <c r="U1103" i="3"/>
  <c r="U997" i="3"/>
  <c r="U252" i="3"/>
  <c r="U100" i="3"/>
  <c r="U1198" i="3"/>
  <c r="U688" i="3"/>
  <c r="U609" i="3"/>
  <c r="U728" i="3"/>
  <c r="U1173" i="3"/>
  <c r="U792" i="3"/>
  <c r="U962" i="3"/>
  <c r="U1075" i="3"/>
  <c r="U1099" i="3"/>
  <c r="U151" i="3"/>
  <c r="U631" i="3"/>
  <c r="U1210" i="3"/>
  <c r="U675" i="3"/>
  <c r="U134" i="3"/>
  <c r="U897" i="3"/>
  <c r="U62" i="3"/>
  <c r="U729" i="3"/>
  <c r="U254" i="3"/>
  <c r="U793" i="3"/>
  <c r="U544" i="3"/>
  <c r="U321" i="3"/>
  <c r="U1128" i="3"/>
  <c r="U884" i="3"/>
  <c r="U719" i="3"/>
  <c r="U59" i="3"/>
  <c r="U625" i="3"/>
  <c r="U348" i="3"/>
  <c r="U640" i="3"/>
  <c r="U124" i="3"/>
  <c r="U35" i="3"/>
  <c r="U99" i="3"/>
  <c r="U243" i="3"/>
  <c r="U300" i="3"/>
  <c r="U251" i="3"/>
  <c r="U423" i="3"/>
  <c r="U587" i="3"/>
  <c r="U295" i="3"/>
  <c r="U546" i="3"/>
  <c r="U961" i="3"/>
  <c r="U479" i="3"/>
  <c r="U519" i="3"/>
  <c r="U145" i="3"/>
  <c r="U487" i="3"/>
  <c r="U233" i="3"/>
  <c r="U1074" i="3"/>
  <c r="U144" i="3"/>
  <c r="U32" i="3"/>
  <c r="U730" i="3"/>
  <c r="U679" i="3"/>
  <c r="U489" i="3"/>
  <c r="U39" i="3"/>
  <c r="U833" i="3"/>
  <c r="U1087" i="3"/>
  <c r="U1162" i="3"/>
  <c r="U176" i="3"/>
  <c r="U846" i="3"/>
  <c r="U873" i="3"/>
  <c r="U512" i="3"/>
  <c r="U105" i="3"/>
  <c r="U664" i="3"/>
  <c r="U775" i="3"/>
  <c r="U532" i="3"/>
  <c r="U778" i="3"/>
  <c r="U536" i="3"/>
  <c r="U1086" i="3"/>
  <c r="U1088" i="3"/>
  <c r="U621" i="3"/>
  <c r="U656" i="3"/>
  <c r="U892" i="3"/>
  <c r="U119" i="3"/>
  <c r="U770" i="3"/>
  <c r="U152" i="3"/>
  <c r="U210" i="3"/>
  <c r="U617" i="3"/>
  <c r="U148" i="3"/>
  <c r="U228" i="3"/>
  <c r="U450" i="3"/>
  <c r="U401" i="3"/>
  <c r="U1163" i="3"/>
  <c r="U545" i="3"/>
  <c r="U626" i="3"/>
  <c r="U667" i="3"/>
  <c r="U1083" i="3"/>
  <c r="U593" i="3"/>
  <c r="U170" i="3"/>
  <c r="U794" i="3"/>
  <c r="U787" i="3"/>
  <c r="U577" i="3"/>
  <c r="U221" i="3"/>
  <c r="U834" i="3"/>
  <c r="U477" i="3"/>
  <c r="U946" i="3"/>
  <c r="U900" i="3"/>
  <c r="U531" i="3"/>
  <c r="U271" i="3"/>
  <c r="U303" i="3"/>
  <c r="U407" i="3"/>
  <c r="U497" i="3"/>
  <c r="U737" i="3"/>
  <c r="U769" i="3"/>
  <c r="U185" i="3"/>
  <c r="U149" i="3"/>
  <c r="U425" i="3"/>
  <c r="U301" i="3"/>
  <c r="U764" i="3"/>
  <c r="U855" i="3"/>
  <c r="U292" i="3"/>
  <c r="U107" i="3"/>
  <c r="U163" i="3"/>
  <c r="U259" i="3"/>
  <c r="U112" i="3"/>
  <c r="U1209" i="3"/>
  <c r="U738" i="3"/>
  <c r="U596" i="3"/>
  <c r="U468" i="3"/>
  <c r="U147" i="3"/>
  <c r="U404" i="3"/>
  <c r="U866" i="3"/>
  <c r="U615" i="3"/>
  <c r="U555" i="3"/>
  <c r="U515" i="3"/>
  <c r="U1063" i="3"/>
  <c r="U745" i="3"/>
  <c r="U1111" i="3"/>
  <c r="U707" i="3"/>
  <c r="U1145" i="3"/>
  <c r="U611" i="3"/>
  <c r="U1159" i="3"/>
  <c r="U864" i="3"/>
  <c r="U29" i="3"/>
  <c r="U923" i="3"/>
  <c r="U1050" i="3"/>
  <c r="U225" i="3"/>
  <c r="U182" i="3"/>
  <c r="U974" i="3"/>
  <c r="U334" i="3"/>
  <c r="U465" i="3"/>
  <c r="U972" i="3"/>
  <c r="U999" i="3"/>
  <c r="U55" i="3"/>
  <c r="U439" i="3"/>
  <c r="U342" i="3"/>
  <c r="U499" i="3"/>
  <c r="U842" i="3"/>
  <c r="U959" i="3"/>
  <c r="U485" i="3"/>
  <c r="U955" i="3"/>
  <c r="U990" i="3"/>
  <c r="U1091" i="3"/>
  <c r="U1187" i="3"/>
  <c r="U963" i="3"/>
  <c r="U26" i="3"/>
  <c r="U313" i="3"/>
  <c r="U704" i="3"/>
  <c r="U671" i="3"/>
  <c r="U529" i="3"/>
  <c r="U1081" i="3"/>
  <c r="U1025" i="3"/>
  <c r="U205" i="3"/>
  <c r="U1104" i="3"/>
  <c r="U1201" i="3"/>
  <c r="U462" i="3"/>
  <c r="U260" i="3"/>
  <c r="U760" i="3"/>
  <c r="U158" i="3"/>
  <c r="U1206" i="3"/>
  <c r="U390" i="3"/>
  <c r="U556" i="3"/>
  <c r="U1095" i="3"/>
  <c r="U706" i="3"/>
  <c r="U826" i="3"/>
  <c r="U751" i="3"/>
  <c r="U906" i="3"/>
  <c r="U573" i="3"/>
  <c r="U410" i="3"/>
  <c r="U414" i="3"/>
  <c r="U474" i="3"/>
  <c r="U345" i="3"/>
  <c r="U207" i="3"/>
  <c r="U801" i="3"/>
  <c r="U896" i="3"/>
  <c r="U776" i="3"/>
  <c r="U294" i="3"/>
  <c r="U280" i="3"/>
  <c r="U976" i="3"/>
  <c r="U1177" i="3"/>
  <c r="U883" i="3"/>
  <c r="U700" i="3"/>
  <c r="U432" i="3"/>
  <c r="U1143" i="3"/>
  <c r="U1058" i="3"/>
  <c r="U948" i="3"/>
  <c r="U472" i="3"/>
  <c r="U508" i="3"/>
  <c r="U973" i="3"/>
  <c r="U713" i="3"/>
  <c r="U433" i="3"/>
  <c r="U286" i="3"/>
  <c r="U575" i="3"/>
  <c r="U989" i="3"/>
  <c r="U562" i="3"/>
  <c r="U287" i="3"/>
  <c r="U1105" i="3"/>
  <c r="U1150" i="3"/>
  <c r="U44" i="3"/>
  <c r="U908" i="3"/>
  <c r="U264" i="3"/>
  <c r="U930" i="3"/>
  <c r="U681" i="3"/>
  <c r="U783" i="3"/>
  <c r="U668" i="3"/>
  <c r="U1133" i="3"/>
  <c r="U767" i="3"/>
  <c r="U1047" i="3"/>
  <c r="U786" i="3"/>
  <c r="U798" i="3"/>
  <c r="U913" i="3"/>
  <c r="U824" i="3"/>
  <c r="U549" i="3"/>
  <c r="U156" i="3"/>
  <c r="U565" i="3"/>
  <c r="U759" i="3"/>
  <c r="U876" i="3"/>
  <c r="U418" i="3"/>
  <c r="U1014" i="3"/>
  <c r="U140" i="3"/>
  <c r="U1169" i="3"/>
  <c r="U705" i="3"/>
  <c r="U1126" i="3"/>
  <c r="U559" i="3"/>
  <c r="U1208" i="3"/>
  <c r="U888" i="3"/>
  <c r="U72" i="3"/>
  <c r="U788" i="3"/>
  <c r="U469" i="3"/>
  <c r="U431" i="3"/>
  <c r="U441" i="3"/>
  <c r="U43" i="3"/>
  <c r="U1205" i="3"/>
  <c r="U1193" i="3"/>
  <c r="U328" i="3"/>
  <c r="U943" i="3"/>
  <c r="U610" i="3"/>
  <c r="U1032" i="3"/>
  <c r="U810" i="3"/>
  <c r="U486" i="3"/>
  <c r="U329" i="3"/>
  <c r="U293" i="3"/>
  <c r="U574" i="3"/>
  <c r="U602" i="3"/>
  <c r="U727" i="3"/>
  <c r="U601" i="3"/>
  <c r="U795" i="3"/>
  <c r="U1131" i="3"/>
  <c r="U817" i="3"/>
  <c r="U848" i="3"/>
  <c r="U825" i="3"/>
  <c r="U805" i="3"/>
  <c r="U808" i="3"/>
  <c r="U919" i="3"/>
  <c r="U490" i="3"/>
  <c r="U944" i="3"/>
  <c r="U731" i="3"/>
  <c r="U45" i="3"/>
  <c r="U1054" i="3"/>
  <c r="U478" i="3"/>
  <c r="U735" i="3"/>
  <c r="U1152" i="3"/>
  <c r="U493" i="3"/>
  <c r="U712" i="3"/>
  <c r="U115" i="3"/>
  <c r="U654" i="3"/>
  <c r="U1134" i="3"/>
  <c r="U278" i="3"/>
  <c r="U1035" i="3"/>
  <c r="U211" i="3"/>
  <c r="U240" i="3"/>
  <c r="U455" i="3"/>
  <c r="U324" i="3"/>
  <c r="U1140" i="3"/>
  <c r="U464" i="3"/>
  <c r="U542" i="3"/>
  <c r="U21" i="3"/>
  <c r="U162" i="3"/>
  <c r="U1107" i="3"/>
  <c r="U277" i="3"/>
  <c r="U694" i="3"/>
  <c r="U1001" i="3"/>
  <c r="U839" i="3"/>
  <c r="U523" i="3"/>
  <c r="U1078" i="3"/>
  <c r="U1167" i="3"/>
  <c r="U58" i="3"/>
  <c r="U971" i="3"/>
  <c r="U570" i="3"/>
  <c r="U740" i="3"/>
  <c r="U448" i="3"/>
  <c r="U1197" i="3"/>
  <c r="U253" i="3"/>
  <c r="U558" i="3"/>
  <c r="U213" i="3"/>
  <c r="U1158" i="3"/>
  <c r="U327" i="3"/>
  <c r="U87" i="3"/>
  <c r="U37" i="3"/>
  <c r="U1203" i="3"/>
  <c r="U613" i="3"/>
  <c r="U1000" i="3"/>
  <c r="U743" i="3"/>
  <c r="U350" i="3"/>
  <c r="U399" i="3"/>
  <c r="U980" i="3"/>
  <c r="U56" i="3"/>
  <c r="U995" i="3"/>
  <c r="U799" i="3"/>
  <c r="U408" i="3"/>
  <c r="U870" i="3"/>
  <c r="U248" i="3"/>
  <c r="U73" i="3"/>
  <c r="U662" i="3"/>
  <c r="U265" i="3"/>
  <c r="U874" i="3"/>
  <c r="U1207" i="3"/>
  <c r="U828" i="3"/>
  <c r="U649" i="3"/>
  <c r="U915" i="3"/>
  <c r="U816" i="3"/>
  <c r="U63" i="3"/>
  <c r="U937" i="3"/>
  <c r="U397" i="3"/>
  <c r="U1185" i="3"/>
  <c r="U936" i="3"/>
  <c r="U120" i="3"/>
  <c r="U1141" i="3"/>
  <c r="U862" i="3"/>
  <c r="U1102" i="3"/>
  <c r="U1037" i="3"/>
  <c r="U296" i="3"/>
  <c r="U74" i="3"/>
  <c r="U744" i="3"/>
  <c r="U934" i="3"/>
  <c r="U1190" i="3"/>
  <c r="U860" i="3"/>
  <c r="U942" i="3"/>
  <c r="U591" i="3"/>
  <c r="U130" i="3"/>
  <c r="U619" i="3"/>
  <c r="U1069" i="3"/>
  <c r="U19" i="3"/>
  <c r="U1034" i="3"/>
  <c r="U748" i="3"/>
  <c r="U1172" i="3"/>
  <c r="U887" i="3"/>
  <c r="U630" i="3"/>
  <c r="U1157" i="3"/>
  <c r="U927" i="3"/>
  <c r="U302" i="3"/>
  <c r="U1073" i="3"/>
  <c r="U879" i="3"/>
  <c r="U534" i="3"/>
  <c r="U30" i="3"/>
  <c r="U716" i="3"/>
  <c r="U551" i="3"/>
  <c r="U347" i="3"/>
  <c r="U400" i="3"/>
  <c r="U998" i="3"/>
  <c r="U552" i="3"/>
  <c r="U757" i="3"/>
  <c r="U98" i="3"/>
  <c r="U1199" i="3"/>
  <c r="U1016" i="3"/>
  <c r="U206" i="3"/>
  <c r="U1049" i="3"/>
  <c r="U372" i="3"/>
  <c r="U375" i="3"/>
  <c r="U905" i="3"/>
  <c r="U1015" i="3"/>
  <c r="U1113" i="3"/>
  <c r="U488" i="3"/>
  <c r="U1045" i="3"/>
  <c r="U17" i="3"/>
  <c r="U193" i="3"/>
  <c r="U247" i="3"/>
  <c r="U234" i="3"/>
  <c r="U568" i="3"/>
  <c r="U1028" i="3"/>
  <c r="U566" i="3"/>
  <c r="U832" i="3"/>
  <c r="U437" i="3"/>
  <c r="U1098" i="3"/>
  <c r="U155" i="3"/>
  <c r="U818" i="3"/>
  <c r="U988" i="3"/>
  <c r="U1004" i="3"/>
  <c r="U1082" i="3"/>
  <c r="U81" i="3"/>
  <c r="U703" i="3"/>
  <c r="U137" i="3"/>
  <c r="U442" i="3"/>
  <c r="U34" i="3"/>
  <c r="U197" i="3"/>
  <c r="U721" i="3"/>
  <c r="U1022" i="3"/>
  <c r="U42" i="3"/>
  <c r="U1176" i="3"/>
  <c r="U502" i="3"/>
  <c r="U981" i="3"/>
  <c r="U1175" i="3"/>
  <c r="U909" i="3"/>
  <c r="U1033" i="3"/>
  <c r="U733" i="3"/>
  <c r="U1076" i="3"/>
  <c r="U438" i="3"/>
  <c r="U326" i="3"/>
  <c r="U773" i="3"/>
  <c r="U854" i="3"/>
  <c r="U198" i="3"/>
  <c r="U813" i="3"/>
  <c r="U1011" i="3"/>
  <c r="U1109" i="3"/>
  <c r="U643" i="3"/>
  <c r="U530" i="3"/>
  <c r="U692" i="3"/>
  <c r="U125" i="3"/>
  <c r="U789" i="3"/>
  <c r="U878" i="3"/>
  <c r="U1127" i="3"/>
  <c r="U917" i="3"/>
  <c r="U330" i="3"/>
  <c r="U237" i="3"/>
  <c r="U420" i="3"/>
  <c r="U1023" i="3"/>
  <c r="U24" i="3"/>
  <c r="U612" i="3"/>
  <c r="U894" i="3"/>
  <c r="U606" i="3"/>
  <c r="U48" i="3"/>
  <c r="U1139" i="3"/>
  <c r="U457" i="3"/>
  <c r="U672" i="3"/>
  <c r="U276" i="3"/>
  <c r="U837" i="3"/>
  <c r="U67" i="3"/>
  <c r="U49" i="3"/>
  <c r="U785" i="3"/>
  <c r="U445" i="3"/>
  <c r="U1080" i="3"/>
  <c r="U1072" i="3"/>
  <c r="U1066" i="3"/>
  <c r="U608" i="3"/>
  <c r="U636" i="3"/>
  <c r="U1003" i="3"/>
  <c r="U346" i="3"/>
  <c r="U603" i="3"/>
  <c r="U1094" i="3"/>
  <c r="U165" i="3"/>
  <c r="U663" i="3"/>
  <c r="U525" i="3"/>
  <c r="U951" i="3"/>
  <c r="U620" i="3"/>
  <c r="U991" i="3"/>
  <c r="U1161" i="3"/>
  <c r="U809" i="3"/>
  <c r="U683" i="3"/>
  <c r="U877" i="3"/>
  <c r="U1170" i="3"/>
  <c r="U60" i="3"/>
  <c r="U89" i="3"/>
  <c r="U584" i="3"/>
  <c r="U235" i="3"/>
  <c r="U724" i="3"/>
  <c r="U447" i="3"/>
  <c r="U949" i="3"/>
  <c r="U215" i="3"/>
  <c r="U200" i="3"/>
  <c r="U1118" i="3"/>
  <c r="U467" i="3"/>
  <c r="U338" i="3"/>
  <c r="U113" i="3"/>
  <c r="U945" i="3"/>
  <c r="U177" i="3"/>
  <c r="U614" i="3"/>
  <c r="U652" i="3"/>
  <c r="U1211" i="3"/>
  <c r="U429" i="3"/>
  <c r="U146" i="3"/>
  <c r="U1040" i="3"/>
  <c r="U83" i="3"/>
  <c r="U844" i="3"/>
  <c r="U1100" i="3"/>
  <c r="U695" i="3"/>
  <c r="U1212" i="3"/>
  <c r="U128" i="3"/>
  <c r="U987" i="3"/>
  <c r="U814" i="3"/>
  <c r="U421" i="3"/>
  <c r="U699" i="3"/>
  <c r="U27" i="3"/>
  <c r="U95" i="3"/>
  <c r="U1097" i="3"/>
  <c r="U1122" i="3"/>
  <c r="U583" i="3"/>
  <c r="U315" i="3"/>
  <c r="U184" i="3"/>
  <c r="U238" i="3"/>
  <c r="U367" i="3"/>
  <c r="U563" i="3"/>
  <c r="U411" i="3"/>
  <c r="U336" i="3"/>
  <c r="U1186" i="3"/>
  <c r="U384" i="3"/>
  <c r="U118" i="3"/>
  <c r="U954" i="3"/>
  <c r="U343" i="3"/>
  <c r="U1135" i="3"/>
  <c r="U38" i="3"/>
  <c r="U178" i="3"/>
  <c r="U628" i="3"/>
  <c r="U141" i="3"/>
  <c r="U677" i="3"/>
  <c r="U186" i="3"/>
  <c r="U847" i="3"/>
  <c r="U1031" i="3"/>
  <c r="U1181" i="3"/>
  <c r="U356" i="3"/>
  <c r="U701" i="3"/>
  <c r="U368" i="3"/>
  <c r="U111" i="3"/>
  <c r="U819" i="3"/>
  <c r="U454" i="3"/>
  <c r="U901" i="3"/>
  <c r="U1182" i="3"/>
  <c r="U627" i="3"/>
  <c r="U436" i="3"/>
  <c r="U564" i="3"/>
  <c r="U231" i="3"/>
  <c r="U561" i="3"/>
  <c r="U1038" i="3"/>
  <c r="U470" i="3"/>
  <c r="U427" i="3"/>
  <c r="U274" i="3"/>
  <c r="U422" i="3"/>
  <c r="U150" i="3"/>
  <c r="U85" i="3"/>
  <c r="U288" i="3"/>
  <c r="U922" i="3"/>
  <c r="U653" i="3"/>
  <c r="U1002" i="3"/>
  <c r="U1093" i="3"/>
  <c r="U361" i="3"/>
  <c r="U409" i="3"/>
  <c r="U893" i="3"/>
  <c r="U505" i="3"/>
  <c r="U53" i="3"/>
  <c r="U1071" i="3"/>
  <c r="U597" i="3"/>
  <c r="U1142" i="3"/>
  <c r="U1153" i="3"/>
  <c r="U424" i="3"/>
  <c r="U270" i="3"/>
  <c r="U691" i="3"/>
  <c r="U358" i="3"/>
  <c r="U96" i="3"/>
  <c r="U520" i="3"/>
  <c r="U581" i="3"/>
  <c r="U698" i="3"/>
  <c r="U940" i="3"/>
  <c r="U97" i="3"/>
  <c r="U616" i="3"/>
  <c r="U765" i="3"/>
  <c r="U1010" i="3"/>
  <c r="U310" i="3"/>
  <c r="U553" i="3"/>
  <c r="U417" i="3"/>
  <c r="U881" i="3"/>
  <c r="U166" i="3"/>
  <c r="U932" i="3"/>
  <c r="U298" i="3"/>
  <c r="U567" i="3"/>
  <c r="U14" i="3"/>
  <c r="V13" i="3" s="1"/>
  <c r="U720" i="3"/>
  <c r="U585" i="3"/>
  <c r="U202" i="3"/>
  <c r="U918" i="3"/>
  <c r="U366" i="3"/>
  <c r="U803" i="3"/>
  <c r="U241" i="3"/>
  <c r="U1160" i="3"/>
  <c r="U179" i="3"/>
  <c r="U291" i="3"/>
  <c r="U812" i="3"/>
  <c r="U910" i="3"/>
  <c r="U969" i="3"/>
  <c r="U90" i="3"/>
  <c r="U920" i="3"/>
  <c r="U957" i="3"/>
  <c r="U1012" i="3"/>
  <c r="U217" i="3"/>
  <c r="U352" i="3"/>
  <c r="U373" i="3"/>
  <c r="U666" i="3"/>
  <c r="U284" i="3"/>
  <c r="U756" i="3"/>
  <c r="U1166" i="3"/>
  <c r="U387" i="3"/>
  <c r="U1067" i="3"/>
  <c r="U325" i="3"/>
  <c r="U985" i="3"/>
  <c r="U1024" i="3"/>
  <c r="U538" i="3"/>
  <c r="U947" i="3"/>
  <c r="U230" i="3"/>
  <c r="U916" i="3"/>
  <c r="U1120" i="3"/>
  <c r="U1117" i="3"/>
  <c r="U967" i="3"/>
  <c r="U157" i="3"/>
  <c r="U685" i="3"/>
  <c r="U618" i="3"/>
  <c r="U102" i="3"/>
  <c r="U516" i="3"/>
  <c r="U379" i="3"/>
  <c r="U811" i="3"/>
  <c r="U1007" i="3"/>
  <c r="U344" i="3"/>
  <c r="U1191" i="3"/>
  <c r="U838" i="3"/>
  <c r="U714" i="3"/>
  <c r="U192" i="3"/>
  <c r="U435" i="3"/>
  <c r="U285" i="3"/>
  <c r="U1021" i="3"/>
  <c r="U57" i="3"/>
  <c r="U289" i="3"/>
  <c r="U762" i="3"/>
  <c r="U1096" i="3"/>
  <c r="U382" i="3"/>
  <c r="U245" i="3"/>
  <c r="U702" i="3"/>
  <c r="U858" i="3"/>
  <c r="U135" i="3"/>
  <c r="U780" i="3"/>
  <c r="U1051" i="3"/>
  <c r="U208" i="3"/>
  <c r="U548" i="3"/>
  <c r="U1112" i="3"/>
  <c r="U93" i="3"/>
  <c r="U160" i="3"/>
  <c r="U187" i="3"/>
  <c r="U941" i="3"/>
  <c r="U46" i="3"/>
  <c r="U822" i="3"/>
  <c r="U453" i="3"/>
  <c r="U201" i="3"/>
  <c r="U1061" i="3"/>
  <c r="U69" i="3"/>
  <c r="U77" i="3"/>
  <c r="U126" i="3"/>
  <c r="U1009" i="3"/>
  <c r="U317" i="3"/>
  <c r="U106" i="3"/>
  <c r="U129" i="3"/>
  <c r="U70" i="3"/>
  <c r="U337" i="3"/>
  <c r="U1149" i="3"/>
  <c r="U872" i="3"/>
  <c r="U722" i="3"/>
  <c r="U1042" i="3"/>
  <c r="U306" i="3"/>
  <c r="U758" i="3"/>
  <c r="U138" i="3"/>
  <c r="U398" i="3"/>
  <c r="U992" i="3"/>
  <c r="U491" i="3"/>
  <c r="U678" i="3"/>
  <c r="U222" i="3"/>
  <c r="U503" i="3"/>
  <c r="U986" i="3"/>
  <c r="U353" i="3"/>
  <c r="U309" i="3"/>
  <c r="U1062" i="3"/>
  <c r="U911" i="3"/>
  <c r="U322" i="3"/>
  <c r="U506" i="3"/>
  <c r="U1144" i="3"/>
  <c r="U571" i="3"/>
  <c r="U203" i="3"/>
  <c r="U1059" i="3"/>
  <c r="U851" i="3"/>
  <c r="U261" i="3"/>
  <c r="U836" i="3"/>
  <c r="U605" i="3"/>
  <c r="U333" i="3"/>
  <c r="U154" i="3"/>
  <c r="U982" i="3"/>
  <c r="U494" i="3"/>
  <c r="U642" i="3"/>
  <c r="U172" i="3"/>
  <c r="U314" i="3"/>
  <c r="U1017" i="3"/>
  <c r="U1194" i="3"/>
  <c r="U800" i="3"/>
  <c r="U902" i="3"/>
  <c r="U1090" i="3"/>
  <c r="U777" i="3"/>
  <c r="U369" i="3"/>
  <c r="U50" i="3"/>
  <c r="U823" i="3"/>
  <c r="U950" i="3"/>
  <c r="U830" i="3"/>
  <c r="U690" i="3"/>
  <c r="U480" i="3"/>
  <c r="U804" i="3"/>
  <c r="U461" i="3"/>
  <c r="U392" i="3"/>
  <c r="U682" i="3"/>
  <c r="U1029" i="3"/>
  <c r="U456" i="3"/>
  <c r="U541" i="3"/>
  <c r="U880" i="3"/>
  <c r="U374" i="3"/>
  <c r="U1018" i="3"/>
  <c r="U482" i="3"/>
  <c r="U550" i="3"/>
  <c r="U903" i="3"/>
  <c r="U216" i="3"/>
  <c r="U709" i="3"/>
  <c r="U195" i="3"/>
  <c r="U796" i="3"/>
  <c r="U638" i="3"/>
  <c r="U868" i="3"/>
  <c r="U624" i="3"/>
  <c r="U226" i="3"/>
  <c r="U1155" i="3"/>
  <c r="U924" i="3"/>
  <c r="U928" i="3"/>
  <c r="U458" i="3"/>
  <c r="U180" i="3"/>
  <c r="U629" i="3"/>
  <c r="U784" i="3"/>
  <c r="U598" i="3"/>
  <c r="U1151" i="3"/>
  <c r="U1119" i="3"/>
  <c r="U723" i="3"/>
  <c r="U674" i="3"/>
  <c r="U341" i="3"/>
  <c r="U88" i="3"/>
  <c r="U79" i="3"/>
  <c r="U931" i="3"/>
  <c r="U434" i="3"/>
  <c r="U867" i="3"/>
  <c r="U101" i="3"/>
  <c r="U1005" i="3"/>
  <c r="U890" i="3"/>
  <c r="U1129" i="3"/>
  <c r="U693" i="3"/>
  <c r="U850" i="3"/>
  <c r="U696" i="3"/>
  <c r="U78" i="3"/>
  <c r="U935" i="3"/>
  <c r="U139" i="3"/>
  <c r="U670" i="3"/>
  <c r="U331" i="3"/>
  <c r="U1041" i="3"/>
  <c r="U1043" i="3"/>
  <c r="U507" i="3"/>
  <c r="U781" i="3"/>
  <c r="U214" i="3"/>
  <c r="U229" i="3"/>
  <c r="U1085" i="3"/>
  <c r="U965" i="3"/>
  <c r="U1089" i="3"/>
  <c r="U1196" i="3"/>
  <c r="U763" i="3"/>
  <c r="U1180" i="3"/>
  <c r="U36" i="3"/>
  <c r="U199" i="3"/>
  <c r="U1008" i="3"/>
  <c r="U365" i="3"/>
  <c r="U349" i="3"/>
  <c r="U761" i="3"/>
  <c r="U1006" i="3"/>
  <c r="U371" i="3"/>
  <c r="U405" i="3"/>
  <c r="U1048" i="3"/>
  <c r="U299" i="3"/>
  <c r="U960" i="3"/>
  <c r="U952" i="3"/>
  <c r="U779" i="3"/>
  <c r="U354" i="3"/>
  <c r="U188" i="3"/>
  <c r="U926" i="3"/>
  <c r="U16" i="3"/>
  <c r="U103" i="3"/>
  <c r="U912" i="3"/>
  <c r="U1178" i="3"/>
  <c r="U18" i="3"/>
  <c r="U1123" i="3"/>
  <c r="U821" i="3"/>
  <c r="U267" i="3"/>
  <c r="U717" i="3"/>
  <c r="U975" i="3"/>
  <c r="U246" i="3"/>
  <c r="U1057" i="3"/>
  <c r="U1020" i="3"/>
  <c r="U258" i="3"/>
  <c r="U977" i="3"/>
  <c r="U899" i="3"/>
  <c r="U840" i="3"/>
  <c r="U1154" i="3"/>
  <c r="U484" i="3"/>
  <c r="U94" i="3"/>
  <c r="U835" i="3"/>
  <c r="U109" i="3"/>
  <c r="U191" i="3"/>
  <c r="U41" i="3"/>
  <c r="U406" i="3"/>
  <c r="U633" i="3"/>
  <c r="U715" i="3"/>
  <c r="U1039" i="3"/>
  <c r="U861" i="3"/>
  <c r="U831" i="3"/>
  <c r="U1121" i="3"/>
  <c r="U290" i="3"/>
  <c r="U249" i="3"/>
  <c r="U791" i="3"/>
  <c r="U1114" i="3"/>
  <c r="U537" i="3"/>
  <c r="U244" i="3"/>
  <c r="U1056" i="3"/>
  <c r="U1064" i="3"/>
  <c r="U54" i="3"/>
  <c r="U1130" i="3"/>
  <c r="U1065" i="3"/>
  <c r="U964" i="3"/>
  <c r="U1146" i="3"/>
  <c r="U547" i="3"/>
  <c r="U370" i="3"/>
  <c r="U504" i="3"/>
  <c r="U522" i="3"/>
  <c r="U168" i="3"/>
  <c r="U1036" i="3"/>
  <c r="U680" i="3"/>
  <c r="U167" i="3"/>
  <c r="U426" i="3"/>
  <c r="U475" i="3"/>
  <c r="U1137" i="3"/>
  <c r="U725" i="3"/>
  <c r="U444" i="3"/>
  <c r="U378" i="3"/>
  <c r="U994" i="3"/>
  <c r="U535" i="3"/>
  <c r="U381" i="3"/>
  <c r="U1019" i="3"/>
  <c r="U1136" i="3"/>
  <c r="U1052" i="3"/>
  <c r="U232" i="3"/>
  <c r="U1125" i="3"/>
  <c r="U1055" i="3"/>
  <c r="U204" i="3"/>
  <c r="U513" i="3"/>
  <c r="U736" i="3"/>
  <c r="U84" i="3"/>
  <c r="U750" i="3"/>
  <c r="U311" i="3"/>
  <c r="U576" i="3"/>
  <c r="U622" i="3"/>
  <c r="U1084" i="3"/>
  <c r="U1106" i="3"/>
  <c r="U1189" i="3"/>
  <c r="U116" i="3"/>
  <c r="U895" i="3"/>
  <c r="U1077" i="3"/>
  <c r="U797" i="3"/>
  <c r="U496" i="3"/>
  <c r="U560" i="3"/>
  <c r="U385" i="3"/>
  <c r="U377" i="3"/>
  <c r="U362" i="3"/>
  <c r="U749" i="3"/>
  <c r="U718" i="3"/>
  <c r="U742" i="3"/>
  <c r="U220" i="3"/>
  <c r="U898" i="3"/>
  <c r="U1147" i="3"/>
  <c r="U806" i="3"/>
  <c r="U391" i="3"/>
  <c r="U143" i="3"/>
  <c r="U500" i="3"/>
  <c r="U766" i="3"/>
  <c r="U852" i="3"/>
  <c r="U772" i="3"/>
  <c r="U891" i="3"/>
  <c r="U889" i="3"/>
  <c r="U395" i="3"/>
  <c r="U710" i="3"/>
  <c r="U747" i="3"/>
  <c r="U86" i="3"/>
  <c r="U340" i="3"/>
  <c r="U869" i="3"/>
  <c r="U1115" i="3"/>
  <c r="U394" i="3"/>
  <c r="U557" i="3"/>
  <c r="U452" i="3"/>
  <c r="U357" i="3"/>
  <c r="U189" i="3"/>
  <c r="U1110" i="3"/>
  <c r="U708" i="3"/>
  <c r="U91" i="3"/>
  <c r="U183" i="3"/>
  <c r="U242" i="3"/>
  <c r="U416" i="3"/>
  <c r="U121" i="3"/>
  <c r="U22" i="3"/>
  <c r="U600" i="3"/>
  <c r="U413" i="3"/>
  <c r="U634" i="3"/>
  <c r="U190" i="3"/>
  <c r="U637" i="3"/>
  <c r="U768" i="3"/>
  <c r="U592" i="3"/>
  <c r="U925" i="3"/>
  <c r="U933" i="3"/>
  <c r="U393" i="3"/>
  <c r="U582" i="3"/>
  <c r="U1202" i="3"/>
  <c r="U673" i="3"/>
  <c r="U80" i="3"/>
  <c r="U364" i="3"/>
  <c r="U752" i="3"/>
  <c r="U181" i="3"/>
  <c r="U979" i="3"/>
  <c r="U360" i="3"/>
  <c r="U1200" i="3"/>
  <c r="U297" i="3"/>
  <c r="U316" i="3"/>
  <c r="U161" i="3"/>
  <c r="U650" i="3"/>
  <c r="X682" i="3"/>
  <c r="X678" i="3"/>
  <c r="X846" i="3"/>
  <c r="X176" i="3"/>
  <c r="X82" i="3"/>
  <c r="X1053" i="3"/>
  <c r="X766" i="3"/>
  <c r="X974" i="3"/>
  <c r="X392" i="3"/>
  <c r="X165" i="3"/>
  <c r="X157" i="3"/>
  <c r="X1194" i="3"/>
  <c r="X277" i="3"/>
  <c r="X810" i="3"/>
  <c r="X474" i="3"/>
  <c r="X1084" i="3"/>
  <c r="X325" i="3"/>
  <c r="X786" i="3"/>
  <c r="X134" i="3"/>
  <c r="X132" i="3"/>
  <c r="X748" i="3"/>
  <c r="X811" i="3"/>
  <c r="X1156" i="3"/>
  <c r="X920" i="3"/>
  <c r="X847" i="3"/>
  <c r="X1116" i="3"/>
  <c r="X288" i="3"/>
  <c r="X428" i="3"/>
  <c r="X1206" i="3"/>
  <c r="X1211" i="3"/>
  <c r="X947" i="3"/>
  <c r="X1069" i="3"/>
  <c r="X1093" i="3"/>
  <c r="X525" i="3"/>
  <c r="X91" i="3"/>
  <c r="X581" i="3"/>
  <c r="X546" i="3"/>
  <c r="X873" i="3"/>
  <c r="X177" i="3"/>
  <c r="X1146" i="3"/>
  <c r="X284" i="3"/>
  <c r="X583" i="3"/>
  <c r="X593" i="3"/>
  <c r="X223" i="3"/>
  <c r="X225" i="3"/>
  <c r="X519" i="3"/>
  <c r="X96" i="3"/>
  <c r="X301" i="3"/>
  <c r="X684" i="3"/>
  <c r="X541" i="3"/>
  <c r="X35" i="3"/>
  <c r="X658" i="3"/>
  <c r="X89" i="3"/>
  <c r="X689" i="3"/>
  <c r="X453" i="3"/>
  <c r="X851" i="3"/>
  <c r="X1136" i="3"/>
  <c r="X316" i="3"/>
  <c r="X75" i="3"/>
  <c r="X475" i="3"/>
  <c r="X275" i="3"/>
  <c r="X1151" i="3"/>
  <c r="X649" i="3"/>
  <c r="X1000" i="3"/>
  <c r="X930" i="3"/>
  <c r="X50" i="3"/>
  <c r="X737" i="3"/>
  <c r="X823" i="3"/>
  <c r="X827" i="3"/>
  <c r="X941" i="3"/>
  <c r="X815" i="3"/>
  <c r="X818" i="3"/>
  <c r="X722" i="3"/>
  <c r="X724" i="3"/>
  <c r="X728" i="3"/>
  <c r="X211" i="3"/>
  <c r="X773" i="3"/>
  <c r="X842" i="3"/>
  <c r="X938" i="3"/>
  <c r="X463" i="3"/>
  <c r="X153" i="3"/>
  <c r="X62" i="3"/>
  <c r="X161" i="3"/>
  <c r="X257" i="3"/>
  <c r="X344" i="3"/>
  <c r="X49" i="3"/>
  <c r="X22" i="3"/>
  <c r="X702" i="3"/>
  <c r="X216" i="3"/>
  <c r="X843" i="3"/>
  <c r="X488" i="3"/>
  <c r="X481" i="3"/>
  <c r="X1181" i="3"/>
  <c r="X696" i="3"/>
  <c r="X972" i="3"/>
  <c r="X939" i="3"/>
  <c r="X386" i="3"/>
  <c r="X982" i="3"/>
  <c r="X512" i="3"/>
  <c r="X880" i="3"/>
  <c r="X768" i="3"/>
  <c r="X980" i="3"/>
  <c r="X353" i="3"/>
  <c r="X1036" i="3"/>
  <c r="X943" i="3"/>
  <c r="X1123" i="3"/>
  <c r="X326" i="3"/>
  <c r="X860" i="3"/>
  <c r="X952" i="3"/>
  <c r="X311" i="3"/>
  <c r="X779" i="3"/>
  <c r="X673" i="3"/>
  <c r="X102" i="3"/>
  <c r="X741" i="3"/>
  <c r="X268" i="3"/>
  <c r="X347" i="3"/>
  <c r="X942" i="3"/>
  <c r="X840" i="3"/>
  <c r="X497" i="3"/>
  <c r="X533" i="3"/>
  <c r="X710" i="3"/>
  <c r="X804" i="3"/>
  <c r="X188" i="3"/>
  <c r="X813" i="3"/>
  <c r="X885" i="3"/>
  <c r="X144" i="3"/>
  <c r="X1107" i="3"/>
  <c r="X384" i="3"/>
  <c r="X509" i="3"/>
  <c r="X460" i="3"/>
  <c r="X441" i="3"/>
  <c r="X455" i="3"/>
  <c r="X206" i="3"/>
  <c r="X198" i="3"/>
  <c r="X1033" i="3"/>
  <c r="X1114" i="3"/>
  <c r="X532" i="3"/>
  <c r="X844" i="3"/>
  <c r="X108" i="3"/>
  <c r="X307" i="3"/>
  <c r="X355" i="3"/>
  <c r="X607" i="3"/>
  <c r="X1020" i="3"/>
  <c r="X121" i="3"/>
  <c r="X30" i="3"/>
  <c r="X936" i="3"/>
  <c r="X77" i="3"/>
  <c r="X997" i="3"/>
  <c r="X617" i="3"/>
  <c r="X946" i="3"/>
  <c r="X1160" i="3"/>
  <c r="X1005" i="3"/>
  <c r="X655" i="3"/>
  <c r="X539" i="3"/>
  <c r="X591" i="3"/>
  <c r="X1076" i="3"/>
  <c r="X791" i="3"/>
  <c r="X217" i="3"/>
  <c r="X169" i="3"/>
  <c r="X295" i="3"/>
  <c r="X287" i="3"/>
  <c r="X21" i="3"/>
  <c r="X334" i="3"/>
  <c r="X52" i="3"/>
  <c r="X430" i="3"/>
  <c r="X626" i="3"/>
  <c r="X917" i="3"/>
  <c r="X789" i="3"/>
  <c r="X979" i="3"/>
  <c r="X26" i="3"/>
  <c r="X490" i="3"/>
  <c r="X921" i="3"/>
  <c r="X596" i="3"/>
  <c r="X1169" i="3"/>
  <c r="X380" i="3"/>
  <c r="X690" i="3"/>
  <c r="X442" i="3"/>
  <c r="X59" i="3"/>
  <c r="X788" i="3"/>
  <c r="X185" i="3"/>
  <c r="X99" i="3"/>
  <c r="X746" i="3"/>
  <c r="X759" i="3"/>
  <c r="X774" i="3"/>
  <c r="X1061" i="3"/>
  <c r="X1159" i="3"/>
  <c r="X418" i="3"/>
  <c r="X857" i="3"/>
  <c r="X143" i="3"/>
  <c r="X598" i="3"/>
  <c r="X1029" i="3"/>
  <c r="X19" i="3"/>
  <c r="X646" i="3"/>
  <c r="X397" i="3"/>
  <c r="X44" i="3"/>
  <c r="X601" i="3"/>
  <c r="X118" i="3"/>
  <c r="X90" i="3"/>
  <c r="X913" i="3"/>
  <c r="X559" i="3"/>
  <c r="X212" i="3"/>
  <c r="X1167" i="3"/>
  <c r="X565" i="3"/>
  <c r="X1170" i="3"/>
  <c r="X901" i="3"/>
  <c r="X725" i="3"/>
  <c r="X700" i="3"/>
  <c r="X1121" i="3"/>
  <c r="X74" i="3"/>
  <c r="X230" i="3"/>
  <c r="X782" i="3"/>
  <c r="X879" i="3"/>
  <c r="X1001" i="3"/>
  <c r="X923" i="3"/>
  <c r="X1080" i="3"/>
  <c r="X244" i="3"/>
  <c r="X955" i="3"/>
  <c r="X187" i="3"/>
  <c r="X83" i="3"/>
  <c r="X912" i="3"/>
  <c r="X168" i="3"/>
  <c r="X1213" i="3"/>
  <c r="X461" i="3"/>
  <c r="X439" i="3"/>
  <c r="X1138" i="3"/>
  <c r="X1058" i="3"/>
  <c r="X340" i="3"/>
  <c r="X749" i="3"/>
  <c r="X84" i="3"/>
  <c r="X587" i="3"/>
  <c r="X491" i="3"/>
  <c r="X232" i="3"/>
  <c r="X365" i="3"/>
  <c r="X123" i="3"/>
  <c r="X1122" i="3"/>
  <c r="X1153" i="3"/>
  <c r="X803" i="3"/>
  <c r="X1003" i="3"/>
  <c r="X1174" i="3"/>
  <c r="X714" i="3"/>
  <c r="X452" i="3"/>
  <c r="X893" i="3"/>
  <c r="X337" i="3"/>
  <c r="X964" i="3"/>
  <c r="X528" i="3"/>
  <c r="X128" i="3"/>
  <c r="X645" i="3"/>
  <c r="X252" i="3"/>
  <c r="X94" i="3"/>
  <c r="X415" i="3"/>
  <c r="X401" i="3"/>
  <c r="X524" i="3"/>
  <c r="X785" i="3"/>
  <c r="X451" i="3"/>
  <c r="X173" i="3"/>
  <c r="X513" i="3"/>
  <c r="X348" i="3"/>
  <c r="X1133" i="3"/>
  <c r="X653" i="3"/>
  <c r="X406" i="3"/>
  <c r="X809" i="3"/>
  <c r="X692" i="3"/>
  <c r="X752" i="3"/>
  <c r="X577" i="3"/>
  <c r="X1043" i="3"/>
  <c r="X235" i="3"/>
  <c r="X839" i="3"/>
  <c r="X14" i="3"/>
  <c r="Y13" i="3" s="1"/>
  <c r="Z14" i="3" s="1"/>
  <c r="X953" i="3"/>
  <c r="X250" i="3"/>
  <c r="X54" i="3"/>
  <c r="X999" i="3"/>
  <c r="X1059" i="3"/>
  <c r="X1140" i="3"/>
  <c r="X641" i="3"/>
  <c r="X394" i="3"/>
  <c r="X390" i="3"/>
  <c r="X152" i="3"/>
  <c r="X339" i="3"/>
  <c r="X335" i="3"/>
  <c r="X816" i="3"/>
  <c r="X363" i="3"/>
  <c r="X106" i="3"/>
  <c r="X320" i="3"/>
  <c r="X630" i="3"/>
  <c r="X874" i="3"/>
  <c r="X1125" i="3"/>
  <c r="X670" i="3"/>
  <c r="X1141" i="3"/>
  <c r="X389" i="3"/>
  <c r="X582" i="3"/>
  <c r="X861" i="3"/>
  <c r="X967" i="3"/>
  <c r="X750" i="3"/>
  <c r="X332" i="3"/>
  <c r="X66" i="3"/>
  <c r="X876" i="3"/>
  <c r="X1009" i="3"/>
  <c r="X932" i="3"/>
  <c r="X13" i="3"/>
  <c r="X162" i="3"/>
  <c r="X778" i="3"/>
  <c r="X1060" i="3"/>
  <c r="X680" i="3"/>
  <c r="X88" i="3"/>
  <c r="X196" i="3"/>
  <c r="X181" i="3"/>
  <c r="X853" i="3"/>
  <c r="X105" i="3"/>
  <c r="X432" i="3"/>
  <c r="X1135" i="3"/>
  <c r="X1071" i="3"/>
  <c r="X182" i="3"/>
  <c r="X995" i="3"/>
  <c r="X303" i="3"/>
  <c r="X409" i="3"/>
  <c r="X1083" i="3"/>
  <c r="X723" i="3"/>
  <c r="X1099" i="3"/>
  <c r="X516" i="3"/>
  <c r="X487" i="3"/>
  <c r="X55" i="3"/>
  <c r="X954" i="3"/>
  <c r="X426" i="3"/>
  <c r="X374" i="3"/>
  <c r="X892" i="3"/>
  <c r="X554" i="3"/>
  <c r="X531" i="3"/>
  <c r="X352" i="3"/>
  <c r="X186" i="3"/>
  <c r="X436" i="3"/>
  <c r="X742" i="3"/>
  <c r="X32" i="3"/>
  <c r="X1045" i="3"/>
  <c r="X317" i="3"/>
  <c r="X160" i="3"/>
  <c r="X166" i="3"/>
  <c r="X611" i="3"/>
  <c r="X180" i="3"/>
  <c r="X560" i="3"/>
  <c r="X1032" i="3"/>
  <c r="X602" i="3"/>
  <c r="X502" i="3"/>
  <c r="X666" i="3"/>
  <c r="X61" i="3"/>
  <c r="X610" i="3"/>
  <c r="X987" i="3"/>
  <c r="X1011" i="3"/>
  <c r="X192" i="3"/>
  <c r="X444" i="3"/>
  <c r="X479" i="3"/>
  <c r="X1212" i="3"/>
  <c r="X135" i="3"/>
  <c r="X588" i="3"/>
  <c r="X60" i="3"/>
  <c r="X996" i="3"/>
  <c r="X821" i="3"/>
  <c r="X299" i="3"/>
  <c r="X51" i="3"/>
  <c r="X464" i="3"/>
  <c r="X928" i="3"/>
  <c r="X877" i="3"/>
  <c r="X895" i="3"/>
  <c r="X1085" i="3"/>
  <c r="X1168" i="3"/>
  <c r="X1044" i="3"/>
  <c r="X1186" i="3"/>
  <c r="X675" i="3"/>
  <c r="X835" i="3"/>
  <c r="X437" i="3"/>
  <c r="X683" i="3"/>
  <c r="X281" i="3"/>
  <c r="X686" i="3"/>
  <c r="X283" i="3"/>
  <c r="X530" i="3"/>
  <c r="X1130" i="3"/>
  <c r="X193" i="3"/>
  <c r="X67" i="3"/>
  <c r="X78" i="3"/>
  <c r="X25" i="3"/>
  <c r="X302" i="3"/>
  <c r="X694" i="3"/>
  <c r="X659" i="3"/>
  <c r="X36" i="3"/>
  <c r="X961" i="3"/>
  <c r="X172" i="3"/>
  <c r="X691" i="3"/>
  <c r="X814" i="3"/>
  <c r="X886" i="3"/>
  <c r="X147" i="3"/>
  <c r="X669" i="3"/>
  <c r="X805" i="3"/>
  <c r="X836" i="3"/>
  <c r="X1163" i="3"/>
  <c r="X477" i="3"/>
  <c r="X586" i="3"/>
  <c r="X986" i="3"/>
  <c r="X527" i="3"/>
  <c r="X758" i="3"/>
  <c r="X126" i="3"/>
  <c r="X273" i="3"/>
  <c r="X568" i="3"/>
  <c r="X495" i="3"/>
  <c r="X467" i="3"/>
  <c r="X190" i="3"/>
  <c r="X208" i="3"/>
  <c r="X760" i="3"/>
  <c r="X412" i="3"/>
  <c r="X636" i="3"/>
  <c r="X15" i="3"/>
  <c r="X1013" i="3"/>
  <c r="X1042" i="3"/>
  <c r="X1191" i="3"/>
  <c r="X916" i="3"/>
  <c r="X1077" i="3"/>
  <c r="X1007" i="3"/>
  <c r="X323" i="3"/>
  <c r="X267" i="3"/>
  <c r="X604" i="3"/>
  <c r="X220" i="3"/>
  <c r="X713" i="3"/>
  <c r="X1137" i="3"/>
  <c r="X549" i="3"/>
  <c r="X1039" i="3"/>
  <c r="X651" i="3"/>
  <c r="X667" i="3"/>
  <c r="X371" i="3"/>
  <c r="X372" i="3"/>
  <c r="X1012" i="3"/>
  <c r="X935" i="3"/>
  <c r="X705" i="3"/>
  <c r="X146" i="3"/>
  <c r="X919" i="3"/>
  <c r="X983" i="3"/>
  <c r="X1063" i="3"/>
  <c r="X915" i="3"/>
  <c r="X687" i="3"/>
  <c r="X329" i="3"/>
  <c r="X113" i="3"/>
  <c r="X624" i="3"/>
  <c r="X761" i="3"/>
  <c r="X1067" i="3"/>
  <c r="X248" i="3"/>
  <c r="X241" i="3"/>
  <c r="X1128" i="3"/>
  <c r="X98" i="3"/>
  <c r="X1179" i="3"/>
  <c r="X280" i="3"/>
  <c r="X984" i="3"/>
  <c r="X784" i="3"/>
  <c r="X231" i="3"/>
  <c r="X508" i="3"/>
  <c r="X540" i="3"/>
  <c r="X1015" i="3"/>
  <c r="X838" i="3"/>
  <c r="X793" i="3"/>
  <c r="X712" i="3"/>
  <c r="X333" i="3"/>
  <c r="X618" i="3"/>
  <c r="X1031" i="3"/>
  <c r="X1002" i="3"/>
  <c r="X63" i="3"/>
  <c r="X978" i="3"/>
  <c r="X557" i="3"/>
  <c r="X798" i="3"/>
  <c r="X142" i="3"/>
  <c r="X1075" i="3"/>
  <c r="X483" i="3"/>
  <c r="X472" i="3"/>
  <c r="X171" i="3"/>
  <c r="X905" i="3"/>
  <c r="X107" i="3"/>
  <c r="X783" i="3"/>
  <c r="X396" i="3"/>
  <c r="X387" i="3"/>
  <c r="X869" i="3"/>
  <c r="X548" i="3"/>
  <c r="X210" i="3"/>
  <c r="X24" i="3"/>
  <c r="X398" i="3"/>
  <c r="X294" i="3"/>
  <c r="X1154" i="3"/>
  <c r="X992" i="3"/>
  <c r="X948" i="3"/>
  <c r="X660" i="3"/>
  <c r="X697" i="3"/>
  <c r="X595" i="3"/>
  <c r="X507" i="3"/>
  <c r="X218" i="3"/>
  <c r="X500" i="3"/>
  <c r="X831" i="3"/>
  <c r="X318" i="3"/>
  <c r="X70" i="3"/>
  <c r="X775" i="3"/>
  <c r="X845" i="3"/>
  <c r="X68" i="3"/>
  <c r="X17" i="3"/>
  <c r="X808" i="3"/>
  <c r="X309" i="3"/>
  <c r="X266" i="3"/>
  <c r="X40" i="3"/>
  <c r="X906" i="3"/>
  <c r="X956" i="3"/>
  <c r="X1177" i="3"/>
  <c r="X328" i="3"/>
  <c r="X661" i="3"/>
  <c r="X898" i="3"/>
  <c r="X698" i="3"/>
  <c r="X117" i="3"/>
  <c r="X133" i="3"/>
  <c r="X567" i="3"/>
  <c r="X801" i="3"/>
  <c r="X584" i="3"/>
  <c r="X421" i="3"/>
  <c r="X1165" i="3"/>
  <c r="X970" i="3"/>
  <c r="X151" i="3"/>
  <c r="X628" i="3"/>
  <c r="X703" i="3"/>
  <c r="X830" i="3"/>
  <c r="X753" i="3"/>
  <c r="X975" i="3"/>
  <c r="X612" i="3"/>
  <c r="X740" i="3"/>
  <c r="X278" i="3"/>
  <c r="X571" i="3"/>
  <c r="X413" i="3"/>
  <c r="X503" i="3"/>
  <c r="X345" i="3"/>
  <c r="X817" i="3"/>
  <c r="X990" i="3"/>
  <c r="X1164" i="3"/>
  <c r="X1092" i="3"/>
  <c r="X469" i="3"/>
  <c r="X715" i="3"/>
  <c r="X1040" i="3"/>
  <c r="X574" i="3"/>
  <c r="X922" i="3"/>
  <c r="X1081" i="3"/>
  <c r="X1018" i="3"/>
  <c r="X841" i="3"/>
  <c r="X64" i="3"/>
  <c r="X485" i="3"/>
  <c r="X573" i="3"/>
  <c r="X1207" i="3"/>
  <c r="X1079" i="3"/>
  <c r="X1145" i="3"/>
  <c r="X312" i="3"/>
  <c r="X402" i="3"/>
  <c r="X862" i="3"/>
  <c r="X1017" i="3"/>
  <c r="X429" i="3"/>
  <c r="X592" i="3"/>
  <c r="X447" i="3"/>
  <c r="X148" i="3"/>
  <c r="X269" i="3"/>
  <c r="X849" i="3"/>
  <c r="X1078" i="3"/>
  <c r="X178" i="3"/>
  <c r="X379" i="3"/>
  <c r="X179" i="3"/>
  <c r="X1047" i="3"/>
  <c r="X718" i="3"/>
  <c r="X1027" i="3"/>
  <c r="X327" i="3"/>
  <c r="X535" i="3"/>
  <c r="X1024" i="3"/>
  <c r="X1115" i="3"/>
  <c r="X1102" i="3"/>
  <c r="X1193" i="3"/>
  <c r="X681" i="3"/>
  <c r="X640" i="3"/>
  <c r="X448" i="3"/>
  <c r="X1014" i="3"/>
  <c r="X1112" i="3"/>
  <c r="X1152" i="3"/>
  <c r="X76" i="3"/>
  <c r="X342" i="3"/>
  <c r="X286" i="3"/>
  <c r="X889" i="3"/>
  <c r="X260" i="3"/>
  <c r="X1178" i="3"/>
  <c r="X462" i="3"/>
  <c r="X526" i="3"/>
  <c r="X1148" i="3"/>
  <c r="X1066" i="3"/>
  <c r="X1035" i="3"/>
  <c r="X215" i="3"/>
  <c r="X119" i="3"/>
  <c r="X366" i="3"/>
  <c r="X39" i="3"/>
  <c r="X346" i="3"/>
  <c r="X228" i="3"/>
  <c r="X375" i="3"/>
  <c r="X471" i="3"/>
  <c r="X1056" i="3"/>
  <c r="X523" i="3"/>
  <c r="X73" i="3"/>
  <c r="X381" i="3"/>
  <c r="X1173" i="3"/>
  <c r="X1161" i="3"/>
  <c r="X213" i="3"/>
  <c r="X1089" i="3"/>
  <c r="X56" i="3"/>
  <c r="X199" i="3"/>
  <c r="X446" i="3"/>
  <c r="X368" i="3"/>
  <c r="X663" i="3"/>
  <c r="X1201" i="3"/>
  <c r="X720" i="3"/>
  <c r="X367" i="3"/>
  <c r="X159" i="3"/>
  <c r="X631" i="3"/>
  <c r="X1144" i="3"/>
  <c r="X1185" i="3"/>
  <c r="X555" i="3"/>
  <c r="X341" i="3"/>
  <c r="X124" i="3"/>
  <c r="X1097" i="3"/>
  <c r="X832" i="3"/>
  <c r="X991" i="3"/>
  <c r="X763" i="3"/>
  <c r="X717" i="3"/>
  <c r="X31" i="3"/>
  <c r="X910" i="3"/>
  <c r="X1190" i="3"/>
  <c r="X253" i="3"/>
  <c r="X136" i="3"/>
  <c r="X757" i="3"/>
  <c r="X324" i="3"/>
  <c r="X489" i="3"/>
  <c r="X824" i="3"/>
  <c r="X1106" i="3"/>
  <c r="X981" i="3"/>
  <c r="X155" i="3"/>
  <c r="X219" i="3"/>
  <c r="X319" i="3"/>
  <c r="X1157" i="3"/>
  <c r="X878" i="3"/>
  <c r="X664" i="3"/>
  <c r="X476" i="3"/>
  <c r="X657" i="3"/>
  <c r="X265" i="3"/>
  <c r="X404" i="3"/>
  <c r="X754" i="3"/>
  <c r="X233" i="3"/>
  <c r="X1175" i="3"/>
  <c r="X470" i="3"/>
  <c r="X270" i="3"/>
  <c r="X399" i="3"/>
  <c r="X727" i="3"/>
  <c r="X125" i="3"/>
  <c r="X245" i="3"/>
  <c r="X911" i="3"/>
  <c r="X1037" i="3"/>
  <c r="X597" i="3"/>
  <c r="X416" i="3"/>
  <c r="X608" i="3"/>
  <c r="X175" i="3"/>
  <c r="X894" i="3"/>
  <c r="X164" i="3"/>
  <c r="X826" i="3"/>
  <c r="X738" i="3"/>
  <c r="X576" i="3"/>
  <c r="X251" i="3"/>
  <c r="X1158" i="3"/>
  <c r="X417" i="3"/>
  <c r="X1010" i="3"/>
  <c r="X1091" i="3"/>
  <c r="X1188" i="3"/>
  <c r="X770" i="3"/>
  <c r="X1096" i="3"/>
  <c r="X456" i="3"/>
  <c r="X376" i="3"/>
  <c r="X259" i="3"/>
  <c r="X137" i="3"/>
  <c r="X751" i="3"/>
  <c r="X71" i="3"/>
  <c r="X819" i="3"/>
  <c r="X1100" i="3"/>
  <c r="X498" i="3"/>
  <c r="X1028" i="3"/>
  <c r="X674" i="3"/>
  <c r="X242" i="3"/>
  <c r="X605" i="3"/>
  <c r="X688" i="3"/>
  <c r="X322" i="3"/>
  <c r="X963" i="3"/>
  <c r="X249" i="3"/>
  <c r="X110" i="3"/>
  <c r="X619" i="3"/>
  <c r="X1064" i="3"/>
  <c r="X594" i="3"/>
  <c r="X799" i="3"/>
  <c r="X796" i="3"/>
  <c r="X279" i="3"/>
  <c r="X1187" i="3"/>
  <c r="X350" i="3"/>
  <c r="X1086" i="3"/>
  <c r="X553" i="3"/>
  <c r="X623" i="3"/>
  <c r="X777" i="3"/>
  <c r="X262" i="3"/>
  <c r="X226" i="3"/>
  <c r="X1070" i="3"/>
  <c r="X908" i="3"/>
  <c r="X1192" i="3"/>
  <c r="X150" i="3"/>
  <c r="X115" i="3"/>
  <c r="X1103" i="3"/>
  <c r="X837" i="3"/>
  <c r="X247" i="3"/>
  <c r="X820" i="3"/>
  <c r="X735" i="3"/>
  <c r="X1025" i="3"/>
  <c r="X1198" i="3"/>
  <c r="X971" i="3"/>
  <c r="X435" i="3"/>
  <c r="X203" i="3"/>
  <c r="X866" i="3"/>
  <c r="X868" i="3"/>
  <c r="X517" i="3"/>
  <c r="X1023" i="3"/>
  <c r="X881" i="3"/>
  <c r="X1021" i="3"/>
  <c r="X609" i="3"/>
  <c r="X629" i="3"/>
  <c r="X544" i="3"/>
  <c r="X1113" i="3"/>
  <c r="X1208" i="3"/>
  <c r="X914" i="3"/>
  <c r="X1155" i="3"/>
  <c r="X103" i="3"/>
  <c r="X191" i="3"/>
  <c r="X951" i="3"/>
  <c r="X46" i="3"/>
  <c r="X201" i="3"/>
  <c r="X140" i="3"/>
  <c r="X338" i="3"/>
  <c r="X356" i="3"/>
  <c r="X149" i="3"/>
  <c r="X28" i="3"/>
  <c r="X205" i="3"/>
  <c r="X202" i="3"/>
  <c r="X29" i="3"/>
  <c r="X960" i="3"/>
  <c r="X989" i="3"/>
  <c r="X361" i="3"/>
  <c r="X194" i="3"/>
  <c r="X671" i="3"/>
  <c r="X569" i="3"/>
  <c r="X27" i="3"/>
  <c r="X965" i="3"/>
  <c r="X236" i="3"/>
  <c r="X562" i="3"/>
  <c r="X863" i="3"/>
  <c r="X484" i="3"/>
  <c r="X1205" i="3"/>
  <c r="X331" i="3"/>
  <c r="X704" i="3"/>
  <c r="X579" i="3"/>
  <c r="X486" i="3"/>
  <c r="X95" i="3"/>
  <c r="X865" i="3"/>
  <c r="X656" i="3"/>
  <c r="X354" i="3"/>
  <c r="X858" i="3"/>
  <c r="X937" i="3"/>
  <c r="X87" i="3"/>
  <c r="X719" i="3"/>
  <c r="X639" i="3"/>
  <c r="X69" i="3"/>
  <c r="X410" i="3"/>
  <c r="X556" i="3"/>
  <c r="X382" i="3"/>
  <c r="X515" i="3"/>
  <c r="X414" i="3"/>
  <c r="X85" i="3"/>
  <c r="X104" i="3"/>
  <c r="X745" i="3"/>
  <c r="X1204" i="3"/>
  <c r="X1171" i="3"/>
  <c r="X615" i="3"/>
  <c r="X1006" i="3"/>
  <c r="X896" i="3"/>
  <c r="X514" i="3"/>
  <c r="X794" i="3"/>
  <c r="X246" i="3"/>
  <c r="X100" i="3"/>
  <c r="X1176" i="3"/>
  <c r="X650" i="3"/>
  <c r="X551" i="3"/>
  <c r="X1026" i="3"/>
  <c r="X315" i="3"/>
  <c r="X510" i="3"/>
  <c r="X1008" i="3"/>
  <c r="X240" i="3"/>
  <c r="X1203" i="3"/>
  <c r="X459" i="3"/>
  <c r="X38" i="3"/>
  <c r="X264" i="3"/>
  <c r="X867" i="3"/>
  <c r="X743" i="3"/>
  <c r="X45" i="3"/>
  <c r="X1117" i="3"/>
  <c r="X465" i="3"/>
  <c r="X445" i="3"/>
  <c r="X511" i="3"/>
  <c r="X931" i="3"/>
  <c r="X420" i="3"/>
  <c r="X834" i="3"/>
  <c r="X1132" i="3"/>
  <c r="X1199" i="3"/>
  <c r="X677" i="3"/>
  <c r="X1126" i="3"/>
  <c r="X120" i="3"/>
  <c r="X58" i="3"/>
  <c r="X945" i="3"/>
  <c r="X564" i="3"/>
  <c r="X899" i="3"/>
  <c r="X1030" i="3"/>
  <c r="X966" i="3"/>
  <c r="X884" i="3"/>
  <c r="X274" i="3"/>
  <c r="X1202" i="3"/>
  <c r="X408" i="3"/>
  <c r="X158" i="3"/>
  <c r="X285" i="3"/>
  <c r="X53" i="3"/>
  <c r="X207" i="3"/>
  <c r="X635" i="3"/>
  <c r="X800" i="3"/>
  <c r="X627" i="3"/>
  <c r="X685" i="3"/>
  <c r="X767" i="3"/>
  <c r="X1119" i="3"/>
  <c r="X101" i="3"/>
  <c r="X80" i="3"/>
  <c r="X558" i="3"/>
  <c r="X222" i="3"/>
  <c r="X167" i="3"/>
  <c r="X1209" i="3"/>
  <c r="X308" i="3"/>
  <c r="X457" i="3"/>
  <c r="X633" i="3"/>
  <c r="X424" i="3"/>
  <c r="X496" i="3"/>
  <c r="X781" i="3"/>
  <c r="X599" i="3"/>
  <c r="X679" i="3"/>
  <c r="X1143" i="3"/>
  <c r="X807" i="3"/>
  <c r="X1142" i="3"/>
  <c r="X926" i="3"/>
  <c r="X855" i="3"/>
  <c r="X156" i="3"/>
  <c r="X1068" i="3"/>
  <c r="X708" i="3"/>
  <c r="X950" i="3"/>
  <c r="X34" i="3"/>
  <c r="X828" i="3"/>
  <c r="X902" i="3"/>
  <c r="X934" i="3"/>
  <c r="X787" i="3"/>
  <c r="X747" i="3"/>
  <c r="X1041" i="3"/>
  <c r="X870" i="3"/>
  <c r="X776" i="3"/>
  <c r="X848" i="3"/>
  <c r="X449" i="3"/>
  <c r="X81" i="3"/>
  <c r="X1120" i="3"/>
  <c r="X1019" i="3"/>
  <c r="X1162" i="3"/>
  <c r="X419" i="3"/>
  <c r="X112" i="3"/>
  <c r="X730" i="3"/>
  <c r="X238" i="3"/>
  <c r="X1074" i="3"/>
  <c r="X438" i="3"/>
  <c r="X1200" i="3"/>
  <c r="X1057" i="3"/>
  <c r="X534" i="3"/>
  <c r="X492" i="3"/>
  <c r="X578" i="3"/>
  <c r="X300" i="3"/>
  <c r="X313" i="3"/>
  <c r="X298" i="3"/>
  <c r="X665" i="3"/>
  <c r="X925" i="3"/>
  <c r="X400" i="3"/>
  <c r="X97" i="3"/>
  <c r="X314" i="3"/>
  <c r="X1183" i="3"/>
  <c r="X351" i="3"/>
  <c r="X224" i="3"/>
  <c r="X237" i="3"/>
  <c r="X929" i="3"/>
  <c r="X1004" i="3"/>
  <c r="X765" i="3"/>
  <c r="X321" i="3"/>
  <c r="X370" i="3"/>
  <c r="X433" i="3"/>
  <c r="X1065" i="3"/>
  <c r="X859" i="3"/>
  <c r="X443" i="3"/>
  <c r="X1184" i="3"/>
  <c r="X493" i="3"/>
  <c r="X357" i="3"/>
  <c r="X154" i="3"/>
  <c r="X764" i="3"/>
  <c r="X1055" i="3"/>
  <c r="X1195" i="3"/>
  <c r="X780" i="3"/>
  <c r="X856" i="3"/>
  <c r="X480" i="3"/>
  <c r="X1062" i="3"/>
  <c r="X613" i="3"/>
  <c r="X391" i="3"/>
  <c r="X662" i="3"/>
  <c r="X572" i="3"/>
  <c r="X1101" i="3"/>
  <c r="X291" i="3"/>
  <c r="X521" i="3"/>
  <c r="X422" i="3"/>
  <c r="X43" i="3"/>
  <c r="X297" i="3"/>
  <c r="X243" i="3"/>
  <c r="X23" i="3"/>
  <c r="X883" i="3"/>
  <c r="X1180" i="3"/>
  <c r="X864" i="3"/>
  <c r="X359" i="3"/>
  <c r="X256" i="3"/>
  <c r="X1147" i="3"/>
  <c r="X466" i="3"/>
  <c r="X580" i="3"/>
  <c r="X369" i="3"/>
  <c r="X538" i="3"/>
  <c r="X1098" i="3"/>
  <c r="X189" i="3"/>
  <c r="X122" i="3"/>
  <c r="X648" i="3"/>
  <c r="X407" i="3"/>
  <c r="X290" i="3"/>
  <c r="X795" i="3"/>
  <c r="X1073" i="3"/>
  <c r="X131" i="3"/>
  <c r="X944" i="3"/>
  <c r="X977" i="3"/>
  <c r="X909" i="3"/>
  <c r="X86" i="3"/>
  <c r="X336" i="3"/>
  <c r="X897" i="3"/>
  <c r="X209" i="3"/>
  <c r="X1050" i="3"/>
  <c r="X129" i="3"/>
  <c r="X47" i="3"/>
  <c r="X16" i="3"/>
  <c r="X543" i="3"/>
  <c r="X790" i="3"/>
  <c r="X109" i="3"/>
  <c r="X695" i="3"/>
  <c r="X575" i="3"/>
  <c r="X282" i="3"/>
  <c r="X431" i="3"/>
  <c r="X473" i="3"/>
  <c r="X1172" i="3"/>
  <c r="X829" i="3"/>
  <c r="X854" i="3"/>
  <c r="X239" i="3"/>
  <c r="X1034" i="3"/>
  <c r="X65" i="3"/>
  <c r="X545" i="3"/>
  <c r="X138" i="3"/>
  <c r="X518" i="3"/>
  <c r="X726" i="3"/>
  <c r="X1149" i="3"/>
  <c r="X450" i="3"/>
  <c r="X258" i="3"/>
  <c r="X668" i="3"/>
  <c r="X706" i="3"/>
  <c r="X272" i="3"/>
  <c r="X79" i="3"/>
  <c r="X822" i="3"/>
  <c r="X904" i="3"/>
  <c r="X395" i="3"/>
  <c r="X949" i="3"/>
  <c r="X643" i="3"/>
  <c r="X959" i="3"/>
  <c r="X1072" i="3"/>
  <c r="X676" i="3"/>
  <c r="X1052" i="3"/>
  <c r="X1051" i="3"/>
  <c r="X385" i="3"/>
  <c r="X305" i="3"/>
  <c r="X423" i="3"/>
  <c r="X693" i="3"/>
  <c r="X141" i="3"/>
  <c r="X1104" i="3"/>
  <c r="X468" i="3"/>
  <c r="X1214" i="3"/>
  <c r="Y1213" i="3" s="1"/>
  <c r="X482" i="3"/>
  <c r="X644" i="3"/>
  <c r="X968" i="3"/>
  <c r="X296" i="3"/>
  <c r="X1131" i="3"/>
  <c r="X255" i="3"/>
  <c r="X310" i="3"/>
  <c r="X42" i="3"/>
  <c r="X360" i="3"/>
  <c r="X561" i="3"/>
  <c r="X721" i="3"/>
  <c r="X234" i="3"/>
  <c r="X1182" i="3"/>
  <c r="X547" i="3"/>
  <c r="X505" i="3"/>
  <c r="X1139" i="3"/>
  <c r="X734" i="3"/>
  <c r="X600" i="3"/>
  <c r="X1111" i="3"/>
  <c r="X875" i="3"/>
  <c r="X973" i="3"/>
  <c r="X204" i="3"/>
  <c r="X127" i="3"/>
  <c r="X304" i="3"/>
  <c r="X1082" i="3"/>
  <c r="X388" i="3"/>
  <c r="X606" i="3"/>
  <c r="X163" i="3"/>
  <c r="X940" i="3"/>
  <c r="X622" i="3"/>
  <c r="X229" i="3"/>
  <c r="X552" i="3"/>
  <c r="X276" i="3"/>
  <c r="X458" i="3"/>
  <c r="X852" i="3"/>
  <c r="X57" i="3"/>
  <c r="X772" i="3"/>
  <c r="X195" i="3"/>
  <c r="X707" i="3"/>
  <c r="X621" i="3"/>
  <c r="X504" i="3"/>
  <c r="X634" i="3"/>
  <c r="X271" i="3"/>
  <c r="X638" i="3"/>
  <c r="X1054" i="3"/>
  <c r="X537" i="3"/>
  <c r="X1090" i="3"/>
  <c r="X214" i="3"/>
  <c r="X806" i="3"/>
  <c r="X405" i="3"/>
  <c r="X499" i="3"/>
  <c r="X306" i="3"/>
  <c r="X625" i="3"/>
  <c r="X812" i="3"/>
  <c r="X590" i="3"/>
  <c r="X882" i="3"/>
  <c r="X37" i="3"/>
  <c r="X769" i="3"/>
  <c r="X927" i="3"/>
  <c r="X933" i="3"/>
  <c r="X716" i="3"/>
  <c r="X1166" i="3"/>
  <c r="X403" i="3"/>
  <c r="X145" i="3"/>
  <c r="X1150" i="3"/>
  <c r="X1127" i="3"/>
  <c r="X756" i="3"/>
  <c r="X887" i="3"/>
  <c r="X261" i="3"/>
  <c r="X755" i="3"/>
  <c r="X377" i="3"/>
  <c r="X771" i="3"/>
  <c r="X130" i="3"/>
  <c r="X1118" i="3"/>
  <c r="X427" i="3"/>
  <c r="X616" i="3"/>
  <c r="X1049" i="3"/>
  <c r="X1022" i="3"/>
  <c r="X736" i="3"/>
  <c r="X183" i="3"/>
  <c r="X41" i="3"/>
  <c r="X1095" i="3"/>
  <c r="X92" i="3"/>
  <c r="X411" i="3"/>
  <c r="X114" i="3"/>
  <c r="Y113" i="3" s="1"/>
  <c r="Z114" i="3" s="1"/>
  <c r="X1048" i="3"/>
  <c r="X18" i="3"/>
  <c r="X797" i="3"/>
  <c r="X1134" i="3"/>
  <c r="X48" i="3"/>
  <c r="X962" i="3"/>
  <c r="X850" i="3"/>
  <c r="X364" i="3"/>
  <c r="X792" i="3"/>
  <c r="X536" i="3"/>
  <c r="X494" i="3"/>
  <c r="X825" i="3"/>
  <c r="X506" i="3"/>
  <c r="X454" i="3"/>
  <c r="X1108" i="3"/>
  <c r="X478" i="3"/>
  <c r="X957" i="3"/>
  <c r="X701" i="3"/>
  <c r="X1087" i="3"/>
  <c r="X139" i="3"/>
  <c r="X263" i="3"/>
  <c r="X731" i="3"/>
  <c r="X1109" i="3"/>
  <c r="X116" i="3"/>
  <c r="X589" i="3"/>
  <c r="X637" i="3"/>
  <c r="X393" i="3"/>
  <c r="X33" i="3"/>
  <c r="X993" i="3"/>
  <c r="X373" i="3"/>
  <c r="X550" i="3"/>
  <c r="X1124" i="3"/>
  <c r="X221" i="3"/>
  <c r="X585" i="3"/>
  <c r="X170" i="3"/>
  <c r="X891" i="3"/>
  <c r="X872" i="3"/>
  <c r="X349" i="3"/>
  <c r="X672" i="3"/>
  <c r="X988" i="3"/>
  <c r="X1210" i="3"/>
  <c r="X293" i="3"/>
  <c r="X1129" i="3"/>
  <c r="X570" i="3"/>
  <c r="X1088" i="3"/>
  <c r="X1016" i="3"/>
  <c r="X542" i="3"/>
  <c r="X111" i="3"/>
  <c r="X358" i="3"/>
  <c r="X733" i="3"/>
  <c r="X833" i="3"/>
  <c r="X994" i="3"/>
  <c r="X200" i="3"/>
  <c r="X802" i="3"/>
  <c r="X93" i="3"/>
  <c r="X739" i="3"/>
  <c r="X620" i="3"/>
  <c r="X976" i="3"/>
  <c r="X732" i="3"/>
  <c r="X529" i="3"/>
  <c r="X907" i="3"/>
  <c r="X1110" i="3"/>
  <c r="X871" i="3"/>
  <c r="X522" i="3"/>
  <c r="X440" i="3"/>
  <c r="X1046" i="3"/>
  <c r="X729" i="3"/>
  <c r="X647" i="3"/>
  <c r="X969" i="3"/>
  <c r="X383" i="3"/>
  <c r="X632" i="3"/>
  <c r="X289" i="3"/>
  <c r="X900" i="3"/>
  <c r="X520" i="3"/>
  <c r="X292" i="3"/>
  <c r="X614" i="3"/>
  <c r="X762" i="3"/>
  <c r="X744" i="3"/>
  <c r="X709" i="3"/>
  <c r="X1196" i="3"/>
  <c r="X566" i="3"/>
  <c r="X362" i="3"/>
  <c r="X699" i="3"/>
  <c r="X642" i="3"/>
  <c r="X888" i="3"/>
  <c r="X1197" i="3"/>
  <c r="X563" i="3"/>
  <c r="X254" i="3"/>
  <c r="X985" i="3"/>
  <c r="X654" i="3"/>
  <c r="X652" i="3"/>
  <c r="X343" i="3"/>
  <c r="X174" i="3"/>
  <c r="X890" i="3"/>
  <c r="X603" i="3"/>
  <c r="X501" i="3"/>
  <c r="X958" i="3"/>
  <c r="X378" i="3"/>
  <c r="X711" i="3"/>
  <c r="X1094" i="3"/>
  <c r="X434" i="3"/>
  <c r="X330" i="3"/>
  <c r="X918" i="3"/>
  <c r="X197" i="3"/>
  <c r="X227" i="3"/>
  <c r="X998" i="3"/>
  <c r="X924" i="3"/>
  <c r="X184" i="3"/>
  <c r="X1105" i="3"/>
  <c r="X72" i="3"/>
  <c r="X20" i="3"/>
  <c r="X425" i="3"/>
  <c r="X903" i="3"/>
  <c r="X1038" i="3"/>
  <c r="X1189" i="3"/>
  <c r="T1115" i="3"/>
  <c r="T187" i="3"/>
  <c r="T1111" i="3"/>
  <c r="T820" i="3"/>
  <c r="T375" i="3"/>
  <c r="T58" i="3"/>
  <c r="T106" i="3"/>
  <c r="T1102" i="3"/>
  <c r="T1140" i="3"/>
  <c r="T219" i="3"/>
  <c r="T39" i="3"/>
  <c r="T845" i="3"/>
  <c r="T105" i="3"/>
  <c r="T648" i="3"/>
  <c r="T519" i="3"/>
  <c r="T634" i="3"/>
  <c r="T966" i="3"/>
  <c r="T799" i="3"/>
  <c r="T846" i="3"/>
  <c r="T754" i="3"/>
  <c r="T771" i="3"/>
  <c r="T557" i="3"/>
  <c r="T777" i="3"/>
  <c r="T33" i="3"/>
  <c r="T201" i="3"/>
  <c r="T990" i="3"/>
  <c r="T755" i="3"/>
  <c r="T847" i="3"/>
  <c r="T202" i="3"/>
  <c r="T621" i="3"/>
  <c r="T339" i="3"/>
  <c r="T441" i="3"/>
  <c r="T833" i="3"/>
  <c r="T1060" i="3"/>
  <c r="T404" i="3"/>
  <c r="T115" i="3"/>
  <c r="T868" i="3"/>
  <c r="T422" i="3"/>
  <c r="T91" i="3"/>
  <c r="T829" i="3"/>
  <c r="T638" i="3"/>
  <c r="T423" i="3"/>
  <c r="T1143" i="3"/>
  <c r="T674" i="3"/>
  <c r="T842" i="3"/>
  <c r="T687" i="3"/>
  <c r="T358" i="3"/>
  <c r="T243" i="3"/>
  <c r="T915" i="3"/>
  <c r="T233" i="3"/>
  <c r="T139" i="3"/>
  <c r="T480" i="3"/>
  <c r="T615" i="3"/>
  <c r="T580" i="3"/>
  <c r="T45" i="3"/>
  <c r="T499" i="3"/>
  <c r="T495" i="3"/>
  <c r="T1080" i="3"/>
  <c r="T584" i="3"/>
  <c r="T453" i="3"/>
  <c r="T1190" i="3"/>
  <c r="T64" i="3"/>
  <c r="T1176" i="3"/>
  <c r="T405" i="3"/>
  <c r="T476" i="3"/>
  <c r="T882" i="3"/>
  <c r="T381" i="3"/>
  <c r="T851" i="3"/>
  <c r="T665" i="3"/>
  <c r="T631" i="3"/>
  <c r="T610" i="3"/>
  <c r="T747" i="3"/>
  <c r="T377" i="3"/>
  <c r="T1071" i="3"/>
  <c r="T367" i="3"/>
  <c r="T409" i="3"/>
  <c r="T334" i="3"/>
  <c r="T909" i="3"/>
  <c r="T1134" i="3"/>
  <c r="T1074" i="3"/>
  <c r="T89" i="3"/>
  <c r="T434" i="3"/>
  <c r="T962" i="3"/>
  <c r="T28" i="3"/>
  <c r="T625" i="3"/>
  <c r="T340" i="3"/>
  <c r="T753" i="3"/>
  <c r="T828" i="3"/>
  <c r="T124" i="3"/>
  <c r="T738" i="3"/>
  <c r="T500" i="3"/>
  <c r="T79" i="3"/>
  <c r="T428" i="3"/>
  <c r="T616" i="3"/>
  <c r="T114" i="3"/>
  <c r="T1049" i="3"/>
  <c r="T307" i="3"/>
  <c r="T1136" i="3"/>
  <c r="T144" i="3"/>
  <c r="T813" i="3"/>
  <c r="T975" i="3"/>
  <c r="T1103" i="3"/>
  <c r="T703" i="3"/>
  <c r="T908" i="3"/>
  <c r="T1059" i="3"/>
  <c r="T1158" i="3"/>
  <c r="T1120" i="3"/>
  <c r="T666" i="3"/>
  <c r="T931" i="3"/>
  <c r="T112" i="3"/>
  <c r="T987" i="3"/>
  <c r="T502" i="3"/>
  <c r="T946" i="3"/>
  <c r="T536" i="3"/>
  <c r="T1075" i="3"/>
  <c r="T759" i="3"/>
  <c r="T437" i="3"/>
  <c r="T326" i="3"/>
  <c r="T760" i="3"/>
  <c r="T509" i="3"/>
  <c r="T824" i="3"/>
  <c r="T116" i="3"/>
  <c r="T800" i="3"/>
  <c r="T588" i="3"/>
  <c r="T179" i="3"/>
  <c r="T632" i="3"/>
  <c r="T16" i="3"/>
  <c r="T525" i="3"/>
  <c r="T372" i="3"/>
  <c r="T1092" i="3"/>
  <c r="T365" i="3"/>
  <c r="T996" i="3"/>
  <c r="T1137" i="3"/>
  <c r="T919" i="3"/>
  <c r="T905" i="3"/>
  <c r="T1192" i="3"/>
  <c r="T87" i="3"/>
  <c r="T298" i="3"/>
  <c r="T698" i="3"/>
  <c r="T468" i="3"/>
  <c r="T1003" i="3"/>
  <c r="T266" i="3"/>
  <c r="T682" i="3"/>
  <c r="T493" i="3"/>
  <c r="T1028" i="3"/>
  <c r="T330" i="3"/>
  <c r="T421" i="3"/>
  <c r="T1152" i="3"/>
  <c r="T170" i="3"/>
  <c r="T299" i="3"/>
  <c r="T684" i="3"/>
  <c r="T1144" i="3"/>
  <c r="T1184" i="3"/>
  <c r="T1123" i="3"/>
  <c r="T591" i="3"/>
  <c r="T980" i="3"/>
  <c r="T1118" i="3"/>
  <c r="T67" i="3"/>
  <c r="T84" i="3"/>
  <c r="T18" i="3"/>
  <c r="T1166" i="3"/>
  <c r="T1063" i="3"/>
  <c r="T1177" i="3"/>
  <c r="T249" i="3"/>
  <c r="T885" i="3"/>
  <c r="T1198" i="3"/>
  <c r="T920" i="3"/>
  <c r="T327" i="3"/>
  <c r="T701" i="3"/>
  <c r="T1033" i="3"/>
  <c r="T213" i="3"/>
  <c r="T475" i="3"/>
  <c r="T986" i="3"/>
  <c r="T1189" i="3"/>
  <c r="T523" i="3"/>
  <c r="T503" i="3"/>
  <c r="T359" i="3"/>
  <c r="T207" i="3"/>
  <c r="T1127" i="3"/>
  <c r="T953" i="3"/>
  <c r="T691" i="3"/>
  <c r="T770" i="3"/>
  <c r="T774" i="3"/>
  <c r="T593" i="3"/>
  <c r="T424" i="3"/>
  <c r="T969" i="3"/>
  <c r="T705" i="3"/>
  <c r="T466" i="3"/>
  <c r="T491" i="3"/>
  <c r="T673" i="3"/>
  <c r="T960" i="3"/>
  <c r="T484" i="3"/>
  <c r="T384" i="3"/>
  <c r="T111" i="3"/>
  <c r="T189" i="3"/>
  <c r="T1203" i="3"/>
  <c r="T1069" i="3"/>
  <c r="T287" i="3"/>
  <c r="T999" i="3"/>
  <c r="T1209" i="3"/>
  <c r="T435" i="3"/>
  <c r="T134" i="3"/>
  <c r="T234" i="3"/>
  <c r="T677" i="3"/>
  <c r="T328" i="3"/>
  <c r="T126" i="3"/>
  <c r="T494" i="3"/>
  <c r="T436" i="3"/>
  <c r="T904" i="3"/>
  <c r="T1032" i="3"/>
  <c r="T88" i="3"/>
  <c r="T1155" i="3"/>
  <c r="T301" i="3"/>
  <c r="T995" i="3"/>
  <c r="T1048" i="3"/>
  <c r="T240" i="3"/>
  <c r="T1084" i="3"/>
  <c r="T791" i="3"/>
  <c r="T689" i="3"/>
  <c r="T164" i="3"/>
  <c r="T767" i="3"/>
  <c r="T656" i="3"/>
  <c r="T664" i="3"/>
  <c r="T957" i="3"/>
  <c r="T1121" i="3"/>
  <c r="T433" i="3"/>
  <c r="T1213" i="3"/>
  <c r="T668" i="3"/>
  <c r="T741" i="3"/>
  <c r="T263" i="3"/>
  <c r="T958" i="3"/>
  <c r="T317" i="3"/>
  <c r="T748" i="3"/>
  <c r="T1046" i="3"/>
  <c r="T510" i="3"/>
  <c r="T887" i="3"/>
  <c r="T641" i="3"/>
  <c r="T63" i="3"/>
  <c r="T145" i="3"/>
  <c r="T628" i="3"/>
  <c r="T728" i="3"/>
  <c r="T573" i="3"/>
  <c r="T280" i="3"/>
  <c r="T1058" i="3"/>
  <c r="T1179" i="3"/>
  <c r="T1077" i="3"/>
  <c r="T1027" i="3"/>
  <c r="T821" i="3"/>
  <c r="T1108" i="3"/>
  <c r="T398" i="3"/>
  <c r="T1010" i="3"/>
  <c r="T205" i="3"/>
  <c r="T1053" i="3"/>
  <c r="T823" i="3"/>
  <c r="T413" i="3"/>
  <c r="T963" i="3"/>
  <c r="T763" i="3"/>
  <c r="T1200" i="3"/>
  <c r="T390" i="3"/>
  <c r="T343" i="3"/>
  <c r="T892" i="3"/>
  <c r="T530" i="3"/>
  <c r="T736" i="3"/>
  <c r="T992" i="3"/>
  <c r="T1171" i="3"/>
  <c r="T951" i="3"/>
  <c r="T539" i="3"/>
  <c r="T806" i="3"/>
  <c r="T1156" i="3"/>
  <c r="T1096" i="3"/>
  <c r="T30" i="3"/>
  <c r="T60" i="3"/>
  <c r="T891" i="3"/>
  <c r="T1082" i="3"/>
  <c r="T244" i="3"/>
  <c r="T489" i="3"/>
  <c r="T236" i="3"/>
  <c r="T581" i="3"/>
  <c r="T448" i="3"/>
  <c r="T853" i="3"/>
  <c r="T507" i="3"/>
  <c r="T65" i="3"/>
  <c r="T849" i="3"/>
  <c r="T1098" i="3"/>
  <c r="T425" i="3"/>
  <c r="T431" i="3"/>
  <c r="T1087" i="3"/>
  <c r="T640" i="3"/>
  <c r="T242" i="3"/>
  <c r="T578" i="3"/>
  <c r="T416" i="3"/>
  <c r="T194" i="3"/>
  <c r="T1093" i="3"/>
  <c r="T332" i="3"/>
  <c r="T95" i="3"/>
  <c r="T1050" i="3"/>
  <c r="T302" i="3"/>
  <c r="T757" i="3"/>
  <c r="T196" i="3"/>
  <c r="T260" i="3"/>
  <c r="T943" i="3"/>
  <c r="T552" i="3"/>
  <c r="T310" i="3"/>
  <c r="T546" i="3"/>
  <c r="T528" i="3"/>
  <c r="T256" i="3"/>
  <c r="T400" i="3"/>
  <c r="T85" i="3"/>
  <c r="T811" i="3"/>
  <c r="T790" i="3"/>
  <c r="T410" i="3"/>
  <c r="T1006" i="3"/>
  <c r="T983" i="3"/>
  <c r="T378" i="3"/>
  <c r="T750" i="3"/>
  <c r="T778" i="3"/>
  <c r="T804" i="3"/>
  <c r="T772" i="3"/>
  <c r="T69" i="3"/>
  <c r="T1195" i="3"/>
  <c r="T841" i="3"/>
  <c r="T766" i="3"/>
  <c r="T814" i="3"/>
  <c r="T1124" i="3"/>
  <c r="T787" i="3"/>
  <c r="T386" i="3"/>
  <c r="T644" i="3"/>
  <c r="T471" i="3"/>
  <c r="T286" i="3"/>
  <c r="T826" i="3"/>
  <c r="T128" i="3"/>
  <c r="T176" i="3"/>
  <c r="T520" i="3"/>
  <c r="T744" i="3"/>
  <c r="T746" i="3"/>
  <c r="T592" i="3"/>
  <c r="T57" i="3"/>
  <c r="T395" i="3"/>
  <c r="T132" i="3"/>
  <c r="T1017" i="3"/>
  <c r="T880" i="3"/>
  <c r="T199" i="3"/>
  <c r="T907" i="3"/>
  <c r="T119" i="3"/>
  <c r="T490" i="3"/>
  <c r="T221" i="3"/>
  <c r="T295" i="3"/>
  <c r="T271" i="3"/>
  <c r="T948" i="3"/>
  <c r="T1105" i="3"/>
  <c r="T49" i="3"/>
  <c r="T459" i="3"/>
  <c r="T97" i="3"/>
  <c r="T211" i="3"/>
  <c r="T474" i="3"/>
  <c r="T48" i="3"/>
  <c r="T1150" i="3"/>
  <c r="T212" i="3"/>
  <c r="T1172" i="3"/>
  <c r="T890" i="3"/>
  <c r="T796" i="3"/>
  <c r="T361" i="3"/>
  <c r="T73" i="3"/>
  <c r="T82" i="3"/>
  <c r="T1035" i="3"/>
  <c r="T81" i="3"/>
  <c r="T165" i="3"/>
  <c r="T470" i="3"/>
  <c r="T140" i="3"/>
  <c r="T496" i="3"/>
  <c r="T612" i="3"/>
  <c r="T758" i="3"/>
  <c r="T654" i="3"/>
  <c r="T457" i="3"/>
  <c r="T129" i="3"/>
  <c r="T898" i="3"/>
  <c r="T331" i="3"/>
  <c r="T137" i="3"/>
  <c r="T231" i="3"/>
  <c r="T319" i="3"/>
  <c r="T40" i="3"/>
  <c r="T1211" i="3"/>
  <c r="T924" i="3"/>
  <c r="T270" i="3"/>
  <c r="T46" i="3"/>
  <c r="T597" i="3"/>
  <c r="T364" i="3"/>
  <c r="T86" i="3"/>
  <c r="T718" i="3"/>
  <c r="T564" i="3"/>
  <c r="T944" i="3"/>
  <c r="T1068" i="3"/>
  <c r="T291" i="3"/>
  <c r="T1025" i="3"/>
  <c r="T123" i="3"/>
  <c r="T131" i="3"/>
  <c r="T878" i="3"/>
  <c r="T742" i="3"/>
  <c r="T843" i="3"/>
  <c r="T279" i="3"/>
  <c r="T932" i="3"/>
  <c r="T159" i="3"/>
  <c r="T721" i="3"/>
  <c r="T789" i="3"/>
  <c r="T765" i="3"/>
  <c r="T346" i="3"/>
  <c r="T911" i="3"/>
  <c r="T446" i="3"/>
  <c r="T793" i="3"/>
  <c r="T1157" i="3"/>
  <c r="T285" i="3"/>
  <c r="T265" i="3"/>
  <c r="T250" i="3"/>
  <c r="T1052" i="3"/>
  <c r="T113" i="3"/>
  <c r="T396" i="3"/>
  <c r="T220" i="3"/>
  <c r="T264" i="3"/>
  <c r="T518" i="3"/>
  <c r="T1099" i="3"/>
  <c r="T585" i="3"/>
  <c r="T237" i="3"/>
  <c r="T379" i="3"/>
  <c r="T587" i="3"/>
  <c r="T562" i="3"/>
  <c r="T724" i="3"/>
  <c r="T534" i="3"/>
  <c r="T570" i="3"/>
  <c r="T733" i="3"/>
  <c r="T871" i="3"/>
  <c r="T877" i="3"/>
  <c r="T284" i="3"/>
  <c r="T1174" i="3"/>
  <c r="T175" i="3"/>
  <c r="T936" i="3"/>
  <c r="T970" i="3"/>
  <c r="T1065" i="3"/>
  <c r="T61" i="3"/>
  <c r="T973" i="3"/>
  <c r="T31" i="3"/>
  <c r="T21" i="3"/>
  <c r="T387" i="3"/>
  <c r="T155" i="3"/>
  <c r="T603" i="3"/>
  <c r="T147" i="3"/>
  <c r="T535" i="3"/>
  <c r="T827" i="3"/>
  <c r="T775" i="3"/>
  <c r="T1081" i="3"/>
  <c r="T1126" i="3"/>
  <c r="T239" i="3"/>
  <c r="T487" i="3"/>
  <c r="T103" i="3"/>
  <c r="T558" i="3"/>
  <c r="T392" i="3"/>
  <c r="T1094" i="3"/>
  <c r="T418" i="3"/>
  <c r="T1207" i="3"/>
  <c r="T411" i="3"/>
  <c r="T569" i="3"/>
  <c r="T305" i="3"/>
  <c r="T785" i="3"/>
  <c r="T481" i="3"/>
  <c r="T783" i="3"/>
  <c r="T717" i="3"/>
  <c r="T1196" i="3"/>
  <c r="T368" i="3"/>
  <c r="T1090" i="3"/>
  <c r="T954" i="3"/>
  <c r="T917" i="3"/>
  <c r="T606" i="3"/>
  <c r="T710" i="3"/>
  <c r="T363" i="3"/>
  <c r="T225" i="3"/>
  <c r="T373" i="3"/>
  <c r="T173" i="3"/>
  <c r="T336" i="3"/>
  <c r="T443" i="3"/>
  <c r="T1038" i="3"/>
  <c r="T1197" i="3"/>
  <c r="T241" i="3"/>
  <c r="T769" i="3"/>
  <c r="T1045" i="3"/>
  <c r="T961" i="3"/>
  <c r="T1036" i="3"/>
  <c r="T505" i="3"/>
  <c r="T939" i="3"/>
  <c r="T485" i="3"/>
  <c r="T1041" i="3"/>
  <c r="T1088" i="3"/>
  <c r="T1159" i="3"/>
  <c r="T636" i="3"/>
  <c r="T278" i="3"/>
  <c r="T835" i="3"/>
  <c r="T708" i="3"/>
  <c r="T168" i="3"/>
  <c r="T54" i="3"/>
  <c r="T716" i="3"/>
  <c r="T571" i="3"/>
  <c r="T941" i="3"/>
  <c r="T538" i="3"/>
  <c r="T547" i="3"/>
  <c r="T860" i="3"/>
  <c r="T914" i="3"/>
  <c r="T191" i="3"/>
  <c r="T1168" i="3"/>
  <c r="T670" i="3"/>
  <c r="T618" i="3"/>
  <c r="T831" i="3"/>
  <c r="T623" i="3"/>
  <c r="T432" i="3"/>
  <c r="T369" i="3"/>
  <c r="T933" i="3"/>
  <c r="T1208" i="3"/>
  <c r="T1182" i="3"/>
  <c r="T1161" i="3"/>
  <c r="T912" i="3"/>
  <c r="T419" i="3"/>
  <c r="T154" i="3"/>
  <c r="T529" i="3"/>
  <c r="T627" i="3"/>
  <c r="T374" i="3"/>
  <c r="T714" i="3"/>
  <c r="T1001" i="3"/>
  <c r="T613" i="3"/>
  <c r="T786" i="3"/>
  <c r="T660" i="3"/>
  <c r="T497" i="3"/>
  <c r="T844" i="3"/>
  <c r="T895" i="3"/>
  <c r="T572" i="3"/>
  <c r="T371" i="3"/>
  <c r="T306" i="3"/>
  <c r="T955" i="3"/>
  <c r="T389" i="3"/>
  <c r="T447" i="3"/>
  <c r="T426" i="3"/>
  <c r="T740" i="3"/>
  <c r="T141" i="3"/>
  <c r="T110" i="3"/>
  <c r="T694" i="3"/>
  <c r="T797" i="3"/>
  <c r="T647" i="3"/>
  <c r="T776" i="3"/>
  <c r="T303" i="3"/>
  <c r="T722" i="3"/>
  <c r="T567" i="3"/>
  <c r="T549" i="3"/>
  <c r="T711" i="3"/>
  <c r="T512" i="3"/>
  <c r="T560" i="3"/>
  <c r="T338" i="3"/>
  <c r="T762" i="3"/>
  <c r="T96" i="3"/>
  <c r="T158" i="3"/>
  <c r="T1141" i="3"/>
  <c r="T639" i="3"/>
  <c r="T166" i="3"/>
  <c r="T347" i="3"/>
  <c r="T918" i="3"/>
  <c r="T965" i="3"/>
  <c r="T200" i="3"/>
  <c r="T896" i="3"/>
  <c r="T313" i="3"/>
  <c r="T784" i="3"/>
  <c r="T257" i="3"/>
  <c r="T735" i="3"/>
  <c r="T356" i="3"/>
  <c r="T1100" i="3"/>
  <c r="T391" i="3"/>
  <c r="T545" i="3"/>
  <c r="T600" i="3"/>
  <c r="T37" i="3"/>
  <c r="T855" i="3"/>
  <c r="T1145" i="3"/>
  <c r="T429" i="3"/>
  <c r="T930" i="3"/>
  <c r="T273" i="3"/>
  <c r="T1169" i="3"/>
  <c r="T467" i="3"/>
  <c r="T185" i="3"/>
  <c r="T652" i="3"/>
  <c r="T997" i="3"/>
  <c r="T1188" i="3"/>
  <c r="T34" i="3"/>
  <c r="T902" i="3"/>
  <c r="T252" i="3"/>
  <c r="T867" i="3"/>
  <c r="T1054" i="3"/>
  <c r="T320" i="3"/>
  <c r="T1021" i="3"/>
  <c r="T323" i="3"/>
  <c r="T38" i="3"/>
  <c r="T321" i="3"/>
  <c r="T183" i="3"/>
  <c r="T261" i="3"/>
  <c r="T156" i="3"/>
  <c r="T1194" i="3"/>
  <c r="T925" i="3"/>
  <c r="T229" i="3"/>
  <c r="T35" i="3"/>
  <c r="T604" i="3"/>
  <c r="T745" i="3"/>
  <c r="T751" i="3"/>
  <c r="T1210" i="3"/>
  <c r="T385" i="3"/>
  <c r="T282" i="3"/>
  <c r="T348" i="3"/>
  <c r="T492" i="3"/>
  <c r="T160" i="3"/>
  <c r="T645" i="3"/>
  <c r="T26" i="3"/>
  <c r="T151" i="3"/>
  <c r="T794" i="3"/>
  <c r="T92" i="3"/>
  <c r="T1106" i="3"/>
  <c r="T460" i="3"/>
  <c r="T143" i="3"/>
  <c r="T729" i="3"/>
  <c r="T1151" i="3"/>
  <c r="T138" i="3"/>
  <c r="T979" i="3"/>
  <c r="T928" i="3"/>
  <c r="T993" i="3"/>
  <c r="T1131" i="3"/>
  <c r="T1125" i="3"/>
  <c r="T921" i="3"/>
  <c r="T272" i="3"/>
  <c r="T594" i="3"/>
  <c r="T1135" i="3"/>
  <c r="T1020" i="3"/>
  <c r="T133" i="3"/>
  <c r="T859" i="3"/>
  <c r="T268" i="3"/>
  <c r="T56" i="3"/>
  <c r="T521" i="3"/>
  <c r="T17" i="3"/>
  <c r="T259" i="3"/>
  <c r="T967" i="3"/>
  <c r="T1167" i="3"/>
  <c r="T121" i="3"/>
  <c r="T1175" i="3"/>
  <c r="T1024" i="3"/>
  <c r="T1186" i="3"/>
  <c r="T47" i="3"/>
  <c r="T633" i="3"/>
  <c r="T1193" i="3"/>
  <c r="T876" i="3"/>
  <c r="T869" i="3"/>
  <c r="T976" i="3"/>
  <c r="T210" i="3"/>
  <c r="T940" i="3"/>
  <c r="T1187" i="3"/>
  <c r="T1160" i="3"/>
  <c r="T1004" i="3"/>
  <c r="T222" i="3"/>
  <c r="T182" i="3"/>
  <c r="T822" i="3"/>
  <c r="T730" i="3"/>
  <c r="T1206" i="3"/>
  <c r="T1109" i="3"/>
  <c r="T574" i="3"/>
  <c r="T146" i="3"/>
  <c r="T1101" i="3"/>
  <c r="T465" i="3"/>
  <c r="T342" i="3"/>
  <c r="T208" i="3"/>
  <c r="T982" i="3"/>
  <c r="T643" i="3"/>
  <c r="T731" i="3"/>
  <c r="T586" i="3"/>
  <c r="T1022" i="3"/>
  <c r="T472" i="3"/>
  <c r="T1130" i="3"/>
  <c r="T870" i="3"/>
  <c r="T516" i="3"/>
  <c r="T394" i="3"/>
  <c r="T1153" i="3"/>
  <c r="T180" i="3"/>
  <c r="T685" i="3"/>
  <c r="T819" i="3"/>
  <c r="T1015" i="3"/>
  <c r="T203" i="3"/>
  <c r="T679" i="3"/>
  <c r="T881" i="3"/>
  <c r="T98" i="3"/>
  <c r="T316" i="3"/>
  <c r="T449" i="3"/>
  <c r="T709" i="3"/>
  <c r="T779" i="3"/>
  <c r="T209" i="3"/>
  <c r="T856" i="3"/>
  <c r="T1212" i="3"/>
  <c r="T214" i="3"/>
  <c r="T662" i="3"/>
  <c r="T630" i="3"/>
  <c r="T41" i="3"/>
  <c r="T1009" i="3"/>
  <c r="T277" i="3"/>
  <c r="T1037" i="3"/>
  <c r="T548" i="3"/>
  <c r="T461" i="3"/>
  <c r="T309" i="3"/>
  <c r="T153" i="3"/>
  <c r="T702" i="3"/>
  <c r="T15" i="3"/>
  <c r="T1011" i="3"/>
  <c r="T311" i="3"/>
  <c r="T635" i="3"/>
  <c r="T949" i="3"/>
  <c r="T589" i="3"/>
  <c r="T1014" i="3"/>
  <c r="T681" i="3"/>
  <c r="T107" i="3"/>
  <c r="T699" i="3"/>
  <c r="T533" i="3"/>
  <c r="T227" i="3"/>
  <c r="T1180" i="3"/>
  <c r="T543" i="3"/>
  <c r="T671" i="3"/>
  <c r="T192" i="3"/>
  <c r="T479" i="3"/>
  <c r="T383" i="3"/>
  <c r="T1107" i="3"/>
  <c r="T1205" i="3"/>
  <c r="T293" i="3"/>
  <c r="T998" i="3"/>
  <c r="T1091" i="3"/>
  <c r="T297" i="3"/>
  <c r="T646" i="3"/>
  <c r="T190" i="3"/>
  <c r="T706" i="3"/>
  <c r="T1055" i="3"/>
  <c r="T637" i="3"/>
  <c r="T355" i="3"/>
  <c r="T988" i="3"/>
  <c r="T834" i="3"/>
  <c r="T206" i="3"/>
  <c r="T66" i="3"/>
  <c r="T938" i="3"/>
  <c r="T959" i="3"/>
  <c r="T452" i="3"/>
  <c r="T1104" i="3"/>
  <c r="T412" i="3"/>
  <c r="T599" i="3"/>
  <c r="T1043" i="3"/>
  <c r="T952" i="3"/>
  <c r="T216" i="3"/>
  <c r="T801" i="3"/>
  <c r="T300" i="3"/>
  <c r="T55" i="3"/>
  <c r="T464" i="3"/>
  <c r="T101" i="3"/>
  <c r="T1191" i="3"/>
  <c r="T1086" i="3"/>
  <c r="T90" i="3"/>
  <c r="T104" i="3"/>
  <c r="T1114" i="3"/>
  <c r="T1113" i="3"/>
  <c r="T353" i="3"/>
  <c r="T354" i="3"/>
  <c r="T861" i="3"/>
  <c r="T862" i="3"/>
  <c r="T607" i="3"/>
  <c r="T608" i="3"/>
  <c r="T971" i="3"/>
  <c r="T550" i="3"/>
  <c r="T551" i="3"/>
  <c r="T726" i="3"/>
  <c r="T727" i="3"/>
  <c r="T376" i="3"/>
  <c r="T366" i="3"/>
  <c r="T1202" i="3"/>
  <c r="T1070" i="3"/>
  <c r="T650" i="3"/>
  <c r="T649" i="3"/>
  <c r="T1078" i="3"/>
  <c r="T1079" i="3"/>
  <c r="T440" i="3"/>
  <c r="T439" i="3"/>
  <c r="T274" i="3"/>
  <c r="T275" i="3"/>
  <c r="T792" i="3"/>
  <c r="T888" i="3"/>
  <c r="T889" i="3"/>
  <c r="T576" i="3"/>
  <c r="T577" i="3"/>
  <c r="T542" i="3"/>
  <c r="T541" i="3"/>
  <c r="T117" i="3"/>
  <c r="T118" i="3"/>
  <c r="T350" i="3"/>
  <c r="T349" i="3"/>
  <c r="T407" i="3"/>
  <c r="T408" i="3"/>
  <c r="T108" i="3"/>
  <c r="T109" i="3"/>
  <c r="T1057" i="3"/>
  <c r="T1056" i="3"/>
  <c r="T43" i="3"/>
  <c r="T44" i="3"/>
  <c r="T756" i="3"/>
  <c r="T223" i="3"/>
  <c r="T934" i="3"/>
  <c r="T935" i="3"/>
  <c r="T198" i="3"/>
  <c r="T803" i="3"/>
  <c r="T262" i="3"/>
  <c r="T857" i="3"/>
  <c r="T324" i="3"/>
  <c r="T1016" i="3"/>
  <c r="T1066" i="3"/>
  <c r="T582" i="3"/>
  <c r="T1018" i="3"/>
  <c r="T283" i="3"/>
  <c r="T1005" i="3"/>
  <c r="T690" i="3"/>
  <c r="T657" i="3"/>
  <c r="T658" i="3"/>
  <c r="T450" i="3"/>
  <c r="T451" i="3"/>
  <c r="T75" i="3"/>
  <c r="T76" i="3"/>
  <c r="T595" i="3"/>
  <c r="T596" i="3"/>
  <c r="T816" i="3"/>
  <c r="T815" i="3"/>
  <c r="T27" i="3"/>
  <c r="T99" i="3"/>
  <c r="T950" i="3"/>
  <c r="T125" i="3"/>
  <c r="T737" i="3"/>
  <c r="T575" i="3"/>
  <c r="T292" i="3"/>
  <c r="T732" i="3"/>
  <c r="T590" i="3"/>
  <c r="T478" i="3"/>
  <c r="T341" i="3"/>
  <c r="T304" i="3"/>
  <c r="T228" i="3"/>
  <c r="T566" i="3"/>
  <c r="T504" i="3"/>
  <c r="T80" i="3"/>
  <c r="T725" i="3"/>
  <c r="T74" i="3"/>
  <c r="T469" i="3"/>
  <c r="T254" i="3"/>
  <c r="T188" i="3"/>
  <c r="T417" i="3"/>
  <c r="T1095" i="3"/>
  <c r="T1173" i="3"/>
  <c r="T605" i="3"/>
  <c r="T764" i="3"/>
  <c r="T174" i="3"/>
  <c r="T14" i="3"/>
  <c r="T314" i="3"/>
  <c r="T51" i="3"/>
  <c r="T624" i="3"/>
  <c r="T1138" i="3"/>
  <c r="T692" i="3"/>
  <c r="T1181" i="3"/>
  <c r="T482" i="3"/>
  <c r="T318" i="3"/>
  <c r="T929" i="3"/>
  <c r="T713" i="3"/>
  <c r="T1089" i="3"/>
  <c r="T761" i="3"/>
  <c r="T370" i="3"/>
  <c r="T1000" i="3"/>
  <c r="T894" i="3"/>
  <c r="T255" i="3"/>
  <c r="T388" i="3"/>
  <c r="T559" i="3"/>
  <c r="T734" i="3"/>
  <c r="T511" i="3"/>
  <c r="T362" i="3"/>
  <c r="T977" i="3"/>
  <c r="T1139" i="3"/>
  <c r="T964" i="3"/>
  <c r="T337" i="3"/>
  <c r="T1040" i="3"/>
  <c r="T224" i="3"/>
  <c r="T399" i="3"/>
  <c r="T36" i="3"/>
  <c r="T899" i="3"/>
  <c r="T401" i="3"/>
  <c r="T565" i="3"/>
  <c r="T874" i="3"/>
  <c r="T873" i="3"/>
  <c r="T926" i="3"/>
  <c r="T712" i="3"/>
  <c r="T414" i="3"/>
  <c r="T78" i="3"/>
  <c r="T77" i="3"/>
  <c r="T1148" i="3"/>
  <c r="T1147" i="3"/>
  <c r="T602" i="3"/>
  <c r="T161" i="3"/>
  <c r="T972" i="3"/>
  <c r="T879" i="3"/>
  <c r="T127" i="3"/>
  <c r="T251" i="3"/>
  <c r="T1116" i="3"/>
  <c r="T583" i="3"/>
  <c r="T20" i="3"/>
  <c r="T922" i="3"/>
  <c r="T68" i="3"/>
  <c r="T1064" i="3"/>
  <c r="T866" i="3"/>
  <c r="T743" i="3"/>
  <c r="T120" i="3"/>
  <c r="T1023" i="3"/>
  <c r="T258" i="3"/>
  <c r="T700" i="3"/>
  <c r="T486" i="3"/>
  <c r="T197" i="3"/>
  <c r="T171" i="3"/>
  <c r="T825" i="3"/>
  <c r="T854" i="3"/>
  <c r="T808" i="3"/>
  <c r="T1019" i="3"/>
  <c r="T42" i="3"/>
  <c r="T230" i="3"/>
  <c r="T1162" i="3"/>
  <c r="T901" i="3"/>
  <c r="T50" i="3"/>
  <c r="T148" i="3"/>
  <c r="T253" i="3"/>
  <c r="T269" i="3"/>
  <c r="T1072" i="3"/>
  <c r="T267" i="3"/>
  <c r="T981" i="3"/>
  <c r="T651" i="3"/>
  <c r="T968" i="3"/>
  <c r="T903" i="3"/>
  <c r="T676" i="3"/>
  <c r="T916" i="3"/>
  <c r="T169" i="3"/>
  <c r="T357" i="3"/>
  <c r="T937" i="3"/>
  <c r="T150" i="3"/>
  <c r="T149" i="3"/>
  <c r="T555" i="3"/>
  <c r="T554" i="3"/>
  <c r="T540" i="3"/>
  <c r="T345" i="3"/>
  <c r="T1170" i="3"/>
  <c r="T688" i="3"/>
  <c r="T1083" i="3"/>
  <c r="T178" i="3"/>
  <c r="T1164" i="3"/>
  <c r="T1097" i="3"/>
  <c r="T23" i="3"/>
  <c r="T809" i="3"/>
  <c r="T788" i="3"/>
  <c r="T655" i="3"/>
  <c r="T1178" i="3"/>
  <c r="T848" i="3"/>
  <c r="T162" i="3"/>
  <c r="T704" i="3"/>
  <c r="T695" i="3"/>
  <c r="T506" i="3"/>
  <c r="T1002" i="3"/>
  <c r="T204" i="3"/>
  <c r="T985" i="3"/>
  <c r="T397" i="3"/>
  <c r="T445" i="3"/>
  <c r="T248" i="3"/>
  <c r="T488" i="3"/>
  <c r="T945" i="3"/>
  <c r="T837" i="3"/>
  <c r="T1112" i="3"/>
  <c r="T483" i="3"/>
  <c r="T1007" i="3"/>
  <c r="T802" i="3"/>
  <c r="T71" i="3"/>
  <c r="T19" i="3"/>
  <c r="T669" i="3"/>
  <c r="T1128" i="3"/>
  <c r="T245" i="3"/>
  <c r="T290" i="3"/>
  <c r="T289" i="3"/>
  <c r="T852" i="3"/>
  <c r="T1073" i="3"/>
  <c r="T614" i="3"/>
  <c r="T1132" i="3"/>
  <c r="T522" i="3"/>
  <c r="T752" i="3"/>
  <c r="T444" i="3"/>
  <c r="T579" i="3"/>
  <c r="T83" i="3"/>
  <c r="T455" i="3"/>
  <c r="T994" i="3"/>
  <c r="T561" i="3"/>
  <c r="T1047" i="3"/>
  <c r="T276" i="3"/>
  <c r="T544" i="3"/>
  <c r="T663" i="3"/>
  <c r="T661" i="3"/>
  <c r="T749" i="3"/>
  <c r="T526" i="3"/>
  <c r="T195" i="3"/>
  <c r="T172" i="3"/>
  <c r="T1199" i="3"/>
  <c r="T294" i="3"/>
  <c r="T427" i="3"/>
  <c r="T780" i="3"/>
  <c r="T232" i="3"/>
  <c r="T157" i="3"/>
  <c r="T675" i="3"/>
  <c r="T872" i="3"/>
  <c r="T62" i="3"/>
  <c r="T344" i="3"/>
  <c r="T1165" i="3"/>
  <c r="T812" i="3"/>
  <c r="T781" i="3"/>
  <c r="T360" i="3"/>
  <c r="T281" i="3"/>
  <c r="T1129" i="3"/>
  <c r="T335" i="3"/>
  <c r="T1062" i="3"/>
  <c r="T458" i="3"/>
  <c r="T430" i="3"/>
  <c r="T629" i="3"/>
  <c r="T667" i="3"/>
  <c r="T1061" i="3"/>
  <c r="T325" i="3"/>
  <c r="T768" i="3"/>
  <c r="T1034" i="3"/>
  <c r="T462" i="3"/>
  <c r="T923" i="3"/>
  <c r="T130" i="3"/>
  <c r="T72" i="3"/>
  <c r="T1067" i="3"/>
  <c r="T611" i="3"/>
  <c r="T70" i="3"/>
  <c r="T1044" i="3"/>
  <c r="T653" i="3"/>
  <c r="T897" i="3"/>
  <c r="T782" i="3"/>
  <c r="T942" i="3"/>
  <c r="T217" i="3"/>
  <c r="T352" i="3"/>
  <c r="T805" i="3"/>
  <c r="T380" i="3"/>
  <c r="T1149" i="3"/>
  <c r="T329" i="3"/>
  <c r="T442" i="3"/>
  <c r="T1076" i="3"/>
  <c r="T235" i="3"/>
  <c r="T247" i="3"/>
  <c r="T122" i="3"/>
  <c r="T850" i="3"/>
  <c r="T1117" i="3"/>
  <c r="T135" i="3"/>
  <c r="T893" i="3"/>
  <c r="T568" i="3"/>
  <c r="T312" i="3"/>
  <c r="T795" i="3"/>
  <c r="T322" i="3"/>
  <c r="T984" i="3"/>
  <c r="T974" i="3"/>
  <c r="T858" i="3"/>
  <c r="T238" i="3"/>
  <c r="T527" i="3"/>
  <c r="T382" i="3"/>
  <c r="T454" i="3"/>
  <c r="T184" i="3"/>
  <c r="T642" i="3"/>
  <c r="T927" i="3"/>
  <c r="T167" i="3"/>
  <c r="T1142" i="3"/>
  <c r="T351" i="3"/>
  <c r="T415" i="3"/>
  <c r="T94" i="3"/>
  <c r="T93" i="3"/>
  <c r="T296" i="3"/>
  <c r="T1051" i="3"/>
  <c r="T1119" i="3"/>
  <c r="T1012" i="3"/>
  <c r="T333" i="3"/>
  <c r="T563" i="3"/>
  <c r="T1031" i="3"/>
  <c r="T177" i="3"/>
  <c r="T989" i="3"/>
  <c r="T403" i="3"/>
  <c r="T498" i="3"/>
  <c r="T193" i="3"/>
  <c r="T865" i="3"/>
  <c r="T556" i="3"/>
  <c r="T832" i="3"/>
  <c r="T29" i="3"/>
  <c r="T620" i="3"/>
  <c r="T720" i="3"/>
  <c r="T719" i="3"/>
  <c r="T59" i="3"/>
  <c r="T686" i="3"/>
  <c r="T142" i="3"/>
  <c r="T420" i="3"/>
  <c r="T991" i="3"/>
  <c r="T102" i="3"/>
  <c r="T32" i="3"/>
  <c r="T1029" i="3"/>
  <c r="T524" i="3"/>
  <c r="T553" i="3"/>
  <c r="T884" i="3"/>
  <c r="T672" i="3"/>
  <c r="T393" i="3"/>
  <c r="T910" i="3"/>
  <c r="T181" i="3"/>
  <c r="T53" i="3"/>
  <c r="T52" i="3"/>
  <c r="T508" i="3"/>
  <c r="T1146" i="3"/>
  <c r="T532" i="3"/>
  <c r="T531" i="3"/>
  <c r="T402" i="3"/>
  <c r="T288" i="3"/>
  <c r="T680" i="3"/>
  <c r="T226" i="3"/>
  <c r="T883" i="3"/>
  <c r="T477" i="3"/>
  <c r="T25" i="3"/>
  <c r="T24" i="3"/>
  <c r="T22" i="3"/>
  <c r="T1026" i="3"/>
  <c r="T1122" i="3"/>
  <c r="T1183" i="3"/>
  <c r="T840" i="3"/>
  <c r="T839" i="3"/>
  <c r="T836" i="3"/>
  <c r="T514" i="3"/>
  <c r="T513" i="3"/>
  <c r="T723" i="3"/>
  <c r="T406" i="3"/>
  <c r="T1013" i="3"/>
  <c r="T715" i="3"/>
  <c r="T683" i="3"/>
  <c r="T619" i="3"/>
  <c r="T875" i="3"/>
  <c r="T609" i="3"/>
  <c r="T697" i="3"/>
  <c r="T537" i="3"/>
  <c r="T1201" i="3"/>
  <c r="T308" i="3"/>
  <c r="T152" i="3"/>
  <c r="T315" i="3"/>
  <c r="T838" i="3"/>
  <c r="T1085" i="3"/>
  <c r="T598" i="3"/>
  <c r="T463" i="3"/>
  <c r="T215" i="3"/>
  <c r="T1008" i="3"/>
  <c r="T913" i="3"/>
  <c r="T1042" i="3"/>
  <c r="T100" i="3"/>
  <c r="T978" i="3"/>
  <c r="T678" i="3"/>
  <c r="T617" i="3"/>
  <c r="T1185" i="3"/>
  <c r="T830" i="3"/>
  <c r="T818" i="3"/>
  <c r="T622" i="3"/>
  <c r="Y417" i="3" l="1"/>
  <c r="Z418" i="3" s="1"/>
  <c r="Y1021" i="3"/>
  <c r="Z1022" i="3" s="1"/>
  <c r="Y787" i="3"/>
  <c r="Z788" i="3" s="1"/>
  <c r="Y899" i="3"/>
  <c r="Z900" i="3" s="1"/>
  <c r="Y1027" i="3"/>
  <c r="Z1028" i="3" s="1"/>
  <c r="Y1054" i="3"/>
  <c r="Z1055" i="3" s="1"/>
  <c r="Y615" i="3"/>
  <c r="Z616" i="3" s="1"/>
  <c r="Y58" i="3"/>
  <c r="Z59" i="3" s="1"/>
  <c r="V15" i="3"/>
  <c r="S10" i="3"/>
  <c r="Y501" i="3"/>
  <c r="Z502" i="3" s="1"/>
  <c r="Y755" i="3"/>
  <c r="Z756" i="3" s="1"/>
  <c r="Y234" i="3"/>
  <c r="Z235" i="3" s="1"/>
  <c r="Y393" i="3"/>
  <c r="Z394" i="3" s="1"/>
  <c r="Y735" i="3"/>
  <c r="Z736" i="3" s="1"/>
  <c r="Y92" i="3"/>
  <c r="Z93" i="3" s="1"/>
  <c r="Y854" i="3"/>
  <c r="Z855" i="3" s="1"/>
  <c r="Y1083" i="3"/>
  <c r="Z1084" i="3" s="1"/>
  <c r="W14" i="3"/>
  <c r="V788" i="3"/>
  <c r="W789" i="3" s="1"/>
  <c r="V1142" i="3"/>
  <c r="W1143" i="3" s="1"/>
  <c r="V882" i="3"/>
  <c r="W883" i="3" s="1"/>
  <c r="V963" i="3"/>
  <c r="W964" i="3" s="1"/>
  <c r="V1015" i="3"/>
  <c r="W1016" i="3" s="1"/>
  <c r="V195" i="3"/>
  <c r="W196" i="3" s="1"/>
  <c r="V742" i="3"/>
  <c r="W743" i="3" s="1"/>
  <c r="V180" i="3"/>
  <c r="W181" i="3" s="1"/>
  <c r="V1018" i="3"/>
  <c r="W1019" i="3" s="1"/>
  <c r="V845" i="3"/>
  <c r="W846" i="3" s="1"/>
  <c r="V939" i="3"/>
  <c r="W940" i="3" s="1"/>
  <c r="V696" i="3"/>
  <c r="W697" i="3" s="1"/>
  <c r="V363" i="3"/>
  <c r="W364" i="3" s="1"/>
  <c r="V826" i="3"/>
  <c r="W827" i="3" s="1"/>
  <c r="V418" i="3"/>
  <c r="W419" i="3" s="1"/>
  <c r="V1034" i="3"/>
  <c r="W1035" i="3" s="1"/>
  <c r="V46" i="3"/>
  <c r="W47" i="3" s="1"/>
  <c r="V685" i="3"/>
  <c r="W686" i="3" s="1"/>
  <c r="V993" i="3"/>
  <c r="W994" i="3" s="1"/>
  <c r="V246" i="3"/>
  <c r="W247" i="3" s="1"/>
  <c r="V471" i="3"/>
  <c r="W472" i="3" s="1"/>
  <c r="V133" i="3"/>
  <c r="W134" i="3" s="1"/>
  <c r="V461" i="3"/>
  <c r="W462" i="3" s="1"/>
  <c r="V380" i="3"/>
  <c r="W381" i="3" s="1"/>
  <c r="Y981" i="3"/>
  <c r="Z982" i="3" s="1"/>
  <c r="V1095" i="3"/>
  <c r="W1096" i="3" s="1"/>
  <c r="Y881" i="3"/>
  <c r="Z882" i="3" s="1"/>
  <c r="V478" i="3"/>
  <c r="W479" i="3" s="1"/>
  <c r="Y926" i="3"/>
  <c r="Z927" i="3" s="1"/>
  <c r="V553" i="3"/>
  <c r="W554" i="3" s="1"/>
  <c r="V213" i="3"/>
  <c r="W214" i="3" s="1"/>
  <c r="V94" i="3"/>
  <c r="W95" i="3" s="1"/>
  <c r="Y359" i="3"/>
  <c r="Z360" i="3" s="1"/>
  <c r="Y186" i="3"/>
  <c r="Z187" i="3" s="1"/>
  <c r="Y688" i="3"/>
  <c r="Z689" i="3" s="1"/>
  <c r="V918" i="3"/>
  <c r="W919" i="3" s="1"/>
  <c r="V629" i="3"/>
  <c r="W630" i="3" s="1"/>
  <c r="V325" i="3"/>
  <c r="W326" i="3" s="1"/>
  <c r="Y20" i="3"/>
  <c r="Z21" i="3" s="1"/>
  <c r="V1041" i="3"/>
  <c r="W1042" i="3" s="1"/>
  <c r="Y1149" i="3"/>
  <c r="Z1150" i="3" s="1"/>
  <c r="V525" i="3"/>
  <c r="W526" i="3" s="1"/>
  <c r="V1143" i="3"/>
  <c r="W1144" i="3" s="1"/>
  <c r="V312" i="3"/>
  <c r="W313" i="3" s="1"/>
  <c r="Y148" i="3"/>
  <c r="Z149" i="3" s="1"/>
  <c r="Y961" i="3"/>
  <c r="Z962" i="3" s="1"/>
  <c r="Y937" i="3"/>
  <c r="Z938" i="3" s="1"/>
  <c r="Y210" i="3"/>
  <c r="Z211" i="3" s="1"/>
  <c r="Y84" i="3"/>
  <c r="Z85" i="3" s="1"/>
  <c r="Y196" i="3"/>
  <c r="Z197" i="3" s="1"/>
  <c r="V1097" i="3"/>
  <c r="W1098" i="3" s="1"/>
  <c r="Y823" i="3"/>
  <c r="Z824" i="3" s="1"/>
  <c r="Y498" i="3"/>
  <c r="Z499" i="3" s="1"/>
  <c r="V796" i="3"/>
  <c r="W797" i="3" s="1"/>
  <c r="V239" i="3"/>
  <c r="W240" i="3" s="1"/>
  <c r="Y651" i="3"/>
  <c r="Z652" i="3" s="1"/>
  <c r="Y1140" i="3"/>
  <c r="Z1141" i="3" s="1"/>
  <c r="Y295" i="3"/>
  <c r="Z296" i="3" s="1"/>
  <c r="V242" i="3"/>
  <c r="W243" i="3" s="1"/>
  <c r="V945" i="3"/>
  <c r="W946" i="3" s="1"/>
  <c r="V562" i="3"/>
  <c r="W563" i="3" s="1"/>
  <c r="V198" i="3"/>
  <c r="W199" i="3" s="1"/>
  <c r="Y910" i="3"/>
  <c r="Z911" i="3" s="1"/>
  <c r="V66" i="3"/>
  <c r="W67" i="3" s="1"/>
  <c r="Y142" i="3"/>
  <c r="Z143" i="3" s="1"/>
  <c r="Y585" i="3"/>
  <c r="Z586" i="3" s="1"/>
  <c r="Y256" i="3"/>
  <c r="Z257" i="3" s="1"/>
  <c r="V732" i="3"/>
  <c r="Y594" i="3"/>
  <c r="Z595" i="3" s="1"/>
  <c r="V966" i="3"/>
  <c r="W967" i="3" s="1"/>
  <c r="V95" i="3"/>
  <c r="W96" i="3" s="1"/>
  <c r="V62" i="3"/>
  <c r="W63" i="3" s="1"/>
  <c r="V595" i="3"/>
  <c r="W596" i="3" s="1"/>
  <c r="Y964" i="3"/>
  <c r="Z965" i="3" s="1"/>
  <c r="V490" i="3"/>
  <c r="W491" i="3" s="1"/>
  <c r="V903" i="3"/>
  <c r="W904" i="3" s="1"/>
  <c r="V1126" i="3"/>
  <c r="W1127" i="3" s="1"/>
  <c r="V1167" i="3"/>
  <c r="W1168" i="3" s="1"/>
  <c r="V894" i="3"/>
  <c r="W895" i="3" s="1"/>
  <c r="V948" i="3"/>
  <c r="W949" i="3" s="1"/>
  <c r="V262" i="3"/>
  <c r="W263" i="3" s="1"/>
  <c r="V190" i="3"/>
  <c r="W191" i="3" s="1"/>
  <c r="V959" i="3"/>
  <c r="W960" i="3" s="1"/>
  <c r="V234" i="3"/>
  <c r="W235" i="3" s="1"/>
  <c r="Y162" i="3"/>
  <c r="Z163" i="3" s="1"/>
  <c r="Y1093" i="3"/>
  <c r="Z1094" i="3" s="1"/>
  <c r="Y434" i="3"/>
  <c r="Z435" i="3" s="1"/>
  <c r="V141" i="3"/>
  <c r="W142" i="3" s="1"/>
  <c r="Y673" i="3"/>
  <c r="Z674" i="3" s="1"/>
  <c r="V814" i="3"/>
  <c r="W815" i="3" s="1"/>
  <c r="V598" i="3"/>
  <c r="W599" i="3" s="1"/>
  <c r="V515" i="3"/>
  <c r="W516" i="3" s="1"/>
  <c r="V98" i="3"/>
  <c r="W99" i="3" s="1"/>
  <c r="V1049" i="3"/>
  <c r="W1050" i="3" s="1"/>
  <c r="V1092" i="3"/>
  <c r="W1093" i="3" s="1"/>
  <c r="V1055" i="3"/>
  <c r="W1056" i="3" s="1"/>
  <c r="V113" i="3"/>
  <c r="W114" i="3" s="1"/>
  <c r="Y822" i="3"/>
  <c r="Z823" i="3" s="1"/>
  <c r="V856" i="3"/>
  <c r="W857" i="3" s="1"/>
  <c r="V931" i="3"/>
  <c r="W932" i="3" s="1"/>
  <c r="V498" i="3"/>
  <c r="W499" i="3" s="1"/>
  <c r="V815" i="3"/>
  <c r="W816" i="3" s="1"/>
  <c r="V466" i="3"/>
  <c r="W467" i="3" s="1"/>
  <c r="V504" i="3"/>
  <c r="W505" i="3" s="1"/>
  <c r="V864" i="3"/>
  <c r="W865" i="3" s="1"/>
  <c r="Y732" i="3"/>
  <c r="V854" i="3"/>
  <c r="W855" i="3" s="1"/>
  <c r="V241" i="3"/>
  <c r="W242" i="3" s="1"/>
  <c r="Y990" i="3"/>
  <c r="Z991" i="3" s="1"/>
  <c r="V973" i="3"/>
  <c r="W974" i="3" s="1"/>
  <c r="V513" i="3"/>
  <c r="W514" i="3" s="1"/>
  <c r="V436" i="3"/>
  <c r="W437" i="3" s="1"/>
  <c r="V1185" i="3"/>
  <c r="W1186" i="3" s="1"/>
  <c r="V1151" i="3"/>
  <c r="W1152" i="3" s="1"/>
  <c r="V105" i="3"/>
  <c r="W106" i="3" s="1"/>
  <c r="V783" i="3"/>
  <c r="W784" i="3" s="1"/>
  <c r="V476" i="3"/>
  <c r="W477" i="3" s="1"/>
  <c r="V654" i="3"/>
  <c r="W655" i="3" s="1"/>
  <c r="V495" i="3"/>
  <c r="W496" i="3" s="1"/>
  <c r="V810" i="3"/>
  <c r="W811" i="3" s="1"/>
  <c r="V1155" i="3"/>
  <c r="W1156" i="3" s="1"/>
  <c r="V552" i="3"/>
  <c r="W553" i="3" s="1"/>
  <c r="V759" i="3"/>
  <c r="W760" i="3" s="1"/>
  <c r="V813" i="3"/>
  <c r="W814" i="3" s="1"/>
  <c r="V1039" i="3"/>
  <c r="W1040" i="3" s="1"/>
  <c r="V704" i="3"/>
  <c r="W705" i="3" s="1"/>
  <c r="V691" i="3"/>
  <c r="W692" i="3" s="1"/>
  <c r="V842" i="3"/>
  <c r="W843" i="3" s="1"/>
  <c r="V420" i="3"/>
  <c r="W421" i="3" s="1"/>
  <c r="V111" i="3"/>
  <c r="W112" i="3" s="1"/>
  <c r="V171" i="3"/>
  <c r="W172" i="3" s="1"/>
  <c r="V1131" i="3"/>
  <c r="W1132" i="3" s="1"/>
  <c r="V828" i="3"/>
  <c r="W829" i="3" s="1"/>
  <c r="V1127" i="3"/>
  <c r="W1128" i="3" s="1"/>
  <c r="V319" i="3"/>
  <c r="W320" i="3" s="1"/>
  <c r="V439" i="3"/>
  <c r="W440" i="3" s="1"/>
  <c r="V348" i="3"/>
  <c r="W349" i="3" s="1"/>
  <c r="V697" i="3"/>
  <c r="W698" i="3" s="1"/>
  <c r="V1047" i="3"/>
  <c r="W1048" i="3" s="1"/>
  <c r="V793" i="3"/>
  <c r="W794" i="3" s="1"/>
  <c r="V1085" i="3"/>
  <c r="W1086" i="3" s="1"/>
  <c r="V560" i="3"/>
  <c r="W561" i="3" s="1"/>
  <c r="V1189" i="3"/>
  <c r="W1190" i="3" s="1"/>
  <c r="V891" i="3"/>
  <c r="W892" i="3" s="1"/>
  <c r="V909" i="3"/>
  <c r="W910" i="3" s="1"/>
  <c r="V1132" i="3"/>
  <c r="W1133" i="3" s="1"/>
  <c r="V622" i="3"/>
  <c r="W623" i="3" s="1"/>
  <c r="V121" i="3"/>
  <c r="W122" i="3" s="1"/>
  <c r="V142" i="3"/>
  <c r="W143" i="3" s="1"/>
  <c r="V132" i="3"/>
  <c r="W133" i="3" s="1"/>
  <c r="V393" i="3"/>
  <c r="W394" i="3" s="1"/>
  <c r="V1122" i="3"/>
  <c r="W1123" i="3" s="1"/>
  <c r="V875" i="3"/>
  <c r="W876" i="3" s="1"/>
  <c r="V1205" i="3"/>
  <c r="W1206" i="3" s="1"/>
  <c r="V620" i="3"/>
  <c r="W621" i="3" s="1"/>
  <c r="V1074" i="3"/>
  <c r="W1075" i="3" s="1"/>
  <c r="V1057" i="3"/>
  <c r="W1058" i="3" s="1"/>
  <c r="V806" i="3"/>
  <c r="W807" i="3" s="1"/>
  <c r="V716" i="3"/>
  <c r="W717" i="3" s="1"/>
  <c r="V329" i="3"/>
  <c r="W330" i="3" s="1"/>
  <c r="V265" i="3"/>
  <c r="W266" i="3" s="1"/>
  <c r="V734" i="3"/>
  <c r="W735" i="3" s="1"/>
  <c r="V700" i="3"/>
  <c r="W701" i="3" s="1"/>
  <c r="V878" i="3"/>
  <c r="W879" i="3" s="1"/>
  <c r="V447" i="3"/>
  <c r="W448" i="3" s="1"/>
  <c r="V510" i="3"/>
  <c r="W511" i="3" s="1"/>
  <c r="V45" i="3"/>
  <c r="W46" i="3" s="1"/>
  <c r="V698" i="3"/>
  <c r="W699" i="3" s="1"/>
  <c r="V1121" i="3"/>
  <c r="W1122" i="3" s="1"/>
  <c r="V170" i="3"/>
  <c r="W171" i="3" s="1"/>
  <c r="V812" i="3"/>
  <c r="W813" i="3" s="1"/>
  <c r="V1109" i="3"/>
  <c r="W1110" i="3" s="1"/>
  <c r="V1066" i="3"/>
  <c r="W1067" i="3" s="1"/>
  <c r="V1010" i="3"/>
  <c r="W1011" i="3" s="1"/>
  <c r="V1063" i="3"/>
  <c r="W1064" i="3" s="1"/>
  <c r="V829" i="3"/>
  <c r="W830" i="3" s="1"/>
  <c r="V1004" i="3"/>
  <c r="W1005" i="3" s="1"/>
  <c r="V956" i="3"/>
  <c r="W957" i="3" s="1"/>
  <c r="V735" i="3"/>
  <c r="W736" i="3" s="1"/>
  <c r="V594" i="3"/>
  <c r="W595" i="3" s="1"/>
  <c r="V80" i="3"/>
  <c r="W81" i="3" s="1"/>
  <c r="V1009" i="3"/>
  <c r="W1010" i="3" s="1"/>
  <c r="V900" i="3"/>
  <c r="W901" i="3" s="1"/>
  <c r="V419" i="3"/>
  <c r="W420" i="3" s="1"/>
  <c r="V577" i="3"/>
  <c r="W578" i="3" s="1"/>
  <c r="V777" i="3"/>
  <c r="W778" i="3" s="1"/>
  <c r="V369" i="3"/>
  <c r="W370" i="3" s="1"/>
  <c r="V915" i="3"/>
  <c r="W916" i="3" s="1"/>
  <c r="V250" i="3"/>
  <c r="W251" i="3" s="1"/>
  <c r="V772" i="3"/>
  <c r="W773" i="3" s="1"/>
  <c r="V1179" i="3"/>
  <c r="W1180" i="3" s="1"/>
  <c r="V277" i="3"/>
  <c r="W278" i="3" s="1"/>
  <c r="V317" i="3"/>
  <c r="W318" i="3" s="1"/>
  <c r="V643" i="3"/>
  <c r="W644" i="3" s="1"/>
  <c r="V621" i="3"/>
  <c r="W622" i="3" s="1"/>
  <c r="V437" i="3"/>
  <c r="W438" i="3" s="1"/>
  <c r="V166" i="3"/>
  <c r="W167" i="3" s="1"/>
  <c r="V374" i="3"/>
  <c r="W375" i="3" s="1"/>
  <c r="V69" i="3"/>
  <c r="W70" i="3" s="1"/>
  <c r="V301" i="3"/>
  <c r="W302" i="3" s="1"/>
  <c r="V377" i="3"/>
  <c r="W378" i="3" s="1"/>
  <c r="V804" i="3"/>
  <c r="W805" i="3" s="1"/>
  <c r="V1166" i="3"/>
  <c r="W1167" i="3" s="1"/>
  <c r="V100" i="3"/>
  <c r="W101" i="3" s="1"/>
  <c r="Y418" i="3"/>
  <c r="Z419" i="3" s="1"/>
  <c r="V867" i="3"/>
  <c r="W868" i="3" s="1"/>
  <c r="V999" i="3"/>
  <c r="W1000" i="3" s="1"/>
  <c r="V263" i="3"/>
  <c r="W264" i="3" s="1"/>
  <c r="V820" i="3"/>
  <c r="W821" i="3" s="1"/>
  <c r="V1014" i="3"/>
  <c r="W1015" i="3" s="1"/>
  <c r="V91" i="3"/>
  <c r="W92" i="3" s="1"/>
  <c r="V576" i="3"/>
  <c r="W577" i="3" s="1"/>
  <c r="V549" i="3"/>
  <c r="W550" i="3" s="1"/>
  <c r="V120" i="3"/>
  <c r="W121" i="3" s="1"/>
  <c r="V217" i="3"/>
  <c r="W218" i="3" s="1"/>
  <c r="V29" i="3"/>
  <c r="W30" i="3" s="1"/>
  <c r="V229" i="3"/>
  <c r="W230" i="3" s="1"/>
  <c r="V110" i="3"/>
  <c r="W111" i="3" s="1"/>
  <c r="V164" i="3"/>
  <c r="W165" i="3" s="1"/>
  <c r="V1110" i="3"/>
  <c r="W1111" i="3" s="1"/>
  <c r="V448" i="3"/>
  <c r="W449" i="3" s="1"/>
  <c r="V224" i="3"/>
  <c r="W225" i="3" s="1"/>
  <c r="V152" i="3"/>
  <c r="W153" i="3" s="1"/>
  <c r="V304" i="3"/>
  <c r="W305" i="3" s="1"/>
  <c r="V1111" i="3"/>
  <c r="W1112" i="3" s="1"/>
  <c r="V1163" i="3"/>
  <c r="W1164" i="3" s="1"/>
  <c r="V853" i="3"/>
  <c r="W854" i="3" s="1"/>
  <c r="V258" i="3"/>
  <c r="W259" i="3" s="1"/>
  <c r="V1134" i="3"/>
  <c r="W1135" i="3" s="1"/>
  <c r="V1119" i="3"/>
  <c r="W1120" i="3" s="1"/>
  <c r="V619" i="3"/>
  <c r="W620" i="3" s="1"/>
  <c r="V663" i="3"/>
  <c r="W664" i="3" s="1"/>
  <c r="V469" i="3"/>
  <c r="W470" i="3" s="1"/>
  <c r="V408" i="3"/>
  <c r="W409" i="3" s="1"/>
  <c r="V890" i="3"/>
  <c r="W891" i="3" s="1"/>
  <c r="V631" i="3"/>
  <c r="W632" i="3" s="1"/>
  <c r="V637" i="3"/>
  <c r="W638" i="3" s="1"/>
  <c r="V602" i="3"/>
  <c r="W603" i="3" s="1"/>
  <c r="V176" i="3"/>
  <c r="W177" i="3" s="1"/>
  <c r="V261" i="3"/>
  <c r="W262" i="3" s="1"/>
  <c r="V253" i="3"/>
  <c r="W254" i="3" s="1"/>
  <c r="V984" i="3"/>
  <c r="W985" i="3" s="1"/>
  <c r="V1139" i="3"/>
  <c r="W1140" i="3" s="1"/>
  <c r="V449" i="3"/>
  <c r="W450" i="3" s="1"/>
  <c r="V843" i="3"/>
  <c r="W844" i="3" s="1"/>
  <c r="V249" i="3"/>
  <c r="W250" i="3" s="1"/>
  <c r="V991" i="3"/>
  <c r="W992" i="3" s="1"/>
  <c r="V968" i="3"/>
  <c r="W969" i="3" s="1"/>
  <c r="V291" i="3"/>
  <c r="W292" i="3" s="1"/>
  <c r="V157" i="3"/>
  <c r="W158" i="3" s="1"/>
  <c r="V370" i="3"/>
  <c r="W371" i="3" s="1"/>
  <c r="V827" i="3"/>
  <c r="W828" i="3" s="1"/>
  <c r="V1096" i="3"/>
  <c r="W1097" i="3" s="1"/>
  <c r="V610" i="3"/>
  <c r="W611" i="3" s="1"/>
  <c r="V584" i="3"/>
  <c r="W585" i="3" s="1"/>
  <c r="V603" i="3"/>
  <c r="W604" i="3" s="1"/>
  <c r="V726" i="3"/>
  <c r="W727" i="3" s="1"/>
  <c r="V546" i="3"/>
  <c r="W547" i="3" s="1"/>
  <c r="V1068" i="3"/>
  <c r="W1069" i="3" s="1"/>
  <c r="V920" i="3"/>
  <c r="W921" i="3" s="1"/>
  <c r="V911" i="3"/>
  <c r="W912" i="3" s="1"/>
  <c r="V755" i="3"/>
  <c r="W756" i="3" s="1"/>
  <c r="V717" i="3"/>
  <c r="W718" i="3" s="1"/>
  <c r="V248" i="3"/>
  <c r="W249" i="3" s="1"/>
  <c r="V567" i="3"/>
  <c r="W568" i="3" s="1"/>
  <c r="V360" i="3"/>
  <c r="W361" i="3" s="1"/>
  <c r="V757" i="3"/>
  <c r="W758" i="3" s="1"/>
  <c r="V446" i="3"/>
  <c r="W447" i="3" s="1"/>
  <c r="V710" i="3"/>
  <c r="W711" i="3" s="1"/>
  <c r="V356" i="3"/>
  <c r="W357" i="3" s="1"/>
  <c r="V292" i="3"/>
  <c r="W293" i="3" s="1"/>
  <c r="V508" i="3"/>
  <c r="W509" i="3" s="1"/>
  <c r="V850" i="3"/>
  <c r="W851" i="3" s="1"/>
  <c r="V611" i="3"/>
  <c r="W612" i="3" s="1"/>
  <c r="V707" i="3"/>
  <c r="W708" i="3" s="1"/>
  <c r="V650" i="3"/>
  <c r="W651" i="3" s="1"/>
  <c r="V409" i="3"/>
  <c r="W410" i="3" s="1"/>
  <c r="V808" i="3"/>
  <c r="W809" i="3" s="1"/>
  <c r="V849" i="3"/>
  <c r="W850" i="3" s="1"/>
  <c r="V128" i="3"/>
  <c r="W129" i="3" s="1"/>
  <c r="V502" i="3"/>
  <c r="W503" i="3" s="1"/>
  <c r="V284" i="3"/>
  <c r="W285" i="3" s="1"/>
  <c r="V305" i="3"/>
  <c r="W306" i="3" s="1"/>
  <c r="V605" i="3"/>
  <c r="W606" i="3" s="1"/>
  <c r="V39" i="3"/>
  <c r="W40" i="3" s="1"/>
  <c r="V638" i="3"/>
  <c r="W639" i="3" s="1"/>
  <c r="V89" i="3"/>
  <c r="W90" i="3" s="1"/>
  <c r="V908" i="3"/>
  <c r="W909" i="3" s="1"/>
  <c r="V482" i="3"/>
  <c r="W483" i="3" s="1"/>
  <c r="V838" i="3"/>
  <c r="W839" i="3" s="1"/>
  <c r="V971" i="3"/>
  <c r="W972" i="3" s="1"/>
  <c r="V516" i="3"/>
  <c r="W517" i="3" s="1"/>
  <c r="V635" i="3"/>
  <c r="W636" i="3" s="1"/>
  <c r="V1172" i="3"/>
  <c r="W1173" i="3" s="1"/>
  <c r="V1200" i="3"/>
  <c r="W1201" i="3" s="1"/>
  <c r="V1056" i="3"/>
  <c r="W1057" i="3" s="1"/>
  <c r="V634" i="3"/>
  <c r="W635" i="3" s="1"/>
  <c r="V355" i="3"/>
  <c r="W356" i="3" s="1"/>
  <c r="V295" i="3"/>
  <c r="W296" i="3" s="1"/>
  <c r="V215" i="3"/>
  <c r="W216" i="3" s="1"/>
  <c r="V646" i="3"/>
  <c r="W647" i="3" s="1"/>
  <c r="V585" i="3"/>
  <c r="W586" i="3" s="1"/>
  <c r="V389" i="3"/>
  <c r="W390" i="3" s="1"/>
  <c r="V641" i="3"/>
  <c r="W642" i="3" s="1"/>
  <c r="V543" i="3"/>
  <c r="W544" i="3" s="1"/>
  <c r="V519" i="3"/>
  <c r="W520" i="3" s="1"/>
  <c r="V1011" i="3"/>
  <c r="W1012" i="3" s="1"/>
  <c r="V203" i="3"/>
  <c r="W204" i="3" s="1"/>
  <c r="V868" i="3"/>
  <c r="W869" i="3" s="1"/>
  <c r="V1091" i="3"/>
  <c r="W1092" i="3" s="1"/>
  <c r="V59" i="3"/>
  <c r="W60" i="3" s="1"/>
  <c r="V126" i="3"/>
  <c r="W127" i="3" s="1"/>
  <c r="V648" i="3"/>
  <c r="W649" i="3" s="1"/>
  <c r="V699" i="3"/>
  <c r="W700" i="3" s="1"/>
  <c r="V644" i="3"/>
  <c r="W645" i="3" s="1"/>
  <c r="V924" i="3"/>
  <c r="W925" i="3" s="1"/>
  <c r="V158" i="3"/>
  <c r="W159" i="3" s="1"/>
  <c r="V256" i="3"/>
  <c r="W257" i="3" s="1"/>
  <c r="V801" i="3"/>
  <c r="W802" i="3" s="1"/>
  <c r="V20" i="3"/>
  <c r="W21" i="3" s="1"/>
  <c r="V694" i="3"/>
  <c r="W695" i="3" s="1"/>
  <c r="V403" i="3"/>
  <c r="W404" i="3" s="1"/>
  <c r="V432" i="3"/>
  <c r="W433" i="3" s="1"/>
  <c r="Y14" i="3"/>
  <c r="Z15" i="3" s="1"/>
  <c r="Y122" i="3"/>
  <c r="Z123" i="3" s="1"/>
  <c r="V858" i="3"/>
  <c r="W859" i="3" s="1"/>
  <c r="V60" i="3"/>
  <c r="W61" i="3" s="1"/>
  <c r="V834" i="3"/>
  <c r="W835" i="3" s="1"/>
  <c r="V366" i="3"/>
  <c r="W367" i="3" s="1"/>
  <c r="V361" i="3"/>
  <c r="W362" i="3" s="1"/>
  <c r="V119" i="3"/>
  <c r="W120" i="3" s="1"/>
  <c r="V299" i="3"/>
  <c r="W300" i="3" s="1"/>
  <c r="V1168" i="3"/>
  <c r="W1169" i="3" s="1"/>
  <c r="V983" i="3"/>
  <c r="W984" i="3" s="1"/>
  <c r="V857" i="3"/>
  <c r="W858" i="3" s="1"/>
  <c r="V582" i="3"/>
  <c r="W583" i="3" s="1"/>
  <c r="V805" i="3"/>
  <c r="W806" i="3" s="1"/>
  <c r="V537" i="3"/>
  <c r="W538" i="3" s="1"/>
  <c r="V998" i="3"/>
  <c r="W999" i="3" s="1"/>
  <c r="V1050" i="3"/>
  <c r="W1051" i="3" s="1"/>
  <c r="V830" i="3"/>
  <c r="W831" i="3" s="1"/>
  <c r="V189" i="3"/>
  <c r="W190" i="3" s="1"/>
  <c r="V1147" i="3"/>
  <c r="W1148" i="3" s="1"/>
  <c r="V695" i="3"/>
  <c r="W696" i="3" s="1"/>
  <c r="V746" i="3"/>
  <c r="W747" i="3" s="1"/>
  <c r="V884" i="3"/>
  <c r="W885" i="3" s="1"/>
  <c r="V1012" i="3"/>
  <c r="W1013" i="3" s="1"/>
  <c r="V404" i="3"/>
  <c r="W405" i="3" s="1"/>
  <c r="V597" i="3"/>
  <c r="W598" i="3" s="1"/>
  <c r="V386" i="3"/>
  <c r="W387" i="3" s="1"/>
  <c r="V1101" i="3"/>
  <c r="W1102" i="3" s="1"/>
  <c r="V922" i="3"/>
  <c r="W923" i="3" s="1"/>
  <c r="V1080" i="3"/>
  <c r="W1081" i="3" s="1"/>
  <c r="V781" i="3"/>
  <c r="W782" i="3" s="1"/>
  <c r="V161" i="3"/>
  <c r="W162" i="3" s="1"/>
  <c r="V311" i="3"/>
  <c r="W312" i="3" s="1"/>
  <c r="V264" i="3"/>
  <c r="W265" i="3" s="1"/>
  <c r="V505" i="3"/>
  <c r="W506" i="3" s="1"/>
  <c r="V153" i="3"/>
  <c r="W154" i="3" s="1"/>
  <c r="V869" i="3"/>
  <c r="W870" i="3" s="1"/>
  <c r="V73" i="3"/>
  <c r="W74" i="3" s="1"/>
  <c r="V463" i="3"/>
  <c r="W464" i="3" s="1"/>
  <c r="V334" i="3"/>
  <c r="W335" i="3" s="1"/>
  <c r="V254" i="3"/>
  <c r="W255" i="3" s="1"/>
  <c r="V90" i="3"/>
  <c r="W91" i="3" s="1"/>
  <c r="V589" i="3"/>
  <c r="W590" i="3" s="1"/>
  <c r="V33" i="3"/>
  <c r="W34" i="3" s="1"/>
  <c r="V202" i="3"/>
  <c r="W203" i="3" s="1"/>
  <c r="V767" i="3"/>
  <c r="W768" i="3" s="1"/>
  <c r="V1006" i="3"/>
  <c r="W1007" i="3" s="1"/>
  <c r="V1016" i="3"/>
  <c r="W1017" i="3" s="1"/>
  <c r="V1211" i="3"/>
  <c r="W1212" i="3" s="1"/>
  <c r="V1046" i="3"/>
  <c r="W1047" i="3" s="1"/>
  <c r="V658" i="3"/>
  <c r="W659" i="3" s="1"/>
  <c r="V720" i="3"/>
  <c r="W721" i="3" s="1"/>
  <c r="V30" i="3"/>
  <c r="W31" i="3" s="1"/>
  <c r="V123" i="3"/>
  <c r="W124" i="3" s="1"/>
  <c r="V731" i="3"/>
  <c r="W732" i="3" s="1"/>
  <c r="V1090" i="3"/>
  <c r="W1091" i="3" s="1"/>
  <c r="V1033" i="3"/>
  <c r="W1034" i="3" s="1"/>
  <c r="V526" i="3"/>
  <c r="W527" i="3" s="1"/>
  <c r="V728" i="3"/>
  <c r="W729" i="3" s="1"/>
  <c r="V259" i="3"/>
  <c r="W260" i="3" s="1"/>
  <c r="V1197" i="3"/>
  <c r="W1198" i="3" s="1"/>
  <c r="V575" i="3"/>
  <c r="W576" i="3" s="1"/>
  <c r="V861" i="3"/>
  <c r="W862" i="3" s="1"/>
  <c r="V666" i="3"/>
  <c r="W667" i="3" s="1"/>
  <c r="V421" i="3"/>
  <c r="W422" i="3" s="1"/>
  <c r="V413" i="3"/>
  <c r="W414" i="3" s="1"/>
  <c r="V208" i="3"/>
  <c r="W209" i="3" s="1"/>
  <c r="V271" i="3"/>
  <c r="W272" i="3" s="1"/>
  <c r="V1079" i="3"/>
  <c r="W1080" i="3" s="1"/>
  <c r="V276" i="3"/>
  <c r="W277" i="3" s="1"/>
  <c r="V573" i="3"/>
  <c r="W574" i="3" s="1"/>
  <c r="V55" i="3"/>
  <c r="W56" i="3" s="1"/>
  <c r="V275" i="3"/>
  <c r="W276" i="3" s="1"/>
  <c r="V1098" i="3"/>
  <c r="W1099" i="3" s="1"/>
  <c r="V67" i="3"/>
  <c r="W68" i="3" s="1"/>
  <c r="V257" i="3"/>
  <c r="W258" i="3" s="1"/>
  <c r="V645" i="3"/>
  <c r="W646" i="3" s="1"/>
  <c r="V416" i="3"/>
  <c r="W417" i="3" s="1"/>
  <c r="V965" i="3"/>
  <c r="W966" i="3" s="1"/>
  <c r="V659" i="3"/>
  <c r="W660" i="3" s="1"/>
  <c r="V114" i="3"/>
  <c r="W115" i="3" s="1"/>
  <c r="V154" i="3"/>
  <c r="W155" i="3" s="1"/>
  <c r="V1160" i="3"/>
  <c r="W1161" i="3" s="1"/>
  <c r="V563" i="3"/>
  <c r="W564" i="3" s="1"/>
  <c r="V346" i="3"/>
  <c r="W347" i="3" s="1"/>
  <c r="V1044" i="3"/>
  <c r="W1045" i="3" s="1"/>
  <c r="V1020" i="3"/>
  <c r="W1021" i="3" s="1"/>
  <c r="V178" i="3"/>
  <c r="W179" i="3" s="1"/>
  <c r="V97" i="3"/>
  <c r="W98" i="3" s="1"/>
  <c r="V197" i="3"/>
  <c r="W198" i="3" s="1"/>
  <c r="V209" i="3"/>
  <c r="W210" i="3" s="1"/>
  <c r="V740" i="3"/>
  <c r="W741" i="3" s="1"/>
  <c r="V341" i="3"/>
  <c r="W342" i="3" s="1"/>
  <c r="V524" i="3"/>
  <c r="W525" i="3" s="1"/>
  <c r="V937" i="3"/>
  <c r="W938" i="3" s="1"/>
  <c r="V512" i="3"/>
  <c r="W513" i="3" s="1"/>
  <c r="V150" i="3"/>
  <c r="W151" i="3" s="1"/>
  <c r="V1116" i="3"/>
  <c r="W1117" i="3" s="1"/>
  <c r="V1130" i="3"/>
  <c r="W1131" i="3" s="1"/>
  <c r="V514" i="3"/>
  <c r="W515" i="3" s="1"/>
  <c r="V954" i="3"/>
  <c r="W955" i="3" s="1"/>
  <c r="V331" i="3"/>
  <c r="W332" i="3" s="1"/>
  <c r="V210" i="3"/>
  <c r="W211" i="3" s="1"/>
  <c r="V108" i="3"/>
  <c r="W109" i="3" s="1"/>
  <c r="V174" i="3"/>
  <c r="W175" i="3" s="1"/>
  <c r="V1188" i="3"/>
  <c r="W1189" i="3" s="1"/>
  <c r="V43" i="3"/>
  <c r="W44" i="3" s="1"/>
  <c r="V1094" i="3"/>
  <c r="W1095" i="3" s="1"/>
  <c r="V628" i="3"/>
  <c r="W629" i="3" s="1"/>
  <c r="V422" i="3"/>
  <c r="W423" i="3" s="1"/>
  <c r="V336" i="3"/>
  <c r="W337" i="3" s="1"/>
  <c r="V692" i="3"/>
  <c r="W693" i="3" s="1"/>
  <c r="V677" i="3"/>
  <c r="W678" i="3" s="1"/>
  <c r="V606" i="3"/>
  <c r="W607" i="3" s="1"/>
  <c r="V520" i="3"/>
  <c r="W521" i="3" s="1"/>
  <c r="V1103" i="3"/>
  <c r="W1104" i="3" s="1"/>
  <c r="V797" i="3"/>
  <c r="W798" i="3" s="1"/>
  <c r="V926" i="3"/>
  <c r="W927" i="3" s="1"/>
  <c r="V1213" i="3"/>
  <c r="V1038" i="3"/>
  <c r="W1039" i="3" s="1"/>
  <c r="V116" i="3"/>
  <c r="W117" i="3" s="1"/>
  <c r="V914" i="3"/>
  <c r="W915" i="3" s="1"/>
  <c r="V1086" i="3"/>
  <c r="W1087" i="3" s="1"/>
  <c r="V118" i="3"/>
  <c r="W119" i="3" s="1"/>
  <c r="V642" i="3"/>
  <c r="W643" i="3" s="1"/>
  <c r="V400" i="3"/>
  <c r="W401" i="3" s="1"/>
  <c r="V460" i="3"/>
  <c r="W461" i="3" s="1"/>
  <c r="V455" i="3"/>
  <c r="W456" i="3" s="1"/>
  <c r="V873" i="3"/>
  <c r="W874" i="3" s="1"/>
  <c r="V780" i="3"/>
  <c r="W781" i="3" s="1"/>
  <c r="V503" i="3"/>
  <c r="W504" i="3" s="1"/>
  <c r="V417" i="3"/>
  <c r="W418" i="3" s="1"/>
  <c r="V227" i="3"/>
  <c r="W228" i="3" s="1"/>
  <c r="V770" i="3"/>
  <c r="W771" i="3" s="1"/>
  <c r="V687" i="3"/>
  <c r="W688" i="3" s="1"/>
  <c r="V737" i="3"/>
  <c r="W738" i="3" s="1"/>
  <c r="V260" i="3"/>
  <c r="W261" i="3" s="1"/>
  <c r="V528" i="3"/>
  <c r="W529" i="3" s="1"/>
  <c r="V322" i="3"/>
  <c r="W323" i="3" s="1"/>
  <c r="V574" i="3"/>
  <c r="W575" i="3" s="1"/>
  <c r="V769" i="3"/>
  <c r="W770" i="3" s="1"/>
  <c r="V1093" i="3"/>
  <c r="W1094" i="3" s="1"/>
  <c r="V207" i="3"/>
  <c r="W208" i="3" s="1"/>
  <c r="V354" i="3"/>
  <c r="W355" i="3" s="1"/>
  <c r="V883" i="3"/>
  <c r="W884" i="3" s="1"/>
  <c r="V733" i="3"/>
  <c r="V607" i="3"/>
  <c r="W608" i="3" s="1"/>
  <c r="V456" i="3"/>
  <c r="W457" i="3" s="1"/>
  <c r="V278" i="3"/>
  <c r="W279" i="3" s="1"/>
  <c r="V414" i="3"/>
  <c r="W415" i="3" s="1"/>
  <c r="V964" i="3"/>
  <c r="W965" i="3" s="1"/>
  <c r="V65" i="3"/>
  <c r="W66" i="3" s="1"/>
  <c r="V1180" i="3"/>
  <c r="W1181" i="3" s="1"/>
  <c r="V1190" i="3"/>
  <c r="W1191" i="3" s="1"/>
  <c r="V693" i="3"/>
  <c r="W694" i="3" s="1"/>
  <c r="V468" i="3"/>
  <c r="W469" i="3" s="1"/>
  <c r="V44" i="3"/>
  <c r="W45" i="3" s="1"/>
  <c r="V122" i="3"/>
  <c r="W123" i="3" s="1"/>
  <c r="V679" i="3"/>
  <c r="W680" i="3" s="1"/>
  <c r="V462" i="3"/>
  <c r="W463" i="3" s="1"/>
  <c r="V647" i="3"/>
  <c r="W648" i="3" s="1"/>
  <c r="V729" i="3"/>
  <c r="W730" i="3" s="1"/>
  <c r="V1202" i="3"/>
  <c r="W1203" i="3" s="1"/>
  <c r="V730" i="3"/>
  <c r="W731" i="3" s="1"/>
  <c r="V228" i="3"/>
  <c r="W229" i="3" s="1"/>
  <c r="V529" i="3"/>
  <c r="W530" i="3" s="1"/>
  <c r="V676" i="3"/>
  <c r="W677" i="3" s="1"/>
  <c r="V431" i="3"/>
  <c r="W432" i="3" s="1"/>
  <c r="V318" i="3"/>
  <c r="W319" i="3" s="1"/>
  <c r="V1173" i="3"/>
  <c r="W1174" i="3" s="1"/>
  <c r="V457" i="3"/>
  <c r="W458" i="3" s="1"/>
  <c r="V702" i="3"/>
  <c r="W703" i="3" s="1"/>
  <c r="V724" i="3"/>
  <c r="W725" i="3" s="1"/>
  <c r="V951" i="3"/>
  <c r="W952" i="3" s="1"/>
  <c r="V599" i="3"/>
  <c r="W600" i="3" s="1"/>
  <c r="V1159" i="3"/>
  <c r="W1160" i="3" s="1"/>
  <c r="V738" i="3"/>
  <c r="W739" i="3" s="1"/>
  <c r="V847" i="3"/>
  <c r="W848" i="3" s="1"/>
  <c r="V1194" i="3"/>
  <c r="W1195" i="3" s="1"/>
  <c r="V441" i="3"/>
  <c r="W442" i="3" s="1"/>
  <c r="V1117" i="3"/>
  <c r="W1118" i="3" s="1"/>
  <c r="V938" i="3"/>
  <c r="W939" i="3" s="1"/>
  <c r="V996" i="3"/>
  <c r="W997" i="3" s="1"/>
  <c r="V384" i="3"/>
  <c r="W385" i="3" s="1"/>
  <c r="V860" i="3"/>
  <c r="W861" i="3" s="1"/>
  <c r="V337" i="3"/>
  <c r="W338" i="3" s="1"/>
  <c r="V623" i="3"/>
  <c r="W624" i="3" s="1"/>
  <c r="V107" i="3"/>
  <c r="W108" i="3" s="1"/>
  <c r="V443" i="3"/>
  <c r="W444" i="3" s="1"/>
  <c r="V764" i="3"/>
  <c r="W765" i="3" s="1"/>
  <c r="V1008" i="3"/>
  <c r="W1009" i="3" s="1"/>
  <c r="V444" i="3"/>
  <c r="W445" i="3" s="1"/>
  <c r="V970" i="3"/>
  <c r="W971" i="3" s="1"/>
  <c r="V773" i="3"/>
  <c r="W774" i="3" s="1"/>
  <c r="V429" i="3"/>
  <c r="W430" i="3" s="1"/>
  <c r="V1083" i="3"/>
  <c r="W1084" i="3" s="1"/>
  <c r="V630" i="3"/>
  <c r="W631" i="3" s="1"/>
  <c r="V435" i="3"/>
  <c r="W436" i="3" s="1"/>
  <c r="V542" i="3"/>
  <c r="W543" i="3" s="1"/>
  <c r="V899" i="3"/>
  <c r="W900" i="3" s="1"/>
  <c r="V779" i="3"/>
  <c r="W780" i="3" s="1"/>
  <c r="V1048" i="3"/>
  <c r="W1049" i="3" s="1"/>
  <c r="V995" i="3"/>
  <c r="W996" i="3" s="1"/>
  <c r="V186" i="3"/>
  <c r="W187" i="3" s="1"/>
  <c r="V288" i="3"/>
  <c r="W289" i="3" s="1"/>
  <c r="V586" i="3"/>
  <c r="W587" i="3" s="1"/>
  <c r="V906" i="3"/>
  <c r="W907" i="3" s="1"/>
  <c r="V871" i="3"/>
  <c r="W872" i="3" s="1"/>
  <c r="V840" i="3"/>
  <c r="W841" i="3" s="1"/>
  <c r="V588" i="3"/>
  <c r="W589" i="3" s="1"/>
  <c r="V1199" i="3"/>
  <c r="W1200" i="3" s="1"/>
  <c r="V944" i="3"/>
  <c r="W945" i="3" s="1"/>
  <c r="V130" i="3"/>
  <c r="W131" i="3" s="1"/>
  <c r="V917" i="3"/>
  <c r="W918" i="3" s="1"/>
  <c r="V1071" i="3"/>
  <c r="W1072" i="3" s="1"/>
  <c r="V1176" i="3"/>
  <c r="W1177" i="3" s="1"/>
  <c r="V927" i="3"/>
  <c r="W928" i="3" s="1"/>
  <c r="V85" i="3"/>
  <c r="W86" i="3" s="1"/>
  <c r="V391" i="3"/>
  <c r="W392" i="3" s="1"/>
  <c r="V232" i="3"/>
  <c r="W233" i="3" s="1"/>
  <c r="V989" i="3"/>
  <c r="W990" i="3" s="1"/>
  <c r="V803" i="3"/>
  <c r="W804" i="3" s="1"/>
  <c r="V1025" i="3"/>
  <c r="W1026" i="3" s="1"/>
  <c r="V792" i="3"/>
  <c r="W793" i="3" s="1"/>
  <c r="V761" i="3"/>
  <c r="W762" i="3" s="1"/>
  <c r="V362" i="3"/>
  <c r="W363" i="3" s="1"/>
  <c r="V352" i="3"/>
  <c r="W353" i="3" s="1"/>
  <c r="V225" i="3"/>
  <c r="W226" i="3" s="1"/>
  <c r="V541" i="3"/>
  <c r="W542" i="3" s="1"/>
  <c r="V1089" i="3"/>
  <c r="W1090" i="3" s="1"/>
  <c r="V1208" i="3"/>
  <c r="W1209" i="3" s="1"/>
  <c r="V96" i="3"/>
  <c r="W97" i="3" s="1"/>
  <c r="V109" i="3"/>
  <c r="W110" i="3" s="1"/>
  <c r="V749" i="3"/>
  <c r="W750" i="3" s="1"/>
  <c r="V955" i="3"/>
  <c r="W956" i="3" s="1"/>
  <c r="V521" i="3"/>
  <c r="W522" i="3" s="1"/>
  <c r="V741" i="3"/>
  <c r="W742" i="3" s="1"/>
  <c r="V972" i="3"/>
  <c r="W973" i="3" s="1"/>
  <c r="V1140" i="3"/>
  <c r="W1141" i="3" s="1"/>
  <c r="V146" i="3"/>
  <c r="W147" i="3" s="1"/>
  <c r="V235" i="3"/>
  <c r="W236" i="3" s="1"/>
  <c r="V92" i="3"/>
  <c r="W93" i="3" s="1"/>
  <c r="Y539" i="3"/>
  <c r="Z540" i="3" s="1"/>
  <c r="Y790" i="3"/>
  <c r="Z791" i="3" s="1"/>
  <c r="Y1199" i="3"/>
  <c r="Z1200" i="3" s="1"/>
  <c r="V1125" i="3"/>
  <c r="W1126" i="3" s="1"/>
  <c r="Y715" i="3"/>
  <c r="Z716" i="3" s="1"/>
  <c r="Y877" i="3"/>
  <c r="Z878" i="3" s="1"/>
  <c r="Y231" i="3"/>
  <c r="Z232" i="3" s="1"/>
  <c r="Y28" i="3"/>
  <c r="Z29" i="3" s="1"/>
  <c r="V506" i="3"/>
  <c r="W507" i="3" s="1"/>
  <c r="V255" i="3"/>
  <c r="W256" i="3" s="1"/>
  <c r="Y398" i="3"/>
  <c r="Z399" i="3" s="1"/>
  <c r="Y130" i="3"/>
  <c r="Z131" i="3" s="1"/>
  <c r="Y409" i="3"/>
  <c r="Z410" i="3" s="1"/>
  <c r="Y73" i="3"/>
  <c r="Z74" i="3" s="1"/>
  <c r="V531" i="3"/>
  <c r="W532" i="3" s="1"/>
  <c r="V910" i="3"/>
  <c r="W911" i="3" s="1"/>
  <c r="V134" i="3"/>
  <c r="W135" i="3" s="1"/>
  <c r="Y764" i="3"/>
  <c r="Z765" i="3" s="1"/>
  <c r="Y49" i="3"/>
  <c r="Z50" i="3" s="1"/>
  <c r="Y737" i="3"/>
  <c r="Z738" i="3" s="1"/>
  <c r="Y1001" i="3"/>
  <c r="Z1002" i="3" s="1"/>
  <c r="Y565" i="3"/>
  <c r="Z566" i="3" s="1"/>
  <c r="Y867" i="3"/>
  <c r="Z868" i="3" s="1"/>
  <c r="Y240" i="3"/>
  <c r="Z241" i="3" s="1"/>
  <c r="Y407" i="3"/>
  <c r="Z408" i="3" s="1"/>
  <c r="Y574" i="3"/>
  <c r="Z575" i="3" s="1"/>
  <c r="Y62" i="3"/>
  <c r="Z63" i="3" s="1"/>
  <c r="Y229" i="3"/>
  <c r="Z230" i="3" s="1"/>
  <c r="Y209" i="3"/>
  <c r="Z210" i="3" s="1"/>
  <c r="V1058" i="3"/>
  <c r="W1059" i="3" s="1"/>
  <c r="V1073" i="3"/>
  <c r="W1074" i="3" s="1"/>
  <c r="V268" i="3"/>
  <c r="W269" i="3" s="1"/>
  <c r="V1104" i="3"/>
  <c r="W1105" i="3" s="1"/>
  <c r="V22" i="3"/>
  <c r="W23" i="3" s="1"/>
  <c r="V453" i="3"/>
  <c r="W454" i="3" s="1"/>
  <c r="V181" i="3"/>
  <c r="W182" i="3" s="1"/>
  <c r="V958" i="3"/>
  <c r="W959" i="3" s="1"/>
  <c r="V63" i="3"/>
  <c r="W64" i="3" s="1"/>
  <c r="V532" i="3"/>
  <c r="W533" i="3" s="1"/>
  <c r="V1051" i="3"/>
  <c r="W1052" i="3" s="1"/>
  <c r="V200" i="3"/>
  <c r="W201" i="3" s="1"/>
  <c r="V929" i="3"/>
  <c r="W930" i="3" s="1"/>
  <c r="V211" i="3"/>
  <c r="W212" i="3" s="1"/>
  <c r="V986" i="3"/>
  <c r="W987" i="3" s="1"/>
  <c r="V136" i="3"/>
  <c r="W137" i="3" s="1"/>
  <c r="V320" i="3"/>
  <c r="W321" i="3" s="1"/>
  <c r="V866" i="3"/>
  <c r="W867" i="3" s="1"/>
  <c r="V751" i="3"/>
  <c r="W752" i="3" s="1"/>
  <c r="V489" i="3"/>
  <c r="W490" i="3" s="1"/>
  <c r="V243" i="3"/>
  <c r="W244" i="3" s="1"/>
  <c r="V309" i="3"/>
  <c r="W310" i="3" s="1"/>
  <c r="V240" i="3"/>
  <c r="W241" i="3" s="1"/>
  <c r="V401" i="3"/>
  <c r="W402" i="3" s="1"/>
  <c r="V885" i="3"/>
  <c r="W886" i="3" s="1"/>
  <c r="V323" i="3"/>
  <c r="W324" i="3" s="1"/>
  <c r="V493" i="3"/>
  <c r="W494" i="3" s="1"/>
  <c r="V581" i="3"/>
  <c r="W582" i="3" s="1"/>
  <c r="Y53" i="3"/>
  <c r="Z54" i="3" s="1"/>
  <c r="V1021" i="3"/>
  <c r="W1022" i="3" s="1"/>
  <c r="V270" i="3"/>
  <c r="W271" i="3" s="1"/>
  <c r="V1153" i="3"/>
  <c r="W1154" i="3" s="1"/>
  <c r="V172" i="3"/>
  <c r="W173" i="3" s="1"/>
  <c r="V551" i="3"/>
  <c r="W552" i="3" s="1"/>
  <c r="Y1100" i="3"/>
  <c r="Z1101" i="3" s="1"/>
  <c r="Y691" i="3"/>
  <c r="Z692" i="3" s="1"/>
  <c r="Y941" i="3"/>
  <c r="Z942" i="3" s="1"/>
  <c r="Y1068" i="3"/>
  <c r="Z1069" i="3" s="1"/>
  <c r="Y1036" i="3"/>
  <c r="Z1037" i="3" s="1"/>
  <c r="V978" i="3"/>
  <c r="W979" i="3" s="1"/>
  <c r="V1001" i="3"/>
  <c r="W1002" i="3" s="1"/>
  <c r="V539" i="3"/>
  <c r="W540" i="3" s="1"/>
  <c r="V82" i="3"/>
  <c r="W83" i="3" s="1"/>
  <c r="V452" i="3"/>
  <c r="W453" i="3" s="1"/>
  <c r="V347" i="3"/>
  <c r="W348" i="3" s="1"/>
  <c r="V344" i="3"/>
  <c r="W345" i="3" s="1"/>
  <c r="V395" i="3"/>
  <c r="W396" i="3" s="1"/>
  <c r="V266" i="3"/>
  <c r="W267" i="3" s="1"/>
  <c r="V206" i="3"/>
  <c r="W207" i="3" s="1"/>
  <c r="V941" i="3"/>
  <c r="W942" i="3" s="1"/>
  <c r="V1032" i="3"/>
  <c r="W1033" i="3" s="1"/>
  <c r="V1077" i="3"/>
  <c r="W1078" i="3" s="1"/>
  <c r="V252" i="3"/>
  <c r="W253" i="3" s="1"/>
  <c r="V381" i="3"/>
  <c r="W382" i="3" s="1"/>
  <c r="V35" i="3"/>
  <c r="W36" i="3" s="1"/>
  <c r="V714" i="3"/>
  <c r="W715" i="3" s="1"/>
  <c r="V143" i="3"/>
  <c r="W144" i="3" s="1"/>
  <c r="V1209" i="3"/>
  <c r="W1210" i="3" s="1"/>
  <c r="V534" i="3"/>
  <c r="W535" i="3" s="1"/>
  <c r="V17" i="3"/>
  <c r="W18" i="3" s="1"/>
  <c r="V664" i="3"/>
  <c r="W665" i="3" s="1"/>
  <c r="V1146" i="3"/>
  <c r="W1147" i="3" s="1"/>
  <c r="V470" i="3"/>
  <c r="W471" i="3" s="1"/>
  <c r="V655" i="3"/>
  <c r="W656" i="3" s="1"/>
  <c r="V632" i="3"/>
  <c r="W633" i="3" s="1"/>
  <c r="V23" i="3"/>
  <c r="W24" i="3" s="1"/>
  <c r="V194" i="3"/>
  <c r="W195" i="3" s="1"/>
  <c r="V950" i="3"/>
  <c r="W951" i="3" s="1"/>
  <c r="V52" i="3"/>
  <c r="W53" i="3" s="1"/>
  <c r="V681" i="3"/>
  <c r="W682" i="3" s="1"/>
  <c r="V557" i="3"/>
  <c r="W558" i="3" s="1"/>
  <c r="V79" i="3"/>
  <c r="W80" i="3" s="1"/>
  <c r="V1030" i="3"/>
  <c r="W1031" i="3" s="1"/>
  <c r="V365" i="3"/>
  <c r="W366" i="3" s="1"/>
  <c r="V358" i="3"/>
  <c r="W359" i="3" s="1"/>
  <c r="V273" i="3"/>
  <c r="W274" i="3" s="1"/>
  <c r="V753" i="3"/>
  <c r="W754" i="3" s="1"/>
  <c r="V327" i="3"/>
  <c r="W328" i="3" s="1"/>
  <c r="V83" i="3"/>
  <c r="W84" i="3" s="1"/>
  <c r="V907" i="3"/>
  <c r="W908" i="3" s="1"/>
  <c r="V841" i="3"/>
  <c r="W842" i="3" s="1"/>
  <c r="V382" i="3"/>
  <c r="W383" i="3" s="1"/>
  <c r="V754" i="3"/>
  <c r="W755" i="3" s="1"/>
  <c r="V872" i="3"/>
  <c r="W873" i="3" s="1"/>
  <c r="V193" i="3"/>
  <c r="W194" i="3" s="1"/>
  <c r="V604" i="3"/>
  <c r="W605" i="3" s="1"/>
  <c r="V326" i="3"/>
  <c r="W327" i="3" s="1"/>
  <c r="V715" i="3"/>
  <c r="W716" i="3" s="1"/>
  <c r="Y347" i="3"/>
  <c r="Z348" i="3" s="1"/>
  <c r="Y601" i="3"/>
  <c r="Z602" i="3" s="1"/>
  <c r="V823" i="3"/>
  <c r="W824" i="3" s="1"/>
  <c r="V1045" i="3"/>
  <c r="W1046" i="3" s="1"/>
  <c r="V690" i="3"/>
  <c r="W691" i="3" s="1"/>
  <c r="V877" i="3"/>
  <c r="W878" i="3" s="1"/>
  <c r="V949" i="3"/>
  <c r="W950" i="3" s="1"/>
  <c r="V285" i="3"/>
  <c r="W286" i="3" s="1"/>
  <c r="V778" i="3"/>
  <c r="W779" i="3" s="1"/>
  <c r="V53" i="3"/>
  <c r="W54" i="3" s="1"/>
  <c r="V587" i="3"/>
  <c r="W588" i="3" s="1"/>
  <c r="V289" i="3"/>
  <c r="W290" i="3" s="1"/>
  <c r="V233" i="3"/>
  <c r="W234" i="3" s="1"/>
  <c r="V410" i="3"/>
  <c r="W411" i="3" s="1"/>
  <c r="V665" i="3"/>
  <c r="W666" i="3" s="1"/>
  <c r="V306" i="3"/>
  <c r="W307" i="3" s="1"/>
  <c r="V977" i="3"/>
  <c r="W978" i="3" s="1"/>
  <c r="V501" i="3"/>
  <c r="W502" i="3" s="1"/>
  <c r="V129" i="3"/>
  <c r="W130" i="3" s="1"/>
  <c r="Y1096" i="3"/>
  <c r="Z1097" i="3" s="1"/>
  <c r="Y435" i="3"/>
  <c r="Z436" i="3" s="1"/>
  <c r="Y707" i="3"/>
  <c r="Z708" i="3" s="1"/>
  <c r="Y590" i="3"/>
  <c r="Z591" i="3" s="1"/>
  <c r="Y268" i="3"/>
  <c r="Z269" i="3" s="1"/>
  <c r="V633" i="3"/>
  <c r="W634" i="3" s="1"/>
  <c r="V364" i="3"/>
  <c r="W365" i="3" s="1"/>
  <c r="V283" i="3"/>
  <c r="W284" i="3" s="1"/>
  <c r="V1031" i="3"/>
  <c r="W1032" i="3" s="1"/>
  <c r="V131" i="3"/>
  <c r="W132" i="3" s="1"/>
  <c r="V990" i="3"/>
  <c r="W991" i="3" s="1"/>
  <c r="V807" i="3"/>
  <c r="W808" i="3" s="1"/>
  <c r="V1000" i="3"/>
  <c r="W1001" i="3" s="1"/>
  <c r="V1013" i="3"/>
  <c r="W1014" i="3" s="1"/>
  <c r="V343" i="3"/>
  <c r="W344" i="3" s="1"/>
  <c r="V1198" i="3"/>
  <c r="W1199" i="3" s="1"/>
  <c r="V921" i="3"/>
  <c r="W922" i="3" s="1"/>
  <c r="V1026" i="3"/>
  <c r="W1027" i="3" s="1"/>
  <c r="V1108" i="3"/>
  <c r="W1109" i="3" s="1"/>
  <c r="V1186" i="3"/>
  <c r="W1187" i="3" s="1"/>
  <c r="V756" i="3"/>
  <c r="W757" i="3" s="1"/>
  <c r="V247" i="3"/>
  <c r="W248" i="3" s="1"/>
  <c r="V56" i="3"/>
  <c r="W57" i="3" s="1"/>
  <c r="V612" i="3"/>
  <c r="W613" i="3" s="1"/>
  <c r="V686" i="3"/>
  <c r="W687" i="3" s="1"/>
  <c r="V651" i="3"/>
  <c r="W652" i="3" s="1"/>
  <c r="V912" i="3"/>
  <c r="W913" i="3" s="1"/>
  <c r="V790" i="3"/>
  <c r="W791" i="3" s="1"/>
  <c r="V162" i="3"/>
  <c r="W163" i="3" s="1"/>
  <c r="V887" i="3"/>
  <c r="W888" i="3" s="1"/>
  <c r="V762" i="3"/>
  <c r="W763" i="3" s="1"/>
  <c r="V472" i="3"/>
  <c r="W473" i="3" s="1"/>
  <c r="V684" i="3"/>
  <c r="W685" i="3" s="1"/>
  <c r="V50" i="3"/>
  <c r="W51" i="3" s="1"/>
  <c r="V1148" i="3"/>
  <c r="W1149" i="3" s="1"/>
  <c r="V350" i="3"/>
  <c r="W351" i="3" s="1"/>
  <c r="V313" i="3"/>
  <c r="W314" i="3" s="1"/>
  <c r="V86" i="3"/>
  <c r="W87" i="3" s="1"/>
  <c r="V425" i="3"/>
  <c r="W426" i="3" s="1"/>
  <c r="V1170" i="3"/>
  <c r="W1171" i="3" s="1"/>
  <c r="V934" i="3"/>
  <c r="W935" i="3" s="1"/>
  <c r="V1036" i="3"/>
  <c r="W1037" i="3" s="1"/>
  <c r="V405" i="3"/>
  <c r="W406" i="3" s="1"/>
  <c r="V433" i="3"/>
  <c r="W434" i="3" s="1"/>
  <c r="V617" i="3"/>
  <c r="W618" i="3" s="1"/>
  <c r="V427" i="3"/>
  <c r="W428" i="3" s="1"/>
  <c r="V14" i="3"/>
  <c r="W15" i="3" s="1"/>
  <c r="V671" i="3"/>
  <c r="W672" i="3" s="1"/>
  <c r="V415" i="3"/>
  <c r="W416" i="3" s="1"/>
  <c r="V353" i="3"/>
  <c r="W354" i="3" s="1"/>
  <c r="V540" i="3"/>
  <c r="W541" i="3" s="1"/>
  <c r="Y1019" i="3"/>
  <c r="Z1020" i="3" s="1"/>
  <c r="Y883" i="3"/>
  <c r="Z884" i="3" s="1"/>
  <c r="V349" i="3"/>
  <c r="W350" i="3" s="1"/>
  <c r="V1175" i="3"/>
  <c r="W1176" i="3" s="1"/>
  <c r="V992" i="3"/>
  <c r="W993" i="3" s="1"/>
  <c r="V487" i="3"/>
  <c r="W488" i="3" s="1"/>
  <c r="Y1185" i="3"/>
  <c r="Z1186" i="3" s="1"/>
  <c r="Y780" i="3"/>
  <c r="Z781" i="3" s="1"/>
  <c r="Y832" i="3"/>
  <c r="Z833" i="3" s="1"/>
  <c r="Y999" i="3"/>
  <c r="Z1000" i="3" s="1"/>
  <c r="Y973" i="3"/>
  <c r="Z974" i="3" s="1"/>
  <c r="Y796" i="3"/>
  <c r="Z797" i="3" s="1"/>
  <c r="V1183" i="3"/>
  <c r="W1184" i="3" s="1"/>
  <c r="V943" i="3"/>
  <c r="W944" i="3" s="1"/>
  <c r="V76" i="3"/>
  <c r="W77" i="3" s="1"/>
  <c r="V855" i="3"/>
  <c r="W856" i="3" s="1"/>
  <c r="V1075" i="3"/>
  <c r="W1076" i="3" s="1"/>
  <c r="V302" i="3"/>
  <c r="W303" i="3" s="1"/>
  <c r="V1164" i="3"/>
  <c r="W1165" i="3" s="1"/>
  <c r="V1023" i="3"/>
  <c r="W1024" i="3" s="1"/>
  <c r="V625" i="3"/>
  <c r="W626" i="3" s="1"/>
  <c r="V300" i="3"/>
  <c r="W301" i="3" s="1"/>
  <c r="V179" i="3"/>
  <c r="W180" i="3" s="1"/>
  <c r="V40" i="3"/>
  <c r="W41" i="3" s="1"/>
  <c r="V1141" i="3"/>
  <c r="W1142" i="3" s="1"/>
  <c r="V101" i="3"/>
  <c r="W102" i="3" s="1"/>
  <c r="V809" i="3"/>
  <c r="W810" i="3" s="1"/>
  <c r="V766" i="3"/>
  <c r="W767" i="3" s="1"/>
  <c r="V1203" i="3"/>
  <c r="W1204" i="3" s="1"/>
  <c r="V1154" i="3"/>
  <c r="W1155" i="3" s="1"/>
  <c r="V204" i="3"/>
  <c r="W205" i="3" s="1"/>
  <c r="V199" i="3"/>
  <c r="W200" i="3" s="1"/>
  <c r="V372" i="3"/>
  <c r="W373" i="3" s="1"/>
  <c r="V373" i="3"/>
  <c r="W374" i="3" s="1"/>
  <c r="V57" i="3"/>
  <c r="W58" i="3" s="1"/>
  <c r="V477" i="3"/>
  <c r="W478" i="3" s="1"/>
  <c r="V904" i="3"/>
  <c r="W905" i="3" s="1"/>
  <c r="V846" i="3"/>
  <c r="W847" i="3" s="1"/>
  <c r="V745" i="3"/>
  <c r="W746" i="3" s="1"/>
  <c r="V839" i="3"/>
  <c r="W840" i="3" s="1"/>
  <c r="V1210" i="3"/>
  <c r="W1211" i="3" s="1"/>
  <c r="V18" i="3"/>
  <c r="W19" i="3" s="1"/>
  <c r="V330" i="3"/>
  <c r="W331" i="3" s="1"/>
  <c r="V149" i="3"/>
  <c r="W150" i="3" s="1"/>
  <c r="V719" i="3"/>
  <c r="W720" i="3" s="1"/>
  <c r="V479" i="3"/>
  <c r="W480" i="3" s="1"/>
  <c r="V802" i="3"/>
  <c r="W803" i="3" s="1"/>
  <c r="V544" i="3"/>
  <c r="W545" i="3" s="1"/>
  <c r="V36" i="3"/>
  <c r="W37" i="3" s="1"/>
  <c r="V527" i="3"/>
  <c r="W528" i="3" s="1"/>
  <c r="V511" i="3"/>
  <c r="W512" i="3" s="1"/>
  <c r="V798" i="3"/>
  <c r="W799" i="3" s="1"/>
  <c r="V727" i="3"/>
  <c r="W728" i="3" s="1"/>
  <c r="V226" i="3"/>
  <c r="W227" i="3" s="1"/>
  <c r="V102" i="3"/>
  <c r="W103" i="3" s="1"/>
  <c r="V135" i="3"/>
  <c r="W136" i="3" s="1"/>
  <c r="V399" i="3"/>
  <c r="W400" i="3" s="1"/>
  <c r="V440" i="3"/>
  <c r="W441" i="3" s="1"/>
  <c r="V84" i="3"/>
  <c r="W85" i="3" s="1"/>
  <c r="V771" i="3"/>
  <c r="W772" i="3" s="1"/>
  <c r="V1043" i="3"/>
  <c r="W1044" i="3" s="1"/>
  <c r="V492" i="3"/>
  <c r="W493" i="3" s="1"/>
  <c r="V411" i="3"/>
  <c r="W412" i="3" s="1"/>
  <c r="Y74" i="3"/>
  <c r="Z75" i="3" s="1"/>
  <c r="Y723" i="3"/>
  <c r="Z724" i="3" s="1"/>
  <c r="Y672" i="3"/>
  <c r="Z673" i="3" s="1"/>
  <c r="Y923" i="3"/>
  <c r="Z924" i="3" s="1"/>
  <c r="Y309" i="3"/>
  <c r="Z310" i="3" s="1"/>
  <c r="V426" i="3"/>
  <c r="W427" i="3" s="1"/>
  <c r="V483" i="3"/>
  <c r="W484" i="3" s="1"/>
  <c r="V378" i="3"/>
  <c r="W379" i="3" s="1"/>
  <c r="V188" i="3"/>
  <c r="W189" i="3" s="1"/>
  <c r="V451" i="3"/>
  <c r="W452" i="3" s="1"/>
  <c r="V967" i="3"/>
  <c r="W968" i="3" s="1"/>
  <c r="V328" i="3"/>
  <c r="W329" i="3" s="1"/>
  <c r="V1206" i="3"/>
  <c r="W1207" i="3" s="1"/>
  <c r="V561" i="3"/>
  <c r="W562" i="3" s="1"/>
  <c r="V530" i="3"/>
  <c r="W531" i="3" s="1"/>
  <c r="V673" i="3"/>
  <c r="W674" i="3" s="1"/>
  <c r="V497" i="3"/>
  <c r="W498" i="3" s="1"/>
  <c r="V307" i="3"/>
  <c r="W308" i="3" s="1"/>
  <c r="V465" i="3"/>
  <c r="W466" i="3" s="1"/>
  <c r="V758" i="3"/>
  <c r="W759" i="3" s="1"/>
  <c r="V1081" i="3"/>
  <c r="W1082" i="3" s="1"/>
  <c r="V591" i="3"/>
  <c r="W592" i="3" s="1"/>
  <c r="V568" i="3"/>
  <c r="W569" i="3" s="1"/>
  <c r="V124" i="3"/>
  <c r="W125" i="3" s="1"/>
  <c r="V191" i="3"/>
  <c r="W192" i="3" s="1"/>
  <c r="V660" i="3"/>
  <c r="W661" i="3" s="1"/>
  <c r="V165" i="3"/>
  <c r="W166" i="3" s="1"/>
  <c r="V159" i="3"/>
  <c r="W160" i="3" s="1"/>
  <c r="V68" i="3"/>
  <c r="W69" i="3" s="1"/>
  <c r="Y1009" i="3"/>
  <c r="Z1010" i="3" s="1"/>
  <c r="Y1012" i="3"/>
  <c r="Z1013" i="3" s="1"/>
  <c r="Y918" i="3"/>
  <c r="Z919" i="3" s="1"/>
  <c r="Y226" i="3"/>
  <c r="Z227" i="3" s="1"/>
  <c r="Y220" i="3"/>
  <c r="Z221" i="3" s="1"/>
  <c r="Y1194" i="3"/>
  <c r="Z1195" i="3" s="1"/>
  <c r="Y902" i="3"/>
  <c r="Z903" i="3" s="1"/>
  <c r="Y1066" i="3"/>
  <c r="Z1067" i="3" s="1"/>
  <c r="Y1178" i="3"/>
  <c r="Z1179" i="3" s="1"/>
  <c r="Y353" i="3"/>
  <c r="Z354" i="3" s="1"/>
  <c r="Y139" i="3"/>
  <c r="Z140" i="3" s="1"/>
  <c r="Y1162" i="3"/>
  <c r="Z1163" i="3" s="1"/>
  <c r="Y641" i="3"/>
  <c r="Z642" i="3" s="1"/>
  <c r="Y703" i="3"/>
  <c r="Z704" i="3" s="1"/>
  <c r="Y410" i="3"/>
  <c r="Z411" i="3" s="1"/>
  <c r="V548" i="3"/>
  <c r="W549" i="3" s="1"/>
  <c r="V473" i="3"/>
  <c r="W474" i="3" s="1"/>
  <c r="Y838" i="3"/>
  <c r="Z839" i="3" s="1"/>
  <c r="V865" i="3"/>
  <c r="W866" i="3" s="1"/>
  <c r="V583" i="3"/>
  <c r="W584" i="3" s="1"/>
  <c r="Y947" i="3"/>
  <c r="Z948" i="3" s="1"/>
  <c r="V290" i="3"/>
  <c r="W291" i="3" s="1"/>
  <c r="V214" i="3"/>
  <c r="W215" i="3" s="1"/>
  <c r="V760" i="3"/>
  <c r="W761" i="3" s="1"/>
  <c r="Y729" i="3"/>
  <c r="Z730" i="3" s="1"/>
  <c r="Y1084" i="3"/>
  <c r="Z1085" i="3" s="1"/>
  <c r="Y804" i="3"/>
  <c r="Z805" i="3" s="1"/>
  <c r="Y1130" i="3"/>
  <c r="Z1131" i="3" s="1"/>
  <c r="Y1052" i="3"/>
  <c r="Z1053" i="3" s="1"/>
  <c r="Y727" i="3"/>
  <c r="Z728" i="3" s="1"/>
  <c r="Y654" i="3"/>
  <c r="Z655" i="3" s="1"/>
  <c r="V412" i="3"/>
  <c r="W413" i="3" s="1"/>
  <c r="V981" i="3"/>
  <c r="W982" i="3" s="1"/>
  <c r="V982" i="3"/>
  <c r="W983" i="3" s="1"/>
  <c r="V816" i="3"/>
  <c r="W817" i="3" s="1"/>
  <c r="V817" i="3"/>
  <c r="W818" i="3" s="1"/>
  <c r="V1181" i="3"/>
  <c r="W1182" i="3" s="1"/>
  <c r="V1182" i="3"/>
  <c r="W1183" i="3" s="1"/>
  <c r="V1123" i="3"/>
  <c r="W1124" i="3" s="1"/>
  <c r="V1124" i="3"/>
  <c r="W1125" i="3" s="1"/>
  <c r="V147" i="3"/>
  <c r="W148" i="3" s="1"/>
  <c r="V148" i="3"/>
  <c r="W149" i="3" s="1"/>
  <c r="Y689" i="3"/>
  <c r="Z690" i="3" s="1"/>
  <c r="Y545" i="3"/>
  <c r="Z546" i="3" s="1"/>
  <c r="V296" i="3"/>
  <c r="W297" i="3" s="1"/>
  <c r="V297" i="3"/>
  <c r="W298" i="3" s="1"/>
  <c r="V667" i="3"/>
  <c r="W668" i="3" s="1"/>
  <c r="V668" i="3"/>
  <c r="W669" i="3" s="1"/>
  <c r="V244" i="3"/>
  <c r="W245" i="3" s="1"/>
  <c r="V245" i="3"/>
  <c r="W246" i="3" s="1"/>
  <c r="V280" i="3"/>
  <c r="W281" i="3" s="1"/>
  <c r="V279" i="3"/>
  <c r="W280" i="3" s="1"/>
  <c r="V979" i="3"/>
  <c r="W980" i="3" s="1"/>
  <c r="V980" i="3"/>
  <c r="W981" i="3" s="1"/>
  <c r="V832" i="3"/>
  <c r="W833" i="3" s="1"/>
  <c r="V833" i="3"/>
  <c r="W834" i="3" s="1"/>
  <c r="V744" i="3"/>
  <c r="W745" i="3" s="1"/>
  <c r="V743" i="3"/>
  <c r="W744" i="3" s="1"/>
  <c r="V1105" i="3"/>
  <c r="W1106" i="3" s="1"/>
  <c r="V626" i="3"/>
  <c r="W627" i="3" s="1"/>
  <c r="V627" i="3"/>
  <c r="W628" i="3" s="1"/>
  <c r="V888" i="3"/>
  <c r="W889" i="3" s="1"/>
  <c r="V1027" i="3"/>
  <c r="W1028" i="3" s="1"/>
  <c r="V1028" i="3"/>
  <c r="W1029" i="3" s="1"/>
  <c r="V818" i="3"/>
  <c r="W819" i="3" s="1"/>
  <c r="V819" i="3"/>
  <c r="W820" i="3" s="1"/>
  <c r="V1149" i="3"/>
  <c r="W1150" i="3" s="1"/>
  <c r="V608" i="3"/>
  <c r="W609" i="3" s="1"/>
  <c r="V609" i="3"/>
  <c r="W610" i="3" s="1"/>
  <c r="V661" i="3"/>
  <c r="W662" i="3" s="1"/>
  <c r="V662" i="3"/>
  <c r="W663" i="3" s="1"/>
  <c r="V71" i="3"/>
  <c r="W72" i="3" s="1"/>
  <c r="V70" i="3"/>
  <c r="W71" i="3" s="1"/>
  <c r="V895" i="3"/>
  <c r="W896" i="3" s="1"/>
  <c r="V896" i="3"/>
  <c r="W897" i="3" s="1"/>
  <c r="V1061" i="3"/>
  <c r="W1062" i="3" s="1"/>
  <c r="V1062" i="3"/>
  <c r="W1063" i="3" s="1"/>
  <c r="V800" i="3"/>
  <c r="W801" i="3" s="1"/>
  <c r="V799" i="3"/>
  <c r="W800" i="3" s="1"/>
  <c r="V536" i="3"/>
  <c r="W537" i="3" s="1"/>
  <c r="V535" i="3"/>
  <c r="W536" i="3" s="1"/>
  <c r="V1177" i="3"/>
  <c r="W1178" i="3" s="1"/>
  <c r="V1178" i="3"/>
  <c r="W1179" i="3" s="1"/>
  <c r="V1128" i="3"/>
  <c r="W1129" i="3" s="1"/>
  <c r="V1129" i="3"/>
  <c r="W1130" i="3" s="1"/>
  <c r="V930" i="3"/>
  <c r="W931" i="3" s="1"/>
  <c r="V1053" i="3"/>
  <c r="W1054" i="3" s="1"/>
  <c r="V1054" i="3"/>
  <c r="W1055" i="3" s="1"/>
  <c r="V794" i="3"/>
  <c r="W795" i="3" s="1"/>
  <c r="V795" i="3"/>
  <c r="W796" i="3" s="1"/>
  <c r="V721" i="3"/>
  <c r="W722" i="3" s="1"/>
  <c r="V722" i="3"/>
  <c r="W723" i="3" s="1"/>
  <c r="V811" i="3"/>
  <c r="W812" i="3" s="1"/>
  <c r="V571" i="3"/>
  <c r="W572" i="3" s="1"/>
  <c r="V572" i="3"/>
  <c r="W573" i="3" s="1"/>
  <c r="V708" i="3"/>
  <c r="W709" i="3" s="1"/>
  <c r="V709" i="3"/>
  <c r="W710" i="3" s="1"/>
  <c r="V77" i="3"/>
  <c r="W78" i="3" s="1"/>
  <c r="V78" i="3"/>
  <c r="W79" i="3" s="1"/>
  <c r="V932" i="3"/>
  <c r="W933" i="3" s="1"/>
  <c r="V640" i="3"/>
  <c r="W641" i="3" s="1"/>
  <c r="V639" i="3"/>
  <c r="W640" i="3" s="1"/>
  <c r="V475" i="3"/>
  <c r="W476" i="3" s="1"/>
  <c r="V474" i="3"/>
  <c r="W475" i="3" s="1"/>
  <c r="V219" i="3"/>
  <c r="W220" i="3" s="1"/>
  <c r="V218" i="3"/>
  <c r="W219" i="3" s="1"/>
  <c r="V220" i="3"/>
  <c r="W221" i="3" s="1"/>
  <c r="V221" i="3"/>
  <c r="W222" i="3" s="1"/>
  <c r="V880" i="3"/>
  <c r="W881" i="3" s="1"/>
  <c r="V881" i="3"/>
  <c r="W882" i="3" s="1"/>
  <c r="V711" i="3"/>
  <c r="W712" i="3" s="1"/>
  <c r="V375" i="3"/>
  <c r="W376" i="3" s="1"/>
  <c r="V486" i="3"/>
  <c r="W487" i="3" s="1"/>
  <c r="V485" i="3"/>
  <c r="W486" i="3" s="1"/>
  <c r="V1059" i="3"/>
  <c r="W1060" i="3" s="1"/>
  <c r="V1165" i="3"/>
  <c r="W1166" i="3" s="1"/>
  <c r="V41" i="3"/>
  <c r="W42" i="3" s="1"/>
  <c r="V42" i="3"/>
  <c r="W43" i="3" s="1"/>
  <c r="V167" i="3"/>
  <c r="W168" i="3" s="1"/>
  <c r="V168" i="3"/>
  <c r="W169" i="3" s="1"/>
  <c r="V652" i="3"/>
  <c r="W653" i="3" s="1"/>
  <c r="V653" i="3"/>
  <c r="W654" i="3" s="1"/>
  <c r="V902" i="3"/>
  <c r="W903" i="3" s="1"/>
  <c r="V901" i="3"/>
  <c r="W902" i="3" s="1"/>
  <c r="V387" i="3"/>
  <c r="W388" i="3" s="1"/>
  <c r="V388" i="3"/>
  <c r="W389" i="3" s="1"/>
  <c r="V1099" i="3"/>
  <c r="W1100" i="3" s="1"/>
  <c r="V1100" i="3"/>
  <c r="W1101" i="3" s="1"/>
  <c r="V236" i="3"/>
  <c r="W237" i="3" s="1"/>
  <c r="V237" i="3"/>
  <c r="W238" i="3" s="1"/>
  <c r="V230" i="3"/>
  <c r="W231" i="3" s="1"/>
  <c r="V231" i="3"/>
  <c r="W232" i="3" s="1"/>
  <c r="V144" i="3"/>
  <c r="W145" i="3" s="1"/>
  <c r="V145" i="3"/>
  <c r="W146" i="3" s="1"/>
  <c r="V339" i="3"/>
  <c r="W340" i="3" s="1"/>
  <c r="V338" i="3"/>
  <c r="W339" i="3" s="1"/>
  <c r="V137" i="3"/>
  <c r="W138" i="3" s="1"/>
  <c r="V138" i="3"/>
  <c r="W139" i="3" s="1"/>
  <c r="V367" i="3"/>
  <c r="W368" i="3" s="1"/>
  <c r="V368" i="3"/>
  <c r="W369" i="3" s="1"/>
  <c r="V303" i="3"/>
  <c r="W304" i="3" s="1"/>
  <c r="V600" i="3"/>
  <c r="W601" i="3" s="1"/>
  <c r="W16" i="3"/>
  <c r="V1060" i="3"/>
  <c r="W1061" i="3" s="1"/>
  <c r="V26" i="3"/>
  <c r="W27" i="3" s="1"/>
  <c r="V27" i="3"/>
  <c r="W28" i="3" s="1"/>
  <c r="V1192" i="3"/>
  <c r="W1193" i="3" s="1"/>
  <c r="V1191" i="3"/>
  <c r="W1192" i="3" s="1"/>
  <c r="V748" i="3"/>
  <c r="W749" i="3" s="1"/>
  <c r="V747" i="3"/>
  <c r="W748" i="3" s="1"/>
  <c r="V1135" i="3"/>
  <c r="W1136" i="3" s="1"/>
  <c r="V1136" i="3"/>
  <c r="W1137" i="3" s="1"/>
  <c r="V1002" i="3"/>
  <c r="W1003" i="3" s="1"/>
  <c r="V1003" i="3"/>
  <c r="W1004" i="3" s="1"/>
  <c r="V836" i="3"/>
  <c r="W837" i="3" s="1"/>
  <c r="V837" i="3"/>
  <c r="W838" i="3" s="1"/>
  <c r="V1145" i="3"/>
  <c r="W1146" i="3" s="1"/>
  <c r="V1144" i="3"/>
  <c r="W1145" i="3" s="1"/>
  <c r="V974" i="3"/>
  <c r="W975" i="3" s="1"/>
  <c r="V975" i="3"/>
  <c r="W976" i="3" s="1"/>
  <c r="V222" i="3"/>
  <c r="W223" i="3" s="1"/>
  <c r="V223" i="3"/>
  <c r="W224" i="3" s="1"/>
  <c r="V1107" i="3"/>
  <c r="W1108" i="3" s="1"/>
  <c r="V1106" i="3"/>
  <c r="W1107" i="3" s="1"/>
  <c r="V321" i="3"/>
  <c r="W322" i="3" s="1"/>
  <c r="V1022" i="3"/>
  <c r="W1023" i="3" s="1"/>
  <c r="V238" i="3"/>
  <c r="W239" i="3" s="1"/>
  <c r="V624" i="3"/>
  <c r="W625" i="3" s="1"/>
  <c r="V458" i="3"/>
  <c r="W459" i="3" s="1"/>
  <c r="V1195" i="3"/>
  <c r="W1196" i="3" s="1"/>
  <c r="V494" i="3"/>
  <c r="W495" i="3" s="1"/>
  <c r="V481" i="3"/>
  <c r="W482" i="3" s="1"/>
  <c r="V480" i="3"/>
  <c r="W481" i="3" s="1"/>
  <c r="V1065" i="3"/>
  <c r="W1066" i="3" s="1"/>
  <c r="V1064" i="3"/>
  <c r="W1065" i="3" s="1"/>
  <c r="V156" i="3"/>
  <c r="W157" i="3" s="1"/>
  <c r="V155" i="3"/>
  <c r="W156" i="3" s="1"/>
  <c r="V281" i="3"/>
  <c r="W282" i="3" s="1"/>
  <c r="V282" i="3"/>
  <c r="W283" i="3" s="1"/>
  <c r="V592" i="3"/>
  <c r="W593" i="3" s="1"/>
  <c r="V593" i="3"/>
  <c r="W594" i="3" s="1"/>
  <c r="V104" i="3"/>
  <c r="W105" i="3" s="1"/>
  <c r="V103" i="3"/>
  <c r="W104" i="3" s="1"/>
  <c r="V1137" i="3"/>
  <c r="W1138" i="3" s="1"/>
  <c r="V1138" i="3"/>
  <c r="W1139" i="3" s="1"/>
  <c r="V898" i="3"/>
  <c r="W899" i="3" s="1"/>
  <c r="V897" i="3"/>
  <c r="W898" i="3" s="1"/>
  <c r="V688" i="3"/>
  <c r="W689" i="3" s="1"/>
  <c r="V689" i="3"/>
  <c r="W690" i="3" s="1"/>
  <c r="V87" i="3"/>
  <c r="W88" i="3" s="1"/>
  <c r="V464" i="3"/>
  <c r="W465" i="3" s="1"/>
  <c r="V488" i="3"/>
  <c r="W489" i="3" s="1"/>
  <c r="V942" i="3"/>
  <c r="W943" i="3" s="1"/>
  <c r="V454" i="3"/>
  <c r="W455" i="3" s="1"/>
  <c r="V351" i="3"/>
  <c r="W352" i="3" s="1"/>
  <c r="V1069" i="3"/>
  <c r="W1070" i="3" s="1"/>
  <c r="V1070" i="3"/>
  <c r="W1071" i="3" s="1"/>
  <c r="V613" i="3"/>
  <c r="W614" i="3" s="1"/>
  <c r="V614" i="3"/>
  <c r="W615" i="3" s="1"/>
  <c r="V565" i="3"/>
  <c r="W566" i="3" s="1"/>
  <c r="V566" i="3"/>
  <c r="W567" i="3" s="1"/>
  <c r="V517" i="3"/>
  <c r="W518" i="3" s="1"/>
  <c r="V518" i="3"/>
  <c r="W519" i="3" s="1"/>
  <c r="V24" i="3"/>
  <c r="W25" i="3" s="1"/>
  <c r="V25" i="3"/>
  <c r="W26" i="3" s="1"/>
  <c r="V862" i="3"/>
  <c r="W863" i="3" s="1"/>
  <c r="V863" i="3"/>
  <c r="W864" i="3" s="1"/>
  <c r="V1072" i="3"/>
  <c r="W1073" i="3" s="1"/>
  <c r="V64" i="3"/>
  <c r="W65" i="3" s="1"/>
  <c r="V1171" i="3"/>
  <c r="W1172" i="3" s="1"/>
  <c r="V442" i="3"/>
  <c r="W443" i="3" s="1"/>
  <c r="V298" i="3"/>
  <c r="W299" i="3" s="1"/>
  <c r="V683" i="3"/>
  <c r="W684" i="3" s="1"/>
  <c r="V274" i="3"/>
  <c r="W275" i="3" s="1"/>
  <c r="V870" i="3"/>
  <c r="W871" i="3" s="1"/>
  <c r="V785" i="3"/>
  <c r="W786" i="3" s="1"/>
  <c r="V786" i="3"/>
  <c r="W787" i="3" s="1"/>
  <c r="V615" i="3"/>
  <c r="W616" i="3" s="1"/>
  <c r="V616" i="3"/>
  <c r="W617" i="3" s="1"/>
  <c r="V1087" i="3"/>
  <c r="W1088" i="3" s="1"/>
  <c r="V1088" i="3"/>
  <c r="W1089" i="3" s="1"/>
  <c r="V656" i="3"/>
  <c r="W657" i="3" s="1"/>
  <c r="V657" i="3"/>
  <c r="W658" i="3" s="1"/>
  <c r="V961" i="3"/>
  <c r="W962" i="3" s="1"/>
  <c r="V962" i="3"/>
  <c r="W963" i="3" s="1"/>
  <c r="V423" i="3"/>
  <c r="W424" i="3" s="1"/>
  <c r="V424" i="3"/>
  <c r="W425" i="3" s="1"/>
  <c r="V558" i="3"/>
  <c r="W559" i="3" s="1"/>
  <c r="V559" i="3"/>
  <c r="W560" i="3" s="1"/>
  <c r="V428" i="3"/>
  <c r="W429" i="3" s="1"/>
  <c r="V1174" i="3"/>
  <c r="W1175" i="3" s="1"/>
  <c r="Y370" i="3"/>
  <c r="Z371" i="3" s="1"/>
  <c r="Y218" i="3"/>
  <c r="Z219" i="3" s="1"/>
  <c r="V674" i="3"/>
  <c r="W675" i="3" s="1"/>
  <c r="V675" i="3"/>
  <c r="W676" i="3" s="1"/>
  <c r="V61" i="3"/>
  <c r="W62" i="3" s="1"/>
  <c r="V21" i="3"/>
  <c r="W22" i="3" s="1"/>
  <c r="V54" i="3"/>
  <c r="W55" i="3" s="1"/>
  <c r="V357" i="3"/>
  <c r="W358" i="3" s="1"/>
  <c r="Y989" i="3"/>
  <c r="Z990" i="3" s="1"/>
  <c r="V936" i="3"/>
  <c r="W937" i="3" s="1"/>
  <c r="V935" i="3"/>
  <c r="W936" i="3" s="1"/>
  <c r="V946" i="3"/>
  <c r="W947" i="3" s="1"/>
  <c r="V947" i="3"/>
  <c r="W948" i="3" s="1"/>
  <c r="V712" i="3"/>
  <c r="W713" i="3" s="1"/>
  <c r="V713" i="3"/>
  <c r="W714" i="3" s="1"/>
  <c r="V48" i="3"/>
  <c r="W49" i="3" s="1"/>
  <c r="V49" i="3"/>
  <c r="W50" i="3" s="1"/>
  <c r="V500" i="3"/>
  <c r="W501" i="3" s="1"/>
  <c r="V499" i="3"/>
  <c r="W500" i="3" s="1"/>
  <c r="V1157" i="3"/>
  <c r="W1158" i="3" s="1"/>
  <c r="V1156" i="3"/>
  <c r="W1157" i="3" s="1"/>
  <c r="V824" i="3"/>
  <c r="W825" i="3" s="1"/>
  <c r="V825" i="3"/>
  <c r="W826" i="3" s="1"/>
  <c r="V987" i="3"/>
  <c r="W988" i="3" s="1"/>
  <c r="V988" i="3"/>
  <c r="W989" i="3" s="1"/>
  <c r="V397" i="3"/>
  <c r="W398" i="3" s="1"/>
  <c r="V398" i="3"/>
  <c r="W399" i="3" s="1"/>
  <c r="V952" i="3"/>
  <c r="W953" i="3" s="1"/>
  <c r="V892" i="3"/>
  <c r="W893" i="3" s="1"/>
  <c r="V893" i="3"/>
  <c r="W894" i="3" s="1"/>
  <c r="V32" i="3"/>
  <c r="W33" i="3" s="1"/>
  <c r="V31" i="3"/>
  <c r="W32" i="3" s="1"/>
  <c r="V293" i="3"/>
  <c r="W294" i="3" s="1"/>
  <c r="Y1104" i="3"/>
  <c r="Z1105" i="3" s="1"/>
  <c r="V269" i="3"/>
  <c r="W270" i="3" s="1"/>
  <c r="V333" i="3"/>
  <c r="W334" i="3" s="1"/>
  <c r="V774" i="3"/>
  <c r="W775" i="3" s="1"/>
  <c r="V1007" i="3"/>
  <c r="W1008" i="3" s="1"/>
  <c r="V522" i="3"/>
  <c r="W523" i="3" s="1"/>
  <c r="V523" i="3"/>
  <c r="W524" i="3" s="1"/>
  <c r="V182" i="3"/>
  <c r="W183" i="3" s="1"/>
  <c r="V183" i="3"/>
  <c r="W184" i="3" s="1"/>
  <c r="V578" i="3"/>
  <c r="W579" i="3" s="1"/>
  <c r="V579" i="3"/>
  <c r="W580" i="3" s="1"/>
  <c r="V37" i="3"/>
  <c r="W38" i="3" s="1"/>
  <c r="V38" i="3"/>
  <c r="W39" i="3" s="1"/>
  <c r="V1113" i="3"/>
  <c r="W1114" i="3" s="1"/>
  <c r="V1114" i="3"/>
  <c r="W1115" i="3" s="1"/>
  <c r="V286" i="3"/>
  <c r="W287" i="3" s="1"/>
  <c r="V287" i="3"/>
  <c r="W288" i="3" s="1"/>
  <c r="V985" i="3"/>
  <c r="W986" i="3" s="1"/>
  <c r="V554" i="3"/>
  <c r="W555" i="3" s="1"/>
  <c r="V314" i="3"/>
  <c r="W315" i="3" s="1"/>
  <c r="V75" i="3"/>
  <c r="W76" i="3" s="1"/>
  <c r="V1169" i="3"/>
  <c r="W1170" i="3" s="1"/>
  <c r="V672" i="3"/>
  <c r="W673" i="3" s="1"/>
  <c r="V765" i="3"/>
  <c r="W766" i="3" s="1"/>
  <c r="V1161" i="3"/>
  <c r="W1162" i="3" s="1"/>
  <c r="V406" i="3"/>
  <c r="W407" i="3" s="1"/>
  <c r="V16" i="3"/>
  <c r="W17" i="3" s="1"/>
  <c r="V569" i="3"/>
  <c r="W570" i="3" s="1"/>
  <c r="Y1075" i="3"/>
  <c r="Z1076" i="3" s="1"/>
  <c r="Y458" i="3"/>
  <c r="Z459" i="3" s="1"/>
  <c r="Y851" i="3"/>
  <c r="Z852" i="3" s="1"/>
  <c r="Y1029" i="3"/>
  <c r="Z1030" i="3" s="1"/>
  <c r="Y840" i="3"/>
  <c r="Z841" i="3" s="1"/>
  <c r="Y1007" i="3"/>
  <c r="Z1008" i="3" s="1"/>
  <c r="Y1088" i="3"/>
  <c r="Z1089" i="3" s="1"/>
  <c r="V570" i="3"/>
  <c r="W571" i="3" s="1"/>
  <c r="V994" i="3"/>
  <c r="W995" i="3" s="1"/>
  <c r="V187" i="3"/>
  <c r="W188" i="3" s="1"/>
  <c r="V997" i="3"/>
  <c r="W998" i="3" s="1"/>
  <c r="V831" i="3"/>
  <c r="W832" i="3" s="1"/>
  <c r="V787" i="3"/>
  <c r="W788" i="3" s="1"/>
  <c r="V933" i="3"/>
  <c r="W934" i="3" s="1"/>
  <c r="V953" i="3"/>
  <c r="W954" i="3" s="1"/>
  <c r="V752" i="3"/>
  <c r="W753" i="3" s="1"/>
  <c r="V791" i="3"/>
  <c r="W792" i="3" s="1"/>
  <c r="V848" i="3"/>
  <c r="W849" i="3" s="1"/>
  <c r="V1035" i="3"/>
  <c r="W1036" i="3" s="1"/>
  <c r="V267" i="3"/>
  <c r="W268" i="3" s="1"/>
  <c r="V205" i="3"/>
  <c r="W206" i="3" s="1"/>
  <c r="V789" i="3"/>
  <c r="W790" i="3" s="1"/>
  <c r="V547" i="3"/>
  <c r="W548" i="3" s="1"/>
  <c r="V1076" i="3"/>
  <c r="W1077" i="3" s="1"/>
  <c r="V34" i="3"/>
  <c r="W35" i="3" s="1"/>
  <c r="V251" i="3"/>
  <c r="W252" i="3" s="1"/>
  <c r="V886" i="3"/>
  <c r="W887" i="3" s="1"/>
  <c r="V822" i="3"/>
  <c r="W823" i="3" s="1"/>
  <c r="V88" i="3"/>
  <c r="W89" i="3" s="1"/>
  <c r="V491" i="3"/>
  <c r="W492" i="3" s="1"/>
  <c r="V1029" i="3"/>
  <c r="W1030" i="3" s="1"/>
  <c r="V1150" i="3"/>
  <c r="W1151" i="3" s="1"/>
  <c r="V272" i="3"/>
  <c r="W273" i="3" s="1"/>
  <c r="V332" i="3"/>
  <c r="W333" i="3" s="1"/>
  <c r="Y759" i="3"/>
  <c r="Z760" i="3" s="1"/>
  <c r="Y1209" i="3"/>
  <c r="Z1210" i="3" s="1"/>
  <c r="Y948" i="3"/>
  <c r="Z949" i="3" s="1"/>
  <c r="Y773" i="3"/>
  <c r="Z774" i="3" s="1"/>
  <c r="Y1115" i="3"/>
  <c r="Z1116" i="3" s="1"/>
  <c r="Y1193" i="3"/>
  <c r="Z1194" i="3" s="1"/>
  <c r="Y1206" i="3"/>
  <c r="Z1207" i="3" s="1"/>
  <c r="Y803" i="3"/>
  <c r="Z804" i="3" s="1"/>
  <c r="Y1139" i="3"/>
  <c r="Z1140" i="3" s="1"/>
  <c r="Y963" i="3"/>
  <c r="Z964" i="3" s="1"/>
  <c r="V1133" i="3"/>
  <c r="W1134" i="3" s="1"/>
  <c r="V703" i="3"/>
  <c r="W704" i="3" s="1"/>
  <c r="V58" i="3"/>
  <c r="W59" i="3" s="1"/>
  <c r="V1052" i="3"/>
  <c r="W1053" i="3" s="1"/>
  <c r="V768" i="3"/>
  <c r="W769" i="3" s="1"/>
  <c r="V601" i="3"/>
  <c r="W602" i="3" s="1"/>
  <c r="V928" i="3"/>
  <c r="W929" i="3" s="1"/>
  <c r="V736" i="3"/>
  <c r="W737" i="3" s="1"/>
  <c r="V940" i="3"/>
  <c r="W941" i="3" s="1"/>
  <c r="V430" i="3"/>
  <c r="W431" i="3" s="1"/>
  <c r="V723" i="3"/>
  <c r="W724" i="3" s="1"/>
  <c r="V335" i="3"/>
  <c r="W336" i="3" s="1"/>
  <c r="V874" i="3"/>
  <c r="W875" i="3" s="1"/>
  <c r="V81" i="3"/>
  <c r="W82" i="3" s="1"/>
  <c r="V394" i="3"/>
  <c r="W395" i="3" s="1"/>
  <c r="V392" i="3"/>
  <c r="W393" i="3" s="1"/>
  <c r="V564" i="3"/>
  <c r="W565" i="3" s="1"/>
  <c r="V216" i="3"/>
  <c r="W217" i="3" s="1"/>
  <c r="V184" i="3"/>
  <c r="W185" i="3" s="1"/>
  <c r="V402" i="3"/>
  <c r="W403" i="3" s="1"/>
  <c r="V28" i="3"/>
  <c r="W29" i="3" s="1"/>
  <c r="V169" i="3"/>
  <c r="W170" i="3" s="1"/>
  <c r="V538" i="3"/>
  <c r="W539" i="3" s="1"/>
  <c r="V1204" i="3"/>
  <c r="W1205" i="3" s="1"/>
  <c r="V680" i="3"/>
  <c r="W681" i="3" s="1"/>
  <c r="V379" i="3"/>
  <c r="W380" i="3" s="1"/>
  <c r="V509" i="3"/>
  <c r="W510" i="3" s="1"/>
  <c r="V163" i="3"/>
  <c r="W164" i="3" s="1"/>
  <c r="V308" i="3"/>
  <c r="W309" i="3" s="1"/>
  <c r="Y1040" i="3"/>
  <c r="Z1041" i="3" s="1"/>
  <c r="Y953" i="3"/>
  <c r="Z954" i="3" s="1"/>
  <c r="Y921" i="3"/>
  <c r="Z922" i="3" s="1"/>
  <c r="Y521" i="3"/>
  <c r="Z522" i="3" s="1"/>
  <c r="Y512" i="3"/>
  <c r="Z513" i="3" s="1"/>
  <c r="Y437" i="3"/>
  <c r="Z438" i="3" s="1"/>
  <c r="Y857" i="3"/>
  <c r="Z858" i="3" s="1"/>
  <c r="Y433" i="3"/>
  <c r="Z434" i="3" s="1"/>
  <c r="V1212" i="3"/>
  <c r="W1213" i="3" s="1"/>
  <c r="V106" i="3"/>
  <c r="W107" i="3" s="1"/>
  <c r="V1115" i="3"/>
  <c r="W1116" i="3" s="1"/>
  <c r="V925" i="3"/>
  <c r="W926" i="3" s="1"/>
  <c r="V201" i="3"/>
  <c r="W202" i="3" s="1"/>
  <c r="V315" i="3"/>
  <c r="W316" i="3" s="1"/>
  <c r="V851" i="3"/>
  <c r="W852" i="3" s="1"/>
  <c r="V434" i="3"/>
  <c r="W435" i="3" s="1"/>
  <c r="V763" i="3"/>
  <c r="W764" i="3" s="1"/>
  <c r="V1207" i="3"/>
  <c r="W1208" i="3" s="1"/>
  <c r="V913" i="3"/>
  <c r="W914" i="3" s="1"/>
  <c r="V1084" i="3"/>
  <c r="W1085" i="3" s="1"/>
  <c r="V140" i="3"/>
  <c r="W141" i="3" s="1"/>
  <c r="V459" i="3"/>
  <c r="W460" i="3" s="1"/>
  <c r="V701" i="3"/>
  <c r="W702" i="3" s="1"/>
  <c r="V1201" i="3"/>
  <c r="W1202" i="3" s="1"/>
  <c r="V784" i="3"/>
  <c r="W785" i="3" s="1"/>
  <c r="V383" i="3"/>
  <c r="W384" i="3" s="1"/>
  <c r="V173" i="3"/>
  <c r="W174" i="3" s="1"/>
  <c r="V294" i="3"/>
  <c r="W295" i="3" s="1"/>
  <c r="V212" i="3"/>
  <c r="W213" i="3" s="1"/>
  <c r="V396" i="3"/>
  <c r="W397" i="3" s="1"/>
  <c r="V390" i="3"/>
  <c r="W391" i="3" s="1"/>
  <c r="V324" i="3"/>
  <c r="W325" i="3" s="1"/>
  <c r="V467" i="3"/>
  <c r="W468" i="3" s="1"/>
  <c r="V407" i="3"/>
  <c r="W408" i="3" s="1"/>
  <c r="Y810" i="3"/>
  <c r="Z811" i="3" s="1"/>
  <c r="Y283" i="3"/>
  <c r="Z284" i="3" s="1"/>
  <c r="Y915" i="3"/>
  <c r="Z916" i="3" s="1"/>
  <c r="Y1188" i="3"/>
  <c r="Z1189" i="3" s="1"/>
  <c r="Y679" i="3"/>
  <c r="Z680" i="3" s="1"/>
  <c r="Y783" i="3"/>
  <c r="Z784" i="3" s="1"/>
  <c r="Y481" i="3"/>
  <c r="Z482" i="3" s="1"/>
  <c r="Y176" i="3"/>
  <c r="Z177" i="3" s="1"/>
  <c r="Y343" i="3"/>
  <c r="Z344" i="3" s="1"/>
  <c r="Y510" i="3"/>
  <c r="Z511" i="3" s="1"/>
  <c r="Y677" i="3"/>
  <c r="Z678" i="3" s="1"/>
  <c r="Y165" i="3"/>
  <c r="Z166" i="3" s="1"/>
  <c r="Y145" i="3"/>
  <c r="Z146" i="3" s="1"/>
  <c r="V580" i="3"/>
  <c r="W581" i="3" s="1"/>
  <c r="V533" i="3"/>
  <c r="W534" i="3" s="1"/>
  <c r="V450" i="3"/>
  <c r="W451" i="3" s="1"/>
  <c r="V1037" i="3"/>
  <c r="W1038" i="3" s="1"/>
  <c r="V555" i="3"/>
  <c r="W556" i="3" s="1"/>
  <c r="V1082" i="3"/>
  <c r="W1083" i="3" s="1"/>
  <c r="V1196" i="3"/>
  <c r="W1197" i="3" s="1"/>
  <c r="V969" i="3"/>
  <c r="W970" i="3" s="1"/>
  <c r="V960" i="3"/>
  <c r="W961" i="3" s="1"/>
  <c r="V775" i="3"/>
  <c r="W776" i="3" s="1"/>
  <c r="V1193" i="3"/>
  <c r="W1194" i="3" s="1"/>
  <c r="V776" i="3"/>
  <c r="W777" i="3" s="1"/>
  <c r="V905" i="3"/>
  <c r="W906" i="3" s="1"/>
  <c r="V371" i="3"/>
  <c r="W372" i="3" s="1"/>
  <c r="V115" i="3"/>
  <c r="W116" i="3" s="1"/>
  <c r="V345" i="3"/>
  <c r="W346" i="3" s="1"/>
  <c r="V112" i="3"/>
  <c r="W113" i="3" s="1"/>
  <c r="V1019" i="3"/>
  <c r="W1020" i="3" s="1"/>
  <c r="V177" i="3"/>
  <c r="W178" i="3" s="1"/>
  <c r="V678" i="3"/>
  <c r="W679" i="3" s="1"/>
  <c r="V196" i="3"/>
  <c r="W197" i="3" s="1"/>
  <c r="V51" i="3"/>
  <c r="W52" i="3" s="1"/>
  <c r="V117" i="3"/>
  <c r="W118" i="3" s="1"/>
  <c r="V47" i="3"/>
  <c r="W48" i="3" s="1"/>
  <c r="V1078" i="3"/>
  <c r="W1079" i="3" s="1"/>
  <c r="V556" i="3"/>
  <c r="W557" i="3" s="1"/>
  <c r="V550" i="3"/>
  <c r="W551" i="3" s="1"/>
  <c r="V340" i="3"/>
  <c r="W341" i="3" s="1"/>
  <c r="V185" i="3"/>
  <c r="W186" i="3" s="1"/>
  <c r="V859" i="3"/>
  <c r="W860" i="3" s="1"/>
  <c r="V316" i="3"/>
  <c r="W317" i="3" s="1"/>
  <c r="V192" i="3"/>
  <c r="W193" i="3" s="1"/>
  <c r="V93" i="3"/>
  <c r="W94" i="3" s="1"/>
  <c r="Y624" i="3"/>
  <c r="Z625" i="3" s="1"/>
  <c r="Y695" i="3"/>
  <c r="Z696" i="3" s="1"/>
  <c r="Y1080" i="3"/>
  <c r="Z1081" i="3" s="1"/>
  <c r="Y167" i="3"/>
  <c r="Z168" i="3" s="1"/>
  <c r="Y1124" i="3"/>
  <c r="Z1125" i="3" s="1"/>
  <c r="Y1150" i="3"/>
  <c r="Z1151" i="3" s="1"/>
  <c r="Y845" i="3"/>
  <c r="Z846" i="3" s="1"/>
  <c r="Y719" i="3"/>
  <c r="Z720" i="3" s="1"/>
  <c r="Y980" i="3"/>
  <c r="Z981" i="3" s="1"/>
  <c r="Y938" i="3"/>
  <c r="Z939" i="3" s="1"/>
  <c r="Y1004" i="3"/>
  <c r="Z1005" i="3" s="1"/>
  <c r="Y403" i="3"/>
  <c r="Z404" i="3" s="1"/>
  <c r="Y233" i="3"/>
  <c r="Z234" i="3" s="1"/>
  <c r="Y312" i="3"/>
  <c r="Z313" i="3" s="1"/>
  <c r="Y479" i="3"/>
  <c r="Z480" i="3" s="1"/>
  <c r="Y646" i="3"/>
  <c r="Z647" i="3" s="1"/>
  <c r="Y134" i="3"/>
  <c r="Z135" i="3" s="1"/>
  <c r="Y301" i="3"/>
  <c r="Z302" i="3" s="1"/>
  <c r="Y379" i="3"/>
  <c r="Z380" i="3" s="1"/>
  <c r="Y33" i="3"/>
  <c r="Z34" i="3" s="1"/>
  <c r="Y112" i="3"/>
  <c r="Z113" i="3" s="1"/>
  <c r="Y279" i="3"/>
  <c r="Z280" i="3" s="1"/>
  <c r="Y446" i="3"/>
  <c r="Z447" i="3" s="1"/>
  <c r="Y613" i="3"/>
  <c r="Z614" i="3" s="1"/>
  <c r="Y101" i="3"/>
  <c r="Z102" i="3" s="1"/>
  <c r="Y106" i="3"/>
  <c r="Z107" i="3" s="1"/>
  <c r="Y81" i="3"/>
  <c r="Z82" i="3" s="1"/>
  <c r="Y322" i="3"/>
  <c r="Z323" i="3" s="1"/>
  <c r="Y298" i="3"/>
  <c r="Z299" i="3" s="1"/>
  <c r="V445" i="3"/>
  <c r="W446" i="3" s="1"/>
  <c r="V1040" i="3"/>
  <c r="W1041" i="3" s="1"/>
  <c r="V835" i="3"/>
  <c r="W836" i="3" s="1"/>
  <c r="V725" i="3"/>
  <c r="W726" i="3" s="1"/>
  <c r="V957" i="3"/>
  <c r="W958" i="3" s="1"/>
  <c r="V1184" i="3"/>
  <c r="W1185" i="3" s="1"/>
  <c r="V879" i="3"/>
  <c r="W880" i="3" s="1"/>
  <c r="V1152" i="3"/>
  <c r="W1153" i="3" s="1"/>
  <c r="V1162" i="3"/>
  <c r="W1163" i="3" s="1"/>
  <c r="V919" i="3"/>
  <c r="W920" i="3" s="1"/>
  <c r="V1112" i="3"/>
  <c r="W1113" i="3" s="1"/>
  <c r="V782" i="3"/>
  <c r="W783" i="3" s="1"/>
  <c r="V636" i="3"/>
  <c r="W637" i="3" s="1"/>
  <c r="V876" i="3"/>
  <c r="W877" i="3" s="1"/>
  <c r="V852" i="3"/>
  <c r="W853" i="3" s="1"/>
  <c r="V739" i="3"/>
  <c r="W740" i="3" s="1"/>
  <c r="V705" i="3"/>
  <c r="W706" i="3" s="1"/>
  <c r="V1158" i="3"/>
  <c r="W1159" i="3" s="1"/>
  <c r="V1118" i="3"/>
  <c r="W1119" i="3" s="1"/>
  <c r="V706" i="3"/>
  <c r="W707" i="3" s="1"/>
  <c r="V139" i="3"/>
  <c r="W140" i="3" s="1"/>
  <c r="V618" i="3"/>
  <c r="W619" i="3" s="1"/>
  <c r="V127" i="3"/>
  <c r="W128" i="3" s="1"/>
  <c r="V889" i="3"/>
  <c r="W890" i="3" s="1"/>
  <c r="V376" i="3"/>
  <c r="W377" i="3" s="1"/>
  <c r="V545" i="3"/>
  <c r="W546" i="3" s="1"/>
  <c r="V669" i="3"/>
  <c r="W670" i="3" s="1"/>
  <c r="V844" i="3"/>
  <c r="W845" i="3" s="1"/>
  <c r="V507" i="3"/>
  <c r="W508" i="3" s="1"/>
  <c r="V151" i="3"/>
  <c r="W152" i="3" s="1"/>
  <c r="V670" i="3"/>
  <c r="W671" i="3" s="1"/>
  <c r="V1042" i="3"/>
  <c r="W1043" i="3" s="1"/>
  <c r="V682" i="3"/>
  <c r="W683" i="3" s="1"/>
  <c r="V175" i="3"/>
  <c r="W176" i="3" s="1"/>
  <c r="V359" i="3"/>
  <c r="W360" i="3" s="1"/>
  <c r="Y862" i="3"/>
  <c r="Z863" i="3" s="1"/>
  <c r="Y972" i="3"/>
  <c r="Z973" i="3" s="1"/>
  <c r="Y664" i="3"/>
  <c r="Z665" i="3" s="1"/>
  <c r="Y940" i="3"/>
  <c r="Z941" i="3" s="1"/>
  <c r="Y1177" i="3"/>
  <c r="Z1178" i="3" s="1"/>
  <c r="Y334" i="3"/>
  <c r="Z335" i="3" s="1"/>
  <c r="Y763" i="3"/>
  <c r="Z764" i="3" s="1"/>
  <c r="Y908" i="3"/>
  <c r="Z909" i="3" s="1"/>
  <c r="Y66" i="3"/>
  <c r="Z67" i="3" s="1"/>
  <c r="V1102" i="3"/>
  <c r="W1103" i="3" s="1"/>
  <c r="V438" i="3"/>
  <c r="W439" i="3" s="1"/>
  <c r="V74" i="3"/>
  <c r="W75" i="3" s="1"/>
  <c r="V1120" i="3"/>
  <c r="W1121" i="3" s="1"/>
  <c r="V484" i="3"/>
  <c r="W485" i="3" s="1"/>
  <c r="V1067" i="3"/>
  <c r="W1068" i="3" s="1"/>
  <c r="V916" i="3"/>
  <c r="W917" i="3" s="1"/>
  <c r="V976" i="3"/>
  <c r="W977" i="3" s="1"/>
  <c r="V590" i="3"/>
  <c r="W591" i="3" s="1"/>
  <c r="V1187" i="3"/>
  <c r="W1188" i="3" s="1"/>
  <c r="V1005" i="3"/>
  <c r="W1006" i="3" s="1"/>
  <c r="V750" i="3"/>
  <c r="W751" i="3" s="1"/>
  <c r="V1024" i="3"/>
  <c r="W1025" i="3" s="1"/>
  <c r="V496" i="3"/>
  <c r="W497" i="3" s="1"/>
  <c r="V99" i="3"/>
  <c r="W100" i="3" s="1"/>
  <c r="V718" i="3"/>
  <c r="W719" i="3" s="1"/>
  <c r="V821" i="3"/>
  <c r="W822" i="3" s="1"/>
  <c r="V160" i="3"/>
  <c r="W161" i="3" s="1"/>
  <c r="V385" i="3"/>
  <c r="W386" i="3" s="1"/>
  <c r="V596" i="3"/>
  <c r="W597" i="3" s="1"/>
  <c r="V125" i="3"/>
  <c r="W126" i="3" s="1"/>
  <c r="V649" i="3"/>
  <c r="W650" i="3" s="1"/>
  <c r="V923" i="3"/>
  <c r="W924" i="3" s="1"/>
  <c r="V72" i="3"/>
  <c r="W73" i="3" s="1"/>
  <c r="V19" i="3"/>
  <c r="W20" i="3" s="1"/>
  <c r="V310" i="3"/>
  <c r="W311" i="3" s="1"/>
  <c r="V1017" i="3"/>
  <c r="W1018" i="3" s="1"/>
  <c r="V342" i="3"/>
  <c r="W343" i="3" s="1"/>
  <c r="Y246" i="3"/>
  <c r="Z247" i="3" s="1"/>
  <c r="Y413" i="3"/>
  <c r="Z414" i="3" s="1"/>
  <c r="Y116" i="3"/>
  <c r="Z117" i="3" s="1"/>
  <c r="Y1059" i="3"/>
  <c r="Z1060" i="3" s="1"/>
  <c r="Y1118" i="3"/>
  <c r="Z1119" i="3" s="1"/>
  <c r="Y587" i="3"/>
  <c r="Z588" i="3" s="1"/>
  <c r="Y844" i="3"/>
  <c r="Z845" i="3" s="1"/>
  <c r="Y1121" i="3"/>
  <c r="Z1122" i="3" s="1"/>
  <c r="Y739" i="3"/>
  <c r="Z740" i="3" s="1"/>
  <c r="Y1038" i="3"/>
  <c r="Z1039" i="3" s="1"/>
  <c r="Y812" i="3"/>
  <c r="Z813" i="3" s="1"/>
  <c r="Y448" i="3"/>
  <c r="Z449" i="3" s="1"/>
  <c r="Y772" i="3"/>
  <c r="Z773" i="3" s="1"/>
  <c r="Y457" i="3"/>
  <c r="Z458" i="3" s="1"/>
  <c r="Y860" i="3"/>
  <c r="Z861" i="3" s="1"/>
  <c r="Y848" i="3"/>
  <c r="Z849" i="3" s="1"/>
  <c r="Y916" i="3"/>
  <c r="Z917" i="3" s="1"/>
  <c r="Y697" i="3"/>
  <c r="Z698" i="3" s="1"/>
  <c r="Y680" i="3"/>
  <c r="Z681" i="3" s="1"/>
  <c r="Y1183" i="3"/>
  <c r="Z1184" i="3" s="1"/>
  <c r="Y156" i="3"/>
  <c r="Z157" i="3" s="1"/>
  <c r="Y894" i="3"/>
  <c r="Z895" i="3" s="1"/>
  <c r="Y103" i="3"/>
  <c r="Z104" i="3" s="1"/>
  <c r="Y699" i="3"/>
  <c r="Z700" i="3" s="1"/>
  <c r="Y441" i="3"/>
  <c r="Z442" i="3" s="1"/>
  <c r="Y1044" i="3"/>
  <c r="Z1045" i="3" s="1"/>
  <c r="Y1155" i="3"/>
  <c r="Z1156" i="3" s="1"/>
  <c r="Y202" i="3"/>
  <c r="Z203" i="3" s="1"/>
  <c r="Y568" i="3"/>
  <c r="Z569" i="3" s="1"/>
  <c r="Y56" i="3"/>
  <c r="Z57" i="3" s="1"/>
  <c r="Y223" i="3"/>
  <c r="Z224" i="3" s="1"/>
  <c r="Y390" i="3"/>
  <c r="Z391" i="3" s="1"/>
  <c r="Y557" i="3"/>
  <c r="Z558" i="3" s="1"/>
  <c r="Y45" i="3"/>
  <c r="Z46" i="3" s="1"/>
  <c r="Y289" i="3"/>
  <c r="Z290" i="3" s="1"/>
  <c r="Y368" i="3"/>
  <c r="Z369" i="3" s="1"/>
  <c r="Y535" i="3"/>
  <c r="Z536" i="3" s="1"/>
  <c r="Y23" i="3"/>
  <c r="Z24" i="3" s="1"/>
  <c r="Y190" i="3"/>
  <c r="Z191" i="3" s="1"/>
  <c r="Y357" i="3"/>
  <c r="Z358" i="3" s="1"/>
  <c r="Y89" i="3"/>
  <c r="Z90" i="3" s="1"/>
  <c r="Y324" i="3"/>
  <c r="Z325" i="3" s="1"/>
  <c r="Y1137" i="3"/>
  <c r="Z1138" i="3" s="1"/>
  <c r="Y1015" i="3"/>
  <c r="Z1016" i="3" s="1"/>
  <c r="Y945" i="3"/>
  <c r="Z946" i="3" s="1"/>
  <c r="Y996" i="3"/>
  <c r="Z997" i="3" s="1"/>
  <c r="Y776" i="3"/>
  <c r="Z777" i="3" s="1"/>
  <c r="Y943" i="3"/>
  <c r="Z944" i="3" s="1"/>
  <c r="Y956" i="3"/>
  <c r="Z957" i="3" s="1"/>
  <c r="Y1024" i="3"/>
  <c r="Z1025" i="3" s="1"/>
  <c r="Y219" i="3"/>
  <c r="Z220" i="3" s="1"/>
  <c r="Y1094" i="3"/>
  <c r="Z1095" i="3" s="1"/>
  <c r="Y924" i="3"/>
  <c r="Z925" i="3" s="1"/>
  <c r="Y635" i="3"/>
  <c r="Z636" i="3" s="1"/>
  <c r="Y270" i="3"/>
  <c r="Z271" i="3" s="1"/>
  <c r="Y546" i="3"/>
  <c r="Z547" i="3" s="1"/>
  <c r="Y1051" i="3"/>
  <c r="Z1052" i="3" s="1"/>
  <c r="Y1062" i="3"/>
  <c r="Z1063" i="3" s="1"/>
  <c r="Y346" i="3"/>
  <c r="Z347" i="3" s="1"/>
  <c r="Y634" i="3"/>
  <c r="Z635" i="3" s="1"/>
  <c r="Y275" i="3"/>
  <c r="Z276" i="3" s="1"/>
  <c r="Y593" i="3"/>
  <c r="Z594" i="3" s="1"/>
  <c r="Y443" i="3"/>
  <c r="Z444" i="3" s="1"/>
  <c r="Y136" i="3"/>
  <c r="Z137" i="3" s="1"/>
  <c r="Y303" i="3"/>
  <c r="Z304" i="3" s="1"/>
  <c r="Y470" i="3"/>
  <c r="Z471" i="3" s="1"/>
  <c r="Y820" i="3"/>
  <c r="Z821" i="3" s="1"/>
  <c r="Y1201" i="3"/>
  <c r="Z1202" i="3" s="1"/>
  <c r="Y885" i="3"/>
  <c r="Z886" i="3" s="1"/>
  <c r="Y674" i="3"/>
  <c r="Z675" i="3" s="1"/>
  <c r="Y1099" i="3"/>
  <c r="Z1100" i="3" s="1"/>
  <c r="Y241" i="3"/>
  <c r="Z242" i="3" s="1"/>
  <c r="Y806" i="3"/>
  <c r="Z807" i="3" s="1"/>
  <c r="Y78" i="3"/>
  <c r="Z79" i="3" s="1"/>
  <c r="Y248" i="3"/>
  <c r="Z249" i="3" s="1"/>
  <c r="Y415" i="3"/>
  <c r="Z416" i="3" s="1"/>
  <c r="Y582" i="3"/>
  <c r="Z583" i="3" s="1"/>
  <c r="Y70" i="3"/>
  <c r="Z71" i="3" s="1"/>
  <c r="Y237" i="3"/>
  <c r="Z238" i="3" s="1"/>
  <c r="Y154" i="3"/>
  <c r="Z155" i="3" s="1"/>
  <c r="Y281" i="3"/>
  <c r="Z282" i="3" s="1"/>
  <c r="Y721" i="3"/>
  <c r="Z722" i="3" s="1"/>
  <c r="Y886" i="3"/>
  <c r="Z887" i="3" s="1"/>
  <c r="Y1165" i="3"/>
  <c r="Z1166" i="3" s="1"/>
  <c r="Y949" i="3"/>
  <c r="Z950" i="3" s="1"/>
  <c r="Y1202" i="3"/>
  <c r="Z1203" i="3" s="1"/>
  <c r="Y870" i="3"/>
  <c r="Z871" i="3" s="1"/>
  <c r="Y131" i="3"/>
  <c r="Z132" i="3" s="1"/>
  <c r="Y693" i="3"/>
  <c r="Z694" i="3" s="1"/>
  <c r="Y682" i="3"/>
  <c r="Z683" i="3" s="1"/>
  <c r="Y1042" i="3"/>
  <c r="Z1043" i="3" s="1"/>
  <c r="Y79" i="3"/>
  <c r="Z80" i="3" s="1"/>
  <c r="Y68" i="3"/>
  <c r="Z69" i="3" s="1"/>
  <c r="Y741" i="3"/>
  <c r="Z742" i="3" s="1"/>
  <c r="Y507" i="3"/>
  <c r="Z508" i="3" s="1"/>
  <c r="Y160" i="3"/>
  <c r="Z161" i="3" s="1"/>
  <c r="Y327" i="3"/>
  <c r="Z328" i="3" s="1"/>
  <c r="Y494" i="3"/>
  <c r="Z495" i="3" s="1"/>
  <c r="Y661" i="3"/>
  <c r="Z662" i="3" s="1"/>
  <c r="Y149" i="3"/>
  <c r="Z150" i="3" s="1"/>
  <c r="Y316" i="3"/>
  <c r="Z317" i="3" s="1"/>
  <c r="Y734" i="3"/>
  <c r="Z735" i="3" s="1"/>
  <c r="Y472" i="3"/>
  <c r="Z473" i="3" s="1"/>
  <c r="Y639" i="3"/>
  <c r="Z640" i="3" s="1"/>
  <c r="Y127" i="3"/>
  <c r="Z128" i="3" s="1"/>
  <c r="Y294" i="3"/>
  <c r="Z295" i="3" s="1"/>
  <c r="Y461" i="3"/>
  <c r="Z462" i="3" s="1"/>
  <c r="Y628" i="3"/>
  <c r="Z629" i="3" s="1"/>
  <c r="Y305" i="3"/>
  <c r="Z306" i="3" s="1"/>
  <c r="Y890" i="3"/>
  <c r="Z891" i="3" s="1"/>
  <c r="Y193" i="3"/>
  <c r="Z194" i="3" s="1"/>
  <c r="Y272" i="3"/>
  <c r="Z273" i="3" s="1"/>
  <c r="Y439" i="3"/>
  <c r="Z440" i="3" s="1"/>
  <c r="Y606" i="3"/>
  <c r="Z607" i="3" s="1"/>
  <c r="Y94" i="3"/>
  <c r="Z95" i="3" s="1"/>
  <c r="Y261" i="3"/>
  <c r="Z262" i="3" s="1"/>
  <c r="Y428" i="3"/>
  <c r="Z429" i="3" s="1"/>
  <c r="Y91" i="3"/>
  <c r="Z92" i="3" s="1"/>
  <c r="Y717" i="3"/>
  <c r="Z718" i="3" s="1"/>
  <c r="Y754" i="3"/>
  <c r="Z755" i="3" s="1"/>
  <c r="Y637" i="3"/>
  <c r="Z638" i="3" s="1"/>
  <c r="Y125" i="3"/>
  <c r="Z126" i="3" s="1"/>
  <c r="Y355" i="3"/>
  <c r="Z356" i="3" s="1"/>
  <c r="Y211" i="3"/>
  <c r="Z212" i="3" s="1"/>
  <c r="Y538" i="3"/>
  <c r="Z539" i="3" s="1"/>
  <c r="Y650" i="3"/>
  <c r="Z651" i="3" s="1"/>
  <c r="Y988" i="3"/>
  <c r="Z989" i="3" s="1"/>
  <c r="Y912" i="3"/>
  <c r="Z913" i="3" s="1"/>
  <c r="Y745" i="3"/>
  <c r="Z746" i="3" s="1"/>
  <c r="Y576" i="3"/>
  <c r="Z577" i="3" s="1"/>
  <c r="Y971" i="3"/>
  <c r="Z972" i="3" s="1"/>
  <c r="Y1208" i="3"/>
  <c r="Z1209" i="3" s="1"/>
  <c r="Y993" i="3"/>
  <c r="Z994" i="3" s="1"/>
  <c r="Y1175" i="3"/>
  <c r="Z1176" i="3" s="1"/>
  <c r="Y873" i="3"/>
  <c r="Z874" i="3" s="1"/>
  <c r="Y1192" i="3"/>
  <c r="Z1193" i="3" s="1"/>
  <c r="Y320" i="3"/>
  <c r="Z321" i="3" s="1"/>
  <c r="Y907" i="3"/>
  <c r="Z908" i="3" s="1"/>
  <c r="Y245" i="3"/>
  <c r="Z246" i="3" s="1"/>
  <c r="Y105" i="3"/>
  <c r="Z106" i="3" s="1"/>
  <c r="Y340" i="3"/>
  <c r="Z341" i="3" s="1"/>
  <c r="Y496" i="3"/>
  <c r="Z497" i="3" s="1"/>
  <c r="Y663" i="3"/>
  <c r="Z664" i="3" s="1"/>
  <c r="Y151" i="3"/>
  <c r="Z152" i="3" s="1"/>
  <c r="Y318" i="3"/>
  <c r="Z319" i="3" s="1"/>
  <c r="Y485" i="3"/>
  <c r="Z486" i="3" s="1"/>
  <c r="Y265" i="3"/>
  <c r="Z266" i="3" s="1"/>
  <c r="Y1079" i="3"/>
  <c r="Z1080" i="3" s="1"/>
  <c r="Y904" i="3"/>
  <c r="Z905" i="3" s="1"/>
  <c r="Y1071" i="3"/>
  <c r="Z1072" i="3" s="1"/>
  <c r="Y1152" i="3"/>
  <c r="Z1153" i="3" s="1"/>
  <c r="Y586" i="3"/>
  <c r="Z587" i="3" s="1"/>
  <c r="Y807" i="3"/>
  <c r="Z808" i="3" s="1"/>
  <c r="Y64" i="3"/>
  <c r="Z65" i="3" s="1"/>
  <c r="Y329" i="3"/>
  <c r="Z330" i="3" s="1"/>
  <c r="Y1123" i="3"/>
  <c r="Z1124" i="3" s="1"/>
  <c r="Y282" i="3"/>
  <c r="Z283" i="3" s="1"/>
  <c r="Y487" i="3"/>
  <c r="Z488" i="3" s="1"/>
  <c r="Y979" i="3"/>
  <c r="Z980" i="3" s="1"/>
  <c r="Y771" i="3"/>
  <c r="Z772" i="3" s="1"/>
  <c r="Y402" i="3"/>
  <c r="Z403" i="3" s="1"/>
  <c r="Y41" i="3"/>
  <c r="Z42" i="3" s="1"/>
  <c r="Y120" i="3"/>
  <c r="Z121" i="3" s="1"/>
  <c r="Y287" i="3"/>
  <c r="Z288" i="3" s="1"/>
  <c r="Y454" i="3"/>
  <c r="Z455" i="3" s="1"/>
  <c r="Y621" i="3"/>
  <c r="Z622" i="3" s="1"/>
  <c r="Y109" i="3"/>
  <c r="Z110" i="3" s="1"/>
  <c r="Y276" i="3"/>
  <c r="Z277" i="3" s="1"/>
  <c r="Y432" i="3"/>
  <c r="Z433" i="3" s="1"/>
  <c r="Y599" i="3"/>
  <c r="Z600" i="3" s="1"/>
  <c r="Y87" i="3"/>
  <c r="Z88" i="3" s="1"/>
  <c r="Y254" i="3"/>
  <c r="Z255" i="3" s="1"/>
  <c r="Y421" i="3"/>
  <c r="Z422" i="3" s="1"/>
  <c r="Y868" i="3"/>
  <c r="Z869" i="3" s="1"/>
  <c r="Y985" i="3"/>
  <c r="Z986" i="3" s="1"/>
  <c r="Y401" i="3"/>
  <c r="Z402" i="3" s="1"/>
  <c r="Y1116" i="3"/>
  <c r="Z1117" i="3" s="1"/>
  <c r="Y1073" i="3"/>
  <c r="Z1074" i="3" s="1"/>
  <c r="Y1160" i="3"/>
  <c r="Z1161" i="3" s="1"/>
  <c r="Y608" i="3"/>
  <c r="Z609" i="3" s="1"/>
  <c r="Y815" i="3"/>
  <c r="Z816" i="3" s="1"/>
  <c r="Y859" i="3"/>
  <c r="Z860" i="3" s="1"/>
  <c r="Y896" i="3"/>
  <c r="Z897" i="3" s="1"/>
  <c r="Y1063" i="3"/>
  <c r="Z1064" i="3" s="1"/>
  <c r="Y929" i="3"/>
  <c r="Z930" i="3" s="1"/>
  <c r="Y505" i="3"/>
  <c r="Z506" i="3" s="1"/>
  <c r="Y966" i="3"/>
  <c r="Z967" i="3" s="1"/>
  <c r="Y1182" i="3"/>
  <c r="Z1183" i="3" s="1"/>
  <c r="Y290" i="3"/>
  <c r="Z291" i="3" s="1"/>
  <c r="Y827" i="3"/>
  <c r="Z828" i="3" s="1"/>
  <c r="Y1109" i="3"/>
  <c r="Z1110" i="3" s="1"/>
  <c r="Y604" i="3"/>
  <c r="Z605" i="3" s="1"/>
  <c r="Y551" i="3"/>
  <c r="Z552" i="3" s="1"/>
  <c r="Y1156" i="3"/>
  <c r="Z1157" i="3" s="1"/>
  <c r="Y793" i="3"/>
  <c r="Z794" i="3" s="1"/>
  <c r="Y250" i="3"/>
  <c r="Z251" i="3" s="1"/>
  <c r="Y423" i="3"/>
  <c r="Z424" i="3" s="1"/>
  <c r="Y18" i="3"/>
  <c r="Z19" i="3" s="1"/>
  <c r="Y376" i="3"/>
  <c r="Z377" i="3" s="1"/>
  <c r="Y543" i="3"/>
  <c r="Z544" i="3" s="1"/>
  <c r="Y31" i="3"/>
  <c r="Z32" i="3" s="1"/>
  <c r="Y198" i="3"/>
  <c r="Z199" i="3" s="1"/>
  <c r="Y365" i="3"/>
  <c r="Z366" i="3" s="1"/>
  <c r="Y553" i="3"/>
  <c r="Z554" i="3" s="1"/>
  <c r="Y97" i="3"/>
  <c r="Z98" i="3" s="1"/>
  <c r="Y465" i="3"/>
  <c r="Z466" i="3" s="1"/>
  <c r="Y644" i="3"/>
  <c r="Z645" i="3" s="1"/>
  <c r="Y578" i="3"/>
  <c r="Z579" i="3" s="1"/>
  <c r="Y917" i="3"/>
  <c r="Z918" i="3" s="1"/>
  <c r="Y1011" i="3"/>
  <c r="Z1012" i="3" s="1"/>
  <c r="Y901" i="3"/>
  <c r="Z902" i="3" s="1"/>
  <c r="Y1110" i="3"/>
  <c r="Z1111" i="3" s="1"/>
  <c r="Y667" i="3"/>
  <c r="Z668" i="3" s="1"/>
  <c r="Y529" i="3"/>
  <c r="Z530" i="3" s="1"/>
  <c r="Y830" i="3"/>
  <c r="Z831" i="3" s="1"/>
  <c r="Y1107" i="3"/>
  <c r="Z1108" i="3" s="1"/>
  <c r="Y1078" i="3"/>
  <c r="Z1079" i="3" s="1"/>
  <c r="Y138" i="3"/>
  <c r="Z139" i="3" s="1"/>
  <c r="Y1129" i="3"/>
  <c r="Z1130" i="3" s="1"/>
  <c r="Y659" i="3"/>
  <c r="Z660" i="3" s="1"/>
  <c r="Y177" i="3"/>
  <c r="Z178" i="3" s="1"/>
  <c r="Y504" i="3"/>
  <c r="Z505" i="3" s="1"/>
  <c r="Y671" i="3"/>
  <c r="Z672" i="3" s="1"/>
  <c r="Y159" i="3"/>
  <c r="Z160" i="3" s="1"/>
  <c r="Y326" i="3"/>
  <c r="Z327" i="3" s="1"/>
  <c r="Y493" i="3"/>
  <c r="Z494" i="3" s="1"/>
  <c r="Y225" i="3"/>
  <c r="Z226" i="3" s="1"/>
  <c r="Y25" i="3"/>
  <c r="Z26" i="3" s="1"/>
  <c r="Y260" i="3"/>
  <c r="Z261" i="3" s="1"/>
  <c r="Y554" i="3"/>
  <c r="Z555" i="3" s="1"/>
  <c r="Y1076" i="3"/>
  <c r="Z1077" i="3" s="1"/>
  <c r="Y951" i="3"/>
  <c r="Z952" i="3" s="1"/>
  <c r="Y181" i="3"/>
  <c r="Z182" i="3" s="1"/>
  <c r="Y1173" i="3"/>
  <c r="Z1174" i="3" s="1"/>
  <c r="Y995" i="3"/>
  <c r="Z996" i="3" s="1"/>
  <c r="Y819" i="3"/>
  <c r="Z820" i="3" s="1"/>
  <c r="Y712" i="3"/>
  <c r="Z713" i="3" s="1"/>
  <c r="Y879" i="3"/>
  <c r="Z880" i="3" s="1"/>
  <c r="Y1046" i="3"/>
  <c r="Z1047" i="3" s="1"/>
  <c r="Y828" i="3"/>
  <c r="Z829" i="3" s="1"/>
  <c r="Y987" i="3"/>
  <c r="Z988" i="3" s="1"/>
  <c r="Y960" i="3"/>
  <c r="Z961" i="3" s="1"/>
  <c r="Y1127" i="3"/>
  <c r="Z1128" i="3" s="1"/>
  <c r="Y925" i="3"/>
  <c r="Z926" i="3" s="1"/>
  <c r="Y795" i="3"/>
  <c r="Z796" i="3" s="1"/>
  <c r="Y955" i="3"/>
  <c r="Z956" i="3" s="1"/>
  <c r="Y889" i="3"/>
  <c r="Z890" i="3" s="1"/>
  <c r="Y475" i="3"/>
  <c r="Z476" i="3" s="1"/>
  <c r="Y384" i="3"/>
  <c r="Z385" i="3" s="1"/>
  <c r="Y702" i="3"/>
  <c r="Z703" i="3" s="1"/>
  <c r="Y337" i="3"/>
  <c r="Z338" i="3" s="1"/>
  <c r="Y537" i="3"/>
  <c r="Z538" i="3" s="1"/>
  <c r="Y90" i="3"/>
  <c r="Z91" i="3" s="1"/>
  <c r="Y632" i="3"/>
  <c r="Z633" i="3" s="1"/>
  <c r="Y1133" i="3"/>
  <c r="Z1134" i="3" s="1"/>
  <c r="Y976" i="3"/>
  <c r="Z977" i="3" s="1"/>
  <c r="Y825" i="3"/>
  <c r="Z826" i="3" s="1"/>
  <c r="Y348" i="3"/>
  <c r="Z349" i="3" s="1"/>
  <c r="Y1101" i="3"/>
  <c r="Z1102" i="3" s="1"/>
  <c r="Y751" i="3"/>
  <c r="Z752" i="3" s="1"/>
  <c r="Y852" i="3"/>
  <c r="Z853" i="3" s="1"/>
  <c r="Y394" i="3"/>
  <c r="Z395" i="3" s="1"/>
  <c r="Y523" i="3"/>
  <c r="Z524" i="3" s="1"/>
  <c r="Y609" i="3"/>
  <c r="Z610" i="3" s="1"/>
  <c r="Y816" i="3"/>
  <c r="Z817" i="3" s="1"/>
  <c r="Y983" i="3"/>
  <c r="Z984" i="3" s="1"/>
  <c r="Y482" i="3"/>
  <c r="Z483" i="3" s="1"/>
  <c r="Y1064" i="3"/>
  <c r="Z1065" i="3" s="1"/>
  <c r="Y39" i="3"/>
  <c r="Z40" i="3" s="1"/>
  <c r="Y1190" i="3"/>
  <c r="Z1191" i="3" s="1"/>
  <c r="Y258" i="3"/>
  <c r="Z259" i="3" s="1"/>
  <c r="Y800" i="3"/>
  <c r="Z801" i="3" s="1"/>
  <c r="Y967" i="3"/>
  <c r="Z968" i="3" s="1"/>
  <c r="Y1048" i="3"/>
  <c r="Z1049" i="3" s="1"/>
  <c r="Y307" i="3"/>
  <c r="Z308" i="3" s="1"/>
  <c r="Y930" i="3"/>
  <c r="Z931" i="3" s="1"/>
  <c r="Y468" i="3"/>
  <c r="Z469" i="3" s="1"/>
  <c r="Y730" i="3"/>
  <c r="Z731" i="3" s="1"/>
  <c r="Y291" i="3"/>
  <c r="Z292" i="3" s="1"/>
  <c r="Y424" i="3"/>
  <c r="Z425" i="3" s="1"/>
  <c r="Y580" i="3"/>
  <c r="Z581" i="3" s="1"/>
  <c r="Y778" i="3"/>
  <c r="Z779" i="3" s="1"/>
  <c r="Y1090" i="3"/>
  <c r="Z1091" i="3" s="1"/>
  <c r="Y419" i="3"/>
  <c r="Z420" i="3" s="1"/>
  <c r="Y57" i="3"/>
  <c r="Z58" i="3" s="1"/>
  <c r="Y1164" i="3"/>
  <c r="Z1165" i="3" s="1"/>
  <c r="Y784" i="3"/>
  <c r="Z785" i="3" s="1"/>
  <c r="Y1143" i="3"/>
  <c r="Z1144" i="3" s="1"/>
  <c r="Y1168" i="3"/>
  <c r="Z1169" i="3" s="1"/>
  <c r="Y748" i="3"/>
  <c r="Z749" i="3" s="1"/>
  <c r="Y1131" i="3"/>
  <c r="Z1132" i="3" s="1"/>
  <c r="Y1145" i="3"/>
  <c r="Z1146" i="3" s="1"/>
  <c r="Y1032" i="3"/>
  <c r="Z1033" i="3" s="1"/>
  <c r="Y251" i="3"/>
  <c r="Z252" i="3" s="1"/>
  <c r="Y897" i="3"/>
  <c r="Z898" i="3" s="1"/>
  <c r="Y768" i="3"/>
  <c r="Z769" i="3" s="1"/>
  <c r="Y935" i="3"/>
  <c r="Z936" i="3" s="1"/>
  <c r="Y835" i="3"/>
  <c r="Z836" i="3" s="1"/>
  <c r="Y1086" i="3"/>
  <c r="Z1087" i="3" s="1"/>
  <c r="Y619" i="3"/>
  <c r="Z620" i="3" s="1"/>
  <c r="Y206" i="3"/>
  <c r="Z207" i="3" s="1"/>
  <c r="Y1212" i="3"/>
  <c r="Z1213" i="3" s="1"/>
  <c r="Y1035" i="3"/>
  <c r="Z1036" i="3" s="1"/>
  <c r="Y1113" i="3"/>
  <c r="Z1114" i="3" s="1"/>
  <c r="Y203" i="3"/>
  <c r="Z204" i="3" s="1"/>
  <c r="Y169" i="3"/>
  <c r="Z170" i="3" s="1"/>
  <c r="Y555" i="3"/>
  <c r="Z556" i="3" s="1"/>
  <c r="Y560" i="3"/>
  <c r="Z561" i="3" s="1"/>
  <c r="Y48" i="3"/>
  <c r="Z49" i="3" s="1"/>
  <c r="Y215" i="3"/>
  <c r="Z216" i="3" s="1"/>
  <c r="Y382" i="3"/>
  <c r="Z383" i="3" s="1"/>
  <c r="Y549" i="3"/>
  <c r="Z550" i="3" s="1"/>
  <c r="Y37" i="3"/>
  <c r="Z38" i="3" s="1"/>
  <c r="Y531" i="3"/>
  <c r="Z532" i="3" s="1"/>
  <c r="Y516" i="3"/>
  <c r="Z517" i="3" s="1"/>
  <c r="Y17" i="3"/>
  <c r="Z18" i="3" s="1"/>
  <c r="Y648" i="3"/>
  <c r="Z649" i="3" s="1"/>
  <c r="Y617" i="3"/>
  <c r="Z618" i="3" s="1"/>
  <c r="Y526" i="3"/>
  <c r="Z527" i="3" s="1"/>
  <c r="Y562" i="3"/>
  <c r="Z563" i="3" s="1"/>
  <c r="Y1057" i="3"/>
  <c r="Z1058" i="3" s="1"/>
  <c r="Y1003" i="3"/>
  <c r="Z1004" i="3" s="1"/>
  <c r="Y331" i="3"/>
  <c r="Z332" i="3" s="1"/>
  <c r="Y905" i="3"/>
  <c r="Z906" i="3" s="1"/>
  <c r="Y761" i="3"/>
  <c r="Z762" i="3" s="1"/>
  <c r="Y1197" i="3"/>
  <c r="Z1198" i="3" s="1"/>
  <c r="Y700" i="3"/>
  <c r="Z701" i="3" s="1"/>
  <c r="Y373" i="3"/>
  <c r="Z374" i="3" s="1"/>
  <c r="Y1205" i="3"/>
  <c r="Z1206" i="3" s="1"/>
  <c r="Y569" i="3"/>
  <c r="Z570" i="3" s="1"/>
  <c r="Y656" i="3"/>
  <c r="Z657" i="3" s="1"/>
  <c r="Y571" i="3"/>
  <c r="Z572" i="3" s="1"/>
  <c r="Y184" i="3"/>
  <c r="Z185" i="3" s="1"/>
  <c r="Y351" i="3"/>
  <c r="Z352" i="3" s="1"/>
  <c r="Y518" i="3"/>
  <c r="Z519" i="3" s="1"/>
  <c r="Y685" i="3"/>
  <c r="Z686" i="3" s="1"/>
  <c r="Y173" i="3"/>
  <c r="Z174" i="3" s="1"/>
  <c r="Y758" i="3"/>
  <c r="Z759" i="3" s="1"/>
  <c r="Y386" i="3"/>
  <c r="Z387" i="3" s="1"/>
  <c r="Y369" i="3"/>
  <c r="Z370" i="3" s="1"/>
  <c r="Y362" i="3"/>
  <c r="Z363" i="3" s="1"/>
  <c r="Y217" i="3"/>
  <c r="Z218" i="3" s="1"/>
  <c r="Y452" i="3"/>
  <c r="Z453" i="3" s="1"/>
  <c r="Y115" i="3"/>
  <c r="Z116" i="3" s="1"/>
  <c r="Y514" i="3"/>
  <c r="Z515" i="3" s="1"/>
  <c r="Y26" i="3"/>
  <c r="Z27" i="3" s="1"/>
  <c r="Y490" i="3"/>
  <c r="Z491" i="3" s="1"/>
  <c r="Y300" i="3"/>
  <c r="Z301" i="3" s="1"/>
  <c r="Y782" i="3"/>
  <c r="Z783" i="3" s="1"/>
  <c r="Y450" i="3"/>
  <c r="Z451" i="3" s="1"/>
  <c r="Y192" i="3"/>
  <c r="Z193" i="3" s="1"/>
  <c r="Y1147" i="3"/>
  <c r="Z1148" i="3" s="1"/>
  <c r="Y798" i="3"/>
  <c r="Z799" i="3" s="1"/>
  <c r="Y1045" i="3"/>
  <c r="Z1046" i="3" s="1"/>
  <c r="Y884" i="3"/>
  <c r="Z885" i="3" s="1"/>
  <c r="Y875" i="3"/>
  <c r="Z876" i="3" s="1"/>
  <c r="Y809" i="3"/>
  <c r="Z810" i="3" s="1"/>
  <c r="Y1157" i="3"/>
  <c r="Z1158" i="3" s="1"/>
  <c r="Y1187" i="3"/>
  <c r="Z1188" i="3" s="1"/>
  <c r="Y377" i="3"/>
  <c r="Z378" i="3" s="1"/>
  <c r="Y843" i="3"/>
  <c r="Z844" i="3" s="1"/>
  <c r="Y427" i="3"/>
  <c r="Z428" i="3" s="1"/>
  <c r="Y1171" i="3"/>
  <c r="Z1172" i="3" s="1"/>
  <c r="Y865" i="3"/>
  <c r="Z866" i="3" s="1"/>
  <c r="Y958" i="3"/>
  <c r="Z959" i="3" s="1"/>
  <c r="Y153" i="3"/>
  <c r="Z154" i="3" s="1"/>
  <c r="Y51" i="3"/>
  <c r="Z52" i="3" s="1"/>
  <c r="Y201" i="3"/>
  <c r="Z202" i="3" s="1"/>
  <c r="Y683" i="3"/>
  <c r="Z684" i="3" s="1"/>
  <c r="Y462" i="3"/>
  <c r="Z463" i="3" s="1"/>
  <c r="Y931" i="3"/>
  <c r="Z932" i="3" s="1"/>
  <c r="Y932" i="3"/>
  <c r="Z933" i="3" s="1"/>
  <c r="Y1102" i="3"/>
  <c r="Z1103" i="3" s="1"/>
  <c r="Y1060" i="3"/>
  <c r="Z1061" i="3" s="1"/>
  <c r="Y1065" i="3"/>
  <c r="Z1066" i="3" s="1"/>
  <c r="Y1016" i="3"/>
  <c r="Z1017" i="3" s="1"/>
  <c r="Y187" i="3"/>
  <c r="Z188" i="3" s="1"/>
  <c r="Y756" i="3"/>
  <c r="Z757" i="3" s="1"/>
  <c r="Y1166" i="3"/>
  <c r="Z1167" i="3" s="1"/>
  <c r="Y853" i="3"/>
  <c r="Z854" i="3" s="1"/>
  <c r="Y752" i="3"/>
  <c r="Z753" i="3" s="1"/>
  <c r="Y919" i="3"/>
  <c r="Z920" i="3" s="1"/>
  <c r="Y836" i="3"/>
  <c r="Z837" i="3" s="1"/>
  <c r="Y1067" i="3"/>
  <c r="Z1068" i="3" s="1"/>
  <c r="Y1017" i="3"/>
  <c r="Z1018" i="3" s="1"/>
  <c r="Y1161" i="3"/>
  <c r="Z1162" i="3" s="1"/>
  <c r="Y1000" i="3"/>
  <c r="Z1001" i="3" s="1"/>
  <c r="Y716" i="3"/>
  <c r="Z717" i="3" s="1"/>
  <c r="Y1198" i="3"/>
  <c r="Z1199" i="3" s="1"/>
  <c r="Y821" i="3"/>
  <c r="Z822" i="3" s="1"/>
  <c r="Y736" i="3"/>
  <c r="Z737" i="3" s="1"/>
  <c r="Y903" i="3"/>
  <c r="Z904" i="3" s="1"/>
  <c r="Y1070" i="3"/>
  <c r="Z1071" i="3" s="1"/>
  <c r="Y1174" i="3"/>
  <c r="Z1175" i="3" s="1"/>
  <c r="Y876" i="3"/>
  <c r="Z877" i="3" s="1"/>
  <c r="Y969" i="3"/>
  <c r="Z970" i="3" s="1"/>
  <c r="Y984" i="3"/>
  <c r="Z985" i="3" s="1"/>
  <c r="Y1151" i="3"/>
  <c r="Z1152" i="3" s="1"/>
  <c r="Y866" i="3"/>
  <c r="Z867" i="3" s="1"/>
  <c r="Y404" i="3"/>
  <c r="Z405" i="3" s="1"/>
  <c r="Y67" i="3"/>
  <c r="Z68" i="3" s="1"/>
  <c r="Y642" i="3"/>
  <c r="Z643" i="3" s="1"/>
  <c r="Y204" i="3"/>
  <c r="Z205" i="3" s="1"/>
  <c r="Y978" i="3"/>
  <c r="Z979" i="3" s="1"/>
  <c r="Y360" i="3"/>
  <c r="Z361" i="3" s="1"/>
  <c r="Y527" i="3"/>
  <c r="Z528" i="3" s="1"/>
  <c r="Y15" i="3"/>
  <c r="Z16" i="3" s="1"/>
  <c r="Y182" i="3"/>
  <c r="Z183" i="3" s="1"/>
  <c r="Y349" i="3"/>
  <c r="Z350" i="3" s="1"/>
  <c r="Y179" i="3"/>
  <c r="Z180" i="3" s="1"/>
  <c r="Y665" i="3"/>
  <c r="Z666" i="3" s="1"/>
  <c r="Y338" i="3"/>
  <c r="Z339" i="3" s="1"/>
  <c r="Y714" i="3"/>
  <c r="Z715" i="3" s="1"/>
  <c r="Y96" i="3"/>
  <c r="Z97" i="3" s="1"/>
  <c r="Y263" i="3"/>
  <c r="Z264" i="3" s="1"/>
  <c r="Y430" i="3"/>
  <c r="Z431" i="3" s="1"/>
  <c r="Y597" i="3"/>
  <c r="Z598" i="3" s="1"/>
  <c r="Y85" i="3"/>
  <c r="Z86" i="3" s="1"/>
  <c r="Y252" i="3"/>
  <c r="Z253" i="3" s="1"/>
  <c r="Y1026" i="3"/>
  <c r="Z1027" i="3" s="1"/>
  <c r="Y227" i="3"/>
  <c r="Z228" i="3" s="1"/>
  <c r="Y408" i="3"/>
  <c r="Z409" i="3" s="1"/>
  <c r="Y575" i="3"/>
  <c r="Z576" i="3" s="1"/>
  <c r="Y63" i="3"/>
  <c r="Z64" i="3" s="1"/>
  <c r="Y230" i="3"/>
  <c r="Z231" i="3" s="1"/>
  <c r="Y397" i="3"/>
  <c r="Z398" i="3" s="1"/>
  <c r="Y564" i="3"/>
  <c r="Z565" i="3" s="1"/>
  <c r="Y52" i="3"/>
  <c r="Z53" i="3" s="1"/>
  <c r="Y789" i="3"/>
  <c r="Z790" i="3" s="1"/>
  <c r="Y627" i="3"/>
  <c r="Z628" i="3" s="1"/>
  <c r="Y826" i="3"/>
  <c r="Z827" i="3" s="1"/>
  <c r="Y129" i="3"/>
  <c r="Z130" i="3" s="1"/>
  <c r="Y208" i="3"/>
  <c r="Z209" i="3" s="1"/>
  <c r="Y375" i="3"/>
  <c r="Z376" i="3" s="1"/>
  <c r="Y542" i="3"/>
  <c r="Z543" i="3" s="1"/>
  <c r="Y30" i="3"/>
  <c r="Z31" i="3" s="1"/>
  <c r="Y197" i="3"/>
  <c r="Z198" i="3" s="1"/>
  <c r="Y364" i="3"/>
  <c r="Z365" i="3" s="1"/>
  <c r="Y27" i="3"/>
  <c r="Z28" i="3" s="1"/>
  <c r="Y266" i="3"/>
  <c r="Z267" i="3" s="1"/>
  <c r="Y690" i="3"/>
  <c r="Z691" i="3" s="1"/>
  <c r="Y584" i="3"/>
  <c r="Z585" i="3" s="1"/>
  <c r="Y72" i="3"/>
  <c r="Z73" i="3" s="1"/>
  <c r="Y239" i="3"/>
  <c r="Z240" i="3" s="1"/>
  <c r="Y406" i="3"/>
  <c r="Z407" i="3" s="1"/>
  <c r="Y573" i="3"/>
  <c r="Z574" i="3" s="1"/>
  <c r="Y61" i="3"/>
  <c r="Z62" i="3" s="1"/>
  <c r="Y228" i="3"/>
  <c r="Z229" i="3" s="1"/>
  <c r="Y1013" i="3"/>
  <c r="Z1014" i="3" s="1"/>
  <c r="Y292" i="3"/>
  <c r="Z293" i="3" s="1"/>
  <c r="Y1049" i="3"/>
  <c r="Z1050" i="3" s="1"/>
  <c r="Y968" i="3"/>
  <c r="Z969" i="3" s="1"/>
  <c r="Y1135" i="3"/>
  <c r="Z1136" i="3" s="1"/>
  <c r="Y629" i="3"/>
  <c r="Z630" i="3" s="1"/>
  <c r="Y1005" i="3"/>
  <c r="Z1006" i="3" s="1"/>
  <c r="Y704" i="3"/>
  <c r="Z705" i="3" s="1"/>
  <c r="Y871" i="3"/>
  <c r="Z872" i="3" s="1"/>
  <c r="Y952" i="3"/>
  <c r="Z953" i="3" s="1"/>
  <c r="Y1119" i="3"/>
  <c r="Z1120" i="3" s="1"/>
  <c r="Y742" i="3"/>
  <c r="Z743" i="3" s="1"/>
  <c r="Y861" i="3"/>
  <c r="Z862" i="3" s="1"/>
  <c r="Y855" i="3"/>
  <c r="Z856" i="3" s="1"/>
  <c r="Y1022" i="3"/>
  <c r="Z1023" i="3" s="1"/>
  <c r="Y939" i="3"/>
  <c r="Z940" i="3" s="1"/>
  <c r="Y936" i="3"/>
  <c r="Z937" i="3" s="1"/>
  <c r="Y1103" i="3"/>
  <c r="Z1104" i="3" s="1"/>
  <c r="Y602" i="3"/>
  <c r="Z603" i="3" s="1"/>
  <c r="Y849" i="3"/>
  <c r="Z850" i="3" s="1"/>
  <c r="Y1105" i="3"/>
  <c r="Z1106" i="3" s="1"/>
  <c r="Y839" i="3"/>
  <c r="Z840" i="3" s="1"/>
  <c r="Y1006" i="3"/>
  <c r="Z1007" i="3" s="1"/>
  <c r="Y1028" i="3"/>
  <c r="Z1029" i="3" s="1"/>
  <c r="Y731" i="3"/>
  <c r="Z732" i="3" s="1"/>
  <c r="Y841" i="3"/>
  <c r="Z842" i="3" s="1"/>
  <c r="Y1176" i="3"/>
  <c r="Z1177" i="3" s="1"/>
  <c r="Y920" i="3"/>
  <c r="Z921" i="3" s="1"/>
  <c r="Y1087" i="3"/>
  <c r="Z1088" i="3" s="1"/>
  <c r="Y411" i="3"/>
  <c r="Z412" i="3" s="1"/>
  <c r="Y243" i="3"/>
  <c r="Z244" i="3" s="1"/>
  <c r="Y765" i="3"/>
  <c r="Z766" i="3" s="1"/>
  <c r="Y802" i="3"/>
  <c r="Z803" i="3" s="1"/>
  <c r="Y1114" i="3"/>
  <c r="Z1115" i="3" s="1"/>
  <c r="Y483" i="3"/>
  <c r="Z484" i="3" s="1"/>
  <c r="Y652" i="3"/>
  <c r="Z653" i="3" s="1"/>
  <c r="Y140" i="3"/>
  <c r="Z141" i="3" s="1"/>
  <c r="Y914" i="3"/>
  <c r="Z915" i="3" s="1"/>
  <c r="Y296" i="3"/>
  <c r="Z297" i="3" s="1"/>
  <c r="Y463" i="3"/>
  <c r="Z464" i="3" s="1"/>
  <c r="Y630" i="3"/>
  <c r="Z631" i="3" s="1"/>
  <c r="Y118" i="3"/>
  <c r="Z119" i="3" s="1"/>
  <c r="Y285" i="3"/>
  <c r="Z286" i="3" s="1"/>
  <c r="Y610" i="3"/>
  <c r="Z611" i="3" s="1"/>
  <c r="Y544" i="3"/>
  <c r="Z545" i="3" s="1"/>
  <c r="Y32" i="3"/>
  <c r="Z33" i="3" s="1"/>
  <c r="Y199" i="3"/>
  <c r="Z200" i="3" s="1"/>
  <c r="Y366" i="3"/>
  <c r="Z367" i="3" s="1"/>
  <c r="Y533" i="3"/>
  <c r="Z534" i="3" s="1"/>
  <c r="Y21" i="3"/>
  <c r="Z22" i="3" s="1"/>
  <c r="Y188" i="3"/>
  <c r="Z189" i="3" s="1"/>
  <c r="Y497" i="3"/>
  <c r="Z498" i="3" s="1"/>
  <c r="Y962" i="3"/>
  <c r="Z963" i="3" s="1"/>
  <c r="Y344" i="3"/>
  <c r="Z345" i="3" s="1"/>
  <c r="Y511" i="3"/>
  <c r="Z512" i="3" s="1"/>
  <c r="Y678" i="3"/>
  <c r="Z679" i="3" s="1"/>
  <c r="Y166" i="3"/>
  <c r="Z167" i="3" s="1"/>
  <c r="Y333" i="3"/>
  <c r="Z334" i="3" s="1"/>
  <c r="Y500" i="3"/>
  <c r="Z501" i="3" s="1"/>
  <c r="Y163" i="3"/>
  <c r="Z164" i="3" s="1"/>
  <c r="Y725" i="3"/>
  <c r="Z726" i="3" s="1"/>
  <c r="Y466" i="3"/>
  <c r="Z467" i="3" s="1"/>
  <c r="Y762" i="3"/>
  <c r="Z763" i="3" s="1"/>
  <c r="Y65" i="3"/>
  <c r="Z66" i="3" s="1"/>
  <c r="Y144" i="3"/>
  <c r="Z145" i="3" s="1"/>
  <c r="Y311" i="3"/>
  <c r="Z312" i="3" s="1"/>
  <c r="Y478" i="3"/>
  <c r="Z479" i="3" s="1"/>
  <c r="Y645" i="3"/>
  <c r="Z646" i="3" s="1"/>
  <c r="Y133" i="3"/>
  <c r="Z134" i="3" s="1"/>
  <c r="Y1138" i="3"/>
  <c r="Z1139" i="3" s="1"/>
  <c r="Y547" i="3"/>
  <c r="Z548" i="3" s="1"/>
  <c r="Y520" i="3"/>
  <c r="Z521" i="3" s="1"/>
  <c r="Y687" i="3"/>
  <c r="Z688" i="3" s="1"/>
  <c r="Y175" i="3"/>
  <c r="Z176" i="3" s="1"/>
  <c r="Y342" i="3"/>
  <c r="Z343" i="3" s="1"/>
  <c r="Y509" i="3"/>
  <c r="Z510" i="3" s="1"/>
  <c r="Y676" i="3"/>
  <c r="Z677" i="3" s="1"/>
  <c r="Y164" i="3"/>
  <c r="Z165" i="3" s="1"/>
  <c r="Y591" i="3"/>
  <c r="Z592" i="3" s="1"/>
  <c r="Y1203" i="3"/>
  <c r="Z1204" i="3" s="1"/>
  <c r="Y1091" i="3"/>
  <c r="Z1092" i="3" s="1"/>
  <c r="Y709" i="3"/>
  <c r="Z710" i="3" s="1"/>
  <c r="Y117" i="3"/>
  <c r="Z118" i="3" s="1"/>
  <c r="Y977" i="3"/>
  <c r="Z978" i="3" s="1"/>
  <c r="Y817" i="3"/>
  <c r="Z818" i="3" s="1"/>
  <c r="Y974" i="3"/>
  <c r="Z975" i="3" s="1"/>
  <c r="Y459" i="3"/>
  <c r="Z460" i="3" s="1"/>
  <c r="Y769" i="3"/>
  <c r="Z770" i="3" s="1"/>
  <c r="Y1125" i="3"/>
  <c r="Z1126" i="3" s="1"/>
  <c r="Y888" i="3"/>
  <c r="Z889" i="3" s="1"/>
  <c r="Y1055" i="3"/>
  <c r="Z1056" i="3" s="1"/>
  <c r="Y668" i="3"/>
  <c r="Z669" i="3" s="1"/>
  <c r="Y1037" i="3"/>
  <c r="Z1038" i="3" s="1"/>
  <c r="Y1204" i="3"/>
  <c r="Z1205" i="3" s="1"/>
  <c r="Y1136" i="3"/>
  <c r="Z1137" i="3" s="1"/>
  <c r="Y791" i="3"/>
  <c r="Z792" i="3" s="1"/>
  <c r="Y1191" i="3"/>
  <c r="Z1192" i="3" s="1"/>
  <c r="Y811" i="3"/>
  <c r="Z812" i="3" s="1"/>
  <c r="Y724" i="3"/>
  <c r="Z725" i="3" s="1"/>
  <c r="Y872" i="3"/>
  <c r="Z873" i="3" s="1"/>
  <c r="Y1039" i="3"/>
  <c r="Z1040" i="3" s="1"/>
  <c r="Y595" i="3"/>
  <c r="Z596" i="3" s="1"/>
  <c r="Y540" i="3"/>
  <c r="Z541" i="3" s="1"/>
  <c r="Y1148" i="3"/>
  <c r="Z1149" i="3" s="1"/>
  <c r="Y893" i="3"/>
  <c r="Z894" i="3" s="1"/>
  <c r="Y657" i="3"/>
  <c r="Z658" i="3" s="1"/>
  <c r="Y1117" i="3"/>
  <c r="Z1118" i="3" s="1"/>
  <c r="Y1120" i="3"/>
  <c r="Z1121" i="3" s="1"/>
  <c r="Y499" i="3"/>
  <c r="Z500" i="3" s="1"/>
  <c r="Y775" i="3"/>
  <c r="Z776" i="3" s="1"/>
  <c r="Y942" i="3"/>
  <c r="Z943" i="3" s="1"/>
  <c r="Y1092" i="3"/>
  <c r="Z1093" i="3" s="1"/>
  <c r="Y675" i="3"/>
  <c r="Z676" i="3" s="1"/>
  <c r="Y1061" i="3"/>
  <c r="Z1062" i="3" s="1"/>
  <c r="Y856" i="3"/>
  <c r="Z857" i="3" s="1"/>
  <c r="Y1023" i="3"/>
  <c r="Z1024" i="3" s="1"/>
  <c r="Y235" i="3"/>
  <c r="Z236" i="3" s="1"/>
  <c r="Y412" i="3"/>
  <c r="Z413" i="3" s="1"/>
  <c r="Y701" i="3"/>
  <c r="Z702" i="3" s="1"/>
  <c r="Y738" i="3"/>
  <c r="Z739" i="3" s="1"/>
  <c r="Y694" i="3"/>
  <c r="Z695" i="3" s="1"/>
  <c r="Y170" i="3"/>
  <c r="Z171" i="3" s="1"/>
  <c r="Y1050" i="3"/>
  <c r="Z1051" i="3" s="1"/>
  <c r="Y314" i="3"/>
  <c r="Z315" i="3" s="1"/>
  <c r="Y588" i="3"/>
  <c r="Z589" i="3" s="1"/>
  <c r="Y76" i="3"/>
  <c r="Z77" i="3" s="1"/>
  <c r="Y114" i="3"/>
  <c r="Z115" i="3" s="1"/>
  <c r="Y98" i="3"/>
  <c r="Z99" i="3" s="1"/>
  <c r="Y850" i="3"/>
  <c r="Z851" i="3" s="1"/>
  <c r="Y232" i="3"/>
  <c r="Z233" i="3" s="1"/>
  <c r="Y399" i="3"/>
  <c r="Z400" i="3" s="1"/>
  <c r="Y566" i="3"/>
  <c r="Z567" i="3" s="1"/>
  <c r="Y54" i="3"/>
  <c r="Z55" i="3" s="1"/>
  <c r="Y221" i="3"/>
  <c r="Z222" i="3" s="1"/>
  <c r="Y388" i="3"/>
  <c r="Z389" i="3" s="1"/>
  <c r="Y345" i="3"/>
  <c r="Z346" i="3" s="1"/>
  <c r="Y1098" i="3"/>
  <c r="Z1099" i="3" s="1"/>
  <c r="Y442" i="3"/>
  <c r="Z443" i="3" s="1"/>
  <c r="Y480" i="3"/>
  <c r="Z481" i="3" s="1"/>
  <c r="Y647" i="3"/>
  <c r="Z648" i="3" s="1"/>
  <c r="Y135" i="3"/>
  <c r="Z136" i="3" s="1"/>
  <c r="Y302" i="3"/>
  <c r="Z303" i="3" s="1"/>
  <c r="Y469" i="3"/>
  <c r="Z470" i="3" s="1"/>
  <c r="Y636" i="3"/>
  <c r="Z637" i="3" s="1"/>
  <c r="Y124" i="3"/>
  <c r="Z125" i="3" s="1"/>
  <c r="Y323" i="3"/>
  <c r="Z324" i="3" s="1"/>
  <c r="Y321" i="3"/>
  <c r="Z322" i="3" s="1"/>
  <c r="Y898" i="3"/>
  <c r="Z899" i="3" s="1"/>
  <c r="Y280" i="3"/>
  <c r="Z281" i="3" s="1"/>
  <c r="Y447" i="3"/>
  <c r="Z448" i="3" s="1"/>
  <c r="Y614" i="3"/>
  <c r="Z615" i="3" s="1"/>
  <c r="Y102" i="3"/>
  <c r="Z103" i="3" s="1"/>
  <c r="Y269" i="3"/>
  <c r="Z270" i="3" s="1"/>
  <c r="Y436" i="3"/>
  <c r="Z437" i="3" s="1"/>
  <c r="Y99" i="3"/>
  <c r="Z100" i="3" s="1"/>
  <c r="Y633" i="3"/>
  <c r="Z634" i="3" s="1"/>
  <c r="Y297" i="3"/>
  <c r="Z298" i="3" s="1"/>
  <c r="Y698" i="3"/>
  <c r="Z699" i="3" s="1"/>
  <c r="Y592" i="3"/>
  <c r="Z593" i="3" s="1"/>
  <c r="Y80" i="3"/>
  <c r="Z81" i="3" s="1"/>
  <c r="Y247" i="3"/>
  <c r="Z248" i="3" s="1"/>
  <c r="Y414" i="3"/>
  <c r="Z415" i="3" s="1"/>
  <c r="Y581" i="3"/>
  <c r="Z582" i="3" s="1"/>
  <c r="Y69" i="3"/>
  <c r="Z70" i="3" s="1"/>
  <c r="Y236" i="3"/>
  <c r="Z237" i="3" s="1"/>
  <c r="Y718" i="3"/>
  <c r="Z719" i="3" s="1"/>
  <c r="Y274" i="3"/>
  <c r="Z275" i="3" s="1"/>
  <c r="Y1074" i="3"/>
  <c r="Z1075" i="3" s="1"/>
  <c r="Y378" i="3"/>
  <c r="Z379" i="3" s="1"/>
  <c r="Y456" i="3"/>
  <c r="Z457" i="3" s="1"/>
  <c r="Y623" i="3"/>
  <c r="Z624" i="3" s="1"/>
  <c r="Y111" i="3"/>
  <c r="Z112" i="3" s="1"/>
  <c r="Y278" i="3"/>
  <c r="Z279" i="3" s="1"/>
  <c r="Y445" i="3"/>
  <c r="Z446" i="3" s="1"/>
  <c r="Y612" i="3"/>
  <c r="Z613" i="3" s="1"/>
  <c r="Y100" i="3"/>
  <c r="Z101" i="3" s="1"/>
  <c r="Y425" i="3"/>
  <c r="Z426" i="3" s="1"/>
  <c r="Y284" i="3"/>
  <c r="Z285" i="3" s="1"/>
  <c r="Y1210" i="3"/>
  <c r="Z1211" i="3" s="1"/>
  <c r="Y743" i="3"/>
  <c r="Z744" i="3" s="1"/>
  <c r="Y997" i="3"/>
  <c r="Z998" i="3" s="1"/>
  <c r="Y824" i="3"/>
  <c r="Z825" i="3" s="1"/>
  <c r="Y991" i="3"/>
  <c r="Z992" i="3" s="1"/>
  <c r="Y1158" i="3"/>
  <c r="Z1159" i="3" s="1"/>
  <c r="Y1186" i="3"/>
  <c r="Z1187" i="3" s="1"/>
  <c r="Y909" i="3"/>
  <c r="Z910" i="3" s="1"/>
  <c r="Y713" i="3"/>
  <c r="Z714" i="3" s="1"/>
  <c r="Y1072" i="3"/>
  <c r="Z1073" i="3" s="1"/>
  <c r="Y371" i="3"/>
  <c r="Z372" i="3" s="1"/>
  <c r="Y1189" i="3"/>
  <c r="Z1190" i="3" s="1"/>
  <c r="Y965" i="3"/>
  <c r="Z966" i="3" s="1"/>
  <c r="Y808" i="3"/>
  <c r="Z809" i="3" s="1"/>
  <c r="Y975" i="3"/>
  <c r="Z976" i="3" s="1"/>
  <c r="Y1142" i="3"/>
  <c r="Z1143" i="3" s="1"/>
  <c r="Y1002" i="3"/>
  <c r="Z1003" i="3" s="1"/>
  <c r="Y1020" i="3"/>
  <c r="Z1021" i="3" s="1"/>
  <c r="Y1170" i="3"/>
  <c r="Z1171" i="3" s="1"/>
  <c r="Y777" i="3"/>
  <c r="Z778" i="3" s="1"/>
  <c r="Y1211" i="3"/>
  <c r="Z1212" i="3" s="1"/>
  <c r="Y1056" i="3"/>
  <c r="Z1057" i="3" s="1"/>
  <c r="Y330" i="3"/>
  <c r="Z331" i="3" s="1"/>
  <c r="Y711" i="3"/>
  <c r="Z712" i="3" s="1"/>
  <c r="Y878" i="3"/>
  <c r="Z879" i="3" s="1"/>
  <c r="Y1089" i="3"/>
  <c r="Z1090" i="3" s="1"/>
  <c r="Y1167" i="3"/>
  <c r="Z1168" i="3" s="1"/>
  <c r="Y900" i="3"/>
  <c r="Z901" i="3" s="1"/>
  <c r="Y933" i="3"/>
  <c r="Z934" i="3" s="1"/>
  <c r="Y792" i="3"/>
  <c r="Z793" i="3" s="1"/>
  <c r="Y959" i="3"/>
  <c r="Z960" i="3" s="1"/>
  <c r="Y1126" i="3"/>
  <c r="Z1127" i="3" s="1"/>
  <c r="Y874" i="3"/>
  <c r="Z875" i="3" s="1"/>
  <c r="Y75" i="3"/>
  <c r="Z76" i="3" s="1"/>
  <c r="Y658" i="3"/>
  <c r="Z659" i="3" s="1"/>
  <c r="Y212" i="3"/>
  <c r="Z213" i="3" s="1"/>
  <c r="Y561" i="3"/>
  <c r="Z562" i="3" s="1"/>
  <c r="Y986" i="3"/>
  <c r="Z987" i="3" s="1"/>
  <c r="Y524" i="3"/>
  <c r="Z525" i="3" s="1"/>
  <c r="Y749" i="3"/>
  <c r="Z750" i="3" s="1"/>
  <c r="Y530" i="3"/>
  <c r="Z531" i="3" s="1"/>
  <c r="Y786" i="3"/>
  <c r="Z787" i="3" s="1"/>
  <c r="Y168" i="3"/>
  <c r="Z169" i="3" s="1"/>
  <c r="Y335" i="3"/>
  <c r="Z336" i="3" s="1"/>
  <c r="Y502" i="3"/>
  <c r="Z503" i="3" s="1"/>
  <c r="Y669" i="3"/>
  <c r="Z670" i="3" s="1"/>
  <c r="Y157" i="3"/>
  <c r="Z158" i="3" s="1"/>
  <c r="Y666" i="3"/>
  <c r="Z667" i="3" s="1"/>
  <c r="Y42" i="3"/>
  <c r="Z43" i="3" s="1"/>
  <c r="Y1034" i="3"/>
  <c r="Z1035" i="3" s="1"/>
  <c r="Y259" i="3"/>
  <c r="Z260" i="3" s="1"/>
  <c r="Y416" i="3"/>
  <c r="Z417" i="3" s="1"/>
  <c r="Y583" i="3"/>
  <c r="Z584" i="3" s="1"/>
  <c r="Y71" i="3"/>
  <c r="Z72" i="3" s="1"/>
  <c r="Y238" i="3"/>
  <c r="Z239" i="3" s="1"/>
  <c r="Y405" i="3"/>
  <c r="Z406" i="3" s="1"/>
  <c r="Y572" i="3"/>
  <c r="Z573" i="3" s="1"/>
  <c r="Y60" i="3"/>
  <c r="Z61" i="3" s="1"/>
  <c r="Y797" i="3"/>
  <c r="Z798" i="3" s="1"/>
  <c r="Y643" i="3"/>
  <c r="Z644" i="3" s="1"/>
  <c r="Y834" i="3"/>
  <c r="Z835" i="3" s="1"/>
  <c r="Y137" i="3"/>
  <c r="Z138" i="3" s="1"/>
  <c r="Y216" i="3"/>
  <c r="Z217" i="3" s="1"/>
  <c r="Y383" i="3"/>
  <c r="Z384" i="3" s="1"/>
  <c r="Y550" i="3"/>
  <c r="Z551" i="3" s="1"/>
  <c r="Y38" i="3"/>
  <c r="Z39" i="3" s="1"/>
  <c r="Y205" i="3"/>
  <c r="Z206" i="3" s="1"/>
  <c r="Y372" i="3"/>
  <c r="Z373" i="3" s="1"/>
  <c r="Y35" i="3"/>
  <c r="Z36" i="3" s="1"/>
  <c r="Y473" i="3"/>
  <c r="Z474" i="3" s="1"/>
  <c r="Y1146" i="3"/>
  <c r="Z1147" i="3" s="1"/>
  <c r="Y570" i="3"/>
  <c r="Z571" i="3" s="1"/>
  <c r="Y528" i="3"/>
  <c r="Z529" i="3" s="1"/>
  <c r="Y16" i="3"/>
  <c r="Z17" i="3" s="1"/>
  <c r="Y183" i="3"/>
  <c r="Z184" i="3" s="1"/>
  <c r="Y350" i="3"/>
  <c r="Z351" i="3" s="1"/>
  <c r="Y517" i="3"/>
  <c r="Z518" i="3" s="1"/>
  <c r="Y684" i="3"/>
  <c r="Z685" i="3" s="1"/>
  <c r="Y172" i="3"/>
  <c r="Z173" i="3" s="1"/>
  <c r="Y618" i="3"/>
  <c r="Z619" i="3" s="1"/>
  <c r="Y616" i="3"/>
  <c r="Z617" i="3" s="1"/>
  <c r="Y1010" i="3"/>
  <c r="Z1011" i="3" s="1"/>
  <c r="Y146" i="3"/>
  <c r="Z147" i="3" s="1"/>
  <c r="Y392" i="3"/>
  <c r="Z393" i="3" s="1"/>
  <c r="Y559" i="3"/>
  <c r="Z560" i="3" s="1"/>
  <c r="Y47" i="3"/>
  <c r="Z48" i="3" s="1"/>
  <c r="Y214" i="3"/>
  <c r="Z215" i="3" s="1"/>
  <c r="Y381" i="3"/>
  <c r="Z382" i="3" s="1"/>
  <c r="Y548" i="3"/>
  <c r="Z549" i="3" s="1"/>
  <c r="Y36" i="3"/>
  <c r="Z37" i="3" s="1"/>
  <c r="Y720" i="3"/>
  <c r="Z721" i="3" s="1"/>
  <c r="Y740" i="3"/>
  <c r="Z741" i="3" s="1"/>
  <c r="Y746" i="3"/>
  <c r="Z747" i="3" s="1"/>
  <c r="Y1097" i="3"/>
  <c r="Z1098" i="3" s="1"/>
  <c r="Y846" i="3"/>
  <c r="Z847" i="3" s="1"/>
  <c r="Y833" i="3"/>
  <c r="Z834" i="3" s="1"/>
  <c r="Y869" i="3"/>
  <c r="Z870" i="3" s="1"/>
  <c r="Y760" i="3"/>
  <c r="Z761" i="3" s="1"/>
  <c r="Y927" i="3"/>
  <c r="Z928" i="3" s="1"/>
  <c r="Y1033" i="3"/>
  <c r="Z1034" i="3" s="1"/>
  <c r="Y1169" i="3"/>
  <c r="Z1170" i="3" s="1"/>
  <c r="Y1008" i="3"/>
  <c r="Z1009" i="3" s="1"/>
  <c r="Y692" i="3"/>
  <c r="Z693" i="3" s="1"/>
  <c r="Y837" i="3"/>
  <c r="Z838" i="3" s="1"/>
  <c r="Y744" i="3"/>
  <c r="Z745" i="3" s="1"/>
  <c r="Y911" i="3"/>
  <c r="Z912" i="3" s="1"/>
  <c r="Y82" i="3"/>
  <c r="Z83" i="3" s="1"/>
  <c r="Y892" i="3"/>
  <c r="Z893" i="3" s="1"/>
  <c r="Y992" i="3"/>
  <c r="Z993" i="3" s="1"/>
  <c r="Y1159" i="3"/>
  <c r="Z1160" i="3" s="1"/>
  <c r="Y603" i="3"/>
  <c r="Z604" i="3" s="1"/>
  <c r="Y814" i="3"/>
  <c r="Z815" i="3" s="1"/>
  <c r="Y1180" i="3"/>
  <c r="Z1181" i="3" s="1"/>
  <c r="Y805" i="3"/>
  <c r="Z806" i="3" s="1"/>
  <c r="Y728" i="3"/>
  <c r="Z729" i="3" s="1"/>
  <c r="Y895" i="3"/>
  <c r="Z896" i="3" s="1"/>
  <c r="Y766" i="3"/>
  <c r="Z767" i="3" s="1"/>
  <c r="Y1122" i="3"/>
  <c r="Z1123" i="3" s="1"/>
  <c r="Y506" i="3"/>
  <c r="Z507" i="3" s="1"/>
  <c r="Y660" i="3"/>
  <c r="Z661" i="3" s="1"/>
  <c r="Y387" i="3"/>
  <c r="Z388" i="3" s="1"/>
  <c r="Y385" i="3"/>
  <c r="Z386" i="3" s="1"/>
  <c r="Y922" i="3"/>
  <c r="Z923" i="3" s="1"/>
  <c r="Y304" i="3"/>
  <c r="Z305" i="3" s="1"/>
  <c r="Y471" i="3"/>
  <c r="Z472" i="3" s="1"/>
  <c r="Y638" i="3"/>
  <c r="Z639" i="3" s="1"/>
  <c r="Y126" i="3"/>
  <c r="Z127" i="3" s="1"/>
  <c r="Y293" i="3"/>
  <c r="Z294" i="3" s="1"/>
  <c r="Y460" i="3"/>
  <c r="Z461" i="3" s="1"/>
  <c r="Y123" i="3"/>
  <c r="Z124" i="3" s="1"/>
  <c r="Y681" i="3"/>
  <c r="Z682" i="3" s="1"/>
  <c r="Y361" i="3"/>
  <c r="Z362" i="3" s="1"/>
  <c r="Y722" i="3"/>
  <c r="Z723" i="3" s="1"/>
  <c r="Y104" i="3"/>
  <c r="Z105" i="3" s="1"/>
  <c r="Y271" i="3"/>
  <c r="Z272" i="3" s="1"/>
  <c r="Y438" i="3"/>
  <c r="Z439" i="3" s="1"/>
  <c r="Y605" i="3"/>
  <c r="Z606" i="3" s="1"/>
  <c r="Y93" i="3"/>
  <c r="Z94" i="3" s="1"/>
  <c r="Y515" i="3"/>
  <c r="Z516" i="3" s="1"/>
  <c r="Y513" i="3"/>
  <c r="Z514" i="3" s="1"/>
  <c r="Y970" i="3"/>
  <c r="Z971" i="3" s="1"/>
  <c r="Y273" i="3"/>
  <c r="Z274" i="3" s="1"/>
  <c r="Y352" i="3"/>
  <c r="Z353" i="3" s="1"/>
  <c r="Y519" i="3"/>
  <c r="Z520" i="3" s="1"/>
  <c r="Y686" i="3"/>
  <c r="Z687" i="3" s="1"/>
  <c r="Y174" i="3"/>
  <c r="Z175" i="3" s="1"/>
  <c r="Y341" i="3"/>
  <c r="Z342" i="3" s="1"/>
  <c r="Y508" i="3"/>
  <c r="Z509" i="3" s="1"/>
  <c r="Y171" i="3"/>
  <c r="Z172" i="3" s="1"/>
  <c r="Y733" i="3"/>
  <c r="Z734" i="3" s="1"/>
  <c r="Y489" i="3"/>
  <c r="Z490" i="3" s="1"/>
  <c r="Y770" i="3"/>
  <c r="Z771" i="3" s="1"/>
  <c r="Y152" i="3"/>
  <c r="Z153" i="3" s="1"/>
  <c r="Y319" i="3"/>
  <c r="Z320" i="3" s="1"/>
  <c r="Y486" i="3"/>
  <c r="Z487" i="3" s="1"/>
  <c r="Y653" i="3"/>
  <c r="Z654" i="3" s="1"/>
  <c r="Y141" i="3"/>
  <c r="Z142" i="3" s="1"/>
  <c r="Y308" i="3"/>
  <c r="Z309" i="3" s="1"/>
  <c r="Y726" i="3"/>
  <c r="Z727" i="3" s="1"/>
  <c r="Y299" i="3"/>
  <c r="Z300" i="3" s="1"/>
  <c r="Y1082" i="3"/>
  <c r="Z1083" i="3" s="1"/>
  <c r="Y464" i="3"/>
  <c r="Z465" i="3" s="1"/>
  <c r="Y631" i="3"/>
  <c r="Z632" i="3" s="1"/>
  <c r="Y119" i="3"/>
  <c r="Z120" i="3" s="1"/>
  <c r="Y286" i="3"/>
  <c r="Z287" i="3" s="1"/>
  <c r="Y453" i="3"/>
  <c r="Z454" i="3" s="1"/>
  <c r="Y620" i="3"/>
  <c r="Z621" i="3" s="1"/>
  <c r="Y108" i="3"/>
  <c r="Z109" i="3" s="1"/>
  <c r="Y451" i="3"/>
  <c r="Z452" i="3" s="1"/>
  <c r="Y449" i="3"/>
  <c r="Z450" i="3" s="1"/>
  <c r="Y946" i="3"/>
  <c r="Z947" i="3" s="1"/>
  <c r="Y249" i="3"/>
  <c r="Z250" i="3" s="1"/>
  <c r="Y328" i="3"/>
  <c r="Z329" i="3" s="1"/>
  <c r="Y495" i="3"/>
  <c r="Z496" i="3" s="1"/>
  <c r="Y662" i="3"/>
  <c r="Z663" i="3" s="1"/>
  <c r="Y150" i="3"/>
  <c r="Z151" i="3" s="1"/>
  <c r="Y317" i="3"/>
  <c r="Z318" i="3" s="1"/>
  <c r="Y484" i="3"/>
  <c r="Z485" i="3" s="1"/>
  <c r="Y147" i="3"/>
  <c r="Z148" i="3" s="1"/>
  <c r="Y887" i="3"/>
  <c r="Z888" i="3" s="1"/>
  <c r="Y708" i="3"/>
  <c r="Z709" i="3" s="1"/>
  <c r="Y1069" i="3"/>
  <c r="Z1070" i="3" s="1"/>
  <c r="Y774" i="3"/>
  <c r="Z775" i="3" s="1"/>
  <c r="Y1041" i="3"/>
  <c r="Z1042" i="3" s="1"/>
  <c r="Y696" i="3"/>
  <c r="Z697" i="3" s="1"/>
  <c r="Y863" i="3"/>
  <c r="Z864" i="3" s="1"/>
  <c r="Y1030" i="3"/>
  <c r="Z1031" i="3" s="1"/>
  <c r="Y1207" i="3"/>
  <c r="Z1208" i="3" s="1"/>
  <c r="Y1200" i="3"/>
  <c r="Z1201" i="3" s="1"/>
  <c r="Y944" i="3"/>
  <c r="Z945" i="3" s="1"/>
  <c r="Y1111" i="3"/>
  <c r="Z1112" i="3" s="1"/>
  <c r="Y710" i="3"/>
  <c r="Z711" i="3" s="1"/>
  <c r="Y813" i="3"/>
  <c r="Z814" i="3" s="1"/>
  <c r="Y913" i="3"/>
  <c r="Z914" i="3" s="1"/>
  <c r="Y354" i="3"/>
  <c r="Z355" i="3" s="1"/>
  <c r="Y1153" i="3"/>
  <c r="Z1154" i="3" s="1"/>
  <c r="Y847" i="3"/>
  <c r="Z848" i="3" s="1"/>
  <c r="Y1014" i="3"/>
  <c r="Z1015" i="3" s="1"/>
  <c r="Y1108" i="3"/>
  <c r="Z1109" i="3" s="1"/>
  <c r="Y753" i="3"/>
  <c r="Z754" i="3" s="1"/>
  <c r="Y1184" i="3"/>
  <c r="Z1185" i="3" s="1"/>
  <c r="Y928" i="3"/>
  <c r="Z929" i="3" s="1"/>
  <c r="Y1095" i="3"/>
  <c r="Z1096" i="3" s="1"/>
  <c r="Y313" i="3"/>
  <c r="Z314" i="3" s="1"/>
  <c r="Y779" i="3"/>
  <c r="Z780" i="3" s="1"/>
  <c r="Y1181" i="3"/>
  <c r="Z1182" i="3" s="1"/>
  <c r="Y1025" i="3"/>
  <c r="Z1026" i="3" s="1"/>
  <c r="Y395" i="3"/>
  <c r="Z396" i="3" s="1"/>
  <c r="Y640" i="3"/>
  <c r="Z641" i="3" s="1"/>
  <c r="Y831" i="3"/>
  <c r="Z832" i="3" s="1"/>
  <c r="Y998" i="3"/>
  <c r="Z999" i="3" s="1"/>
  <c r="Y1058" i="3"/>
  <c r="Z1059" i="3" s="1"/>
  <c r="Y440" i="3"/>
  <c r="Z441" i="3" s="1"/>
  <c r="Y607" i="3"/>
  <c r="Z608" i="3" s="1"/>
  <c r="Y95" i="3"/>
  <c r="Z96" i="3" s="1"/>
  <c r="Y262" i="3"/>
  <c r="Z263" i="3" s="1"/>
  <c r="Y429" i="3"/>
  <c r="Z430" i="3" s="1"/>
  <c r="Y596" i="3"/>
  <c r="Z597" i="3" s="1"/>
  <c r="Y178" i="3"/>
  <c r="Z179" i="3" s="1"/>
  <c r="Y858" i="3"/>
  <c r="Z859" i="3" s="1"/>
  <c r="Y161" i="3"/>
  <c r="Z162" i="3" s="1"/>
  <c r="Y396" i="3"/>
  <c r="Z397" i="3" s="1"/>
  <c r="Y59" i="3"/>
  <c r="Z60" i="3" s="1"/>
  <c r="Y626" i="3"/>
  <c r="Z627" i="3" s="1"/>
  <c r="Y552" i="3"/>
  <c r="Z553" i="3" s="1"/>
  <c r="Y40" i="3"/>
  <c r="Z41" i="3" s="1"/>
  <c r="Y207" i="3"/>
  <c r="Z208" i="3" s="1"/>
  <c r="Y374" i="3"/>
  <c r="Z375" i="3" s="1"/>
  <c r="Y541" i="3"/>
  <c r="Z542" i="3" s="1"/>
  <c r="Y29" i="3"/>
  <c r="Z30" i="3" s="1"/>
  <c r="Y339" i="3"/>
  <c r="Z340" i="3" s="1"/>
  <c r="Y906" i="3"/>
  <c r="Z907" i="3" s="1"/>
  <c r="Y288" i="3"/>
  <c r="Z289" i="3" s="1"/>
  <c r="Y455" i="3"/>
  <c r="Z456" i="3" s="1"/>
  <c r="Y622" i="3"/>
  <c r="Z623" i="3" s="1"/>
  <c r="Y110" i="3"/>
  <c r="Z111" i="3" s="1"/>
  <c r="Y277" i="3"/>
  <c r="Z278" i="3" s="1"/>
  <c r="Y444" i="3"/>
  <c r="Z445" i="3" s="1"/>
  <c r="Y107" i="3"/>
  <c r="Z108" i="3" s="1"/>
  <c r="Y649" i="3"/>
  <c r="Z650" i="3" s="1"/>
  <c r="Y315" i="3"/>
  <c r="Z316" i="3" s="1"/>
  <c r="Y706" i="3"/>
  <c r="Z707" i="3" s="1"/>
  <c r="Y600" i="3"/>
  <c r="Z601" i="3" s="1"/>
  <c r="Y88" i="3"/>
  <c r="Z89" i="3" s="1"/>
  <c r="Y255" i="3"/>
  <c r="Z256" i="3" s="1"/>
  <c r="Y422" i="3"/>
  <c r="Z423" i="3" s="1"/>
  <c r="Y589" i="3"/>
  <c r="Z590" i="3" s="1"/>
  <c r="Y77" i="3"/>
  <c r="Z78" i="3" s="1"/>
  <c r="Y244" i="3"/>
  <c r="Z245" i="3" s="1"/>
  <c r="Y1018" i="3"/>
  <c r="Z1019" i="3" s="1"/>
  <c r="Y195" i="3"/>
  <c r="Z196" i="3" s="1"/>
  <c r="Y400" i="3"/>
  <c r="Z401" i="3" s="1"/>
  <c r="Y567" i="3"/>
  <c r="Z568" i="3" s="1"/>
  <c r="Y55" i="3"/>
  <c r="Z56" i="3" s="1"/>
  <c r="Y222" i="3"/>
  <c r="Z223" i="3" s="1"/>
  <c r="Y389" i="3"/>
  <c r="Z390" i="3" s="1"/>
  <c r="Y556" i="3"/>
  <c r="Z557" i="3" s="1"/>
  <c r="Y44" i="3"/>
  <c r="Z45" i="3" s="1"/>
  <c r="Y267" i="3"/>
  <c r="Z268" i="3" s="1"/>
  <c r="Y882" i="3"/>
  <c r="Z883" i="3" s="1"/>
  <c r="Y185" i="3"/>
  <c r="Z186" i="3" s="1"/>
  <c r="Y264" i="3"/>
  <c r="Z265" i="3" s="1"/>
  <c r="Y431" i="3"/>
  <c r="Z432" i="3" s="1"/>
  <c r="Y598" i="3"/>
  <c r="Z599" i="3" s="1"/>
  <c r="Y86" i="3"/>
  <c r="Z87" i="3" s="1"/>
  <c r="Y253" i="3"/>
  <c r="Z254" i="3" s="1"/>
  <c r="Y420" i="3"/>
  <c r="Z421" i="3" s="1"/>
  <c r="Y83" i="3"/>
  <c r="Z84" i="3" s="1"/>
  <c r="Y1134" i="3"/>
  <c r="Z1135" i="3" s="1"/>
  <c r="Y194" i="3"/>
  <c r="Z195" i="3" s="1"/>
  <c r="Y1081" i="3"/>
  <c r="Z1082" i="3" s="1"/>
  <c r="Y891" i="3"/>
  <c r="Z892" i="3" s="1"/>
  <c r="Y1195" i="3"/>
  <c r="Z1196" i="3" s="1"/>
  <c r="Y982" i="3"/>
  <c r="Z983" i="3" s="1"/>
  <c r="Y128" i="3"/>
  <c r="Z129" i="3" s="1"/>
  <c r="Y785" i="3"/>
  <c r="Z786" i="3" s="1"/>
  <c r="Y625" i="3"/>
  <c r="Z626" i="3" s="1"/>
  <c r="Y788" i="3"/>
  <c r="Z789" i="3" s="1"/>
  <c r="Y1141" i="3"/>
  <c r="Z1142" i="3" s="1"/>
  <c r="Y1179" i="3"/>
  <c r="Z1180" i="3" s="1"/>
  <c r="Y1085" i="3"/>
  <c r="Z1086" i="3" s="1"/>
  <c r="Y1144" i="3"/>
  <c r="Z1145" i="3" s="1"/>
  <c r="Y563" i="3"/>
  <c r="Z564" i="3" s="1"/>
  <c r="Y799" i="3"/>
  <c r="Z800" i="3" s="1"/>
  <c r="Y747" i="3"/>
  <c r="Z748" i="3" s="1"/>
  <c r="Y880" i="3"/>
  <c r="Z881" i="3" s="1"/>
  <c r="Y1047" i="3"/>
  <c r="Z1048" i="3" s="1"/>
  <c r="Y306" i="3"/>
  <c r="Z307" i="3" s="1"/>
  <c r="Y242" i="3"/>
  <c r="Z243" i="3" s="1"/>
  <c r="Y1163" i="3"/>
  <c r="Z1164" i="3" s="1"/>
  <c r="Y957" i="3"/>
  <c r="Z958" i="3" s="1"/>
  <c r="Y801" i="3"/>
  <c r="Z802" i="3" s="1"/>
  <c r="Y1172" i="3"/>
  <c r="Z1173" i="3" s="1"/>
  <c r="Y1128" i="3"/>
  <c r="Z1129" i="3" s="1"/>
  <c r="Y522" i="3"/>
  <c r="Z523" i="3" s="1"/>
  <c r="Y950" i="3"/>
  <c r="Z951" i="3" s="1"/>
  <c r="Y1043" i="3"/>
  <c r="Z1044" i="3" s="1"/>
  <c r="Y705" i="3"/>
  <c r="Z706" i="3" s="1"/>
  <c r="Y1077" i="3"/>
  <c r="Z1078" i="3" s="1"/>
  <c r="Y864" i="3"/>
  <c r="Z865" i="3" s="1"/>
  <c r="Y1031" i="3"/>
  <c r="Z1032" i="3" s="1"/>
  <c r="Y426" i="3"/>
  <c r="Z427" i="3" s="1"/>
  <c r="Y476" i="3"/>
  <c r="Z477" i="3" s="1"/>
  <c r="Y1132" i="3"/>
  <c r="Z1133" i="3" s="1"/>
  <c r="Y829" i="3"/>
  <c r="Z830" i="3" s="1"/>
  <c r="Y1196" i="3"/>
  <c r="Z1197" i="3" s="1"/>
  <c r="Y1053" i="3"/>
  <c r="Z1054" i="3" s="1"/>
  <c r="Y1112" i="3"/>
  <c r="Z1113" i="3" s="1"/>
  <c r="Y767" i="3"/>
  <c r="Z768" i="3" s="1"/>
  <c r="Y934" i="3"/>
  <c r="Z935" i="3" s="1"/>
  <c r="Y579" i="3"/>
  <c r="Z580" i="3" s="1"/>
  <c r="Y577" i="3"/>
  <c r="Z578" i="3" s="1"/>
  <c r="Y994" i="3"/>
  <c r="Z995" i="3" s="1"/>
  <c r="Y532" i="3"/>
  <c r="Z533" i="3" s="1"/>
  <c r="Y757" i="3"/>
  <c r="Z758" i="3" s="1"/>
  <c r="Y794" i="3"/>
  <c r="Z795" i="3" s="1"/>
  <c r="Y332" i="3"/>
  <c r="Z333" i="3" s="1"/>
  <c r="Y750" i="3"/>
  <c r="Z751" i="3" s="1"/>
  <c r="Y363" i="3"/>
  <c r="Z364" i="3" s="1"/>
  <c r="Y1106" i="3"/>
  <c r="Z1107" i="3" s="1"/>
  <c r="Y488" i="3"/>
  <c r="Z489" i="3" s="1"/>
  <c r="Y655" i="3"/>
  <c r="Z656" i="3" s="1"/>
  <c r="Y143" i="3"/>
  <c r="Z144" i="3" s="1"/>
  <c r="Y310" i="3"/>
  <c r="Z311" i="3" s="1"/>
  <c r="Y477" i="3"/>
  <c r="Z478" i="3" s="1"/>
  <c r="Y132" i="3"/>
  <c r="Z133" i="3" s="1"/>
  <c r="Y50" i="3"/>
  <c r="Z51" i="3" s="1"/>
  <c r="Y34" i="3"/>
  <c r="Z35" i="3" s="1"/>
  <c r="Y842" i="3"/>
  <c r="Z843" i="3" s="1"/>
  <c r="Y224" i="3"/>
  <c r="Z225" i="3" s="1"/>
  <c r="Y391" i="3"/>
  <c r="Z392" i="3" s="1"/>
  <c r="Y558" i="3"/>
  <c r="Z559" i="3" s="1"/>
  <c r="Y46" i="3"/>
  <c r="Z47" i="3" s="1"/>
  <c r="Y213" i="3"/>
  <c r="Z214" i="3" s="1"/>
  <c r="Y380" i="3"/>
  <c r="Z381" i="3" s="1"/>
  <c r="Y43" i="3"/>
  <c r="Z44" i="3" s="1"/>
  <c r="Y491" i="3"/>
  <c r="Z492" i="3" s="1"/>
  <c r="Y1154" i="3"/>
  <c r="Z1155" i="3" s="1"/>
  <c r="Y536" i="3"/>
  <c r="Z537" i="3" s="1"/>
  <c r="Y24" i="3"/>
  <c r="Z25" i="3" s="1"/>
  <c r="Y191" i="3"/>
  <c r="Z192" i="3" s="1"/>
  <c r="Y358" i="3"/>
  <c r="Z359" i="3" s="1"/>
  <c r="Y525" i="3"/>
  <c r="Z526" i="3" s="1"/>
  <c r="Y180" i="3"/>
  <c r="Z181" i="3" s="1"/>
  <c r="Y474" i="3"/>
  <c r="Z475" i="3" s="1"/>
  <c r="Y467" i="3"/>
  <c r="Z468" i="3" s="1"/>
  <c r="Y954" i="3"/>
  <c r="Z955" i="3" s="1"/>
  <c r="Y257" i="3"/>
  <c r="Z258" i="3" s="1"/>
  <c r="Y336" i="3"/>
  <c r="Z337" i="3" s="1"/>
  <c r="Y503" i="3"/>
  <c r="Z504" i="3" s="1"/>
  <c r="Y670" i="3"/>
  <c r="Z671" i="3" s="1"/>
  <c r="Y158" i="3"/>
  <c r="Z159" i="3" s="1"/>
  <c r="Y325" i="3"/>
  <c r="Z326" i="3" s="1"/>
  <c r="Y492" i="3"/>
  <c r="Z493" i="3" s="1"/>
  <c r="Y155" i="3"/>
  <c r="Z156" i="3" s="1"/>
  <c r="Y781" i="3"/>
  <c r="Z782" i="3" s="1"/>
  <c r="Y611" i="3"/>
  <c r="Z612" i="3" s="1"/>
  <c r="Y818" i="3"/>
  <c r="Z819" i="3" s="1"/>
  <c r="Y121" i="3"/>
  <c r="Z122" i="3" s="1"/>
  <c r="Y200" i="3"/>
  <c r="Z201" i="3" s="1"/>
  <c r="Y367" i="3"/>
  <c r="Z368" i="3" s="1"/>
  <c r="Y534" i="3"/>
  <c r="Z535" i="3" s="1"/>
  <c r="Y22" i="3"/>
  <c r="Z23" i="3" s="1"/>
  <c r="Y189" i="3"/>
  <c r="Z190" i="3" s="1"/>
  <c r="Y356" i="3"/>
  <c r="Z357" i="3" s="1"/>
  <c r="Y19" i="3"/>
  <c r="Z20" i="3" s="1"/>
  <c r="U10" i="3" l="1"/>
  <c r="X10" i="3"/>
  <c r="W733" i="3"/>
  <c r="Z733" i="3"/>
  <c r="W734" i="3"/>
</calcChain>
</file>

<file path=xl/sharedStrings.xml><?xml version="1.0" encoding="utf-8"?>
<sst xmlns="http://schemas.openxmlformats.org/spreadsheetml/2006/main" count="76" uniqueCount="64">
  <si>
    <t>산출시점</t>
    <phoneticPr fontId="2" type="noConversion"/>
  </si>
  <si>
    <t>수렴오차</t>
    <phoneticPr fontId="2" type="noConversion"/>
  </si>
  <si>
    <t>최종관찰만기</t>
    <phoneticPr fontId="2" type="noConversion"/>
  </si>
  <si>
    <t>최초수렴시점</t>
    <phoneticPr fontId="2" type="noConversion"/>
  </si>
  <si>
    <t>장기선도금리</t>
    <phoneticPr fontId="2" type="noConversion"/>
  </si>
  <si>
    <t>Forward(Discrete)</t>
    <phoneticPr fontId="2" type="noConversion"/>
  </si>
  <si>
    <t>수렴속도</t>
    <phoneticPr fontId="2" type="noConversion"/>
  </si>
  <si>
    <t>이자지급횟수(년)</t>
    <phoneticPr fontId="2" type="noConversion"/>
  </si>
  <si>
    <t>Tenor(월)</t>
    <phoneticPr fontId="2" type="noConversion"/>
  </si>
  <si>
    <t>YTM → Spot 변환</t>
    <phoneticPr fontId="2" type="noConversion"/>
  </si>
  <si>
    <t>Tenor(년)</t>
    <phoneticPr fontId="2" type="noConversion"/>
  </si>
  <si>
    <t>수렴속도</t>
    <phoneticPr fontId="2" type="noConversion"/>
  </si>
  <si>
    <t>원화 무위험 금리기간구조</t>
    <phoneticPr fontId="2" type="noConversion"/>
  </si>
  <si>
    <t>Spot(Discrete)</t>
    <phoneticPr fontId="2" type="noConversion"/>
  </si>
  <si>
    <t>Forward(Discrete)</t>
    <phoneticPr fontId="2" type="noConversion"/>
  </si>
  <si>
    <t>YTM</t>
    <phoneticPr fontId="2" type="noConversion"/>
  </si>
  <si>
    <t>Spot(Cont)</t>
    <phoneticPr fontId="2" type="noConversion"/>
  </si>
  <si>
    <t>Spot(Cont)+LP</t>
    <phoneticPr fontId="2" type="noConversion"/>
  </si>
  <si>
    <t>: 입력 셀</t>
    <phoneticPr fontId="2" type="noConversion"/>
  </si>
  <si>
    <t>기본 무위험 금리기간구조</t>
    <phoneticPr fontId="2" type="noConversion"/>
  </si>
  <si>
    <t>조정 무위험 금리기간구조(유동성프리미엄 가산)</t>
    <phoneticPr fontId="2" type="noConversion"/>
  </si>
  <si>
    <t>수렴여부</t>
    <phoneticPr fontId="2" type="noConversion"/>
  </si>
  <si>
    <t>LP 및 VA</t>
    <phoneticPr fontId="2" type="noConversion"/>
  </si>
  <si>
    <t>유동성프리미엄(LP)</t>
    <phoneticPr fontId="2" type="noConversion"/>
  </si>
  <si>
    <t>자산평가용 금리기간구조</t>
    <phoneticPr fontId="2" type="noConversion"/>
  </si>
  <si>
    <t>변액평가 수익률</t>
    <phoneticPr fontId="2" type="noConversion"/>
  </si>
  <si>
    <t>-</t>
    <phoneticPr fontId="2" type="noConversion"/>
  </si>
  <si>
    <t>조정 무위험 금리기간구조(변동성조정 가산)</t>
    <phoneticPr fontId="2" type="noConversion"/>
  </si>
  <si>
    <t>변동성조정(VA)</t>
    <phoneticPr fontId="2" type="noConversion"/>
  </si>
  <si>
    <t>Spot(Cont)+VA</t>
    <phoneticPr fontId="2" type="noConversion"/>
  </si>
  <si>
    <t>국고채 금리</t>
    <phoneticPr fontId="2" type="noConversion"/>
  </si>
  <si>
    <t>산출시점</t>
    <phoneticPr fontId="2" type="noConversion"/>
  </si>
  <si>
    <t>수렴속도</t>
    <phoneticPr fontId="2" type="noConversion"/>
  </si>
  <si>
    <t>이자지급횟수(년)</t>
    <phoneticPr fontId="2" type="noConversion"/>
  </si>
  <si>
    <t>Tener(년)</t>
    <phoneticPr fontId="2" type="noConversion"/>
  </si>
  <si>
    <t>Spot(Cont)</t>
    <phoneticPr fontId="2" type="noConversion"/>
  </si>
  <si>
    <t>Spot(Cont)+LP</t>
    <phoneticPr fontId="2" type="noConversion"/>
  </si>
  <si>
    <t>Spot(Cont)+VA</t>
    <phoneticPr fontId="2" type="noConversion"/>
  </si>
  <si>
    <t>최종관찰만기 단계적 확대(1단계 ,23년)</t>
    <phoneticPr fontId="2" type="noConversion"/>
  </si>
  <si>
    <t>YTM → Spot 변환</t>
  </si>
  <si>
    <t>유동성프리미엄 산출자료</t>
    <phoneticPr fontId="2" type="noConversion"/>
  </si>
  <si>
    <t>구분</t>
    <phoneticPr fontId="2" type="noConversion"/>
  </si>
  <si>
    <t>특수채</t>
    <phoneticPr fontId="2" type="noConversion"/>
  </si>
  <si>
    <t>금융채</t>
    <phoneticPr fontId="2" type="noConversion"/>
  </si>
  <si>
    <t>외화채</t>
    <phoneticPr fontId="2" type="noConversion"/>
  </si>
  <si>
    <t>개인대출</t>
    <phoneticPr fontId="2" type="noConversion"/>
  </si>
  <si>
    <t>계</t>
    <phoneticPr fontId="2" type="noConversion"/>
  </si>
  <si>
    <t>회사채 등</t>
    <phoneticPr fontId="2" type="noConversion"/>
  </si>
  <si>
    <t>위험스프레드
(A, bp)</t>
    <phoneticPr fontId="2" type="noConversion"/>
  </si>
  <si>
    <t>신용스프레드
(B, bp)</t>
    <phoneticPr fontId="2" type="noConversion"/>
  </si>
  <si>
    <t>자산별LP
(C=A-B, bp)</t>
    <phoneticPr fontId="2" type="noConversion"/>
  </si>
  <si>
    <t>장기선도금리 산출자료</t>
    <phoneticPr fontId="2" type="noConversion"/>
  </si>
  <si>
    <t>기대인플레이션</t>
    <phoneticPr fontId="2" type="noConversion"/>
  </si>
  <si>
    <t>장기선도
기준금리</t>
    <phoneticPr fontId="2" type="noConversion"/>
  </si>
  <si>
    <t>적용년도
(전년도 산출)</t>
    <phoneticPr fontId="2" type="noConversion"/>
  </si>
  <si>
    <t>△ 0.15%</t>
    <phoneticPr fontId="2" type="noConversion"/>
  </si>
  <si>
    <t>전년도 대비 조정</t>
    <phoneticPr fontId="2" type="noConversion"/>
  </si>
  <si>
    <t>△ 0.25%</t>
    <phoneticPr fontId="2" type="noConversion"/>
  </si>
  <si>
    <t>장기선도금리
(LTFR)</t>
    <phoneticPr fontId="2" type="noConversion"/>
  </si>
  <si>
    <t>자산비중
(D)</t>
    <phoneticPr fontId="2" type="noConversion"/>
  </si>
  <si>
    <t>가중평균
(C * D, bp)</t>
    <phoneticPr fontId="2" type="noConversion"/>
  </si>
  <si>
    <t>실질이자율 
장기평균</t>
    <phoneticPr fontId="2" type="noConversion"/>
  </si>
  <si>
    <t>※ 실질이자율 = { 명목이자율(=CD금리(91일물)) - 물가상승률 } / ( 1 + 물가상승률 )</t>
    <phoneticPr fontId="2" type="noConversion"/>
  </si>
  <si>
    <t>※ 실질이자율의 장기평균 : 각 연도별 국내 무위험 지표금리(CD91일물)에 
물가상승률을 차감조정한 값을 지수평활법을 통해 가중평균하여 산출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</si>
</sst>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\[0\]"/>
    <numFmt numFmtId="177" formatCode="0.0&quot;bp&quot;"/>
    <numFmt numFmtId="178" formatCode="0.000%"/>
    <numFmt numFmtId="179" formatCode="0&quot;년&quot;"/>
    <numFmt numFmtId="180" formatCode="0.0000000"/>
    <numFmt numFmtId="181" formatCode="0.00000000"/>
    <numFmt numFmtId="182" formatCode="0.0"/>
  </numFmts>
  <fonts count="22"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Arial Narrow"/>
      <family val="2"/>
    </font>
    <font>
      <sz val="11"/>
      <color theme="1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b/>
      <sz val="10"/>
      <color rgb="FFFA7D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i/>
      <sz val="1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</font>
    <font>
      <sz val="10"/>
      <color theme="0" tint="-4.9989318521683403E-2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FA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lightUp"/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3" fillId="0" borderId="0"/>
    <xf numFmtId="176" fontId="5" fillId="3" borderId="0" applyBorder="0">
      <alignment horizontal="center" vertical="center"/>
    </xf>
    <xf numFmtId="0" fontId="6" fillId="4" borderId="9" applyFont="0" applyBorder="0" applyAlignment="0">
      <alignment horizontal="left" indent="1"/>
    </xf>
    <xf numFmtId="9" fontId="14" fillId="0" borderId="0" applyFont="0" applyFill="0" applyBorder="0" applyAlignment="0" applyProtection="0">
      <alignment vertical="center"/>
    </xf>
    <xf numFmtId="0" fontId="14" fillId="9" borderId="17" applyNumberFormat="0" applyFont="0" applyAlignment="0" applyProtection="0">
      <alignment vertical="center"/>
    </xf>
    <xf numFmtId="0" fontId="16" fillId="0" borderId="0"/>
    <xf numFmtId="41" fontId="14" fillId="0" borderId="0" applyFont="0" applyFill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7" fillId="7" borderId="3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 vertical="center"/>
    </xf>
    <xf numFmtId="0" fontId="15" fillId="6" borderId="8" xfId="0" applyNumberFormat="1" applyFont="1" applyFill="1" applyBorder="1" applyAlignment="1">
      <alignment horizontal="center"/>
    </xf>
    <xf numFmtId="0" fontId="15" fillId="6" borderId="9" xfId="0" applyNumberFormat="1" applyFont="1" applyFill="1" applyBorder="1" applyAlignment="1">
      <alignment horizontal="center"/>
    </xf>
    <xf numFmtId="178" fontId="15" fillId="6" borderId="9" xfId="0" applyNumberFormat="1" applyFont="1" applyFill="1" applyBorder="1" applyAlignment="1">
      <alignment horizontal="center"/>
    </xf>
    <xf numFmtId="0" fontId="15" fillId="6" borderId="3" xfId="0" applyNumberFormat="1" applyFont="1" applyFill="1" applyBorder="1" applyAlignment="1">
      <alignment horizontal="center"/>
    </xf>
    <xf numFmtId="178" fontId="15" fillId="6" borderId="3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3" fontId="11" fillId="7" borderId="16" xfId="1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8" xfId="4" applyFont="1" applyFill="1" applyBorder="1" applyAlignment="1">
      <alignment horizontal="center" vertical="center"/>
    </xf>
    <xf numFmtId="0" fontId="8" fillId="7" borderId="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78" fontId="13" fillId="0" borderId="14" xfId="5" applyNumberFormat="1" applyFont="1" applyFill="1" applyBorder="1" applyAlignment="1">
      <alignment horizontal="center" vertical="center"/>
    </xf>
    <xf numFmtId="178" fontId="13" fillId="0" borderId="7" xfId="5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13" fillId="0" borderId="15" xfId="5" applyNumberFormat="1" applyFont="1" applyFill="1" applyBorder="1" applyAlignment="1">
      <alignment horizontal="center" vertical="center"/>
    </xf>
    <xf numFmtId="178" fontId="13" fillId="0" borderId="14" xfId="0" applyNumberFormat="1" applyFont="1" applyFill="1" applyBorder="1" applyAlignment="1">
      <alignment horizontal="center" vertical="center"/>
    </xf>
    <xf numFmtId="178" fontId="13" fillId="0" borderId="0" xfId="5" applyNumberFormat="1" applyFont="1" applyFill="1" applyBorder="1" applyAlignment="1">
      <alignment horizontal="center" vertical="center"/>
    </xf>
    <xf numFmtId="178" fontId="13" fillId="0" borderId="0" xfId="0" applyNumberFormat="1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178" fontId="13" fillId="0" borderId="6" xfId="5" applyNumberFormat="1" applyFont="1" applyFill="1" applyBorder="1" applyAlignment="1">
      <alignment horizontal="center" vertical="center"/>
    </xf>
    <xf numFmtId="178" fontId="13" fillId="0" borderId="12" xfId="5" applyNumberFormat="1" applyFont="1" applyFill="1" applyBorder="1" applyAlignment="1">
      <alignment horizontal="center" vertical="center"/>
    </xf>
    <xf numFmtId="178" fontId="13" fillId="0" borderId="7" xfId="0" applyNumberFormat="1" applyFont="1" applyFill="1" applyBorder="1" applyAlignment="1">
      <alignment horizontal="center" vertical="center"/>
    </xf>
    <xf numFmtId="178" fontId="13" fillId="0" borderId="5" xfId="0" applyNumberFormat="1" applyFont="1" applyFill="1" applyBorder="1" applyAlignment="1">
      <alignment horizontal="center" vertical="center"/>
    </xf>
    <xf numFmtId="178" fontId="13" fillId="0" borderId="4" xfId="0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178" fontId="15" fillId="6" borderId="8" xfId="0" applyNumberFormat="1" applyFont="1" applyFill="1" applyBorder="1" applyAlignment="1">
      <alignment horizontal="center"/>
    </xf>
    <xf numFmtId="0" fontId="7" fillId="9" borderId="17" xfId="6" applyNumberFormat="1" applyFont="1" applyAlignment="1">
      <alignment horizontal="center"/>
    </xf>
    <xf numFmtId="178" fontId="0" fillId="0" borderId="0" xfId="0" applyNumberFormat="1">
      <alignment vertical="center"/>
    </xf>
    <xf numFmtId="0" fontId="16" fillId="0" borderId="0" xfId="7"/>
    <xf numFmtId="0" fontId="9" fillId="0" borderId="0" xfId="0" applyFont="1" applyBorder="1">
      <alignment vertical="center"/>
    </xf>
    <xf numFmtId="0" fontId="17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7" fillId="0" borderId="0" xfId="0" applyFont="1">
      <alignment vertical="center"/>
    </xf>
    <xf numFmtId="0" fontId="15" fillId="10" borderId="9" xfId="0" applyNumberFormat="1" applyFont="1" applyFill="1" applyBorder="1" applyAlignment="1">
      <alignment horizontal="center"/>
    </xf>
    <xf numFmtId="0" fontId="17" fillId="0" borderId="7" xfId="0" applyFont="1" applyBorder="1">
      <alignment vertical="center"/>
    </xf>
    <xf numFmtId="0" fontId="17" fillId="0" borderId="9" xfId="0" applyFont="1" applyBorder="1">
      <alignment vertical="center"/>
    </xf>
    <xf numFmtId="0" fontId="17" fillId="0" borderId="3" xfId="0" applyFont="1" applyBorder="1">
      <alignment vertical="center"/>
    </xf>
    <xf numFmtId="0" fontId="15" fillId="10" borderId="9" xfId="0" applyFont="1" applyFill="1" applyBorder="1" applyAlignment="1">
      <alignment horizontal="center" vertical="center"/>
    </xf>
    <xf numFmtId="0" fontId="7" fillId="12" borderId="16" xfId="0" applyFont="1" applyFill="1" applyBorder="1">
      <alignment vertical="center"/>
    </xf>
    <xf numFmtId="0" fontId="7" fillId="12" borderId="2" xfId="0" applyFont="1" applyFill="1" applyBorder="1" applyAlignment="1">
      <alignment horizontal="center" vertical="center"/>
    </xf>
    <xf numFmtId="178" fontId="15" fillId="0" borderId="9" xfId="0" applyNumberFormat="1" applyFont="1" applyBorder="1">
      <alignment vertical="center"/>
    </xf>
    <xf numFmtId="0" fontId="9" fillId="0" borderId="12" xfId="0" applyFont="1" applyBorder="1">
      <alignment vertical="center"/>
    </xf>
    <xf numFmtId="179" fontId="8" fillId="0" borderId="2" xfId="0" applyNumberFormat="1" applyFont="1" applyFill="1" applyBorder="1" applyAlignment="1">
      <alignment horizontal="center" vertical="center"/>
    </xf>
    <xf numFmtId="10" fontId="8" fillId="0" borderId="2" xfId="5" applyNumberFormat="1" applyFont="1" applyFill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10" fontId="8" fillId="0" borderId="2" xfId="0" applyNumberFormat="1" applyFont="1" applyBorder="1" applyAlignment="1">
      <alignment horizontal="center" vertical="center"/>
    </xf>
    <xf numFmtId="182" fontId="8" fillId="0" borderId="2" xfId="0" applyNumberFormat="1" applyFont="1" applyBorder="1" applyAlignment="1">
      <alignment horizontal="center" vertical="center"/>
    </xf>
    <xf numFmtId="182" fontId="19" fillId="15" borderId="2" xfId="0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10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0" fontId="19" fillId="15" borderId="2" xfId="0" applyNumberFormat="1" applyFont="1" applyFill="1" applyBorder="1" applyAlignment="1">
      <alignment horizontal="center" vertical="center"/>
    </xf>
    <xf numFmtId="177" fontId="7" fillId="7" borderId="11" xfId="0" applyNumberFormat="1" applyFont="1" applyFill="1" applyBorder="1" applyAlignment="1">
      <alignment horizontal="center"/>
    </xf>
    <xf numFmtId="177" fontId="7" fillId="7" borderId="2" xfId="0" applyNumberFormat="1" applyFont="1" applyFill="1" applyBorder="1" applyAlignment="1">
      <alignment horizontal="center"/>
    </xf>
    <xf numFmtId="180" fontId="8" fillId="3" borderId="11" xfId="0" applyNumberFormat="1" applyFont="1" applyFill="1" applyBorder="1" applyAlignment="1">
      <alignment horizontal="center" vertical="center"/>
    </xf>
    <xf numFmtId="180" fontId="8" fillId="3" borderId="2" xfId="0" applyNumberFormat="1" applyFont="1" applyFill="1" applyBorder="1" applyAlignment="1">
      <alignment horizontal="center" vertical="center"/>
    </xf>
    <xf numFmtId="180" fontId="8" fillId="8" borderId="13" xfId="0" applyNumberFormat="1" applyFont="1" applyFill="1" applyBorder="1" applyAlignment="1">
      <alignment horizontal="center" vertical="center"/>
    </xf>
    <xf numFmtId="180" fontId="8" fillId="8" borderId="11" xfId="0" applyNumberFormat="1" applyFont="1" applyFill="1" applyBorder="1" applyAlignment="1">
      <alignment horizontal="center" vertical="center"/>
    </xf>
    <xf numFmtId="178" fontId="7" fillId="6" borderId="13" xfId="0" applyNumberFormat="1" applyFont="1" applyFill="1" applyBorder="1" applyAlignment="1">
      <alignment horizontal="center"/>
    </xf>
    <xf numFmtId="178" fontId="7" fillId="6" borderId="11" xfId="0" applyNumberFormat="1" applyFont="1" applyFill="1" applyBorder="1" applyAlignment="1">
      <alignment horizontal="center"/>
    </xf>
    <xf numFmtId="176" fontId="8" fillId="7" borderId="11" xfId="3" applyFont="1" applyFill="1" applyBorder="1" applyAlignment="1">
      <alignment horizontal="center" vertical="center" wrapText="1"/>
    </xf>
    <xf numFmtId="176" fontId="8" fillId="7" borderId="2" xfId="3" applyFont="1" applyFill="1" applyBorder="1" applyAlignment="1">
      <alignment horizontal="center" vertical="center" wrapText="1"/>
    </xf>
    <xf numFmtId="14" fontId="7" fillId="6" borderId="13" xfId="0" applyNumberFormat="1" applyFont="1" applyFill="1" applyBorder="1" applyAlignment="1">
      <alignment horizontal="center"/>
    </xf>
    <xf numFmtId="14" fontId="7" fillId="6" borderId="11" xfId="0" applyNumberFormat="1" applyFont="1" applyFill="1" applyBorder="1" applyAlignment="1">
      <alignment horizontal="center"/>
    </xf>
    <xf numFmtId="179" fontId="7" fillId="6" borderId="11" xfId="0" applyNumberFormat="1" applyFont="1" applyFill="1" applyBorder="1" applyAlignment="1">
      <alignment horizontal="center"/>
    </xf>
    <xf numFmtId="179" fontId="7" fillId="6" borderId="2" xfId="0" applyNumberFormat="1" applyFont="1" applyFill="1" applyBorder="1" applyAlignment="1">
      <alignment horizontal="center"/>
    </xf>
    <xf numFmtId="10" fontId="7" fillId="6" borderId="11" xfId="0" applyNumberFormat="1" applyFont="1" applyFill="1" applyBorder="1" applyAlignment="1">
      <alignment horizontal="center"/>
    </xf>
    <xf numFmtId="10" fontId="7" fillId="6" borderId="2" xfId="0" applyNumberFormat="1" applyFont="1" applyFill="1" applyBorder="1" applyAlignment="1">
      <alignment horizontal="center"/>
    </xf>
    <xf numFmtId="14" fontId="4" fillId="5" borderId="10" xfId="0" applyNumberFormat="1" applyFont="1" applyFill="1" applyBorder="1" applyAlignment="1">
      <alignment horizontal="center"/>
    </xf>
    <xf numFmtId="14" fontId="4" fillId="5" borderId="13" xfId="0" applyNumberFormat="1" applyFont="1" applyFill="1" applyBorder="1" applyAlignment="1">
      <alignment horizontal="center"/>
    </xf>
    <xf numFmtId="176" fontId="8" fillId="7" borderId="10" xfId="3" applyFont="1" applyFill="1" applyBorder="1" applyAlignment="1">
      <alignment horizontal="center" vertical="center" wrapText="1"/>
    </xf>
    <xf numFmtId="14" fontId="7" fillId="6" borderId="10" xfId="0" applyNumberFormat="1" applyFont="1" applyFill="1" applyBorder="1" applyAlignment="1">
      <alignment horizontal="center"/>
    </xf>
    <xf numFmtId="179" fontId="7" fillId="6" borderId="10" xfId="0" applyNumberFormat="1" applyFont="1" applyFill="1" applyBorder="1" applyAlignment="1">
      <alignment horizontal="center"/>
    </xf>
    <xf numFmtId="176" fontId="8" fillId="7" borderId="13" xfId="3" applyFont="1" applyFill="1" applyBorder="1" applyAlignment="1">
      <alignment horizontal="center" vertical="center" wrapText="1"/>
    </xf>
    <xf numFmtId="14" fontId="7" fillId="6" borderId="6" xfId="0" applyNumberFormat="1" applyFont="1" applyFill="1" applyBorder="1" applyAlignment="1">
      <alignment horizontal="center"/>
    </xf>
    <xf numFmtId="14" fontId="7" fillId="6" borderId="12" xfId="0" applyNumberFormat="1" applyFont="1" applyFill="1" applyBorder="1" applyAlignment="1">
      <alignment horizontal="center"/>
    </xf>
    <xf numFmtId="14" fontId="7" fillId="6" borderId="7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/>
    </xf>
    <xf numFmtId="0" fontId="8" fillId="7" borderId="1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10" xfId="4" applyFont="1" applyFill="1" applyBorder="1" applyAlignment="1">
      <alignment horizontal="center" vertical="center" wrapText="1"/>
    </xf>
    <xf numFmtId="0" fontId="8" fillId="7" borderId="11" xfId="4" applyFont="1" applyFill="1" applyBorder="1" applyAlignment="1">
      <alignment horizontal="center" vertical="center" wrapText="1"/>
    </xf>
    <xf numFmtId="179" fontId="7" fillId="7" borderId="4" xfId="0" applyNumberFormat="1" applyFont="1" applyFill="1" applyBorder="1" applyAlignment="1">
      <alignment horizontal="center" vertical="center"/>
    </xf>
    <xf numFmtId="179" fontId="7" fillId="7" borderId="5" xfId="0" applyNumberFormat="1" applyFont="1" applyFill="1" applyBorder="1" applyAlignment="1">
      <alignment horizontal="center" vertical="center"/>
    </xf>
    <xf numFmtId="179" fontId="7" fillId="7" borderId="15" xfId="0" applyNumberFormat="1" applyFont="1" applyFill="1" applyBorder="1" applyAlignment="1">
      <alignment horizontal="center" vertical="center"/>
    </xf>
    <xf numFmtId="179" fontId="7" fillId="7" borderId="14" xfId="0" applyNumberFormat="1" applyFont="1" applyFill="1" applyBorder="1" applyAlignment="1">
      <alignment horizontal="center" vertical="center"/>
    </xf>
    <xf numFmtId="179" fontId="7" fillId="7" borderId="6" xfId="0" applyNumberFormat="1" applyFont="1" applyFill="1" applyBorder="1" applyAlignment="1">
      <alignment horizontal="center" vertical="center"/>
    </xf>
    <xf numFmtId="179" fontId="7" fillId="7" borderId="7" xfId="0" applyNumberFormat="1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/>
    </xf>
    <xf numFmtId="177" fontId="7" fillId="7" borderId="10" xfId="0" applyNumberFormat="1" applyFont="1" applyFill="1" applyBorder="1" applyAlignment="1">
      <alignment horizontal="center"/>
    </xf>
    <xf numFmtId="180" fontId="8" fillId="3" borderId="10" xfId="0" applyNumberFormat="1" applyFont="1" applyFill="1" applyBorder="1" applyAlignment="1">
      <alignment horizontal="center" vertical="center"/>
    </xf>
    <xf numFmtId="9" fontId="8" fillId="7" borderId="10" xfId="4" applyNumberFormat="1" applyFont="1" applyFill="1" applyBorder="1" applyAlignment="1">
      <alignment horizontal="center" vertical="center"/>
    </xf>
    <xf numFmtId="181" fontId="8" fillId="8" borderId="10" xfId="0" applyNumberFormat="1" applyFont="1" applyFill="1" applyBorder="1" applyAlignment="1">
      <alignment horizontal="center" vertical="center"/>
    </xf>
    <xf numFmtId="181" fontId="8" fillId="8" borderId="11" xfId="0" applyNumberFormat="1" applyFont="1" applyFill="1" applyBorder="1" applyAlignment="1">
      <alignment horizontal="center" vertical="center"/>
    </xf>
    <xf numFmtId="10" fontId="7" fillId="6" borderId="10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/>
    </xf>
    <xf numFmtId="0" fontId="8" fillId="7" borderId="11" xfId="4" applyFont="1" applyFill="1" applyBorder="1" applyAlignment="1">
      <alignment horizontal="center"/>
    </xf>
    <xf numFmtId="0" fontId="0" fillId="0" borderId="18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8" fillId="5" borderId="0" xfId="0" applyFont="1" applyFill="1" applyAlignment="1">
      <alignment horizontal="center" vertical="center"/>
    </xf>
    <xf numFmtId="14" fontId="4" fillId="5" borderId="15" xfId="0" applyNumberFormat="1" applyFont="1" applyFill="1" applyBorder="1" applyAlignment="1">
      <alignment horizontal="center"/>
    </xf>
    <xf numFmtId="14" fontId="4" fillId="5" borderId="0" xfId="0" applyNumberFormat="1" applyFont="1" applyFill="1" applyBorder="1" applyAlignment="1">
      <alignment horizontal="center"/>
    </xf>
    <xf numFmtId="0" fontId="7" fillId="7" borderId="16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14" fontId="7" fillId="11" borderId="13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 wrapText="1"/>
    </xf>
    <xf numFmtId="0" fontId="7" fillId="12" borderId="8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 shrinkToFit="1"/>
    </xf>
    <xf numFmtId="0" fontId="7" fillId="12" borderId="8" xfId="0" applyFont="1" applyFill="1" applyBorder="1" applyAlignment="1">
      <alignment horizontal="center" vertical="center" shrinkToFit="1"/>
    </xf>
    <xf numFmtId="0" fontId="21" fillId="0" borderId="3" xfId="0" applyFont="1" applyBorder="1" applyAlignment="1">
      <alignment horizontal="center" vertical="center"/>
    </xf>
  </cellXfs>
  <cellStyles count="10">
    <cellStyle name="IAIS.FT_RCode" xfId="3" xr:uid="{00000000-0005-0000-0000-000000000000}"/>
    <cellStyle name="IAIS_FT.Caption 2" xfId="4" xr:uid="{00000000-0005-0000-0000-000001000000}"/>
    <cellStyle name="계산" xfId="1" builtinId="22"/>
    <cellStyle name="메모" xfId="6" builtinId="10"/>
    <cellStyle name="백분율" xfId="5" builtinId="5"/>
    <cellStyle name="보통 2" xfId="9" xr:uid="{588A7036-7D8B-4214-ABFE-C628FC0D4DD9}"/>
    <cellStyle name="쉼표 [0] 2" xfId="8" xr:uid="{9EC669DA-D8B4-4B23-9141-3FD1B6D54B07}"/>
    <cellStyle name="표준" xfId="0" builtinId="0"/>
    <cellStyle name="표준 2" xfId="2" xr:uid="{00000000-0005-0000-0000-000005000000}"/>
    <cellStyle name="표준 3" xfId="7" xr:uid="{25F0CBD8-431D-4DB9-ACDC-0CDAFE9FE1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44824</xdr:colOff>
      <xdr:row>34</xdr:row>
      <xdr:rowOff>10886</xdr:rowOff>
    </xdr:from>
    <xdr:to>
      <xdr:col>9</xdr:col>
      <xdr:colOff>33618</xdr:colOff>
      <xdr:row>35</xdr:row>
      <xdr:rowOff>5443</xdr:rowOff>
    </xdr:to>
    <xdr:sp macro="" textlink="">
      <xdr:nvSpPr>
        <xdr:cNvPr id="2" name="화살표: 오른쪽 1">
          <a:extLst>
            <a:ext uri="{FF2B5EF4-FFF2-40B4-BE49-F238E27FC236}">
              <a16:creationId xmlns:a16="http://schemas.microsoft.com/office/drawing/2014/main" id="{E6BD73B6-1D11-46B2-9829-CD1760562123}"/>
            </a:ext>
          </a:extLst>
        </xdr:cNvPr>
        <xdr:cNvSpPr/>
      </xdr:nvSpPr>
      <xdr:spPr>
        <a:xfrm>
          <a:off x="6264089" y="5826739"/>
          <a:ext cx="145676" cy="16264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11206</xdr:colOff>
      <xdr:row>46</xdr:row>
      <xdr:rowOff>10886</xdr:rowOff>
    </xdr:from>
    <xdr:to>
      <xdr:col>9</xdr:col>
      <xdr:colOff>0</xdr:colOff>
      <xdr:row>47</xdr:row>
      <xdr:rowOff>5443</xdr:rowOff>
    </xdr:to>
    <xdr:sp macro="" textlink="">
      <xdr:nvSpPr>
        <xdr:cNvPr id="3" name="화살표: 오른쪽 2">
          <a:extLst>
            <a:ext uri="{FF2B5EF4-FFF2-40B4-BE49-F238E27FC236}">
              <a16:creationId xmlns:a16="http://schemas.microsoft.com/office/drawing/2014/main" id="{694B77D4-2214-4CDD-8389-019EF8E95A65}"/>
            </a:ext>
          </a:extLst>
        </xdr:cNvPr>
        <xdr:cNvSpPr/>
      </xdr:nvSpPr>
      <xdr:spPr>
        <a:xfrm>
          <a:off x="6230471" y="5826739"/>
          <a:ext cx="145676" cy="16264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1214"/>
  <sheetViews>
    <sheetView tabSelected="1" topLeftCell="A11" zoomScale="85" zoomScaleNormal="85" workbookViewId="0">
      <selection activeCell="G33" sqref="G33"/>
    </sheetView>
  </sheetViews>
  <sheetFormatPr defaultRowHeight="16.5"/>
  <cols>
    <col min="3" max="3" width="3" customWidth="1"/>
    <col min="4" max="4" width="15.375" bestFit="1" customWidth="1"/>
    <col min="5" max="5" width="11.25" customWidth="1"/>
    <col min="6" max="8" width="11.25" style="1" customWidth="1"/>
    <col min="9" max="9" width="2.125" style="2" customWidth="1"/>
    <col min="10" max="10" width="16.5" style="41" bestFit="1" customWidth="1"/>
    <col min="11" max="11" width="10.25" style="41" customWidth="1"/>
    <col min="12" max="12" width="11.75" style="41" customWidth="1"/>
    <col min="13" max="13" width="11.625" style="41" customWidth="1"/>
    <col min="14" max="14" width="4.125" style="2" customWidth="1"/>
    <col min="15" max="15" width="8.5" style="2" customWidth="1"/>
    <col min="16" max="16" width="8.5" customWidth="1"/>
    <col min="17" max="18" width="17.5" customWidth="1"/>
    <col min="19" max="19" width="19.125" style="21" customWidth="1"/>
    <col min="20" max="20" width="17.25" style="21" customWidth="1"/>
    <col min="21" max="22" width="15.75" style="21" customWidth="1"/>
    <col min="23" max="23" width="15.75" style="1" customWidth="1"/>
    <col min="24" max="26" width="15.75" customWidth="1"/>
    <col min="27" max="27" width="10.25" customWidth="1"/>
  </cols>
  <sheetData>
    <row r="1" spans="1:29" ht="16.899999999999999" customHeight="1">
      <c r="A1" s="35"/>
      <c r="B1" t="s">
        <v>18</v>
      </c>
      <c r="D1" s="78" t="s">
        <v>30</v>
      </c>
      <c r="E1" s="79"/>
      <c r="F1" s="79"/>
      <c r="G1" s="79"/>
      <c r="H1" s="79"/>
      <c r="J1" s="110" t="s">
        <v>38</v>
      </c>
      <c r="K1" s="110"/>
      <c r="L1" s="110"/>
      <c r="M1" s="110"/>
      <c r="O1" s="111" t="s">
        <v>12</v>
      </c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</row>
    <row r="2" spans="1:29" ht="13.9" customHeight="1">
      <c r="E2" s="1"/>
      <c r="N2" s="38"/>
    </row>
    <row r="3" spans="1:29" ht="17.45" customHeight="1">
      <c r="D3" s="14"/>
      <c r="E3" s="80" t="s">
        <v>9</v>
      </c>
      <c r="F3" s="83"/>
      <c r="G3" s="83"/>
      <c r="H3" s="70"/>
      <c r="J3" s="47"/>
      <c r="K3" s="117" t="s">
        <v>39</v>
      </c>
      <c r="L3" s="117"/>
      <c r="M3" s="117"/>
      <c r="N3" s="39"/>
      <c r="O3" s="113"/>
      <c r="P3" s="113"/>
      <c r="Q3" s="90" t="s">
        <v>24</v>
      </c>
      <c r="R3" s="91"/>
      <c r="S3" s="80" t="s">
        <v>19</v>
      </c>
      <c r="T3" s="70"/>
      <c r="U3" s="70" t="s">
        <v>20</v>
      </c>
      <c r="V3" s="71"/>
      <c r="W3" s="71"/>
      <c r="X3" s="70" t="s">
        <v>27</v>
      </c>
      <c r="Y3" s="71"/>
      <c r="Z3" s="71"/>
    </row>
    <row r="4" spans="1:29" s="1" customFormat="1" ht="13.9" customHeight="1">
      <c r="D4" s="4" t="s">
        <v>0</v>
      </c>
      <c r="E4" s="84">
        <v>46171</v>
      </c>
      <c r="F4" s="85"/>
      <c r="G4" s="85"/>
      <c r="H4" s="86"/>
      <c r="I4" s="3"/>
      <c r="J4" s="48" t="s">
        <v>31</v>
      </c>
      <c r="K4" s="118">
        <f>E4</f>
        <v>46171</v>
      </c>
      <c r="L4" s="119"/>
      <c r="M4" s="120"/>
      <c r="N4" s="40"/>
      <c r="O4" s="114" t="s">
        <v>0</v>
      </c>
      <c r="P4" s="114"/>
      <c r="Q4" s="81">
        <f>E4</f>
        <v>46171</v>
      </c>
      <c r="R4" s="73"/>
      <c r="S4" s="81">
        <f>E4</f>
        <v>46171</v>
      </c>
      <c r="T4" s="73"/>
      <c r="U4" s="72">
        <f>E4</f>
        <v>46171</v>
      </c>
      <c r="V4" s="72"/>
      <c r="W4" s="73"/>
      <c r="X4" s="72">
        <f>E4</f>
        <v>46171</v>
      </c>
      <c r="Y4" s="72"/>
      <c r="Z4" s="73"/>
      <c r="AC4" s="37"/>
    </row>
    <row r="5" spans="1:29" s="1" customFormat="1" ht="13.9" customHeight="1">
      <c r="D5" s="5" t="s">
        <v>6</v>
      </c>
      <c r="E5" s="87">
        <v>0.1</v>
      </c>
      <c r="F5" s="88"/>
      <c r="G5" s="88"/>
      <c r="H5" s="89"/>
      <c r="I5" s="3"/>
      <c r="J5" s="48" t="s">
        <v>32</v>
      </c>
      <c r="K5" s="115">
        <v>0.1</v>
      </c>
      <c r="L5" s="115"/>
      <c r="M5" s="116"/>
      <c r="N5" s="40"/>
      <c r="O5" s="114" t="s">
        <v>2</v>
      </c>
      <c r="P5" s="114"/>
      <c r="Q5" s="92" t="s">
        <v>26</v>
      </c>
      <c r="R5" s="93"/>
      <c r="S5" s="82">
        <v>23</v>
      </c>
      <c r="T5" s="74"/>
      <c r="U5" s="74">
        <v>23</v>
      </c>
      <c r="V5" s="75"/>
      <c r="W5" s="75"/>
      <c r="X5" s="74">
        <v>23</v>
      </c>
      <c r="Y5" s="75"/>
      <c r="Z5" s="75"/>
      <c r="AC5" s="37"/>
    </row>
    <row r="6" spans="1:29" ht="13.9" customHeight="1">
      <c r="D6" s="5" t="s">
        <v>7</v>
      </c>
      <c r="E6" s="87">
        <v>2</v>
      </c>
      <c r="F6" s="88"/>
      <c r="G6" s="88"/>
      <c r="H6" s="89"/>
      <c r="J6" s="48" t="s">
        <v>33</v>
      </c>
      <c r="K6" s="115">
        <v>2</v>
      </c>
      <c r="L6" s="115"/>
      <c r="M6" s="116"/>
      <c r="N6" s="38"/>
      <c r="O6" s="98" t="s">
        <v>3</v>
      </c>
      <c r="P6" s="98"/>
      <c r="Q6" s="94"/>
      <c r="R6" s="95"/>
      <c r="S6" s="82">
        <v>60</v>
      </c>
      <c r="T6" s="74"/>
      <c r="U6" s="74">
        <v>60</v>
      </c>
      <c r="V6" s="75"/>
      <c r="W6" s="75"/>
      <c r="X6" s="74">
        <v>60</v>
      </c>
      <c r="Y6" s="75"/>
      <c r="Z6" s="75"/>
      <c r="AC6" s="37"/>
    </row>
    <row r="7" spans="1:29" ht="13.9" customHeight="1">
      <c r="D7" s="5" t="s">
        <v>10</v>
      </c>
      <c r="E7" s="6" t="s">
        <v>15</v>
      </c>
      <c r="F7" s="6" t="s">
        <v>16</v>
      </c>
      <c r="G7" s="6" t="s">
        <v>17</v>
      </c>
      <c r="H7" s="6" t="s">
        <v>29</v>
      </c>
      <c r="J7" s="48" t="s">
        <v>34</v>
      </c>
      <c r="K7" s="48" t="s">
        <v>35</v>
      </c>
      <c r="L7" s="48" t="s">
        <v>36</v>
      </c>
      <c r="M7" s="48" t="s">
        <v>37</v>
      </c>
      <c r="N7" s="38"/>
      <c r="O7" s="98" t="s">
        <v>4</v>
      </c>
      <c r="P7" s="98"/>
      <c r="Q7" s="94"/>
      <c r="R7" s="95"/>
      <c r="S7" s="104">
        <v>4.2999999999999997E-2</v>
      </c>
      <c r="T7" s="76"/>
      <c r="U7" s="76">
        <f>S7</f>
        <v>4.2999999999999997E-2</v>
      </c>
      <c r="V7" s="77"/>
      <c r="W7" s="77"/>
      <c r="X7" s="76">
        <f>S7</f>
        <v>4.2999999999999997E-2</v>
      </c>
      <c r="Y7" s="77"/>
      <c r="Z7" s="77"/>
      <c r="AC7" s="37"/>
    </row>
    <row r="8" spans="1:29" ht="13.9" customHeight="1">
      <c r="D8" s="7">
        <v>0.25</v>
      </c>
      <c r="E8" s="34">
        <v>2.6349999999999998E-2</v>
      </c>
      <c r="F8" s="19">
        <f t="array" ref="F8:F23">SmithWilsonYTM(E23,E5,D8:D23,E8:E23,E6,D8:D23)</f>
        <v>2.6263588968355674E-2</v>
      </c>
      <c r="G8" s="19">
        <f>LN(EXP(F8)+$V$11)</f>
        <v>3.0443378153944867E-2</v>
      </c>
      <c r="H8" s="19">
        <f>LN(EXP(F8)+$Y$11)</f>
        <v>2.9608816799543067E-2</v>
      </c>
      <c r="J8" s="42">
        <v>0.25</v>
      </c>
      <c r="K8" s="49">
        <f t="array" ref="K8:K24">SmithWilsonYTM(E23,E5,D8:D23,E8:E23,E6,J8:J24)</f>
        <v>2.6263588968355674E-2</v>
      </c>
      <c r="L8" s="49">
        <f>LN(EXP(K8)+$V$11)</f>
        <v>3.0443378153944867E-2</v>
      </c>
      <c r="M8" s="49">
        <f>LN(EXP(K8)+$Y$11)</f>
        <v>2.9608816799543067E-2</v>
      </c>
      <c r="N8" s="38"/>
      <c r="O8" s="98" t="s">
        <v>1</v>
      </c>
      <c r="P8" s="98"/>
      <c r="Q8" s="94"/>
      <c r="R8" s="95"/>
      <c r="S8" s="99">
        <v>1</v>
      </c>
      <c r="T8" s="62"/>
      <c r="U8" s="62">
        <v>1</v>
      </c>
      <c r="V8" s="63"/>
      <c r="W8" s="63"/>
      <c r="X8" s="62">
        <v>1</v>
      </c>
      <c r="Y8" s="63"/>
      <c r="Z8" s="63"/>
      <c r="AC8" s="37"/>
    </row>
    <row r="9" spans="1:29" ht="13.9" customHeight="1">
      <c r="D9" s="8">
        <v>0.5</v>
      </c>
      <c r="E9" s="9">
        <v>2.7349999999999999E-2</v>
      </c>
      <c r="F9" s="19">
        <v>2.716468194653833E-2</v>
      </c>
      <c r="G9" s="19">
        <f t="shared" ref="G9:G23" si="0">LN(EXP(F9)+$V$11)</f>
        <v>3.1340714299642976E-2</v>
      </c>
      <c r="H9" s="19">
        <f t="shared" ref="H9:H23" si="1">LN(EXP(F9)+$Y$11)</f>
        <v>3.050690180357166E-2</v>
      </c>
      <c r="J9" s="42">
        <v>0.5</v>
      </c>
      <c r="K9" s="49">
        <v>2.716468194653833E-2</v>
      </c>
      <c r="L9" s="49">
        <f>LN(EXP(K9)+$V$11)</f>
        <v>3.1340714299642976E-2</v>
      </c>
      <c r="M9" s="49">
        <f t="shared" ref="M9:M24" si="2">LN(EXP(K9)+$Y$11)</f>
        <v>3.050690180357166E-2</v>
      </c>
      <c r="O9" s="105" t="s">
        <v>11</v>
      </c>
      <c r="P9" s="106"/>
      <c r="Q9" s="94"/>
      <c r="R9" s="95"/>
      <c r="S9" s="100">
        <f>SmithWilson_ALPHA_UB_LB(S7,J8:J22,K8:K22,S6,S8*0.0001)</f>
        <v>0.10001426885658377</v>
      </c>
      <c r="T9" s="64"/>
      <c r="U9" s="64">
        <f>SmithWilson_ALPHA_UB_LB(U7,$J8:$J22,$L8:$L22,U6,U8*0.0001)</f>
        <v>2.8692229366056261E-2</v>
      </c>
      <c r="V9" s="65"/>
      <c r="W9" s="65"/>
      <c r="X9" s="64">
        <f>SmithWilson_ALPHA_UB_LB(X7,$J8:$J22,$M8:$M22,X6,X8*0.0001)</f>
        <v>6.4244265247644927E-2</v>
      </c>
      <c r="Y9" s="65"/>
      <c r="Z9" s="65"/>
      <c r="AC9" s="37"/>
    </row>
    <row r="10" spans="1:29" ht="13.9" customHeight="1">
      <c r="D10" s="8">
        <v>0.75</v>
      </c>
      <c r="E10" s="9">
        <v>2.9389999999999999E-2</v>
      </c>
      <c r="F10" s="19">
        <v>2.9085560059436508E-2</v>
      </c>
      <c r="G10" s="19">
        <f t="shared" si="0"/>
        <v>3.3253595140779919E-2</v>
      </c>
      <c r="H10" s="19">
        <f t="shared" si="1"/>
        <v>3.2421376767359809E-2</v>
      </c>
      <c r="J10" s="42">
        <v>0.75</v>
      </c>
      <c r="K10" s="49">
        <v>2.9085560059436508E-2</v>
      </c>
      <c r="L10" s="49">
        <f t="shared" ref="L10:L24" si="3">LN(EXP(K10)+$V$11)</f>
        <v>3.3253595140779919E-2</v>
      </c>
      <c r="M10" s="49">
        <f t="shared" si="2"/>
        <v>3.2421376767359809E-2</v>
      </c>
      <c r="O10" s="105" t="s">
        <v>21</v>
      </c>
      <c r="P10" s="106"/>
      <c r="Q10" s="94"/>
      <c r="R10" s="95"/>
      <c r="S10" s="102" t="str">
        <f>IF(ROUND(ABS((VLOOKUP($S$6*12-1,$P$13:$T$1213,5,0)+VLOOKUP($S$6*12,$P$13:$T$1213,5,0))/2-$S$7),4)&lt;=0.0001,"PASS","FAIL")</f>
        <v>PASS</v>
      </c>
      <c r="T10" s="103"/>
      <c r="U10" s="66" t="str">
        <f>IF(ROUND(ABS((VLOOKUP($U$6*12-1,$P$13:$V$1213,7,0)+VLOOKUP($U$6*12,$P$13:$V$1213,7,0))/2-$U$7),4)&lt;=0.0001,"PASS","FAIL")</f>
        <v>PASS</v>
      </c>
      <c r="V10" s="66"/>
      <c r="W10" s="67"/>
      <c r="X10" s="66" t="str">
        <f>IF(ROUND(ABS((VLOOKUP($X$6*12-1,$P$13:$Y$1213,10,0)+VLOOKUP($X$6*12,$P$13:$Y$1213,10,0))/2-$X$7),4)&lt;=0.0001,"PASS","FAIL")</f>
        <v>PASS</v>
      </c>
      <c r="Y10" s="66"/>
      <c r="Z10" s="67"/>
      <c r="AC10" s="37"/>
    </row>
    <row r="11" spans="1:29" ht="13.9" customHeight="1">
      <c r="D11" s="8">
        <v>1</v>
      </c>
      <c r="E11" s="9">
        <v>3.177E-2</v>
      </c>
      <c r="F11" s="19">
        <v>3.155494040075283E-2</v>
      </c>
      <c r="G11" s="19">
        <f t="shared" si="0"/>
        <v>3.5712717056617271E-2</v>
      </c>
      <c r="H11" s="19">
        <f t="shared" si="1"/>
        <v>3.4882543544047885E-2</v>
      </c>
      <c r="J11" s="42">
        <v>1</v>
      </c>
      <c r="K11" s="49">
        <v>3.155494040075283E-2</v>
      </c>
      <c r="L11" s="49">
        <f t="shared" si="3"/>
        <v>3.5712717056617271E-2</v>
      </c>
      <c r="M11" s="49">
        <f t="shared" si="2"/>
        <v>3.4882543544047885E-2</v>
      </c>
      <c r="O11" s="105" t="s">
        <v>22</v>
      </c>
      <c r="P11" s="106"/>
      <c r="Q11" s="96"/>
      <c r="R11" s="97"/>
      <c r="S11" s="101">
        <v>0</v>
      </c>
      <c r="T11" s="89"/>
      <c r="U11" s="15" t="s">
        <v>23</v>
      </c>
      <c r="V11" s="68">
        <v>4.3E-3</v>
      </c>
      <c r="W11" s="69"/>
      <c r="X11" s="32" t="s">
        <v>28</v>
      </c>
      <c r="Y11" s="68">
        <v>3.4399999999999999E-3</v>
      </c>
      <c r="Z11" s="69"/>
      <c r="AC11" s="37"/>
    </row>
    <row r="12" spans="1:29" ht="13.9" customHeight="1">
      <c r="D12" s="8">
        <v>1.5</v>
      </c>
      <c r="E12" s="9">
        <v>3.3829999999999999E-2</v>
      </c>
      <c r="F12" s="19">
        <v>3.3606211601878537E-2</v>
      </c>
      <c r="G12" s="19">
        <f t="shared" si="0"/>
        <v>3.7755485923049358E-2</v>
      </c>
      <c r="H12" s="19">
        <f t="shared" si="1"/>
        <v>3.6927007234112456E-2</v>
      </c>
      <c r="J12" s="42">
        <v>1.5</v>
      </c>
      <c r="K12" s="49">
        <v>3.3606211601878537E-2</v>
      </c>
      <c r="L12" s="49">
        <f t="shared" si="3"/>
        <v>3.7755485923049358E-2</v>
      </c>
      <c r="M12" s="49">
        <f t="shared" si="2"/>
        <v>3.6927007234112456E-2</v>
      </c>
      <c r="O12" s="16" t="s">
        <v>10</v>
      </c>
      <c r="P12" s="16" t="s">
        <v>8</v>
      </c>
      <c r="Q12" s="6" t="s">
        <v>13</v>
      </c>
      <c r="R12" s="6" t="s">
        <v>14</v>
      </c>
      <c r="S12" s="6" t="s">
        <v>13</v>
      </c>
      <c r="T12" s="6" t="s">
        <v>14</v>
      </c>
      <c r="U12" s="18" t="s">
        <v>13</v>
      </c>
      <c r="V12" s="6" t="s">
        <v>5</v>
      </c>
      <c r="W12" s="17" t="s">
        <v>25</v>
      </c>
      <c r="X12" s="32" t="s">
        <v>13</v>
      </c>
      <c r="Y12" s="6" t="s">
        <v>5</v>
      </c>
      <c r="Z12" s="17" t="s">
        <v>25</v>
      </c>
      <c r="AC12" s="37"/>
    </row>
    <row r="13" spans="1:29" ht="13.9" customHeight="1">
      <c r="D13" s="8">
        <v>2</v>
      </c>
      <c r="E13" s="9">
        <v>3.6269999999999997E-2</v>
      </c>
      <c r="F13" s="19">
        <v>3.6058898362974143E-2</v>
      </c>
      <c r="G13" s="19">
        <f t="shared" si="0"/>
        <v>4.0198029290951912E-2</v>
      </c>
      <c r="H13" s="19">
        <f t="shared" si="1"/>
        <v>3.9371572563210507E-2</v>
      </c>
      <c r="J13" s="42">
        <v>2</v>
      </c>
      <c r="K13" s="49">
        <v>3.6058898362974143E-2</v>
      </c>
      <c r="L13" s="49">
        <f t="shared" si="3"/>
        <v>4.0198029290951912E-2</v>
      </c>
      <c r="M13" s="49">
        <f t="shared" si="2"/>
        <v>3.9371572563210507E-2</v>
      </c>
      <c r="O13" s="12">
        <v>0</v>
      </c>
      <c r="P13" s="13">
        <v>0</v>
      </c>
      <c r="Q13" s="31">
        <f t="array" ref="Q13:Q1214">Cont2Discrete(SmithWilsonYTM(E23,E5,D8:D23,E8:E23,E6,O13:O1214))</f>
        <v>2.6334149228141035E-2</v>
      </c>
      <c r="R13" s="30">
        <f>Q14</f>
        <v>2.6369271064396127E-2</v>
      </c>
      <c r="S13" s="22">
        <f t="array" ref="S13:S1214">Cont2Discrete(SmithWilson(S7,S9,J8:J22,K8:K22,O13:O1214))</f>
        <v>2.6325775827769515E-2</v>
      </c>
      <c r="T13" s="23">
        <f>S14</f>
        <v>2.6365000071004507E-2</v>
      </c>
      <c r="U13" s="24">
        <f t="array" ref="U13:U1214">Cont2Discrete(SmithWilson(U7,U9,J8:J22,L8:L22,O13:O1214))</f>
        <v>3.063456056038083E-2</v>
      </c>
      <c r="V13" s="25">
        <f>U14</f>
        <v>3.0669506282337666E-2</v>
      </c>
      <c r="W13" s="26"/>
      <c r="X13" s="24">
        <f t="array" ref="X13:X1214">Cont2Discrete(SmithWilson(X7,X9,J8:J22,M8:M22,O13:O1214))</f>
        <v>2.9773047207019232E-2</v>
      </c>
      <c r="Y13" s="25">
        <f>X14</f>
        <v>2.9808708681218654E-2</v>
      </c>
      <c r="Z13" s="26"/>
      <c r="AA13" s="36"/>
      <c r="AC13" s="37"/>
    </row>
    <row r="14" spans="1:29" ht="13.9" customHeight="1">
      <c r="D14" s="8">
        <v>2.5</v>
      </c>
      <c r="E14" s="9">
        <v>3.644E-2</v>
      </c>
      <c r="F14" s="19">
        <v>3.6209748442814854E-2</v>
      </c>
      <c r="G14" s="19">
        <f t="shared" si="0"/>
        <v>4.034825631979358E-2</v>
      </c>
      <c r="H14" s="19">
        <f t="shared" si="1"/>
        <v>3.9521923790172921E-2</v>
      </c>
      <c r="J14" s="42">
        <v>2.5</v>
      </c>
      <c r="K14" s="49">
        <v>3.6209748442814854E-2</v>
      </c>
      <c r="L14" s="49">
        <f t="shared" si="3"/>
        <v>4.034825631979358E-2</v>
      </c>
      <c r="M14" s="49">
        <f t="shared" si="2"/>
        <v>3.9521923790172921E-2</v>
      </c>
      <c r="O14" s="12">
        <f t="shared" ref="O14:O77" si="4">P14/12</f>
        <v>8.3333333333333329E-2</v>
      </c>
      <c r="P14" s="13">
        <v>1</v>
      </c>
      <c r="Q14" s="22">
        <v>2.6369271064396127E-2</v>
      </c>
      <c r="R14" s="19">
        <f t="shared" ref="R14:R77" si="5">(1+Q15)^P15/(1+Q14)^P14-1</f>
        <v>2.6554289923459651E-2</v>
      </c>
      <c r="S14" s="22">
        <v>2.6365000071004507E-2</v>
      </c>
      <c r="T14" s="19">
        <f t="shared" ref="T14:T77" si="6">(1+S15)^P15/(1+S14)^P14-1</f>
        <v>2.6555636043882114E-2</v>
      </c>
      <c r="U14" s="24">
        <v>3.0669506282337666E-2</v>
      </c>
      <c r="V14" s="24">
        <f t="shared" ref="V14:V77" si="7">(1+U15)^P15/(1+U14)^P14-1</f>
        <v>3.0854215658295159E-2</v>
      </c>
      <c r="W14" s="23">
        <f>(1+V13)^(1/12)-1</f>
        <v>2.5205543675761444E-3</v>
      </c>
      <c r="X14" s="24">
        <v>2.9808708681218654E-2</v>
      </c>
      <c r="Y14" s="24">
        <f>(1+X15)^P15/(1+X14)^P14-1</f>
        <v>2.9994466035434098E-2</v>
      </c>
      <c r="Z14" s="23">
        <f>(1+Y13)^(1/12)-1</f>
        <v>2.4507536380087291E-3</v>
      </c>
      <c r="AA14" s="36"/>
      <c r="AC14" s="37"/>
    </row>
    <row r="15" spans="1:29" ht="13.9" customHeight="1">
      <c r="D15" s="8">
        <v>3</v>
      </c>
      <c r="E15" s="9">
        <v>3.7220000000000003E-2</v>
      </c>
      <c r="F15" s="19">
        <v>3.6997824305603694E-2</v>
      </c>
      <c r="G15" s="19">
        <f t="shared" si="0"/>
        <v>4.1133078740754815E-2</v>
      </c>
      <c r="H15" s="19">
        <f t="shared" si="1"/>
        <v>4.0307394748715662E-2</v>
      </c>
      <c r="J15" s="42">
        <v>3</v>
      </c>
      <c r="K15" s="49">
        <v>3.6997824305603694E-2</v>
      </c>
      <c r="L15" s="49">
        <f t="shared" si="3"/>
        <v>4.1133078740754815E-2</v>
      </c>
      <c r="M15" s="49">
        <f t="shared" si="2"/>
        <v>4.0307394748715662E-2</v>
      </c>
      <c r="O15" s="12">
        <f t="shared" si="4"/>
        <v>0.16666666666666666</v>
      </c>
      <c r="P15" s="13">
        <v>2</v>
      </c>
      <c r="Q15" s="22">
        <v>2.6461776325241493E-2</v>
      </c>
      <c r="R15" s="19">
        <f t="shared" si="5"/>
        <v>2.6911061733802866E-2</v>
      </c>
      <c r="S15" s="22">
        <v>2.6460313631788246E-2</v>
      </c>
      <c r="T15" s="19">
        <f t="shared" si="6"/>
        <v>2.6913988407439193E-2</v>
      </c>
      <c r="U15" s="24">
        <v>3.0761856832896894E-2</v>
      </c>
      <c r="V15" s="24">
        <f>(1+U16)^P16/(1+U15)^P15-1</f>
        <v>3.1210900374931461E-2</v>
      </c>
      <c r="W15" s="23">
        <f>(1+V14)^(1/12)-1</f>
        <v>2.5355251977385862E-3</v>
      </c>
      <c r="X15" s="24">
        <v>2.990158317032976E-2</v>
      </c>
      <c r="Y15" s="24">
        <f t="shared" ref="Y15:Y78" si="8">(1+X16)^P16/(1+X15)^P15-1</f>
        <v>3.0351447993373082E-2</v>
      </c>
      <c r="Z15" s="23">
        <f t="shared" ref="Z15:Z78" si="9">(1+Y14)^(1/12)-1</f>
        <v>2.4658209352099725E-3</v>
      </c>
      <c r="AA15" s="36"/>
      <c r="AC15" s="37"/>
    </row>
    <row r="16" spans="1:29" ht="13.9" customHeight="1">
      <c r="D16" s="8">
        <v>4</v>
      </c>
      <c r="E16" s="9">
        <v>3.8730000000000001E-2</v>
      </c>
      <c r="F16" s="19">
        <v>3.85424485392784E-2</v>
      </c>
      <c r="G16" s="19">
        <f t="shared" si="0"/>
        <v>4.2671333648896269E-2</v>
      </c>
      <c r="H16" s="19">
        <f t="shared" si="1"/>
        <v>4.1846919316223682E-2</v>
      </c>
      <c r="J16" s="42">
        <v>4</v>
      </c>
      <c r="K16" s="49">
        <v>3.85424485392784E-2</v>
      </c>
      <c r="L16" s="49">
        <f t="shared" si="3"/>
        <v>4.2671333648896269E-2</v>
      </c>
      <c r="M16" s="49">
        <f t="shared" si="2"/>
        <v>4.1846919316223682E-2</v>
      </c>
      <c r="O16" s="12">
        <f t="shared" si="4"/>
        <v>0.25</v>
      </c>
      <c r="P16" s="13">
        <v>3</v>
      </c>
      <c r="Q16" s="22">
        <v>2.661151628300984E-2</v>
      </c>
      <c r="R16" s="19">
        <f t="shared" si="5"/>
        <v>2.7468978312997772E-2</v>
      </c>
      <c r="S16" s="22">
        <v>2.6611516283017611E-2</v>
      </c>
      <c r="T16" s="19">
        <f t="shared" si="6"/>
        <v>2.7470197382470474E-2</v>
      </c>
      <c r="U16" s="24">
        <v>3.0911516283012475E-2</v>
      </c>
      <c r="V16" s="24">
        <f t="shared" si="7"/>
        <v>3.1768905363671163E-2</v>
      </c>
      <c r="W16" s="23">
        <f t="shared" ref="W16:W78" si="10">(1+V15)^(1/12)-1</f>
        <v>2.5644277976162311E-3</v>
      </c>
      <c r="X16" s="24">
        <v>3.005151628301661E-2</v>
      </c>
      <c r="Y16" s="24">
        <f t="shared" si="8"/>
        <v>3.0909137361639027E-2</v>
      </c>
      <c r="Z16" s="23">
        <f t="shared" si="9"/>
        <v>2.4947697458397311E-3</v>
      </c>
      <c r="AA16" s="36"/>
      <c r="AC16" s="37"/>
    </row>
    <row r="17" spans="4:30" ht="13.9" customHeight="1">
      <c r="D17" s="8">
        <v>5</v>
      </c>
      <c r="E17" s="9">
        <v>3.9149999999999997E-2</v>
      </c>
      <c r="F17" s="19">
        <v>3.8953213784392912E-2</v>
      </c>
      <c r="G17" s="19">
        <f t="shared" si="0"/>
        <v>4.3080406734124575E-2</v>
      </c>
      <c r="H17" s="19">
        <f t="shared" si="1"/>
        <v>4.2256329717164878E-2</v>
      </c>
      <c r="J17" s="42">
        <v>5</v>
      </c>
      <c r="K17" s="49">
        <v>3.8953213784392912E-2</v>
      </c>
      <c r="L17" s="49">
        <f t="shared" si="3"/>
        <v>4.3080406734124575E-2</v>
      </c>
      <c r="M17" s="49">
        <f t="shared" si="2"/>
        <v>4.2256329717164878E-2</v>
      </c>
      <c r="O17" s="12">
        <f t="shared" si="4"/>
        <v>0.33333333333333331</v>
      </c>
      <c r="P17" s="13">
        <v>4</v>
      </c>
      <c r="Q17" s="22">
        <v>2.6825814681098015E-2</v>
      </c>
      <c r="R17" s="19">
        <f t="shared" si="5"/>
        <v>2.8347047502612188E-2</v>
      </c>
      <c r="S17" s="22">
        <v>2.682611925756162E-2</v>
      </c>
      <c r="T17" s="19">
        <f t="shared" si="6"/>
        <v>2.8346796382914707E-2</v>
      </c>
      <c r="U17" s="24">
        <v>3.1125796734918332E-2</v>
      </c>
      <c r="V17" s="24">
        <f t="shared" si="7"/>
        <v>3.2647064740910947E-2</v>
      </c>
      <c r="W17" s="23">
        <f t="shared" si="10"/>
        <v>2.6096252489304916E-3</v>
      </c>
      <c r="X17" s="24">
        <v>3.0265854642466783E-2</v>
      </c>
      <c r="Y17" s="24">
        <f t="shared" si="8"/>
        <v>3.1787018929043231E-2</v>
      </c>
      <c r="Z17" s="23">
        <f t="shared" si="9"/>
        <v>2.5399761677351584E-3</v>
      </c>
      <c r="AA17" s="36"/>
      <c r="AC17" s="37"/>
    </row>
    <row r="18" spans="4:30" ht="13.9" customHeight="1">
      <c r="D18" s="8">
        <v>7</v>
      </c>
      <c r="E18" s="9">
        <v>4.0199999999999993E-2</v>
      </c>
      <c r="F18" s="19">
        <v>4.0050421153876754E-2</v>
      </c>
      <c r="G18" s="19">
        <f t="shared" si="0"/>
        <v>4.4173097517072393E-2</v>
      </c>
      <c r="H18" s="19">
        <f t="shared" si="1"/>
        <v>4.3349920840208486E-2</v>
      </c>
      <c r="J18" s="42">
        <v>7</v>
      </c>
      <c r="K18" s="49">
        <v>4.0050421153876754E-2</v>
      </c>
      <c r="L18" s="49">
        <f t="shared" si="3"/>
        <v>4.4173097517072393E-2</v>
      </c>
      <c r="M18" s="49">
        <f t="shared" si="2"/>
        <v>4.3349920840208486E-2</v>
      </c>
      <c r="O18" s="12">
        <f t="shared" si="4"/>
        <v>0.41666666666666669</v>
      </c>
      <c r="P18" s="13">
        <v>5</v>
      </c>
      <c r="Q18" s="22">
        <v>2.7129881110124821E-2</v>
      </c>
      <c r="R18" s="19">
        <f t="shared" si="5"/>
        <v>2.9575050064420516E-2</v>
      </c>
      <c r="S18" s="22">
        <v>2.7130074678931582E-2</v>
      </c>
      <c r="T18" s="19">
        <f t="shared" si="6"/>
        <v>2.9574079916937945E-2</v>
      </c>
      <c r="U18" s="24">
        <v>3.1429870943079141E-2</v>
      </c>
      <c r="V18" s="24">
        <f t="shared" si="7"/>
        <v>3.3875090918194406E-2</v>
      </c>
      <c r="W18" s="23">
        <f t="shared" si="10"/>
        <v>2.6807093005603022E-3</v>
      </c>
      <c r="X18" s="24">
        <v>3.0569907981611744E-2</v>
      </c>
      <c r="Y18" s="24">
        <f t="shared" si="8"/>
        <v>3.3014907299913077E-2</v>
      </c>
      <c r="Z18" s="23">
        <f t="shared" si="9"/>
        <v>2.6110920412816263E-3</v>
      </c>
      <c r="AA18" s="36"/>
      <c r="AC18" s="37"/>
    </row>
    <row r="19" spans="4:30" ht="13.9" customHeight="1">
      <c r="D19" s="8">
        <v>10</v>
      </c>
      <c r="E19" s="9">
        <v>4.0650000000000006E-2</v>
      </c>
      <c r="F19" s="19">
        <v>4.0482429897360048E-2</v>
      </c>
      <c r="G19" s="19">
        <f t="shared" si="0"/>
        <v>4.4603329276874666E-2</v>
      </c>
      <c r="H19" s="19">
        <f t="shared" si="1"/>
        <v>4.3780506826299949E-2</v>
      </c>
      <c r="J19" s="42">
        <v>10</v>
      </c>
      <c r="K19" s="49">
        <v>4.0482429897360048E-2</v>
      </c>
      <c r="L19" s="49">
        <f t="shared" si="3"/>
        <v>4.4603329276874666E-2</v>
      </c>
      <c r="M19" s="49">
        <f t="shared" si="2"/>
        <v>4.3780506826299949E-2</v>
      </c>
      <c r="O19" s="12">
        <f t="shared" si="4"/>
        <v>0.5</v>
      </c>
      <c r="P19" s="13">
        <v>6</v>
      </c>
      <c r="Q19" s="22">
        <v>2.7537005625005273E-2</v>
      </c>
      <c r="R19" s="19">
        <f t="shared" si="5"/>
        <v>3.1184065918030024E-2</v>
      </c>
      <c r="S19" s="22">
        <v>2.753700562501149E-2</v>
      </c>
      <c r="T19" s="19">
        <f t="shared" si="6"/>
        <v>3.1182932207367342E-2</v>
      </c>
      <c r="U19" s="24">
        <v>3.1837005625009906E-2</v>
      </c>
      <c r="V19" s="24">
        <f t="shared" si="7"/>
        <v>3.5484054709661761E-2</v>
      </c>
      <c r="W19" s="23">
        <f t="shared" si="10"/>
        <v>2.7800210256361257E-3</v>
      </c>
      <c r="X19" s="24">
        <v>3.0977005625012266E-2</v>
      </c>
      <c r="Y19" s="24">
        <f t="shared" si="8"/>
        <v>3.4623845080124172E-2</v>
      </c>
      <c r="Z19" s="23">
        <f t="shared" si="9"/>
        <v>2.71046845445988E-3</v>
      </c>
      <c r="AA19" s="36"/>
      <c r="AC19" s="37"/>
    </row>
    <row r="20" spans="4:30" ht="13.9" customHeight="1">
      <c r="D20" s="8">
        <v>15</v>
      </c>
      <c r="E20" s="9">
        <v>4.0739999999999998E-2</v>
      </c>
      <c r="F20" s="19">
        <v>4.0513634277317238E-2</v>
      </c>
      <c r="G20" s="19">
        <f t="shared" si="0"/>
        <v>4.4634405333305462E-2</v>
      </c>
      <c r="H20" s="19">
        <f t="shared" si="1"/>
        <v>4.3811608462932562E-2</v>
      </c>
      <c r="J20" s="42">
        <v>15</v>
      </c>
      <c r="K20" s="49">
        <v>4.0513634277317238E-2</v>
      </c>
      <c r="L20" s="49">
        <f t="shared" si="3"/>
        <v>4.4634405333305462E-2</v>
      </c>
      <c r="M20" s="49">
        <f t="shared" si="2"/>
        <v>4.3811608462932562E-2</v>
      </c>
      <c r="O20" s="12">
        <f t="shared" si="4"/>
        <v>0.58333333333333337</v>
      </c>
      <c r="P20" s="13">
        <v>7</v>
      </c>
      <c r="Q20" s="22">
        <v>2.8057223449101221E-2</v>
      </c>
      <c r="R20" s="19">
        <f t="shared" si="5"/>
        <v>3.3297746750661439E-2</v>
      </c>
      <c r="S20" s="22">
        <v>2.8057061981468845E-2</v>
      </c>
      <c r="T20" s="19">
        <f t="shared" si="6"/>
        <v>3.3297526101353059E-2</v>
      </c>
      <c r="U20" s="24">
        <v>3.2357225141030233E-2</v>
      </c>
      <c r="V20" s="24">
        <f t="shared" si="7"/>
        <v>3.759770555388009E-2</v>
      </c>
      <c r="W20" s="23">
        <f t="shared" si="10"/>
        <v>2.9099760423372256E-3</v>
      </c>
      <c r="X20" s="24">
        <v>3.1497194628995029E-2</v>
      </c>
      <c r="Y20" s="24">
        <f t="shared" si="8"/>
        <v>3.6737667834352283E-2</v>
      </c>
      <c r="Z20" s="23">
        <f t="shared" si="9"/>
        <v>2.8405204843944265E-3</v>
      </c>
      <c r="AA20" s="36"/>
    </row>
    <row r="21" spans="4:30" ht="13.9" customHeight="1">
      <c r="D21" s="8">
        <v>20</v>
      </c>
      <c r="E21" s="9">
        <v>4.0780000000000004E-2</v>
      </c>
      <c r="F21" s="19">
        <v>4.0516099558759455E-2</v>
      </c>
      <c r="G21" s="19">
        <f t="shared" si="0"/>
        <v>4.4636860476802244E-2</v>
      </c>
      <c r="H21" s="19">
        <f t="shared" si="1"/>
        <v>4.3814065627342531E-2</v>
      </c>
      <c r="J21" s="42">
        <v>20</v>
      </c>
      <c r="K21" s="49">
        <v>4.0516099558759455E-2</v>
      </c>
      <c r="L21" s="49">
        <f t="shared" si="3"/>
        <v>4.4636860476802244E-2</v>
      </c>
      <c r="M21" s="49">
        <f t="shared" si="2"/>
        <v>4.3814065627342531E-2</v>
      </c>
      <c r="O21" s="12">
        <f t="shared" si="4"/>
        <v>0.66666666666666663</v>
      </c>
      <c r="P21" s="13">
        <v>8</v>
      </c>
      <c r="Q21" s="22">
        <v>2.8710832600472136E-2</v>
      </c>
      <c r="R21" s="19">
        <f t="shared" si="5"/>
        <v>3.5949963313384403E-2</v>
      </c>
      <c r="S21" s="22">
        <v>2.8710663767741451E-2</v>
      </c>
      <c r="T21" s="19">
        <f t="shared" si="6"/>
        <v>3.5951323481030695E-2</v>
      </c>
      <c r="U21" s="24">
        <v>3.3010835001505034E-2</v>
      </c>
      <c r="V21" s="24">
        <f t="shared" si="7"/>
        <v>4.0249849970525942E-2</v>
      </c>
      <c r="W21" s="23">
        <f t="shared" si="10"/>
        <v>3.0804133119537447E-3</v>
      </c>
      <c r="X21" s="24">
        <v>3.2150802387218347E-2</v>
      </c>
      <c r="Y21" s="24">
        <f t="shared" si="8"/>
        <v>3.939013145191339E-2</v>
      </c>
      <c r="Z21" s="23">
        <f t="shared" si="9"/>
        <v>3.011101373466385E-3</v>
      </c>
      <c r="AA21" s="36"/>
    </row>
    <row r="22" spans="4:30" ht="13.9" customHeight="1">
      <c r="D22" s="8">
        <v>30</v>
      </c>
      <c r="E22" s="9">
        <v>3.9960000000000002E-2</v>
      </c>
      <c r="F22" s="19">
        <v>3.9161162785537523E-2</v>
      </c>
      <c r="G22" s="19">
        <f t="shared" si="0"/>
        <v>4.3287499346935286E-2</v>
      </c>
      <c r="H22" s="19">
        <f t="shared" si="1"/>
        <v>4.2463593042884225E-2</v>
      </c>
      <c r="J22" s="46">
        <v>23</v>
      </c>
      <c r="K22" s="49">
        <v>4.0209765900192158E-2</v>
      </c>
      <c r="L22" s="49">
        <f t="shared" si="3"/>
        <v>4.4331786740871355E-2</v>
      </c>
      <c r="M22" s="49">
        <f t="shared" si="2"/>
        <v>4.3508740736678604E-2</v>
      </c>
      <c r="O22" s="12">
        <f t="shared" si="4"/>
        <v>0.75</v>
      </c>
      <c r="P22" s="13">
        <v>9</v>
      </c>
      <c r="Q22" s="22">
        <v>2.9512675872690686E-2</v>
      </c>
      <c r="R22" s="19">
        <f t="shared" si="5"/>
        <v>3.8775648084353964E-2</v>
      </c>
      <c r="S22" s="22">
        <v>2.9512675872698013E-2</v>
      </c>
      <c r="T22" s="19">
        <f t="shared" si="6"/>
        <v>3.8777959988417932E-2</v>
      </c>
      <c r="U22" s="24">
        <v>3.3812675872697762E-2</v>
      </c>
      <c r="V22" s="24">
        <f t="shared" si="7"/>
        <v>4.30753879796415E-2</v>
      </c>
      <c r="W22" s="23">
        <f t="shared" si="10"/>
        <v>3.2938231409700425E-3</v>
      </c>
      <c r="X22" s="24">
        <v>3.2952675872697235E-2</v>
      </c>
      <c r="Y22" s="24">
        <f t="shared" si="8"/>
        <v>4.2215897878206121E-2</v>
      </c>
      <c r="Z22" s="23">
        <f t="shared" si="9"/>
        <v>3.2246989478255106E-3</v>
      </c>
      <c r="AA22" s="36"/>
    </row>
    <row r="23" spans="4:30" ht="13.9" customHeight="1">
      <c r="D23" s="8">
        <v>50</v>
      </c>
      <c r="E23" s="9">
        <v>3.8940000000000002E-2</v>
      </c>
      <c r="F23" s="19">
        <v>3.739184322777904E-2</v>
      </c>
      <c r="G23" s="19">
        <f t="shared" si="0"/>
        <v>4.1525471977697168E-2</v>
      </c>
      <c r="H23" s="19">
        <f t="shared" si="1"/>
        <v>4.070011204863027E-2</v>
      </c>
      <c r="J23" s="46">
        <v>30</v>
      </c>
      <c r="K23" s="49">
        <v>3.9161162785537523E-2</v>
      </c>
      <c r="L23" s="49">
        <f t="shared" si="3"/>
        <v>4.3287499346935286E-2</v>
      </c>
      <c r="M23" s="49">
        <f t="shared" si="2"/>
        <v>4.2463593042884225E-2</v>
      </c>
      <c r="O23" s="12">
        <f t="shared" si="4"/>
        <v>0.83333333333333337</v>
      </c>
      <c r="P23" s="13">
        <v>10</v>
      </c>
      <c r="Q23" s="22">
        <v>3.0435243892705799E-2</v>
      </c>
      <c r="R23" s="19">
        <f t="shared" si="5"/>
        <v>4.0293602191298739E-2</v>
      </c>
      <c r="S23" s="22">
        <v>3.0435473226644749E-2</v>
      </c>
      <c r="T23" s="19">
        <f t="shared" si="6"/>
        <v>4.0294081537241011E-2</v>
      </c>
      <c r="U23" s="24">
        <v>3.4735233513929042E-2</v>
      </c>
      <c r="V23" s="24">
        <f t="shared" si="7"/>
        <v>4.4593398967037734E-2</v>
      </c>
      <c r="W23" s="23">
        <f t="shared" si="10"/>
        <v>3.5206373818441605E-3</v>
      </c>
      <c r="X23" s="24">
        <v>3.3875281021380266E-2</v>
      </c>
      <c r="Y23" s="24">
        <f t="shared" si="8"/>
        <v>4.3733536093025771E-2</v>
      </c>
      <c r="Z23" s="23">
        <f t="shared" si="9"/>
        <v>3.4517032490235522E-3</v>
      </c>
      <c r="AA23" s="36"/>
      <c r="AD23" s="33"/>
    </row>
    <row r="24" spans="4:30" ht="13.9" customHeight="1">
      <c r="D24" s="8"/>
      <c r="E24" s="9"/>
      <c r="F24" s="19"/>
      <c r="G24" s="19"/>
      <c r="H24" s="19"/>
      <c r="J24" s="46">
        <v>50</v>
      </c>
      <c r="K24" s="49">
        <v>3.739184322777904E-2</v>
      </c>
      <c r="L24" s="49">
        <f t="shared" si="3"/>
        <v>4.1525471977697168E-2</v>
      </c>
      <c r="M24" s="49">
        <f t="shared" si="2"/>
        <v>4.070011204863027E-2</v>
      </c>
      <c r="O24" s="12">
        <f t="shared" si="4"/>
        <v>0.91666666666666663</v>
      </c>
      <c r="P24" s="13">
        <v>11</v>
      </c>
      <c r="Q24" s="22">
        <v>3.1327584464323266E-2</v>
      </c>
      <c r="R24" s="19">
        <f t="shared" si="5"/>
        <v>4.0127709264597078E-2</v>
      </c>
      <c r="S24" s="22">
        <v>3.1327836331590975E-2</v>
      </c>
      <c r="T24" s="19">
        <f t="shared" si="6"/>
        <v>4.0124915088332935E-2</v>
      </c>
      <c r="U24" s="24">
        <v>3.5627572705973831E-2</v>
      </c>
      <c r="V24" s="24">
        <f t="shared" si="7"/>
        <v>4.4427697247018116E-2</v>
      </c>
      <c r="W24" s="23">
        <f t="shared" si="10"/>
        <v>3.6422601173808911E-3</v>
      </c>
      <c r="X24" s="24">
        <v>3.4767625101184141E-2</v>
      </c>
      <c r="Y24" s="24">
        <f t="shared" si="8"/>
        <v>4.356714439597531E-2</v>
      </c>
      <c r="Z24" s="23">
        <f t="shared" si="9"/>
        <v>3.5733879864650042E-3</v>
      </c>
      <c r="AA24" s="36"/>
    </row>
    <row r="25" spans="4:30" ht="13.9" customHeight="1">
      <c r="D25" s="8"/>
      <c r="E25" s="9"/>
      <c r="F25" s="19"/>
      <c r="G25" s="19"/>
      <c r="H25" s="19"/>
      <c r="J25" s="44"/>
      <c r="K25" s="44"/>
      <c r="L25" s="44"/>
      <c r="M25" s="44"/>
      <c r="O25" s="12">
        <f t="shared" si="4"/>
        <v>1</v>
      </c>
      <c r="P25" s="13">
        <v>12</v>
      </c>
      <c r="Q25" s="22">
        <v>3.2058075722348311E-2</v>
      </c>
      <c r="R25" s="19">
        <f t="shared" si="5"/>
        <v>3.8683458847780905E-2</v>
      </c>
      <c r="S25" s="22">
        <v>3.2058075722355195E-2</v>
      </c>
      <c r="T25" s="19">
        <f t="shared" si="6"/>
        <v>3.8678302537108689E-2</v>
      </c>
      <c r="U25" s="24">
        <v>3.635807572236005E-2</v>
      </c>
      <c r="V25" s="24">
        <f t="shared" si="7"/>
        <v>4.2983611614077155E-2</v>
      </c>
      <c r="W25" s="23">
        <f t="shared" si="10"/>
        <v>3.6289920090022409E-3</v>
      </c>
      <c r="X25" s="24">
        <v>3.549807572235375E-2</v>
      </c>
      <c r="Y25" s="24">
        <f t="shared" si="8"/>
        <v>4.2122555722442945E-2</v>
      </c>
      <c r="Z25" s="23">
        <f t="shared" si="9"/>
        <v>3.5600545640397385E-3</v>
      </c>
      <c r="AA25" s="36"/>
    </row>
    <row r="26" spans="4:30" ht="13.9" customHeight="1">
      <c r="D26" s="10"/>
      <c r="E26" s="11"/>
      <c r="F26" s="20"/>
      <c r="G26" s="20"/>
      <c r="H26" s="20"/>
      <c r="I26" s="50"/>
      <c r="J26" s="45"/>
      <c r="K26" s="45"/>
      <c r="L26" s="45"/>
      <c r="M26" s="43"/>
      <c r="O26" s="12">
        <f t="shared" si="4"/>
        <v>1.0833333333333333</v>
      </c>
      <c r="P26" s="13">
        <v>13</v>
      </c>
      <c r="Q26" s="22">
        <v>3.2566216744080112E-2</v>
      </c>
      <c r="R26" s="19">
        <f t="shared" si="5"/>
        <v>3.7584192369976677E-2</v>
      </c>
      <c r="S26" s="22">
        <v>3.2565822439875491E-2</v>
      </c>
      <c r="T26" s="19">
        <f t="shared" si="6"/>
        <v>3.7579313203180753E-2</v>
      </c>
      <c r="U26" s="24">
        <v>3.6866234640609896E-2</v>
      </c>
      <c r="V26" s="24">
        <f t="shared" si="7"/>
        <v>4.1884331726709245E-2</v>
      </c>
      <c r="W26" s="23">
        <f t="shared" si="10"/>
        <v>3.5132790777177014E-3</v>
      </c>
      <c r="X26" s="24">
        <v>3.6006152656134605E-2</v>
      </c>
      <c r="Y26" s="24">
        <f t="shared" si="8"/>
        <v>4.102333790487811E-2</v>
      </c>
      <c r="Z26" s="23">
        <f t="shared" si="9"/>
        <v>3.4442137427372899E-3</v>
      </c>
      <c r="AA26" s="36"/>
    </row>
    <row r="27" spans="4:30" ht="13.9" customHeight="1">
      <c r="O27" s="12">
        <f t="shared" si="4"/>
        <v>1.1666666666666667</v>
      </c>
      <c r="P27" s="13">
        <v>14</v>
      </c>
      <c r="Q27" s="22">
        <v>3.2923837375253173E-2</v>
      </c>
      <c r="R27" s="19">
        <f t="shared" si="5"/>
        <v>3.7233435450852337E-2</v>
      </c>
      <c r="S27" s="22">
        <v>3.2923124161628348E-2</v>
      </c>
      <c r="T27" s="19">
        <f t="shared" si="6"/>
        <v>3.7230901122583537E-2</v>
      </c>
      <c r="U27" s="24">
        <v>3.7223867241756192E-2</v>
      </c>
      <c r="V27" s="24">
        <f t="shared" si="7"/>
        <v>4.1533462013931821E-2</v>
      </c>
      <c r="W27" s="23">
        <f t="shared" si="10"/>
        <v>3.4250965463180627E-3</v>
      </c>
      <c r="X27" s="24">
        <v>3.63637197530986E-2</v>
      </c>
      <c r="Y27" s="24">
        <f t="shared" si="8"/>
        <v>4.0672958856218244E-2</v>
      </c>
      <c r="Z27" s="23">
        <f t="shared" si="9"/>
        <v>3.3559693744624752E-3</v>
      </c>
      <c r="AA27" s="36"/>
    </row>
    <row r="28" spans="4:30" ht="13.9" customHeight="1">
      <c r="O28" s="12">
        <f t="shared" si="4"/>
        <v>1.25</v>
      </c>
      <c r="P28" s="13">
        <v>15</v>
      </c>
      <c r="Q28" s="22">
        <v>3.3210586015326005E-2</v>
      </c>
      <c r="R28" s="19">
        <f t="shared" si="5"/>
        <v>3.7630111923032228E-2</v>
      </c>
      <c r="S28" s="22">
        <v>3.3209751864447856E-2</v>
      </c>
      <c r="T28" s="19">
        <f t="shared" si="6"/>
        <v>3.7631017438560344E-2</v>
      </c>
      <c r="U28" s="24">
        <v>3.7510617969164439E-2</v>
      </c>
      <c r="V28" s="24">
        <f t="shared" si="7"/>
        <v>4.1930010259468409E-2</v>
      </c>
      <c r="W28" s="23">
        <f t="shared" si="10"/>
        <v>3.3969323651024119E-3</v>
      </c>
      <c r="X28" s="24">
        <v>3.6650446401000902E-2</v>
      </c>
      <c r="Y28" s="24">
        <f t="shared" si="8"/>
        <v>4.1070212135879691E-2</v>
      </c>
      <c r="Z28" s="23">
        <f t="shared" si="9"/>
        <v>3.3278232592841572E-3</v>
      </c>
      <c r="AA28" s="36"/>
    </row>
    <row r="29" spans="4:30" ht="13.9" customHeight="1">
      <c r="D29" s="111" t="s">
        <v>40</v>
      </c>
      <c r="E29" s="112"/>
      <c r="F29" s="112"/>
      <c r="G29" s="112"/>
      <c r="H29" s="112"/>
      <c r="I29" s="112"/>
      <c r="J29" s="112"/>
      <c r="O29" s="12">
        <f t="shared" si="4"/>
        <v>1.3333333333333333</v>
      </c>
      <c r="P29" s="13">
        <v>16</v>
      </c>
      <c r="Q29" s="22">
        <v>3.3486254070403509E-2</v>
      </c>
      <c r="R29" s="19">
        <f t="shared" si="5"/>
        <v>3.8774827599852735E-2</v>
      </c>
      <c r="S29" s="22">
        <v>3.3485528213927029E-2</v>
      </c>
      <c r="T29" s="19">
        <f t="shared" si="6"/>
        <v>3.8779302940481264E-2</v>
      </c>
      <c r="U29" s="24">
        <v>3.7786279989194149E-2</v>
      </c>
      <c r="V29" s="24">
        <f t="shared" si="7"/>
        <v>4.3074611650442796E-2</v>
      </c>
      <c r="W29" s="23">
        <f t="shared" si="10"/>
        <v>3.4287625054965076E-3</v>
      </c>
      <c r="X29" s="24">
        <v>3.6926131213297575E-2</v>
      </c>
      <c r="Y29" s="24">
        <f t="shared" si="8"/>
        <v>4.2215538587253132E-2</v>
      </c>
      <c r="Z29" s="23">
        <f t="shared" si="9"/>
        <v>3.3597341450806173E-3</v>
      </c>
      <c r="AA29" s="36"/>
    </row>
    <row r="30" spans="4:30" ht="13.9" customHeight="1">
      <c r="O30" s="12">
        <f t="shared" si="4"/>
        <v>1.4166666666666667</v>
      </c>
      <c r="P30" s="13">
        <v>17</v>
      </c>
      <c r="Q30" s="22">
        <v>3.3796599959512008E-2</v>
      </c>
      <c r="R30" s="19">
        <f t="shared" si="5"/>
        <v>4.0670321644142193E-2</v>
      </c>
      <c r="S30" s="22">
        <v>3.3796178588316295E-2</v>
      </c>
      <c r="T30" s="19">
        <f t="shared" si="6"/>
        <v>4.0677532609961542E-2</v>
      </c>
      <c r="U30" s="24">
        <v>3.8096614802307194E-2</v>
      </c>
      <c r="V30" s="24">
        <f t="shared" si="7"/>
        <v>4.4969978457550575E-2</v>
      </c>
      <c r="W30" s="23">
        <f t="shared" si="10"/>
        <v>3.5205751410058994E-3</v>
      </c>
      <c r="X30" s="24">
        <v>3.7236528386626722E-2</v>
      </c>
      <c r="Y30" s="24">
        <f t="shared" si="8"/>
        <v>4.4111475037201142E-2</v>
      </c>
      <c r="Z30" s="23">
        <f t="shared" si="9"/>
        <v>3.4516744217290007E-3</v>
      </c>
      <c r="AA30" s="36"/>
    </row>
    <row r="31" spans="4:30" ht="13.9" customHeight="1">
      <c r="D31" s="117" t="s">
        <v>41</v>
      </c>
      <c r="E31" s="121" t="s">
        <v>48</v>
      </c>
      <c r="F31" s="121" t="s">
        <v>49</v>
      </c>
      <c r="G31" s="121" t="s">
        <v>50</v>
      </c>
      <c r="H31" s="121" t="s">
        <v>59</v>
      </c>
      <c r="I31" s="123"/>
      <c r="J31" s="121" t="s">
        <v>60</v>
      </c>
      <c r="O31" s="12">
        <f t="shared" si="4"/>
        <v>1.5</v>
      </c>
      <c r="P31" s="13">
        <v>18</v>
      </c>
      <c r="Q31" s="22">
        <v>3.417727951874161E-2</v>
      </c>
      <c r="R31" s="19">
        <f t="shared" si="5"/>
        <v>4.3044701184830281E-2</v>
      </c>
      <c r="S31" s="22">
        <v>3.4177279518748938E-2</v>
      </c>
      <c r="T31" s="19">
        <f t="shared" si="6"/>
        <v>4.305271214299311E-2</v>
      </c>
      <c r="U31" s="24">
        <v>3.8477279518747132E-2</v>
      </c>
      <c r="V31" s="24">
        <f t="shared" si="7"/>
        <v>4.734421839683467E-2</v>
      </c>
      <c r="W31" s="23">
        <f t="shared" si="10"/>
        <v>3.672406508677728E-3</v>
      </c>
      <c r="X31" s="24">
        <v>3.7617279518746605E-2</v>
      </c>
      <c r="Y31" s="24">
        <f t="shared" si="8"/>
        <v>4.6485916076394851E-2</v>
      </c>
      <c r="Z31" s="23">
        <f t="shared" si="9"/>
        <v>3.6036660315605928E-3</v>
      </c>
      <c r="AA31" s="36"/>
    </row>
    <row r="32" spans="4:30" ht="13.9" customHeight="1">
      <c r="D32" s="117"/>
      <c r="E32" s="117"/>
      <c r="F32" s="117"/>
      <c r="G32" s="117"/>
      <c r="H32" s="117"/>
      <c r="I32" s="123"/>
      <c r="J32" s="117"/>
      <c r="O32" s="12">
        <f t="shared" si="4"/>
        <v>1.5833333333333333</v>
      </c>
      <c r="P32" s="13">
        <v>19</v>
      </c>
      <c r="Q32" s="22">
        <v>3.4642100857206426E-2</v>
      </c>
      <c r="R32" s="19">
        <f t="shared" si="5"/>
        <v>4.4791430490247919E-2</v>
      </c>
      <c r="S32" s="22">
        <v>3.4642519088490475E-2</v>
      </c>
      <c r="T32" s="19">
        <f t="shared" si="6"/>
        <v>4.4797520520665213E-2</v>
      </c>
      <c r="U32" s="24">
        <v>3.8942083413654904E-2</v>
      </c>
      <c r="V32" s="24">
        <f t="shared" si="7"/>
        <v>4.90909985809731E-2</v>
      </c>
      <c r="W32" s="23">
        <f t="shared" si="10"/>
        <v>3.8622429978272255E-3</v>
      </c>
      <c r="X32" s="24">
        <v>3.8082170500534751E-2</v>
      </c>
      <c r="Y32" s="24">
        <f t="shared" si="8"/>
        <v>4.823230513574539E-2</v>
      </c>
      <c r="Z32" s="23">
        <f t="shared" si="9"/>
        <v>3.7936615105262916E-3</v>
      </c>
      <c r="AA32" s="36"/>
    </row>
    <row r="33" spans="4:27" ht="13.9" customHeight="1">
      <c r="D33" s="57" t="s">
        <v>42</v>
      </c>
      <c r="E33" s="55">
        <v>21.290042075947817</v>
      </c>
      <c r="F33" s="55">
        <v>5.8305999999999996</v>
      </c>
      <c r="G33" s="55">
        <f>E33-F33</f>
        <v>15.459442075947816</v>
      </c>
      <c r="H33" s="54">
        <v>9.3520000000000006E-2</v>
      </c>
      <c r="I33" s="123"/>
      <c r="J33" s="55">
        <f>G33*H33</f>
        <v>1.4457670229426398</v>
      </c>
      <c r="O33" s="12">
        <f t="shared" si="4"/>
        <v>1.6666666666666667</v>
      </c>
      <c r="P33" s="13">
        <v>20</v>
      </c>
      <c r="Q33" s="22">
        <v>3.5147217759143645E-2</v>
      </c>
      <c r="R33" s="19">
        <f t="shared" si="5"/>
        <v>4.5629019150526862E-2</v>
      </c>
      <c r="S33" s="22">
        <v>3.5147916962855463E-2</v>
      </c>
      <c r="T33" s="19">
        <f t="shared" si="6"/>
        <v>4.5631331605962888E-2</v>
      </c>
      <c r="U33" s="24">
        <v>3.9447189446015773E-2</v>
      </c>
      <c r="V33" s="24">
        <f t="shared" si="7"/>
        <v>4.9928763479207605E-2</v>
      </c>
      <c r="W33" s="23">
        <f t="shared" si="10"/>
        <v>4.0016581366204562E-3</v>
      </c>
      <c r="X33" s="24">
        <v>3.8587335019363067E-2</v>
      </c>
      <c r="Y33" s="24">
        <f t="shared" si="8"/>
        <v>4.9069277171031489E-2</v>
      </c>
      <c r="Z33" s="23">
        <f t="shared" si="9"/>
        <v>3.9331501582628992E-3</v>
      </c>
      <c r="AA33" s="36"/>
    </row>
    <row r="34" spans="4:27" ht="13.9" customHeight="1">
      <c r="D34" s="57" t="s">
        <v>43</v>
      </c>
      <c r="E34" s="55">
        <v>58.911926663075405</v>
      </c>
      <c r="F34" s="55">
        <v>5.8305999999999996</v>
      </c>
      <c r="G34" s="55">
        <f t="shared" ref="G34:G36" si="11">E34-F34</f>
        <v>53.081326663075409</v>
      </c>
      <c r="H34" s="54">
        <v>1.2959999999999999E-2</v>
      </c>
      <c r="I34" s="123"/>
      <c r="J34" s="55">
        <f t="shared" ref="J34:J37" si="12">G34*H34</f>
        <v>0.6879339935534573</v>
      </c>
      <c r="O34" s="12">
        <f t="shared" si="4"/>
        <v>1.75</v>
      </c>
      <c r="P34" s="13">
        <v>21</v>
      </c>
      <c r="Q34" s="22">
        <v>3.5643960150414822E-2</v>
      </c>
      <c r="R34" s="19">
        <f t="shared" si="5"/>
        <v>4.5553738827922352E-2</v>
      </c>
      <c r="S34" s="22">
        <v>3.5644735443592257E-2</v>
      </c>
      <c r="T34" s="19">
        <f t="shared" si="6"/>
        <v>4.5551606280464618E-2</v>
      </c>
      <c r="U34" s="24">
        <v>3.9943930940385064E-2</v>
      </c>
      <c r="V34" s="24">
        <f t="shared" si="7"/>
        <v>4.9853677171888711E-2</v>
      </c>
      <c r="W34" s="23">
        <f t="shared" si="10"/>
        <v>4.0684468811531538E-3</v>
      </c>
      <c r="X34" s="24">
        <v>3.9084091917866104E-2</v>
      </c>
      <c r="Y34" s="24">
        <f t="shared" si="8"/>
        <v>4.8993263549589772E-2</v>
      </c>
      <c r="Z34" s="23">
        <f t="shared" si="9"/>
        <v>3.9999258005165572E-3</v>
      </c>
      <c r="AA34" s="36"/>
    </row>
    <row r="35" spans="4:27" ht="13.9" customHeight="1">
      <c r="D35" s="57" t="s">
        <v>47</v>
      </c>
      <c r="E35" s="55">
        <v>161.61266099928289</v>
      </c>
      <c r="F35" s="55">
        <v>5.8305999999999996</v>
      </c>
      <c r="G35" s="55">
        <f t="shared" si="11"/>
        <v>155.78206099928289</v>
      </c>
      <c r="H35" s="54">
        <v>0.15468000000000001</v>
      </c>
      <c r="I35" s="123"/>
      <c r="J35" s="55">
        <f t="shared" si="12"/>
        <v>24.096369195369078</v>
      </c>
      <c r="O35" s="12">
        <f t="shared" si="4"/>
        <v>1.8333333333333333</v>
      </c>
      <c r="P35" s="13">
        <v>22</v>
      </c>
      <c r="Q35" s="22">
        <v>3.6092360242001131E-2</v>
      </c>
      <c r="R35" s="19">
        <f t="shared" si="5"/>
        <v>4.4563906602206993E-2</v>
      </c>
      <c r="S35" s="22">
        <v>3.6093004558018782E-2</v>
      </c>
      <c r="T35" s="19">
        <f t="shared" si="6"/>
        <v>4.4557860551191153E-2</v>
      </c>
      <c r="U35" s="24">
        <v>4.0392337971553394E-2</v>
      </c>
      <c r="V35" s="24">
        <f t="shared" si="7"/>
        <v>4.8863998135309838E-2</v>
      </c>
      <c r="W35" s="23">
        <f t="shared" si="10"/>
        <v>4.0624628034788834E-3</v>
      </c>
      <c r="X35" s="24">
        <v>3.9532471392046853E-2</v>
      </c>
      <c r="Y35" s="24">
        <f t="shared" si="8"/>
        <v>4.8002773020778822E-2</v>
      </c>
      <c r="Z35" s="23">
        <f t="shared" si="9"/>
        <v>3.9938632675509123E-3</v>
      </c>
      <c r="AA35" s="36"/>
    </row>
    <row r="36" spans="4:27" ht="13.9" customHeight="1">
      <c r="D36" s="57" t="s">
        <v>44</v>
      </c>
      <c r="E36" s="55">
        <v>76.735458913118279</v>
      </c>
      <c r="F36" s="55">
        <v>5.8305999999999996</v>
      </c>
      <c r="G36" s="55">
        <f t="shared" si="11"/>
        <v>70.904858913118275</v>
      </c>
      <c r="H36" s="54">
        <v>8.4330000000000002E-2</v>
      </c>
      <c r="I36" s="123"/>
      <c r="J36" s="55">
        <f t="shared" si="12"/>
        <v>5.9794067521432641</v>
      </c>
      <c r="O36" s="12">
        <f t="shared" si="4"/>
        <v>1.9166666666666667</v>
      </c>
      <c r="P36" s="13">
        <v>23</v>
      </c>
      <c r="Q36" s="22">
        <v>3.6459255642672828E-2</v>
      </c>
      <c r="R36" s="19">
        <f t="shared" si="5"/>
        <v>4.2660564745135909E-2</v>
      </c>
      <c r="S36" s="22">
        <v>3.6459611330115216E-2</v>
      </c>
      <c r="T36" s="19">
        <f t="shared" si="6"/>
        <v>4.2652335020849419E-2</v>
      </c>
      <c r="U36" s="24">
        <v>4.0759244172143827E-2</v>
      </c>
      <c r="V36" s="24">
        <f t="shared" si="7"/>
        <v>4.696075683751455E-2</v>
      </c>
      <c r="W36" s="23">
        <f t="shared" si="10"/>
        <v>3.9835526664437904E-3</v>
      </c>
      <c r="X36" s="24">
        <v>3.9899317808642421E-2</v>
      </c>
      <c r="Y36" s="24">
        <f t="shared" si="8"/>
        <v>4.609906771240424E-2</v>
      </c>
      <c r="Z36" s="23">
        <f t="shared" si="9"/>
        <v>3.9148289944528347E-3</v>
      </c>
      <c r="AA36" s="36"/>
    </row>
    <row r="37" spans="4:27" ht="13.9" customHeight="1">
      <c r="D37" s="57" t="s">
        <v>45</v>
      </c>
      <c r="E37" s="58"/>
      <c r="F37" s="58"/>
      <c r="G37" s="53">
        <v>221.2</v>
      </c>
      <c r="H37" s="54">
        <v>4.8770000000000001E-2</v>
      </c>
      <c r="I37" s="123"/>
      <c r="J37" s="55">
        <f t="shared" si="12"/>
        <v>10.787924</v>
      </c>
      <c r="O37" s="12">
        <f t="shared" si="4"/>
        <v>2</v>
      </c>
      <c r="P37" s="13">
        <v>24</v>
      </c>
      <c r="Q37" s="22">
        <v>3.6716905621373419E-2</v>
      </c>
      <c r="R37" s="19">
        <f t="shared" si="5"/>
        <v>4.0125510888766369E-2</v>
      </c>
      <c r="S37" s="22">
        <v>3.671690562138008E-2</v>
      </c>
      <c r="T37" s="19">
        <f t="shared" si="6"/>
        <v>4.0117766722614245E-2</v>
      </c>
      <c r="U37" s="24">
        <v>4.1016905621381161E-2</v>
      </c>
      <c r="V37" s="24">
        <f t="shared" si="7"/>
        <v>4.442572736207584E-2</v>
      </c>
      <c r="W37" s="23">
        <f t="shared" si="10"/>
        <v>3.8316093893460135E-3</v>
      </c>
      <c r="X37" s="24">
        <v>4.0156905621379524E-2</v>
      </c>
      <c r="Y37" s="24">
        <f t="shared" si="8"/>
        <v>4.3564109735729106E-2</v>
      </c>
      <c r="Z37" s="23">
        <f t="shared" si="9"/>
        <v>3.7627340562831346E-3</v>
      </c>
      <c r="AA37" s="36"/>
    </row>
    <row r="38" spans="4:27" ht="13.9" customHeight="1">
      <c r="D38" s="57" t="s">
        <v>46</v>
      </c>
      <c r="E38" s="58"/>
      <c r="F38" s="58"/>
      <c r="G38" s="58"/>
      <c r="H38" s="58"/>
      <c r="I38" s="123"/>
      <c r="J38" s="56">
        <f>SUM(J33:J37)</f>
        <v>42.997400964008435</v>
      </c>
      <c r="O38" s="12">
        <f t="shared" si="4"/>
        <v>2.0833333333333335</v>
      </c>
      <c r="P38" s="13">
        <v>25</v>
      </c>
      <c r="Q38" s="22">
        <v>3.6853035116847455E-2</v>
      </c>
      <c r="R38" s="19">
        <f t="shared" si="5"/>
        <v>3.8070976034194848E-2</v>
      </c>
      <c r="S38" s="22">
        <v>3.6852726323701734E-2</v>
      </c>
      <c r="T38" s="19">
        <f t="shared" si="6"/>
        <v>3.8065853845720143E-2</v>
      </c>
      <c r="U38" s="24">
        <v>4.1153044633660985E-2</v>
      </c>
      <c r="V38" s="24">
        <f t="shared" si="7"/>
        <v>4.237103620137872E-2</v>
      </c>
      <c r="W38" s="23">
        <f t="shared" si="10"/>
        <v>3.6288342642909477E-3</v>
      </c>
      <c r="X38" s="24">
        <v>4.0292979955037111E-2</v>
      </c>
      <c r="Y38" s="24">
        <f t="shared" si="8"/>
        <v>4.150997430739678E-2</v>
      </c>
      <c r="Z38" s="23">
        <f t="shared" si="9"/>
        <v>3.5598113703076972E-3</v>
      </c>
      <c r="AA38" s="36"/>
    </row>
    <row r="39" spans="4:27" ht="13.9" customHeight="1">
      <c r="O39" s="12">
        <f t="shared" si="4"/>
        <v>2.1666666666666665</v>
      </c>
      <c r="P39" s="13">
        <v>26</v>
      </c>
      <c r="Q39" s="22">
        <v>3.6899852564145297E-2</v>
      </c>
      <c r="R39" s="19">
        <f t="shared" si="5"/>
        <v>3.6771448381613059E-2</v>
      </c>
      <c r="S39" s="22">
        <v>3.6899358848849317E-2</v>
      </c>
      <c r="T39" s="19">
        <f t="shared" si="6"/>
        <v>3.6770032568444799E-2</v>
      </c>
      <c r="U39" s="24">
        <v>4.1199864135952113E-2</v>
      </c>
      <c r="V39" s="24">
        <f t="shared" si="7"/>
        <v>4.1071305517546897E-2</v>
      </c>
      <c r="W39" s="23">
        <f t="shared" si="10"/>
        <v>3.4641497420457856E-3</v>
      </c>
      <c r="X39" s="24">
        <v>4.0339761124253526E-2</v>
      </c>
      <c r="Y39" s="24">
        <f t="shared" si="8"/>
        <v>4.0211040618681526E-2</v>
      </c>
      <c r="Z39" s="23">
        <f t="shared" si="9"/>
        <v>3.3950467050682942E-3</v>
      </c>
      <c r="AA39" s="36"/>
    </row>
    <row r="40" spans="4:27" ht="13.9" customHeight="1">
      <c r="O40" s="12">
        <f t="shared" si="4"/>
        <v>2.25</v>
      </c>
      <c r="P40" s="13">
        <v>27</v>
      </c>
      <c r="Q40" s="22">
        <v>3.6895096570103147E-2</v>
      </c>
      <c r="R40" s="19">
        <f t="shared" si="5"/>
        <v>3.622409561798734E-2</v>
      </c>
      <c r="S40" s="22">
        <v>3.6894568698946362E-2</v>
      </c>
      <c r="T40" s="19">
        <f t="shared" si="6"/>
        <v>3.6226495811198633E-2</v>
      </c>
      <c r="U40" s="24">
        <v>4.1195102422554308E-2</v>
      </c>
      <c r="V40" s="24">
        <f t="shared" si="7"/>
        <v>4.0523854381282032E-2</v>
      </c>
      <c r="W40" s="23">
        <f t="shared" si="10"/>
        <v>3.3598219597319456E-3</v>
      </c>
      <c r="X40" s="24">
        <v>4.033499341408664E-2</v>
      </c>
      <c r="Y40" s="24">
        <f t="shared" si="8"/>
        <v>3.9664389554614488E-2</v>
      </c>
      <c r="Z40" s="23">
        <f t="shared" si="9"/>
        <v>3.29070387040864E-3</v>
      </c>
      <c r="AA40" s="36"/>
    </row>
    <row r="41" spans="4:27" ht="13.9" customHeight="1">
      <c r="D41" s="111" t="s">
        <v>51</v>
      </c>
      <c r="E41" s="112"/>
      <c r="F41" s="112"/>
      <c r="G41" s="112"/>
      <c r="H41" s="112"/>
      <c r="I41" s="112"/>
      <c r="J41" s="112"/>
      <c r="O41" s="12">
        <f t="shared" si="4"/>
        <v>2.3333333333333335</v>
      </c>
      <c r="P41" s="13">
        <v>28</v>
      </c>
      <c r="Q41" s="22">
        <v>3.6871124770184505E-2</v>
      </c>
      <c r="R41" s="19">
        <f t="shared" si="5"/>
        <v>3.6427218089970737E-2</v>
      </c>
      <c r="S41" s="22">
        <v>3.6870701537905726E-2</v>
      </c>
      <c r="T41" s="19">
        <f t="shared" si="6"/>
        <v>3.6432576703895325E-2</v>
      </c>
      <c r="U41" s="24">
        <v>4.1171121823439849E-2</v>
      </c>
      <c r="V41" s="24">
        <f t="shared" si="7"/>
        <v>4.072708197283692E-2</v>
      </c>
      <c r="W41" s="23">
        <f t="shared" si="10"/>
        <v>3.315842991134188E-3</v>
      </c>
      <c r="X41" s="24">
        <v>4.0311035829615482E-2</v>
      </c>
      <c r="Y41" s="24">
        <f t="shared" si="8"/>
        <v>3.9868201685343108E-2</v>
      </c>
      <c r="Z41" s="23">
        <f t="shared" si="9"/>
        <v>3.2467558913358285E-3</v>
      </c>
      <c r="AA41" s="36"/>
    </row>
    <row r="42" spans="4:27" ht="13.9" customHeight="1">
      <c r="O42" s="12">
        <f t="shared" si="4"/>
        <v>2.4166666666666665</v>
      </c>
      <c r="P42" s="13">
        <v>29</v>
      </c>
      <c r="Q42" s="22">
        <v>3.6855814478726989E-2</v>
      </c>
      <c r="R42" s="19">
        <f t="shared" si="5"/>
        <v>3.7380695867215596E-2</v>
      </c>
      <c r="S42" s="22">
        <v>3.6855590702364438E-2</v>
      </c>
      <c r="T42" s="19">
        <f t="shared" si="6"/>
        <v>3.7387188688096762E-2</v>
      </c>
      <c r="U42" s="24">
        <v>4.1155806951081564E-2</v>
      </c>
      <c r="V42" s="24">
        <f t="shared" si="7"/>
        <v>4.1680913748904924E-2</v>
      </c>
      <c r="W42" s="23">
        <f t="shared" si="10"/>
        <v>3.3321715621417169E-3</v>
      </c>
      <c r="X42" s="24">
        <v>4.0295762547847946E-2</v>
      </c>
      <c r="Y42" s="24">
        <f t="shared" si="8"/>
        <v>4.0822202199246593E-2</v>
      </c>
      <c r="Z42" s="23">
        <f t="shared" si="9"/>
        <v>3.2631438311472305E-3</v>
      </c>
      <c r="AA42" s="36"/>
    </row>
    <row r="43" spans="4:27" ht="13.9" customHeight="1">
      <c r="D43" s="121" t="s">
        <v>54</v>
      </c>
      <c r="E43" s="121" t="s">
        <v>61</v>
      </c>
      <c r="F43" s="124" t="s">
        <v>52</v>
      </c>
      <c r="G43" s="121" t="s">
        <v>53</v>
      </c>
      <c r="H43" s="121" t="s">
        <v>56</v>
      </c>
      <c r="I43" s="123"/>
      <c r="J43" s="121" t="s">
        <v>58</v>
      </c>
      <c r="O43" s="12">
        <f t="shared" si="4"/>
        <v>2.5</v>
      </c>
      <c r="P43" s="13">
        <v>30</v>
      </c>
      <c r="Q43" s="22">
        <v>3.6873306245585269E-2</v>
      </c>
      <c r="R43" s="19">
        <f t="shared" si="5"/>
        <v>3.8920902389995904E-2</v>
      </c>
      <c r="S43" s="22">
        <v>3.687330624559193E-2</v>
      </c>
      <c r="T43" s="19">
        <f t="shared" si="6"/>
        <v>3.8926214227660738E-2</v>
      </c>
      <c r="U43" s="24">
        <v>4.1173306245592123E-2</v>
      </c>
      <c r="V43" s="24">
        <f t="shared" si="7"/>
        <v>4.3221637413726199E-2</v>
      </c>
      <c r="W43" s="23">
        <f t="shared" si="10"/>
        <v>3.4087693203064262E-3</v>
      </c>
      <c r="X43" s="24">
        <v>4.0313306245590486E-2</v>
      </c>
      <c r="Y43" s="24">
        <f t="shared" si="8"/>
        <v>4.2362598394185769E-2</v>
      </c>
      <c r="Z43" s="23">
        <f t="shared" si="9"/>
        <v>3.3398131096775696E-3</v>
      </c>
      <c r="AA43" s="36"/>
    </row>
    <row r="44" spans="4:27" ht="13.9" customHeight="1">
      <c r="D44" s="122"/>
      <c r="E44" s="122"/>
      <c r="F44" s="125"/>
      <c r="G44" s="122"/>
      <c r="H44" s="122"/>
      <c r="I44" s="123"/>
      <c r="J44" s="122"/>
      <c r="O44" s="12">
        <f t="shared" si="4"/>
        <v>2.5833333333333335</v>
      </c>
      <c r="P44" s="13">
        <v>31</v>
      </c>
      <c r="Q44" s="22">
        <v>3.6939294701008762E-2</v>
      </c>
      <c r="R44" s="19">
        <f t="shared" si="5"/>
        <v>4.0387671783074452E-2</v>
      </c>
      <c r="S44" s="22">
        <v>3.6939465723366816E-2</v>
      </c>
      <c r="T44" s="19">
        <f t="shared" si="6"/>
        <v>4.0390870261300282E-2</v>
      </c>
      <c r="U44" s="24">
        <v>4.1239318626400623E-2</v>
      </c>
      <c r="V44" s="24">
        <f t="shared" si="7"/>
        <v>4.468871077730685E-2</v>
      </c>
      <c r="W44" s="23">
        <f t="shared" si="10"/>
        <v>3.5323619174780774E-3</v>
      </c>
      <c r="X44" s="24">
        <v>4.037934951493849E-2</v>
      </c>
      <c r="Y44" s="24">
        <f t="shared" si="8"/>
        <v>4.3829179041537047E-2</v>
      </c>
      <c r="Z44" s="23">
        <f t="shared" si="9"/>
        <v>3.4634728342926024E-3</v>
      </c>
      <c r="AA44" s="36"/>
    </row>
    <row r="45" spans="4:27" ht="13.9" customHeight="1">
      <c r="D45" s="51">
        <v>2021</v>
      </c>
      <c r="E45" s="52">
        <v>2.6499999999999999E-2</v>
      </c>
      <c r="F45" s="59">
        <v>0.02</v>
      </c>
      <c r="G45" s="59">
        <v>4.65E-2</v>
      </c>
      <c r="H45" s="60" t="s">
        <v>26</v>
      </c>
      <c r="I45" s="123"/>
      <c r="J45" s="59">
        <v>4.9500000000000002E-2</v>
      </c>
      <c r="O45" s="12">
        <f t="shared" si="4"/>
        <v>2.6666666666666665</v>
      </c>
      <c r="P45" s="13">
        <v>32</v>
      </c>
      <c r="Q45" s="22">
        <v>3.7046883279428178E-2</v>
      </c>
      <c r="R45" s="19">
        <f t="shared" si="5"/>
        <v>4.161526889621503E-2</v>
      </c>
      <c r="S45" s="22">
        <v>3.7047148605882096E-2</v>
      </c>
      <c r="T45" s="19">
        <f t="shared" si="6"/>
        <v>4.1616108613071523E-2</v>
      </c>
      <c r="U45" s="24">
        <v>4.1346939538005723E-2</v>
      </c>
      <c r="V45" s="24">
        <f t="shared" si="7"/>
        <v>4.5916216523051556E-2</v>
      </c>
      <c r="W45" s="23">
        <f t="shared" si="10"/>
        <v>3.649891073803202E-3</v>
      </c>
      <c r="X45" s="24">
        <v>4.0486983908419205E-2</v>
      </c>
      <c r="Y45" s="24">
        <f t="shared" si="8"/>
        <v>4.5056206536280952E-2</v>
      </c>
      <c r="Z45" s="23">
        <f t="shared" si="9"/>
        <v>3.5810512360296975E-3</v>
      </c>
      <c r="AA45" s="36"/>
    </row>
    <row r="46" spans="4:27" ht="13.9" customHeight="1">
      <c r="D46" s="51">
        <v>2022</v>
      </c>
      <c r="E46" s="52">
        <v>2.5999999999999999E-2</v>
      </c>
      <c r="F46" s="59">
        <v>0.02</v>
      </c>
      <c r="G46" s="59">
        <v>4.5999999999999999E-2</v>
      </c>
      <c r="H46" s="60" t="s">
        <v>26</v>
      </c>
      <c r="I46" s="123"/>
      <c r="J46" s="59">
        <v>4.9500000000000002E-2</v>
      </c>
      <c r="O46" s="12">
        <f t="shared" si="4"/>
        <v>2.75</v>
      </c>
      <c r="P46" s="13">
        <v>33</v>
      </c>
      <c r="Q46" s="22">
        <v>3.7185024381466869E-2</v>
      </c>
      <c r="R46" s="19">
        <f t="shared" si="5"/>
        <v>4.260313559251272E-2</v>
      </c>
      <c r="S46" s="22">
        <v>3.7185307039730109E-2</v>
      </c>
      <c r="T46" s="19">
        <f t="shared" si="6"/>
        <v>4.2601684015710184E-2</v>
      </c>
      <c r="U46" s="24">
        <v>4.1485108750716204E-2</v>
      </c>
      <c r="V46" s="24">
        <f t="shared" si="7"/>
        <v>4.6903500501408013E-2</v>
      </c>
      <c r="W46" s="23">
        <f t="shared" si="10"/>
        <v>3.7481119616007419E-3</v>
      </c>
      <c r="X46" s="24">
        <v>4.0625151238861124E-2</v>
      </c>
      <c r="Y46" s="24">
        <f t="shared" si="8"/>
        <v>4.6043121121733144E-2</v>
      </c>
      <c r="Z46" s="23">
        <f t="shared" si="9"/>
        <v>3.679307940623433E-3</v>
      </c>
      <c r="AA46" s="36"/>
    </row>
    <row r="47" spans="4:27" ht="13.9" customHeight="1">
      <c r="D47" s="51">
        <v>2023</v>
      </c>
      <c r="E47" s="52">
        <v>2.4500000000000001E-2</v>
      </c>
      <c r="F47" s="59">
        <v>0.02</v>
      </c>
      <c r="G47" s="59">
        <v>4.4499999999999998E-2</v>
      </c>
      <c r="H47" s="60" t="s">
        <v>55</v>
      </c>
      <c r="I47" s="123"/>
      <c r="J47" s="59">
        <v>4.8000000000000001E-2</v>
      </c>
      <c r="O47" s="12">
        <f t="shared" si="4"/>
        <v>2.8333333333333335</v>
      </c>
      <c r="P47" s="13">
        <v>34</v>
      </c>
      <c r="Q47" s="22">
        <v>3.7343977988989918E-2</v>
      </c>
      <c r="R47" s="19">
        <f t="shared" si="5"/>
        <v>4.3350649719279044E-2</v>
      </c>
      <c r="S47" s="22">
        <v>3.7344209897699709E-2</v>
      </c>
      <c r="T47" s="19">
        <f t="shared" si="6"/>
        <v>4.3347288930106753E-2</v>
      </c>
      <c r="U47" s="24">
        <v>4.1644072224572337E-2</v>
      </c>
      <c r="V47" s="24">
        <f t="shared" si="7"/>
        <v>4.7649860007533684E-2</v>
      </c>
      <c r="W47" s="23">
        <f t="shared" si="10"/>
        <v>3.8270344677338031E-3</v>
      </c>
      <c r="X47" s="24">
        <v>4.0784102036980352E-2</v>
      </c>
      <c r="Y47" s="24">
        <f t="shared" si="8"/>
        <v>4.678930936323078E-2</v>
      </c>
      <c r="Z47" s="23">
        <f t="shared" si="9"/>
        <v>3.7582604137504916E-3</v>
      </c>
      <c r="AA47" s="36"/>
    </row>
    <row r="48" spans="4:27" ht="13.9" customHeight="1">
      <c r="D48" s="51">
        <v>2024</v>
      </c>
      <c r="E48" s="52">
        <v>2.1999999999999999E-2</v>
      </c>
      <c r="F48" s="59">
        <v>0.02</v>
      </c>
      <c r="G48" s="59">
        <v>4.1999999999999996E-2</v>
      </c>
      <c r="H48" s="60" t="s">
        <v>57</v>
      </c>
      <c r="I48" s="123"/>
      <c r="J48" s="59">
        <v>4.5499999999999999E-2</v>
      </c>
      <c r="O48" s="12">
        <f t="shared" si="4"/>
        <v>2.9166666666666665</v>
      </c>
      <c r="P48" s="13">
        <v>35</v>
      </c>
      <c r="Q48" s="22">
        <v>3.7515116331708231E-2</v>
      </c>
      <c r="R48" s="19">
        <f t="shared" si="5"/>
        <v>4.3857171175179399E-2</v>
      </c>
      <c r="S48" s="22">
        <v>3.75152461659638E-2</v>
      </c>
      <c r="T48" s="19">
        <f t="shared" si="6"/>
        <v>4.3852599209244225E-2</v>
      </c>
      <c r="U48" s="24">
        <v>4.1815187429866452E-2</v>
      </c>
      <c r="V48" s="24">
        <f t="shared" si="7"/>
        <v>4.8154589975776041E-2</v>
      </c>
      <c r="W48" s="23">
        <f t="shared" si="10"/>
        <v>3.8866524387626278E-3</v>
      </c>
      <c r="X48" s="24">
        <v>4.0955200356163068E-2</v>
      </c>
      <c r="Y48" s="24">
        <f t="shared" si="8"/>
        <v>4.7294150260147827E-2</v>
      </c>
      <c r="Z48" s="23">
        <f t="shared" si="9"/>
        <v>3.8179096309713945E-3</v>
      </c>
      <c r="AA48" s="36"/>
    </row>
    <row r="49" spans="4:27" ht="13.9" customHeight="1">
      <c r="D49" s="51">
        <v>2025</v>
      </c>
      <c r="E49" s="52">
        <v>2.1500000000000002E-2</v>
      </c>
      <c r="F49" s="59">
        <v>0.02</v>
      </c>
      <c r="G49" s="59">
        <v>4.1500000000000002E-2</v>
      </c>
      <c r="H49" s="60" t="s">
        <v>57</v>
      </c>
      <c r="I49" s="123"/>
      <c r="J49" s="59">
        <v>4.2999999999999997E-2</v>
      </c>
      <c r="O49" s="12">
        <f t="shared" si="4"/>
        <v>3</v>
      </c>
      <c r="P49" s="13">
        <v>36</v>
      </c>
      <c r="Q49" s="22">
        <v>3.7690763137722572E-2</v>
      </c>
      <c r="R49" s="19">
        <f t="shared" si="5"/>
        <v>4.4152051976560358E-2</v>
      </c>
      <c r="S49" s="22">
        <v>3.7690763137727901E-2</v>
      </c>
      <c r="T49" s="19">
        <f t="shared" si="6"/>
        <v>4.4147105365363259E-2</v>
      </c>
      <c r="U49" s="24">
        <v>4.1990763137728093E-2</v>
      </c>
      <c r="V49" s="24">
        <f t="shared" si="7"/>
        <v>4.8447269651502367E-2</v>
      </c>
      <c r="W49" s="23">
        <f t="shared" si="10"/>
        <v>3.9269473763436924E-3</v>
      </c>
      <c r="X49" s="24">
        <v>4.1130763137729343E-2</v>
      </c>
      <c r="Y49" s="24">
        <f t="shared" si="8"/>
        <v>4.7587206077416733E-2</v>
      </c>
      <c r="Z49" s="23">
        <f t="shared" si="9"/>
        <v>3.8582437862653141E-3</v>
      </c>
      <c r="AA49" s="36"/>
    </row>
    <row r="50" spans="4:27" ht="13.9" customHeight="1">
      <c r="D50" s="51">
        <v>2026</v>
      </c>
      <c r="E50" s="52">
        <v>2.1999999999999999E-2</v>
      </c>
      <c r="F50" s="59">
        <v>0.02</v>
      </c>
      <c r="G50" s="59">
        <v>4.1999999999999996E-2</v>
      </c>
      <c r="H50" s="60" t="s">
        <v>26</v>
      </c>
      <c r="I50" s="126"/>
      <c r="J50" s="61">
        <v>4.2999999999999997E-2</v>
      </c>
      <c r="O50" s="12">
        <f t="shared" si="4"/>
        <v>3.0833333333333335</v>
      </c>
      <c r="P50" s="13">
        <v>37</v>
      </c>
      <c r="Q50" s="22">
        <v>3.7864865741782605E-2</v>
      </c>
      <c r="R50" s="19">
        <f t="shared" si="5"/>
        <v>4.4354737280545065E-2</v>
      </c>
      <c r="S50" s="22">
        <v>3.7864732854292038E-2</v>
      </c>
      <c r="T50" s="19">
        <f t="shared" si="6"/>
        <v>4.4349778195056366E-2</v>
      </c>
      <c r="U50" s="24">
        <v>4.2164739429783937E-2</v>
      </c>
      <c r="V50" s="24">
        <f t="shared" si="7"/>
        <v>4.8648418790493198E-2</v>
      </c>
      <c r="W50" s="23">
        <f t="shared" si="10"/>
        <v>3.9503052075040568E-3</v>
      </c>
      <c r="X50" s="24">
        <v>4.1304737290885685E-2</v>
      </c>
      <c r="Y50" s="24">
        <f t="shared" si="8"/>
        <v>4.7788671292076312E-2</v>
      </c>
      <c r="Z50" s="23">
        <f t="shared" si="9"/>
        <v>3.8816492429851746E-3</v>
      </c>
      <c r="AA50" s="36"/>
    </row>
    <row r="51" spans="4:27" ht="13.9" customHeight="1">
      <c r="D51" s="107" t="s">
        <v>62</v>
      </c>
      <c r="E51" s="107"/>
      <c r="F51" s="107"/>
      <c r="G51" s="107"/>
      <c r="H51" s="107"/>
      <c r="I51" s="107"/>
      <c r="J51" s="107"/>
      <c r="O51" s="12">
        <f t="shared" si="4"/>
        <v>3.1666666666666665</v>
      </c>
      <c r="P51" s="13">
        <v>38</v>
      </c>
      <c r="Q51" s="22">
        <v>3.8035134044616115E-2</v>
      </c>
      <c r="R51" s="19">
        <f t="shared" si="5"/>
        <v>4.4495040170211997E-2</v>
      </c>
      <c r="S51" s="22">
        <v>3.8034874920099604E-2</v>
      </c>
      <c r="T51" s="19">
        <f t="shared" si="6"/>
        <v>4.4490353933853255E-2</v>
      </c>
      <c r="U51" s="24">
        <v>4.2334847889756944E-2</v>
      </c>
      <c r="V51" s="24">
        <f t="shared" si="7"/>
        <v>4.8788110936611728E-2</v>
      </c>
      <c r="W51" s="23">
        <f t="shared" si="10"/>
        <v>3.9663548132669035E-3</v>
      </c>
      <c r="X51" s="24">
        <v>4.1474851988207995E-2</v>
      </c>
      <c r="Y51" s="24">
        <f t="shared" si="8"/>
        <v>4.7928549207406412E-2</v>
      </c>
      <c r="Z51" s="23">
        <f t="shared" si="9"/>
        <v>3.8977361620624595E-3</v>
      </c>
      <c r="AA51" s="36"/>
    </row>
    <row r="52" spans="4:27" ht="13.9" customHeight="1">
      <c r="D52" s="108"/>
      <c r="E52" s="108"/>
      <c r="F52" s="108"/>
      <c r="G52" s="108"/>
      <c r="H52" s="108"/>
      <c r="I52" s="108"/>
      <c r="J52" s="108"/>
      <c r="O52" s="12">
        <f t="shared" si="4"/>
        <v>3.25</v>
      </c>
      <c r="P52" s="13">
        <v>39</v>
      </c>
      <c r="Q52" s="22">
        <v>3.8200272524341772E-2</v>
      </c>
      <c r="R52" s="19">
        <f t="shared" si="5"/>
        <v>4.4572840287212756E-2</v>
      </c>
      <c r="S52" s="22">
        <v>3.8199900567895018E-2</v>
      </c>
      <c r="T52" s="19">
        <f t="shared" si="6"/>
        <v>4.4568794096136566E-2</v>
      </c>
      <c r="U52" s="24">
        <v>4.24998191106849E-2</v>
      </c>
      <c r="V52" s="24">
        <f t="shared" si="7"/>
        <v>4.8866214912256956E-2</v>
      </c>
      <c r="W52" s="23">
        <f t="shared" si="10"/>
        <v>3.9774991308931806E-3</v>
      </c>
      <c r="X52" s="24">
        <v>4.1639833866171427E-2</v>
      </c>
      <c r="Y52" s="24">
        <f t="shared" si="8"/>
        <v>4.800672841122311E-2</v>
      </c>
      <c r="Z52" s="23">
        <f t="shared" si="9"/>
        <v>3.9089036916013509E-3</v>
      </c>
      <c r="AA52" s="36"/>
    </row>
    <row r="53" spans="4:27" ht="13.9" customHeight="1">
      <c r="D53" s="109" t="s">
        <v>63</v>
      </c>
      <c r="E53" s="109"/>
      <c r="F53" s="109"/>
      <c r="G53" s="109"/>
      <c r="H53" s="109"/>
      <c r="I53" s="109"/>
      <c r="J53" s="109"/>
      <c r="O53" s="12">
        <f t="shared" si="4"/>
        <v>3.3333333333333335</v>
      </c>
      <c r="P53" s="13">
        <v>40</v>
      </c>
      <c r="Q53" s="22">
        <v>3.8359111917091626E-2</v>
      </c>
      <c r="R53" s="19">
        <f t="shared" si="5"/>
        <v>4.4588018557784048E-2</v>
      </c>
      <c r="S53" s="22">
        <v>3.8358648650865579E-2</v>
      </c>
      <c r="T53" s="19">
        <f t="shared" si="6"/>
        <v>4.4585061524595071E-2</v>
      </c>
      <c r="U53" s="24">
        <v>4.2658507068426443E-2</v>
      </c>
      <c r="V53" s="24">
        <f t="shared" si="7"/>
        <v>4.8882604523948325E-2</v>
      </c>
      <c r="W53" s="23">
        <f t="shared" si="10"/>
        <v>3.9837294931059919E-3</v>
      </c>
      <c r="X53" s="24">
        <v>4.179853383056642E-2</v>
      </c>
      <c r="Y53" s="24">
        <f t="shared" si="8"/>
        <v>4.802310114132502E-2</v>
      </c>
      <c r="Z53" s="23">
        <f t="shared" si="9"/>
        <v>3.9151447433194431E-3</v>
      </c>
      <c r="AA53" s="36"/>
    </row>
    <row r="54" spans="4:27" ht="13.9" customHeight="1">
      <c r="D54" s="109"/>
      <c r="E54" s="109"/>
      <c r="F54" s="109"/>
      <c r="G54" s="109"/>
      <c r="H54" s="109"/>
      <c r="I54" s="109"/>
      <c r="J54" s="109"/>
      <c r="O54" s="12">
        <f t="shared" si="4"/>
        <v>3.4166666666666665</v>
      </c>
      <c r="P54" s="13">
        <v>41</v>
      </c>
      <c r="Q54" s="22">
        <v>3.85105936495862E-2</v>
      </c>
      <c r="R54" s="19">
        <f t="shared" si="5"/>
        <v>4.4540460357516354E-2</v>
      </c>
      <c r="S54" s="22">
        <v>3.8510069913380907E-2</v>
      </c>
      <c r="T54" s="19">
        <f t="shared" si="6"/>
        <v>4.453912348336786E-2</v>
      </c>
      <c r="U54" s="24">
        <v>4.2809874001915826E-2</v>
      </c>
      <c r="V54" s="24">
        <f t="shared" si="7"/>
        <v>4.8837161656562378E-2</v>
      </c>
      <c r="W54" s="23">
        <f t="shared" si="10"/>
        <v>3.985036840140177E-3</v>
      </c>
      <c r="X54" s="24">
        <v>4.1949911795484018E-2</v>
      </c>
      <c r="Y54" s="24">
        <f t="shared" si="8"/>
        <v>4.7977566363587743E-2</v>
      </c>
      <c r="Z54" s="23">
        <f t="shared" si="9"/>
        <v>3.9164517255465547E-3</v>
      </c>
      <c r="AA54" s="36"/>
    </row>
    <row r="55" spans="4:27" ht="13.9" customHeight="1">
      <c r="D55" s="109"/>
      <c r="E55" s="109"/>
      <c r="F55" s="109"/>
      <c r="G55" s="109"/>
      <c r="H55" s="109"/>
      <c r="I55" s="109"/>
      <c r="J55" s="109"/>
      <c r="O55" s="12">
        <f t="shared" si="4"/>
        <v>3.5</v>
      </c>
      <c r="P55" s="13">
        <v>42</v>
      </c>
      <c r="Q55" s="22">
        <v>3.8653756580194987E-2</v>
      </c>
      <c r="R55" s="19">
        <f t="shared" si="5"/>
        <v>4.4430257997592371E-2</v>
      </c>
      <c r="S55" s="22">
        <v>3.8653213592460878E-2</v>
      </c>
      <c r="T55" s="19">
        <f t="shared" si="6"/>
        <v>4.4430954757152419E-2</v>
      </c>
      <c r="U55" s="24">
        <v>4.2952977535797521E-2</v>
      </c>
      <c r="V55" s="24">
        <f t="shared" si="7"/>
        <v>4.8729779361973424E-2</v>
      </c>
      <c r="W55" s="23">
        <f t="shared" si="10"/>
        <v>3.981411961572201E-3</v>
      </c>
      <c r="X55" s="24">
        <v>4.2093023684738329E-2</v>
      </c>
      <c r="Y55" s="24">
        <f t="shared" si="8"/>
        <v>4.7870032867237677E-2</v>
      </c>
      <c r="Z55" s="23">
        <f t="shared" si="9"/>
        <v>3.9128167847715112E-3</v>
      </c>
      <c r="AA55" s="36"/>
    </row>
    <row r="56" spans="4:27" ht="13.9" customHeight="1">
      <c r="O56" s="12">
        <f t="shared" si="4"/>
        <v>3.5833333333333335</v>
      </c>
      <c r="P56" s="13">
        <v>43</v>
      </c>
      <c r="Q56" s="22">
        <v>3.8787730281365063E-2</v>
      </c>
      <c r="R56" s="19">
        <f t="shared" si="5"/>
        <v>4.4258112989643328E-2</v>
      </c>
      <c r="S56" s="22">
        <v>3.8787215968996147E-2</v>
      </c>
      <c r="T56" s="19">
        <f t="shared" si="6"/>
        <v>4.4260540755592714E-2</v>
      </c>
      <c r="U56" s="24">
        <v>4.3086959678759973E-2</v>
      </c>
      <c r="V56" s="24">
        <f t="shared" si="7"/>
        <v>4.8560364969888914E-2</v>
      </c>
      <c r="W56" s="23">
        <f t="shared" si="10"/>
        <v>3.9728457377092852E-3</v>
      </c>
      <c r="X56" s="24">
        <v>4.2227010326259418E-2</v>
      </c>
      <c r="Y56" s="24">
        <f t="shared" si="8"/>
        <v>4.7700422370847484E-2</v>
      </c>
      <c r="Z56" s="23">
        <f t="shared" si="9"/>
        <v>3.9042320484752313E-3</v>
      </c>
      <c r="AA56" s="36"/>
    </row>
    <row r="57" spans="4:27" ht="13.9" customHeight="1">
      <c r="O57" s="12">
        <f t="shared" si="4"/>
        <v>3.6666666666666665</v>
      </c>
      <c r="P57" s="13">
        <v>44</v>
      </c>
      <c r="Q57" s="22">
        <v>3.891173834692041E-2</v>
      </c>
      <c r="R57" s="19">
        <f t="shared" si="5"/>
        <v>4.4024143619057821E-2</v>
      </c>
      <c r="S57" s="22">
        <v>3.8911290557382516E-2</v>
      </c>
      <c r="T57" s="19">
        <f t="shared" si="6"/>
        <v>4.4027880620137072E-2</v>
      </c>
      <c r="U57" s="24">
        <v>4.3211037398537266E-2</v>
      </c>
      <c r="V57" s="24">
        <f t="shared" si="7"/>
        <v>4.8328843224497264E-2</v>
      </c>
      <c r="W57" s="23">
        <f t="shared" si="10"/>
        <v>3.9593293830277876E-3</v>
      </c>
      <c r="X57" s="24">
        <v>4.2351087937380072E-2</v>
      </c>
      <c r="Y57" s="24">
        <f t="shared" si="8"/>
        <v>4.7468672646498566E-2</v>
      </c>
      <c r="Z57" s="23">
        <f t="shared" si="9"/>
        <v>3.890689869015862E-3</v>
      </c>
      <c r="AA57" s="36"/>
    </row>
    <row r="58" spans="4:27" ht="13.9" customHeight="1">
      <c r="O58" s="12">
        <f t="shared" si="4"/>
        <v>3.75</v>
      </c>
      <c r="P58" s="13">
        <v>45</v>
      </c>
      <c r="Q58" s="22">
        <v>3.9025074917596658E-2</v>
      </c>
      <c r="R58" s="19">
        <f t="shared" si="5"/>
        <v>4.3728285700539882E-2</v>
      </c>
      <c r="S58" s="22">
        <v>3.9024719677820396E-2</v>
      </c>
      <c r="T58" s="19">
        <f t="shared" si="6"/>
        <v>4.373299032705269E-2</v>
      </c>
      <c r="U58" s="24">
        <v>4.3324494528077961E-2</v>
      </c>
      <c r="V58" s="24">
        <f t="shared" si="7"/>
        <v>4.8035159395950933E-2</v>
      </c>
      <c r="W58" s="23">
        <f t="shared" si="10"/>
        <v>3.940854692231488E-3</v>
      </c>
      <c r="X58" s="24">
        <v>4.2464539953100511E-2</v>
      </c>
      <c r="Y58" s="24">
        <f t="shared" si="8"/>
        <v>4.7174740640519186E-2</v>
      </c>
      <c r="Z58" s="23">
        <f t="shared" si="9"/>
        <v>3.8721830694392612E-3</v>
      </c>
      <c r="AA58" s="36"/>
    </row>
    <row r="59" spans="4:27" ht="13.9" customHeight="1">
      <c r="O59" s="12">
        <f t="shared" si="4"/>
        <v>3.8333333333333335</v>
      </c>
      <c r="P59" s="13">
        <v>46</v>
      </c>
      <c r="Q59" s="22">
        <v>3.9127092928059382E-2</v>
      </c>
      <c r="R59" s="19">
        <f t="shared" si="5"/>
        <v>4.3370494841240559E-2</v>
      </c>
      <c r="S59" s="22">
        <v>3.9126847200126269E-2</v>
      </c>
      <c r="T59" s="19">
        <f t="shared" si="6"/>
        <v>4.3375905782405244E-2</v>
      </c>
      <c r="U59" s="24">
        <v>4.3426674799209142E-2</v>
      </c>
      <c r="V59" s="24">
        <f t="shared" si="7"/>
        <v>4.7679282434068382E-2</v>
      </c>
      <c r="W59" s="23">
        <f t="shared" si="10"/>
        <v>3.9174142851463589E-3</v>
      </c>
      <c r="X59" s="24">
        <v>4.2566709992301277E-2</v>
      </c>
      <c r="Y59" s="24">
        <f t="shared" si="8"/>
        <v>4.681860560373341E-2</v>
      </c>
      <c r="Z59" s="23">
        <f t="shared" si="9"/>
        <v>3.8487051897742042E-3</v>
      </c>
      <c r="AA59" s="36"/>
    </row>
    <row r="60" spans="4:27" ht="13.9" customHeight="1">
      <c r="O60" s="12">
        <f t="shared" si="4"/>
        <v>3.9166666666666665</v>
      </c>
      <c r="P60" s="13">
        <v>47</v>
      </c>
      <c r="Q60" s="22">
        <v>3.9217198136682674E-2</v>
      </c>
      <c r="R60" s="19">
        <f t="shared" si="5"/>
        <v>4.295074955956113E-2</v>
      </c>
      <c r="S60" s="22">
        <v>3.9217072283960208E-2</v>
      </c>
      <c r="T60" s="19">
        <f t="shared" si="6"/>
        <v>4.2956685905913838E-2</v>
      </c>
      <c r="U60" s="24">
        <v>4.3516975836414451E-2</v>
      </c>
      <c r="V60" s="24">
        <f t="shared" si="7"/>
        <v>4.7261208080296102E-2</v>
      </c>
      <c r="W60" s="23">
        <f t="shared" si="10"/>
        <v>3.8890018561124062E-3</v>
      </c>
      <c r="X60" s="24">
        <v>4.2656995792247354E-2</v>
      </c>
      <c r="Y60" s="24">
        <f t="shared" si="8"/>
        <v>4.6400272207090865E-2</v>
      </c>
      <c r="Z60" s="23">
        <f t="shared" si="9"/>
        <v>3.8202507351314807E-3</v>
      </c>
      <c r="AA60" s="36"/>
    </row>
    <row r="61" spans="4:27" ht="13.9" customHeight="1">
      <c r="O61" s="12">
        <f t="shared" si="4"/>
        <v>4</v>
      </c>
      <c r="P61" s="13">
        <v>48</v>
      </c>
      <c r="Q61" s="22">
        <v>3.9294843969661875E-2</v>
      </c>
      <c r="R61" s="19">
        <f t="shared" si="5"/>
        <v>4.2490523906170141E-2</v>
      </c>
      <c r="S61" s="22">
        <v>3.9294843969668092E-2</v>
      </c>
      <c r="T61" s="19">
        <f t="shared" si="6"/>
        <v>4.2496844698990843E-2</v>
      </c>
      <c r="U61" s="24">
        <v>4.359484396966562E-2</v>
      </c>
      <c r="V61" s="24">
        <f t="shared" si="7"/>
        <v>4.6802289361058014E-2</v>
      </c>
      <c r="W61" s="23">
        <f t="shared" si="10"/>
        <v>3.8556124214634835E-3</v>
      </c>
      <c r="X61" s="24">
        <v>4.2734843969668201E-2</v>
      </c>
      <c r="Y61" s="24">
        <f t="shared" si="8"/>
        <v>4.5941128632364547E-2</v>
      </c>
      <c r="Z61" s="23">
        <f t="shared" si="9"/>
        <v>3.7868154239655283E-3</v>
      </c>
      <c r="AA61" s="36"/>
    </row>
    <row r="62" spans="4:27" ht="13.9" customHeight="1">
      <c r="O62" s="12">
        <f t="shared" si="4"/>
        <v>4.083333333333333</v>
      </c>
      <c r="P62" s="13">
        <v>49</v>
      </c>
      <c r="Q62" s="22">
        <v>3.9359963904816997E-2</v>
      </c>
      <c r="R62" s="19">
        <f t="shared" si="5"/>
        <v>4.2075704368392142E-2</v>
      </c>
      <c r="S62" s="22">
        <v>3.9360092512843448E-2</v>
      </c>
      <c r="T62" s="19">
        <f t="shared" si="6"/>
        <v>4.2082131563464298E-2</v>
      </c>
      <c r="U62" s="24">
        <v>4.3660203699819933E-2</v>
      </c>
      <c r="V62" s="24">
        <f t="shared" si="7"/>
        <v>4.6387871457551189E-2</v>
      </c>
      <c r="W62" s="23">
        <f t="shared" si="10"/>
        <v>3.8189468884308742E-3</v>
      </c>
      <c r="X62" s="24">
        <v>4.2800180001689059E-2</v>
      </c>
      <c r="Y62" s="24">
        <f t="shared" si="8"/>
        <v>4.5526625378629504E-2</v>
      </c>
      <c r="Z62" s="23">
        <f t="shared" si="9"/>
        <v>3.7501042506991045E-3</v>
      </c>
      <c r="AA62" s="36"/>
    </row>
    <row r="63" spans="4:27" ht="13.9" customHeight="1">
      <c r="O63" s="12">
        <f t="shared" si="4"/>
        <v>4.166666666666667</v>
      </c>
      <c r="P63" s="13">
        <v>50</v>
      </c>
      <c r="Q63" s="22">
        <v>3.9414209293469282E-2</v>
      </c>
      <c r="R63" s="19">
        <f t="shared" si="5"/>
        <v>4.1727762038128002E-2</v>
      </c>
      <c r="S63" s="22">
        <v>3.9414463551137313E-2</v>
      </c>
      <c r="T63" s="19">
        <f t="shared" si="6"/>
        <v>4.1733904784403419E-2</v>
      </c>
      <c r="U63" s="24">
        <v>4.3714687311823042E-2</v>
      </c>
      <c r="V63" s="24">
        <f t="shared" si="7"/>
        <v>4.6039314262375175E-2</v>
      </c>
      <c r="W63" s="23">
        <f t="shared" si="10"/>
        <v>3.7858241066504039E-3</v>
      </c>
      <c r="X63" s="24">
        <v>4.2854639171149733E-2</v>
      </c>
      <c r="Y63" s="24">
        <f t="shared" si="8"/>
        <v>4.517812517296016E-2</v>
      </c>
      <c r="Z63" s="23">
        <f t="shared" si="9"/>
        <v>3.7169496381539435E-3</v>
      </c>
      <c r="AA63" s="36"/>
    </row>
    <row r="64" spans="4:27" ht="13.9" customHeight="1">
      <c r="O64" s="12">
        <f t="shared" si="4"/>
        <v>4.25</v>
      </c>
      <c r="P64" s="13">
        <v>51</v>
      </c>
      <c r="Q64" s="22">
        <v>3.945952364941463E-2</v>
      </c>
      <c r="R64" s="19">
        <f t="shared" si="5"/>
        <v>4.1446698654131531E-2</v>
      </c>
      <c r="S64" s="22">
        <v>3.9459893115934896E-2</v>
      </c>
      <c r="T64" s="19">
        <f t="shared" si="6"/>
        <v>4.1452079926022511E-2</v>
      </c>
      <c r="U64" s="24">
        <v>4.3760218540424889E-2</v>
      </c>
      <c r="V64" s="24">
        <f t="shared" si="7"/>
        <v>4.5756646965714687E-2</v>
      </c>
      <c r="W64" s="23">
        <f t="shared" si="10"/>
        <v>3.7579559988858424E-3</v>
      </c>
      <c r="X64" s="24">
        <v>4.2900148036057573E-2</v>
      </c>
      <c r="Y64" s="24">
        <f t="shared" si="8"/>
        <v>4.4895631024722604E-2</v>
      </c>
      <c r="Z64" s="23">
        <f t="shared" si="9"/>
        <v>3.6890650450427387E-3</v>
      </c>
      <c r="AA64" s="36"/>
    </row>
    <row r="65" spans="15:27" ht="13.9" customHeight="1">
      <c r="O65" s="12">
        <f t="shared" si="4"/>
        <v>4.333333333333333</v>
      </c>
      <c r="P65" s="13">
        <v>52</v>
      </c>
      <c r="Q65" s="22">
        <v>3.9497702772522958E-2</v>
      </c>
      <c r="R65" s="19">
        <f t="shared" si="5"/>
        <v>4.1232516621691806E-2</v>
      </c>
      <c r="S65" s="22">
        <v>3.9498168439331183E-2</v>
      </c>
      <c r="T65" s="19">
        <f t="shared" si="6"/>
        <v>4.1236573186596681E-2</v>
      </c>
      <c r="U65" s="24">
        <v>4.3798575428751541E-2</v>
      </c>
      <c r="V65" s="24">
        <f t="shared" si="7"/>
        <v>4.5539894975752171E-2</v>
      </c>
      <c r="W65" s="23">
        <f t="shared" si="10"/>
        <v>3.7353497186152218E-3</v>
      </c>
      <c r="X65" s="24">
        <v>4.2938486747350124E-2</v>
      </c>
      <c r="Y65" s="24">
        <f t="shared" si="8"/>
        <v>4.4679143699396073E-2</v>
      </c>
      <c r="Z65" s="23">
        <f t="shared" si="9"/>
        <v>3.6664555482188721E-3</v>
      </c>
      <c r="AA65" s="36"/>
    </row>
    <row r="66" spans="15:27" ht="13.9" customHeight="1">
      <c r="O66" s="12">
        <f t="shared" si="4"/>
        <v>4.416666666666667</v>
      </c>
      <c r="P66" s="13">
        <v>53</v>
      </c>
      <c r="Q66" s="22">
        <v>3.9530408340707535E-2</v>
      </c>
      <c r="R66" s="19">
        <f t="shared" si="5"/>
        <v>4.1085222602658122E-2</v>
      </c>
      <c r="S66" s="22">
        <v>3.9530941649451812E-2</v>
      </c>
      <c r="T66" s="19">
        <f t="shared" si="6"/>
        <v>4.1087304897271748E-2</v>
      </c>
      <c r="U66" s="24">
        <v>4.3831403655921308E-2</v>
      </c>
      <c r="V66" s="24">
        <f t="shared" si="7"/>
        <v>4.53890833999675E-2</v>
      </c>
      <c r="W66" s="23">
        <f t="shared" si="10"/>
        <v>3.7180112117942699E-3</v>
      </c>
      <c r="X66" s="24">
        <v>4.2971302471044748E-2</v>
      </c>
      <c r="Y66" s="24">
        <f t="shared" si="8"/>
        <v>4.4528665210504137E-2</v>
      </c>
      <c r="Z66" s="23">
        <f t="shared" si="9"/>
        <v>3.6491251329613394E-3</v>
      </c>
      <c r="AA66" s="36"/>
    </row>
    <row r="67" spans="15:27" ht="13.9" customHeight="1">
      <c r="O67" s="12">
        <f t="shared" si="4"/>
        <v>4.5</v>
      </c>
      <c r="P67" s="13">
        <v>54</v>
      </c>
      <c r="Q67" s="22">
        <v>3.9559180084436152E-2</v>
      </c>
      <c r="R67" s="19">
        <f t="shared" si="5"/>
        <v>4.1004618866945064E-2</v>
      </c>
      <c r="S67" s="22">
        <v>3.9559742036046952E-2</v>
      </c>
      <c r="T67" s="19">
        <f t="shared" si="6"/>
        <v>4.1004203011309137E-2</v>
      </c>
      <c r="U67" s="24">
        <v>4.3860228473507235E-2</v>
      </c>
      <c r="V67" s="24">
        <f t="shared" si="7"/>
        <v>4.5304240523550421E-2</v>
      </c>
      <c r="W67" s="23">
        <f t="shared" si="10"/>
        <v>3.7059454914920575E-3</v>
      </c>
      <c r="X67" s="24">
        <v>4.3000121409380698E-2</v>
      </c>
      <c r="Y67" s="24">
        <f t="shared" si="8"/>
        <v>4.4444202298645763E-2</v>
      </c>
      <c r="Z67" s="23">
        <f t="shared" si="9"/>
        <v>3.6370769699489713E-3</v>
      </c>
      <c r="AA67" s="36"/>
    </row>
    <row r="68" spans="15:27" ht="13.9" customHeight="1">
      <c r="O68" s="12">
        <f t="shared" si="4"/>
        <v>4.583333333333333</v>
      </c>
      <c r="P68" s="13">
        <v>55</v>
      </c>
      <c r="Q68" s="22">
        <v>3.9585442867431597E-2</v>
      </c>
      <c r="R68" s="19">
        <f t="shared" si="5"/>
        <v>4.0989882125976429E-2</v>
      </c>
      <c r="S68" s="22">
        <v>3.9585987064967076E-2</v>
      </c>
      <c r="T68" s="19">
        <f t="shared" si="6"/>
        <v>4.0987206575821666E-2</v>
      </c>
      <c r="U68" s="24">
        <v>4.3886465424891385E-2</v>
      </c>
      <c r="V68" s="24">
        <f t="shared" si="7"/>
        <v>4.5285401312544771E-2</v>
      </c>
      <c r="W68" s="23">
        <f t="shared" si="10"/>
        <v>3.6991569132260871E-3</v>
      </c>
      <c r="X68" s="24">
        <v>4.3026359596011865E-2</v>
      </c>
      <c r="Y68" s="24">
        <f t="shared" si="8"/>
        <v>4.4425769925289238E-2</v>
      </c>
      <c r="Z68" s="23">
        <f t="shared" si="9"/>
        <v>3.6303136920312618E-3</v>
      </c>
      <c r="AA68" s="36"/>
    </row>
    <row r="69" spans="15:27" ht="13.9" customHeight="1">
      <c r="O69" s="12">
        <f t="shared" si="4"/>
        <v>4.666666666666667</v>
      </c>
      <c r="P69" s="13">
        <v>56</v>
      </c>
      <c r="Q69" s="22">
        <v>3.9610505516693761E-2</v>
      </c>
      <c r="R69" s="19">
        <f t="shared" si="5"/>
        <v>4.104084006299713E-2</v>
      </c>
      <c r="S69" s="22">
        <v>3.961099229484133E-2</v>
      </c>
      <c r="T69" s="19">
        <f t="shared" si="6"/>
        <v>4.1036269201860431E-2</v>
      </c>
      <c r="U69" s="24">
        <v>4.3911429997533835E-2</v>
      </c>
      <c r="V69" s="24">
        <f t="shared" si="7"/>
        <v>4.5332610894934344E-2</v>
      </c>
      <c r="W69" s="23">
        <f t="shared" si="10"/>
        <v>3.6976494528724313E-3</v>
      </c>
      <c r="X69" s="24">
        <v>4.3051332616146132E-2</v>
      </c>
      <c r="Y69" s="24">
        <f t="shared" si="8"/>
        <v>4.4473394759489748E-2</v>
      </c>
      <c r="Z69" s="23">
        <f t="shared" si="9"/>
        <v>3.6288376726765215E-3</v>
      </c>
      <c r="AA69" s="36"/>
    </row>
    <row r="70" spans="15:27" ht="13.9" customHeight="1">
      <c r="O70" s="12">
        <f t="shared" si="4"/>
        <v>4.75</v>
      </c>
      <c r="P70" s="13">
        <v>57</v>
      </c>
      <c r="Q70" s="22">
        <v>3.9635582161133831E-2</v>
      </c>
      <c r="R70" s="19">
        <f t="shared" si="5"/>
        <v>4.1157550524043796E-2</v>
      </c>
      <c r="S70" s="22">
        <v>3.9635980328337705E-2</v>
      </c>
      <c r="T70" s="19">
        <f t="shared" si="6"/>
        <v>4.1151362526632651E-2</v>
      </c>
      <c r="U70" s="24">
        <v>4.3936346336581389E-2</v>
      </c>
      <c r="V70" s="24">
        <f t="shared" si="7"/>
        <v>4.5445928068211128E-2</v>
      </c>
      <c r="W70" s="23">
        <f t="shared" si="10"/>
        <v>3.7014269830712987E-3</v>
      </c>
      <c r="X70" s="24">
        <v>4.3076264381249896E-2</v>
      </c>
      <c r="Y70" s="24">
        <f t="shared" si="8"/>
        <v>4.4587118678570903E-2</v>
      </c>
      <c r="Z70" s="23">
        <f t="shared" si="9"/>
        <v>3.6326513040076946E-3</v>
      </c>
      <c r="AA70" s="36"/>
    </row>
    <row r="71" spans="15:27" ht="13.9" customHeight="1">
      <c r="O71" s="12">
        <f t="shared" si="4"/>
        <v>4.833333333333333</v>
      </c>
      <c r="P71" s="13">
        <v>58</v>
      </c>
      <c r="Q71" s="22">
        <v>3.9661804136829071E-2</v>
      </c>
      <c r="R71" s="19">
        <f t="shared" si="5"/>
        <v>4.1340092831499309E-2</v>
      </c>
      <c r="S71" s="22">
        <v>3.9662088912259863E-2</v>
      </c>
      <c r="T71" s="19">
        <f t="shared" si="6"/>
        <v>4.1332479680438183E-2</v>
      </c>
      <c r="U71" s="24">
        <v>4.3962355131588859E-2</v>
      </c>
      <c r="V71" s="24">
        <f t="shared" si="7"/>
        <v>4.5625428823390823E-2</v>
      </c>
      <c r="W71" s="23">
        <f t="shared" si="10"/>
        <v>3.7104935516731885E-3</v>
      </c>
      <c r="X71" s="24">
        <v>4.3102295070650332E-2</v>
      </c>
      <c r="Y71" s="24">
        <f t="shared" si="8"/>
        <v>4.4767002280859725E-2</v>
      </c>
      <c r="Z71" s="23">
        <f t="shared" si="9"/>
        <v>3.6417572757738714E-3</v>
      </c>
      <c r="AA71" s="36"/>
    </row>
    <row r="72" spans="15:27" ht="13.9" customHeight="1">
      <c r="O72" s="12">
        <f t="shared" si="4"/>
        <v>4.916666666666667</v>
      </c>
      <c r="P72" s="13">
        <v>59</v>
      </c>
      <c r="Q72" s="22">
        <v>3.9690227161789382E-2</v>
      </c>
      <c r="R72" s="19">
        <f t="shared" si="5"/>
        <v>4.1588571311715894E-2</v>
      </c>
      <c r="S72" s="22">
        <v>3.9690378285655692E-2</v>
      </c>
      <c r="T72" s="19">
        <f t="shared" si="6"/>
        <v>4.1579638762843096E-2</v>
      </c>
      <c r="U72" s="24">
        <v>4.3990520772980712E-2</v>
      </c>
      <c r="V72" s="24">
        <f t="shared" si="7"/>
        <v>4.5871209883989517E-2</v>
      </c>
      <c r="W72" s="23">
        <f t="shared" si="10"/>
        <v>3.7248536610852145E-3</v>
      </c>
      <c r="X72" s="24">
        <v>4.3130488337287831E-2</v>
      </c>
      <c r="Y72" s="24">
        <f t="shared" si="8"/>
        <v>4.5013128414375325E-2</v>
      </c>
      <c r="Z72" s="23">
        <f t="shared" si="9"/>
        <v>3.656158854762781E-3</v>
      </c>
      <c r="AA72" s="36"/>
    </row>
    <row r="73" spans="15:27" ht="13.9" customHeight="1">
      <c r="O73" s="12">
        <f t="shared" si="4"/>
        <v>5</v>
      </c>
      <c r="P73" s="13">
        <v>60</v>
      </c>
      <c r="Q73" s="22">
        <v>3.9721837862112919E-2</v>
      </c>
      <c r="R73" s="19">
        <f t="shared" si="5"/>
        <v>4.1888958864911396E-2</v>
      </c>
      <c r="S73" s="22">
        <v>3.9721837862118692E-2</v>
      </c>
      <c r="T73" s="19">
        <f t="shared" si="6"/>
        <v>4.1878789246162507E-2</v>
      </c>
      <c r="U73" s="24">
        <v>4.4021837862118662E-2</v>
      </c>
      <c r="V73" s="24">
        <f t="shared" si="7"/>
        <v>4.6169309350793997E-2</v>
      </c>
      <c r="W73" s="23">
        <f t="shared" si="10"/>
        <v>3.7445125480544128E-3</v>
      </c>
      <c r="X73" s="24">
        <v>4.3161837862118135E-2</v>
      </c>
      <c r="Y73" s="24">
        <f t="shared" si="8"/>
        <v>4.5311513280830162E-2</v>
      </c>
      <c r="Z73" s="23">
        <f t="shared" si="9"/>
        <v>3.6758601646253997E-3</v>
      </c>
      <c r="AA73" s="36"/>
    </row>
    <row r="74" spans="15:27" ht="13.9" customHeight="1">
      <c r="O74" s="12">
        <f t="shared" si="4"/>
        <v>5.083333333333333</v>
      </c>
      <c r="P74" s="13">
        <v>61</v>
      </c>
      <c r="Q74" s="22">
        <v>3.9757328068489306E-2</v>
      </c>
      <c r="R74" s="19">
        <f t="shared" si="5"/>
        <v>4.2184717329438959E-2</v>
      </c>
      <c r="S74" s="22">
        <v>3.975716169372201E-2</v>
      </c>
      <c r="T74" s="19">
        <f t="shared" si="6"/>
        <v>4.2173595217750215E-2</v>
      </c>
      <c r="U74" s="24">
        <v>4.4057006748256633E-2</v>
      </c>
      <c r="V74" s="24">
        <f t="shared" si="7"/>
        <v>4.6463481128314665E-2</v>
      </c>
      <c r="W74" s="23">
        <f t="shared" si="10"/>
        <v>3.7683504594374639E-3</v>
      </c>
      <c r="X74" s="24">
        <v>4.3197042775929617E-2</v>
      </c>
      <c r="Y74" s="24">
        <f t="shared" si="8"/>
        <v>4.5605868955877815E-2</v>
      </c>
      <c r="Z74" s="23">
        <f t="shared" si="9"/>
        <v>3.6997388520203511E-3</v>
      </c>
      <c r="AA74" s="36"/>
    </row>
    <row r="75" spans="15:27" ht="13.9" customHeight="1">
      <c r="O75" s="12">
        <f t="shared" si="4"/>
        <v>5.166666666666667</v>
      </c>
      <c r="P75" s="13">
        <v>62</v>
      </c>
      <c r="Q75" s="22">
        <v>3.9796434613645237E-2</v>
      </c>
      <c r="R75" s="19">
        <f t="shared" si="5"/>
        <v>4.246170398458915E-2</v>
      </c>
      <c r="S75" s="22">
        <v>3.9796091937465139E-2</v>
      </c>
      <c r="T75" s="19">
        <f t="shared" si="6"/>
        <v>4.2449992382517676E-2</v>
      </c>
      <c r="U75" s="24">
        <v>4.4095776907786322E-2</v>
      </c>
      <c r="V75" s="24">
        <f t="shared" si="7"/>
        <v>4.6739641175071123E-2</v>
      </c>
      <c r="W75" s="23">
        <f t="shared" si="10"/>
        <v>3.7918681849133939E-3</v>
      </c>
      <c r="X75" s="24">
        <v>4.3235850745608762E-2</v>
      </c>
      <c r="Y75" s="24">
        <f t="shared" si="8"/>
        <v>4.5882111532394854E-2</v>
      </c>
      <c r="Z75" s="23">
        <f t="shared" si="9"/>
        <v>3.7232889760534515E-3</v>
      </c>
      <c r="AA75" s="36"/>
    </row>
    <row r="76" spans="15:27" ht="13.9" customHeight="1">
      <c r="O76" s="12">
        <f t="shared" si="4"/>
        <v>5.25</v>
      </c>
      <c r="P76" s="13">
        <v>63</v>
      </c>
      <c r="Q76" s="22">
        <v>3.9838687207127021E-2</v>
      </c>
      <c r="R76" s="19">
        <f t="shared" si="5"/>
        <v>4.2719920885338158E-2</v>
      </c>
      <c r="S76" s="22">
        <v>3.9838164524889308E-2</v>
      </c>
      <c r="T76" s="19">
        <f t="shared" si="6"/>
        <v>4.2708007674343351E-2</v>
      </c>
      <c r="U76" s="24">
        <v>4.4137690804683105E-2</v>
      </c>
      <c r="V76" s="24">
        <f t="shared" si="7"/>
        <v>4.6997774075671517E-2</v>
      </c>
      <c r="W76" s="23">
        <f t="shared" si="10"/>
        <v>3.8139404383281672E-3</v>
      </c>
      <c r="X76" s="24">
        <v>4.3277802544860577E-2</v>
      </c>
      <c r="Y76" s="24">
        <f t="shared" si="8"/>
        <v>4.6140236778470456E-2</v>
      </c>
      <c r="Z76" s="23">
        <f t="shared" si="9"/>
        <v>3.7453844222539168E-3</v>
      </c>
      <c r="AA76" s="36"/>
    </row>
    <row r="77" spans="15:27" ht="13.9" customHeight="1">
      <c r="O77" s="12">
        <f t="shared" si="4"/>
        <v>5.333333333333333</v>
      </c>
      <c r="P77" s="13">
        <v>64</v>
      </c>
      <c r="Q77" s="22">
        <v>3.9883645199428663E-2</v>
      </c>
      <c r="R77" s="19">
        <f t="shared" si="5"/>
        <v>4.2959365772159863E-2</v>
      </c>
      <c r="S77" s="22">
        <v>3.9882945023305139E-2</v>
      </c>
      <c r="T77" s="19">
        <f t="shared" si="6"/>
        <v>4.2947663814880244E-2</v>
      </c>
      <c r="U77" s="24">
        <v>4.4182319465684294E-2</v>
      </c>
      <c r="V77" s="24">
        <f t="shared" si="7"/>
        <v>4.723786138458741E-2</v>
      </c>
      <c r="W77" s="23">
        <f t="shared" si="10"/>
        <v>3.8345670353510108E-3</v>
      </c>
      <c r="X77" s="24">
        <v>4.3322467791272246E-2</v>
      </c>
      <c r="Y77" s="24">
        <f t="shared" si="8"/>
        <v>4.6380237010853032E-2</v>
      </c>
      <c r="Z77" s="23">
        <f t="shared" si="9"/>
        <v>3.7660259074265845E-3</v>
      </c>
      <c r="AA77" s="36"/>
    </row>
    <row r="78" spans="15:27" ht="13.9" customHeight="1">
      <c r="O78" s="12">
        <f t="shared" ref="O78:O141" si="13">P78/12</f>
        <v>5.416666666666667</v>
      </c>
      <c r="P78" s="13">
        <v>65</v>
      </c>
      <c r="Q78" s="22">
        <v>3.993089520992199E-2</v>
      </c>
      <c r="R78" s="19">
        <f t="shared" ref="R78:R141" si="14">(1+Q79)^P79/(1+Q78)^P78-1</f>
        <v>4.3180032348711483E-2</v>
      </c>
      <c r="S78" s="22">
        <v>3.9930026266184138E-2</v>
      </c>
      <c r="T78" s="19">
        <f t="shared" ref="T78:T141" si="15">(1+S79)^P79/(1+S78)^P78-1</f>
        <v>4.3168979584135458E-2</v>
      </c>
      <c r="U78" s="24">
        <v>4.4229260212699684E-2</v>
      </c>
      <c r="V78" s="24">
        <f t="shared" ref="V78:V141" si="16">(1+U79)^P79/(1+U78)^P78-1</f>
        <v>4.7459881862393472E-2</v>
      </c>
      <c r="W78" s="23">
        <f t="shared" si="10"/>
        <v>3.8537474815285577E-3</v>
      </c>
      <c r="X78" s="24">
        <v>4.336944265029552E-2</v>
      </c>
      <c r="Y78" s="24">
        <f t="shared" si="8"/>
        <v>4.6602101356594039E-2</v>
      </c>
      <c r="Z78" s="23">
        <f t="shared" si="9"/>
        <v>3.7852138027654192E-3</v>
      </c>
      <c r="AA78" s="36"/>
    </row>
    <row r="79" spans="15:27" ht="13.9" customHeight="1">
      <c r="O79" s="12">
        <f t="shared" si="13"/>
        <v>5.5</v>
      </c>
      <c r="P79" s="13">
        <v>66</v>
      </c>
      <c r="Q79" s="22">
        <v>3.9980048976398619E-2</v>
      </c>
      <c r="R79" s="19">
        <f t="shared" si="14"/>
        <v>4.338197399957E-2</v>
      </c>
      <c r="S79" s="22">
        <v>3.9979026204863377E-2</v>
      </c>
      <c r="T79" s="19">
        <f t="shared" si="15"/>
        <v>4.3371970090299028E-2</v>
      </c>
      <c r="U79" s="24">
        <v>4.4278134606542396E-2</v>
      </c>
      <c r="V79" s="24">
        <f t="shared" si="16"/>
        <v>4.7663811748732021E-2</v>
      </c>
      <c r="W79" s="23">
        <f t="shared" ref="W79:W142" si="17">(1+V78)^(1/12)-1</f>
        <v>3.8714809913560355E-3</v>
      </c>
      <c r="X79" s="24">
        <v>4.3418347753570563E-2</v>
      </c>
      <c r="Y79" s="24">
        <f t="shared" ref="Y79:Y142" si="18">(1+X80)^P80/(1+X79)^P79-1</f>
        <v>4.6805816009334533E-2</v>
      </c>
      <c r="Z79" s="23">
        <f t="shared" ref="Z79:Z142" si="19">(1+Y78)^(1/12)-1</f>
        <v>3.8029481551440369E-3</v>
      </c>
      <c r="AA79" s="36"/>
    </row>
    <row r="80" spans="15:27" ht="13.9" customHeight="1">
      <c r="O80" s="12">
        <f t="shared" si="13"/>
        <v>5.583333333333333</v>
      </c>
      <c r="P80" s="13">
        <v>67</v>
      </c>
      <c r="Q80" s="22">
        <v>4.0030742346696568E-2</v>
      </c>
      <c r="R80" s="19">
        <f t="shared" si="14"/>
        <v>4.3565431217770678E-2</v>
      </c>
      <c r="S80" s="22">
        <v>4.0029585958227365E-2</v>
      </c>
      <c r="T80" s="19">
        <f t="shared" si="15"/>
        <v>4.3556647039157737E-2</v>
      </c>
      <c r="U80" s="24">
        <v>4.4328586580268725E-2</v>
      </c>
      <c r="V80" s="24">
        <f t="shared" si="16"/>
        <v>4.7849625006372021E-2</v>
      </c>
      <c r="W80" s="23">
        <f t="shared" si="17"/>
        <v>3.8877665101884062E-3</v>
      </c>
      <c r="X80" s="24">
        <v>4.3468826308930675E-2</v>
      </c>
      <c r="Y80" s="24">
        <f t="shared" si="18"/>
        <v>4.6991364487545706E-2</v>
      </c>
      <c r="Z80" s="23">
        <f t="shared" si="19"/>
        <v>3.819228707876654E-3</v>
      </c>
      <c r="AA80" s="36"/>
    </row>
    <row r="81" spans="15:27" ht="13.9" customHeight="1">
      <c r="O81" s="12">
        <f t="shared" si="13"/>
        <v>5.666666666666667</v>
      </c>
      <c r="P81" s="13">
        <v>68</v>
      </c>
      <c r="Q81" s="22">
        <v>4.0082636227792179E-2</v>
      </c>
      <c r="R81" s="19">
        <f t="shared" si="14"/>
        <v>4.3730451432966611E-2</v>
      </c>
      <c r="S81" s="22">
        <v>4.0081368039807552E-2</v>
      </c>
      <c r="T81" s="19">
        <f t="shared" si="15"/>
        <v>4.3723019000542651E-2</v>
      </c>
      <c r="U81" s="24">
        <v>4.4380280742024825E-2</v>
      </c>
      <c r="V81" s="24">
        <f t="shared" si="16"/>
        <v>4.8017293584535548E-2</v>
      </c>
      <c r="W81" s="23">
        <f t="shared" si="17"/>
        <v>3.9026027337600855E-3</v>
      </c>
      <c r="X81" s="24">
        <v>4.3520542382222915E-2</v>
      </c>
      <c r="Y81" s="24">
        <f t="shared" si="18"/>
        <v>4.7158727895042052E-2</v>
      </c>
      <c r="Z81" s="23">
        <f t="shared" si="19"/>
        <v>3.8340549215452047E-3</v>
      </c>
      <c r="AA81" s="36"/>
    </row>
    <row r="82" spans="15:27" ht="13.9" customHeight="1">
      <c r="O82" s="12">
        <f t="shared" si="13"/>
        <v>5.75</v>
      </c>
      <c r="P82" s="13">
        <v>69</v>
      </c>
      <c r="Q82" s="22">
        <v>4.0135411961622847E-2</v>
      </c>
      <c r="R82" s="19">
        <f t="shared" si="14"/>
        <v>4.3877015793832186E-2</v>
      </c>
      <c r="S82" s="22">
        <v>4.0134054744105807E-2</v>
      </c>
      <c r="T82" s="19">
        <f t="shared" si="15"/>
        <v>4.3871091675821372E-2</v>
      </c>
      <c r="U82" s="24">
        <v>4.4432900830347233E-2</v>
      </c>
      <c r="V82" s="24">
        <f t="shared" si="16"/>
        <v>4.8166787675270495E-2</v>
      </c>
      <c r="W82" s="23">
        <f t="shared" si="17"/>
        <v>3.9159881291648269E-3</v>
      </c>
      <c r="X82" s="24">
        <v>4.3573179333405321E-2</v>
      </c>
      <c r="Y82" s="24">
        <f t="shared" si="18"/>
        <v>4.7307885180027487E-2</v>
      </c>
      <c r="Z82" s="23">
        <f t="shared" si="19"/>
        <v>3.8474259949203837E-3</v>
      </c>
      <c r="AA82" s="36"/>
    </row>
    <row r="83" spans="15:27" ht="13.9" customHeight="1">
      <c r="O83" s="12">
        <f t="shared" si="13"/>
        <v>5.833333333333333</v>
      </c>
      <c r="P83" s="13">
        <v>70</v>
      </c>
      <c r="Q83" s="22">
        <v>4.018876890480616E-2</v>
      </c>
      <c r="R83" s="19">
        <f t="shared" si="14"/>
        <v>4.4005102820354303E-2</v>
      </c>
      <c r="S83" s="22">
        <v>4.0187346676102909E-2</v>
      </c>
      <c r="T83" s="19">
        <f t="shared" si="15"/>
        <v>4.4000868164152607E-2</v>
      </c>
      <c r="U83" s="24">
        <v>4.4486148306452034E-2</v>
      </c>
      <c r="V83" s="24">
        <f t="shared" si="16"/>
        <v>4.8298075981860755E-2</v>
      </c>
      <c r="W83" s="23">
        <f t="shared" si="17"/>
        <v>3.927920955210995E-3</v>
      </c>
      <c r="X83" s="24">
        <v>4.3626438391348277E-2</v>
      </c>
      <c r="Y83" s="24">
        <f t="shared" si="18"/>
        <v>4.7438813396736501E-2</v>
      </c>
      <c r="Z83" s="23">
        <f t="shared" si="19"/>
        <v>3.859340885686402E-3</v>
      </c>
      <c r="AA83" s="36"/>
    </row>
    <row r="84" spans="15:27" ht="13.9" customHeight="1">
      <c r="O84" s="12">
        <f t="shared" si="13"/>
        <v>5.916666666666667</v>
      </c>
      <c r="P84" s="13">
        <v>71</v>
      </c>
      <c r="Q84" s="22">
        <v>4.0242423107480274E-2</v>
      </c>
      <c r="R84" s="19">
        <f t="shared" si="14"/>
        <v>4.4114688671467617E-2</v>
      </c>
      <c r="S84" s="22">
        <v>4.0240961409701237E-2</v>
      </c>
      <c r="T84" s="19">
        <f t="shared" si="15"/>
        <v>4.4112349229118442E-2</v>
      </c>
      <c r="U84" s="24">
        <v>4.4539741070073191E-2</v>
      </c>
      <c r="V84" s="24">
        <f t="shared" si="16"/>
        <v>4.8411125962568358E-2</v>
      </c>
      <c r="W84" s="23">
        <f t="shared" si="17"/>
        <v>3.9383992836723447E-3</v>
      </c>
      <c r="X84" s="24">
        <v>4.3680037353597712E-2</v>
      </c>
      <c r="Y84" s="24">
        <f t="shared" si="18"/>
        <v>4.7551487966537964E-2</v>
      </c>
      <c r="Z84" s="23">
        <f t="shared" si="19"/>
        <v>3.869798331303187E-3</v>
      </c>
      <c r="AA84" s="36"/>
    </row>
    <row r="85" spans="15:27" ht="13.9" customHeight="1">
      <c r="O85" s="12">
        <f t="shared" si="13"/>
        <v>6</v>
      </c>
      <c r="P85" s="13">
        <v>72</v>
      </c>
      <c r="Q85" s="22">
        <v>4.0296106106707308E-2</v>
      </c>
      <c r="R85" s="19">
        <f t="shared" si="14"/>
        <v>4.4205809854153788E-2</v>
      </c>
      <c r="S85" s="22">
        <v>4.029463226247354E-2</v>
      </c>
      <c r="T85" s="19">
        <f t="shared" si="15"/>
        <v>4.4205533563833832E-2</v>
      </c>
      <c r="U85" s="24">
        <v>4.4593412286406675E-2</v>
      </c>
      <c r="V85" s="24">
        <f t="shared" si="16"/>
        <v>4.8505904118973264E-2</v>
      </c>
      <c r="W85" s="23">
        <f t="shared" si="17"/>
        <v>3.9474210185117542E-3</v>
      </c>
      <c r="X85" s="24">
        <v>4.3733709398846132E-2</v>
      </c>
      <c r="Y85" s="24">
        <f t="shared" si="18"/>
        <v>4.7645882943348372E-2</v>
      </c>
      <c r="Z85" s="23">
        <f t="shared" si="19"/>
        <v>3.8787968697571173E-3</v>
      </c>
      <c r="AA85" s="36"/>
    </row>
    <row r="86" spans="15:27" ht="13.9" customHeight="1">
      <c r="O86" s="12">
        <f t="shared" si="13"/>
        <v>6.083333333333333</v>
      </c>
      <c r="P86" s="13">
        <v>73</v>
      </c>
      <c r="Q86" s="22">
        <v>4.0349564675572935E-2</v>
      </c>
      <c r="R86" s="19">
        <f t="shared" si="14"/>
        <v>4.4278688619555195E-2</v>
      </c>
      <c r="S86" s="22">
        <v>4.0348107175455006E-2</v>
      </c>
      <c r="T86" s="19">
        <f t="shared" si="15"/>
        <v>4.4280418057428772E-2</v>
      </c>
      <c r="U86" s="24">
        <v>4.4646909314035144E-2</v>
      </c>
      <c r="V86" s="24">
        <f t="shared" si="16"/>
        <v>4.8582376240825953E-2</v>
      </c>
      <c r="W86" s="23">
        <f t="shared" si="17"/>
        <v>3.9549839186163727E-3</v>
      </c>
      <c r="X86" s="24">
        <v>4.3787202001285941E-2</v>
      </c>
      <c r="Y86" s="24">
        <f t="shared" si="18"/>
        <v>4.772197127578881E-2</v>
      </c>
      <c r="Z86" s="23">
        <f t="shared" si="19"/>
        <v>3.8863348606010817E-3</v>
      </c>
      <c r="AA86" s="36"/>
    </row>
    <row r="87" spans="15:27" ht="13.9" customHeight="1">
      <c r="O87" s="12">
        <f t="shared" si="13"/>
        <v>6.166666666666667</v>
      </c>
      <c r="P87" s="13">
        <v>74</v>
      </c>
      <c r="Q87" s="22">
        <v>4.040256228142991E-2</v>
      </c>
      <c r="R87" s="19">
        <f t="shared" si="14"/>
        <v>4.4333358781300403E-2</v>
      </c>
      <c r="S87" s="22">
        <v>4.0401147687985084E-2</v>
      </c>
      <c r="T87" s="19">
        <f t="shared" si="15"/>
        <v>4.4336998061616839E-2</v>
      </c>
      <c r="U87" s="24">
        <v>4.4699992723630011E-2</v>
      </c>
      <c r="V87" s="24">
        <f t="shared" si="16"/>
        <v>4.8640507681983358E-2</v>
      </c>
      <c r="W87" s="23">
        <f t="shared" si="17"/>
        <v>3.9610856170142483E-3</v>
      </c>
      <c r="X87" s="24">
        <v>4.3840275937089945E-2</v>
      </c>
      <c r="Y87" s="24">
        <f t="shared" si="18"/>
        <v>4.7779725075929314E-2</v>
      </c>
      <c r="Z87" s="23">
        <f t="shared" si="19"/>
        <v>3.8924105056803437E-3</v>
      </c>
      <c r="AA87" s="36"/>
    </row>
    <row r="88" spans="15:27" ht="13.9" customHeight="1">
      <c r="O88" s="12">
        <f t="shared" si="13"/>
        <v>6.25</v>
      </c>
      <c r="P88" s="13">
        <v>75</v>
      </c>
      <c r="Q88" s="22">
        <v>4.0454875457672568E-2</v>
      </c>
      <c r="R88" s="19">
        <f t="shared" si="14"/>
        <v>4.4369790496986194E-2</v>
      </c>
      <c r="S88" s="22">
        <v>4.0453527998661531E-2</v>
      </c>
      <c r="T88" s="19">
        <f t="shared" si="15"/>
        <v>4.437526765697819E-2</v>
      </c>
      <c r="U88" s="24">
        <v>4.4752435399308732E-2</v>
      </c>
      <c r="V88" s="24">
        <f t="shared" si="16"/>
        <v>4.8680263634688359E-2</v>
      </c>
      <c r="W88" s="23">
        <f t="shared" si="17"/>
        <v>3.9657236425385545E-3</v>
      </c>
      <c r="X88" s="24">
        <v>4.3892704374446811E-2</v>
      </c>
      <c r="Y88" s="24">
        <f t="shared" si="18"/>
        <v>4.7819115884284003E-2</v>
      </c>
      <c r="Z88" s="23">
        <f t="shared" si="19"/>
        <v>3.897021870341133E-3</v>
      </c>
      <c r="AA88" s="36"/>
    </row>
    <row r="89" spans="15:27" ht="13.9" customHeight="1">
      <c r="O89" s="12">
        <f t="shared" si="13"/>
        <v>6.333333333333333</v>
      </c>
      <c r="P89" s="13">
        <v>76</v>
      </c>
      <c r="Q89" s="22">
        <v>4.050629209841361E-2</v>
      </c>
      <c r="R89" s="19">
        <f t="shared" si="14"/>
        <v>4.4387952914102247E-2</v>
      </c>
      <c r="S89" s="22">
        <v>4.0505034104415305E-2</v>
      </c>
      <c r="T89" s="19">
        <f t="shared" si="15"/>
        <v>4.4395219920650542E-2</v>
      </c>
      <c r="U89" s="24">
        <v>4.4804021714963227E-2</v>
      </c>
      <c r="V89" s="24">
        <f t="shared" si="16"/>
        <v>4.8701609384002476E-2</v>
      </c>
      <c r="W89" s="23">
        <f t="shared" si="17"/>
        <v>3.9688954413263922E-3</v>
      </c>
      <c r="X89" s="24">
        <v>4.3944272039355692E-2</v>
      </c>
      <c r="Y89" s="24">
        <f t="shared" si="18"/>
        <v>4.7840114942606204E-2</v>
      </c>
      <c r="Z89" s="23">
        <f t="shared" si="19"/>
        <v>3.9001669043023934E-3</v>
      </c>
      <c r="AA89" s="36"/>
    </row>
    <row r="90" spans="15:27" ht="13.9" customHeight="1">
      <c r="O90" s="12">
        <f t="shared" si="13"/>
        <v>6.416666666666667</v>
      </c>
      <c r="P90" s="13">
        <v>77</v>
      </c>
      <c r="Q90" s="22">
        <v>4.0556610696986573E-2</v>
      </c>
      <c r="R90" s="19">
        <f t="shared" si="14"/>
        <v>4.4387814435391082E-2</v>
      </c>
      <c r="S90" s="22">
        <v>4.0555463010568671E-2</v>
      </c>
      <c r="T90" s="19">
        <f t="shared" si="15"/>
        <v>4.4396847192352373E-2</v>
      </c>
      <c r="U90" s="24">
        <v>4.4854546778441584E-2</v>
      </c>
      <c r="V90" s="24">
        <f t="shared" si="16"/>
        <v>4.8704510602818107E-2</v>
      </c>
      <c r="W90" s="23">
        <f t="shared" si="17"/>
        <v>3.9705983967119884E-3</v>
      </c>
      <c r="X90" s="24">
        <v>4.3994774450343499E-2</v>
      </c>
      <c r="Y90" s="24">
        <f t="shared" si="18"/>
        <v>4.7842693461963348E-2</v>
      </c>
      <c r="Z90" s="23">
        <f t="shared" si="19"/>
        <v>3.901843463118837E-3</v>
      </c>
      <c r="AA90" s="36"/>
    </row>
    <row r="91" spans="15:27" ht="13.9" customHeight="1">
      <c r="O91" s="12">
        <f t="shared" si="13"/>
        <v>6.5</v>
      </c>
      <c r="P91" s="13">
        <v>78</v>
      </c>
      <c r="Q91" s="22">
        <v>4.0605639646745129E-2</v>
      </c>
      <c r="R91" s="19">
        <f t="shared" si="14"/>
        <v>4.4369404415188995E-2</v>
      </c>
      <c r="S91" s="22">
        <v>4.0604622005444568E-2</v>
      </c>
      <c r="T91" s="19">
        <f t="shared" si="15"/>
        <v>4.4380141343828727E-2</v>
      </c>
      <c r="U91" s="24">
        <v>4.4903815737974195E-2</v>
      </c>
      <c r="V91" s="24">
        <f t="shared" si="16"/>
        <v>4.8688933602584417E-2</v>
      </c>
      <c r="W91" s="23">
        <f t="shared" si="17"/>
        <v>3.9708298523415397E-3</v>
      </c>
      <c r="X91" s="24">
        <v>4.4044017215821185E-2</v>
      </c>
      <c r="Y91" s="24">
        <f t="shared" si="18"/>
        <v>4.782682289469653E-2</v>
      </c>
      <c r="Z91" s="23">
        <f t="shared" si="19"/>
        <v>3.902049329244317E-3</v>
      </c>
      <c r="AA91" s="36"/>
    </row>
    <row r="92" spans="15:27" ht="13.9" customHeight="1">
      <c r="O92" s="12">
        <f t="shared" si="13"/>
        <v>6.583333333333333</v>
      </c>
      <c r="P92" s="13">
        <v>79</v>
      </c>
      <c r="Q92" s="22">
        <v>4.0653197373444305E-2</v>
      </c>
      <c r="R92" s="19">
        <f t="shared" si="14"/>
        <v>4.4332936481540797E-2</v>
      </c>
      <c r="S92" s="22">
        <v>4.0652327993810689E-2</v>
      </c>
      <c r="T92" s="19">
        <f t="shared" si="15"/>
        <v>4.4345094047071321E-2</v>
      </c>
      <c r="U92" s="24">
        <v>4.495164314473632E-2</v>
      </c>
      <c r="V92" s="24">
        <f t="shared" si="16"/>
        <v>4.8654845635432764E-2</v>
      </c>
      <c r="W92" s="23">
        <f t="shared" si="17"/>
        <v>3.9695871317466658E-3</v>
      </c>
      <c r="X92" s="24">
        <v>4.4091815388543898E-2</v>
      </c>
      <c r="Y92" s="24">
        <f t="shared" si="18"/>
        <v>4.7792475210973739E-2</v>
      </c>
      <c r="Z92" s="23">
        <f t="shared" si="19"/>
        <v>3.9007822333891884E-3</v>
      </c>
      <c r="AA92" s="36"/>
    </row>
    <row r="93" spans="15:27" ht="13.9" customHeight="1">
      <c r="O93" s="12">
        <f t="shared" si="13"/>
        <v>6.666666666666667</v>
      </c>
      <c r="P93" s="13">
        <v>80</v>
      </c>
      <c r="Q93" s="22">
        <v>4.0699113994448144E-2</v>
      </c>
      <c r="R93" s="19">
        <f t="shared" si="14"/>
        <v>4.4278440392907514E-2</v>
      </c>
      <c r="S93" s="22">
        <v>4.0698406883961313E-2</v>
      </c>
      <c r="T93" s="19">
        <f t="shared" si="15"/>
        <v>4.4291697043162159E-2</v>
      </c>
      <c r="U93" s="24">
        <v>4.4997852367248958E-2</v>
      </c>
      <c r="V93" s="24">
        <f t="shared" si="16"/>
        <v>4.8602215146896333E-2</v>
      </c>
      <c r="W93" s="23">
        <f t="shared" si="17"/>
        <v>3.9668675620145866E-3</v>
      </c>
      <c r="X93" s="24">
        <v>4.4137992872203435E-2</v>
      </c>
      <c r="Y93" s="24">
        <f t="shared" si="18"/>
        <v>4.7739623172602386E-2</v>
      </c>
      <c r="Z93" s="23">
        <f t="shared" si="19"/>
        <v>3.8980398762336055E-3</v>
      </c>
      <c r="AA93" s="36"/>
    </row>
    <row r="94" spans="15:27" ht="13.9" customHeight="1">
      <c r="O94" s="12">
        <f t="shared" si="13"/>
        <v>6.75</v>
      </c>
      <c r="P94" s="13">
        <v>81</v>
      </c>
      <c r="Q94" s="22">
        <v>4.0743228326949765E-2</v>
      </c>
      <c r="R94" s="19">
        <f t="shared" si="14"/>
        <v>4.4205884840295973E-2</v>
      </c>
      <c r="S94" s="22">
        <v>4.0742693023783527E-2</v>
      </c>
      <c r="T94" s="19">
        <f t="shared" si="15"/>
        <v>4.421994241292615E-2</v>
      </c>
      <c r="U94" s="24">
        <v>4.5042275052504355E-2</v>
      </c>
      <c r="V94" s="24">
        <f t="shared" si="16"/>
        <v>4.8531012072193347E-2</v>
      </c>
      <c r="W94" s="23">
        <f t="shared" si="17"/>
        <v>3.9626684935254453E-3</v>
      </c>
      <c r="X94" s="24">
        <v>4.4182381875591314E-2</v>
      </c>
      <c r="Y94" s="24">
        <f t="shared" si="18"/>
        <v>4.7668240610244217E-2</v>
      </c>
      <c r="Z94" s="23">
        <f t="shared" si="19"/>
        <v>3.8938199499229942E-3</v>
      </c>
      <c r="AA94" s="36"/>
    </row>
    <row r="95" spans="15:27" ht="13.9" customHeight="1">
      <c r="O95" s="12">
        <f t="shared" si="13"/>
        <v>6.833333333333333</v>
      </c>
      <c r="P95" s="13">
        <v>82</v>
      </c>
      <c r="Q95" s="22">
        <v>4.0785386607096408E-2</v>
      </c>
      <c r="R95" s="19">
        <f t="shared" si="14"/>
        <v>4.4115239083108326E-2</v>
      </c>
      <c r="S95" s="22">
        <v>4.0785028681621371E-2</v>
      </c>
      <c r="T95" s="19">
        <f t="shared" si="15"/>
        <v>4.4129822845480282E-2</v>
      </c>
      <c r="U95" s="24">
        <v>4.5084750630338899E-2</v>
      </c>
      <c r="V95" s="24">
        <f t="shared" si="16"/>
        <v>4.8441208111851264E-2</v>
      </c>
      <c r="W95" s="23">
        <f t="shared" si="17"/>
        <v>3.9569873231763975E-3</v>
      </c>
      <c r="X95" s="24">
        <v>4.4224822410289688E-2</v>
      </c>
      <c r="Y95" s="24">
        <f t="shared" si="18"/>
        <v>4.7578302700860498E-2</v>
      </c>
      <c r="Z95" s="23">
        <f t="shared" si="19"/>
        <v>3.8881201598379711E-3</v>
      </c>
      <c r="AA95" s="36"/>
    </row>
    <row r="96" spans="15:27" ht="13.9" customHeight="1">
      <c r="O96" s="12">
        <f t="shared" si="13"/>
        <v>6.916666666666667</v>
      </c>
      <c r="P96" s="13">
        <v>83</v>
      </c>
      <c r="Q96" s="22">
        <v>4.0825442041753535E-2</v>
      </c>
      <c r="R96" s="19">
        <f t="shared" si="14"/>
        <v>4.4006473218565212E-2</v>
      </c>
      <c r="S96" s="22">
        <v>4.0825263568115666E-2</v>
      </c>
      <c r="T96" s="19">
        <f t="shared" si="15"/>
        <v>4.4021331911284323E-2</v>
      </c>
      <c r="U96" s="24">
        <v>4.5125125857140347E-2</v>
      </c>
      <c r="V96" s="24">
        <f t="shared" si="16"/>
        <v>4.8332777010998917E-2</v>
      </c>
      <c r="W96" s="23">
        <f t="shared" si="17"/>
        <v>3.9498215159787797E-3</v>
      </c>
      <c r="X96" s="24">
        <v>4.4265161828206168E-2</v>
      </c>
      <c r="Y96" s="24">
        <f t="shared" si="18"/>
        <v>4.7469786247375412E-2</v>
      </c>
      <c r="Z96" s="23">
        <f t="shared" si="19"/>
        <v>3.8809382463964592E-3</v>
      </c>
      <c r="AA96" s="36"/>
    </row>
    <row r="97" spans="15:27" ht="13.9" customHeight="1">
      <c r="O97" s="12">
        <f t="shared" si="13"/>
        <v>7</v>
      </c>
      <c r="P97" s="13">
        <v>84</v>
      </c>
      <c r="Q97" s="22">
        <v>4.086325439563554E-2</v>
      </c>
      <c r="R97" s="19">
        <f t="shared" si="14"/>
        <v>4.388314053007969E-2</v>
      </c>
      <c r="S97" s="22">
        <v>4.0863254395641091E-2</v>
      </c>
      <c r="T97" s="19">
        <f t="shared" si="15"/>
        <v>4.3898064904032807E-2</v>
      </c>
      <c r="U97" s="24">
        <v>4.5163254395642394E-2</v>
      </c>
      <c r="V97" s="24">
        <f t="shared" si="16"/>
        <v>4.8209321561578866E-2</v>
      </c>
      <c r="W97" s="23">
        <f t="shared" si="17"/>
        <v>3.9411686269776869E-3</v>
      </c>
      <c r="X97" s="24">
        <v>4.4303254395641423E-2</v>
      </c>
      <c r="Y97" s="24">
        <f t="shared" si="18"/>
        <v>4.7346295419515183E-2</v>
      </c>
      <c r="Z97" s="23">
        <f t="shared" si="19"/>
        <v>3.8722720070551997E-3</v>
      </c>
      <c r="AA97" s="36"/>
    </row>
    <row r="98" spans="15:27" ht="13.9" customHeight="1">
      <c r="O98" s="12">
        <f t="shared" si="13"/>
        <v>7.083333333333333</v>
      </c>
      <c r="P98" s="13">
        <v>85</v>
      </c>
      <c r="Q98" s="22">
        <v>4.0898731632571739E-2</v>
      </c>
      <c r="R98" s="19">
        <f t="shared" si="14"/>
        <v>4.3759550021121418E-2</v>
      </c>
      <c r="S98" s="22">
        <v>4.0898906710233662E-2</v>
      </c>
      <c r="T98" s="19">
        <f t="shared" si="15"/>
        <v>4.3774419064579018E-2</v>
      </c>
      <c r="U98" s="24">
        <v>4.5199038972691064E-2</v>
      </c>
      <c r="V98" s="24">
        <f t="shared" si="16"/>
        <v>4.8085335793132122E-2</v>
      </c>
      <c r="W98" s="23">
        <f t="shared" si="17"/>
        <v>3.931315784035494E-3</v>
      </c>
      <c r="X98" s="24">
        <v>4.4339003430958757E-2</v>
      </c>
      <c r="Y98" s="24">
        <f t="shared" si="18"/>
        <v>4.722231953818401E-2</v>
      </c>
      <c r="Z98" s="23">
        <f t="shared" si="19"/>
        <v>3.8624088970220516E-3</v>
      </c>
      <c r="AA98" s="36"/>
    </row>
    <row r="99" spans="15:27" ht="13.9" customHeight="1">
      <c r="O99" s="12">
        <f t="shared" si="13"/>
        <v>7.166666666666667</v>
      </c>
      <c r="P99" s="13">
        <v>86</v>
      </c>
      <c r="Q99" s="22">
        <v>4.0931951862944738E-2</v>
      </c>
      <c r="R99" s="19">
        <f t="shared" si="14"/>
        <v>4.3639280390399771E-2</v>
      </c>
      <c r="S99" s="22">
        <v>4.093229733662751E-2</v>
      </c>
      <c r="T99" s="19">
        <f t="shared" si="15"/>
        <v>4.3653989640101587E-2</v>
      </c>
      <c r="U99" s="24">
        <v>4.523255484627775E-2</v>
      </c>
      <c r="V99" s="24">
        <f t="shared" si="16"/>
        <v>4.7964450843174689E-2</v>
      </c>
      <c r="W99" s="23">
        <f t="shared" si="17"/>
        <v>3.9214195462566881E-3</v>
      </c>
      <c r="X99" s="24">
        <v>4.4372484701877379E-2</v>
      </c>
      <c r="Y99" s="24">
        <f t="shared" si="18"/>
        <v>4.710148527459368E-2</v>
      </c>
      <c r="Z99" s="23">
        <f t="shared" si="19"/>
        <v>3.8525059737923861E-3</v>
      </c>
      <c r="AA99" s="36"/>
    </row>
    <row r="100" spans="15:27" ht="13.9" customHeight="1">
      <c r="O100" s="12">
        <f t="shared" si="13"/>
        <v>7.25</v>
      </c>
      <c r="P100" s="13">
        <v>87</v>
      </c>
      <c r="Q100" s="22">
        <v>4.0963030647759302E-2</v>
      </c>
      <c r="R100" s="19">
        <f t="shared" si="14"/>
        <v>4.3522330623554817E-2</v>
      </c>
      <c r="S100" s="22">
        <v>4.0963540797833708E-2</v>
      </c>
      <c r="T100" s="19">
        <f t="shared" si="15"/>
        <v>4.3536771360263238E-2</v>
      </c>
      <c r="U100" s="24">
        <v>4.5263915455401538E-2</v>
      </c>
      <c r="V100" s="24">
        <f t="shared" si="16"/>
        <v>4.7846673495615111E-2</v>
      </c>
      <c r="W100" s="23">
        <f t="shared" si="17"/>
        <v>3.9117697748776159E-3</v>
      </c>
      <c r="X100" s="24">
        <v>4.4403812082760341E-2</v>
      </c>
      <c r="Y100" s="24">
        <f t="shared" si="18"/>
        <v>4.6983795761229352E-2</v>
      </c>
      <c r="Z100" s="23">
        <f t="shared" si="19"/>
        <v>3.84285296192588E-3</v>
      </c>
      <c r="AA100" s="36"/>
    </row>
    <row r="101" spans="15:27" ht="13.9" customHeight="1">
      <c r="O101" s="12">
        <f t="shared" si="13"/>
        <v>7.333333333333333</v>
      </c>
      <c r="P101" s="13">
        <v>88</v>
      </c>
      <c r="Q101" s="22">
        <v>4.0992078314283198E-2</v>
      </c>
      <c r="R101" s="19">
        <f t="shared" si="14"/>
        <v>4.3408699652040195E-2</v>
      </c>
      <c r="S101" s="22">
        <v>4.0992746381615097E-2</v>
      </c>
      <c r="T101" s="19">
        <f t="shared" si="15"/>
        <v>4.3422758904196446E-2</v>
      </c>
      <c r="U101" s="24">
        <v>4.5293229189155015E-2</v>
      </c>
      <c r="V101" s="24">
        <f t="shared" si="16"/>
        <v>4.7732010278283443E-2</v>
      </c>
      <c r="W101" s="23">
        <f t="shared" si="17"/>
        <v>3.902367089805292E-3</v>
      </c>
      <c r="X101" s="24">
        <v>4.44330943370983E-2</v>
      </c>
      <c r="Y101" s="24">
        <f t="shared" si="18"/>
        <v>4.6869253950962753E-2</v>
      </c>
      <c r="Z101" s="23">
        <f t="shared" si="19"/>
        <v>3.8334501911196917E-3</v>
      </c>
      <c r="AA101" s="36"/>
    </row>
    <row r="102" spans="15:27" ht="13.9" customHeight="1">
      <c r="O102" s="12">
        <f t="shared" si="13"/>
        <v>7.416666666666667</v>
      </c>
      <c r="P102" s="13">
        <v>89</v>
      </c>
      <c r="Q102" s="22">
        <v>4.1019200247668586E-2</v>
      </c>
      <c r="R102" s="19">
        <f t="shared" si="14"/>
        <v>4.3298386362888852E-2</v>
      </c>
      <c r="S102" s="22">
        <v>4.1020018432245786E-2</v>
      </c>
      <c r="T102" s="19">
        <f t="shared" si="15"/>
        <v>4.3311946908740628E-2</v>
      </c>
      <c r="U102" s="24">
        <v>4.532059966589097E-2</v>
      </c>
      <c r="V102" s="24">
        <f t="shared" si="16"/>
        <v>4.762046749242077E-2</v>
      </c>
      <c r="W102" s="23">
        <f t="shared" si="17"/>
        <v>3.8932120887362753E-3</v>
      </c>
      <c r="X102" s="24">
        <v>4.446043540091793E-2</v>
      </c>
      <c r="Y102" s="24">
        <f t="shared" si="18"/>
        <v>4.6757862624249968E-2</v>
      </c>
      <c r="Z102" s="23">
        <f t="shared" si="19"/>
        <v>3.8242979747813433E-3</v>
      </c>
      <c r="AA102" s="36"/>
    </row>
    <row r="103" spans="15:27" ht="13.9" customHeight="1">
      <c r="O103" s="12">
        <f t="shared" si="13"/>
        <v>7.5</v>
      </c>
      <c r="P103" s="13">
        <v>90</v>
      </c>
      <c r="Q103" s="22">
        <v>4.1044497163347682E-2</v>
      </c>
      <c r="R103" s="19">
        <f t="shared" si="14"/>
        <v>4.3191379389671658E-2</v>
      </c>
      <c r="S103" s="22">
        <v>4.1045456623019172E-2</v>
      </c>
      <c r="T103" s="19">
        <f t="shared" si="15"/>
        <v>4.3204329976904043E-2</v>
      </c>
      <c r="U103" s="24">
        <v>4.5346125994202069E-2</v>
      </c>
      <c r="V103" s="24">
        <f t="shared" si="16"/>
        <v>4.751205118938473E-2</v>
      </c>
      <c r="W103" s="23">
        <f t="shared" si="17"/>
        <v>3.8843053494854729E-3</v>
      </c>
      <c r="X103" s="24">
        <v>4.4485934647477299E-2</v>
      </c>
      <c r="Y103" s="24">
        <f t="shared" si="18"/>
        <v>4.6649624397775646E-2</v>
      </c>
      <c r="Z103" s="23">
        <f t="shared" si="19"/>
        <v>3.8153966105898274E-3</v>
      </c>
      <c r="AA103" s="36"/>
    </row>
    <row r="104" spans="15:27" ht="13.9" customHeight="1">
      <c r="O104" s="12">
        <f t="shared" si="13"/>
        <v>7.583333333333333</v>
      </c>
      <c r="P104" s="13">
        <v>91</v>
      </c>
      <c r="Q104" s="22">
        <v>4.1068065249607821E-2</v>
      </c>
      <c r="R104" s="19">
        <f t="shared" si="14"/>
        <v>4.3087636661278683E-2</v>
      </c>
      <c r="S104" s="22">
        <v>4.1069156210980617E-2</v>
      </c>
      <c r="T104" s="19">
        <f t="shared" si="15"/>
        <v>4.3099902686311031E-2</v>
      </c>
      <c r="U104" s="24">
        <v>4.5369903016526658E-2</v>
      </c>
      <c r="V104" s="24">
        <f t="shared" si="16"/>
        <v>4.7406767209731804E-2</v>
      </c>
      <c r="W104" s="23">
        <f t="shared" si="17"/>
        <v>3.875647428100315E-3</v>
      </c>
      <c r="X104" s="24">
        <v>4.4509687134695719E-2</v>
      </c>
      <c r="Y104" s="24">
        <f t="shared" si="18"/>
        <v>4.6544541731347477E-2</v>
      </c>
      <c r="Z104" s="23">
        <f t="shared" si="19"/>
        <v>3.8067463811701785E-3</v>
      </c>
      <c r="AA104" s="36"/>
    </row>
    <row r="105" spans="15:27" ht="13.9" customHeight="1">
      <c r="O105" s="12">
        <f t="shared" si="13"/>
        <v>7.666666666666667</v>
      </c>
      <c r="P105" s="13">
        <v>92</v>
      </c>
      <c r="Q105" s="22">
        <v>4.108999607901942E-2</v>
      </c>
      <c r="R105" s="19">
        <f t="shared" si="14"/>
        <v>4.2987146706098711E-2</v>
      </c>
      <c r="S105" s="22">
        <v>4.1091208275229052E-2</v>
      </c>
      <c r="T105" s="19">
        <f t="shared" si="15"/>
        <v>4.2998659596105826E-2</v>
      </c>
      <c r="U105" s="24">
        <v>4.5392021537371541E-2</v>
      </c>
      <c r="V105" s="24">
        <f t="shared" si="16"/>
        <v>4.7304621166542216E-2</v>
      </c>
      <c r="W105" s="23">
        <f t="shared" si="17"/>
        <v>3.8672388619580556E-3</v>
      </c>
      <c r="X105" s="24">
        <v>4.4531783836605499E-2</v>
      </c>
      <c r="Y105" s="24">
        <f t="shared" si="18"/>
        <v>4.6442616934629699E-2</v>
      </c>
      <c r="Z105" s="23">
        <f t="shared" si="19"/>
        <v>3.7983475546303769E-3</v>
      </c>
      <c r="AA105" s="36"/>
    </row>
    <row r="106" spans="15:27" ht="13.9" customHeight="1">
      <c r="O106" s="12">
        <f t="shared" si="13"/>
        <v>7.75</v>
      </c>
      <c r="P106" s="13">
        <v>93</v>
      </c>
      <c r="Q106" s="22">
        <v>4.1110377183466662E-2</v>
      </c>
      <c r="R106" s="19">
        <f t="shared" si="14"/>
        <v>4.288990825385941E-2</v>
      </c>
      <c r="S106" s="22">
        <v>4.11116999400023E-2</v>
      </c>
      <c r="T106" s="19">
        <f t="shared" si="15"/>
        <v>4.2900595257165941E-2</v>
      </c>
      <c r="U106" s="24">
        <v>4.541256853670661E-2</v>
      </c>
      <c r="V106" s="24">
        <f t="shared" si="16"/>
        <v>4.720561846191873E-2</v>
      </c>
      <c r="W106" s="23">
        <f t="shared" si="17"/>
        <v>3.8590801684106335E-3</v>
      </c>
      <c r="X106" s="24">
        <v>4.4552311860020621E-2</v>
      </c>
      <c r="Y106" s="24">
        <f t="shared" si="18"/>
        <v>4.63438521791526E-2</v>
      </c>
      <c r="Z106" s="23">
        <f t="shared" si="19"/>
        <v>3.7902003850871502E-3</v>
      </c>
      <c r="AA106" s="36"/>
    </row>
    <row r="107" spans="15:27" ht="13.9" customHeight="1">
      <c r="O107" s="12">
        <f t="shared" si="13"/>
        <v>7.833333333333333</v>
      </c>
      <c r="P107" s="13">
        <v>94</v>
      </c>
      <c r="Q107" s="22">
        <v>4.1129292376124837E-2</v>
      </c>
      <c r="R107" s="19">
        <f t="shared" si="14"/>
        <v>4.2795920034043533E-2</v>
      </c>
      <c r="S107" s="22">
        <v>4.1130714583706984E-2</v>
      </c>
      <c r="T107" s="19">
        <f t="shared" si="15"/>
        <v>4.2805704217978358E-2</v>
      </c>
      <c r="U107" s="24">
        <v>4.5431627369980854E-2</v>
      </c>
      <c r="V107" s="24">
        <f t="shared" si="16"/>
        <v>4.7109764303086665E-2</v>
      </c>
      <c r="W107" s="23">
        <f t="shared" si="17"/>
        <v>3.8511718460800815E-3</v>
      </c>
      <c r="X107" s="24">
        <v>4.4571354647573447E-2</v>
      </c>
      <c r="Y107" s="24">
        <f t="shared" si="18"/>
        <v>4.6248249500041139E-2</v>
      </c>
      <c r="Z107" s="23">
        <f t="shared" si="19"/>
        <v>3.7823051136121055E-3</v>
      </c>
      <c r="AA107" s="36"/>
    </row>
    <row r="108" spans="15:27" ht="13.9" customHeight="1">
      <c r="O108" s="12">
        <f t="shared" si="13"/>
        <v>7.916666666666667</v>
      </c>
      <c r="P108" s="13">
        <v>95</v>
      </c>
      <c r="Q108" s="22">
        <v>4.1146821946019818E-2</v>
      </c>
      <c r="R108" s="19">
        <f t="shared" si="14"/>
        <v>4.2705180781798635E-2</v>
      </c>
      <c r="S108" s="22">
        <v>4.1148332034878443E-2</v>
      </c>
      <c r="T108" s="19">
        <f t="shared" si="15"/>
        <v>4.2713981033962956E-2</v>
      </c>
      <c r="U108" s="24">
        <v>4.5449277955738498E-2</v>
      </c>
      <c r="V108" s="24">
        <f t="shared" si="16"/>
        <v>4.7017063691125571E-2</v>
      </c>
      <c r="W108" s="23">
        <f t="shared" si="17"/>
        <v>3.8435143761235135E-3</v>
      </c>
      <c r="X108" s="24">
        <v>4.4588992168012043E-2</v>
      </c>
      <c r="Y108" s="24">
        <f t="shared" si="18"/>
        <v>4.6155810809569431E-2</v>
      </c>
      <c r="Z108" s="23">
        <f t="shared" si="19"/>
        <v>3.7746619683594052E-3</v>
      </c>
      <c r="AA108" s="36"/>
    </row>
    <row r="109" spans="15:27" ht="13.9" customHeight="1">
      <c r="O109" s="12">
        <f t="shared" si="13"/>
        <v>8</v>
      </c>
      <c r="P109" s="13">
        <v>96</v>
      </c>
      <c r="Q109" s="22">
        <v>4.1163042840552055E-2</v>
      </c>
      <c r="R109" s="19">
        <f t="shared" si="14"/>
        <v>4.261767921053905E-2</v>
      </c>
      <c r="S109" s="22">
        <v>4.1164628756054533E-2</v>
      </c>
      <c r="T109" s="19">
        <f t="shared" si="15"/>
        <v>4.2625420275625991E-2</v>
      </c>
      <c r="U109" s="24">
        <v>4.5465596951447917E-2</v>
      </c>
      <c r="V109" s="24">
        <f t="shared" si="16"/>
        <v>4.6927521441749054E-2</v>
      </c>
      <c r="W109" s="23">
        <f t="shared" si="17"/>
        <v>3.8361082213136388E-3</v>
      </c>
      <c r="X109" s="24">
        <v>4.4605301094802652E-2</v>
      </c>
      <c r="Y109" s="24">
        <f t="shared" si="18"/>
        <v>4.6066537901412241E-2</v>
      </c>
      <c r="Z109" s="23">
        <f t="shared" si="19"/>
        <v>3.7672711656377977E-3</v>
      </c>
      <c r="AA109" s="36"/>
    </row>
    <row r="110" spans="15:27" ht="13.9" customHeight="1">
      <c r="O110" s="12">
        <f t="shared" si="13"/>
        <v>8.0833333333333339</v>
      </c>
      <c r="P110" s="13">
        <v>97</v>
      </c>
      <c r="Q110" s="22">
        <v>4.1178028733555028E-2</v>
      </c>
      <c r="R110" s="19">
        <f t="shared" si="14"/>
        <v>4.2533373922466478E-2</v>
      </c>
      <c r="S110" s="22">
        <v>4.117967801641953E-2</v>
      </c>
      <c r="T110" s="19">
        <f t="shared" si="15"/>
        <v>4.2540016535188352E-2</v>
      </c>
      <c r="U110" s="24">
        <v>4.5480657918722134E-2</v>
      </c>
      <c r="V110" s="24">
        <f t="shared" si="16"/>
        <v>4.68411421948014E-2</v>
      </c>
      <c r="W110" s="23">
        <f t="shared" si="17"/>
        <v>3.8289538276781165E-3</v>
      </c>
      <c r="X110" s="24">
        <v>4.4620354973784915E-2</v>
      </c>
      <c r="Y110" s="24">
        <f t="shared" si="18"/>
        <v>4.5980432460018372E-2</v>
      </c>
      <c r="Z110" s="23">
        <f t="shared" si="19"/>
        <v>3.7601329102405767E-3</v>
      </c>
      <c r="AA110" s="36"/>
    </row>
    <row r="111" spans="15:27" ht="13.9" customHeight="1">
      <c r="O111" s="12">
        <f t="shared" si="13"/>
        <v>8.1666666666666661</v>
      </c>
      <c r="P111" s="13">
        <v>98</v>
      </c>
      <c r="Q111" s="22">
        <v>4.1191849884460563E-2</v>
      </c>
      <c r="R111" s="19">
        <f t="shared" si="14"/>
        <v>4.245225363438121E-2</v>
      </c>
      <c r="S111" s="22">
        <v>4.1193550053999051E-2</v>
      </c>
      <c r="T111" s="19">
        <f t="shared" si="15"/>
        <v>4.245776443582705E-2</v>
      </c>
      <c r="U111" s="24">
        <v>4.5494531478568412E-2</v>
      </c>
      <c r="V111" s="24">
        <f t="shared" si="16"/>
        <v>4.6757930409407455E-2</v>
      </c>
      <c r="W111" s="23">
        <f t="shared" si="17"/>
        <v>3.822051625240519E-3</v>
      </c>
      <c r="X111" s="24">
        <v>4.4634224380707188E-2</v>
      </c>
      <c r="Y111" s="24">
        <f t="shared" si="18"/>
        <v>4.5897496068823651E-2</v>
      </c>
      <c r="Z111" s="23">
        <f t="shared" si="19"/>
        <v>3.7532473961856549E-3</v>
      </c>
      <c r="AA111" s="36"/>
    </row>
    <row r="112" spans="15:27" ht="13.9" customHeight="1">
      <c r="O112" s="12">
        <f t="shared" si="13"/>
        <v>8.25</v>
      </c>
      <c r="P112" s="13">
        <v>99</v>
      </c>
      <c r="Q112" s="22">
        <v>4.1204573613525808E-2</v>
      </c>
      <c r="R112" s="19">
        <f t="shared" si="14"/>
        <v>4.2374317134630468E-2</v>
      </c>
      <c r="S112" s="22">
        <v>4.1206312228169617E-2</v>
      </c>
      <c r="T112" s="19">
        <f t="shared" si="15"/>
        <v>4.2378658638904776E-2</v>
      </c>
      <c r="U112" s="24">
        <v>4.5507285457224489E-2</v>
      </c>
      <c r="V112" s="24">
        <f t="shared" si="16"/>
        <v>4.6677890384486664E-2</v>
      </c>
      <c r="W112" s="23">
        <f t="shared" si="17"/>
        <v>3.8154020276164324E-3</v>
      </c>
      <c r="X112" s="24">
        <v>4.4646977069344063E-2</v>
      </c>
      <c r="Y112" s="24">
        <f t="shared" si="18"/>
        <v>4.5817730216083818E-2</v>
      </c>
      <c r="Z112" s="23">
        <f t="shared" si="19"/>
        <v>3.7466148073639349E-3</v>
      </c>
      <c r="AA112" s="36"/>
    </row>
    <row r="113" spans="15:27" ht="13.9" customHeight="1">
      <c r="O113" s="12">
        <f t="shared" si="13"/>
        <v>8.3333333333333339</v>
      </c>
      <c r="P113" s="13">
        <v>100</v>
      </c>
      <c r="Q113" s="22">
        <v>4.1216264548533665E-2</v>
      </c>
      <c r="R113" s="19">
        <f t="shared" si="14"/>
        <v>4.229956325969475E-2</v>
      </c>
      <c r="S113" s="22">
        <v>4.1218029163134995E-2</v>
      </c>
      <c r="T113" s="19">
        <f t="shared" si="15"/>
        <v>4.2302693851675066E-2</v>
      </c>
      <c r="U113" s="24">
        <v>4.5518985023490943E-2</v>
      </c>
      <c r="V113" s="24">
        <f t="shared" si="16"/>
        <v>4.6601026258537459E-2</v>
      </c>
      <c r="W113" s="23">
        <f t="shared" si="17"/>
        <v>3.8090054336341606E-3</v>
      </c>
      <c r="X113" s="24">
        <v>4.4658678110827799E-2</v>
      </c>
      <c r="Y113" s="24">
        <f t="shared" si="18"/>
        <v>4.5741136305972985E-2</v>
      </c>
      <c r="Z113" s="23">
        <f t="shared" si="19"/>
        <v>3.7402353179969428E-3</v>
      </c>
      <c r="AA113" s="36"/>
    </row>
    <row r="114" spans="15:27" ht="13.9" customHeight="1">
      <c r="O114" s="12">
        <f t="shared" si="13"/>
        <v>8.4166666666666661</v>
      </c>
      <c r="P114" s="13">
        <v>101</v>
      </c>
      <c r="Q114" s="22">
        <v>4.1226984757786855E-2</v>
      </c>
      <c r="R114" s="19">
        <f t="shared" si="14"/>
        <v>4.2227990900662649E-2</v>
      </c>
      <c r="S114" s="22">
        <v>4.1228762882999925E-2</v>
      </c>
      <c r="T114" s="19">
        <f t="shared" si="15"/>
        <v>4.2229864835376496E-2</v>
      </c>
      <c r="U114" s="24">
        <v>4.552969281794117E-2</v>
      </c>
      <c r="V114" s="24">
        <f t="shared" si="16"/>
        <v>4.6527342018879203E-2</v>
      </c>
      <c r="W114" s="23">
        <f t="shared" si="17"/>
        <v>3.8028622273029722E-3</v>
      </c>
      <c r="X114" s="24">
        <v>4.4669390024851596E-2</v>
      </c>
      <c r="Y114" s="24">
        <f t="shared" si="18"/>
        <v>4.56677156651637E-2</v>
      </c>
      <c r="Z114" s="23">
        <f t="shared" si="19"/>
        <v>3.7341090935167909E-3</v>
      </c>
      <c r="AA114" s="36"/>
    </row>
    <row r="115" spans="15:27" ht="13.9" customHeight="1">
      <c r="O115" s="12">
        <f t="shared" si="13"/>
        <v>8.5</v>
      </c>
      <c r="P115" s="13">
        <v>102</v>
      </c>
      <c r="Q115" s="22">
        <v>4.1236793875378819E-2</v>
      </c>
      <c r="R115" s="19">
        <f t="shared" si="14"/>
        <v>4.2159589152563015E-2</v>
      </c>
      <c r="S115" s="22">
        <v>4.123857293901545E-2</v>
      </c>
      <c r="T115" s="19">
        <f t="shared" si="15"/>
        <v>4.216016641250242E-2</v>
      </c>
      <c r="U115" s="24">
        <v>4.5539469074655337E-2</v>
      </c>
      <c r="V115" s="24">
        <f t="shared" si="16"/>
        <v>4.6456841519526559E-2</v>
      </c>
      <c r="W115" s="23">
        <f t="shared" si="17"/>
        <v>3.7969727785365226E-3</v>
      </c>
      <c r="X115" s="24">
        <v>4.4679172903256514E-2</v>
      </c>
      <c r="Y115" s="24">
        <f t="shared" si="18"/>
        <v>4.5597469549163661E-2</v>
      </c>
      <c r="Z115" s="23">
        <f t="shared" si="19"/>
        <v>3.7282362910866507E-3</v>
      </c>
      <c r="AA115" s="36"/>
    </row>
    <row r="116" spans="15:27" ht="13.9" customHeight="1">
      <c r="O116" s="12">
        <f t="shared" si="13"/>
        <v>8.5833333333333339</v>
      </c>
      <c r="P116" s="13">
        <v>103</v>
      </c>
      <c r="Q116" s="22">
        <v>4.1245749123649311E-2</v>
      </c>
      <c r="R116" s="19">
        <f t="shared" si="14"/>
        <v>4.2094317584391749E-2</v>
      </c>
      <c r="S116" s="22">
        <v>4.1247516529520301E-2</v>
      </c>
      <c r="T116" s="19">
        <f t="shared" si="15"/>
        <v>4.2093593475261981E-2</v>
      </c>
      <c r="U116" s="24">
        <v>4.554837173607007E-2</v>
      </c>
      <c r="V116" s="24">
        <f t="shared" si="16"/>
        <v>4.6389528469325647E-2</v>
      </c>
      <c r="W116" s="23">
        <f t="shared" si="17"/>
        <v>3.7913374445666115E-3</v>
      </c>
      <c r="X116" s="24">
        <v>4.4688084526514071E-2</v>
      </c>
      <c r="Y116" s="24">
        <f t="shared" si="18"/>
        <v>4.5530399153526968E-2</v>
      </c>
      <c r="Z116" s="23">
        <f t="shared" si="19"/>
        <v>3.7226170601001307E-3</v>
      </c>
      <c r="AA116" s="36"/>
    </row>
    <row r="117" spans="15:27" ht="13.9" customHeight="1">
      <c r="O117" s="12">
        <f t="shared" si="13"/>
        <v>8.6666666666666661</v>
      </c>
      <c r="P117" s="13">
        <v>104</v>
      </c>
      <c r="Q117" s="22">
        <v>4.1253905144783554E-2</v>
      </c>
      <c r="R117" s="19">
        <f t="shared" si="14"/>
        <v>4.2032165394474186E-2</v>
      </c>
      <c r="S117" s="22">
        <v>4.1255648613077067E-2</v>
      </c>
      <c r="T117" s="19">
        <f t="shared" si="15"/>
        <v>4.2030140991894172E-2</v>
      </c>
      <c r="U117" s="24">
        <v>4.5556456561117509E-2</v>
      </c>
      <c r="V117" s="24">
        <f t="shared" si="16"/>
        <v>4.6325406452885298E-2</v>
      </c>
      <c r="W117" s="23">
        <f t="shared" si="17"/>
        <v>3.7859565689817298E-3</v>
      </c>
      <c r="X117" s="24">
        <v>4.4696180473627445E-2</v>
      </c>
      <c r="Y117" s="24">
        <f t="shared" si="18"/>
        <v>4.5466505618525943E-2</v>
      </c>
      <c r="Z117" s="23">
        <f t="shared" si="19"/>
        <v>3.7172515430718978E-3</v>
      </c>
      <c r="AA117" s="36"/>
    </row>
    <row r="118" spans="15:27" ht="13.9" customHeight="1">
      <c r="O118" s="12">
        <f t="shared" si="13"/>
        <v>8.75</v>
      </c>
      <c r="P118" s="13">
        <v>105</v>
      </c>
      <c r="Q118" s="22">
        <v>4.1261314404940297E-2</v>
      </c>
      <c r="R118" s="19">
        <f t="shared" si="14"/>
        <v>4.1973131722480073E-2</v>
      </c>
      <c r="S118" s="22">
        <v>4.1263022015235462E-2</v>
      </c>
      <c r="T118" s="19">
        <f t="shared" si="15"/>
        <v>4.1969804015717038E-2</v>
      </c>
      <c r="U118" s="24">
        <v>4.5563777227411784E-2</v>
      </c>
      <c r="V118" s="24">
        <f t="shared" si="16"/>
        <v>4.6264478942733334E-2</v>
      </c>
      <c r="W118" s="23">
        <f t="shared" si="17"/>
        <v>3.7808304833877315E-3</v>
      </c>
      <c r="X118" s="24">
        <v>4.470351422582608E-2</v>
      </c>
      <c r="Y118" s="24">
        <f t="shared" si="18"/>
        <v>4.5405790040137006E-2</v>
      </c>
      <c r="Z118" s="23">
        <f t="shared" si="19"/>
        <v>3.7121398760073809E-3</v>
      </c>
      <c r="AA118" s="36"/>
    </row>
    <row r="119" spans="15:27" ht="13.9" customHeight="1">
      <c r="O119" s="12">
        <f t="shared" si="13"/>
        <v>8.8333333333333339</v>
      </c>
      <c r="P119" s="13">
        <v>106</v>
      </c>
      <c r="Q119" s="22">
        <v>4.1268027390026774E-2</v>
      </c>
      <c r="R119" s="19">
        <f t="shared" si="14"/>
        <v>4.1917215801467567E-2</v>
      </c>
      <c r="S119" s="22">
        <v>4.1269687529366106E-2</v>
      </c>
      <c r="T119" s="19">
        <f t="shared" si="15"/>
        <v>4.1912577691957331E-2</v>
      </c>
      <c r="U119" s="24">
        <v>4.5570385427792459E-2</v>
      </c>
      <c r="V119" s="24">
        <f t="shared" si="16"/>
        <v>4.6206749297645677E-2</v>
      </c>
      <c r="W119" s="23">
        <f t="shared" si="17"/>
        <v>3.7759595083663999E-3</v>
      </c>
      <c r="X119" s="24">
        <v>4.4710137264521332E-2</v>
      </c>
      <c r="Y119" s="24">
        <f t="shared" si="18"/>
        <v>4.5348253476764633E-2</v>
      </c>
      <c r="Z119" s="23">
        <f t="shared" si="19"/>
        <v>3.707282189275185E-3</v>
      </c>
      <c r="AA119" s="36"/>
    </row>
    <row r="120" spans="15:27" ht="13.9" customHeight="1">
      <c r="O120" s="12">
        <f t="shared" si="13"/>
        <v>8.9166666666666661</v>
      </c>
      <c r="P120" s="13">
        <v>107</v>
      </c>
      <c r="Q120" s="22">
        <v>4.1274092698571963E-2</v>
      </c>
      <c r="R120" s="19">
        <f t="shared" si="14"/>
        <v>4.1864416965794016E-2</v>
      </c>
      <c r="S120" s="22">
        <v>4.1275694011931874E-2</v>
      </c>
      <c r="T120" s="19">
        <f t="shared" si="15"/>
        <v>4.1858457264595472E-2</v>
      </c>
      <c r="U120" s="24">
        <v>4.5576330961461409E-2</v>
      </c>
      <c r="V120" s="24">
        <f t="shared" si="16"/>
        <v>4.6152220771618513E-2</v>
      </c>
      <c r="W120" s="23">
        <f t="shared" si="17"/>
        <v>3.7713439533315629E-3</v>
      </c>
      <c r="X120" s="24">
        <v>4.471609916385666E-2</v>
      </c>
      <c r="Y120" s="24">
        <f t="shared" si="18"/>
        <v>4.5293896955477697E-2</v>
      </c>
      <c r="Z120" s="23">
        <f t="shared" si="19"/>
        <v>3.7026786081408858E-3</v>
      </c>
      <c r="AA120" s="36"/>
    </row>
    <row r="121" spans="15:27" ht="13.9" customHeight="1">
      <c r="O121" s="12">
        <f t="shared" si="13"/>
        <v>9</v>
      </c>
      <c r="P121" s="13">
        <v>108</v>
      </c>
      <c r="Q121" s="22">
        <v>4.127955712953657E-2</v>
      </c>
      <c r="R121" s="19">
        <f t="shared" si="14"/>
        <v>4.1814724973528117E-2</v>
      </c>
      <c r="S121" s="22">
        <v>4.1281088472553629E-2</v>
      </c>
      <c r="T121" s="19">
        <f t="shared" si="15"/>
        <v>4.1807438085725845E-2</v>
      </c>
      <c r="U121" s="24">
        <v>4.5581661820162767E-2</v>
      </c>
      <c r="V121" s="24">
        <f t="shared" si="16"/>
        <v>4.6100896528775026E-2</v>
      </c>
      <c r="W121" s="23">
        <f t="shared" si="17"/>
        <v>3.7669841172340846E-3</v>
      </c>
      <c r="X121" s="24">
        <v>4.4721447678196968E-2</v>
      </c>
      <c r="Y121" s="24">
        <f t="shared" si="18"/>
        <v>4.5242721485269755E-2</v>
      </c>
      <c r="Z121" s="23">
        <f t="shared" si="19"/>
        <v>3.6983292532621892E-3</v>
      </c>
      <c r="AA121" s="36"/>
    </row>
    <row r="122" spans="15:27" ht="13.9" customHeight="1">
      <c r="O122" s="12">
        <f t="shared" si="13"/>
        <v>9.0833333333333339</v>
      </c>
      <c r="P122" s="13">
        <v>109</v>
      </c>
      <c r="Q122" s="22">
        <v>4.1284465676571624E-2</v>
      </c>
      <c r="R122" s="19">
        <f t="shared" si="14"/>
        <v>4.1768100629866689E-2</v>
      </c>
      <c r="S122" s="22">
        <v>4.1285916159228053E-2</v>
      </c>
      <c r="T122" s="19">
        <f t="shared" si="15"/>
        <v>4.1759515620710674E-2</v>
      </c>
      <c r="U122" s="24">
        <v>4.5586424269775661E-2</v>
      </c>
      <c r="V122" s="24">
        <f t="shared" si="16"/>
        <v>4.6052779643586561E-2</v>
      </c>
      <c r="W122" s="23">
        <f t="shared" si="17"/>
        <v>3.7628802897444746E-3</v>
      </c>
      <c r="X122" s="24">
        <v>4.4726228824945036E-2</v>
      </c>
      <c r="Y122" s="24">
        <f t="shared" si="18"/>
        <v>4.5194728058459255E-2</v>
      </c>
      <c r="Z122" s="23">
        <f t="shared" si="19"/>
        <v>3.6942342417451979E-3</v>
      </c>
      <c r="AA122" s="36"/>
    </row>
    <row r="123" spans="15:27" ht="13.9" customHeight="1">
      <c r="O123" s="12">
        <f t="shared" si="13"/>
        <v>9.1666666666666661</v>
      </c>
      <c r="P123" s="13">
        <v>110</v>
      </c>
      <c r="Q123" s="22">
        <v>4.128886134651788E-2</v>
      </c>
      <c r="R123" s="19">
        <f t="shared" si="14"/>
        <v>4.1724533890364901E-2</v>
      </c>
      <c r="S123" s="22">
        <v>4.1290220638965591E-2</v>
      </c>
      <c r="T123" s="19">
        <f t="shared" si="15"/>
        <v>4.1714685457469924E-2</v>
      </c>
      <c r="U123" s="24">
        <v>4.5590662927477599E-2</v>
      </c>
      <c r="V123" s="24">
        <f t="shared" si="16"/>
        <v>4.6007873115422315E-2</v>
      </c>
      <c r="W123" s="23">
        <f t="shared" si="17"/>
        <v>3.7590327512597721E-3</v>
      </c>
      <c r="X123" s="24">
        <v>4.4730486962872851E-2</v>
      </c>
      <c r="Y123" s="24">
        <f t="shared" si="18"/>
        <v>4.514991766412968E-2</v>
      </c>
      <c r="Z123" s="23">
        <f t="shared" si="19"/>
        <v>3.6903936872534349E-3</v>
      </c>
      <c r="AA123" s="36"/>
    </row>
    <row r="124" spans="15:27" ht="13.9" customHeight="1">
      <c r="O124" s="12">
        <f t="shared" si="13"/>
        <v>9.25</v>
      </c>
      <c r="P124" s="13">
        <v>111</v>
      </c>
      <c r="Q124" s="22">
        <v>4.129278551091331E-2</v>
      </c>
      <c r="R124" s="19">
        <f t="shared" si="14"/>
        <v>4.1684024518831686E-2</v>
      </c>
      <c r="S124" s="22">
        <v>4.1294043874173125E-2</v>
      </c>
      <c r="T124" s="19">
        <f t="shared" si="15"/>
        <v>4.1672943312917266E-2</v>
      </c>
      <c r="U124" s="24">
        <v>4.5594420834886185E-2</v>
      </c>
      <c r="V124" s="24">
        <f t="shared" si="16"/>
        <v>4.5966179871812507E-2</v>
      </c>
      <c r="W124" s="23">
        <f t="shared" si="17"/>
        <v>3.7554417740579549E-3</v>
      </c>
      <c r="X124" s="24">
        <v>4.4734264866359563E-2</v>
      </c>
      <c r="Y124" s="24">
        <f t="shared" si="18"/>
        <v>4.5108291293368241E-2</v>
      </c>
      <c r="Z124" s="23">
        <f t="shared" si="19"/>
        <v>3.6868077010796529E-3</v>
      </c>
      <c r="AA124" s="36"/>
    </row>
    <row r="125" spans="15:27" ht="13.9" customHeight="1">
      <c r="O125" s="12">
        <f t="shared" si="13"/>
        <v>9.3333333333333339</v>
      </c>
      <c r="P125" s="13">
        <v>112</v>
      </c>
      <c r="Q125" s="22">
        <v>4.1296278066121461E-2</v>
      </c>
      <c r="R125" s="19">
        <f t="shared" si="14"/>
        <v>4.1646572415713567E-2</v>
      </c>
      <c r="S125" s="22">
        <v>4.12974262950212E-2</v>
      </c>
      <c r="T125" s="19">
        <f t="shared" si="15"/>
        <v>4.1634285040126784E-2</v>
      </c>
      <c r="U125" s="24">
        <v>4.5597739527326819E-2</v>
      </c>
      <c r="V125" s="24">
        <f t="shared" si="16"/>
        <v>4.5927702780705681E-2</v>
      </c>
      <c r="W125" s="23">
        <f t="shared" si="17"/>
        <v>3.7521076225501826E-3</v>
      </c>
      <c r="X125" s="24">
        <v>4.4737603795714564E-2</v>
      </c>
      <c r="Y125" s="24">
        <f t="shared" si="18"/>
        <v>4.5069849948320861E-2</v>
      </c>
      <c r="Z125" s="23">
        <f t="shared" si="19"/>
        <v>3.6834763925619463E-3</v>
      </c>
      <c r="AA125" s="36"/>
    </row>
    <row r="126" spans="15:27" ht="13.9" customHeight="1">
      <c r="O126" s="12">
        <f t="shared" si="13"/>
        <v>9.4166666666666661</v>
      </c>
      <c r="P126" s="13">
        <v>113</v>
      </c>
      <c r="Q126" s="22">
        <v>4.1299377499432577E-2</v>
      </c>
      <c r="R126" s="19">
        <f t="shared" si="14"/>
        <v>4.1612177626438429E-2</v>
      </c>
      <c r="S126" s="22">
        <v>4.1300406868048922E-2</v>
      </c>
      <c r="T126" s="19">
        <f t="shared" si="15"/>
        <v>4.1598706637038685E-2</v>
      </c>
      <c r="U126" s="24">
        <v>4.5600659099548579E-2</v>
      </c>
      <c r="V126" s="24">
        <f t="shared" si="16"/>
        <v>4.5892444653581999E-2</v>
      </c>
      <c r="W126" s="23">
        <f t="shared" si="17"/>
        <v>3.7490305542517977E-3</v>
      </c>
      <c r="X126" s="24">
        <v>4.4740543563864366E-2</v>
      </c>
      <c r="Y126" s="24">
        <f t="shared" si="18"/>
        <v>4.5034594650603887E-2</v>
      </c>
      <c r="Z126" s="23">
        <f t="shared" si="19"/>
        <v>3.6803998698049512E-3</v>
      </c>
      <c r="AA126" s="36"/>
    </row>
    <row r="127" spans="15:27" ht="13.9" customHeight="1">
      <c r="O127" s="12">
        <f t="shared" si="13"/>
        <v>9.5</v>
      </c>
      <c r="P127" s="13">
        <v>114</v>
      </c>
      <c r="Q127" s="22">
        <v>4.1302120951772547E-2</v>
      </c>
      <c r="R127" s="19">
        <f t="shared" si="14"/>
        <v>4.1580830835316274E-2</v>
      </c>
      <c r="S127" s="22">
        <v>4.1303023161251451E-2</v>
      </c>
      <c r="T127" s="19">
        <f t="shared" si="15"/>
        <v>4.1566204251503702E-2</v>
      </c>
      <c r="U127" s="24">
        <v>4.5603218268020163E-2</v>
      </c>
      <c r="V127" s="24">
        <f t="shared" si="16"/>
        <v>4.5860408259555285E-2</v>
      </c>
      <c r="W127" s="23">
        <f t="shared" si="17"/>
        <v>3.7462108200236877E-3</v>
      </c>
      <c r="X127" s="24">
        <v>4.4743122599617102E-2</v>
      </c>
      <c r="Y127" s="24">
        <f t="shared" si="18"/>
        <v>4.5002526447669888E-2</v>
      </c>
      <c r="Z127" s="23">
        <f t="shared" si="19"/>
        <v>3.677578240351087E-3</v>
      </c>
      <c r="AA127" s="36"/>
    </row>
    <row r="128" spans="15:27" ht="13.9" customHeight="1">
      <c r="O128" s="12">
        <f t="shared" si="13"/>
        <v>9.5833333333333339</v>
      </c>
      <c r="P128" s="13">
        <v>115</v>
      </c>
      <c r="Q128" s="22">
        <v>4.1304544194515014E-2</v>
      </c>
      <c r="R128" s="19">
        <f t="shared" si="14"/>
        <v>4.1552494336392742E-2</v>
      </c>
      <c r="S128" s="22">
        <v>4.1305311405829936E-2</v>
      </c>
      <c r="T128" s="19">
        <f t="shared" si="15"/>
        <v>4.1536774190941816E-2</v>
      </c>
      <c r="U128" s="24">
        <v>4.5605454430114323E-2</v>
      </c>
      <c r="V128" s="24">
        <f t="shared" si="16"/>
        <v>4.5831596329589663E-2</v>
      </c>
      <c r="W128" s="23">
        <f t="shared" si="17"/>
        <v>3.7436486651918344E-3</v>
      </c>
      <c r="X128" s="24">
        <v>4.4745378007696068E-2</v>
      </c>
      <c r="Y128" s="24">
        <f t="shared" si="18"/>
        <v>4.497364642485846E-2</v>
      </c>
      <c r="Z128" s="23">
        <f t="shared" si="19"/>
        <v>3.6750116116865961E-3</v>
      </c>
      <c r="AA128" s="36"/>
    </row>
    <row r="129" spans="15:27" ht="13.9" customHeight="1">
      <c r="O129" s="12">
        <f t="shared" si="13"/>
        <v>9.6666666666666661</v>
      </c>
      <c r="P129" s="13">
        <v>116</v>
      </c>
      <c r="Q129" s="22">
        <v>4.130668144348637E-2</v>
      </c>
      <c r="R129" s="19">
        <f t="shared" si="14"/>
        <v>4.1527159096061528E-2</v>
      </c>
      <c r="S129" s="22">
        <v>4.1307306554844603E-2</v>
      </c>
      <c r="T129" s="19">
        <f t="shared" si="15"/>
        <v>4.1510412927909579E-2</v>
      </c>
      <c r="U129" s="24">
        <v>4.5607403720277828E-2</v>
      </c>
      <c r="V129" s="24">
        <f t="shared" si="16"/>
        <v>4.5806011567723015E-2</v>
      </c>
      <c r="W129" s="23">
        <f t="shared" si="17"/>
        <v>3.741344329877716E-3</v>
      </c>
      <c r="X129" s="24">
        <v>4.4747345625785195E-2</v>
      </c>
      <c r="Y129" s="24">
        <f t="shared" si="18"/>
        <v>4.4947955707882015E-2</v>
      </c>
      <c r="Z129" s="23">
        <f t="shared" si="19"/>
        <v>3.6727000922038844E-3</v>
      </c>
      <c r="AA129" s="36"/>
    </row>
    <row r="130" spans="15:27" ht="13.9" customHeight="1">
      <c r="O130" s="12">
        <f t="shared" si="13"/>
        <v>9.75</v>
      </c>
      <c r="P130" s="13">
        <v>117</v>
      </c>
      <c r="Q130" s="22">
        <v>4.1308565670103992E-2</v>
      </c>
      <c r="R130" s="19">
        <f t="shared" si="14"/>
        <v>4.1504825760803943E-2</v>
      </c>
      <c r="S130" s="22">
        <v>4.1309042338921742E-2</v>
      </c>
      <c r="T130" s="19">
        <f t="shared" si="15"/>
        <v>4.1487117108119476E-2</v>
      </c>
      <c r="U130" s="24">
        <v>4.5609101063429414E-2</v>
      </c>
      <c r="V130" s="24">
        <f t="shared" si="16"/>
        <v>4.5783656653409333E-2</v>
      </c>
      <c r="W130" s="23">
        <f t="shared" si="17"/>
        <v>3.7392980498882622E-3</v>
      </c>
      <c r="X130" s="24">
        <v>4.4749060078680847E-2</v>
      </c>
      <c r="Y130" s="24">
        <f t="shared" si="18"/>
        <v>4.4925455476363618E-2</v>
      </c>
      <c r="Z130" s="23">
        <f t="shared" si="19"/>
        <v>3.6706437913966994E-3</v>
      </c>
      <c r="AA130" s="36"/>
    </row>
    <row r="131" spans="15:27" ht="13.9" customHeight="1">
      <c r="O131" s="12">
        <f t="shared" si="13"/>
        <v>9.8333333333333339</v>
      </c>
      <c r="P131" s="13">
        <v>118</v>
      </c>
      <c r="Q131" s="22">
        <v>4.1310228735822019E-2</v>
      </c>
      <c r="R131" s="19">
        <f t="shared" si="14"/>
        <v>4.1485495152888685E-2</v>
      </c>
      <c r="S131" s="22">
        <v>4.131055131920669E-2</v>
      </c>
      <c r="T131" s="19">
        <f t="shared" si="15"/>
        <v>4.1466883557548684E-2</v>
      </c>
      <c r="U131" s="24">
        <v>4.5610580225673214E-2</v>
      </c>
      <c r="V131" s="24">
        <f t="shared" si="16"/>
        <v>4.5764534259845391E-2</v>
      </c>
      <c r="W131" s="23">
        <f t="shared" si="17"/>
        <v>3.7375100568959319E-3</v>
      </c>
      <c r="X131" s="24">
        <v>4.4750554829818379E-2</v>
      </c>
      <c r="Y131" s="24">
        <f t="shared" si="18"/>
        <v>4.4906146968904714E-2</v>
      </c>
      <c r="Z131" s="23">
        <f t="shared" si="19"/>
        <v>3.6688428209430413E-3</v>
      </c>
      <c r="AA131" s="36"/>
    </row>
    <row r="132" spans="15:27" ht="13.9" customHeight="1">
      <c r="O132" s="12">
        <f t="shared" si="13"/>
        <v>9.9166666666666661</v>
      </c>
      <c r="P132" s="13">
        <v>119</v>
      </c>
      <c r="Q132" s="22">
        <v>4.1311701439963322E-2</v>
      </c>
      <c r="R132" s="19">
        <f t="shared" si="14"/>
        <v>4.1469168280829249E-2</v>
      </c>
      <c r="S132" s="22">
        <v>4.1311864937719323E-2</v>
      </c>
      <c r="T132" s="19">
        <f t="shared" si="15"/>
        <v>4.1449709289594683E-2</v>
      </c>
      <c r="U132" s="24">
        <v>4.5611873862619001E-2</v>
      </c>
      <c r="V132" s="24">
        <f t="shared" si="16"/>
        <v>4.5748647050264379E-2</v>
      </c>
      <c r="W132" s="23">
        <f t="shared" si="17"/>
        <v>3.7359805798986567E-3</v>
      </c>
      <c r="X132" s="24">
        <v>4.4751862230252071E-2</v>
      </c>
      <c r="Y132" s="24">
        <f t="shared" si="18"/>
        <v>4.4890031491008342E-2</v>
      </c>
      <c r="Z132" s="23">
        <f t="shared" si="19"/>
        <v>3.6672972951061755E-3</v>
      </c>
      <c r="AA132" s="36"/>
    </row>
    <row r="133" spans="15:27" ht="13.9" customHeight="1">
      <c r="O133" s="12">
        <f t="shared" si="13"/>
        <v>10</v>
      </c>
      <c r="P133" s="13">
        <v>120</v>
      </c>
      <c r="Q133" s="22">
        <v>4.1313013565256851E-2</v>
      </c>
      <c r="R133" s="19">
        <f t="shared" si="14"/>
        <v>4.145544471795426E-2</v>
      </c>
      <c r="S133" s="22">
        <v>4.1313013565261736E-2</v>
      </c>
      <c r="T133" s="19">
        <f t="shared" si="15"/>
        <v>4.1435193197375542E-2</v>
      </c>
      <c r="U133" s="24">
        <v>4.5613013565265037E-2</v>
      </c>
      <c r="V133" s="24">
        <f t="shared" si="16"/>
        <v>4.5735553307187704E-2</v>
      </c>
      <c r="W133" s="23">
        <f t="shared" si="17"/>
        <v>3.7347098449163063E-3</v>
      </c>
      <c r="X133" s="24">
        <v>4.4753013565262068E-2</v>
      </c>
      <c r="Y133" s="24">
        <f t="shared" si="18"/>
        <v>4.4876676053122955E-2</v>
      </c>
      <c r="Z133" s="23">
        <f t="shared" si="19"/>
        <v>3.6660073313672381E-3</v>
      </c>
      <c r="AA133" s="36"/>
    </row>
    <row r="134" spans="15:27" ht="13.9" customHeight="1">
      <c r="O134" s="12">
        <f t="shared" si="13"/>
        <v>10.083333333333334</v>
      </c>
      <c r="P134" s="13">
        <v>121</v>
      </c>
      <c r="Q134" s="22">
        <v>4.131419060239061E-2</v>
      </c>
      <c r="R134" s="19">
        <f t="shared" si="14"/>
        <v>4.1442718712054516E-2</v>
      </c>
      <c r="S134" s="22">
        <v>4.1314023255543564E-2</v>
      </c>
      <c r="T134" s="19">
        <f t="shared" si="15"/>
        <v>4.1421739832158355E-2</v>
      </c>
      <c r="U134" s="24">
        <v>4.5614026231557192E-2</v>
      </c>
      <c r="V134" s="24">
        <f t="shared" si="16"/>
        <v>4.5723477393421419E-2</v>
      </c>
      <c r="W134" s="23">
        <f t="shared" si="17"/>
        <v>3.7336625314383642E-3</v>
      </c>
      <c r="X134" s="24">
        <v>4.4754035509313672E-2</v>
      </c>
      <c r="Y134" s="24">
        <f t="shared" si="18"/>
        <v>4.4864344125045141E-2</v>
      </c>
      <c r="Z134" s="23">
        <f t="shared" si="19"/>
        <v>3.6649382812645737E-3</v>
      </c>
      <c r="AA134" s="36"/>
    </row>
    <row r="135" spans="15:27" ht="13.9" customHeight="1">
      <c r="O135" s="12">
        <f t="shared" si="13"/>
        <v>10.166666666666666</v>
      </c>
      <c r="P135" s="13">
        <v>122</v>
      </c>
      <c r="Q135" s="22">
        <v>4.1315244047007704E-2</v>
      </c>
      <c r="R135" s="19">
        <f t="shared" si="14"/>
        <v>4.1430588373870592E-2</v>
      </c>
      <c r="S135" s="22">
        <v>4.1314906133014029E-2</v>
      </c>
      <c r="T135" s="19">
        <f t="shared" si="15"/>
        <v>4.1408949512083293E-2</v>
      </c>
      <c r="U135" s="24">
        <v>4.5614923325661527E-2</v>
      </c>
      <c r="V135" s="24">
        <f t="shared" si="16"/>
        <v>4.5711975549697303E-2</v>
      </c>
      <c r="W135" s="23">
        <f t="shared" si="17"/>
        <v>3.7326966191937316E-3</v>
      </c>
      <c r="X135" s="24">
        <v>4.4754939630957002E-2</v>
      </c>
      <c r="Y135" s="24">
        <f t="shared" si="18"/>
        <v>4.4852601466374153E-2</v>
      </c>
      <c r="Z135" s="23">
        <f t="shared" si="19"/>
        <v>3.6639511479605869E-3</v>
      </c>
      <c r="AA135" s="36"/>
    </row>
    <row r="136" spans="15:27" ht="13.9" customHeight="1">
      <c r="O136" s="12">
        <f t="shared" si="13"/>
        <v>10.25</v>
      </c>
      <c r="P136" s="13">
        <v>123</v>
      </c>
      <c r="Q136" s="22">
        <v>4.1316181754252002E-2</v>
      </c>
      <c r="R136" s="19">
        <f t="shared" si="14"/>
        <v>4.141905332018081E-2</v>
      </c>
      <c r="S136" s="22">
        <v>4.1315670679088923E-2</v>
      </c>
      <c r="T136" s="19">
        <f t="shared" si="15"/>
        <v>4.1396821015083241E-2</v>
      </c>
      <c r="U136" s="24">
        <v>4.5615712331814606E-2</v>
      </c>
      <c r="V136" s="24">
        <f t="shared" si="16"/>
        <v>4.570104822790233E-2</v>
      </c>
      <c r="W136" s="23">
        <f t="shared" si="17"/>
        <v>3.7317766153983634E-3</v>
      </c>
      <c r="X136" s="24">
        <v>4.4755733592812152E-2</v>
      </c>
      <c r="Y136" s="24">
        <f t="shared" si="18"/>
        <v>4.4841448096468062E-2</v>
      </c>
      <c r="Z136" s="23">
        <f t="shared" si="19"/>
        <v>3.6630111739524018E-3</v>
      </c>
      <c r="AA136" s="36"/>
    </row>
    <row r="137" spans="15:27" ht="13.9" customHeight="1">
      <c r="O137" s="12">
        <f t="shared" si="13"/>
        <v>10.333333333333334</v>
      </c>
      <c r="P137" s="13">
        <v>124</v>
      </c>
      <c r="Q137" s="22">
        <v>4.1317011323009245E-2</v>
      </c>
      <c r="R137" s="19">
        <f t="shared" si="14"/>
        <v>4.1408113204115082E-2</v>
      </c>
      <c r="S137" s="22">
        <v>4.1316325091989015E-2</v>
      </c>
      <c r="T137" s="19">
        <f t="shared" si="15"/>
        <v>4.138535315998193E-2</v>
      </c>
      <c r="U137" s="24">
        <v>4.5616400496670151E-2</v>
      </c>
      <c r="V137" s="24">
        <f t="shared" si="16"/>
        <v>4.5690695862437902E-2</v>
      </c>
      <c r="W137" s="23">
        <f t="shared" si="17"/>
        <v>3.7309025575869015E-3</v>
      </c>
      <c r="X137" s="24">
        <v>4.4756424810683759E-2</v>
      </c>
      <c r="Y137" s="24">
        <f t="shared" si="18"/>
        <v>4.4830884048854491E-2</v>
      </c>
      <c r="Z137" s="23">
        <f t="shared" si="19"/>
        <v>3.6621183622473907E-3</v>
      </c>
      <c r="AA137" s="36"/>
    </row>
    <row r="138" spans="15:27" ht="13.9" customHeight="1">
      <c r="O138" s="12">
        <f t="shared" si="13"/>
        <v>10.416666666666666</v>
      </c>
      <c r="P138" s="13">
        <v>125</v>
      </c>
      <c r="Q138" s="22">
        <v>4.1317740106433964E-2</v>
      </c>
      <c r="R138" s="19">
        <f t="shared" si="14"/>
        <v>4.1397767715585676E-2</v>
      </c>
      <c r="S138" s="22">
        <v>4.1316877298376964E-2</v>
      </c>
      <c r="T138" s="19">
        <f t="shared" si="15"/>
        <v>4.1374544807645464E-2</v>
      </c>
      <c r="U138" s="24">
        <v>4.5616994838650227E-2</v>
      </c>
      <c r="V138" s="24">
        <f t="shared" si="16"/>
        <v>4.5680918903943324E-2</v>
      </c>
      <c r="W138" s="23">
        <f t="shared" si="17"/>
        <v>3.7300744818271614E-3</v>
      </c>
      <c r="X138" s="24">
        <v>4.4757020463533248E-2</v>
      </c>
      <c r="Y138" s="24">
        <f t="shared" si="18"/>
        <v>4.482090936692984E-2</v>
      </c>
      <c r="Z138" s="23">
        <f t="shared" si="19"/>
        <v>3.6612727169136328E-3</v>
      </c>
      <c r="AA138" s="36"/>
    </row>
    <row r="139" spans="15:27" ht="13.9" customHeight="1">
      <c r="O139" s="12">
        <f t="shared" si="13"/>
        <v>10.5</v>
      </c>
      <c r="P139" s="13">
        <v>126</v>
      </c>
      <c r="Q139" s="22">
        <v>4.1318375221978121E-2</v>
      </c>
      <c r="R139" s="19">
        <f t="shared" si="14"/>
        <v>4.1388015238029485E-2</v>
      </c>
      <c r="S139" s="22">
        <v>4.1317334964450003E-2</v>
      </c>
      <c r="T139" s="19">
        <f t="shared" si="15"/>
        <v>4.1364394859431775E-2</v>
      </c>
      <c r="U139" s="24">
        <v>4.5617502157117462E-2</v>
      </c>
      <c r="V139" s="24">
        <f t="shared" si="16"/>
        <v>4.5671717793846156E-2</v>
      </c>
      <c r="W139" s="23">
        <f t="shared" si="17"/>
        <v>3.7292924254177517E-3</v>
      </c>
      <c r="X139" s="24">
        <v>4.4757527502942152E-2</v>
      </c>
      <c r="Y139" s="24">
        <f t="shared" si="18"/>
        <v>4.4811524110399681E-2</v>
      </c>
      <c r="Z139" s="23">
        <f t="shared" si="19"/>
        <v>3.6604742427368553E-3</v>
      </c>
      <c r="AA139" s="36"/>
    </row>
    <row r="140" spans="15:27" ht="13.9" customHeight="1">
      <c r="O140" s="12">
        <f t="shared" si="13"/>
        <v>10.583333333333334</v>
      </c>
      <c r="P140" s="13">
        <v>127</v>
      </c>
      <c r="Q140" s="22">
        <v>4.131892355037059E-2</v>
      </c>
      <c r="R140" s="19">
        <f t="shared" si="14"/>
        <v>4.1378850155823876E-2</v>
      </c>
      <c r="S140" s="22">
        <v>4.1317705506497271E-2</v>
      </c>
      <c r="T140" s="19">
        <f t="shared" si="15"/>
        <v>4.1354902259713944E-2</v>
      </c>
      <c r="U140" s="24">
        <v>4.5617929040915106E-2</v>
      </c>
      <c r="V140" s="24">
        <f t="shared" si="16"/>
        <v>4.5663092977246578E-2</v>
      </c>
      <c r="W140" s="23">
        <f t="shared" si="17"/>
        <v>3.7285564248521474E-3</v>
      </c>
      <c r="X140" s="24">
        <v>4.4757952662179301E-2</v>
      </c>
      <c r="Y140" s="24">
        <f t="shared" si="18"/>
        <v>4.4802728350891163E-2</v>
      </c>
      <c r="Z140" s="23">
        <f t="shared" si="19"/>
        <v>3.6597229457349112E-3</v>
      </c>
      <c r="AA140" s="36"/>
    </row>
    <row r="141" spans="15:27" ht="13.9" customHeight="1">
      <c r="O141" s="12">
        <f t="shared" si="13"/>
        <v>10.666666666666666</v>
      </c>
      <c r="P141" s="13">
        <v>128</v>
      </c>
      <c r="Q141" s="22">
        <v>4.1319391713609877E-2</v>
      </c>
      <c r="R141" s="19">
        <f t="shared" si="14"/>
        <v>4.1370270920175312E-2</v>
      </c>
      <c r="S141" s="22">
        <v>4.1317996100982191E-2</v>
      </c>
      <c r="T141" s="19">
        <f t="shared" si="15"/>
        <v>4.1346065993392411E-2</v>
      </c>
      <c r="U141" s="24">
        <v>4.5618281876607103E-2</v>
      </c>
      <c r="V141" s="24">
        <f t="shared" si="16"/>
        <v>4.5655044894322039E-2</v>
      </c>
      <c r="W141" s="23">
        <f t="shared" si="17"/>
        <v>3.7278665168489766E-3</v>
      </c>
      <c r="X141" s="24">
        <v>4.4758302464810162E-2</v>
      </c>
      <c r="Y141" s="24">
        <f t="shared" si="18"/>
        <v>4.4794522172237894E-2</v>
      </c>
      <c r="Z141" s="23">
        <f t="shared" si="19"/>
        <v>3.6590188328071704E-3</v>
      </c>
      <c r="AA141" s="36"/>
    </row>
    <row r="142" spans="15:27" ht="13.9" customHeight="1">
      <c r="O142" s="12">
        <f t="shared" ref="O142:O205" si="20">P142/12</f>
        <v>10.75</v>
      </c>
      <c r="P142" s="13">
        <v>129</v>
      </c>
      <c r="Q142" s="22">
        <v>4.1319786116503332E-2</v>
      </c>
      <c r="R142" s="19">
        <f t="shared" ref="R142:R205" si="21">(1+Q143)^P143/(1+Q142)^P142-1</f>
        <v>4.136227736479503E-2</v>
      </c>
      <c r="S142" s="22">
        <v>4.1318213694137462E-2</v>
      </c>
      <c r="T142" s="19">
        <f t="shared" ref="T142:T205" si="22">(1+S143)^P143/(1+S142)^P142-1</f>
        <v>4.1337885089499204E-2</v>
      </c>
      <c r="U142" s="24">
        <v>4.5618566856269638E-2</v>
      </c>
      <c r="V142" s="24">
        <f t="shared" ref="V142:V205" si="23">(1+U143)^P143/(1+U142)^P142-1</f>
        <v>4.5647573995755808E-2</v>
      </c>
      <c r="W142" s="23">
        <f t="shared" si="17"/>
        <v>3.7272227376643485E-3</v>
      </c>
      <c r="X142" s="24">
        <v>4.4758583232906934E-2</v>
      </c>
      <c r="Y142" s="24">
        <f t="shared" si="18"/>
        <v>4.4786905675870736E-2</v>
      </c>
      <c r="Z142" s="23">
        <f t="shared" si="19"/>
        <v>3.6583619117571686E-3</v>
      </c>
      <c r="AA142" s="36"/>
    </row>
    <row r="143" spans="15:27" ht="13.9" customHeight="1">
      <c r="O143" s="12">
        <f t="shared" si="20"/>
        <v>10.833333333333334</v>
      </c>
      <c r="P143" s="13">
        <v>130</v>
      </c>
      <c r="Q143" s="22">
        <v>4.1320112965642197E-2</v>
      </c>
      <c r="R143" s="19">
        <f t="shared" si="21"/>
        <v>4.1354869361277968E-2</v>
      </c>
      <c r="S143" s="22">
        <v>4.1318365011145053E-2</v>
      </c>
      <c r="T143" s="19">
        <f t="shared" si="22"/>
        <v>4.1330358618538066E-2</v>
      </c>
      <c r="U143" s="24">
        <v>4.5618789985040653E-2</v>
      </c>
      <c r="V143" s="24">
        <f t="shared" si="23"/>
        <v>4.5640680722559113E-2</v>
      </c>
      <c r="W143" s="23">
        <f t="shared" ref="W143:W206" si="24">(1+V142)^(1/12)-1</f>
        <v>3.7266251243259774E-3</v>
      </c>
      <c r="X143" s="24">
        <v>4.4758801094922473E-2</v>
      </c>
      <c r="Y143" s="24">
        <f t="shared" ref="Y143:Y206" si="25">(1+X144)^P144/(1+X143)^P143-1</f>
        <v>4.4779878973507437E-2</v>
      </c>
      <c r="Z143" s="23">
        <f t="shared" ref="Z143:Z206" si="26">(1+Y142)^(1/12)-1</f>
        <v>3.6577521917238176E-3</v>
      </c>
      <c r="AA143" s="36"/>
    </row>
    <row r="144" spans="15:27" ht="13.9" customHeight="1">
      <c r="O144" s="12">
        <f t="shared" si="20"/>
        <v>10.916666666666666</v>
      </c>
      <c r="P144" s="13">
        <v>131</v>
      </c>
      <c r="Q144" s="22">
        <v>4.1320378277245551E-2</v>
      </c>
      <c r="R144" s="19">
        <f t="shared" si="21"/>
        <v>4.1348046817818451E-2</v>
      </c>
      <c r="S144" s="22">
        <v>4.131845656487676E-2</v>
      </c>
      <c r="T144" s="19">
        <f t="shared" si="22"/>
        <v>4.132348569329336E-2</v>
      </c>
      <c r="U144" s="24">
        <v>4.5618957088171319E-2</v>
      </c>
      <c r="V144" s="24">
        <f t="shared" si="23"/>
        <v>4.5634365523210985E-2</v>
      </c>
      <c r="W144" s="23">
        <f t="shared" si="24"/>
        <v>3.7260737130189181E-3</v>
      </c>
      <c r="X144" s="24">
        <v>4.4758961993148327E-2</v>
      </c>
      <c r="Y144" s="24">
        <f t="shared" si="25"/>
        <v>4.4773442193878576E-2</v>
      </c>
      <c r="Z144" s="23">
        <f t="shared" si="26"/>
        <v>3.6571896825972061E-3</v>
      </c>
      <c r="AA144" s="36"/>
    </row>
    <row r="145" spans="15:27" ht="13.9" customHeight="1">
      <c r="O145" s="12">
        <f t="shared" si="20"/>
        <v>11</v>
      </c>
      <c r="P145" s="13">
        <v>132</v>
      </c>
      <c r="Q145" s="22">
        <v>4.1320587884637883E-2</v>
      </c>
      <c r="R145" s="19">
        <f t="shared" si="21"/>
        <v>4.1341808361764931E-2</v>
      </c>
      <c r="S145" s="22">
        <v>4.1318494664243088E-2</v>
      </c>
      <c r="T145" s="19">
        <f t="shared" si="22"/>
        <v>4.1317265471543019E-2</v>
      </c>
      <c r="U145" s="24">
        <v>4.5619073817886324E-2</v>
      </c>
      <c r="V145" s="24">
        <f t="shared" si="23"/>
        <v>4.5628628846616781E-2</v>
      </c>
      <c r="W145" s="23">
        <f t="shared" si="24"/>
        <v>3.7255685404558037E-3</v>
      </c>
      <c r="X145" s="24">
        <v>4.4759071690884333E-2</v>
      </c>
      <c r="Y145" s="24">
        <f t="shared" si="25"/>
        <v>4.4767595480160072E-2</v>
      </c>
      <c r="Z145" s="23">
        <f t="shared" si="26"/>
        <v>3.6566743955555037E-3</v>
      </c>
      <c r="AA145" s="36"/>
    </row>
    <row r="146" spans="15:27" ht="13.9" customHeight="1">
      <c r="O146" s="12">
        <f t="shared" si="20"/>
        <v>11.083333333333334</v>
      </c>
      <c r="P146" s="13">
        <v>133</v>
      </c>
      <c r="Q146" s="22">
        <v>4.1320747435483973E-2</v>
      </c>
      <c r="R146" s="19">
        <f t="shared" si="21"/>
        <v>4.133614869474167E-2</v>
      </c>
      <c r="S146" s="22">
        <v>4.1318485422187301E-2</v>
      </c>
      <c r="T146" s="19">
        <f t="shared" si="22"/>
        <v>4.1311697153211036E-2</v>
      </c>
      <c r="U146" s="24">
        <v>4.5619145659881788E-2</v>
      </c>
      <c r="V146" s="24">
        <f t="shared" si="23"/>
        <v>4.5623471141061245E-2</v>
      </c>
      <c r="W146" s="23">
        <f t="shared" si="24"/>
        <v>3.725109643314406E-3</v>
      </c>
      <c r="X146" s="24">
        <v>4.4759135779266046E-2</v>
      </c>
      <c r="Y146" s="24">
        <f t="shared" si="25"/>
        <v>4.476233898897819E-2</v>
      </c>
      <c r="Z146" s="23">
        <f t="shared" si="26"/>
        <v>3.6562063428611236E-3</v>
      </c>
      <c r="AA146" s="36"/>
    </row>
    <row r="147" spans="15:27" ht="13.9" customHeight="1">
      <c r="O147" s="12">
        <f t="shared" si="20"/>
        <v>11.166666666666666</v>
      </c>
      <c r="P147" s="13">
        <v>134</v>
      </c>
      <c r="Q147" s="22">
        <v>4.1320862369411016E-2</v>
      </c>
      <c r="R147" s="19">
        <f t="shared" si="21"/>
        <v>4.1331066515218451E-2</v>
      </c>
      <c r="S147" s="22">
        <v>4.1318434763299772E-2</v>
      </c>
      <c r="T147" s="19">
        <f t="shared" si="22"/>
        <v>4.1306779981667097E-2</v>
      </c>
      <c r="U147" s="24">
        <v>4.5619177939525857E-2</v>
      </c>
      <c r="V147" s="24">
        <f t="shared" si="23"/>
        <v>4.5618892863496852E-2</v>
      </c>
      <c r="W147" s="23">
        <f t="shared" si="24"/>
        <v>3.724697058153037E-3</v>
      </c>
      <c r="X147" s="24">
        <v>4.4759159683779748E-2</v>
      </c>
      <c r="Y147" s="24">
        <f t="shared" si="25"/>
        <v>4.4757672895228584E-2</v>
      </c>
      <c r="Z147" s="23">
        <f t="shared" si="26"/>
        <v>3.6557855377790105E-3</v>
      </c>
      <c r="AA147" s="36"/>
    </row>
    <row r="148" spans="15:27" ht="13.9" customHeight="1">
      <c r="O148" s="12">
        <f t="shared" si="20"/>
        <v>11.25</v>
      </c>
      <c r="P148" s="13">
        <v>135</v>
      </c>
      <c r="Q148" s="22">
        <v>4.1320937955308557E-2</v>
      </c>
      <c r="R148" s="19">
        <f t="shared" si="21"/>
        <v>4.1326561879796442E-2</v>
      </c>
      <c r="S148" s="22">
        <v>4.1318348431104379E-2</v>
      </c>
      <c r="T148" s="19">
        <f t="shared" si="22"/>
        <v>4.1302513245206285E-2</v>
      </c>
      <c r="U148" s="24">
        <v>4.5619175827851244E-2</v>
      </c>
      <c r="V148" s="24">
        <f t="shared" si="23"/>
        <v>4.5614894458860133E-2</v>
      </c>
      <c r="W148" s="23">
        <f t="shared" si="24"/>
        <v>3.7243308221537319E-3</v>
      </c>
      <c r="X148" s="24">
        <v>4.4759148670523441E-2</v>
      </c>
      <c r="Y148" s="24">
        <f t="shared" si="25"/>
        <v>4.4753597386482324E-2</v>
      </c>
      <c r="Z148" s="23">
        <f t="shared" si="26"/>
        <v>3.6554119949645525E-3</v>
      </c>
      <c r="AA148" s="36"/>
    </row>
    <row r="149" spans="15:27" ht="13.9" customHeight="1">
      <c r="O149" s="12">
        <f t="shared" si="20"/>
        <v>11.333333333333334</v>
      </c>
      <c r="P149" s="13">
        <v>136</v>
      </c>
      <c r="Q149" s="22">
        <v>4.1320979307583716E-2</v>
      </c>
      <c r="R149" s="19">
        <f t="shared" si="21"/>
        <v>4.1322634884640941E-2</v>
      </c>
      <c r="S149" s="22">
        <v>4.1318231995035148E-2</v>
      </c>
      <c r="T149" s="19">
        <f t="shared" si="22"/>
        <v>4.1298896275369312E-2</v>
      </c>
      <c r="U149" s="24">
        <v>4.5619144347132989E-2</v>
      </c>
      <c r="V149" s="24">
        <f t="shared" si="23"/>
        <v>4.5611476394252115E-2</v>
      </c>
      <c r="W149" s="23">
        <f t="shared" si="24"/>
        <v>3.7240109714669067E-3</v>
      </c>
      <c r="X149" s="24">
        <v>4.4759107852150759E-2</v>
      </c>
      <c r="Y149" s="24">
        <f t="shared" si="25"/>
        <v>4.4750112667704123E-2</v>
      </c>
      <c r="Z149" s="23">
        <f t="shared" si="26"/>
        <v>3.6550857300143846E-3</v>
      </c>
      <c r="AA149" s="36"/>
    </row>
    <row r="150" spans="15:27" ht="13.9" customHeight="1">
      <c r="O150" s="12">
        <f t="shared" si="20"/>
        <v>11.416666666666666</v>
      </c>
      <c r="P150" s="13">
        <v>137</v>
      </c>
      <c r="Q150" s="22">
        <v>4.1320991392078232E-2</v>
      </c>
      <c r="R150" s="19">
        <f t="shared" si="21"/>
        <v>4.1319285665177841E-2</v>
      </c>
      <c r="S150" s="22">
        <v>4.131809085709448E-2</v>
      </c>
      <c r="T150" s="19">
        <f t="shared" si="22"/>
        <v>4.129592844943808E-2</v>
      </c>
      <c r="U150" s="24">
        <v>4.5619088376470218E-2</v>
      </c>
      <c r="V150" s="24">
        <f t="shared" si="23"/>
        <v>4.560863912158597E-2</v>
      </c>
      <c r="W150" s="23">
        <f t="shared" si="24"/>
        <v>3.7237375439460596E-3</v>
      </c>
      <c r="X150" s="24">
        <v>4.4759042193589504E-2</v>
      </c>
      <c r="Y150" s="24">
        <f t="shared" si="25"/>
        <v>4.474721896128897E-2</v>
      </c>
      <c r="Z150" s="23">
        <f t="shared" si="26"/>
        <v>3.6548067598436429E-3</v>
      </c>
      <c r="AA150" s="36"/>
    </row>
    <row r="151" spans="15:27" ht="13.9" customHeight="1">
      <c r="O151" s="12">
        <f t="shared" si="20"/>
        <v>11.5</v>
      </c>
      <c r="P151" s="13">
        <v>138</v>
      </c>
      <c r="Q151" s="22">
        <v>4.1320979031728378E-2</v>
      </c>
      <c r="R151" s="19">
        <f t="shared" si="21"/>
        <v>4.1316513098492269E-2</v>
      </c>
      <c r="S151" s="22">
        <v>4.1317930258240931E-2</v>
      </c>
      <c r="T151" s="19">
        <f t="shared" si="22"/>
        <v>4.1293609187906588E-2</v>
      </c>
      <c r="U151" s="24">
        <v>4.5619012656856306E-2</v>
      </c>
      <c r="V151" s="24">
        <f t="shared" si="23"/>
        <v>4.5606383108077075E-2</v>
      </c>
      <c r="W151" s="23">
        <f t="shared" si="24"/>
        <v>3.7235105761597165E-3</v>
      </c>
      <c r="X151" s="24">
        <v>4.4758956517511939E-2</v>
      </c>
      <c r="Y151" s="24">
        <f t="shared" si="25"/>
        <v>4.4744916503136611E-2</v>
      </c>
      <c r="Z151" s="23">
        <f t="shared" si="26"/>
        <v>3.6545751026908491E-3</v>
      </c>
      <c r="AA151" s="36"/>
    </row>
    <row r="152" spans="15:27" ht="13.9" customHeight="1">
      <c r="O152" s="12">
        <f t="shared" si="20"/>
        <v>11.583333333333334</v>
      </c>
      <c r="P152" s="13">
        <v>139</v>
      </c>
      <c r="Q152" s="22">
        <v>4.1320946902643874E-2</v>
      </c>
      <c r="R152" s="19">
        <f t="shared" si="21"/>
        <v>4.1314312208882598E-2</v>
      </c>
      <c r="S152" s="22">
        <v>4.1317755284483226E-2</v>
      </c>
      <c r="T152" s="19">
        <f t="shared" si="22"/>
        <v>4.129193795810715E-2</v>
      </c>
      <c r="U152" s="24">
        <v>4.561892179624838E-2</v>
      </c>
      <c r="V152" s="24">
        <f t="shared" si="23"/>
        <v>4.560470881844747E-2</v>
      </c>
      <c r="W152" s="23">
        <f t="shared" si="24"/>
        <v>3.723330105829481E-3</v>
      </c>
      <c r="X152" s="24">
        <v>4.4758855509540396E-2</v>
      </c>
      <c r="Y152" s="24">
        <f t="shared" si="25"/>
        <v>4.4743205548644971E-2</v>
      </c>
      <c r="Z152" s="23">
        <f t="shared" si="26"/>
        <v>3.6543907778008311E-3</v>
      </c>
      <c r="AA152" s="36"/>
    </row>
    <row r="153" spans="15:27" ht="13.9" customHeight="1">
      <c r="O153" s="12">
        <f t="shared" si="20"/>
        <v>11.666666666666666</v>
      </c>
      <c r="P153" s="13">
        <v>140</v>
      </c>
      <c r="Q153" s="22">
        <v>4.1320899511824161E-2</v>
      </c>
      <c r="R153" s="19">
        <f t="shared" si="21"/>
        <v>4.1312681947865748E-2</v>
      </c>
      <c r="S153" s="22">
        <v>4.1317570872739351E-2</v>
      </c>
      <c r="T153" s="19">
        <f t="shared" si="22"/>
        <v>4.1290914270686763E-2</v>
      </c>
      <c r="U153" s="24">
        <v>4.5618820274293315E-2</v>
      </c>
      <c r="V153" s="24">
        <f t="shared" si="23"/>
        <v>4.5603616722786011E-2</v>
      </c>
      <c r="W153" s="23">
        <f t="shared" si="24"/>
        <v>3.7231961704065064E-3</v>
      </c>
      <c r="X153" s="24">
        <v>4.4758743723274153E-2</v>
      </c>
      <c r="Y153" s="24">
        <f t="shared" si="25"/>
        <v>4.4742086368945388E-2</v>
      </c>
      <c r="Z153" s="23">
        <f t="shared" si="26"/>
        <v>3.654253805907226E-3</v>
      </c>
      <c r="AA153" s="36"/>
    </row>
    <row r="154" spans="15:27" ht="13.9" customHeight="1">
      <c r="O154" s="12">
        <f t="shared" si="20"/>
        <v>11.75</v>
      </c>
      <c r="P154" s="13">
        <v>141</v>
      </c>
      <c r="Q154" s="22">
        <v>4.1320841231000438E-2</v>
      </c>
      <c r="R154" s="19">
        <f t="shared" si="21"/>
        <v>4.1311622604147002E-2</v>
      </c>
      <c r="S154" s="22">
        <v>4.1317381816421417E-2</v>
      </c>
      <c r="T154" s="19">
        <f t="shared" si="22"/>
        <v>4.1290537684195661E-2</v>
      </c>
      <c r="U154" s="24">
        <v>4.5618712446908516E-2</v>
      </c>
      <c r="V154" s="24">
        <f t="shared" si="23"/>
        <v>4.5603107292152112E-2</v>
      </c>
      <c r="W154" s="23">
        <f t="shared" si="24"/>
        <v>3.7231088077012142E-3</v>
      </c>
      <c r="X154" s="24">
        <v>4.4758625585074263E-2</v>
      </c>
      <c r="Y154" s="24">
        <f t="shared" si="25"/>
        <v>4.4741559253108409E-2</v>
      </c>
      <c r="Z154" s="23">
        <f t="shared" si="26"/>
        <v>3.6541642089282789E-3</v>
      </c>
      <c r="AA154" s="36"/>
    </row>
    <row r="155" spans="15:27" ht="13.9" customHeight="1">
      <c r="O155" s="12">
        <f t="shared" si="20"/>
        <v>11.833333333333334</v>
      </c>
      <c r="P155" s="13">
        <v>142</v>
      </c>
      <c r="Q155" s="22">
        <v>4.1320776310807661E-2</v>
      </c>
      <c r="R155" s="19">
        <f t="shared" si="21"/>
        <v>4.1311134504325775E-2</v>
      </c>
      <c r="S155" s="22">
        <v>4.1317192770817135E-2</v>
      </c>
      <c r="T155" s="19">
        <f t="shared" si="22"/>
        <v>4.1290807801482643E-2</v>
      </c>
      <c r="U155" s="24">
        <v>4.561860255063821E-2</v>
      </c>
      <c r="V155" s="24">
        <f t="shared" si="23"/>
        <v>4.5603181008443849E-2</v>
      </c>
      <c r="W155" s="23">
        <f t="shared" si="24"/>
        <v>3.723068055529799E-3</v>
      </c>
      <c r="X155" s="24">
        <v>4.4758505398663218E-2</v>
      </c>
      <c r="Y155" s="24">
        <f t="shared" si="25"/>
        <v>4.4741624508082722E-2</v>
      </c>
      <c r="Z155" s="23">
        <f t="shared" si="26"/>
        <v>3.6541220101460326E-3</v>
      </c>
      <c r="AA155" s="36"/>
    </row>
    <row r="156" spans="15:27" ht="13.9" customHeight="1">
      <c r="O156" s="12">
        <f t="shared" si="20"/>
        <v>11.916666666666666</v>
      </c>
      <c r="P156" s="13">
        <v>143</v>
      </c>
      <c r="Q156" s="22">
        <v>4.1320708885277613E-2</v>
      </c>
      <c r="R156" s="19">
        <f t="shared" si="21"/>
        <v>4.1311218017492379E-2</v>
      </c>
      <c r="S156" s="22">
        <v>4.1317008258220822E-2</v>
      </c>
      <c r="T156" s="19">
        <f t="shared" si="22"/>
        <v>4.1291724271871555E-2</v>
      </c>
      <c r="U156" s="24">
        <v>4.5618494706896051E-2</v>
      </c>
      <c r="V156" s="24">
        <f t="shared" si="23"/>
        <v>4.5603838349240089E-2</v>
      </c>
      <c r="W156" s="23">
        <f t="shared" si="24"/>
        <v>3.7230739525044854E-3</v>
      </c>
      <c r="X156" s="24">
        <v>4.4758387349530304E-2</v>
      </c>
      <c r="Y156" s="24">
        <f t="shared" si="25"/>
        <v>4.4742282457179927E-2</v>
      </c>
      <c r="Z156" s="23">
        <f t="shared" si="26"/>
        <v>3.6541272341990005E-3</v>
      </c>
      <c r="AA156" s="36"/>
    </row>
    <row r="157" spans="15:27" ht="13.9" customHeight="1">
      <c r="O157" s="12">
        <f t="shared" si="20"/>
        <v>12</v>
      </c>
      <c r="P157" s="13">
        <v>144</v>
      </c>
      <c r="Q157" s="22">
        <v>4.1320642976175215E-2</v>
      </c>
      <c r="R157" s="19">
        <f t="shared" si="21"/>
        <v>4.1311872279356399E-2</v>
      </c>
      <c r="S157" s="22">
        <v>4.1316832672865456E-2</v>
      </c>
      <c r="T157" s="19">
        <f t="shared" si="22"/>
        <v>4.129328679192934E-2</v>
      </c>
      <c r="U157" s="24">
        <v>4.5618392925926177E-2</v>
      </c>
      <c r="V157" s="24">
        <f t="shared" si="23"/>
        <v>4.5605079807103266E-2</v>
      </c>
      <c r="W157" s="23">
        <f t="shared" si="24"/>
        <v>3.7231265368202759E-3</v>
      </c>
      <c r="X157" s="24">
        <v>4.4758275509144019E-2</v>
      </c>
      <c r="Y157" s="24">
        <f t="shared" si="25"/>
        <v>4.4743533444979722E-2</v>
      </c>
      <c r="Z157" s="23">
        <f t="shared" si="26"/>
        <v>3.6541799069620406E-3</v>
      </c>
      <c r="AA157" s="36"/>
    </row>
    <row r="158" spans="15:27" ht="13.9" customHeight="1">
      <c r="O158" s="12">
        <f t="shared" si="20"/>
        <v>12.083333333333334</v>
      </c>
      <c r="P158" s="13">
        <v>145</v>
      </c>
      <c r="Q158" s="22">
        <v>4.1320582488358015E-2</v>
      </c>
      <c r="R158" s="19">
        <f t="shared" si="21"/>
        <v>4.1313092641292126E-2</v>
      </c>
      <c r="S158" s="22">
        <v>4.1316670285656443E-2</v>
      </c>
      <c r="T158" s="19">
        <f t="shared" si="22"/>
        <v>4.1295495104393787E-2</v>
      </c>
      <c r="U158" s="24">
        <v>4.5618301110733173E-2</v>
      </c>
      <c r="V158" s="24">
        <f t="shared" si="23"/>
        <v>4.560690586776639E-2</v>
      </c>
      <c r="W158" s="23">
        <f t="shared" si="24"/>
        <v>3.7232258477992719E-3</v>
      </c>
      <c r="X158" s="24">
        <v>4.4758173839023696E-2</v>
      </c>
      <c r="Y158" s="24">
        <f t="shared" si="25"/>
        <v>4.4745377831809874E-2</v>
      </c>
      <c r="Z158" s="23">
        <f t="shared" si="26"/>
        <v>3.6542800559384858E-3</v>
      </c>
      <c r="AA158" s="36"/>
    </row>
    <row r="159" spans="15:27" ht="13.9" customHeight="1">
      <c r="O159" s="12">
        <f t="shared" si="20"/>
        <v>12.166666666666666</v>
      </c>
      <c r="P159" s="13">
        <v>146</v>
      </c>
      <c r="Q159" s="22">
        <v>4.1320531187852394E-2</v>
      </c>
      <c r="R159" s="19">
        <f t="shared" si="21"/>
        <v>4.1314878315824366E-2</v>
      </c>
      <c r="S159" s="22">
        <v>4.1316525248703773E-2</v>
      </c>
      <c r="T159" s="19">
        <f t="shared" si="22"/>
        <v>4.129834899984286E-2</v>
      </c>
      <c r="U159" s="24">
        <v>4.5618223060701402E-2</v>
      </c>
      <c r="V159" s="24">
        <f t="shared" si="23"/>
        <v>4.5609317034883912E-2</v>
      </c>
      <c r="W159" s="23">
        <f t="shared" si="24"/>
        <v>3.7233719241451801E-3</v>
      </c>
      <c r="X159" s="24">
        <v>4.4758086194605529E-2</v>
      </c>
      <c r="Y159" s="24">
        <f t="shared" si="25"/>
        <v>4.4747815998476881E-2</v>
      </c>
      <c r="Z159" s="23">
        <f t="shared" si="26"/>
        <v>3.6544277098187194E-3</v>
      </c>
      <c r="AA159" s="36"/>
    </row>
    <row r="160" spans="15:27" ht="13.9" customHeight="1">
      <c r="O160" s="12">
        <f t="shared" si="20"/>
        <v>12.25</v>
      </c>
      <c r="P160" s="13">
        <v>147</v>
      </c>
      <c r="Q160" s="22">
        <v>4.1320492732837E-2</v>
      </c>
      <c r="R160" s="19">
        <f t="shared" si="21"/>
        <v>4.1317229828391033E-2</v>
      </c>
      <c r="S160" s="22">
        <v>4.131640159968053E-2</v>
      </c>
      <c r="T160" s="19">
        <f t="shared" si="22"/>
        <v>4.1301848314857947E-2</v>
      </c>
      <c r="U160" s="24">
        <v>4.5618162475235424E-2</v>
      </c>
      <c r="V160" s="24">
        <f t="shared" si="23"/>
        <v>4.561231380607933E-2</v>
      </c>
      <c r="W160" s="23">
        <f t="shared" si="24"/>
        <v>3.7235648059235071E-3</v>
      </c>
      <c r="X160" s="24">
        <v>4.4758016328984684E-2</v>
      </c>
      <c r="Y160" s="24">
        <f t="shared" si="25"/>
        <v>4.4750848344126348E-2</v>
      </c>
      <c r="Z160" s="23">
        <f t="shared" si="26"/>
        <v>3.6546228988576512E-3</v>
      </c>
      <c r="AA160" s="36"/>
    </row>
    <row r="161" spans="15:27" ht="13.9" customHeight="1">
      <c r="O161" s="12">
        <f t="shared" si="20"/>
        <v>12.333333333333334</v>
      </c>
      <c r="P161" s="13">
        <v>148</v>
      </c>
      <c r="Q161" s="22">
        <v>4.1320470686150967E-2</v>
      </c>
      <c r="R161" s="19">
        <f t="shared" si="21"/>
        <v>4.1320147747098357E-2</v>
      </c>
      <c r="S161" s="22">
        <v>4.1316303265992449E-2</v>
      </c>
      <c r="T161" s="19">
        <f t="shared" si="22"/>
        <v>4.1305992935094071E-2</v>
      </c>
      <c r="U161" s="24">
        <v>4.561812295709089E-2</v>
      </c>
      <c r="V161" s="24">
        <f t="shared" si="23"/>
        <v>4.561589669006838E-2</v>
      </c>
      <c r="W161" s="23">
        <f t="shared" si="24"/>
        <v>3.7238045326444258E-3</v>
      </c>
      <c r="X161" s="24">
        <v>4.4757967896489559E-2</v>
      </c>
      <c r="Y161" s="24">
        <f t="shared" si="25"/>
        <v>4.4754475287535733E-2</v>
      </c>
      <c r="Z161" s="23">
        <f t="shared" si="26"/>
        <v>3.6548656547037428E-3</v>
      </c>
      <c r="AA161" s="36"/>
    </row>
    <row r="162" spans="15:27" ht="13.9" customHeight="1">
      <c r="O162" s="12">
        <f t="shared" si="20"/>
        <v>12.416666666666666</v>
      </c>
      <c r="P162" s="13">
        <v>149</v>
      </c>
      <c r="Q162" s="22">
        <v>4.1320468518774467E-2</v>
      </c>
      <c r="R162" s="19">
        <f t="shared" si="21"/>
        <v>4.1323632681288913E-2</v>
      </c>
      <c r="S162" s="22">
        <v>4.1316234068800473E-2</v>
      </c>
      <c r="T162" s="19">
        <f t="shared" si="22"/>
        <v>4.1310782794312439E-2</v>
      </c>
      <c r="U162" s="24">
        <v>4.5618108015685666E-2</v>
      </c>
      <c r="V162" s="24">
        <f t="shared" si="23"/>
        <v>4.5620066207780363E-2</v>
      </c>
      <c r="W162" s="23">
        <f t="shared" si="24"/>
        <v>3.7240911446334568E-3</v>
      </c>
      <c r="X162" s="24">
        <v>4.4757944456122134E-2</v>
      </c>
      <c r="Y162" s="24">
        <f t="shared" si="25"/>
        <v>4.4758697269100312E-2</v>
      </c>
      <c r="Z162" s="23">
        <f t="shared" si="26"/>
        <v>3.6551560105027026E-3</v>
      </c>
      <c r="AA162" s="36"/>
    </row>
    <row r="163" spans="15:27" ht="13.9" customHeight="1">
      <c r="O163" s="12">
        <f t="shared" si="20"/>
        <v>12.5</v>
      </c>
      <c r="P163" s="13">
        <v>150</v>
      </c>
      <c r="Q163" s="22">
        <v>4.1320489613159372E-2</v>
      </c>
      <c r="R163" s="19">
        <f t="shared" si="21"/>
        <v>4.1327684030584289E-2</v>
      </c>
      <c r="S163" s="22">
        <v>4.1316197726876114E-2</v>
      </c>
      <c r="T163" s="19">
        <f t="shared" si="22"/>
        <v>4.1316217873722083E-2</v>
      </c>
      <c r="U163" s="24">
        <v>4.561812107028751E-2</v>
      </c>
      <c r="V163" s="24">
        <f t="shared" si="23"/>
        <v>4.562482287321612E-2</v>
      </c>
      <c r="W163" s="23">
        <f t="shared" si="24"/>
        <v>3.7244246831202865E-3</v>
      </c>
      <c r="X163" s="24">
        <v>4.4757949474873548E-2</v>
      </c>
      <c r="Y163" s="24">
        <f t="shared" si="25"/>
        <v>4.4763514745173927E-2</v>
      </c>
      <c r="Z163" s="23">
        <f t="shared" si="26"/>
        <v>3.6554940010560255E-3</v>
      </c>
      <c r="AA163" s="36"/>
    </row>
    <row r="164" spans="15:27" ht="13.9" customHeight="1">
      <c r="O164" s="12">
        <f t="shared" si="20"/>
        <v>12.583333333333334</v>
      </c>
      <c r="P164" s="13">
        <v>151</v>
      </c>
      <c r="Q164" s="22">
        <v>4.1320537258144441E-2</v>
      </c>
      <c r="R164" s="19">
        <f t="shared" si="21"/>
        <v>4.1332297482034708E-2</v>
      </c>
      <c r="S164" s="22">
        <v>4.1316197860298942E-2</v>
      </c>
      <c r="T164" s="19">
        <f t="shared" si="22"/>
        <v>4.1322298203926078E-2</v>
      </c>
      <c r="U164" s="24">
        <v>4.5618165452947057E-2</v>
      </c>
      <c r="V164" s="24">
        <f t="shared" si="23"/>
        <v>4.5630167220617635E-2</v>
      </c>
      <c r="W164" s="23">
        <f t="shared" si="24"/>
        <v>3.7248051887071032E-3</v>
      </c>
      <c r="X164" s="24">
        <v>4.4757986330870692E-2</v>
      </c>
      <c r="Y164" s="24">
        <f t="shared" si="25"/>
        <v>4.476892819685907E-2</v>
      </c>
      <c r="Z164" s="23">
        <f t="shared" si="26"/>
        <v>3.6558796623673562E-3</v>
      </c>
      <c r="AA164" s="36"/>
    </row>
    <row r="165" spans="15:27" ht="13.9" customHeight="1">
      <c r="O165" s="12">
        <f t="shared" si="20"/>
        <v>12.666666666666666</v>
      </c>
      <c r="P165" s="13">
        <v>152</v>
      </c>
      <c r="Q165" s="22">
        <v>4.1320614627604391E-2</v>
      </c>
      <c r="R165" s="19">
        <f t="shared" si="21"/>
        <v>4.1337472513991891E-2</v>
      </c>
      <c r="S165" s="22">
        <v>4.1316237994021732E-2</v>
      </c>
      <c r="T165" s="19">
        <f t="shared" si="22"/>
        <v>4.1329023863396763E-2</v>
      </c>
      <c r="U165" s="24">
        <v>4.5618244411494757E-2</v>
      </c>
      <c r="V165" s="24">
        <f t="shared" si="23"/>
        <v>4.5636099777355277E-2</v>
      </c>
      <c r="W165" s="23">
        <f t="shared" si="24"/>
        <v>3.7252327035424138E-3</v>
      </c>
      <c r="X165" s="24">
        <v>4.4758058316456628E-2</v>
      </c>
      <c r="Y165" s="24">
        <f t="shared" si="25"/>
        <v>4.4774938123139929E-2</v>
      </c>
      <c r="Z165" s="23">
        <f t="shared" si="26"/>
        <v>3.65631303234637E-3</v>
      </c>
      <c r="AA165" s="36"/>
    </row>
    <row r="166" spans="15:27" ht="13.9" customHeight="1">
      <c r="O166" s="12">
        <f t="shared" si="20"/>
        <v>12.75</v>
      </c>
      <c r="P166" s="13">
        <v>153</v>
      </c>
      <c r="Q166" s="22">
        <v>4.1320724808982412E-2</v>
      </c>
      <c r="R166" s="19">
        <f t="shared" si="21"/>
        <v>4.1343209899512567E-2</v>
      </c>
      <c r="S166" s="22">
        <v>4.1316321561285729E-2</v>
      </c>
      <c r="T166" s="19">
        <f t="shared" si="22"/>
        <v>4.1336394982612656E-2</v>
      </c>
      <c r="U166" s="24">
        <v>4.5618361112242489E-2</v>
      </c>
      <c r="V166" s="24">
        <f t="shared" si="23"/>
        <v>4.5642621094074798E-2</v>
      </c>
      <c r="W166" s="23">
        <f t="shared" si="24"/>
        <v>3.7257072691516679E-3</v>
      </c>
      <c r="X166" s="24">
        <v>4.4758168641105156E-2</v>
      </c>
      <c r="Y166" s="24">
        <f t="shared" si="25"/>
        <v>4.4781545045835314E-2</v>
      </c>
      <c r="Z166" s="23">
        <f t="shared" si="26"/>
        <v>3.6567941502587686E-3</v>
      </c>
      <c r="AA166" s="36"/>
    </row>
    <row r="167" spans="15:27" ht="13.9" customHeight="1">
      <c r="O167" s="12">
        <f t="shared" si="20"/>
        <v>12.833333333333334</v>
      </c>
      <c r="P167" s="13">
        <v>154</v>
      </c>
      <c r="Q167" s="22">
        <v>4.1320870814497646E-2</v>
      </c>
      <c r="R167" s="19">
        <f t="shared" si="21"/>
        <v>4.134951045336277E-2</v>
      </c>
      <c r="S167" s="22">
        <v>4.1316451906929341E-2</v>
      </c>
      <c r="T167" s="19">
        <f t="shared" si="22"/>
        <v>4.1344411738159836E-2</v>
      </c>
      <c r="U167" s="24">
        <v>4.561851864277644E-2</v>
      </c>
      <c r="V167" s="24">
        <f t="shared" si="23"/>
        <v>4.5649731714001884E-2</v>
      </c>
      <c r="W167" s="23">
        <f t="shared" si="24"/>
        <v>3.7262289288482187E-3</v>
      </c>
      <c r="X167" s="24">
        <v>4.4758320434253873E-2</v>
      </c>
      <c r="Y167" s="24">
        <f t="shared" si="25"/>
        <v>4.4788749505956016E-2</v>
      </c>
      <c r="Z167" s="23">
        <f t="shared" si="26"/>
        <v>3.6573230571228521E-3</v>
      </c>
      <c r="AA167" s="36"/>
    </row>
    <row r="168" spans="15:27" ht="13.9" customHeight="1">
      <c r="O168" s="12">
        <f t="shared" si="20"/>
        <v>12.916666666666666</v>
      </c>
      <c r="P168" s="13">
        <v>155</v>
      </c>
      <c r="Q168" s="22">
        <v>4.1321055583836808E-2</v>
      </c>
      <c r="R168" s="19">
        <f t="shared" si="21"/>
        <v>4.1356375034409698E-2</v>
      </c>
      <c r="S168" s="22">
        <v>4.1316632290531174E-2</v>
      </c>
      <c r="T168" s="19">
        <f t="shared" si="22"/>
        <v>4.1353074359307129E-2</v>
      </c>
      <c r="U168" s="24">
        <v>4.5618720014443337E-2</v>
      </c>
      <c r="V168" s="24">
        <f t="shared" si="23"/>
        <v>4.5657432197379055E-2</v>
      </c>
      <c r="W168" s="23">
        <f t="shared" si="24"/>
        <v>3.7267977252783968E-3</v>
      </c>
      <c r="X168" s="24">
        <v>4.4758516748005128E-2</v>
      </c>
      <c r="Y168" s="24">
        <f t="shared" si="25"/>
        <v>4.47965520686886E-2</v>
      </c>
      <c r="Z168" s="23">
        <f t="shared" si="26"/>
        <v>3.6578997954164194E-3</v>
      </c>
      <c r="AA168" s="36"/>
    </row>
    <row r="169" spans="15:27" ht="13.9" customHeight="1">
      <c r="O169" s="12">
        <f t="shared" si="20"/>
        <v>13</v>
      </c>
      <c r="P169" s="13">
        <v>156</v>
      </c>
      <c r="Q169" s="22">
        <v>4.1321281986756331E-2</v>
      </c>
      <c r="R169" s="19">
        <f t="shared" si="21"/>
        <v>4.1363803314503622E-2</v>
      </c>
      <c r="S169" s="22">
        <v>4.1316865889474919E-2</v>
      </c>
      <c r="T169" s="19">
        <f t="shared" si="22"/>
        <v>4.1362383125050473E-2</v>
      </c>
      <c r="U169" s="24">
        <v>4.5618968164897966E-2</v>
      </c>
      <c r="V169" s="24">
        <f t="shared" si="23"/>
        <v>4.5665723112526813E-2</v>
      </c>
      <c r="W169" s="23">
        <f t="shared" si="24"/>
        <v>3.7274137023752818E-3</v>
      </c>
      <c r="X169" s="24">
        <v>4.4758760559753696E-2</v>
      </c>
      <c r="Y169" s="24">
        <f t="shared" si="25"/>
        <v>4.4804953318752005E-2</v>
      </c>
      <c r="Z169" s="23">
        <f t="shared" si="26"/>
        <v>3.6585244094771152E-3</v>
      </c>
      <c r="AA169" s="36"/>
    </row>
    <row r="170" spans="15:27" ht="13.9" customHeight="1">
      <c r="O170" s="12">
        <f t="shared" si="20"/>
        <v>13.083333333333334</v>
      </c>
      <c r="P170" s="13">
        <v>157</v>
      </c>
      <c r="Q170" s="22">
        <v>4.1321552817744411E-2</v>
      </c>
      <c r="R170" s="19">
        <f t="shared" si="21"/>
        <v>4.1371791321117568E-2</v>
      </c>
      <c r="S170" s="22">
        <v>4.1317155801877004E-2</v>
      </c>
      <c r="T170" s="19">
        <f t="shared" si="22"/>
        <v>4.1372338364097594E-2</v>
      </c>
      <c r="U170" s="24">
        <v>4.5619265960496591E-2</v>
      </c>
      <c r="V170" s="24">
        <f t="shared" si="23"/>
        <v>4.5674605028873438E-2</v>
      </c>
      <c r="W170" s="23">
        <f t="shared" si="24"/>
        <v>3.7280769046439399E-3</v>
      </c>
      <c r="X170" s="24">
        <v>4.4759054774685891E-2</v>
      </c>
      <c r="Y170" s="24">
        <f t="shared" si="25"/>
        <v>4.4813953864999201E-2</v>
      </c>
      <c r="Z170" s="23">
        <f t="shared" si="26"/>
        <v>3.6591969451291728E-3</v>
      </c>
      <c r="AA170" s="36"/>
    </row>
    <row r="171" spans="15:27" ht="13.9" customHeight="1">
      <c r="O171" s="12">
        <f t="shared" si="20"/>
        <v>13.166666666666666</v>
      </c>
      <c r="P171" s="13">
        <v>158</v>
      </c>
      <c r="Q171" s="22">
        <v>4.1321870775334446E-2</v>
      </c>
      <c r="R171" s="19">
        <f t="shared" si="21"/>
        <v>4.1380338808911121E-2</v>
      </c>
      <c r="S171" s="22">
        <v>4.131750504940479E-2</v>
      </c>
      <c r="T171" s="19">
        <f t="shared" si="22"/>
        <v>4.1382940457229012E-2</v>
      </c>
      <c r="U171" s="24">
        <v>4.5619616198555368E-2</v>
      </c>
      <c r="V171" s="24">
        <f t="shared" si="23"/>
        <v>4.5684078531189165E-2</v>
      </c>
      <c r="W171" s="23">
        <f t="shared" si="24"/>
        <v>3.7287873766036483E-3</v>
      </c>
      <c r="X171" s="24">
        <v>4.4759402228211842E-2</v>
      </c>
      <c r="Y171" s="24">
        <f t="shared" si="25"/>
        <v>4.4823554338261129E-2</v>
      </c>
      <c r="Z171" s="23">
        <f t="shared" si="26"/>
        <v>3.6599174500524523E-3</v>
      </c>
      <c r="AA171" s="36"/>
    </row>
    <row r="172" spans="15:27" ht="13.9" customHeight="1">
      <c r="O172" s="12">
        <f t="shared" si="20"/>
        <v>13.25</v>
      </c>
      <c r="P172" s="13">
        <v>159</v>
      </c>
      <c r="Q172" s="22">
        <v>4.1322238488557872E-2</v>
      </c>
      <c r="R172" s="19">
        <f t="shared" si="21"/>
        <v>4.1389446804260599E-2</v>
      </c>
      <c r="S172" s="22">
        <v>4.1317916580001501E-2</v>
      </c>
      <c r="T172" s="19">
        <f t="shared" si="22"/>
        <v>4.139418983666765E-2</v>
      </c>
      <c r="U172" s="24">
        <v>4.5620021609612982E-2</v>
      </c>
      <c r="V172" s="24">
        <f t="shared" si="23"/>
        <v>4.5694144214627919E-2</v>
      </c>
      <c r="W172" s="23">
        <f t="shared" si="24"/>
        <v>3.7295451639260957E-3</v>
      </c>
      <c r="X172" s="24">
        <v>4.4759805688293186E-2</v>
      </c>
      <c r="Y172" s="24">
        <f t="shared" si="25"/>
        <v>4.4833755391231911E-2</v>
      </c>
      <c r="Z172" s="23">
        <f t="shared" si="26"/>
        <v>3.6606859736083575E-3</v>
      </c>
      <c r="AA172" s="36"/>
    </row>
    <row r="173" spans="15:27" ht="13.9" customHeight="1">
      <c r="O173" s="12">
        <f t="shared" si="20"/>
        <v>13.333333333333334</v>
      </c>
      <c r="P173" s="13">
        <v>160</v>
      </c>
      <c r="Q173" s="22">
        <v>4.1322658527060963E-2</v>
      </c>
      <c r="R173" s="19">
        <f t="shared" si="21"/>
        <v>4.1399116379091883E-2</v>
      </c>
      <c r="S173" s="22">
        <v>4.1318393270507014E-2</v>
      </c>
      <c r="T173" s="19">
        <f t="shared" si="22"/>
        <v>4.1406086985573909E-2</v>
      </c>
      <c r="U173" s="24">
        <v>4.5620484859577592E-2</v>
      </c>
      <c r="V173" s="24">
        <f t="shared" si="23"/>
        <v>4.5704802673457889E-2</v>
      </c>
      <c r="W173" s="23">
        <f t="shared" si="24"/>
        <v>3.7303503130379223E-3</v>
      </c>
      <c r="X173" s="24">
        <v>4.476026785768239E-2</v>
      </c>
      <c r="Y173" s="24">
        <f t="shared" si="25"/>
        <v>4.4844557700899124E-2</v>
      </c>
      <c r="Z173" s="23">
        <f t="shared" si="26"/>
        <v>3.6615025668313983E-3</v>
      </c>
      <c r="AA173" s="36"/>
    </row>
    <row r="174" spans="15:27" ht="13.9" customHeight="1">
      <c r="O174" s="12">
        <f t="shared" si="20"/>
        <v>13.416666666666666</v>
      </c>
      <c r="P174" s="13">
        <v>161</v>
      </c>
      <c r="Q174" s="22">
        <v>4.1323133403226686E-2</v>
      </c>
      <c r="R174" s="19">
        <f t="shared" si="21"/>
        <v>4.1409348649416922E-2</v>
      </c>
      <c r="S174" s="22">
        <v>4.1318937929175847E-2</v>
      </c>
      <c r="T174" s="19">
        <f t="shared" si="22"/>
        <v>4.1418632439689462E-2</v>
      </c>
      <c r="U174" s="24">
        <v>4.5621008551723685E-2</v>
      </c>
      <c r="V174" s="24">
        <f t="shared" si="23"/>
        <v>4.5716054527951355E-2</v>
      </c>
      <c r="W174" s="23">
        <f t="shared" si="24"/>
        <v>3.7312028702201072E-3</v>
      </c>
      <c r="X174" s="24">
        <v>4.4760791376094344E-2</v>
      </c>
      <c r="Y174" s="24">
        <f t="shared" si="25"/>
        <v>4.4855961967972702E-2</v>
      </c>
      <c r="Z174" s="23">
        <f t="shared" si="26"/>
        <v>3.6623672826232578E-3</v>
      </c>
      <c r="AA174" s="36"/>
    </row>
    <row r="175" spans="15:27" ht="13.9" customHeight="1">
      <c r="O175" s="12">
        <f t="shared" si="20"/>
        <v>13.5</v>
      </c>
      <c r="P175" s="13">
        <v>162</v>
      </c>
      <c r="Q175" s="22">
        <v>4.1323665574210411E-2</v>
      </c>
      <c r="R175" s="19">
        <f t="shared" si="21"/>
        <v>4.1420143568024148E-2</v>
      </c>
      <c r="S175" s="22">
        <v>4.1319553298113876E-2</v>
      </c>
      <c r="T175" s="19">
        <f t="shared" si="22"/>
        <v>4.1431826787471593E-2</v>
      </c>
      <c r="U175" s="24">
        <v>4.5621595228781509E-2</v>
      </c>
      <c r="V175" s="24">
        <f t="shared" si="23"/>
        <v>4.5727900390478027E-2</v>
      </c>
      <c r="W175" s="23">
        <f t="shared" si="24"/>
        <v>3.7321028837580261E-3</v>
      </c>
      <c r="X175" s="24">
        <v>4.4761378822293141E-2</v>
      </c>
      <c r="Y175" s="24">
        <f t="shared" si="25"/>
        <v>4.4867968916615597E-2</v>
      </c>
      <c r="Z175" s="23">
        <f t="shared" si="26"/>
        <v>3.6632801757057187E-3</v>
      </c>
      <c r="AA175" s="36"/>
    </row>
    <row r="176" spans="15:27" ht="13.9" customHeight="1">
      <c r="O176" s="12">
        <f t="shared" si="20"/>
        <v>13.583333333333334</v>
      </c>
      <c r="P176" s="13">
        <v>163</v>
      </c>
      <c r="Q176" s="22">
        <v>4.1324257436493816E-2</v>
      </c>
      <c r="R176" s="19">
        <f t="shared" si="21"/>
        <v>4.1431497510318271E-2</v>
      </c>
      <c r="S176" s="22">
        <v>4.1320242055625123E-2</v>
      </c>
      <c r="T176" s="19">
        <f t="shared" si="22"/>
        <v>4.1445670670171575E-2</v>
      </c>
      <c r="U176" s="24">
        <v>4.5622247374740743E-2</v>
      </c>
      <c r="V176" s="24">
        <f t="shared" si="23"/>
        <v>4.5740340895625176E-2</v>
      </c>
      <c r="W176" s="23">
        <f t="shared" si="24"/>
        <v>3.7330504012287324E-3</v>
      </c>
      <c r="X176" s="24">
        <v>4.476203271610113E-2</v>
      </c>
      <c r="Y176" s="24">
        <f t="shared" si="25"/>
        <v>4.4880579295501377E-2</v>
      </c>
      <c r="Z176" s="23">
        <f t="shared" si="26"/>
        <v>3.6642413026000131E-3</v>
      </c>
      <c r="AA176" s="36"/>
    </row>
    <row r="177" spans="15:27" ht="13.9" customHeight="1">
      <c r="O177" s="12">
        <f t="shared" si="20"/>
        <v>13.666666666666666</v>
      </c>
      <c r="P177" s="13">
        <v>164</v>
      </c>
      <c r="Q177" s="22">
        <v>4.1324911305919754E-2</v>
      </c>
      <c r="R177" s="19">
        <f t="shared" si="21"/>
        <v>4.1443410514331758E-2</v>
      </c>
      <c r="S177" s="22">
        <v>4.1321006818473727E-2</v>
      </c>
      <c r="T177" s="19">
        <f t="shared" si="22"/>
        <v>4.1460164781785824E-2</v>
      </c>
      <c r="U177" s="24">
        <v>4.5622967416772742E-2</v>
      </c>
      <c r="V177" s="24">
        <f t="shared" si="23"/>
        <v>4.5753376686176628E-2</v>
      </c>
      <c r="W177" s="23">
        <f t="shared" si="24"/>
        <v>3.7340454719101412E-3</v>
      </c>
      <c r="X177" s="24">
        <v>4.4762755520340924E-2</v>
      </c>
      <c r="Y177" s="24">
        <f t="shared" si="25"/>
        <v>4.4893793876472188E-2</v>
      </c>
      <c r="Z177" s="23">
        <f t="shared" si="26"/>
        <v>3.6652507217103114E-3</v>
      </c>
      <c r="AA177" s="36"/>
    </row>
    <row r="178" spans="15:27" ht="13.9" customHeight="1">
      <c r="O178" s="12">
        <f t="shared" si="20"/>
        <v>13.75</v>
      </c>
      <c r="P178" s="13">
        <v>165</v>
      </c>
      <c r="Q178" s="22">
        <v>4.1325629442328093E-2</v>
      </c>
      <c r="R178" s="19">
        <f t="shared" si="21"/>
        <v>4.1455883871723609E-2</v>
      </c>
      <c r="S178" s="22">
        <v>4.1321850144063088E-2</v>
      </c>
      <c r="T178" s="19">
        <f t="shared" si="22"/>
        <v>4.147530987076653E-2</v>
      </c>
      <c r="U178" s="24">
        <v>4.562375772699756E-2</v>
      </c>
      <c r="V178" s="24">
        <f t="shared" si="23"/>
        <v>4.576700841100978E-2</v>
      </c>
      <c r="W178" s="23">
        <f t="shared" si="24"/>
        <v>3.7350881456599261E-3</v>
      </c>
      <c r="X178" s="24">
        <v>4.4763549642698131E-2</v>
      </c>
      <c r="Y178" s="24">
        <f t="shared" si="25"/>
        <v>4.4907613458388784E-2</v>
      </c>
      <c r="Z178" s="23">
        <f t="shared" si="26"/>
        <v>3.6663084932162526E-3</v>
      </c>
      <c r="AA178" s="36"/>
    </row>
    <row r="179" spans="15:27" ht="13.9" customHeight="1">
      <c r="O179" s="12">
        <f t="shared" si="20"/>
        <v>13.833333333333334</v>
      </c>
      <c r="P179" s="13">
        <v>166</v>
      </c>
      <c r="Q179" s="22">
        <v>4.1326414058790117E-2</v>
      </c>
      <c r="R179" s="19">
        <f t="shared" si="21"/>
        <v>4.146891891799398E-2</v>
      </c>
      <c r="S179" s="22">
        <v>4.1322774532546402E-2</v>
      </c>
      <c r="T179" s="19">
        <f t="shared" si="22"/>
        <v>4.1491106738653416E-2</v>
      </c>
      <c r="U179" s="24">
        <v>4.5624620624174161E-2</v>
      </c>
      <c r="V179" s="24">
        <f t="shared" si="23"/>
        <v>4.5781236736874398E-2</v>
      </c>
      <c r="W179" s="23">
        <f t="shared" si="24"/>
        <v>3.7361784727456548E-3</v>
      </c>
      <c r="X179" s="24">
        <v>4.476441743754056E-2</v>
      </c>
      <c r="Y179" s="24">
        <f t="shared" si="25"/>
        <v>4.4922038863176139E-2</v>
      </c>
      <c r="Z179" s="23">
        <f t="shared" si="26"/>
        <v>3.6674146793800322E-3</v>
      </c>
      <c r="AA179" s="36"/>
    </row>
    <row r="180" spans="15:27" ht="13.9" customHeight="1">
      <c r="O180" s="12">
        <f t="shared" si="20"/>
        <v>13.916666666666666</v>
      </c>
      <c r="P180" s="13">
        <v>167</v>
      </c>
      <c r="Q180" s="22">
        <v>4.132726732326697E-2</v>
      </c>
      <c r="R180" s="19">
        <f t="shared" si="21"/>
        <v>4.1482517036886435E-2</v>
      </c>
      <c r="S180" s="22">
        <v>4.132378242885415E-2</v>
      </c>
      <c r="T180" s="19">
        <f t="shared" si="22"/>
        <v>4.1507556242731392E-2</v>
      </c>
      <c r="U180" s="24">
        <v>4.5625558375401276E-2</v>
      </c>
      <c r="V180" s="24">
        <f t="shared" si="23"/>
        <v>4.5796062337840615E-2</v>
      </c>
      <c r="W180" s="23">
        <f t="shared" si="24"/>
        <v>3.7373165047880352E-3</v>
      </c>
      <c r="X180" s="24">
        <v>4.4765361207648402E-2</v>
      </c>
      <c r="Y180" s="24">
        <f t="shared" si="25"/>
        <v>4.4937070940972657E-2</v>
      </c>
      <c r="Z180" s="23">
        <f t="shared" si="26"/>
        <v>3.6685693442304323E-3</v>
      </c>
      <c r="AA180" s="36"/>
    </row>
    <row r="181" spans="15:27" ht="13.9" customHeight="1">
      <c r="O181" s="12">
        <f t="shared" si="20"/>
        <v>14</v>
      </c>
      <c r="P181" s="13">
        <v>168</v>
      </c>
      <c r="Q181" s="22">
        <v>4.1328191360235245E-2</v>
      </c>
      <c r="R181" s="19">
        <f t="shared" si="21"/>
        <v>4.1496678472135118E-2</v>
      </c>
      <c r="S181" s="22">
        <v>4.1324876224663631E-2</v>
      </c>
      <c r="T181" s="19">
        <f t="shared" si="22"/>
        <v>4.1524659293284971E-2</v>
      </c>
      <c r="U181" s="24">
        <v>4.562657319769392E-2</v>
      </c>
      <c r="V181" s="24">
        <f t="shared" si="23"/>
        <v>4.5811485897427007E-2</v>
      </c>
      <c r="W181" s="23">
        <f t="shared" si="24"/>
        <v>3.7385022939151469E-3</v>
      </c>
      <c r="X181" s="24">
        <v>4.4766383205912641E-2</v>
      </c>
      <c r="Y181" s="24">
        <f t="shared" si="25"/>
        <v>4.4952710564440057E-2</v>
      </c>
      <c r="Z181" s="23">
        <f t="shared" si="26"/>
        <v>3.6697725539738268E-3</v>
      </c>
      <c r="AA181" s="36"/>
    </row>
    <row r="182" spans="15:27" ht="13.9" customHeight="1">
      <c r="O182" s="12">
        <f t="shared" si="20"/>
        <v>14.083333333333334</v>
      </c>
      <c r="P182" s="13">
        <v>169</v>
      </c>
      <c r="Q182" s="22">
        <v>4.1329188245225801E-2</v>
      </c>
      <c r="R182" s="19">
        <f t="shared" si="21"/>
        <v>4.1511399953693795E-2</v>
      </c>
      <c r="S182" s="22">
        <v>4.1326058260283682E-2</v>
      </c>
      <c r="T182" s="19">
        <f t="shared" si="22"/>
        <v>4.1542416857996978E-2</v>
      </c>
      <c r="U182" s="24">
        <v>4.5627667259516613E-2</v>
      </c>
      <c r="V182" s="24">
        <f t="shared" si="23"/>
        <v>4.5827508118921445E-2</v>
      </c>
      <c r="W182" s="23">
        <f t="shared" si="24"/>
        <v>3.7397358929338598E-3</v>
      </c>
      <c r="X182" s="24">
        <v>4.4767485636940219E-2</v>
      </c>
      <c r="Y182" s="24">
        <f t="shared" si="25"/>
        <v>4.4968958634739264E-2</v>
      </c>
      <c r="Z182" s="23">
        <f t="shared" si="26"/>
        <v>3.6710243765385453E-3</v>
      </c>
      <c r="AA182" s="36"/>
    </row>
    <row r="183" spans="15:27" ht="13.9" customHeight="1">
      <c r="O183" s="12">
        <f t="shared" si="20"/>
        <v>14.166666666666666</v>
      </c>
      <c r="P183" s="13">
        <v>170</v>
      </c>
      <c r="Q183" s="22">
        <v>4.1330259985592699E-2</v>
      </c>
      <c r="R183" s="19">
        <f t="shared" si="21"/>
        <v>4.1526681813631727E-2</v>
      </c>
      <c r="S183" s="22">
        <v>4.1327330826497644E-2</v>
      </c>
      <c r="T183" s="19">
        <f t="shared" si="22"/>
        <v>4.1560829958205092E-2</v>
      </c>
      <c r="U183" s="24">
        <v>4.5628842682324366E-2</v>
      </c>
      <c r="V183" s="24">
        <f t="shared" si="23"/>
        <v>4.5844129710343351E-2</v>
      </c>
      <c r="W183" s="23">
        <f t="shared" si="24"/>
        <v>3.7410173561533977E-3</v>
      </c>
      <c r="X183" s="24">
        <v>4.4768670658637433E-2</v>
      </c>
      <c r="Y183" s="24">
        <f t="shared" si="25"/>
        <v>4.4985816079713192E-2</v>
      </c>
      <c r="Z183" s="23">
        <f t="shared" si="26"/>
        <v>3.6723248820524912E-3</v>
      </c>
      <c r="AA183" s="36"/>
    </row>
    <row r="184" spans="15:27" ht="13.9" customHeight="1">
      <c r="O184" s="12">
        <f t="shared" si="20"/>
        <v>14.25</v>
      </c>
      <c r="P184" s="13">
        <v>171</v>
      </c>
      <c r="Q184" s="22">
        <v>4.1331408543566761E-2</v>
      </c>
      <c r="R184" s="19">
        <f t="shared" si="21"/>
        <v>4.1542525616646175E-2</v>
      </c>
      <c r="S184" s="22">
        <v>4.1328696166320178E-2</v>
      </c>
      <c r="T184" s="19">
        <f t="shared" si="22"/>
        <v>4.1579899673061194E-2</v>
      </c>
      <c r="U184" s="24">
        <v>4.5630101541959789E-2</v>
      </c>
      <c r="V184" s="24">
        <f t="shared" si="23"/>
        <v>4.5861351393678307E-2</v>
      </c>
      <c r="W184" s="23">
        <f t="shared" si="24"/>
        <v>3.7423467381838549E-3</v>
      </c>
      <c r="X184" s="24">
        <v>4.4769940383726947E-2</v>
      </c>
      <c r="Y184" s="24">
        <f t="shared" si="25"/>
        <v>4.5003283852788289E-2</v>
      </c>
      <c r="Z184" s="23">
        <f t="shared" si="26"/>
        <v>3.6736741426972586E-3</v>
      </c>
      <c r="AA184" s="36"/>
    </row>
    <row r="185" spans="15:27" ht="13.9" customHeight="1">
      <c r="O185" s="12">
        <f t="shared" si="20"/>
        <v>14.333333333333334</v>
      </c>
      <c r="P185" s="13">
        <v>172</v>
      </c>
      <c r="Q185" s="22">
        <v>4.1332635844727683E-2</v>
      </c>
      <c r="R185" s="19">
        <f t="shared" si="21"/>
        <v>4.1558932974882001E-2</v>
      </c>
      <c r="S185" s="22">
        <v>4.1330156476717672E-2</v>
      </c>
      <c r="T185" s="19">
        <f t="shared" si="22"/>
        <v>4.1599627137084871E-2</v>
      </c>
      <c r="U185" s="24">
        <v>4.5631445870056853E-2</v>
      </c>
      <c r="V185" s="24">
        <f t="shared" si="23"/>
        <v>4.5879173912232174E-2</v>
      </c>
      <c r="W185" s="23">
        <f t="shared" si="24"/>
        <v>3.74372409467294E-3</v>
      </c>
      <c r="X185" s="24">
        <v>4.477129688120618E-2</v>
      </c>
      <c r="Y185" s="24">
        <f t="shared" si="25"/>
        <v>4.5021362935899312E-2</v>
      </c>
      <c r="Z185" s="23">
        <f t="shared" si="26"/>
        <v>3.6750722326197582E-3</v>
      </c>
      <c r="AA185" s="36"/>
    </row>
    <row r="186" spans="15:27" ht="13.9" customHeight="1">
      <c r="O186" s="12">
        <f t="shared" si="20"/>
        <v>14.416666666666666</v>
      </c>
      <c r="P186" s="13">
        <v>173</v>
      </c>
      <c r="Q186" s="22">
        <v>4.1333943779334303E-2</v>
      </c>
      <c r="R186" s="19">
        <f t="shared" si="21"/>
        <v>4.157590554898194E-2</v>
      </c>
      <c r="S186" s="22">
        <v>4.1331713910253365E-2</v>
      </c>
      <c r="T186" s="19">
        <f t="shared" si="22"/>
        <v>4.1620013541995071E-2</v>
      </c>
      <c r="U186" s="24">
        <v>4.5632877655437776E-2</v>
      </c>
      <c r="V186" s="24">
        <f t="shared" si="23"/>
        <v>4.5897598003873386E-2</v>
      </c>
      <c r="W186" s="23">
        <f t="shared" si="24"/>
        <v>3.7451494828948384E-3</v>
      </c>
      <c r="X186" s="24">
        <v>4.4772742177771274E-2</v>
      </c>
      <c r="Y186" s="24">
        <f t="shared" si="25"/>
        <v>4.5040054336199287E-2</v>
      </c>
      <c r="Z186" s="23">
        <f t="shared" si="26"/>
        <v>3.6765192281655867E-3</v>
      </c>
      <c r="AA186" s="36"/>
    </row>
    <row r="187" spans="15:27" ht="13.9" customHeight="1">
      <c r="O187" s="12">
        <f t="shared" si="20"/>
        <v>14.5</v>
      </c>
      <c r="P187" s="13">
        <v>174</v>
      </c>
      <c r="Q187" s="22">
        <v>4.1335334203614238E-2</v>
      </c>
      <c r="R187" s="19">
        <f t="shared" si="21"/>
        <v>4.1593443882562919E-2</v>
      </c>
      <c r="S187" s="22">
        <v>4.1333370576687622E-2</v>
      </c>
      <c r="T187" s="19">
        <f t="shared" si="22"/>
        <v>4.1641060137763697E-2</v>
      </c>
      <c r="U187" s="24">
        <v>4.56343988453074E-2</v>
      </c>
      <c r="V187" s="24">
        <f t="shared" si="23"/>
        <v>4.5916624444743537E-2</v>
      </c>
      <c r="W187" s="23">
        <f t="shared" si="24"/>
        <v>3.7466229596094802E-3</v>
      </c>
      <c r="X187" s="24">
        <v>4.4774278259173128E-2</v>
      </c>
      <c r="Y187" s="24">
        <f t="shared" si="25"/>
        <v>4.5059359093492457E-2</v>
      </c>
      <c r="Z187" s="23">
        <f t="shared" si="26"/>
        <v>3.6780152076154593E-3</v>
      </c>
      <c r="AA187" s="36"/>
    </row>
    <row r="188" spans="15:27" ht="13.9" customHeight="1">
      <c r="O188" s="12">
        <f t="shared" si="20"/>
        <v>14.583333333333334</v>
      </c>
      <c r="P188" s="13">
        <v>175</v>
      </c>
      <c r="Q188" s="22">
        <v>4.1336808934350877E-2</v>
      </c>
      <c r="R188" s="19">
        <f t="shared" si="21"/>
        <v>4.161154507052145E-2</v>
      </c>
      <c r="S188" s="22">
        <v>4.1335128544528699E-2</v>
      </c>
      <c r="T188" s="19">
        <f t="shared" si="22"/>
        <v>4.1662768231254699E-2</v>
      </c>
      <c r="U188" s="24">
        <v>4.5636011346657845E-2</v>
      </c>
      <c r="V188" s="24">
        <f t="shared" si="23"/>
        <v>4.5936254001317955E-2</v>
      </c>
      <c r="W188" s="23">
        <f t="shared" si="24"/>
        <v>3.7481445845575223E-3</v>
      </c>
      <c r="X188" s="24">
        <v>4.4775907071570309E-2</v>
      </c>
      <c r="Y188" s="24">
        <f t="shared" si="25"/>
        <v>4.5079278270860224E-2</v>
      </c>
      <c r="Z188" s="23">
        <f t="shared" si="26"/>
        <v>3.6795602517787351E-3</v>
      </c>
      <c r="AA188" s="36"/>
    </row>
    <row r="189" spans="15:27" ht="13.9" customHeight="1">
      <c r="O189" s="12">
        <f t="shared" si="20"/>
        <v>14.666666666666666</v>
      </c>
      <c r="P189" s="13">
        <v>176</v>
      </c>
      <c r="Q189" s="22">
        <v>4.1338369730410829E-2</v>
      </c>
      <c r="R189" s="19">
        <f t="shared" si="21"/>
        <v>4.1630209748546809E-2</v>
      </c>
      <c r="S189" s="22">
        <v>4.1336989842522875E-2</v>
      </c>
      <c r="T189" s="19">
        <f t="shared" si="22"/>
        <v>4.1685139187983111E-2</v>
      </c>
      <c r="U189" s="24">
        <v>4.5637717027351643E-2</v>
      </c>
      <c r="V189" s="24">
        <f t="shared" si="23"/>
        <v>4.595648747397596E-2</v>
      </c>
      <c r="W189" s="23">
        <f t="shared" si="24"/>
        <v>3.7497144166269702E-3</v>
      </c>
      <c r="X189" s="24">
        <v>4.4777630522781164E-2</v>
      </c>
      <c r="Y189" s="24">
        <f t="shared" si="25"/>
        <v>4.5099812963263819E-2</v>
      </c>
      <c r="Z189" s="23">
        <f t="shared" si="26"/>
        <v>3.6811544432437948E-3</v>
      </c>
      <c r="AA189" s="36"/>
    </row>
    <row r="190" spans="15:27" ht="13.9" customHeight="1">
      <c r="O190" s="12">
        <f t="shared" si="20"/>
        <v>14.75</v>
      </c>
      <c r="P190" s="13">
        <v>177</v>
      </c>
      <c r="Q190" s="22">
        <v>4.1340018314376836E-2</v>
      </c>
      <c r="R190" s="19">
        <f t="shared" si="21"/>
        <v>4.1649439766590746E-2</v>
      </c>
      <c r="S190" s="22">
        <v>4.1338956461104193E-2</v>
      </c>
      <c r="T190" s="19">
        <f t="shared" si="22"/>
        <v>4.170817443246011E-2</v>
      </c>
      <c r="U190" s="24">
        <v>4.5639517717414702E-2</v>
      </c>
      <c r="V190" s="24">
        <f t="shared" si="23"/>
        <v>4.5977325661751722E-2</v>
      </c>
      <c r="W190" s="23">
        <f t="shared" si="24"/>
        <v>3.75133251733617E-3</v>
      </c>
      <c r="X190" s="24">
        <v>4.4779450483543259E-2</v>
      </c>
      <c r="Y190" s="24">
        <f t="shared" si="25"/>
        <v>4.5120964293725141E-2</v>
      </c>
      <c r="Z190" s="23">
        <f t="shared" si="26"/>
        <v>3.6827978670648243E-3</v>
      </c>
      <c r="AA190" s="36"/>
    </row>
    <row r="191" spans="15:27" ht="13.9" customHeight="1">
      <c r="O191" s="12">
        <f t="shared" si="20"/>
        <v>14.833333333333334</v>
      </c>
      <c r="P191" s="13">
        <v>178</v>
      </c>
      <c r="Q191" s="22">
        <v>4.1341756380383066E-2</v>
      </c>
      <c r="R191" s="19">
        <f t="shared" si="21"/>
        <v>4.1669237023101324E-2</v>
      </c>
      <c r="S191" s="22">
        <v>4.1341030353796882E-2</v>
      </c>
      <c r="T191" s="19">
        <f t="shared" si="22"/>
        <v>4.1731875448314026E-2</v>
      </c>
      <c r="U191" s="24">
        <v>4.564141521008791E-2</v>
      </c>
      <c r="V191" s="24">
        <f t="shared" si="23"/>
        <v>4.5998769388943872E-2</v>
      </c>
      <c r="W191" s="23">
        <f t="shared" si="24"/>
        <v>3.7529989480153958E-3</v>
      </c>
      <c r="X191" s="24">
        <v>4.478136878870842E-2</v>
      </c>
      <c r="Y191" s="24">
        <f t="shared" si="25"/>
        <v>4.5142733414628378E-2</v>
      </c>
      <c r="Z191" s="23">
        <f t="shared" si="26"/>
        <v>3.6844906104558373E-3</v>
      </c>
      <c r="AA191" s="36"/>
    </row>
    <row r="192" spans="15:27" ht="13.9" customHeight="1">
      <c r="O192" s="12">
        <f t="shared" si="20"/>
        <v>14.916666666666666</v>
      </c>
      <c r="P192" s="13">
        <v>179</v>
      </c>
      <c r="Q192" s="22">
        <v>4.1343585595176924E-2</v>
      </c>
      <c r="R192" s="19">
        <f t="shared" si="21"/>
        <v>4.1689603467895742E-2</v>
      </c>
      <c r="S192" s="22">
        <v>4.1343213438572279E-2</v>
      </c>
      <c r="T192" s="19">
        <f t="shared" si="22"/>
        <v>4.1756243779480062E-2</v>
      </c>
      <c r="U192" s="24">
        <v>4.5643411262991984E-2</v>
      </c>
      <c r="V192" s="24">
        <f t="shared" si="23"/>
        <v>4.6020819489597464E-2</v>
      </c>
      <c r="W192" s="23">
        <f t="shared" si="24"/>
        <v>3.7547137719335932E-3</v>
      </c>
      <c r="X192" s="24">
        <v>4.4783387238404915E-2</v>
      </c>
      <c r="Y192" s="24">
        <f t="shared" si="25"/>
        <v>4.5165121508506489E-2</v>
      </c>
      <c r="Z192" s="23">
        <f t="shared" si="26"/>
        <v>3.6862327628943703E-3</v>
      </c>
      <c r="AA192" s="36"/>
    </row>
    <row r="193" spans="15:27" ht="13.9" customHeight="1">
      <c r="O193" s="12">
        <f t="shared" si="20"/>
        <v>15</v>
      </c>
      <c r="P193" s="13">
        <v>180</v>
      </c>
      <c r="Q193" s="22">
        <v>4.1345507599161779E-2</v>
      </c>
      <c r="R193" s="19">
        <f t="shared" si="21"/>
        <v>4.1710166497318735E-2</v>
      </c>
      <c r="S193" s="22">
        <v>4.1345507599165998E-2</v>
      </c>
      <c r="T193" s="19">
        <f t="shared" si="22"/>
        <v>4.1780843881289442E-2</v>
      </c>
      <c r="U193" s="24">
        <v>4.5645507599167079E-2</v>
      </c>
      <c r="V193" s="24">
        <f t="shared" si="23"/>
        <v>4.6043086314376369E-2</v>
      </c>
      <c r="W193" s="23">
        <f t="shared" si="24"/>
        <v>3.7564770530575942E-3</v>
      </c>
      <c r="X193" s="24">
        <v>4.4785507599165664E-2</v>
      </c>
      <c r="Y193" s="24">
        <f t="shared" si="25"/>
        <v>4.5187731720959246E-2</v>
      </c>
      <c r="Z193" s="23">
        <f t="shared" si="26"/>
        <v>3.688024416183433E-3</v>
      </c>
      <c r="AA193" s="36"/>
    </row>
    <row r="194" spans="15:27" ht="13.9" customHeight="1">
      <c r="O194" s="12">
        <f t="shared" si="20"/>
        <v>15.083333333333334</v>
      </c>
      <c r="P194" s="13">
        <v>181</v>
      </c>
      <c r="Q194" s="22">
        <v>4.1347521938484899E-2</v>
      </c>
      <c r="R194" s="19">
        <f t="shared" si="21"/>
        <v>4.1729428996992723E-2</v>
      </c>
      <c r="S194" s="22">
        <v>4.1347912272168497E-2</v>
      </c>
      <c r="T194" s="19">
        <f t="shared" si="22"/>
        <v>4.1803929053653377E-2</v>
      </c>
      <c r="U194" s="24">
        <v>4.5647703751473534E-2</v>
      </c>
      <c r="V194" s="24">
        <f t="shared" si="23"/>
        <v>4.6064007903480197E-2</v>
      </c>
      <c r="W194" s="23">
        <f t="shared" si="24"/>
        <v>3.7582576303907267E-3</v>
      </c>
      <c r="X194" s="24">
        <v>4.478772940659459E-2</v>
      </c>
      <c r="Y194" s="24">
        <f t="shared" si="25"/>
        <v>4.5208972393604219E-2</v>
      </c>
      <c r="Z194" s="23">
        <f t="shared" si="26"/>
        <v>3.6898338092634653E-3</v>
      </c>
      <c r="AA194" s="36"/>
    </row>
    <row r="195" spans="15:27" ht="13.9" customHeight="1">
      <c r="O195" s="12">
        <f t="shared" si="20"/>
        <v>15.166666666666666</v>
      </c>
      <c r="P195" s="13">
        <v>182</v>
      </c>
      <c r="Q195" s="22">
        <v>4.1349619946338567E-2</v>
      </c>
      <c r="R195" s="19">
        <f t="shared" si="21"/>
        <v>4.1747016329801712E-2</v>
      </c>
      <c r="S195" s="22">
        <v>4.1350417313442245E-2</v>
      </c>
      <c r="T195" s="19">
        <f t="shared" si="22"/>
        <v>4.1825064419062752E-2</v>
      </c>
      <c r="U195" s="24">
        <v>4.5649990684206943E-2</v>
      </c>
      <c r="V195" s="24">
        <f t="shared" si="23"/>
        <v>4.6083192365169889E-2</v>
      </c>
      <c r="W195" s="23">
        <f t="shared" si="24"/>
        <v>3.7599306036484315E-3</v>
      </c>
      <c r="X195" s="24">
        <v>4.4790043464598694E-2</v>
      </c>
      <c r="Y195" s="24">
        <f t="shared" si="25"/>
        <v>4.5228444959899639E-2</v>
      </c>
      <c r="Z195" s="23">
        <f t="shared" si="26"/>
        <v>3.6915335715785869E-3</v>
      </c>
      <c r="AA195" s="36"/>
    </row>
    <row r="196" spans="15:27" ht="13.9" customHeight="1">
      <c r="O196" s="12">
        <f t="shared" si="20"/>
        <v>15.25</v>
      </c>
      <c r="P196" s="13">
        <v>183</v>
      </c>
      <c r="Q196" s="22">
        <v>4.1351791099291546E-2</v>
      </c>
      <c r="R196" s="19">
        <f t="shared" si="21"/>
        <v>4.1762928155182788E-2</v>
      </c>
      <c r="S196" s="22">
        <v>4.1353010425777326E-2</v>
      </c>
      <c r="T196" s="19">
        <f t="shared" si="22"/>
        <v>4.1844252165077034E-2</v>
      </c>
      <c r="U196" s="24">
        <v>4.5652357418963563E-2</v>
      </c>
      <c r="V196" s="24">
        <f t="shared" si="23"/>
        <v>4.6100638091358892E-2</v>
      </c>
      <c r="W196" s="23">
        <f t="shared" si="24"/>
        <v>3.7614646423502762E-3</v>
      </c>
      <c r="X196" s="24">
        <v>4.4792438601457762E-2</v>
      </c>
      <c r="Y196" s="24">
        <f t="shared" si="25"/>
        <v>4.5246148702029254E-2</v>
      </c>
      <c r="Z196" s="23">
        <f t="shared" si="26"/>
        <v>3.6930918152375813E-3</v>
      </c>
      <c r="AA196" s="36"/>
    </row>
    <row r="197" spans="15:27" ht="13.9" customHeight="1">
      <c r="O197" s="12">
        <f t="shared" si="20"/>
        <v>15.333333333333334</v>
      </c>
      <c r="P197" s="13">
        <v>184</v>
      </c>
      <c r="Q197" s="22">
        <v>4.1354025101234315E-2</v>
      </c>
      <c r="R197" s="19">
        <f t="shared" si="21"/>
        <v>4.1777164002194223E-2</v>
      </c>
      <c r="S197" s="22">
        <v>4.1355679591741579E-2</v>
      </c>
      <c r="T197" s="19">
        <f t="shared" si="22"/>
        <v>4.1861494321947079E-2</v>
      </c>
      <c r="U197" s="24">
        <v>4.5654793207718258E-2</v>
      </c>
      <c r="V197" s="24">
        <f t="shared" si="23"/>
        <v>4.611634343340576E-2</v>
      </c>
      <c r="W197" s="23">
        <f t="shared" si="24"/>
        <v>3.7628596249186241E-3</v>
      </c>
      <c r="X197" s="24">
        <v>4.4794903884884274E-2</v>
      </c>
      <c r="Y197" s="24">
        <f t="shared" si="25"/>
        <v>4.5262082834531814E-2</v>
      </c>
      <c r="Z197" s="23">
        <f t="shared" si="26"/>
        <v>3.6945084900499303E-3</v>
      </c>
      <c r="AA197" s="36"/>
    </row>
    <row r="198" spans="15:27" ht="13.9" customHeight="1">
      <c r="O198" s="12">
        <f t="shared" si="20"/>
        <v>15.416666666666666</v>
      </c>
      <c r="P198" s="13">
        <v>185</v>
      </c>
      <c r="Q198" s="22">
        <v>4.1356311876480811E-2</v>
      </c>
      <c r="R198" s="19">
        <f t="shared" si="21"/>
        <v>4.1789723270151846E-2</v>
      </c>
      <c r="S198" s="22">
        <v>4.1358413065199384E-2</v>
      </c>
      <c r="T198" s="19">
        <f t="shared" si="22"/>
        <v>4.1876792768241522E-2</v>
      </c>
      <c r="U198" s="24">
        <v>4.5657287526325252E-2</v>
      </c>
      <c r="V198" s="24">
        <f t="shared" si="23"/>
        <v>4.6130306731420267E-2</v>
      </c>
      <c r="W198" s="23">
        <f t="shared" si="24"/>
        <v>3.7641154259058229E-3</v>
      </c>
      <c r="X198" s="24">
        <v>4.4797428615132029E-2</v>
      </c>
      <c r="Y198" s="24">
        <f t="shared" si="25"/>
        <v>4.5276246505227213E-2</v>
      </c>
      <c r="Z198" s="23">
        <f t="shared" si="26"/>
        <v>3.6957835397568584E-3</v>
      </c>
      <c r="AA198" s="36"/>
    </row>
    <row r="199" spans="15:27" ht="13.9" customHeight="1">
      <c r="O199" s="12">
        <f t="shared" si="20"/>
        <v>15.5</v>
      </c>
      <c r="P199" s="13">
        <v>186</v>
      </c>
      <c r="Q199" s="22">
        <v>4.1358641563097542E-2</v>
      </c>
      <c r="R199" s="19">
        <f t="shared" si="21"/>
        <v>4.1800611581348512E-2</v>
      </c>
      <c r="S199" s="22">
        <v>4.1361199363137979E-2</v>
      </c>
      <c r="T199" s="19">
        <f t="shared" si="22"/>
        <v>4.1890149232165053E-2</v>
      </c>
      <c r="U199" s="24">
        <v>4.5659830068387253E-2</v>
      </c>
      <c r="V199" s="24">
        <f t="shared" si="23"/>
        <v>4.6142526290243069E-2</v>
      </c>
      <c r="W199" s="23">
        <f t="shared" si="24"/>
        <v>3.7652319183354432E-3</v>
      </c>
      <c r="X199" s="24">
        <v>4.4800002318331034E-2</v>
      </c>
      <c r="Y199" s="24">
        <f t="shared" si="25"/>
        <v>4.5288638798725911E-2</v>
      </c>
      <c r="Z199" s="23">
        <f t="shared" si="26"/>
        <v>3.6969169021052739E-3</v>
      </c>
      <c r="AA199" s="36"/>
    </row>
    <row r="200" spans="15:27" ht="13.9" customHeight="1">
      <c r="O200" s="12">
        <f t="shared" si="20"/>
        <v>15.583333333333334</v>
      </c>
      <c r="P200" s="13">
        <v>187</v>
      </c>
      <c r="Q200" s="22">
        <v>4.1361004540404478E-2</v>
      </c>
      <c r="R200" s="19">
        <f t="shared" si="21"/>
        <v>4.1809853494409577E-2</v>
      </c>
      <c r="S200" s="22">
        <v>4.1364027257763114E-2</v>
      </c>
      <c r="T200" s="19">
        <f t="shared" si="22"/>
        <v>4.19015652951642E-2</v>
      </c>
      <c r="U200" s="24">
        <v>4.5662410739193637E-2</v>
      </c>
      <c r="V200" s="24">
        <f t="shared" si="23"/>
        <v>4.615300040183179E-2</v>
      </c>
      <c r="W200" s="23">
        <f t="shared" si="24"/>
        <v>3.7662089717795943E-3</v>
      </c>
      <c r="X200" s="24">
        <v>4.48026147400582E-2</v>
      </c>
      <c r="Y200" s="24">
        <f t="shared" si="25"/>
        <v>4.52992587386436E-2</v>
      </c>
      <c r="Z200" s="23">
        <f t="shared" si="26"/>
        <v>3.6979085091273234E-3</v>
      </c>
      <c r="AA200" s="36"/>
    </row>
    <row r="201" spans="15:27" ht="13.9" customHeight="1">
      <c r="O201" s="12">
        <f t="shared" si="20"/>
        <v>15.666666666666666</v>
      </c>
      <c r="P201" s="13">
        <v>188</v>
      </c>
      <c r="Q201" s="22">
        <v>4.136339152319346E-2</v>
      </c>
      <c r="R201" s="19">
        <f t="shared" si="21"/>
        <v>4.1817454420747469E-2</v>
      </c>
      <c r="S201" s="22">
        <v>4.1366885768868267E-2</v>
      </c>
      <c r="T201" s="19">
        <f t="shared" si="22"/>
        <v>4.1911042396534315E-2</v>
      </c>
      <c r="U201" s="24">
        <v>4.5665019649972383E-2</v>
      </c>
      <c r="V201" s="24">
        <f t="shared" si="23"/>
        <v>4.6161727334827818E-2</v>
      </c>
      <c r="W201" s="23">
        <f t="shared" si="24"/>
        <v>3.7670464541472715E-3</v>
      </c>
      <c r="X201" s="24">
        <v>4.4805255839124092E-2</v>
      </c>
      <c r="Y201" s="24">
        <f t="shared" si="25"/>
        <v>4.5308105290102541E-2</v>
      </c>
      <c r="Z201" s="23">
        <f t="shared" si="26"/>
        <v>3.6987582873173608E-3</v>
      </c>
      <c r="AA201" s="36"/>
    </row>
    <row r="202" spans="15:27" ht="13.9" customHeight="1">
      <c r="O202" s="12">
        <f t="shared" si="20"/>
        <v>15.75</v>
      </c>
      <c r="P202" s="13">
        <v>189</v>
      </c>
      <c r="Q202" s="22">
        <v>4.1365793451542343E-2</v>
      </c>
      <c r="R202" s="19">
        <f t="shared" si="21"/>
        <v>4.1823413305724033E-2</v>
      </c>
      <c r="S202" s="22">
        <v>4.1369764156471422E-2</v>
      </c>
      <c r="T202" s="19">
        <f t="shared" si="22"/>
        <v>4.191858183314312E-2</v>
      </c>
      <c r="U202" s="24">
        <v>4.5667647112268783E-2</v>
      </c>
      <c r="V202" s="24">
        <f t="shared" si="23"/>
        <v>4.6168705346687711E-2</v>
      </c>
      <c r="W202" s="23">
        <f t="shared" si="24"/>
        <v>3.7677442308476916E-3</v>
      </c>
      <c r="X202" s="24">
        <v>4.4807915781572172E-2</v>
      </c>
      <c r="Y202" s="24">
        <f t="shared" si="25"/>
        <v>4.531517736137336E-2</v>
      </c>
      <c r="Z202" s="23">
        <f t="shared" si="26"/>
        <v>3.6994661578304555E-3</v>
      </c>
      <c r="AA202" s="36"/>
    </row>
    <row r="203" spans="15:27" ht="13.9" customHeight="1">
      <c r="O203" s="12">
        <f t="shared" si="20"/>
        <v>15.833333333333334</v>
      </c>
      <c r="P203" s="13">
        <v>190</v>
      </c>
      <c r="Q203" s="22">
        <v>4.1368201450826092E-2</v>
      </c>
      <c r="R203" s="19">
        <f t="shared" si="21"/>
        <v>4.1827728979948242E-2</v>
      </c>
      <c r="S203" s="22">
        <v>4.1372651913684999E-2</v>
      </c>
      <c r="T203" s="19">
        <f t="shared" si="22"/>
        <v>4.1924184767177852E-2</v>
      </c>
      <c r="U203" s="24">
        <v>4.5670283632568198E-2</v>
      </c>
      <c r="V203" s="24">
        <f t="shared" si="23"/>
        <v>4.6173932681605301E-2</v>
      </c>
      <c r="W203" s="23">
        <f t="shared" si="24"/>
        <v>3.7683021657592963E-3</v>
      </c>
      <c r="X203" s="24">
        <v>4.4810584934876996E-2</v>
      </c>
      <c r="Y203" s="24">
        <f t="shared" si="25"/>
        <v>4.5320473808586614E-2</v>
      </c>
      <c r="Z203" s="23">
        <f t="shared" si="26"/>
        <v>3.7000320366140649E-3</v>
      </c>
      <c r="AA203" s="36"/>
    </row>
    <row r="204" spans="15:27" ht="13.9" customHeight="1">
      <c r="O204" s="12">
        <f t="shared" si="20"/>
        <v>15.916666666666666</v>
      </c>
      <c r="P204" s="13">
        <v>191</v>
      </c>
      <c r="Q204" s="22">
        <v>4.1370606826224066E-2</v>
      </c>
      <c r="R204" s="19">
        <f t="shared" si="21"/>
        <v>4.1830400160155268E-2</v>
      </c>
      <c r="S204" s="22">
        <v>4.137553875985045E-2</v>
      </c>
      <c r="T204" s="19">
        <f t="shared" si="22"/>
        <v>4.1927852224634243E-2</v>
      </c>
      <c r="U204" s="24">
        <v>4.5672919907075782E-2</v>
      </c>
      <c r="V204" s="24">
        <f t="shared" si="23"/>
        <v>4.6177407566045048E-2</v>
      </c>
      <c r="W204" s="23">
        <f t="shared" si="24"/>
        <v>3.7687201210607757E-3</v>
      </c>
      <c r="X204" s="24">
        <v>4.4813253862349134E-2</v>
      </c>
      <c r="Y204" s="24">
        <f t="shared" si="25"/>
        <v>4.5323993435321785E-2</v>
      </c>
      <c r="Z204" s="23">
        <f t="shared" si="26"/>
        <v>3.7004558347826233E-3</v>
      </c>
      <c r="AA204" s="36"/>
    </row>
    <row r="205" spans="15:27" ht="13.9" customHeight="1">
      <c r="O205" s="12">
        <f t="shared" si="20"/>
        <v>16</v>
      </c>
      <c r="P205" s="13">
        <v>192</v>
      </c>
      <c r="Q205" s="22">
        <v>4.137300105740449E-2</v>
      </c>
      <c r="R205" s="19">
        <f t="shared" si="21"/>
        <v>4.1831431688703846E-2</v>
      </c>
      <c r="S205" s="22">
        <v>4.1378414633881588E-2</v>
      </c>
      <c r="T205" s="19">
        <f t="shared" si="22"/>
        <v>4.1929585101367906E-2</v>
      </c>
      <c r="U205" s="24">
        <v>4.567554681663788E-2</v>
      </c>
      <c r="V205" s="24">
        <f t="shared" si="23"/>
        <v>4.6179128223943655E-2</v>
      </c>
      <c r="W205" s="23">
        <f t="shared" si="24"/>
        <v>3.7689979568718002E-3</v>
      </c>
      <c r="X205" s="24">
        <v>4.4815913317714839E-2</v>
      </c>
      <c r="Y205" s="24">
        <f t="shared" si="25"/>
        <v>4.532573499710435E-2</v>
      </c>
      <c r="Z205" s="23">
        <f t="shared" si="26"/>
        <v>3.7007374585840136E-3</v>
      </c>
      <c r="AA205" s="36"/>
    </row>
    <row r="206" spans="15:27" ht="13.9" customHeight="1">
      <c r="O206" s="12">
        <f t="shared" ref="O206:O269" si="27">P206/12</f>
        <v>16.083333333333332</v>
      </c>
      <c r="P206" s="13">
        <v>193</v>
      </c>
      <c r="Q206" s="22">
        <v>4.1375375825688954E-2</v>
      </c>
      <c r="R206" s="19">
        <f t="shared" ref="R206:R269" si="28">(1+Q207)^P207/(1+Q206)^P206-1</f>
        <v>4.1830847025408735E-2</v>
      </c>
      <c r="S206" s="22">
        <v>4.1381269687846611E-2</v>
      </c>
      <c r="T206" s="19">
        <f t="shared" ref="T206:T269" si="29">(1+S207)^P207/(1+S206)^P206-1</f>
        <v>4.1929384165652284E-2</v>
      </c>
      <c r="U206" s="24">
        <v>4.5678155421900346E-2</v>
      </c>
      <c r="V206" s="24">
        <f t="shared" ref="V206:V269" si="30">(1+U207)^P207/(1+U206)^P206-1</f>
        <v>4.6179092876315941E-2</v>
      </c>
      <c r="W206" s="23">
        <f t="shared" si="24"/>
        <v>3.7691355324667164E-3</v>
      </c>
      <c r="X206" s="24">
        <v>4.4818554239887565E-2</v>
      </c>
      <c r="Y206" s="24">
        <f t="shared" si="25"/>
        <v>4.5325697203378645E-2</v>
      </c>
      <c r="Z206" s="23">
        <f t="shared" si="26"/>
        <v>3.700876809758169E-3</v>
      </c>
      <c r="AA206" s="36"/>
    </row>
    <row r="207" spans="15:27" ht="13.9" customHeight="1">
      <c r="O207" s="12">
        <f t="shared" si="27"/>
        <v>16.166666666666668</v>
      </c>
      <c r="P207" s="13">
        <v>194</v>
      </c>
      <c r="Q207" s="22">
        <v>4.1377723104741415E-2</v>
      </c>
      <c r="R207" s="19">
        <f t="shared" si="28"/>
        <v>4.1828650829545344E-2</v>
      </c>
      <c r="S207" s="22">
        <v>4.1384094280763506E-2</v>
      </c>
      <c r="T207" s="19">
        <f t="shared" si="29"/>
        <v>4.1927250059955234E-2</v>
      </c>
      <c r="U207" s="24">
        <v>4.5680736958614743E-2</v>
      </c>
      <c r="V207" s="24">
        <f t="shared" si="30"/>
        <v>4.6177299732225396E-2</v>
      </c>
      <c r="W207" s="23">
        <f t="shared" ref="W207:W270" si="31">(1+V206)^(1/12)-1</f>
        <v>3.7691327062412405E-3</v>
      </c>
      <c r="X207" s="24">
        <v>4.4821167747912005E-2</v>
      </c>
      <c r="Y207" s="24">
        <f t="shared" ref="Y207:Y270" si="32">(1+X208)^P208/(1+X207)^P207-1</f>
        <v>4.5323878718413591E-2</v>
      </c>
      <c r="Z207" s="23">
        <f t="shared" ref="Z207:Z270" si="33">(1+Y206)^(1/12)-1</f>
        <v>3.7008737856931706E-3</v>
      </c>
      <c r="AA207" s="36"/>
    </row>
    <row r="208" spans="15:27" ht="13.9" customHeight="1">
      <c r="O208" s="12">
        <f t="shared" si="27"/>
        <v>16.25</v>
      </c>
      <c r="P208" s="13">
        <v>195</v>
      </c>
      <c r="Q208" s="22">
        <v>4.1380035056665321E-2</v>
      </c>
      <c r="R208" s="19">
        <f t="shared" si="28"/>
        <v>4.1824841422064107E-2</v>
      </c>
      <c r="S208" s="22">
        <v>4.1386878972595742E-2</v>
      </c>
      <c r="T208" s="19">
        <f t="shared" si="29"/>
        <v>4.1923183305858869E-2</v>
      </c>
      <c r="U208" s="24">
        <v>4.5683282833044458E-2</v>
      </c>
      <c r="V208" s="24">
        <f t="shared" si="30"/>
        <v>4.6173747006584609E-2</v>
      </c>
      <c r="W208" s="23">
        <f t="shared" si="31"/>
        <v>3.7689893349872605E-3</v>
      </c>
      <c r="X208" s="24">
        <v>4.4823745136069126E-2</v>
      </c>
      <c r="Y208" s="24">
        <f t="shared" si="32"/>
        <v>4.532027816844697E-2</v>
      </c>
      <c r="Z208" s="23">
        <f t="shared" si="33"/>
        <v>3.7007282794960794E-3</v>
      </c>
      <c r="AA208" s="36"/>
    </row>
    <row r="209" spans="15:27" ht="13.9" customHeight="1">
      <c r="O209" s="12">
        <f t="shared" si="27"/>
        <v>16.333333333333332</v>
      </c>
      <c r="P209" s="13">
        <v>196</v>
      </c>
      <c r="Q209" s="22">
        <v>4.1382303994836001E-2</v>
      </c>
      <c r="R209" s="19">
        <f t="shared" si="28"/>
        <v>4.1819417020942717E-2</v>
      </c>
      <c r="S209" s="22">
        <v>4.138961451845824E-2</v>
      </c>
      <c r="T209" s="19">
        <f t="shared" si="29"/>
        <v>4.1917184305285682E-2</v>
      </c>
      <c r="U209" s="24">
        <v>4.568578461760131E-2</v>
      </c>
      <c r="V209" s="24">
        <f t="shared" si="30"/>
        <v>4.6168432909355017E-2</v>
      </c>
      <c r="W209" s="23">
        <f t="shared" si="31"/>
        <v>3.7687052753143657E-3</v>
      </c>
      <c r="X209" s="24">
        <v>4.482627786916793E-2</v>
      </c>
      <c r="Y209" s="24">
        <f t="shared" si="32"/>
        <v>4.5314894136892381E-2</v>
      </c>
      <c r="Z209" s="23">
        <f t="shared" si="33"/>
        <v>3.700440180562925E-3</v>
      </c>
      <c r="AA209" s="36"/>
    </row>
    <row r="210" spans="15:27" ht="13.9" customHeight="1">
      <c r="O210" s="12">
        <f t="shared" si="27"/>
        <v>16.416666666666668</v>
      </c>
      <c r="P210" s="13">
        <v>197</v>
      </c>
      <c r="Q210" s="22">
        <v>4.1384522379504407E-2</v>
      </c>
      <c r="R210" s="19">
        <f t="shared" si="28"/>
        <v>4.1812375746018926E-2</v>
      </c>
      <c r="S210" s="22">
        <v>4.1392291863006747E-2</v>
      </c>
      <c r="T210" s="19">
        <f t="shared" si="29"/>
        <v>4.1909253344805331E-2</v>
      </c>
      <c r="U210" s="24">
        <v>4.568823404656186E-2</v>
      </c>
      <c r="V210" s="24">
        <f t="shared" si="30"/>
        <v>4.6161355664547044E-2</v>
      </c>
      <c r="W210" s="23">
        <f t="shared" si="31"/>
        <v>3.7682803827849831E-3</v>
      </c>
      <c r="X210" s="24">
        <v>4.4828757577957568E-2</v>
      </c>
      <c r="Y210" s="24">
        <f t="shared" si="32"/>
        <v>4.5307725173910907E-2</v>
      </c>
      <c r="Z210" s="23">
        <f t="shared" si="33"/>
        <v>3.7000093741943463E-3</v>
      </c>
      <c r="AA210" s="36"/>
    </row>
    <row r="211" spans="15:27" ht="13.9" customHeight="1">
      <c r="O211" s="12">
        <f t="shared" si="27"/>
        <v>16.5</v>
      </c>
      <c r="P211" s="13">
        <v>198</v>
      </c>
      <c r="Q211" s="22">
        <v>4.1386682813556952E-2</v>
      </c>
      <c r="R211" s="19">
        <f t="shared" si="28"/>
        <v>4.1803721746703548E-2</v>
      </c>
      <c r="S211" s="22">
        <v>4.1394902135019729E-2</v>
      </c>
      <c r="T211" s="19">
        <f t="shared" si="29"/>
        <v>4.1899390598280739E-2</v>
      </c>
      <c r="U211" s="24">
        <v>4.5690623012009546E-2</v>
      </c>
      <c r="V211" s="24">
        <f t="shared" si="30"/>
        <v>4.6152513489571501E-2</v>
      </c>
      <c r="W211" s="23">
        <f t="shared" si="31"/>
        <v>3.7677145134300538E-3</v>
      </c>
      <c r="X211" s="24">
        <v>4.4831176054726196E-2</v>
      </c>
      <c r="Y211" s="24">
        <f t="shared" si="32"/>
        <v>4.5298769794704485E-2</v>
      </c>
      <c r="Z211" s="23">
        <f t="shared" si="33"/>
        <v>3.6994357423576485E-3</v>
      </c>
      <c r="AA211" s="36"/>
    </row>
    <row r="212" spans="15:27" ht="13.9" customHeight="1">
      <c r="O212" s="12">
        <f t="shared" si="27"/>
        <v>16.583333333333332</v>
      </c>
      <c r="P212" s="13">
        <v>199</v>
      </c>
      <c r="Q212" s="22">
        <v>4.1388778069185728E-2</v>
      </c>
      <c r="R212" s="19">
        <f t="shared" si="28"/>
        <v>4.1793477474004748E-2</v>
      </c>
      <c r="S212" s="22">
        <v>4.139743664215767E-2</v>
      </c>
      <c r="T212" s="19">
        <f t="shared" si="29"/>
        <v>4.18875961299916E-2</v>
      </c>
      <c r="U212" s="24">
        <v>4.5692943559795918E-2</v>
      </c>
      <c r="V212" s="24">
        <f t="shared" si="30"/>
        <v>4.6141904621136876E-2</v>
      </c>
      <c r="W212" s="23">
        <f t="shared" si="31"/>
        <v>3.7670075220959109E-3</v>
      </c>
      <c r="X212" s="24">
        <v>4.4833525249025286E-2</v>
      </c>
      <c r="Y212" s="24">
        <f t="shared" si="32"/>
        <v>4.5288026483599753E-2</v>
      </c>
      <c r="Z212" s="23">
        <f t="shared" si="33"/>
        <v>3.69871916355069E-3</v>
      </c>
      <c r="AA212" s="36"/>
    </row>
    <row r="213" spans="15:27" ht="13.9" customHeight="1">
      <c r="O213" s="12">
        <f t="shared" si="27"/>
        <v>16.666666666666668</v>
      </c>
      <c r="P213" s="13">
        <v>200</v>
      </c>
      <c r="Q213" s="22">
        <v>4.1390801175096081E-2</v>
      </c>
      <c r="R213" s="19">
        <f t="shared" si="28"/>
        <v>4.1781646920141524E-2</v>
      </c>
      <c r="S213" s="22">
        <v>4.1399886865896018E-2</v>
      </c>
      <c r="T213" s="19">
        <f t="shared" si="29"/>
        <v>4.1873869896553284E-2</v>
      </c>
      <c r="U213" s="24">
        <v>4.5695187885753219E-2</v>
      </c>
      <c r="V213" s="24">
        <f t="shared" si="30"/>
        <v>4.6129527303638174E-2</v>
      </c>
      <c r="W213" s="23">
        <f t="shared" si="31"/>
        <v>3.7661592645141795E-3</v>
      </c>
      <c r="X213" s="24">
        <v>4.4835797263543142E-2</v>
      </c>
      <c r="Y213" s="24">
        <f t="shared" si="32"/>
        <v>4.5275493696526503E-2</v>
      </c>
      <c r="Z213" s="23">
        <f t="shared" si="33"/>
        <v>3.697859513124957E-3</v>
      </c>
      <c r="AA213" s="36"/>
    </row>
    <row r="214" spans="15:27" ht="13.9" customHeight="1">
      <c r="O214" s="12">
        <f t="shared" si="27"/>
        <v>16.75</v>
      </c>
      <c r="P214" s="13">
        <v>201</v>
      </c>
      <c r="Q214" s="22">
        <v>4.1392745318298729E-2</v>
      </c>
      <c r="R214" s="19">
        <f t="shared" si="28"/>
        <v>4.1768227861566753E-2</v>
      </c>
      <c r="S214" s="22">
        <v>4.140224445661933E-2</v>
      </c>
      <c r="T214" s="19">
        <f t="shared" si="29"/>
        <v>4.1858211751832686E-2</v>
      </c>
      <c r="U214" s="24">
        <v>4.5697348331961818E-2</v>
      </c>
      <c r="V214" s="24">
        <f t="shared" si="30"/>
        <v>4.6115379794251954E-2</v>
      </c>
      <c r="W214" s="23">
        <f t="shared" si="31"/>
        <v>3.7651695963689669E-3</v>
      </c>
      <c r="X214" s="24">
        <v>4.4837984350113658E-2</v>
      </c>
      <c r="Y214" s="24">
        <f t="shared" si="32"/>
        <v>4.5261169861948281E-2</v>
      </c>
      <c r="Z214" s="23">
        <f t="shared" si="33"/>
        <v>3.6968566634822952E-3</v>
      </c>
      <c r="AA214" s="36"/>
    </row>
    <row r="215" spans="15:27" ht="13.9" customHeight="1">
      <c r="O215" s="12">
        <f t="shared" si="27"/>
        <v>16.833333333333332</v>
      </c>
      <c r="P215" s="13">
        <v>202</v>
      </c>
      <c r="Q215" s="22">
        <v>4.1394603809402186E-2</v>
      </c>
      <c r="R215" s="19">
        <f t="shared" si="28"/>
        <v>4.1753217986830959E-2</v>
      </c>
      <c r="S215" s="22">
        <v>4.1404501228886614E-2</v>
      </c>
      <c r="T215" s="19">
        <f t="shared" si="29"/>
        <v>4.184062144877676E-2</v>
      </c>
      <c r="U215" s="24">
        <v>4.5699417383155971E-2</v>
      </c>
      <c r="V215" s="24">
        <f t="shared" si="30"/>
        <v>4.6099460371550771E-2</v>
      </c>
      <c r="W215" s="23">
        <f t="shared" si="31"/>
        <v>3.7640383737040928E-3</v>
      </c>
      <c r="X215" s="24">
        <v>4.4840078905849845E-2</v>
      </c>
      <c r="Y215" s="24">
        <f t="shared" si="32"/>
        <v>4.524505338641216E-2</v>
      </c>
      <c r="Z215" s="23">
        <f t="shared" si="33"/>
        <v>3.6957104841477406E-3</v>
      </c>
      <c r="AA215" s="36"/>
    </row>
    <row r="216" spans="15:27" ht="13.9" customHeight="1">
      <c r="O216" s="12">
        <f t="shared" si="27"/>
        <v>16.916666666666668</v>
      </c>
      <c r="P216" s="13">
        <v>203</v>
      </c>
      <c r="Q216" s="22">
        <v>4.1396370079104461E-2</v>
      </c>
      <c r="R216" s="19">
        <f t="shared" si="28"/>
        <v>4.1736614897704305E-2</v>
      </c>
      <c r="S216" s="22">
        <v>4.1406649156845443E-2</v>
      </c>
      <c r="T216" s="19">
        <f t="shared" si="29"/>
        <v>4.1821098642778054E-2</v>
      </c>
      <c r="U216" s="24">
        <v>4.570138766327636E-2</v>
      </c>
      <c r="V216" s="24">
        <f t="shared" si="30"/>
        <v>4.6081767322032618E-2</v>
      </c>
      <c r="W216" s="23">
        <f t="shared" si="31"/>
        <v>3.7627654536083188E-3</v>
      </c>
      <c r="X216" s="24">
        <v>4.4842073469417931E-2</v>
      </c>
      <c r="Y216" s="24">
        <f t="shared" si="32"/>
        <v>4.522714265373029E-2</v>
      </c>
      <c r="Z216" s="23">
        <f t="shared" si="33"/>
        <v>3.6944208422104996E-3</v>
      </c>
      <c r="AA216" s="36"/>
    </row>
    <row r="217" spans="15:27" ht="13.9" customHeight="1">
      <c r="O217" s="12">
        <f t="shared" si="27"/>
        <v>17</v>
      </c>
      <c r="P217" s="13">
        <v>204</v>
      </c>
      <c r="Q217" s="22">
        <v>4.1398037674794219E-2</v>
      </c>
      <c r="R217" s="19">
        <f t="shared" si="28"/>
        <v>4.1718422131863164E-2</v>
      </c>
      <c r="S217" s="22">
        <v>4.1408680369798834E-2</v>
      </c>
      <c r="T217" s="19">
        <f t="shared" si="29"/>
        <v>4.1799642893718181E-2</v>
      </c>
      <c r="U217" s="24">
        <v>4.5703251932060374E-2</v>
      </c>
      <c r="V217" s="24">
        <f t="shared" si="30"/>
        <v>4.606229897013403E-2</v>
      </c>
      <c r="W217" s="23">
        <f t="shared" si="31"/>
        <v>3.7613506931370999E-3</v>
      </c>
      <c r="X217" s="24">
        <v>4.4843960717418696E-2</v>
      </c>
      <c r="Y217" s="24">
        <f t="shared" si="32"/>
        <v>4.5207436032656645E-2</v>
      </c>
      <c r="Z217" s="23">
        <f t="shared" si="33"/>
        <v>3.6929876022575581E-3</v>
      </c>
      <c r="AA217" s="36"/>
    </row>
    <row r="218" spans="15:27" ht="13.9" customHeight="1">
      <c r="O218" s="12">
        <f t="shared" si="27"/>
        <v>17.083333333333332</v>
      </c>
      <c r="P218" s="13">
        <v>205</v>
      </c>
      <c r="Q218" s="22">
        <v>4.1399600286621707E-2</v>
      </c>
      <c r="R218" s="19">
        <f t="shared" si="28"/>
        <v>4.1698661216142963E-2</v>
      </c>
      <c r="S218" s="22">
        <v>4.1410587147911793E-2</v>
      </c>
      <c r="T218" s="19">
        <f t="shared" si="29"/>
        <v>4.1776253670249508E-2</v>
      </c>
      <c r="U218" s="24">
        <v>4.5705003081877527E-2</v>
      </c>
      <c r="V218" s="24">
        <f t="shared" si="30"/>
        <v>4.6041053649264141E-2</v>
      </c>
      <c r="W218" s="23">
        <f t="shared" si="31"/>
        <v>3.7597939517093337E-3</v>
      </c>
      <c r="X218" s="24">
        <v>4.4845733460912252E-2</v>
      </c>
      <c r="Y218" s="24">
        <f t="shared" si="32"/>
        <v>4.5185931869635043E-2</v>
      </c>
      <c r="Z218" s="23">
        <f t="shared" si="33"/>
        <v>3.6914106269845259E-3</v>
      </c>
      <c r="AA218" s="36"/>
    </row>
    <row r="219" spans="15:27" ht="13.9" customHeight="1">
      <c r="O219" s="12">
        <f t="shared" si="27"/>
        <v>17.166666666666668</v>
      </c>
      <c r="P219" s="13">
        <v>206</v>
      </c>
      <c r="Q219" s="22">
        <v>4.1401051831306823E-2</v>
      </c>
      <c r="R219" s="19">
        <f t="shared" si="28"/>
        <v>4.1677335554097139E-2</v>
      </c>
      <c r="S219" s="22">
        <v>4.1412361918063967E-2</v>
      </c>
      <c r="T219" s="19">
        <f t="shared" si="29"/>
        <v>4.1750930352963955E-2</v>
      </c>
      <c r="U219" s="24">
        <v>4.5706634134518032E-2</v>
      </c>
      <c r="V219" s="24">
        <f t="shared" si="30"/>
        <v>4.6018029731348165E-2</v>
      </c>
      <c r="W219" s="23">
        <f t="shared" si="31"/>
        <v>3.7580950887901032E-3</v>
      </c>
      <c r="X219" s="24">
        <v>4.4847384642008103E-2</v>
      </c>
      <c r="Y219" s="24">
        <f t="shared" si="32"/>
        <v>4.5162628505103664E-2</v>
      </c>
      <c r="Z219" s="23">
        <f t="shared" si="33"/>
        <v>3.6896897766136583E-3</v>
      </c>
      <c r="AA219" s="36"/>
    </row>
    <row r="220" spans="15:27" ht="13.9" customHeight="1">
      <c r="O220" s="12">
        <f t="shared" si="27"/>
        <v>17.25</v>
      </c>
      <c r="P220" s="13">
        <v>207</v>
      </c>
      <c r="Q220" s="22">
        <v>4.1402386359119525E-2</v>
      </c>
      <c r="R220" s="19">
        <f t="shared" si="28"/>
        <v>4.1654442455721918E-2</v>
      </c>
      <c r="S220" s="22">
        <v>4.1413997249839074E-2</v>
      </c>
      <c r="T220" s="19">
        <f t="shared" si="29"/>
        <v>4.1723672235865372E-2</v>
      </c>
      <c r="U220" s="24">
        <v>4.5708138238216067E-2</v>
      </c>
      <c r="V220" s="24">
        <f t="shared" si="30"/>
        <v>4.5993225607075416E-2</v>
      </c>
      <c r="W220" s="23">
        <f t="shared" si="31"/>
        <v>3.7562539662505667E-3</v>
      </c>
      <c r="X220" s="24">
        <v>4.4848907330635068E-2</v>
      </c>
      <c r="Y220" s="24">
        <f t="shared" si="32"/>
        <v>4.5137524262298667E-2</v>
      </c>
      <c r="Z220" s="23">
        <f t="shared" si="33"/>
        <v>3.6878249101959248E-3</v>
      </c>
      <c r="AA220" s="36"/>
    </row>
    <row r="221" spans="15:27" ht="13.9" customHeight="1">
      <c r="O221" s="12">
        <f t="shared" si="27"/>
        <v>17.333333333333332</v>
      </c>
      <c r="P221" s="13">
        <v>208</v>
      </c>
      <c r="Q221" s="22">
        <v>4.1403598021354737E-2</v>
      </c>
      <c r="R221" s="19">
        <f t="shared" si="28"/>
        <v>4.1629979155160424E-2</v>
      </c>
      <c r="S221" s="22">
        <v>4.1415485851636902E-2</v>
      </c>
      <c r="T221" s="19">
        <f t="shared" si="29"/>
        <v>4.1694478530294177E-2</v>
      </c>
      <c r="U221" s="24">
        <v>4.5709508664665943E-2</v>
      </c>
      <c r="V221" s="24">
        <f t="shared" si="30"/>
        <v>4.5966639708433954E-2</v>
      </c>
      <c r="W221" s="23">
        <f t="shared" si="31"/>
        <v>3.7542704467865562E-3</v>
      </c>
      <c r="X221" s="24">
        <v>4.4850294721348938E-2</v>
      </c>
      <c r="Y221" s="24">
        <f t="shared" si="32"/>
        <v>4.5110617462451374E-2</v>
      </c>
      <c r="Z221" s="23">
        <f t="shared" si="33"/>
        <v>3.6858158847130618E-3</v>
      </c>
      <c r="AA221" s="36"/>
    </row>
    <row r="222" spans="15:27" ht="13.9" customHeight="1">
      <c r="O222" s="12">
        <f t="shared" si="27"/>
        <v>17.416666666666668</v>
      </c>
      <c r="P222" s="13">
        <v>209</v>
      </c>
      <c r="Q222" s="22">
        <v>4.140468106752504E-2</v>
      </c>
      <c r="R222" s="19">
        <f t="shared" si="28"/>
        <v>4.1603942812780348E-2</v>
      </c>
      <c r="S222" s="22">
        <v>4.141682056691609E-2</v>
      </c>
      <c r="T222" s="19">
        <f t="shared" si="29"/>
        <v>4.1663348368521591E-2</v>
      </c>
      <c r="U222" s="24">
        <v>4.5710738806230555E-2</v>
      </c>
      <c r="V222" s="24">
        <f t="shared" si="30"/>
        <v>4.5938270496873379E-2</v>
      </c>
      <c r="W222" s="23">
        <f t="shared" si="31"/>
        <v>3.7521443957184708E-3</v>
      </c>
      <c r="X222" s="24">
        <v>4.4851540130306455E-2</v>
      </c>
      <c r="Y222" s="24">
        <f t="shared" si="32"/>
        <v>4.5081906415155304E-2</v>
      </c>
      <c r="Z222" s="23">
        <f t="shared" si="33"/>
        <v>3.6836625562917114E-3</v>
      </c>
      <c r="AA222" s="36"/>
    </row>
    <row r="223" spans="15:27" ht="13.9" customHeight="1">
      <c r="O223" s="12">
        <f t="shared" si="27"/>
        <v>17.5</v>
      </c>
      <c r="P223" s="13">
        <v>210</v>
      </c>
      <c r="Q223" s="22">
        <v>4.1405629842644842E-2</v>
      </c>
      <c r="R223" s="19">
        <f t="shared" si="28"/>
        <v>4.1576336431034422E-2</v>
      </c>
      <c r="S223" s="22">
        <v>4.141799437056215E-2</v>
      </c>
      <c r="T223" s="19">
        <f t="shared" si="29"/>
        <v>4.1630280805809106E-2</v>
      </c>
      <c r="U223" s="24">
        <v>4.571182217317471E-2</v>
      </c>
      <c r="V223" s="24">
        <f t="shared" si="30"/>
        <v>4.59081164670192E-2</v>
      </c>
      <c r="W223" s="23">
        <f t="shared" si="31"/>
        <v>3.7498756800438127E-3</v>
      </c>
      <c r="X223" s="24">
        <v>4.4852636992278816E-2</v>
      </c>
      <c r="Y223" s="24">
        <f t="shared" si="32"/>
        <v>4.5051389431189026E-2</v>
      </c>
      <c r="Z223" s="23">
        <f t="shared" si="33"/>
        <v>3.6813647794287085E-3</v>
      </c>
      <c r="AA223" s="36"/>
    </row>
    <row r="224" spans="15:27" ht="13.9" customHeight="1">
      <c r="O224" s="12">
        <f t="shared" si="27"/>
        <v>17.583333333333332</v>
      </c>
      <c r="P224" s="13">
        <v>211</v>
      </c>
      <c r="Q224" s="22">
        <v>4.1406438812621849E-2</v>
      </c>
      <c r="R224" s="19">
        <f t="shared" si="28"/>
        <v>4.1547180690880481E-2</v>
      </c>
      <c r="S224" s="22">
        <v>4.1419000365368275E-2</v>
      </c>
      <c r="T224" s="19">
        <f t="shared" si="29"/>
        <v>4.159527482354175E-2</v>
      </c>
      <c r="U224" s="24">
        <v>4.5712752390994149E-2</v>
      </c>
      <c r="V224" s="24">
        <f t="shared" si="30"/>
        <v>4.5876176164573845E-2</v>
      </c>
      <c r="W224" s="23">
        <f t="shared" si="31"/>
        <v>3.7474641687309518E-3</v>
      </c>
      <c r="X224" s="24">
        <v>4.4853578857811938E-2</v>
      </c>
      <c r="Y224" s="24">
        <f t="shared" si="32"/>
        <v>4.5019064819689314E-2</v>
      </c>
      <c r="Z224" s="23">
        <f t="shared" si="33"/>
        <v>3.6789224080169269E-3</v>
      </c>
      <c r="AA224" s="36"/>
    </row>
    <row r="225" spans="15:27" ht="13.9" customHeight="1">
      <c r="O225" s="12">
        <f t="shared" si="27"/>
        <v>17.666666666666668</v>
      </c>
      <c r="P225" s="13">
        <v>212</v>
      </c>
      <c r="Q225" s="22">
        <v>4.1407102644761551E-2</v>
      </c>
      <c r="R225" s="19">
        <f t="shared" si="28"/>
        <v>4.1516478483849539E-2</v>
      </c>
      <c r="S225" s="22">
        <v>4.14198317786314E-2</v>
      </c>
      <c r="T225" s="19">
        <f t="shared" si="29"/>
        <v>4.1558329333027721E-2</v>
      </c>
      <c r="U225" s="24">
        <v>4.5713523197905559E-2</v>
      </c>
      <c r="V225" s="24">
        <f t="shared" si="30"/>
        <v>4.5842448169288508E-2</v>
      </c>
      <c r="W225" s="23">
        <f t="shared" si="31"/>
        <v>3.7449097341504256E-3</v>
      </c>
      <c r="X225" s="24">
        <v>4.4854359390453791E-2</v>
      </c>
      <c r="Y225" s="24">
        <f t="shared" si="32"/>
        <v>4.4984930891836861E-2</v>
      </c>
      <c r="Z225" s="23">
        <f t="shared" si="33"/>
        <v>3.6763352951152406E-3</v>
      </c>
      <c r="AA225" s="36"/>
    </row>
    <row r="226" spans="15:27" ht="13.9" customHeight="1">
      <c r="O226" s="12">
        <f t="shared" si="27"/>
        <v>17.75</v>
      </c>
      <c r="P226" s="13">
        <v>213</v>
      </c>
      <c r="Q226" s="22">
        <v>4.1407616119516266E-2</v>
      </c>
      <c r="R226" s="19">
        <f t="shared" si="28"/>
        <v>4.1484226725488238E-2</v>
      </c>
      <c r="S226" s="22">
        <v>4.1420481958861943E-2</v>
      </c>
      <c r="T226" s="19">
        <f t="shared" si="29"/>
        <v>4.151944317695877E-2</v>
      </c>
      <c r="U226" s="24">
        <v>4.5714128442327251E-2</v>
      </c>
      <c r="V226" s="24">
        <f t="shared" si="30"/>
        <v>4.5806931105540682E-2</v>
      </c>
      <c r="W226" s="23">
        <f t="shared" si="31"/>
        <v>3.742212250710919E-3</v>
      </c>
      <c r="X226" s="24">
        <v>4.4854972364077428E-2</v>
      </c>
      <c r="Y226" s="24">
        <f t="shared" si="32"/>
        <v>4.494898596455954E-2</v>
      </c>
      <c r="Z226" s="23">
        <f t="shared" si="33"/>
        <v>3.6736032932416229E-3</v>
      </c>
      <c r="AA226" s="36"/>
    </row>
    <row r="227" spans="15:27" ht="13.9" customHeight="1">
      <c r="O227" s="12">
        <f t="shared" si="27"/>
        <v>17.833333333333332</v>
      </c>
      <c r="P227" s="13">
        <v>214</v>
      </c>
      <c r="Q227" s="22">
        <v>4.1407974099896494E-2</v>
      </c>
      <c r="R227" s="19">
        <f t="shared" si="28"/>
        <v>4.1450422267340636E-2</v>
      </c>
      <c r="S227" s="22">
        <v>4.1420944372593027E-2</v>
      </c>
      <c r="T227" s="19">
        <f t="shared" si="29"/>
        <v>4.147861513455342E-2</v>
      </c>
      <c r="U227" s="24">
        <v>4.5714562080480414E-2</v>
      </c>
      <c r="V227" s="24">
        <f t="shared" si="30"/>
        <v>4.5769623646228386E-2</v>
      </c>
      <c r="W227" s="23">
        <f t="shared" si="31"/>
        <v>3.7393715957036999E-3</v>
      </c>
      <c r="X227" s="24">
        <v>4.4855411660296829E-2</v>
      </c>
      <c r="Y227" s="24">
        <f t="shared" si="32"/>
        <v>4.4911228360539512E-2</v>
      </c>
      <c r="Z227" s="23">
        <f t="shared" si="33"/>
        <v>3.6707262546675778E-3</v>
      </c>
      <c r="AA227" s="36"/>
    </row>
    <row r="228" spans="15:27" ht="13.9" customHeight="1">
      <c r="O228" s="12">
        <f t="shared" si="27"/>
        <v>17.916666666666668</v>
      </c>
      <c r="P228" s="13">
        <v>215</v>
      </c>
      <c r="Q228" s="22">
        <v>4.1408171529228488E-2</v>
      </c>
      <c r="R228" s="19">
        <f t="shared" si="28"/>
        <v>4.1415061901938666E-2</v>
      </c>
      <c r="S228" s="22">
        <v>4.1421212601302937E-2</v>
      </c>
      <c r="T228" s="19">
        <f t="shared" si="29"/>
        <v>4.1435843922852822E-2</v>
      </c>
      <c r="U228" s="24">
        <v>4.5714818174075411E-2</v>
      </c>
      <c r="V228" s="24">
        <f t="shared" si="30"/>
        <v>4.573052452001769E-2</v>
      </c>
      <c r="W228" s="23">
        <f t="shared" si="31"/>
        <v>3.7363876496125936E-3</v>
      </c>
      <c r="X228" s="24">
        <v>4.4855671265954244E-2</v>
      </c>
      <c r="Y228" s="24">
        <f t="shared" si="32"/>
        <v>4.4871656415519823E-2</v>
      </c>
      <c r="Z228" s="23">
        <f t="shared" si="33"/>
        <v>3.6677040314159193E-3</v>
      </c>
      <c r="AA228" s="36"/>
    </row>
    <row r="229" spans="15:27" ht="13.9" customHeight="1">
      <c r="O229" s="12">
        <f t="shared" si="27"/>
        <v>18</v>
      </c>
      <c r="P229" s="13">
        <v>216</v>
      </c>
      <c r="Q229" s="22">
        <v>4.1408203428997092E-2</v>
      </c>
      <c r="R229" s="19">
        <f t="shared" si="28"/>
        <v>4.1378148167784623E-2</v>
      </c>
      <c r="S229" s="22">
        <v>4.1421280338429067E-2</v>
      </c>
      <c r="T229" s="19">
        <f t="shared" si="29"/>
        <v>4.1391128201111904E-2</v>
      </c>
      <c r="U229" s="24">
        <v>4.5714890888096438E-2</v>
      </c>
      <c r="V229" s="24">
        <f t="shared" si="30"/>
        <v>4.5689632498263411E-2</v>
      </c>
      <c r="W229" s="23">
        <f t="shared" si="31"/>
        <v>3.733260296692853E-3</v>
      </c>
      <c r="X229" s="24">
        <v>4.4855745270712788E-2</v>
      </c>
      <c r="Y229" s="24">
        <f t="shared" si="32"/>
        <v>4.4830268476383051E-2</v>
      </c>
      <c r="Z229" s="23">
        <f t="shared" si="33"/>
        <v>3.6645364758431942E-3</v>
      </c>
      <c r="AA229" s="36"/>
    </row>
    <row r="230" spans="15:27" ht="13.9" customHeight="1">
      <c r="O230" s="12">
        <f t="shared" si="27"/>
        <v>18.083333333333332</v>
      </c>
      <c r="P230" s="13">
        <v>217</v>
      </c>
      <c r="Q230" s="22">
        <v>4.1408064923499799E-2</v>
      </c>
      <c r="R230" s="19">
        <f t="shared" si="28"/>
        <v>4.1339700977784943E-2</v>
      </c>
      <c r="S230" s="22">
        <v>4.1421141386485338E-2</v>
      </c>
      <c r="T230" s="19">
        <f t="shared" si="29"/>
        <v>4.1344466571547889E-2</v>
      </c>
      <c r="U230" s="24">
        <v>4.5714774488587295E-2</v>
      </c>
      <c r="V230" s="24">
        <f t="shared" si="30"/>
        <v>4.56469464168614E-2</v>
      </c>
      <c r="W230" s="23">
        <f t="shared" si="31"/>
        <v>3.729989423923552E-3</v>
      </c>
      <c r="X230" s="24">
        <v>4.4855627864705871E-2</v>
      </c>
      <c r="Y230" s="24">
        <f t="shared" si="32"/>
        <v>4.4787062904656505E-2</v>
      </c>
      <c r="Z230" s="23">
        <f t="shared" si="33"/>
        <v>3.6612234404846955E-3</v>
      </c>
      <c r="AA230" s="36"/>
    </row>
    <row r="231" spans="15:27" ht="13.9" customHeight="1">
      <c r="O231" s="12">
        <f t="shared" si="27"/>
        <v>18.166666666666668</v>
      </c>
      <c r="P231" s="13">
        <v>218</v>
      </c>
      <c r="Q231" s="22">
        <v>4.1407751317172226E-2</v>
      </c>
      <c r="R231" s="19">
        <f t="shared" si="28"/>
        <v>4.1299722780141712E-2</v>
      </c>
      <c r="S231" s="22">
        <v>4.1420789654261769E-2</v>
      </c>
      <c r="T231" s="19">
        <f t="shared" si="29"/>
        <v>4.1295857585847306E-2</v>
      </c>
      <c r="U231" s="24">
        <v>4.571446334059881E-2</v>
      </c>
      <c r="V231" s="24">
        <f t="shared" si="30"/>
        <v>4.5602465164450656E-2</v>
      </c>
      <c r="W231" s="23">
        <f t="shared" si="31"/>
        <v>3.7265749227544109E-3</v>
      </c>
      <c r="X231" s="24">
        <v>4.485531333626791E-2</v>
      </c>
      <c r="Y231" s="24">
        <f t="shared" si="32"/>
        <v>4.4742038082755231E-2</v>
      </c>
      <c r="Z231" s="23">
        <f t="shared" si="33"/>
        <v>3.6577647783317957E-3</v>
      </c>
      <c r="AA231" s="36"/>
    </row>
    <row r="232" spans="15:27" ht="13.9" customHeight="1">
      <c r="O232" s="12">
        <f t="shared" si="27"/>
        <v>18.25</v>
      </c>
      <c r="P232" s="13">
        <v>219</v>
      </c>
      <c r="Q232" s="22">
        <v>4.1407258010711434E-2</v>
      </c>
      <c r="R232" s="19">
        <f t="shared" si="28"/>
        <v>4.1258210166805087E-2</v>
      </c>
      <c r="S232" s="22">
        <v>4.1420219154131965E-2</v>
      </c>
      <c r="T232" s="19">
        <f t="shared" si="29"/>
        <v>4.1245299745400699E-2</v>
      </c>
      <c r="U232" s="24">
        <v>4.5713951906138472E-2</v>
      </c>
      <c r="V232" s="24">
        <f t="shared" si="30"/>
        <v>4.5556187692489036E-2</v>
      </c>
      <c r="W232" s="23">
        <f t="shared" si="31"/>
        <v>3.723016688160774E-3</v>
      </c>
      <c r="X232" s="24">
        <v>4.4854796069755842E-2</v>
      </c>
      <c r="Y232" s="24">
        <f t="shared" si="32"/>
        <v>4.4695192411337015E-2</v>
      </c>
      <c r="Z232" s="23">
        <f t="shared" si="33"/>
        <v>3.654160343330215E-3</v>
      </c>
      <c r="AA232" s="36"/>
    </row>
    <row r="233" spans="15:27" ht="13.9" customHeight="1">
      <c r="O233" s="12">
        <f t="shared" si="27"/>
        <v>18.333333333333332</v>
      </c>
      <c r="P233" s="13">
        <v>220</v>
      </c>
      <c r="Q233" s="22">
        <v>4.140658047224588E-2</v>
      </c>
      <c r="R233" s="19">
        <f t="shared" si="28"/>
        <v>4.1215159678133828E-2</v>
      </c>
      <c r="S233" s="22">
        <v>4.1419423999434102E-2</v>
      </c>
      <c r="T233" s="19">
        <f t="shared" si="29"/>
        <v>4.1192791505304971E-2</v>
      </c>
      <c r="U233" s="24">
        <v>4.5713234742222664E-2</v>
      </c>
      <c r="V233" s="24">
        <f t="shared" si="30"/>
        <v>4.5508113016447194E-2</v>
      </c>
      <c r="W233" s="23">
        <f t="shared" si="31"/>
        <v>3.7193146194500759E-3</v>
      </c>
      <c r="X233" s="24">
        <v>4.4854070543418834E-2</v>
      </c>
      <c r="Y233" s="24">
        <f t="shared" si="32"/>
        <v>4.4646524318156855E-2</v>
      </c>
      <c r="Z233" s="23">
        <f t="shared" si="33"/>
        <v>3.6504099901657483E-3</v>
      </c>
      <c r="AA233" s="36"/>
    </row>
    <row r="234" spans="15:27" ht="13.9" customHeight="1">
      <c r="O234" s="12">
        <f t="shared" si="27"/>
        <v>18.416666666666668</v>
      </c>
      <c r="P234" s="13">
        <v>221</v>
      </c>
      <c r="Q234" s="22">
        <v>4.1405714235552837E-2</v>
      </c>
      <c r="R234" s="19">
        <f t="shared" si="28"/>
        <v>4.1170567805825842E-2</v>
      </c>
      <c r="S234" s="22">
        <v>4.1418398401941614E-2</v>
      </c>
      <c r="T234" s="19">
        <f t="shared" si="29"/>
        <v>4.1138331277789986E-2</v>
      </c>
      <c r="U234" s="24">
        <v>4.571230649898661E-2</v>
      </c>
      <c r="V234" s="24">
        <f t="shared" si="30"/>
        <v>4.5458240212604695E-2</v>
      </c>
      <c r="W234" s="23">
        <f t="shared" si="31"/>
        <v>3.7154686203551002E-3</v>
      </c>
      <c r="X234" s="24">
        <v>4.4853131327365237E-2</v>
      </c>
      <c r="Y234" s="24">
        <f t="shared" si="32"/>
        <v>4.4596032251965401E-2</v>
      </c>
      <c r="Z234" s="23">
        <f t="shared" si="33"/>
        <v>3.6465135749714772E-3</v>
      </c>
      <c r="AA234" s="36"/>
    </row>
    <row r="235" spans="15:27" ht="13.9" customHeight="1">
      <c r="O235" s="12">
        <f t="shared" si="27"/>
        <v>18.5</v>
      </c>
      <c r="P235" s="13">
        <v>222</v>
      </c>
      <c r="Q235" s="22">
        <v>4.1404654898337556E-2</v>
      </c>
      <c r="R235" s="19">
        <f t="shared" si="28"/>
        <v>4.1124436696228894E-2</v>
      </c>
      <c r="S235" s="22">
        <v>4.1417136669418042E-2</v>
      </c>
      <c r="T235" s="19">
        <f t="shared" si="29"/>
        <v>4.1081917434981019E-2</v>
      </c>
      <c r="U235" s="24">
        <v>4.5711161917832088E-2</v>
      </c>
      <c r="V235" s="24">
        <f t="shared" si="30"/>
        <v>4.5406568435684358E-2</v>
      </c>
      <c r="W235" s="23">
        <f t="shared" si="31"/>
        <v>3.711478598778406E-3</v>
      </c>
      <c r="X235" s="24">
        <v>4.485197308155775E-2</v>
      </c>
      <c r="Y235" s="24">
        <f t="shared" si="32"/>
        <v>4.4543714696806624E-2</v>
      </c>
      <c r="Z235" s="23">
        <f t="shared" si="33"/>
        <v>3.6424709548372736E-3</v>
      </c>
      <c r="AA235" s="36"/>
    </row>
    <row r="236" spans="15:27" ht="13.9" customHeight="1">
      <c r="O236" s="12">
        <f t="shared" si="27"/>
        <v>18.583333333333332</v>
      </c>
      <c r="P236" s="13">
        <v>223</v>
      </c>
      <c r="Q236" s="22">
        <v>4.140339814614058E-2</v>
      </c>
      <c r="R236" s="19">
        <f t="shared" si="28"/>
        <v>4.1076785564013507E-2</v>
      </c>
      <c r="S236" s="22">
        <v>4.1415633203250035E-2</v>
      </c>
      <c r="T236" s="19">
        <f t="shared" si="29"/>
        <v>4.102354831202204E-2</v>
      </c>
      <c r="U236" s="24">
        <v>4.5709795829703914E-2</v>
      </c>
      <c r="V236" s="24">
        <f t="shared" si="30"/>
        <v>4.5353096900704104E-2</v>
      </c>
      <c r="W236" s="23">
        <f t="shared" si="31"/>
        <v>3.7073444682023116E-3</v>
      </c>
      <c r="X236" s="24">
        <v>4.4850590553926262E-2</v>
      </c>
      <c r="Y236" s="24">
        <f t="shared" si="32"/>
        <v>4.4489570163965597E-2</v>
      </c>
      <c r="Z236" s="23">
        <f t="shared" si="33"/>
        <v>3.638281988952885E-3</v>
      </c>
      <c r="AA236" s="36"/>
    </row>
    <row r="237" spans="15:27" ht="13.9" customHeight="1">
      <c r="O237" s="12">
        <f t="shared" si="27"/>
        <v>18.666666666666668</v>
      </c>
      <c r="P237" s="13">
        <v>224</v>
      </c>
      <c r="Q237" s="22">
        <v>4.140193982658058E-2</v>
      </c>
      <c r="R237" s="19">
        <f t="shared" si="28"/>
        <v>4.1027616485449947E-2</v>
      </c>
      <c r="S237" s="22">
        <v>4.1413882496158072E-2</v>
      </c>
      <c r="T237" s="19">
        <f t="shared" si="29"/>
        <v>4.0963222209883243E-2</v>
      </c>
      <c r="U237" s="24">
        <v>4.5708203153331572E-2</v>
      </c>
      <c r="V237" s="24">
        <f t="shared" si="30"/>
        <v>4.5297824906810336E-2</v>
      </c>
      <c r="W237" s="23">
        <f t="shared" si="31"/>
        <v>3.7030661462365E-3</v>
      </c>
      <c r="X237" s="24">
        <v>4.4848978578496235E-2</v>
      </c>
      <c r="Y237" s="24">
        <f t="shared" si="32"/>
        <v>4.4433597201546604E-2</v>
      </c>
      <c r="Z237" s="23">
        <f t="shared" si="33"/>
        <v>3.6339465379608971E-3</v>
      </c>
      <c r="AA237" s="36"/>
    </row>
    <row r="238" spans="15:27" ht="13.9" customHeight="1">
      <c r="O238" s="12">
        <f t="shared" si="27"/>
        <v>18.75</v>
      </c>
      <c r="P238" s="13">
        <v>225</v>
      </c>
      <c r="Q238" s="22">
        <v>4.1400275869549974E-2</v>
      </c>
      <c r="R238" s="19">
        <f t="shared" si="28"/>
        <v>4.0976925795544572E-2</v>
      </c>
      <c r="S238" s="22">
        <v>4.1411879129980456E-2</v>
      </c>
      <c r="T238" s="19">
        <f t="shared" si="29"/>
        <v>4.0900937399767079E-2</v>
      </c>
      <c r="U238" s="24">
        <v>4.57063788936245E-2</v>
      </c>
      <c r="V238" s="24">
        <f t="shared" si="30"/>
        <v>4.5240751817431368E-2</v>
      </c>
      <c r="W238" s="23">
        <f t="shared" si="31"/>
        <v>3.6986435565258269E-3</v>
      </c>
      <c r="X238" s="24">
        <v>4.4847132073609686E-2</v>
      </c>
      <c r="Y238" s="24">
        <f t="shared" si="32"/>
        <v>4.4375794394727164E-2</v>
      </c>
      <c r="Z238" s="23">
        <f t="shared" si="33"/>
        <v>3.629464464723009E-3</v>
      </c>
      <c r="AA238" s="36"/>
    </row>
    <row r="239" spans="15:27" ht="13.9" customHeight="1">
      <c r="O239" s="12">
        <f t="shared" si="27"/>
        <v>18.833333333333332</v>
      </c>
      <c r="P239" s="13">
        <v>226</v>
      </c>
      <c r="Q239" s="22">
        <v>4.1398402259963385E-2</v>
      </c>
      <c r="R239" s="19">
        <f t="shared" si="28"/>
        <v>4.0924709790194136E-2</v>
      </c>
      <c r="S239" s="22">
        <v>4.140961777353569E-2</v>
      </c>
      <c r="T239" s="19">
        <f t="shared" si="29"/>
        <v>4.0836692124105012E-2</v>
      </c>
      <c r="U239" s="24">
        <v>4.5704318140022071E-2</v>
      </c>
      <c r="V239" s="24">
        <f t="shared" si="30"/>
        <v>4.518187709069621E-2</v>
      </c>
      <c r="W239" s="23">
        <f t="shared" si="31"/>
        <v>3.694076627161369E-3</v>
      </c>
      <c r="X239" s="24">
        <v>4.4845046040193459E-2</v>
      </c>
      <c r="Y239" s="24">
        <f t="shared" si="32"/>
        <v>4.4316160366570712E-2</v>
      </c>
      <c r="Z239" s="23">
        <f t="shared" si="33"/>
        <v>3.6248356343375754E-3</v>
      </c>
      <c r="AA239" s="36"/>
    </row>
    <row r="240" spans="15:27" ht="13.9" customHeight="1">
      <c r="O240" s="12">
        <f t="shared" si="27"/>
        <v>18.916666666666668</v>
      </c>
      <c r="P240" s="13">
        <v>227</v>
      </c>
      <c r="Q240" s="22">
        <v>4.1396315036351217E-2</v>
      </c>
      <c r="R240" s="19">
        <f t="shared" si="28"/>
        <v>4.0870964727857562E-2</v>
      </c>
      <c r="S240" s="22">
        <v>4.1407093180546584E-2</v>
      </c>
      <c r="T240" s="19">
        <f t="shared" si="29"/>
        <v>4.0770484601772239E-2</v>
      </c>
      <c r="U240" s="24">
        <v>4.5702016065021223E-2</v>
      </c>
      <c r="V240" s="24">
        <f t="shared" si="30"/>
        <v>4.5121200256473371E-2</v>
      </c>
      <c r="W240" s="23">
        <f t="shared" si="31"/>
        <v>3.6893652931151433E-3</v>
      </c>
      <c r="X240" s="24">
        <v>4.4842715560078794E-2</v>
      </c>
      <c r="Y240" s="24">
        <f t="shared" si="32"/>
        <v>4.4254693786449195E-2</v>
      </c>
      <c r="Z240" s="23">
        <f t="shared" si="33"/>
        <v>3.6200599142039991E-3</v>
      </c>
      <c r="AA240" s="36"/>
    </row>
    <row r="241" spans="15:27" ht="13.9" customHeight="1">
      <c r="O241" s="12">
        <f t="shared" si="27"/>
        <v>19</v>
      </c>
      <c r="P241" s="13">
        <v>228</v>
      </c>
      <c r="Q241" s="22">
        <v>4.1394010289497629E-2</v>
      </c>
      <c r="R241" s="19">
        <f t="shared" si="28"/>
        <v>4.0815692429754469E-2</v>
      </c>
      <c r="S241" s="22">
        <v>4.1404300187640963E-2</v>
      </c>
      <c r="T241" s="19">
        <f t="shared" si="29"/>
        <v>4.0702313029763237E-2</v>
      </c>
      <c r="U241" s="24">
        <v>4.5699467922643455E-2</v>
      </c>
      <c r="V241" s="24">
        <f t="shared" si="30"/>
        <v>4.5058720926915319E-2</v>
      </c>
      <c r="W241" s="23">
        <f t="shared" si="31"/>
        <v>3.6845094944044643E-3</v>
      </c>
      <c r="X241" s="24">
        <v>4.4840135794401048E-2</v>
      </c>
      <c r="Y241" s="24">
        <f t="shared" si="32"/>
        <v>4.4191393366924681E-2</v>
      </c>
      <c r="Z241" s="23">
        <f t="shared" si="33"/>
        <v>3.6151371746964145E-3</v>
      </c>
      <c r="AA241" s="36"/>
    </row>
    <row r="242" spans="15:27" ht="13.9" customHeight="1">
      <c r="O242" s="12">
        <f t="shared" si="27"/>
        <v>19.083333333333332</v>
      </c>
      <c r="P242" s="13">
        <v>229</v>
      </c>
      <c r="Q242" s="22">
        <v>4.139148418558336E-2</v>
      </c>
      <c r="R242" s="19">
        <f t="shared" si="28"/>
        <v>4.0758911483602667E-2</v>
      </c>
      <c r="S242" s="22">
        <v>4.1401233712412777E-2</v>
      </c>
      <c r="T242" s="19">
        <f t="shared" si="29"/>
        <v>4.0632175587463237E-2</v>
      </c>
      <c r="U242" s="24">
        <v>4.569666904698666E-2</v>
      </c>
      <c r="V242" s="24">
        <f t="shared" si="30"/>
        <v>4.4994438812107296E-2</v>
      </c>
      <c r="W242" s="23">
        <f t="shared" si="31"/>
        <v>3.6795091769343813E-3</v>
      </c>
      <c r="X242" s="24">
        <v>4.483730198202851E-2</v>
      </c>
      <c r="Y242" s="24">
        <f t="shared" si="32"/>
        <v>4.4126257869485652E-2</v>
      </c>
      <c r="Z242" s="23">
        <f t="shared" si="33"/>
        <v>3.6100672889112229E-3</v>
      </c>
      <c r="AA242" s="36"/>
    </row>
    <row r="243" spans="15:27" ht="13.9" customHeight="1">
      <c r="O243" s="12">
        <f t="shared" si="27"/>
        <v>19.166666666666668</v>
      </c>
      <c r="P243" s="13">
        <v>230</v>
      </c>
      <c r="Q243" s="22">
        <v>4.1388733037470704E-2</v>
      </c>
      <c r="R243" s="19">
        <f t="shared" si="28"/>
        <v>4.070062365870597E-2</v>
      </c>
      <c r="S243" s="22">
        <v>4.1397888751552703E-2</v>
      </c>
      <c r="T243" s="19">
        <f t="shared" si="29"/>
        <v>4.0560070438920626E-2</v>
      </c>
      <c r="U243" s="24">
        <v>4.5693614850884412E-2</v>
      </c>
      <c r="V243" s="24">
        <f t="shared" si="30"/>
        <v>4.4928353699308587E-2</v>
      </c>
      <c r="W243" s="23">
        <f t="shared" si="31"/>
        <v>3.6743642937531185E-3</v>
      </c>
      <c r="X243" s="24">
        <v>4.4834209438056938E-2</v>
      </c>
      <c r="Y243" s="24">
        <f t="shared" si="32"/>
        <v>4.4059286105349704E-2</v>
      </c>
      <c r="Z243" s="23">
        <f t="shared" si="33"/>
        <v>3.6048501331273908E-3</v>
      </c>
      <c r="AA243" s="36"/>
    </row>
    <row r="244" spans="15:27" ht="13.9" customHeight="1">
      <c r="O244" s="12">
        <f t="shared" si="27"/>
        <v>19.25</v>
      </c>
      <c r="P244" s="13">
        <v>231</v>
      </c>
      <c r="Q244" s="22">
        <v>4.1385753228673439E-2</v>
      </c>
      <c r="R244" s="19">
        <f t="shared" si="28"/>
        <v>4.0640825100577205E-2</v>
      </c>
      <c r="S244" s="22">
        <v>4.1394260379036263E-2</v>
      </c>
      <c r="T244" s="19">
        <f t="shared" si="29"/>
        <v>4.0485995737349123E-2</v>
      </c>
      <c r="U244" s="24">
        <v>4.5690300824509977E-2</v>
      </c>
      <c r="V244" s="24">
        <f t="shared" si="30"/>
        <v>4.4860465478855582E-2</v>
      </c>
      <c r="W244" s="23">
        <f t="shared" si="31"/>
        <v>3.6690748033902931E-3</v>
      </c>
      <c r="X244" s="24">
        <v>4.4830853552346728E-2</v>
      </c>
      <c r="Y244" s="24">
        <f t="shared" si="32"/>
        <v>4.3990476943519097E-2</v>
      </c>
      <c r="Z244" s="23">
        <f t="shared" si="33"/>
        <v>3.5994855868677345E-3</v>
      </c>
      <c r="AA244" s="36"/>
    </row>
    <row r="245" spans="15:27" ht="13.9" customHeight="1">
      <c r="O245" s="12">
        <f t="shared" si="27"/>
        <v>19.333333333333332</v>
      </c>
      <c r="P245" s="13">
        <v>232</v>
      </c>
      <c r="Q245" s="22">
        <v>4.1382541187559463E-2</v>
      </c>
      <c r="R245" s="19">
        <f t="shared" si="28"/>
        <v>4.0579511924651257E-2</v>
      </c>
      <c r="S245" s="22">
        <v>4.1390343744379221E-2</v>
      </c>
      <c r="T245" s="19">
        <f t="shared" si="29"/>
        <v>4.0409949625993091E-2</v>
      </c>
      <c r="U245" s="24">
        <v>4.5686722534128421E-2</v>
      </c>
      <c r="V245" s="24">
        <f t="shared" si="30"/>
        <v>4.4790774131814981E-2</v>
      </c>
      <c r="W245" s="23">
        <f t="shared" si="31"/>
        <v>3.6636406719321446E-3</v>
      </c>
      <c r="X245" s="24">
        <v>4.4827229788133804E-2</v>
      </c>
      <c r="Y245" s="24">
        <f t="shared" si="32"/>
        <v>4.3919829304703617E-2</v>
      </c>
      <c r="Z245" s="23">
        <f t="shared" si="33"/>
        <v>3.5939735335455136E-3</v>
      </c>
      <c r="AA245" s="36"/>
    </row>
    <row r="246" spans="15:27" ht="13.9" customHeight="1">
      <c r="O246" s="12">
        <f t="shared" si="27"/>
        <v>19.416666666666668</v>
      </c>
      <c r="P246" s="13">
        <v>233</v>
      </c>
      <c r="Q246" s="22">
        <v>4.1379093386239019E-2</v>
      </c>
      <c r="R246" s="19">
        <f t="shared" si="28"/>
        <v>4.051668022285182E-2</v>
      </c>
      <c r="S246" s="22">
        <v>4.1386134070941383E-2</v>
      </c>
      <c r="T246" s="19">
        <f t="shared" si="29"/>
        <v>4.0331930243988845E-2</v>
      </c>
      <c r="U246" s="24">
        <v>4.5682875620828067E-2</v>
      </c>
      <c r="V246" s="24">
        <f t="shared" si="30"/>
        <v>4.4719279735173423E-2</v>
      </c>
      <c r="W246" s="23">
        <f t="shared" si="31"/>
        <v>3.65806187203499E-3</v>
      </c>
      <c r="X246" s="24">
        <v>4.4823333680649169E-2</v>
      </c>
      <c r="Y246" s="24">
        <f t="shared" si="32"/>
        <v>4.3847342172089965E-2</v>
      </c>
      <c r="Z246" s="23">
        <f t="shared" si="33"/>
        <v>3.5883138599750453E-3</v>
      </c>
      <c r="AA246" s="36"/>
    </row>
    <row r="247" spans="15:27" ht="13.9" customHeight="1">
      <c r="O247" s="12">
        <f t="shared" si="27"/>
        <v>19.5</v>
      </c>
      <c r="P247" s="13">
        <v>234</v>
      </c>
      <c r="Q247" s="22">
        <v>4.1375406339508203E-2</v>
      </c>
      <c r="R247" s="19">
        <f t="shared" si="28"/>
        <v>4.0452331557058185E-2</v>
      </c>
      <c r="S247" s="22">
        <v>4.1381626654298787E-2</v>
      </c>
      <c r="T247" s="19">
        <f t="shared" si="29"/>
        <v>4.0251935727776855E-2</v>
      </c>
      <c r="U247" s="24">
        <v>4.5678755799307025E-2</v>
      </c>
      <c r="V247" s="24">
        <f t="shared" si="30"/>
        <v>4.4645982469227352E-2</v>
      </c>
      <c r="W247" s="23">
        <f t="shared" si="31"/>
        <v>3.6523383833424461E-3</v>
      </c>
      <c r="X247" s="24">
        <v>4.4819160835820604E-2</v>
      </c>
      <c r="Y247" s="24">
        <f t="shared" si="32"/>
        <v>4.3773014590380299E-2</v>
      </c>
      <c r="Z247" s="23">
        <f t="shared" si="33"/>
        <v>3.5825064572356791E-3</v>
      </c>
      <c r="AA247" s="36"/>
    </row>
    <row r="248" spans="15:27" ht="13.9" customHeight="1">
      <c r="O248" s="12">
        <f t="shared" si="27"/>
        <v>19.583333333333332</v>
      </c>
      <c r="P248" s="13">
        <v>235</v>
      </c>
      <c r="Q248" s="22">
        <v>4.137147662721663E-2</v>
      </c>
      <c r="R248" s="19">
        <f t="shared" si="28"/>
        <v>4.0386483954215846E-2</v>
      </c>
      <c r="S248" s="22">
        <v>4.1376816860663856E-2</v>
      </c>
      <c r="T248" s="19">
        <f t="shared" si="29"/>
        <v>4.0169964215298393E-2</v>
      </c>
      <c r="U248" s="24">
        <v>4.5674358856722774E-2</v>
      </c>
      <c r="V248" s="24">
        <f t="shared" si="30"/>
        <v>4.4570882617617658E-2</v>
      </c>
      <c r="W248" s="23">
        <f t="shared" si="31"/>
        <v>3.6464701930789545E-3</v>
      </c>
      <c r="X248" s="24">
        <v>4.4814706929003911E-2</v>
      </c>
      <c r="Y248" s="24">
        <f t="shared" si="32"/>
        <v>4.3696845669406237E-2</v>
      </c>
      <c r="Z248" s="23">
        <f t="shared" si="33"/>
        <v>3.5765512205934158E-3</v>
      </c>
      <c r="AA248" s="36"/>
    </row>
    <row r="249" spans="15:27" ht="13.9" customHeight="1">
      <c r="O249" s="12">
        <f t="shared" si="27"/>
        <v>19.666666666666668</v>
      </c>
      <c r="P249" s="13">
        <v>236</v>
      </c>
      <c r="Q249" s="22">
        <v>4.136730096270691E-2</v>
      </c>
      <c r="R249" s="19">
        <f t="shared" si="28"/>
        <v>4.0319138944827859E-2</v>
      </c>
      <c r="S249" s="22">
        <v>4.1371700125363509E-2</v>
      </c>
      <c r="T249" s="19">
        <f t="shared" si="29"/>
        <v>4.0086013849142343E-2</v>
      </c>
      <c r="U249" s="24">
        <v>4.5669680651570399E-2</v>
      </c>
      <c r="V249" s="24">
        <f t="shared" si="30"/>
        <v>4.4493980564791258E-2</v>
      </c>
      <c r="W249" s="23">
        <f t="shared" si="31"/>
        <v>3.6404572960544446E-3</v>
      </c>
      <c r="X249" s="24">
        <v>4.4809967703761444E-2</v>
      </c>
      <c r="Y249" s="24">
        <f t="shared" si="32"/>
        <v>4.3618834586334643E-2</v>
      </c>
      <c r="Z249" s="23">
        <f t="shared" si="33"/>
        <v>3.5704480497904534E-3</v>
      </c>
      <c r="AA249" s="36"/>
    </row>
    <row r="250" spans="15:27" ht="13.9" customHeight="1">
      <c r="O250" s="12">
        <f t="shared" si="27"/>
        <v>19.75</v>
      </c>
      <c r="P250" s="13">
        <v>237</v>
      </c>
      <c r="Q250" s="22">
        <v>4.136287612032441E-2</v>
      </c>
      <c r="R250" s="19">
        <f t="shared" si="28"/>
        <v>4.0250292545970678E-2</v>
      </c>
      <c r="S250" s="22">
        <v>4.1366271951368994E-2</v>
      </c>
      <c r="T250" s="19">
        <f t="shared" si="29"/>
        <v>4.0000082778933299E-2</v>
      </c>
      <c r="U250" s="24">
        <v>4.5664717112580355E-2</v>
      </c>
      <c r="V250" s="24">
        <f t="shared" si="30"/>
        <v>4.4415276810940041E-2</v>
      </c>
      <c r="W250" s="23">
        <f t="shared" si="31"/>
        <v>3.6342996944649375E-3</v>
      </c>
      <c r="X250" s="24">
        <v>4.4804938970681274E-2</v>
      </c>
      <c r="Y250" s="24">
        <f t="shared" si="32"/>
        <v>4.353898058856398E-2</v>
      </c>
      <c r="Z250" s="23">
        <f t="shared" si="33"/>
        <v>3.5641968492226006E-3</v>
      </c>
      <c r="AA250" s="36"/>
    </row>
    <row r="251" spans="15:27" ht="13.9" customHeight="1">
      <c r="O251" s="12">
        <f t="shared" si="27"/>
        <v>19.833333333333332</v>
      </c>
      <c r="P251" s="13">
        <v>238</v>
      </c>
      <c r="Q251" s="22">
        <v>4.1358198910930621E-2</v>
      </c>
      <c r="R251" s="19">
        <f t="shared" si="28"/>
        <v>4.0179940759917709E-2</v>
      </c>
      <c r="S251" s="22">
        <v>4.1360527907872813E-2</v>
      </c>
      <c r="T251" s="19">
        <f t="shared" si="29"/>
        <v>3.9912169165622791E-2</v>
      </c>
      <c r="U251" s="24">
        <v>4.5659464237705727E-2</v>
      </c>
      <c r="V251" s="24">
        <f t="shared" si="30"/>
        <v>4.4334771959070096E-2</v>
      </c>
      <c r="W251" s="23">
        <f t="shared" si="31"/>
        <v>3.6279973990898107E-3</v>
      </c>
      <c r="X251" s="24">
        <v>4.4799616606238324E-2</v>
      </c>
      <c r="Y251" s="24">
        <f t="shared" si="32"/>
        <v>4.3457282998318414E-2</v>
      </c>
      <c r="Z251" s="23">
        <f t="shared" si="33"/>
        <v>3.5577975281706475E-3</v>
      </c>
      <c r="AA251" s="36"/>
    </row>
    <row r="252" spans="15:27" ht="13.9" customHeight="1">
      <c r="O252" s="12">
        <f t="shared" si="27"/>
        <v>19.916666666666668</v>
      </c>
      <c r="P252" s="13">
        <v>239</v>
      </c>
      <c r="Q252" s="22">
        <v>4.1353266181057169E-2</v>
      </c>
      <c r="R252" s="19">
        <f t="shared" si="28"/>
        <v>4.0108079574211475E-2</v>
      </c>
      <c r="S252" s="22">
        <v>4.1354463628920257E-2</v>
      </c>
      <c r="T252" s="19">
        <f t="shared" si="29"/>
        <v>3.9822271184069891E-2</v>
      </c>
      <c r="U252" s="24">
        <v>4.5653918093082391E-2</v>
      </c>
      <c r="V252" s="24">
        <f t="shared" si="30"/>
        <v>4.4252466733047502E-2</v>
      </c>
      <c r="W252" s="23">
        <f t="shared" si="31"/>
        <v>3.6215504282612887E-3</v>
      </c>
      <c r="X252" s="24">
        <v>4.4793996551703907E-2</v>
      </c>
      <c r="Y252" s="24">
        <f t="shared" si="32"/>
        <v>4.3373741213436068E-2</v>
      </c>
      <c r="Z252" s="23">
        <f t="shared" si="33"/>
        <v>3.5512500011702919E-3</v>
      </c>
      <c r="AA252" s="36"/>
    </row>
    <row r="253" spans="15:27" ht="13.9" customHeight="1">
      <c r="O253" s="12">
        <f t="shared" si="27"/>
        <v>20</v>
      </c>
      <c r="P253" s="13">
        <v>240</v>
      </c>
      <c r="Q253" s="22">
        <v>4.1348074812081137E-2</v>
      </c>
      <c r="R253" s="19">
        <f t="shared" si="28"/>
        <v>4.003508448116877E-2</v>
      </c>
      <c r="S253" s="22">
        <v>4.1348074812084468E-2</v>
      </c>
      <c r="T253" s="19">
        <f t="shared" si="29"/>
        <v>3.9731334483901204E-2</v>
      </c>
      <c r="U253" s="24">
        <v>4.5648074812089101E-2</v>
      </c>
      <c r="V253" s="24">
        <f t="shared" si="30"/>
        <v>4.4169053011508419E-2</v>
      </c>
      <c r="W253" s="23">
        <f t="shared" si="31"/>
        <v>3.6149588093110641E-3</v>
      </c>
      <c r="X253" s="24">
        <v>4.478807481208591E-2</v>
      </c>
      <c r="Y253" s="24">
        <f t="shared" si="32"/>
        <v>4.3289089446491902E-2</v>
      </c>
      <c r="Z253" s="23">
        <f t="shared" si="33"/>
        <v>3.5445541880747555E-3</v>
      </c>
      <c r="AA253" s="36"/>
    </row>
    <row r="254" spans="15:27" ht="13.9" customHeight="1">
      <c r="O254" s="12">
        <f t="shared" si="27"/>
        <v>20.083333333333332</v>
      </c>
      <c r="P254" s="13">
        <v>241</v>
      </c>
      <c r="Q254" s="22">
        <v>4.1342623296170444E-2</v>
      </c>
      <c r="R254" s="19">
        <f t="shared" si="28"/>
        <v>3.9962469604396977E-2</v>
      </c>
      <c r="S254" s="22">
        <v>4.1341361154638268E-2</v>
      </c>
      <c r="T254" s="19">
        <f t="shared" si="29"/>
        <v>3.9643144561700927E-2</v>
      </c>
      <c r="U254" s="24">
        <v>4.5641933465839113E-2</v>
      </c>
      <c r="V254" s="24">
        <f t="shared" si="30"/>
        <v>4.4087296023118228E-2</v>
      </c>
      <c r="W254" s="23">
        <f t="shared" si="31"/>
        <v>3.6082779278159283E-3</v>
      </c>
      <c r="X254" s="24">
        <v>4.4781850508168519E-2</v>
      </c>
      <c r="Y254" s="24">
        <f t="shared" si="32"/>
        <v>4.3206265908847463E-2</v>
      </c>
      <c r="Z254" s="23">
        <f t="shared" si="33"/>
        <v>3.5377689094211462E-3</v>
      </c>
      <c r="AA254" s="36"/>
    </row>
    <row r="255" spans="15:27" ht="13.9" customHeight="1">
      <c r="O255" s="12">
        <f t="shared" si="27"/>
        <v>20.166666666666668</v>
      </c>
      <c r="P255" s="13">
        <v>242</v>
      </c>
      <c r="Q255" s="22">
        <v>4.1336916414697278E-2</v>
      </c>
      <c r="R255" s="19">
        <f t="shared" si="28"/>
        <v>3.9890610737582266E-2</v>
      </c>
      <c r="S255" s="22">
        <v>4.1334338026157491E-2</v>
      </c>
      <c r="T255" s="19">
        <f t="shared" si="29"/>
        <v>3.9558640324393712E-2</v>
      </c>
      <c r="U255" s="24">
        <v>4.5635504583578124E-2</v>
      </c>
      <c r="V255" s="24">
        <f t="shared" si="30"/>
        <v>4.4007888165628506E-2</v>
      </c>
      <c r="W255" s="23">
        <f t="shared" si="31"/>
        <v>3.6017292648042876E-3</v>
      </c>
      <c r="X255" s="24">
        <v>4.4775334934161748E-2</v>
      </c>
      <c r="Y255" s="24">
        <f t="shared" si="32"/>
        <v>4.3126004221117897E-2</v>
      </c>
      <c r="Z255" s="23">
        <f t="shared" si="33"/>
        <v>3.5311296843789641E-3</v>
      </c>
      <c r="AA255" s="36"/>
    </row>
    <row r="256" spans="15:27" ht="13.9" customHeight="1">
      <c r="O256" s="12">
        <f t="shared" si="27"/>
        <v>20.25</v>
      </c>
      <c r="P256" s="13">
        <v>243</v>
      </c>
      <c r="Q256" s="22">
        <v>4.1330960419425411E-2</v>
      </c>
      <c r="R256" s="19">
        <f t="shared" si="28"/>
        <v>3.9819504210141465E-2</v>
      </c>
      <c r="S256" s="22">
        <v>4.1327024416460967E-2</v>
      </c>
      <c r="T256" s="19">
        <f t="shared" si="29"/>
        <v>3.9477812699725501E-2</v>
      </c>
      <c r="U256" s="24">
        <v>4.5628801376700112E-2</v>
      </c>
      <c r="V256" s="24">
        <f t="shared" si="30"/>
        <v>4.3930830747364702E-2</v>
      </c>
      <c r="W256" s="23">
        <f t="shared" si="31"/>
        <v>3.5953683151070948E-3</v>
      </c>
      <c r="X256" s="24">
        <v>4.4768542223981411E-2</v>
      </c>
      <c r="Y256" s="24">
        <f t="shared" si="32"/>
        <v>4.3048303174573199E-2</v>
      </c>
      <c r="Z256" s="23">
        <f t="shared" si="33"/>
        <v>3.5246953590053476E-3</v>
      </c>
      <c r="AA256" s="36"/>
    </row>
    <row r="257" spans="15:27" ht="13.9" customHeight="1">
      <c r="O257" s="12">
        <f t="shared" si="27"/>
        <v>20.333333333333332</v>
      </c>
      <c r="P257" s="13">
        <v>244</v>
      </c>
      <c r="Q257" s="22">
        <v>4.1324761445313829E-2</v>
      </c>
      <c r="R257" s="19">
        <f t="shared" si="28"/>
        <v>3.9749146363347476E-2</v>
      </c>
      <c r="S257" s="22">
        <v>4.1319438970323086E-2</v>
      </c>
      <c r="T257" s="19">
        <f t="shared" si="29"/>
        <v>3.9400652673974301E-2</v>
      </c>
      <c r="U257" s="24">
        <v>4.5621836847558939E-2</v>
      </c>
      <c r="V257" s="24">
        <f t="shared" si="30"/>
        <v>4.3856124961351162E-2</v>
      </c>
      <c r="W257" s="23">
        <f t="shared" si="31"/>
        <v>3.5891952228321866E-3</v>
      </c>
      <c r="X257" s="24">
        <v>4.476148627725296E-2</v>
      </c>
      <c r="Y257" s="24">
        <f t="shared" si="32"/>
        <v>4.2973161488518707E-2</v>
      </c>
      <c r="Z257" s="23">
        <f t="shared" si="33"/>
        <v>3.5184658797775548E-3</v>
      </c>
      <c r="AA257" s="36"/>
    </row>
    <row r="258" spans="15:27" ht="13.9" customHeight="1">
      <c r="O258" s="12">
        <f t="shared" si="27"/>
        <v>20.416666666666668</v>
      </c>
      <c r="P258" s="13">
        <v>245</v>
      </c>
      <c r="Q258" s="22">
        <v>4.1318325512928356E-2</v>
      </c>
      <c r="R258" s="19">
        <f t="shared" si="28"/>
        <v>3.9679533549948021E-2</v>
      </c>
      <c r="S258" s="22">
        <v>4.1311599994539483E-2</v>
      </c>
      <c r="T258" s="19">
        <f t="shared" si="29"/>
        <v>3.9327151303740093E-2</v>
      </c>
      <c r="U258" s="24">
        <v>4.5614623793170939E-2</v>
      </c>
      <c r="V258" s="24">
        <f t="shared" si="30"/>
        <v>4.3783771880983036E-2</v>
      </c>
      <c r="W258" s="23">
        <f t="shared" si="31"/>
        <v>3.5832101217239121E-3</v>
      </c>
      <c r="X258" s="24">
        <v>4.4754180763689311E-2</v>
      </c>
      <c r="Y258" s="24">
        <f t="shared" si="32"/>
        <v>4.2900577819756869E-2</v>
      </c>
      <c r="Z258" s="23">
        <f t="shared" si="33"/>
        <v>3.5124411860028015E-3</v>
      </c>
      <c r="AA258" s="36"/>
    </row>
    <row r="259" spans="15:27" ht="13.9" customHeight="1">
      <c r="O259" s="12">
        <f t="shared" si="27"/>
        <v>20.5</v>
      </c>
      <c r="P259" s="13">
        <v>246</v>
      </c>
      <c r="Q259" s="22">
        <v>4.1311658530793105E-2</v>
      </c>
      <c r="R259" s="19">
        <f t="shared" si="28"/>
        <v>3.9610659939115722E-2</v>
      </c>
      <c r="S259" s="22">
        <v>4.1303525464875035E-2</v>
      </c>
      <c r="T259" s="19">
        <f t="shared" si="29"/>
        <v>3.9257299724721806E-2</v>
      </c>
      <c r="U259" s="24">
        <v>4.5607174808811379E-2</v>
      </c>
      <c r="V259" s="24">
        <f t="shared" si="30"/>
        <v>4.371377247424002E-2</v>
      </c>
      <c r="W259" s="23">
        <f t="shared" si="31"/>
        <v>3.5774131348105254E-3</v>
      </c>
      <c r="X259" s="24">
        <v>4.474663912740251E-2</v>
      </c>
      <c r="Y259" s="24">
        <f t="shared" si="32"/>
        <v>4.2830550765486697E-2</v>
      </c>
      <c r="Z259" s="23">
        <f t="shared" si="33"/>
        <v>3.5066212105756556E-3</v>
      </c>
      <c r="AA259" s="36"/>
    </row>
    <row r="260" spans="15:27" ht="13.9" customHeight="1">
      <c r="O260" s="12">
        <f t="shared" si="27"/>
        <v>20.583333333333332</v>
      </c>
      <c r="P260" s="13">
        <v>247</v>
      </c>
      <c r="Q260" s="22">
        <v>4.1304766288783989E-2</v>
      </c>
      <c r="R260" s="19">
        <f t="shared" si="28"/>
        <v>3.9542513130049084E-2</v>
      </c>
      <c r="S260" s="22">
        <v>4.1295233032882184E-2</v>
      </c>
      <c r="T260" s="19">
        <f t="shared" si="29"/>
        <v>3.9191089165032666E-2</v>
      </c>
      <c r="U260" s="24">
        <v>4.5599502291582272E-2</v>
      </c>
      <c r="V260" s="24">
        <f t="shared" si="30"/>
        <v>4.3646127609392238E-2</v>
      </c>
      <c r="W260" s="23">
        <f t="shared" si="31"/>
        <v>3.5718043755370577E-3</v>
      </c>
      <c r="X260" s="24">
        <v>4.4738874591124578E-2</v>
      </c>
      <c r="Y260" s="24">
        <f t="shared" si="32"/>
        <v>4.2763078873582216E-2</v>
      </c>
      <c r="Z260" s="23">
        <f t="shared" si="33"/>
        <v>3.5010058802107391E-3</v>
      </c>
      <c r="AA260" s="36"/>
    </row>
    <row r="261" spans="15:27" ht="13.9" customHeight="1">
      <c r="O261" s="12">
        <f t="shared" si="27"/>
        <v>20.666666666666668</v>
      </c>
      <c r="P261" s="13">
        <v>248</v>
      </c>
      <c r="Q261" s="22">
        <v>4.1297654433962494E-2</v>
      </c>
      <c r="R261" s="19">
        <f t="shared" si="28"/>
        <v>3.9475087318187274E-2</v>
      </c>
      <c r="S261" s="22">
        <v>4.1286740032612679E-2</v>
      </c>
      <c r="T261" s="19">
        <f t="shared" si="29"/>
        <v>3.9128510951771833E-2</v>
      </c>
      <c r="U261" s="24">
        <v>4.5591618443918236E-2</v>
      </c>
      <c r="V261" s="24">
        <f t="shared" si="30"/>
        <v>4.3580838049568138E-2</v>
      </c>
      <c r="W261" s="23">
        <f t="shared" si="31"/>
        <v>3.5663839482178439E-3</v>
      </c>
      <c r="X261" s="24">
        <v>4.4730900160368625E-2</v>
      </c>
      <c r="Y261" s="24">
        <f t="shared" si="32"/>
        <v>4.269816063876708E-2</v>
      </c>
      <c r="Z261" s="23">
        <f t="shared" si="33"/>
        <v>3.4955951162665144E-3</v>
      </c>
      <c r="AA261" s="36"/>
    </row>
    <row r="262" spans="15:27" ht="13.9" customHeight="1">
      <c r="O262" s="12">
        <f t="shared" si="27"/>
        <v>20.75</v>
      </c>
      <c r="P262" s="13">
        <v>249</v>
      </c>
      <c r="Q262" s="22">
        <v>4.1290328499954621E-2</v>
      </c>
      <c r="R262" s="19">
        <f t="shared" si="28"/>
        <v>3.9408378903452279E-2</v>
      </c>
      <c r="S262" s="22">
        <v>4.1278063487198313E-2</v>
      </c>
      <c r="T262" s="19">
        <f t="shared" si="29"/>
        <v>3.9069556523911864E-2</v>
      </c>
      <c r="U262" s="24">
        <v>4.558353527698733E-2</v>
      </c>
      <c r="V262" s="24">
        <f t="shared" si="30"/>
        <v>4.3517904462368362E-2</v>
      </c>
      <c r="W262" s="23">
        <f t="shared" si="31"/>
        <v>3.5611519475966524E-3</v>
      </c>
      <c r="X262" s="24">
        <v>4.4722728627476505E-2</v>
      </c>
      <c r="Y262" s="24">
        <f t="shared" si="32"/>
        <v>4.2635794516437509E-2</v>
      </c>
      <c r="Z262" s="23">
        <f t="shared" si="33"/>
        <v>3.4903888344397505E-3</v>
      </c>
      <c r="AA262" s="36"/>
    </row>
    <row r="263" spans="15:27" ht="13.9" customHeight="1">
      <c r="O263" s="12">
        <f t="shared" si="27"/>
        <v>20.833333333333332</v>
      </c>
      <c r="P263" s="13">
        <v>250</v>
      </c>
      <c r="Q263" s="22">
        <v>4.1282793918033134E-2</v>
      </c>
      <c r="R263" s="19">
        <f t="shared" si="28"/>
        <v>3.9342384301193301E-2</v>
      </c>
      <c r="S263" s="22">
        <v>4.1269220115329519E-2</v>
      </c>
      <c r="T263" s="19">
        <f t="shared" si="29"/>
        <v>3.9014217441031063E-2</v>
      </c>
      <c r="U263" s="24">
        <v>4.5575264614049038E-2</v>
      </c>
      <c r="V263" s="24">
        <f t="shared" si="30"/>
        <v>4.3457327422210312E-2</v>
      </c>
      <c r="W263" s="23">
        <f t="shared" si="31"/>
        <v>3.5561084596120729E-3</v>
      </c>
      <c r="X263" s="24">
        <v>4.4714372575626493E-2</v>
      </c>
      <c r="Y263" s="24">
        <f t="shared" si="32"/>
        <v>4.2575978923407476E-2</v>
      </c>
      <c r="Z263" s="23">
        <f t="shared" si="33"/>
        <v>3.4853869458744136E-3</v>
      </c>
      <c r="AA263" s="36"/>
    </row>
    <row r="264" spans="15:27" ht="13.9" customHeight="1">
      <c r="O264" s="12">
        <f t="shared" si="27"/>
        <v>20.916666666666668</v>
      </c>
      <c r="P264" s="13">
        <v>251</v>
      </c>
      <c r="Q264" s="22">
        <v>4.1275056019201228E-2</v>
      </c>
      <c r="R264" s="19">
        <f t="shared" si="28"/>
        <v>3.9277099938280324E-2</v>
      </c>
      <c r="S264" s="22">
        <v>4.1260226337618056E-2</v>
      </c>
      <c r="T264" s="19">
        <f t="shared" si="29"/>
        <v>3.8962485393458479E-2</v>
      </c>
      <c r="U264" s="24">
        <v>4.5566818093744077E-2</v>
      </c>
      <c r="V264" s="24">
        <f t="shared" si="30"/>
        <v>4.3399107423326422E-2</v>
      </c>
      <c r="W264" s="23">
        <f t="shared" si="31"/>
        <v>3.5512535615820351E-3</v>
      </c>
      <c r="X264" s="24">
        <v>4.4705844382749049E-2</v>
      </c>
      <c r="Y264" s="24">
        <f t="shared" si="32"/>
        <v>4.2518712244328905E-2</v>
      </c>
      <c r="Z264" s="23">
        <f t="shared" si="33"/>
        <v>3.4805893572225077E-3</v>
      </c>
      <c r="AA264" s="36"/>
    </row>
    <row r="265" spans="15:27" ht="13.9" customHeight="1">
      <c r="O265" s="12">
        <f t="shared" si="27"/>
        <v>21</v>
      </c>
      <c r="P265" s="13">
        <v>252</v>
      </c>
      <c r="Q265" s="22">
        <v>4.1267120036210247E-2</v>
      </c>
      <c r="R265" s="19">
        <f t="shared" si="28"/>
        <v>3.9212520105040172E-2</v>
      </c>
      <c r="S265" s="22">
        <v>4.1251098282852006E-2</v>
      </c>
      <c r="T265" s="19">
        <f t="shared" si="29"/>
        <v>3.8914352213235359E-2</v>
      </c>
      <c r="U265" s="24">
        <v>4.5558207173357124E-2</v>
      </c>
      <c r="V265" s="24">
        <f t="shared" si="30"/>
        <v>4.3343244875908127E-2</v>
      </c>
      <c r="W265" s="23">
        <f t="shared" si="31"/>
        <v>3.5465873232416456E-3</v>
      </c>
      <c r="X265" s="24">
        <v>4.469715622537751E-2</v>
      </c>
      <c r="Y265" s="24">
        <f t="shared" si="32"/>
        <v>4.2463992838110309E-2</v>
      </c>
      <c r="Z265" s="23">
        <f t="shared" si="33"/>
        <v>3.4759959711596622E-3</v>
      </c>
      <c r="AA265" s="36"/>
    </row>
    <row r="266" spans="15:27" ht="13.9" customHeight="1">
      <c r="O266" s="12">
        <f t="shared" si="27"/>
        <v>21.083333333333332</v>
      </c>
      <c r="P266" s="13">
        <v>253</v>
      </c>
      <c r="Q266" s="22">
        <v>4.1258991097024245E-2</v>
      </c>
      <c r="R266" s="19">
        <f t="shared" si="28"/>
        <v>3.9148632648283721E-2</v>
      </c>
      <c r="S266" s="22">
        <v>4.1241851794150186E-2</v>
      </c>
      <c r="T266" s="19">
        <f t="shared" si="29"/>
        <v>3.8869809881795891E-2</v>
      </c>
      <c r="U266" s="24">
        <v>4.5549443131988943E-2</v>
      </c>
      <c r="V266" s="24">
        <f t="shared" si="30"/>
        <v>4.3289740098742424E-2</v>
      </c>
      <c r="W266" s="23">
        <f t="shared" si="31"/>
        <v>3.542109806430993E-3</v>
      </c>
      <c r="X266" s="24">
        <v>4.4688320082433064E-2</v>
      </c>
      <c r="Y266" s="24">
        <f t="shared" si="32"/>
        <v>4.2411819039298138E-2</v>
      </c>
      <c r="Z266" s="23">
        <f t="shared" si="33"/>
        <v>3.4716066869031614E-3</v>
      </c>
      <c r="AA266" s="36"/>
    </row>
    <row r="267" spans="15:27" ht="13.9" customHeight="1">
      <c r="O267" s="12">
        <f t="shared" si="27"/>
        <v>21.166666666666668</v>
      </c>
      <c r="P267" s="13">
        <v>254</v>
      </c>
      <c r="Q267" s="22">
        <v>4.1250674201444903E-2</v>
      </c>
      <c r="R267" s="19">
        <f t="shared" si="28"/>
        <v>3.9085431887381672E-2</v>
      </c>
      <c r="S267" s="22">
        <v>4.123250243500487E-2</v>
      </c>
      <c r="T267" s="19">
        <f t="shared" si="29"/>
        <v>3.8828850542461213E-2</v>
      </c>
      <c r="U267" s="24">
        <v>4.5540537073625043E-2</v>
      </c>
      <c r="V267" s="24">
        <f t="shared" si="30"/>
        <v>4.3238593362156852E-2</v>
      </c>
      <c r="W267" s="23">
        <f t="shared" si="31"/>
        <v>3.5378210645020669E-3</v>
      </c>
      <c r="X267" s="24">
        <v>4.4679347738928676E-2</v>
      </c>
      <c r="Y267" s="24">
        <f t="shared" si="32"/>
        <v>4.2362189167444608E-2</v>
      </c>
      <c r="Z267" s="23">
        <f t="shared" si="33"/>
        <v>3.4674214003220794E-3</v>
      </c>
      <c r="AA267" s="36"/>
    </row>
    <row r="268" spans="15:27" ht="13.9" customHeight="1">
      <c r="O268" s="12">
        <f t="shared" si="27"/>
        <v>21.25</v>
      </c>
      <c r="P268" s="13">
        <v>255</v>
      </c>
      <c r="Q268" s="22">
        <v>4.1242174249038088E-2</v>
      </c>
      <c r="R268" s="19">
        <f t="shared" si="28"/>
        <v>3.902291430771454E-2</v>
      </c>
      <c r="S268" s="22">
        <v>4.1223065495235023E-2</v>
      </c>
      <c r="T268" s="19">
        <f t="shared" si="29"/>
        <v>3.8791466507252848E-2</v>
      </c>
      <c r="U268" s="24">
        <v>4.5531499930302699E-2</v>
      </c>
      <c r="V268" s="24">
        <f t="shared" si="30"/>
        <v>4.3189804844739887E-2</v>
      </c>
      <c r="W268" s="23">
        <f t="shared" si="31"/>
        <v>3.5337211457577844E-3</v>
      </c>
      <c r="X268" s="24">
        <v>4.4670250789623056E-2</v>
      </c>
      <c r="Y268" s="24">
        <f t="shared" si="32"/>
        <v>4.2315101530027155E-2</v>
      </c>
      <c r="Z268" s="23">
        <f t="shared" si="33"/>
        <v>3.463440004692897E-3</v>
      </c>
      <c r="AA268" s="36"/>
    </row>
    <row r="269" spans="15:27" ht="13.9" customHeight="1">
      <c r="O269" s="12">
        <f t="shared" si="27"/>
        <v>21.333333333333332</v>
      </c>
      <c r="P269" s="13">
        <v>256</v>
      </c>
      <c r="Q269" s="22">
        <v>4.1233496049553953E-2</v>
      </c>
      <c r="R269" s="19">
        <f t="shared" si="28"/>
        <v>3.8961076411365259E-2</v>
      </c>
      <c r="S269" s="22">
        <v>4.1213555996829632E-2</v>
      </c>
      <c r="T269" s="19">
        <f t="shared" si="29"/>
        <v>3.8757650269909627E-2</v>
      </c>
      <c r="U269" s="24">
        <v>4.5522342465034171E-2</v>
      </c>
      <c r="V269" s="24">
        <f t="shared" si="30"/>
        <v>4.3143374670727264E-2</v>
      </c>
      <c r="W269" s="23">
        <f t="shared" si="31"/>
        <v>3.5298100899812113E-3</v>
      </c>
      <c r="X269" s="24">
        <v>4.4661040642602234E-2</v>
      </c>
      <c r="Y269" s="24">
        <f t="shared" si="32"/>
        <v>4.2270554429373552E-2</v>
      </c>
      <c r="Z269" s="23">
        <f t="shared" si="33"/>
        <v>3.459662390934426E-3</v>
      </c>
      <c r="AA269" s="36"/>
    </row>
    <row r="270" spans="15:27" ht="13.9" customHeight="1">
      <c r="O270" s="12">
        <f t="shared" ref="O270:O333" si="34">P270/12</f>
        <v>21.416666666666668</v>
      </c>
      <c r="P270" s="13">
        <v>257</v>
      </c>
      <c r="Q270" s="22">
        <v>4.1224644324724835E-2</v>
      </c>
      <c r="R270" s="19">
        <f t="shared" ref="R270:R333" si="35">(1+Q271)^P271/(1+Q270)^P270-1</f>
        <v>3.8899914715133876E-2</v>
      </c>
      <c r="S270" s="22">
        <v>4.1203988699709759E-2</v>
      </c>
      <c r="T270" s="19">
        <f t="shared" ref="T270:T333" si="36">(1+S271)^P271/(1+S270)^P270-1</f>
        <v>3.8727394511963942E-2</v>
      </c>
      <c r="U270" s="24">
        <v>4.5513075274809633E-2</v>
      </c>
      <c r="V270" s="24">
        <f t="shared" ref="V270:V333" si="37">(1+U271)^P271/(1+U270)^P270-1</f>
        <v>4.3099302905584835E-2</v>
      </c>
      <c r="W270" s="23">
        <f t="shared" si="31"/>
        <v>3.5260879314300553E-3</v>
      </c>
      <c r="X270" s="24">
        <v>4.4651728522805856E-2</v>
      </c>
      <c r="Y270" s="24">
        <f t="shared" si="32"/>
        <v>4.2228546164610803E-2</v>
      </c>
      <c r="Z270" s="23">
        <f t="shared" si="33"/>
        <v>3.456088448165584E-3</v>
      </c>
      <c r="AA270" s="36"/>
    </row>
    <row r="271" spans="15:27" ht="13.9" customHeight="1">
      <c r="O271" s="12">
        <f t="shared" si="34"/>
        <v>21.5</v>
      </c>
      <c r="P271" s="13">
        <v>258</v>
      </c>
      <c r="Q271" s="22">
        <v>4.1215623710014304E-2</v>
      </c>
      <c r="R271" s="19">
        <f t="shared" si="35"/>
        <v>3.8839423638944881E-2</v>
      </c>
      <c r="S271" s="22">
        <v>4.1194378107382246E-2</v>
      </c>
      <c r="T271" s="19">
        <f t="shared" si="36"/>
        <v>3.8700692114558288E-2</v>
      </c>
      <c r="U271" s="24">
        <v>4.5503708793513509E-2</v>
      </c>
      <c r="V271" s="24">
        <f t="shared" si="37"/>
        <v>4.305758955251604E-2</v>
      </c>
      <c r="W271" s="23">
        <f t="shared" ref="W271:W334" si="38">(1+V270)^(1/12)-1</f>
        <v>3.5225546984809508E-3</v>
      </c>
      <c r="X271" s="24">
        <v>4.464232547548086E-2</v>
      </c>
      <c r="Y271" s="24">
        <f t="shared" ref="Y271:Y334" si="39">(1+X272)^P272/(1+X271)^P271-1</f>
        <v>4.218907504069791E-2</v>
      </c>
      <c r="Z271" s="23">
        <f t="shared" ref="Z271:Z334" si="40">(1+Y270)^(1/12)-1</f>
        <v>3.4527180638654897E-3</v>
      </c>
      <c r="AA271" s="36"/>
    </row>
    <row r="272" spans="15:27" ht="13.9" customHeight="1">
      <c r="O272" s="12">
        <f t="shared" si="34"/>
        <v>21.583333333333332</v>
      </c>
      <c r="P272" s="13">
        <v>259</v>
      </c>
      <c r="Q272" s="22">
        <v>4.1206438748154994E-2</v>
      </c>
      <c r="R272" s="19">
        <f t="shared" si="35"/>
        <v>3.8779591289280324E-2</v>
      </c>
      <c r="S272" s="22">
        <v>4.1184738472511695E-2</v>
      </c>
      <c r="T272" s="19">
        <f t="shared" si="36"/>
        <v>3.8677536166989324E-2</v>
      </c>
      <c r="U272" s="24">
        <v>4.5494253294760867E-2</v>
      </c>
      <c r="V272" s="24">
        <f t="shared" si="37"/>
        <v>4.301823456744569E-2</v>
      </c>
      <c r="W272" s="23">
        <f t="shared" si="38"/>
        <v>3.5192104133472402E-3</v>
      </c>
      <c r="X272" s="24">
        <v>4.4632842369590309E-2</v>
      </c>
      <c r="Y272" s="24">
        <f t="shared" si="39"/>
        <v>4.2152139370214448E-2</v>
      </c>
      <c r="Z272" s="23">
        <f t="shared" si="40"/>
        <v>3.4495511245986599E-3</v>
      </c>
      <c r="AA272" s="36"/>
    </row>
    <row r="273" spans="15:27" ht="13.9" customHeight="1">
      <c r="O273" s="12">
        <f t="shared" si="34"/>
        <v>21.666666666666668</v>
      </c>
      <c r="P273" s="13">
        <v>260</v>
      </c>
      <c r="Q273" s="22">
        <v>4.119709386657755E-2</v>
      </c>
      <c r="R273" s="19">
        <f t="shared" si="35"/>
        <v>3.8720412120800463E-2</v>
      </c>
      <c r="S273" s="22">
        <v>4.1175083802400092E-2</v>
      </c>
      <c r="T273" s="19">
        <f t="shared" si="36"/>
        <v>3.8657919977126864E-2</v>
      </c>
      <c r="U273" s="24">
        <v>4.5484718894726939E-2</v>
      </c>
      <c r="V273" s="24">
        <f t="shared" si="37"/>
        <v>4.2981237859738508E-2</v>
      </c>
      <c r="W273" s="23">
        <f t="shared" si="38"/>
        <v>3.5160550932800128E-3</v>
      </c>
      <c r="X273" s="24">
        <v>4.462328990115294E-2</v>
      </c>
      <c r="Y273" s="24">
        <f t="shared" si="39"/>
        <v>4.2117737480648954E-2</v>
      </c>
      <c r="Z273" s="23">
        <f t="shared" si="40"/>
        <v>3.4465875161624471E-3</v>
      </c>
      <c r="AA273" s="36"/>
    </row>
    <row r="274" spans="15:27" ht="13.9" customHeight="1">
      <c r="O274" s="12">
        <f t="shared" si="34"/>
        <v>21.75</v>
      </c>
      <c r="P274" s="13">
        <v>261</v>
      </c>
      <c r="Q274" s="22">
        <v>4.1187593403981593E-2</v>
      </c>
      <c r="R274" s="19">
        <f t="shared" si="35"/>
        <v>3.866188271721005E-2</v>
      </c>
      <c r="S274" s="22">
        <v>4.1165427864382709E-2</v>
      </c>
      <c r="T274" s="19">
        <f t="shared" si="36"/>
        <v>3.8641837079208319E-2</v>
      </c>
      <c r="U274" s="24">
        <v>4.5475115554915568E-2</v>
      </c>
      <c r="V274" s="24">
        <f t="shared" si="37"/>
        <v>4.2946599294701349E-2</v>
      </c>
      <c r="W274" s="23">
        <f t="shared" si="38"/>
        <v>3.5130887506231723E-3</v>
      </c>
      <c r="X274" s="24">
        <v>4.4613678596534312E-2</v>
      </c>
      <c r="Y274" s="24">
        <f t="shared" si="39"/>
        <v>4.208586771861933E-2</v>
      </c>
      <c r="Z274" s="23">
        <f t="shared" si="40"/>
        <v>3.443827124174792E-3</v>
      </c>
      <c r="AA274" s="36"/>
    </row>
    <row r="275" spans="15:27" ht="13.9" customHeight="1">
      <c r="O275" s="12">
        <f t="shared" si="34"/>
        <v>21.833333333333332</v>
      </c>
      <c r="P275" s="13">
        <v>262</v>
      </c>
      <c r="Q275" s="22">
        <v>4.1177941620161196E-2</v>
      </c>
      <c r="R275" s="19">
        <f t="shared" si="35"/>
        <v>3.8603999676574796E-2</v>
      </c>
      <c r="S275" s="22">
        <v>4.1155784191133415E-2</v>
      </c>
      <c r="T275" s="19">
        <f t="shared" si="36"/>
        <v>3.8629281244702662E-2</v>
      </c>
      <c r="U275" s="24">
        <v>4.5465453084874596E-2</v>
      </c>
      <c r="V275" s="24">
        <f t="shared" si="37"/>
        <v>4.2914318700721932E-2</v>
      </c>
      <c r="W275" s="23">
        <f t="shared" si="38"/>
        <v>3.5103113930150531E-3</v>
      </c>
      <c r="X275" s="24">
        <v>4.4604018815680657E-2</v>
      </c>
      <c r="Y275" s="24">
        <f t="shared" si="39"/>
        <v>4.2056528455467923E-2</v>
      </c>
      <c r="Z275" s="23">
        <f t="shared" si="40"/>
        <v>3.4412698344139514E-3</v>
      </c>
      <c r="AA275" s="36"/>
    </row>
    <row r="276" spans="15:27" ht="13.9" customHeight="1">
      <c r="O276" s="12">
        <f t="shared" si="34"/>
        <v>21.916666666666668</v>
      </c>
      <c r="P276" s="13">
        <v>263</v>
      </c>
      <c r="Q276" s="22">
        <v>4.1168142697547427E-2</v>
      </c>
      <c r="R276" s="19">
        <f t="shared" si="35"/>
        <v>3.8546759615329718E-2</v>
      </c>
      <c r="S276" s="22">
        <v>4.1146166085892721E-2</v>
      </c>
      <c r="T276" s="19">
        <f t="shared" si="36"/>
        <v>3.8620246490091992E-2</v>
      </c>
      <c r="U276" s="24">
        <v>4.5455741144876827E-2</v>
      </c>
      <c r="V276" s="24">
        <f t="shared" si="37"/>
        <v>4.2884395868972858E-2</v>
      </c>
      <c r="W276" s="23">
        <f t="shared" si="38"/>
        <v>3.507723023958409E-3</v>
      </c>
      <c r="X276" s="24">
        <v>4.4594320755300565E-2</v>
      </c>
      <c r="Y276" s="24">
        <f t="shared" si="39"/>
        <v>4.2029718090832668E-2</v>
      </c>
      <c r="Z276" s="23">
        <f t="shared" si="40"/>
        <v>3.4389155332723575E-3</v>
      </c>
      <c r="AA276" s="36"/>
    </row>
    <row r="277" spans="15:27" ht="13.9" customHeight="1">
      <c r="O277" s="12">
        <f t="shared" si="34"/>
        <v>22</v>
      </c>
      <c r="P277" s="13">
        <v>264</v>
      </c>
      <c r="Q277" s="22">
        <v>4.1158200742732243E-2</v>
      </c>
      <c r="R277" s="19">
        <f t="shared" si="35"/>
        <v>3.8490157096388922E-2</v>
      </c>
      <c r="S277" s="22">
        <v>4.1136586627609661E-2</v>
      </c>
      <c r="T277" s="19">
        <f t="shared" si="36"/>
        <v>3.8614727088130518E-2</v>
      </c>
      <c r="U277" s="24">
        <v>4.5445989248541263E-2</v>
      </c>
      <c r="V277" s="24">
        <f t="shared" si="37"/>
        <v>4.2856830573329674E-2</v>
      </c>
      <c r="W277" s="23">
        <f t="shared" si="38"/>
        <v>3.5053236427964318E-3</v>
      </c>
      <c r="X277" s="24">
        <v>4.4584594451990034E-2</v>
      </c>
      <c r="Y277" s="24">
        <f t="shared" si="39"/>
        <v>4.200543506127663E-2</v>
      </c>
      <c r="Z277" s="23">
        <f t="shared" si="40"/>
        <v>3.4367641080437217E-3</v>
      </c>
      <c r="AA277" s="36"/>
    </row>
    <row r="278" spans="15:27" ht="13.9" customHeight="1">
      <c r="O278" s="12">
        <f t="shared" si="34"/>
        <v>22.083333333333332</v>
      </c>
      <c r="P278" s="13">
        <v>265</v>
      </c>
      <c r="Q278" s="22">
        <v>4.1148119780118897E-2</v>
      </c>
      <c r="R278" s="19">
        <f t="shared" si="35"/>
        <v>3.8434180491584202E-2</v>
      </c>
      <c r="S278" s="22">
        <v>4.1127058676011297E-2</v>
      </c>
      <c r="T278" s="19">
        <f t="shared" si="36"/>
        <v>3.8612717574644462E-2</v>
      </c>
      <c r="U278" s="24">
        <v>4.5436206765469667E-2</v>
      </c>
      <c r="V278" s="24">
        <f t="shared" si="37"/>
        <v>4.2831622544737158E-2</v>
      </c>
      <c r="W278" s="23">
        <f t="shared" si="38"/>
        <v>3.5031132463108072E-3</v>
      </c>
      <c r="X278" s="24">
        <v>4.4574849785320003E-2</v>
      </c>
      <c r="Y278" s="24">
        <f t="shared" si="39"/>
        <v>4.1983677839585898E-2</v>
      </c>
      <c r="Z278" s="23">
        <f t="shared" si="40"/>
        <v>3.4348154476204762E-3</v>
      </c>
      <c r="AA278" s="36"/>
    </row>
    <row r="279" spans="15:27" ht="13.9" customHeight="1">
      <c r="O279" s="12">
        <f t="shared" si="34"/>
        <v>22.166666666666668</v>
      </c>
      <c r="P279" s="13">
        <v>266</v>
      </c>
      <c r="Q279" s="22">
        <v>4.1137903730119607E-2</v>
      </c>
      <c r="R279" s="19">
        <f t="shared" si="35"/>
        <v>3.837882440108431E-2</v>
      </c>
      <c r="S279" s="22">
        <v>4.1117594876586283E-2</v>
      </c>
      <c r="T279" s="19">
        <f t="shared" si="36"/>
        <v>3.8614212760381905E-2</v>
      </c>
      <c r="U279" s="24">
        <v>4.5426402923728793E-2</v>
      </c>
      <c r="V279" s="24">
        <f t="shared" si="37"/>
        <v>4.2808771510080001E-2</v>
      </c>
      <c r="W279" s="23">
        <f t="shared" si="38"/>
        <v>3.5010918266642488E-3</v>
      </c>
      <c r="X279" s="24">
        <v>4.4565096480852162E-2</v>
      </c>
      <c r="Y279" s="24">
        <f t="shared" si="39"/>
        <v>4.1964444946964052E-2</v>
      </c>
      <c r="Z279" s="23">
        <f t="shared" si="40"/>
        <v>3.4330694424387076E-3</v>
      </c>
      <c r="AA279" s="36"/>
    </row>
    <row r="280" spans="15:27" ht="13.9" customHeight="1">
      <c r="O280" s="12">
        <f t="shared" si="34"/>
        <v>22.25</v>
      </c>
      <c r="P280" s="13">
        <v>267</v>
      </c>
      <c r="Q280" s="22">
        <v>4.1127556434476187E-2</v>
      </c>
      <c r="R280" s="19">
        <f t="shared" si="35"/>
        <v>3.8324085514527928E-2</v>
      </c>
      <c r="S280" s="22">
        <v>4.1108207665503604E-2</v>
      </c>
      <c r="T280" s="19">
        <f t="shared" si="36"/>
        <v>3.8619207737170314E-2</v>
      </c>
      <c r="U280" s="24">
        <v>4.5416586812423221E-2</v>
      </c>
      <c r="V280" s="24">
        <f t="shared" si="37"/>
        <v>4.2788277168915201E-2</v>
      </c>
      <c r="W280" s="23">
        <f t="shared" si="38"/>
        <v>3.4992593745184486E-3</v>
      </c>
      <c r="X280" s="24">
        <v>4.4555344113135442E-2</v>
      </c>
      <c r="Y280" s="24">
        <f t="shared" si="39"/>
        <v>4.1947734949678184E-2</v>
      </c>
      <c r="Z280" s="23">
        <f t="shared" si="40"/>
        <v>3.4315259854604818E-3</v>
      </c>
      <c r="AA280" s="36"/>
    </row>
    <row r="281" spans="15:27" ht="13.9" customHeight="1">
      <c r="O281" s="12">
        <f t="shared" si="34"/>
        <v>22.333333333333332</v>
      </c>
      <c r="P281" s="13">
        <v>268</v>
      </c>
      <c r="Q281" s="22">
        <v>4.1117081665533517E-2</v>
      </c>
      <c r="R281" s="19">
        <f t="shared" si="35"/>
        <v>3.8269960537233416E-2</v>
      </c>
      <c r="S281" s="22">
        <v>4.1098909274445372E-2</v>
      </c>
      <c r="T281" s="19">
        <f t="shared" si="36"/>
        <v>3.8627697889716206E-2</v>
      </c>
      <c r="U281" s="24">
        <v>4.5406767384124525E-2</v>
      </c>
      <c r="V281" s="24">
        <f t="shared" si="37"/>
        <v>4.2770139220161152E-2</v>
      </c>
      <c r="W281" s="23">
        <f t="shared" si="38"/>
        <v>3.4976158771682364E-3</v>
      </c>
      <c r="X281" s="24">
        <v>4.4545602108621907E-2</v>
      </c>
      <c r="Y281" s="24">
        <f t="shared" si="39"/>
        <v>4.1933546473447159E-2</v>
      </c>
      <c r="Z281" s="23">
        <f t="shared" si="40"/>
        <v>3.4301849719062805E-3</v>
      </c>
      <c r="AA281" s="36"/>
    </row>
    <row r="282" spans="15:27" ht="13.9" customHeight="1">
      <c r="O282" s="12">
        <f t="shared" si="34"/>
        <v>22.416666666666668</v>
      </c>
      <c r="P282" s="13">
        <v>269</v>
      </c>
      <c r="Q282" s="22">
        <v>4.1106483127578475E-2</v>
      </c>
      <c r="R282" s="19">
        <f t="shared" si="35"/>
        <v>3.8216446193915399E-2</v>
      </c>
      <c r="S282" s="22">
        <v>4.1089711735378565E-2</v>
      </c>
      <c r="T282" s="19">
        <f t="shared" si="36"/>
        <v>3.8639678904063501E-2</v>
      </c>
      <c r="U282" s="24">
        <v>4.5396953457346401E-2</v>
      </c>
      <c r="V282" s="24">
        <f t="shared" si="37"/>
        <v>4.2754357346589167E-2</v>
      </c>
      <c r="W282" s="23">
        <f t="shared" si="38"/>
        <v>3.4961613206812014E-3</v>
      </c>
      <c r="X282" s="24">
        <v>4.4535879748573759E-2</v>
      </c>
      <c r="Y282" s="24">
        <f t="shared" si="39"/>
        <v>4.1921878201641949E-2</v>
      </c>
      <c r="Z282" s="23">
        <f t="shared" si="40"/>
        <v>3.4290463004140737E-3</v>
      </c>
      <c r="AA282" s="36"/>
    </row>
    <row r="283" spans="15:27" ht="13.9" customHeight="1">
      <c r="O283" s="12">
        <f t="shared" si="34"/>
        <v>22.5</v>
      </c>
      <c r="P283" s="13">
        <v>270</v>
      </c>
      <c r="Q283" s="22">
        <v>4.1095764458162654E-2</v>
      </c>
      <c r="R283" s="19">
        <f t="shared" si="35"/>
        <v>3.8163537196290731E-2</v>
      </c>
      <c r="S283" s="22">
        <v>4.1080626885253713E-2</v>
      </c>
      <c r="T283" s="19">
        <f t="shared" si="36"/>
        <v>3.8655146775174343E-2</v>
      </c>
      <c r="U283" s="24">
        <v>4.5387153718908335E-2</v>
      </c>
      <c r="V283" s="24">
        <f t="shared" si="37"/>
        <v>4.2740931233750334E-2</v>
      </c>
      <c r="W283" s="23">
        <f t="shared" si="38"/>
        <v>3.4948956886553528E-3</v>
      </c>
      <c r="X283" s="24">
        <v>4.4526186171898852E-2</v>
      </c>
      <c r="Y283" s="24">
        <f t="shared" si="39"/>
        <v>4.191272888100217E-2</v>
      </c>
      <c r="Z283" s="23">
        <f t="shared" si="40"/>
        <v>3.4281098728954351E-3</v>
      </c>
      <c r="AA283" s="36"/>
    </row>
    <row r="284" spans="15:27" ht="13.9" customHeight="1">
      <c r="O284" s="12">
        <f t="shared" si="34"/>
        <v>22.583333333333332</v>
      </c>
      <c r="P284" s="13">
        <v>271</v>
      </c>
      <c r="Q284" s="22">
        <v>4.1084929221875566E-2</v>
      </c>
      <c r="R284" s="19">
        <f t="shared" si="35"/>
        <v>3.811122218955787E-2</v>
      </c>
      <c r="S284" s="22">
        <v>4.1071666370628757E-2</v>
      </c>
      <c r="T284" s="19">
        <f t="shared" si="36"/>
        <v>3.8674097818117259E-2</v>
      </c>
      <c r="U284" s="24">
        <v>4.5377376726316809E-2</v>
      </c>
      <c r="V284" s="24">
        <f t="shared" si="37"/>
        <v>4.27298605651385E-2</v>
      </c>
      <c r="W284" s="23">
        <f t="shared" si="38"/>
        <v>3.4938189637363504E-3</v>
      </c>
      <c r="X284" s="24">
        <v>4.4516530377946451E-2</v>
      </c>
      <c r="Y284" s="24">
        <f t="shared" si="39"/>
        <v>4.1906097331109615E-2</v>
      </c>
      <c r="Z284" s="23">
        <f t="shared" si="40"/>
        <v>3.4273755949985052E-3</v>
      </c>
      <c r="AA284" s="36"/>
    </row>
    <row r="285" spans="15:27" ht="13.9" customHeight="1">
      <c r="O285" s="12">
        <f t="shared" si="34"/>
        <v>22.666666666666668</v>
      </c>
      <c r="P285" s="13">
        <v>272</v>
      </c>
      <c r="Q285" s="22">
        <v>4.1073980889308359E-2</v>
      </c>
      <c r="R285" s="19">
        <f t="shared" si="35"/>
        <v>3.8059495926442422E-2</v>
      </c>
      <c r="S285" s="22">
        <v>4.1062841652235615E-2</v>
      </c>
      <c r="T285" s="19">
        <f t="shared" si="36"/>
        <v>3.8696528676129605E-2</v>
      </c>
      <c r="U285" s="24">
        <v>4.5367630910077894E-2</v>
      </c>
      <c r="V285" s="24">
        <f t="shared" si="37"/>
        <v>4.2721145035620411E-2</v>
      </c>
      <c r="W285" s="23">
        <f t="shared" si="38"/>
        <v>3.4929311272300367E-3</v>
      </c>
      <c r="X285" s="24">
        <v>4.4506921229276797E-2</v>
      </c>
      <c r="Y285" s="24">
        <f t="shared" si="39"/>
        <v>4.1901982442848151E-2</v>
      </c>
      <c r="Z285" s="23">
        <f t="shared" si="40"/>
        <v>3.4268433768696038E-3</v>
      </c>
      <c r="AA285" s="36"/>
    </row>
    <row r="286" spans="15:27" ht="13.9" customHeight="1">
      <c r="O286" s="12">
        <f t="shared" si="34"/>
        <v>22.75</v>
      </c>
      <c r="P286" s="13">
        <v>273</v>
      </c>
      <c r="Q286" s="22">
        <v>4.1062922861199613E-2</v>
      </c>
      <c r="R286" s="19">
        <f t="shared" si="35"/>
        <v>3.8008355209303346E-2</v>
      </c>
      <c r="S286" s="22">
        <v>4.1054164009475036E-2</v>
      </c>
      <c r="T286" s="19">
        <f t="shared" si="36"/>
        <v>3.8722436329882592E-2</v>
      </c>
      <c r="U286" s="24">
        <v>4.5357924576008513E-2</v>
      </c>
      <c r="V286" s="24">
        <f t="shared" si="37"/>
        <v>4.2714784347784862E-2</v>
      </c>
      <c r="W286" s="23">
        <f t="shared" si="38"/>
        <v>3.4922321601806861E-3</v>
      </c>
      <c r="X286" s="24">
        <v>4.44973674543645E-2</v>
      </c>
      <c r="Y286" s="24">
        <f t="shared" si="39"/>
        <v>4.1900383190003332E-2</v>
      </c>
      <c r="Z286" s="23">
        <f t="shared" si="40"/>
        <v>3.4265131330322163E-3</v>
      </c>
      <c r="AA286" s="36"/>
    </row>
    <row r="287" spans="15:27" ht="13.9" customHeight="1">
      <c r="O287" s="12">
        <f t="shared" si="34"/>
        <v>22.833333333333332</v>
      </c>
      <c r="P287" s="13">
        <v>274</v>
      </c>
      <c r="Q287" s="22">
        <v>4.1051758477202105E-2</v>
      </c>
      <c r="R287" s="19">
        <f t="shared" si="35"/>
        <v>3.7957796857813531E-2</v>
      </c>
      <c r="S287" s="22">
        <v>4.1045644544850823E-2</v>
      </c>
      <c r="T287" s="19">
        <f t="shared" si="36"/>
        <v>3.8751818107262581E-2</v>
      </c>
      <c r="U287" s="24">
        <v>4.5348265907484642E-2</v>
      </c>
      <c r="V287" s="24">
        <f t="shared" si="37"/>
        <v>4.2710778221162427E-2</v>
      </c>
      <c r="W287" s="23">
        <f t="shared" si="38"/>
        <v>3.4917220430774609E-3</v>
      </c>
      <c r="X287" s="24">
        <v>4.4487877650286611E-2</v>
      </c>
      <c r="Y287" s="24">
        <f t="shared" si="39"/>
        <v>4.1901298629588135E-2</v>
      </c>
      <c r="Z287" s="23">
        <f t="shared" si="40"/>
        <v>3.4263847833200245E-3</v>
      </c>
      <c r="AA287" s="36"/>
    </row>
    <row r="288" spans="15:27" ht="13.9" customHeight="1">
      <c r="O288" s="12">
        <f t="shared" si="34"/>
        <v>22.916666666666668</v>
      </c>
      <c r="P288" s="13">
        <v>275</v>
      </c>
      <c r="Q288" s="22">
        <v>4.1040491017049208E-2</v>
      </c>
      <c r="R288" s="19">
        <f t="shared" si="35"/>
        <v>3.7907817711988256E-2</v>
      </c>
      <c r="S288" s="22">
        <v>4.1037294188342344E-2</v>
      </c>
      <c r="T288" s="19">
        <f t="shared" si="36"/>
        <v>3.8784671690231143E-2</v>
      </c>
      <c r="U288" s="24">
        <v>4.5338662967674193E-2</v>
      </c>
      <c r="V288" s="24">
        <f t="shared" si="37"/>
        <v>4.2709126389462782E-2</v>
      </c>
      <c r="W288" s="23">
        <f t="shared" si="38"/>
        <v>3.4914007565951533E-3</v>
      </c>
      <c r="X288" s="24">
        <v>4.4478460285353849E-2</v>
      </c>
      <c r="Y288" s="24">
        <f t="shared" si="39"/>
        <v>4.1904727908528949E-2</v>
      </c>
      <c r="Z288" s="23">
        <f t="shared" si="40"/>
        <v>3.4264582529048848E-3</v>
      </c>
      <c r="AA288" s="36"/>
    </row>
    <row r="289" spans="15:27" ht="13.9" customHeight="1">
      <c r="O289" s="12">
        <f t="shared" si="34"/>
        <v>23</v>
      </c>
      <c r="P289" s="13">
        <v>276</v>
      </c>
      <c r="Q289" s="22">
        <v>4.1029123701706416E-2</v>
      </c>
      <c r="R289" s="19">
        <f t="shared" si="35"/>
        <v>3.7858412639631966E-2</v>
      </c>
      <c r="S289" s="22">
        <v>4.1029123701709747E-2</v>
      </c>
      <c r="T289" s="19">
        <f t="shared" si="36"/>
        <v>3.8820362850061407E-2</v>
      </c>
      <c r="U289" s="24">
        <v>4.5329123701712604E-2</v>
      </c>
      <c r="V289" s="24">
        <f t="shared" si="37"/>
        <v>4.2709436017694502E-2</v>
      </c>
      <c r="W289" s="23">
        <f t="shared" si="38"/>
        <v>3.4912682813723617E-3</v>
      </c>
      <c r="X289" s="24">
        <v>4.4469123701709634E-2</v>
      </c>
      <c r="Y289" s="24">
        <f t="shared" si="39"/>
        <v>4.1910246046509059E-2</v>
      </c>
      <c r="Z289" s="23">
        <f t="shared" si="40"/>
        <v>3.426733472835064E-3</v>
      </c>
      <c r="AA289" s="36"/>
    </row>
    <row r="290" spans="15:27" ht="13.9" customHeight="1">
      <c r="O290" s="12">
        <f t="shared" si="34"/>
        <v>23.083333333333332</v>
      </c>
      <c r="P290" s="13">
        <v>277</v>
      </c>
      <c r="Q290" s="22">
        <v>4.1017659687282215E-2</v>
      </c>
      <c r="R290" s="19">
        <f t="shared" si="35"/>
        <v>3.7809570561148087E-2</v>
      </c>
      <c r="S290" s="22">
        <v>4.1021141395326755E-2</v>
      </c>
      <c r="T290" s="19">
        <f t="shared" si="36"/>
        <v>3.885636236033041E-2</v>
      </c>
      <c r="U290" s="24">
        <v>4.5319654518017671E-2</v>
      </c>
      <c r="V290" s="24">
        <f t="shared" si="37"/>
        <v>4.2710136558641087E-2</v>
      </c>
      <c r="W290" s="23">
        <f t="shared" si="38"/>
        <v>3.4912931132564662E-3</v>
      </c>
      <c r="X290" s="24">
        <v>4.4459874582656322E-2</v>
      </c>
      <c r="Y290" s="24">
        <f t="shared" si="39"/>
        <v>4.1916155753730644E-2</v>
      </c>
      <c r="Z290" s="23">
        <f t="shared" si="40"/>
        <v>3.4271763343221018E-3</v>
      </c>
      <c r="AA290" s="36"/>
    </row>
    <row r="291" spans="15:27" ht="13.9" customHeight="1">
      <c r="O291" s="12">
        <f t="shared" si="34"/>
        <v>23.166666666666668</v>
      </c>
      <c r="P291" s="13">
        <v>278</v>
      </c>
      <c r="Q291" s="22">
        <v>4.1006102044727655E-2</v>
      </c>
      <c r="R291" s="19">
        <f t="shared" si="35"/>
        <v>3.7761286389009996E-2</v>
      </c>
      <c r="S291" s="22">
        <v>4.1013346341907564E-2</v>
      </c>
      <c r="T291" s="19">
        <f t="shared" si="36"/>
        <v>3.8892040631418601E-2</v>
      </c>
      <c r="U291" s="24">
        <v>4.5310256069016175E-2</v>
      </c>
      <c r="V291" s="24">
        <f t="shared" si="37"/>
        <v>4.2710835393934055E-2</v>
      </c>
      <c r="W291" s="23">
        <f t="shared" si="38"/>
        <v>3.4913492959360859E-3</v>
      </c>
      <c r="X291" s="24">
        <v>4.4450713394762031E-2</v>
      </c>
      <c r="Y291" s="24">
        <f t="shared" si="39"/>
        <v>4.1922032921151819E-2</v>
      </c>
      <c r="Z291" s="23">
        <f t="shared" si="40"/>
        <v>3.4276506190504819E-3</v>
      </c>
      <c r="AA291" s="36"/>
    </row>
    <row r="292" spans="15:27" ht="13.9" customHeight="1">
      <c r="O292" s="12">
        <f t="shared" si="34"/>
        <v>23.25</v>
      </c>
      <c r="P292" s="13">
        <v>279</v>
      </c>
      <c r="Q292" s="22">
        <v>4.0994453782895013E-2</v>
      </c>
      <c r="R292" s="19">
        <f t="shared" si="35"/>
        <v>3.7713557043675738E-2</v>
      </c>
      <c r="S292" s="22">
        <v>4.1005735366228757E-2</v>
      </c>
      <c r="T292" s="19">
        <f t="shared" si="36"/>
        <v>3.8927400721287642E-2</v>
      </c>
      <c r="U292" s="24">
        <v>4.5300927587012652E-2</v>
      </c>
      <c r="V292" s="24">
        <f t="shared" si="37"/>
        <v>4.2711532525754103E-2</v>
      </c>
      <c r="W292" s="23">
        <f t="shared" si="38"/>
        <v>3.4914053417898216E-3</v>
      </c>
      <c r="X292" s="24">
        <v>4.4441639074074057E-2</v>
      </c>
      <c r="Y292" s="24">
        <f t="shared" si="39"/>
        <v>4.1927877733545671E-2</v>
      </c>
      <c r="Z292" s="23">
        <f t="shared" si="40"/>
        <v>3.4281222898449037E-3</v>
      </c>
      <c r="AA292" s="36"/>
    </row>
    <row r="293" spans="15:27" ht="13.9" customHeight="1">
      <c r="O293" s="12">
        <f t="shared" si="34"/>
        <v>23.333333333333332</v>
      </c>
      <c r="P293" s="13">
        <v>280</v>
      </c>
      <c r="Q293" s="22">
        <v>4.0982717856832718E-2</v>
      </c>
      <c r="R293" s="19">
        <f t="shared" si="35"/>
        <v>3.7666379464643907E-2</v>
      </c>
      <c r="S293" s="22">
        <v>4.0998305349620123E-2</v>
      </c>
      <c r="T293" s="19">
        <f t="shared" si="36"/>
        <v>3.8962445654587174E-2</v>
      </c>
      <c r="U293" s="24">
        <v>4.5291668315300182E-2</v>
      </c>
      <c r="V293" s="24">
        <f t="shared" si="37"/>
        <v>4.2712227960933546E-2</v>
      </c>
      <c r="W293" s="23">
        <f t="shared" si="38"/>
        <v>3.4914612509922005E-3</v>
      </c>
      <c r="X293" s="24">
        <v>4.4432650572528543E-2</v>
      </c>
      <c r="Y293" s="24">
        <f t="shared" si="39"/>
        <v>4.1933690374120536E-2</v>
      </c>
      <c r="Z293" s="23">
        <f t="shared" si="40"/>
        <v>3.4285913615748065E-3</v>
      </c>
      <c r="AA293" s="36"/>
    </row>
    <row r="294" spans="15:27" ht="13.9" customHeight="1">
      <c r="O294" s="12">
        <f t="shared" si="34"/>
        <v>23.416666666666668</v>
      </c>
      <c r="P294" s="13">
        <v>281</v>
      </c>
      <c r="Q294" s="22">
        <v>4.0970897168804532E-2</v>
      </c>
      <c r="R294" s="19">
        <f t="shared" si="35"/>
        <v>3.7619750612271297E-2</v>
      </c>
      <c r="S294" s="22">
        <v>4.0991053228833119E-2</v>
      </c>
      <c r="T294" s="19">
        <f t="shared" si="36"/>
        <v>3.899717842703998E-2</v>
      </c>
      <c r="U294" s="24">
        <v>4.5282477507982088E-2</v>
      </c>
      <c r="V294" s="24">
        <f t="shared" si="37"/>
        <v>4.271292170812746E-2</v>
      </c>
      <c r="W294" s="23">
        <f t="shared" si="38"/>
        <v>3.4915170240918947E-3</v>
      </c>
      <c r="X294" s="24">
        <v>4.4423746857660928E-2</v>
      </c>
      <c r="Y294" s="24">
        <f t="shared" si="39"/>
        <v>4.193947102612583E-2</v>
      </c>
      <c r="Z294" s="23">
        <f t="shared" si="40"/>
        <v>3.4290578489837298E-3</v>
      </c>
      <c r="AA294" s="36"/>
    </row>
    <row r="295" spans="15:27" ht="13.9" customHeight="1">
      <c r="O295" s="12">
        <f t="shared" si="34"/>
        <v>23.5</v>
      </c>
      <c r="P295" s="13">
        <v>282</v>
      </c>
      <c r="Q295" s="22">
        <v>4.0958994569292528E-2</v>
      </c>
      <c r="R295" s="19">
        <f t="shared" si="35"/>
        <v>3.7573665514252896E-2</v>
      </c>
      <c r="S295" s="22">
        <v>4.0983975994948629E-2</v>
      </c>
      <c r="T295" s="19">
        <f t="shared" si="36"/>
        <v>3.9031601998448906E-2</v>
      </c>
      <c r="U295" s="24">
        <v>4.5273354429786083E-2</v>
      </c>
      <c r="V295" s="24">
        <f t="shared" si="37"/>
        <v>4.2713613762985325E-2</v>
      </c>
      <c r="W295" s="23">
        <f t="shared" si="38"/>
        <v>3.4915726617832377E-3</v>
      </c>
      <c r="X295" s="24">
        <v>4.4414926912329289E-2</v>
      </c>
      <c r="Y295" s="24">
        <f t="shared" si="39"/>
        <v>4.1945219869317985E-2</v>
      </c>
      <c r="Z295" s="23">
        <f t="shared" si="40"/>
        <v>3.4295217668174338E-3</v>
      </c>
      <c r="AA295" s="36"/>
    </row>
    <row r="296" spans="15:27" ht="13.9" customHeight="1">
      <c r="O296" s="12">
        <f t="shared" si="34"/>
        <v>23.583333333333332</v>
      </c>
      <c r="P296" s="13">
        <v>283</v>
      </c>
      <c r="Q296" s="22">
        <v>4.0947012851054732E-2</v>
      </c>
      <c r="R296" s="19">
        <f t="shared" si="35"/>
        <v>3.7528113370552951E-2</v>
      </c>
      <c r="S296" s="22">
        <v>4.0977070692284068E-2</v>
      </c>
      <c r="T296" s="19">
        <f t="shared" si="36"/>
        <v>3.9065719301248247E-2</v>
      </c>
      <c r="U296" s="24">
        <v>4.5264298355830013E-2</v>
      </c>
      <c r="V296" s="24">
        <f t="shared" si="37"/>
        <v>4.271430413727062E-2</v>
      </c>
      <c r="W296" s="23">
        <f t="shared" si="38"/>
        <v>3.4916281637173974E-3</v>
      </c>
      <c r="X296" s="24">
        <v>4.4406189734430779E-2</v>
      </c>
      <c r="Y296" s="24">
        <f t="shared" si="39"/>
        <v>4.1950937085153184E-2</v>
      </c>
      <c r="Z296" s="23">
        <f t="shared" si="40"/>
        <v>3.4299831295410144E-3</v>
      </c>
      <c r="AA296" s="36"/>
    </row>
    <row r="297" spans="15:27" ht="13.9" customHeight="1">
      <c r="O297" s="12">
        <f t="shared" si="34"/>
        <v>23.666666666666668</v>
      </c>
      <c r="P297" s="13">
        <v>284</v>
      </c>
      <c r="Q297" s="22">
        <v>4.0934954729547002E-2</v>
      </c>
      <c r="R297" s="19">
        <f t="shared" si="35"/>
        <v>3.7483089255377244E-2</v>
      </c>
      <c r="S297" s="22">
        <v>4.0970334417353094E-2</v>
      </c>
      <c r="T297" s="19">
        <f t="shared" si="36"/>
        <v>3.9099533234261186E-2</v>
      </c>
      <c r="U297" s="24">
        <v>4.5255308571496178E-2</v>
      </c>
      <c r="V297" s="24">
        <f t="shared" si="37"/>
        <v>4.2714992827088238E-2</v>
      </c>
      <c r="W297" s="23">
        <f t="shared" si="38"/>
        <v>3.4916835308380634E-3</v>
      </c>
      <c r="X297" s="24">
        <v>4.4397534336642064E-2</v>
      </c>
      <c r="Y297" s="24">
        <f t="shared" si="39"/>
        <v>4.1956622850494618E-2</v>
      </c>
      <c r="Z297" s="23">
        <f t="shared" si="40"/>
        <v>3.4304419517559026E-3</v>
      </c>
      <c r="AA297" s="36"/>
    </row>
    <row r="298" spans="15:27" ht="13.9" customHeight="1">
      <c r="O298" s="12">
        <f t="shared" si="34"/>
        <v>23.75</v>
      </c>
      <c r="P298" s="13">
        <v>285</v>
      </c>
      <c r="Q298" s="22">
        <v>4.0922822864949193E-2</v>
      </c>
      <c r="R298" s="19">
        <f t="shared" si="35"/>
        <v>3.7438590211852807E-2</v>
      </c>
      <c r="S298" s="22">
        <v>4.0963764317826223E-2</v>
      </c>
      <c r="T298" s="19">
        <f t="shared" si="36"/>
        <v>3.9133046668347271E-2</v>
      </c>
      <c r="U298" s="24">
        <v>4.5246384372195525E-2</v>
      </c>
      <c r="V298" s="24">
        <f t="shared" si="37"/>
        <v>4.2715679847957544E-2</v>
      </c>
      <c r="W298" s="23">
        <f t="shared" si="38"/>
        <v>3.491738762833041E-3</v>
      </c>
      <c r="X298" s="24">
        <v>4.4388959746143763E-2</v>
      </c>
      <c r="Y298" s="24">
        <f t="shared" si="39"/>
        <v>4.1962277347052268E-2</v>
      </c>
      <c r="Z298" s="23">
        <f t="shared" si="40"/>
        <v>3.4308982476938255E-3</v>
      </c>
      <c r="AA298" s="36"/>
    </row>
    <row r="299" spans="15:27" ht="13.9" customHeight="1">
      <c r="O299" s="12">
        <f t="shared" si="34"/>
        <v>23.833333333333332</v>
      </c>
      <c r="P299" s="13">
        <v>286</v>
      </c>
      <c r="Q299" s="22">
        <v>4.0910619870033083E-2</v>
      </c>
      <c r="R299" s="19">
        <f t="shared" si="35"/>
        <v>3.7394613304019275E-2</v>
      </c>
      <c r="S299" s="22">
        <v>4.0957357591532295E-2</v>
      </c>
      <c r="T299" s="19">
        <f t="shared" si="36"/>
        <v>3.9166262441689081E-2</v>
      </c>
      <c r="U299" s="24">
        <v>4.5237525063260176E-2</v>
      </c>
      <c r="V299" s="24">
        <f t="shared" si="37"/>
        <v>4.271636519154165E-2</v>
      </c>
      <c r="W299" s="23">
        <f t="shared" si="38"/>
        <v>3.4917938609473342E-3</v>
      </c>
      <c r="X299" s="24">
        <v>4.4380465004383085E-2</v>
      </c>
      <c r="Y299" s="24">
        <f t="shared" si="39"/>
        <v>4.196790074838308E-2</v>
      </c>
      <c r="Z299" s="23">
        <f t="shared" si="40"/>
        <v>3.4313520319750879E-3</v>
      </c>
      <c r="AA299" s="36"/>
    </row>
    <row r="300" spans="15:27" ht="13.9" customHeight="1">
      <c r="O300" s="12">
        <f t="shared" si="34"/>
        <v>23.916666666666668</v>
      </c>
      <c r="P300" s="13">
        <v>287</v>
      </c>
      <c r="Q300" s="22">
        <v>4.0898348311055877E-2</v>
      </c>
      <c r="R300" s="19">
        <f t="shared" si="35"/>
        <v>3.7351155615229281E-2</v>
      </c>
      <c r="S300" s="22">
        <v>4.0951111485465486E-2</v>
      </c>
      <c r="T300" s="19">
        <f t="shared" si="36"/>
        <v>3.9199183365056012E-2</v>
      </c>
      <c r="U300" s="24">
        <v>4.5228729959687186E-2</v>
      </c>
      <c r="V300" s="24">
        <f t="shared" si="37"/>
        <v>4.2717048873215369E-2</v>
      </c>
      <c r="W300" s="23">
        <f t="shared" si="38"/>
        <v>3.4918488245125889E-3</v>
      </c>
      <c r="X300" s="24">
        <v>4.4372049166796934E-2</v>
      </c>
      <c r="Y300" s="24">
        <f t="shared" si="39"/>
        <v>4.1973493230887504E-2</v>
      </c>
      <c r="Z300" s="23">
        <f t="shared" si="40"/>
        <v>3.4318033185656294E-3</v>
      </c>
      <c r="AA300" s="36"/>
    </row>
    <row r="301" spans="15:27" ht="13.9" customHeight="1">
      <c r="O301" s="12">
        <f t="shared" si="34"/>
        <v>24</v>
      </c>
      <c r="P301" s="13">
        <v>288</v>
      </c>
      <c r="Q301" s="22">
        <v>4.0886010708629072E-2</v>
      </c>
      <c r="R301" s="19">
        <f t="shared" si="35"/>
        <v>3.7308212336923052E-2</v>
      </c>
      <c r="S301" s="22">
        <v>4.094502329483074E-2</v>
      </c>
      <c r="T301" s="19">
        <f t="shared" si="36"/>
        <v>3.9231812217773498E-2</v>
      </c>
      <c r="U301" s="24">
        <v>4.5219998386053062E-2</v>
      </c>
      <c r="V301" s="24">
        <f t="shared" si="37"/>
        <v>4.2717730885948768E-2</v>
      </c>
      <c r="W301" s="23">
        <f t="shared" si="38"/>
        <v>3.4919036547620408E-3</v>
      </c>
      <c r="X301" s="24">
        <v>4.4363711302577657E-2</v>
      </c>
      <c r="Y301" s="24">
        <f t="shared" si="39"/>
        <v>4.1979054970334273E-2</v>
      </c>
      <c r="Z301" s="23">
        <f t="shared" si="40"/>
        <v>3.4322521216585411E-3</v>
      </c>
      <c r="AA301" s="36"/>
    </row>
    <row r="302" spans="15:27" ht="13.9" customHeight="1">
      <c r="O302" s="12">
        <f t="shared" si="34"/>
        <v>24.083333333333332</v>
      </c>
      <c r="P302" s="13">
        <v>289</v>
      </c>
      <c r="Q302" s="22">
        <v>4.0873609531935085E-2</v>
      </c>
      <c r="R302" s="19">
        <f t="shared" si="35"/>
        <v>3.7265772949327092E-2</v>
      </c>
      <c r="S302" s="22">
        <v>4.0939090362095421E-2</v>
      </c>
      <c r="T302" s="19">
        <f t="shared" si="36"/>
        <v>3.9264151751785992E-2</v>
      </c>
      <c r="U302" s="24">
        <v>4.5211329676269951E-2</v>
      </c>
      <c r="V302" s="24">
        <f t="shared" si="37"/>
        <v>4.271841124231468E-2</v>
      </c>
      <c r="W302" s="23">
        <f t="shared" si="38"/>
        <v>3.4919583511321406E-3</v>
      </c>
      <c r="X302" s="24">
        <v>4.4355450494432791E-2</v>
      </c>
      <c r="Y302" s="24">
        <f t="shared" si="39"/>
        <v>4.1984586140255464E-2</v>
      </c>
      <c r="Z302" s="23">
        <f t="shared" si="40"/>
        <v>3.432698455396288E-3</v>
      </c>
      <c r="AA302" s="36"/>
    </row>
    <row r="303" spans="15:27" ht="13.9" customHeight="1">
      <c r="O303" s="12">
        <f t="shared" si="34"/>
        <v>24.166666666666668</v>
      </c>
      <c r="P303" s="13">
        <v>290</v>
      </c>
      <c r="Q303" s="22">
        <v>4.0861147179845236E-2</v>
      </c>
      <c r="R303" s="19">
        <f t="shared" si="35"/>
        <v>3.722383268980578E-2</v>
      </c>
      <c r="S303" s="22">
        <v>4.0933310076075147E-2</v>
      </c>
      <c r="T303" s="19">
        <f t="shared" si="36"/>
        <v>3.9296204690357106E-2</v>
      </c>
      <c r="U303" s="24">
        <v>4.5202723173492387E-2</v>
      </c>
      <c r="V303" s="24">
        <f t="shared" si="37"/>
        <v>4.2719089948051847E-2</v>
      </c>
      <c r="W303" s="23">
        <f t="shared" si="38"/>
        <v>3.4920129146314149E-3</v>
      </c>
      <c r="X303" s="24">
        <v>4.4347265838344363E-2</v>
      </c>
      <c r="Y303" s="24">
        <f t="shared" si="39"/>
        <v>4.1990086913926472E-2</v>
      </c>
      <c r="Z303" s="23">
        <f t="shared" si="40"/>
        <v>3.4331423337408129E-3</v>
      </c>
      <c r="AA303" s="36"/>
    </row>
    <row r="304" spans="15:27" ht="13.9" customHeight="1">
      <c r="O304" s="12">
        <f t="shared" si="34"/>
        <v>24.25</v>
      </c>
      <c r="P304" s="13">
        <v>291</v>
      </c>
      <c r="Q304" s="22">
        <v>4.0848626001974031E-2</v>
      </c>
      <c r="R304" s="19">
        <f t="shared" si="35"/>
        <v>3.718238872841928E-2</v>
      </c>
      <c r="S304" s="22">
        <v>4.0927679871032963E-2</v>
      </c>
      <c r="T304" s="19">
        <f t="shared" si="36"/>
        <v>3.9327973726823062E-2</v>
      </c>
      <c r="U304" s="24">
        <v>4.5194178229934767E-2</v>
      </c>
      <c r="V304" s="24">
        <f t="shared" si="37"/>
        <v>4.2719766995981123E-2</v>
      </c>
      <c r="W304" s="23">
        <f t="shared" si="38"/>
        <v>3.4920673457201623E-3</v>
      </c>
      <c r="X304" s="24">
        <v>4.4339156443338634E-2</v>
      </c>
      <c r="Y304" s="24">
        <f t="shared" si="39"/>
        <v>4.1995557461034672E-2</v>
      </c>
      <c r="Z304" s="23">
        <f t="shared" si="40"/>
        <v>3.4335837706334082E-3</v>
      </c>
      <c r="AA304" s="36"/>
    </row>
    <row r="305" spans="15:27" ht="13.9" customHeight="1">
      <c r="O305" s="12">
        <f t="shared" si="34"/>
        <v>24.333333333333332</v>
      </c>
      <c r="P305" s="13">
        <v>292</v>
      </c>
      <c r="Q305" s="22">
        <v>4.0836048306158945E-2</v>
      </c>
      <c r="R305" s="19">
        <f t="shared" si="35"/>
        <v>3.7141438255455794E-2</v>
      </c>
      <c r="S305" s="22">
        <v>4.0922197225794488E-2</v>
      </c>
      <c r="T305" s="19">
        <f t="shared" si="36"/>
        <v>3.935946152775327E-2</v>
      </c>
      <c r="U305" s="24">
        <v>4.518569420667129E-2</v>
      </c>
      <c r="V305" s="24">
        <f t="shared" si="37"/>
        <v>4.2720442399697411E-2</v>
      </c>
      <c r="W305" s="23">
        <f t="shared" si="38"/>
        <v>3.4921216438232872E-3</v>
      </c>
      <c r="X305" s="24">
        <v>4.4331121431250953E-2</v>
      </c>
      <c r="Y305" s="24">
        <f t="shared" si="39"/>
        <v>4.2000997954575015E-2</v>
      </c>
      <c r="Z305" s="23">
        <f t="shared" si="40"/>
        <v>3.4340227797269307E-3</v>
      </c>
      <c r="AA305" s="36"/>
    </row>
    <row r="306" spans="15:27" ht="13.9" customHeight="1">
      <c r="O306" s="12">
        <f t="shared" si="34"/>
        <v>24.416666666666668</v>
      </c>
      <c r="P306" s="13">
        <v>293</v>
      </c>
      <c r="Q306" s="22">
        <v>4.0823416359238474E-2</v>
      </c>
      <c r="R306" s="19">
        <f t="shared" si="35"/>
        <v>3.7100978479873037E-2</v>
      </c>
      <c r="S306" s="22">
        <v>4.0916859662890825E-2</v>
      </c>
      <c r="T306" s="19">
        <f t="shared" si="36"/>
        <v>3.9390670732614597E-2</v>
      </c>
      <c r="U306" s="24">
        <v>4.5177270473556463E-2</v>
      </c>
      <c r="V306" s="24">
        <f t="shared" si="37"/>
        <v>4.2721116159596617E-2</v>
      </c>
      <c r="W306" s="23">
        <f t="shared" si="38"/>
        <v>3.4921758100312505E-3</v>
      </c>
      <c r="X306" s="24">
        <v>4.4323159936517031E-2</v>
      </c>
      <c r="Y306" s="24">
        <f t="shared" si="39"/>
        <v>4.2006408561216402E-2</v>
      </c>
      <c r="Z306" s="23">
        <f t="shared" si="40"/>
        <v>3.4344593749389141E-3</v>
      </c>
      <c r="AA306" s="36"/>
    </row>
    <row r="307" spans="15:27" ht="13.9" customHeight="1">
      <c r="O307" s="12">
        <f t="shared" si="34"/>
        <v>24.5</v>
      </c>
      <c r="P307" s="13">
        <v>294</v>
      </c>
      <c r="Q307" s="22">
        <v>4.0810732387808635E-2</v>
      </c>
      <c r="R307" s="19">
        <f t="shared" si="35"/>
        <v>3.706100475843388E-2</v>
      </c>
      <c r="S307" s="22">
        <v>4.091166474771879E-2</v>
      </c>
      <c r="T307" s="19">
        <f t="shared" si="36"/>
        <v>3.9421603952973117E-2</v>
      </c>
      <c r="U307" s="24">
        <v>4.5168906409029708E-2</v>
      </c>
      <c r="V307" s="24">
        <f t="shared" si="37"/>
        <v>4.2721788286956608E-2</v>
      </c>
      <c r="W307" s="23">
        <f t="shared" si="38"/>
        <v>3.4922298443755828E-3</v>
      </c>
      <c r="X307" s="24">
        <v>4.4315271105937803E-2</v>
      </c>
      <c r="Y307" s="24">
        <f t="shared" si="39"/>
        <v>4.2011789454639681E-2</v>
      </c>
      <c r="Z307" s="23">
        <f t="shared" si="40"/>
        <v>3.4348935696788541E-3</v>
      </c>
      <c r="AA307" s="36"/>
    </row>
    <row r="308" spans="15:27" ht="13.9" customHeight="1">
      <c r="O308" s="12">
        <f t="shared" si="34"/>
        <v>24.583333333333332</v>
      </c>
      <c r="P308" s="13">
        <v>295</v>
      </c>
      <c r="Q308" s="22">
        <v>4.0797998572599692E-2</v>
      </c>
      <c r="R308" s="19">
        <f t="shared" si="35"/>
        <v>3.7021506850368979E-2</v>
      </c>
      <c r="S308" s="22">
        <v>4.0906610087714901E-2</v>
      </c>
      <c r="T308" s="19">
        <f t="shared" si="36"/>
        <v>3.9452263772439711E-2</v>
      </c>
      <c r="U308" s="24">
        <v>4.5160601400007216E-2</v>
      </c>
      <c r="V308" s="24">
        <f t="shared" si="37"/>
        <v>4.272245877433134E-2</v>
      </c>
      <c r="W308" s="23">
        <f t="shared" si="38"/>
        <v>3.4922837477615598E-3</v>
      </c>
      <c r="X308" s="24">
        <v>4.430745409849246E-2</v>
      </c>
      <c r="Y308" s="24">
        <f t="shared" si="39"/>
        <v>4.2017140797471875E-2</v>
      </c>
      <c r="Z308" s="23">
        <f t="shared" si="40"/>
        <v>3.4353253779189075E-3</v>
      </c>
      <c r="AA308" s="36"/>
    </row>
    <row r="309" spans="15:27" ht="13.9" customHeight="1">
      <c r="O309" s="12">
        <f t="shared" si="34"/>
        <v>24.666666666666668</v>
      </c>
      <c r="P309" s="13">
        <v>296</v>
      </c>
      <c r="Q309" s="22">
        <v>4.0785217030266496E-2</v>
      </c>
      <c r="R309" s="19">
        <f t="shared" si="35"/>
        <v>3.6982480159327036E-2</v>
      </c>
      <c r="S309" s="22">
        <v>4.0901693331546474E-2</v>
      </c>
      <c r="T309" s="19">
        <f t="shared" si="36"/>
        <v>3.9482652748877856E-2</v>
      </c>
      <c r="U309" s="24">
        <v>4.5152354841675013E-2</v>
      </c>
      <c r="V309" s="24">
        <f t="shared" si="37"/>
        <v>4.2723127630848401E-2</v>
      </c>
      <c r="W309" s="23">
        <f t="shared" si="38"/>
        <v>3.4923375195918815E-3</v>
      </c>
      <c r="X309" s="24">
        <v>4.4299708085095535E-2</v>
      </c>
      <c r="Y309" s="24">
        <f t="shared" si="39"/>
        <v>4.2022462758599E-2</v>
      </c>
      <c r="Z309" s="23">
        <f t="shared" si="40"/>
        <v>3.4357548127432747E-3</v>
      </c>
      <c r="AA309" s="36"/>
    </row>
    <row r="310" spans="15:27" ht="13.9" customHeight="1">
      <c r="O310" s="12">
        <f t="shared" si="34"/>
        <v>24.75</v>
      </c>
      <c r="P310" s="13">
        <v>297</v>
      </c>
      <c r="Q310" s="22">
        <v>4.0772389833535927E-2</v>
      </c>
      <c r="R310" s="19">
        <f t="shared" si="35"/>
        <v>3.6943921982897532E-2</v>
      </c>
      <c r="S310" s="22">
        <v>4.0896912168326471E-2</v>
      </c>
      <c r="T310" s="19">
        <f t="shared" si="36"/>
        <v>3.9512773414593472E-2</v>
      </c>
      <c r="U310" s="24">
        <v>4.5144166137405239E-2</v>
      </c>
      <c r="V310" s="24">
        <f t="shared" si="37"/>
        <v>4.2723794861741382E-2</v>
      </c>
      <c r="W310" s="23">
        <f t="shared" si="38"/>
        <v>3.4923911605988511E-3</v>
      </c>
      <c r="X310" s="24">
        <v>4.4292032248416158E-2</v>
      </c>
      <c r="Y310" s="24">
        <f t="shared" si="39"/>
        <v>4.2027755503481146E-2</v>
      </c>
      <c r="Z310" s="23">
        <f t="shared" si="40"/>
        <v>3.4361818877379768E-3</v>
      </c>
      <c r="AA310" s="36"/>
    </row>
    <row r="311" spans="15:27" ht="13.9" customHeight="1">
      <c r="O311" s="12">
        <f t="shared" si="34"/>
        <v>24.833333333333332</v>
      </c>
      <c r="P311" s="13">
        <v>298</v>
      </c>
      <c r="Q311" s="22">
        <v>4.0759519018317647E-2</v>
      </c>
      <c r="R311" s="19">
        <f t="shared" si="35"/>
        <v>3.6905829637635446E-2</v>
      </c>
      <c r="S311" s="22">
        <v>4.0892264326845451E-2</v>
      </c>
      <c r="T311" s="19">
        <f t="shared" si="36"/>
        <v>3.9542628275058833E-2</v>
      </c>
      <c r="U311" s="24">
        <v>4.5136034698606275E-2</v>
      </c>
      <c r="V311" s="24">
        <f t="shared" si="37"/>
        <v>4.2724460472790549E-2</v>
      </c>
      <c r="W311" s="23">
        <f t="shared" si="38"/>
        <v>3.492444671202577E-3</v>
      </c>
      <c r="X311" s="24">
        <v>4.4284425782669334E-2</v>
      </c>
      <c r="Y311" s="24">
        <f t="shared" si="39"/>
        <v>4.2033019197576849E-2</v>
      </c>
      <c r="Z311" s="23">
        <f t="shared" si="40"/>
        <v>3.436606616214144E-3</v>
      </c>
      <c r="AA311" s="36"/>
    </row>
    <row r="312" spans="15:27" ht="13.9" customHeight="1">
      <c r="O312" s="12">
        <f t="shared" si="34"/>
        <v>24.916666666666668</v>
      </c>
      <c r="P312" s="13">
        <v>299</v>
      </c>
      <c r="Q312" s="22">
        <v>4.0746606584380451E-2</v>
      </c>
      <c r="R312" s="19">
        <f t="shared" si="35"/>
        <v>3.6868200461464662E-2</v>
      </c>
      <c r="S312" s="22">
        <v>4.0887747574813282E-2</v>
      </c>
      <c r="T312" s="19">
        <f t="shared" si="36"/>
        <v>3.9572219809089093E-2</v>
      </c>
      <c r="U312" s="24">
        <v>4.5127959944589069E-2</v>
      </c>
      <c r="V312" s="24">
        <f t="shared" si="37"/>
        <v>4.2725124463403041E-2</v>
      </c>
      <c r="W312" s="23">
        <f t="shared" si="38"/>
        <v>3.4924980518664661E-3</v>
      </c>
      <c r="X312" s="24">
        <v>4.4276887893422767E-2</v>
      </c>
      <c r="Y312" s="24">
        <f t="shared" si="39"/>
        <v>4.203825400307859E-2</v>
      </c>
      <c r="Z312" s="23">
        <f t="shared" si="40"/>
        <v>3.4370290114817958E-3</v>
      </c>
      <c r="AA312" s="36"/>
    </row>
    <row r="313" spans="15:27" ht="13.9" customHeight="1">
      <c r="O313" s="12">
        <f t="shared" si="34"/>
        <v>25</v>
      </c>
      <c r="P313" s="13">
        <v>300</v>
      </c>
      <c r="Q313" s="22">
        <v>4.0733654496022176E-2</v>
      </c>
      <c r="R313" s="19">
        <f t="shared" si="35"/>
        <v>3.6831029974900176E-2</v>
      </c>
      <c r="S313" s="22">
        <v>4.0883359718119072E-2</v>
      </c>
      <c r="T313" s="19">
        <f t="shared" si="36"/>
        <v>3.9601550471692892E-2</v>
      </c>
      <c r="U313" s="24">
        <v>4.511994130241459E-2</v>
      </c>
      <c r="V313" s="24">
        <f t="shared" si="37"/>
        <v>4.2725786839147961E-2</v>
      </c>
      <c r="W313" s="23">
        <f t="shared" si="38"/>
        <v>3.4925513025436672E-3</v>
      </c>
      <c r="X313" s="24">
        <v>4.4269417797395683E-2</v>
      </c>
      <c r="Y313" s="24">
        <f t="shared" si="39"/>
        <v>4.2043460083510009E-2</v>
      </c>
      <c r="Z313" s="23">
        <f t="shared" si="40"/>
        <v>3.4374490865889396E-3</v>
      </c>
      <c r="AA313" s="36"/>
    </row>
    <row r="314" spans="15:27" ht="13.9" customHeight="1">
      <c r="O314" s="12">
        <f t="shared" si="34"/>
        <v>25.083333333333332</v>
      </c>
      <c r="P314" s="13">
        <v>301</v>
      </c>
      <c r="Q314" s="22">
        <v>4.0720664676594964E-2</v>
      </c>
      <c r="R314" s="19">
        <f t="shared" si="35"/>
        <v>3.6794308216372862E-2</v>
      </c>
      <c r="S314" s="22">
        <v>4.0879098600112629E-2</v>
      </c>
      <c r="T314" s="19">
        <f t="shared" si="36"/>
        <v>3.9630622691831041E-2</v>
      </c>
      <c r="U314" s="24">
        <v>4.5111978206785475E-2</v>
      </c>
      <c r="V314" s="24">
        <f t="shared" si="37"/>
        <v>4.2726447603059103E-2</v>
      </c>
      <c r="W314" s="23">
        <f t="shared" si="38"/>
        <v>3.4926044236809339E-3</v>
      </c>
      <c r="X314" s="24">
        <v>4.4262014722278309E-2</v>
      </c>
      <c r="Y314" s="24">
        <f t="shared" si="39"/>
        <v>4.2048637600902605E-2</v>
      </c>
      <c r="Z314" s="23">
        <f t="shared" si="40"/>
        <v>3.4378668546894975E-3</v>
      </c>
      <c r="AA314" s="36"/>
    </row>
    <row r="315" spans="15:27" ht="13.9" customHeight="1">
      <c r="O315" s="12">
        <f t="shared" si="34"/>
        <v>25.166666666666668</v>
      </c>
      <c r="P315" s="13">
        <v>302</v>
      </c>
      <c r="Q315" s="22">
        <v>4.0707638990958195E-2</v>
      </c>
      <c r="R315" s="19">
        <f t="shared" si="35"/>
        <v>3.6758030754804993E-2</v>
      </c>
      <c r="S315" s="22">
        <v>4.0874962100895473E-2</v>
      </c>
      <c r="T315" s="19">
        <f t="shared" si="36"/>
        <v>3.9659438874056985E-2</v>
      </c>
      <c r="U315" s="24">
        <v>4.5104070099910576E-2</v>
      </c>
      <c r="V315" s="24">
        <f t="shared" si="37"/>
        <v>4.2727106766439649E-2</v>
      </c>
      <c r="W315" s="23">
        <f t="shared" si="38"/>
        <v>3.4926574155216272E-3</v>
      </c>
      <c r="X315" s="24">
        <v>4.4254677906544693E-2</v>
      </c>
      <c r="Y315" s="24">
        <f t="shared" si="39"/>
        <v>4.2053786716132358E-2</v>
      </c>
      <c r="Z315" s="23">
        <f t="shared" si="40"/>
        <v>3.43828232881771E-3</v>
      </c>
      <c r="AA315" s="36"/>
    </row>
    <row r="316" spans="15:27" ht="13.9" customHeight="1">
      <c r="O316" s="12">
        <f t="shared" si="34"/>
        <v>25.25</v>
      </c>
      <c r="P316" s="13">
        <v>303</v>
      </c>
      <c r="Q316" s="22">
        <v>4.0694579264760167E-2</v>
      </c>
      <c r="R316" s="19">
        <f t="shared" si="35"/>
        <v>3.6722195015322923E-2</v>
      </c>
      <c r="S316" s="22">
        <v>4.0870948136629393E-2</v>
      </c>
      <c r="T316" s="19">
        <f t="shared" si="36"/>
        <v>3.9688001398387351E-2</v>
      </c>
      <c r="U316" s="24">
        <v>4.5096216431408598E-2</v>
      </c>
      <c r="V316" s="24">
        <f t="shared" si="37"/>
        <v>4.2727764321092598E-2</v>
      </c>
      <c r="W316" s="23">
        <f t="shared" si="38"/>
        <v>3.4927102789725772E-3</v>
      </c>
      <c r="X316" s="24">
        <v>4.4247406599270844E-2</v>
      </c>
      <c r="Y316" s="24">
        <f t="shared" si="39"/>
        <v>4.2058907588596428E-2</v>
      </c>
      <c r="Z316" s="23">
        <f t="shared" si="40"/>
        <v>3.4386955219143367E-3</v>
      </c>
      <c r="AA316" s="36"/>
    </row>
    <row r="317" spans="15:27" ht="13.9" customHeight="1">
      <c r="O317" s="12">
        <f t="shared" si="34"/>
        <v>25.333333333333332</v>
      </c>
      <c r="P317" s="13">
        <v>304</v>
      </c>
      <c r="Q317" s="22">
        <v>4.0681487291208906E-2</v>
      </c>
      <c r="R317" s="19">
        <f t="shared" si="35"/>
        <v>3.6686798442619128E-2</v>
      </c>
      <c r="S317" s="22">
        <v>4.0867054658859647E-2</v>
      </c>
      <c r="T317" s="19">
        <f t="shared" si="36"/>
        <v>3.9716312619845651E-2</v>
      </c>
      <c r="U317" s="24">
        <v>4.5088416658121577E-2</v>
      </c>
      <c r="V317" s="24">
        <f t="shared" si="37"/>
        <v>4.2728420280670587E-2</v>
      </c>
      <c r="W317" s="23">
        <f t="shared" si="38"/>
        <v>3.4927630133765319E-3</v>
      </c>
      <c r="X317" s="24">
        <v>4.4240200059954882E-2</v>
      </c>
      <c r="Y317" s="24">
        <f t="shared" si="39"/>
        <v>4.206400037727609E-2</v>
      </c>
      <c r="Z317" s="23">
        <f t="shared" si="40"/>
        <v>3.4391064468011212E-3</v>
      </c>
      <c r="AA317" s="36"/>
    </row>
    <row r="318" spans="15:27" ht="13.9" customHeight="1">
      <c r="O318" s="12">
        <f t="shared" si="34"/>
        <v>25.416666666666668</v>
      </c>
      <c r="P318" s="13">
        <v>305</v>
      </c>
      <c r="Q318" s="22">
        <v>4.0668364831665471E-2</v>
      </c>
      <c r="R318" s="19">
        <f t="shared" si="35"/>
        <v>3.6651838501935208E-2</v>
      </c>
      <c r="S318" s="22">
        <v>4.0863279653849505E-2</v>
      </c>
      <c r="T318" s="19">
        <f t="shared" si="36"/>
        <v>3.9744374869890242E-2</v>
      </c>
      <c r="U318" s="24">
        <v>4.5080670244068477E-2</v>
      </c>
      <c r="V318" s="24">
        <f t="shared" si="37"/>
        <v>4.2729074641684184E-2</v>
      </c>
      <c r="W318" s="23">
        <f t="shared" si="38"/>
        <v>3.4928156198288374E-3</v>
      </c>
      <c r="X318" s="24">
        <v>4.4233057558344724E-2</v>
      </c>
      <c r="Y318" s="24">
        <f t="shared" si="39"/>
        <v>4.2069065239548342E-2</v>
      </c>
      <c r="Z318" s="23">
        <f t="shared" si="40"/>
        <v>3.4395151162660564E-3</v>
      </c>
      <c r="AA318" s="36"/>
    </row>
    <row r="319" spans="15:27" ht="13.9" customHeight="1">
      <c r="O319" s="12">
        <f t="shared" si="34"/>
        <v>25.5</v>
      </c>
      <c r="P319" s="13">
        <v>306</v>
      </c>
      <c r="Q319" s="22">
        <v>4.0655213616228369E-2</v>
      </c>
      <c r="R319" s="19">
        <f t="shared" si="35"/>
        <v>3.6617310878541698E-2</v>
      </c>
      <c r="S319" s="22">
        <v>4.0859621141932312E-2</v>
      </c>
      <c r="T319" s="19">
        <f t="shared" si="36"/>
        <v>3.9772190458131407E-2</v>
      </c>
      <c r="U319" s="24">
        <v>4.5072976660271102E-2</v>
      </c>
      <c r="V319" s="24">
        <f t="shared" si="37"/>
        <v>4.2729727419154706E-2</v>
      </c>
      <c r="W319" s="23">
        <f t="shared" si="38"/>
        <v>3.4928680980494953E-3</v>
      </c>
      <c r="X319" s="24">
        <v>4.4225978374264896E-2</v>
      </c>
      <c r="Y319" s="24">
        <f t="shared" si="39"/>
        <v>4.2074102335195596E-2</v>
      </c>
      <c r="Z319" s="23">
        <f t="shared" si="40"/>
        <v>3.4399215429681274E-3</v>
      </c>
      <c r="AA319" s="36"/>
    </row>
    <row r="320" spans="15:27" ht="13.9" customHeight="1">
      <c r="O320" s="12">
        <f t="shared" si="34"/>
        <v>25.583333333333332</v>
      </c>
      <c r="P320" s="13">
        <v>307</v>
      </c>
      <c r="Q320" s="22">
        <v>4.0642035338419813E-2</v>
      </c>
      <c r="R320" s="19">
        <f t="shared" si="35"/>
        <v>3.6583205886490999E-2</v>
      </c>
      <c r="S320" s="22">
        <v>4.0856077176882666E-2</v>
      </c>
      <c r="T320" s="19">
        <f t="shared" si="36"/>
        <v>3.9799761667146827E-2</v>
      </c>
      <c r="U320" s="24">
        <v>4.5065335384700811E-2</v>
      </c>
      <c r="V320" s="24">
        <f t="shared" si="37"/>
        <v>4.2730378603925256E-2</v>
      </c>
      <c r="W320" s="23">
        <f t="shared" si="38"/>
        <v>3.4929204492437638E-3</v>
      </c>
      <c r="X320" s="24">
        <v>4.4218961797460432E-2</v>
      </c>
      <c r="Y320" s="24">
        <f t="shared" si="39"/>
        <v>4.2079111817291626E-2</v>
      </c>
      <c r="Z320" s="23">
        <f t="shared" si="40"/>
        <v>3.4403257397588316E-3</v>
      </c>
      <c r="AA320" s="36"/>
    </row>
    <row r="321" spans="15:27" ht="13.9" customHeight="1">
      <c r="O321" s="12">
        <f t="shared" si="34"/>
        <v>25.666666666666668</v>
      </c>
      <c r="P321" s="13">
        <v>308</v>
      </c>
      <c r="Q321" s="22">
        <v>4.0628831638269025E-2</v>
      </c>
      <c r="R321" s="19">
        <f t="shared" si="35"/>
        <v>3.6549519258639362E-2</v>
      </c>
      <c r="S321" s="22">
        <v>4.0852645845282254E-2</v>
      </c>
      <c r="T321" s="19">
        <f t="shared" si="36"/>
        <v>3.9827090759019912E-2</v>
      </c>
      <c r="U321" s="24">
        <v>4.5057745902086888E-2</v>
      </c>
      <c r="V321" s="24">
        <f t="shared" si="37"/>
        <v>4.2731028209536781E-2</v>
      </c>
      <c r="W321" s="23">
        <f t="shared" si="38"/>
        <v>3.4929726726773414E-3</v>
      </c>
      <c r="X321" s="24">
        <v>4.4212007127413022E-2</v>
      </c>
      <c r="Y321" s="24">
        <f t="shared" si="39"/>
        <v>4.2084093842398529E-2</v>
      </c>
      <c r="Z321" s="23">
        <f t="shared" si="40"/>
        <v>3.4407277189512087E-3</v>
      </c>
      <c r="AA321" s="36"/>
    </row>
    <row r="322" spans="15:27" ht="13.9" customHeight="1">
      <c r="O322" s="12">
        <f t="shared" si="34"/>
        <v>25.75</v>
      </c>
      <c r="P322" s="13">
        <v>309</v>
      </c>
      <c r="Q322" s="22">
        <v>4.0615604120779025E-2</v>
      </c>
      <c r="R322" s="19">
        <f t="shared" si="35"/>
        <v>3.6516248548189356E-2</v>
      </c>
      <c r="S322" s="22">
        <v>4.0849325265920333E-2</v>
      </c>
      <c r="T322" s="19">
        <f t="shared" si="36"/>
        <v>3.9854179972645731E-2</v>
      </c>
      <c r="U322" s="24">
        <v>4.505020770388013E-2</v>
      </c>
      <c r="V322" s="24">
        <f t="shared" si="37"/>
        <v>4.273167623201779E-2</v>
      </c>
      <c r="W322" s="23">
        <f t="shared" si="38"/>
        <v>3.4930247694364702E-3</v>
      </c>
      <c r="X322" s="24">
        <v>4.4205113673195129E-2</v>
      </c>
      <c r="Y322" s="24">
        <f t="shared" si="39"/>
        <v>4.20890485639831E-2</v>
      </c>
      <c r="Z322" s="23">
        <f t="shared" si="40"/>
        <v>3.441127493137186E-3</v>
      </c>
      <c r="AA322" s="36"/>
    </row>
    <row r="323" spans="15:27" ht="13.9" customHeight="1">
      <c r="O323" s="12">
        <f t="shared" si="34"/>
        <v>25.833333333333332</v>
      </c>
      <c r="P323" s="13">
        <v>310</v>
      </c>
      <c r="Q323" s="22">
        <v>4.0602354362384352E-2</v>
      </c>
      <c r="R323" s="19">
        <f t="shared" si="35"/>
        <v>3.648339132702505E-2</v>
      </c>
      <c r="S323" s="22">
        <v>4.0846113589195321E-2</v>
      </c>
      <c r="T323" s="19">
        <f t="shared" si="36"/>
        <v>3.9881031523725019E-2</v>
      </c>
      <c r="U323" s="24">
        <v>4.5042720288088312E-2</v>
      </c>
      <c r="V323" s="24">
        <f t="shared" si="37"/>
        <v>4.2732322684094104E-2</v>
      </c>
      <c r="W323" s="23">
        <f t="shared" si="38"/>
        <v>3.4930767392027384E-3</v>
      </c>
      <c r="X323" s="24">
        <v>4.4198280753304786E-2</v>
      </c>
      <c r="Y323" s="24">
        <f t="shared" si="39"/>
        <v>4.2093976137047351E-2</v>
      </c>
      <c r="Z323" s="23">
        <f t="shared" si="40"/>
        <v>3.4415250746606674E-3</v>
      </c>
      <c r="AA323" s="36"/>
    </row>
    <row r="324" spans="15:27" ht="13.9" customHeight="1">
      <c r="O324" s="12">
        <f t="shared" si="34"/>
        <v>25.916666666666668</v>
      </c>
      <c r="P324" s="13">
        <v>311</v>
      </c>
      <c r="Q324" s="22">
        <v>4.0589083911467094E-2</v>
      </c>
      <c r="R324" s="19">
        <f t="shared" si="35"/>
        <v>3.6450945186539352E-2</v>
      </c>
      <c r="S324" s="22">
        <v>4.0843008996530594E-2</v>
      </c>
      <c r="T324" s="19">
        <f t="shared" si="36"/>
        <v>3.9907647605455621E-2</v>
      </c>
      <c r="U324" s="24">
        <v>4.5035283159224226E-2</v>
      </c>
      <c r="V324" s="24">
        <f t="shared" si="37"/>
        <v>4.2732967565442204E-2</v>
      </c>
      <c r="W324" s="23">
        <f t="shared" si="38"/>
        <v>3.493128582997107E-3</v>
      </c>
      <c r="X324" s="24">
        <v>4.4191507695518606E-2</v>
      </c>
      <c r="Y324" s="24">
        <f t="shared" si="39"/>
        <v>4.2098876713279942E-2</v>
      </c>
      <c r="Z324" s="23">
        <f t="shared" si="40"/>
        <v>3.441920475987903E-3</v>
      </c>
      <c r="AA324" s="36"/>
    </row>
    <row r="325" spans="15:27" ht="13.9" customHeight="1">
      <c r="O325" s="12">
        <f t="shared" si="34"/>
        <v>26</v>
      </c>
      <c r="P325" s="13">
        <v>312</v>
      </c>
      <c r="Q325" s="22">
        <v>4.0575794288868039E-2</v>
      </c>
      <c r="R325" s="19">
        <f t="shared" si="35"/>
        <v>3.6418905975550198E-2</v>
      </c>
      <c r="S325" s="22">
        <v>4.0840009699801394E-2</v>
      </c>
      <c r="T325" s="19">
        <f t="shared" si="36"/>
        <v>3.9934030389946695E-2</v>
      </c>
      <c r="U325" s="24">
        <v>4.5027895828159359E-2</v>
      </c>
      <c r="V325" s="24">
        <f t="shared" si="37"/>
        <v>4.2733610876265482E-2</v>
      </c>
      <c r="W325" s="23">
        <f t="shared" si="38"/>
        <v>3.4931803007938189E-3</v>
      </c>
      <c r="X325" s="24">
        <v>4.418479383673235E-2</v>
      </c>
      <c r="Y325" s="24">
        <f t="shared" si="39"/>
        <v>4.2103750443669208E-2</v>
      </c>
      <c r="Z325" s="23">
        <f t="shared" si="40"/>
        <v>3.4423137093189116E-3</v>
      </c>
      <c r="AA325" s="36"/>
    </row>
    <row r="326" spans="15:27" ht="13.9" customHeight="1">
      <c r="O326" s="12">
        <f t="shared" si="34"/>
        <v>26.083333333333332</v>
      </c>
      <c r="P326" s="13">
        <v>313</v>
      </c>
      <c r="Q326" s="22">
        <v>4.0562486982734125E-2</v>
      </c>
      <c r="R326" s="19">
        <f t="shared" si="35"/>
        <v>3.6387264279747811E-2</v>
      </c>
      <c r="S326" s="22">
        <v>4.083711394077838E-2</v>
      </c>
      <c r="T326" s="19">
        <f t="shared" si="36"/>
        <v>3.9960182025900348E-2</v>
      </c>
      <c r="U326" s="24">
        <v>4.5020557812023743E-2</v>
      </c>
      <c r="V326" s="24">
        <f t="shared" si="37"/>
        <v>4.2734252623617852E-2</v>
      </c>
      <c r="W326" s="23">
        <f t="shared" si="38"/>
        <v>3.4932318926090833E-3</v>
      </c>
      <c r="X326" s="24">
        <v>4.4178138522812826E-2</v>
      </c>
      <c r="Y326" s="24">
        <f t="shared" si="39"/>
        <v>4.2108597478923482E-2</v>
      </c>
      <c r="Z326" s="23">
        <f t="shared" si="40"/>
        <v>3.4427047867977567E-3</v>
      </c>
      <c r="AA326" s="36"/>
    </row>
    <row r="327" spans="15:27" ht="13.9" customHeight="1">
      <c r="O327" s="12">
        <f t="shared" si="34"/>
        <v>26.166666666666668</v>
      </c>
      <c r="P327" s="13">
        <v>314</v>
      </c>
      <c r="Q327" s="22">
        <v>4.0549163432207713E-2</v>
      </c>
      <c r="R327" s="19">
        <f t="shared" si="35"/>
        <v>3.6356015995930413E-2</v>
      </c>
      <c r="S327" s="22">
        <v>4.0834319990575185E-2</v>
      </c>
      <c r="T327" s="19">
        <f t="shared" si="36"/>
        <v>3.9986104642601772E-2</v>
      </c>
      <c r="U327" s="24">
        <v>4.5013268634128467E-2</v>
      </c>
      <c r="V327" s="24">
        <f t="shared" si="37"/>
        <v>4.2734892812835046E-2</v>
      </c>
      <c r="W327" s="23">
        <f t="shared" si="38"/>
        <v>3.493283359009336E-3</v>
      </c>
      <c r="X327" s="24">
        <v>4.4171541108454004E-2</v>
      </c>
      <c r="Y327" s="24">
        <f t="shared" si="39"/>
        <v>4.2113417969887879E-2</v>
      </c>
      <c r="Z327" s="23">
        <f t="shared" si="40"/>
        <v>3.4430937205447432E-3</v>
      </c>
      <c r="AA327" s="36"/>
    </row>
    <row r="328" spans="15:27" ht="13.9" customHeight="1">
      <c r="O328" s="12">
        <f t="shared" si="34"/>
        <v>26.25</v>
      </c>
      <c r="P328" s="13">
        <v>315</v>
      </c>
      <c r="Q328" s="22">
        <v>4.0535825045129537E-2</v>
      </c>
      <c r="R328" s="19">
        <f t="shared" si="35"/>
        <v>3.6325158801102209E-2</v>
      </c>
      <c r="S328" s="22">
        <v>4.0831626149117506E-2</v>
      </c>
      <c r="T328" s="19">
        <f t="shared" si="36"/>
        <v>4.0011800346118509E-2</v>
      </c>
      <c r="U328" s="24">
        <v>4.5006027823861539E-2</v>
      </c>
      <c r="V328" s="24">
        <f t="shared" si="37"/>
        <v>4.273553145049358E-2</v>
      </c>
      <c r="W328" s="23">
        <f t="shared" si="38"/>
        <v>3.4933347004222348E-3</v>
      </c>
      <c r="X328" s="24">
        <v>4.4165000957036682E-2</v>
      </c>
      <c r="Y328" s="24">
        <f t="shared" si="39"/>
        <v>4.2118212066156513E-2</v>
      </c>
      <c r="Z328" s="23">
        <f t="shared" si="40"/>
        <v>3.4434805226915E-3</v>
      </c>
      <c r="AA328" s="36"/>
    </row>
    <row r="329" spans="15:27" ht="13.9" customHeight="1">
      <c r="O329" s="12">
        <f t="shared" si="34"/>
        <v>26.333333333333332</v>
      </c>
      <c r="P329" s="13">
        <v>316</v>
      </c>
      <c r="Q329" s="22">
        <v>4.0522473204188225E-2</v>
      </c>
      <c r="R329" s="19">
        <f t="shared" si="35"/>
        <v>3.6294690394747642E-2</v>
      </c>
      <c r="S329" s="22">
        <v>4.082903074461175E-2</v>
      </c>
      <c r="T329" s="19">
        <f t="shared" si="36"/>
        <v>4.0037271221946114E-2</v>
      </c>
      <c r="U329" s="24">
        <v>4.4998834916595953E-2</v>
      </c>
      <c r="V329" s="24">
        <f t="shared" si="37"/>
        <v>4.2736168529474261E-2</v>
      </c>
      <c r="W329" s="23">
        <f t="shared" si="38"/>
        <v>3.493385917375802E-3</v>
      </c>
      <c r="X329" s="24">
        <v>4.4158517440487266E-2</v>
      </c>
      <c r="Y329" s="24">
        <f t="shared" si="39"/>
        <v>4.2122979912291969E-2</v>
      </c>
      <c r="Z329" s="23">
        <f t="shared" si="40"/>
        <v>3.4438652052684038E-3</v>
      </c>
      <c r="AA329" s="36"/>
    </row>
    <row r="330" spans="15:27" ht="13.9" customHeight="1">
      <c r="O330" s="12">
        <f t="shared" si="34"/>
        <v>26.416666666666668</v>
      </c>
      <c r="P330" s="13">
        <v>317</v>
      </c>
      <c r="Q330" s="22">
        <v>4.0509109267386156E-2</v>
      </c>
      <c r="R330" s="19">
        <f t="shared" si="35"/>
        <v>3.6264608492353245E-2</v>
      </c>
      <c r="S330" s="22">
        <v>4.082653213303189E-2</v>
      </c>
      <c r="T330" s="19">
        <f t="shared" si="36"/>
        <v>4.006251933482341E-2</v>
      </c>
      <c r="U330" s="24">
        <v>4.4991689453551587E-2</v>
      </c>
      <c r="V330" s="24">
        <f t="shared" si="37"/>
        <v>4.2736804065325096E-2</v>
      </c>
      <c r="W330" s="23">
        <f t="shared" si="38"/>
        <v>3.4934370092989386E-3</v>
      </c>
      <c r="X330" s="24">
        <v>4.415208993912656E-2</v>
      </c>
      <c r="Y330" s="24">
        <f t="shared" si="39"/>
        <v>4.2127721659716677E-2</v>
      </c>
      <c r="Z330" s="23">
        <f t="shared" si="40"/>
        <v>3.4442477799023763E-3</v>
      </c>
      <c r="AA330" s="36"/>
    </row>
    <row r="331" spans="15:27" ht="13.9" customHeight="1">
      <c r="O331" s="12">
        <f t="shared" si="34"/>
        <v>26.5</v>
      </c>
      <c r="P331" s="13">
        <v>318</v>
      </c>
      <c r="Q331" s="22">
        <v>4.0495734568476216E-2</v>
      </c>
      <c r="R331" s="19">
        <f t="shared" si="35"/>
        <v>3.6234909104606583E-2</v>
      </c>
      <c r="S331" s="22">
        <v>4.0824128697614537E-2</v>
      </c>
      <c r="T331" s="19">
        <f t="shared" si="36"/>
        <v>4.0087546729125068E-2</v>
      </c>
      <c r="U331" s="24">
        <v>4.4984590981774542E-2</v>
      </c>
      <c r="V331" s="24">
        <f t="shared" si="37"/>
        <v>4.2737438053072285E-2</v>
      </c>
      <c r="W331" s="23">
        <f t="shared" si="38"/>
        <v>3.4934879774390915E-3</v>
      </c>
      <c r="X331" s="24">
        <v>4.4145717841559406E-2</v>
      </c>
      <c r="Y331" s="24">
        <f t="shared" si="39"/>
        <v>4.2132437451949167E-2</v>
      </c>
      <c r="Z331" s="23">
        <f t="shared" si="40"/>
        <v>3.4446282587701216E-3</v>
      </c>
      <c r="AA331" s="36"/>
    </row>
    <row r="332" spans="15:27" ht="13.9" customHeight="1">
      <c r="O332" s="12">
        <f t="shared" si="34"/>
        <v>26.583333333333332</v>
      </c>
      <c r="P332" s="13">
        <v>319</v>
      </c>
      <c r="Q332" s="22">
        <v>4.0482350411973789E-2</v>
      </c>
      <c r="R332" s="19">
        <f t="shared" si="35"/>
        <v>3.620558308428623E-2</v>
      </c>
      <c r="S332" s="22">
        <v>4.0821818848366442E-2</v>
      </c>
      <c r="T332" s="19">
        <f t="shared" si="36"/>
        <v>4.0112355429166247E-2</v>
      </c>
      <c r="U332" s="24">
        <v>4.4977539053981719E-2</v>
      </c>
      <c r="V332" s="24">
        <f t="shared" si="37"/>
        <v>4.273807050908518E-2</v>
      </c>
      <c r="W332" s="23">
        <f t="shared" si="38"/>
        <v>3.4935388213972463E-3</v>
      </c>
      <c r="X332" s="24">
        <v>4.4139400544519702E-2</v>
      </c>
      <c r="Y332" s="24">
        <f t="shared" si="39"/>
        <v>4.2137127436448152E-2</v>
      </c>
      <c r="Z332" s="23">
        <f t="shared" si="40"/>
        <v>3.4450066534132961E-3</v>
      </c>
      <c r="AA332" s="36"/>
    </row>
    <row r="333" spans="15:27" ht="13.9" customHeight="1">
      <c r="O333" s="12">
        <f t="shared" si="34"/>
        <v>26.666666666666668</v>
      </c>
      <c r="P333" s="13">
        <v>320</v>
      </c>
      <c r="Q333" s="22">
        <v>4.0468958057426896E-2</v>
      </c>
      <c r="R333" s="19">
        <f t="shared" si="35"/>
        <v>3.6176626487684604E-2</v>
      </c>
      <c r="S333" s="22">
        <v>4.0819601021580443E-2</v>
      </c>
      <c r="T333" s="19">
        <f t="shared" si="36"/>
        <v>4.013694743716445E-2</v>
      </c>
      <c r="U333" s="24">
        <v>4.497053322853839E-2</v>
      </c>
      <c r="V333" s="24">
        <f t="shared" si="37"/>
        <v>4.2738701419106517E-2</v>
      </c>
      <c r="W333" s="23">
        <f t="shared" si="38"/>
        <v>3.4935895424867969E-3</v>
      </c>
      <c r="X333" s="24">
        <v>4.4133137452755378E-2</v>
      </c>
      <c r="Y333" s="24">
        <f t="shared" si="39"/>
        <v>4.2141791755507363E-2</v>
      </c>
      <c r="Z333" s="23">
        <f t="shared" si="40"/>
        <v>3.4453829756901921E-3</v>
      </c>
      <c r="AA333" s="36"/>
    </row>
    <row r="334" spans="15:27" ht="13.9" customHeight="1">
      <c r="O334" s="12">
        <f t="shared" ref="O334:O397" si="41">P334/12</f>
        <v>26.75</v>
      </c>
      <c r="P334" s="13">
        <v>321</v>
      </c>
      <c r="Q334" s="22">
        <v>4.0455558736391062E-2</v>
      </c>
      <c r="R334" s="19">
        <f t="shared" ref="R334:R397" si="42">(1+Q335)^P335/(1+Q334)^P334-1</f>
        <v>3.6148037117415877E-2</v>
      </c>
      <c r="S334" s="22">
        <v>4.081747367935562E-2</v>
      </c>
      <c r="T334" s="19">
        <f t="shared" ref="T334:T397" si="43">(1+S335)^P335/(1+S334)^P334-1</f>
        <v>4.0161324738051007E-2</v>
      </c>
      <c r="U334" s="24">
        <v>4.4963573069274787E-2</v>
      </c>
      <c r="V334" s="24">
        <f t="shared" ref="V334:V397" si="44">(1+U335)^P335/(1+U334)^P334-1</f>
        <v>4.2739330800848574E-2</v>
      </c>
      <c r="W334" s="23">
        <f t="shared" si="38"/>
        <v>3.4936401395642136E-3</v>
      </c>
      <c r="X334" s="24">
        <v>4.412692797888762E-2</v>
      </c>
      <c r="Y334" s="24">
        <f t="shared" si="39"/>
        <v>4.2146430554526937E-2</v>
      </c>
      <c r="Z334" s="23">
        <f t="shared" si="40"/>
        <v>3.4457572370436562E-3</v>
      </c>
      <c r="AA334" s="36"/>
    </row>
    <row r="335" spans="15:27" ht="13.9" customHeight="1">
      <c r="O335" s="12">
        <f t="shared" si="41"/>
        <v>26.833333333333332</v>
      </c>
      <c r="P335" s="13">
        <v>322</v>
      </c>
      <c r="Q335" s="22">
        <v>4.0442153658307722E-2</v>
      </c>
      <c r="R335" s="19">
        <f t="shared" si="42"/>
        <v>3.611981279469556E-2</v>
      </c>
      <c r="S335" s="22">
        <v>4.0815435309140558E-2</v>
      </c>
      <c r="T335" s="19">
        <f t="shared" si="43"/>
        <v>4.0185489295106125E-2</v>
      </c>
      <c r="U335" s="24">
        <v>4.4956658145500761E-2</v>
      </c>
      <c r="V335" s="24">
        <f t="shared" si="44"/>
        <v>4.2739958651766718E-2</v>
      </c>
      <c r="W335" s="23">
        <f t="shared" ref="W335:W398" si="45">(1+V334)^(1/12)-1</f>
        <v>3.4936906140501378E-3</v>
      </c>
      <c r="X335" s="24">
        <v>4.4120771543297632E-2</v>
      </c>
      <c r="Y335" s="24">
        <f t="shared" ref="Y335:Y398" si="46">(1+X336)^P336/(1+X335)^P335-1</f>
        <v>4.2151043976621505E-2</v>
      </c>
      <c r="Z335" s="23">
        <f t="shared" ref="Z335:Z398" si="47">(1+Y334)^(1/12)-1</f>
        <v>3.4461294491661132E-3</v>
      </c>
      <c r="AA335" s="36"/>
    </row>
    <row r="336" spans="15:27" ht="13.9" customHeight="1">
      <c r="O336" s="12">
        <f t="shared" si="41"/>
        <v>26.916666666666668</v>
      </c>
      <c r="P336" s="13">
        <v>323</v>
      </c>
      <c r="Q336" s="22">
        <v>4.0428744010903017E-2</v>
      </c>
      <c r="R336" s="19">
        <f t="shared" si="42"/>
        <v>3.6091951359770613E-2</v>
      </c>
      <c r="S336" s="22">
        <v>4.0813484423271928E-2</v>
      </c>
      <c r="T336" s="19">
        <f t="shared" si="43"/>
        <v>4.0209443053091265E-2</v>
      </c>
      <c r="U336" s="24">
        <v>4.4949788031857674E-2</v>
      </c>
      <c r="V336" s="24">
        <f t="shared" si="44"/>
        <v>4.2740584980021312E-2</v>
      </c>
      <c r="W336" s="23">
        <f t="shared" si="45"/>
        <v>3.4937409657409546E-3</v>
      </c>
      <c r="X336" s="24">
        <v>4.4114667573999622E-2</v>
      </c>
      <c r="Y336" s="24">
        <f t="shared" si="46"/>
        <v>4.2155632163640933E-2</v>
      </c>
      <c r="Z336" s="23">
        <f t="shared" si="47"/>
        <v>3.4464996235659129E-3</v>
      </c>
      <c r="AA336" s="36"/>
    </row>
    <row r="337" spans="15:27" ht="13.9" customHeight="1">
      <c r="O337" s="12">
        <f t="shared" si="41"/>
        <v>27</v>
      </c>
      <c r="P337" s="13">
        <v>324</v>
      </c>
      <c r="Q337" s="22">
        <v>4.0415330960580365E-2</v>
      </c>
      <c r="R337" s="19">
        <f t="shared" si="42"/>
        <v>3.6064448979644448E-2</v>
      </c>
      <c r="S337" s="22">
        <v>4.0811619558531298E-2</v>
      </c>
      <c r="T337" s="19">
        <f t="shared" si="43"/>
        <v>4.0233187937224857E-2</v>
      </c>
      <c r="U337" s="24">
        <v>4.494296230826933E-2</v>
      </c>
      <c r="V337" s="24">
        <f t="shared" si="44"/>
        <v>4.2741209786737677E-2</v>
      </c>
      <c r="W337" s="23">
        <f t="shared" si="45"/>
        <v>3.4937911952912515E-3</v>
      </c>
      <c r="X337" s="24">
        <v>4.4108615506518456E-2</v>
      </c>
      <c r="Y337" s="24">
        <f t="shared" si="46"/>
        <v>4.2160195256108368E-2</v>
      </c>
      <c r="Z337" s="23">
        <f t="shared" si="47"/>
        <v>3.4468677716492646E-3</v>
      </c>
      <c r="AA337" s="36"/>
    </row>
    <row r="338" spans="15:27" ht="13.9" customHeight="1">
      <c r="O338" s="12">
        <f t="shared" si="41"/>
        <v>27.083333333333332</v>
      </c>
      <c r="P338" s="13">
        <v>325</v>
      </c>
      <c r="Q338" s="22">
        <v>4.0401915647576558E-2</v>
      </c>
      <c r="R338" s="19">
        <f t="shared" si="42"/>
        <v>3.603729677015699E-2</v>
      </c>
      <c r="S338" s="22">
        <v>4.0809839275707027E-2</v>
      </c>
      <c r="T338" s="19">
        <f t="shared" si="43"/>
        <v>4.0256725853904829E-2</v>
      </c>
      <c r="U338" s="24">
        <v>4.4936180559839167E-2</v>
      </c>
      <c r="V338" s="24">
        <f t="shared" si="44"/>
        <v>4.2741833072578173E-2</v>
      </c>
      <c r="W338" s="23">
        <f t="shared" si="45"/>
        <v>3.4938413027914006E-3</v>
      </c>
      <c r="X338" s="24">
        <v>4.4102614783770422E-2</v>
      </c>
      <c r="Y338" s="24">
        <f t="shared" si="46"/>
        <v>4.2164733394514764E-2</v>
      </c>
      <c r="Z338" s="23">
        <f t="shared" si="47"/>
        <v>3.4472339047162404E-3</v>
      </c>
      <c r="AA338" s="36"/>
    </row>
    <row r="339" spans="15:27" ht="13.9" customHeight="1">
      <c r="O339" s="12">
        <f t="shared" si="41"/>
        <v>27.166666666666668</v>
      </c>
      <c r="P339" s="13">
        <v>326</v>
      </c>
      <c r="Q339" s="22">
        <v>4.0388499170802783E-2</v>
      </c>
      <c r="R339" s="19">
        <f t="shared" si="42"/>
        <v>3.6010490945907359E-2</v>
      </c>
      <c r="S339" s="22">
        <v>4.0808142159166394E-2</v>
      </c>
      <c r="T339" s="19">
        <f t="shared" si="43"/>
        <v>4.0280058689916798E-2</v>
      </c>
      <c r="U339" s="24">
        <v>4.4929442376768769E-2</v>
      </c>
      <c r="V339" s="24">
        <f t="shared" si="44"/>
        <v>4.2742454848585743E-2</v>
      </c>
      <c r="W339" s="23">
        <f t="shared" si="45"/>
        <v>3.4938912882949147E-3</v>
      </c>
      <c r="X339" s="24">
        <v>4.4096664855949097E-2</v>
      </c>
      <c r="Y339" s="24">
        <f t="shared" si="46"/>
        <v>4.2169246719862219E-2</v>
      </c>
      <c r="Z339" s="23">
        <f t="shared" si="47"/>
        <v>3.4475980340638035E-3</v>
      </c>
      <c r="AA339" s="36"/>
    </row>
    <row r="340" spans="15:27" ht="13.9" customHeight="1">
      <c r="O340" s="12">
        <f t="shared" si="41"/>
        <v>27.25</v>
      </c>
      <c r="P340" s="13">
        <v>327</v>
      </c>
      <c r="Q340" s="22">
        <v>4.0375082604131585E-2</v>
      </c>
      <c r="R340" s="19">
        <f t="shared" si="42"/>
        <v>3.5984029429376063E-2</v>
      </c>
      <c r="S340" s="22">
        <v>4.0806526816433264E-2</v>
      </c>
      <c r="T340" s="19">
        <f t="shared" si="43"/>
        <v>4.0303188314648741E-2</v>
      </c>
      <c r="U340" s="24">
        <v>4.492274735431212E-2</v>
      </c>
      <c r="V340" s="24">
        <f t="shared" si="44"/>
        <v>4.274307511402009E-2</v>
      </c>
      <c r="W340" s="23">
        <f t="shared" si="45"/>
        <v>3.4939411526873076E-3</v>
      </c>
      <c r="X340" s="24">
        <v>4.4090765180415659E-2</v>
      </c>
      <c r="Y340" s="24">
        <f t="shared" si="46"/>
        <v>4.2173735370241161E-2</v>
      </c>
      <c r="Z340" s="23">
        <f t="shared" si="47"/>
        <v>3.4479601710293295E-3</v>
      </c>
      <c r="AA340" s="36"/>
    </row>
    <row r="341" spans="15:27" ht="13.9" customHeight="1">
      <c r="O341" s="12">
        <f t="shared" si="41"/>
        <v>27.333333333333332</v>
      </c>
      <c r="P341" s="13">
        <v>328</v>
      </c>
      <c r="Q341" s="22">
        <v>4.0361667002006607E-2</v>
      </c>
      <c r="R341" s="19">
        <f t="shared" si="42"/>
        <v>3.5957910163388007E-2</v>
      </c>
      <c r="S341" s="22">
        <v>4.0804991877780417E-2</v>
      </c>
      <c r="T341" s="19">
        <f t="shared" si="43"/>
        <v>4.0326116577874993E-2</v>
      </c>
      <c r="U341" s="24">
        <v>4.4916095092662145E-2</v>
      </c>
      <c r="V341" s="24">
        <f t="shared" si="44"/>
        <v>4.2743693871911015E-2</v>
      </c>
      <c r="W341" s="23">
        <f t="shared" si="45"/>
        <v>3.4939908959095156E-3</v>
      </c>
      <c r="X341" s="24">
        <v>4.4084915221580312E-2</v>
      </c>
      <c r="Y341" s="24">
        <f t="shared" si="46"/>
        <v>4.2178199482031387E-2</v>
      </c>
      <c r="Z341" s="23">
        <f t="shared" si="47"/>
        <v>3.4483203267166029E-3</v>
      </c>
      <c r="AA341" s="36"/>
    </row>
    <row r="342" spans="15:27" ht="13.9" customHeight="1">
      <c r="O342" s="12">
        <f t="shared" si="41"/>
        <v>27.416666666666668</v>
      </c>
      <c r="P342" s="13">
        <v>329</v>
      </c>
      <c r="Q342" s="22">
        <v>4.0348253399798528E-2</v>
      </c>
      <c r="R342" s="19">
        <f t="shared" si="42"/>
        <v>3.593213110740856E-2</v>
      </c>
      <c r="S342" s="22">
        <v>4.0803535995822537E-2</v>
      </c>
      <c r="T342" s="19">
        <f t="shared" si="43"/>
        <v>4.0348845312200954E-2</v>
      </c>
      <c r="U342" s="24">
        <v>4.49094851968872E-2</v>
      </c>
      <c r="V342" s="24">
        <f t="shared" si="44"/>
        <v>4.2744311126317491E-2</v>
      </c>
      <c r="W342" s="23">
        <f t="shared" si="45"/>
        <v>3.4940405182046774E-3</v>
      </c>
      <c r="X342" s="24">
        <v>4.407911445079038E-2</v>
      </c>
      <c r="Y342" s="24">
        <f t="shared" si="46"/>
        <v>4.218263919613463E-2</v>
      </c>
      <c r="Z342" s="23">
        <f t="shared" si="47"/>
        <v>3.4486785120915187E-3</v>
      </c>
      <c r="AA342" s="36"/>
    </row>
    <row r="343" spans="15:27" ht="13.9" customHeight="1">
      <c r="O343" s="12">
        <f t="shared" si="41"/>
        <v>27.5</v>
      </c>
      <c r="P343" s="13">
        <v>330</v>
      </c>
      <c r="Q343" s="22">
        <v>4.0334842814143235E-2</v>
      </c>
      <c r="R343" s="19">
        <f t="shared" si="42"/>
        <v>3.590668858338053E-2</v>
      </c>
      <c r="S343" s="22">
        <v>4.0802157845123421E-2</v>
      </c>
      <c r="T343" s="19">
        <f t="shared" si="43"/>
        <v>4.0371376331058029E-2</v>
      </c>
      <c r="U343" s="24">
        <v>4.4902917276860688E-2</v>
      </c>
      <c r="V343" s="24">
        <f t="shared" si="44"/>
        <v>4.2744926883469647E-2</v>
      </c>
      <c r="W343" s="23">
        <f t="shared" si="45"/>
        <v>3.4940900198985325E-3</v>
      </c>
      <c r="X343" s="24">
        <v>4.4073362346238154E-2</v>
      </c>
      <c r="Y343" s="24">
        <f t="shared" si="46"/>
        <v>4.2187054643995747E-2</v>
      </c>
      <c r="Z343" s="23">
        <f t="shared" si="47"/>
        <v>3.4490347384830145E-3</v>
      </c>
      <c r="AA343" s="36"/>
    </row>
    <row r="344" spans="15:27" ht="13.9" customHeight="1">
      <c r="O344" s="12">
        <f t="shared" si="41"/>
        <v>27.583333333333332</v>
      </c>
      <c r="P344" s="13">
        <v>331</v>
      </c>
      <c r="Q344" s="22">
        <v>4.0321436238255792E-2</v>
      </c>
      <c r="R344" s="19">
        <f t="shared" si="42"/>
        <v>3.5881573964684055E-2</v>
      </c>
      <c r="S344" s="22">
        <v>4.080085612180584E-2</v>
      </c>
      <c r="T344" s="19">
        <f t="shared" si="43"/>
        <v>4.0393711431716106E-2</v>
      </c>
      <c r="U344" s="24">
        <v>4.4896390947193998E-2</v>
      </c>
      <c r="V344" s="24">
        <f t="shared" si="44"/>
        <v>4.2745541146171906E-2</v>
      </c>
      <c r="W344" s="23">
        <f t="shared" si="45"/>
        <v>3.4941394014911253E-3</v>
      </c>
      <c r="X344" s="24">
        <v>4.4067658392829001E-2</v>
      </c>
      <c r="Y344" s="24">
        <f t="shared" si="46"/>
        <v>4.2191445966365038E-2</v>
      </c>
      <c r="Z344" s="23">
        <f t="shared" si="47"/>
        <v>3.4493890164606356E-3</v>
      </c>
      <c r="AA344" s="36"/>
    </row>
    <row r="345" spans="15:27" ht="13.9" customHeight="1">
      <c r="O345" s="12">
        <f t="shared" si="41"/>
        <v>27.666666666666668</v>
      </c>
      <c r="P345" s="13">
        <v>332</v>
      </c>
      <c r="Q345" s="22">
        <v>4.0308034627312361E-2</v>
      </c>
      <c r="R345" s="19">
        <f t="shared" si="42"/>
        <v>3.5856783618370081E-2</v>
      </c>
      <c r="S345" s="22">
        <v>4.0799629543175842E-2</v>
      </c>
      <c r="T345" s="19">
        <f t="shared" si="43"/>
        <v>4.0415852391793239E-2</v>
      </c>
      <c r="U345" s="24">
        <v>4.4889905827155463E-2</v>
      </c>
      <c r="V345" s="24">
        <f t="shared" si="44"/>
        <v>4.2746153915511176E-2</v>
      </c>
      <c r="W345" s="23">
        <f t="shared" si="45"/>
        <v>3.494188663207165E-3</v>
      </c>
      <c r="X345" s="24">
        <v>4.4062002082108087E-2</v>
      </c>
      <c r="Y345" s="24">
        <f t="shared" si="46"/>
        <v>4.2195813294773066E-2</v>
      </c>
      <c r="Z345" s="23">
        <f t="shared" si="47"/>
        <v>3.449741357339775E-3</v>
      </c>
      <c r="AA345" s="36"/>
    </row>
    <row r="346" spans="15:27" ht="13.9" customHeight="1">
      <c r="O346" s="12">
        <f t="shared" si="41"/>
        <v>27.75</v>
      </c>
      <c r="P346" s="13">
        <v>333</v>
      </c>
      <c r="Q346" s="22">
        <v>4.0294638914079917E-2</v>
      </c>
      <c r="R346" s="19">
        <f t="shared" si="42"/>
        <v>3.5832315586431962E-2</v>
      </c>
      <c r="S346" s="22">
        <v>4.0798476847344389E-2</v>
      </c>
      <c r="T346" s="19">
        <f t="shared" si="43"/>
        <v>4.0437800972889404E-2</v>
      </c>
      <c r="U346" s="24">
        <v>4.4883461540595304E-2</v>
      </c>
      <c r="V346" s="24">
        <f t="shared" si="44"/>
        <v>4.2746765197812842E-2</v>
      </c>
      <c r="W346" s="23">
        <f t="shared" si="45"/>
        <v>3.4942378051343592E-3</v>
      </c>
      <c r="X346" s="24">
        <v>4.4056392912132702E-2</v>
      </c>
      <c r="Y346" s="24">
        <f t="shared" si="46"/>
        <v>4.2200156763453567E-2</v>
      </c>
      <c r="Z346" s="23">
        <f t="shared" si="47"/>
        <v>3.4500917716968615E-3</v>
      </c>
      <c r="AA346" s="36"/>
    </row>
    <row r="347" spans="15:27" ht="13.9" customHeight="1">
      <c r="O347" s="12">
        <f t="shared" si="41"/>
        <v>27.833333333333332</v>
      </c>
      <c r="P347" s="13">
        <v>334</v>
      </c>
      <c r="Q347" s="22">
        <v>4.0281250014287062E-2</v>
      </c>
      <c r="R347" s="19">
        <f t="shared" si="42"/>
        <v>3.5808167927634527E-2</v>
      </c>
      <c r="S347" s="22">
        <v>4.0797396792866536E-2</v>
      </c>
      <c r="T347" s="19">
        <f t="shared" si="43"/>
        <v>4.0459558919694771E-2</v>
      </c>
      <c r="U347" s="24">
        <v>4.4877057715891677E-2</v>
      </c>
      <c r="V347" s="24">
        <f t="shared" si="44"/>
        <v>4.2747374995091736E-2</v>
      </c>
      <c r="W347" s="23">
        <f t="shared" si="45"/>
        <v>3.4942868277800798E-3</v>
      </c>
      <c r="X347" s="24">
        <v>4.4050830387383E-2</v>
      </c>
      <c r="Y347" s="24">
        <f t="shared" si="46"/>
        <v>4.2204476506892075E-2</v>
      </c>
      <c r="Z347" s="23">
        <f t="shared" si="47"/>
        <v>3.450440270323929E-3</v>
      </c>
      <c r="AA347" s="36"/>
    </row>
    <row r="348" spans="15:27" ht="13.9" customHeight="1">
      <c r="O348" s="12">
        <f t="shared" si="41"/>
        <v>27.916666666666668</v>
      </c>
      <c r="P348" s="13">
        <v>335</v>
      </c>
      <c r="Q348" s="22">
        <v>4.0267868826927788E-2</v>
      </c>
      <c r="R348" s="19">
        <f t="shared" si="42"/>
        <v>3.5784338719250464E-2</v>
      </c>
      <c r="S348" s="22">
        <v>4.0796388158384156E-2</v>
      </c>
      <c r="T348" s="19">
        <f t="shared" si="43"/>
        <v>4.0481127958311713E-2</v>
      </c>
      <c r="U348" s="24">
        <v>4.4870693985871624E-2</v>
      </c>
      <c r="V348" s="24">
        <f t="shared" si="44"/>
        <v>4.2747983311100191E-2</v>
      </c>
      <c r="W348" s="23">
        <f t="shared" si="45"/>
        <v>3.4943357313059753E-3</v>
      </c>
      <c r="X348" s="24">
        <v>4.4045314018666737E-2</v>
      </c>
      <c r="Y348" s="24">
        <f t="shared" si="46"/>
        <v>4.220877265568479E-2</v>
      </c>
      <c r="Z348" s="23">
        <f t="shared" si="47"/>
        <v>3.4507868640334394E-3</v>
      </c>
      <c r="AA348" s="36"/>
    </row>
    <row r="349" spans="15:27" ht="13.9" customHeight="1">
      <c r="O349" s="12">
        <f t="shared" si="41"/>
        <v>28</v>
      </c>
      <c r="P349" s="13">
        <v>336</v>
      </c>
      <c r="Q349" s="22">
        <v>4.0254496234563897E-2</v>
      </c>
      <c r="R349" s="19">
        <f t="shared" si="42"/>
        <v>3.5760824433024307E-2</v>
      </c>
      <c r="S349" s="22">
        <v>4.0795449742270451E-2</v>
      </c>
      <c r="T349" s="19">
        <f t="shared" si="43"/>
        <v>4.0502509799615227E-2</v>
      </c>
      <c r="U349" s="24">
        <v>4.4864369987748676E-2</v>
      </c>
      <c r="V349" s="24">
        <f t="shared" si="44"/>
        <v>4.2748590154336297E-2</v>
      </c>
      <c r="W349" s="23">
        <f t="shared" si="45"/>
        <v>3.4943845160133602E-3</v>
      </c>
      <c r="X349" s="24">
        <v>4.4039843323012695E-2</v>
      </c>
      <c r="Y349" s="24">
        <f t="shared" si="46"/>
        <v>4.2213045345856681E-2</v>
      </c>
      <c r="Z349" s="23">
        <f t="shared" si="47"/>
        <v>3.451131563325216E-3</v>
      </c>
      <c r="AA349" s="36"/>
    </row>
    <row r="350" spans="15:27" ht="13.9" customHeight="1">
      <c r="O350" s="12">
        <f t="shared" si="41"/>
        <v>28.083333333333332</v>
      </c>
      <c r="P350" s="13">
        <v>337</v>
      </c>
      <c r="Q350" s="22">
        <v>4.0241133098784188E-2</v>
      </c>
      <c r="R350" s="19">
        <f t="shared" si="42"/>
        <v>3.5737616693834573E-2</v>
      </c>
      <c r="S350" s="22">
        <v>4.0794580362290889E-2</v>
      </c>
      <c r="T350" s="19">
        <f t="shared" si="43"/>
        <v>4.0523706136174731E-2</v>
      </c>
      <c r="U350" s="24">
        <v>4.4858085363072453E-2</v>
      </c>
      <c r="V350" s="24">
        <f t="shared" si="44"/>
        <v>4.2749195519041105E-2</v>
      </c>
      <c r="W350" s="23">
        <f t="shared" si="45"/>
        <v>3.4944331825836894E-3</v>
      </c>
      <c r="X350" s="24">
        <v>4.4034417823595406E-2</v>
      </c>
      <c r="Y350" s="24">
        <f t="shared" si="46"/>
        <v>4.2217294701712982E-2</v>
      </c>
      <c r="Z350" s="23">
        <f t="shared" si="47"/>
        <v>3.4514743791349556E-3</v>
      </c>
      <c r="AA350" s="36"/>
    </row>
    <row r="351" spans="15:27" ht="13.9" customHeight="1">
      <c r="O351" s="12">
        <f t="shared" si="41"/>
        <v>28.166666666666668</v>
      </c>
      <c r="P351" s="13">
        <v>338</v>
      </c>
      <c r="Q351" s="22">
        <v>4.0227780246110845E-2</v>
      </c>
      <c r="R351" s="19">
        <f t="shared" si="42"/>
        <v>3.5714712018974692E-2</v>
      </c>
      <c r="S351" s="22">
        <v>4.0793778855260143E-2</v>
      </c>
      <c r="T351" s="19">
        <f t="shared" si="43"/>
        <v>4.0544718645971534E-2</v>
      </c>
      <c r="U351" s="24">
        <v>4.4851839757622081E-2</v>
      </c>
      <c r="V351" s="24">
        <f t="shared" si="44"/>
        <v>4.2749799418837275E-2</v>
      </c>
      <c r="W351" s="23">
        <f t="shared" si="45"/>
        <v>3.4944817305553322E-3</v>
      </c>
      <c r="X351" s="24">
        <v>4.4029037049608588E-2</v>
      </c>
      <c r="Y351" s="24">
        <f t="shared" si="46"/>
        <v>4.2221520859239581E-2</v>
      </c>
      <c r="Z351" s="23">
        <f t="shared" si="47"/>
        <v>3.4518153214573299E-3</v>
      </c>
      <c r="AA351" s="36"/>
    </row>
    <row r="352" spans="15:27" ht="13.9" customHeight="1">
      <c r="O352" s="12">
        <f t="shared" si="41"/>
        <v>28.25</v>
      </c>
      <c r="P352" s="13">
        <v>339</v>
      </c>
      <c r="Q352" s="22">
        <v>4.0214438483010317E-2</v>
      </c>
      <c r="R352" s="19">
        <f t="shared" si="42"/>
        <v>3.5692108562918046E-2</v>
      </c>
      <c r="S352" s="22">
        <v>4.0793044076717466E-2</v>
      </c>
      <c r="T352" s="19">
        <f t="shared" si="43"/>
        <v>4.0565548989230038E-2</v>
      </c>
      <c r="U352" s="24">
        <v>4.4845632821401082E-2</v>
      </c>
      <c r="V352" s="24">
        <f t="shared" si="44"/>
        <v>4.275040185059531E-2</v>
      </c>
      <c r="W352" s="23">
        <f t="shared" si="45"/>
        <v>3.4945301610214141E-3</v>
      </c>
      <c r="X352" s="24">
        <v>4.4023700536211186E-2</v>
      </c>
      <c r="Y352" s="24">
        <f t="shared" si="46"/>
        <v>4.2225723944968818E-2</v>
      </c>
      <c r="Z352" s="23">
        <f t="shared" si="47"/>
        <v>3.452154401223595E-3</v>
      </c>
      <c r="AA352" s="36"/>
    </row>
    <row r="353" spans="15:27" ht="13.9" customHeight="1">
      <c r="O353" s="12">
        <f t="shared" si="41"/>
        <v>28.333333333333332</v>
      </c>
      <c r="P353" s="13">
        <v>340</v>
      </c>
      <c r="Q353" s="22">
        <v>4.0201108601023217E-2</v>
      </c>
      <c r="R353" s="19">
        <f t="shared" si="42"/>
        <v>3.5669804499837809E-2</v>
      </c>
      <c r="S353" s="22">
        <v>4.0792374900597617E-2</v>
      </c>
      <c r="T353" s="19">
        <f t="shared" si="43"/>
        <v>4.0586198810484309E-2</v>
      </c>
      <c r="U353" s="24">
        <v>4.483946420852547E-2</v>
      </c>
      <c r="V353" s="24">
        <f t="shared" si="44"/>
        <v>4.2751002822084772E-2</v>
      </c>
      <c r="W353" s="23">
        <f t="shared" si="45"/>
        <v>3.4945784737305807E-3</v>
      </c>
      <c r="X353" s="24">
        <v>4.4018407824411243E-2</v>
      </c>
      <c r="Y353" s="24">
        <f t="shared" si="46"/>
        <v>4.2229904088291637E-2</v>
      </c>
      <c r="Z353" s="23">
        <f t="shared" si="47"/>
        <v>3.4524916286067242E-3</v>
      </c>
      <c r="AA353" s="36"/>
    </row>
    <row r="354" spans="15:27" ht="13.9" customHeight="1">
      <c r="O354" s="12">
        <f t="shared" si="41"/>
        <v>28.416666666666668</v>
      </c>
      <c r="P354" s="13">
        <v>341</v>
      </c>
      <c r="Q354" s="22">
        <v>4.0187791377040538E-2</v>
      </c>
      <c r="R354" s="19">
        <f t="shared" si="42"/>
        <v>3.5647798019191823E-2</v>
      </c>
      <c r="S354" s="22">
        <v>4.0791770218913781E-2</v>
      </c>
      <c r="T354" s="19">
        <f t="shared" si="43"/>
        <v>4.0606669738273649E-2</v>
      </c>
      <c r="U354" s="24">
        <v>4.4833333577195988E-2</v>
      </c>
      <c r="V354" s="24">
        <f t="shared" si="44"/>
        <v>4.2751602329409666E-2</v>
      </c>
      <c r="W354" s="23">
        <f t="shared" si="45"/>
        <v>3.4946266693063333E-3</v>
      </c>
      <c r="X354" s="24">
        <v>4.4013158460988855E-2</v>
      </c>
      <c r="Y354" s="24">
        <f t="shared" si="46"/>
        <v>4.2234061416890123E-2</v>
      </c>
      <c r="Z354" s="23">
        <f t="shared" si="47"/>
        <v>3.4528270140088413E-3</v>
      </c>
      <c r="AA354" s="36"/>
    </row>
    <row r="355" spans="15:27" ht="13.9" customHeight="1">
      <c r="O355" s="12">
        <f t="shared" si="41"/>
        <v>28.5</v>
      </c>
      <c r="P355" s="13">
        <v>342</v>
      </c>
      <c r="Q355" s="22">
        <v>4.0174487573562123E-2</v>
      </c>
      <c r="R355" s="19">
        <f t="shared" si="42"/>
        <v>3.5626085739090874E-2</v>
      </c>
      <c r="S355" s="22">
        <v>4.0791228941445601E-2</v>
      </c>
      <c r="T355" s="19">
        <f t="shared" si="43"/>
        <v>4.0626963385888004E-2</v>
      </c>
      <c r="U355" s="24">
        <v>4.4827240589603745E-2</v>
      </c>
      <c r="V355" s="24">
        <f t="shared" si="44"/>
        <v>4.2752200385521633E-2</v>
      </c>
      <c r="W355" s="23">
        <f t="shared" si="45"/>
        <v>3.494674747436477E-3</v>
      </c>
      <c r="X355" s="24">
        <v>4.4007951998406458E-2</v>
      </c>
      <c r="Y355" s="24">
        <f t="shared" si="46"/>
        <v>4.2238196057909905E-2</v>
      </c>
      <c r="Z355" s="23">
        <f t="shared" si="47"/>
        <v>3.4531605676944022E-3</v>
      </c>
      <c r="AA355" s="36"/>
    </row>
    <row r="356" spans="15:27" ht="13.9" customHeight="1">
      <c r="O356" s="12">
        <f t="shared" si="41"/>
        <v>28.583333333333332</v>
      </c>
      <c r="P356" s="13">
        <v>343</v>
      </c>
      <c r="Q356" s="22">
        <v>4.0161197934303949E-2</v>
      </c>
      <c r="R356" s="19">
        <f t="shared" si="42"/>
        <v>3.5604659529702154E-2</v>
      </c>
      <c r="S356" s="22">
        <v>4.0790749995434084E-2</v>
      </c>
      <c r="T356" s="19">
        <f t="shared" si="43"/>
        <v>4.0647081349996617E-2</v>
      </c>
      <c r="U356" s="24">
        <v>4.4821184911921108E-2</v>
      </c>
      <c r="V356" s="24">
        <f t="shared" si="44"/>
        <v>4.2752796992295394E-2</v>
      </c>
      <c r="W356" s="23">
        <f t="shared" si="45"/>
        <v>3.4947227091597366E-3</v>
      </c>
      <c r="X356" s="24">
        <v>4.4002787994724013E-2</v>
      </c>
      <c r="Y356" s="24">
        <f t="shared" si="46"/>
        <v>4.2242308138268569E-2</v>
      </c>
      <c r="Z356" s="23">
        <f t="shared" si="47"/>
        <v>3.4534922998845641E-3</v>
      </c>
      <c r="AA356" s="36"/>
    </row>
    <row r="357" spans="15:27" ht="13.9" customHeight="1">
      <c r="O357" s="12">
        <f t="shared" si="41"/>
        <v>28.666666666666668</v>
      </c>
      <c r="P357" s="13">
        <v>344</v>
      </c>
      <c r="Q357" s="22">
        <v>4.0147923170608113E-2</v>
      </c>
      <c r="R357" s="19">
        <f t="shared" si="42"/>
        <v>3.5583516051677311E-2</v>
      </c>
      <c r="S357" s="22">
        <v>4.0790332325278955E-2</v>
      </c>
      <c r="T357" s="19">
        <f t="shared" si="43"/>
        <v>4.0667025213251939E-2</v>
      </c>
      <c r="U357" s="24">
        <v>4.4815166214211999E-2</v>
      </c>
      <c r="V357" s="24">
        <f t="shared" si="44"/>
        <v>4.2753392146304581E-2</v>
      </c>
      <c r="W357" s="23">
        <f t="shared" si="45"/>
        <v>3.4947705546266583E-3</v>
      </c>
      <c r="X357" s="24">
        <v>4.3997666013517511E-2</v>
      </c>
      <c r="Y357" s="24">
        <f t="shared" si="46"/>
        <v>4.2246397783485046E-2</v>
      </c>
      <c r="Z357" s="23">
        <f t="shared" si="47"/>
        <v>3.4538222207822766E-3</v>
      </c>
      <c r="AA357" s="36"/>
    </row>
    <row r="358" spans="15:27" ht="13.9" customHeight="1">
      <c r="O358" s="12">
        <f t="shared" si="41"/>
        <v>28.75</v>
      </c>
      <c r="P358" s="13">
        <v>345</v>
      </c>
      <c r="Q358" s="22">
        <v>4.0134663975856855E-2</v>
      </c>
      <c r="R358" s="19">
        <f t="shared" si="42"/>
        <v>3.5562653572037251E-2</v>
      </c>
      <c r="S358" s="22">
        <v>4.078997489224756E-2</v>
      </c>
      <c r="T358" s="19">
        <f t="shared" si="43"/>
        <v>4.0686796540760906E-2</v>
      </c>
      <c r="U358" s="24">
        <v>4.4809184170359506E-2</v>
      </c>
      <c r="V358" s="24">
        <f t="shared" si="44"/>
        <v>4.2753985858328791E-2</v>
      </c>
      <c r="W358" s="23">
        <f t="shared" si="45"/>
        <v>3.494818283562795E-3</v>
      </c>
      <c r="X358" s="24">
        <v>4.3992585623794156E-2</v>
      </c>
      <c r="Y358" s="24">
        <f t="shared" si="46"/>
        <v>4.2250465118091718E-2</v>
      </c>
      <c r="Z358" s="23">
        <f t="shared" si="47"/>
        <v>3.4541503404776908E-3</v>
      </c>
      <c r="AA358" s="36"/>
    </row>
    <row r="359" spans="15:27" ht="13.9" customHeight="1">
      <c r="O359" s="12">
        <f t="shared" si="41"/>
        <v>28.833333333333332</v>
      </c>
      <c r="P359" s="13">
        <v>346</v>
      </c>
      <c r="Q359" s="22">
        <v>4.0121421030395288E-2</v>
      </c>
      <c r="R359" s="19">
        <f t="shared" si="42"/>
        <v>3.554207037329471E-2</v>
      </c>
      <c r="S359" s="22">
        <v>4.0789676674180209E-2</v>
      </c>
      <c r="T359" s="19">
        <f t="shared" si="43"/>
        <v>4.0706396885370921E-2</v>
      </c>
      <c r="U359" s="24">
        <v>4.4803238458052119E-2</v>
      </c>
      <c r="V359" s="24">
        <f t="shared" si="44"/>
        <v>4.2754578130169474E-2</v>
      </c>
      <c r="W359" s="23">
        <f t="shared" si="45"/>
        <v>3.4948658968327884E-3</v>
      </c>
      <c r="X359" s="24">
        <v>4.3987546399911537E-2</v>
      </c>
      <c r="Y359" s="24">
        <f t="shared" si="46"/>
        <v>4.2254510267355272E-2</v>
      </c>
      <c r="Z359" s="23">
        <f t="shared" si="47"/>
        <v>3.4544766689814654E-3</v>
      </c>
      <c r="AA359" s="36"/>
    </row>
    <row r="360" spans="15:27" ht="13.9" customHeight="1">
      <c r="O360" s="12">
        <f t="shared" si="41"/>
        <v>28.916666666666668</v>
      </c>
      <c r="P360" s="13">
        <v>347</v>
      </c>
      <c r="Q360" s="22">
        <v>4.0108195001762992E-2</v>
      </c>
      <c r="R360" s="19">
        <f t="shared" si="42"/>
        <v>3.5521764754044671E-2</v>
      </c>
      <c r="S360" s="22">
        <v>4.0789436665214174E-2</v>
      </c>
      <c r="T360" s="19">
        <f t="shared" si="43"/>
        <v>4.0725827782870816E-2</v>
      </c>
      <c r="U360" s="24">
        <v>4.4797328758702681E-2</v>
      </c>
      <c r="V360" s="24">
        <f t="shared" si="44"/>
        <v>4.2755168961008838E-2</v>
      </c>
      <c r="W360" s="23">
        <f t="shared" si="45"/>
        <v>3.4949133945809674E-3</v>
      </c>
      <c r="X360" s="24">
        <v>4.3982547921501913E-2</v>
      </c>
      <c r="Y360" s="24">
        <f t="shared" si="46"/>
        <v>4.2258533352707017E-2</v>
      </c>
      <c r="Z360" s="23">
        <f t="shared" si="47"/>
        <v>3.4548012163633235E-3</v>
      </c>
      <c r="AA360" s="36"/>
    </row>
    <row r="361" spans="15:27" ht="13.9" customHeight="1">
      <c r="O361" s="12">
        <f t="shared" si="41"/>
        <v>29</v>
      </c>
      <c r="P361" s="13">
        <v>348</v>
      </c>
      <c r="Q361" s="22">
        <v>4.0094986544923383E-2</v>
      </c>
      <c r="R361" s="19">
        <f t="shared" si="42"/>
        <v>3.5501733474110564E-2</v>
      </c>
      <c r="S361" s="22">
        <v>4.0789253875499698E-2</v>
      </c>
      <c r="T361" s="19">
        <f t="shared" si="43"/>
        <v>4.0745090755209823E-2</v>
      </c>
      <c r="U361" s="24">
        <v>4.4791454757387772E-2</v>
      </c>
      <c r="V361" s="24">
        <f t="shared" si="44"/>
        <v>4.2755758365200291E-2</v>
      </c>
      <c r="W361" s="23">
        <f t="shared" si="45"/>
        <v>3.4949607767424951E-3</v>
      </c>
      <c r="X361" s="24">
        <v>4.3977589773385839E-2</v>
      </c>
      <c r="Y361" s="24">
        <f t="shared" si="46"/>
        <v>4.2262534500796312E-2</v>
      </c>
      <c r="Z361" s="23">
        <f t="shared" si="47"/>
        <v>3.4551239923847898E-3</v>
      </c>
      <c r="AA361" s="36"/>
    </row>
    <row r="362" spans="15:27" ht="13.9" customHeight="1">
      <c r="O362" s="12">
        <f t="shared" si="41"/>
        <v>29.083333333333332</v>
      </c>
      <c r="P362" s="13">
        <v>349</v>
      </c>
      <c r="Q362" s="22">
        <v>4.0081796298015782E-2</v>
      </c>
      <c r="R362" s="19">
        <f t="shared" si="42"/>
        <v>3.5481968641477346E-2</v>
      </c>
      <c r="S362" s="22">
        <v>4.0789127330930652E-2</v>
      </c>
      <c r="T362" s="19">
        <f t="shared" si="43"/>
        <v>4.0764187309002775E-2</v>
      </c>
      <c r="U362" s="24">
        <v>4.4785616142837714E-2</v>
      </c>
      <c r="V362" s="24">
        <f t="shared" si="44"/>
        <v>4.275634633085712E-2</v>
      </c>
      <c r="W362" s="23">
        <f t="shared" si="45"/>
        <v>3.4950080444680065E-3</v>
      </c>
      <c r="X362" s="24">
        <v>4.397267154551221E-2</v>
      </c>
      <c r="Y362" s="24">
        <f t="shared" si="46"/>
        <v>4.2266513828559171E-2</v>
      </c>
      <c r="Z362" s="23">
        <f t="shared" si="47"/>
        <v>3.4554450072257215E-3</v>
      </c>
      <c r="AA362" s="36"/>
    </row>
    <row r="363" spans="15:27" ht="13.9" customHeight="1">
      <c r="O363" s="12">
        <f t="shared" si="41"/>
        <v>29.166666666666668</v>
      </c>
      <c r="P363" s="13">
        <v>350</v>
      </c>
      <c r="Q363" s="22">
        <v>4.0068624869244118E-2</v>
      </c>
      <c r="R363" s="19">
        <f t="shared" si="42"/>
        <v>3.5462467057973068E-2</v>
      </c>
      <c r="S363" s="22">
        <v>4.0789056072873864E-2</v>
      </c>
      <c r="T363" s="19">
        <f t="shared" si="43"/>
        <v>4.0783118937760765E-2</v>
      </c>
      <c r="U363" s="24">
        <v>4.4779812607310454E-2</v>
      </c>
      <c r="V363" s="24">
        <f t="shared" si="44"/>
        <v>4.2756932879420839E-2</v>
      </c>
      <c r="W363" s="23">
        <f t="shared" si="45"/>
        <v>3.4950551968049304E-3</v>
      </c>
      <c r="X363" s="24">
        <v>4.3967792832857455E-2</v>
      </c>
      <c r="Y363" s="24">
        <f t="shared" si="46"/>
        <v>4.2270471461620662E-2</v>
      </c>
      <c r="Z363" s="23">
        <f t="shared" si="47"/>
        <v>3.4557642702865987E-3</v>
      </c>
      <c r="AA363" s="36"/>
    </row>
    <row r="364" spans="15:27" ht="13.9" customHeight="1">
      <c r="O364" s="12">
        <f t="shared" si="41"/>
        <v>29.25</v>
      </c>
      <c r="P364" s="13">
        <v>351</v>
      </c>
      <c r="Q364" s="22">
        <v>4.0055472850735629E-2</v>
      </c>
      <c r="R364" s="19">
        <f t="shared" si="42"/>
        <v>3.5443227094965168E-2</v>
      </c>
      <c r="S364" s="22">
        <v>4.0789039157910878E-2</v>
      </c>
      <c r="T364" s="19">
        <f t="shared" si="43"/>
        <v>4.0801887118617763E-2</v>
      </c>
      <c r="U364" s="24">
        <v>4.4774043846635525E-2</v>
      </c>
      <c r="V364" s="24">
        <f t="shared" si="44"/>
        <v>4.2757517992974003E-2</v>
      </c>
      <c r="W364" s="23">
        <f t="shared" si="45"/>
        <v>3.495102235472558E-3</v>
      </c>
      <c r="X364" s="24">
        <v>4.3962953235378688E-2</v>
      </c>
      <c r="Y364" s="24">
        <f t="shared" si="46"/>
        <v>4.2274407519642621E-2</v>
      </c>
      <c r="Z364" s="23">
        <f t="shared" si="47"/>
        <v>3.456081791664678E-3</v>
      </c>
      <c r="AA364" s="36"/>
    </row>
    <row r="365" spans="15:27" ht="13.9" customHeight="1">
      <c r="O365" s="12">
        <f t="shared" si="41"/>
        <v>29.333333333333332</v>
      </c>
      <c r="P365" s="13">
        <v>352</v>
      </c>
      <c r="Q365" s="22">
        <v>4.0042340823246647E-2</v>
      </c>
      <c r="R365" s="19">
        <f t="shared" si="42"/>
        <v>3.5424247141522036E-2</v>
      </c>
      <c r="S365" s="22">
        <v>4.0789075657574614E-2</v>
      </c>
      <c r="T365" s="19">
        <f t="shared" si="43"/>
        <v>4.0820493316735762E-2</v>
      </c>
      <c r="U365" s="24">
        <v>4.4768309560051511E-2</v>
      </c>
      <c r="V365" s="24">
        <f t="shared" si="44"/>
        <v>4.2758101696807049E-2</v>
      </c>
      <c r="W365" s="23">
        <f t="shared" si="45"/>
        <v>3.495149159034483E-3</v>
      </c>
      <c r="X365" s="24">
        <v>4.3958152357925329E-2</v>
      </c>
      <c r="Y365" s="24">
        <f t="shared" si="46"/>
        <v>4.2278322121342748E-2</v>
      </c>
      <c r="Z365" s="23">
        <f t="shared" si="47"/>
        <v>3.4563975809784875E-3</v>
      </c>
      <c r="AA365" s="36"/>
    </row>
    <row r="366" spans="15:27" ht="13.9" customHeight="1">
      <c r="O366" s="12">
        <f t="shared" si="41"/>
        <v>29.416666666666668</v>
      </c>
      <c r="P366" s="13">
        <v>353</v>
      </c>
      <c r="Q366" s="22">
        <v>4.0029229356374207E-2</v>
      </c>
      <c r="R366" s="19">
        <f t="shared" si="42"/>
        <v>3.5405525601682086E-2</v>
      </c>
      <c r="S366" s="22">
        <v>4.078916465810245E-2</v>
      </c>
      <c r="T366" s="19">
        <f t="shared" si="43"/>
        <v>4.0838938981900164E-2</v>
      </c>
      <c r="U366" s="24">
        <v>4.4762609450280211E-2</v>
      </c>
      <c r="V366" s="24">
        <f t="shared" si="44"/>
        <v>4.2758683980810286E-2</v>
      </c>
      <c r="W366" s="23">
        <f t="shared" si="45"/>
        <v>3.4951959695188606E-3</v>
      </c>
      <c r="X366" s="24">
        <v>4.3953389810167609E-2</v>
      </c>
      <c r="Y366" s="24">
        <f t="shared" si="46"/>
        <v>4.228221538723953E-2</v>
      </c>
      <c r="Z366" s="23">
        <f t="shared" si="47"/>
        <v>3.4567116477708382E-3</v>
      </c>
      <c r="AA366" s="36"/>
    </row>
    <row r="367" spans="15:27" ht="13.9" customHeight="1">
      <c r="O367" s="12">
        <f t="shared" si="41"/>
        <v>29.5</v>
      </c>
      <c r="P367" s="13">
        <v>354</v>
      </c>
      <c r="Q367" s="22">
        <v>4.0016139008755003E-2</v>
      </c>
      <c r="R367" s="19">
        <f t="shared" si="42"/>
        <v>3.5387059369076823E-2</v>
      </c>
      <c r="S367" s="22">
        <v>4.0789305260184427E-2</v>
      </c>
      <c r="T367" s="19">
        <f t="shared" si="43"/>
        <v>4.0857225549745246E-2</v>
      </c>
      <c r="U367" s="24">
        <v>4.4756943223377421E-2</v>
      </c>
      <c r="V367" s="24">
        <f t="shared" si="44"/>
        <v>4.2759264850719791E-2</v>
      </c>
      <c r="W367" s="23">
        <f t="shared" si="45"/>
        <v>3.495242666115228E-3</v>
      </c>
      <c r="X367" s="24">
        <v>4.3948665206533066E-2</v>
      </c>
      <c r="Y367" s="24">
        <f t="shared" si="46"/>
        <v>4.2286087435873476E-2</v>
      </c>
      <c r="Z367" s="23">
        <f t="shared" si="47"/>
        <v>3.4570240017284259E-3</v>
      </c>
      <c r="AA367" s="36"/>
    </row>
    <row r="368" spans="15:27" ht="13.9" customHeight="1">
      <c r="O368" s="12">
        <f t="shared" si="41"/>
        <v>29.583333333333332</v>
      </c>
      <c r="P368" s="13">
        <v>355</v>
      </c>
      <c r="Q368" s="22">
        <v>4.0003070323946233E-2</v>
      </c>
      <c r="R368" s="19">
        <f t="shared" si="42"/>
        <v>3.5368840786850209E-2</v>
      </c>
      <c r="S368" s="22">
        <v>4.0789496578718776E-2</v>
      </c>
      <c r="T368" s="19">
        <f t="shared" si="43"/>
        <v>4.0875354443923095E-2</v>
      </c>
      <c r="U368" s="24">
        <v>4.4751310588730719E-2</v>
      </c>
      <c r="V368" s="24">
        <f t="shared" si="44"/>
        <v>4.2759844315123363E-2</v>
      </c>
      <c r="W368" s="23">
        <f t="shared" si="45"/>
        <v>3.4952892492838838E-3</v>
      </c>
      <c r="X368" s="24">
        <v>4.3943978166134379E-2</v>
      </c>
      <c r="Y368" s="24">
        <f t="shared" si="46"/>
        <v>4.2289938384385106E-2</v>
      </c>
      <c r="Z368" s="23">
        <f t="shared" si="47"/>
        <v>3.4573346523791848E-3</v>
      </c>
      <c r="AA368" s="36"/>
    </row>
    <row r="369" spans="15:27" ht="13.9" customHeight="1">
      <c r="O369" s="12">
        <f t="shared" si="41"/>
        <v>29.666666666666668</v>
      </c>
      <c r="P369" s="13">
        <v>356</v>
      </c>
      <c r="Q369" s="22">
        <v>3.9990023817797038E-2</v>
      </c>
      <c r="R369" s="19">
        <f t="shared" si="42"/>
        <v>3.5350866787754232E-2</v>
      </c>
      <c r="S369" s="22">
        <v>4.0789737742578325E-2</v>
      </c>
      <c r="T369" s="19">
        <f t="shared" si="43"/>
        <v>4.0893327072443642E-2</v>
      </c>
      <c r="U369" s="24">
        <v>4.474571125902016E-2</v>
      </c>
      <c r="V369" s="24">
        <f t="shared" si="44"/>
        <v>4.276042236919908E-2</v>
      </c>
      <c r="W369" s="23">
        <f t="shared" si="45"/>
        <v>3.4953357197133883E-3</v>
      </c>
      <c r="X369" s="24">
        <v>4.3939328312698755E-2</v>
      </c>
      <c r="Y369" s="24">
        <f t="shared" si="46"/>
        <v>4.2293768350978089E-2</v>
      </c>
      <c r="Z369" s="23">
        <f t="shared" si="47"/>
        <v>3.4576436091389162E-3</v>
      </c>
      <c r="AA369" s="36"/>
    </row>
    <row r="370" spans="15:27" ht="13.9" customHeight="1">
      <c r="O370" s="12">
        <f t="shared" si="41"/>
        <v>29.75</v>
      </c>
      <c r="P370" s="13">
        <v>357</v>
      </c>
      <c r="Q370" s="22">
        <v>3.9976999991750084E-2</v>
      </c>
      <c r="R370" s="19">
        <f t="shared" si="42"/>
        <v>3.5333135848276909E-2</v>
      </c>
      <c r="S370" s="22">
        <v>4.0790027894369807E-2</v>
      </c>
      <c r="T370" s="19">
        <f t="shared" si="43"/>
        <v>4.0911144831605073E-2</v>
      </c>
      <c r="U370" s="24">
        <v>4.4740144950135008E-2</v>
      </c>
      <c r="V370" s="24">
        <f t="shared" si="44"/>
        <v>4.2760999024615387E-2</v>
      </c>
      <c r="W370" s="23">
        <f t="shared" si="45"/>
        <v>3.4953820770173838E-3</v>
      </c>
      <c r="X370" s="24">
        <v>4.3934715274507097E-2</v>
      </c>
      <c r="Y370" s="24">
        <f t="shared" si="46"/>
        <v>4.2297577451450463E-2</v>
      </c>
      <c r="Z370" s="23">
        <f t="shared" si="47"/>
        <v>3.4579508815075766E-3</v>
      </c>
      <c r="AA370" s="36"/>
    </row>
    <row r="371" spans="15:27" ht="13.9" customHeight="1">
      <c r="O371" s="12">
        <f t="shared" si="41"/>
        <v>29.833333333333332</v>
      </c>
      <c r="P371" s="13">
        <v>358</v>
      </c>
      <c r="Q371" s="22">
        <v>3.9963999337373268E-2</v>
      </c>
      <c r="R371" s="19">
        <f t="shared" si="42"/>
        <v>3.5315646456734795E-2</v>
      </c>
      <c r="S371" s="22">
        <v>4.0790366190208482E-2</v>
      </c>
      <c r="T371" s="19">
        <f t="shared" si="43"/>
        <v>4.0928809103482955E-2</v>
      </c>
      <c r="U371" s="24">
        <v>4.4734611381174627E-2</v>
      </c>
      <c r="V371" s="24">
        <f t="shared" si="44"/>
        <v>4.2761574279507109E-2</v>
      </c>
      <c r="W371" s="23">
        <f t="shared" si="45"/>
        <v>3.4954283221317883E-3</v>
      </c>
      <c r="X371" s="24">
        <v>4.3930138684322717E-2</v>
      </c>
      <c r="Y371" s="24">
        <f t="shared" si="46"/>
        <v>4.2301365802737578E-2</v>
      </c>
      <c r="Z371" s="23">
        <f t="shared" si="47"/>
        <v>3.4582564787928316E-3</v>
      </c>
      <c r="AA371" s="36"/>
    </row>
    <row r="372" spans="15:27" ht="13.9" customHeight="1">
      <c r="O372" s="12">
        <f t="shared" si="41"/>
        <v>29.916666666666668</v>
      </c>
      <c r="P372" s="13">
        <v>359</v>
      </c>
      <c r="Q372" s="22">
        <v>3.9951022336530473E-2</v>
      </c>
      <c r="R372" s="19">
        <f t="shared" si="42"/>
        <v>3.5298397116736213E-2</v>
      </c>
      <c r="S372" s="22">
        <v>4.0790751799490099E-2</v>
      </c>
      <c r="T372" s="19">
        <f t="shared" si="43"/>
        <v>4.0946321256891016E-2</v>
      </c>
      <c r="U372" s="24">
        <v>4.4729110274366324E-2</v>
      </c>
      <c r="V372" s="24">
        <f t="shared" si="44"/>
        <v>4.2762148141047396E-2</v>
      </c>
      <c r="W372" s="23">
        <f t="shared" si="45"/>
        <v>3.4954744549071659E-3</v>
      </c>
      <c r="X372" s="24">
        <v>4.3925598179332725E-2</v>
      </c>
      <c r="Y372" s="24">
        <f t="shared" si="46"/>
        <v>4.2305133518914184E-2</v>
      </c>
      <c r="Z372" s="23">
        <f t="shared" si="47"/>
        <v>3.4585604103929413E-3</v>
      </c>
      <c r="AA372" s="36"/>
    </row>
    <row r="373" spans="15:27" ht="13.9" customHeight="1">
      <c r="O373" s="12">
        <f t="shared" si="41"/>
        <v>30</v>
      </c>
      <c r="P373" s="13">
        <v>360</v>
      </c>
      <c r="Q373" s="22">
        <v>3.9938069461557868E-2</v>
      </c>
      <c r="R373" s="19">
        <f t="shared" si="42"/>
        <v>3.5281405546896849E-2</v>
      </c>
      <c r="S373" s="22">
        <v>4.0791183904668404E-2</v>
      </c>
      <c r="T373" s="19">
        <f t="shared" si="43"/>
        <v>4.0963682648262667E-2</v>
      </c>
      <c r="U373" s="24">
        <v>4.4723641355046695E-2</v>
      </c>
      <c r="V373" s="24">
        <f t="shared" si="44"/>
        <v>4.2762720608955362E-2</v>
      </c>
      <c r="W373" s="23">
        <f t="shared" si="45"/>
        <v>3.4955204759190561E-3</v>
      </c>
      <c r="X373" s="24">
        <v>4.392109340107786E-2</v>
      </c>
      <c r="Y373" s="24">
        <f t="shared" si="46"/>
        <v>4.2308880715249852E-2</v>
      </c>
      <c r="Z373" s="23">
        <f t="shared" si="47"/>
        <v>3.4588626854761273E-3</v>
      </c>
      <c r="AA373" s="36"/>
    </row>
    <row r="374" spans="15:27" ht="13.9" customHeight="1">
      <c r="O374" s="12">
        <f t="shared" si="41"/>
        <v>30.083333333333332</v>
      </c>
      <c r="P374" s="13">
        <v>361</v>
      </c>
      <c r="Q374" s="22">
        <v>3.9925141228862371E-2</v>
      </c>
      <c r="R374" s="19">
        <f t="shared" si="42"/>
        <v>3.5264747031404919E-2</v>
      </c>
      <c r="S374" s="22">
        <v>4.0791661701039539E-2</v>
      </c>
      <c r="T374" s="19">
        <f t="shared" si="43"/>
        <v>4.0980894621085673E-2</v>
      </c>
      <c r="U374" s="24">
        <v>4.4718204351598123E-2</v>
      </c>
      <c r="V374" s="24">
        <f t="shared" si="44"/>
        <v>4.2763291688182825E-2</v>
      </c>
      <c r="W374" s="23">
        <f t="shared" si="45"/>
        <v>3.4955663851450325E-3</v>
      </c>
      <c r="X374" s="24">
        <v>4.3916623995396087E-2</v>
      </c>
      <c r="Y374" s="24">
        <f t="shared" si="46"/>
        <v>4.2312607505284872E-2</v>
      </c>
      <c r="Z374" s="23">
        <f t="shared" si="47"/>
        <v>3.4591633133072008E-3</v>
      </c>
      <c r="AA374" s="36"/>
    </row>
    <row r="375" spans="15:27" ht="13.9" customHeight="1">
      <c r="O375" s="12">
        <f t="shared" si="41"/>
        <v>30.166666666666668</v>
      </c>
      <c r="P375" s="13">
        <v>362</v>
      </c>
      <c r="Q375" s="22">
        <v>3.9912238358046803E-2</v>
      </c>
      <c r="R375" s="19">
        <f t="shared" si="42"/>
        <v>3.5248439196180703E-2</v>
      </c>
      <c r="S375" s="22">
        <v>4.0792184396527986E-2</v>
      </c>
      <c r="T375" s="19">
        <f t="shared" si="43"/>
        <v>4.0997958504973564E-2</v>
      </c>
      <c r="U375" s="24">
        <v>4.4712798995420799E-2</v>
      </c>
      <c r="V375" s="24">
        <f t="shared" si="44"/>
        <v>4.2763861382309809E-2</v>
      </c>
      <c r="W375" s="23">
        <f t="shared" si="45"/>
        <v>3.4956121829823328E-3</v>
      </c>
      <c r="X375" s="24">
        <v>4.3912189612357988E-2</v>
      </c>
      <c r="Y375" s="24">
        <f t="shared" si="46"/>
        <v>4.2316314002665223E-2</v>
      </c>
      <c r="Z375" s="23">
        <f t="shared" si="47"/>
        <v>3.4594623030108629E-3</v>
      </c>
      <c r="AA375" s="36"/>
    </row>
    <row r="376" spans="15:27" ht="13.9" customHeight="1">
      <c r="O376" s="12">
        <f t="shared" si="41"/>
        <v>30.25</v>
      </c>
      <c r="P376" s="13">
        <v>363</v>
      </c>
      <c r="Q376" s="22">
        <v>3.9899361609559536E-2</v>
      </c>
      <c r="R376" s="19">
        <f t="shared" si="42"/>
        <v>3.5232480474121752E-2</v>
      </c>
      <c r="S376" s="22">
        <v>4.0792751211474076E-2</v>
      </c>
      <c r="T376" s="19">
        <f t="shared" si="43"/>
        <v>4.101487561911954E-2</v>
      </c>
      <c r="U376" s="24">
        <v>4.4707425020887648E-2</v>
      </c>
      <c r="V376" s="24">
        <f t="shared" si="44"/>
        <v>4.276442969635319E-2</v>
      </c>
      <c r="W376" s="23">
        <f t="shared" si="45"/>
        <v>3.4956578697182827E-3</v>
      </c>
      <c r="X376" s="24">
        <v>4.3907789906208583E-2</v>
      </c>
      <c r="Y376" s="24">
        <f t="shared" si="46"/>
        <v>4.2320000319991724E-2</v>
      </c>
      <c r="Z376" s="23">
        <f t="shared" si="47"/>
        <v>3.4597596637211403E-3</v>
      </c>
      <c r="AA376" s="36"/>
    </row>
    <row r="377" spans="15:27" ht="13.9" customHeight="1">
      <c r="O377" s="12">
        <f t="shared" si="41"/>
        <v>30.333333333333332</v>
      </c>
      <c r="P377" s="13">
        <v>364</v>
      </c>
      <c r="Q377" s="22">
        <v>3.9886511731167529E-2</v>
      </c>
      <c r="R377" s="19">
        <f t="shared" si="42"/>
        <v>3.5216869321472277E-2</v>
      </c>
      <c r="S377" s="22">
        <v>4.0793361378433923E-2</v>
      </c>
      <c r="T377" s="19">
        <f t="shared" si="43"/>
        <v>4.1031647267888882E-2</v>
      </c>
      <c r="U377" s="24">
        <v>4.4702082165307244E-2</v>
      </c>
      <c r="V377" s="24">
        <f t="shared" si="44"/>
        <v>4.2764996628517959E-2</v>
      </c>
      <c r="W377" s="23">
        <f t="shared" si="45"/>
        <v>3.4957034457552272E-3</v>
      </c>
      <c r="X377" s="24">
        <v>4.3903424535307378E-2</v>
      </c>
      <c r="Y377" s="24">
        <f t="shared" si="46"/>
        <v>4.2323666568748752E-2</v>
      </c>
      <c r="Z377" s="23">
        <f t="shared" si="47"/>
        <v>3.4600554044872389E-3</v>
      </c>
      <c r="AA377" s="36"/>
    </row>
    <row r="378" spans="15:27" ht="13.9" customHeight="1">
      <c r="O378" s="12">
        <f t="shared" si="41"/>
        <v>30.416666666666668</v>
      </c>
      <c r="P378" s="13">
        <v>365</v>
      </c>
      <c r="Q378" s="22">
        <v>3.9873689458193251E-2</v>
      </c>
      <c r="R378" s="19">
        <f t="shared" si="42"/>
        <v>3.5201604215340243E-2</v>
      </c>
      <c r="S378" s="22">
        <v>4.0794014141970925E-2</v>
      </c>
      <c r="T378" s="19">
        <f t="shared" si="43"/>
        <v>4.1048274745633995E-2</v>
      </c>
      <c r="U378" s="24">
        <v>4.4696770168864752E-2</v>
      </c>
      <c r="V378" s="24">
        <f t="shared" si="44"/>
        <v>4.2765562192627282E-2</v>
      </c>
      <c r="W378" s="23">
        <f t="shared" si="45"/>
        <v>3.4957489109497253E-3</v>
      </c>
      <c r="X378" s="24">
        <v>4.3899093162068414E-2</v>
      </c>
      <c r="Y378" s="24">
        <f t="shared" si="46"/>
        <v>4.2327312860808153E-2</v>
      </c>
      <c r="Z378" s="23">
        <f t="shared" si="47"/>
        <v>3.4603495342688806E-3</v>
      </c>
      <c r="AA378" s="36"/>
    </row>
    <row r="379" spans="15:27" ht="13.9" customHeight="1">
      <c r="O379" s="12">
        <f t="shared" si="41"/>
        <v>30.5</v>
      </c>
      <c r="P379" s="13">
        <v>366</v>
      </c>
      <c r="Q379" s="22">
        <v>3.9860895513741834E-2</v>
      </c>
      <c r="R379" s="19">
        <f t="shared" si="42"/>
        <v>3.5186681785955853E-2</v>
      </c>
      <c r="S379" s="22">
        <v>4.0794708758463472E-2</v>
      </c>
      <c r="T379" s="19">
        <f t="shared" si="43"/>
        <v>4.1064759331914669E-2</v>
      </c>
      <c r="U379" s="24">
        <v>4.4691488774625698E-2</v>
      </c>
      <c r="V379" s="24">
        <f t="shared" si="44"/>
        <v>4.2766126378313896E-2</v>
      </c>
      <c r="W379" s="23">
        <f t="shared" si="45"/>
        <v>3.4957942664100017E-3</v>
      </c>
      <c r="X379" s="24">
        <v>4.3894795452906532E-2</v>
      </c>
      <c r="Y379" s="24">
        <f t="shared" si="46"/>
        <v>4.2330939306329141E-2</v>
      </c>
      <c r="Z379" s="23">
        <f t="shared" si="47"/>
        <v>3.4606420620568734E-3</v>
      </c>
      <c r="AA379" s="36"/>
    </row>
    <row r="380" spans="15:27" ht="13.9" customHeight="1">
      <c r="O380" s="12">
        <f t="shared" si="41"/>
        <v>30.583333333333332</v>
      </c>
      <c r="P380" s="13">
        <v>367</v>
      </c>
      <c r="Q380" s="22">
        <v>3.9848130603810983E-2</v>
      </c>
      <c r="R380" s="19">
        <f t="shared" si="42"/>
        <v>3.5172093093672752E-2</v>
      </c>
      <c r="S380" s="22">
        <v>4.0795444495903554E-2</v>
      </c>
      <c r="T380" s="19">
        <f t="shared" si="43"/>
        <v>4.1081102296484762E-2</v>
      </c>
      <c r="U380" s="24">
        <v>4.4686237728430278E-2</v>
      </c>
      <c r="V380" s="24">
        <f t="shared" si="44"/>
        <v>4.2766689199108754E-2</v>
      </c>
      <c r="W380" s="23">
        <f t="shared" si="45"/>
        <v>3.4958395113053875E-3</v>
      </c>
      <c r="X380" s="24">
        <v>4.3890531078177197E-2</v>
      </c>
      <c r="Y380" s="24">
        <f t="shared" si="46"/>
        <v>4.2334546016101537E-2</v>
      </c>
      <c r="Z380" s="23">
        <f t="shared" si="47"/>
        <v>3.4609329967039137E-3</v>
      </c>
      <c r="AA380" s="36"/>
    </row>
    <row r="381" spans="15:27" ht="13.9" customHeight="1">
      <c r="O381" s="12">
        <f t="shared" si="41"/>
        <v>30.666666666666668</v>
      </c>
      <c r="P381" s="13">
        <v>368</v>
      </c>
      <c r="Q381" s="22">
        <v>3.983539540231984E-2</v>
      </c>
      <c r="R381" s="19">
        <f t="shared" si="42"/>
        <v>3.5157834822770351E-2</v>
      </c>
      <c r="S381" s="22">
        <v>4.0796220633711355E-2</v>
      </c>
      <c r="T381" s="19">
        <f t="shared" si="43"/>
        <v>4.1097304896142273E-2</v>
      </c>
      <c r="U381" s="24">
        <v>4.4681016778921112E-2</v>
      </c>
      <c r="V381" s="24">
        <f t="shared" si="44"/>
        <v>4.2767250654155653E-2</v>
      </c>
      <c r="W381" s="23">
        <f t="shared" si="45"/>
        <v>3.4958846467205706E-3</v>
      </c>
      <c r="X381" s="24">
        <v>4.3886299712125432E-2</v>
      </c>
      <c r="Y381" s="24">
        <f t="shared" si="46"/>
        <v>4.2338133098527519E-2</v>
      </c>
      <c r="Z381" s="23">
        <f t="shared" si="47"/>
        <v>3.4612223471137682E-3</v>
      </c>
      <c r="AA381" s="36"/>
    </row>
    <row r="382" spans="15:27" ht="13.9" customHeight="1">
      <c r="O382" s="12">
        <f t="shared" si="41"/>
        <v>30.75</v>
      </c>
      <c r="P382" s="13">
        <v>369</v>
      </c>
      <c r="Q382" s="22">
        <v>3.982269056685217E-2</v>
      </c>
      <c r="R382" s="19">
        <f t="shared" si="42"/>
        <v>3.5143905548281396E-2</v>
      </c>
      <c r="S382" s="22">
        <v>4.0797036462544956E-2</v>
      </c>
      <c r="T382" s="19">
        <f t="shared" si="43"/>
        <v>4.111336837542412E-2</v>
      </c>
      <c r="U382" s="24">
        <v>4.467582567746553E-2</v>
      </c>
      <c r="V382" s="24">
        <f t="shared" si="44"/>
        <v>4.2767810749218427E-2</v>
      </c>
      <c r="W382" s="23">
        <f t="shared" si="45"/>
        <v>3.4959296725876055E-3</v>
      </c>
      <c r="X382" s="24">
        <v>4.3882101032826304E-2</v>
      </c>
      <c r="Y382" s="24">
        <f t="shared" si="46"/>
        <v>4.2341700663272475E-2</v>
      </c>
      <c r="Z382" s="23">
        <f t="shared" si="47"/>
        <v>3.4615101219979127E-3</v>
      </c>
      <c r="AA382" s="36"/>
    </row>
    <row r="383" spans="15:27" ht="13.9" customHeight="1">
      <c r="O383" s="12">
        <f t="shared" si="41"/>
        <v>30.833333333333332</v>
      </c>
      <c r="P383" s="13">
        <v>370</v>
      </c>
      <c r="Q383" s="22">
        <v>3.9810016744009857E-2</v>
      </c>
      <c r="R383" s="19">
        <f t="shared" si="42"/>
        <v>3.5130303865169354E-2</v>
      </c>
      <c r="S383" s="22">
        <v>4.0797891284114485E-2</v>
      </c>
      <c r="T383" s="19">
        <f t="shared" si="43"/>
        <v>4.112929396823306E-2</v>
      </c>
      <c r="U383" s="24">
        <v>4.4670664178137143E-2</v>
      </c>
      <c r="V383" s="24">
        <f t="shared" si="44"/>
        <v>4.2768369485138846E-2</v>
      </c>
      <c r="W383" s="23">
        <f t="shared" si="45"/>
        <v>3.4959745893683447E-3</v>
      </c>
      <c r="X383" s="24">
        <v>4.387793472213608E-2</v>
      </c>
      <c r="Y383" s="24">
        <f t="shared" si="46"/>
        <v>4.2345248817704073E-2</v>
      </c>
      <c r="Z383" s="23">
        <f t="shared" si="47"/>
        <v>3.4617963301690757E-3</v>
      </c>
      <c r="AA383" s="36"/>
    </row>
    <row r="384" spans="15:27" ht="13.9" customHeight="1">
      <c r="O384" s="12">
        <f t="shared" si="41"/>
        <v>30.916666666666668</v>
      </c>
      <c r="P384" s="13">
        <v>371</v>
      </c>
      <c r="Q384" s="22">
        <v>3.9797374569614519E-2</v>
      </c>
      <c r="R384" s="19">
        <f t="shared" si="42"/>
        <v>3.5117028387146032E-2</v>
      </c>
      <c r="S384" s="22">
        <v>4.0798784411004485E-2</v>
      </c>
      <c r="T384" s="19">
        <f t="shared" si="43"/>
        <v>4.114508289608132E-2</v>
      </c>
      <c r="U384" s="24">
        <v>4.46655320376661E-2</v>
      </c>
      <c r="V384" s="24">
        <f t="shared" si="44"/>
        <v>4.2768926864816814E-2</v>
      </c>
      <c r="W384" s="23">
        <f t="shared" si="45"/>
        <v>3.4960193971309561E-3</v>
      </c>
      <c r="X384" s="24">
        <v>4.3873800465635604E-2</v>
      </c>
      <c r="Y384" s="24">
        <f t="shared" si="46"/>
        <v>4.2348777670694115E-2</v>
      </c>
      <c r="Z384" s="23">
        <f t="shared" si="47"/>
        <v>3.4620809802556884E-3</v>
      </c>
      <c r="AA384" s="36"/>
    </row>
    <row r="385" spans="15:27" ht="13.9" customHeight="1">
      <c r="O385" s="12">
        <f t="shared" si="41"/>
        <v>31</v>
      </c>
      <c r="P385" s="13">
        <v>372</v>
      </c>
      <c r="Q385" s="22">
        <v>3.9784764668902017E-2</v>
      </c>
      <c r="R385" s="19">
        <f t="shared" si="42"/>
        <v>3.5104075923574785E-2</v>
      </c>
      <c r="S385" s="22">
        <v>4.0799715166493167E-2</v>
      </c>
      <c r="T385" s="19">
        <f t="shared" si="43"/>
        <v>4.1160736369330042E-2</v>
      </c>
      <c r="U385" s="24">
        <v>4.4660429015408454E-2</v>
      </c>
      <c r="V385" s="24">
        <f t="shared" si="44"/>
        <v>4.2769482896681366E-2</v>
      </c>
      <c r="W385" s="23">
        <f t="shared" si="45"/>
        <v>3.4960640961079203E-3</v>
      </c>
      <c r="X385" s="24">
        <v>4.3869697952584108E-2</v>
      </c>
      <c r="Y385" s="24">
        <f t="shared" si="46"/>
        <v>4.2352287327654725E-2</v>
      </c>
      <c r="Z385" s="23">
        <f t="shared" si="47"/>
        <v>3.4623640810065304E-3</v>
      </c>
      <c r="AA385" s="36"/>
    </row>
    <row r="386" spans="15:27" ht="13.9" customHeight="1">
      <c r="O386" s="12">
        <f t="shared" si="41"/>
        <v>31.083333333333332</v>
      </c>
      <c r="P386" s="13">
        <v>373</v>
      </c>
      <c r="Q386" s="22">
        <v>3.9772187651805124E-2</v>
      </c>
      <c r="R386" s="19">
        <f t="shared" si="42"/>
        <v>3.509143782334867E-2</v>
      </c>
      <c r="S386" s="22">
        <v>4.0800682884379436E-2</v>
      </c>
      <c r="T386" s="19">
        <f t="shared" si="43"/>
        <v>4.117625558711091E-2</v>
      </c>
      <c r="U386" s="24">
        <v>4.465535487332617E-2</v>
      </c>
      <c r="V386" s="24">
        <f t="shared" si="44"/>
        <v>4.2770037577973374E-2</v>
      </c>
      <c r="W386" s="23">
        <f t="shared" si="45"/>
        <v>3.4961086869751412E-3</v>
      </c>
      <c r="X386" s="24">
        <v>4.3865626875859931E-2</v>
      </c>
      <c r="Y386" s="24">
        <f t="shared" si="46"/>
        <v>4.2355777894972135E-2</v>
      </c>
      <c r="Z386" s="23">
        <f t="shared" si="47"/>
        <v>3.4626456408926032E-3</v>
      </c>
      <c r="AA386" s="36"/>
    </row>
    <row r="387" spans="15:27" ht="13.9" customHeight="1">
      <c r="O387" s="12">
        <f t="shared" si="41"/>
        <v>31.166666666666668</v>
      </c>
      <c r="P387" s="13">
        <v>374</v>
      </c>
      <c r="Q387" s="22">
        <v>3.9759644098491087E-2</v>
      </c>
      <c r="R387" s="19">
        <f t="shared" si="42"/>
        <v>3.5079110949118419E-2</v>
      </c>
      <c r="S387" s="22">
        <v>4.0801686908811252E-2</v>
      </c>
      <c r="T387" s="19">
        <f t="shared" si="43"/>
        <v>4.1191641737272855E-2</v>
      </c>
      <c r="U387" s="24">
        <v>4.465030937592207E-2</v>
      </c>
      <c r="V387" s="24">
        <f t="shared" si="44"/>
        <v>4.2770590916301199E-2</v>
      </c>
      <c r="W387" s="23">
        <f t="shared" si="45"/>
        <v>3.4961531695119064E-3</v>
      </c>
      <c r="X387" s="24">
        <v>4.3861586931915664E-2</v>
      </c>
      <c r="Y387" s="24">
        <f t="shared" si="46"/>
        <v>4.2359249480606653E-2</v>
      </c>
      <c r="Z387" s="23">
        <f t="shared" si="47"/>
        <v>3.4629256684626242E-3</v>
      </c>
      <c r="AA387" s="36"/>
    </row>
    <row r="388" spans="15:27" ht="13.9" customHeight="1">
      <c r="O388" s="12">
        <f t="shared" si="41"/>
        <v>31.25</v>
      </c>
      <c r="P388" s="13">
        <v>375</v>
      </c>
      <c r="Q388" s="22">
        <v>3.9747134574527943E-2</v>
      </c>
      <c r="R388" s="19">
        <f t="shared" si="42"/>
        <v>3.5067094009147537E-2</v>
      </c>
      <c r="S388" s="22">
        <v>4.08027265941171E-2</v>
      </c>
      <c r="T388" s="19">
        <f t="shared" si="43"/>
        <v>4.1206895995317128E-2</v>
      </c>
      <c r="U388" s="24">
        <v>4.464529229023384E-2</v>
      </c>
      <c r="V388" s="24">
        <f t="shared" si="44"/>
        <v>4.2771142910986493E-2</v>
      </c>
      <c r="W388" s="23">
        <f t="shared" si="45"/>
        <v>3.4961975443283944E-3</v>
      </c>
      <c r="X388" s="24">
        <v>4.385757782073374E-2</v>
      </c>
      <c r="Y388" s="24">
        <f t="shared" si="46"/>
        <v>4.2362702186444334E-2</v>
      </c>
      <c r="Z388" s="23">
        <f t="shared" si="47"/>
        <v>3.4632041723920981E-3</v>
      </c>
      <c r="AA388" s="36"/>
    </row>
    <row r="389" spans="15:27" ht="13.9" customHeight="1">
      <c r="O389" s="12">
        <f t="shared" si="41"/>
        <v>31.333333333333332</v>
      </c>
      <c r="P389" s="13">
        <v>376</v>
      </c>
      <c r="Q389" s="22">
        <v>3.9734659636009306E-2</v>
      </c>
      <c r="R389" s="19">
        <f t="shared" si="42"/>
        <v>3.5055385732557953E-2</v>
      </c>
      <c r="S389" s="22">
        <v>4.0803801304637455E-2</v>
      </c>
      <c r="T389" s="19">
        <f t="shared" si="43"/>
        <v>4.122201952841098E-2</v>
      </c>
      <c r="U389" s="24">
        <v>4.4640303385777846E-2</v>
      </c>
      <c r="V389" s="24">
        <f t="shared" si="44"/>
        <v>4.2771693570186731E-2</v>
      </c>
      <c r="W389" s="23">
        <f t="shared" si="45"/>
        <v>3.4962418113704263E-3</v>
      </c>
      <c r="X389" s="24">
        <v>4.3853599245763819E-2</v>
      </c>
      <c r="Y389" s="24">
        <f t="shared" si="46"/>
        <v>4.2366136118515696E-2</v>
      </c>
      <c r="Z389" s="23">
        <f t="shared" si="47"/>
        <v>3.4634811608684757E-3</v>
      </c>
      <c r="AA389" s="36"/>
    </row>
    <row r="390" spans="15:27" ht="13.9" customHeight="1">
      <c r="O390" s="12">
        <f t="shared" si="41"/>
        <v>31.416666666666668</v>
      </c>
      <c r="P390" s="13">
        <v>377</v>
      </c>
      <c r="Q390" s="22">
        <v>3.9722219829734673E-2</v>
      </c>
      <c r="R390" s="19">
        <f t="shared" si="42"/>
        <v>3.5043984868879274E-2</v>
      </c>
      <c r="S390" s="22">
        <v>4.0804910414569351E-2</v>
      </c>
      <c r="T390" s="19">
        <f t="shared" si="43"/>
        <v>4.1237013489832108E-2</v>
      </c>
      <c r="U390" s="24">
        <v>4.4635342434540037E-2</v>
      </c>
      <c r="V390" s="24">
        <f t="shared" si="44"/>
        <v>4.2772242892210377E-2</v>
      </c>
      <c r="W390" s="23">
        <f t="shared" si="45"/>
        <v>3.4962859712921457E-3</v>
      </c>
      <c r="X390" s="24">
        <v>4.3849650913887706E-2</v>
      </c>
      <c r="Y390" s="24">
        <f t="shared" si="46"/>
        <v>4.2369551380672998E-2</v>
      </c>
      <c r="Z390" s="23">
        <f t="shared" si="47"/>
        <v>3.4637566424113864E-3</v>
      </c>
      <c r="AA390" s="36"/>
    </row>
    <row r="391" spans="15:27" ht="13.9" customHeight="1">
      <c r="O391" s="12">
        <f t="shared" si="41"/>
        <v>31.5</v>
      </c>
      <c r="P391" s="13">
        <v>378</v>
      </c>
      <c r="Q391" s="22">
        <v>3.9709815693386386E-2</v>
      </c>
      <c r="R391" s="19">
        <f t="shared" si="42"/>
        <v>3.5032888396345108E-2</v>
      </c>
      <c r="S391" s="22">
        <v>4.0806053307798962E-2</v>
      </c>
      <c r="T391" s="19">
        <f t="shared" si="43"/>
        <v>4.1251879024822635E-2</v>
      </c>
      <c r="U391" s="24">
        <v>4.4630409210916877E-2</v>
      </c>
      <c r="V391" s="24">
        <f t="shared" si="44"/>
        <v>4.2772790883869316E-2</v>
      </c>
      <c r="W391" s="23">
        <f t="shared" si="45"/>
        <v>3.4963300239581052E-3</v>
      </c>
      <c r="X391" s="24">
        <v>4.384573253536761E-2</v>
      </c>
      <c r="Y391" s="24">
        <f t="shared" si="46"/>
        <v>4.2372948076988992E-2</v>
      </c>
      <c r="Z391" s="23">
        <f t="shared" si="47"/>
        <v>3.4640306253663766E-3</v>
      </c>
      <c r="AA391" s="36"/>
    </row>
    <row r="392" spans="15:27" ht="13.9" customHeight="1">
      <c r="O392" s="12">
        <f t="shared" si="41"/>
        <v>31.583333333333332</v>
      </c>
      <c r="P392" s="13">
        <v>379</v>
      </c>
      <c r="Q392" s="22">
        <v>3.9697447750954851E-2</v>
      </c>
      <c r="R392" s="19">
        <f t="shared" si="42"/>
        <v>3.5022087950481007E-2</v>
      </c>
      <c r="S392" s="22">
        <v>4.0807229377751941E-2</v>
      </c>
      <c r="T392" s="19">
        <f t="shared" si="43"/>
        <v>4.1266617265388827E-2</v>
      </c>
      <c r="U392" s="24">
        <v>4.4625503491706464E-2</v>
      </c>
      <c r="V392" s="24">
        <f t="shared" si="44"/>
        <v>4.2773337547057588E-2</v>
      </c>
      <c r="W392" s="23">
        <f t="shared" si="45"/>
        <v>3.4963739699147567E-3</v>
      </c>
      <c r="X392" s="24">
        <v>4.3841843823802629E-2</v>
      </c>
      <c r="Y392" s="24">
        <f t="shared" si="46"/>
        <v>4.2376326309519374E-2</v>
      </c>
      <c r="Z392" s="23">
        <f t="shared" si="47"/>
        <v>3.4643031180954242E-3</v>
      </c>
      <c r="AA392" s="36"/>
    </row>
    <row r="393" spans="15:27" ht="13.9" customHeight="1">
      <c r="O393" s="12">
        <f t="shared" si="41"/>
        <v>31.666666666666668</v>
      </c>
      <c r="P393" s="13">
        <v>380</v>
      </c>
      <c r="Q393" s="22">
        <v>3.9685116498795026E-2</v>
      </c>
      <c r="R393" s="19">
        <f t="shared" si="42"/>
        <v>3.5011580561037592E-2</v>
      </c>
      <c r="S393" s="22">
        <v>4.0808438027232441E-2</v>
      </c>
      <c r="T393" s="19">
        <f t="shared" si="43"/>
        <v>4.1281229335571101E-2</v>
      </c>
      <c r="U393" s="24">
        <v>4.4620625056063457E-2</v>
      </c>
      <c r="V393" s="24">
        <f t="shared" si="44"/>
        <v>4.2773882885672521E-2</v>
      </c>
      <c r="W393" s="23">
        <f t="shared" si="45"/>
        <v>3.4964178093142007E-3</v>
      </c>
      <c r="X393" s="24">
        <v>4.3837984496079452E-2</v>
      </c>
      <c r="Y393" s="24">
        <f t="shared" si="46"/>
        <v>4.2379686179595977E-2</v>
      </c>
      <c r="Z393" s="23">
        <f t="shared" si="47"/>
        <v>3.4645741287993026E-3</v>
      </c>
      <c r="AA393" s="36"/>
    </row>
    <row r="394" spans="15:27" ht="13.9" customHeight="1">
      <c r="O394" s="12">
        <f t="shared" si="41"/>
        <v>31.75</v>
      </c>
      <c r="P394" s="13">
        <v>381</v>
      </c>
      <c r="Q394" s="22">
        <v>3.9672822420210752E-2</v>
      </c>
      <c r="R394" s="19">
        <f t="shared" si="42"/>
        <v>3.5001365068398238E-2</v>
      </c>
      <c r="S394" s="22">
        <v>4.0809678668279448E-2</v>
      </c>
      <c r="T394" s="19">
        <f t="shared" si="43"/>
        <v>4.1295716346545275E-2</v>
      </c>
      <c r="U394" s="24">
        <v>4.4615773685473314E-2</v>
      </c>
      <c r="V394" s="24">
        <f t="shared" si="44"/>
        <v>4.2774426902396856E-2</v>
      </c>
      <c r="W394" s="23">
        <f t="shared" si="45"/>
        <v>3.496461542469298E-3</v>
      </c>
      <c r="X394" s="24">
        <v>4.383415427232662E-2</v>
      </c>
      <c r="Y394" s="24">
        <f t="shared" si="46"/>
        <v>4.2383027789261396E-2</v>
      </c>
      <c r="Z394" s="23">
        <f t="shared" si="47"/>
        <v>3.4648436656201653E-3</v>
      </c>
      <c r="AA394" s="36"/>
    </row>
    <row r="395" spans="15:27" ht="13.9" customHeight="1">
      <c r="O395" s="12">
        <f t="shared" si="41"/>
        <v>31.833333333333332</v>
      </c>
      <c r="P395" s="13">
        <v>382</v>
      </c>
      <c r="Q395" s="22">
        <v>3.9660565990387031E-2</v>
      </c>
      <c r="R395" s="19">
        <f t="shared" si="42"/>
        <v>3.4991440332232226E-2</v>
      </c>
      <c r="S395" s="22">
        <v>4.081095072201113E-2</v>
      </c>
      <c r="T395" s="19">
        <f t="shared" si="43"/>
        <v>4.1310079400234345E-2</v>
      </c>
      <c r="U395" s="24">
        <v>4.4610949163719216E-2</v>
      </c>
      <c r="V395" s="24">
        <f t="shared" si="44"/>
        <v>4.2774969599570056E-2</v>
      </c>
      <c r="W395" s="23">
        <f t="shared" si="45"/>
        <v>3.4965051695949878E-3</v>
      </c>
      <c r="X395" s="24">
        <v>4.3830352875875001E-2</v>
      </c>
      <c r="Y395" s="24">
        <f t="shared" si="46"/>
        <v>4.2386351239825037E-2</v>
      </c>
      <c r="Z395" s="23">
        <f t="shared" si="47"/>
        <v>3.4651117367574535E-3</v>
      </c>
      <c r="AA395" s="36"/>
    </row>
    <row r="396" spans="15:27" ht="13.9" customHeight="1">
      <c r="O396" s="12">
        <f t="shared" si="41"/>
        <v>31.916666666666668</v>
      </c>
      <c r="P396" s="13">
        <v>383</v>
      </c>
      <c r="Q396" s="22">
        <v>3.9648347676545903E-2</v>
      </c>
      <c r="R396" s="19">
        <f t="shared" si="42"/>
        <v>3.4981805228840868E-2</v>
      </c>
      <c r="S396" s="22">
        <v>4.0812253618482064E-2</v>
      </c>
      <c r="T396" s="19">
        <f t="shared" si="43"/>
        <v>4.1324319589534086E-2</v>
      </c>
      <c r="U396" s="24">
        <v>4.4606151276850303E-2</v>
      </c>
      <c r="V396" s="24">
        <f t="shared" si="44"/>
        <v>4.2775510982356879E-2</v>
      </c>
      <c r="W396" s="23">
        <f t="shared" si="45"/>
        <v>3.4965486908791199E-3</v>
      </c>
      <c r="X396" s="24">
        <v>4.3826580033212714E-2</v>
      </c>
      <c r="Y396" s="24">
        <f t="shared" si="46"/>
        <v>4.2389656632168426E-2</v>
      </c>
      <c r="Z396" s="23">
        <f t="shared" si="47"/>
        <v>3.4653783503508784E-3</v>
      </c>
      <c r="AA396" s="36"/>
    </row>
    <row r="397" spans="15:27" ht="13.9" customHeight="1">
      <c r="O397" s="12">
        <f t="shared" si="41"/>
        <v>32</v>
      </c>
      <c r="P397" s="13">
        <v>384</v>
      </c>
      <c r="Q397" s="22">
        <v>3.9636167938092992E-2</v>
      </c>
      <c r="R397" s="19">
        <f t="shared" si="42"/>
        <v>3.497245690469275E-2</v>
      </c>
      <c r="S397" s="22">
        <v>4.08135867965429E-2</v>
      </c>
      <c r="T397" s="19">
        <f t="shared" si="43"/>
        <v>4.1338437994571153E-2</v>
      </c>
      <c r="U397" s="24">
        <v>4.4601379813160369E-2</v>
      </c>
      <c r="V397" s="24">
        <f t="shared" si="44"/>
        <v>4.2776051054279174E-2</v>
      </c>
      <c r="W397" s="23">
        <f t="shared" si="45"/>
        <v>3.4965921067362515E-3</v>
      </c>
      <c r="X397" s="24">
        <v>4.3822835473944055E-2</v>
      </c>
      <c r="Y397" s="24">
        <f t="shared" si="46"/>
        <v>4.2392944065198224E-2</v>
      </c>
      <c r="Z397" s="23">
        <f t="shared" si="47"/>
        <v>3.4656435145061781E-3</v>
      </c>
      <c r="AA397" s="36"/>
    </row>
    <row r="398" spans="15:27" ht="13.9" customHeight="1">
      <c r="O398" s="12">
        <f t="shared" ref="O398:O461" si="48">P398/12</f>
        <v>32.083333333333336</v>
      </c>
      <c r="P398" s="13">
        <v>385</v>
      </c>
      <c r="Q398" s="22">
        <v>3.9624027222205926E-2</v>
      </c>
      <c r="R398" s="19">
        <f t="shared" ref="R398:R461" si="49">(1+Q399)^P399/(1+Q398)^P398-1</f>
        <v>3.4963387269933532E-2</v>
      </c>
      <c r="S398" s="22">
        <v>4.0814949703692704E-2</v>
      </c>
      <c r="T398" s="19">
        <f t="shared" ref="T398:T461" si="50">(1+S399)^P399/(1+S398)^P398-1</f>
        <v>4.135243568717839E-2</v>
      </c>
      <c r="U398" s="24">
        <v>4.4596634563153659E-2</v>
      </c>
      <c r="V398" s="24">
        <f t="shared" ref="V398:V461" si="51">(1+U399)^P399/(1+U398)^P398-1</f>
        <v>4.2776589814288002E-2</v>
      </c>
      <c r="W398" s="23">
        <f t="shared" si="45"/>
        <v>3.4966354174488234E-3</v>
      </c>
      <c r="X398" s="24">
        <v>4.3819118930742862E-2</v>
      </c>
      <c r="Y398" s="24">
        <f t="shared" si="46"/>
        <v>4.2396213636703317E-2</v>
      </c>
      <c r="Z398" s="23">
        <f t="shared" si="47"/>
        <v>3.4659072371707733E-3</v>
      </c>
      <c r="AA398" s="36"/>
    </row>
    <row r="399" spans="15:27" ht="13.9" customHeight="1">
      <c r="O399" s="12">
        <f t="shared" si="48"/>
        <v>32.166666666666664</v>
      </c>
      <c r="P399" s="13">
        <v>386</v>
      </c>
      <c r="Q399" s="22">
        <v>3.9611925950365556E-2</v>
      </c>
      <c r="R399" s="19">
        <f t="shared" si="49"/>
        <v>3.4954593519909594E-2</v>
      </c>
      <c r="S399" s="22">
        <v>4.0816341795944844E-2</v>
      </c>
      <c r="T399" s="19">
        <f t="shared" si="50"/>
        <v>4.136631372997579E-2</v>
      </c>
      <c r="U399" s="24">
        <v>4.4591915319504682E-2</v>
      </c>
      <c r="V399" s="24">
        <f t="shared" si="51"/>
        <v>4.2777127272827897E-2</v>
      </c>
      <c r="W399" s="23">
        <f t="shared" ref="W399:W462" si="52">(1+V398)^(1/12)-1</f>
        <v>3.4966786229329028E-3</v>
      </c>
      <c r="X399" s="24">
        <v>4.3815430139310552E-2</v>
      </c>
      <c r="Y399" s="24">
        <f t="shared" ref="Y399:Y462" si="53">(1+X400)^P400/(1+X399)^P399-1</f>
        <v>4.2399465449538987E-2</v>
      </c>
      <c r="Z399" s="23">
        <f t="shared" ref="Z399:Z462" si="54">(1+Y398)^(1/12)-1</f>
        <v>3.4661695262014902E-3</v>
      </c>
      <c r="AA399" s="36"/>
    </row>
    <row r="400" spans="15:27" ht="13.9" customHeight="1">
      <c r="O400" s="12">
        <f t="shared" si="48"/>
        <v>32.25</v>
      </c>
      <c r="P400" s="13">
        <v>387</v>
      </c>
      <c r="Q400" s="22">
        <v>3.9599864532406714E-2</v>
      </c>
      <c r="R400" s="19">
        <f t="shared" si="49"/>
        <v>3.4946074620150869E-2</v>
      </c>
      <c r="S400" s="22">
        <v>4.0817762537693314E-2</v>
      </c>
      <c r="T400" s="19">
        <f t="shared" si="50"/>
        <v>4.1380073173011622E-2</v>
      </c>
      <c r="U400" s="24">
        <v>4.458722187705999E-2</v>
      </c>
      <c r="V400" s="24">
        <f t="shared" si="51"/>
        <v>4.2777663425923151E-2</v>
      </c>
      <c r="W400" s="23">
        <f t="shared" si="52"/>
        <v>3.4967217240260418E-3</v>
      </c>
      <c r="X400" s="24">
        <v>4.3811768838349474E-2</v>
      </c>
      <c r="Y400" s="24">
        <f t="shared" si="53"/>
        <v>4.2402699597748006E-2</v>
      </c>
      <c r="Z400" s="23">
        <f t="shared" si="54"/>
        <v>3.4664303898621629E-3</v>
      </c>
      <c r="AA400" s="36"/>
    </row>
    <row r="401" spans="15:27" ht="13.9" customHeight="1">
      <c r="O401" s="12">
        <f t="shared" si="48"/>
        <v>32.333333333333336</v>
      </c>
      <c r="P401" s="13">
        <v>388</v>
      </c>
      <c r="Q401" s="22">
        <v>3.9587843371250209E-2</v>
      </c>
      <c r="R401" s="19">
        <f t="shared" si="49"/>
        <v>3.4937829554737565E-2</v>
      </c>
      <c r="S401" s="22">
        <v>4.081921140157152E-2</v>
      </c>
      <c r="T401" s="19">
        <f t="shared" si="50"/>
        <v>4.139371505984335E-2</v>
      </c>
      <c r="U401" s="24">
        <v>4.4582554032772892E-2</v>
      </c>
      <c r="V401" s="24">
        <f t="shared" si="51"/>
        <v>4.2778198281473223E-2</v>
      </c>
      <c r="W401" s="23">
        <f t="shared" si="52"/>
        <v>3.4967647204098284E-3</v>
      </c>
      <c r="X401" s="24">
        <v>4.380813476950185E-2</v>
      </c>
      <c r="Y401" s="24">
        <f t="shared" si="53"/>
        <v>4.2405916181327052E-2</v>
      </c>
      <c r="Z401" s="23">
        <f t="shared" si="54"/>
        <v>3.4666898357089693E-3</v>
      </c>
      <c r="AA401" s="36"/>
    </row>
    <row r="402" spans="15:27" ht="13.9" customHeight="1">
      <c r="O402" s="12">
        <f t="shared" si="48"/>
        <v>32.416666666666664</v>
      </c>
      <c r="P402" s="13">
        <v>389</v>
      </c>
      <c r="Q402" s="22">
        <v>3.9575862863039823E-2</v>
      </c>
      <c r="R402" s="19">
        <f t="shared" si="49"/>
        <v>3.4929857326087443E-2</v>
      </c>
      <c r="S402" s="22">
        <v>4.0820687868329486E-2</v>
      </c>
      <c r="T402" s="19">
        <f t="shared" si="50"/>
        <v>4.1407240421627023E-2</v>
      </c>
      <c r="U402" s="24">
        <v>4.4577911585706786E-2</v>
      </c>
      <c r="V402" s="24">
        <f t="shared" si="51"/>
        <v>4.2778731837965767E-2</v>
      </c>
      <c r="W402" s="23">
        <f t="shared" si="52"/>
        <v>3.4968076127177561E-3</v>
      </c>
      <c r="X402" s="24">
        <v>4.3804527677327121E-2</v>
      </c>
      <c r="Y402" s="24">
        <f t="shared" si="53"/>
        <v>4.2409115294925304E-2</v>
      </c>
      <c r="Z402" s="23">
        <f t="shared" si="54"/>
        <v>3.4669478717757052E-3</v>
      </c>
      <c r="AA402" s="36"/>
    </row>
    <row r="403" spans="15:27" ht="13.9" customHeight="1">
      <c r="O403" s="12">
        <f t="shared" si="48"/>
        <v>32.5</v>
      </c>
      <c r="P403" s="13">
        <v>390</v>
      </c>
      <c r="Q403" s="22">
        <v>3.9563923397275991E-2</v>
      </c>
      <c r="R403" s="19">
        <f t="shared" si="49"/>
        <v>3.4922155239040853E-2</v>
      </c>
      <c r="S403" s="22">
        <v>4.082219142669774E-2</v>
      </c>
      <c r="T403" s="19">
        <f t="shared" si="50"/>
        <v>4.1420650282664617E-2</v>
      </c>
      <c r="U403" s="24">
        <v>4.4573294336983871E-2</v>
      </c>
      <c r="V403" s="24">
        <f t="shared" si="51"/>
        <v>4.2779264106605819E-2</v>
      </c>
      <c r="W403" s="23">
        <f t="shared" si="52"/>
        <v>3.4968504008288104E-3</v>
      </c>
      <c r="X403" s="24">
        <v>4.3800947309250882E-2</v>
      </c>
      <c r="Y403" s="24">
        <f t="shared" si="53"/>
        <v>4.2412297038002533E-2</v>
      </c>
      <c r="Z403" s="23">
        <f t="shared" si="54"/>
        <v>3.4672045056673984E-3</v>
      </c>
      <c r="AA403" s="36"/>
    </row>
    <row r="404" spans="15:27" ht="13.9" customHeight="1">
      <c r="O404" s="12">
        <f t="shared" si="48"/>
        <v>32.583333333333336</v>
      </c>
      <c r="P404" s="13">
        <v>391</v>
      </c>
      <c r="Q404" s="22">
        <v>3.9552025352539433E-2</v>
      </c>
      <c r="R404" s="19">
        <f t="shared" si="49"/>
        <v>3.4914715474475777E-2</v>
      </c>
      <c r="S404" s="22">
        <v>4.0823721573267413E-2</v>
      </c>
      <c r="T404" s="19">
        <f t="shared" si="50"/>
        <v>4.1433945654443916E-2</v>
      </c>
      <c r="U404" s="24">
        <v>4.4568702089791579E-2</v>
      </c>
      <c r="V404" s="24">
        <f t="shared" si="51"/>
        <v>4.2779795082458438E-2</v>
      </c>
      <c r="W404" s="23">
        <f t="shared" si="52"/>
        <v>3.4968930856416058E-3</v>
      </c>
      <c r="X404" s="24">
        <v>4.3797393415540009E-2</v>
      </c>
      <c r="Y404" s="24">
        <f t="shared" si="53"/>
        <v>4.2415461504788921E-2</v>
      </c>
      <c r="Z404" s="23">
        <f t="shared" si="54"/>
        <v>3.4674597453741018E-3</v>
      </c>
      <c r="AA404" s="36"/>
    </row>
    <row r="405" spans="15:27" ht="13.9" customHeight="1">
      <c r="O405" s="12">
        <f t="shared" si="48"/>
        <v>32.666666666666664</v>
      </c>
      <c r="P405" s="13">
        <v>392</v>
      </c>
      <c r="Q405" s="22">
        <v>3.9540169083500443E-2</v>
      </c>
      <c r="R405" s="19">
        <f t="shared" si="49"/>
        <v>3.4907535383828181E-2</v>
      </c>
      <c r="S405" s="22">
        <v>4.0825277812357008E-2</v>
      </c>
      <c r="T405" s="19">
        <f t="shared" si="50"/>
        <v>4.1447127542542983E-2</v>
      </c>
      <c r="U405" s="24">
        <v>4.4564134649314857E-2</v>
      </c>
      <c r="V405" s="24">
        <f t="shared" si="51"/>
        <v>4.2780324772649037E-2</v>
      </c>
      <c r="W405" s="23">
        <f t="shared" si="52"/>
        <v>3.496935666760459E-3</v>
      </c>
      <c r="X405" s="24">
        <v>4.3793865749253813E-2</v>
      </c>
      <c r="Y405" s="24">
        <f t="shared" si="53"/>
        <v>4.2418608789397183E-2</v>
      </c>
      <c r="Z405" s="23">
        <f t="shared" si="54"/>
        <v>3.4677135984673146E-3</v>
      </c>
      <c r="AA405" s="36"/>
    </row>
    <row r="406" spans="15:27" ht="13.9" customHeight="1">
      <c r="O406" s="12">
        <f t="shared" si="48"/>
        <v>32.75</v>
      </c>
      <c r="P406" s="13">
        <v>393</v>
      </c>
      <c r="Q406" s="22">
        <v>3.9528354934438958E-2</v>
      </c>
      <c r="R406" s="19">
        <f t="shared" si="49"/>
        <v>3.4900614055770607E-2</v>
      </c>
      <c r="S406" s="22">
        <v>4.0826859655898717E-2</v>
      </c>
      <c r="T406" s="19">
        <f t="shared" si="50"/>
        <v>4.146019694129377E-2</v>
      </c>
      <c r="U406" s="24">
        <v>4.4559591822741496E-2</v>
      </c>
      <c r="V406" s="24">
        <f t="shared" si="51"/>
        <v>4.278085318031688E-2</v>
      </c>
      <c r="W406" s="23">
        <f t="shared" si="52"/>
        <v>3.4969781447571346E-3</v>
      </c>
      <c r="X406" s="24">
        <v>4.3790364066207621E-2</v>
      </c>
      <c r="Y406" s="24">
        <f t="shared" si="53"/>
        <v>4.2421738989239621E-2</v>
      </c>
      <c r="Z406" s="23">
        <f t="shared" si="54"/>
        <v>3.4679660725076555E-3</v>
      </c>
      <c r="AA406" s="36"/>
    </row>
    <row r="407" spans="15:27" ht="13.9" customHeight="1">
      <c r="O407" s="12">
        <f t="shared" si="48"/>
        <v>32.833333333333336</v>
      </c>
      <c r="P407" s="13">
        <v>394</v>
      </c>
      <c r="Q407" s="22">
        <v>3.9516583243804915E-2</v>
      </c>
      <c r="R407" s="19">
        <f t="shared" si="49"/>
        <v>3.4893950593539724E-2</v>
      </c>
      <c r="S407" s="22">
        <v>4.0828466623312965E-2</v>
      </c>
      <c r="T407" s="19">
        <f t="shared" si="50"/>
        <v>4.1473154836089821E-2</v>
      </c>
      <c r="U407" s="24">
        <v>4.4555073419226598E-2</v>
      </c>
      <c r="V407" s="24">
        <f t="shared" si="51"/>
        <v>4.2781380306789574E-2</v>
      </c>
      <c r="W407" s="23">
        <f t="shared" si="52"/>
        <v>3.4970205198832094E-3</v>
      </c>
      <c r="X407" s="24">
        <v>4.3786888124946133E-2</v>
      </c>
      <c r="Y407" s="24">
        <f t="shared" si="53"/>
        <v>4.2424852196378371E-2</v>
      </c>
      <c r="Z407" s="23">
        <f t="shared" si="54"/>
        <v>3.4682171753210866E-3</v>
      </c>
      <c r="AA407" s="36"/>
    </row>
    <row r="408" spans="15:27" ht="13.9" customHeight="1">
      <c r="O408" s="12">
        <f t="shared" si="48"/>
        <v>32.916666666666664</v>
      </c>
      <c r="P408" s="13">
        <v>395</v>
      </c>
      <c r="Q408" s="22">
        <v>3.9504854344329265E-2</v>
      </c>
      <c r="R408" s="19">
        <f t="shared" si="49"/>
        <v>3.4887544119852176E-2</v>
      </c>
      <c r="S408" s="22">
        <v>4.0830098241390722E-2</v>
      </c>
      <c r="T408" s="19">
        <f t="shared" si="50"/>
        <v>4.1486002204254246E-2</v>
      </c>
      <c r="U408" s="24">
        <v>4.4550579249862832E-2</v>
      </c>
      <c r="V408" s="24">
        <f t="shared" si="51"/>
        <v>4.2781906155796356E-2</v>
      </c>
      <c r="W408" s="23">
        <f t="shared" si="52"/>
        <v>3.4970627922457087E-3</v>
      </c>
      <c r="X408" s="24">
        <v>4.3783437686695459E-2</v>
      </c>
      <c r="Y408" s="24">
        <f t="shared" si="53"/>
        <v>4.2427948506951196E-2</v>
      </c>
      <c r="Z408" s="23">
        <f t="shared" si="54"/>
        <v>3.4684669143041358E-3</v>
      </c>
      <c r="AA408" s="36"/>
    </row>
    <row r="409" spans="15:27" ht="13.9" customHeight="1">
      <c r="O409" s="12">
        <f t="shared" si="48"/>
        <v>33</v>
      </c>
      <c r="P409" s="13">
        <v>396</v>
      </c>
      <c r="Q409" s="22">
        <v>3.9493168563144776E-2</v>
      </c>
      <c r="R409" s="19">
        <f t="shared" si="49"/>
        <v>3.4881392093510488E-2</v>
      </c>
      <c r="S409" s="22">
        <v>4.0831754044179602E-2</v>
      </c>
      <c r="T409" s="19">
        <f t="shared" si="50"/>
        <v>4.1498740012379631E-2</v>
      </c>
      <c r="U409" s="24">
        <v>4.4546109127662437E-2</v>
      </c>
      <c r="V409" s="24">
        <f t="shared" si="51"/>
        <v>4.2782430731320709E-2</v>
      </c>
      <c r="W409" s="23">
        <f t="shared" si="52"/>
        <v>3.4971049621437267E-3</v>
      </c>
      <c r="X409" s="24">
        <v>4.3780012515339584E-2</v>
      </c>
      <c r="Y409" s="24">
        <f t="shared" si="53"/>
        <v>4.2431028011065575E-2</v>
      </c>
      <c r="Z409" s="23">
        <f t="shared" si="54"/>
        <v>3.4687152971801805E-3</v>
      </c>
      <c r="AA409" s="36"/>
    </row>
    <row r="410" spans="15:27" ht="13.9" customHeight="1">
      <c r="O410" s="12">
        <f t="shared" si="48"/>
        <v>33.083333333333336</v>
      </c>
      <c r="P410" s="13">
        <v>397</v>
      </c>
      <c r="Q410" s="22">
        <v>3.9481526217647112E-2</v>
      </c>
      <c r="R410" s="19">
        <f t="shared" si="49"/>
        <v>3.4875486956175594E-2</v>
      </c>
      <c r="S410" s="22">
        <v>4.0833433572865729E-2</v>
      </c>
      <c r="T410" s="19">
        <f t="shared" si="50"/>
        <v>4.151136921996601E-2</v>
      </c>
      <c r="U410" s="24">
        <v>4.4541662867533249E-2</v>
      </c>
      <c r="V410" s="24">
        <f t="shared" si="51"/>
        <v>4.2782954038095289E-2</v>
      </c>
      <c r="W410" s="23">
        <f t="shared" si="52"/>
        <v>3.4971470298965635E-3</v>
      </c>
      <c r="X410" s="24">
        <v>4.3776612377371515E-2</v>
      </c>
      <c r="Y410" s="24">
        <f t="shared" si="53"/>
        <v>4.243409080319771E-2</v>
      </c>
      <c r="Z410" s="23">
        <f t="shared" si="54"/>
        <v>3.4689623311885409E-3</v>
      </c>
      <c r="AA410" s="36"/>
    </row>
    <row r="411" spans="15:27" ht="13.9" customHeight="1">
      <c r="O411" s="12">
        <f t="shared" si="48"/>
        <v>33.166666666666664</v>
      </c>
      <c r="P411" s="13">
        <v>398</v>
      </c>
      <c r="Q411" s="22">
        <v>3.9469927602954868E-2</v>
      </c>
      <c r="R411" s="19">
        <f t="shared" si="49"/>
        <v>3.486982621381074E-2</v>
      </c>
      <c r="S411" s="22">
        <v>4.0835136375665382E-2</v>
      </c>
      <c r="T411" s="19">
        <f t="shared" si="50"/>
        <v>4.1523890776505423E-2</v>
      </c>
      <c r="U411" s="24">
        <v>4.4537240286256941E-2</v>
      </c>
      <c r="V411" s="24">
        <f t="shared" si="51"/>
        <v>4.2783476074381266E-2</v>
      </c>
      <c r="W411" s="23">
        <f t="shared" si="52"/>
        <v>3.4971889958841373E-3</v>
      </c>
      <c r="X411" s="24">
        <v>4.3773237041871305E-2</v>
      </c>
      <c r="Y411" s="24">
        <f t="shared" si="53"/>
        <v>4.2437136976078094E-2</v>
      </c>
      <c r="Z411" s="23">
        <f t="shared" si="54"/>
        <v>3.4692080239187018E-3</v>
      </c>
      <c r="AA411" s="36"/>
    </row>
    <row r="412" spans="15:27" ht="13.9" customHeight="1">
      <c r="O412" s="12">
        <f t="shared" si="48"/>
        <v>33.25</v>
      </c>
      <c r="P412" s="13">
        <v>399</v>
      </c>
      <c r="Q412" s="22">
        <v>3.9458373004937819E-2</v>
      </c>
      <c r="R412" s="19">
        <f t="shared" si="49"/>
        <v>3.4864409069272018E-2</v>
      </c>
      <c r="S412" s="22">
        <v>4.0836862007711749E-2</v>
      </c>
      <c r="T412" s="19">
        <f t="shared" si="50"/>
        <v>4.1536305623524283E-2</v>
      </c>
      <c r="U412" s="24">
        <v>4.4532841202449269E-2</v>
      </c>
      <c r="V412" s="24">
        <f t="shared" si="51"/>
        <v>4.2783996849125927E-2</v>
      </c>
      <c r="W412" s="23">
        <f t="shared" si="52"/>
        <v>3.4972308599670043E-3</v>
      </c>
      <c r="X412" s="24">
        <v>4.3769886280469406E-2</v>
      </c>
      <c r="Y412" s="24">
        <f t="shared" si="53"/>
        <v>4.2440166620566933E-2</v>
      </c>
      <c r="Z412" s="23">
        <f t="shared" si="54"/>
        <v>3.4694523828202595E-3</v>
      </c>
      <c r="AA412" s="36"/>
    </row>
    <row r="413" spans="15:27" ht="13.9" customHeight="1">
      <c r="O413" s="12">
        <f t="shared" si="48"/>
        <v>33.333333333333336</v>
      </c>
      <c r="P413" s="13">
        <v>400</v>
      </c>
      <c r="Q413" s="22">
        <v>3.9446862704593855E-2</v>
      </c>
      <c r="R413" s="19">
        <f t="shared" si="49"/>
        <v>3.4859234742411482E-2</v>
      </c>
      <c r="S413" s="22">
        <v>4.0838610030948574E-2</v>
      </c>
      <c r="T413" s="19">
        <f t="shared" si="50"/>
        <v>4.1548614693423414E-2</v>
      </c>
      <c r="U413" s="24">
        <v>4.4528465436563858E-2</v>
      </c>
      <c r="V413" s="24">
        <f t="shared" si="51"/>
        <v>4.2784516360788949E-2</v>
      </c>
      <c r="W413" s="23">
        <f t="shared" si="52"/>
        <v>3.4972726228630346E-3</v>
      </c>
      <c r="X413" s="24">
        <v>4.3766559867310262E-2</v>
      </c>
      <c r="Y413" s="24">
        <f t="shared" si="53"/>
        <v>4.2443179826598509E-2</v>
      </c>
      <c r="Z413" s="23">
        <f t="shared" si="54"/>
        <v>3.4696954151927084E-3</v>
      </c>
      <c r="AA413" s="36"/>
    </row>
    <row r="414" spans="15:27" ht="13.9" customHeight="1">
      <c r="O414" s="12">
        <f t="shared" si="48"/>
        <v>33.416666666666664</v>
      </c>
      <c r="P414" s="13">
        <v>401</v>
      </c>
      <c r="Q414" s="22">
        <v>3.9435396978151793E-2</v>
      </c>
      <c r="R414" s="19">
        <f t="shared" si="49"/>
        <v>3.4854302470356924E-2</v>
      </c>
      <c r="S414" s="22">
        <v>4.0840380014021793E-2</v>
      </c>
      <c r="T414" s="19">
        <f t="shared" si="50"/>
        <v>4.1560818910127972E-2</v>
      </c>
      <c r="U414" s="24">
        <v>4.4524112810843341E-2</v>
      </c>
      <c r="V414" s="24">
        <f t="shared" si="51"/>
        <v>4.2785034613439743E-2</v>
      </c>
      <c r="W414" s="23">
        <f t="shared" si="52"/>
        <v>3.4973142844487715E-3</v>
      </c>
      <c r="X414" s="24">
        <v>4.3763257579018111E-2</v>
      </c>
      <c r="Y414" s="24">
        <f t="shared" si="53"/>
        <v>4.244617668736872E-2</v>
      </c>
      <c r="Z414" s="23">
        <f t="shared" si="54"/>
        <v>3.4699371282609359E-3</v>
      </c>
      <c r="AA414" s="36"/>
    </row>
    <row r="415" spans="15:27" ht="13.9" customHeight="1">
      <c r="O415" s="12">
        <f t="shared" si="48"/>
        <v>33.5</v>
      </c>
      <c r="P415" s="13">
        <v>402</v>
      </c>
      <c r="Q415" s="22">
        <v>3.9423976097173741E-2</v>
      </c>
      <c r="R415" s="19">
        <f t="shared" si="49"/>
        <v>3.4849609860778008E-2</v>
      </c>
      <c r="S415" s="22">
        <v>4.0842171532175175E-2</v>
      </c>
      <c r="T415" s="19">
        <f t="shared" si="50"/>
        <v>4.1572919189506674E-2</v>
      </c>
      <c r="U415" s="24">
        <v>4.4519783149310266E-2</v>
      </c>
      <c r="V415" s="24">
        <f t="shared" si="51"/>
        <v>4.278555161145281E-2</v>
      </c>
      <c r="W415" s="23">
        <f t="shared" si="52"/>
        <v>3.4973558450506204E-3</v>
      </c>
      <c r="X415" s="24">
        <v>4.3759979194674559E-2</v>
      </c>
      <c r="Y415" s="24">
        <f t="shared" si="53"/>
        <v>4.2449157289331962E-2</v>
      </c>
      <c r="Z415" s="23">
        <f t="shared" si="54"/>
        <v>3.4701775295113979E-3</v>
      </c>
      <c r="AA415" s="36"/>
    </row>
    <row r="416" spans="15:27" ht="13.9" customHeight="1">
      <c r="O416" s="12">
        <f t="shared" si="48"/>
        <v>33.583333333333336</v>
      </c>
      <c r="P416" s="13">
        <v>403</v>
      </c>
      <c r="Q416" s="22">
        <v>3.9412600324552072E-2</v>
      </c>
      <c r="R416" s="19">
        <f t="shared" si="49"/>
        <v>3.4845149608863313E-2</v>
      </c>
      <c r="S416" s="22">
        <v>4.0843984167148184E-2</v>
      </c>
      <c r="T416" s="19">
        <f t="shared" si="50"/>
        <v>4.1584916438696551E-2</v>
      </c>
      <c r="U416" s="24">
        <v>4.4515476277746657E-2</v>
      </c>
      <c r="V416" s="24">
        <f t="shared" si="51"/>
        <v>4.2786067357856394E-2</v>
      </c>
      <c r="W416" s="23">
        <f t="shared" si="52"/>
        <v>3.4973973050194118E-3</v>
      </c>
      <c r="X416" s="24">
        <v>4.3756724495771504E-2</v>
      </c>
      <c r="Y416" s="24">
        <f t="shared" si="53"/>
        <v>4.2452121726749059E-2</v>
      </c>
      <c r="Z416" s="23">
        <f t="shared" si="54"/>
        <v>3.4704166258894276E-3</v>
      </c>
      <c r="AA416" s="36"/>
    </row>
    <row r="417" spans="15:27" ht="13.9" customHeight="1">
      <c r="O417" s="12">
        <f t="shared" si="48"/>
        <v>33.666666666666664</v>
      </c>
      <c r="P417" s="13">
        <v>404</v>
      </c>
      <c r="Q417" s="22">
        <v>3.9401269902402669E-2</v>
      </c>
      <c r="R417" s="19">
        <f t="shared" si="49"/>
        <v>3.4840919367923773E-2</v>
      </c>
      <c r="S417" s="22">
        <v>4.0845817507073834E-2</v>
      </c>
      <c r="T417" s="19">
        <f t="shared" si="50"/>
        <v>4.1596811556338542E-2</v>
      </c>
      <c r="U417" s="24">
        <v>4.4511192023668711E-2</v>
      </c>
      <c r="V417" s="24">
        <f t="shared" si="51"/>
        <v>4.2786581856341765E-2</v>
      </c>
      <c r="W417" s="23">
        <f t="shared" si="52"/>
        <v>3.4974386645985067E-3</v>
      </c>
      <c r="X417" s="24">
        <v>4.3753493266199817E-2</v>
      </c>
      <c r="Y417" s="24">
        <f t="shared" si="53"/>
        <v>4.2455070083502022E-2</v>
      </c>
      <c r="Z417" s="23">
        <f t="shared" si="54"/>
        <v>3.4706544249667459E-3</v>
      </c>
      <c r="AA417" s="36"/>
    </row>
    <row r="418" spans="15:27" ht="13.9" customHeight="1">
      <c r="O418" s="12">
        <f t="shared" si="48"/>
        <v>33.75</v>
      </c>
      <c r="P418" s="13">
        <v>405</v>
      </c>
      <c r="Q418" s="22">
        <v>3.9389985064619104E-2</v>
      </c>
      <c r="R418" s="19">
        <f t="shared" si="49"/>
        <v>3.4836918452192611E-2</v>
      </c>
      <c r="S418" s="22">
        <v>4.0847671146378328E-2</v>
      </c>
      <c r="T418" s="19">
        <f t="shared" si="50"/>
        <v>4.1608605433824941E-2</v>
      </c>
      <c r="U418" s="24">
        <v>4.4506930216306362E-2</v>
      </c>
      <c r="V418" s="24">
        <f t="shared" si="51"/>
        <v>4.2787095107107209E-2</v>
      </c>
      <c r="W418" s="23">
        <f t="shared" si="52"/>
        <v>3.4974799240836685E-3</v>
      </c>
      <c r="X418" s="24">
        <v>4.3750285292195157E-2</v>
      </c>
      <c r="Y418" s="24">
        <f t="shared" si="53"/>
        <v>4.2458002453364063E-2</v>
      </c>
      <c r="Z418" s="23">
        <f t="shared" si="54"/>
        <v>3.4708909334821847E-3</v>
      </c>
      <c r="AA418" s="36"/>
    </row>
    <row r="419" spans="15:27" ht="13.9" customHeight="1">
      <c r="O419" s="12">
        <f t="shared" si="48"/>
        <v>33.833333333333336</v>
      </c>
      <c r="P419" s="13">
        <v>406</v>
      </c>
      <c r="Q419" s="22">
        <v>3.9378746041081936E-2</v>
      </c>
      <c r="R419" s="19">
        <f t="shared" si="49"/>
        <v>3.4833146192229547E-2</v>
      </c>
      <c r="S419" s="22">
        <v>4.0849544685685579E-2</v>
      </c>
      <c r="T419" s="19">
        <f t="shared" si="50"/>
        <v>4.1620298952816714E-2</v>
      </c>
      <c r="U419" s="24">
        <v>4.4502690686574198E-2</v>
      </c>
      <c r="V419" s="24">
        <f t="shared" si="51"/>
        <v>4.2787607113146331E-2</v>
      </c>
      <c r="W419" s="23">
        <f t="shared" si="52"/>
        <v>3.4975210834911064E-3</v>
      </c>
      <c r="X419" s="24">
        <v>4.3747100362332425E-2</v>
      </c>
      <c r="Y419" s="24">
        <f t="shared" si="53"/>
        <v>4.2460918919401625E-2</v>
      </c>
      <c r="Z419" s="23">
        <f t="shared" si="54"/>
        <v>3.471126158967941E-3</v>
      </c>
      <c r="AA419" s="36"/>
    </row>
    <row r="420" spans="15:27" ht="13.9" customHeight="1">
      <c r="O420" s="12">
        <f t="shared" si="48"/>
        <v>33.916666666666664</v>
      </c>
      <c r="P420" s="13">
        <v>407</v>
      </c>
      <c r="Q420" s="22">
        <v>3.9367553057748639E-2</v>
      </c>
      <c r="R420" s="19">
        <f t="shared" si="49"/>
        <v>3.4829601934530663E-2</v>
      </c>
      <c r="S420" s="22">
        <v>4.0851437731717288E-2</v>
      </c>
      <c r="T420" s="19">
        <f t="shared" si="50"/>
        <v>4.163189298890968E-2</v>
      </c>
      <c r="U420" s="24">
        <v>4.449847326705747E-2</v>
      </c>
      <c r="V420" s="24">
        <f t="shared" si="51"/>
        <v>4.278811788585446E-2</v>
      </c>
      <c r="W420" s="23">
        <f t="shared" si="52"/>
        <v>3.4975621430608506E-3</v>
      </c>
      <c r="X420" s="24">
        <v>4.3743938267471361E-2</v>
      </c>
      <c r="Y420" s="24">
        <f t="shared" si="53"/>
        <v>4.2463819572330808E-2</v>
      </c>
      <c r="Z420" s="23">
        <f t="shared" si="54"/>
        <v>3.4713601080975653E-3</v>
      </c>
      <c r="AA420" s="36"/>
    </row>
    <row r="421" spans="15:27" ht="13.9" customHeight="1">
      <c r="O421" s="12">
        <f t="shared" si="48"/>
        <v>34</v>
      </c>
      <c r="P421" s="13">
        <v>408</v>
      </c>
      <c r="Q421" s="22">
        <v>3.9356406336740646E-2</v>
      </c>
      <c r="R421" s="19">
        <f t="shared" si="49"/>
        <v>3.4826283431151461E-2</v>
      </c>
      <c r="S421" s="22">
        <v>4.0853349897202573E-2</v>
      </c>
      <c r="T421" s="19">
        <f t="shared" si="50"/>
        <v>4.1643388407850201E-2</v>
      </c>
      <c r="U421" s="24">
        <v>4.4494277792012094E-2</v>
      </c>
      <c r="V421" s="24">
        <f t="shared" si="51"/>
        <v>4.2788627415178748E-2</v>
      </c>
      <c r="W421" s="23">
        <f t="shared" si="52"/>
        <v>3.4976031037072808E-3</v>
      </c>
      <c r="X421" s="24">
        <v>4.3740798800746994E-2</v>
      </c>
      <c r="Y421" s="24">
        <f t="shared" si="53"/>
        <v>4.2466704498264285E-2</v>
      </c>
      <c r="Z421" s="23">
        <f t="shared" si="54"/>
        <v>3.4715927881574515E-3</v>
      </c>
      <c r="AA421" s="36"/>
    </row>
    <row r="422" spans="15:27" ht="13.9" customHeight="1">
      <c r="O422" s="12">
        <f t="shared" si="48"/>
        <v>34.083333333333336</v>
      </c>
      <c r="P422" s="13">
        <v>409</v>
      </c>
      <c r="Q422" s="22">
        <v>3.9345306092474441E-2</v>
      </c>
      <c r="R422" s="19">
        <f t="shared" si="49"/>
        <v>3.4823183622619602E-2</v>
      </c>
      <c r="S422" s="22">
        <v>4.0855280800780935E-2</v>
      </c>
      <c r="T422" s="19">
        <f t="shared" si="50"/>
        <v>4.1654786068877847E-2</v>
      </c>
      <c r="U422" s="24">
        <v>4.4490104097291816E-2</v>
      </c>
      <c r="V422" s="24">
        <f t="shared" si="51"/>
        <v>4.2789135712829385E-2</v>
      </c>
      <c r="W422" s="23">
        <f t="shared" si="52"/>
        <v>3.497643964623931E-3</v>
      </c>
      <c r="X422" s="24">
        <v>4.3737681757530122E-2</v>
      </c>
      <c r="Y422" s="24">
        <f t="shared" si="53"/>
        <v>4.2469573784658543E-2</v>
      </c>
      <c r="Z422" s="23">
        <f t="shared" si="54"/>
        <v>3.4718242060649551E-3</v>
      </c>
      <c r="AA422" s="36"/>
    </row>
    <row r="423" spans="15:27" ht="13.9" customHeight="1">
      <c r="O423" s="12">
        <f t="shared" si="48"/>
        <v>34.166666666666664</v>
      </c>
      <c r="P423" s="13">
        <v>410</v>
      </c>
      <c r="Q423" s="22">
        <v>3.9334252519969359E-2</v>
      </c>
      <c r="R423" s="19">
        <f t="shared" si="49"/>
        <v>3.4820300302900176E-2</v>
      </c>
      <c r="S423" s="22">
        <v>4.0857230066913219E-2</v>
      </c>
      <c r="T423" s="19">
        <f t="shared" si="50"/>
        <v>4.1666086822460091E-2</v>
      </c>
      <c r="U423" s="24">
        <v>4.4485952020381747E-2</v>
      </c>
      <c r="V423" s="24">
        <f t="shared" si="51"/>
        <v>4.2789642781353665E-2</v>
      </c>
      <c r="W423" s="23">
        <f t="shared" si="52"/>
        <v>3.497684726750272E-3</v>
      </c>
      <c r="X423" s="24">
        <v>4.373458693540444E-2</v>
      </c>
      <c r="Y423" s="24">
        <f t="shared" si="53"/>
        <v>4.2472427514759881E-2</v>
      </c>
      <c r="Z423" s="23">
        <f t="shared" si="54"/>
        <v>3.4720543688451233E-3</v>
      </c>
      <c r="AA423" s="36"/>
    </row>
    <row r="424" spans="15:27" ht="13.9" customHeight="1">
      <c r="O424" s="12">
        <f t="shared" si="48"/>
        <v>34.25</v>
      </c>
      <c r="P424" s="13">
        <v>411</v>
      </c>
      <c r="Q424" s="22">
        <v>3.9323245806944351E-2</v>
      </c>
      <c r="R424" s="19">
        <f t="shared" si="49"/>
        <v>3.4817632894598161E-2</v>
      </c>
      <c r="S424" s="22">
        <v>4.0859197325790353E-2</v>
      </c>
      <c r="T424" s="19">
        <f t="shared" si="50"/>
        <v>4.1677291512449921E-2</v>
      </c>
      <c r="U424" s="24">
        <v>4.4481821400356392E-2</v>
      </c>
      <c r="V424" s="24">
        <f t="shared" si="51"/>
        <v>4.2790148620115431E-2</v>
      </c>
      <c r="W424" s="23">
        <f t="shared" si="52"/>
        <v>3.4977253902905847E-3</v>
      </c>
      <c r="X424" s="24">
        <v>4.3731514134127902E-2</v>
      </c>
      <c r="Y424" s="24">
        <f t="shared" si="53"/>
        <v>4.2475265777508264E-2</v>
      </c>
      <c r="Z424" s="23">
        <f t="shared" si="54"/>
        <v>3.4722832831852735E-3</v>
      </c>
      <c r="AA424" s="36"/>
    </row>
    <row r="425" spans="15:27" ht="13.9" customHeight="1">
      <c r="O425" s="12">
        <f t="shared" si="48"/>
        <v>34.333333333333336</v>
      </c>
      <c r="P425" s="13">
        <v>412</v>
      </c>
      <c r="Q425" s="22">
        <v>3.9312286137876074E-2</v>
      </c>
      <c r="R425" s="19">
        <f t="shared" si="49"/>
        <v>3.4815180832911352E-2</v>
      </c>
      <c r="S425" s="22">
        <v>4.0861182213246749E-2</v>
      </c>
      <c r="T425" s="19">
        <f t="shared" si="50"/>
        <v>4.1688400973366013E-2</v>
      </c>
      <c r="U425" s="24">
        <v>4.4477712077852338E-2</v>
      </c>
      <c r="V425" s="24">
        <f t="shared" si="51"/>
        <v>4.2790653236038478E-2</v>
      </c>
      <c r="W425" s="23">
        <f t="shared" si="52"/>
        <v>3.497765955194021E-3</v>
      </c>
      <c r="X425" s="24">
        <v>4.3728463155621178E-2</v>
      </c>
      <c r="Y425" s="24">
        <f t="shared" si="53"/>
        <v>4.2478088656801027E-2</v>
      </c>
      <c r="Z425" s="23">
        <f t="shared" si="54"/>
        <v>3.4725109562288026E-3</v>
      </c>
      <c r="AA425" s="36"/>
    </row>
    <row r="426" spans="15:27" ht="13.9" customHeight="1">
      <c r="O426" s="12">
        <f t="shared" si="48"/>
        <v>34.416666666666664</v>
      </c>
      <c r="P426" s="13">
        <v>413</v>
      </c>
      <c r="Q426" s="22">
        <v>3.9301373694069941E-2</v>
      </c>
      <c r="R426" s="19">
        <f t="shared" si="49"/>
        <v>3.4812943570771138E-2</v>
      </c>
      <c r="S426" s="22">
        <v>4.0863184370669714E-2</v>
      </c>
      <c r="T426" s="19">
        <f t="shared" si="50"/>
        <v>4.1699416034149506E-2</v>
      </c>
      <c r="U426" s="24">
        <v>4.4473623895067815E-2</v>
      </c>
      <c r="V426" s="24">
        <f t="shared" si="51"/>
        <v>4.2791156628036786E-2</v>
      </c>
      <c r="W426" s="23">
        <f t="shared" si="52"/>
        <v>3.4978064220159144E-3</v>
      </c>
      <c r="X426" s="24">
        <v>4.3725433803929015E-2</v>
      </c>
      <c r="Y426" s="24">
        <f t="shared" si="53"/>
        <v>4.248089623637763E-2</v>
      </c>
      <c r="Z426" s="23">
        <f t="shared" si="54"/>
        <v>3.4727373947154305E-3</v>
      </c>
      <c r="AA426" s="36"/>
    </row>
    <row r="427" spans="15:27" ht="13.9" customHeight="1">
      <c r="O427" s="12">
        <f t="shared" si="48"/>
        <v>34.5</v>
      </c>
      <c r="P427" s="13">
        <v>414</v>
      </c>
      <c r="Q427" s="22">
        <v>3.9290508653740064E-2</v>
      </c>
      <c r="R427" s="19">
        <f t="shared" si="49"/>
        <v>3.4810918996786233E-2</v>
      </c>
      <c r="S427" s="22">
        <v>4.0865203444918174E-2</v>
      </c>
      <c r="T427" s="19">
        <f t="shared" si="50"/>
        <v>4.1710337514142326E-2</v>
      </c>
      <c r="U427" s="24">
        <v>4.4469556695724277E-2</v>
      </c>
      <c r="V427" s="24">
        <f t="shared" si="51"/>
        <v>4.2791658803340793E-2</v>
      </c>
      <c r="W427" s="23">
        <f t="shared" si="52"/>
        <v>3.4978467906694455E-3</v>
      </c>
      <c r="X427" s="24">
        <v>4.3722425885193594E-2</v>
      </c>
      <c r="Y427" s="24">
        <f t="shared" si="53"/>
        <v>4.2483688600722491E-2</v>
      </c>
      <c r="Z427" s="23">
        <f t="shared" si="54"/>
        <v>3.4729626053708884E-3</v>
      </c>
      <c r="AA427" s="36"/>
    </row>
    <row r="428" spans="15:27" ht="13.9" customHeight="1">
      <c r="O428" s="12">
        <f t="shared" si="48"/>
        <v>34.583333333333336</v>
      </c>
      <c r="P428" s="13">
        <v>415</v>
      </c>
      <c r="Q428" s="22">
        <v>3.9279691188261356E-2</v>
      </c>
      <c r="R428" s="19">
        <f t="shared" si="49"/>
        <v>3.4809100290031036E-2</v>
      </c>
      <c r="S428" s="22">
        <v>4.0867239088234308E-2</v>
      </c>
      <c r="T428" s="19">
        <f t="shared" si="50"/>
        <v>4.1721166227191908E-2</v>
      </c>
      <c r="U428" s="24">
        <v>4.4465510325068625E-2</v>
      </c>
      <c r="V428" s="24">
        <f t="shared" si="51"/>
        <v>4.2792159761301685E-2</v>
      </c>
      <c r="W428" s="23">
        <f t="shared" si="52"/>
        <v>3.4978870617343727E-3</v>
      </c>
      <c r="X428" s="24">
        <v>4.3719439207631883E-2</v>
      </c>
      <c r="Y428" s="24">
        <f t="shared" si="53"/>
        <v>4.2486465834577603E-2</v>
      </c>
      <c r="Z428" s="23">
        <f t="shared" si="54"/>
        <v>3.4731865949817475E-3</v>
      </c>
      <c r="AA428" s="36"/>
    </row>
    <row r="429" spans="15:27" ht="13.9" customHeight="1">
      <c r="O429" s="12">
        <f t="shared" si="48"/>
        <v>34.666666666666664</v>
      </c>
      <c r="P429" s="13">
        <v>416</v>
      </c>
      <c r="Q429" s="22">
        <v>3.92689214508819E-2</v>
      </c>
      <c r="R429" s="19">
        <f t="shared" si="49"/>
        <v>3.4807485382116976E-2</v>
      </c>
      <c r="S429" s="22">
        <v>4.0869290958164495E-2</v>
      </c>
      <c r="T429" s="19">
        <f t="shared" si="50"/>
        <v>4.1731902978597191E-2</v>
      </c>
      <c r="U429" s="24">
        <v>4.4461484629835013E-2</v>
      </c>
      <c r="V429" s="24">
        <f t="shared" si="51"/>
        <v>4.279265950762956E-2</v>
      </c>
      <c r="W429" s="23">
        <f t="shared" si="52"/>
        <v>3.4979272351589596E-3</v>
      </c>
      <c r="X429" s="24">
        <v>4.3716473581510762E-2</v>
      </c>
      <c r="Y429" s="24">
        <f t="shared" si="53"/>
        <v>4.2489228019858327E-2</v>
      </c>
      <c r="Z429" s="23">
        <f t="shared" si="54"/>
        <v>3.4734093703541191E-3</v>
      </c>
      <c r="AA429" s="36"/>
    </row>
    <row r="430" spans="15:27" ht="13.9" customHeight="1">
      <c r="O430" s="12">
        <f t="shared" si="48"/>
        <v>34.75</v>
      </c>
      <c r="P430" s="13">
        <v>417</v>
      </c>
      <c r="Q430" s="22">
        <v>3.9258199588386722E-2</v>
      </c>
      <c r="R430" s="19">
        <f t="shared" si="49"/>
        <v>3.4806073795860204E-2</v>
      </c>
      <c r="S430" s="22">
        <v>4.0871358717476047E-2</v>
      </c>
      <c r="T430" s="19">
        <f t="shared" si="50"/>
        <v>4.1742548566995774E-2</v>
      </c>
      <c r="U430" s="24">
        <v>4.4457479458243077E-2</v>
      </c>
      <c r="V430" s="24">
        <f t="shared" si="51"/>
        <v>4.2793158044458268E-2</v>
      </c>
      <c r="W430" s="23">
        <f t="shared" si="52"/>
        <v>3.4979673114012844E-3</v>
      </c>
      <c r="X430" s="24">
        <v>4.3713528819115499E-2</v>
      </c>
      <c r="Y430" s="24">
        <f t="shared" si="53"/>
        <v>4.2491975240225521E-2</v>
      </c>
      <c r="Z430" s="23">
        <f t="shared" si="54"/>
        <v>3.4736309380678509E-3</v>
      </c>
      <c r="AA430" s="36"/>
    </row>
    <row r="431" spans="15:27" ht="13.9" customHeight="1">
      <c r="O431" s="12">
        <f t="shared" si="48"/>
        <v>34.833333333333336</v>
      </c>
      <c r="P431" s="13">
        <v>418</v>
      </c>
      <c r="Q431" s="22">
        <v>3.9247525744998457E-2</v>
      </c>
      <c r="R431" s="19">
        <f t="shared" si="49"/>
        <v>3.4804865069039126E-2</v>
      </c>
      <c r="S431" s="22">
        <v>4.0873442034077723E-2</v>
      </c>
      <c r="T431" s="19">
        <f t="shared" si="50"/>
        <v>4.1753103782965928E-2</v>
      </c>
      <c r="U431" s="24">
        <v>4.4453494659971282E-2</v>
      </c>
      <c r="V431" s="24">
        <f t="shared" si="51"/>
        <v>4.2793655372634465E-2</v>
      </c>
      <c r="W431" s="23">
        <f t="shared" si="52"/>
        <v>3.4980072906323212E-3</v>
      </c>
      <c r="X431" s="24">
        <v>4.3710604734730207E-2</v>
      </c>
      <c r="Y431" s="24">
        <f t="shared" si="53"/>
        <v>4.2494707576710589E-2</v>
      </c>
      <c r="Z431" s="23">
        <f t="shared" si="54"/>
        <v>3.4738513048426789E-3</v>
      </c>
      <c r="AA431" s="36"/>
    </row>
    <row r="432" spans="15:27" ht="13.9" customHeight="1">
      <c r="O432" s="12">
        <f t="shared" si="48"/>
        <v>34.916666666666664</v>
      </c>
      <c r="P432" s="13">
        <v>419</v>
      </c>
      <c r="Q432" s="22">
        <v>3.9236900062443514E-2</v>
      </c>
      <c r="R432" s="19">
        <f t="shared" si="49"/>
        <v>3.4803858753088335E-2</v>
      </c>
      <c r="S432" s="22">
        <v>4.0875540580939784E-2</v>
      </c>
      <c r="T432" s="19">
        <f t="shared" si="50"/>
        <v>4.1763569410354862E-2</v>
      </c>
      <c r="U432" s="24">
        <v>4.4449530086136058E-2</v>
      </c>
      <c r="V432" s="24">
        <f t="shared" si="51"/>
        <v>4.2794151498303012E-2</v>
      </c>
      <c r="W432" s="23">
        <f t="shared" si="52"/>
        <v>3.4980471729202378E-3</v>
      </c>
      <c r="X432" s="24">
        <v>4.3707701144607647E-2</v>
      </c>
      <c r="Y432" s="24">
        <f t="shared" si="53"/>
        <v>4.2497425111838183E-2</v>
      </c>
      <c r="Z432" s="23">
        <f t="shared" si="54"/>
        <v>3.4740704771869524E-3</v>
      </c>
      <c r="AA432" s="36"/>
    </row>
    <row r="433" spans="15:27" ht="13.9" customHeight="1">
      <c r="O433" s="12">
        <f t="shared" si="48"/>
        <v>35</v>
      </c>
      <c r="P433" s="13">
        <v>420</v>
      </c>
      <c r="Q433" s="22">
        <v>3.9226322680014247E-2</v>
      </c>
      <c r="R433" s="19">
        <f t="shared" si="49"/>
        <v>3.4803052871852369E-2</v>
      </c>
      <c r="S433" s="22">
        <v>4.0877654036017175E-2</v>
      </c>
      <c r="T433" s="19">
        <f t="shared" si="50"/>
        <v>4.1773946227132042E-2</v>
      </c>
      <c r="U433" s="24">
        <v>4.4445585589288017E-2</v>
      </c>
      <c r="V433" s="24">
        <f t="shared" si="51"/>
        <v>4.2794646423938376E-2</v>
      </c>
      <c r="W433" s="23">
        <f t="shared" si="52"/>
        <v>3.4980869587581953E-3</v>
      </c>
      <c r="X433" s="24">
        <v>4.3704817866948575E-2</v>
      </c>
      <c r="Y433" s="24">
        <f t="shared" si="53"/>
        <v>4.2500127928208453E-2</v>
      </c>
      <c r="Z433" s="23">
        <f t="shared" si="54"/>
        <v>3.474288461729147E-3</v>
      </c>
      <c r="AA433" s="36"/>
    </row>
    <row r="434" spans="15:27" ht="13.9" customHeight="1">
      <c r="O434" s="12">
        <f t="shared" si="48"/>
        <v>35.083333333333336</v>
      </c>
      <c r="P434" s="13">
        <v>421</v>
      </c>
      <c r="Q434" s="22">
        <v>3.9215793730954518E-2</v>
      </c>
      <c r="R434" s="19">
        <f t="shared" si="49"/>
        <v>3.4802440834514226E-2</v>
      </c>
      <c r="S434" s="22">
        <v>4.0879782082176241E-2</v>
      </c>
      <c r="T434" s="19">
        <f t="shared" si="50"/>
        <v>4.1784235001819603E-2</v>
      </c>
      <c r="U434" s="24">
        <v>4.4441661023385537E-2</v>
      </c>
      <c r="V434" s="24">
        <f t="shared" si="51"/>
        <v>4.2795140151140165E-2</v>
      </c>
      <c r="W434" s="23">
        <f t="shared" si="52"/>
        <v>3.4981266483442575E-3</v>
      </c>
      <c r="X434" s="24">
        <v>4.3701954721879988E-2</v>
      </c>
      <c r="Y434" s="24">
        <f t="shared" si="53"/>
        <v>4.2502816103623164E-2</v>
      </c>
      <c r="Z434" s="23">
        <f t="shared" si="54"/>
        <v>3.4745052651032893E-3</v>
      </c>
      <c r="AA434" s="36"/>
    </row>
    <row r="435" spans="15:27" ht="13.9" customHeight="1">
      <c r="O435" s="12">
        <f t="shared" si="48"/>
        <v>35.166666666666664</v>
      </c>
      <c r="P435" s="13">
        <v>422</v>
      </c>
      <c r="Q435" s="22">
        <v>3.9205313331548419E-2</v>
      </c>
      <c r="R435" s="19">
        <f t="shared" si="49"/>
        <v>3.4802020701695691E-2</v>
      </c>
      <c r="S435" s="22">
        <v>4.0881924407114134E-2</v>
      </c>
      <c r="T435" s="19">
        <f t="shared" si="50"/>
        <v>4.1794436497933907E-2</v>
      </c>
      <c r="U435" s="24">
        <v>4.4437756243776549E-2</v>
      </c>
      <c r="V435" s="24">
        <f t="shared" si="51"/>
        <v>4.2795632681922546E-2</v>
      </c>
      <c r="W435" s="23">
        <f t="shared" si="52"/>
        <v>3.4981662418072101E-3</v>
      </c>
      <c r="X435" s="24">
        <v>4.369911153141981E-2</v>
      </c>
      <c r="Y435" s="24">
        <f t="shared" si="53"/>
        <v>4.2505489721441858E-2</v>
      </c>
      <c r="Z435" s="23">
        <f t="shared" si="54"/>
        <v>3.4747208935586027E-3</v>
      </c>
      <c r="AA435" s="36"/>
    </row>
    <row r="436" spans="15:27" ht="13.9" customHeight="1">
      <c r="O436" s="12">
        <f t="shared" si="48"/>
        <v>35.25</v>
      </c>
      <c r="P436" s="13">
        <v>423</v>
      </c>
      <c r="Q436" s="22">
        <v>3.9194881592365949E-2</v>
      </c>
      <c r="R436" s="19">
        <f t="shared" si="49"/>
        <v>3.4801792095897177E-2</v>
      </c>
      <c r="S436" s="22">
        <v>4.0884080703289749E-2</v>
      </c>
      <c r="T436" s="19">
        <f t="shared" si="50"/>
        <v>4.1804551471722906E-2</v>
      </c>
      <c r="U436" s="24">
        <v>4.4433871107182554E-2</v>
      </c>
      <c r="V436" s="24">
        <f t="shared" si="51"/>
        <v>4.2796124021208248E-2</v>
      </c>
      <c r="W436" s="23">
        <f t="shared" si="52"/>
        <v>3.4982057393087018E-3</v>
      </c>
      <c r="X436" s="24">
        <v>4.3696288119468241E-2</v>
      </c>
      <c r="Y436" s="24">
        <f t="shared" si="53"/>
        <v>4.2508148859548678E-2</v>
      </c>
      <c r="Z436" s="23">
        <f t="shared" si="54"/>
        <v>3.4749353537897321E-3</v>
      </c>
      <c r="AA436" s="36"/>
    </row>
    <row r="437" spans="15:27" ht="13.9" customHeight="1">
      <c r="O437" s="12">
        <f t="shared" si="48"/>
        <v>35.333333333333336</v>
      </c>
      <c r="P437" s="13">
        <v>424</v>
      </c>
      <c r="Q437" s="22">
        <v>3.9184498622028219E-2</v>
      </c>
      <c r="R437" s="19">
        <f t="shared" si="49"/>
        <v>3.4801754649989691E-2</v>
      </c>
      <c r="S437" s="22">
        <v>4.0886250667850232E-2</v>
      </c>
      <c r="T437" s="19">
        <f t="shared" si="50"/>
        <v>4.1814580672271395E-2</v>
      </c>
      <c r="U437" s="24">
        <v>4.4430005471689515E-2</v>
      </c>
      <c r="V437" s="24">
        <f t="shared" si="51"/>
        <v>4.2796614173240544E-2</v>
      </c>
      <c r="W437" s="23">
        <f t="shared" si="52"/>
        <v>3.4982451412433058E-3</v>
      </c>
      <c r="X437" s="24">
        <v>4.3693484311772446E-2</v>
      </c>
      <c r="Y437" s="24">
        <f t="shared" si="53"/>
        <v>4.2510793598976804E-2</v>
      </c>
      <c r="Z437" s="23">
        <f t="shared" si="54"/>
        <v>3.4751486520527841E-3</v>
      </c>
      <c r="AA437" s="36"/>
    </row>
    <row r="438" spans="15:27" ht="13.9" customHeight="1">
      <c r="O438" s="12">
        <f t="shared" si="48"/>
        <v>35.416666666666664</v>
      </c>
      <c r="P438" s="13">
        <v>425</v>
      </c>
      <c r="Q438" s="22">
        <v>3.9174164527255861E-2</v>
      </c>
      <c r="R438" s="19">
        <f t="shared" si="49"/>
        <v>3.4801908013768701E-2</v>
      </c>
      <c r="S438" s="22">
        <v>4.0888434002558594E-2</v>
      </c>
      <c r="T438" s="19">
        <f t="shared" si="50"/>
        <v>4.1824524841944877E-2</v>
      </c>
      <c r="U438" s="24">
        <v>4.4426159196730319E-2</v>
      </c>
      <c r="V438" s="24">
        <f t="shared" si="51"/>
        <v>4.2797103136173575E-2</v>
      </c>
      <c r="W438" s="23">
        <f t="shared" si="52"/>
        <v>3.4982844479518604E-3</v>
      </c>
      <c r="X438" s="24">
        <v>4.3690699935912125E-2</v>
      </c>
      <c r="Y438" s="24">
        <f t="shared" si="53"/>
        <v>4.2513424018019608E-2</v>
      </c>
      <c r="Z438" s="23">
        <f t="shared" si="54"/>
        <v>3.4753607948552201E-3</v>
      </c>
      <c r="AA438" s="36"/>
    </row>
    <row r="439" spans="15:27" ht="13.9" customHeight="1">
      <c r="O439" s="12">
        <f t="shared" si="48"/>
        <v>35.5</v>
      </c>
      <c r="P439" s="13">
        <v>426</v>
      </c>
      <c r="Q439" s="22">
        <v>3.916387941293098E-2</v>
      </c>
      <c r="R439" s="19">
        <f t="shared" si="49"/>
        <v>3.4802250335802976E-2</v>
      </c>
      <c r="S439" s="22">
        <v>4.0890630413724205E-2</v>
      </c>
      <c r="T439" s="19">
        <f t="shared" si="50"/>
        <v>4.1834384715988771E-2</v>
      </c>
      <c r="U439" s="24">
        <v>4.4422332143054355E-2</v>
      </c>
      <c r="V439" s="24">
        <f t="shared" si="51"/>
        <v>4.279759091743518E-2</v>
      </c>
      <c r="W439" s="23">
        <f t="shared" si="52"/>
        <v>3.4983236592860401E-3</v>
      </c>
      <c r="X439" s="24">
        <v>4.3687934821271757E-2</v>
      </c>
      <c r="Y439" s="24">
        <f t="shared" si="53"/>
        <v>4.2516040195042626E-2</v>
      </c>
      <c r="Z439" s="23">
        <f t="shared" si="54"/>
        <v>3.4755717884857873E-3</v>
      </c>
      <c r="AA439" s="36"/>
    </row>
    <row r="440" spans="15:27" ht="13.9" customHeight="1">
      <c r="O440" s="12">
        <f t="shared" si="48"/>
        <v>35.583333333333336</v>
      </c>
      <c r="P440" s="13">
        <v>427</v>
      </c>
      <c r="Q440" s="22">
        <v>3.915364337858751E-2</v>
      </c>
      <c r="R440" s="19">
        <f t="shared" si="49"/>
        <v>3.480277524927855E-2</v>
      </c>
      <c r="S440" s="22">
        <v>4.0892839612132637E-2</v>
      </c>
      <c r="T440" s="19">
        <f t="shared" si="50"/>
        <v>4.1844161024864324E-2</v>
      </c>
      <c r="U440" s="24">
        <v>4.4418524172734175E-2</v>
      </c>
      <c r="V440" s="24">
        <f t="shared" si="51"/>
        <v>4.2798077520236566E-2</v>
      </c>
      <c r="W440" s="23">
        <f t="shared" si="52"/>
        <v>3.4983627758418123E-3</v>
      </c>
      <c r="X440" s="24">
        <v>4.3685188799019503E-2</v>
      </c>
      <c r="Y440" s="24">
        <f t="shared" si="53"/>
        <v>4.2518642208652091E-2</v>
      </c>
      <c r="Z440" s="23">
        <f t="shared" si="54"/>
        <v>3.475781639237896E-3</v>
      </c>
      <c r="AA440" s="36"/>
    </row>
    <row r="441" spans="15:27" ht="13.9" customHeight="1">
      <c r="O441" s="12">
        <f t="shared" si="48"/>
        <v>35.666666666666664</v>
      </c>
      <c r="P441" s="13">
        <v>428</v>
      </c>
      <c r="Q441" s="22">
        <v>3.9143456507880536E-2</v>
      </c>
      <c r="R441" s="19">
        <f t="shared" si="49"/>
        <v>3.4803480943000675E-2</v>
      </c>
      <c r="S441" s="22">
        <v>4.0895061312981484E-2</v>
      </c>
      <c r="T441" s="19">
        <f t="shared" si="50"/>
        <v>4.1853854490438103E-2</v>
      </c>
      <c r="U441" s="24">
        <v>4.4414735149139739E-2</v>
      </c>
      <c r="V441" s="24">
        <f t="shared" si="51"/>
        <v>4.2798562942051532E-2</v>
      </c>
      <c r="W441" s="23">
        <f t="shared" si="52"/>
        <v>3.498401797876971E-3</v>
      </c>
      <c r="X441" s="24">
        <v>4.3682461702086783E-2</v>
      </c>
      <c r="Y441" s="24">
        <f t="shared" si="53"/>
        <v>4.2521230136625787E-2</v>
      </c>
      <c r="Z441" s="23">
        <f t="shared" si="54"/>
        <v>3.4759903534249403E-3</v>
      </c>
      <c r="AA441" s="36"/>
    </row>
    <row r="442" spans="15:27" ht="13.9" customHeight="1">
      <c r="O442" s="12">
        <f t="shared" si="48"/>
        <v>35.75</v>
      </c>
      <c r="P442" s="13">
        <v>429</v>
      </c>
      <c r="Q442" s="22">
        <v>3.9133318879434498E-2</v>
      </c>
      <c r="R442" s="19">
        <f t="shared" si="49"/>
        <v>3.4804367129397162E-2</v>
      </c>
      <c r="S442" s="22">
        <v>4.0897295235809539E-2</v>
      </c>
      <c r="T442" s="19">
        <f t="shared" si="50"/>
        <v>4.1863465828797519E-2</v>
      </c>
      <c r="U442" s="24">
        <v>4.4410964936910435E-2</v>
      </c>
      <c r="V442" s="24">
        <f t="shared" si="51"/>
        <v>4.2799047189612471E-2</v>
      </c>
      <c r="W442" s="23">
        <f t="shared" si="52"/>
        <v>3.4984407251887895E-3</v>
      </c>
      <c r="X442" s="24">
        <v>4.3679753365146068E-2</v>
      </c>
      <c r="Y442" s="24">
        <f t="shared" si="53"/>
        <v>4.2523804055964343E-2</v>
      </c>
      <c r="Z442" s="23">
        <f t="shared" si="54"/>
        <v>3.4761979372934793E-3</v>
      </c>
      <c r="AA442" s="36"/>
    </row>
    <row r="443" spans="15:27" ht="13.9" customHeight="1">
      <c r="O443" s="12">
        <f t="shared" si="48"/>
        <v>35.833333333333336</v>
      </c>
      <c r="P443" s="13">
        <v>430</v>
      </c>
      <c r="Q443" s="22">
        <v>3.9123230570460743E-2</v>
      </c>
      <c r="R443" s="19">
        <f t="shared" si="49"/>
        <v>3.4805433535966879E-2</v>
      </c>
      <c r="S443" s="22">
        <v>4.0899541104432391E-2</v>
      </c>
      <c r="T443" s="19">
        <f t="shared" si="50"/>
        <v>4.1872995749778319E-2</v>
      </c>
      <c r="U443" s="24">
        <v>4.4407213401961299E-2</v>
      </c>
      <c r="V443" s="24">
        <f t="shared" si="51"/>
        <v>4.2799530267875197E-2</v>
      </c>
      <c r="W443" s="23">
        <f t="shared" si="52"/>
        <v>3.4984795583175021E-3</v>
      </c>
      <c r="X443" s="24">
        <v>4.3677063624588452E-2</v>
      </c>
      <c r="Y443" s="24">
        <f t="shared" si="53"/>
        <v>4.2526364043281362E-2</v>
      </c>
      <c r="Z443" s="23">
        <f t="shared" si="54"/>
        <v>3.4764043970272329E-3</v>
      </c>
      <c r="AA443" s="36"/>
    </row>
    <row r="444" spans="15:27" ht="13.9" customHeight="1">
      <c r="O444" s="12">
        <f t="shared" si="48"/>
        <v>35.916666666666664</v>
      </c>
      <c r="P444" s="13">
        <v>431</v>
      </c>
      <c r="Q444" s="22">
        <v>3.9113191656808821E-2</v>
      </c>
      <c r="R444" s="19">
        <f t="shared" si="49"/>
        <v>3.4806679901637105E-2</v>
      </c>
      <c r="S444" s="22">
        <v>4.0901798646878262E-2</v>
      </c>
      <c r="T444" s="19">
        <f t="shared" si="50"/>
        <v>4.1882444956647502E-2</v>
      </c>
      <c r="U444" s="24">
        <v>4.4403480411464358E-2</v>
      </c>
      <c r="V444" s="24">
        <f t="shared" si="51"/>
        <v>4.2800012174015967E-2</v>
      </c>
      <c r="W444" s="23">
        <f t="shared" si="52"/>
        <v>3.4985182976603468E-3</v>
      </c>
      <c r="X444" s="24">
        <v>4.3674392318503008E-2</v>
      </c>
      <c r="Y444" s="24">
        <f t="shared" si="53"/>
        <v>4.2528910175631873E-2</v>
      </c>
      <c r="Z444" s="23">
        <f t="shared" si="54"/>
        <v>3.4766097387797235E-3</v>
      </c>
      <c r="AA444" s="36"/>
    </row>
    <row r="445" spans="15:27" ht="13.9" customHeight="1">
      <c r="O445" s="12">
        <f t="shared" si="48"/>
        <v>36</v>
      </c>
      <c r="P445" s="13">
        <v>432</v>
      </c>
      <c r="Q445" s="22">
        <v>3.9103202213008448E-2</v>
      </c>
      <c r="R445" s="19">
        <f t="shared" si="49"/>
        <v>3.4808104499780335E-2</v>
      </c>
      <c r="S445" s="22">
        <v>4.0904067595324056E-2</v>
      </c>
      <c r="T445" s="19">
        <f t="shared" si="50"/>
        <v>4.1891814147061002E-2</v>
      </c>
      <c r="U445" s="24">
        <v>4.4399765833815996E-2</v>
      </c>
      <c r="V445" s="24">
        <f t="shared" si="51"/>
        <v>4.280049291588206E-2</v>
      </c>
      <c r="W445" s="23">
        <f t="shared" si="52"/>
        <v>3.4985569429912822E-3</v>
      </c>
      <c r="X445" s="24">
        <v>4.3671739286658129E-2</v>
      </c>
      <c r="Y445" s="24">
        <f t="shared" si="53"/>
        <v>4.2531442528879193E-2</v>
      </c>
      <c r="Z445" s="23">
        <f t="shared" si="54"/>
        <v>3.4768139687386679E-3</v>
      </c>
      <c r="AA445" s="36"/>
    </row>
    <row r="446" spans="15:27" ht="13.9" customHeight="1">
      <c r="O446" s="12">
        <f t="shared" si="48"/>
        <v>36.083333333333336</v>
      </c>
      <c r="P446" s="13">
        <v>433</v>
      </c>
      <c r="Q446" s="22">
        <v>3.909326230888599E-2</v>
      </c>
      <c r="R446" s="19">
        <f t="shared" si="49"/>
        <v>3.4809701179739916E-2</v>
      </c>
      <c r="S446" s="22">
        <v>4.0906347686034072E-2</v>
      </c>
      <c r="T446" s="19">
        <f t="shared" si="50"/>
        <v>4.1901104010955148E-2</v>
      </c>
      <c r="U446" s="24">
        <v>4.4396069538647609E-2</v>
      </c>
      <c r="V446" s="24">
        <f t="shared" si="51"/>
        <v>4.2800972496354506E-2</v>
      </c>
      <c r="W446" s="23">
        <f t="shared" si="52"/>
        <v>3.4985954949398046E-3</v>
      </c>
      <c r="X446" s="24">
        <v>4.3669104370479328E-2</v>
      </c>
      <c r="Y446" s="24">
        <f t="shared" si="53"/>
        <v>4.2533961177823043E-2</v>
      </c>
      <c r="Z446" s="23">
        <f t="shared" si="54"/>
        <v>3.4770170929969701E-3</v>
      </c>
      <c r="AA446" s="36"/>
    </row>
    <row r="447" spans="15:27" ht="13.9" customHeight="1">
      <c r="O447" s="12">
        <f t="shared" si="48"/>
        <v>36.166666666666664</v>
      </c>
      <c r="P447" s="13">
        <v>434</v>
      </c>
      <c r="Q447" s="22">
        <v>3.9083371999383498E-2</v>
      </c>
      <c r="R447" s="19">
        <f t="shared" si="49"/>
        <v>3.481146824888226E-2</v>
      </c>
      <c r="S447" s="22">
        <v>4.0908638659295615E-2</v>
      </c>
      <c r="T447" s="19">
        <f t="shared" si="50"/>
        <v>4.191031523339328E-2</v>
      </c>
      <c r="U447" s="24">
        <v>4.4392391396799846E-2</v>
      </c>
      <c r="V447" s="24">
        <f t="shared" si="51"/>
        <v>4.2801450914154993E-2</v>
      </c>
      <c r="W447" s="23">
        <f t="shared" si="52"/>
        <v>3.4986339537366185E-3</v>
      </c>
      <c r="X447" s="24">
        <v>4.3666487413027699E-2</v>
      </c>
      <c r="Y447" s="24">
        <f t="shared" si="53"/>
        <v>4.2536466199270206E-2</v>
      </c>
      <c r="Z447" s="23">
        <f t="shared" si="54"/>
        <v>3.477219117561603E-3</v>
      </c>
      <c r="AA447" s="36"/>
    </row>
    <row r="448" spans="15:27" ht="13.9" customHeight="1">
      <c r="O448" s="12">
        <f t="shared" si="48"/>
        <v>36.25</v>
      </c>
      <c r="P448" s="13">
        <v>435</v>
      </c>
      <c r="Q448" s="22">
        <v>3.9073531335020562E-2</v>
      </c>
      <c r="R448" s="19">
        <f t="shared" si="49"/>
        <v>3.4813405510570661E-2</v>
      </c>
      <c r="S448" s="22">
        <v>4.0910940259360817E-2</v>
      </c>
      <c r="T448" s="19">
        <f t="shared" si="50"/>
        <v>4.1919448492635958E-2</v>
      </c>
      <c r="U448" s="24">
        <v>4.4388731280298854E-2</v>
      </c>
      <c r="V448" s="24">
        <f t="shared" si="51"/>
        <v>4.2801928175760784E-2</v>
      </c>
      <c r="W448" s="23">
        <f t="shared" si="52"/>
        <v>3.4986723192798053E-3</v>
      </c>
      <c r="X448" s="24">
        <v>4.3663888258985484E-2</v>
      </c>
      <c r="Y448" s="24">
        <f t="shared" si="53"/>
        <v>4.2538957665132937E-2</v>
      </c>
      <c r="Z448" s="23">
        <f t="shared" si="54"/>
        <v>3.4774200486009654E-3</v>
      </c>
      <c r="AA448" s="36"/>
    </row>
    <row r="449" spans="15:27" ht="13.9" customHeight="1">
      <c r="O449" s="12">
        <f t="shared" si="48"/>
        <v>36.333333333333336</v>
      </c>
      <c r="P449" s="13">
        <v>436</v>
      </c>
      <c r="Q449" s="22">
        <v>3.9063740365390842E-2</v>
      </c>
      <c r="R449" s="19">
        <f t="shared" si="49"/>
        <v>3.48155127803631E-2</v>
      </c>
      <c r="S449" s="22">
        <v>4.0913252234386022E-2</v>
      </c>
      <c r="T449" s="19">
        <f t="shared" si="50"/>
        <v>4.1928504461593352E-2</v>
      </c>
      <c r="U449" s="24">
        <v>4.4385089062360716E-2</v>
      </c>
      <c r="V449" s="24">
        <f t="shared" si="51"/>
        <v>4.2802404280377848E-2</v>
      </c>
      <c r="W449" s="23">
        <f t="shared" si="52"/>
        <v>3.4987105920887274E-3</v>
      </c>
      <c r="X449" s="24">
        <v>4.3661306754626539E-2</v>
      </c>
      <c r="Y449" s="24">
        <f t="shared" si="53"/>
        <v>4.2541435653038473E-2</v>
      </c>
      <c r="Z449" s="23">
        <f t="shared" si="54"/>
        <v>3.4776198918899937E-3</v>
      </c>
      <c r="AA449" s="36"/>
    </row>
    <row r="450" spans="15:27" ht="13.9" customHeight="1">
      <c r="O450" s="12">
        <f t="shared" si="48"/>
        <v>36.416666666666664</v>
      </c>
      <c r="P450" s="13">
        <v>437</v>
      </c>
      <c r="Q450" s="22">
        <v>3.9053999139200046E-2</v>
      </c>
      <c r="R450" s="19">
        <f t="shared" si="49"/>
        <v>3.4817789883133221E-2</v>
      </c>
      <c r="S450" s="22">
        <v>4.0915574336374272E-2</v>
      </c>
      <c r="T450" s="19">
        <f t="shared" si="50"/>
        <v>4.1937483806061548E-2</v>
      </c>
      <c r="U450" s="24">
        <v>4.4381464617361477E-2</v>
      </c>
      <c r="V450" s="24">
        <f t="shared" si="51"/>
        <v>4.2802879236591762E-2</v>
      </c>
      <c r="W450" s="23">
        <f t="shared" si="52"/>
        <v>3.498748772099658E-3</v>
      </c>
      <c r="X450" s="24">
        <v>4.365874274781123E-2</v>
      </c>
      <c r="Y450" s="24">
        <f t="shared" si="53"/>
        <v>4.2543900234087717E-2</v>
      </c>
      <c r="Z450" s="23">
        <f t="shared" si="54"/>
        <v>3.477818653662812E-3</v>
      </c>
      <c r="AA450" s="36"/>
    </row>
    <row r="451" spans="15:27" ht="13.9" customHeight="1">
      <c r="O451" s="12">
        <f t="shared" si="48"/>
        <v>36.5</v>
      </c>
      <c r="P451" s="13">
        <v>438</v>
      </c>
      <c r="Q451" s="22">
        <v>3.9044307704297898E-2</v>
      </c>
      <c r="R451" s="19">
        <f t="shared" si="49"/>
        <v>3.4820235210678119E-2</v>
      </c>
      <c r="S451" s="22">
        <v>4.0917906321115582E-2</v>
      </c>
      <c r="T451" s="19">
        <f t="shared" si="50"/>
        <v>4.1946387187181688E-2</v>
      </c>
      <c r="U451" s="24">
        <v>4.4377857820844469E-2</v>
      </c>
      <c r="V451" s="24">
        <f t="shared" si="51"/>
        <v>4.2803353041185765E-2</v>
      </c>
      <c r="W451" s="23">
        <f t="shared" si="52"/>
        <v>3.4987868600016014E-3</v>
      </c>
      <c r="X451" s="24">
        <v>4.3656196087952903E-2</v>
      </c>
      <c r="Y451" s="24">
        <f t="shared" si="53"/>
        <v>4.2546351483822908E-2</v>
      </c>
      <c r="Z451" s="23">
        <f t="shared" si="54"/>
        <v>3.4780163396292973E-3</v>
      </c>
      <c r="AA451" s="36"/>
    </row>
    <row r="452" spans="15:27" ht="13.9" customHeight="1">
      <c r="O452" s="12">
        <f t="shared" si="48"/>
        <v>36.583333333333336</v>
      </c>
      <c r="P452" s="13">
        <v>439</v>
      </c>
      <c r="Q452" s="22">
        <v>3.9034666104409865E-2</v>
      </c>
      <c r="R452" s="19">
        <f t="shared" si="49"/>
        <v>3.4822842821169209E-2</v>
      </c>
      <c r="S452" s="22">
        <v>4.092024794813276E-2</v>
      </c>
      <c r="T452" s="19">
        <f t="shared" si="50"/>
        <v>4.1955215258756562E-2</v>
      </c>
      <c r="U452" s="24">
        <v>4.4374268549481233E-2</v>
      </c>
      <c r="V452" s="24">
        <f t="shared" si="51"/>
        <v>4.2803825699169629E-2</v>
      </c>
      <c r="W452" s="23">
        <f t="shared" si="52"/>
        <v>3.4988248555363199E-3</v>
      </c>
      <c r="X452" s="24">
        <v>4.3653666626011001E-2</v>
      </c>
      <c r="Y452" s="24">
        <f t="shared" si="53"/>
        <v>4.254878947330254E-2</v>
      </c>
      <c r="Z452" s="23">
        <f t="shared" si="54"/>
        <v>3.4782129558557084E-3</v>
      </c>
      <c r="AA452" s="36"/>
    </row>
    <row r="453" spans="15:27" ht="13.9" customHeight="1">
      <c r="O453" s="12">
        <f t="shared" si="48"/>
        <v>36.666666666666664</v>
      </c>
      <c r="P453" s="13">
        <v>440</v>
      </c>
      <c r="Q453" s="22">
        <v>3.9025074369295032E-2</v>
      </c>
      <c r="R453" s="19">
        <f t="shared" si="49"/>
        <v>3.4825611139649659E-2</v>
      </c>
      <c r="S453" s="22">
        <v>4.0922598980622338E-2</v>
      </c>
      <c r="T453" s="19">
        <f t="shared" si="50"/>
        <v>4.1963968669919138E-2</v>
      </c>
      <c r="U453" s="24">
        <v>4.4370696681076183E-2</v>
      </c>
      <c r="V453" s="24">
        <f t="shared" si="51"/>
        <v>4.2804297216144871E-2</v>
      </c>
      <c r="W453" s="23">
        <f t="shared" si="52"/>
        <v>3.4988627591057142E-3</v>
      </c>
      <c r="X453" s="24">
        <v>4.365115421446264E-2</v>
      </c>
      <c r="Y453" s="24">
        <f t="shared" si="53"/>
        <v>4.2551214276441707E-2</v>
      </c>
      <c r="Z453" s="23">
        <f t="shared" si="54"/>
        <v>3.4784085080488136E-3</v>
      </c>
      <c r="AA453" s="36"/>
    </row>
    <row r="454" spans="15:27" ht="13.9" customHeight="1">
      <c r="O454" s="12">
        <f t="shared" si="48"/>
        <v>36.75</v>
      </c>
      <c r="P454" s="13">
        <v>441</v>
      </c>
      <c r="Q454" s="22">
        <v>3.9015532524847352E-2</v>
      </c>
      <c r="R454" s="19">
        <f t="shared" si="49"/>
        <v>3.4828540052139534E-2</v>
      </c>
      <c r="S454" s="22">
        <v>4.0924959185402399E-2</v>
      </c>
      <c r="T454" s="19">
        <f t="shared" si="50"/>
        <v>4.1972648064254825E-2</v>
      </c>
      <c r="U454" s="24">
        <v>4.4367142094556167E-2</v>
      </c>
      <c r="V454" s="24">
        <f t="shared" si="51"/>
        <v>4.2804767590913118E-2</v>
      </c>
      <c r="W454" s="23">
        <f t="shared" si="52"/>
        <v>3.4989005711594245E-3</v>
      </c>
      <c r="X454" s="24">
        <v>4.3648658707292176E-2</v>
      </c>
      <c r="Y454" s="24">
        <f t="shared" si="53"/>
        <v>4.255362596613943E-2</v>
      </c>
      <c r="Z454" s="23">
        <f t="shared" si="54"/>
        <v>3.4786030021438652E-3</v>
      </c>
      <c r="AA454" s="36"/>
    </row>
    <row r="455" spans="15:27" ht="13.9" customHeight="1">
      <c r="O455" s="12">
        <f t="shared" si="48"/>
        <v>36.833333333333336</v>
      </c>
      <c r="P455" s="13">
        <v>442</v>
      </c>
      <c r="Q455" s="22">
        <v>3.9006040596458513E-2</v>
      </c>
      <c r="R455" s="19">
        <f t="shared" si="49"/>
        <v>3.4831629458055291E-2</v>
      </c>
      <c r="S455" s="22">
        <v>4.0927328332858615E-2</v>
      </c>
      <c r="T455" s="19">
        <f t="shared" si="50"/>
        <v>4.1981254077692265E-2</v>
      </c>
      <c r="U455" s="24">
        <v>4.4363604669941825E-2</v>
      </c>
      <c r="V455" s="24">
        <f t="shared" si="51"/>
        <v>4.2805236832119453E-2</v>
      </c>
      <c r="W455" s="23">
        <f t="shared" si="52"/>
        <v>3.4989382916013057E-3</v>
      </c>
      <c r="X455" s="24">
        <v>4.3646179959971887E-2</v>
      </c>
      <c r="Y455" s="24">
        <f t="shared" si="53"/>
        <v>4.2556024612368182E-2</v>
      </c>
      <c r="Z455" s="23">
        <f t="shared" si="54"/>
        <v>3.4787964439950692E-3</v>
      </c>
      <c r="AA455" s="36"/>
    </row>
    <row r="456" spans="15:27" ht="13.9" customHeight="1">
      <c r="O456" s="12">
        <f t="shared" si="48"/>
        <v>36.916666666666664</v>
      </c>
      <c r="P456" s="13">
        <v>443</v>
      </c>
      <c r="Q456" s="22">
        <v>3.8996598609053468E-2</v>
      </c>
      <c r="R456" s="19">
        <f t="shared" si="49"/>
        <v>3.4834879268095253E-2</v>
      </c>
      <c r="S456" s="22">
        <v>4.0929706196887183E-2</v>
      </c>
      <c r="T456" s="19">
        <f t="shared" si="50"/>
        <v>4.1989787342740836E-2</v>
      </c>
      <c r="U456" s="24">
        <v>4.4360084288357138E-2</v>
      </c>
      <c r="V456" s="24">
        <f t="shared" si="51"/>
        <v>4.280570493177005E-2</v>
      </c>
      <c r="W456" s="23">
        <f t="shared" si="52"/>
        <v>3.4989759211245808E-3</v>
      </c>
      <c r="X456" s="24">
        <v>4.3643717829438211E-2</v>
      </c>
      <c r="Y456" s="24">
        <f t="shared" si="53"/>
        <v>4.255841028800833E-2</v>
      </c>
      <c r="Z456" s="23">
        <f t="shared" si="54"/>
        <v>3.4789888392217083E-3</v>
      </c>
      <c r="AA456" s="36"/>
    </row>
    <row r="457" spans="15:27" ht="13.9" customHeight="1">
      <c r="O457" s="12">
        <f t="shared" si="48"/>
        <v>37</v>
      </c>
      <c r="P457" s="13">
        <v>444</v>
      </c>
      <c r="Q457" s="22">
        <v>3.8987206587121515E-2</v>
      </c>
      <c r="R457" s="19">
        <f t="shared" si="49"/>
        <v>3.4838287983839811E-2</v>
      </c>
      <c r="S457" s="22">
        <v>4.0932092554846866E-2</v>
      </c>
      <c r="T457" s="19">
        <f t="shared" si="50"/>
        <v>4.1998248484833134E-2</v>
      </c>
      <c r="U457" s="24">
        <v>4.4356580831980574E-2</v>
      </c>
      <c r="V457" s="24">
        <f t="shared" si="51"/>
        <v>4.2806171901580203E-2</v>
      </c>
      <c r="W457" s="23">
        <f t="shared" si="52"/>
        <v>3.4990134590884292E-3</v>
      </c>
      <c r="X457" s="24">
        <v>4.3641272174082424E-2</v>
      </c>
      <c r="Y457" s="24">
        <f t="shared" si="53"/>
        <v>4.2560783063001262E-2</v>
      </c>
      <c r="Z457" s="23">
        <f t="shared" si="54"/>
        <v>3.4791801936757683E-3</v>
      </c>
      <c r="AA457" s="36"/>
    </row>
    <row r="458" spans="15:27" ht="13.9" customHeight="1">
      <c r="O458" s="12">
        <f t="shared" si="48"/>
        <v>37.083333333333336</v>
      </c>
      <c r="P458" s="13">
        <v>445</v>
      </c>
      <c r="Q458" s="22">
        <v>3.897786455154173E-2</v>
      </c>
      <c r="R458" s="19">
        <f t="shared" si="49"/>
        <v>3.4841849868436636E-2</v>
      </c>
      <c r="S458" s="22">
        <v>4.0934487187504587E-2</v>
      </c>
      <c r="T458" s="19">
        <f t="shared" si="50"/>
        <v>4.2006638124555629E-2</v>
      </c>
      <c r="U458" s="24">
        <v>4.4353094184076181E-2</v>
      </c>
      <c r="V458" s="24">
        <f t="shared" si="51"/>
        <v>4.280663774602167E-2</v>
      </c>
      <c r="W458" s="23">
        <f t="shared" si="52"/>
        <v>3.4990509064323216E-3</v>
      </c>
      <c r="X458" s="24">
        <v>4.3638842853726878E-2</v>
      </c>
      <c r="Y458" s="24">
        <f t="shared" si="53"/>
        <v>4.2563143008877757E-2</v>
      </c>
      <c r="Z458" s="23">
        <f t="shared" si="54"/>
        <v>3.4793705129740893E-3</v>
      </c>
      <c r="AA458" s="36"/>
    </row>
    <row r="459" spans="15:27" ht="13.9" customHeight="1">
      <c r="O459" s="12">
        <f t="shared" si="48"/>
        <v>37.166666666666664</v>
      </c>
      <c r="P459" s="13">
        <v>446</v>
      </c>
      <c r="Q459" s="22">
        <v>3.8968572510082344E-2</v>
      </c>
      <c r="R459" s="19">
        <f t="shared" si="49"/>
        <v>3.484556345657408E-2</v>
      </c>
      <c r="S459" s="22">
        <v>4.093688987898636E-2</v>
      </c>
      <c r="T459" s="19">
        <f t="shared" si="50"/>
        <v>4.2014956876887721E-2</v>
      </c>
      <c r="U459" s="24">
        <v>4.4349624228966489E-2</v>
      </c>
      <c r="V459" s="24">
        <f t="shared" si="51"/>
        <v>4.2807102456313251E-2</v>
      </c>
      <c r="W459" s="23">
        <f t="shared" si="52"/>
        <v>3.4990882635153042E-3</v>
      </c>
      <c r="X459" s="24">
        <v>4.3636429729613235E-2</v>
      </c>
      <c r="Y459" s="24">
        <f t="shared" si="53"/>
        <v>4.256549019583189E-2</v>
      </c>
      <c r="Z459" s="23">
        <f t="shared" si="54"/>
        <v>3.4795598028605212E-3</v>
      </c>
      <c r="AA459" s="36"/>
    </row>
    <row r="460" spans="15:27" ht="13.9" customHeight="1">
      <c r="O460" s="12">
        <f t="shared" si="48"/>
        <v>37.25</v>
      </c>
      <c r="P460" s="13">
        <v>447</v>
      </c>
      <c r="Q460" s="22">
        <v>3.8959330467142506E-2</v>
      </c>
      <c r="R460" s="19">
        <f t="shared" si="49"/>
        <v>3.4849428717129038E-2</v>
      </c>
      <c r="S460" s="22">
        <v>4.0939300416726665E-2</v>
      </c>
      <c r="T460" s="19">
        <f t="shared" si="50"/>
        <v>4.2023205350465442E-2</v>
      </c>
      <c r="U460" s="24">
        <v>4.4346170851989886E-2</v>
      </c>
      <c r="V460" s="24">
        <f t="shared" si="51"/>
        <v>4.2807566050207413E-2</v>
      </c>
      <c r="W460" s="23">
        <f t="shared" si="52"/>
        <v>3.4991255296328294E-3</v>
      </c>
      <c r="X460" s="24">
        <v>4.3634032664382927E-2</v>
      </c>
      <c r="Y460" s="24">
        <f t="shared" si="53"/>
        <v>4.2567824693272138E-2</v>
      </c>
      <c r="Z460" s="23">
        <f t="shared" si="54"/>
        <v>3.4797480689714444E-3</v>
      </c>
      <c r="AA460" s="36"/>
    </row>
    <row r="461" spans="15:27" ht="13.9" customHeight="1">
      <c r="O461" s="12">
        <f t="shared" si="48"/>
        <v>37.333333333333336</v>
      </c>
      <c r="P461" s="13">
        <v>448</v>
      </c>
      <c r="Q461" s="22">
        <v>3.8950138427003456E-2</v>
      </c>
      <c r="R461" s="19">
        <f t="shared" si="49"/>
        <v>3.4853445627540669E-2</v>
      </c>
      <c r="S461" s="22">
        <v>4.0941718591417597E-2</v>
      </c>
      <c r="T461" s="19">
        <f t="shared" si="50"/>
        <v>4.2031384150274631E-2</v>
      </c>
      <c r="U461" s="24">
        <v>4.4342733939549239E-2</v>
      </c>
      <c r="V461" s="24">
        <f t="shared" si="51"/>
        <v>4.2808028517442587E-2</v>
      </c>
      <c r="W461" s="23">
        <f t="shared" si="52"/>
        <v>3.4991627062090913E-3</v>
      </c>
      <c r="X461" s="24">
        <v>4.3631651522060499E-2</v>
      </c>
      <c r="Y461" s="24">
        <f t="shared" si="53"/>
        <v>4.2570146569366862E-2</v>
      </c>
      <c r="Z461" s="23">
        <f t="shared" si="54"/>
        <v>3.4799353168806224E-3</v>
      </c>
      <c r="AA461" s="36"/>
    </row>
    <row r="462" spans="15:27" ht="13.9" customHeight="1">
      <c r="O462" s="12">
        <f t="shared" ref="O462:O525" si="55">P462/12</f>
        <v>37.416666666666664</v>
      </c>
      <c r="P462" s="13">
        <v>449</v>
      </c>
      <c r="Q462" s="22">
        <v>3.8940996393849403E-2</v>
      </c>
      <c r="R462" s="19">
        <f t="shared" ref="R462:R525" si="56">(1+Q463)^P463/(1+Q462)^P462-1</f>
        <v>3.4857614178078089E-2</v>
      </c>
      <c r="S462" s="22">
        <v>4.0944144196964238E-2</v>
      </c>
      <c r="T462" s="19">
        <f t="shared" ref="T462:T525" si="57">(1+S463)^P463/(1+S462)^P462-1</f>
        <v>4.2039493874573175E-2</v>
      </c>
      <c r="U462" s="24">
        <v>4.4339313379037293E-2</v>
      </c>
      <c r="V462" s="24">
        <f t="shared" ref="V462:V525" si="58">(1+U463)^P463/(1+U462)^P462-1</f>
        <v>4.2808489869572863E-2</v>
      </c>
      <c r="W462" s="23">
        <f t="shared" si="52"/>
        <v>3.4991997924209706E-3</v>
      </c>
      <c r="X462" s="24">
        <v>4.362928616803452E-2</v>
      </c>
      <c r="Y462" s="24">
        <f t="shared" si="53"/>
        <v>4.2572455896845662E-2</v>
      </c>
      <c r="Z462" s="23">
        <f t="shared" si="54"/>
        <v>3.4801215520621209E-3</v>
      </c>
      <c r="AA462" s="36"/>
    </row>
    <row r="463" spans="15:27" ht="13.9" customHeight="1">
      <c r="O463" s="12">
        <f t="shared" si="55"/>
        <v>37.5</v>
      </c>
      <c r="P463" s="13">
        <v>450</v>
      </c>
      <c r="Q463" s="22">
        <v>3.8931904371796833E-2</v>
      </c>
      <c r="R463" s="19">
        <f t="shared" si="56"/>
        <v>3.4861932980133181E-2</v>
      </c>
      <c r="S463" s="22">
        <v>4.094657703043425E-2</v>
      </c>
      <c r="T463" s="19">
        <f t="shared" si="57"/>
        <v>4.2047535116121137E-2</v>
      </c>
      <c r="U463" s="24">
        <v>4.433590905887419E-2</v>
      </c>
      <c r="V463" s="24">
        <f t="shared" si="58"/>
        <v>4.2808950103318644E-2</v>
      </c>
      <c r="W463" s="23">
        <f t="shared" ref="W463:W526" si="59">(1+V462)^(1/12)-1</f>
        <v>3.4992367891955034E-3</v>
      </c>
      <c r="X463" s="24">
        <v>4.3626936469053357E-2</v>
      </c>
      <c r="Y463" s="24">
        <f t="shared" ref="Y463:Y526" si="60">(1+X464)^P464/(1+X463)^P463-1</f>
        <v>4.2574752739960031E-2</v>
      </c>
      <c r="Z463" s="23">
        <f t="shared" ref="Z463:Z526" si="61">(1+Y462)^(1/12)-1</f>
        <v>3.480306780355269E-3</v>
      </c>
      <c r="AA463" s="36"/>
    </row>
    <row r="464" spans="15:27" ht="13.9" customHeight="1">
      <c r="O464" s="12">
        <f t="shared" si="55"/>
        <v>37.583333333333336</v>
      </c>
      <c r="P464" s="13">
        <v>451</v>
      </c>
      <c r="Q464" s="22">
        <v>3.892286236182585E-2</v>
      </c>
      <c r="R464" s="19">
        <f t="shared" si="56"/>
        <v>3.4866396491049167E-2</v>
      </c>
      <c r="S464" s="22">
        <v>4.0949016892010359E-2</v>
      </c>
      <c r="T464" s="19">
        <f t="shared" si="57"/>
        <v>4.2055508463471725E-2</v>
      </c>
      <c r="U464" s="24">
        <v>4.4332520868463288E-2</v>
      </c>
      <c r="V464" s="24">
        <f t="shared" si="58"/>
        <v>4.2809409228285356E-2</v>
      </c>
      <c r="W464" s="23">
        <f t="shared" si="59"/>
        <v>3.4992736962693449E-3</v>
      </c>
      <c r="X464" s="24">
        <v>4.3624602293190984E-2</v>
      </c>
      <c r="Y464" s="24">
        <f t="shared" si="60"/>
        <v>4.257703717032002E-2</v>
      </c>
      <c r="Z464" s="23">
        <f t="shared" si="61"/>
        <v>3.4804910069201611E-3</v>
      </c>
      <c r="AA464" s="36"/>
    </row>
    <row r="465" spans="15:27" ht="13.9" customHeight="1">
      <c r="O465" s="12">
        <f t="shared" si="55"/>
        <v>37.666666666666664</v>
      </c>
      <c r="P465" s="13">
        <v>452</v>
      </c>
      <c r="Q465" s="22">
        <v>3.8913870352589086E-2</v>
      </c>
      <c r="R465" s="19">
        <f t="shared" si="56"/>
        <v>3.4871003355143593E-2</v>
      </c>
      <c r="S465" s="22">
        <v>4.095146358494639E-2</v>
      </c>
      <c r="T465" s="19">
        <f t="shared" si="57"/>
        <v>4.2063414499378338E-2</v>
      </c>
      <c r="U465" s="24">
        <v>4.4329148698208698E-2</v>
      </c>
      <c r="V465" s="24">
        <f t="shared" si="58"/>
        <v>4.2809867238701393E-2</v>
      </c>
      <c r="W465" s="23">
        <f t="shared" si="59"/>
        <v>3.4993105144129899E-3</v>
      </c>
      <c r="X465" s="24">
        <v>4.3622283509848314E-2</v>
      </c>
      <c r="Y465" s="24">
        <f t="shared" si="60"/>
        <v>4.257930925387754E-2</v>
      </c>
      <c r="Z465" s="23">
        <f t="shared" si="61"/>
        <v>3.4806742375064204E-3</v>
      </c>
      <c r="AA465" s="36"/>
    </row>
    <row r="466" spans="15:27" ht="13.9" customHeight="1">
      <c r="O466" s="12">
        <f t="shared" si="55"/>
        <v>37.75</v>
      </c>
      <c r="P466" s="13">
        <v>453</v>
      </c>
      <c r="Q466" s="22">
        <v>3.8904928329826616E-2</v>
      </c>
      <c r="R466" s="19">
        <f t="shared" si="56"/>
        <v>3.487575361561146E-2</v>
      </c>
      <c r="S466" s="22">
        <v>4.0953916915520638E-2</v>
      </c>
      <c r="T466" s="19">
        <f t="shared" si="57"/>
        <v>4.2071253801192476E-2</v>
      </c>
      <c r="U466" s="24">
        <v>4.4325792439470435E-2</v>
      </c>
      <c r="V466" s="24">
        <f t="shared" si="58"/>
        <v>4.2810324141161704E-2</v>
      </c>
      <c r="W466" s="23">
        <f t="shared" si="59"/>
        <v>3.4993472431639194E-3</v>
      </c>
      <c r="X466" s="24">
        <v>4.3619979989726554E-2</v>
      </c>
      <c r="Y466" s="24">
        <f t="shared" si="60"/>
        <v>4.258156905954702E-2</v>
      </c>
      <c r="Z466" s="23">
        <f t="shared" si="61"/>
        <v>3.4808564774098105E-3</v>
      </c>
      <c r="AA466" s="36"/>
    </row>
    <row r="467" spans="15:27" ht="13.9" customHeight="1">
      <c r="O467" s="12">
        <f t="shared" si="55"/>
        <v>37.833333333333336</v>
      </c>
      <c r="P467" s="13">
        <v>454</v>
      </c>
      <c r="Q467" s="22">
        <v>3.8896036279491897E-2</v>
      </c>
      <c r="R467" s="19">
        <f t="shared" si="56"/>
        <v>3.4880647327523606E-2</v>
      </c>
      <c r="S467" s="22">
        <v>4.0956376692991014E-2</v>
      </c>
      <c r="T467" s="19">
        <f t="shared" si="57"/>
        <v>4.2079026942209996E-2</v>
      </c>
      <c r="U467" s="24">
        <v>4.4322451984580624E-2</v>
      </c>
      <c r="V467" s="24">
        <f t="shared" si="58"/>
        <v>4.2810779946112376E-2</v>
      </c>
      <c r="W467" s="23">
        <f t="shared" si="59"/>
        <v>3.4993838830508217E-3</v>
      </c>
      <c r="X467" s="24">
        <v>4.3617691604818987E-2</v>
      </c>
      <c r="Y467" s="24">
        <f t="shared" si="60"/>
        <v>4.2583816653769535E-2</v>
      </c>
      <c r="Z467" s="23">
        <f t="shared" si="61"/>
        <v>3.4810377321639052E-3</v>
      </c>
      <c r="AA467" s="36"/>
    </row>
    <row r="468" spans="15:27" ht="13.9" customHeight="1">
      <c r="O468" s="12">
        <f t="shared" si="55"/>
        <v>37.916666666666664</v>
      </c>
      <c r="P468" s="13">
        <v>455</v>
      </c>
      <c r="Q468" s="22">
        <v>3.8887194187775087E-2</v>
      </c>
      <c r="R468" s="19">
        <f t="shared" si="56"/>
        <v>3.4885684556518859E-2</v>
      </c>
      <c r="S468" s="22">
        <v>4.0958842729552414E-2</v>
      </c>
      <c r="T468" s="19">
        <f t="shared" si="57"/>
        <v>4.2086734489152233E-2</v>
      </c>
      <c r="U468" s="24">
        <v>4.4319127226841948E-2</v>
      </c>
      <c r="V468" s="24">
        <f t="shared" si="58"/>
        <v>4.2811234642402107E-2</v>
      </c>
      <c r="W468" s="23">
        <f t="shared" si="59"/>
        <v>3.4994204349119151E-3</v>
      </c>
      <c r="X468" s="24">
        <v>4.3615418228391656E-2</v>
      </c>
      <c r="Y468" s="24">
        <f t="shared" si="60"/>
        <v>4.2586052102933092E-2</v>
      </c>
      <c r="Z468" s="23">
        <f t="shared" si="61"/>
        <v>3.4812180071035481E-3</v>
      </c>
      <c r="AA468" s="36"/>
    </row>
    <row r="469" spans="15:27" ht="13.9" customHeight="1">
      <c r="O469" s="12">
        <f t="shared" si="55"/>
        <v>38</v>
      </c>
      <c r="P469" s="13">
        <v>456</v>
      </c>
      <c r="Q469" s="22">
        <v>3.8878402041124138E-2</v>
      </c>
      <c r="R469" s="19">
        <f t="shared" si="56"/>
        <v>3.4890864017849132E-2</v>
      </c>
      <c r="S469" s="22">
        <v>4.0961314840291196E-2</v>
      </c>
      <c r="T469" s="19">
        <f t="shared" si="57"/>
        <v>4.2094377004562755E-2</v>
      </c>
      <c r="U469" s="24">
        <v>4.431581806046947E-2</v>
      </c>
      <c r="V469" s="24">
        <f t="shared" si="58"/>
        <v>4.2811688239424273E-2</v>
      </c>
      <c r="W469" s="23">
        <f t="shared" si="59"/>
        <v>3.499456897852582E-3</v>
      </c>
      <c r="X469" s="24">
        <v>4.3613159734968709E-2</v>
      </c>
      <c r="Y469" s="24">
        <f t="shared" si="60"/>
        <v>4.2588275473688375E-2</v>
      </c>
      <c r="Z469" s="23">
        <f t="shared" si="61"/>
        <v>3.4813973075595861E-3</v>
      </c>
      <c r="AA469" s="36"/>
    </row>
    <row r="470" spans="15:27" ht="13.9" customHeight="1">
      <c r="O470" s="12">
        <f t="shared" si="55"/>
        <v>38.083333333333336</v>
      </c>
      <c r="P470" s="13">
        <v>457</v>
      </c>
      <c r="Q470" s="22">
        <v>3.8869659823275171E-2</v>
      </c>
      <c r="R470" s="19">
        <f t="shared" si="56"/>
        <v>3.489618036010822E-2</v>
      </c>
      <c r="S470" s="22">
        <v>4.0963792843143221E-2</v>
      </c>
      <c r="T470" s="19">
        <f t="shared" si="57"/>
        <v>4.2101955045861228E-2</v>
      </c>
      <c r="U470" s="24">
        <v>4.4312524380624829E-2</v>
      </c>
      <c r="V470" s="24">
        <f t="shared" si="58"/>
        <v>4.2812140740197124E-2</v>
      </c>
      <c r="W470" s="23">
        <f t="shared" si="59"/>
        <v>3.4994932726264416E-3</v>
      </c>
      <c r="X470" s="24">
        <v>4.3610916000319966E-2</v>
      </c>
      <c r="Y470" s="24">
        <f t="shared" si="60"/>
        <v>4.2590486832760677E-2</v>
      </c>
      <c r="Z470" s="23">
        <f t="shared" si="61"/>
        <v>3.4815756388835162E-3</v>
      </c>
      <c r="AA470" s="36"/>
    </row>
    <row r="471" spans="15:27" ht="13.9" customHeight="1">
      <c r="O471" s="12">
        <f t="shared" si="55"/>
        <v>38.166666666666664</v>
      </c>
      <c r="P471" s="13">
        <v>458</v>
      </c>
      <c r="Q471" s="22">
        <v>3.8860967506369581E-2</v>
      </c>
      <c r="R471" s="19">
        <f t="shared" si="56"/>
        <v>3.4901632328418364E-2</v>
      </c>
      <c r="S471" s="22">
        <v>4.0966276558852321E-2</v>
      </c>
      <c r="T471" s="19">
        <f t="shared" si="57"/>
        <v>4.2109469166484281E-2</v>
      </c>
      <c r="U471" s="24">
        <v>4.4309246083393372E-2</v>
      </c>
      <c r="V471" s="24">
        <f t="shared" si="58"/>
        <v>4.2812592149688244E-2</v>
      </c>
      <c r="W471" s="23">
        <f t="shared" si="59"/>
        <v>3.4995295594757447E-3</v>
      </c>
      <c r="X471" s="24">
        <v>4.3608686901446925E-2</v>
      </c>
      <c r="Y471" s="24">
        <f t="shared" si="60"/>
        <v>4.2592686244405042E-2</v>
      </c>
      <c r="Z471" s="23">
        <f t="shared" si="61"/>
        <v>3.4817530064328306E-3</v>
      </c>
      <c r="AA471" s="36"/>
    </row>
    <row r="472" spans="15:27" ht="13.9" customHeight="1">
      <c r="O472" s="12">
        <f t="shared" si="55"/>
        <v>38.25</v>
      </c>
      <c r="P472" s="13">
        <v>459</v>
      </c>
      <c r="Q472" s="22">
        <v>3.8852325060039217E-2</v>
      </c>
      <c r="R472" s="19">
        <f t="shared" si="56"/>
        <v>3.490722004061575E-2</v>
      </c>
      <c r="S472" s="22">
        <v>4.0968765810930785E-2</v>
      </c>
      <c r="T472" s="19">
        <f t="shared" si="57"/>
        <v>4.2116919913044448E-2</v>
      </c>
      <c r="U472" s="24">
        <v>4.4305983065777044E-2</v>
      </c>
      <c r="V472" s="24">
        <f t="shared" si="58"/>
        <v>4.2813042465649209E-2</v>
      </c>
      <c r="W472" s="23">
        <f t="shared" si="59"/>
        <v>3.4995657587986173E-3</v>
      </c>
      <c r="X472" s="24">
        <v>4.3606472316564115E-2</v>
      </c>
      <c r="Y472" s="24">
        <f t="shared" si="60"/>
        <v>4.2594873775405828E-2</v>
      </c>
      <c r="Z472" s="23">
        <f t="shared" si="61"/>
        <v>3.4819294153669578E-3</v>
      </c>
      <c r="AA472" s="36"/>
    </row>
    <row r="473" spans="15:27" ht="13.9" customHeight="1">
      <c r="O473" s="12">
        <f t="shared" si="55"/>
        <v>38.333333333333336</v>
      </c>
      <c r="P473" s="13">
        <v>460</v>
      </c>
      <c r="Q473" s="22">
        <v>3.884373245443018E-2</v>
      </c>
      <c r="R473" s="19">
        <f t="shared" si="56"/>
        <v>3.4912943624397563E-2</v>
      </c>
      <c r="S473" s="22">
        <v>4.0971260425614053E-2</v>
      </c>
      <c r="T473" s="19">
        <f t="shared" si="57"/>
        <v>4.2124307828676155E-2</v>
      </c>
      <c r="U473" s="24">
        <v>4.4302735225669299E-2</v>
      </c>
      <c r="V473" s="24">
        <f t="shared" si="58"/>
        <v>4.2813491692399674E-2</v>
      </c>
      <c r="W473" s="23">
        <f t="shared" si="59"/>
        <v>3.4996018704152032E-3</v>
      </c>
      <c r="X473" s="24">
        <v>4.3604272125091326E-2</v>
      </c>
      <c r="Y473" s="24">
        <f t="shared" si="60"/>
        <v>4.2597049490498584E-2</v>
      </c>
      <c r="Z473" s="23">
        <f t="shared" si="61"/>
        <v>3.4821048710480529E-3</v>
      </c>
      <c r="AA473" s="36"/>
    </row>
    <row r="474" spans="15:27" ht="13.9" customHeight="1">
      <c r="O474" s="12">
        <f t="shared" si="55"/>
        <v>38.416666666666664</v>
      </c>
      <c r="P474" s="13">
        <v>461</v>
      </c>
      <c r="Q474" s="22">
        <v>3.8835189660217928E-2</v>
      </c>
      <c r="R474" s="19">
        <f t="shared" si="56"/>
        <v>3.4918803216956507E-2</v>
      </c>
      <c r="S474" s="22">
        <v>4.0973760231824086E-2</v>
      </c>
      <c r="T474" s="19">
        <f t="shared" si="57"/>
        <v>4.2131633451941486E-2</v>
      </c>
      <c r="U474" s="24">
        <v>4.4299502461859763E-2</v>
      </c>
      <c r="V474" s="24">
        <f t="shared" si="58"/>
        <v>4.2813939836066517E-2</v>
      </c>
      <c r="W474" s="23">
        <f t="shared" si="59"/>
        <v>3.499637894671892E-3</v>
      </c>
      <c r="X474" s="24">
        <v>4.3602086207636059E-2</v>
      </c>
      <c r="Y474" s="24">
        <f t="shared" si="60"/>
        <v>4.2599213452209739E-2</v>
      </c>
      <c r="Z474" s="23">
        <f t="shared" si="61"/>
        <v>3.4822793786739581E-3</v>
      </c>
      <c r="AA474" s="36"/>
    </row>
    <row r="475" spans="15:27" ht="13.9" customHeight="1">
      <c r="O475" s="12">
        <f t="shared" si="55"/>
        <v>38.5</v>
      </c>
      <c r="P475" s="13">
        <v>462</v>
      </c>
      <c r="Q475" s="22">
        <v>3.8826696648622372E-2</v>
      </c>
      <c r="R475" s="19">
        <f t="shared" si="56"/>
        <v>3.4924797634212634E-2</v>
      </c>
      <c r="S475" s="22">
        <v>4.0976265061130057E-2</v>
      </c>
      <c r="T475" s="19">
        <f t="shared" si="57"/>
        <v>4.213889731558651E-2</v>
      </c>
      <c r="U475" s="24">
        <v>4.4296284674028241E-2</v>
      </c>
      <c r="V475" s="24">
        <f t="shared" si="58"/>
        <v>4.2814386894728829E-2</v>
      </c>
      <c r="W475" s="23">
        <f t="shared" si="59"/>
        <v>3.4996738320600684E-3</v>
      </c>
      <c r="X475" s="24">
        <v>4.3599914445976218E-2</v>
      </c>
      <c r="Y475" s="24">
        <f t="shared" si="60"/>
        <v>4.2601365727822804E-2</v>
      </c>
      <c r="Z475" s="23">
        <f t="shared" si="61"/>
        <v>3.4824529432648799E-3</v>
      </c>
      <c r="AA475" s="36"/>
    </row>
    <row r="476" spans="15:27" ht="13.9" customHeight="1">
      <c r="O476" s="12">
        <f t="shared" si="55"/>
        <v>38.583333333333336</v>
      </c>
      <c r="P476" s="13">
        <v>463</v>
      </c>
      <c r="Q476" s="22">
        <v>3.8818253388537727E-2</v>
      </c>
      <c r="R476" s="19">
        <f t="shared" si="56"/>
        <v>3.4930921708070661E-2</v>
      </c>
      <c r="S476" s="22">
        <v>4.0978774747707281E-2</v>
      </c>
      <c r="T476" s="19">
        <f t="shared" si="57"/>
        <v>4.2146099948538129E-2</v>
      </c>
      <c r="U476" s="24">
        <v>4.4293081762717845E-2</v>
      </c>
      <c r="V476" s="24">
        <f t="shared" si="58"/>
        <v>4.2814832872524633E-2</v>
      </c>
      <c r="W476" s="23">
        <f t="shared" si="59"/>
        <v>3.4997096824258556E-3</v>
      </c>
      <c r="X476" s="24">
        <v>4.3597756723057213E-2</v>
      </c>
      <c r="Y476" s="24">
        <f t="shared" si="60"/>
        <v>4.2603506378927403E-2</v>
      </c>
      <c r="Z476" s="23">
        <f t="shared" si="61"/>
        <v>3.4826255702229414E-3</v>
      </c>
      <c r="AA476" s="36"/>
    </row>
    <row r="477" spans="15:27" ht="13.9" customHeight="1">
      <c r="O477" s="12">
        <f t="shared" si="55"/>
        <v>38.666666666666664</v>
      </c>
      <c r="P477" s="13">
        <v>464</v>
      </c>
      <c r="Q477" s="22">
        <v>3.8809859837938721E-2</v>
      </c>
      <c r="R477" s="19">
        <f t="shared" si="56"/>
        <v>3.4937174283512062E-2</v>
      </c>
      <c r="S477" s="22">
        <v>4.0981289128300791E-2</v>
      </c>
      <c r="T477" s="19">
        <f t="shared" si="57"/>
        <v>4.2153241874405056E-2</v>
      </c>
      <c r="U477" s="24">
        <v>4.428989362933855E-2</v>
      </c>
      <c r="V477" s="24">
        <f t="shared" si="58"/>
        <v>4.2815277771083959E-2</v>
      </c>
      <c r="W477" s="23">
        <f t="shared" si="59"/>
        <v>3.499745446100988E-3</v>
      </c>
      <c r="X477" s="24">
        <v>4.3595612922967542E-2</v>
      </c>
      <c r="Y477" s="24">
        <f t="shared" si="60"/>
        <v>4.2605635469773251E-2</v>
      </c>
      <c r="Z477" s="23">
        <f t="shared" si="61"/>
        <v>3.4827972644932981E-3</v>
      </c>
      <c r="AA477" s="36"/>
    </row>
    <row r="478" spans="15:27" ht="13.9" customHeight="1">
      <c r="O478" s="12">
        <f t="shared" si="55"/>
        <v>38.75</v>
      </c>
      <c r="P478" s="13">
        <v>465</v>
      </c>
      <c r="Q478" s="22">
        <v>3.8801515952661569E-2</v>
      </c>
      <c r="R478" s="19">
        <f t="shared" si="56"/>
        <v>3.4943555547169547E-2</v>
      </c>
      <c r="S478" s="22">
        <v>4.0983808042186265E-2</v>
      </c>
      <c r="T478" s="19">
        <f t="shared" si="57"/>
        <v>4.2160323612574935E-2</v>
      </c>
      <c r="U478" s="24">
        <v>4.4286720176152539E-2</v>
      </c>
      <c r="V478" s="24">
        <f t="shared" si="58"/>
        <v>4.2815721593079559E-2</v>
      </c>
      <c r="W478" s="23">
        <f t="shared" si="59"/>
        <v>3.4997811232166942E-3</v>
      </c>
      <c r="X478" s="24">
        <v>4.3593482930931682E-2</v>
      </c>
      <c r="Y478" s="24">
        <f t="shared" si="60"/>
        <v>4.260775306301845E-2</v>
      </c>
      <c r="Z478" s="23">
        <f t="shared" si="61"/>
        <v>3.4829680312344902E-3</v>
      </c>
      <c r="AA478" s="36"/>
    </row>
    <row r="479" spans="15:27" ht="13.9" customHeight="1">
      <c r="O479" s="12">
        <f t="shared" si="55"/>
        <v>38.833333333333336</v>
      </c>
      <c r="P479" s="13">
        <v>466</v>
      </c>
      <c r="Q479" s="22">
        <v>3.8793221689316981E-2</v>
      </c>
      <c r="R479" s="19">
        <f t="shared" si="56"/>
        <v>3.4950065697005428E-2</v>
      </c>
      <c r="S479" s="22">
        <v>4.0986331331133607E-2</v>
      </c>
      <c r="T479" s="19">
        <f t="shared" si="57"/>
        <v>4.2167345678243429E-2</v>
      </c>
      <c r="U479" s="24">
        <v>4.4283561306267538E-2</v>
      </c>
      <c r="V479" s="24">
        <f t="shared" si="58"/>
        <v>4.2816164348054464E-2</v>
      </c>
      <c r="W479" s="23">
        <f t="shared" si="59"/>
        <v>3.4998167139870251E-3</v>
      </c>
      <c r="X479" s="24">
        <v>4.3591366633295214E-2</v>
      </c>
      <c r="Y479" s="24">
        <f t="shared" si="60"/>
        <v>4.2609859222419999E-2</v>
      </c>
      <c r="Z479" s="23">
        <f t="shared" si="61"/>
        <v>3.4831378754771603E-3</v>
      </c>
      <c r="AA479" s="36"/>
    </row>
    <row r="480" spans="15:27" ht="13.9" customHeight="1">
      <c r="O480" s="12">
        <f t="shared" si="55"/>
        <v>38.916666666666664</v>
      </c>
      <c r="P480" s="13">
        <v>467</v>
      </c>
      <c r="Q480" s="22">
        <v>3.8784977005305254E-2</v>
      </c>
      <c r="R480" s="19">
        <f t="shared" si="56"/>
        <v>3.4956704938020167E-2</v>
      </c>
      <c r="S480" s="22">
        <v>4.0988858839371867E-2</v>
      </c>
      <c r="T480" s="19">
        <f t="shared" si="57"/>
        <v>4.2174308581770958E-2</v>
      </c>
      <c r="U480" s="24">
        <v>4.4280416923642152E-2</v>
      </c>
      <c r="V480" s="24">
        <f t="shared" si="58"/>
        <v>4.281660602813564E-2</v>
      </c>
      <c r="W480" s="23">
        <f t="shared" si="59"/>
        <v>3.4998522191773684E-3</v>
      </c>
      <c r="X480" s="24">
        <v>4.3589263917514387E-2</v>
      </c>
      <c r="Y480" s="24">
        <f t="shared" si="60"/>
        <v>4.26119540097738E-2</v>
      </c>
      <c r="Z480" s="23">
        <f t="shared" si="61"/>
        <v>3.4833068023405467E-3</v>
      </c>
      <c r="AA480" s="36"/>
    </row>
    <row r="481" spans="15:27" ht="13.9" customHeight="1">
      <c r="O481" s="12">
        <f t="shared" si="55"/>
        <v>39</v>
      </c>
      <c r="P481" s="13">
        <v>468</v>
      </c>
      <c r="Q481" s="22">
        <v>3.8776781858824272E-2</v>
      </c>
      <c r="R481" s="19">
        <f t="shared" si="56"/>
        <v>3.4963472183209054E-2</v>
      </c>
      <c r="S481" s="22">
        <v>4.0991390413551487E-2</v>
      </c>
      <c r="T481" s="19">
        <f t="shared" si="57"/>
        <v>4.2181212827892223E-2</v>
      </c>
      <c r="U481" s="24">
        <v>4.427728693303945E-2</v>
      </c>
      <c r="V481" s="24">
        <f t="shared" si="58"/>
        <v>4.2817046642060763E-2</v>
      </c>
      <c r="W481" s="23">
        <f t="shared" si="59"/>
        <v>3.4998876381566735E-3</v>
      </c>
      <c r="X481" s="24">
        <v>4.3587174672140572E-2</v>
      </c>
      <c r="Y481" s="24">
        <f t="shared" si="60"/>
        <v>4.2614037486850664E-2</v>
      </c>
      <c r="Z481" s="23">
        <f t="shared" si="61"/>
        <v>3.4834748167857921E-3</v>
      </c>
      <c r="AA481" s="36"/>
    </row>
    <row r="482" spans="15:27" ht="13.9" customHeight="1">
      <c r="O482" s="12">
        <f t="shared" si="55"/>
        <v>39.083333333333336</v>
      </c>
      <c r="P482" s="13">
        <v>469</v>
      </c>
      <c r="Q482" s="22">
        <v>3.8768636206094609E-2</v>
      </c>
      <c r="R482" s="19">
        <f t="shared" si="56"/>
        <v>3.4970362442604319E-2</v>
      </c>
      <c r="S482" s="22">
        <v>4.0993925902707673E-2</v>
      </c>
      <c r="T482" s="19">
        <f t="shared" si="57"/>
        <v>4.2188058918872118E-2</v>
      </c>
      <c r="U482" s="24">
        <v>4.4274171240054505E-2</v>
      </c>
      <c r="V482" s="24">
        <f t="shared" si="58"/>
        <v>4.2817486190082521E-2</v>
      </c>
      <c r="W482" s="23">
        <f t="shared" si="59"/>
        <v>3.499922971625713E-3</v>
      </c>
      <c r="X482" s="24">
        <v>4.3585098786808496E-2</v>
      </c>
      <c r="Y482" s="24">
        <f t="shared" si="60"/>
        <v>4.2616109715961858E-2</v>
      </c>
      <c r="Z482" s="23">
        <f t="shared" si="61"/>
        <v>3.4836419237722627E-3</v>
      </c>
      <c r="AA482" s="36"/>
    </row>
    <row r="483" spans="15:27" ht="13.9" customHeight="1">
      <c r="O483" s="12">
        <f t="shared" si="55"/>
        <v>39.166666666666664</v>
      </c>
      <c r="P483" s="13">
        <v>470</v>
      </c>
      <c r="Q483" s="22">
        <v>3.876053999304685E-2</v>
      </c>
      <c r="R483" s="19">
        <f t="shared" si="56"/>
        <v>3.4977374656240734E-2</v>
      </c>
      <c r="S483" s="22">
        <v>4.0996465158228856E-2</v>
      </c>
      <c r="T483" s="19">
        <f t="shared" si="57"/>
        <v>4.2194847351078701E-2</v>
      </c>
      <c r="U483" s="24">
        <v>4.4271069751086634E-2</v>
      </c>
      <c r="V483" s="24">
        <f t="shared" si="58"/>
        <v>4.2817924678174579E-2</v>
      </c>
      <c r="W483" s="23">
        <f t="shared" si="59"/>
        <v>3.499958219604915E-3</v>
      </c>
      <c r="X483" s="24">
        <v>4.3583036152225363E-2</v>
      </c>
      <c r="Y483" s="24">
        <f t="shared" si="60"/>
        <v>4.2618170758762286E-2</v>
      </c>
      <c r="Z483" s="23">
        <f t="shared" si="61"/>
        <v>3.4838081283030675E-3</v>
      </c>
      <c r="AA483" s="36"/>
    </row>
    <row r="484" spans="15:27" ht="13.9" customHeight="1">
      <c r="O484" s="12">
        <f t="shared" si="55"/>
        <v>39.25</v>
      </c>
      <c r="P484" s="13">
        <v>471</v>
      </c>
      <c r="Q484" s="22">
        <v>3.8752493163805912E-2</v>
      </c>
      <c r="R484" s="19">
        <f t="shared" si="56"/>
        <v>3.4984509076656289E-2</v>
      </c>
      <c r="S484" s="22">
        <v>4.0999008033819617E-2</v>
      </c>
      <c r="T484" s="19">
        <f t="shared" si="57"/>
        <v>4.2201578617657276E-2</v>
      </c>
      <c r="U484" s="24">
        <v>4.4267982373343395E-2</v>
      </c>
      <c r="V484" s="24">
        <f t="shared" si="58"/>
        <v>4.2818362104910301E-2</v>
      </c>
      <c r="W484" s="23">
        <f t="shared" si="59"/>
        <v>3.4999933825730078E-3</v>
      </c>
      <c r="X484" s="24">
        <v>4.3580986660158638E-2</v>
      </c>
      <c r="Y484" s="24">
        <f t="shared" si="60"/>
        <v>4.2620220675186893E-2</v>
      </c>
      <c r="Z484" s="23">
        <f t="shared" si="61"/>
        <v>3.4839734353278029E-3</v>
      </c>
      <c r="AA484" s="36"/>
    </row>
    <row r="485" spans="15:27" ht="13.9" customHeight="1">
      <c r="O485" s="12">
        <f t="shared" si="55"/>
        <v>39.333333333333336</v>
      </c>
      <c r="P485" s="13">
        <v>472</v>
      </c>
      <c r="Q485" s="22">
        <v>3.8744495663500578E-2</v>
      </c>
      <c r="R485" s="19">
        <f t="shared" si="56"/>
        <v>3.4991765968532818E-2</v>
      </c>
      <c r="S485" s="22">
        <v>4.1001554385469152E-2</v>
      </c>
      <c r="T485" s="19">
        <f t="shared" si="57"/>
        <v>4.2208253206370339E-2</v>
      </c>
      <c r="U485" s="24">
        <v>4.4264909014816389E-2</v>
      </c>
      <c r="V485" s="24">
        <f t="shared" si="58"/>
        <v>4.2818798474799635E-2</v>
      </c>
      <c r="W485" s="23">
        <f t="shared" si="59"/>
        <v>3.5000284604160825E-3</v>
      </c>
      <c r="X485" s="24">
        <v>4.3578950203420952E-2</v>
      </c>
      <c r="Y485" s="24">
        <f t="shared" si="60"/>
        <v>4.2622259526788442E-2</v>
      </c>
      <c r="Z485" s="23">
        <f t="shared" si="61"/>
        <v>3.4841378496583975E-3</v>
      </c>
      <c r="AA485" s="36"/>
    </row>
    <row r="486" spans="15:27" ht="13.9" customHeight="1">
      <c r="O486" s="12">
        <f t="shared" si="55"/>
        <v>39.416666666666664</v>
      </c>
      <c r="P486" s="13">
        <v>473</v>
      </c>
      <c r="Q486" s="22">
        <v>3.8736547438279034E-2</v>
      </c>
      <c r="R486" s="19">
        <f t="shared" si="56"/>
        <v>3.4999145603494153E-2</v>
      </c>
      <c r="S486" s="22">
        <v>4.1004104071415526E-2</v>
      </c>
      <c r="T486" s="19">
        <f t="shared" si="57"/>
        <v>4.2214871601043757E-2</v>
      </c>
      <c r="U486" s="24">
        <v>4.4261849584285473E-2</v>
      </c>
      <c r="V486" s="24">
        <f t="shared" si="58"/>
        <v>4.2819233788814692E-2</v>
      </c>
      <c r="W486" s="23">
        <f t="shared" si="59"/>
        <v>3.5000634534958497E-3</v>
      </c>
      <c r="X486" s="24">
        <v>4.3576926675862326E-2</v>
      </c>
      <c r="Y486" s="24">
        <f t="shared" si="60"/>
        <v>4.2624287373129288E-2</v>
      </c>
      <c r="Z486" s="23">
        <f t="shared" si="61"/>
        <v>3.484301376236898E-3</v>
      </c>
      <c r="AA486" s="36"/>
    </row>
    <row r="487" spans="15:27" ht="13.9" customHeight="1">
      <c r="O487" s="12">
        <f t="shared" si="55"/>
        <v>39.5</v>
      </c>
      <c r="P487" s="13">
        <v>474</v>
      </c>
      <c r="Q487" s="22">
        <v>3.8728648435312651E-2</v>
      </c>
      <c r="R487" s="19">
        <f t="shared" si="56"/>
        <v>3.5006646985767276E-2</v>
      </c>
      <c r="S487" s="22">
        <v>4.100665695211414E-2</v>
      </c>
      <c r="T487" s="19">
        <f t="shared" si="57"/>
        <v>4.2221434281582981E-2</v>
      </c>
      <c r="U487" s="24">
        <v>4.4258803991302775E-2</v>
      </c>
      <c r="V487" s="24">
        <f t="shared" si="58"/>
        <v>4.2819668052168858E-2</v>
      </c>
      <c r="W487" s="23">
        <f t="shared" si="59"/>
        <v>3.500098361890025E-3</v>
      </c>
      <c r="X487" s="24">
        <v>4.3574915972355299E-2</v>
      </c>
      <c r="Y487" s="24">
        <f t="shared" si="60"/>
        <v>4.2626304275873883E-2</v>
      </c>
      <c r="Z487" s="23">
        <f t="shared" si="61"/>
        <v>3.484464019845035E-3</v>
      </c>
      <c r="AA487" s="36"/>
    </row>
    <row r="488" spans="15:27" ht="13.9" customHeight="1">
      <c r="O488" s="12">
        <f t="shared" si="55"/>
        <v>39.583333333333336</v>
      </c>
      <c r="P488" s="13">
        <v>475</v>
      </c>
      <c r="Q488" s="22">
        <v>3.8720798600107242E-2</v>
      </c>
      <c r="R488" s="19">
        <f t="shared" si="56"/>
        <v>3.5014265298767056E-2</v>
      </c>
      <c r="S488" s="22">
        <v>4.1009212890205538E-2</v>
      </c>
      <c r="T488" s="19">
        <f t="shared" si="57"/>
        <v>4.2227941723298468E-2</v>
      </c>
      <c r="U488" s="24">
        <v>4.4255772146193806E-2</v>
      </c>
      <c r="V488" s="24">
        <f t="shared" si="58"/>
        <v>4.2820101266397126E-2</v>
      </c>
      <c r="W488" s="23">
        <f t="shared" si="59"/>
        <v>3.5001331860171625E-3</v>
      </c>
      <c r="X488" s="24">
        <v>4.357291798878804E-2</v>
      </c>
      <c r="Y488" s="24">
        <f t="shared" si="60"/>
        <v>4.2628310292668559E-2</v>
      </c>
      <c r="Z488" s="23">
        <f t="shared" si="61"/>
        <v>3.484625785433515E-3</v>
      </c>
      <c r="AA488" s="36"/>
    </row>
    <row r="489" spans="15:27" ht="13.9" customHeight="1">
      <c r="O489" s="12">
        <f t="shared" si="55"/>
        <v>39.666666666666664</v>
      </c>
      <c r="P489" s="13">
        <v>476</v>
      </c>
      <c r="Q489" s="22">
        <v>3.8712997868465049E-2</v>
      </c>
      <c r="R489" s="19">
        <f t="shared" si="56"/>
        <v>3.5021999572878437E-2</v>
      </c>
      <c r="S489" s="22">
        <v>4.1011771750483206E-2</v>
      </c>
      <c r="T489" s="19">
        <f t="shared" si="57"/>
        <v>4.223439439824106E-2</v>
      </c>
      <c r="U489" s="24">
        <v>4.4252753960041469E-2</v>
      </c>
      <c r="V489" s="24">
        <f t="shared" si="58"/>
        <v>4.2820533435235397E-2</v>
      </c>
      <c r="W489" s="23">
        <f t="shared" si="59"/>
        <v>3.500167926000497E-3</v>
      </c>
      <c r="X489" s="24">
        <v>4.3570932622046143E-2</v>
      </c>
      <c r="Y489" s="24">
        <f t="shared" si="60"/>
        <v>4.2630305484805842E-2</v>
      </c>
      <c r="Z489" s="23">
        <f t="shared" si="61"/>
        <v>3.4847866776301917E-3</v>
      </c>
      <c r="AA489" s="36"/>
    </row>
    <row r="490" spans="15:27" ht="13.9" customHeight="1">
      <c r="O490" s="12">
        <f t="shared" si="55"/>
        <v>39.75</v>
      </c>
      <c r="P490" s="13">
        <v>477</v>
      </c>
      <c r="Q490" s="22">
        <v>3.8705246174680852E-2</v>
      </c>
      <c r="R490" s="19">
        <f t="shared" si="56"/>
        <v>3.5029850127028972E-2</v>
      </c>
      <c r="S490" s="22">
        <v>4.1014333399863601E-2</v>
      </c>
      <c r="T490" s="19">
        <f t="shared" si="57"/>
        <v>4.2240792772700431E-2</v>
      </c>
      <c r="U490" s="24">
        <v>4.424974934468251E-2</v>
      </c>
      <c r="V490" s="24">
        <f t="shared" si="58"/>
        <v>4.282096455665374E-2</v>
      </c>
      <c r="W490" s="23">
        <f t="shared" si="59"/>
        <v>3.5002025821393445E-3</v>
      </c>
      <c r="X490" s="24">
        <v>4.3568959770008853E-2</v>
      </c>
      <c r="Y490" s="24">
        <f t="shared" si="60"/>
        <v>4.2632289909341869E-2</v>
      </c>
      <c r="Z490" s="23">
        <f t="shared" si="61"/>
        <v>3.4849467013557955E-3</v>
      </c>
      <c r="AA490" s="36"/>
    </row>
    <row r="491" spans="15:27" ht="13.9" customHeight="1">
      <c r="O491" s="12">
        <f t="shared" si="55"/>
        <v>39.833333333333336</v>
      </c>
      <c r="P491" s="13">
        <v>478</v>
      </c>
      <c r="Q491" s="22">
        <v>3.8697543454262906E-2</v>
      </c>
      <c r="R491" s="19">
        <f t="shared" si="56"/>
        <v>3.5037817286175832E-2</v>
      </c>
      <c r="S491" s="22">
        <v>4.1016897707352618E-2</v>
      </c>
      <c r="T491" s="19">
        <f t="shared" si="57"/>
        <v>4.224713730998908E-2</v>
      </c>
      <c r="U491" s="24">
        <v>4.4246758212687753E-2</v>
      </c>
      <c r="V491" s="24">
        <f t="shared" si="58"/>
        <v>4.2821394637000187E-2</v>
      </c>
      <c r="W491" s="23">
        <f t="shared" si="59"/>
        <v>3.5002371542713906E-3</v>
      </c>
      <c r="X491" s="24">
        <v>4.3566999331530409E-2</v>
      </c>
      <c r="Y491" s="24">
        <f t="shared" si="60"/>
        <v>4.263426362689926E-2</v>
      </c>
      <c r="Z491" s="23">
        <f t="shared" si="61"/>
        <v>3.4851058611911068E-3</v>
      </c>
      <c r="AA491" s="36"/>
    </row>
    <row r="492" spans="15:27" ht="13.9" customHeight="1">
      <c r="O492" s="12">
        <f t="shared" si="55"/>
        <v>39.916666666666664</v>
      </c>
      <c r="P492" s="13">
        <v>479</v>
      </c>
      <c r="Q492" s="22">
        <v>3.8689889643933162E-2</v>
      </c>
      <c r="R492" s="19">
        <f t="shared" si="56"/>
        <v>3.5045901386399292E-2</v>
      </c>
      <c r="S492" s="22">
        <v>4.1019464544016948E-2</v>
      </c>
      <c r="T492" s="19">
        <f t="shared" si="57"/>
        <v>4.2253428469333443E-2</v>
      </c>
      <c r="U492" s="24">
        <v>4.4243780477372319E-2</v>
      </c>
      <c r="V492" s="24">
        <f t="shared" si="58"/>
        <v>4.2821823677572146E-2</v>
      </c>
      <c r="W492" s="23">
        <f t="shared" si="59"/>
        <v>3.5002716429053393E-3</v>
      </c>
      <c r="X492" s="24">
        <v>4.3565051206436944E-2</v>
      </c>
      <c r="Y492" s="24">
        <f t="shared" si="60"/>
        <v>4.2636226694139134E-2</v>
      </c>
      <c r="Z492" s="23">
        <f t="shared" si="61"/>
        <v>3.485264162002899E-3</v>
      </c>
      <c r="AA492" s="36"/>
    </row>
    <row r="493" spans="15:27" ht="13.9" customHeight="1">
      <c r="O493" s="12">
        <f t="shared" si="55"/>
        <v>40</v>
      </c>
      <c r="P493" s="13">
        <v>480</v>
      </c>
      <c r="Q493" s="22">
        <v>3.8682284681637258E-2</v>
      </c>
      <c r="R493" s="19">
        <f t="shared" si="56"/>
        <v>3.5054101520071823E-2</v>
      </c>
      <c r="S493" s="22">
        <v>4.1022033782954548E-2</v>
      </c>
      <c r="T493" s="19">
        <f t="shared" si="57"/>
        <v>4.2259666705844579E-2</v>
      </c>
      <c r="U493" s="24">
        <v>4.4240816052776522E-2</v>
      </c>
      <c r="V493" s="24">
        <f t="shared" si="58"/>
        <v>4.2822251685827872E-2</v>
      </c>
      <c r="W493" s="23">
        <f t="shared" si="59"/>
        <v>3.5003060481457737E-3</v>
      </c>
      <c r="X493" s="24">
        <v>4.3563115295508492E-2</v>
      </c>
      <c r="Y493" s="24">
        <f t="shared" si="60"/>
        <v>4.2638179170872537E-2</v>
      </c>
      <c r="Z493" s="23">
        <f t="shared" si="61"/>
        <v>3.485421608339756E-3</v>
      </c>
      <c r="AA493" s="36"/>
    </row>
    <row r="494" spans="15:27" ht="13.9" customHeight="1">
      <c r="O494" s="12">
        <f t="shared" si="55"/>
        <v>40.083333333333336</v>
      </c>
      <c r="P494" s="13">
        <v>481</v>
      </c>
      <c r="Q494" s="22">
        <v>3.8674728503937494E-2</v>
      </c>
      <c r="R494" s="19">
        <f t="shared" si="56"/>
        <v>3.506241303943658E-2</v>
      </c>
      <c r="S494" s="22">
        <v>4.1024605299264216E-2</v>
      </c>
      <c r="T494" s="19">
        <f t="shared" si="57"/>
        <v>4.2265852470723342E-2</v>
      </c>
      <c r="U494" s="24">
        <v>4.4237864853671649E-2</v>
      </c>
      <c r="V494" s="24">
        <f t="shared" si="58"/>
        <v>4.2822678654159896E-2</v>
      </c>
      <c r="W494" s="23">
        <f t="shared" si="59"/>
        <v>3.5003403705906599E-3</v>
      </c>
      <c r="X494" s="24">
        <v>4.3561191500474994E-2</v>
      </c>
      <c r="Y494" s="24">
        <f t="shared" si="60"/>
        <v>4.2640121113043605E-2</v>
      </c>
      <c r="Z494" s="23">
        <f t="shared" si="61"/>
        <v>3.4855782050036144E-3</v>
      </c>
      <c r="AA494" s="36"/>
    </row>
    <row r="495" spans="15:27" ht="13.9" customHeight="1">
      <c r="O495" s="12">
        <f t="shared" si="55"/>
        <v>40.166666666666664</v>
      </c>
      <c r="P495" s="13">
        <v>482</v>
      </c>
      <c r="Q495" s="22">
        <v>3.8667221038240385E-2</v>
      </c>
      <c r="R495" s="19">
        <f t="shared" si="56"/>
        <v>3.5070835062304351E-2</v>
      </c>
      <c r="S495" s="22">
        <v>4.1027178970017397E-2</v>
      </c>
      <c r="T495" s="19">
        <f t="shared" si="57"/>
        <v>4.2271986210038248E-2</v>
      </c>
      <c r="U495" s="24">
        <v>4.4234926795521323E-2</v>
      </c>
      <c r="V495" s="24">
        <f t="shared" si="58"/>
        <v>4.2823104594116979E-2</v>
      </c>
      <c r="W495" s="23">
        <f t="shared" si="59"/>
        <v>3.5003746096300414E-3</v>
      </c>
      <c r="X495" s="24">
        <v>4.35592797239992E-2</v>
      </c>
      <c r="Y495" s="24">
        <f t="shared" si="60"/>
        <v>4.2642052579697332E-2</v>
      </c>
      <c r="Z495" s="23">
        <f t="shared" si="61"/>
        <v>3.4857339564857703E-3</v>
      </c>
      <c r="AA495" s="36"/>
    </row>
    <row r="496" spans="15:27" ht="13.9" customHeight="1">
      <c r="O496" s="12">
        <f t="shared" si="55"/>
        <v>40.25</v>
      </c>
      <c r="P496" s="13">
        <v>483</v>
      </c>
      <c r="Q496" s="22">
        <v>3.8659762210715432E-2</v>
      </c>
      <c r="R496" s="19">
        <f t="shared" si="56"/>
        <v>3.5079367967286279E-2</v>
      </c>
      <c r="S496" s="22">
        <v>4.1029754674227092E-2</v>
      </c>
      <c r="T496" s="19">
        <f t="shared" si="57"/>
        <v>4.2278068368828192E-2</v>
      </c>
      <c r="U496" s="24">
        <v>4.4232001794513254E-2</v>
      </c>
      <c r="V496" s="24">
        <f t="shared" si="58"/>
        <v>4.282352950724122E-2</v>
      </c>
      <c r="W496" s="23">
        <f t="shared" si="59"/>
        <v>3.5004087661902883E-3</v>
      </c>
      <c r="X496" s="24">
        <v>4.3557379869672674E-2</v>
      </c>
      <c r="Y496" s="24">
        <f t="shared" si="60"/>
        <v>4.2643973627105813E-2</v>
      </c>
      <c r="Z496" s="23">
        <f t="shared" si="61"/>
        <v>3.485888867525766E-3</v>
      </c>
      <c r="AA496" s="36"/>
    </row>
    <row r="497" spans="15:27" ht="13.9" customHeight="1">
      <c r="O497" s="12">
        <f t="shared" si="55"/>
        <v>40.333333333333336</v>
      </c>
      <c r="P497" s="13">
        <v>484</v>
      </c>
      <c r="Q497" s="22">
        <v>3.8652351948921693E-2</v>
      </c>
      <c r="R497" s="19">
        <f t="shared" si="56"/>
        <v>3.5088012142126423E-2</v>
      </c>
      <c r="S497" s="22">
        <v>4.1032332292825213E-2</v>
      </c>
      <c r="T497" s="19">
        <f t="shared" si="57"/>
        <v>4.2284099384429563E-2</v>
      </c>
      <c r="U497" s="24">
        <v>4.4229089767531926E-2</v>
      </c>
      <c r="V497" s="24">
        <f t="shared" si="58"/>
        <v>4.2823953386102565E-2</v>
      </c>
      <c r="W497" s="23">
        <f t="shared" si="59"/>
        <v>3.5004428403948573E-3</v>
      </c>
      <c r="X497" s="24">
        <v>4.3555491842001137E-2</v>
      </c>
      <c r="Y497" s="24">
        <f t="shared" si="60"/>
        <v>4.2645884311441895E-2</v>
      </c>
      <c r="Z497" s="23">
        <f t="shared" si="61"/>
        <v>3.4860429426413209E-3</v>
      </c>
      <c r="AA497" s="36"/>
    </row>
    <row r="498" spans="15:27" ht="13.9" customHeight="1">
      <c r="O498" s="12">
        <f t="shared" si="55"/>
        <v>40.416666666666664</v>
      </c>
      <c r="P498" s="13">
        <v>485</v>
      </c>
      <c r="Q498" s="22">
        <v>3.8644990181812666E-2</v>
      </c>
      <c r="R498" s="19">
        <f t="shared" si="56"/>
        <v>3.5096767981153132E-2</v>
      </c>
      <c r="S498" s="22">
        <v>4.1034911708627053E-2</v>
      </c>
      <c r="T498" s="19">
        <f t="shared" si="57"/>
        <v>4.2290079694195404E-2</v>
      </c>
      <c r="U498" s="24">
        <v>4.4226190632132178E-2</v>
      </c>
      <c r="V498" s="24">
        <f t="shared" si="58"/>
        <v>4.2824376251261009E-2</v>
      </c>
      <c r="W498" s="23">
        <f t="shared" si="59"/>
        <v>3.5004768316482249E-3</v>
      </c>
      <c r="X498" s="24">
        <v>4.3553615546394253E-2</v>
      </c>
      <c r="Y498" s="24">
        <f t="shared" si="60"/>
        <v>4.2647784690501567E-2</v>
      </c>
      <c r="Z498" s="23">
        <f t="shared" si="61"/>
        <v>3.4861961863421609E-3</v>
      </c>
      <c r="AA498" s="36"/>
    </row>
    <row r="499" spans="15:27" ht="13.9" customHeight="1">
      <c r="O499" s="12">
        <f t="shared" si="55"/>
        <v>40.5</v>
      </c>
      <c r="P499" s="13">
        <v>486</v>
      </c>
      <c r="Q499" s="22">
        <v>3.863767683973518E-2</v>
      </c>
      <c r="R499" s="19">
        <f t="shared" si="56"/>
        <v>3.5105634663880281E-2</v>
      </c>
      <c r="S499" s="22">
        <v>4.1037492806312192E-2</v>
      </c>
      <c r="T499" s="19">
        <f t="shared" si="57"/>
        <v>4.2296009728302053E-2</v>
      </c>
      <c r="U499" s="24">
        <v>4.4223304306590494E-2</v>
      </c>
      <c r="V499" s="24">
        <f t="shared" si="58"/>
        <v>4.2824798088398897E-2</v>
      </c>
      <c r="W499" s="23">
        <f t="shared" si="59"/>
        <v>3.5005107415990722E-3</v>
      </c>
      <c r="X499" s="24">
        <v>4.3551750889159857E-2</v>
      </c>
      <c r="Y499" s="24">
        <f t="shared" si="60"/>
        <v>4.2649674818862726E-2</v>
      </c>
      <c r="Z499" s="23">
        <f t="shared" si="61"/>
        <v>3.486348603267686E-3</v>
      </c>
      <c r="AA499" s="36"/>
    </row>
    <row r="500" spans="15:27" ht="13.9" customHeight="1">
      <c r="O500" s="12">
        <f t="shared" si="55"/>
        <v>40.583333333333336</v>
      </c>
      <c r="P500" s="13">
        <v>487</v>
      </c>
      <c r="Q500" s="22">
        <v>3.863041185191185E-2</v>
      </c>
      <c r="R500" s="19">
        <f t="shared" si="56"/>
        <v>3.5114607704116896E-2</v>
      </c>
      <c r="S500" s="22">
        <v>4.1040075472390303E-2</v>
      </c>
      <c r="T500" s="19">
        <f t="shared" si="57"/>
        <v>4.2301889916044777E-2</v>
      </c>
      <c r="U500" s="24">
        <v>4.4220430709825509E-2</v>
      </c>
      <c r="V500" s="24">
        <f t="shared" si="58"/>
        <v>4.2825218906501039E-2</v>
      </c>
      <c r="W500" s="23">
        <f t="shared" si="59"/>
        <v>3.5005445690996506E-3</v>
      </c>
      <c r="X500" s="24">
        <v>4.3549897777488189E-2</v>
      </c>
      <c r="Y500" s="24">
        <f t="shared" si="60"/>
        <v>4.2651554754440602E-2</v>
      </c>
      <c r="Z500" s="23">
        <f t="shared" si="61"/>
        <v>3.4865001977992804E-3</v>
      </c>
      <c r="AA500" s="36"/>
    </row>
    <row r="501" spans="15:27" ht="13.9" customHeight="1">
      <c r="O501" s="12">
        <f t="shared" si="55"/>
        <v>40.666666666666664</v>
      </c>
      <c r="P501" s="13">
        <v>488</v>
      </c>
      <c r="Q501" s="22">
        <v>3.8623195138915989E-2</v>
      </c>
      <c r="R501" s="19">
        <f t="shared" si="56"/>
        <v>3.5123686305117863E-2</v>
      </c>
      <c r="S501" s="22">
        <v>4.1042659595180941E-2</v>
      </c>
      <c r="T501" s="19">
        <f t="shared" si="57"/>
        <v>4.2307720680234029E-2</v>
      </c>
      <c r="U501" s="24">
        <v>4.4217569761439535E-2</v>
      </c>
      <c r="V501" s="24">
        <f t="shared" si="58"/>
        <v>4.2825638711670999E-2</v>
      </c>
      <c r="W501" s="23">
        <f t="shared" si="59"/>
        <v>3.5005783148702729E-3</v>
      </c>
      <c r="X501" s="24">
        <v>4.3548056119449896E-2</v>
      </c>
      <c r="Y501" s="24">
        <f t="shared" si="60"/>
        <v>4.2653424551109875E-2</v>
      </c>
      <c r="Z501" s="23">
        <f t="shared" si="61"/>
        <v>3.4866509745863361E-3</v>
      </c>
      <c r="AA501" s="36"/>
    </row>
    <row r="502" spans="15:27" ht="13.9" customHeight="1">
      <c r="O502" s="12">
        <f t="shared" si="55"/>
        <v>40.75</v>
      </c>
      <c r="P502" s="13">
        <v>489</v>
      </c>
      <c r="Q502" s="22">
        <v>3.861602662033059E-2</v>
      </c>
      <c r="R502" s="19">
        <f t="shared" si="56"/>
        <v>3.5132870904069025E-2</v>
      </c>
      <c r="S502" s="22">
        <v>4.1045245064781133E-2</v>
      </c>
      <c r="T502" s="19">
        <f t="shared" si="57"/>
        <v>4.2313502442332229E-2</v>
      </c>
      <c r="U502" s="24">
        <v>4.4214721381705235E-2</v>
      </c>
      <c r="V502" s="24">
        <f t="shared" si="58"/>
        <v>4.2826057498175363E-2</v>
      </c>
      <c r="W502" s="23">
        <f t="shared" si="59"/>
        <v>3.5006119794003254E-3</v>
      </c>
      <c r="X502" s="24">
        <v>4.3546225823978268E-2</v>
      </c>
      <c r="Y502" s="24">
        <f t="shared" si="60"/>
        <v>4.2655284263710236E-2</v>
      </c>
      <c r="Z502" s="23">
        <f t="shared" si="61"/>
        <v>3.4868009379536158E-3</v>
      </c>
      <c r="AA502" s="36"/>
    </row>
    <row r="503" spans="15:27" ht="13.9" customHeight="1">
      <c r="O503" s="12">
        <f t="shared" si="55"/>
        <v>40.833333333333336</v>
      </c>
      <c r="P503" s="13">
        <v>490</v>
      </c>
      <c r="Q503" s="22">
        <v>3.860890621728541E-2</v>
      </c>
      <c r="R503" s="19">
        <f t="shared" si="56"/>
        <v>3.5142161945825867E-2</v>
      </c>
      <c r="S503" s="22">
        <v>4.1047831773045163E-2</v>
      </c>
      <c r="T503" s="19">
        <f t="shared" si="57"/>
        <v>4.2319235618759166E-2</v>
      </c>
      <c r="U503" s="24">
        <v>4.4211885491535208E-2</v>
      </c>
      <c r="V503" s="24">
        <f t="shared" si="58"/>
        <v>4.2826475276166009E-2</v>
      </c>
      <c r="W503" s="23">
        <f t="shared" si="59"/>
        <v>3.5006455622306198E-3</v>
      </c>
      <c r="X503" s="24">
        <v>4.3544406800862578E-2</v>
      </c>
      <c r="Y503" s="24">
        <f t="shared" si="60"/>
        <v>4.2657133948854398E-2</v>
      </c>
      <c r="Z503" s="23">
        <f t="shared" si="61"/>
        <v>3.4869500923031538E-3</v>
      </c>
      <c r="AA503" s="36"/>
    </row>
    <row r="504" spans="15:27" ht="13.9" customHeight="1">
      <c r="O504" s="12">
        <f t="shared" si="55"/>
        <v>40.916666666666664</v>
      </c>
      <c r="P504" s="13">
        <v>491</v>
      </c>
      <c r="Q504" s="22">
        <v>3.8601833852456524E-2</v>
      </c>
      <c r="R504" s="19">
        <f t="shared" si="56"/>
        <v>3.5151559883131567E-2</v>
      </c>
      <c r="S504" s="22">
        <v>4.1050419613555933E-2</v>
      </c>
      <c r="T504" s="19">
        <f t="shared" si="57"/>
        <v>4.232492062332005E-2</v>
      </c>
      <c r="U504" s="24">
        <v>4.4209062012507294E-2</v>
      </c>
      <c r="V504" s="24">
        <f t="shared" si="58"/>
        <v>4.2826892042167719E-2</v>
      </c>
      <c r="W504" s="23">
        <f t="shared" si="59"/>
        <v>3.5006790641749497E-3</v>
      </c>
      <c r="X504" s="24">
        <v>4.3542598960743195E-2</v>
      </c>
      <c r="Y504" s="24">
        <f t="shared" si="60"/>
        <v>4.2658973659773114E-2</v>
      </c>
      <c r="Z504" s="23">
        <f t="shared" si="61"/>
        <v>3.4870984421799811E-3</v>
      </c>
      <c r="AA504" s="36"/>
    </row>
    <row r="505" spans="15:27" ht="13.9" customHeight="1">
      <c r="O505" s="12">
        <f t="shared" si="55"/>
        <v>41</v>
      </c>
      <c r="P505" s="13">
        <v>492</v>
      </c>
      <c r="Q505" s="22">
        <v>3.8594809450067213E-2</v>
      </c>
      <c r="R505" s="19">
        <f t="shared" si="56"/>
        <v>3.516106397771912E-2</v>
      </c>
      <c r="S505" s="22">
        <v>4.1053008481602093E-2</v>
      </c>
      <c r="T505" s="19">
        <f t="shared" si="57"/>
        <v>4.2330557865186691E-2</v>
      </c>
      <c r="U505" s="24">
        <v>4.4206250866830388E-2</v>
      </c>
      <c r="V505" s="24">
        <f t="shared" si="58"/>
        <v>4.2827307805610726E-2</v>
      </c>
      <c r="W505" s="23">
        <f t="shared" si="59"/>
        <v>3.500712484954871E-3</v>
      </c>
      <c r="X505" s="24">
        <v>4.354080221509582E-2</v>
      </c>
      <c r="Y505" s="24">
        <f t="shared" si="60"/>
        <v>4.2660803451520124E-2</v>
      </c>
      <c r="Z505" s="23">
        <f t="shared" si="61"/>
        <v>3.4872459918569021E-3</v>
      </c>
      <c r="AA505" s="36"/>
    </row>
    <row r="506" spans="15:27" ht="13.9" customHeight="1">
      <c r="O506" s="12">
        <f t="shared" si="55"/>
        <v>41.083333333333336</v>
      </c>
      <c r="P506" s="13">
        <v>493</v>
      </c>
      <c r="Q506" s="22">
        <v>3.8587832933447475E-2</v>
      </c>
      <c r="R506" s="19">
        <f t="shared" si="56"/>
        <v>3.5170669902050644E-2</v>
      </c>
      <c r="S506" s="22">
        <v>4.1055598274151839E-2</v>
      </c>
      <c r="T506" s="19">
        <f t="shared" si="57"/>
        <v>4.2336147750403175E-2</v>
      </c>
      <c r="U506" s="24">
        <v>4.4203451977364194E-2</v>
      </c>
      <c r="V506" s="24">
        <f t="shared" si="58"/>
        <v>4.2827722562312376E-2</v>
      </c>
      <c r="W506" s="23">
        <f t="shared" si="59"/>
        <v>3.5007458253266677E-3</v>
      </c>
      <c r="X506" s="24">
        <v>4.3539016476226822E-2</v>
      </c>
      <c r="Y506" s="24">
        <f t="shared" si="60"/>
        <v>4.2662623378461051E-2</v>
      </c>
      <c r="Z506" s="23">
        <f t="shared" si="61"/>
        <v>3.4873927457532705E-3</v>
      </c>
      <c r="AA506" s="36"/>
    </row>
    <row r="507" spans="15:27" ht="13.9" customHeight="1">
      <c r="O507" s="12">
        <f t="shared" si="55"/>
        <v>41.166666666666664</v>
      </c>
      <c r="P507" s="13">
        <v>494</v>
      </c>
      <c r="Q507" s="22">
        <v>3.8580904217754064E-2</v>
      </c>
      <c r="R507" s="19">
        <f t="shared" si="56"/>
        <v>3.5180376940969316E-2</v>
      </c>
      <c r="S507" s="22">
        <v>4.1058188889828928E-2</v>
      </c>
      <c r="T507" s="19">
        <f t="shared" si="57"/>
        <v>4.2341690681368505E-2</v>
      </c>
      <c r="U507" s="24">
        <v>4.4200665267585038E-2</v>
      </c>
      <c r="V507" s="24">
        <f t="shared" si="58"/>
        <v>4.2828136318028065E-2</v>
      </c>
      <c r="W507" s="23">
        <f t="shared" si="59"/>
        <v>3.5007790849548304E-3</v>
      </c>
      <c r="X507" s="24">
        <v>4.3537241657263248E-2</v>
      </c>
      <c r="Y507" s="24">
        <f t="shared" si="60"/>
        <v>4.2664433492140663E-2</v>
      </c>
      <c r="Z507" s="23">
        <f t="shared" si="61"/>
        <v>3.4875387082333731E-3</v>
      </c>
      <c r="AA507" s="36"/>
    </row>
    <row r="508" spans="15:27" ht="13.9" customHeight="1">
      <c r="O508" s="12">
        <f t="shared" si="55"/>
        <v>41.25</v>
      </c>
      <c r="P508" s="13">
        <v>495</v>
      </c>
      <c r="Q508" s="22">
        <v>3.8574023217375242E-2</v>
      </c>
      <c r="R508" s="19">
        <f t="shared" si="56"/>
        <v>3.5190185586651213E-2</v>
      </c>
      <c r="S508" s="22">
        <v>4.1060780228888705E-2</v>
      </c>
      <c r="T508" s="19">
        <f t="shared" si="57"/>
        <v>4.2347187057763414E-2</v>
      </c>
      <c r="U508" s="24">
        <v>4.4197890661599404E-2</v>
      </c>
      <c r="V508" s="24">
        <f t="shared" si="58"/>
        <v>4.2828549072606137E-2</v>
      </c>
      <c r="W508" s="23">
        <f t="shared" si="59"/>
        <v>3.5008122643014339E-3</v>
      </c>
      <c r="X508" s="24">
        <v>4.3535477672139056E-2</v>
      </c>
      <c r="Y508" s="24">
        <f t="shared" si="60"/>
        <v>4.2666233848998703E-2</v>
      </c>
      <c r="Z508" s="23">
        <f t="shared" si="61"/>
        <v>3.4876838834345669E-3</v>
      </c>
      <c r="AA508" s="36"/>
    </row>
    <row r="509" spans="15:27" ht="13.9" customHeight="1">
      <c r="O509" s="12">
        <f t="shared" si="55"/>
        <v>41.333333333333336</v>
      </c>
      <c r="P509" s="13">
        <v>496</v>
      </c>
      <c r="Q509" s="22">
        <v>3.856718984838059E-2</v>
      </c>
      <c r="R509" s="19">
        <f t="shared" si="56"/>
        <v>3.520009634138721E-2</v>
      </c>
      <c r="S509" s="22">
        <v>4.1063372193196557E-2</v>
      </c>
      <c r="T509" s="19">
        <f t="shared" si="57"/>
        <v>4.2352637274427618E-2</v>
      </c>
      <c r="U509" s="24">
        <v>4.41951280841264E-2</v>
      </c>
      <c r="V509" s="24">
        <f t="shared" si="58"/>
        <v>4.2828960835370911E-2</v>
      </c>
      <c r="W509" s="23">
        <f t="shared" si="59"/>
        <v>3.5008453633538217E-3</v>
      </c>
      <c r="X509" s="24">
        <v>4.3533724435596666E-2</v>
      </c>
      <c r="Y509" s="24">
        <f t="shared" si="60"/>
        <v>4.2668024499481039E-2</v>
      </c>
      <c r="Z509" s="23">
        <f t="shared" si="61"/>
        <v>3.4878282758876722E-3</v>
      </c>
      <c r="AA509" s="36"/>
    </row>
    <row r="510" spans="15:27" ht="13.9" customHeight="1">
      <c r="O510" s="12">
        <f t="shared" si="55"/>
        <v>41.416666666666664</v>
      </c>
      <c r="P510" s="13">
        <v>497</v>
      </c>
      <c r="Q510" s="22">
        <v>3.856040402852412E-2</v>
      </c>
      <c r="R510" s="19">
        <f t="shared" si="56"/>
        <v>3.5210109712122017E-2</v>
      </c>
      <c r="S510" s="22">
        <v>4.1065964686201717E-2</v>
      </c>
      <c r="T510" s="19">
        <f t="shared" si="57"/>
        <v>4.2358041723964179E-2</v>
      </c>
      <c r="U510" s="24">
        <v>4.4192377460509968E-2</v>
      </c>
      <c r="V510" s="24">
        <f t="shared" si="58"/>
        <v>4.2829371597554289E-2</v>
      </c>
      <c r="W510" s="23">
        <f t="shared" si="59"/>
        <v>3.5008783828602841E-3</v>
      </c>
      <c r="X510" s="24">
        <v>4.353198186316698E-2</v>
      </c>
      <c r="Y510" s="24">
        <f t="shared" si="60"/>
        <v>4.2669805498308122E-2</v>
      </c>
      <c r="Z510" s="23">
        <f t="shared" si="61"/>
        <v>3.4879718896421164E-3</v>
      </c>
      <c r="AA510" s="36"/>
    </row>
    <row r="511" spans="15:27" ht="13.9" customHeight="1">
      <c r="O511" s="12">
        <f t="shared" si="55"/>
        <v>41.5</v>
      </c>
      <c r="P511" s="13">
        <v>498</v>
      </c>
      <c r="Q511" s="22">
        <v>3.855366567723717E-2</v>
      </c>
      <c r="R511" s="19">
        <f t="shared" si="56"/>
        <v>3.5220225040820896E-2</v>
      </c>
      <c r="S511" s="22">
        <v>4.106855761291639E-2</v>
      </c>
      <c r="T511" s="19">
        <f t="shared" si="57"/>
        <v>4.236340079455414E-2</v>
      </c>
      <c r="U511" s="24">
        <v>4.4189638716676471E-2</v>
      </c>
      <c r="V511" s="24">
        <f t="shared" si="58"/>
        <v>4.2829781372726972E-2</v>
      </c>
      <c r="W511" s="23">
        <f t="shared" si="59"/>
        <v>3.5009113221176058E-3</v>
      </c>
      <c r="X511" s="24">
        <v>4.3530249871169602E-2</v>
      </c>
      <c r="Y511" s="24">
        <f t="shared" si="60"/>
        <v>4.2671576897618024E-2</v>
      </c>
      <c r="Z511" s="23">
        <f t="shared" si="61"/>
        <v>3.4881147290901637E-3</v>
      </c>
      <c r="AA511" s="36"/>
    </row>
    <row r="512" spans="15:27" ht="13.9" customHeight="1">
      <c r="O512" s="12">
        <f t="shared" si="55"/>
        <v>41.583333333333336</v>
      </c>
      <c r="P512" s="13">
        <v>499</v>
      </c>
      <c r="Q512" s="22">
        <v>3.8546974713269178E-2</v>
      </c>
      <c r="R512" s="19">
        <f t="shared" si="56"/>
        <v>3.5230438152911159E-2</v>
      </c>
      <c r="S512" s="22">
        <v>4.1071150879892437E-2</v>
      </c>
      <c r="T512" s="19">
        <f t="shared" si="57"/>
        <v>4.2368714872247137E-2</v>
      </c>
      <c r="U512" s="24">
        <v>4.4186911779173998E-2</v>
      </c>
      <c r="V512" s="24">
        <f t="shared" si="58"/>
        <v>4.2830190155816794E-2</v>
      </c>
      <c r="W512" s="23">
        <f t="shared" si="59"/>
        <v>3.5009441822140275E-3</v>
      </c>
      <c r="X512" s="24">
        <v>4.3528528376700404E-2</v>
      </c>
      <c r="Y512" s="24">
        <f t="shared" si="60"/>
        <v>4.2673338748076439E-2</v>
      </c>
      <c r="Z512" s="23">
        <f t="shared" si="61"/>
        <v>3.4882567984171331E-3</v>
      </c>
      <c r="AA512" s="36"/>
    </row>
    <row r="513" spans="15:27" ht="13.9" customHeight="1">
      <c r="O513" s="12">
        <f t="shared" si="55"/>
        <v>41.666666666666664</v>
      </c>
      <c r="P513" s="13">
        <v>500</v>
      </c>
      <c r="Q513" s="22">
        <v>3.8540331047638654E-2</v>
      </c>
      <c r="R513" s="19">
        <f t="shared" si="56"/>
        <v>3.5240748413440048E-2</v>
      </c>
      <c r="S513" s="22">
        <v>4.1073744395200062E-2</v>
      </c>
      <c r="T513" s="19">
        <f t="shared" si="57"/>
        <v>4.2373984338468063E-2</v>
      </c>
      <c r="U513" s="24">
        <v>4.4184196575128176E-2</v>
      </c>
      <c r="V513" s="24">
        <f t="shared" si="58"/>
        <v>4.2830597951467375E-2</v>
      </c>
      <c r="W513" s="23">
        <f t="shared" si="59"/>
        <v>3.5009769627429854E-3</v>
      </c>
      <c r="X513" s="24">
        <v>4.3526817297620202E-2</v>
      </c>
      <c r="Y513" s="24">
        <f t="shared" si="60"/>
        <v>4.2675091102756468E-2</v>
      </c>
      <c r="Z513" s="23">
        <f t="shared" si="61"/>
        <v>3.4883981016899934E-3</v>
      </c>
      <c r="AA513" s="36"/>
    </row>
    <row r="514" spans="15:27" ht="13.9" customHeight="1">
      <c r="O514" s="12">
        <f t="shared" si="55"/>
        <v>41.75</v>
      </c>
      <c r="P514" s="13">
        <v>501</v>
      </c>
      <c r="Q514" s="22">
        <v>3.8533734590798785E-2</v>
      </c>
      <c r="R514" s="19">
        <f t="shared" si="56"/>
        <v>3.5251156367937186E-2</v>
      </c>
      <c r="S514" s="22">
        <v>4.107633806840516E-2</v>
      </c>
      <c r="T514" s="19">
        <f t="shared" si="57"/>
        <v>4.2379209572318111E-2</v>
      </c>
      <c r="U514" s="24">
        <v>4.418149303225638E-2</v>
      </c>
      <c r="V514" s="24">
        <f t="shared" si="58"/>
        <v>4.2831004758970392E-2</v>
      </c>
      <c r="W514" s="23">
        <f t="shared" si="59"/>
        <v>3.5010096640770705E-3</v>
      </c>
      <c r="X514" s="24">
        <v>4.3525116552552312E-2</v>
      </c>
      <c r="Y514" s="24">
        <f t="shared" si="60"/>
        <v>4.267683401486666E-2</v>
      </c>
      <c r="Z514" s="23">
        <f t="shared" si="61"/>
        <v>3.4885386431688925E-3</v>
      </c>
      <c r="AA514" s="36"/>
    </row>
    <row r="515" spans="15:27" ht="13.9" customHeight="1">
      <c r="O515" s="12">
        <f t="shared" si="55"/>
        <v>41.833333333333336</v>
      </c>
      <c r="P515" s="13">
        <v>502</v>
      </c>
      <c r="Q515" s="22">
        <v>3.8527185255002427E-2</v>
      </c>
      <c r="R515" s="19">
        <f t="shared" si="56"/>
        <v>3.5261662571507868E-2</v>
      </c>
      <c r="S515" s="22">
        <v>4.1078931810548225E-2</v>
      </c>
      <c r="T515" s="19">
        <f t="shared" si="57"/>
        <v>4.2384390948982498E-2</v>
      </c>
      <c r="U515" s="24">
        <v>4.417880107885086E-2</v>
      </c>
      <c r="V515" s="24">
        <f t="shared" si="58"/>
        <v>4.283141059264306E-2</v>
      </c>
      <c r="W515" s="23">
        <f t="shared" si="59"/>
        <v>3.5010422861594392E-3</v>
      </c>
      <c r="X515" s="24">
        <v>4.3523426060874781E-2</v>
      </c>
      <c r="Y515" s="24">
        <f t="shared" si="60"/>
        <v>4.2678567532991485E-2</v>
      </c>
      <c r="Z515" s="23">
        <f t="shared" si="61"/>
        <v>3.4886784271248583E-3</v>
      </c>
      <c r="AA515" s="36"/>
    </row>
    <row r="516" spans="15:27" ht="13.9" customHeight="1">
      <c r="O516" s="12">
        <f t="shared" si="55"/>
        <v>41.916666666666664</v>
      </c>
      <c r="P516" s="13">
        <v>503</v>
      </c>
      <c r="Q516" s="22">
        <v>3.8520682954302554E-2</v>
      </c>
      <c r="R516" s="19">
        <f t="shared" si="56"/>
        <v>3.5272267585594319E-2</v>
      </c>
      <c r="S516" s="22">
        <v>4.1081525534122809E-2</v>
      </c>
      <c r="T516" s="19">
        <f t="shared" si="57"/>
        <v>4.238952884029068E-2</v>
      </c>
      <c r="U516" s="24">
        <v>4.4176120643802941E-2</v>
      </c>
      <c r="V516" s="24">
        <f t="shared" si="58"/>
        <v>4.2831815441848775E-2</v>
      </c>
      <c r="W516" s="23">
        <f t="shared" si="59"/>
        <v>3.5010748301380623E-3</v>
      </c>
      <c r="X516" s="24">
        <v>4.3521745742704399E-2</v>
      </c>
      <c r="Y516" s="24">
        <f t="shared" si="60"/>
        <v>4.2680291709498164E-2</v>
      </c>
      <c r="Z516" s="23">
        <f t="shared" si="61"/>
        <v>3.4888174574574382E-3</v>
      </c>
      <c r="AA516" s="36"/>
    </row>
    <row r="517" spans="15:27" ht="13.9" customHeight="1">
      <c r="O517" s="12">
        <f t="shared" si="55"/>
        <v>42</v>
      </c>
      <c r="P517" s="13">
        <v>504</v>
      </c>
      <c r="Q517" s="22">
        <v>3.8514227604547369E-2</v>
      </c>
      <c r="R517" s="19">
        <f t="shared" si="56"/>
        <v>3.528297082862597E-2</v>
      </c>
      <c r="S517" s="22">
        <v>4.1084119153054655E-2</v>
      </c>
      <c r="T517" s="19">
        <f t="shared" si="57"/>
        <v>4.2394623616079041E-2</v>
      </c>
      <c r="U517" s="24">
        <v>4.4173451656547735E-2</v>
      </c>
      <c r="V517" s="24">
        <f t="shared" si="58"/>
        <v>4.2832219312139319E-2</v>
      </c>
      <c r="W517" s="23">
        <f t="shared" si="59"/>
        <v>3.5011072951605104E-3</v>
      </c>
      <c r="X517" s="24">
        <v>4.3520075518896029E-2</v>
      </c>
      <c r="Y517" s="24">
        <f t="shared" si="60"/>
        <v>4.2682006595783806E-2</v>
      </c>
      <c r="Z517" s="23">
        <f t="shared" si="61"/>
        <v>3.4889557383706027E-3</v>
      </c>
      <c r="AA517" s="36"/>
    </row>
    <row r="518" spans="15:27" ht="13.9" customHeight="1">
      <c r="O518" s="12">
        <f t="shared" si="55"/>
        <v>42.083333333333336</v>
      </c>
      <c r="P518" s="13">
        <v>505</v>
      </c>
      <c r="Q518" s="22">
        <v>3.8507819121091691E-2</v>
      </c>
      <c r="R518" s="19">
        <f t="shared" si="56"/>
        <v>3.529376827595665E-2</v>
      </c>
      <c r="S518" s="22">
        <v>4.1086712582682372E-2</v>
      </c>
      <c r="T518" s="19">
        <f t="shared" si="57"/>
        <v>4.2399675640903745E-2</v>
      </c>
      <c r="U518" s="24">
        <v>4.4170794047090567E-2</v>
      </c>
      <c r="V518" s="24">
        <f t="shared" si="58"/>
        <v>4.2832622210061677E-2</v>
      </c>
      <c r="W518" s="23">
        <f t="shared" si="59"/>
        <v>3.501139681671761E-3</v>
      </c>
      <c r="X518" s="24">
        <v>4.3518415311034175E-2</v>
      </c>
      <c r="Y518" s="24">
        <f t="shared" si="60"/>
        <v>4.2683712241299299E-2</v>
      </c>
      <c r="Z518" s="23">
        <f t="shared" si="61"/>
        <v>3.4890932739894964E-3</v>
      </c>
      <c r="AA518" s="36"/>
    </row>
    <row r="519" spans="15:27" ht="13.9" customHeight="1">
      <c r="O519" s="12">
        <f t="shared" si="55"/>
        <v>42.166666666666664</v>
      </c>
      <c r="P519" s="13">
        <v>506</v>
      </c>
      <c r="Q519" s="22">
        <v>3.8501457411976636E-2</v>
      </c>
      <c r="R519" s="19">
        <f t="shared" si="56"/>
        <v>3.5304659368505575E-2</v>
      </c>
      <c r="S519" s="22">
        <v>4.108930573973435E-2</v>
      </c>
      <c r="T519" s="19">
        <f t="shared" si="57"/>
        <v>4.2404685278580212E-2</v>
      </c>
      <c r="U519" s="24">
        <v>4.4168147746003417E-2</v>
      </c>
      <c r="V519" s="24">
        <f t="shared" si="58"/>
        <v>4.2833024132937991E-2</v>
      </c>
      <c r="W519" s="23">
        <f t="shared" si="59"/>
        <v>3.5011719901969496E-3</v>
      </c>
      <c r="X519" s="24">
        <v>4.3516765041421213E-2</v>
      </c>
      <c r="Y519" s="24">
        <f t="shared" si="60"/>
        <v>4.268540869693771E-2</v>
      </c>
      <c r="Z519" s="23">
        <f t="shared" si="61"/>
        <v>3.4892300682836108E-3</v>
      </c>
      <c r="AA519" s="36"/>
    </row>
    <row r="520" spans="15:27" ht="13.9" customHeight="1">
      <c r="O520" s="12">
        <f t="shared" si="55"/>
        <v>42.25</v>
      </c>
      <c r="P520" s="13">
        <v>507</v>
      </c>
      <c r="Q520" s="22">
        <v>3.8495142384858294E-2</v>
      </c>
      <c r="R520" s="19">
        <f t="shared" si="56"/>
        <v>3.5315644704479343E-2</v>
      </c>
      <c r="S520" s="22">
        <v>4.1091898542312766E-2</v>
      </c>
      <c r="T520" s="19">
        <f t="shared" si="57"/>
        <v>4.2409652887457794E-2</v>
      </c>
      <c r="U520" s="24">
        <v>4.4165512684401387E-2</v>
      </c>
      <c r="V520" s="24">
        <f t="shared" si="58"/>
        <v>4.2833425085056387E-2</v>
      </c>
      <c r="W520" s="23">
        <f t="shared" si="59"/>
        <v>3.501204220521581E-3</v>
      </c>
      <c r="X520" s="24">
        <v>4.351512463307361E-2</v>
      </c>
      <c r="Y520" s="24">
        <f t="shared" si="60"/>
        <v>4.2687096012593129E-2</v>
      </c>
      <c r="Z520" s="23">
        <f t="shared" si="61"/>
        <v>3.4893661253379005E-3</v>
      </c>
      <c r="AA520" s="36"/>
    </row>
    <row r="521" spans="15:27" ht="13.9" customHeight="1">
      <c r="O521" s="12">
        <f t="shared" si="55"/>
        <v>42.333333333333336</v>
      </c>
      <c r="P521" s="13">
        <v>508</v>
      </c>
      <c r="Q521" s="22">
        <v>3.8488873949297453E-2</v>
      </c>
      <c r="R521" s="19">
        <f t="shared" si="56"/>
        <v>3.5326724889636729E-2</v>
      </c>
      <c r="S521" s="22">
        <v>4.1094490909869608E-2</v>
      </c>
      <c r="T521" s="19">
        <f t="shared" si="57"/>
        <v>4.2414578824215399E-2</v>
      </c>
      <c r="U521" s="24">
        <v>4.416288879395025E-2</v>
      </c>
      <c r="V521" s="24">
        <f t="shared" si="58"/>
        <v>4.2833825070215825E-2</v>
      </c>
      <c r="W521" s="23">
        <f t="shared" si="59"/>
        <v>3.5012363729893803E-3</v>
      </c>
      <c r="X521" s="24">
        <v>4.3513494009712828E-2</v>
      </c>
      <c r="Y521" s="24">
        <f t="shared" si="60"/>
        <v>4.2688774237076732E-2</v>
      </c>
      <c r="Z521" s="23">
        <f t="shared" si="61"/>
        <v>3.4895014491571619E-3</v>
      </c>
      <c r="AA521" s="36"/>
    </row>
    <row r="522" spans="15:27" ht="13.9" customHeight="1">
      <c r="O522" s="12">
        <f t="shared" si="55"/>
        <v>42.416666666666664</v>
      </c>
      <c r="P522" s="13">
        <v>509</v>
      </c>
      <c r="Q522" s="22">
        <v>3.8482652016754937E-2</v>
      </c>
      <c r="R522" s="19">
        <f t="shared" si="56"/>
        <v>3.5337900537985911E-2</v>
      </c>
      <c r="S522" s="22">
        <v>4.109708276319024E-2</v>
      </c>
      <c r="T522" s="19">
        <f t="shared" si="57"/>
        <v>4.241946344244063E-2</v>
      </c>
      <c r="U522" s="24">
        <v>4.4160276006861343E-2</v>
      </c>
      <c r="V522" s="24">
        <f t="shared" si="58"/>
        <v>4.2834224093583062E-2</v>
      </c>
      <c r="W522" s="23">
        <f t="shared" si="59"/>
        <v>3.5012684479049927E-3</v>
      </c>
      <c r="X522" s="24">
        <v>4.3511873095756215E-2</v>
      </c>
      <c r="Y522" s="24">
        <f t="shared" si="60"/>
        <v>4.2690443422053859E-2</v>
      </c>
      <c r="Z522" s="23">
        <f t="shared" si="61"/>
        <v>3.4896360436593721E-3</v>
      </c>
      <c r="AA522" s="36"/>
    </row>
    <row r="523" spans="15:27" ht="13.9" customHeight="1">
      <c r="O523" s="12">
        <f t="shared" si="55"/>
        <v>42.5</v>
      </c>
      <c r="P523" s="13">
        <v>510</v>
      </c>
      <c r="Q523" s="22">
        <v>3.8476476500589163E-2</v>
      </c>
      <c r="R523" s="19">
        <f t="shared" si="56"/>
        <v>3.5349171141529689E-2</v>
      </c>
      <c r="S523" s="22">
        <v>4.1099674024373867E-2</v>
      </c>
      <c r="T523" s="19">
        <f t="shared" si="57"/>
        <v>4.2424307091823543E-2</v>
      </c>
      <c r="U523" s="24">
        <v>4.4157674255887569E-2</v>
      </c>
      <c r="V523" s="24">
        <f t="shared" si="58"/>
        <v>4.2834622147740475E-2</v>
      </c>
      <c r="W523" s="23">
        <f t="shared" si="59"/>
        <v>3.5013004456831975E-3</v>
      </c>
      <c r="X523" s="24">
        <v>4.3510261816315454E-2</v>
      </c>
      <c r="Y523" s="24">
        <f t="shared" si="60"/>
        <v>4.2692103612793852E-2</v>
      </c>
      <c r="Z523" s="23">
        <f t="shared" si="61"/>
        <v>3.4897699129914361E-3</v>
      </c>
      <c r="AA523" s="36"/>
    </row>
    <row r="524" spans="15:27" ht="13.9" customHeight="1">
      <c r="O524" s="12">
        <f t="shared" si="55"/>
        <v>42.583333333333336</v>
      </c>
      <c r="P524" s="13">
        <v>511</v>
      </c>
      <c r="Q524" s="22">
        <v>3.8470347313835473E-2</v>
      </c>
      <c r="R524" s="19">
        <f t="shared" si="56"/>
        <v>3.5360532822804602E-2</v>
      </c>
      <c r="S524" s="22">
        <v>4.1102264616813322E-2</v>
      </c>
      <c r="T524" s="19">
        <f t="shared" si="57"/>
        <v>4.242911012003181E-2</v>
      </c>
      <c r="U524" s="24">
        <v>4.4155083474294532E-2</v>
      </c>
      <c r="V524" s="24">
        <f t="shared" si="58"/>
        <v>4.2835019243733896E-2</v>
      </c>
      <c r="W524" s="23">
        <f t="shared" si="59"/>
        <v>3.5013323657291373E-3</v>
      </c>
      <c r="X524" s="24">
        <v>4.3508660097178131E-2</v>
      </c>
      <c r="Y524" s="24">
        <f t="shared" si="60"/>
        <v>4.2693754863029065E-2</v>
      </c>
      <c r="Z524" s="23">
        <f t="shared" si="61"/>
        <v>3.4899030607868919E-3</v>
      </c>
      <c r="AA524" s="36"/>
    </row>
    <row r="525" spans="15:27" ht="13.9" customHeight="1">
      <c r="O525" s="12">
        <f t="shared" si="55"/>
        <v>42.666666666666664</v>
      </c>
      <c r="P525" s="13">
        <v>512</v>
      </c>
      <c r="Q525" s="22">
        <v>3.8464264362608525E-2</v>
      </c>
      <c r="R525" s="19">
        <f t="shared" si="56"/>
        <v>3.5371985095059122E-2</v>
      </c>
      <c r="S525" s="22">
        <v>4.110485446517842E-2</v>
      </c>
      <c r="T525" s="19">
        <f t="shared" si="57"/>
        <v>4.2433872870091927E-2</v>
      </c>
      <c r="U525" s="24">
        <v>4.4152503595890735E-2</v>
      </c>
      <c r="V525" s="24">
        <f t="shared" si="58"/>
        <v>4.2835415378455588E-2</v>
      </c>
      <c r="W525" s="23">
        <f t="shared" si="59"/>
        <v>3.5013642089285479E-3</v>
      </c>
      <c r="X525" s="24">
        <v>4.3507067864816396E-2</v>
      </c>
      <c r="Y525" s="24">
        <f t="shared" si="60"/>
        <v>4.2695397216650832E-2</v>
      </c>
      <c r="Z525" s="23">
        <f t="shared" si="61"/>
        <v>3.4900354913585119E-3</v>
      </c>
      <c r="AA525" s="36"/>
    </row>
    <row r="526" spans="15:27" ht="13.9" customHeight="1">
      <c r="O526" s="12">
        <f t="shared" ref="O526:O589" si="62">P526/12</f>
        <v>42.75</v>
      </c>
      <c r="P526" s="13">
        <v>513</v>
      </c>
      <c r="Q526" s="22">
        <v>3.8458227552799373E-2</v>
      </c>
      <c r="R526" s="19">
        <f t="shared" ref="R526:R589" si="63">(1+Q527)^P527/(1+Q526)^P526-1</f>
        <v>3.5383528607708659E-2</v>
      </c>
      <c r="S526" s="22">
        <v>4.1107443495394635E-2</v>
      </c>
      <c r="T526" s="19">
        <f t="shared" ref="T526:T589" si="64">(1+S527)^P527/(1+S526)^P526-1</f>
        <v>4.2438595684763269E-2</v>
      </c>
      <c r="U526" s="24">
        <v>4.4149934554995607E-2</v>
      </c>
      <c r="V526" s="24">
        <f t="shared" ref="V526:V589" si="65">(1+U527)^P527/(1+U526)^P526-1</f>
        <v>4.2835810558980336E-2</v>
      </c>
      <c r="W526" s="23">
        <f t="shared" si="59"/>
        <v>3.5013959750320733E-3</v>
      </c>
      <c r="X526" s="24">
        <v>4.3505485046362535E-2</v>
      </c>
      <c r="Y526" s="24">
        <f t="shared" si="60"/>
        <v>4.2697030726078555E-2</v>
      </c>
      <c r="Z526" s="23">
        <f t="shared" si="61"/>
        <v>3.4901672082294777E-3</v>
      </c>
      <c r="AA526" s="36"/>
    </row>
    <row r="527" spans="15:27" ht="13.9" customHeight="1">
      <c r="O527" s="12">
        <f t="shared" si="62"/>
        <v>42.833333333333336</v>
      </c>
      <c r="P527" s="13">
        <v>514</v>
      </c>
      <c r="Q527" s="22">
        <v>3.8452236792294814E-2</v>
      </c>
      <c r="R527" s="19">
        <f t="shared" si="63"/>
        <v>3.5395164016646996E-2</v>
      </c>
      <c r="S527" s="22">
        <v>4.1110031634630007E-2</v>
      </c>
      <c r="T527" s="19">
        <f t="shared" si="64"/>
        <v>4.2443278901108439E-2</v>
      </c>
      <c r="U527" s="24">
        <v>4.4147376286453266E-2</v>
      </c>
      <c r="V527" s="24">
        <f t="shared" si="65"/>
        <v>4.2836204787058962E-2</v>
      </c>
      <c r="W527" s="23">
        <f t="shared" ref="W527:W590" si="66">(1+V526)^(1/12)-1</f>
        <v>3.5014276646077036E-3</v>
      </c>
      <c r="X527" s="24">
        <v>4.3503911569617859E-2</v>
      </c>
      <c r="Y527" s="24">
        <f t="shared" ref="Y527:Y590" si="67">(1+X528)^P528/(1+X527)^P527-1</f>
        <v>4.2698655435710275E-2</v>
      </c>
      <c r="Z527" s="23">
        <f t="shared" ref="Z527:Z590" si="68">(1+Y526)^(1/12)-1</f>
        <v>3.4902982156066464E-3</v>
      </c>
      <c r="AA527" s="36"/>
    </row>
    <row r="528" spans="15:27" ht="13.9" customHeight="1">
      <c r="O528" s="12">
        <f t="shared" si="62"/>
        <v>42.916666666666664</v>
      </c>
      <c r="P528" s="13">
        <v>515</v>
      </c>
      <c r="Q528" s="22">
        <v>3.8446291990970494E-2</v>
      </c>
      <c r="R528" s="19">
        <f t="shared" si="63"/>
        <v>3.5406891985231281E-2</v>
      </c>
      <c r="S528" s="22">
        <v>4.1112618811272261E-2</v>
      </c>
      <c r="T528" s="19">
        <f t="shared" si="64"/>
        <v>4.2447922854568443E-2</v>
      </c>
      <c r="U528" s="24">
        <v>4.414482872561809E-2</v>
      </c>
      <c r="V528" s="24">
        <f t="shared" si="65"/>
        <v>4.283659805901463E-2</v>
      </c>
      <c r="W528" s="23">
        <f t="shared" si="66"/>
        <v>3.5014592777953268E-3</v>
      </c>
      <c r="X528" s="24">
        <v>4.350234736303138E-2</v>
      </c>
      <c r="Y528" s="24">
        <f t="shared" si="67"/>
        <v>4.2700271396079348E-2</v>
      </c>
      <c r="Z528" s="23">
        <f t="shared" si="68"/>
        <v>3.4904285170542781E-3</v>
      </c>
      <c r="AA528" s="36"/>
    </row>
    <row r="529" spans="15:27" ht="13.9" customHeight="1">
      <c r="O529" s="12">
        <f t="shared" si="62"/>
        <v>43</v>
      </c>
      <c r="P529" s="13">
        <v>516</v>
      </c>
      <c r="Q529" s="22">
        <v>3.8440393060685807E-2</v>
      </c>
      <c r="R529" s="19">
        <f t="shared" si="63"/>
        <v>3.5418712078031156E-2</v>
      </c>
      <c r="S529" s="22">
        <v>4.111520495491372E-2</v>
      </c>
      <c r="T529" s="19">
        <f t="shared" si="64"/>
        <v>4.2452527878454216E-2</v>
      </c>
      <c r="U529" s="24">
        <v>4.4142291808338729E-2</v>
      </c>
      <c r="V529" s="24">
        <f t="shared" si="65"/>
        <v>4.2836990390306751E-2</v>
      </c>
      <c r="W529" s="23">
        <f t="shared" si="66"/>
        <v>3.5014908143005119E-3</v>
      </c>
      <c r="X529" s="24">
        <v>4.3500792355705142E-2</v>
      </c>
      <c r="Y529" s="24">
        <f t="shared" si="67"/>
        <v>4.270187865346653E-2</v>
      </c>
      <c r="Z529" s="23">
        <f t="shared" si="68"/>
        <v>3.4905581166275734E-3</v>
      </c>
      <c r="AA529" s="36"/>
    </row>
    <row r="530" spans="15:27" ht="13.9" customHeight="1">
      <c r="O530" s="12">
        <f t="shared" si="62"/>
        <v>43.083333333333336</v>
      </c>
      <c r="P530" s="13">
        <v>517</v>
      </c>
      <c r="Q530" s="22">
        <v>3.8434539913133614E-2</v>
      </c>
      <c r="R530" s="19">
        <f t="shared" si="63"/>
        <v>3.5430620559049553E-2</v>
      </c>
      <c r="S530" s="22">
        <v>4.1117789996335752E-2</v>
      </c>
      <c r="T530" s="19">
        <f t="shared" si="64"/>
        <v>4.2457094300712761E-2</v>
      </c>
      <c r="U530" s="24">
        <v>4.41397654709903E-2</v>
      </c>
      <c r="V530" s="24">
        <f t="shared" si="65"/>
        <v>4.2837381763241478E-2</v>
      </c>
      <c r="W530" s="23">
        <f t="shared" si="66"/>
        <v>3.5015222753631559E-3</v>
      </c>
      <c r="X530" s="24">
        <v>4.3499246477379794E-2</v>
      </c>
      <c r="Y530" s="24">
        <f t="shared" si="67"/>
        <v>4.2703477254959044E-2</v>
      </c>
      <c r="Z530" s="23">
        <f t="shared" si="68"/>
        <v>3.4906870180417826E-3</v>
      </c>
      <c r="AA530" s="36"/>
    </row>
    <row r="531" spans="15:27" ht="13.9" customHeight="1">
      <c r="O531" s="12">
        <f t="shared" si="62"/>
        <v>43.166666666666664</v>
      </c>
      <c r="P531" s="13">
        <v>518</v>
      </c>
      <c r="Q531" s="22">
        <v>3.8428732453451131E-2</v>
      </c>
      <c r="R531" s="19">
        <f t="shared" si="63"/>
        <v>3.5442617015080113E-2</v>
      </c>
      <c r="S531" s="22">
        <v>4.112037386748657E-2</v>
      </c>
      <c r="T531" s="19">
        <f t="shared" si="64"/>
        <v>4.2461622450204795E-2</v>
      </c>
      <c r="U531" s="24">
        <v>4.413724965040533E-2</v>
      </c>
      <c r="V531" s="24">
        <f t="shared" si="65"/>
        <v>4.2837772202599433E-2</v>
      </c>
      <c r="W531" s="23">
        <f t="shared" si="66"/>
        <v>3.5015536595641716E-3</v>
      </c>
      <c r="X531" s="24">
        <v>4.3497709658429695E-2</v>
      </c>
      <c r="Y531" s="24">
        <f t="shared" si="67"/>
        <v>4.2705067250231155E-2</v>
      </c>
      <c r="Z531" s="23">
        <f t="shared" si="68"/>
        <v>3.4908152250756608E-3</v>
      </c>
      <c r="AA531" s="36"/>
    </row>
    <row r="532" spans="15:27" ht="13.9" customHeight="1">
      <c r="O532" s="12">
        <f t="shared" si="62"/>
        <v>43.25</v>
      </c>
      <c r="P532" s="13">
        <v>519</v>
      </c>
      <c r="Q532" s="22">
        <v>3.8422970586704519E-2</v>
      </c>
      <c r="R532" s="19">
        <f t="shared" si="63"/>
        <v>3.5454702142470262E-2</v>
      </c>
      <c r="S532" s="22">
        <v>4.112295650147213E-2</v>
      </c>
      <c r="T532" s="19">
        <f t="shared" si="64"/>
        <v>4.2466112648589682E-2</v>
      </c>
      <c r="U532" s="24">
        <v>4.4134744283951699E-2</v>
      </c>
      <c r="V532" s="24">
        <f t="shared" si="65"/>
        <v>4.2838161690462284E-2</v>
      </c>
      <c r="W532" s="23">
        <f t="shared" si="66"/>
        <v>3.5015849688908585E-3</v>
      </c>
      <c r="X532" s="24">
        <v>4.3496181829862479E-2</v>
      </c>
      <c r="Y532" s="24">
        <f t="shared" si="67"/>
        <v>4.2706648680415071E-2</v>
      </c>
      <c r="Z532" s="23">
        <f t="shared" si="68"/>
        <v>3.4909427417164629E-3</v>
      </c>
      <c r="AA532" s="36"/>
    </row>
    <row r="533" spans="15:27" ht="13.9" customHeight="1">
      <c r="O533" s="12">
        <f t="shared" si="62"/>
        <v>43.333333333333336</v>
      </c>
      <c r="P533" s="13">
        <v>520</v>
      </c>
      <c r="Q533" s="22">
        <v>3.8417254220029617E-2</v>
      </c>
      <c r="R533" s="19">
        <f t="shared" si="63"/>
        <v>3.5466876646264023E-2</v>
      </c>
      <c r="S533" s="22">
        <v>4.1125537832530812E-2</v>
      </c>
      <c r="T533" s="19">
        <f t="shared" si="64"/>
        <v>4.2470565218265754E-2</v>
      </c>
      <c r="U533" s="24">
        <v>4.4132249309444482E-2</v>
      </c>
      <c r="V533" s="24">
        <f t="shared" si="65"/>
        <v>4.2838550241569129E-2</v>
      </c>
      <c r="W533" s="23">
        <f t="shared" si="66"/>
        <v>3.5016162019063657E-3</v>
      </c>
      <c r="X533" s="24">
        <v>4.3494662923295513E-2</v>
      </c>
      <c r="Y533" s="24">
        <f t="shared" si="67"/>
        <v>4.2708221596846618E-2</v>
      </c>
      <c r="Z533" s="23">
        <f t="shared" si="68"/>
        <v>3.4910695712655482E-3</v>
      </c>
      <c r="AA533" s="36"/>
    </row>
    <row r="534" spans="15:27" ht="13.9" customHeight="1">
      <c r="O534" s="12">
        <f t="shared" si="62"/>
        <v>43.416666666666664</v>
      </c>
      <c r="P534" s="13">
        <v>521</v>
      </c>
      <c r="Q534" s="22">
        <v>3.841158326262839E-2</v>
      </c>
      <c r="R534" s="19">
        <f t="shared" si="63"/>
        <v>3.547914123743201E-2</v>
      </c>
      <c r="S534" s="22">
        <v>4.11281177960241E-2</v>
      </c>
      <c r="T534" s="19">
        <f t="shared" si="64"/>
        <v>4.2474980477013036E-2</v>
      </c>
      <c r="U534" s="24">
        <v>4.4129764665205018E-2</v>
      </c>
      <c r="V534" s="24">
        <f t="shared" si="65"/>
        <v>4.2838937856989334E-2</v>
      </c>
      <c r="W534" s="23">
        <f t="shared" si="66"/>
        <v>3.5016473597928588E-3</v>
      </c>
      <c r="X534" s="24">
        <v>4.3493152870970553E-2</v>
      </c>
      <c r="Y534" s="24">
        <f t="shared" si="67"/>
        <v>4.2709786045226572E-2</v>
      </c>
      <c r="Z534" s="23">
        <f t="shared" si="68"/>
        <v>3.4911957178431763E-3</v>
      </c>
      <c r="AA534" s="36"/>
    </row>
    <row r="535" spans="15:27" ht="13.9" customHeight="1">
      <c r="O535" s="12">
        <f t="shared" si="62"/>
        <v>43.5</v>
      </c>
      <c r="P535" s="13">
        <v>522</v>
      </c>
      <c r="Q535" s="22">
        <v>3.8405957625760712E-2</v>
      </c>
      <c r="R535" s="19">
        <f t="shared" si="63"/>
        <v>3.5491495553044539E-2</v>
      </c>
      <c r="S535" s="22">
        <v>4.113069632841726E-2</v>
      </c>
      <c r="T535" s="19">
        <f t="shared" si="64"/>
        <v>4.2479358741058348E-2</v>
      </c>
      <c r="U535" s="24">
        <v>4.4127290290029597E-2</v>
      </c>
      <c r="V535" s="24">
        <f t="shared" si="65"/>
        <v>4.283932453342465E-2</v>
      </c>
      <c r="W535" s="23">
        <f t="shared" si="66"/>
        <v>3.501678442636047E-3</v>
      </c>
      <c r="X535" s="24">
        <v>4.3491651605736426E-2</v>
      </c>
      <c r="Y535" s="24">
        <f t="shared" si="67"/>
        <v>4.2711342069292613E-2</v>
      </c>
      <c r="Z535" s="23">
        <f t="shared" si="68"/>
        <v>3.49132118511708E-3</v>
      </c>
      <c r="AA535" s="36"/>
    </row>
    <row r="536" spans="15:27" ht="13.9" customHeight="1">
      <c r="O536" s="12">
        <f t="shared" si="62"/>
        <v>43.583333333333336</v>
      </c>
      <c r="P536" s="13">
        <v>523</v>
      </c>
      <c r="Q536" s="22">
        <v>3.8400377220665138E-2</v>
      </c>
      <c r="R536" s="19">
        <f t="shared" si="63"/>
        <v>3.5503935993941527E-2</v>
      </c>
      <c r="S536" s="22">
        <v>4.1133273367265355E-2</v>
      </c>
      <c r="T536" s="19">
        <f t="shared" si="64"/>
        <v>4.2483700322855533E-2</v>
      </c>
      <c r="U536" s="24">
        <v>4.4124826123176808E-2</v>
      </c>
      <c r="V536" s="24">
        <f t="shared" si="65"/>
        <v>4.283971028161937E-2</v>
      </c>
      <c r="W536" s="23">
        <f t="shared" si="66"/>
        <v>3.5017094501716972E-3</v>
      </c>
      <c r="X536" s="24">
        <v>4.3490159061039702E-2</v>
      </c>
      <c r="Y536" s="24">
        <f t="shared" si="67"/>
        <v>4.2712889716770341E-2</v>
      </c>
      <c r="Z536" s="23">
        <f t="shared" si="68"/>
        <v>3.4914459765977846E-3</v>
      </c>
      <c r="AA536" s="36"/>
    </row>
    <row r="537" spans="15:27" ht="13.9" customHeight="1">
      <c r="O537" s="12">
        <f t="shared" si="62"/>
        <v>43.666666666666664</v>
      </c>
      <c r="P537" s="13">
        <v>524</v>
      </c>
      <c r="Q537" s="22">
        <v>3.8394841952366088E-2</v>
      </c>
      <c r="R537" s="19">
        <f t="shared" si="63"/>
        <v>3.551646221677518E-2</v>
      </c>
      <c r="S537" s="22">
        <v>4.11358488511957E-2</v>
      </c>
      <c r="T537" s="19">
        <f t="shared" si="64"/>
        <v>4.2488005531903239E-2</v>
      </c>
      <c r="U537" s="24">
        <v>4.4122372104389518E-2</v>
      </c>
      <c r="V537" s="24">
        <f t="shared" si="65"/>
        <v>4.2840095090728836E-2</v>
      </c>
      <c r="W537" s="23">
        <f t="shared" si="66"/>
        <v>3.5017403832613425E-3</v>
      </c>
      <c r="X537" s="24">
        <v>4.3488675170926472E-2</v>
      </c>
      <c r="Y537" s="24">
        <f t="shared" si="67"/>
        <v>4.2714429031032619E-2</v>
      </c>
      <c r="Z537" s="23">
        <f t="shared" si="68"/>
        <v>3.4915700961155594E-3</v>
      </c>
      <c r="AA537" s="36"/>
    </row>
    <row r="538" spans="15:27" ht="13.9" customHeight="1">
      <c r="O538" s="12">
        <f t="shared" si="62"/>
        <v>43.75</v>
      </c>
      <c r="P538" s="13">
        <v>525</v>
      </c>
      <c r="Q538" s="22">
        <v>3.838935172595237E-2</v>
      </c>
      <c r="R538" s="19">
        <f t="shared" si="63"/>
        <v>3.552907496661839E-2</v>
      </c>
      <c r="S538" s="22">
        <v>4.113842271989232E-2</v>
      </c>
      <c r="T538" s="19">
        <f t="shared" si="64"/>
        <v>4.2492274677384145E-2</v>
      </c>
      <c r="U538" s="24">
        <v>4.4119928173849354E-2</v>
      </c>
      <c r="V538" s="24">
        <f t="shared" si="65"/>
        <v>4.2840478980684216E-2</v>
      </c>
      <c r="W538" s="23">
        <f t="shared" si="66"/>
        <v>3.5017712410354562E-3</v>
      </c>
      <c r="X538" s="24">
        <v>4.3487199870028359E-2</v>
      </c>
      <c r="Y538" s="24">
        <f t="shared" si="67"/>
        <v>4.2715960060559777E-2</v>
      </c>
      <c r="Z538" s="23">
        <f t="shared" si="68"/>
        <v>3.4916935471518418E-3</v>
      </c>
      <c r="AA538" s="36"/>
    </row>
    <row r="539" spans="15:27" ht="13.9" customHeight="1">
      <c r="O539" s="12">
        <f t="shared" si="62"/>
        <v>43.833333333333336</v>
      </c>
      <c r="P539" s="13">
        <v>526</v>
      </c>
      <c r="Q539" s="22">
        <v>3.8383906448651084E-2</v>
      </c>
      <c r="R539" s="19">
        <f t="shared" si="63"/>
        <v>3.5541774994239939E-2</v>
      </c>
      <c r="S539" s="22">
        <v>4.1140994914085294E-2</v>
      </c>
      <c r="T539" s="19">
        <f t="shared" si="64"/>
        <v>4.2496508062370708E-2</v>
      </c>
      <c r="U539" s="24">
        <v>4.4117494272231328E-2</v>
      </c>
      <c r="V539" s="24">
        <f t="shared" si="65"/>
        <v>4.2840861936415342E-2</v>
      </c>
      <c r="W539" s="23">
        <f t="shared" si="66"/>
        <v>3.5018020250923154E-3</v>
      </c>
      <c r="X539" s="24">
        <v>4.3485733093566736E-2</v>
      </c>
      <c r="Y539" s="24">
        <f t="shared" si="67"/>
        <v>4.2717482847625554E-2</v>
      </c>
      <c r="Z539" s="23">
        <f t="shared" si="68"/>
        <v>3.4918163335970753E-3</v>
      </c>
      <c r="AA539" s="36"/>
    </row>
    <row r="540" spans="15:27" ht="13.9" customHeight="1">
      <c r="O540" s="12">
        <f t="shared" si="62"/>
        <v>43.916666666666664</v>
      </c>
      <c r="P540" s="13">
        <v>527</v>
      </c>
      <c r="Q540" s="22">
        <v>3.8378506029818737E-2</v>
      </c>
      <c r="R540" s="19">
        <f t="shared" si="63"/>
        <v>3.5554563058832089E-2</v>
      </c>
      <c r="S540" s="22">
        <v>4.1143565375528768E-2</v>
      </c>
      <c r="T540" s="19">
        <f t="shared" si="64"/>
        <v>4.2500705989924503E-2</v>
      </c>
      <c r="U540" s="24">
        <v>4.4115070340632112E-2</v>
      </c>
      <c r="V540" s="24">
        <f t="shared" si="65"/>
        <v>4.28412439718453E-2</v>
      </c>
      <c r="W540" s="23">
        <f t="shared" si="66"/>
        <v>3.5018327342235533E-3</v>
      </c>
      <c r="X540" s="24">
        <v>4.3484274777335186E-2</v>
      </c>
      <c r="Y540" s="24">
        <f t="shared" si="67"/>
        <v>4.2718997437688477E-2</v>
      </c>
      <c r="Z540" s="23">
        <f t="shared" si="68"/>
        <v>3.4919384588445457E-3</v>
      </c>
      <c r="AA540" s="36"/>
    </row>
    <row r="541" spans="15:27" ht="13.9" customHeight="1">
      <c r="O541" s="12">
        <f t="shared" si="62"/>
        <v>44</v>
      </c>
      <c r="P541" s="13">
        <v>528</v>
      </c>
      <c r="Q541" s="22">
        <v>3.8373150380936139E-2</v>
      </c>
      <c r="R541" s="19">
        <f t="shared" si="63"/>
        <v>3.5567438865245382E-2</v>
      </c>
      <c r="S541" s="22">
        <v>4.1146134046991856E-2</v>
      </c>
      <c r="T541" s="19">
        <f t="shared" si="64"/>
        <v>4.2504868759891901E-2</v>
      </c>
      <c r="U541" s="24">
        <v>4.4112656320621335E-2</v>
      </c>
      <c r="V541" s="24">
        <f t="shared" si="65"/>
        <v>4.2841625086082136E-2</v>
      </c>
      <c r="W541" s="23">
        <f t="shared" si="66"/>
        <v>3.5018633695456103E-3</v>
      </c>
      <c r="X541" s="24">
        <v>4.3482824857700608E-2</v>
      </c>
      <c r="Y541" s="24">
        <f t="shared" si="67"/>
        <v>4.2720503875002258E-2</v>
      </c>
      <c r="Z541" s="23">
        <f t="shared" si="68"/>
        <v>3.4920599265424457E-3</v>
      </c>
      <c r="AA541" s="36"/>
    </row>
    <row r="542" spans="15:27" ht="13.9" customHeight="1">
      <c r="O542" s="12">
        <f t="shared" si="62"/>
        <v>44.083333333333336</v>
      </c>
      <c r="P542" s="13">
        <v>529</v>
      </c>
      <c r="Q542" s="22">
        <v>3.8367839413590454E-2</v>
      </c>
      <c r="R542" s="19">
        <f t="shared" si="63"/>
        <v>3.5580398950376013E-2</v>
      </c>
      <c r="S542" s="22">
        <v>4.1148700872242205E-2</v>
      </c>
      <c r="T542" s="19">
        <f t="shared" si="64"/>
        <v>4.2508996668930266E-2</v>
      </c>
      <c r="U542" s="24">
        <v>4.4110252154209384E-2</v>
      </c>
      <c r="V542" s="24">
        <f t="shared" si="65"/>
        <v>4.2842005278122208E-2</v>
      </c>
      <c r="W542" s="23">
        <f t="shared" si="66"/>
        <v>3.501893930987432E-3</v>
      </c>
      <c r="X542" s="24">
        <v>4.3481383271594565E-2</v>
      </c>
      <c r="Y542" s="24">
        <f t="shared" si="67"/>
        <v>4.2722002204623966E-2</v>
      </c>
      <c r="Z542" s="23">
        <f t="shared" si="68"/>
        <v>3.4921807402426008E-3</v>
      </c>
      <c r="AA542" s="36"/>
    </row>
    <row r="543" spans="15:27" ht="13.9" customHeight="1">
      <c r="O543" s="12">
        <f t="shared" si="62"/>
        <v>44.166666666666664</v>
      </c>
      <c r="P543" s="13">
        <v>530</v>
      </c>
      <c r="Q543" s="22">
        <v>3.8362573033480452E-2</v>
      </c>
      <c r="R543" s="19">
        <f t="shared" si="63"/>
        <v>3.5593443038715922E-2</v>
      </c>
      <c r="S543" s="22">
        <v>4.1151265796031566E-2</v>
      </c>
      <c r="T543" s="19">
        <f t="shared" si="64"/>
        <v>4.2513090012096244E-2</v>
      </c>
      <c r="U543" s="24">
        <v>4.4107857783842519E-2</v>
      </c>
      <c r="V543" s="24">
        <f t="shared" si="65"/>
        <v>4.2842384554668822E-2</v>
      </c>
      <c r="W543" s="23">
        <f t="shared" si="66"/>
        <v>3.5019244184681941E-3</v>
      </c>
      <c r="X543" s="24">
        <v>4.3479949956510389E-2</v>
      </c>
      <c r="Y543" s="24">
        <f t="shared" si="67"/>
        <v>4.2723492470394753E-2</v>
      </c>
      <c r="Z543" s="23">
        <f t="shared" si="68"/>
        <v>3.4923009035607855E-3</v>
      </c>
      <c r="AA543" s="36"/>
    </row>
    <row r="544" spans="15:27" ht="13.9" customHeight="1">
      <c r="O544" s="12">
        <f t="shared" si="62"/>
        <v>44.25</v>
      </c>
      <c r="P544" s="13">
        <v>531</v>
      </c>
      <c r="Q544" s="22">
        <v>3.8357351146491414E-2</v>
      </c>
      <c r="R544" s="19">
        <f t="shared" si="63"/>
        <v>3.5606571921633634E-2</v>
      </c>
      <c r="S544" s="22">
        <v>4.1153828764082467E-2</v>
      </c>
      <c r="T544" s="19">
        <f t="shared" si="64"/>
        <v>4.2517149080490091E-2</v>
      </c>
      <c r="U544" s="24">
        <v>4.4105473152413088E-2</v>
      </c>
      <c r="V544" s="24">
        <f t="shared" si="65"/>
        <v>4.2842762917102872E-2</v>
      </c>
      <c r="W544" s="23">
        <f t="shared" si="66"/>
        <v>3.5019548325256888E-3</v>
      </c>
      <c r="X544" s="24">
        <v>4.3478524850495193E-2</v>
      </c>
      <c r="Y544" s="24">
        <f t="shared" si="67"/>
        <v>4.2724974714426045E-2</v>
      </c>
      <c r="Z544" s="23">
        <f t="shared" si="68"/>
        <v>3.4924204200159625E-3</v>
      </c>
      <c r="AA544" s="36"/>
    </row>
    <row r="545" spans="15:27" ht="13.9" customHeight="1">
      <c r="O545" s="12">
        <f t="shared" si="62"/>
        <v>44.333333333333336</v>
      </c>
      <c r="P545" s="13">
        <v>532</v>
      </c>
      <c r="Q545" s="22">
        <v>3.8352173660704425E-2</v>
      </c>
      <c r="R545" s="19">
        <f t="shared" si="63"/>
        <v>3.5619786397163455E-2</v>
      </c>
      <c r="S545" s="22">
        <v>4.1156389723072451E-2</v>
      </c>
      <c r="T545" s="19">
        <f t="shared" si="64"/>
        <v>4.252117416390111E-2</v>
      </c>
      <c r="U545" s="24">
        <v>4.4103098203246427E-2</v>
      </c>
      <c r="V545" s="24">
        <f t="shared" si="65"/>
        <v>4.2843140363741261E-2</v>
      </c>
      <c r="W545" s="23">
        <f t="shared" si="66"/>
        <v>3.5019851732707163E-3</v>
      </c>
      <c r="X545" s="24">
        <v>4.3477107892141431E-2</v>
      </c>
      <c r="Y545" s="24">
        <f t="shared" si="67"/>
        <v>4.2726448982998821E-2</v>
      </c>
      <c r="Z545" s="23">
        <f t="shared" si="68"/>
        <v>3.4925392929874288E-3</v>
      </c>
      <c r="AA545" s="36"/>
    </row>
    <row r="546" spans="15:27" ht="13.9" customHeight="1">
      <c r="O546" s="12">
        <f t="shared" si="62"/>
        <v>44.416666666666664</v>
      </c>
      <c r="P546" s="13">
        <v>533</v>
      </c>
      <c r="Q546" s="22">
        <v>3.8347040486387929E-2</v>
      </c>
      <c r="R546" s="19">
        <f t="shared" si="63"/>
        <v>3.5633087267804786E-2</v>
      </c>
      <c r="S546" s="22">
        <v>4.1158948620622304E-2</v>
      </c>
      <c r="T546" s="19">
        <f t="shared" si="64"/>
        <v>4.2525165549512467E-2</v>
      </c>
      <c r="U546" s="24">
        <v>4.4100732880089755E-2</v>
      </c>
      <c r="V546" s="24">
        <f t="shared" si="65"/>
        <v>4.2843516899070178E-2</v>
      </c>
      <c r="W546" s="23">
        <f t="shared" si="66"/>
        <v>3.5020154405684956E-3</v>
      </c>
      <c r="X546" s="24">
        <v>4.3475699020589564E-2</v>
      </c>
      <c r="Y546" s="24">
        <f t="shared" si="67"/>
        <v>4.2727915316579379E-2</v>
      </c>
      <c r="Z546" s="23">
        <f t="shared" si="68"/>
        <v>3.4926575261897685E-3</v>
      </c>
      <c r="AA546" s="36"/>
    </row>
    <row r="547" spans="15:27" ht="13.9" customHeight="1">
      <c r="O547" s="12">
        <f t="shared" si="62"/>
        <v>44.5</v>
      </c>
      <c r="P547" s="13">
        <v>534</v>
      </c>
      <c r="Q547" s="22">
        <v>3.8341951535985741E-2</v>
      </c>
      <c r="R547" s="19">
        <f t="shared" si="63"/>
        <v>3.5646474308574261E-2</v>
      </c>
      <c r="S547" s="22">
        <v>4.1161505405282295E-2</v>
      </c>
      <c r="T547" s="19">
        <f t="shared" si="64"/>
        <v>4.2529123522230039E-2</v>
      </c>
      <c r="U547" s="24">
        <v>4.4098377127120614E-2</v>
      </c>
      <c r="V547" s="24">
        <f t="shared" si="65"/>
        <v>4.2843892530206595E-2</v>
      </c>
      <c r="W547" s="23">
        <f t="shared" si="66"/>
        <v>3.5020456347785167E-3</v>
      </c>
      <c r="X547" s="24">
        <v>4.3474298175512294E-2</v>
      </c>
      <c r="Y547" s="24">
        <f t="shared" si="67"/>
        <v>4.2729373759903266E-2</v>
      </c>
      <c r="Z547" s="23">
        <f t="shared" si="68"/>
        <v>3.4927751228706061E-3</v>
      </c>
      <c r="AA547" s="36"/>
    </row>
    <row r="548" spans="15:27" ht="13.9" customHeight="1">
      <c r="O548" s="12">
        <f t="shared" si="62"/>
        <v>44.583333333333336</v>
      </c>
      <c r="P548" s="13">
        <v>535</v>
      </c>
      <c r="Q548" s="22">
        <v>3.8336906722170605E-2</v>
      </c>
      <c r="R548" s="19">
        <f t="shared" si="63"/>
        <v>3.5659944186789305E-2</v>
      </c>
      <c r="S548" s="22">
        <v>4.1164060026519289E-2</v>
      </c>
      <c r="T548" s="19">
        <f t="shared" si="64"/>
        <v>4.2533048363163184E-2</v>
      </c>
      <c r="U548" s="24">
        <v>4.4096030888947535E-2</v>
      </c>
      <c r="V548" s="24">
        <f t="shared" si="65"/>
        <v>4.2844267249955603E-2</v>
      </c>
      <c r="W548" s="23">
        <f t="shared" si="66"/>
        <v>3.5020757564718785E-3</v>
      </c>
      <c r="X548" s="24">
        <v>4.3472905297117226E-2</v>
      </c>
      <c r="Y548" s="24">
        <f t="shared" si="67"/>
        <v>4.2730824355475816E-2</v>
      </c>
      <c r="Z548" s="23">
        <f t="shared" si="68"/>
        <v>3.4928920866201807E-3</v>
      </c>
      <c r="AA548" s="36"/>
    </row>
    <row r="549" spans="15:27" ht="13.9" customHeight="1">
      <c r="O549" s="12">
        <f t="shared" si="62"/>
        <v>44.666666666666664</v>
      </c>
      <c r="P549" s="13">
        <v>536</v>
      </c>
      <c r="Q549" s="22">
        <v>3.8331905952029732E-2</v>
      </c>
      <c r="R549" s="19">
        <f t="shared" si="63"/>
        <v>3.5673496694491158E-2</v>
      </c>
      <c r="S549" s="22">
        <v>4.1166612434701211E-2</v>
      </c>
      <c r="T549" s="19">
        <f t="shared" si="64"/>
        <v>4.2536940352484676E-2</v>
      </c>
      <c r="U549" s="24">
        <v>4.4093694110578951E-2</v>
      </c>
      <c r="V549" s="24">
        <f t="shared" si="65"/>
        <v>4.2844641070091782E-2</v>
      </c>
      <c r="W549" s="23">
        <f t="shared" si="66"/>
        <v>3.5021058050717091E-3</v>
      </c>
      <c r="X549" s="24">
        <v>4.3471520326137769E-2</v>
      </c>
      <c r="Y549" s="24">
        <f t="shared" si="67"/>
        <v>4.2732267145459968E-2</v>
      </c>
      <c r="Z549" s="23">
        <f t="shared" si="68"/>
        <v>3.4930084208495416E-3</v>
      </c>
      <c r="AA549" s="36"/>
    </row>
    <row r="550" spans="15:27" ht="13.9" customHeight="1">
      <c r="O550" s="12">
        <f t="shared" si="62"/>
        <v>44.75</v>
      </c>
      <c r="P550" s="13">
        <v>537</v>
      </c>
      <c r="Q550" s="22">
        <v>3.8326949132950539E-2</v>
      </c>
      <c r="R550" s="19">
        <f t="shared" si="63"/>
        <v>3.5687132668977162E-2</v>
      </c>
      <c r="S550" s="22">
        <v>4.1169162581086827E-2</v>
      </c>
      <c r="T550" s="19">
        <f t="shared" si="64"/>
        <v>4.2540799767564419E-2</v>
      </c>
      <c r="U550" s="24">
        <v>4.4091366737455617E-2</v>
      </c>
      <c r="V550" s="24">
        <f t="shared" si="65"/>
        <v>4.2845013982347524E-2</v>
      </c>
      <c r="W550" s="23">
        <f t="shared" si="66"/>
        <v>3.5021357815219201E-3</v>
      </c>
      <c r="X550" s="24">
        <v>4.3470143203827805E-2</v>
      </c>
      <c r="Y550" s="24">
        <f t="shared" si="67"/>
        <v>4.2733702171939614E-2</v>
      </c>
      <c r="Z550" s="23">
        <f t="shared" si="68"/>
        <v>3.4931241289426485E-3</v>
      </c>
      <c r="AA550" s="36"/>
    </row>
    <row r="551" spans="15:27" ht="13.9" customHeight="1">
      <c r="O551" s="12">
        <f t="shared" si="62"/>
        <v>44.833333333333336</v>
      </c>
      <c r="P551" s="13">
        <v>538</v>
      </c>
      <c r="Q551" s="22">
        <v>3.8322036174565977E-2</v>
      </c>
      <c r="R551" s="19">
        <f t="shared" si="63"/>
        <v>3.570085295091685E-2</v>
      </c>
      <c r="S551" s="22">
        <v>4.1171710417812424E-2</v>
      </c>
      <c r="T551" s="19">
        <f t="shared" si="64"/>
        <v>4.2544626883525449E-2</v>
      </c>
      <c r="U551" s="24">
        <v>4.4089048715408419E-2</v>
      </c>
      <c r="V551" s="24">
        <f t="shared" si="65"/>
        <v>4.2845386005632369E-2</v>
      </c>
      <c r="W551" s="23">
        <f t="shared" si="66"/>
        <v>3.5021656851599303E-3</v>
      </c>
      <c r="X551" s="24">
        <v>4.3468773871956579E-2</v>
      </c>
      <c r="Y551" s="24">
        <f t="shared" si="67"/>
        <v>4.2735129478958633E-2</v>
      </c>
      <c r="Z551" s="23">
        <f t="shared" si="68"/>
        <v>3.4932392142767998E-3</v>
      </c>
      <c r="AA551" s="36"/>
    </row>
    <row r="552" spans="15:27" ht="13.9" customHeight="1">
      <c r="O552" s="12">
        <f t="shared" si="62"/>
        <v>44.916666666666664</v>
      </c>
      <c r="P552" s="13">
        <v>539</v>
      </c>
      <c r="Q552" s="22">
        <v>3.8317166988739659E-2</v>
      </c>
      <c r="R552" s="19">
        <f t="shared" si="63"/>
        <v>3.5714658391658771E-2</v>
      </c>
      <c r="S552" s="22">
        <v>4.1174255897878931E-2</v>
      </c>
      <c r="T552" s="19">
        <f t="shared" si="64"/>
        <v>4.2548421972053552E-2</v>
      </c>
      <c r="U552" s="24">
        <v>4.4086739990705892E-2</v>
      </c>
      <c r="V552" s="24">
        <f t="shared" si="65"/>
        <v>4.2845757122804695E-2</v>
      </c>
      <c r="W552" s="23">
        <f t="shared" si="66"/>
        <v>3.5021955175020825E-3</v>
      </c>
      <c r="X552" s="24">
        <v>4.3467412272807593E-2</v>
      </c>
      <c r="Y552" s="24">
        <f t="shared" si="67"/>
        <v>4.2736549106004329E-2</v>
      </c>
      <c r="Z552" s="23">
        <f t="shared" si="68"/>
        <v>3.4933536803867238E-3</v>
      </c>
      <c r="AA552" s="36"/>
    </row>
    <row r="553" spans="15:27" ht="13.9" customHeight="1">
      <c r="O553" s="12">
        <f t="shared" si="62"/>
        <v>45</v>
      </c>
      <c r="P553" s="13">
        <v>540</v>
      </c>
      <c r="Q553" s="22">
        <v>3.8312341489564972E-2</v>
      </c>
      <c r="R553" s="19">
        <f t="shared" si="63"/>
        <v>3.5728548828976692E-2</v>
      </c>
      <c r="S553" s="22">
        <v>4.1176798975138595E-2</v>
      </c>
      <c r="T553" s="19">
        <f t="shared" si="64"/>
        <v>4.2552185303343704E-2</v>
      </c>
      <c r="U553" s="24">
        <v>4.4084440509982725E-2</v>
      </c>
      <c r="V553" s="24">
        <f t="shared" si="65"/>
        <v>4.2846127344638996E-2</v>
      </c>
      <c r="W553" s="23">
        <f t="shared" si="66"/>
        <v>3.5022252771739204E-3</v>
      </c>
      <c r="X553" s="24">
        <v>4.3466058349165282E-2</v>
      </c>
      <c r="Y553" s="24">
        <f t="shared" si="67"/>
        <v>4.2737961095242083E-2</v>
      </c>
      <c r="Z553" s="23">
        <f t="shared" si="68"/>
        <v>3.4934675304412188E-3</v>
      </c>
      <c r="AA553" s="36"/>
    </row>
    <row r="554" spans="15:27" ht="13.9" customHeight="1">
      <c r="O554" s="12">
        <f t="shared" si="62"/>
        <v>45.083333333333336</v>
      </c>
      <c r="P554" s="13">
        <v>541</v>
      </c>
      <c r="Q554" s="22">
        <v>3.8307559591466145E-2</v>
      </c>
      <c r="R554" s="19">
        <f t="shared" si="63"/>
        <v>3.574252106168796E-2</v>
      </c>
      <c r="S554" s="22">
        <v>4.1179339604282994E-2</v>
      </c>
      <c r="T554" s="19">
        <f t="shared" si="64"/>
        <v>4.255591714677065E-2</v>
      </c>
      <c r="U554" s="24">
        <v>4.4082150220288829E-2</v>
      </c>
      <c r="V554" s="24">
        <f t="shared" si="65"/>
        <v>4.2846496676512524E-2</v>
      </c>
      <c r="W554" s="23">
        <f t="shared" si="66"/>
        <v>3.5022549650391976E-3</v>
      </c>
      <c r="X554" s="24">
        <v>4.3464712044315457E-2</v>
      </c>
      <c r="Y554" s="24">
        <f t="shared" si="67"/>
        <v>4.2739365488168923E-2</v>
      </c>
      <c r="Z554" s="23">
        <f t="shared" si="68"/>
        <v>3.4935807678242448E-3</v>
      </c>
      <c r="AA554" s="36"/>
    </row>
    <row r="555" spans="15:27" ht="13.9" customHeight="1">
      <c r="O555" s="12">
        <f t="shared" si="62"/>
        <v>45.166666666666664</v>
      </c>
      <c r="P555" s="13">
        <v>542</v>
      </c>
      <c r="Q555" s="22">
        <v>3.8302821203574311E-2</v>
      </c>
      <c r="R555" s="19">
        <f t="shared" si="63"/>
        <v>3.5756574946831599E-2</v>
      </c>
      <c r="S555" s="22">
        <v>4.118187774083526E-2</v>
      </c>
      <c r="T555" s="19">
        <f t="shared" si="64"/>
        <v>4.2559617766129376E-2</v>
      </c>
      <c r="U555" s="24">
        <v>4.4079869069074684E-2</v>
      </c>
      <c r="V555" s="24">
        <f t="shared" si="65"/>
        <v>4.2846865117168065E-2</v>
      </c>
      <c r="W555" s="23">
        <f t="shared" si="66"/>
        <v>3.5022845815295689E-3</v>
      </c>
      <c r="X555" s="24">
        <v>4.346337330203931E-2</v>
      </c>
      <c r="Y555" s="24">
        <f t="shared" si="67"/>
        <v>4.2740762327835968E-2</v>
      </c>
      <c r="Z555" s="23">
        <f t="shared" si="68"/>
        <v>3.4936933958660266E-3</v>
      </c>
      <c r="AA555" s="36"/>
    </row>
    <row r="556" spans="15:27" ht="13.9" customHeight="1">
      <c r="O556" s="12">
        <f t="shared" si="62"/>
        <v>45.25</v>
      </c>
      <c r="P556" s="13">
        <v>543</v>
      </c>
      <c r="Q556" s="22">
        <v>3.8298126235422725E-2</v>
      </c>
      <c r="R556" s="19">
        <f t="shared" si="63"/>
        <v>3.5770711365169516E-2</v>
      </c>
      <c r="S556" s="22">
        <v>4.1184413341130766E-2</v>
      </c>
      <c r="T556" s="19">
        <f t="shared" si="64"/>
        <v>4.2563287425570362E-2</v>
      </c>
      <c r="U556" s="24">
        <v>4.4077597004176017E-2</v>
      </c>
      <c r="V556" s="24">
        <f t="shared" si="65"/>
        <v>4.2847232668442592E-2</v>
      </c>
      <c r="W556" s="23">
        <f t="shared" si="66"/>
        <v>3.5023141265442259E-3</v>
      </c>
      <c r="X556" s="24">
        <v>4.3462042066611861E-2</v>
      </c>
      <c r="Y556" s="24">
        <f t="shared" si="67"/>
        <v>4.2742151652335414E-2</v>
      </c>
      <c r="Z556" s="23">
        <f t="shared" si="68"/>
        <v>3.4938054180215783E-3</v>
      </c>
      <c r="AA556" s="36"/>
    </row>
    <row r="557" spans="15:27" ht="13.9" customHeight="1">
      <c r="O557" s="12">
        <f t="shared" si="62"/>
        <v>45.333333333333336</v>
      </c>
      <c r="P557" s="13">
        <v>544</v>
      </c>
      <c r="Q557" s="22">
        <v>3.8293474598829258E-2</v>
      </c>
      <c r="R557" s="19">
        <f t="shared" si="63"/>
        <v>3.5784931204471127E-2</v>
      </c>
      <c r="S557" s="22">
        <v>4.118694636231135E-2</v>
      </c>
      <c r="T557" s="19">
        <f t="shared" si="64"/>
        <v>4.2566926386118364E-2</v>
      </c>
      <c r="U557" s="24">
        <v>4.40753339738158E-2</v>
      </c>
      <c r="V557" s="24">
        <f t="shared" si="65"/>
        <v>4.2847599333369901E-2</v>
      </c>
      <c r="W557" s="23">
        <f t="shared" si="66"/>
        <v>3.5023436002303843E-3</v>
      </c>
      <c r="X557" s="24">
        <v>4.3460718282788413E-2</v>
      </c>
      <c r="Y557" s="24">
        <f t="shared" si="67"/>
        <v>4.2743533503113662E-2</v>
      </c>
      <c r="Z557" s="23">
        <f t="shared" si="68"/>
        <v>3.493916837347788E-3</v>
      </c>
      <c r="AA557" s="36"/>
    </row>
    <row r="558" spans="15:27" ht="13.9" customHeight="1">
      <c r="O558" s="12">
        <f t="shared" si="62"/>
        <v>45.416666666666664</v>
      </c>
      <c r="P558" s="13">
        <v>545</v>
      </c>
      <c r="Q558" s="22">
        <v>3.8288866207888628E-2</v>
      </c>
      <c r="R558" s="19">
        <f t="shared" si="63"/>
        <v>3.5799235357573123E-2</v>
      </c>
      <c r="S558" s="22">
        <v>4.118947676231155E-2</v>
      </c>
      <c r="T558" s="19">
        <f t="shared" si="64"/>
        <v>4.2570534906226198E-2</v>
      </c>
      <c r="U558" s="24">
        <v>4.4073079926602698E-2</v>
      </c>
      <c r="V558" s="24">
        <f t="shared" si="65"/>
        <v>4.2847965109961805E-2</v>
      </c>
      <c r="W558" s="23">
        <f t="shared" si="66"/>
        <v>3.5023730028316269E-3</v>
      </c>
      <c r="X558" s="24">
        <v>4.345940189580566E-2</v>
      </c>
      <c r="Y558" s="24">
        <f t="shared" si="67"/>
        <v>4.2744907921699715E-2</v>
      </c>
      <c r="Z558" s="23">
        <f t="shared" si="68"/>
        <v>3.4940276571706619E-3</v>
      </c>
      <c r="AA558" s="36"/>
    </row>
    <row r="559" spans="15:27" ht="13.9" customHeight="1">
      <c r="O559" s="12">
        <f t="shared" si="62"/>
        <v>45.5</v>
      </c>
      <c r="P559" s="13">
        <v>546</v>
      </c>
      <c r="Q559" s="22">
        <v>3.8284300978959962E-2</v>
      </c>
      <c r="R559" s="19">
        <f t="shared" si="63"/>
        <v>3.5813623729252786E-2</v>
      </c>
      <c r="S559" s="22">
        <v>4.1192004499847057E-2</v>
      </c>
      <c r="T559" s="19">
        <f t="shared" si="64"/>
        <v>4.257411324324667E-2</v>
      </c>
      <c r="U559" s="24">
        <v>4.4070834811518411E-2</v>
      </c>
      <c r="V559" s="24">
        <f t="shared" si="65"/>
        <v>4.284833001360977E-2</v>
      </c>
      <c r="W559" s="23">
        <f t="shared" si="66"/>
        <v>3.5024023341883037E-3</v>
      </c>
      <c r="X559" s="24">
        <v>4.345809285137836E-2</v>
      </c>
      <c r="Y559" s="24">
        <f t="shared" si="67"/>
        <v>4.2746274948981533E-2</v>
      </c>
      <c r="Z559" s="23">
        <f t="shared" si="68"/>
        <v>3.4941378808230894E-3</v>
      </c>
      <c r="AA559" s="36"/>
    </row>
    <row r="560" spans="15:27" ht="13.9" customHeight="1">
      <c r="O560" s="12">
        <f t="shared" si="62"/>
        <v>45.583333333333336</v>
      </c>
      <c r="P560" s="13">
        <v>547</v>
      </c>
      <c r="Q560" s="22">
        <v>3.8279778828836264E-2</v>
      </c>
      <c r="R560" s="19">
        <f t="shared" si="63"/>
        <v>3.5828093244203885E-2</v>
      </c>
      <c r="S560" s="22">
        <v>4.1194529534405389E-2</v>
      </c>
      <c r="T560" s="19">
        <f t="shared" si="64"/>
        <v>4.2577661650419207E-2</v>
      </c>
      <c r="U560" s="24">
        <v>4.4068598577946538E-2</v>
      </c>
      <c r="V560" s="24">
        <f t="shared" si="65"/>
        <v>4.2848694027678436E-2</v>
      </c>
      <c r="W560" s="23">
        <f t="shared" si="66"/>
        <v>3.5024315955347607E-3</v>
      </c>
      <c r="X560" s="24">
        <v>4.3456791095693115E-2</v>
      </c>
      <c r="Y560" s="24">
        <f t="shared" si="67"/>
        <v>4.2747634621555175E-2</v>
      </c>
      <c r="Z560" s="23">
        <f t="shared" si="68"/>
        <v>3.4942475115862237E-3</v>
      </c>
      <c r="AA560" s="36"/>
    </row>
    <row r="561" spans="15:27" ht="13.9" customHeight="1">
      <c r="O561" s="12">
        <f t="shared" si="62"/>
        <v>45.666666666666664</v>
      </c>
      <c r="P561" s="13">
        <v>548</v>
      </c>
      <c r="Q561" s="22">
        <v>3.8275299669288554E-2</v>
      </c>
      <c r="R561" s="19">
        <f t="shared" si="63"/>
        <v>3.5842643824285592E-2</v>
      </c>
      <c r="S561" s="22">
        <v>4.1197051826231013E-2</v>
      </c>
      <c r="T561" s="19">
        <f t="shared" si="64"/>
        <v>4.2581180380325989E-2</v>
      </c>
      <c r="U561" s="24">
        <v>4.4066371175609298E-2</v>
      </c>
      <c r="V561" s="24">
        <f t="shared" si="65"/>
        <v>4.2849057165052384E-2</v>
      </c>
      <c r="W561" s="23">
        <f t="shared" si="66"/>
        <v>3.5024607855373979E-3</v>
      </c>
      <c r="X561" s="24">
        <v>4.345549657539638E-2</v>
      </c>
      <c r="Y561" s="24">
        <f t="shared" si="67"/>
        <v>4.2748986981983705E-2</v>
      </c>
      <c r="Z561" s="23">
        <f t="shared" si="68"/>
        <v>3.4943565523970488E-3</v>
      </c>
      <c r="AA561" s="36"/>
    </row>
    <row r="562" spans="15:27" ht="13.9" customHeight="1">
      <c r="O562" s="12">
        <f t="shared" si="62"/>
        <v>45.75</v>
      </c>
      <c r="P562" s="13">
        <v>549</v>
      </c>
      <c r="Q562" s="22">
        <v>3.827086341258501E-2</v>
      </c>
      <c r="R562" s="19">
        <f t="shared" si="63"/>
        <v>3.5857276394974269E-2</v>
      </c>
      <c r="S562" s="22">
        <v>4.1199571336318019E-2</v>
      </c>
      <c r="T562" s="19">
        <f t="shared" si="64"/>
        <v>4.25846696843033E-2</v>
      </c>
      <c r="U562" s="24">
        <v>4.4064152554619707E-2</v>
      </c>
      <c r="V562" s="24">
        <f t="shared" si="65"/>
        <v>4.2849419428572011E-2</v>
      </c>
      <c r="W562" s="23">
        <f t="shared" si="66"/>
        <v>3.5024899052291669E-3</v>
      </c>
      <c r="X562" s="24">
        <v>4.3454209237601349E-2</v>
      </c>
      <c r="Y562" s="24">
        <f t="shared" si="67"/>
        <v>4.2750332071026076E-2</v>
      </c>
      <c r="Z562" s="23">
        <f t="shared" si="68"/>
        <v>3.4944650066708327E-3</v>
      </c>
      <c r="AA562" s="36"/>
    </row>
    <row r="563" spans="15:27" ht="13.9" customHeight="1">
      <c r="O563" s="12">
        <f t="shared" si="62"/>
        <v>45.833333333333336</v>
      </c>
      <c r="P563" s="13">
        <v>550</v>
      </c>
      <c r="Q563" s="22">
        <v>3.8266469973314621E-2</v>
      </c>
      <c r="R563" s="19">
        <f t="shared" si="63"/>
        <v>3.587199188694945E-2</v>
      </c>
      <c r="S563" s="22">
        <v>4.120208802640013E-2</v>
      </c>
      <c r="T563" s="19">
        <f t="shared" si="64"/>
        <v>4.2588129809176145E-2</v>
      </c>
      <c r="U563" s="24">
        <v>4.4061942665458487E-2</v>
      </c>
      <c r="V563" s="24">
        <f t="shared" si="65"/>
        <v>4.2849780825279016E-2</v>
      </c>
      <c r="W563" s="23">
        <f t="shared" si="66"/>
        <v>3.5025189548378854E-3</v>
      </c>
      <c r="X563" s="24">
        <v>4.3452929029879961E-2</v>
      </c>
      <c r="Y563" s="24">
        <f t="shared" si="67"/>
        <v>4.2751669925600755E-2</v>
      </c>
      <c r="Z563" s="23">
        <f t="shared" si="68"/>
        <v>3.4945728776789586E-3</v>
      </c>
      <c r="AA563" s="36"/>
    </row>
    <row r="564" spans="15:27" ht="13.9" customHeight="1">
      <c r="O564" s="12">
        <f t="shared" si="62"/>
        <v>45.916666666666664</v>
      </c>
      <c r="P564" s="13">
        <v>551</v>
      </c>
      <c r="Q564" s="22">
        <v>3.8262119268376082E-2</v>
      </c>
      <c r="R564" s="19">
        <f t="shared" si="63"/>
        <v>3.588679123744698E-2</v>
      </c>
      <c r="S564" s="22">
        <v>4.1204601858936707E-2</v>
      </c>
      <c r="T564" s="19">
        <f t="shared" si="64"/>
        <v>4.2591561000301814E-2</v>
      </c>
      <c r="U564" s="24">
        <v>4.4059741458979174E-2</v>
      </c>
      <c r="V564" s="24">
        <f t="shared" si="65"/>
        <v>4.2850141340277981E-2</v>
      </c>
      <c r="W564" s="23">
        <f t="shared" si="66"/>
        <v>3.502547934928657E-3</v>
      </c>
      <c r="X564" s="24">
        <v>4.3451655900252462E-2</v>
      </c>
      <c r="Y564" s="24">
        <f t="shared" si="67"/>
        <v>4.2753000586027934E-2</v>
      </c>
      <c r="Z564" s="23">
        <f t="shared" si="68"/>
        <v>3.4946801683835016E-3</v>
      </c>
      <c r="AA564" s="36"/>
    </row>
    <row r="565" spans="15:27" ht="13.9" customHeight="1">
      <c r="O565" s="12">
        <f t="shared" si="62"/>
        <v>46</v>
      </c>
      <c r="P565" s="13">
        <v>552</v>
      </c>
      <c r="Q565" s="22">
        <v>3.8257811216968252E-2</v>
      </c>
      <c r="R565" s="19">
        <f t="shared" si="63"/>
        <v>3.5901674415410589E-2</v>
      </c>
      <c r="S565" s="22">
        <v>4.1207112797102763E-2</v>
      </c>
      <c r="T565" s="19">
        <f t="shared" si="64"/>
        <v>4.2594963501895844E-2</v>
      </c>
      <c r="U565" s="24">
        <v>4.4057548886364373E-2</v>
      </c>
      <c r="V565" s="24">
        <f t="shared" si="65"/>
        <v>4.2850500987761997E-2</v>
      </c>
      <c r="W565" s="23">
        <f t="shared" si="66"/>
        <v>3.5025768443066596E-3</v>
      </c>
      <c r="X565" s="24">
        <v>4.345038979718896E-2</v>
      </c>
      <c r="Y565" s="24">
        <f t="shared" si="67"/>
        <v>4.2754324089534945E-2</v>
      </c>
      <c r="Z565" s="23">
        <f t="shared" si="68"/>
        <v>3.4947868820205397E-3</v>
      </c>
      <c r="AA565" s="36"/>
    </row>
    <row r="566" spans="15:27" ht="13.9" customHeight="1">
      <c r="O566" s="12">
        <f t="shared" si="62"/>
        <v>46.083333333333336</v>
      </c>
      <c r="P566" s="13">
        <v>553</v>
      </c>
      <c r="Q566" s="22">
        <v>3.8253545738814454E-2</v>
      </c>
      <c r="R566" s="19">
        <f t="shared" si="63"/>
        <v>3.5916638470209206E-2</v>
      </c>
      <c r="S566" s="22">
        <v>4.1209620804780966E-2</v>
      </c>
      <c r="T566" s="19">
        <f t="shared" si="64"/>
        <v>4.2598337556222887E-2</v>
      </c>
      <c r="U566" s="24">
        <v>4.4055364899175942E-2</v>
      </c>
      <c r="V566" s="24">
        <f t="shared" si="65"/>
        <v>4.2850859771027761E-2</v>
      </c>
      <c r="W566" s="23">
        <f t="shared" si="66"/>
        <v>3.5026056841103159E-3</v>
      </c>
      <c r="X566" s="24">
        <v>4.3449130669599656E-2</v>
      </c>
      <c r="Y566" s="24">
        <f t="shared" si="67"/>
        <v>4.2755640478299828E-2</v>
      </c>
      <c r="Z566" s="23">
        <f t="shared" si="68"/>
        <v>3.494893021577461E-3</v>
      </c>
      <c r="AA566" s="36"/>
    </row>
    <row r="567" spans="15:27" ht="13.9" customHeight="1">
      <c r="O567" s="12">
        <f t="shared" si="62"/>
        <v>46.166666666666664</v>
      </c>
      <c r="P567" s="13">
        <v>554</v>
      </c>
      <c r="Q567" s="22">
        <v>3.8249322748875603E-2</v>
      </c>
      <c r="R567" s="19">
        <f t="shared" si="63"/>
        <v>3.5931683387581348E-2</v>
      </c>
      <c r="S567" s="22">
        <v>4.1212125846551206E-2</v>
      </c>
      <c r="T567" s="19">
        <f t="shared" si="64"/>
        <v>4.2601683402440971E-2</v>
      </c>
      <c r="U567" s="24">
        <v>4.4053189449331676E-2</v>
      </c>
      <c r="V567" s="24">
        <f t="shared" si="65"/>
        <v>4.2851217692890575E-2</v>
      </c>
      <c r="W567" s="23">
        <f t="shared" si="66"/>
        <v>3.5026344546040811E-3</v>
      </c>
      <c r="X567" s="24">
        <v>4.3447878466840395E-2</v>
      </c>
      <c r="Y567" s="24">
        <f t="shared" si="67"/>
        <v>4.2756949789085619E-2</v>
      </c>
      <c r="Z567" s="23">
        <f t="shared" si="68"/>
        <v>3.4949985904386693E-3</v>
      </c>
      <c r="AA567" s="36"/>
    </row>
    <row r="568" spans="15:27" ht="13.9" customHeight="1">
      <c r="O568" s="12">
        <f t="shared" si="62"/>
        <v>46.25</v>
      </c>
      <c r="P568" s="13">
        <v>555</v>
      </c>
      <c r="Q568" s="22">
        <v>3.8245142162696366E-2</v>
      </c>
      <c r="R568" s="19">
        <f t="shared" si="63"/>
        <v>3.5946810135836227E-2</v>
      </c>
      <c r="S568" s="22">
        <v>4.1214627887679489E-2</v>
      </c>
      <c r="T568" s="19">
        <f t="shared" si="64"/>
        <v>4.2605001276972976E-2</v>
      </c>
      <c r="U568" s="24">
        <v>4.4051022489101088E-2</v>
      </c>
      <c r="V568" s="24">
        <f t="shared" si="65"/>
        <v>4.2851574741378906E-2</v>
      </c>
      <c r="W568" s="23">
        <f t="shared" si="66"/>
        <v>3.5026631560135524E-3</v>
      </c>
      <c r="X568" s="24">
        <v>4.3446633138698454E-2</v>
      </c>
      <c r="Y568" s="24">
        <f t="shared" si="67"/>
        <v>4.2758252057385926E-2</v>
      </c>
      <c r="Z568" s="23">
        <f t="shared" si="68"/>
        <v>3.4951035915544715E-3</v>
      </c>
      <c r="AA568" s="36"/>
    </row>
    <row r="569" spans="15:27" ht="13.9" customHeight="1">
      <c r="O569" s="12">
        <f t="shared" si="62"/>
        <v>46.333333333333336</v>
      </c>
      <c r="P569" s="13">
        <v>556</v>
      </c>
      <c r="Q569" s="22">
        <v>3.8241003898171089E-2</v>
      </c>
      <c r="R569" s="19">
        <f t="shared" si="63"/>
        <v>3.5962019690558344E-2</v>
      </c>
      <c r="S569" s="22">
        <v>4.1217126894105949E-2</v>
      </c>
      <c r="T569" s="19">
        <f t="shared" si="64"/>
        <v>4.2608291416309951E-2</v>
      </c>
      <c r="U569" s="24">
        <v>4.4048863971075658E-2</v>
      </c>
      <c r="V569" s="24">
        <f t="shared" si="65"/>
        <v>4.2851930928351045E-2</v>
      </c>
      <c r="W569" s="23">
        <f t="shared" si="66"/>
        <v>3.5026917873790531E-3</v>
      </c>
      <c r="X569" s="24">
        <v>4.3445394635386547E-2</v>
      </c>
      <c r="Y569" s="24">
        <f t="shared" si="67"/>
        <v>4.2759547325316394E-2</v>
      </c>
      <c r="Z569" s="23">
        <f t="shared" si="68"/>
        <v>3.4952080277732556E-3</v>
      </c>
      <c r="AA569" s="36"/>
    </row>
    <row r="570" spans="15:27" ht="13.9" customHeight="1">
      <c r="O570" s="12">
        <f t="shared" si="62"/>
        <v>46.416666666666664</v>
      </c>
      <c r="P570" s="13">
        <v>557</v>
      </c>
      <c r="Q570" s="22">
        <v>3.8236907875535131E-2</v>
      </c>
      <c r="R570" s="19">
        <f t="shared" si="63"/>
        <v>3.5977313032117042E-2</v>
      </c>
      <c r="S570" s="22">
        <v>4.1219622832439518E-2</v>
      </c>
      <c r="T570" s="19">
        <f t="shared" si="64"/>
        <v>4.2611554054500678E-2</v>
      </c>
      <c r="U570" s="24">
        <v>4.4046713848209018E-2</v>
      </c>
      <c r="V570" s="24">
        <f t="shared" si="65"/>
        <v>4.2852286266800821E-2</v>
      </c>
      <c r="W570" s="23">
        <f t="shared" si="66"/>
        <v>3.5027203496516002E-3</v>
      </c>
      <c r="X570" s="24">
        <v>4.3444162907550599E-2</v>
      </c>
      <c r="Y570" s="24">
        <f t="shared" si="67"/>
        <v>4.2760835629394034E-2</v>
      </c>
      <c r="Z570" s="23">
        <f t="shared" si="68"/>
        <v>3.4953119024743184E-3</v>
      </c>
      <c r="AA570" s="36"/>
    </row>
    <row r="571" spans="15:27" ht="13.9" customHeight="1">
      <c r="O571" s="12">
        <f t="shared" si="62"/>
        <v>46.5</v>
      </c>
      <c r="P571" s="13">
        <v>558</v>
      </c>
      <c r="Q571" s="22">
        <v>3.823285401735288E-2</v>
      </c>
      <c r="R571" s="19">
        <f t="shared" si="63"/>
        <v>3.5992690192839349E-2</v>
      </c>
      <c r="S571" s="22">
        <v>4.122211566994749E-2</v>
      </c>
      <c r="T571" s="19">
        <f t="shared" si="64"/>
        <v>4.2614789422704025E-2</v>
      </c>
      <c r="U571" s="24">
        <v>4.4044572073815624E-2</v>
      </c>
      <c r="V571" s="24">
        <f t="shared" si="65"/>
        <v>4.2852640746549264E-2</v>
      </c>
      <c r="W571" s="23">
        <f t="shared" si="66"/>
        <v>3.5027488438728049E-3</v>
      </c>
      <c r="X571" s="24">
        <v>4.3442937906256418E-2</v>
      </c>
      <c r="Y571" s="24">
        <f t="shared" si="67"/>
        <v>4.2762117009189415E-2</v>
      </c>
      <c r="Z571" s="23">
        <f t="shared" si="68"/>
        <v>3.4954152185882048E-3</v>
      </c>
      <c r="AA571" s="36"/>
    </row>
    <row r="572" spans="15:27" ht="13.9" customHeight="1">
      <c r="O572" s="12">
        <f t="shared" si="62"/>
        <v>46.583333333333336</v>
      </c>
      <c r="P572" s="13">
        <v>559</v>
      </c>
      <c r="Q572" s="22">
        <v>3.8228842246796679E-2</v>
      </c>
      <c r="R572" s="19">
        <f t="shared" si="63"/>
        <v>3.6008148343933399E-2</v>
      </c>
      <c r="S572" s="22">
        <v>4.1224605374544199E-2</v>
      </c>
      <c r="T572" s="19">
        <f t="shared" si="64"/>
        <v>4.2617997749110792E-2</v>
      </c>
      <c r="U572" s="24">
        <v>4.4042438601525902E-2</v>
      </c>
      <c r="V572" s="24">
        <f t="shared" si="65"/>
        <v>4.285299436759149E-2</v>
      </c>
      <c r="W572" s="23">
        <f t="shared" si="66"/>
        <v>3.5027772692270975E-3</v>
      </c>
      <c r="X572" s="24">
        <v>4.344171958299059E-2</v>
      </c>
      <c r="Y572" s="24">
        <f t="shared" si="67"/>
        <v>4.2763391497924852E-2</v>
      </c>
      <c r="Z572" s="23">
        <f t="shared" si="68"/>
        <v>3.4955179792903746E-3</v>
      </c>
      <c r="AA572" s="36"/>
    </row>
    <row r="573" spans="15:27" ht="13.9" customHeight="1">
      <c r="O573" s="12">
        <f t="shared" si="62"/>
        <v>46.666666666666664</v>
      </c>
      <c r="P573" s="13">
        <v>560</v>
      </c>
      <c r="Q573" s="22">
        <v>3.8224872482521821E-2</v>
      </c>
      <c r="R573" s="19">
        <f t="shared" si="63"/>
        <v>3.6023687536070215E-2</v>
      </c>
      <c r="S573" s="22">
        <v>4.1227091914780356E-2</v>
      </c>
      <c r="T573" s="19">
        <f t="shared" si="64"/>
        <v>4.2621179261859377E-2</v>
      </c>
      <c r="U573" s="24">
        <v>4.4040313385301566E-2</v>
      </c>
      <c r="V573" s="24">
        <f t="shared" si="65"/>
        <v>4.2853347127395525E-2</v>
      </c>
      <c r="W573" s="23">
        <f t="shared" si="66"/>
        <v>3.5028056257135898E-3</v>
      </c>
      <c r="X573" s="24">
        <v>4.3440507889646041E-2</v>
      </c>
      <c r="Y573" s="24">
        <f t="shared" si="67"/>
        <v>4.2764659134161498E-2</v>
      </c>
      <c r="Z573" s="23">
        <f t="shared" si="68"/>
        <v>3.4956201872464732E-3</v>
      </c>
      <c r="AA573" s="36"/>
    </row>
    <row r="574" spans="15:27" ht="13.9" customHeight="1">
      <c r="O574" s="12">
        <f t="shared" si="62"/>
        <v>46.75</v>
      </c>
      <c r="P574" s="13">
        <v>561</v>
      </c>
      <c r="Q574" s="22">
        <v>3.8220944643850174E-2</v>
      </c>
      <c r="R574" s="19">
        <f t="shared" si="63"/>
        <v>3.6039308780039692E-2</v>
      </c>
      <c r="S574" s="22">
        <v>4.1229575259836615E-2</v>
      </c>
      <c r="T574" s="19">
        <f t="shared" si="64"/>
        <v>4.2624334188416935E-2</v>
      </c>
      <c r="U574" s="24">
        <v>4.4038196379428518E-2</v>
      </c>
      <c r="V574" s="24">
        <f t="shared" si="65"/>
        <v>4.285369905415326E-2</v>
      </c>
      <c r="W574" s="23">
        <f t="shared" si="66"/>
        <v>3.5028339131295549E-3</v>
      </c>
      <c r="X574" s="24">
        <v>4.3439302778528033E-2</v>
      </c>
      <c r="Y574" s="24">
        <f t="shared" si="67"/>
        <v>4.2765919959439458E-2</v>
      </c>
      <c r="Z574" s="23">
        <f t="shared" si="68"/>
        <v>3.4957218455511363E-3</v>
      </c>
      <c r="AA574" s="36"/>
    </row>
    <row r="575" spans="15:27" ht="13.9" customHeight="1">
      <c r="O575" s="12">
        <f t="shared" si="62"/>
        <v>46.833333333333336</v>
      </c>
      <c r="P575" s="13">
        <v>562</v>
      </c>
      <c r="Q575" s="22">
        <v>3.8217058652476821E-2</v>
      </c>
      <c r="R575" s="19">
        <f t="shared" si="63"/>
        <v>3.6055013094371091E-2</v>
      </c>
      <c r="S575" s="22">
        <v>4.1232055379517796E-2</v>
      </c>
      <c r="T575" s="19">
        <f t="shared" si="64"/>
        <v>4.262746275088114E-2</v>
      </c>
      <c r="U575" s="24">
        <v>4.4036087538568136E-2</v>
      </c>
      <c r="V575" s="24">
        <f t="shared" si="65"/>
        <v>4.2854050127340004E-2</v>
      </c>
      <c r="W575" s="23">
        <f t="shared" si="66"/>
        <v>3.5028621337358512E-3</v>
      </c>
      <c r="X575" s="24">
        <v>4.3438104202354832E-2</v>
      </c>
      <c r="Y575" s="24">
        <f t="shared" si="67"/>
        <v>4.2767174006440589E-2</v>
      </c>
      <c r="Z575" s="23">
        <f t="shared" si="68"/>
        <v>3.4958229575374755E-3</v>
      </c>
      <c r="AA575" s="36"/>
    </row>
    <row r="576" spans="15:27" ht="13.9" customHeight="1">
      <c r="O576" s="12">
        <f t="shared" si="62"/>
        <v>46.916666666666664</v>
      </c>
      <c r="P576" s="13">
        <v>563</v>
      </c>
      <c r="Q576" s="22">
        <v>3.8213214432462284E-2</v>
      </c>
      <c r="R576" s="19">
        <f t="shared" si="63"/>
        <v>3.6070801504323402E-2</v>
      </c>
      <c r="S576" s="22">
        <v>4.1234532244236677E-2</v>
      </c>
      <c r="T576" s="19">
        <f t="shared" si="64"/>
        <v>4.2630565170313384E-2</v>
      </c>
      <c r="U576" s="24">
        <v>4.4033986817668014E-2</v>
      </c>
      <c r="V576" s="24">
        <f t="shared" si="65"/>
        <v>4.285440034594834E-2</v>
      </c>
      <c r="W576" s="23">
        <f t="shared" si="66"/>
        <v>3.5028902858864619E-3</v>
      </c>
      <c r="X576" s="24">
        <v>4.3436912114239501E-2</v>
      </c>
      <c r="Y576" s="24">
        <f t="shared" si="67"/>
        <v>4.2768421312060934E-2</v>
      </c>
      <c r="Z576" s="23">
        <f t="shared" si="68"/>
        <v>3.4959235258280597E-3</v>
      </c>
      <c r="AA576" s="36"/>
    </row>
    <row r="577" spans="15:27" ht="13.9" customHeight="1">
      <c r="O577" s="12">
        <f t="shared" si="62"/>
        <v>47</v>
      </c>
      <c r="P577" s="13">
        <v>564</v>
      </c>
      <c r="Q577" s="22">
        <v>3.8209411910223201E-2</v>
      </c>
      <c r="R577" s="19">
        <f t="shared" si="63"/>
        <v>3.6086674104155891E-2</v>
      </c>
      <c r="S577" s="22">
        <v>4.1237005825007556E-2</v>
      </c>
      <c r="T577" s="19">
        <f t="shared" si="64"/>
        <v>4.2633641667483513E-2</v>
      </c>
      <c r="U577" s="24">
        <v>4.4031894171993491E-2</v>
      </c>
      <c r="V577" s="24">
        <f t="shared" si="65"/>
        <v>4.2854749721679797E-2</v>
      </c>
      <c r="W577" s="23">
        <f t="shared" si="66"/>
        <v>3.5029183695007848E-3</v>
      </c>
      <c r="X577" s="24">
        <v>4.3435726467693003E-2</v>
      </c>
      <c r="Y577" s="24">
        <f t="shared" si="67"/>
        <v>4.2769661911693291E-2</v>
      </c>
      <c r="Z577" s="23">
        <f t="shared" si="68"/>
        <v>3.4960235533838535E-3</v>
      </c>
      <c r="AA577" s="36"/>
    </row>
    <row r="578" spans="15:27" ht="13.9" customHeight="1">
      <c r="O578" s="12">
        <f t="shared" si="62"/>
        <v>47.083333333333336</v>
      </c>
      <c r="P578" s="13">
        <v>565</v>
      </c>
      <c r="Q578" s="22">
        <v>3.8205651012860553E-2</v>
      </c>
      <c r="R578" s="19">
        <f t="shared" si="63"/>
        <v>3.6102628186925889E-2</v>
      </c>
      <c r="S578" s="22">
        <v>4.1239476093440253E-2</v>
      </c>
      <c r="T578" s="19">
        <f t="shared" si="64"/>
        <v>4.2636692460872982E-2</v>
      </c>
      <c r="U578" s="24">
        <v>4.4029809557147415E-2</v>
      </c>
      <c r="V578" s="24">
        <f t="shared" si="65"/>
        <v>4.2855098263811175E-2</v>
      </c>
      <c r="W578" s="23">
        <f t="shared" si="66"/>
        <v>3.5029463855171805E-3</v>
      </c>
      <c r="X578" s="24">
        <v>4.3434547216618435E-2</v>
      </c>
      <c r="Y578" s="24">
        <f t="shared" si="67"/>
        <v>4.2770895845773538E-2</v>
      </c>
      <c r="Z578" s="23">
        <f t="shared" si="68"/>
        <v>3.4961230430448076E-3</v>
      </c>
      <c r="AA578" s="36"/>
    </row>
    <row r="579" spans="15:27" ht="13.9" customHeight="1">
      <c r="O579" s="12">
        <f t="shared" si="62"/>
        <v>47.166666666666664</v>
      </c>
      <c r="P579" s="13">
        <v>566</v>
      </c>
      <c r="Q579" s="22">
        <v>3.8201931663194078E-2</v>
      </c>
      <c r="R579" s="19">
        <f t="shared" si="63"/>
        <v>3.611866386471374E-2</v>
      </c>
      <c r="S579" s="22">
        <v>4.1241943021730565E-2</v>
      </c>
      <c r="T579" s="19">
        <f t="shared" si="64"/>
        <v>4.263971776653297E-2</v>
      </c>
      <c r="U579" s="24">
        <v>4.4027732929063257E-2</v>
      </c>
      <c r="V579" s="24">
        <f t="shared" si="65"/>
        <v>4.2855445963174255E-2</v>
      </c>
      <c r="W579" s="23">
        <f t="shared" si="66"/>
        <v>3.5029743346797204E-3</v>
      </c>
      <c r="X579" s="24">
        <v>4.3433374315316353E-2</v>
      </c>
      <c r="Y579" s="24">
        <f t="shared" si="67"/>
        <v>4.2772123148898666E-2</v>
      </c>
      <c r="Z579" s="23">
        <f t="shared" si="68"/>
        <v>3.4962219980552156E-3</v>
      </c>
      <c r="AA579" s="36"/>
    </row>
    <row r="580" spans="15:27" ht="13.9" customHeight="1">
      <c r="O580" s="12">
        <f t="shared" si="62"/>
        <v>47.25</v>
      </c>
      <c r="P580" s="13">
        <v>567</v>
      </c>
      <c r="Q580" s="22">
        <v>3.8198253784782255E-2</v>
      </c>
      <c r="R580" s="19">
        <f t="shared" si="63"/>
        <v>3.6134782193042669E-2</v>
      </c>
      <c r="S580" s="22">
        <v>4.1244406582650939E-2</v>
      </c>
      <c r="T580" s="19">
        <f t="shared" si="64"/>
        <v>4.2642717797453322E-2</v>
      </c>
      <c r="U580" s="24">
        <v>4.4025664243969143E-2</v>
      </c>
      <c r="V580" s="24">
        <f t="shared" si="65"/>
        <v>4.2855792815513549E-2</v>
      </c>
      <c r="W580" s="23">
        <f t="shared" si="66"/>
        <v>3.5030022162532148E-3</v>
      </c>
      <c r="X580" s="24">
        <v>4.3432207718471005E-2</v>
      </c>
      <c r="Y580" s="24">
        <f t="shared" si="67"/>
        <v>4.2773343851774781E-2</v>
      </c>
      <c r="Z580" s="23">
        <f t="shared" si="68"/>
        <v>3.4963204211915233E-3</v>
      </c>
      <c r="AA580" s="36"/>
    </row>
    <row r="581" spans="15:27" ht="13.9" customHeight="1">
      <c r="O581" s="12">
        <f t="shared" si="62"/>
        <v>47.333333333333336</v>
      </c>
      <c r="P581" s="13">
        <v>568</v>
      </c>
      <c r="Q581" s="22">
        <v>3.8194617303580536E-2</v>
      </c>
      <c r="R581" s="19">
        <f t="shared" si="63"/>
        <v>3.6150984234357253E-2</v>
      </c>
      <c r="S581" s="22">
        <v>4.1246866749540256E-2</v>
      </c>
      <c r="T581" s="19">
        <f t="shared" si="64"/>
        <v>4.2645692767491639E-2</v>
      </c>
      <c r="U581" s="24">
        <v>4.4023603458394289E-2</v>
      </c>
      <c r="V581" s="24">
        <f t="shared" si="65"/>
        <v>4.2856138837249036E-2</v>
      </c>
      <c r="W581" s="23">
        <f t="shared" si="66"/>
        <v>3.5030300298963812E-3</v>
      </c>
      <c r="X581" s="24">
        <v>4.3431047381139898E-2</v>
      </c>
      <c r="Y581" s="24">
        <f t="shared" si="67"/>
        <v>4.2774557997315554E-2</v>
      </c>
      <c r="Z581" s="23">
        <f t="shared" si="68"/>
        <v>3.4964183149179817E-3</v>
      </c>
      <c r="AA581" s="36"/>
    </row>
    <row r="582" spans="15:27" ht="13.9" customHeight="1">
      <c r="O582" s="12">
        <f t="shared" si="62"/>
        <v>47.416666666666664</v>
      </c>
      <c r="P582" s="13">
        <v>569</v>
      </c>
      <c r="Q582" s="22">
        <v>3.8191022147931353E-2</v>
      </c>
      <c r="R582" s="19">
        <f t="shared" si="63"/>
        <v>3.616727105644757E-2</v>
      </c>
      <c r="S582" s="22">
        <v>4.1249323496299839E-2</v>
      </c>
      <c r="T582" s="19">
        <f t="shared" si="64"/>
        <v>4.2648642887218147E-2</v>
      </c>
      <c r="U582" s="24">
        <v>4.4021550529202536E-2</v>
      </c>
      <c r="V582" s="24">
        <f t="shared" si="65"/>
        <v>4.2856484028064745E-2</v>
      </c>
      <c r="W582" s="23">
        <f t="shared" si="66"/>
        <v>3.5030577769259441E-3</v>
      </c>
      <c r="X582" s="24">
        <v>4.3429893258772445E-2</v>
      </c>
      <c r="Y582" s="24">
        <f t="shared" si="67"/>
        <v>4.2775765617521389E-2</v>
      </c>
      <c r="Z582" s="23">
        <f t="shared" si="68"/>
        <v>3.4965156826776145E-3</v>
      </c>
      <c r="AA582" s="36"/>
    </row>
    <row r="583" spans="15:27" ht="13.9" customHeight="1">
      <c r="O583" s="12">
        <f t="shared" si="62"/>
        <v>47.5</v>
      </c>
      <c r="P583" s="13">
        <v>570</v>
      </c>
      <c r="Q583" s="22">
        <v>3.8187468248553236E-2</v>
      </c>
      <c r="R583" s="19">
        <f t="shared" si="63"/>
        <v>3.618364281685249E-2</v>
      </c>
      <c r="S583" s="22">
        <v>4.1251776797383455E-2</v>
      </c>
      <c r="T583" s="19">
        <f t="shared" si="64"/>
        <v>4.2651568365322801E-2</v>
      </c>
      <c r="U583" s="24">
        <v>4.4019505413560145E-2</v>
      </c>
      <c r="V583" s="24">
        <f t="shared" si="65"/>
        <v>4.2856828388710522E-2</v>
      </c>
      <c r="W583" s="23">
        <f t="shared" si="66"/>
        <v>3.5030854573168124E-3</v>
      </c>
      <c r="X583" s="24">
        <v>4.3428745307186878E-2</v>
      </c>
      <c r="Y583" s="24">
        <f t="shared" si="67"/>
        <v>4.2776966749344281E-2</v>
      </c>
      <c r="Z583" s="23">
        <f t="shared" si="68"/>
        <v>3.4966125270383674E-3</v>
      </c>
      <c r="AA583" s="36"/>
    </row>
    <row r="584" spans="15:27" ht="13.9" customHeight="1">
      <c r="O584" s="12">
        <f t="shared" si="62"/>
        <v>47.583333333333336</v>
      </c>
      <c r="P584" s="13">
        <v>571</v>
      </c>
      <c r="Q584" s="22">
        <v>3.8183955536922332E-2</v>
      </c>
      <c r="R584" s="19">
        <f t="shared" si="63"/>
        <v>3.6200096928209469E-2</v>
      </c>
      <c r="S584" s="22">
        <v>4.1254226627788437E-2</v>
      </c>
      <c r="T584" s="19">
        <f t="shared" si="64"/>
        <v>4.2654469408279105E-2</v>
      </c>
      <c r="U584" s="24">
        <v>4.4017468068934695E-2</v>
      </c>
      <c r="V584" s="24">
        <f t="shared" si="65"/>
        <v>4.2857171908480707E-2</v>
      </c>
      <c r="W584" s="23">
        <f t="shared" si="66"/>
        <v>3.5031130711291603E-3</v>
      </c>
      <c r="X584" s="24">
        <v>4.3427603482575794E-2</v>
      </c>
      <c r="Y584" s="24">
        <f t="shared" si="67"/>
        <v>4.277816142433033E-2</v>
      </c>
      <c r="Z584" s="23">
        <f t="shared" si="68"/>
        <v>3.4967088509652022E-3</v>
      </c>
      <c r="AA584" s="36"/>
    </row>
    <row r="585" spans="15:27" ht="13.9" customHeight="1">
      <c r="O585" s="12">
        <f t="shared" si="62"/>
        <v>47.666666666666664</v>
      </c>
      <c r="P585" s="13">
        <v>572</v>
      </c>
      <c r="Q585" s="22">
        <v>3.818048394045781E-2</v>
      </c>
      <c r="R585" s="19">
        <f t="shared" si="63"/>
        <v>3.621663356454996E-2</v>
      </c>
      <c r="S585" s="22">
        <v>4.1256672963047913E-2</v>
      </c>
      <c r="T585" s="19">
        <f t="shared" si="64"/>
        <v>4.265734622200168E-2</v>
      </c>
      <c r="U585" s="24">
        <v>4.4015438453073097E-2</v>
      </c>
      <c r="V585" s="24">
        <f t="shared" si="65"/>
        <v>4.2857514600870728E-2</v>
      </c>
      <c r="W585" s="23">
        <f t="shared" si="66"/>
        <v>3.5031406175043411E-3</v>
      </c>
      <c r="X585" s="24">
        <v>4.3426467741493724E-2</v>
      </c>
      <c r="Y585" s="24">
        <f t="shared" si="67"/>
        <v>4.2779349679381351E-2</v>
      </c>
      <c r="Z585" s="23">
        <f t="shared" si="68"/>
        <v>3.4968046569896494E-3</v>
      </c>
      <c r="AA585" s="36"/>
    </row>
    <row r="586" spans="15:27" ht="13.9" customHeight="1">
      <c r="O586" s="12">
        <f t="shared" si="62"/>
        <v>47.75</v>
      </c>
      <c r="P586" s="13">
        <v>573</v>
      </c>
      <c r="Q586" s="22">
        <v>3.8177053387385973E-2</v>
      </c>
      <c r="R586" s="19">
        <f t="shared" si="63"/>
        <v>3.6233253826675416E-2</v>
      </c>
      <c r="S586" s="22">
        <v>4.1259115779224143E-2</v>
      </c>
      <c r="T586" s="19">
        <f t="shared" si="64"/>
        <v>4.2660199010893018E-2</v>
      </c>
      <c r="U586" s="24">
        <v>4.401341652404045E-2</v>
      </c>
      <c r="V586" s="24">
        <f t="shared" si="65"/>
        <v>4.2857856479022294E-2</v>
      </c>
      <c r="W586" s="23">
        <f t="shared" si="66"/>
        <v>3.5031680975250445E-3</v>
      </c>
      <c r="X586" s="24">
        <v>4.3425338040863126E-2</v>
      </c>
      <c r="Y586" s="24">
        <f t="shared" si="67"/>
        <v>4.2780531552465417E-2</v>
      </c>
      <c r="Z586" s="23">
        <f t="shared" si="68"/>
        <v>3.4968999480726737E-3</v>
      </c>
      <c r="AA586" s="36"/>
    </row>
    <row r="587" spans="15:27" ht="13.9" customHeight="1">
      <c r="O587" s="12">
        <f t="shared" si="62"/>
        <v>47.833333333333336</v>
      </c>
      <c r="P587" s="13">
        <v>574</v>
      </c>
      <c r="Q587" s="22">
        <v>3.81736638083503E-2</v>
      </c>
      <c r="R587" s="19">
        <f t="shared" si="63"/>
        <v>3.6249958818822092E-2</v>
      </c>
      <c r="S587" s="22">
        <v>4.1261555052902077E-2</v>
      </c>
      <c r="T587" s="19">
        <f t="shared" si="64"/>
        <v>4.2663027975304635E-2</v>
      </c>
      <c r="U587" s="24">
        <v>4.4011402240217601E-2</v>
      </c>
      <c r="V587" s="24">
        <f t="shared" si="65"/>
        <v>4.2858197528432118E-2</v>
      </c>
      <c r="W587" s="23">
        <f t="shared" si="66"/>
        <v>3.5031955122446501E-3</v>
      </c>
      <c r="X587" s="24">
        <v>4.3424214337972833E-2</v>
      </c>
      <c r="Y587" s="24">
        <f t="shared" si="67"/>
        <v>4.2781707073819009E-2</v>
      </c>
      <c r="Z587" s="23">
        <f t="shared" si="68"/>
        <v>3.4969947272607271E-3</v>
      </c>
      <c r="AA587" s="36"/>
    </row>
    <row r="588" spans="15:27" ht="13.9" customHeight="1">
      <c r="O588" s="12">
        <f t="shared" si="62"/>
        <v>47.916666666666664</v>
      </c>
      <c r="P588" s="13">
        <v>575</v>
      </c>
      <c r="Q588" s="22">
        <v>3.8170315136397237E-2</v>
      </c>
      <c r="R588" s="19">
        <f t="shared" si="63"/>
        <v>3.6266749654586095E-2</v>
      </c>
      <c r="S588" s="22">
        <v>4.1263990761177594E-2</v>
      </c>
      <c r="T588" s="19">
        <f t="shared" si="64"/>
        <v>4.266583331619711E-2</v>
      </c>
      <c r="U588" s="24">
        <v>4.4009395560249631E-2</v>
      </c>
      <c r="V588" s="24">
        <f t="shared" si="65"/>
        <v>4.2858537749433712E-2</v>
      </c>
      <c r="W588" s="23">
        <f t="shared" si="66"/>
        <v>3.5032228605003102E-3</v>
      </c>
      <c r="X588" s="24">
        <v>4.342309659046184E-2</v>
      </c>
      <c r="Y588" s="24">
        <f t="shared" si="67"/>
        <v>4.2782876277699611E-2</v>
      </c>
      <c r="Z588" s="23">
        <f t="shared" si="68"/>
        <v>3.4970889969798691E-3</v>
      </c>
      <c r="AA588" s="36"/>
    </row>
    <row r="589" spans="15:27" ht="13.9" customHeight="1">
      <c r="O589" s="12">
        <f t="shared" si="62"/>
        <v>48</v>
      </c>
      <c r="P589" s="13">
        <v>576</v>
      </c>
      <c r="Q589" s="22">
        <v>3.8167007306970424E-2</v>
      </c>
      <c r="R589" s="19">
        <f t="shared" si="63"/>
        <v>3.6283626553577752E-2</v>
      </c>
      <c r="S589" s="22">
        <v>4.1266422881653941E-2</v>
      </c>
      <c r="T589" s="19">
        <f t="shared" si="64"/>
        <v>4.2668615232155593E-2</v>
      </c>
      <c r="U589" s="24">
        <v>4.4007396443069613E-2</v>
      </c>
      <c r="V589" s="24">
        <f t="shared" si="65"/>
        <v>4.2858877152867736E-2</v>
      </c>
      <c r="W589" s="23">
        <f t="shared" si="66"/>
        <v>3.5032501423191142E-3</v>
      </c>
      <c r="X589" s="24">
        <v>4.342198475632264E-2</v>
      </c>
      <c r="Y589" s="24">
        <f t="shared" si="67"/>
        <v>4.2784039201034352E-2</v>
      </c>
      <c r="Z589" s="23">
        <f t="shared" si="68"/>
        <v>3.4971827599794558E-3</v>
      </c>
      <c r="AA589" s="36"/>
    </row>
    <row r="590" spans="15:27" ht="13.9" customHeight="1">
      <c r="O590" s="12">
        <f t="shared" ref="O590:O653" si="69">P590/12</f>
        <v>48.083333333333336</v>
      </c>
      <c r="P590" s="13">
        <v>577</v>
      </c>
      <c r="Q590" s="22">
        <v>3.8163740256338174E-2</v>
      </c>
      <c r="R590" s="19">
        <f t="shared" ref="R590:R653" si="70">(1+Q591)^P591/(1+Q590)^P590-1</f>
        <v>3.6300587046599109E-2</v>
      </c>
      <c r="S590" s="22">
        <v>4.1268851392433303E-2</v>
      </c>
      <c r="T590" s="19">
        <f t="shared" ref="T590:T653" si="71">(1+S591)^P591/(1+S590)^P590-1</f>
        <v>4.2671373919518363E-2</v>
      </c>
      <c r="U590" s="24">
        <v>4.4005404847914376E-2</v>
      </c>
      <c r="V590" s="24">
        <f t="shared" ref="V590:V653" si="72">(1+U591)^P591/(1+U590)^P590-1</f>
        <v>4.2859215740144174E-2</v>
      </c>
      <c r="W590" s="23">
        <f t="shared" si="66"/>
        <v>3.5032773585703669E-3</v>
      </c>
      <c r="X590" s="24">
        <v>4.3420878793903661E-2</v>
      </c>
      <c r="Y590" s="24">
        <f t="shared" si="67"/>
        <v>4.2785195875499449E-2</v>
      </c>
      <c r="Z590" s="23">
        <f t="shared" si="68"/>
        <v>3.4972760192220065E-3</v>
      </c>
      <c r="AA590" s="36"/>
    </row>
    <row r="591" spans="15:27" ht="13.9" customHeight="1">
      <c r="O591" s="12">
        <f t="shared" si="69"/>
        <v>48.166666666666664</v>
      </c>
      <c r="P591" s="13">
        <v>578</v>
      </c>
      <c r="Q591" s="22">
        <v>3.8160513916925876E-2</v>
      </c>
      <c r="R591" s="19">
        <f t="shared" si="70"/>
        <v>3.6317631370911485E-2</v>
      </c>
      <c r="S591" s="22">
        <v>4.1271276272108581E-2</v>
      </c>
      <c r="T591" s="19">
        <f t="shared" si="71"/>
        <v>4.2674109574279973E-2</v>
      </c>
      <c r="U591" s="24">
        <v>4.400342073430541E-2</v>
      </c>
      <c r="V591" s="24">
        <f t="shared" si="72"/>
        <v>4.2859553517231364E-2</v>
      </c>
      <c r="W591" s="23">
        <f t="shared" ref="W591:W654" si="73">(1+V590)^(1/12)-1</f>
        <v>3.5033045093668669E-3</v>
      </c>
      <c r="X591" s="24">
        <v>4.3419778661896169E-2</v>
      </c>
      <c r="Y591" s="24">
        <f t="shared" ref="Y591:Y654" si="74">(1+X592)^P592/(1+X591)^P591-1</f>
        <v>4.2786346338711478E-2</v>
      </c>
      <c r="Z591" s="23">
        <f t="shared" ref="Z591:Z654" si="75">(1+Y590)^(1/12)-1</f>
        <v>3.4973687772492656E-3</v>
      </c>
      <c r="AA591" s="36"/>
    </row>
    <row r="592" spans="15:27" ht="13.9" customHeight="1">
      <c r="O592" s="12">
        <f t="shared" si="69"/>
        <v>48.25</v>
      </c>
      <c r="P592" s="13">
        <v>579</v>
      </c>
      <c r="Q592" s="22">
        <v>3.8157328222031994E-2</v>
      </c>
      <c r="R592" s="19">
        <f t="shared" si="70"/>
        <v>3.6334760669251898E-2</v>
      </c>
      <c r="S592" s="22">
        <v>4.1273697499758732E-2</v>
      </c>
      <c r="T592" s="19">
        <f t="shared" si="71"/>
        <v>4.2676822387972324E-2</v>
      </c>
      <c r="U592" s="24">
        <v>4.4001444062054196E-2</v>
      </c>
      <c r="V592" s="24">
        <f t="shared" si="72"/>
        <v>4.2859890466300676E-2</v>
      </c>
      <c r="W592" s="23">
        <f t="shared" si="73"/>
        <v>3.5033315951875643E-3</v>
      </c>
      <c r="X592" s="24">
        <v>4.341868431934226E-2</v>
      </c>
      <c r="Y592" s="24">
        <f t="shared" si="74"/>
        <v>4.2787490617215429E-2</v>
      </c>
      <c r="Z592" s="23">
        <f t="shared" si="75"/>
        <v>3.4974610370794856E-3</v>
      </c>
      <c r="AA592" s="36"/>
    </row>
    <row r="593" spans="15:27" ht="13.9" customHeight="1">
      <c r="O593" s="12">
        <f t="shared" si="69"/>
        <v>48.333333333333336</v>
      </c>
      <c r="P593" s="13">
        <v>580</v>
      </c>
      <c r="Q593" s="22">
        <v>3.8154183107384609E-2</v>
      </c>
      <c r="R593" s="19">
        <f t="shared" si="70"/>
        <v>3.6351976093844218E-2</v>
      </c>
      <c r="S593" s="22">
        <v>4.1276115054936557E-2</v>
      </c>
      <c r="T593" s="19">
        <f t="shared" si="71"/>
        <v>4.2679512554855803E-2</v>
      </c>
      <c r="U593" s="24">
        <v>4.3999474791219129E-2</v>
      </c>
      <c r="V593" s="24">
        <f t="shared" si="72"/>
        <v>4.2860226615575092E-2</v>
      </c>
      <c r="W593" s="23">
        <f t="shared" si="73"/>
        <v>3.5033586146029361E-3</v>
      </c>
      <c r="X593" s="24">
        <v>4.3417595725612435E-2</v>
      </c>
      <c r="Y593" s="24">
        <f t="shared" si="74"/>
        <v>4.2788628751518676E-2</v>
      </c>
      <c r="Z593" s="23">
        <f t="shared" si="75"/>
        <v>3.4975528008429624E-3</v>
      </c>
      <c r="AA593" s="36"/>
    </row>
    <row r="594" spans="15:27" ht="13.9" customHeight="1">
      <c r="O594" s="12">
        <f t="shared" si="69"/>
        <v>48.416666666666664</v>
      </c>
      <c r="P594" s="13">
        <v>581</v>
      </c>
      <c r="Q594" s="22">
        <v>3.8151078511136749E-2</v>
      </c>
      <c r="R594" s="19">
        <f t="shared" si="70"/>
        <v>3.6369278800235438E-2</v>
      </c>
      <c r="S594" s="22">
        <v>4.127852891766981E-2</v>
      </c>
      <c r="T594" s="19">
        <f t="shared" si="71"/>
        <v>4.2682180263457825E-2</v>
      </c>
      <c r="U594" s="24">
        <v>4.3997512882181899E-2</v>
      </c>
      <c r="V594" s="24">
        <f t="shared" si="72"/>
        <v>4.2860561953939502E-2</v>
      </c>
      <c r="W594" s="23">
        <f t="shared" si="73"/>
        <v>3.5033855698758387E-3</v>
      </c>
      <c r="X594" s="24">
        <v>4.3416512840426691E-2</v>
      </c>
      <c r="Y594" s="24">
        <f t="shared" si="74"/>
        <v>4.2789760771583918E-2</v>
      </c>
      <c r="Z594" s="23">
        <f t="shared" si="75"/>
        <v>3.4976440717897628E-3</v>
      </c>
      <c r="AA594" s="36"/>
    </row>
    <row r="595" spans="15:27" ht="13.9" customHeight="1">
      <c r="O595" s="12">
        <f t="shared" si="69"/>
        <v>48.5</v>
      </c>
      <c r="P595" s="13">
        <v>582</v>
      </c>
      <c r="Q595" s="22">
        <v>3.8148014373850847E-2</v>
      </c>
      <c r="R595" s="19">
        <f t="shared" si="70"/>
        <v>3.6386669072084876E-2</v>
      </c>
      <c r="S595" s="22">
        <v>4.1280939068446765E-2</v>
      </c>
      <c r="T595" s="19">
        <f t="shared" si="71"/>
        <v>4.2684825702176799E-2</v>
      </c>
      <c r="U595" s="24">
        <v>4.3995558295577997E-2</v>
      </c>
      <c r="V595" s="24">
        <f t="shared" si="72"/>
        <v>4.2860896475054311E-2</v>
      </c>
      <c r="W595" s="23">
        <f t="shared" si="73"/>
        <v>3.5034124601152072E-3</v>
      </c>
      <c r="X595" s="24">
        <v>4.3415435623833654E-2</v>
      </c>
      <c r="Y595" s="24">
        <f t="shared" si="74"/>
        <v>4.279088670904696E-2</v>
      </c>
      <c r="Z595" s="23">
        <f t="shared" si="75"/>
        <v>3.4977348523237417E-3</v>
      </c>
      <c r="AA595" s="36"/>
    </row>
    <row r="596" spans="15:27" ht="13.9" customHeight="1">
      <c r="O596" s="12">
        <f t="shared" si="69"/>
        <v>48.583333333333336</v>
      </c>
      <c r="P596" s="13">
        <v>583</v>
      </c>
      <c r="Q596" s="22">
        <v>3.8144990636979959E-2</v>
      </c>
      <c r="R596" s="19">
        <f t="shared" si="70"/>
        <v>3.6404144556807294E-2</v>
      </c>
      <c r="S596" s="22">
        <v>4.128334548821222E-2</v>
      </c>
      <c r="T596" s="19">
        <f t="shared" si="71"/>
        <v>4.268744905971289E-2</v>
      </c>
      <c r="U596" s="24">
        <v>4.3993610992302035E-2</v>
      </c>
      <c r="V596" s="24">
        <f t="shared" si="72"/>
        <v>4.2861230196370892E-2</v>
      </c>
      <c r="W596" s="23">
        <f t="shared" si="73"/>
        <v>3.5034392848127816E-3</v>
      </c>
      <c r="X596" s="24">
        <v>4.3414364036210573E-2</v>
      </c>
      <c r="Y596" s="24">
        <f t="shared" si="74"/>
        <v>4.2792006600347099E-2</v>
      </c>
      <c r="Z596" s="23">
        <f t="shared" si="75"/>
        <v>3.4978251449835351E-3</v>
      </c>
      <c r="AA596" s="36"/>
    </row>
    <row r="597" spans="15:27" ht="13.9" customHeight="1">
      <c r="O597" s="12">
        <f t="shared" si="69"/>
        <v>48.666666666666664</v>
      </c>
      <c r="P597" s="13">
        <v>584</v>
      </c>
      <c r="Q597" s="22">
        <v>3.8142007238338271E-2</v>
      </c>
      <c r="R597" s="19">
        <f t="shared" si="70"/>
        <v>3.6421705554339434E-2</v>
      </c>
      <c r="S597" s="22">
        <v>4.1285748158364388E-2</v>
      </c>
      <c r="T597" s="19">
        <f t="shared" si="71"/>
        <v>4.2690050518882749E-2</v>
      </c>
      <c r="U597" s="24">
        <v>4.3991670933546612E-2</v>
      </c>
      <c r="V597" s="24">
        <f t="shared" si="72"/>
        <v>4.2861563111884937E-2</v>
      </c>
      <c r="W597" s="23">
        <f t="shared" si="73"/>
        <v>3.5034660453681088E-3</v>
      </c>
      <c r="X597" s="24">
        <v>4.3413298038268655E-2</v>
      </c>
      <c r="Y597" s="24">
        <f t="shared" si="74"/>
        <v>4.2793120474668545E-2</v>
      </c>
      <c r="Z597" s="23">
        <f t="shared" si="75"/>
        <v>3.4979149526930264E-3</v>
      </c>
      <c r="AA597" s="36"/>
    </row>
    <row r="598" spans="15:27" ht="13.9" customHeight="1">
      <c r="O598" s="12">
        <f t="shared" si="69"/>
        <v>48.75</v>
      </c>
      <c r="P598" s="13">
        <v>585</v>
      </c>
      <c r="Q598" s="22">
        <v>3.8139064116674781E-2</v>
      </c>
      <c r="R598" s="19">
        <f t="shared" si="70"/>
        <v>3.6439353253521878E-2</v>
      </c>
      <c r="S598" s="22">
        <v>4.1288147060740465E-2</v>
      </c>
      <c r="T598" s="19">
        <f t="shared" si="71"/>
        <v>4.2692630266149001E-2</v>
      </c>
      <c r="U598" s="24">
        <v>4.3989738080759455E-2</v>
      </c>
      <c r="V598" s="24">
        <f t="shared" si="72"/>
        <v>4.2861895228986313E-2</v>
      </c>
      <c r="W598" s="23">
        <f t="shared" si="73"/>
        <v>3.5034927412995742E-3</v>
      </c>
      <c r="X598" s="24">
        <v>4.3412237591037739E-2</v>
      </c>
      <c r="Y598" s="24">
        <f t="shared" si="74"/>
        <v>4.2794228368128406E-2</v>
      </c>
      <c r="Z598" s="23">
        <f t="shared" si="75"/>
        <v>3.498004277793676E-3</v>
      </c>
      <c r="AA598" s="36"/>
    </row>
    <row r="599" spans="15:27" ht="13.9" customHeight="1">
      <c r="O599" s="12">
        <f t="shared" si="69"/>
        <v>48.833333333333336</v>
      </c>
      <c r="P599" s="13">
        <v>586</v>
      </c>
      <c r="Q599" s="22">
        <v>3.8136161213183861E-2</v>
      </c>
      <c r="R599" s="19">
        <f t="shared" si="70"/>
        <v>3.6457088850358366E-2</v>
      </c>
      <c r="S599" s="22">
        <v>4.1290542177619516E-2</v>
      </c>
      <c r="T599" s="19">
        <f t="shared" si="71"/>
        <v>4.2695188481273183E-2</v>
      </c>
      <c r="U599" s="24">
        <v>4.3987812395664516E-2</v>
      </c>
      <c r="V599" s="24">
        <f t="shared" si="72"/>
        <v>4.2862226539805537E-2</v>
      </c>
      <c r="W599" s="23">
        <f t="shared" si="73"/>
        <v>3.5035193732000369E-3</v>
      </c>
      <c r="X599" s="24">
        <v>4.3411182655875624E-2</v>
      </c>
      <c r="Y599" s="24">
        <f t="shared" si="74"/>
        <v>4.2795330309074897E-2</v>
      </c>
      <c r="Z599" s="23">
        <f t="shared" si="75"/>
        <v>3.4980931231833878E-3</v>
      </c>
      <c r="AA599" s="36"/>
    </row>
    <row r="600" spans="15:27" ht="13.9" customHeight="1">
      <c r="O600" s="12">
        <f t="shared" si="69"/>
        <v>48.916666666666664</v>
      </c>
      <c r="P600" s="13">
        <v>587</v>
      </c>
      <c r="Q600" s="22">
        <v>3.8133298471496824E-2</v>
      </c>
      <c r="R600" s="19">
        <f t="shared" si="70"/>
        <v>3.6474913547085208E-2</v>
      </c>
      <c r="S600" s="22">
        <v>4.1292933491707373E-2</v>
      </c>
      <c r="T600" s="19">
        <f t="shared" si="71"/>
        <v>4.2697725346503734E-2</v>
      </c>
      <c r="U600" s="24">
        <v>4.3985893840232881E-2</v>
      </c>
      <c r="V600" s="24">
        <f t="shared" si="72"/>
        <v>4.2862557049850425E-2</v>
      </c>
      <c r="W600" s="23">
        <f t="shared" si="73"/>
        <v>3.5035459404382241E-3</v>
      </c>
      <c r="X600" s="24">
        <v>4.3410133194451861E-2</v>
      </c>
      <c r="Y600" s="24">
        <f t="shared" si="74"/>
        <v>4.2796426331156212E-2</v>
      </c>
      <c r="Z600" s="23">
        <f t="shared" si="75"/>
        <v>3.498181491137009E-3</v>
      </c>
      <c r="AA600" s="36"/>
    </row>
    <row r="601" spans="15:27" ht="13.9" customHeight="1">
      <c r="O601" s="12">
        <f t="shared" si="69"/>
        <v>49</v>
      </c>
      <c r="P601" s="13">
        <v>588</v>
      </c>
      <c r="Q601" s="22">
        <v>3.8130475837671929E-2</v>
      </c>
      <c r="R601" s="19">
        <f t="shared" si="70"/>
        <v>3.649282768979889E-2</v>
      </c>
      <c r="S601" s="22">
        <v>4.1295320986136419E-2</v>
      </c>
      <c r="T601" s="19">
        <f t="shared" si="71"/>
        <v>4.2700241041289777E-2</v>
      </c>
      <c r="U601" s="24">
        <v>4.3983982376704311E-2</v>
      </c>
      <c r="V601" s="24">
        <f t="shared" si="72"/>
        <v>4.2862886775586251E-2</v>
      </c>
      <c r="W601" s="23">
        <f t="shared" si="73"/>
        <v>3.5035724434560045E-3</v>
      </c>
      <c r="X601" s="24">
        <v>4.3409089168754189E-2</v>
      </c>
      <c r="Y601" s="24">
        <f t="shared" si="74"/>
        <v>4.2797516470028496E-2</v>
      </c>
      <c r="Z601" s="23">
        <f t="shared" si="75"/>
        <v>3.4982693843539359E-3</v>
      </c>
      <c r="AA601" s="36"/>
    </row>
    <row r="602" spans="15:27" ht="13.9" customHeight="1">
      <c r="O602" s="12">
        <f t="shared" si="69"/>
        <v>49.083333333333336</v>
      </c>
      <c r="P602" s="13">
        <v>589</v>
      </c>
      <c r="Q602" s="22">
        <v>3.8127693258717343E-2</v>
      </c>
      <c r="R602" s="19">
        <f t="shared" si="70"/>
        <v>3.6510829042400328E-2</v>
      </c>
      <c r="S602" s="22">
        <v>4.1297704644458477E-2</v>
      </c>
      <c r="T602" s="19">
        <f t="shared" si="71"/>
        <v>4.2702735741418474E-2</v>
      </c>
      <c r="U602" s="24">
        <v>4.3982077967602784E-2</v>
      </c>
      <c r="V602" s="24">
        <f t="shared" si="72"/>
        <v>4.2863215695508217E-2</v>
      </c>
      <c r="W602" s="23">
        <f t="shared" si="73"/>
        <v>3.5035988835736553E-3</v>
      </c>
      <c r="X602" s="24">
        <v>4.3408050541089205E-2</v>
      </c>
      <c r="Y602" s="24">
        <f t="shared" si="74"/>
        <v>4.2798600751652982E-2</v>
      </c>
      <c r="Z602" s="23">
        <f t="shared" si="75"/>
        <v>3.498356805695213E-3</v>
      </c>
      <c r="AA602" s="36"/>
    </row>
    <row r="603" spans="15:27" ht="13.9" customHeight="1">
      <c r="O603" s="12">
        <f t="shared" si="69"/>
        <v>49.166666666666664</v>
      </c>
      <c r="P603" s="13">
        <v>590</v>
      </c>
      <c r="Q603" s="22">
        <v>3.8124950678199543E-2</v>
      </c>
      <c r="R603" s="19">
        <f t="shared" si="70"/>
        <v>3.6528917968014385E-2</v>
      </c>
      <c r="S603" s="22">
        <v>4.1300084450633934E-2</v>
      </c>
      <c r="T603" s="19">
        <f t="shared" si="71"/>
        <v>4.2705209625181872E-2</v>
      </c>
      <c r="U603" s="24">
        <v>4.3980180575670325E-2</v>
      </c>
      <c r="V603" s="24">
        <f t="shared" si="72"/>
        <v>4.2863543827556194E-2</v>
      </c>
      <c r="W603" s="23">
        <f t="shared" si="73"/>
        <v>3.5036252590670003E-3</v>
      </c>
      <c r="X603" s="24">
        <v>4.3407017274063264E-2</v>
      </c>
      <c r="Y603" s="24">
        <f t="shared" si="74"/>
        <v>4.2799679210869801E-2</v>
      </c>
      <c r="Z603" s="23">
        <f t="shared" si="75"/>
        <v>3.498443757244063E-3</v>
      </c>
      <c r="AA603" s="36"/>
    </row>
    <row r="604" spans="15:27" ht="13.9" customHeight="1">
      <c r="O604" s="12">
        <f t="shared" si="69"/>
        <v>49.25</v>
      </c>
      <c r="P604" s="13">
        <v>591</v>
      </c>
      <c r="Q604" s="22">
        <v>3.8122248040677986E-2</v>
      </c>
      <c r="R604" s="19">
        <f t="shared" si="70"/>
        <v>3.6547095702010424E-2</v>
      </c>
      <c r="S604" s="22">
        <v>4.1302460389033291E-2</v>
      </c>
      <c r="T604" s="19">
        <f t="shared" si="71"/>
        <v>4.2707662865565821E-2</v>
      </c>
      <c r="U604" s="24">
        <v>4.3978290163931399E-2</v>
      </c>
      <c r="V604" s="24">
        <f t="shared" si="72"/>
        <v>4.2863871168745016E-2</v>
      </c>
      <c r="W604" s="23">
        <f t="shared" si="73"/>
        <v>3.5036515713746663E-3</v>
      </c>
      <c r="X604" s="24">
        <v>4.3405989330594918E-2</v>
      </c>
      <c r="Y604" s="24">
        <f t="shared" si="74"/>
        <v>4.2800751878706578E-2</v>
      </c>
      <c r="Z604" s="23">
        <f t="shared" si="75"/>
        <v>3.4985302417958053E-3</v>
      </c>
      <c r="AA604" s="36"/>
    </row>
    <row r="605" spans="15:27" ht="13.9" customHeight="1">
      <c r="O605" s="12">
        <f t="shared" si="69"/>
        <v>49.333333333333336</v>
      </c>
      <c r="P605" s="13">
        <v>592</v>
      </c>
      <c r="Q605" s="22">
        <v>3.8119585293171721E-2</v>
      </c>
      <c r="R605" s="19">
        <f t="shared" si="70"/>
        <v>3.6565363485681512E-2</v>
      </c>
      <c r="S605" s="22">
        <v>4.1304832444424289E-2</v>
      </c>
      <c r="T605" s="19">
        <f t="shared" si="71"/>
        <v>4.2710095636831813E-2</v>
      </c>
      <c r="U605" s="24">
        <v>4.3976406695655612E-2</v>
      </c>
      <c r="V605" s="24">
        <f t="shared" si="72"/>
        <v>4.2864197721898201E-2</v>
      </c>
      <c r="W605" s="23">
        <f t="shared" si="73"/>
        <v>3.5036778202570673E-3</v>
      </c>
      <c r="X605" s="24">
        <v>4.3404966673905809E-2</v>
      </c>
      <c r="Y605" s="24">
        <f t="shared" si="74"/>
        <v>4.2801818786141199E-2</v>
      </c>
      <c r="Z605" s="23">
        <f t="shared" si="75"/>
        <v>3.49861626183956E-3</v>
      </c>
      <c r="AA605" s="36"/>
    </row>
    <row r="606" spans="15:27" ht="13.9" customHeight="1">
      <c r="O606" s="12">
        <f t="shared" si="69"/>
        <v>49.416666666666664</v>
      </c>
      <c r="P606" s="13">
        <v>593</v>
      </c>
      <c r="Q606" s="22">
        <v>3.8116962385148945E-2</v>
      </c>
      <c r="R606" s="19">
        <f t="shared" si="70"/>
        <v>3.6583722568455102E-2</v>
      </c>
      <c r="S606" s="22">
        <v>4.1307200601970795E-2</v>
      </c>
      <c r="T606" s="19">
        <f t="shared" si="71"/>
        <v>4.2712508110179126E-2</v>
      </c>
      <c r="U606" s="24">
        <v>4.3974530134365031E-2</v>
      </c>
      <c r="V606" s="24">
        <f t="shared" si="72"/>
        <v>4.2864523488729711E-2</v>
      </c>
      <c r="W606" s="23">
        <f t="shared" si="73"/>
        <v>3.5037040059409108E-3</v>
      </c>
      <c r="X606" s="24">
        <v>4.3403949267518227E-2</v>
      </c>
      <c r="Y606" s="24">
        <f t="shared" si="74"/>
        <v>4.2802879965193164E-2</v>
      </c>
      <c r="Z606" s="23">
        <f t="shared" si="75"/>
        <v>3.4987018198613384E-3</v>
      </c>
      <c r="AA606" s="36"/>
    </row>
    <row r="607" spans="15:27" ht="13.9" customHeight="1">
      <c r="O607" s="12">
        <f t="shared" si="69"/>
        <v>49.5</v>
      </c>
      <c r="P607" s="13">
        <v>594</v>
      </c>
      <c r="Q607" s="22">
        <v>3.811437926851946E-2</v>
      </c>
      <c r="R607" s="19">
        <f t="shared" si="70"/>
        <v>3.6602173359724599E-2</v>
      </c>
      <c r="S607" s="22">
        <v>4.1309564847224589E-2</v>
      </c>
      <c r="T607" s="19">
        <f t="shared" si="71"/>
        <v>4.2714900454915217E-2</v>
      </c>
      <c r="U607" s="24">
        <v>4.3972660443830636E-2</v>
      </c>
      <c r="V607" s="24">
        <f t="shared" si="72"/>
        <v>4.2864848460770322E-2</v>
      </c>
      <c r="W607" s="23">
        <f t="shared" si="73"/>
        <v>3.5037301285636424E-3</v>
      </c>
      <c r="X607" s="24">
        <v>4.3402937075254E-2</v>
      </c>
      <c r="Y607" s="24">
        <f t="shared" si="74"/>
        <v>4.2803935444448271E-2</v>
      </c>
      <c r="Z607" s="23">
        <f t="shared" si="75"/>
        <v>3.4987869184297526E-3</v>
      </c>
      <c r="AA607" s="36"/>
    </row>
    <row r="608" spans="15:27" ht="13.9" customHeight="1">
      <c r="O608" s="12">
        <f t="shared" si="69"/>
        <v>49.583333333333336</v>
      </c>
      <c r="P608" s="13">
        <v>595</v>
      </c>
      <c r="Q608" s="22">
        <v>3.8111835896200486E-2</v>
      </c>
      <c r="R608" s="19">
        <f t="shared" si="70"/>
        <v>3.662071373953002E-2</v>
      </c>
      <c r="S608" s="22">
        <v>4.1311925166118479E-2</v>
      </c>
      <c r="T608" s="19">
        <f t="shared" si="71"/>
        <v>4.2717272842162091E-2</v>
      </c>
      <c r="U608" s="24">
        <v>4.3970797588052779E-2</v>
      </c>
      <c r="V608" s="24">
        <f t="shared" si="72"/>
        <v>4.2865172663909101E-2</v>
      </c>
      <c r="W608" s="23">
        <f t="shared" si="73"/>
        <v>3.5037561874460277E-3</v>
      </c>
      <c r="X608" s="24">
        <v>4.3401930061226501E-2</v>
      </c>
      <c r="Y608" s="24">
        <f t="shared" si="74"/>
        <v>4.2804985257934414E-2</v>
      </c>
      <c r="Z608" s="23">
        <f t="shared" si="75"/>
        <v>3.4988715598387454E-3</v>
      </c>
      <c r="AA608" s="36"/>
    </row>
    <row r="609" spans="15:27" ht="13.9" customHeight="1">
      <c r="O609" s="12">
        <f t="shared" si="69"/>
        <v>49.666666666666664</v>
      </c>
      <c r="P609" s="13">
        <v>596</v>
      </c>
      <c r="Q609" s="22">
        <v>3.8109332217857839E-2</v>
      </c>
      <c r="R609" s="19">
        <f t="shared" si="70"/>
        <v>3.6639344135013019E-2</v>
      </c>
      <c r="S609" s="22">
        <v>4.1314281544966525E-2</v>
      </c>
      <c r="T609" s="19">
        <f t="shared" si="71"/>
        <v>4.2719625437157127E-2</v>
      </c>
      <c r="U609" s="24">
        <v>4.3968941531316919E-2</v>
      </c>
      <c r="V609" s="24">
        <f t="shared" si="72"/>
        <v>4.2865496080534582E-2</v>
      </c>
      <c r="W609" s="23">
        <f t="shared" si="73"/>
        <v>3.5037821846644057E-3</v>
      </c>
      <c r="X609" s="24">
        <v>4.340092818984731E-2</v>
      </c>
      <c r="Y609" s="24">
        <f t="shared" si="74"/>
        <v>4.2806029434026227E-2</v>
      </c>
      <c r="Z609" s="23">
        <f t="shared" si="75"/>
        <v>3.4989557468183552E-3</v>
      </c>
      <c r="AA609" s="36"/>
    </row>
    <row r="610" spans="15:27" ht="13.9" customHeight="1">
      <c r="O610" s="12">
        <f t="shared" si="69"/>
        <v>49.75</v>
      </c>
      <c r="P610" s="13">
        <v>597</v>
      </c>
      <c r="Q610" s="22">
        <v>3.8106868184206277E-2</v>
      </c>
      <c r="R610" s="19">
        <f t="shared" si="70"/>
        <v>3.665806582823361E-2</v>
      </c>
      <c r="S610" s="22">
        <v>4.1316633970450933E-2</v>
      </c>
      <c r="T610" s="19">
        <f t="shared" si="71"/>
        <v>4.2721958406622296E-2</v>
      </c>
      <c r="U610" s="24">
        <v>4.3967092238118566E-2</v>
      </c>
      <c r="V610" s="24">
        <f t="shared" si="72"/>
        <v>4.286581871694839E-2</v>
      </c>
      <c r="W610" s="23">
        <f t="shared" si="73"/>
        <v>3.5038081188063508E-3</v>
      </c>
      <c r="X610" s="24">
        <v>4.3399931425813998E-2</v>
      </c>
      <c r="Y610" s="24">
        <f t="shared" si="74"/>
        <v>4.280706800282652E-2</v>
      </c>
      <c r="Z610" s="23">
        <f t="shared" si="75"/>
        <v>3.4990394816449832E-3</v>
      </c>
      <c r="AA610" s="36"/>
    </row>
    <row r="611" spans="15:27" ht="13.9" customHeight="1">
      <c r="O611" s="12">
        <f t="shared" si="69"/>
        <v>49.833333333333336</v>
      </c>
      <c r="P611" s="13">
        <v>598</v>
      </c>
      <c r="Q611" s="22">
        <v>3.8104443748431693E-2</v>
      </c>
      <c r="R611" s="19">
        <f t="shared" si="70"/>
        <v>3.6676880108448273E-2</v>
      </c>
      <c r="S611" s="22">
        <v>4.1318982429621176E-2</v>
      </c>
      <c r="T611" s="19">
        <f t="shared" si="71"/>
        <v>4.2724271914991174E-2</v>
      </c>
      <c r="U611" s="24">
        <v>4.3965249673201479E-2</v>
      </c>
      <c r="V611" s="24">
        <f t="shared" si="72"/>
        <v>4.286614057482252E-2</v>
      </c>
      <c r="W611" s="23">
        <f t="shared" si="73"/>
        <v>3.5038339903772364E-3</v>
      </c>
      <c r="X611" s="24">
        <v>4.3398939734110797E-2</v>
      </c>
      <c r="Y611" s="24">
        <f t="shared" si="74"/>
        <v>4.2808100995561427E-2</v>
      </c>
      <c r="Z611" s="23">
        <f t="shared" si="75"/>
        <v>3.4991227667342528E-3</v>
      </c>
      <c r="AA611" s="36"/>
    </row>
    <row r="612" spans="15:27" ht="13.9" customHeight="1">
      <c r="O612" s="12">
        <f t="shared" si="69"/>
        <v>49.916666666666664</v>
      </c>
      <c r="P612" s="13">
        <v>599</v>
      </c>
      <c r="Q612" s="22">
        <v>3.8102058866183341E-2</v>
      </c>
      <c r="R612" s="19">
        <f t="shared" si="70"/>
        <v>3.6695788272189001E-2</v>
      </c>
      <c r="S612" s="22">
        <v>4.1321326909887546E-2</v>
      </c>
      <c r="T612" s="19">
        <f t="shared" si="71"/>
        <v>4.2726566125303123E-2</v>
      </c>
      <c r="U612" s="24">
        <v>4.3963413801547446E-2</v>
      </c>
      <c r="V612" s="24">
        <f t="shared" si="72"/>
        <v>4.2866461659373689E-2</v>
      </c>
      <c r="W612" s="23">
        <f t="shared" si="73"/>
        <v>3.5038597995113996E-3</v>
      </c>
      <c r="X612" s="24">
        <v>4.3397953080008156E-2</v>
      </c>
      <c r="Y612" s="24">
        <f t="shared" si="74"/>
        <v>4.2809128443836331E-2</v>
      </c>
      <c r="Z612" s="23">
        <f t="shared" si="75"/>
        <v>3.4992056045912712E-3</v>
      </c>
      <c r="AA612" s="36"/>
    </row>
    <row r="613" spans="15:27" ht="13.9" customHeight="1">
      <c r="O613" s="12">
        <f t="shared" si="69"/>
        <v>50</v>
      </c>
      <c r="P613" s="13">
        <v>600</v>
      </c>
      <c r="Q613" s="22">
        <v>3.8099713495564291E-2</v>
      </c>
      <c r="R613" s="19">
        <f t="shared" si="70"/>
        <v>3.6714748185003421E-2</v>
      </c>
      <c r="S613" s="22">
        <v>4.1323667399015385E-2</v>
      </c>
      <c r="T613" s="19">
        <f t="shared" si="71"/>
        <v>4.2728841200310619E-2</v>
      </c>
      <c r="U613" s="24">
        <v>4.3961584588380953E-2</v>
      </c>
      <c r="V613" s="24">
        <f t="shared" si="72"/>
        <v>4.286678197229743E-2</v>
      </c>
      <c r="W613" s="23">
        <f t="shared" si="73"/>
        <v>3.5038855466269503E-3</v>
      </c>
      <c r="X613" s="24">
        <v>4.3396971429060738E-2</v>
      </c>
      <c r="Y613" s="24">
        <f t="shared" si="74"/>
        <v>4.2810150375028888E-2</v>
      </c>
      <c r="Z613" s="23">
        <f t="shared" si="75"/>
        <v>3.4992879977515656E-3</v>
      </c>
      <c r="AA613" s="36"/>
    </row>
    <row r="614" spans="15:27" ht="13.9" customHeight="1">
      <c r="O614" s="12">
        <f t="shared" si="69"/>
        <v>50.083333333333336</v>
      </c>
      <c r="P614" s="13">
        <v>601</v>
      </c>
      <c r="Q614" s="22">
        <v>3.8097407524750215E-2</v>
      </c>
      <c r="R614" s="19">
        <f t="shared" si="70"/>
        <v>3.6733587458621653E-2</v>
      </c>
      <c r="S614" s="22">
        <v>4.1326003885121976E-2</v>
      </c>
      <c r="T614" s="19">
        <f t="shared" si="71"/>
        <v>4.2731097298902787E-2</v>
      </c>
      <c r="U614" s="24">
        <v>4.395976199916074E-2</v>
      </c>
      <c r="V614" s="24">
        <f t="shared" si="72"/>
        <v>4.2867101509807215E-2</v>
      </c>
      <c r="W614" s="23">
        <f t="shared" si="73"/>
        <v>3.5039112318600019E-3</v>
      </c>
      <c r="X614" s="24">
        <v>4.3395994747098321E-2</v>
      </c>
      <c r="Y614" s="24">
        <f t="shared" si="74"/>
        <v>4.2811166819176405E-2</v>
      </c>
      <c r="Z614" s="23">
        <f t="shared" si="75"/>
        <v>3.4993699484122676E-3</v>
      </c>
      <c r="AA614" s="36"/>
    </row>
    <row r="615" spans="15:27" ht="13.9" customHeight="1">
      <c r="O615" s="12">
        <f t="shared" si="69"/>
        <v>50.166666666666664</v>
      </c>
      <c r="P615" s="13">
        <v>602</v>
      </c>
      <c r="Q615" s="22">
        <v>3.8095140555923557E-2</v>
      </c>
      <c r="R615" s="19">
        <f t="shared" si="70"/>
        <v>3.675226410892396E-2</v>
      </c>
      <c r="S615" s="22">
        <v>4.1328336356667217E-2</v>
      </c>
      <c r="T615" s="19">
        <f t="shared" si="71"/>
        <v>4.2733334580396631E-2</v>
      </c>
      <c r="U615" s="24">
        <v>4.3957945999568704E-2</v>
      </c>
      <c r="V615" s="24">
        <f t="shared" si="72"/>
        <v>4.2867420275260582E-2</v>
      </c>
      <c r="W615" s="23">
        <f t="shared" si="73"/>
        <v>3.5039368549070193E-3</v>
      </c>
      <c r="X615" s="24">
        <v>4.3395023000227795E-2</v>
      </c>
      <c r="Y615" s="24">
        <f t="shared" si="74"/>
        <v>4.2812177806959451E-2</v>
      </c>
      <c r="Z615" s="23">
        <f t="shared" si="75"/>
        <v>3.499451458983005E-3</v>
      </c>
      <c r="AA615" s="36"/>
    </row>
    <row r="616" spans="15:27" ht="13.9" customHeight="1">
      <c r="O616" s="12">
        <f t="shared" si="69"/>
        <v>50.25</v>
      </c>
      <c r="P616" s="13">
        <v>603</v>
      </c>
      <c r="Q616" s="22">
        <v>3.8092912124207512E-2</v>
      </c>
      <c r="R616" s="19">
        <f t="shared" si="70"/>
        <v>3.6770779593615632E-2</v>
      </c>
      <c r="S616" s="22">
        <v>4.1330664802451178E-2</v>
      </c>
      <c r="T616" s="19">
        <f t="shared" si="71"/>
        <v>4.2735553203888221E-2</v>
      </c>
      <c r="U616" s="24">
        <v>4.3956136555520553E-2</v>
      </c>
      <c r="V616" s="24">
        <f t="shared" si="72"/>
        <v>4.2867738279554146E-2</v>
      </c>
      <c r="W616" s="23">
        <f t="shared" si="73"/>
        <v>3.5039624160373428E-3</v>
      </c>
      <c r="X616" s="24">
        <v>4.3394056154831828E-2</v>
      </c>
      <c r="Y616" s="24">
        <f t="shared" si="74"/>
        <v>4.2813183368216823E-2</v>
      </c>
      <c r="Z616" s="23">
        <f t="shared" si="75"/>
        <v>3.4995325319253645E-3</v>
      </c>
      <c r="AA616" s="36"/>
    </row>
    <row r="617" spans="15:27" ht="13.9" customHeight="1">
      <c r="O617" s="12">
        <f t="shared" si="69"/>
        <v>50.333333333333336</v>
      </c>
      <c r="P617" s="13">
        <v>604</v>
      </c>
      <c r="Q617" s="22">
        <v>3.8090721770241531E-2</v>
      </c>
      <c r="R617" s="19">
        <f t="shared" si="70"/>
        <v>3.6789135354761582E-2</v>
      </c>
      <c r="S617" s="22">
        <v>4.1332989211611215E-2</v>
      </c>
      <c r="T617" s="19">
        <f t="shared" si="71"/>
        <v>4.2737753324508798E-2</v>
      </c>
      <c r="U617" s="24">
        <v>4.3954333633175358E-2</v>
      </c>
      <c r="V617" s="24">
        <f t="shared" si="72"/>
        <v>4.2868055519184711E-2</v>
      </c>
      <c r="W617" s="23">
        <f t="shared" si="73"/>
        <v>3.5039879161247178E-3</v>
      </c>
      <c r="X617" s="24">
        <v>4.3393094177565317E-2</v>
      </c>
      <c r="Y617" s="24">
        <f t="shared" si="74"/>
        <v>4.2814183532607242E-2</v>
      </c>
      <c r="Z617" s="23">
        <f t="shared" si="75"/>
        <v>3.4996131696332089E-3</v>
      </c>
      <c r="AA617" s="36"/>
    </row>
    <row r="618" spans="15:27" ht="13.9" customHeight="1">
      <c r="O618" s="12">
        <f t="shared" si="69"/>
        <v>50.416666666666664</v>
      </c>
      <c r="P618" s="13">
        <v>605</v>
      </c>
      <c r="Q618" s="22">
        <v>3.8088569040109155E-2</v>
      </c>
      <c r="R618" s="19">
        <f t="shared" si="70"/>
        <v>3.680733282136317E-2</v>
      </c>
      <c r="S618" s="22">
        <v>4.1335309573612644E-2</v>
      </c>
      <c r="T618" s="19">
        <f t="shared" si="71"/>
        <v>4.2739935097002135E-2</v>
      </c>
      <c r="U618" s="24">
        <v>4.3952537198910679E-2</v>
      </c>
      <c r="V618" s="24">
        <f t="shared" si="72"/>
        <v>4.2868371984748244E-2</v>
      </c>
      <c r="W618" s="23">
        <f t="shared" si="73"/>
        <v>3.50401335488848E-3</v>
      </c>
      <c r="X618" s="24">
        <v>4.3392137035352718E-2</v>
      </c>
      <c r="Y618" s="24">
        <f t="shared" si="74"/>
        <v>4.2815178325563918E-2</v>
      </c>
      <c r="Z618" s="23">
        <f t="shared" si="75"/>
        <v>3.4996933744861902E-3</v>
      </c>
      <c r="AA618" s="36"/>
    </row>
    <row r="619" spans="15:27" ht="13.9" customHeight="1">
      <c r="O619" s="12">
        <f t="shared" si="69"/>
        <v>50.5</v>
      </c>
      <c r="P619" s="13">
        <v>606</v>
      </c>
      <c r="Q619" s="22">
        <v>3.8086453485272065E-2</v>
      </c>
      <c r="R619" s="19">
        <f t="shared" si="70"/>
        <v>3.6825373407321393E-2</v>
      </c>
      <c r="S619" s="22">
        <v>4.1337625878244966E-2</v>
      </c>
      <c r="T619" s="19">
        <f t="shared" si="71"/>
        <v>4.2742098675576434E-2</v>
      </c>
      <c r="U619" s="24">
        <v>4.3950747219310582E-2</v>
      </c>
      <c r="V619" s="24">
        <f t="shared" si="72"/>
        <v>4.2868687692021679E-2</v>
      </c>
      <c r="W619" s="23">
        <f t="shared" si="73"/>
        <v>3.5040387315741217E-3</v>
      </c>
      <c r="X619" s="24">
        <v>4.3391184695378948E-2</v>
      </c>
      <c r="Y619" s="24">
        <f t="shared" si="74"/>
        <v>4.2816167778713554E-2</v>
      </c>
      <c r="Z619" s="23">
        <f t="shared" si="75"/>
        <v>3.4997731485251204E-3</v>
      </c>
      <c r="AA619" s="36"/>
    </row>
    <row r="620" spans="15:27" ht="13.9" customHeight="1">
      <c r="O620" s="12">
        <f t="shared" si="69"/>
        <v>50.583333333333336</v>
      </c>
      <c r="P620" s="13">
        <v>607</v>
      </c>
      <c r="Q620" s="22">
        <v>3.8084374662499254E-2</v>
      </c>
      <c r="R620" s="19">
        <f t="shared" si="70"/>
        <v>3.6843258516485955E-2</v>
      </c>
      <c r="S620" s="22">
        <v>4.1339938115619201E-2</v>
      </c>
      <c r="T620" s="19">
        <f t="shared" si="71"/>
        <v>4.2744244213584581E-2</v>
      </c>
      <c r="U620" s="24">
        <v>4.3948963661205154E-2</v>
      </c>
      <c r="V620" s="24">
        <f t="shared" si="72"/>
        <v>4.2869002643490806E-2</v>
      </c>
      <c r="W620" s="23">
        <f t="shared" si="73"/>
        <v>3.5040640474472973E-3</v>
      </c>
      <c r="X620" s="24">
        <v>4.3390237125097597E-2</v>
      </c>
      <c r="Y620" s="24">
        <f t="shared" si="74"/>
        <v>4.2817151922727836E-2</v>
      </c>
      <c r="Z620" s="23">
        <f t="shared" si="75"/>
        <v>3.4998524942870812E-3</v>
      </c>
      <c r="AA620" s="36"/>
    </row>
    <row r="621" spans="15:27" ht="13.9" customHeight="1">
      <c r="O621" s="12">
        <f t="shared" si="69"/>
        <v>50.666666666666664</v>
      </c>
      <c r="P621" s="13">
        <v>608</v>
      </c>
      <c r="Q621" s="22">
        <v>3.8082332133806851E-2</v>
      </c>
      <c r="R621" s="19">
        <f t="shared" si="70"/>
        <v>3.6860989535178579E-2</v>
      </c>
      <c r="S621" s="22">
        <v>4.1342246276162564E-2</v>
      </c>
      <c r="T621" s="19">
        <f t="shared" si="71"/>
        <v>4.2746371860584054E-2</v>
      </c>
      <c r="U621" s="24">
        <v>4.3947186491647194E-2</v>
      </c>
      <c r="V621" s="24">
        <f t="shared" si="72"/>
        <v>4.2869316836846805E-2</v>
      </c>
      <c r="W621" s="23">
        <f t="shared" si="73"/>
        <v>3.5040893027069586E-3</v>
      </c>
      <c r="X621" s="24">
        <v>4.3389294292226932E-2</v>
      </c>
      <c r="Y621" s="24">
        <f t="shared" si="74"/>
        <v>4.2818130784204378E-2</v>
      </c>
      <c r="Z621" s="23">
        <f t="shared" si="75"/>
        <v>3.4999314142329929E-3</v>
      </c>
      <c r="AA621" s="36"/>
    </row>
    <row r="622" spans="15:27" ht="13.9" customHeight="1">
      <c r="O622" s="12">
        <f t="shared" si="69"/>
        <v>50.75</v>
      </c>
      <c r="P622" s="13">
        <v>609</v>
      </c>
      <c r="Q622" s="22">
        <v>3.80803254663864E-2</v>
      </c>
      <c r="R622" s="19">
        <f t="shared" si="70"/>
        <v>3.6878567839413012E-2</v>
      </c>
      <c r="S622" s="22">
        <v>4.1344550350610909E-2</v>
      </c>
      <c r="T622" s="19">
        <f t="shared" si="71"/>
        <v>4.2748481766866853E-2</v>
      </c>
      <c r="U622" s="24">
        <v>4.3945415677902222E-2</v>
      </c>
      <c r="V622" s="24">
        <f t="shared" si="72"/>
        <v>4.286963026284929E-2</v>
      </c>
      <c r="W622" s="23">
        <f t="shared" si="73"/>
        <v>3.5041144971683647E-3</v>
      </c>
      <c r="X622" s="24">
        <v>4.3388356164740793E-2</v>
      </c>
      <c r="Y622" s="24">
        <f t="shared" si="74"/>
        <v>4.2819104389887785E-2</v>
      </c>
      <c r="Z622" s="23">
        <f t="shared" si="75"/>
        <v>3.5000099104967042E-3</v>
      </c>
      <c r="AA622" s="36"/>
    </row>
    <row r="623" spans="15:27" ht="13.9" customHeight="1">
      <c r="O623" s="12">
        <f t="shared" si="69"/>
        <v>50.833333333333336</v>
      </c>
      <c r="P623" s="13">
        <v>610</v>
      </c>
      <c r="Q623" s="22">
        <v>3.8078354232544021E-2</v>
      </c>
      <c r="R623" s="19">
        <f t="shared" si="70"/>
        <v>3.6895994790485664E-2</v>
      </c>
      <c r="S623" s="22">
        <v>4.1346850330006735E-2</v>
      </c>
      <c r="T623" s="19">
        <f t="shared" si="71"/>
        <v>4.2750574081766191E-2</v>
      </c>
      <c r="U623" s="24">
        <v>4.3943651187435373E-2</v>
      </c>
      <c r="V623" s="24">
        <f t="shared" si="72"/>
        <v>4.2869942941247574E-2</v>
      </c>
      <c r="W623" s="23">
        <f t="shared" si="73"/>
        <v>3.5041396300905525E-3</v>
      </c>
      <c r="X623" s="24">
        <v>4.3387422710867263E-2</v>
      </c>
      <c r="Y623" s="24">
        <f t="shared" si="74"/>
        <v>4.282007277035027E-2</v>
      </c>
      <c r="Z623" s="23">
        <f t="shared" si="75"/>
        <v>3.5000879852240541E-3</v>
      </c>
      <c r="AA623" s="36"/>
    </row>
    <row r="624" spans="15:27" ht="13.9" customHeight="1">
      <c r="O624" s="12">
        <f t="shared" si="69"/>
        <v>50.916666666666664</v>
      </c>
      <c r="P624" s="13">
        <v>611</v>
      </c>
      <c r="Q624" s="22">
        <v>3.8076418009634905E-2</v>
      </c>
      <c r="R624" s="19">
        <f t="shared" si="70"/>
        <v>3.6913271738093334E-2</v>
      </c>
      <c r="S624" s="22">
        <v>4.1349146205695186E-2</v>
      </c>
      <c r="T624" s="19">
        <f t="shared" si="71"/>
        <v>4.2752648952147698E-2</v>
      </c>
      <c r="U624" s="24">
        <v>4.3941892987957143E-2</v>
      </c>
      <c r="V624" s="24">
        <f t="shared" si="72"/>
        <v>4.2870254866391733E-2</v>
      </c>
      <c r="W624" s="23">
        <f t="shared" si="73"/>
        <v>3.5041647030569223E-3</v>
      </c>
      <c r="X624" s="24">
        <v>4.338649389909266E-2</v>
      </c>
      <c r="Y624" s="24">
        <f t="shared" si="74"/>
        <v>4.2821035955181275E-2</v>
      </c>
      <c r="Z624" s="23">
        <f t="shared" si="75"/>
        <v>3.5001656408677473E-3</v>
      </c>
      <c r="AA624" s="36"/>
    </row>
    <row r="625" spans="15:27" ht="13.9" customHeight="1">
      <c r="O625" s="12">
        <f t="shared" si="69"/>
        <v>51</v>
      </c>
      <c r="P625" s="13">
        <v>612</v>
      </c>
      <c r="Q625" s="22">
        <v>3.8074516380002255E-2</v>
      </c>
      <c r="R625" s="19">
        <f t="shared" si="70"/>
        <v>3.6930400018405418E-2</v>
      </c>
      <c r="S625" s="22">
        <v>4.1351437969317617E-2</v>
      </c>
      <c r="T625" s="19">
        <f t="shared" si="71"/>
        <v>4.2754706524476216E-2</v>
      </c>
      <c r="U625" s="24">
        <v>4.3940141047380088E-2</v>
      </c>
      <c r="V625" s="24">
        <f t="shared" si="72"/>
        <v>4.2870566047408021E-2</v>
      </c>
      <c r="W625" s="23">
        <f t="shared" si="73"/>
        <v>3.5041897156149471E-3</v>
      </c>
      <c r="X625" s="24">
        <v>4.3385569698157544E-2</v>
      </c>
      <c r="Y625" s="24">
        <f t="shared" si="74"/>
        <v>4.2821993971933869E-2</v>
      </c>
      <c r="Z625" s="23">
        <f t="shared" si="75"/>
        <v>3.5002428798016627E-3</v>
      </c>
      <c r="AA625" s="36"/>
    </row>
    <row r="626" spans="15:27" ht="13.9" customHeight="1">
      <c r="O626" s="12">
        <f t="shared" si="69"/>
        <v>51.083333333333336</v>
      </c>
      <c r="P626" s="13">
        <v>613</v>
      </c>
      <c r="Q626" s="22">
        <v>3.8072648930914443E-2</v>
      </c>
      <c r="R626" s="19">
        <f t="shared" si="70"/>
        <v>3.694738095523209E-2</v>
      </c>
      <c r="S626" s="22">
        <v>4.1353725612808256E-2</v>
      </c>
      <c r="T626" s="19">
        <f t="shared" si="71"/>
        <v>4.2756746941739587E-2</v>
      </c>
      <c r="U626" s="24">
        <v>4.3938395333841029E-2</v>
      </c>
      <c r="V626" s="24">
        <f t="shared" si="72"/>
        <v>4.2870876464289553E-2</v>
      </c>
      <c r="W626" s="23">
        <f t="shared" si="73"/>
        <v>3.5042146684960418E-3</v>
      </c>
      <c r="X626" s="24">
        <v>4.3384650077051612E-2</v>
      </c>
      <c r="Y626" s="24">
        <f t="shared" si="74"/>
        <v>4.282294684267085E-2</v>
      </c>
      <c r="Z626" s="23">
        <f t="shared" si="75"/>
        <v>3.5003197042362544E-3</v>
      </c>
      <c r="AA626" s="36"/>
    </row>
    <row r="627" spans="15:27" ht="13.9" customHeight="1">
      <c r="O627" s="12">
        <f t="shared" si="69"/>
        <v>51.166666666666664</v>
      </c>
      <c r="P627" s="13">
        <v>614</v>
      </c>
      <c r="Q627" s="22">
        <v>3.8070815254503731E-2</v>
      </c>
      <c r="R627" s="19">
        <f t="shared" si="70"/>
        <v>3.6964215858507288E-2</v>
      </c>
      <c r="S627" s="22">
        <v>4.1356009128386884E-2</v>
      </c>
      <c r="T627" s="19">
        <f t="shared" si="71"/>
        <v>4.275877034987885E-2</v>
      </c>
      <c r="U627" s="24">
        <v>4.3936655815651982E-2</v>
      </c>
      <c r="V627" s="24">
        <f t="shared" si="72"/>
        <v>4.2871186138362383E-2</v>
      </c>
      <c r="W627" s="23">
        <f t="shared" si="73"/>
        <v>3.5042395600963783E-3</v>
      </c>
      <c r="X627" s="24">
        <v>4.338373500500281E-2</v>
      </c>
      <c r="Y627" s="24">
        <f t="shared" si="74"/>
        <v>4.2823894601827561E-2</v>
      </c>
      <c r="Z627" s="23">
        <f t="shared" si="75"/>
        <v>3.500396115942106E-3</v>
      </c>
      <c r="AA627" s="36"/>
    </row>
    <row r="628" spans="15:27" ht="13.9" customHeight="1">
      <c r="O628" s="12">
        <f t="shared" si="69"/>
        <v>51.25</v>
      </c>
      <c r="P628" s="13">
        <v>615</v>
      </c>
      <c r="Q628" s="22">
        <v>3.806901494770476E-2</v>
      </c>
      <c r="R628" s="19">
        <f t="shared" si="70"/>
        <v>3.6980906028045268E-2</v>
      </c>
      <c r="S628" s="22">
        <v>4.1358288508560603E-2</v>
      </c>
      <c r="T628" s="19">
        <f t="shared" si="71"/>
        <v>4.2760776891263674E-2</v>
      </c>
      <c r="U628" s="24">
        <v>4.3934922461365877E-2</v>
      </c>
      <c r="V628" s="24">
        <f t="shared" si="72"/>
        <v>4.2871495073849353E-2</v>
      </c>
      <c r="W628" s="23">
        <f t="shared" si="73"/>
        <v>3.5042643921257E-3</v>
      </c>
      <c r="X628" s="24">
        <v>4.3382824451495106E-2</v>
      </c>
      <c r="Y628" s="24">
        <f t="shared" si="74"/>
        <v>4.2824837275873717E-2</v>
      </c>
      <c r="Z628" s="23">
        <f t="shared" si="75"/>
        <v>3.5004721176814524E-3</v>
      </c>
      <c r="AA628" s="36"/>
    </row>
    <row r="629" spans="15:27" ht="13.9" customHeight="1">
      <c r="O629" s="12">
        <f t="shared" si="69"/>
        <v>51.333333333333336</v>
      </c>
      <c r="P629" s="13">
        <v>616</v>
      </c>
      <c r="Q629" s="22">
        <v>3.806724761219793E-2</v>
      </c>
      <c r="R629" s="19">
        <f t="shared" si="70"/>
        <v>3.6997452750214155E-2</v>
      </c>
      <c r="S629" s="22">
        <v>4.1360563746115631E-2</v>
      </c>
      <c r="T629" s="19">
        <f t="shared" si="71"/>
        <v>4.2762766705489508E-2</v>
      </c>
      <c r="U629" s="24">
        <v>4.3933195239746814E-2</v>
      </c>
      <c r="V629" s="24">
        <f t="shared" si="72"/>
        <v>4.287180326155049E-2</v>
      </c>
      <c r="W629" s="23">
        <f t="shared" si="73"/>
        <v>3.5042891649228469E-3</v>
      </c>
      <c r="X629" s="24">
        <v>4.3381918386254048E-2</v>
      </c>
      <c r="Y629" s="24">
        <f t="shared" si="74"/>
        <v>4.282577489102235E-2</v>
      </c>
      <c r="Z629" s="23">
        <f t="shared" si="75"/>
        <v>3.5005477115779282E-3</v>
      </c>
      <c r="AA629" s="36"/>
    </row>
    <row r="630" spans="15:27" ht="13.9" customHeight="1">
      <c r="O630" s="12">
        <f t="shared" si="69"/>
        <v>51.416666666666664</v>
      </c>
      <c r="P630" s="13">
        <v>617</v>
      </c>
      <c r="Q630" s="22">
        <v>3.8065512854349004E-2</v>
      </c>
      <c r="R630" s="19">
        <f t="shared" si="70"/>
        <v>3.7013857299063257E-2</v>
      </c>
      <c r="S630" s="22">
        <v>4.1362834834111517E-2</v>
      </c>
      <c r="T630" s="19">
        <f t="shared" si="71"/>
        <v>4.276473993303842E-2</v>
      </c>
      <c r="U630" s="24">
        <v>4.3931474119746516E-2</v>
      </c>
      <c r="V630" s="24">
        <f t="shared" si="72"/>
        <v>4.287211070024366E-2</v>
      </c>
      <c r="W630" s="23">
        <f t="shared" si="73"/>
        <v>3.504313877750187E-3</v>
      </c>
      <c r="X630" s="24">
        <v>4.3381016779243664E-2</v>
      </c>
      <c r="Y630" s="24">
        <f t="shared" si="74"/>
        <v>4.2826707472944925E-2</v>
      </c>
      <c r="Z630" s="23">
        <f t="shared" si="75"/>
        <v>3.5006228997347399E-3</v>
      </c>
      <c r="AA630" s="36"/>
    </row>
    <row r="631" spans="15:27" ht="13.9" customHeight="1">
      <c r="O631" s="12">
        <f t="shared" si="69"/>
        <v>51.5</v>
      </c>
      <c r="P631" s="13">
        <v>618</v>
      </c>
      <c r="Q631" s="22">
        <v>3.8063810285151156E-2</v>
      </c>
      <c r="R631" s="19">
        <f t="shared" si="70"/>
        <v>3.7030120936486055E-2</v>
      </c>
      <c r="S631" s="22">
        <v>4.1365101765879153E-2</v>
      </c>
      <c r="T631" s="19">
        <f t="shared" si="71"/>
        <v>4.2766696713949282E-2</v>
      </c>
      <c r="U631" s="24">
        <v>4.3929759070515884E-2</v>
      </c>
      <c r="V631" s="24">
        <f t="shared" si="72"/>
        <v>4.2872417404958618E-2</v>
      </c>
      <c r="W631" s="23">
        <f t="shared" si="73"/>
        <v>3.5043385305097985E-3</v>
      </c>
      <c r="X631" s="24">
        <v>4.3380119600664457E-2</v>
      </c>
      <c r="Y631" s="24">
        <f t="shared" si="74"/>
        <v>4.2827635051731816E-2</v>
      </c>
      <c r="Z631" s="23">
        <f t="shared" si="75"/>
        <v>3.5006976842111293E-3</v>
      </c>
      <c r="AA631" s="36"/>
    </row>
    <row r="632" spans="15:27" ht="13.9" customHeight="1">
      <c r="O632" s="12">
        <f t="shared" si="69"/>
        <v>51.583333333333336</v>
      </c>
      <c r="P632" s="13">
        <v>619</v>
      </c>
      <c r="Q632" s="22">
        <v>3.8062139520167459E-2</v>
      </c>
      <c r="R632" s="19">
        <f t="shared" si="70"/>
        <v>3.7046244912755322E-2</v>
      </c>
      <c r="S632" s="22">
        <v>4.1367364535018769E-2</v>
      </c>
      <c r="T632" s="19">
        <f t="shared" si="71"/>
        <v>4.2768637184627867E-2</v>
      </c>
      <c r="U632" s="24">
        <v>4.3928050061429635E-2</v>
      </c>
      <c r="V632" s="24">
        <f t="shared" si="72"/>
        <v>4.2872723372584076E-2</v>
      </c>
      <c r="W632" s="23">
        <f t="shared" si="73"/>
        <v>3.5043631244067175E-3</v>
      </c>
      <c r="X632" s="24">
        <v>4.337922682095785E-2</v>
      </c>
      <c r="Y632" s="24">
        <f t="shared" si="74"/>
        <v>4.2828557654078114E-2</v>
      </c>
      <c r="Z632" s="23">
        <f t="shared" si="75"/>
        <v>3.5007720674216092E-3</v>
      </c>
      <c r="AA632" s="36"/>
    </row>
    <row r="633" spans="15:27" ht="13.9" customHeight="1">
      <c r="O633" s="12">
        <f t="shared" si="69"/>
        <v>51.666666666666664</v>
      </c>
      <c r="P633" s="13">
        <v>620</v>
      </c>
      <c r="Q633" s="22">
        <v>3.8060500179474488E-2</v>
      </c>
      <c r="R633" s="19">
        <f t="shared" si="70"/>
        <v>3.7062230467646007E-2</v>
      </c>
      <c r="S633" s="22">
        <v>4.1369623135391276E-2</v>
      </c>
      <c r="T633" s="19">
        <f t="shared" si="71"/>
        <v>4.2770561482757152E-2</v>
      </c>
      <c r="U633" s="24">
        <v>4.3926347062055004E-2</v>
      </c>
      <c r="V633" s="24">
        <f t="shared" si="72"/>
        <v>4.2873028603449104E-2</v>
      </c>
      <c r="W633" s="23">
        <f t="shared" si="73"/>
        <v>3.5043876591915879E-3</v>
      </c>
      <c r="X633" s="24">
        <v>4.3378338410799522E-2</v>
      </c>
      <c r="Y633" s="24">
        <f t="shared" si="74"/>
        <v>4.2829475306536136E-2</v>
      </c>
      <c r="Z633" s="23">
        <f t="shared" si="75"/>
        <v>3.5008460515073558E-3</v>
      </c>
      <c r="AA633" s="36"/>
    </row>
    <row r="634" spans="15:27" ht="13.9" customHeight="1">
      <c r="O634" s="12">
        <f t="shared" si="69"/>
        <v>51.75</v>
      </c>
      <c r="P634" s="13">
        <v>621</v>
      </c>
      <c r="Q634" s="22">
        <v>3.805889188760947E-2</v>
      </c>
      <c r="R634" s="19">
        <f t="shared" si="70"/>
        <v>3.7078078826483729E-2</v>
      </c>
      <c r="S634" s="22">
        <v>4.1371877561118708E-2</v>
      </c>
      <c r="T634" s="19">
        <f t="shared" si="71"/>
        <v>4.2772469741607644E-2</v>
      </c>
      <c r="U634" s="24">
        <v>4.3924650042155955E-2</v>
      </c>
      <c r="V634" s="24">
        <f t="shared" si="72"/>
        <v>4.287333308889596E-2</v>
      </c>
      <c r="W634" s="23">
        <f t="shared" si="73"/>
        <v>3.5044121348910551E-3</v>
      </c>
      <c r="X634" s="24">
        <v>4.3377454341096744E-2</v>
      </c>
      <c r="Y634" s="24">
        <f t="shared" si="74"/>
        <v>4.2830388031795508E-2</v>
      </c>
      <c r="Z634" s="23">
        <f t="shared" si="75"/>
        <v>3.5009196385988872E-3</v>
      </c>
      <c r="AA634" s="36"/>
    </row>
    <row r="635" spans="15:27" ht="13.9" customHeight="1">
      <c r="O635" s="12">
        <f t="shared" si="69"/>
        <v>51.833333333333336</v>
      </c>
      <c r="P635" s="13">
        <v>622</v>
      </c>
      <c r="Q635" s="22">
        <v>3.8057314273510334E-2</v>
      </c>
      <c r="R635" s="19">
        <f t="shared" si="70"/>
        <v>3.7093791205825788E-2</v>
      </c>
      <c r="S635" s="22">
        <v>4.1374127806574901E-2</v>
      </c>
      <c r="T635" s="19">
        <f t="shared" si="71"/>
        <v>4.2774362097933061E-2</v>
      </c>
      <c r="U635" s="24">
        <v>4.3922958971677195E-2</v>
      </c>
      <c r="V635" s="24">
        <f t="shared" si="72"/>
        <v>4.2873636855223607E-2</v>
      </c>
      <c r="W635" s="23">
        <f t="shared" si="73"/>
        <v>3.5044365508105635E-3</v>
      </c>
      <c r="X635" s="24">
        <v>4.3376574582980387E-2</v>
      </c>
      <c r="Y635" s="24">
        <f t="shared" si="74"/>
        <v>4.2831295862573615E-2</v>
      </c>
      <c r="Z635" s="23">
        <f t="shared" si="75"/>
        <v>3.500992830516747E-3</v>
      </c>
      <c r="AA635" s="36"/>
    </row>
    <row r="636" spans="15:27" ht="13.9" customHeight="1">
      <c r="O636" s="12">
        <f t="shared" si="69"/>
        <v>51.916666666666664</v>
      </c>
      <c r="P636" s="13">
        <v>623</v>
      </c>
      <c r="Q636" s="22">
        <v>3.805576697046642E-2</v>
      </c>
      <c r="R636" s="19">
        <f t="shared" si="70"/>
        <v>3.7109368809002508E-2</v>
      </c>
      <c r="S636" s="22">
        <v>4.1376373866388816E-2</v>
      </c>
      <c r="T636" s="19">
        <f t="shared" si="71"/>
        <v>4.2776238683325696E-2</v>
      </c>
      <c r="U636" s="24">
        <v>4.3921273820798579E-2</v>
      </c>
      <c r="V636" s="24">
        <f t="shared" si="72"/>
        <v>4.2873939885669676E-2</v>
      </c>
      <c r="W636" s="23">
        <f t="shared" si="73"/>
        <v>3.5044609090593148E-3</v>
      </c>
      <c r="X636" s="24">
        <v>4.3375699107819576E-2</v>
      </c>
      <c r="Y636" s="24">
        <f t="shared" si="74"/>
        <v>4.2832198822593481E-2</v>
      </c>
      <c r="Z636" s="23">
        <f t="shared" si="75"/>
        <v>3.5010656298850584E-3</v>
      </c>
      <c r="AA636" s="36"/>
    </row>
    <row r="637" spans="15:27" ht="13.9" customHeight="1">
      <c r="O637" s="12">
        <f t="shared" si="69"/>
        <v>52</v>
      </c>
      <c r="P637" s="13">
        <v>624</v>
      </c>
      <c r="Q637" s="22">
        <v>3.8054249616061409E-2</v>
      </c>
      <c r="R637" s="19">
        <f t="shared" si="70"/>
        <v>3.712481282900626E-2</v>
      </c>
      <c r="S637" s="22">
        <v>4.1378615735434554E-2</v>
      </c>
      <c r="T637" s="19">
        <f t="shared" si="71"/>
        <v>4.2778099629725119E-2</v>
      </c>
      <c r="U637" s="24">
        <v>4.3919594559864494E-2</v>
      </c>
      <c r="V637" s="24">
        <f t="shared" si="72"/>
        <v>4.2874242181404565E-2</v>
      </c>
      <c r="W637" s="23">
        <f t="shared" si="73"/>
        <v>3.5044852082930511E-3</v>
      </c>
      <c r="X637" s="24">
        <v>4.3374827887204814E-2</v>
      </c>
      <c r="Y637" s="24">
        <f t="shared" si="74"/>
        <v>4.2833096936672588E-2</v>
      </c>
      <c r="Z637" s="23">
        <f t="shared" si="75"/>
        <v>3.5011380386076318E-3</v>
      </c>
      <c r="AA637" s="36"/>
    </row>
    <row r="638" spans="15:27" ht="13.9" customHeight="1">
      <c r="O638" s="12">
        <f t="shared" si="69"/>
        <v>52.083333333333336</v>
      </c>
      <c r="P638" s="13">
        <v>625</v>
      </c>
      <c r="Q638" s="22">
        <v>3.8052761852122918E-2</v>
      </c>
      <c r="R638" s="19">
        <f t="shared" si="70"/>
        <v>3.71401244484586E-2</v>
      </c>
      <c r="S638" s="22">
        <v>4.1380853408829799E-2</v>
      </c>
      <c r="T638" s="19">
        <f t="shared" si="71"/>
        <v>4.2779945068887715E-2</v>
      </c>
      <c r="U638" s="24">
        <v>4.3917921159410955E-2</v>
      </c>
      <c r="V638" s="24">
        <f t="shared" si="72"/>
        <v>4.2874543752051686E-2</v>
      </c>
      <c r="W638" s="23">
        <f t="shared" si="73"/>
        <v>3.5045094486059192E-3</v>
      </c>
      <c r="X638" s="24">
        <v>4.3373960892948427E-2</v>
      </c>
      <c r="Y638" s="24">
        <f t="shared" si="74"/>
        <v>4.283399023335499E-2</v>
      </c>
      <c r="Z638" s="23">
        <f t="shared" si="75"/>
        <v>3.5012100586750972E-3</v>
      </c>
      <c r="AA638" s="36"/>
    </row>
    <row r="639" spans="15:27" ht="13.9" customHeight="1">
      <c r="O639" s="12">
        <f t="shared" si="69"/>
        <v>52.166666666666664</v>
      </c>
      <c r="P639" s="13">
        <v>626</v>
      </c>
      <c r="Q639" s="22">
        <v>3.8051303324671215E-2</v>
      </c>
      <c r="R639" s="19">
        <f t="shared" si="70"/>
        <v>3.7155304835688963E-2</v>
      </c>
      <c r="S639" s="22">
        <v>4.1383086881933373E-2</v>
      </c>
      <c r="T639" s="19">
        <f t="shared" si="71"/>
        <v>4.2781775129263178E-2</v>
      </c>
      <c r="U639" s="24">
        <v>4.3916253590178034E-2</v>
      </c>
      <c r="V639" s="24">
        <f t="shared" si="72"/>
        <v>4.2874844598721484E-2</v>
      </c>
      <c r="W639" s="23">
        <f t="shared" si="73"/>
        <v>3.504533630769302E-3</v>
      </c>
      <c r="X639" s="24">
        <v>4.3373098097088558E-2</v>
      </c>
      <c r="Y639" s="24">
        <f t="shared" si="74"/>
        <v>4.283487873695413E-2</v>
      </c>
      <c r="Z639" s="23">
        <f t="shared" si="75"/>
        <v>3.5012816923776224E-3</v>
      </c>
      <c r="AA639" s="36"/>
    </row>
    <row r="640" spans="15:27" ht="13.9" customHeight="1">
      <c r="O640" s="12">
        <f t="shared" si="69"/>
        <v>52.25</v>
      </c>
      <c r="P640" s="13">
        <v>627</v>
      </c>
      <c r="Q640" s="22">
        <v>3.8049873683862812E-2</v>
      </c>
      <c r="R640" s="19">
        <f t="shared" si="70"/>
        <v>3.7170355151870726E-2</v>
      </c>
      <c r="S640" s="22">
        <v>4.138531615033858E-2</v>
      </c>
      <c r="T640" s="19">
        <f t="shared" si="71"/>
        <v>4.2783589941053135E-2</v>
      </c>
      <c r="U640" s="24">
        <v>4.3914591823093874E-2</v>
      </c>
      <c r="V640" s="24">
        <f t="shared" si="72"/>
        <v>4.2875144720565528E-2</v>
      </c>
      <c r="W640" s="23">
        <f t="shared" si="73"/>
        <v>3.5045577548724616E-3</v>
      </c>
      <c r="X640" s="24">
        <v>4.3372239471880514E-2</v>
      </c>
      <c r="Y640" s="24">
        <f t="shared" si="74"/>
        <v>4.283576247498444E-2</v>
      </c>
      <c r="Z640" s="23">
        <f t="shared" si="75"/>
        <v>3.5013529416656475E-3</v>
      </c>
      <c r="AA640" s="36"/>
    </row>
    <row r="641" spans="15:27" ht="13.9" customHeight="1">
      <c r="O641" s="12">
        <f t="shared" si="69"/>
        <v>52.333333333333336</v>
      </c>
      <c r="P641" s="13">
        <v>628</v>
      </c>
      <c r="Q641" s="22">
        <v>3.8048472583945836E-2</v>
      </c>
      <c r="R641" s="19">
        <f t="shared" si="70"/>
        <v>3.7185276545352419E-2</v>
      </c>
      <c r="S641" s="22">
        <v>4.1387541209873646E-2</v>
      </c>
      <c r="T641" s="19">
        <f t="shared" si="71"/>
        <v>4.2785389630346282E-2</v>
      </c>
      <c r="U641" s="24">
        <v>4.3912935829270916E-2</v>
      </c>
      <c r="V641" s="24">
        <f t="shared" si="72"/>
        <v>4.287544411697275E-2</v>
      </c>
      <c r="W641" s="23">
        <f t="shared" si="73"/>
        <v>3.5045818208474522E-3</v>
      </c>
      <c r="X641" s="24">
        <v>4.3371384989800532E-2</v>
      </c>
      <c r="Y641" s="24">
        <f t="shared" si="74"/>
        <v>4.2836641471191816E-2</v>
      </c>
      <c r="Z641" s="23">
        <f t="shared" si="75"/>
        <v>3.5014238087465177E-3</v>
      </c>
      <c r="AA641" s="36"/>
    </row>
    <row r="642" spans="15:27" ht="13.9" customHeight="1">
      <c r="O642" s="12">
        <f t="shared" si="69"/>
        <v>52.416666666666664</v>
      </c>
      <c r="P642" s="13">
        <v>629</v>
      </c>
      <c r="Q642" s="22">
        <v>3.8047099683206964E-2</v>
      </c>
      <c r="R642" s="19">
        <f t="shared" si="70"/>
        <v>3.7200070154237208E-2</v>
      </c>
      <c r="S642" s="22">
        <v>4.1389762056593504E-2</v>
      </c>
      <c r="T642" s="19">
        <f t="shared" si="71"/>
        <v>4.278717432414858E-2</v>
      </c>
      <c r="U642" s="24">
        <v>4.3911285580004344E-2</v>
      </c>
      <c r="V642" s="24">
        <f t="shared" si="72"/>
        <v>4.2875742789468374E-2</v>
      </c>
      <c r="W642" s="23">
        <f t="shared" si="73"/>
        <v>3.504605828645202E-3</v>
      </c>
      <c r="X642" s="24">
        <v>4.3370534623537349E-2</v>
      </c>
      <c r="Y642" s="24">
        <f t="shared" si="74"/>
        <v>4.283751575092043E-2</v>
      </c>
      <c r="Z642" s="23">
        <f t="shared" si="75"/>
        <v>3.5014942955253758E-3</v>
      </c>
      <c r="AA642" s="36"/>
    </row>
    <row r="643" spans="15:27" ht="13.9" customHeight="1">
      <c r="O643" s="12">
        <f t="shared" si="69"/>
        <v>52.5</v>
      </c>
      <c r="P643" s="13">
        <v>630</v>
      </c>
      <c r="Q643" s="22">
        <v>3.8045754643922347E-2</v>
      </c>
      <c r="R643" s="19">
        <f t="shared" si="70"/>
        <v>3.721473710519585E-2</v>
      </c>
      <c r="S643" s="22">
        <v>4.1391978686779352E-2</v>
      </c>
      <c r="T643" s="19">
        <f t="shared" si="71"/>
        <v>4.2788944148649088E-2</v>
      </c>
      <c r="U643" s="24">
        <v>4.3909641046774084E-2</v>
      </c>
      <c r="V643" s="24">
        <f t="shared" si="72"/>
        <v>4.2876040754593614E-2</v>
      </c>
      <c r="W643" s="23">
        <f t="shared" si="73"/>
        <v>3.5046297783880576E-3</v>
      </c>
      <c r="X643" s="24">
        <v>4.3369688345993751E-2</v>
      </c>
      <c r="Y643" s="24">
        <f t="shared" si="74"/>
        <v>4.2838385342759855E-2</v>
      </c>
      <c r="Z643" s="23">
        <f t="shared" si="75"/>
        <v>3.5015644040354843E-3</v>
      </c>
      <c r="AA643" s="36"/>
    </row>
    <row r="644" spans="15:27" ht="13.9" customHeight="1">
      <c r="O644" s="12">
        <f t="shared" si="69"/>
        <v>52.583333333333336</v>
      </c>
      <c r="P644" s="13">
        <v>631</v>
      </c>
      <c r="Q644" s="22">
        <v>3.804443713230854E-2</v>
      </c>
      <c r="R644" s="19">
        <f t="shared" si="70"/>
        <v>3.7229278515774844E-2</v>
      </c>
      <c r="S644" s="22">
        <v>4.1394191096935984E-2</v>
      </c>
      <c r="T644" s="19">
        <f t="shared" si="71"/>
        <v>4.2790699227224671E-2</v>
      </c>
      <c r="U644" s="24">
        <v>4.3908002201267227E-2</v>
      </c>
      <c r="V644" s="24">
        <f t="shared" si="72"/>
        <v>4.2876337991965219E-2</v>
      </c>
      <c r="W644" s="23">
        <f t="shared" si="73"/>
        <v>3.5046536714027354E-3</v>
      </c>
      <c r="X644" s="24">
        <v>4.3368846130289684E-2</v>
      </c>
      <c r="Y644" s="24">
        <f t="shared" si="74"/>
        <v>4.2839250269536278E-2</v>
      </c>
      <c r="Z644" s="23">
        <f t="shared" si="75"/>
        <v>3.5016341365698977E-3</v>
      </c>
      <c r="AA644" s="36"/>
    </row>
    <row r="645" spans="15:27" ht="13.9" customHeight="1">
      <c r="O645" s="12">
        <f t="shared" si="69"/>
        <v>52.666666666666664</v>
      </c>
      <c r="P645" s="13">
        <v>632</v>
      </c>
      <c r="Q645" s="22">
        <v>3.8043146818475648E-2</v>
      </c>
      <c r="R645" s="19">
        <f t="shared" si="70"/>
        <v>3.7243695492639617E-2</v>
      </c>
      <c r="S645" s="22">
        <v>4.1396399283784691E-2</v>
      </c>
      <c r="T645" s="19">
        <f t="shared" si="71"/>
        <v>4.2792439683760897E-2</v>
      </c>
      <c r="U645" s="24">
        <v>4.3906369015317859E-2</v>
      </c>
      <c r="V645" s="24">
        <f t="shared" si="72"/>
        <v>4.2876634519073864E-2</v>
      </c>
      <c r="W645" s="23">
        <f t="shared" si="73"/>
        <v>3.5046775060545432E-3</v>
      </c>
      <c r="X645" s="24">
        <v>4.3368007949751153E-2</v>
      </c>
      <c r="Y645" s="24">
        <f t="shared" si="74"/>
        <v>4.284011055531578E-2</v>
      </c>
      <c r="Z645" s="23">
        <f t="shared" si="75"/>
        <v>3.5017034949604842E-3</v>
      </c>
      <c r="AA645" s="36"/>
    </row>
    <row r="646" spans="15:27" ht="13.9" customHeight="1">
      <c r="O646" s="12">
        <f t="shared" si="69"/>
        <v>52.75</v>
      </c>
      <c r="P646" s="13">
        <v>633</v>
      </c>
      <c r="Q646" s="22">
        <v>3.8041883376379371E-2</v>
      </c>
      <c r="R646" s="19">
        <f t="shared" si="70"/>
        <v>3.7257989131259217E-2</v>
      </c>
      <c r="S646" s="22">
        <v>4.1398603244263477E-2</v>
      </c>
      <c r="T646" s="19">
        <f t="shared" si="71"/>
        <v>4.2794165639761017E-2</v>
      </c>
      <c r="U646" s="24">
        <v>4.3904741460965679E-2</v>
      </c>
      <c r="V646" s="24">
        <f t="shared" si="72"/>
        <v>4.2876930326832152E-2</v>
      </c>
      <c r="W646" s="23">
        <f t="shared" si="73"/>
        <v>3.5047012837459146E-3</v>
      </c>
      <c r="X646" s="24">
        <v>4.3367173777911328E-2</v>
      </c>
      <c r="Y646" s="24">
        <f t="shared" si="74"/>
        <v>4.2840966227386978E-2</v>
      </c>
      <c r="Z646" s="23">
        <f t="shared" si="75"/>
        <v>3.5017724811376993E-3</v>
      </c>
      <c r="AA646" s="36"/>
    </row>
    <row r="647" spans="15:27" ht="13.9" customHeight="1">
      <c r="O647" s="12">
        <f t="shared" si="69"/>
        <v>52.833333333333336</v>
      </c>
      <c r="P647" s="13">
        <v>634</v>
      </c>
      <c r="Q647" s="22">
        <v>3.8040646483773255E-2</v>
      </c>
      <c r="R647" s="19">
        <f t="shared" si="70"/>
        <v>3.7272160518960984E-2</v>
      </c>
      <c r="S647" s="22">
        <v>4.1400802975520623E-2</v>
      </c>
      <c r="T647" s="19">
        <f t="shared" si="71"/>
        <v>4.2795877217777889E-2</v>
      </c>
      <c r="U647" s="24">
        <v>4.3903119510412925E-2</v>
      </c>
      <c r="V647" s="24">
        <f t="shared" si="72"/>
        <v>4.2877225428227916E-2</v>
      </c>
      <c r="W647" s="23">
        <f t="shared" si="73"/>
        <v>3.5047250037485433E-3</v>
      </c>
      <c r="X647" s="24">
        <v>4.3366343588513212E-2</v>
      </c>
      <c r="Y647" s="24">
        <f t="shared" si="74"/>
        <v>4.2841817310565133E-2</v>
      </c>
      <c r="Z647" s="23">
        <f t="shared" si="75"/>
        <v>3.501841097290459E-3</v>
      </c>
      <c r="AA647" s="36"/>
    </row>
    <row r="648" spans="15:27" ht="13.9" customHeight="1">
      <c r="O648" s="12">
        <f t="shared" si="69"/>
        <v>52.916666666666664</v>
      </c>
      <c r="P648" s="13">
        <v>635</v>
      </c>
      <c r="Q648" s="22">
        <v>3.803943582216518E-2</v>
      </c>
      <c r="R648" s="19">
        <f t="shared" si="70"/>
        <v>3.7286210729805092E-2</v>
      </c>
      <c r="S648" s="22">
        <v>4.1402998474915353E-2</v>
      </c>
      <c r="T648" s="19">
        <f t="shared" si="71"/>
        <v>4.2797574537050576E-2</v>
      </c>
      <c r="U648" s="24">
        <v>4.3901503136057229E-2</v>
      </c>
      <c r="V648" s="24">
        <f t="shared" si="72"/>
        <v>4.2877519818255605E-2</v>
      </c>
      <c r="W648" s="23">
        <f t="shared" si="73"/>
        <v>3.5047486671035966E-3</v>
      </c>
      <c r="X648" s="24">
        <v>4.3365517355504313E-2</v>
      </c>
      <c r="Y648" s="24">
        <f t="shared" si="74"/>
        <v>4.2842663828806193E-2</v>
      </c>
      <c r="Z648" s="23">
        <f t="shared" si="75"/>
        <v>3.5019093454098371E-3</v>
      </c>
      <c r="AA648" s="36"/>
    </row>
    <row r="649" spans="15:27" ht="13.9" customHeight="1">
      <c r="O649" s="12">
        <f t="shared" si="69"/>
        <v>53</v>
      </c>
      <c r="P649" s="13">
        <v>636</v>
      </c>
      <c r="Q649" s="22">
        <v>3.8038251076766949E-2</v>
      </c>
      <c r="R649" s="19">
        <f t="shared" si="70"/>
        <v>3.7300140831695083E-2</v>
      </c>
      <c r="S649" s="22">
        <v>4.1405189740010284E-2</v>
      </c>
      <c r="T649" s="19">
        <f t="shared" si="71"/>
        <v>4.2799257716357841E-2</v>
      </c>
      <c r="U649" s="24">
        <v>4.3899892310461874E-2</v>
      </c>
      <c r="V649" s="24">
        <f t="shared" si="72"/>
        <v>4.2877813493978012E-2</v>
      </c>
      <c r="W649" s="23">
        <f t="shared" si="73"/>
        <v>3.5047722734100617E-3</v>
      </c>
      <c r="X649" s="24">
        <v>4.3364695053033975E-2</v>
      </c>
      <c r="Y649" s="24">
        <f t="shared" si="74"/>
        <v>4.2843505803110471E-2</v>
      </c>
      <c r="Z649" s="23">
        <f t="shared" si="75"/>
        <v>3.5019772274176297E-3</v>
      </c>
      <c r="AA649" s="36"/>
    </row>
    <row r="650" spans="15:27" ht="13.9" customHeight="1">
      <c r="O650" s="12">
        <f t="shared" si="69"/>
        <v>53.083333333333336</v>
      </c>
      <c r="P650" s="13">
        <v>637</v>
      </c>
      <c r="Q650" s="22">
        <v>3.8037091936455214E-2</v>
      </c>
      <c r="R650" s="19">
        <f t="shared" si="70"/>
        <v>3.7313951879612173E-2</v>
      </c>
      <c r="S650" s="22">
        <v>4.1407376768570092E-2</v>
      </c>
      <c r="T650" s="19">
        <f t="shared" si="71"/>
        <v>4.2800926875659728E-2</v>
      </c>
      <c r="U650" s="24">
        <v>4.3898287006358228E-2</v>
      </c>
      <c r="V650" s="24">
        <f t="shared" si="72"/>
        <v>4.2878106465579879E-2</v>
      </c>
      <c r="W650" s="23">
        <f t="shared" si="73"/>
        <v>3.5047958224323494E-3</v>
      </c>
      <c r="X650" s="24">
        <v>4.3363876655446942E-2</v>
      </c>
      <c r="Y650" s="24">
        <f t="shared" si="74"/>
        <v>4.2844343266560392E-2</v>
      </c>
      <c r="Z650" s="23">
        <f t="shared" si="75"/>
        <v>3.5020447449984893E-3</v>
      </c>
      <c r="AA650" s="36"/>
    </row>
    <row r="651" spans="15:27" ht="13.9" customHeight="1">
      <c r="O651" s="12">
        <f t="shared" si="69"/>
        <v>53.166666666666664</v>
      </c>
      <c r="P651" s="13">
        <v>638</v>
      </c>
      <c r="Q651" s="22">
        <v>3.8035958093722178E-2</v>
      </c>
      <c r="R651" s="19">
        <f t="shared" si="70"/>
        <v>3.7327644920111647E-2</v>
      </c>
      <c r="S651" s="22">
        <v>4.1409559558560849E-2</v>
      </c>
      <c r="T651" s="19">
        <f t="shared" si="71"/>
        <v>4.2802582130538447E-2</v>
      </c>
      <c r="U651" s="24">
        <v>4.3896687196664619E-2</v>
      </c>
      <c r="V651" s="24">
        <f t="shared" si="72"/>
        <v>4.2878398738933177E-2</v>
      </c>
      <c r="W651" s="23">
        <f t="shared" si="73"/>
        <v>3.5048193149871398E-3</v>
      </c>
      <c r="X651" s="24">
        <v>4.3363062137300457E-2</v>
      </c>
      <c r="Y651" s="24">
        <f t="shared" si="74"/>
        <v>4.2845176236083748E-2</v>
      </c>
      <c r="Z651" s="23">
        <f t="shared" si="75"/>
        <v>3.5021119008060708E-3</v>
      </c>
      <c r="AA651" s="36"/>
    </row>
    <row r="652" spans="15:27" ht="13.9" customHeight="1">
      <c r="O652" s="12">
        <f t="shared" si="69"/>
        <v>53.25</v>
      </c>
      <c r="P652" s="13">
        <v>639</v>
      </c>
      <c r="Q652" s="22">
        <v>3.8034849244634517E-2</v>
      </c>
      <c r="R652" s="19">
        <f t="shared" si="70"/>
        <v>3.7341220989728141E-2</v>
      </c>
      <c r="S652" s="22">
        <v>4.1411738108142027E-2</v>
      </c>
      <c r="T652" s="19">
        <f t="shared" si="71"/>
        <v>4.2804223598104985E-2</v>
      </c>
      <c r="U652" s="24">
        <v>4.3895092854478124E-2</v>
      </c>
      <c r="V652" s="24">
        <f t="shared" si="72"/>
        <v>4.2878690302840194E-2</v>
      </c>
      <c r="W652" s="23">
        <f t="shared" si="73"/>
        <v>3.5048427515453895E-3</v>
      </c>
      <c r="X652" s="24">
        <v>4.3362251473338054E-2</v>
      </c>
      <c r="Y652" s="24">
        <f t="shared" si="74"/>
        <v>4.2846004738686938E-2</v>
      </c>
      <c r="Z652" s="23">
        <f t="shared" si="75"/>
        <v>3.5021786961988433E-3</v>
      </c>
      <c r="AA652" s="36"/>
    </row>
    <row r="653" spans="15:27" ht="13.9" customHeight="1">
      <c r="O653" s="12">
        <f t="shared" si="69"/>
        <v>53.333333333333336</v>
      </c>
      <c r="P653" s="13">
        <v>640</v>
      </c>
      <c r="Q653" s="22">
        <v>3.8033765088788307E-2</v>
      </c>
      <c r="R653" s="19">
        <f t="shared" si="70"/>
        <v>3.7354681115067567E-2</v>
      </c>
      <c r="S653" s="22">
        <v>4.1413912415667387E-2</v>
      </c>
      <c r="T653" s="19">
        <f t="shared" si="71"/>
        <v>4.2805851392515359E-2</v>
      </c>
      <c r="U653" s="24">
        <v>4.3893503953046586E-2</v>
      </c>
      <c r="V653" s="24">
        <f t="shared" si="72"/>
        <v>4.2878981158148255E-2</v>
      </c>
      <c r="W653" s="23">
        <f t="shared" si="73"/>
        <v>3.504866131208928E-3</v>
      </c>
      <c r="X653" s="24">
        <v>4.336144463850311E-2</v>
      </c>
      <c r="Y653" s="24">
        <f t="shared" si="74"/>
        <v>4.2846828796195835E-2</v>
      </c>
      <c r="Z653" s="23">
        <f t="shared" si="75"/>
        <v>3.5022451333430737E-3</v>
      </c>
      <c r="AA653" s="36"/>
    </row>
    <row r="654" spans="15:27" ht="13.9" customHeight="1">
      <c r="O654" s="12">
        <f t="shared" ref="O654:O717" si="76">P654/12</f>
        <v>53.416666666666664</v>
      </c>
      <c r="P654" s="13">
        <v>641</v>
      </c>
      <c r="Q654" s="22">
        <v>3.803270532926728E-2</v>
      </c>
      <c r="R654" s="19">
        <f t="shared" ref="R654:R717" si="77">(1+Q655)^P655/(1+Q654)^P654-1</f>
        <v>3.7368026315574454E-2</v>
      </c>
      <c r="S654" s="22">
        <v>4.1416082479678762E-2</v>
      </c>
      <c r="T654" s="19">
        <f t="shared" ref="T654:T717" si="78">(1+S655)^P655/(1+S654)^P654-1</f>
        <v>4.2807465629703945E-2</v>
      </c>
      <c r="U654" s="24">
        <v>4.3891920465786161E-2</v>
      </c>
      <c r="V654" s="24">
        <f t="shared" ref="V654:V717" si="79">(1+U655)^P655/(1+U654)^P654-1</f>
        <v>4.2879271322336487E-2</v>
      </c>
      <c r="W654" s="23">
        <f t="shared" si="73"/>
        <v>3.5048894540463671E-3</v>
      </c>
      <c r="X654" s="24">
        <v>4.3360641607929518E-2</v>
      </c>
      <c r="Y654" s="24">
        <f t="shared" si="74"/>
        <v>4.2847648436175501E-2</v>
      </c>
      <c r="Z654" s="23">
        <f t="shared" si="75"/>
        <v>3.502311213989806E-3</v>
      </c>
      <c r="AA654" s="36"/>
    </row>
    <row r="655" spans="15:27" ht="13.9" customHeight="1">
      <c r="O655" s="12">
        <f t="shared" si="76"/>
        <v>53.5</v>
      </c>
      <c r="P655" s="13">
        <v>642</v>
      </c>
      <c r="Q655" s="22">
        <v>3.8031669672603075E-2</v>
      </c>
      <c r="R655" s="19">
        <f t="shared" si="77"/>
        <v>3.7381257596427186E-2</v>
      </c>
      <c r="S655" s="22">
        <v>4.141824829890739E-2</v>
      </c>
      <c r="T655" s="19">
        <f t="shared" si="78"/>
        <v>4.2809066422064612E-2</v>
      </c>
      <c r="U655" s="24">
        <v>4.3890342366305957E-2</v>
      </c>
      <c r="V655" s="24">
        <f t="shared" si="79"/>
        <v>4.287956079281896E-2</v>
      </c>
      <c r="W655" s="23">
        <f t="shared" ref="W655:W718" si="80">(1+V654)^(1/12)-1</f>
        <v>3.5049127214588083E-3</v>
      </c>
      <c r="X655" s="24">
        <v>4.3359842356949452E-2</v>
      </c>
      <c r="Y655" s="24">
        <f t="shared" ref="Y655:Y718" si="81">(1+X656)^P656/(1+X655)^P655-1</f>
        <v>4.2848463680833948E-2</v>
      </c>
      <c r="Z655" s="23">
        <f t="shared" ref="Z655:Z718" si="82">(1+Y654)^(1/12)-1</f>
        <v>3.5023769403501603E-3</v>
      </c>
      <c r="AA655" s="36"/>
    </row>
    <row r="656" spans="15:27" ht="13.9" customHeight="1">
      <c r="O656" s="12">
        <f t="shared" si="76"/>
        <v>53.583333333333336</v>
      </c>
      <c r="P656" s="13">
        <v>643</v>
      </c>
      <c r="Q656" s="22">
        <v>3.8030657828726611E-2</v>
      </c>
      <c r="R656" s="19">
        <f t="shared" si="77"/>
        <v>3.739437595949946E-2</v>
      </c>
      <c r="S656" s="22">
        <v>4.1420409872266806E-2</v>
      </c>
      <c r="T656" s="19">
        <f t="shared" si="78"/>
        <v>4.2810653881708793E-2</v>
      </c>
      <c r="U656" s="24">
        <v>4.3888769628375623E-2</v>
      </c>
      <c r="V656" s="24">
        <f t="shared" si="79"/>
        <v>4.2879849553620675E-2</v>
      </c>
      <c r="W656" s="23">
        <f t="shared" si="80"/>
        <v>3.5049359332390839E-3</v>
      </c>
      <c r="X656" s="24">
        <v>4.3359046861082717E-2</v>
      </c>
      <c r="Y656" s="24">
        <f t="shared" si="81"/>
        <v>4.2849274552550165E-2</v>
      </c>
      <c r="Z656" s="23">
        <f t="shared" si="82"/>
        <v>3.5024423142058225E-3</v>
      </c>
      <c r="AA656" s="36"/>
    </row>
    <row r="657" spans="15:27" ht="13.9" customHeight="1">
      <c r="O657" s="12">
        <f t="shared" si="76"/>
        <v>53.666666666666664</v>
      </c>
      <c r="P657" s="13">
        <v>644</v>
      </c>
      <c r="Q657" s="22">
        <v>3.8029669510936559E-2</v>
      </c>
      <c r="R657" s="19">
        <f t="shared" si="77"/>
        <v>3.740738239229513E-2</v>
      </c>
      <c r="S657" s="22">
        <v>4.142256719885129E-2</v>
      </c>
      <c r="T657" s="19">
        <f t="shared" si="78"/>
        <v>4.281222811970764E-2</v>
      </c>
      <c r="U657" s="24">
        <v>4.3887202225902477E-2</v>
      </c>
      <c r="V657" s="24">
        <f t="shared" si="79"/>
        <v>4.2880137621384318E-2</v>
      </c>
      <c r="W657" s="23">
        <f t="shared" si="80"/>
        <v>3.5049590881062187E-3</v>
      </c>
      <c r="X657" s="24">
        <v>4.3358255096036302E-2</v>
      </c>
      <c r="Y657" s="24">
        <f t="shared" si="81"/>
        <v>4.2850081075217261E-2</v>
      </c>
      <c r="Z657" s="23">
        <f t="shared" si="82"/>
        <v>3.5025073373520232E-3</v>
      </c>
      <c r="AA657" s="36"/>
    </row>
    <row r="658" spans="15:27" ht="13.9" customHeight="1">
      <c r="O658" s="12">
        <f t="shared" si="76"/>
        <v>53.75</v>
      </c>
      <c r="P658" s="13">
        <v>645</v>
      </c>
      <c r="Q658" s="22">
        <v>3.8028704435849825E-2</v>
      </c>
      <c r="R658" s="19">
        <f t="shared" si="77"/>
        <v>3.74202778766346E-2</v>
      </c>
      <c r="S658" s="22">
        <v>4.1424720277932758E-2</v>
      </c>
      <c r="T658" s="19">
        <f t="shared" si="78"/>
        <v>4.281378924830892E-2</v>
      </c>
      <c r="U658" s="24">
        <v>4.3885640132981907E-2</v>
      </c>
      <c r="V658" s="24">
        <f t="shared" si="79"/>
        <v>4.2880425003475109E-2</v>
      </c>
      <c r="W658" s="23">
        <f t="shared" si="80"/>
        <v>3.5049821873949227E-3</v>
      </c>
      <c r="X658" s="24">
        <v>4.3357467037705044E-2</v>
      </c>
      <c r="Y658" s="24">
        <f t="shared" si="81"/>
        <v>4.2850883274450302E-2</v>
      </c>
      <c r="Z658" s="23">
        <f t="shared" si="82"/>
        <v>3.5025720117054515E-3</v>
      </c>
      <c r="AA658" s="36"/>
    </row>
    <row r="659" spans="15:27" ht="13.9" customHeight="1">
      <c r="O659" s="12">
        <f t="shared" si="76"/>
        <v>53.833333333333336</v>
      </c>
      <c r="P659" s="13">
        <v>646</v>
      </c>
      <c r="Q659" s="22">
        <v>3.802776232336802E-2</v>
      </c>
      <c r="R659" s="19">
        <f t="shared" si="77"/>
        <v>3.743306338384067E-2</v>
      </c>
      <c r="S659" s="22">
        <v>4.1426869108960984E-2</v>
      </c>
      <c r="T659" s="19">
        <f t="shared" si="78"/>
        <v>4.2815337375972096E-2</v>
      </c>
      <c r="U659" s="24">
        <v>4.3884083323881162E-2</v>
      </c>
      <c r="V659" s="24">
        <f t="shared" si="79"/>
        <v>4.2880711692091511E-2</v>
      </c>
      <c r="W659" s="23">
        <f t="shared" si="80"/>
        <v>3.5050052316958347E-3</v>
      </c>
      <c r="X659" s="24">
        <v>4.3356682662172519E-2</v>
      </c>
      <c r="Y659" s="24">
        <f t="shared" si="81"/>
        <v>4.2851681173061484E-2</v>
      </c>
      <c r="Z659" s="23">
        <f t="shared" si="82"/>
        <v>3.5026363393211302E-3</v>
      </c>
      <c r="AA659" s="36"/>
    </row>
    <row r="660" spans="15:27" ht="13.9" customHeight="1">
      <c r="O660" s="12">
        <f t="shared" si="76"/>
        <v>53.916666666666664</v>
      </c>
      <c r="P660" s="13">
        <v>647</v>
      </c>
      <c r="Q660" s="22">
        <v>3.8026842896634827E-2</v>
      </c>
      <c r="R660" s="19">
        <f t="shared" si="77"/>
        <v>3.7445739875948014E-2</v>
      </c>
      <c r="S660" s="22">
        <v>4.1429013691556493E-2</v>
      </c>
      <c r="T660" s="19">
        <f t="shared" si="78"/>
        <v>4.2816872610971002E-2</v>
      </c>
      <c r="U660" s="24">
        <v>4.3882531773014488E-2</v>
      </c>
      <c r="V660" s="24">
        <f t="shared" si="79"/>
        <v>4.2880997688587552E-2</v>
      </c>
      <c r="W660" s="23">
        <f t="shared" si="80"/>
        <v>3.5050282203832328E-3</v>
      </c>
      <c r="X660" s="24">
        <v>4.335590194570571E-2</v>
      </c>
      <c r="Y660" s="24">
        <f t="shared" si="81"/>
        <v>4.285247479048393E-2</v>
      </c>
      <c r="Z660" s="23">
        <f t="shared" si="82"/>
        <v>3.5027003220287067E-3</v>
      </c>
      <c r="AA660" s="36"/>
    </row>
    <row r="661" spans="15:27" ht="13.9" customHeight="1">
      <c r="O661" s="12">
        <f t="shared" si="76"/>
        <v>54</v>
      </c>
      <c r="P661" s="13">
        <v>648</v>
      </c>
      <c r="Q661" s="22">
        <v>3.8025945881996925E-2</v>
      </c>
      <c r="R661" s="19">
        <f t="shared" si="77"/>
        <v>3.745830830756125E-2</v>
      </c>
      <c r="S661" s="22">
        <v>4.1431154025509009E-2</v>
      </c>
      <c r="T661" s="19">
        <f t="shared" si="78"/>
        <v>4.2818395060749026E-2</v>
      </c>
      <c r="U661" s="24">
        <v>4.3880985454956445E-2</v>
      </c>
      <c r="V661" s="24">
        <f t="shared" si="79"/>
        <v>4.2881282991521052E-2</v>
      </c>
      <c r="W661" s="23">
        <f t="shared" si="80"/>
        <v>3.505051153565919E-3</v>
      </c>
      <c r="X661" s="24">
        <v>4.3355124864748129E-2</v>
      </c>
      <c r="Y661" s="24">
        <f t="shared" si="81"/>
        <v>4.2853264153277282E-2</v>
      </c>
      <c r="Z661" s="23">
        <f t="shared" si="82"/>
        <v>3.5027639613876005E-3</v>
      </c>
      <c r="AA661" s="36"/>
    </row>
    <row r="662" spans="15:27" ht="13.9" customHeight="1">
      <c r="O662" s="12">
        <f t="shared" si="76"/>
        <v>54.083333333333336</v>
      </c>
      <c r="P662" s="13">
        <v>649</v>
      </c>
      <c r="Q662" s="22">
        <v>3.8025071008967348E-2</v>
      </c>
      <c r="R662" s="19">
        <f t="shared" si="77"/>
        <v>3.7470769622907296E-2</v>
      </c>
      <c r="S662" s="22">
        <v>4.1433290110775012E-2</v>
      </c>
      <c r="T662" s="19">
        <f t="shared" si="78"/>
        <v>4.281990483348852E-2</v>
      </c>
      <c r="U662" s="24">
        <v>4.3879444344435914E-2</v>
      </c>
      <c r="V662" s="24">
        <f t="shared" si="79"/>
        <v>4.2881567618055616E-2</v>
      </c>
      <c r="W662" s="23">
        <f t="shared" si="80"/>
        <v>3.505074031127986E-3</v>
      </c>
      <c r="X662" s="24">
        <v>4.335435139592958E-2</v>
      </c>
      <c r="Y662" s="24">
        <f t="shared" si="81"/>
        <v>4.2854049284254625E-2</v>
      </c>
      <c r="Z662" s="23">
        <f t="shared" si="82"/>
        <v>3.5028272595281074E-3</v>
      </c>
      <c r="AA662" s="36"/>
    </row>
    <row r="663" spans="15:27" ht="13.9" customHeight="1">
      <c r="O663" s="12">
        <f t="shared" si="76"/>
        <v>54.166666666666664</v>
      </c>
      <c r="P663" s="13">
        <v>650</v>
      </c>
      <c r="Q663" s="22">
        <v>3.8024218010185296E-2</v>
      </c>
      <c r="R663" s="19">
        <f t="shared" si="77"/>
        <v>3.7483124759267072E-2</v>
      </c>
      <c r="S663" s="22">
        <v>4.1435421947477513E-2</v>
      </c>
      <c r="T663" s="19">
        <f t="shared" si="78"/>
        <v>4.2821402034540101E-2</v>
      </c>
      <c r="U663" s="24">
        <v>4.3877908416364075E-2</v>
      </c>
      <c r="V663" s="24">
        <f t="shared" si="79"/>
        <v>4.2881851556771267E-2</v>
      </c>
      <c r="W663" s="23">
        <f t="shared" si="80"/>
        <v>3.5050968544461103E-3</v>
      </c>
      <c r="X663" s="24">
        <v>4.3353581516058615E-2</v>
      </c>
      <c r="Y663" s="24">
        <f t="shared" si="81"/>
        <v>4.2854830206657368E-2</v>
      </c>
      <c r="Z663" s="23">
        <f t="shared" si="82"/>
        <v>3.502890218280541E-3</v>
      </c>
      <c r="AA663" s="36"/>
    </row>
    <row r="664" spans="15:27" ht="13.9" customHeight="1">
      <c r="O664" s="12">
        <f t="shared" si="76"/>
        <v>54.25</v>
      </c>
      <c r="P664" s="13">
        <v>651</v>
      </c>
      <c r="Q664" s="22">
        <v>3.8023386621380828E-2</v>
      </c>
      <c r="R664" s="19">
        <f t="shared" si="77"/>
        <v>3.7495374643133461E-2</v>
      </c>
      <c r="S664" s="22">
        <v>4.1437549535899842E-2</v>
      </c>
      <c r="T664" s="19">
        <f t="shared" si="78"/>
        <v>4.2822886767875268E-2</v>
      </c>
      <c r="U664" s="24">
        <v>4.3876377645788445E-2</v>
      </c>
      <c r="V664" s="24">
        <f t="shared" si="79"/>
        <v>4.2882134803688965E-2</v>
      </c>
      <c r="W664" s="23">
        <f t="shared" si="80"/>
        <v>3.50511962260458E-3</v>
      </c>
      <c r="X664" s="24">
        <v>4.3352815202122308E-2</v>
      </c>
      <c r="Y664" s="24">
        <f t="shared" si="81"/>
        <v>4.2855606938598356E-2</v>
      </c>
      <c r="Z664" s="23">
        <f t="shared" si="82"/>
        <v>3.502952839508966E-3</v>
      </c>
      <c r="AA664" s="36"/>
    </row>
    <row r="665" spans="15:27" ht="13.9" customHeight="1">
      <c r="O665" s="12">
        <f t="shared" si="76"/>
        <v>54.333333333333336</v>
      </c>
      <c r="P665" s="13">
        <v>652</v>
      </c>
      <c r="Q665" s="22">
        <v>3.8022576581335121E-2</v>
      </c>
      <c r="R665" s="19">
        <f t="shared" si="77"/>
        <v>3.7507520195530386E-2</v>
      </c>
      <c r="S665" s="22">
        <v>4.1439672876483424E-2</v>
      </c>
      <c r="T665" s="19">
        <f t="shared" si="78"/>
        <v>4.2824359139041146E-2</v>
      </c>
      <c r="U665" s="24">
        <v>4.3874852007903975E-2</v>
      </c>
      <c r="V665" s="24">
        <f t="shared" si="79"/>
        <v>4.2882417374122905E-2</v>
      </c>
      <c r="W665" s="23">
        <f t="shared" si="80"/>
        <v>3.505142335284317E-3</v>
      </c>
      <c r="X665" s="24">
        <v>4.3352052431276711E-2</v>
      </c>
      <c r="Y665" s="24">
        <f t="shared" si="81"/>
        <v>4.2856379507930642E-2</v>
      </c>
      <c r="Z665" s="23">
        <f t="shared" si="82"/>
        <v>3.503015124666442E-3</v>
      </c>
      <c r="AA665" s="36"/>
    </row>
    <row r="666" spans="15:27" ht="13.9" customHeight="1">
      <c r="O666" s="12">
        <f t="shared" si="76"/>
        <v>54.416666666666664</v>
      </c>
      <c r="P666" s="13">
        <v>653</v>
      </c>
      <c r="Q666" s="22">
        <v>3.8021787631847825E-2</v>
      </c>
      <c r="R666" s="19">
        <f t="shared" si="77"/>
        <v>3.7519562325415201E-2</v>
      </c>
      <c r="S666" s="22">
        <v>4.1441791969828001E-2</v>
      </c>
      <c r="T666" s="19">
        <f t="shared" si="78"/>
        <v>4.2825819250833952E-2</v>
      </c>
      <c r="U666" s="24">
        <v>4.3873331478080813E-2</v>
      </c>
      <c r="V666" s="24">
        <f t="shared" si="79"/>
        <v>4.2882699270704316E-2</v>
      </c>
      <c r="W666" s="23">
        <f t="shared" si="80"/>
        <v>3.5051649937132279E-3</v>
      </c>
      <c r="X666" s="24">
        <v>4.3351293180860617E-2</v>
      </c>
      <c r="Y666" s="24">
        <f t="shared" si="81"/>
        <v>4.2857147935677409E-2</v>
      </c>
      <c r="Z666" s="23">
        <f t="shared" si="82"/>
        <v>3.5030770759876262E-3</v>
      </c>
      <c r="AA666" s="36"/>
    </row>
    <row r="667" spans="15:27" ht="13.9" customHeight="1">
      <c r="O667" s="12">
        <f t="shared" si="76"/>
        <v>54.5</v>
      </c>
      <c r="P667" s="13">
        <v>654</v>
      </c>
      <c r="Q667" s="22">
        <v>3.8021019517695764E-2</v>
      </c>
      <c r="R667" s="19">
        <f t="shared" si="77"/>
        <v>3.7531501936869827E-2</v>
      </c>
      <c r="S667" s="22">
        <v>4.1443906816686749E-2</v>
      </c>
      <c r="T667" s="19">
        <f t="shared" si="78"/>
        <v>4.2827267205878927E-2</v>
      </c>
      <c r="U667" s="24">
        <v>4.3871816031844091E-2</v>
      </c>
      <c r="V667" s="24">
        <f t="shared" si="79"/>
        <v>4.2882980485352107E-2</v>
      </c>
      <c r="W667" s="23">
        <f t="shared" si="80"/>
        <v>3.5051875981022551E-3</v>
      </c>
      <c r="X667" s="24">
        <v>4.3350537428383351E-2</v>
      </c>
      <c r="Y667" s="24">
        <f t="shared" si="81"/>
        <v>4.2857912243843499E-2</v>
      </c>
      <c r="Z667" s="23">
        <f t="shared" si="82"/>
        <v>3.5031386951587251E-3</v>
      </c>
      <c r="AA667" s="36"/>
    </row>
    <row r="668" spans="15:27" ht="13.9" customHeight="1">
      <c r="O668" s="12">
        <f t="shared" si="76"/>
        <v>54.583333333333336</v>
      </c>
      <c r="P668" s="13">
        <v>655</v>
      </c>
      <c r="Q668" s="22">
        <v>3.8020271986602738E-2</v>
      </c>
      <c r="R668" s="19">
        <f t="shared" si="77"/>
        <v>3.7543339923967523E-2</v>
      </c>
      <c r="S668" s="22">
        <v>4.144601741796472E-2</v>
      </c>
      <c r="T668" s="19">
        <f t="shared" si="78"/>
        <v>4.2828703104647259E-2</v>
      </c>
      <c r="U668" s="24">
        <v>4.3870305644855945E-2</v>
      </c>
      <c r="V668" s="24">
        <f t="shared" si="79"/>
        <v>4.2883261020060459E-2</v>
      </c>
      <c r="W668" s="23">
        <f t="shared" si="80"/>
        <v>3.5052101478039166E-3</v>
      </c>
      <c r="X668" s="24">
        <v>4.3349785151525877E-2</v>
      </c>
      <c r="Y668" s="24">
        <f t="shared" si="81"/>
        <v>4.2858672452385616E-2</v>
      </c>
      <c r="Z668" s="23">
        <f t="shared" si="82"/>
        <v>3.5031999839449934E-3</v>
      </c>
      <c r="AA668" s="36"/>
    </row>
    <row r="669" spans="15:27" ht="13.9" customHeight="1">
      <c r="O669" s="12">
        <f t="shared" si="76"/>
        <v>54.666666666666664</v>
      </c>
      <c r="P669" s="13">
        <v>656</v>
      </c>
      <c r="Q669" s="22">
        <v>3.801954478920111E-2</v>
      </c>
      <c r="R669" s="19">
        <f t="shared" si="77"/>
        <v>3.7555077171824047E-2</v>
      </c>
      <c r="S669" s="22">
        <v>4.1448123774714407E-2</v>
      </c>
      <c r="T669" s="19">
        <f t="shared" si="78"/>
        <v>4.2830127048419042E-2</v>
      </c>
      <c r="U669" s="24">
        <v>4.3868800292930166E-2</v>
      </c>
      <c r="V669" s="24">
        <f t="shared" si="79"/>
        <v>4.2883540874101955E-2</v>
      </c>
      <c r="W669" s="23">
        <f t="shared" si="80"/>
        <v>3.5052326429776404E-3</v>
      </c>
      <c r="X669" s="24">
        <v>4.3349036328135027E-2</v>
      </c>
      <c r="Y669" s="24">
        <f t="shared" si="81"/>
        <v>4.2859428586303538E-2</v>
      </c>
      <c r="Z669" s="23">
        <f t="shared" si="82"/>
        <v>3.5032609439473728E-3</v>
      </c>
      <c r="AA669" s="36"/>
    </row>
    <row r="670" spans="15:27" ht="13.9" customHeight="1">
      <c r="O670" s="12">
        <f t="shared" si="76"/>
        <v>54.75</v>
      </c>
      <c r="P670" s="13">
        <v>657</v>
      </c>
      <c r="Q670" s="22">
        <v>3.8018837678996498E-2</v>
      </c>
      <c r="R670" s="19">
        <f t="shared" si="77"/>
        <v>3.7566714560819836E-2</v>
      </c>
      <c r="S670" s="22">
        <v>4.1450225888135517E-2</v>
      </c>
      <c r="T670" s="19">
        <f t="shared" si="78"/>
        <v>4.2831539138303176E-2</v>
      </c>
      <c r="U670" s="24">
        <v>4.386729995202665E-2</v>
      </c>
      <c r="V670" s="24">
        <f t="shared" si="79"/>
        <v>4.2883820067189937E-2</v>
      </c>
      <c r="W670" s="23">
        <f t="shared" si="80"/>
        <v>3.5052550835654728E-3</v>
      </c>
      <c r="X670" s="24">
        <v>4.3348290936231049E-2</v>
      </c>
      <c r="Y670" s="24">
        <f t="shared" si="81"/>
        <v>4.2860180667762426E-2</v>
      </c>
      <c r="Z670" s="23">
        <f t="shared" si="82"/>
        <v>3.5033215771711479E-3</v>
      </c>
      <c r="AA670" s="36"/>
    </row>
    <row r="671" spans="15:27" ht="13.9" customHeight="1">
      <c r="O671" s="12">
        <f t="shared" si="76"/>
        <v>54.833333333333336</v>
      </c>
      <c r="P671" s="13">
        <v>658</v>
      </c>
      <c r="Q671" s="22">
        <v>3.8018150412338025E-2</v>
      </c>
      <c r="R671" s="19">
        <f t="shared" si="77"/>
        <v>3.7578252957323199E-2</v>
      </c>
      <c r="S671" s="22">
        <v>4.1452323759574305E-2</v>
      </c>
      <c r="T671" s="19">
        <f t="shared" si="78"/>
        <v>4.2832939471758591E-2</v>
      </c>
      <c r="U671" s="24">
        <v>4.3865804598281599E-2</v>
      </c>
      <c r="V671" s="24">
        <f t="shared" si="79"/>
        <v>4.2884098587335551E-2</v>
      </c>
      <c r="W671" s="23">
        <f t="shared" si="80"/>
        <v>3.5052774711479273E-3</v>
      </c>
      <c r="X671" s="24">
        <v>4.3347548954001613E-2</v>
      </c>
      <c r="Y671" s="24">
        <f t="shared" si="81"/>
        <v>4.2860928716719426E-2</v>
      </c>
      <c r="Z671" s="23">
        <f t="shared" si="82"/>
        <v>3.5033818853946741E-3</v>
      </c>
      <c r="AA671" s="36"/>
    </row>
    <row r="672" spans="15:27" ht="13.9" customHeight="1">
      <c r="O672" s="12">
        <f t="shared" si="76"/>
        <v>54.916666666666664</v>
      </c>
      <c r="P672" s="13">
        <v>659</v>
      </c>
      <c r="Q672" s="22">
        <v>3.8017482748375908E-2</v>
      </c>
      <c r="R672" s="19">
        <f t="shared" si="77"/>
        <v>3.7589693227438659E-2</v>
      </c>
      <c r="S672" s="22">
        <v>4.1454417390516252E-2</v>
      </c>
      <c r="T672" s="19">
        <f t="shared" si="78"/>
        <v>4.2834328146794887E-2</v>
      </c>
      <c r="U672" s="24">
        <v>4.3864314207958E-2</v>
      </c>
      <c r="V672" s="24">
        <f t="shared" si="79"/>
        <v>4.2884376423392823E-2</v>
      </c>
      <c r="W672" s="23">
        <f t="shared" si="80"/>
        <v>3.5052998047639949E-3</v>
      </c>
      <c r="X672" s="24">
        <v>4.334681035979715E-2</v>
      </c>
      <c r="Y672" s="24">
        <f t="shared" si="81"/>
        <v>4.2861672753929714E-2</v>
      </c>
      <c r="Z672" s="23">
        <f t="shared" si="82"/>
        <v>3.5034418702184489E-3</v>
      </c>
      <c r="AA672" s="36"/>
    </row>
    <row r="673" spans="15:27" ht="13.9" customHeight="1">
      <c r="O673" s="12">
        <f t="shared" si="76"/>
        <v>55</v>
      </c>
      <c r="P673" s="13">
        <v>660</v>
      </c>
      <c r="Q673" s="22">
        <v>3.801683444903925E-2</v>
      </c>
      <c r="R673" s="19">
        <f t="shared" si="77"/>
        <v>3.7601036222779438E-2</v>
      </c>
      <c r="S673" s="22">
        <v>4.1456506782586278E-2</v>
      </c>
      <c r="T673" s="19">
        <f t="shared" si="78"/>
        <v>4.2835705261935697E-2</v>
      </c>
      <c r="U673" s="24">
        <v>4.3862828757445627E-2</v>
      </c>
      <c r="V673" s="24">
        <f t="shared" si="79"/>
        <v>4.288465360489413E-2</v>
      </c>
      <c r="W673" s="23">
        <f t="shared" si="80"/>
        <v>3.5053220835197241E-3</v>
      </c>
      <c r="X673" s="24">
        <v>4.3346075132130402E-2</v>
      </c>
      <c r="Y673" s="24">
        <f t="shared" si="81"/>
        <v>4.2862412804771433E-2</v>
      </c>
      <c r="Z673" s="23">
        <f t="shared" si="82"/>
        <v>3.5035015333078068E-3</v>
      </c>
      <c r="AA673" s="36"/>
    </row>
    <row r="674" spans="15:27" ht="13.9" customHeight="1">
      <c r="O674" s="12">
        <f t="shared" si="76"/>
        <v>55.083333333333336</v>
      </c>
      <c r="P674" s="13">
        <v>661</v>
      </c>
      <c r="Q674" s="22">
        <v>3.8016205278992965E-2</v>
      </c>
      <c r="R674" s="19">
        <f t="shared" si="77"/>
        <v>3.7612282790723484E-2</v>
      </c>
      <c r="S674" s="22">
        <v>4.1458591937548306E-2</v>
      </c>
      <c r="T674" s="19">
        <f t="shared" si="78"/>
        <v>4.2837070912794317E-2</v>
      </c>
      <c r="U674" s="24">
        <v>4.3861348223322327E-2</v>
      </c>
      <c r="V674" s="24">
        <f t="shared" si="79"/>
        <v>4.2884930112888631E-2</v>
      </c>
      <c r="W674" s="23">
        <f t="shared" si="80"/>
        <v>3.5053443097834425E-3</v>
      </c>
      <c r="X674" s="24">
        <v>4.3345343249683088E-2</v>
      </c>
      <c r="Y674" s="24">
        <f t="shared" si="81"/>
        <v>4.2863148887001046E-2</v>
      </c>
      <c r="Z674" s="23">
        <f t="shared" si="82"/>
        <v>3.5035608766984527E-3</v>
      </c>
      <c r="AA674" s="36"/>
    </row>
    <row r="675" spans="15:27" ht="13.9" customHeight="1">
      <c r="O675" s="12">
        <f t="shared" si="76"/>
        <v>55.166666666666664</v>
      </c>
      <c r="P675" s="13">
        <v>662</v>
      </c>
      <c r="Q675" s="22">
        <v>3.8015595005610914E-2</v>
      </c>
      <c r="R675" s="19">
        <f t="shared" si="77"/>
        <v>3.7623433771068138E-2</v>
      </c>
      <c r="S675" s="22">
        <v>4.1460672857299707E-2</v>
      </c>
      <c r="T675" s="19">
        <f t="shared" si="78"/>
        <v>4.2838425196454866E-2</v>
      </c>
      <c r="U675" s="24">
        <v>4.3859872582278303E-2</v>
      </c>
      <c r="V675" s="24">
        <f t="shared" si="79"/>
        <v>4.2885205964846795E-2</v>
      </c>
      <c r="W675" s="23">
        <f t="shared" si="80"/>
        <v>3.5053664820354768E-3</v>
      </c>
      <c r="X675" s="24">
        <v>4.3344614691292582E-2</v>
      </c>
      <c r="Y675" s="24">
        <f t="shared" si="81"/>
        <v>4.2863881026173667E-2</v>
      </c>
      <c r="Z675" s="23">
        <f t="shared" si="82"/>
        <v>3.5036199018143588E-3</v>
      </c>
      <c r="AA675" s="36"/>
    </row>
    <row r="676" spans="15:27" ht="13.9" customHeight="1">
      <c r="O676" s="12">
        <f t="shared" si="76"/>
        <v>55.25</v>
      </c>
      <c r="P676" s="13">
        <v>663</v>
      </c>
      <c r="Q676" s="22">
        <v>3.8015003398943481E-2</v>
      </c>
      <c r="R676" s="19">
        <f t="shared" si="77"/>
        <v>3.7634489992472542E-2</v>
      </c>
      <c r="S676" s="22">
        <v>4.1462749543872635E-2</v>
      </c>
      <c r="T676" s="19">
        <f t="shared" si="78"/>
        <v>4.2839768204720352E-2</v>
      </c>
      <c r="U676" s="24">
        <v>4.3858401811171399E-2</v>
      </c>
      <c r="V676" s="24">
        <f t="shared" si="79"/>
        <v>4.288548113465751E-2</v>
      </c>
      <c r="W676" s="23">
        <f t="shared" si="80"/>
        <v>3.5053886016769287E-3</v>
      </c>
      <c r="X676" s="24">
        <v>4.3343889435962346E-2</v>
      </c>
      <c r="Y676" s="24">
        <f t="shared" si="81"/>
        <v>4.2864609236670459E-2</v>
      </c>
      <c r="Z676" s="23">
        <f t="shared" si="82"/>
        <v>3.5036786107058848E-3</v>
      </c>
      <c r="AA676" s="36"/>
    </row>
    <row r="677" spans="15:27" ht="13.9" customHeight="1">
      <c r="O677" s="12">
        <f t="shared" si="76"/>
        <v>55.333333333333336</v>
      </c>
      <c r="P677" s="13">
        <v>664</v>
      </c>
      <c r="Q677" s="22">
        <v>3.801443023168094E-2</v>
      </c>
      <c r="R677" s="19">
        <f t="shared" si="77"/>
        <v>3.7645452282273117E-2</v>
      </c>
      <c r="S677" s="22">
        <v>4.1464821999425139E-2</v>
      </c>
      <c r="T677" s="19">
        <f t="shared" si="78"/>
        <v>4.2841100035569513E-2</v>
      </c>
      <c r="U677" s="24">
        <v>4.3856935886959381E-2</v>
      </c>
      <c r="V677" s="24">
        <f t="shared" si="79"/>
        <v>4.2885755661318914E-2</v>
      </c>
      <c r="W677" s="23">
        <f t="shared" si="80"/>
        <v>3.5054106666136953E-3</v>
      </c>
      <c r="X677" s="24">
        <v>4.3343167462844168E-2</v>
      </c>
      <c r="Y677" s="24">
        <f t="shared" si="81"/>
        <v>4.2865333546932227E-2</v>
      </c>
      <c r="Z677" s="23">
        <f t="shared" si="82"/>
        <v>3.5037370045267746E-3</v>
      </c>
      <c r="AA677" s="36"/>
    </row>
    <row r="678" spans="15:27" ht="13.9" customHeight="1">
      <c r="O678" s="12">
        <f t="shared" si="76"/>
        <v>55.416666666666664</v>
      </c>
      <c r="P678" s="13">
        <v>665</v>
      </c>
      <c r="Q678" s="22">
        <v>3.8013875279131026E-2</v>
      </c>
      <c r="R678" s="19">
        <f t="shared" si="77"/>
        <v>3.7656321453416908E-2</v>
      </c>
      <c r="S678" s="22">
        <v>4.1466890226249387E-2</v>
      </c>
      <c r="T678" s="19">
        <f t="shared" si="78"/>
        <v>4.2842420779899859E-2</v>
      </c>
      <c r="U678" s="24">
        <v>4.3855474786797188E-2</v>
      </c>
      <c r="V678" s="24">
        <f t="shared" si="79"/>
        <v>4.2886029519272117E-2</v>
      </c>
      <c r="W678" s="23">
        <f t="shared" si="80"/>
        <v>3.5054326799732749E-3</v>
      </c>
      <c r="X678" s="24">
        <v>4.3342448751258145E-2</v>
      </c>
      <c r="Y678" s="24">
        <f t="shared" si="81"/>
        <v>4.2866053974147E-2</v>
      </c>
      <c r="Z678" s="23">
        <f t="shared" si="82"/>
        <v>3.5037950855578703E-3</v>
      </c>
      <c r="AA678" s="36"/>
    </row>
    <row r="679" spans="15:27" ht="13.9" customHeight="1">
      <c r="O679" s="12">
        <f t="shared" si="76"/>
        <v>55.5</v>
      </c>
      <c r="P679" s="13">
        <v>666</v>
      </c>
      <c r="Q679" s="22">
        <v>3.8013338319177858E-2</v>
      </c>
      <c r="R679" s="19">
        <f t="shared" si="77"/>
        <v>3.7667098316522152E-2</v>
      </c>
      <c r="S679" s="22">
        <v>4.1468954226760113E-2</v>
      </c>
      <c r="T679" s="19">
        <f t="shared" si="78"/>
        <v>4.2843730530799595E-2</v>
      </c>
      <c r="U679" s="24">
        <v>4.3854018487939017E-2</v>
      </c>
      <c r="V679" s="24">
        <f t="shared" si="79"/>
        <v>4.2886302715383628E-2</v>
      </c>
      <c r="W679" s="23">
        <f t="shared" si="80"/>
        <v>3.5054546397059738E-3</v>
      </c>
      <c r="X679" s="24">
        <v>4.3341733280674255E-2</v>
      </c>
      <c r="Y679" s="24">
        <f t="shared" si="81"/>
        <v>4.2866770539497168E-2</v>
      </c>
      <c r="Z679" s="23">
        <f t="shared" si="82"/>
        <v>3.5038528551785131E-3</v>
      </c>
      <c r="AA679" s="36"/>
    </row>
    <row r="680" spans="15:27" ht="13.9" customHeight="1">
      <c r="O680" s="12">
        <f t="shared" si="76"/>
        <v>55.583333333333336</v>
      </c>
      <c r="P680" s="13">
        <v>667</v>
      </c>
      <c r="Q680" s="22">
        <v>3.8012819132259068E-2</v>
      </c>
      <c r="R680" s="19">
        <f t="shared" si="77"/>
        <v>3.767778367277308E-2</v>
      </c>
      <c r="S680" s="22">
        <v>4.1471014003496842E-2</v>
      </c>
      <c r="T680" s="19">
        <f t="shared" si="78"/>
        <v>4.2845029380393473E-2</v>
      </c>
      <c r="U680" s="24">
        <v>4.3852566967785611E-2</v>
      </c>
      <c r="V680" s="24">
        <f t="shared" si="79"/>
        <v>4.2886575260808746E-2</v>
      </c>
      <c r="W680" s="23">
        <f t="shared" si="80"/>
        <v>3.5054765463629067E-3</v>
      </c>
      <c r="X680" s="24">
        <v>4.3341021030717686E-2</v>
      </c>
      <c r="Y680" s="24">
        <f t="shared" si="81"/>
        <v>4.2867483264963369E-2</v>
      </c>
      <c r="Z680" s="23">
        <f t="shared" si="82"/>
        <v>3.5039103150875661E-3</v>
      </c>
      <c r="AA680" s="36"/>
    </row>
    <row r="681" spans="15:27" ht="13.9" customHeight="1">
      <c r="O681" s="12">
        <f t="shared" si="76"/>
        <v>55.666666666666664</v>
      </c>
      <c r="P681" s="13">
        <v>668</v>
      </c>
      <c r="Q681" s="22">
        <v>3.8012317501332049E-2</v>
      </c>
      <c r="R681" s="19">
        <f t="shared" si="77"/>
        <v>3.7688378315324789E-2</v>
      </c>
      <c r="S681" s="22">
        <v>4.1473069559121667E-2</v>
      </c>
      <c r="T681" s="19">
        <f t="shared" si="78"/>
        <v>4.2846317418573587E-2</v>
      </c>
      <c r="U681" s="24">
        <v>4.3851120203889815E-2</v>
      </c>
      <c r="V681" s="24">
        <f t="shared" si="79"/>
        <v>4.2886847144327112E-2</v>
      </c>
      <c r="W681" s="23">
        <f t="shared" si="80"/>
        <v>3.5054984008380252E-3</v>
      </c>
      <c r="X681" s="24">
        <v>4.3340311981168611E-2</v>
      </c>
      <c r="Y681" s="24">
        <f t="shared" si="81"/>
        <v>4.286819216854898E-2</v>
      </c>
      <c r="Z681" s="23">
        <f t="shared" si="82"/>
        <v>3.5039674670482857E-3</v>
      </c>
      <c r="AA681" s="36"/>
    </row>
    <row r="682" spans="15:27" ht="13.9" customHeight="1">
      <c r="O682" s="12">
        <f t="shared" si="76"/>
        <v>55.75</v>
      </c>
      <c r="P682" s="13">
        <v>669</v>
      </c>
      <c r="Q682" s="22">
        <v>3.8011833211843538E-2</v>
      </c>
      <c r="R682" s="19">
        <f t="shared" si="77"/>
        <v>3.7698883033601804E-2</v>
      </c>
      <c r="S682" s="22">
        <v>4.1475120896414808E-2</v>
      </c>
      <c r="T682" s="19">
        <f t="shared" si="78"/>
        <v>4.2847594737690065E-2</v>
      </c>
      <c r="U682" s="24">
        <v>4.3849678173921935E-2</v>
      </c>
      <c r="V682" s="24">
        <f t="shared" si="79"/>
        <v>4.2887118378848621E-2</v>
      </c>
      <c r="W682" s="23">
        <f t="shared" si="80"/>
        <v>3.5055202022320486E-3</v>
      </c>
      <c r="X682" s="24">
        <v>4.3339606111954643E-2</v>
      </c>
      <c r="Y682" s="24">
        <f t="shared" si="81"/>
        <v>4.2868897274695783E-2</v>
      </c>
      <c r="Z682" s="23">
        <f t="shared" si="82"/>
        <v>3.5040243125048498E-3</v>
      </c>
      <c r="AA682" s="36"/>
    </row>
    <row r="683" spans="15:27" ht="13.9" customHeight="1">
      <c r="O683" s="12">
        <f t="shared" si="76"/>
        <v>55.833333333333336</v>
      </c>
      <c r="P683" s="13">
        <v>670</v>
      </c>
      <c r="Q683" s="22">
        <v>3.8011366051704742E-2</v>
      </c>
      <c r="R683" s="19">
        <f t="shared" si="77"/>
        <v>3.7709298604578612E-2</v>
      </c>
      <c r="S683" s="22">
        <v>4.1477168018277721E-2</v>
      </c>
      <c r="T683" s="19">
        <f t="shared" si="78"/>
        <v>4.28488614246465E-2</v>
      </c>
      <c r="U683" s="24">
        <v>4.3848240855705045E-2</v>
      </c>
      <c r="V683" s="24">
        <f t="shared" si="79"/>
        <v>4.2887388956841521E-2</v>
      </c>
      <c r="W683" s="23">
        <f t="shared" si="80"/>
        <v>3.5055419515799269E-3</v>
      </c>
      <c r="X683" s="24">
        <v>4.3338903403160378E-2</v>
      </c>
      <c r="Y683" s="24">
        <f t="shared" si="81"/>
        <v>4.2869598600583592E-2</v>
      </c>
      <c r="Z683" s="23">
        <f t="shared" si="82"/>
        <v>3.5040808534176904E-3</v>
      </c>
      <c r="AA683" s="36"/>
    </row>
    <row r="684" spans="15:27" ht="13.9" customHeight="1">
      <c r="O684" s="12">
        <f t="shared" si="76"/>
        <v>55.916666666666664</v>
      </c>
      <c r="P684" s="13">
        <v>671</v>
      </c>
      <c r="Q684" s="22">
        <v>3.8010915811254931E-2</v>
      </c>
      <c r="R684" s="19">
        <f t="shared" si="77"/>
        <v>3.7719625803493084E-2</v>
      </c>
      <c r="S684" s="22">
        <v>4.1479210927723775E-2</v>
      </c>
      <c r="T684" s="19">
        <f t="shared" si="78"/>
        <v>4.2850117569962487E-2</v>
      </c>
      <c r="U684" s="24">
        <v>4.3846808227183454E-2</v>
      </c>
      <c r="V684" s="24">
        <f t="shared" si="79"/>
        <v>4.2887658882349911E-2</v>
      </c>
      <c r="W684" s="23">
        <f t="shared" si="80"/>
        <v>3.5055636482779207E-3</v>
      </c>
      <c r="X684" s="24">
        <v>4.33382038350143E-2</v>
      </c>
      <c r="Y684" s="24">
        <f t="shared" si="81"/>
        <v>4.2870296167418775E-2</v>
      </c>
      <c r="Z684" s="23">
        <f t="shared" si="82"/>
        <v>3.5041370911652603E-3</v>
      </c>
      <c r="AA684" s="36"/>
    </row>
    <row r="685" spans="15:27" ht="13.9" customHeight="1">
      <c r="O685" s="12">
        <f t="shared" si="76"/>
        <v>56</v>
      </c>
      <c r="P685" s="13">
        <v>672</v>
      </c>
      <c r="Q685" s="22">
        <v>3.801048228324011E-2</v>
      </c>
      <c r="R685" s="19">
        <f t="shared" si="77"/>
        <v>3.772986539471046E-2</v>
      </c>
      <c r="S685" s="22">
        <v>4.148124962788291E-2</v>
      </c>
      <c r="T685" s="19">
        <f t="shared" si="78"/>
        <v>4.2851363261336539E-2</v>
      </c>
      <c r="U685" s="24">
        <v>4.384538026643825E-2</v>
      </c>
      <c r="V685" s="24">
        <f t="shared" si="79"/>
        <v>4.2887928168336753E-2</v>
      </c>
      <c r="W685" s="23">
        <f t="shared" si="80"/>
        <v>3.5055852926504372E-3</v>
      </c>
      <c r="X685" s="24">
        <v>4.3337507387894547E-2</v>
      </c>
      <c r="Y685" s="24">
        <f t="shared" si="81"/>
        <v>4.2870989997700004E-2</v>
      </c>
      <c r="Z685" s="23">
        <f t="shared" si="82"/>
        <v>3.5041930274486432E-3</v>
      </c>
      <c r="AA685" s="36"/>
    </row>
    <row r="686" spans="15:27" ht="13.9" customHeight="1">
      <c r="O686" s="12">
        <f t="shared" si="76"/>
        <v>56.083333333333336</v>
      </c>
      <c r="P686" s="13">
        <v>673</v>
      </c>
      <c r="Q686" s="22">
        <v>3.801006526277928E-2</v>
      </c>
      <c r="R686" s="19">
        <f t="shared" si="77"/>
        <v>3.7740018139364118E-2</v>
      </c>
      <c r="S686" s="22">
        <v>4.1483284121996533E-2</v>
      </c>
      <c r="T686" s="19">
        <f t="shared" si="78"/>
        <v>4.2852598585406243E-2</v>
      </c>
      <c r="U686" s="24">
        <v>4.3843956951700847E-2</v>
      </c>
      <c r="V686" s="24">
        <f t="shared" si="79"/>
        <v>4.2888196793896993E-2</v>
      </c>
      <c r="W686" s="23">
        <f t="shared" si="80"/>
        <v>3.5056068857368672E-3</v>
      </c>
      <c r="X686" s="24">
        <v>4.3336814042329364E-2</v>
      </c>
      <c r="Y686" s="24">
        <f t="shared" si="81"/>
        <v>4.2871680107439136E-2</v>
      </c>
      <c r="Z686" s="23">
        <f t="shared" si="82"/>
        <v>3.5042486640719517E-3</v>
      </c>
      <c r="AA686" s="36"/>
    </row>
    <row r="687" spans="15:27" ht="13.9" customHeight="1">
      <c r="O687" s="12">
        <f t="shared" si="76"/>
        <v>56.166666666666664</v>
      </c>
      <c r="P687" s="13">
        <v>674</v>
      </c>
      <c r="Q687" s="22">
        <v>3.8009664547341782E-2</v>
      </c>
      <c r="R687" s="19">
        <f t="shared" si="77"/>
        <v>3.7750084786854154E-2</v>
      </c>
      <c r="S687" s="22">
        <v>4.1485314413415519E-2</v>
      </c>
      <c r="T687" s="19">
        <f t="shared" si="78"/>
        <v>4.2853823628969501E-2</v>
      </c>
      <c r="U687" s="24">
        <v>4.3842538261300357E-2</v>
      </c>
      <c r="V687" s="24">
        <f t="shared" si="79"/>
        <v>4.2888464783213287E-2</v>
      </c>
      <c r="W687" s="23">
        <f t="shared" si="80"/>
        <v>3.505628425860996E-3</v>
      </c>
      <c r="X687" s="24">
        <v>4.3336123778985991E-2</v>
      </c>
      <c r="Y687" s="24">
        <f t="shared" si="81"/>
        <v>4.2872366519892235E-2</v>
      </c>
      <c r="Z687" s="23">
        <f t="shared" si="82"/>
        <v>3.5043040023203798E-3</v>
      </c>
      <c r="AA687" s="36"/>
    </row>
    <row r="688" spans="15:27" ht="13.9" customHeight="1">
      <c r="O688" s="12">
        <f t="shared" si="76"/>
        <v>56.25</v>
      </c>
      <c r="P688" s="13">
        <v>675</v>
      </c>
      <c r="Q688" s="22">
        <v>3.8009279936712215E-2</v>
      </c>
      <c r="R688" s="19">
        <f t="shared" si="77"/>
        <v>3.7760066085039456E-2</v>
      </c>
      <c r="S688" s="22">
        <v>4.148734050559888E-2</v>
      </c>
      <c r="T688" s="19">
        <f t="shared" si="78"/>
        <v>4.2855038477795704E-2</v>
      </c>
      <c r="U688" s="24">
        <v>4.384112417373065E-2</v>
      </c>
      <c r="V688" s="24">
        <f t="shared" si="79"/>
        <v>4.28887321177156E-2</v>
      </c>
      <c r="W688" s="23">
        <f t="shared" si="80"/>
        <v>3.5056499149617171E-3</v>
      </c>
      <c r="X688" s="24">
        <v>4.333543657868133E-2</v>
      </c>
      <c r="Y688" s="24">
        <f t="shared" si="81"/>
        <v>4.2873049253163487E-2</v>
      </c>
      <c r="Z688" s="23">
        <f t="shared" si="82"/>
        <v>3.5043590440586581E-3</v>
      </c>
      <c r="AA688" s="36"/>
    </row>
    <row r="689" spans="15:27" ht="13.9" customHeight="1">
      <c r="O689" s="12">
        <f t="shared" si="76"/>
        <v>56.333333333333336</v>
      </c>
      <c r="P689" s="13">
        <v>676</v>
      </c>
      <c r="Q689" s="22">
        <v>3.8008911232971343E-2</v>
      </c>
      <c r="R689" s="19">
        <f t="shared" si="77"/>
        <v>3.7769962770834331E-2</v>
      </c>
      <c r="S689" s="22">
        <v>4.1489362402111984E-2</v>
      </c>
      <c r="T689" s="19">
        <f t="shared" si="78"/>
        <v>4.2856243217390677E-2</v>
      </c>
      <c r="U689" s="24">
        <v>4.383971466758485E-2</v>
      </c>
      <c r="V689" s="24">
        <f t="shared" si="79"/>
        <v>4.2888998820851842E-2</v>
      </c>
      <c r="W689" s="23">
        <f t="shared" si="80"/>
        <v>3.5056713515504434E-3</v>
      </c>
      <c r="X689" s="24">
        <v>4.3334752422372169E-2</v>
      </c>
      <c r="Y689" s="24">
        <f t="shared" si="81"/>
        <v>4.2873728329068328E-2</v>
      </c>
      <c r="Z689" s="23">
        <f t="shared" si="82"/>
        <v>3.5044137907396244E-3</v>
      </c>
      <c r="AA689" s="36"/>
    </row>
    <row r="690" spans="15:27" ht="13.9" customHeight="1">
      <c r="O690" s="12">
        <f t="shared" si="76"/>
        <v>56.416666666666664</v>
      </c>
      <c r="P690" s="13">
        <v>677</v>
      </c>
      <c r="Q690" s="22">
        <v>3.8008558240462342E-2</v>
      </c>
      <c r="R690" s="19">
        <f t="shared" si="77"/>
        <v>3.777977557784129E-2</v>
      </c>
      <c r="S690" s="22">
        <v>4.1491380106625231E-2</v>
      </c>
      <c r="T690" s="19">
        <f t="shared" si="78"/>
        <v>4.2857437931529629E-2</v>
      </c>
      <c r="U690" s="24">
        <v>4.3838309721617952E-2</v>
      </c>
      <c r="V690" s="24">
        <f t="shared" si="79"/>
        <v>4.2889264874902633E-2</v>
      </c>
      <c r="W690" s="23">
        <f t="shared" si="80"/>
        <v>3.5056927375070046E-3</v>
      </c>
      <c r="X690" s="24">
        <v>4.3334071291160292E-2</v>
      </c>
      <c r="Y690" s="24">
        <f t="shared" si="81"/>
        <v>4.2874403765306157E-2</v>
      </c>
      <c r="Z690" s="23">
        <f t="shared" si="82"/>
        <v>3.5044682441129904E-3</v>
      </c>
      <c r="AA690" s="36"/>
    </row>
    <row r="691" spans="15:27" ht="13.9" customHeight="1">
      <c r="O691" s="12">
        <f t="shared" si="76"/>
        <v>56.5</v>
      </c>
      <c r="P691" s="13">
        <v>678</v>
      </c>
      <c r="Q691" s="22">
        <v>3.8008220765769707E-2</v>
      </c>
      <c r="R691" s="19">
        <f t="shared" si="77"/>
        <v>3.7789505230268583E-2</v>
      </c>
      <c r="S691" s="22">
        <v>4.1493393622910935E-2</v>
      </c>
      <c r="T691" s="19">
        <f t="shared" si="78"/>
        <v>4.2858622703723759E-2</v>
      </c>
      <c r="U691" s="24">
        <v>4.3836909314683759E-2</v>
      </c>
      <c r="V691" s="24">
        <f t="shared" si="79"/>
        <v>4.2889530287883559E-2</v>
      </c>
      <c r="W691" s="23">
        <f t="shared" si="80"/>
        <v>3.5057140714107593E-3</v>
      </c>
      <c r="X691" s="24">
        <v>4.333339316628515E-2</v>
      </c>
      <c r="Y691" s="24">
        <f t="shared" si="81"/>
        <v>4.2875075579965172E-2</v>
      </c>
      <c r="Z691" s="23">
        <f t="shared" si="82"/>
        <v>3.5045224055982871E-3</v>
      </c>
      <c r="AA691" s="36"/>
    </row>
    <row r="692" spans="15:27" ht="13.9" customHeight="1">
      <c r="O692" s="12">
        <f t="shared" si="76"/>
        <v>56.583333333333336</v>
      </c>
      <c r="P692" s="13">
        <v>679</v>
      </c>
      <c r="Q692" s="22">
        <v>3.8007898617688385E-2</v>
      </c>
      <c r="R692" s="19">
        <f t="shared" si="77"/>
        <v>3.7799152447244522E-2</v>
      </c>
      <c r="S692" s="22">
        <v>4.1495402954841776E-2</v>
      </c>
      <c r="T692" s="19">
        <f t="shared" si="78"/>
        <v>4.2859797617632367E-2</v>
      </c>
      <c r="U692" s="24">
        <v>4.3835513425772632E-2</v>
      </c>
      <c r="V692" s="24">
        <f t="shared" si="79"/>
        <v>4.2889795069284364E-2</v>
      </c>
      <c r="W692" s="23">
        <f t="shared" si="80"/>
        <v>3.5057353539047487E-3</v>
      </c>
      <c r="X692" s="24">
        <v>4.3332718029123418E-2</v>
      </c>
      <c r="Y692" s="24">
        <f t="shared" si="81"/>
        <v>4.2875743798014732E-2</v>
      </c>
      <c r="Z692" s="23">
        <f t="shared" si="82"/>
        <v>3.504576276646576E-3</v>
      </c>
      <c r="AA692" s="36"/>
    </row>
    <row r="693" spans="15:27" ht="13.9" customHeight="1">
      <c r="O693" s="12">
        <f t="shared" si="76"/>
        <v>56.666666666666664</v>
      </c>
      <c r="P693" s="13">
        <v>680</v>
      </c>
      <c r="Q693" s="22">
        <v>3.800759160720002E-2</v>
      </c>
      <c r="R693" s="19">
        <f t="shared" si="77"/>
        <v>3.7808717942327652E-2</v>
      </c>
      <c r="S693" s="22">
        <v>4.1497408106390576E-2</v>
      </c>
      <c r="T693" s="19">
        <f t="shared" si="78"/>
        <v>4.2860962755368659E-2</v>
      </c>
      <c r="U693" s="24">
        <v>4.3834122034012601E-2</v>
      </c>
      <c r="V693" s="24">
        <f t="shared" si="79"/>
        <v>4.2890059209300224E-2</v>
      </c>
      <c r="W693" s="23">
        <f t="shared" si="80"/>
        <v>3.5057565857494755E-3</v>
      </c>
      <c r="X693" s="24">
        <v>4.3332045861198099E-2</v>
      </c>
      <c r="Y693" s="24">
        <f t="shared" si="81"/>
        <v>4.2876408434242785E-2</v>
      </c>
      <c r="Z693" s="23">
        <f t="shared" si="82"/>
        <v>3.5046298592606995E-3</v>
      </c>
      <c r="AA693" s="36"/>
    </row>
    <row r="694" spans="15:27" ht="13.9" customHeight="1">
      <c r="O694" s="12">
        <f t="shared" si="76"/>
        <v>56.75</v>
      </c>
      <c r="P694" s="13">
        <v>681</v>
      </c>
      <c r="Q694" s="22">
        <v>3.8007299547448747E-2</v>
      </c>
      <c r="R694" s="19">
        <f t="shared" si="77"/>
        <v>3.7818202420101255E-2</v>
      </c>
      <c r="S694" s="22">
        <v>4.1499409081627414E-2</v>
      </c>
      <c r="T694" s="19">
        <f t="shared" si="78"/>
        <v>4.2862118197508403E-2</v>
      </c>
      <c r="U694" s="24">
        <v>4.3832735118640054E-2</v>
      </c>
      <c r="V694" s="24">
        <f t="shared" si="79"/>
        <v>4.2890322715436247E-2</v>
      </c>
      <c r="W694" s="23">
        <f t="shared" si="80"/>
        <v>3.5057777661589018E-3</v>
      </c>
      <c r="X694" s="24">
        <v>4.3331376644162312E-2</v>
      </c>
      <c r="Y694" s="24">
        <f t="shared" si="81"/>
        <v>4.2877069508887145E-2</v>
      </c>
      <c r="Z694" s="23">
        <f t="shared" si="82"/>
        <v>3.5046831546270418E-3</v>
      </c>
      <c r="AA694" s="36"/>
    </row>
    <row r="695" spans="15:27" ht="13.9" customHeight="1">
      <c r="O695" s="12">
        <f t="shared" si="76"/>
        <v>56.833333333333336</v>
      </c>
      <c r="P695" s="13">
        <v>682</v>
      </c>
      <c r="Q695" s="22">
        <v>3.8007022253712108E-2</v>
      </c>
      <c r="R695" s="19">
        <f t="shared" si="77"/>
        <v>3.7827606581548823E-2</v>
      </c>
      <c r="S695" s="22">
        <v>4.1501405884716069E-2</v>
      </c>
      <c r="T695" s="19">
        <f t="shared" si="78"/>
        <v>4.2863264025648551E-2</v>
      </c>
      <c r="U695" s="24">
        <v>4.3831352659023937E-2</v>
      </c>
      <c r="V695" s="24">
        <f t="shared" si="79"/>
        <v>4.2890585582068042E-2</v>
      </c>
      <c r="W695" s="23">
        <f t="shared" si="80"/>
        <v>3.5057988957352126E-3</v>
      </c>
      <c r="X695" s="24">
        <v>4.3330710359806845E-2</v>
      </c>
      <c r="Y695" s="24">
        <f t="shared" si="81"/>
        <v>4.2877727040348423E-2</v>
      </c>
      <c r="Z695" s="23">
        <f t="shared" si="82"/>
        <v>3.5047361643687491E-3</v>
      </c>
      <c r="AA695" s="36"/>
    </row>
    <row r="696" spans="15:27" ht="13.9" customHeight="1">
      <c r="O696" s="12">
        <f t="shared" si="76"/>
        <v>56.916666666666664</v>
      </c>
      <c r="P696" s="13">
        <v>683</v>
      </c>
      <c r="Q696" s="22">
        <v>3.8006759543379953E-2</v>
      </c>
      <c r="R696" s="19">
        <f t="shared" si="77"/>
        <v>3.7836931119386685E-2</v>
      </c>
      <c r="S696" s="22">
        <v>4.1503398519915802E-2</v>
      </c>
      <c r="T696" s="19">
        <f t="shared" si="78"/>
        <v>4.2864400320401508E-2</v>
      </c>
      <c r="U696" s="24">
        <v>4.3829974634645996E-2</v>
      </c>
      <c r="V696" s="24">
        <f>(1+U697)^P697/(1+U696)^P696-1</f>
        <v>4.2890847820656219E-2</v>
      </c>
      <c r="W696" s="23">
        <f t="shared" si="80"/>
        <v>3.5058199740269913E-3</v>
      </c>
      <c r="X696" s="24">
        <v>4.3330046990055937E-2</v>
      </c>
      <c r="Y696" s="24">
        <f t="shared" si="81"/>
        <v>4.2878381048708558E-2</v>
      </c>
      <c r="Z696" s="23">
        <f t="shared" si="82"/>
        <v>3.5047888899619739E-3</v>
      </c>
      <c r="AA696" s="36"/>
    </row>
    <row r="697" spans="15:27" ht="13.9" customHeight="1">
      <c r="O697" s="12">
        <f t="shared" si="76"/>
        <v>57</v>
      </c>
      <c r="P697" s="13">
        <v>684</v>
      </c>
      <c r="Q697" s="22">
        <v>3.8006511235926688E-2</v>
      </c>
      <c r="R697" s="19">
        <f t="shared" si="77"/>
        <v>3.7846176721303193E-2</v>
      </c>
      <c r="S697" s="22">
        <v>4.1505386991578019E-2</v>
      </c>
      <c r="T697" s="19">
        <f t="shared" si="78"/>
        <v>4.2865527160674599E-2</v>
      </c>
      <c r="U697" s="24">
        <v>4.382860102512498E-2</v>
      </c>
      <c r="V697" s="24">
        <f t="shared" si="79"/>
        <v>4.2891109433627506E-2</v>
      </c>
      <c r="W697" s="23">
        <f t="shared" si="80"/>
        <v>3.5058410019535025E-3</v>
      </c>
      <c r="X697" s="24">
        <v>4.3329386516969048E-2</v>
      </c>
      <c r="Y697" s="24">
        <f t="shared" si="81"/>
        <v>4.2879031555397518E-2</v>
      </c>
      <c r="Z697" s="23">
        <f t="shared" si="82"/>
        <v>3.5048413330174277E-3</v>
      </c>
      <c r="AA697" s="36"/>
    </row>
    <row r="698" spans="15:27" ht="13.9" customHeight="1">
      <c r="O698" s="12">
        <f t="shared" si="76"/>
        <v>57.083333333333336</v>
      </c>
      <c r="P698" s="13">
        <v>685</v>
      </c>
      <c r="Q698" s="22">
        <v>3.8006277152889067E-2</v>
      </c>
      <c r="R698" s="19">
        <f t="shared" si="77"/>
        <v>3.7855344068885133E-2</v>
      </c>
      <c r="S698" s="22">
        <v>4.150737130414428E-2</v>
      </c>
      <c r="T698" s="19">
        <f t="shared" si="78"/>
        <v>4.286664462561518E-2</v>
      </c>
      <c r="U698" s="24">
        <v>4.3827231810201983E-2</v>
      </c>
      <c r="V698" s="24">
        <f t="shared" si="79"/>
        <v>4.2891370410996776E-2</v>
      </c>
      <c r="W698" s="23">
        <f t="shared" si="80"/>
        <v>3.5058619797092572E-3</v>
      </c>
      <c r="X698" s="24">
        <v>4.3328728922741533E-2</v>
      </c>
      <c r="Y698" s="24">
        <f t="shared" si="81"/>
        <v>4.2879678573747304E-2</v>
      </c>
      <c r="Z698" s="23">
        <f t="shared" si="82"/>
        <v>3.5048934952537358E-3</v>
      </c>
      <c r="AA698" s="36"/>
    </row>
    <row r="699" spans="15:27" ht="13.9" customHeight="1">
      <c r="O699" s="12">
        <f t="shared" si="76"/>
        <v>57.166666666666664</v>
      </c>
      <c r="P699" s="13">
        <v>686</v>
      </c>
      <c r="Q699" s="22">
        <v>3.8006057117841774E-2</v>
      </c>
      <c r="R699" s="19">
        <f t="shared" si="77"/>
        <v>3.7864433836359179E-2</v>
      </c>
      <c r="S699" s="22">
        <v>4.1509351462145183E-2</v>
      </c>
      <c r="T699" s="19">
        <f t="shared" si="78"/>
        <v>4.2867752792236757E-2</v>
      </c>
      <c r="U699" s="24">
        <v>4.3825866969721794E-2</v>
      </c>
      <c r="V699" s="24">
        <f t="shared" si="79"/>
        <v>4.2891630756593635E-2</v>
      </c>
      <c r="W699" s="23">
        <f t="shared" si="80"/>
        <v>3.5058829064937846E-3</v>
      </c>
      <c r="X699" s="24">
        <v>4.3328074189692201E-2</v>
      </c>
      <c r="Y699" s="24">
        <f t="shared" si="81"/>
        <v>4.2880322125295356E-2</v>
      </c>
      <c r="Z699" s="23">
        <f t="shared" si="82"/>
        <v>3.5049453777409312E-3</v>
      </c>
      <c r="AA699" s="36"/>
    </row>
    <row r="700" spans="15:27" ht="13.9" customHeight="1">
      <c r="O700" s="12">
        <f t="shared" si="76"/>
        <v>57.25</v>
      </c>
      <c r="P700" s="13">
        <v>687</v>
      </c>
      <c r="Q700" s="22">
        <v>3.80058509563721E-2</v>
      </c>
      <c r="R700" s="19">
        <f t="shared" si="77"/>
        <v>3.7873446693365231E-2</v>
      </c>
      <c r="S700" s="22">
        <v>4.1511327470197035E-2</v>
      </c>
      <c r="T700" s="19">
        <f t="shared" si="78"/>
        <v>4.2868851740865299E-2</v>
      </c>
      <c r="U700" s="24">
        <v>4.3824506483652215E-2</v>
      </c>
      <c r="V700" s="24">
        <f t="shared" si="79"/>
        <v>4.2891890485439177E-2</v>
      </c>
      <c r="W700" s="23">
        <f t="shared" si="80"/>
        <v>3.5059037826141726E-3</v>
      </c>
      <c r="X700" s="24">
        <v>4.3327422300274421E-2</v>
      </c>
      <c r="Y700" s="24">
        <f t="shared" si="81"/>
        <v>4.2880962231470976E-2</v>
      </c>
      <c r="Z700" s="23">
        <f t="shared" si="82"/>
        <v>3.5049969822062987E-3</v>
      </c>
      <c r="AA700" s="36"/>
    </row>
    <row r="701" spans="15:27" ht="13.9" customHeight="1">
      <c r="O701" s="12">
        <f t="shared" si="76"/>
        <v>57.333333333333336</v>
      </c>
      <c r="P701" s="13">
        <v>688</v>
      </c>
      <c r="Q701" s="22">
        <v>3.8005658496058192E-2</v>
      </c>
      <c r="R701" s="19">
        <f t="shared" si="77"/>
        <v>3.7882383301793832E-2</v>
      </c>
      <c r="S701" s="22">
        <v>4.1513299333005627E-2</v>
      </c>
      <c r="T701" s="19">
        <f t="shared" si="78"/>
        <v>4.2869941545777168E-2</v>
      </c>
      <c r="U701" s="24">
        <v>4.3823150332099603E-2</v>
      </c>
      <c r="V701" s="24">
        <f t="shared" si="79"/>
        <v>4.2892149585280093E-2</v>
      </c>
      <c r="W701" s="23">
        <f t="shared" si="80"/>
        <v>3.5059246092745688E-3</v>
      </c>
      <c r="X701" s="24">
        <v>4.3326773237074345E-2</v>
      </c>
      <c r="Y701" s="24">
        <f t="shared" si="81"/>
        <v>4.2881598907217988E-2</v>
      </c>
      <c r="Z701" s="23">
        <f t="shared" si="82"/>
        <v>3.5050483103686858E-3</v>
      </c>
      <c r="AA701" s="36"/>
    </row>
    <row r="702" spans="15:27" ht="13.9" customHeight="1">
      <c r="O702" s="12">
        <f t="shared" si="76"/>
        <v>57.416666666666664</v>
      </c>
      <c r="P702" s="13">
        <v>689</v>
      </c>
      <c r="Q702" s="22">
        <v>3.8005479566443734E-2</v>
      </c>
      <c r="R702" s="19">
        <f t="shared" si="77"/>
        <v>3.7891244320406692E-2</v>
      </c>
      <c r="S702" s="22">
        <v>4.1515267055357574E-2</v>
      </c>
      <c r="T702" s="19">
        <f t="shared" si="78"/>
        <v>4.2871022284378002E-2</v>
      </c>
      <c r="U702" s="24">
        <v>4.3821798495267794E-2</v>
      </c>
      <c r="V702" s="24">
        <f t="shared" si="79"/>
        <v>4.2892408068031962E-2</v>
      </c>
      <c r="W702" s="23">
        <f t="shared" si="80"/>
        <v>3.5059453854930922E-3</v>
      </c>
      <c r="X702" s="24">
        <v>4.3326126982801361E-2</v>
      </c>
      <c r="Y702" s="24">
        <f t="shared" si="81"/>
        <v>4.2882232171954415E-2</v>
      </c>
      <c r="Z702" s="23">
        <f t="shared" si="82"/>
        <v>3.5050993634266892E-3</v>
      </c>
      <c r="AA702" s="36"/>
    </row>
    <row r="703" spans="15:27" ht="13.9" customHeight="1">
      <c r="O703" s="12">
        <f t="shared" si="76"/>
        <v>57.5</v>
      </c>
      <c r="P703" s="13">
        <v>690</v>
      </c>
      <c r="Q703" s="22">
        <v>3.8005313999018631E-2</v>
      </c>
      <c r="R703" s="19">
        <f t="shared" si="77"/>
        <v>3.7900030399449891E-2</v>
      </c>
      <c r="S703" s="22">
        <v>4.1517230642123204E-2</v>
      </c>
      <c r="T703" s="19">
        <f t="shared" si="78"/>
        <v>4.2872094031242369E-2</v>
      </c>
      <c r="U703" s="24">
        <v>4.382045095349274E-2</v>
      </c>
      <c r="V703" s="24">
        <f t="shared" si="79"/>
        <v>4.2892665917441564E-2</v>
      </c>
      <c r="W703" s="23">
        <f t="shared" si="80"/>
        <v>3.5059661122247565E-3</v>
      </c>
      <c r="X703" s="24">
        <v>4.3325483520292973E-2</v>
      </c>
      <c r="Y703" s="24">
        <f t="shared" si="81"/>
        <v>4.2882862041787817E-2</v>
      </c>
      <c r="Z703" s="23">
        <f t="shared" si="82"/>
        <v>3.5051501429379517E-3</v>
      </c>
      <c r="AA703" s="36"/>
    </row>
    <row r="704" spans="15:27" ht="13.9" customHeight="1">
      <c r="O704" s="12">
        <f t="shared" si="76"/>
        <v>57.583333333333336</v>
      </c>
      <c r="P704" s="13">
        <v>691</v>
      </c>
      <c r="Q704" s="22">
        <v>3.8005161627192807E-2</v>
      </c>
      <c r="R704" s="19">
        <f t="shared" si="77"/>
        <v>3.7908742184362687E-2</v>
      </c>
      <c r="S704" s="22">
        <v>4.1519190098252778E-2</v>
      </c>
      <c r="T704" s="19">
        <f t="shared" si="78"/>
        <v>4.2873156862538897E-2</v>
      </c>
      <c r="U704" s="24">
        <v>4.3819107687200987E-2</v>
      </c>
      <c r="V704" s="24">
        <f t="shared" si="79"/>
        <v>4.2892923150554152E-2</v>
      </c>
      <c r="W704" s="23">
        <f t="shared" si="80"/>
        <v>3.505986788166382E-3</v>
      </c>
      <c r="X704" s="24">
        <v>4.3324842832509702E-2</v>
      </c>
      <c r="Y704" s="24">
        <f t="shared" si="81"/>
        <v>4.2883488539005254E-2</v>
      </c>
      <c r="Z704" s="23">
        <f t="shared" si="82"/>
        <v>3.505200650194551E-3</v>
      </c>
      <c r="AA704" s="36"/>
    </row>
    <row r="705" spans="15:27" ht="13.9" customHeight="1">
      <c r="O705" s="12">
        <f t="shared" si="76"/>
        <v>57.666666666666664</v>
      </c>
      <c r="P705" s="13">
        <v>692</v>
      </c>
      <c r="Q705" s="22">
        <v>3.8005022286275558E-2</v>
      </c>
      <c r="R705" s="19">
        <f t="shared" si="77"/>
        <v>3.7917380315346749E-2</v>
      </c>
      <c r="S705" s="22">
        <v>4.1521145428777828E-2</v>
      </c>
      <c r="T705" s="19">
        <f t="shared" si="78"/>
        <v>4.287421085292209E-2</v>
      </c>
      <c r="U705" s="24">
        <v>4.3817768676956748E-2</v>
      </c>
      <c r="V705" s="24">
        <f t="shared" si="79"/>
        <v>4.2893179776372303E-2</v>
      </c>
      <c r="W705" s="23">
        <f t="shared" si="80"/>
        <v>3.5060074146848752E-3</v>
      </c>
      <c r="X705" s="24">
        <v>4.3324204902542629E-2</v>
      </c>
      <c r="Y705" s="24">
        <f t="shared" si="81"/>
        <v>4.2884111681256831E-2</v>
      </c>
      <c r="Z705" s="23">
        <f t="shared" si="82"/>
        <v>3.5052508869841681E-3</v>
      </c>
      <c r="AA705" s="36"/>
    </row>
    <row r="706" spans="15:27" ht="13.9" customHeight="1">
      <c r="O706" s="12">
        <f t="shared" si="76"/>
        <v>57.75</v>
      </c>
      <c r="P706" s="13">
        <v>693</v>
      </c>
      <c r="Q706" s="22">
        <v>3.8004895813453343E-2</v>
      </c>
      <c r="R706" s="19">
        <f t="shared" si="77"/>
        <v>3.792594542503358E-2</v>
      </c>
      <c r="S706" s="22">
        <v>4.1523096638808266E-2</v>
      </c>
      <c r="T706" s="19">
        <f t="shared" si="78"/>
        <v>4.2875256074077051E-2</v>
      </c>
      <c r="U706" s="24">
        <v>4.381643390344947E-2</v>
      </c>
      <c r="V706" s="24">
        <f t="shared" si="79"/>
        <v>4.2893435769988608E-2</v>
      </c>
      <c r="W706" s="23">
        <f t="shared" si="80"/>
        <v>3.5060279925023252E-3</v>
      </c>
      <c r="X706" s="24">
        <v>4.3323569713606069E-2</v>
      </c>
      <c r="Y706" s="24">
        <f t="shared" si="81"/>
        <v>4.2884731482443206E-2</v>
      </c>
      <c r="Z706" s="23">
        <f t="shared" si="82"/>
        <v>3.5053008547223374E-3</v>
      </c>
      <c r="AA706" s="36"/>
    </row>
    <row r="707" spans="15:27" ht="13.9" customHeight="1">
      <c r="O707" s="12">
        <f t="shared" si="76"/>
        <v>57.833333333333336</v>
      </c>
      <c r="P707" s="13">
        <v>694</v>
      </c>
      <c r="Q707" s="22">
        <v>3.8004782047766472E-2</v>
      </c>
      <c r="R707" s="19">
        <f t="shared" si="77"/>
        <v>3.7934438144586524E-2</v>
      </c>
      <c r="S707" s="22">
        <v>4.1525043733527944E-2</v>
      </c>
      <c r="T707" s="19">
        <f t="shared" si="78"/>
        <v>4.2876292601312649E-2</v>
      </c>
      <c r="U707" s="24">
        <v>4.3815103347444095E-2</v>
      </c>
      <c r="V707" s="24">
        <f t="shared" si="79"/>
        <v>4.2893691152450231E-2</v>
      </c>
      <c r="W707" s="23">
        <f t="shared" si="80"/>
        <v>3.5060485196212188E-3</v>
      </c>
      <c r="X707" s="24">
        <v>4.3322937249030913E-2</v>
      </c>
      <c r="Y707" s="24">
        <f t="shared" si="81"/>
        <v>4.2885347965101239E-2</v>
      </c>
      <c r="Z707" s="23">
        <f t="shared" si="82"/>
        <v>3.505350554524389E-3</v>
      </c>
      <c r="AA707" s="36"/>
    </row>
    <row r="708" spans="15:27" ht="13.9" customHeight="1">
      <c r="O708" s="12">
        <f t="shared" si="76"/>
        <v>57.916666666666664</v>
      </c>
      <c r="P708" s="13">
        <v>695</v>
      </c>
      <c r="Q708" s="22">
        <v>3.8004680830092452E-2</v>
      </c>
      <c r="R708" s="19">
        <f t="shared" si="77"/>
        <v>3.7942859093662129E-2</v>
      </c>
      <c r="S708" s="22">
        <v>4.1526986718198877E-2</v>
      </c>
      <c r="T708" s="19">
        <f t="shared" si="78"/>
        <v>4.2877320504965732E-2</v>
      </c>
      <c r="U708" s="24">
        <v>4.3813776989846565E-2</v>
      </c>
      <c r="V708" s="24">
        <f t="shared" si="79"/>
        <v>4.2893945919342702E-2</v>
      </c>
      <c r="W708" s="23">
        <f t="shared" si="80"/>
        <v>3.5060689977295389E-3</v>
      </c>
      <c r="X708" s="24">
        <v>4.3322307492276835E-2</v>
      </c>
      <c r="Y708" s="24">
        <f t="shared" si="81"/>
        <v>4.2885961143257267E-2</v>
      </c>
      <c r="Z708" s="23">
        <f t="shared" si="82"/>
        <v>3.505399988197766E-3</v>
      </c>
      <c r="AA708" s="36"/>
    </row>
    <row r="709" spans="15:27" ht="13.9" customHeight="1">
      <c r="O709" s="12">
        <f t="shared" si="76"/>
        <v>58</v>
      </c>
      <c r="P709" s="13">
        <v>696</v>
      </c>
      <c r="Q709" s="22">
        <v>3.8004592003117121E-2</v>
      </c>
      <c r="R709" s="19">
        <f t="shared" si="77"/>
        <v>3.7951208891478405E-2</v>
      </c>
      <c r="S709" s="22">
        <v>4.152892559815391E-2</v>
      </c>
      <c r="T709" s="19">
        <f t="shared" si="78"/>
        <v>4.2878339860185521E-2</v>
      </c>
      <c r="U709" s="24">
        <v>4.3812454811666512E-2</v>
      </c>
      <c r="V709" s="24">
        <f t="shared" si="79"/>
        <v>4.2894200084523826E-2</v>
      </c>
      <c r="W709" s="23">
        <f t="shared" si="80"/>
        <v>3.5060894264731246E-3</v>
      </c>
      <c r="X709" s="24">
        <v>4.332168042691853E-2</v>
      </c>
      <c r="Y709" s="24">
        <f t="shared" si="81"/>
        <v>4.2886571039826071E-2</v>
      </c>
      <c r="Z709" s="23">
        <f t="shared" si="82"/>
        <v>3.5054491568677904E-3</v>
      </c>
      <c r="AA709" s="36"/>
    </row>
    <row r="710" spans="15:27" ht="13.9" customHeight="1">
      <c r="O710" s="12">
        <f t="shared" si="76"/>
        <v>58.083333333333336</v>
      </c>
      <c r="P710" s="13">
        <v>697</v>
      </c>
      <c r="Q710" s="22">
        <v>3.8004515411320217E-2</v>
      </c>
      <c r="R710" s="19">
        <f t="shared" si="77"/>
        <v>3.7959488148485265E-2</v>
      </c>
      <c r="S710" s="22">
        <v>4.1530860378802714E-2</v>
      </c>
      <c r="T710" s="19">
        <f t="shared" si="78"/>
        <v>4.2879350734351673E-2</v>
      </c>
      <c r="U710" s="24">
        <v>4.3811136794042138E-2</v>
      </c>
      <c r="V710" s="24">
        <f t="shared" si="79"/>
        <v>4.2894453627417173E-2</v>
      </c>
      <c r="W710" s="23">
        <f t="shared" si="80"/>
        <v>3.506109806963309E-3</v>
      </c>
      <c r="X710" s="24">
        <v>4.3321056036657923E-2</v>
      </c>
      <c r="Y710" s="24">
        <f t="shared" si="81"/>
        <v>4.2887177666909082E-2</v>
      </c>
      <c r="Z710" s="23">
        <f t="shared" si="82"/>
        <v>3.5054980623721033E-3</v>
      </c>
      <c r="AA710" s="36"/>
    </row>
    <row r="711" spans="15:27" ht="13.9" customHeight="1">
      <c r="O711" s="12">
        <f t="shared" si="76"/>
        <v>58.166666666666664</v>
      </c>
      <c r="P711" s="13">
        <v>698</v>
      </c>
      <c r="Q711" s="22">
        <v>3.8004450900950504E-2</v>
      </c>
      <c r="R711" s="19">
        <f t="shared" si="77"/>
        <v>3.7967697472232498E-2</v>
      </c>
      <c r="S711" s="22">
        <v>4.1532791065620689E-2</v>
      </c>
      <c r="T711" s="19">
        <f t="shared" si="78"/>
        <v>4.2880353200508425E-2</v>
      </c>
      <c r="U711" s="24">
        <v>4.3809822918190466E-2</v>
      </c>
      <c r="V711" s="24">
        <f t="shared" si="79"/>
        <v>4.2894706558305851E-2</v>
      </c>
      <c r="W711" s="23">
        <f t="shared" si="80"/>
        <v>3.5061301375503007E-3</v>
      </c>
      <c r="X711" s="24">
        <v>4.3320434305307742E-2</v>
      </c>
      <c r="Y711" s="24">
        <f t="shared" si="81"/>
        <v>4.2887781044351314E-2</v>
      </c>
      <c r="Z711" s="23">
        <f t="shared" si="82"/>
        <v>3.5055467056814837E-3</v>
      </c>
      <c r="AA711" s="36"/>
    </row>
    <row r="712" spans="15:27" ht="13.9" customHeight="1">
      <c r="O712" s="12">
        <f t="shared" si="76"/>
        <v>58.25</v>
      </c>
      <c r="P712" s="13">
        <v>699</v>
      </c>
      <c r="Q712" s="22">
        <v>3.8004398320008459E-2</v>
      </c>
      <c r="R712" s="19">
        <f t="shared" si="77"/>
        <v>3.7975837462825623E-2</v>
      </c>
      <c r="S712" s="22">
        <v>4.1534717664156062E-2</v>
      </c>
      <c r="T712" s="19">
        <f t="shared" si="78"/>
        <v>4.2881347328984187E-2</v>
      </c>
      <c r="U712" s="24">
        <v>4.3808513165450869E-2</v>
      </c>
      <c r="V712" s="24">
        <f t="shared" si="79"/>
        <v>4.2894958894005297E-2</v>
      </c>
      <c r="W712" s="23">
        <f t="shared" si="80"/>
        <v>3.5061504190585513E-3</v>
      </c>
      <c r="X712" s="24">
        <v>4.3319815216801949E-2</v>
      </c>
      <c r="Y712" s="24">
        <f t="shared" si="81"/>
        <v>4.2888381190766989E-2</v>
      </c>
      <c r="Z712" s="23">
        <f t="shared" si="82"/>
        <v>3.5055950883879916E-3</v>
      </c>
      <c r="AA712" s="36"/>
    </row>
    <row r="713" spans="15:27" ht="13.9" customHeight="1">
      <c r="O713" s="12">
        <f t="shared" si="76"/>
        <v>58.333333333333336</v>
      </c>
      <c r="P713" s="13">
        <v>700</v>
      </c>
      <c r="Q713" s="22">
        <v>3.8004357518223397E-2</v>
      </c>
      <c r="R713" s="19">
        <f t="shared" si="77"/>
        <v>3.7983908714983805E-2</v>
      </c>
      <c r="S713" s="22">
        <v>4.1536640180025675E-2</v>
      </c>
      <c r="T713" s="19">
        <f t="shared" si="78"/>
        <v>4.2882333187743926E-2</v>
      </c>
      <c r="U713" s="24">
        <v>4.3807207517293278E-2</v>
      </c>
      <c r="V713" s="24">
        <f t="shared" si="79"/>
        <v>4.2895210608435042E-2</v>
      </c>
      <c r="W713" s="23">
        <f t="shared" si="80"/>
        <v>3.5061706528363157E-3</v>
      </c>
      <c r="X713" s="24">
        <v>4.3319198755192634E-2</v>
      </c>
      <c r="Y713" s="24">
        <f t="shared" si="81"/>
        <v>4.2888978122248567E-2</v>
      </c>
      <c r="Z713" s="23">
        <f t="shared" si="82"/>
        <v>3.5056432119842107E-3</v>
      </c>
      <c r="AA713" s="36"/>
    </row>
    <row r="714" spans="15:27" ht="13.9" customHeight="1">
      <c r="O714" s="12">
        <f t="shared" si="76"/>
        <v>58.416666666666664</v>
      </c>
      <c r="P714" s="13">
        <v>701</v>
      </c>
      <c r="Q714" s="22">
        <v>3.8004328347033045E-2</v>
      </c>
      <c r="R714" s="19">
        <f t="shared" si="77"/>
        <v>3.7991911821301461E-2</v>
      </c>
      <c r="S714" s="22">
        <v>4.1538558618911203E-2</v>
      </c>
      <c r="T714" s="19">
        <f t="shared" si="78"/>
        <v>4.2883310846979716E-2</v>
      </c>
      <c r="U714" s="24">
        <v>4.3805905955256241E-2</v>
      </c>
      <c r="V714" s="24">
        <f t="shared" si="79"/>
        <v>4.2895461731715212E-2</v>
      </c>
      <c r="W714" s="23">
        <f t="shared" si="80"/>
        <v>3.5061908367925998E-3</v>
      </c>
      <c r="X714" s="24">
        <v>4.3318584904646018E-2</v>
      </c>
      <c r="Y714" s="24">
        <f t="shared" si="81"/>
        <v>4.2889571856770781E-2</v>
      </c>
      <c r="Z714" s="23">
        <f t="shared" si="82"/>
        <v>3.5056910777613304E-3</v>
      </c>
      <c r="AA714" s="36"/>
    </row>
    <row r="715" spans="15:27" ht="13.9" customHeight="1">
      <c r="O715" s="12">
        <f t="shared" si="76"/>
        <v>58.5</v>
      </c>
      <c r="P715" s="13">
        <v>702</v>
      </c>
      <c r="Q715" s="22">
        <v>3.8004310659568885E-2</v>
      </c>
      <c r="R715" s="19">
        <f t="shared" si="77"/>
        <v>3.7999847364422745E-2</v>
      </c>
      <c r="S715" s="22">
        <v>4.1540472986561827E-2</v>
      </c>
      <c r="T715" s="19">
        <f t="shared" si="78"/>
        <v>4.288428037395775E-2</v>
      </c>
      <c r="U715" s="24">
        <v>4.3804608461026628E-2</v>
      </c>
      <c r="V715" s="24">
        <f t="shared" si="79"/>
        <v>4.2895712235729633E-2</v>
      </c>
      <c r="W715" s="23">
        <f t="shared" si="80"/>
        <v>3.5062109733428048E-3</v>
      </c>
      <c r="X715" s="24">
        <v>4.3317973649444452E-2</v>
      </c>
      <c r="Y715" s="24">
        <f t="shared" si="81"/>
        <v>4.2890162409312094E-2</v>
      </c>
      <c r="Z715" s="23">
        <f t="shared" si="82"/>
        <v>3.5057386871608642E-3</v>
      </c>
      <c r="AA715" s="36"/>
    </row>
    <row r="716" spans="15:27" ht="13.9" customHeight="1">
      <c r="O716" s="12">
        <f t="shared" si="76"/>
        <v>58.583333333333336</v>
      </c>
      <c r="P716" s="13">
        <v>703</v>
      </c>
      <c r="Q716" s="22">
        <v>3.8004304310629067E-2</v>
      </c>
      <c r="R716" s="19">
        <f t="shared" si="77"/>
        <v>3.8007715926716701E-2</v>
      </c>
      <c r="S716" s="22">
        <v>4.1542383288789564E-2</v>
      </c>
      <c r="T716" s="19">
        <f t="shared" si="78"/>
        <v>4.2885241837858246E-2</v>
      </c>
      <c r="U716" s="24">
        <v>4.380331501635526E-2</v>
      </c>
      <c r="V716" s="24">
        <f t="shared" si="79"/>
        <v>4.2895962148651989E-2</v>
      </c>
      <c r="W716" s="23">
        <f t="shared" si="80"/>
        <v>3.5062310602318458E-3</v>
      </c>
      <c r="X716" s="24">
        <v>4.3317364973980643E-2</v>
      </c>
      <c r="Y716" s="24">
        <f t="shared" si="81"/>
        <v>4.2890749801266503E-2</v>
      </c>
      <c r="Z716" s="23">
        <f t="shared" si="82"/>
        <v>3.5057860413842956E-3</v>
      </c>
      <c r="AA716" s="36"/>
    </row>
    <row r="717" spans="15:27" ht="13.9" customHeight="1">
      <c r="O717" s="12">
        <f t="shared" si="76"/>
        <v>58.666666666666664</v>
      </c>
      <c r="P717" s="13">
        <v>704</v>
      </c>
      <c r="Q717" s="22">
        <v>3.8004309156666638E-2</v>
      </c>
      <c r="R717" s="19">
        <f t="shared" si="77"/>
        <v>3.8015518079925981E-2</v>
      </c>
      <c r="S717" s="22">
        <v>4.154428953147149E-2</v>
      </c>
      <c r="T717" s="19">
        <f t="shared" si="78"/>
        <v>4.2886195305051666E-2</v>
      </c>
      <c r="U717" s="24">
        <v>4.3802025603137063E-2</v>
      </c>
      <c r="V717" s="24">
        <f t="shared" si="79"/>
        <v>4.2896211457359446E-2</v>
      </c>
      <c r="W717" s="23">
        <f t="shared" si="80"/>
        <v>3.5062510997194707E-3</v>
      </c>
      <c r="X717" s="24">
        <v>4.3316758862766758E-2</v>
      </c>
      <c r="Y717" s="24">
        <f t="shared" si="81"/>
        <v>4.2891334044684593E-2</v>
      </c>
      <c r="Z717" s="23">
        <f t="shared" si="82"/>
        <v>3.5058331421478073E-3</v>
      </c>
      <c r="AA717" s="36"/>
    </row>
    <row r="718" spans="15:27" ht="13.9" customHeight="1">
      <c r="O718" s="12">
        <f t="shared" ref="O718:O781" si="83">P718/12</f>
        <v>58.75</v>
      </c>
      <c r="P718" s="13">
        <v>705</v>
      </c>
      <c r="Q718" s="22">
        <v>3.80043250557629E-2</v>
      </c>
      <c r="R718" s="19">
        <f t="shared" ref="R718:R781" si="84">(1+Q719)^P719/(1+Q718)^P718-1</f>
        <v>3.8023254396208905E-2</v>
      </c>
      <c r="S718" s="22">
        <v>4.15461917205453E-2</v>
      </c>
      <c r="T718" s="19">
        <f t="shared" ref="T718:T781" si="85">(1+S719)^P719/(1+S718)^P718-1</f>
        <v>4.2887140841024518E-2</v>
      </c>
      <c r="U718" s="24">
        <v>4.3800740203350896E-2</v>
      </c>
      <c r="V718" s="24">
        <f t="shared" ref="V718:V781" si="86">(1+U719)^P719/(1+U718)^P718-1</f>
        <v>4.2896460163792005E-2</v>
      </c>
      <c r="W718" s="23">
        <f t="shared" si="80"/>
        <v>3.5062710907529659E-3</v>
      </c>
      <c r="X718" s="24">
        <v>4.3316155300419767E-2</v>
      </c>
      <c r="Y718" s="24">
        <f t="shared" si="81"/>
        <v>4.2891915158904892E-2</v>
      </c>
      <c r="Z718" s="23">
        <f t="shared" si="82"/>
        <v>3.5058799904175153E-3</v>
      </c>
      <c r="AA718" s="36"/>
    </row>
    <row r="719" spans="15:27" ht="13.9" customHeight="1">
      <c r="O719" s="12">
        <f t="shared" si="83"/>
        <v>58.833333333333336</v>
      </c>
      <c r="P719" s="13">
        <v>706</v>
      </c>
      <c r="Q719" s="22">
        <v>3.8004351867615638E-2</v>
      </c>
      <c r="R719" s="19">
        <f t="shared" si="84"/>
        <v>3.803092543928166E-2</v>
      </c>
      <c r="S719" s="22">
        <v>4.1548089862007753E-2</v>
      </c>
      <c r="T719" s="19">
        <f t="shared" si="85"/>
        <v>4.2888078514615069E-2</v>
      </c>
      <c r="U719" s="24">
        <v>4.3799458799080426E-2</v>
      </c>
      <c r="V719" s="24">
        <f t="shared" si="86"/>
        <v>4.2896708279308582E-2</v>
      </c>
      <c r="W719" s="23">
        <f t="shared" ref="W719:W782" si="87">(1+V718)^(1/12)-1</f>
        <v>3.506291033488429E-3</v>
      </c>
      <c r="X719" s="24">
        <v>4.3315554271671441E-2</v>
      </c>
      <c r="Y719" s="24">
        <f t="shared" ref="Y719:Y782" si="88">(1+X720)^P720/(1+X719)^P719-1</f>
        <v>4.2892493162129286E-2</v>
      </c>
      <c r="Z719" s="23">
        <f t="shared" ref="Z719:Z782" si="89">(1+Y718)^(1/12)-1</f>
        <v>3.5059265877450674E-3</v>
      </c>
      <c r="AA719" s="36"/>
    </row>
    <row r="720" spans="15:27" ht="13.9" customHeight="1">
      <c r="O720" s="12">
        <f t="shared" si="83"/>
        <v>58.916666666666664</v>
      </c>
      <c r="P720" s="13">
        <v>707</v>
      </c>
      <c r="Q720" s="22">
        <v>3.8004389453516696E-2</v>
      </c>
      <c r="R720" s="19">
        <f t="shared" si="84"/>
        <v>3.8038531768571859E-2</v>
      </c>
      <c r="S720" s="22">
        <v>4.1549983961919112E-2</v>
      </c>
      <c r="T720" s="19">
        <f t="shared" si="85"/>
        <v>4.2889008389383587E-2</v>
      </c>
      <c r="U720" s="24">
        <v>4.3798181372527223E-2</v>
      </c>
      <c r="V720" s="24">
        <f t="shared" si="86"/>
        <v>4.2896955791665414E-2</v>
      </c>
      <c r="W720" s="23">
        <f t="shared" si="87"/>
        <v>3.5063109288362426E-3</v>
      </c>
      <c r="X720" s="24">
        <v>4.3314955761365459E-2</v>
      </c>
      <c r="Y720" s="24">
        <f t="shared" si="88"/>
        <v>4.2893068069760343E-2</v>
      </c>
      <c r="Z720" s="23">
        <f t="shared" si="89"/>
        <v>3.5059729355899627E-3</v>
      </c>
      <c r="AA720" s="36"/>
    </row>
    <row r="721" spans="15:27" ht="13.9" customHeight="1">
      <c r="O721" s="12">
        <f t="shared" si="83"/>
        <v>59</v>
      </c>
      <c r="P721" s="13">
        <v>708</v>
      </c>
      <c r="Q721" s="22">
        <v>3.8004437676333547E-2</v>
      </c>
      <c r="R721" s="19">
        <f t="shared" si="84"/>
        <v>3.804607393935111E-2</v>
      </c>
      <c r="S721" s="22">
        <v>4.1551874026394708E-2</v>
      </c>
      <c r="T721" s="19">
        <f t="shared" si="85"/>
        <v>4.2889930530309206E-2</v>
      </c>
      <c r="U721" s="24">
        <v>4.3796907905975679E-2</v>
      </c>
      <c r="V721" s="24">
        <f t="shared" si="86"/>
        <v>4.2897202713566118E-2</v>
      </c>
      <c r="W721" s="23">
        <f t="shared" si="87"/>
        <v>3.5063307758149698E-3</v>
      </c>
      <c r="X721" s="24">
        <v>4.3314359754453191E-2</v>
      </c>
      <c r="Y721" s="24">
        <f t="shared" si="88"/>
        <v>4.2893639896439684E-2</v>
      </c>
      <c r="Z721" s="23">
        <f t="shared" si="89"/>
        <v>3.5060190351881015E-3</v>
      </c>
      <c r="AA721" s="36"/>
    </row>
    <row r="722" spans="15:27" ht="13.9" customHeight="1">
      <c r="O722" s="12">
        <f t="shared" si="83"/>
        <v>59.083333333333336</v>
      </c>
      <c r="P722" s="13">
        <v>709</v>
      </c>
      <c r="Q722" s="22">
        <v>3.8004496400493082E-2</v>
      </c>
      <c r="R722" s="19">
        <f t="shared" si="84"/>
        <v>3.8053552499637266E-2</v>
      </c>
      <c r="S722" s="22">
        <v>4.1553760061607159E-2</v>
      </c>
      <c r="T722" s="19">
        <f t="shared" si="85"/>
        <v>4.2890845002403699E-2</v>
      </c>
      <c r="U722" s="24">
        <v>4.3795638381828539E-2</v>
      </c>
      <c r="V722" s="24">
        <f t="shared" si="86"/>
        <v>4.2897449036988E-2</v>
      </c>
      <c r="W722" s="23">
        <f t="shared" si="87"/>
        <v>3.506350575443129E-3</v>
      </c>
      <c r="X722" s="24">
        <v>4.3313766235991258E-2</v>
      </c>
      <c r="Y722" s="24">
        <f t="shared" si="88"/>
        <v>4.2894208661463651E-2</v>
      </c>
      <c r="Z722" s="23">
        <f t="shared" si="89"/>
        <v>3.5060648877134337E-3</v>
      </c>
      <c r="AA722" s="36"/>
    </row>
    <row r="723" spans="15:27" ht="13.9" customHeight="1">
      <c r="O723" s="12">
        <f t="shared" si="83"/>
        <v>59.166666666666664</v>
      </c>
      <c r="P723" s="13">
        <v>710</v>
      </c>
      <c r="Q723" s="22">
        <v>3.8004565491960296E-2</v>
      </c>
      <c r="R723" s="19">
        <f t="shared" si="84"/>
        <v>3.8060967997457062E-2</v>
      </c>
      <c r="S723" s="22">
        <v>4.1555642073785481E-2</v>
      </c>
      <c r="T723" s="19">
        <f t="shared" si="85"/>
        <v>4.2891751869832184E-2</v>
      </c>
      <c r="U723" s="24">
        <v>4.379437278257603E-2</v>
      </c>
      <c r="V723" s="24">
        <f t="shared" si="86"/>
        <v>4.2897694771313777E-2</v>
      </c>
      <c r="W723" s="23">
        <f t="shared" si="87"/>
        <v>3.5063703270774571E-3</v>
      </c>
      <c r="X723" s="24">
        <v>4.331317519114819E-2</v>
      </c>
      <c r="Y723" s="24">
        <f t="shared" si="88"/>
        <v>4.2894774381440959E-2</v>
      </c>
      <c r="Z723" s="23">
        <f t="shared" si="89"/>
        <v>3.5061104947138322E-3</v>
      </c>
      <c r="AA723" s="36"/>
    </row>
    <row r="724" spans="15:27" ht="13.9" customHeight="1">
      <c r="O724" s="12">
        <f t="shared" si="83"/>
        <v>59.25</v>
      </c>
      <c r="P724" s="13">
        <v>711</v>
      </c>
      <c r="Q724" s="22">
        <v>3.8004644818226518E-2</v>
      </c>
      <c r="R724" s="19">
        <f t="shared" si="84"/>
        <v>3.8068320969939506E-2</v>
      </c>
      <c r="S724" s="22">
        <v>4.1557520069214204E-2</v>
      </c>
      <c r="T724" s="19">
        <f t="shared" si="85"/>
        <v>4.2892651195807652E-2</v>
      </c>
      <c r="U724" s="24">
        <v>4.3793111090820513E-2</v>
      </c>
      <c r="V724" s="24">
        <f t="shared" si="86"/>
        <v>4.2897939919229744E-2</v>
      </c>
      <c r="W724" s="23">
        <f t="shared" si="87"/>
        <v>3.5063900314704632E-3</v>
      </c>
      <c r="X724" s="24">
        <v>4.3312586605198877E-2</v>
      </c>
      <c r="Y724" s="24">
        <f t="shared" si="88"/>
        <v>4.2895337071001238E-2</v>
      </c>
      <c r="Z724" s="23">
        <f t="shared" si="89"/>
        <v>3.5061558575215646E-3</v>
      </c>
      <c r="AA724" s="36"/>
    </row>
    <row r="725" spans="15:27" ht="13.9" customHeight="1">
      <c r="O725" s="12">
        <f t="shared" si="83"/>
        <v>59.333333333333336</v>
      </c>
      <c r="P725" s="13">
        <v>712</v>
      </c>
      <c r="Q725" s="22">
        <v>3.8004734248284766E-2</v>
      </c>
      <c r="R725" s="19">
        <f t="shared" si="84"/>
        <v>3.8075611954264232E-2</v>
      </c>
      <c r="S725" s="22">
        <v>4.1559394054230703E-2</v>
      </c>
      <c r="T725" s="19">
        <f t="shared" si="85"/>
        <v>4.2893543041873095E-2</v>
      </c>
      <c r="U725" s="24">
        <v>4.3791853289265603E-2</v>
      </c>
      <c r="V725" s="24">
        <f t="shared" si="86"/>
        <v>4.2898184466532596E-2</v>
      </c>
      <c r="W725" s="23">
        <f t="shared" si="87"/>
        <v>3.5064096888377527E-3</v>
      </c>
      <c r="X725" s="24">
        <v>4.3312000463521905E-2</v>
      </c>
      <c r="Y725" s="24">
        <f t="shared" si="88"/>
        <v>4.2895896746190099E-2</v>
      </c>
      <c r="Z725" s="23">
        <f t="shared" si="89"/>
        <v>3.5062009773099145E-3</v>
      </c>
      <c r="AA725" s="36"/>
    </row>
    <row r="726" spans="15:27" ht="13.9" customHeight="1">
      <c r="O726" s="12">
        <f t="shared" si="83"/>
        <v>59.416666666666664</v>
      </c>
      <c r="P726" s="13">
        <v>713</v>
      </c>
      <c r="Q726" s="22">
        <v>3.8004833652617975E-2</v>
      </c>
      <c r="R726" s="19">
        <f t="shared" si="84"/>
        <v>3.8082841479871066E-2</v>
      </c>
      <c r="S726" s="22">
        <v>4.1561264035223422E-2</v>
      </c>
      <c r="T726" s="19">
        <f t="shared" si="85"/>
        <v>4.2894427472019769E-2</v>
      </c>
      <c r="U726" s="24">
        <v>4.3790599360692184E-2</v>
      </c>
      <c r="V726" s="24">
        <f t="shared" si="86"/>
        <v>4.2898428430295121E-2</v>
      </c>
      <c r="W726" s="23">
        <f t="shared" si="87"/>
        <v>3.5064292980397926E-3</v>
      </c>
      <c r="X726" s="24">
        <v>4.3311416751600218E-2</v>
      </c>
      <c r="Y726" s="24">
        <f t="shared" si="88"/>
        <v>4.2896453424010383E-2</v>
      </c>
      <c r="Z726" s="23">
        <f t="shared" si="89"/>
        <v>3.5062458553658526E-3</v>
      </c>
      <c r="AA726" s="36"/>
    </row>
    <row r="727" spans="15:27" ht="13.9" customHeight="1">
      <c r="O727" s="12">
        <f t="shared" si="83"/>
        <v>59.5</v>
      </c>
      <c r="P727" s="13">
        <v>714</v>
      </c>
      <c r="Q727" s="22">
        <v>3.8004942903178573E-2</v>
      </c>
      <c r="R727" s="19">
        <f t="shared" si="84"/>
        <v>3.8090010073421166E-2</v>
      </c>
      <c r="S727" s="22">
        <v>4.156313001863432E-2</v>
      </c>
      <c r="T727" s="19">
        <f t="shared" si="85"/>
        <v>4.2895304548003388E-2</v>
      </c>
      <c r="U727" s="24">
        <v>4.3789349288001711E-2</v>
      </c>
      <c r="V727" s="24">
        <f t="shared" si="86"/>
        <v>4.2898671812387157E-2</v>
      </c>
      <c r="W727" s="23">
        <f t="shared" si="87"/>
        <v>3.5064488604463762E-3</v>
      </c>
      <c r="X727" s="24">
        <v>4.331083545502179E-2</v>
      </c>
      <c r="Y727" s="24">
        <f t="shared" si="88"/>
        <v>4.2897007122530528E-2</v>
      </c>
      <c r="Z727" s="23">
        <f t="shared" si="89"/>
        <v>3.5062904930533989E-3</v>
      </c>
      <c r="AA727" s="36"/>
    </row>
    <row r="728" spans="15:27" ht="13.9" customHeight="1">
      <c r="O728" s="12">
        <f t="shared" si="83"/>
        <v>59.583333333333336</v>
      </c>
      <c r="P728" s="13">
        <v>715</v>
      </c>
      <c r="Q728" s="22">
        <v>3.8005061873373824E-2</v>
      </c>
      <c r="R728" s="19">
        <f t="shared" si="84"/>
        <v>3.8097118256368301E-2</v>
      </c>
      <c r="S728" s="22">
        <v>4.1564992010955537E-2</v>
      </c>
      <c r="T728" s="19">
        <f t="shared" si="85"/>
        <v>4.2896174329700276E-2</v>
      </c>
      <c r="U728" s="24">
        <v>4.3788103054193783E-2</v>
      </c>
      <c r="V728" s="24">
        <f t="shared" si="86"/>
        <v>4.2898914607949701E-2</v>
      </c>
      <c r="W728" s="23">
        <f t="shared" si="87"/>
        <v>3.5064683762069393E-3</v>
      </c>
      <c r="X728" s="24">
        <v>4.3310256559480953E-2</v>
      </c>
      <c r="Y728" s="24">
        <f t="shared" si="88"/>
        <v>4.2897557854289392E-2</v>
      </c>
      <c r="Z728" s="23">
        <f t="shared" si="89"/>
        <v>3.5063348918213944E-3</v>
      </c>
      <c r="AA728" s="36"/>
    </row>
    <row r="729" spans="15:27" ht="13.9" customHeight="1">
      <c r="O729" s="12">
        <f t="shared" si="83"/>
        <v>59.666666666666664</v>
      </c>
      <c r="P729" s="13">
        <v>716</v>
      </c>
      <c r="Q729" s="22">
        <v>3.8005190438048286E-2</v>
      </c>
      <c r="R729" s="19">
        <f t="shared" si="84"/>
        <v>3.8104166544991491E-2</v>
      </c>
      <c r="S729" s="22">
        <v>4.1566850018726731E-2</v>
      </c>
      <c r="T729" s="19">
        <f t="shared" si="85"/>
        <v>4.2897036879191219E-2</v>
      </c>
      <c r="U729" s="24">
        <v>4.3786860642356373E-2</v>
      </c>
      <c r="V729" s="24">
        <f t="shared" si="86"/>
        <v>4.2899156818424267E-2</v>
      </c>
      <c r="W729" s="23">
        <f t="shared" si="87"/>
        <v>3.5064878449320158E-3</v>
      </c>
      <c r="X729" s="24">
        <v>4.3309680050769295E-2</v>
      </c>
      <c r="Y729" s="24">
        <f t="shared" si="88"/>
        <v>4.2898105637532602E-2</v>
      </c>
      <c r="Z729" s="23">
        <f t="shared" si="89"/>
        <v>3.506379052675701E-3</v>
      </c>
      <c r="AA729" s="36"/>
    </row>
    <row r="730" spans="15:27" ht="13.9" customHeight="1">
      <c r="O730" s="12">
        <f t="shared" si="83"/>
        <v>59.75</v>
      </c>
      <c r="P730" s="13">
        <v>717</v>
      </c>
      <c r="Q730" s="22">
        <v>3.8005328473466715E-2</v>
      </c>
      <c r="R730" s="19">
        <f t="shared" si="84"/>
        <v>3.811115545195376E-2</v>
      </c>
      <c r="S730" s="22">
        <v>4.1568704048537075E-2</v>
      </c>
      <c r="T730" s="19">
        <f t="shared" si="85"/>
        <v>4.289789225579077E-2</v>
      </c>
      <c r="U730" s="24">
        <v>4.3785622035673599E-2</v>
      </c>
      <c r="V730" s="24">
        <f t="shared" si="86"/>
        <v>4.2899398438708269E-2</v>
      </c>
      <c r="W730" s="23">
        <f t="shared" si="87"/>
        <v>3.506507266737513E-3</v>
      </c>
      <c r="X730" s="24">
        <v>4.3309105914782986E-2</v>
      </c>
      <c r="Y730" s="24">
        <f t="shared" si="88"/>
        <v>4.2898650485588385E-2</v>
      </c>
      <c r="Z730" s="23">
        <f t="shared" si="89"/>
        <v>3.506422977080037E-3</v>
      </c>
      <c r="AA730" s="36"/>
    </row>
    <row r="731" spans="15:27" ht="13.9" customHeight="1">
      <c r="O731" s="12">
        <f t="shared" si="83"/>
        <v>59.833333333333336</v>
      </c>
      <c r="P731" s="13">
        <v>718</v>
      </c>
      <c r="Q731" s="22">
        <v>3.8005475857299187E-2</v>
      </c>
      <c r="R731" s="19">
        <f t="shared" si="84"/>
        <v>3.8118085483704212E-2</v>
      </c>
      <c r="S731" s="22">
        <v>4.1570554107022151E-2</v>
      </c>
      <c r="T731" s="19">
        <f t="shared" si="85"/>
        <v>4.2898740520202594E-2</v>
      </c>
      <c r="U731" s="24">
        <v>4.3784387217416398E-2</v>
      </c>
      <c r="V731" s="24">
        <f t="shared" si="86"/>
        <v>4.2899639491841279E-2</v>
      </c>
      <c r="W731" s="23">
        <f t="shared" si="87"/>
        <v>3.5065266412139806E-3</v>
      </c>
      <c r="X731" s="24">
        <v>4.3308534137515675E-2</v>
      </c>
      <c r="Y731" s="24">
        <f t="shared" si="88"/>
        <v>4.289919241850404E-2</v>
      </c>
      <c r="Z731" s="23">
        <f t="shared" si="89"/>
        <v>3.506466666103103E-3</v>
      </c>
      <c r="AA731" s="36"/>
    </row>
    <row r="732" spans="15:27" ht="13.9" customHeight="1">
      <c r="O732" s="12">
        <f t="shared" si="83"/>
        <v>59.916666666666664</v>
      </c>
      <c r="P732" s="13">
        <v>719</v>
      </c>
      <c r="Q732" s="22">
        <v>3.8005632468602446E-2</v>
      </c>
      <c r="R732" s="19">
        <f t="shared" si="84"/>
        <v>3.8124957145677874E-2</v>
      </c>
      <c r="S732" s="22">
        <v>4.157240020086439E-2</v>
      </c>
      <c r="T732" s="19">
        <f t="shared" si="85"/>
        <v>4.2899581731331571E-2</v>
      </c>
      <c r="U732" s="24">
        <v>4.3783156170981163E-2</v>
      </c>
      <c r="V732" s="24">
        <f t="shared" si="86"/>
        <v>4.2899879960286214E-2</v>
      </c>
      <c r="W732" s="23">
        <f t="shared" si="87"/>
        <v>3.5065459702088297E-3</v>
      </c>
      <c r="X732" s="24">
        <v>4.3307964705066704E-2</v>
      </c>
      <c r="Y732" s="24">
        <f t="shared" si="88"/>
        <v>4.2899731449417722E-2</v>
      </c>
      <c r="Z732" s="23">
        <f t="shared" si="89"/>
        <v>3.5065101213527239E-3</v>
      </c>
      <c r="AA732" s="36"/>
    </row>
    <row r="733" spans="15:27" ht="13.9" customHeight="1">
      <c r="O733" s="12">
        <f t="shared" si="83"/>
        <v>60</v>
      </c>
      <c r="P733" s="13">
        <v>720</v>
      </c>
      <c r="Q733" s="22">
        <v>3.8005798187808804E-2</v>
      </c>
      <c r="R733" s="19">
        <f t="shared" si="84"/>
        <v>3.8131770934316078E-2</v>
      </c>
      <c r="S733" s="22">
        <v>4.1574242336791079E-2</v>
      </c>
      <c r="T733" s="19">
        <f t="shared" si="85"/>
        <v>4.2900415946703241E-2</v>
      </c>
      <c r="U733" s="24">
        <v>4.3781928879831566E-2</v>
      </c>
      <c r="V733" s="24">
        <f t="shared" si="86"/>
        <v>4.2900119846628337E-2</v>
      </c>
      <c r="W733" s="23">
        <f t="shared" si="87"/>
        <v>3.506565252316074E-3</v>
      </c>
      <c r="X733" s="24">
        <v>4.3307397603630893E-2</v>
      </c>
      <c r="Y733" s="24">
        <f t="shared" si="88"/>
        <v>4.2900267591423624E-2</v>
      </c>
      <c r="Z733" s="23">
        <f t="shared" si="89"/>
        <v>3.5065533438831675E-3</v>
      </c>
      <c r="AA733" s="36"/>
    </row>
    <row r="734" spans="15:27" ht="13.9" customHeight="1">
      <c r="O734" s="12">
        <f t="shared" si="83"/>
        <v>60.083333333333336</v>
      </c>
      <c r="P734" s="13">
        <v>721</v>
      </c>
      <c r="Q734" s="22">
        <v>3.8005972896704376E-2</v>
      </c>
      <c r="R734" s="19">
        <f t="shared" si="84"/>
        <v>3.8138527345246143E-2</v>
      </c>
      <c r="S734" s="22">
        <v>4.1576080521571912E-2</v>
      </c>
      <c r="T734" s="19">
        <f t="shared" si="85"/>
        <v>4.2901243226960872E-2</v>
      </c>
      <c r="U734" s="24">
        <v>4.3780705327526981E-2</v>
      </c>
      <c r="V734" s="24">
        <f t="shared" si="86"/>
        <v>4.2900359162727053E-2</v>
      </c>
      <c r="W734" s="23">
        <f t="shared" si="87"/>
        <v>3.5065844877431029E-3</v>
      </c>
      <c r="X734" s="24">
        <v>4.3306832819497876E-2</v>
      </c>
      <c r="Y734" s="24">
        <f t="shared" si="88"/>
        <v>4.2900800864565269E-2</v>
      </c>
      <c r="Z734" s="23">
        <f t="shared" si="89"/>
        <v>3.5065963347442608E-3</v>
      </c>
      <c r="AA734" s="36"/>
    </row>
    <row r="735" spans="15:27" ht="13.9" customHeight="1">
      <c r="O735" s="12">
        <f t="shared" si="83"/>
        <v>60.166666666666664</v>
      </c>
      <c r="P735" s="13">
        <v>722</v>
      </c>
      <c r="Q735" s="22">
        <v>3.8006156478417985E-2</v>
      </c>
      <c r="R735" s="19">
        <f t="shared" si="84"/>
        <v>3.8145226868312232E-2</v>
      </c>
      <c r="S735" s="22">
        <v>4.1577914762022772E-2</v>
      </c>
      <c r="T735" s="19">
        <f t="shared" si="85"/>
        <v>4.2902063627975773E-2</v>
      </c>
      <c r="U735" s="24">
        <v>4.3779485497734694E-2</v>
      </c>
      <c r="V735" s="24">
        <f t="shared" si="86"/>
        <v>4.2900597899088844E-2</v>
      </c>
      <c r="W735" s="23">
        <f t="shared" si="87"/>
        <v>3.5066036774407117E-3</v>
      </c>
      <c r="X735" s="24">
        <v>4.3306270339061204E-2</v>
      </c>
      <c r="Y735" s="24">
        <f t="shared" si="88"/>
        <v>4.2901331281477884E-2</v>
      </c>
      <c r="Z735" s="23">
        <f t="shared" si="89"/>
        <v>3.5066390955436066E-3</v>
      </c>
      <c r="AA735" s="36"/>
    </row>
    <row r="736" spans="15:27" ht="13.9" customHeight="1">
      <c r="O736" s="12">
        <f t="shared" si="83"/>
        <v>60.25</v>
      </c>
      <c r="P736" s="13">
        <v>723</v>
      </c>
      <c r="Q736" s="22">
        <v>3.8006348817404723E-2</v>
      </c>
      <c r="R736" s="19">
        <f t="shared" si="84"/>
        <v>3.815186998917719E-2</v>
      </c>
      <c r="S736" s="22">
        <v>4.1579745064999063E-2</v>
      </c>
      <c r="T736" s="19">
        <f t="shared" si="85"/>
        <v>4.2902877208021772E-2</v>
      </c>
      <c r="U736" s="24">
        <v>4.3778269374198597E-2</v>
      </c>
      <c r="V736" s="24">
        <f t="shared" si="86"/>
        <v>4.2900836067488513E-2</v>
      </c>
      <c r="W736" s="23">
        <f t="shared" si="87"/>
        <v>3.5066228206479533E-3</v>
      </c>
      <c r="X736" s="24">
        <v>4.330571014880702E-2</v>
      </c>
      <c r="Y736" s="24">
        <f t="shared" si="88"/>
        <v>4.2901858859300201E-2</v>
      </c>
      <c r="Z736" s="23">
        <f t="shared" si="89"/>
        <v>3.5066816272948387E-3</v>
      </c>
      <c r="AA736" s="36"/>
    </row>
    <row r="737" spans="15:27" ht="13.9" customHeight="1">
      <c r="O737" s="12">
        <f t="shared" si="83"/>
        <v>60.333333333333336</v>
      </c>
      <c r="P737" s="13">
        <v>724</v>
      </c>
      <c r="Q737" s="22">
        <v>3.8006549799429967E-2</v>
      </c>
      <c r="R737" s="19">
        <f t="shared" si="84"/>
        <v>3.8158457190298867E-2</v>
      </c>
      <c r="S737" s="22">
        <v>4.1581571437398823E-2</v>
      </c>
      <c r="T737" s="19">
        <f t="shared" si="85"/>
        <v>4.2903684022903121E-2</v>
      </c>
      <c r="U737" s="24">
        <v>4.3777056940769166E-2</v>
      </c>
      <c r="V737" s="24">
        <f t="shared" si="86"/>
        <v>4.2901073653815347E-2</v>
      </c>
      <c r="W737" s="23">
        <f t="shared" si="87"/>
        <v>3.5066419183085173E-3</v>
      </c>
      <c r="X737" s="24">
        <v>4.3305152235319833E-2</v>
      </c>
      <c r="Y737" s="24">
        <f t="shared" si="88"/>
        <v>4.2902383610548434E-2</v>
      </c>
      <c r="Z737" s="23">
        <f t="shared" si="89"/>
        <v>3.506723931372413E-3</v>
      </c>
      <c r="AA737" s="36"/>
    </row>
    <row r="738" spans="15:27" ht="13.9" customHeight="1">
      <c r="O738" s="12">
        <f t="shared" si="83"/>
        <v>60.416666666666664</v>
      </c>
      <c r="P738" s="13">
        <v>725</v>
      </c>
      <c r="Q738" s="22">
        <v>3.8006759311556726E-2</v>
      </c>
      <c r="R738" s="19">
        <f t="shared" si="84"/>
        <v>3.8164988947238188E-2</v>
      </c>
      <c r="S738" s="22">
        <v>4.1583393886158948E-2</v>
      </c>
      <c r="T738" s="19">
        <f t="shared" si="85"/>
        <v>4.2904484129806297E-2</v>
      </c>
      <c r="U738" s="24">
        <v>4.3775848181366372E-2</v>
      </c>
      <c r="V738" s="24">
        <f t="shared" si="86"/>
        <v>4.2901310669470227E-2</v>
      </c>
      <c r="W738" s="23">
        <f t="shared" si="87"/>
        <v>3.5066609692915307E-3</v>
      </c>
      <c r="X738" s="24">
        <v>4.3304596585275634E-2</v>
      </c>
      <c r="Y738" s="24">
        <f t="shared" si="88"/>
        <v>4.2902905552115289E-2</v>
      </c>
      <c r="Z738" s="23">
        <f t="shared" si="89"/>
        <v>3.5067660087804153E-3</v>
      </c>
      <c r="AA738" s="36"/>
    </row>
    <row r="739" spans="15:27" ht="13.9" customHeight="1">
      <c r="O739" s="12">
        <f t="shared" si="83"/>
        <v>60.5</v>
      </c>
      <c r="P739" s="13">
        <v>726</v>
      </c>
      <c r="Q739" s="22">
        <v>3.8006977242126316E-2</v>
      </c>
      <c r="R739" s="19">
        <f t="shared" si="84"/>
        <v>3.8171465734599064E-2</v>
      </c>
      <c r="S739" s="22">
        <v>4.1585212418256523E-2</v>
      </c>
      <c r="T739" s="19">
        <f t="shared" si="85"/>
        <v>4.2905277584742718E-2</v>
      </c>
      <c r="U739" s="24">
        <v>4.3774643080014553E-2</v>
      </c>
      <c r="V739" s="24">
        <f t="shared" si="86"/>
        <v>4.2901547127443873E-2</v>
      </c>
      <c r="W739" s="23">
        <f t="shared" si="87"/>
        <v>3.5066799745107069E-3</v>
      </c>
      <c r="X739" s="24">
        <v>4.3304043185447005E-2</v>
      </c>
      <c r="Y739" s="24">
        <f t="shared" si="88"/>
        <v>4.2903424701441262E-2</v>
      </c>
      <c r="Z739" s="23">
        <f t="shared" si="89"/>
        <v>3.5068078608737618E-3</v>
      </c>
      <c r="AA739" s="36"/>
    </row>
    <row r="740" spans="15:27" ht="13.9" customHeight="1">
      <c r="O740" s="12">
        <f t="shared" si="83"/>
        <v>60.583333333333336</v>
      </c>
      <c r="P740" s="13">
        <v>727</v>
      </c>
      <c r="Q740" s="22">
        <v>3.8007203480749263E-2</v>
      </c>
      <c r="R740" s="19">
        <f t="shared" si="84"/>
        <v>3.8177888020416217E-2</v>
      </c>
      <c r="S740" s="22">
        <v>4.158702704070727E-2</v>
      </c>
      <c r="T740" s="19">
        <f t="shared" si="85"/>
        <v>4.2906064442780112E-2</v>
      </c>
      <c r="U740" s="24">
        <v>4.3773441620843956E-2</v>
      </c>
      <c r="V740" s="24">
        <f t="shared" si="86"/>
        <v>4.2901783006559224E-2</v>
      </c>
      <c r="W740" s="23">
        <f t="shared" si="87"/>
        <v>3.5066989350083233E-3</v>
      </c>
      <c r="X740" s="24">
        <v>4.3303492022703338E-2</v>
      </c>
      <c r="Y740" s="24">
        <f t="shared" si="88"/>
        <v>4.2903941068465068E-2</v>
      </c>
      <c r="Z740" s="23">
        <f t="shared" si="89"/>
        <v>3.5068494890511115E-3</v>
      </c>
      <c r="AA740" s="36"/>
    </row>
    <row r="741" spans="15:27" ht="13.9" customHeight="1">
      <c r="O741" s="12">
        <f t="shared" si="83"/>
        <v>60.666666666666664</v>
      </c>
      <c r="P741" s="13">
        <v>728</v>
      </c>
      <c r="Q741" s="22">
        <v>3.8007437918286646E-2</v>
      </c>
      <c r="R741" s="19">
        <f t="shared" si="84"/>
        <v>3.818425627001143E-2</v>
      </c>
      <c r="S741" s="22">
        <v>4.1588837760564212E-2</v>
      </c>
      <c r="T741" s="19">
        <f t="shared" si="85"/>
        <v>4.2906844758102247E-2</v>
      </c>
      <c r="U741" s="24">
        <v>4.3772243788043008E-2</v>
      </c>
      <c r="V741" s="24">
        <f t="shared" si="86"/>
        <v>4.2902018320824409E-2</v>
      </c>
      <c r="W741" s="23">
        <f t="shared" si="87"/>
        <v>3.5067178490857387E-3</v>
      </c>
      <c r="X741" s="24">
        <v>4.3302943083999956E-2</v>
      </c>
      <c r="Y741" s="24">
        <f t="shared" si="88"/>
        <v>4.2904454671680137E-2</v>
      </c>
      <c r="Z741" s="23">
        <f t="shared" si="89"/>
        <v>3.5068908941096044E-3</v>
      </c>
      <c r="AA741" s="36"/>
    </row>
    <row r="742" spans="15:27" ht="13.9" customHeight="1">
      <c r="O742" s="12">
        <f t="shared" si="83"/>
        <v>60.75</v>
      </c>
      <c r="P742" s="13">
        <v>729</v>
      </c>
      <c r="Q742" s="22">
        <v>3.8007680446838332E-2</v>
      </c>
      <c r="R742" s="19">
        <f t="shared" si="84"/>
        <v>3.8190570944528712E-2</v>
      </c>
      <c r="S742" s="22">
        <v>4.1590644584915459E-2</v>
      </c>
      <c r="T742" s="19">
        <f t="shared" si="85"/>
        <v>4.2907618586704999E-2</v>
      </c>
      <c r="U742" s="24">
        <v>4.3771049565905829E-2</v>
      </c>
      <c r="V742" s="24">
        <f t="shared" si="86"/>
        <v>4.2902253068893614E-2</v>
      </c>
      <c r="W742" s="23">
        <f t="shared" si="87"/>
        <v>3.5067367178664988E-3</v>
      </c>
      <c r="X742" s="24">
        <v>4.3302396356388995E-2</v>
      </c>
      <c r="Y742" s="24">
        <f t="shared" si="88"/>
        <v>4.2904965524968919E-2</v>
      </c>
      <c r="Z742" s="23">
        <f t="shared" si="89"/>
        <v>3.5069320775324986E-3</v>
      </c>
      <c r="AA742" s="36"/>
    </row>
    <row r="743" spans="15:27" ht="13.9" customHeight="1">
      <c r="O743" s="12">
        <f t="shared" si="83"/>
        <v>60.833333333333336</v>
      </c>
      <c r="P743" s="13">
        <v>730</v>
      </c>
      <c r="Q743" s="22">
        <v>3.8007930959728098E-2</v>
      </c>
      <c r="R743" s="19">
        <f t="shared" si="84"/>
        <v>3.8196832499166833E-2</v>
      </c>
      <c r="S743" s="22">
        <v>4.159244752088731E-2</v>
      </c>
      <c r="T743" s="19">
        <f t="shared" si="85"/>
        <v>4.2908385981962782E-2</v>
      </c>
      <c r="U743" s="24">
        <v>4.3769858938811135E-2</v>
      </c>
      <c r="V743" s="24">
        <f t="shared" si="86"/>
        <v>4.2902487256998079E-2</v>
      </c>
      <c r="W743" s="23">
        <f t="shared" si="87"/>
        <v>3.5067555412426898E-3</v>
      </c>
      <c r="X743" s="24">
        <v>4.3301851827012738E-2</v>
      </c>
      <c r="Y743" s="24">
        <f t="shared" si="88"/>
        <v>4.2905473643751968E-2</v>
      </c>
      <c r="Z743" s="23">
        <f t="shared" si="89"/>
        <v>3.5069730404333477E-3</v>
      </c>
      <c r="AA743" s="36"/>
    </row>
    <row r="744" spans="15:27" ht="13.9" customHeight="1">
      <c r="O744" s="12">
        <f t="shared" si="83"/>
        <v>60.916666666666664</v>
      </c>
      <c r="P744" s="13">
        <v>731</v>
      </c>
      <c r="Q744" s="22">
        <v>3.8008189351487864E-2</v>
      </c>
      <c r="R744" s="19">
        <f t="shared" si="84"/>
        <v>3.8203041388785497E-2</v>
      </c>
      <c r="S744" s="22">
        <v>4.1594246575639593E-2</v>
      </c>
      <c r="T744" s="19">
        <f t="shared" si="85"/>
        <v>4.2909146997348824E-2</v>
      </c>
      <c r="U744" s="24">
        <v>4.376867189123157E-2</v>
      </c>
      <c r="V744" s="24">
        <f t="shared" si="86"/>
        <v>4.2902720883277068E-2</v>
      </c>
      <c r="W744" s="23">
        <f t="shared" si="87"/>
        <v>3.5067743197141343E-3</v>
      </c>
      <c r="X744" s="24">
        <v>4.3301309483104955E-2</v>
      </c>
      <c r="Y744" s="24">
        <f t="shared" si="88"/>
        <v>4.2905979042236142E-2</v>
      </c>
      <c r="Z744" s="23">
        <f t="shared" si="89"/>
        <v>3.5070137840489402E-3</v>
      </c>
      <c r="AA744" s="36"/>
    </row>
    <row r="745" spans="15:27" ht="13.9" customHeight="1">
      <c r="O745" s="12">
        <f t="shared" si="83"/>
        <v>61</v>
      </c>
      <c r="P745" s="13">
        <v>732</v>
      </c>
      <c r="Q745" s="22">
        <v>3.8008455517848594E-2</v>
      </c>
      <c r="R745" s="19">
        <f t="shared" si="84"/>
        <v>3.8209198059999006E-2</v>
      </c>
      <c r="S745" s="22">
        <v>4.1596041756366331E-2</v>
      </c>
      <c r="T745" s="19">
        <f t="shared" si="85"/>
        <v>4.2909901685268537E-2</v>
      </c>
      <c r="U745" s="24">
        <v>4.3767488407722155E-2</v>
      </c>
      <c r="V745" s="24">
        <f t="shared" si="86"/>
        <v>4.2902953938600552E-2</v>
      </c>
      <c r="W745" s="23">
        <f t="shared" si="87"/>
        <v>3.5067930531313962E-3</v>
      </c>
      <c r="X745" s="24">
        <v>4.3300769311988452E-2</v>
      </c>
      <c r="Y745" s="24">
        <f t="shared" si="88"/>
        <v>4.2906481733206103E-2</v>
      </c>
      <c r="Z745" s="23">
        <f t="shared" si="89"/>
        <v>3.5070543095185869E-3</v>
      </c>
      <c r="AA745" s="36"/>
    </row>
    <row r="746" spans="15:27" ht="13.9" customHeight="1">
      <c r="O746" s="12">
        <f t="shared" si="83"/>
        <v>61.083333333333336</v>
      </c>
      <c r="P746" s="13">
        <v>733</v>
      </c>
      <c r="Q746" s="22">
        <v>3.8008729355720527E-2</v>
      </c>
      <c r="R746" s="19">
        <f t="shared" si="84"/>
        <v>3.8215302960385999E-2</v>
      </c>
      <c r="S746" s="22">
        <v>4.15978330702933E-2</v>
      </c>
      <c r="T746" s="19">
        <f t="shared" si="85"/>
        <v>4.2910650099544423E-2</v>
      </c>
      <c r="U746" s="24">
        <v>4.3766308472909632E-2</v>
      </c>
      <c r="V746" s="24">
        <f t="shared" si="86"/>
        <v>4.2903186438165708E-2</v>
      </c>
      <c r="W746" s="23">
        <f t="shared" si="87"/>
        <v>3.5068117407623944E-3</v>
      </c>
      <c r="X746" s="24">
        <v>4.3300231301072856E-2</v>
      </c>
      <c r="Y746" s="24">
        <f t="shared" si="88"/>
        <v>4.2906981735036265E-2</v>
      </c>
      <c r="Z746" s="23">
        <f t="shared" si="89"/>
        <v>3.5070946178681339E-3</v>
      </c>
      <c r="AA746" s="36"/>
    </row>
    <row r="747" spans="15:27" ht="13.9" customHeight="1">
      <c r="O747" s="12">
        <f t="shared" si="83"/>
        <v>61.166666666666664</v>
      </c>
      <c r="P747" s="13">
        <v>734</v>
      </c>
      <c r="Q747" s="22">
        <v>3.8009010763186968E-2</v>
      </c>
      <c r="R747" s="19">
        <f t="shared" si="84"/>
        <v>3.8221356527252004E-2</v>
      </c>
      <c r="S747" s="22">
        <v>4.1599620524680692E-2</v>
      </c>
      <c r="T747" s="19">
        <f t="shared" si="85"/>
        <v>4.2911392292275474E-2</v>
      </c>
      <c r="U747" s="24">
        <v>4.3765132071525548E-2</v>
      </c>
      <c r="V747" s="24">
        <f t="shared" si="86"/>
        <v>4.2903418387090442E-2</v>
      </c>
      <c r="W747" s="23">
        <f t="shared" si="87"/>
        <v>3.5068303838261539E-3</v>
      </c>
      <c r="X747" s="24">
        <v>4.3299695437861496E-2</v>
      </c>
      <c r="Y747" s="24">
        <f t="shared" si="88"/>
        <v>4.2907479057869402E-2</v>
      </c>
      <c r="Z747" s="23">
        <f t="shared" si="89"/>
        <v>3.5071347105706252E-3</v>
      </c>
      <c r="AA747" s="36"/>
    </row>
    <row r="748" spans="15:27" ht="13.9" customHeight="1">
      <c r="O748" s="12">
        <f t="shared" si="83"/>
        <v>61.25</v>
      </c>
      <c r="P748" s="13">
        <v>735</v>
      </c>
      <c r="Q748" s="22">
        <v>3.8009299639481853E-2</v>
      </c>
      <c r="R748" s="19">
        <f t="shared" si="84"/>
        <v>3.8227359201891131E-2</v>
      </c>
      <c r="S748" s="22">
        <v>4.1601404126819563E-2</v>
      </c>
      <c r="T748" s="19">
        <f t="shared" si="85"/>
        <v>4.2912128314616993E-2</v>
      </c>
      <c r="U748" s="24">
        <v>4.3763959188391377E-2</v>
      </c>
      <c r="V748" s="24">
        <f t="shared" si="86"/>
        <v>4.2903649765790863E-2</v>
      </c>
      <c r="W748" s="23">
        <f t="shared" si="87"/>
        <v>3.5068489827325688E-3</v>
      </c>
      <c r="X748" s="24">
        <v>4.3299161709939415E-2</v>
      </c>
      <c r="Y748" s="24">
        <f t="shared" si="88"/>
        <v>4.290797372006816E-2</v>
      </c>
      <c r="Z748" s="23">
        <f t="shared" si="89"/>
        <v>3.5071745884402983E-3</v>
      </c>
      <c r="AA748" s="36"/>
    </row>
    <row r="749" spans="15:27" ht="13.9" customHeight="1">
      <c r="O749" s="12">
        <f t="shared" si="83"/>
        <v>61.333333333333336</v>
      </c>
      <c r="P749" s="13">
        <v>736</v>
      </c>
      <c r="Q749" s="22">
        <v>3.8009595884987757E-2</v>
      </c>
      <c r="R749" s="19">
        <f t="shared" si="84"/>
        <v>3.8233311414835658E-2</v>
      </c>
      <c r="S749" s="22">
        <v>4.1603183884030726E-2</v>
      </c>
      <c r="T749" s="19">
        <f t="shared" si="85"/>
        <v>4.2912858218324912E-2</v>
      </c>
      <c r="U749" s="24">
        <v>4.376278980838455E-2</v>
      </c>
      <c r="V749" s="24">
        <f t="shared" si="86"/>
        <v>4.2903880598142541E-2</v>
      </c>
      <c r="W749" s="23">
        <f t="shared" si="87"/>
        <v>3.506867535911784E-3</v>
      </c>
      <c r="X749" s="24">
        <v>4.3298630104984248E-2</v>
      </c>
      <c r="Y749" s="24">
        <f t="shared" si="88"/>
        <v>4.2908465732856449E-2</v>
      </c>
      <c r="Z749" s="23">
        <f t="shared" si="89"/>
        <v>3.5072142529493089E-3</v>
      </c>
      <c r="AA749" s="36"/>
    </row>
    <row r="750" spans="15:27" ht="13.9" customHeight="1">
      <c r="O750" s="12">
        <f t="shared" si="83"/>
        <v>61.416666666666664</v>
      </c>
      <c r="P750" s="13">
        <v>737</v>
      </c>
      <c r="Q750" s="22">
        <v>3.8009899401213021E-2</v>
      </c>
      <c r="R750" s="19">
        <f t="shared" si="84"/>
        <v>3.8239213596131361E-2</v>
      </c>
      <c r="S750" s="22">
        <v>4.1604959803665631E-2</v>
      </c>
      <c r="T750" s="19">
        <f t="shared" si="85"/>
        <v>4.291358205403184E-2</v>
      </c>
      <c r="U750" s="24">
        <v>4.376162391649685E-2</v>
      </c>
      <c r="V750" s="24">
        <f t="shared" si="86"/>
        <v>4.2904110863679845E-2</v>
      </c>
      <c r="W750" s="23">
        <f t="shared" si="87"/>
        <v>3.5068860452778239E-3</v>
      </c>
      <c r="X750" s="24">
        <v>4.3298100610755563E-2</v>
      </c>
      <c r="Y750" s="24">
        <f t="shared" si="88"/>
        <v>4.2908955111704783E-2</v>
      </c>
      <c r="Z750" s="23">
        <f t="shared" si="89"/>
        <v>3.5072537049980479E-3</v>
      </c>
      <c r="AA750" s="36"/>
    </row>
    <row r="751" spans="15:27" ht="13.9" customHeight="1">
      <c r="O751" s="12">
        <f t="shared" si="83"/>
        <v>61.5</v>
      </c>
      <c r="P751" s="13">
        <v>738</v>
      </c>
      <c r="Q751" s="22">
        <v>3.8010210090783758E-2</v>
      </c>
      <c r="R751" s="19">
        <f t="shared" si="84"/>
        <v>3.824506617250556E-2</v>
      </c>
      <c r="S751" s="22">
        <v>4.1606731893104376E-2</v>
      </c>
      <c r="T751" s="19">
        <f t="shared" si="85"/>
        <v>4.2914299873919814E-2</v>
      </c>
      <c r="U751" s="24">
        <v>4.3760461497774017E-2</v>
      </c>
      <c r="V751" s="24">
        <f t="shared" si="86"/>
        <v>4.2904340596295887E-2</v>
      </c>
      <c r="W751" s="23">
        <f t="shared" si="87"/>
        <v>3.5069045091902229E-3</v>
      </c>
      <c r="X751" s="24">
        <v>4.3297573215100416E-2</v>
      </c>
      <c r="Y751" s="24">
        <f t="shared" si="88"/>
        <v>4.2909441872250875E-2</v>
      </c>
      <c r="Z751" s="23">
        <f t="shared" si="89"/>
        <v>3.5072929458275226E-3</v>
      </c>
      <c r="AA751" s="36"/>
    </row>
    <row r="752" spans="15:27" ht="13.9" customHeight="1">
      <c r="O752" s="12">
        <f t="shared" si="83"/>
        <v>61.583333333333336</v>
      </c>
      <c r="P752" s="13">
        <v>739</v>
      </c>
      <c r="Q752" s="22">
        <v>3.8010527857431864E-2</v>
      </c>
      <c r="R752" s="19">
        <f t="shared" si="84"/>
        <v>3.8250869564600665E-2</v>
      </c>
      <c r="S752" s="22">
        <v>4.1608500159757478E-2</v>
      </c>
      <c r="T752" s="19">
        <f t="shared" si="85"/>
        <v>4.2915011725291885E-2</v>
      </c>
      <c r="U752" s="24">
        <v>4.3759302537388356E-2</v>
      </c>
      <c r="V752" s="24">
        <f t="shared" si="86"/>
        <v>4.2904569757851174E-2</v>
      </c>
      <c r="W752" s="23">
        <f t="shared" si="87"/>
        <v>3.5069229303661409E-3</v>
      </c>
      <c r="X752" s="24">
        <v>4.3297047905952901E-2</v>
      </c>
      <c r="Y752" s="24">
        <f t="shared" si="88"/>
        <v>4.2909926025551659E-2</v>
      </c>
      <c r="Z752" s="23">
        <f t="shared" si="89"/>
        <v>3.5073319766916189E-3</v>
      </c>
      <c r="AA752" s="36"/>
    </row>
    <row r="753" spans="15:27" ht="13.9" customHeight="1">
      <c r="O753" s="12">
        <f t="shared" si="83"/>
        <v>61.666666666666664</v>
      </c>
      <c r="P753" s="13">
        <v>740</v>
      </c>
      <c r="Q753" s="22">
        <v>3.8010852605978585E-2</v>
      </c>
      <c r="R753" s="19">
        <f t="shared" si="84"/>
        <v>3.8256624193145461E-2</v>
      </c>
      <c r="S753" s="22">
        <v>4.1610264611059433E-2</v>
      </c>
      <c r="T753" s="19">
        <f t="shared" si="85"/>
        <v>4.2915717659796293E-2</v>
      </c>
      <c r="U753" s="24">
        <v>4.3758147020541038E-2</v>
      </c>
      <c r="V753" s="24">
        <f t="shared" si="86"/>
        <v>4.2904798373976538E-2</v>
      </c>
      <c r="W753" s="23">
        <f t="shared" si="87"/>
        <v>3.5069413057480237E-3</v>
      </c>
      <c r="X753" s="24">
        <v>4.3296524671327052E-2</v>
      </c>
      <c r="Y753" s="24">
        <f t="shared" si="88"/>
        <v>4.2910407586722155E-2</v>
      </c>
      <c r="Z753" s="23">
        <f t="shared" si="89"/>
        <v>3.507370798477627E-3</v>
      </c>
      <c r="AA753" s="36"/>
    </row>
    <row r="754" spans="15:27" ht="13.9" customHeight="1">
      <c r="O754" s="12">
        <f t="shared" si="83"/>
        <v>61.75</v>
      </c>
      <c r="P754" s="13">
        <v>741</v>
      </c>
      <c r="Q754" s="22">
        <v>3.80111842423283E-2</v>
      </c>
      <c r="R754" s="19">
        <f t="shared" si="84"/>
        <v>3.8262330469724937E-2</v>
      </c>
      <c r="S754" s="22">
        <v>4.161202525447405E-2</v>
      </c>
      <c r="T754" s="19">
        <f t="shared" si="85"/>
        <v>4.2916417726151401E-2</v>
      </c>
      <c r="U754" s="24">
        <v>4.3756994932547588E-2</v>
      </c>
      <c r="V754" s="24">
        <f t="shared" si="86"/>
        <v>4.2905026446192984E-2</v>
      </c>
      <c r="W754" s="23">
        <f t="shared" si="87"/>
        <v>3.5069596373904499E-3</v>
      </c>
      <c r="X754" s="24">
        <v>4.3296003499322389E-2</v>
      </c>
      <c r="Y754" s="24">
        <f t="shared" si="88"/>
        <v>4.291088657174047E-2</v>
      </c>
      <c r="Z754" s="23">
        <f t="shared" si="89"/>
        <v>3.5074094123972444E-3</v>
      </c>
      <c r="AA754" s="36"/>
    </row>
    <row r="755" spans="15:27" ht="13.9" customHeight="1">
      <c r="O755" s="12">
        <f t="shared" si="83"/>
        <v>61.833333333333336</v>
      </c>
      <c r="P755" s="13">
        <v>742</v>
      </c>
      <c r="Q755" s="22">
        <v>3.8011522673448095E-2</v>
      </c>
      <c r="R755" s="19">
        <f t="shared" si="84"/>
        <v>3.8267988807743958E-2</v>
      </c>
      <c r="S755" s="22">
        <v>4.161378209749067E-2</v>
      </c>
      <c r="T755" s="19">
        <f t="shared" si="85"/>
        <v>4.2917111973170385E-2</v>
      </c>
      <c r="U755" s="24">
        <v>4.3755846258804798E-2</v>
      </c>
      <c r="V755" s="24">
        <f t="shared" si="86"/>
        <v>4.2905253963716472E-2</v>
      </c>
      <c r="W755" s="23">
        <f t="shared" si="87"/>
        <v>3.5069779254159883E-3</v>
      </c>
      <c r="X755" s="24">
        <v>4.3295484378123916E-2</v>
      </c>
      <c r="Y755" s="24">
        <f t="shared" si="88"/>
        <v>4.2911362990621038E-2</v>
      </c>
      <c r="Z755" s="23">
        <f t="shared" si="89"/>
        <v>3.5074478197323344E-3</v>
      </c>
      <c r="AA755" s="36"/>
    </row>
    <row r="756" spans="15:27" ht="13.9" customHeight="1">
      <c r="O756" s="12">
        <f t="shared" si="83"/>
        <v>61.916666666666664</v>
      </c>
      <c r="P756" s="13">
        <v>743</v>
      </c>
      <c r="Q756" s="22">
        <v>3.801186780736332E-2</v>
      </c>
      <c r="R756" s="19">
        <f t="shared" si="84"/>
        <v>3.8273599614444542E-2</v>
      </c>
      <c r="S756" s="22">
        <v>4.1615535147623728E-2</v>
      </c>
      <c r="T756" s="19">
        <f t="shared" si="85"/>
        <v>4.291780044964888E-2</v>
      </c>
      <c r="U756" s="24">
        <v>4.3754700984773853E-2</v>
      </c>
      <c r="V756" s="24">
        <f t="shared" si="86"/>
        <v>4.2905480941068719E-2</v>
      </c>
      <c r="W756" s="23">
        <f t="shared" si="87"/>
        <v>3.506996168959553E-3</v>
      </c>
      <c r="X756" s="24">
        <v>4.3294967295993692E-2</v>
      </c>
      <c r="Y756" s="24">
        <f t="shared" si="88"/>
        <v>4.2911836861599717E-2</v>
      </c>
      <c r="Z756" s="23">
        <f t="shared" si="89"/>
        <v>3.5074860212860326E-3</v>
      </c>
      <c r="AA756" s="36"/>
    </row>
    <row r="757" spans="15:27" ht="13.9" customHeight="1">
      <c r="O757" s="12">
        <f t="shared" si="83"/>
        <v>62</v>
      </c>
      <c r="P757" s="13">
        <v>744</v>
      </c>
      <c r="Q757" s="22">
        <v>3.8012219553142268E-2</v>
      </c>
      <c r="R757" s="19">
        <f t="shared" si="84"/>
        <v>3.8279163293172269E-2</v>
      </c>
      <c r="S757" s="22">
        <v>4.1617284412412969E-2</v>
      </c>
      <c r="T757" s="19">
        <f t="shared" si="85"/>
        <v>4.2918483202568414E-2</v>
      </c>
      <c r="U757" s="24">
        <v>4.3753559096013417E-2</v>
      </c>
      <c r="V757" s="24">
        <f t="shared" si="86"/>
        <v>4.2905707362629109E-2</v>
      </c>
      <c r="W757" s="23">
        <f t="shared" si="87"/>
        <v>3.507014369185768E-3</v>
      </c>
      <c r="X757" s="24">
        <v>4.32944522412817E-2</v>
      </c>
      <c r="Y757" s="24">
        <f t="shared" si="88"/>
        <v>4.2912308193529203E-2</v>
      </c>
      <c r="Z757" s="23">
        <f t="shared" si="89"/>
        <v>3.5075240185207246E-3</v>
      </c>
      <c r="AA757" s="36"/>
    </row>
    <row r="758" spans="15:27" ht="13.9" customHeight="1">
      <c r="O758" s="12">
        <f t="shared" si="83"/>
        <v>62.083333333333336</v>
      </c>
      <c r="P758" s="13">
        <v>745</v>
      </c>
      <c r="Q758" s="22">
        <v>3.801257782088352E-2</v>
      </c>
      <c r="R758" s="19">
        <f t="shared" si="84"/>
        <v>3.8284680245872504E-2</v>
      </c>
      <c r="S758" s="22">
        <v>4.1619029899420568E-2</v>
      </c>
      <c r="T758" s="19">
        <f t="shared" si="85"/>
        <v>4.2919160281029267E-2</v>
      </c>
      <c r="U758" s="24">
        <v>4.3752420578138551E-2</v>
      </c>
      <c r="V758" s="24">
        <f t="shared" si="86"/>
        <v>4.2905933248622352E-2</v>
      </c>
      <c r="W758" s="23">
        <f t="shared" si="87"/>
        <v>3.5070325248420797E-3</v>
      </c>
      <c r="X758" s="24">
        <v>4.3293939202412091E-2</v>
      </c>
      <c r="Y758" s="24">
        <f t="shared" si="88"/>
        <v>4.2912777003744962E-2</v>
      </c>
      <c r="Z758" s="23">
        <f t="shared" si="89"/>
        <v>3.5075618121469532E-3</v>
      </c>
      <c r="AA758" s="36"/>
    </row>
    <row r="759" spans="15:27" ht="13.9" customHeight="1">
      <c r="O759" s="12">
        <f t="shared" si="83"/>
        <v>62.166666666666664</v>
      </c>
      <c r="P759" s="13">
        <v>746</v>
      </c>
      <c r="Q759" s="22">
        <v>3.8012942521707727E-2</v>
      </c>
      <c r="R759" s="19">
        <f t="shared" si="84"/>
        <v>3.8290150867118289E-2</v>
      </c>
      <c r="S759" s="22">
        <v>4.1620771616233787E-2</v>
      </c>
      <c r="T759" s="19">
        <f t="shared" si="85"/>
        <v>4.2919831731636382E-2</v>
      </c>
      <c r="U759" s="24">
        <v>4.3751285416869123E-2</v>
      </c>
      <c r="V759" s="24">
        <f t="shared" si="86"/>
        <v>4.2906158590748866E-2</v>
      </c>
      <c r="W759" s="23">
        <f t="shared" si="87"/>
        <v>3.5070506375500798E-3</v>
      </c>
      <c r="X759" s="24">
        <v>4.3293428167894499E-2</v>
      </c>
      <c r="Y759" s="24">
        <f t="shared" si="88"/>
        <v>4.2913243305149562E-2</v>
      </c>
      <c r="Z759" s="23">
        <f t="shared" si="89"/>
        <v>3.5075994035544955E-3</v>
      </c>
      <c r="AA759" s="36"/>
    </row>
    <row r="760" spans="15:27" ht="13.9" customHeight="1">
      <c r="O760" s="12">
        <f t="shared" si="83"/>
        <v>62.25</v>
      </c>
      <c r="P760" s="13">
        <v>747</v>
      </c>
      <c r="Q760" s="22">
        <v>3.8013313567740292E-2</v>
      </c>
      <c r="R760" s="19">
        <f t="shared" si="84"/>
        <v>3.829557555313734E-2</v>
      </c>
      <c r="S760" s="22">
        <v>4.1622509570461652E-2</v>
      </c>
      <c r="T760" s="19">
        <f t="shared" si="85"/>
        <v>4.2920497600436258E-2</v>
      </c>
      <c r="U760" s="24">
        <v>4.375015359799006E-2</v>
      </c>
      <c r="V760" s="24">
        <f t="shared" si="86"/>
        <v>4.2906383388548575E-2</v>
      </c>
      <c r="W760" s="23">
        <f t="shared" si="87"/>
        <v>3.5070687066445227E-3</v>
      </c>
      <c r="X760" s="24">
        <v>4.3292919126317386E-2</v>
      </c>
      <c r="Y760" s="24">
        <f t="shared" si="88"/>
        <v>4.2913707108175991E-2</v>
      </c>
      <c r="Z760" s="23">
        <f t="shared" si="89"/>
        <v>3.5076367937783015E-3</v>
      </c>
      <c r="AA760" s="36"/>
    </row>
    <row r="761" spans="15:27" ht="13.9" customHeight="1">
      <c r="O761" s="12">
        <f t="shared" si="83"/>
        <v>62.333333333333336</v>
      </c>
      <c r="P761" s="13">
        <v>748</v>
      </c>
      <c r="Q761" s="22">
        <v>3.8013690872107375E-2</v>
      </c>
      <c r="R761" s="19">
        <f t="shared" si="84"/>
        <v>3.8300954692852995E-2</v>
      </c>
      <c r="S761" s="22">
        <v>4.1624243769734059E-2</v>
      </c>
      <c r="T761" s="19">
        <f t="shared" si="85"/>
        <v>4.2921157935934984E-2</v>
      </c>
      <c r="U761" s="24">
        <v>4.3749025107361783E-2</v>
      </c>
      <c r="V761" s="24">
        <f t="shared" si="86"/>
        <v>4.2906607651060469E-2</v>
      </c>
      <c r="W761" s="23">
        <f t="shared" si="87"/>
        <v>3.507086732088549E-3</v>
      </c>
      <c r="X761" s="24">
        <v>4.3292412066344266E-2</v>
      </c>
      <c r="Y761" s="24">
        <f t="shared" si="88"/>
        <v>4.2914168432264033E-2</v>
      </c>
      <c r="Z761" s="23">
        <f t="shared" si="89"/>
        <v>3.5076739836554793E-3</v>
      </c>
      <c r="AA761" s="36"/>
    </row>
    <row r="762" spans="15:27" ht="13.9" customHeight="1">
      <c r="O762" s="12">
        <f t="shared" si="83"/>
        <v>62.416666666666664</v>
      </c>
      <c r="P762" s="13">
        <v>749</v>
      </c>
      <c r="Q762" s="22">
        <v>3.8014074348919014E-2</v>
      </c>
      <c r="R762" s="19">
        <f t="shared" si="84"/>
        <v>3.8306288673252586E-2</v>
      </c>
      <c r="S762" s="22">
        <v>4.1625974221704665E-2</v>
      </c>
      <c r="T762" s="19">
        <f t="shared" si="85"/>
        <v>4.2921812781192337E-2</v>
      </c>
      <c r="U762" s="24">
        <v>4.3747899930932199E-2</v>
      </c>
      <c r="V762" s="24">
        <f t="shared" si="86"/>
        <v>4.2906831369633247E-2</v>
      </c>
      <c r="W762" s="23">
        <f t="shared" si="87"/>
        <v>3.5071047146069123E-3</v>
      </c>
      <c r="X762" s="24">
        <v>4.3291906976725025E-2</v>
      </c>
      <c r="Y762" s="24">
        <f t="shared" si="88"/>
        <v>4.2914627283653584E-2</v>
      </c>
      <c r="Z762" s="23">
        <f t="shared" si="89"/>
        <v>3.5077109747447821E-3</v>
      </c>
      <c r="AA762" s="36"/>
    </row>
    <row r="763" spans="15:27" ht="13.9" customHeight="1">
      <c r="O763" s="12">
        <f t="shared" si="83"/>
        <v>62.5</v>
      </c>
      <c r="P763" s="13">
        <v>750</v>
      </c>
      <c r="Q763" s="22">
        <v>3.8014463913260021E-2</v>
      </c>
      <c r="R763" s="19">
        <f t="shared" si="84"/>
        <v>3.8311577877002456E-2</v>
      </c>
      <c r="S763" s="22">
        <v>4.1627700934043999E-2</v>
      </c>
      <c r="T763" s="19">
        <f t="shared" si="85"/>
        <v>4.2922462184951549E-2</v>
      </c>
      <c r="U763" s="24">
        <v>4.3746778054712943E-2</v>
      </c>
      <c r="V763" s="24">
        <f t="shared" si="86"/>
        <v>4.2907054553973811E-2</v>
      </c>
      <c r="W763" s="23">
        <f t="shared" si="87"/>
        <v>3.5071226535059452E-3</v>
      </c>
      <c r="X763" s="24">
        <v>4.3291403846277943E-2</v>
      </c>
      <c r="Y763" s="24">
        <f t="shared" si="88"/>
        <v>4.2915083680653554E-2</v>
      </c>
      <c r="Z763" s="23">
        <f t="shared" si="89"/>
        <v>3.5077477675469204E-3</v>
      </c>
      <c r="AA763" s="36"/>
    </row>
    <row r="764" spans="15:27" ht="13.9" customHeight="1">
      <c r="O764" s="12">
        <f t="shared" si="83"/>
        <v>62.583333333333336</v>
      </c>
      <c r="P764" s="13">
        <v>751</v>
      </c>
      <c r="Q764" s="22">
        <v>3.801485948117822E-2</v>
      </c>
      <c r="R764" s="19">
        <f t="shared" si="84"/>
        <v>3.8316822685143803E-2</v>
      </c>
      <c r="S764" s="22">
        <v>4.1629423914446129E-2</v>
      </c>
      <c r="T764" s="19">
        <f t="shared" si="85"/>
        <v>4.2923106190869253E-2</v>
      </c>
      <c r="U764" s="24">
        <v>4.3745659464802911E-2</v>
      </c>
      <c r="V764" s="24">
        <f t="shared" si="86"/>
        <v>4.2907277202908434E-2</v>
      </c>
      <c r="W764" s="23">
        <f t="shared" si="87"/>
        <v>3.5071405495639141E-3</v>
      </c>
      <c r="X764" s="24">
        <v>4.3290902663905451E-2</v>
      </c>
      <c r="Y764" s="24">
        <f t="shared" si="88"/>
        <v>4.2915537635710654E-2</v>
      </c>
      <c r="Z764" s="23">
        <f t="shared" si="89"/>
        <v>3.5077843635300532E-3</v>
      </c>
      <c r="AA764" s="36"/>
    </row>
    <row r="765" spans="15:27" ht="13.9" customHeight="1">
      <c r="O765" s="12">
        <f t="shared" si="83"/>
        <v>62.666666666666664</v>
      </c>
      <c r="P765" s="13">
        <v>752</v>
      </c>
      <c r="Q765" s="22">
        <v>3.8015260969675113E-2</v>
      </c>
      <c r="R765" s="19">
        <f t="shared" si="84"/>
        <v>3.8322023475189537E-2</v>
      </c>
      <c r="S765" s="22">
        <v>4.1631143170622442E-2</v>
      </c>
      <c r="T765" s="19">
        <f t="shared" si="85"/>
        <v>4.2923744843438527E-2</v>
      </c>
      <c r="U765" s="24">
        <v>4.374454414737361E-2</v>
      </c>
      <c r="V765" s="24">
        <f t="shared" si="86"/>
        <v>4.2907499308799668E-2</v>
      </c>
      <c r="W765" s="23">
        <f t="shared" si="87"/>
        <v>3.507158402686894E-3</v>
      </c>
      <c r="X765" s="24">
        <v>4.3290403418585255E-2</v>
      </c>
      <c r="Y765" s="24">
        <f t="shared" si="88"/>
        <v>4.2915989158324841E-2</v>
      </c>
      <c r="Z765" s="23">
        <f t="shared" si="89"/>
        <v>3.507820763692493E-3</v>
      </c>
      <c r="AA765" s="36"/>
    </row>
    <row r="766" spans="15:27" ht="13.9" customHeight="1">
      <c r="O766" s="12">
        <f t="shared" si="83"/>
        <v>62.75</v>
      </c>
      <c r="P766" s="13">
        <v>753</v>
      </c>
      <c r="Q766" s="22">
        <v>3.8015668296695226E-2</v>
      </c>
      <c r="R766" s="19">
        <f t="shared" si="84"/>
        <v>3.8327180618318302E-2</v>
      </c>
      <c r="S766" s="22">
        <v>4.1632858710302312E-2</v>
      </c>
      <c r="T766" s="19">
        <f t="shared" si="85"/>
        <v>4.2924378189115098E-2</v>
      </c>
      <c r="U766" s="24">
        <v>4.3743432088659606E-2</v>
      </c>
      <c r="V766" s="24">
        <f t="shared" si="86"/>
        <v>4.2907720892140233E-2</v>
      </c>
      <c r="W766" s="23">
        <f t="shared" si="87"/>
        <v>3.5071762122622641E-3</v>
      </c>
      <c r="X766" s="24">
        <v>4.328990609936656E-2</v>
      </c>
      <c r="Y766" s="24">
        <f t="shared" si="88"/>
        <v>4.2916438267012191E-2</v>
      </c>
      <c r="Z766" s="23">
        <f t="shared" si="89"/>
        <v>3.5078569687962968E-3</v>
      </c>
      <c r="AA766" s="36"/>
    </row>
    <row r="767" spans="15:27" ht="13.9" customHeight="1">
      <c r="O767" s="12">
        <f t="shared" si="83"/>
        <v>62.833333333333336</v>
      </c>
      <c r="P767" s="13">
        <v>754</v>
      </c>
      <c r="Q767" s="22">
        <v>3.8016081381111677E-2</v>
      </c>
      <c r="R767" s="19">
        <f t="shared" si="84"/>
        <v>3.8332294486867591E-2</v>
      </c>
      <c r="S767" s="22">
        <v>4.163457054123576E-2</v>
      </c>
      <c r="T767" s="19">
        <f t="shared" si="85"/>
        <v>4.2925006269460608E-2</v>
      </c>
      <c r="U767" s="24">
        <v>4.3742323274995831E-2</v>
      </c>
      <c r="V767" s="24">
        <f t="shared" si="86"/>
        <v>4.2907941933965521E-2</v>
      </c>
      <c r="W767" s="23">
        <f t="shared" si="87"/>
        <v>3.5071939799333762E-3</v>
      </c>
      <c r="X767" s="24">
        <v>4.328941069538117E-2</v>
      </c>
      <c r="Y767" s="24">
        <f t="shared" si="88"/>
        <v>4.2916884969790958E-2</v>
      </c>
      <c r="Z767" s="23">
        <f t="shared" si="89"/>
        <v>3.5078929803264991E-3</v>
      </c>
      <c r="AA767" s="36"/>
    </row>
    <row r="768" spans="15:27" ht="13.9" customHeight="1">
      <c r="O768" s="12">
        <f t="shared" si="83"/>
        <v>62.916666666666664</v>
      </c>
      <c r="P768" s="13">
        <v>755</v>
      </c>
      <c r="Q768" s="22">
        <v>3.8016500142720844E-2</v>
      </c>
      <c r="R768" s="19">
        <f t="shared" si="84"/>
        <v>3.8337365446363902E-2</v>
      </c>
      <c r="S768" s="22">
        <v>4.1636278671186577E-2</v>
      </c>
      <c r="T768" s="19">
        <f t="shared" si="85"/>
        <v>4.2925629131146392E-2</v>
      </c>
      <c r="U768" s="24">
        <v>4.3741217692764733E-2</v>
      </c>
      <c r="V768" s="24">
        <f t="shared" si="86"/>
        <v>4.2908162449993403E-2</v>
      </c>
      <c r="W768" s="23">
        <f t="shared" si="87"/>
        <v>3.5072117041798911E-3</v>
      </c>
      <c r="X768" s="24">
        <v>4.3288917195829058E-2</v>
      </c>
      <c r="Y768" s="24">
        <f t="shared" si="88"/>
        <v>4.2917329283087557E-2</v>
      </c>
      <c r="Z768" s="23">
        <f t="shared" si="89"/>
        <v>3.507928798926141E-3</v>
      </c>
      <c r="AA768" s="36"/>
    </row>
    <row r="769" spans="15:27" ht="13.9" customHeight="1">
      <c r="O769" s="12">
        <f t="shared" si="83"/>
        <v>63</v>
      </c>
      <c r="P769" s="13">
        <v>756</v>
      </c>
      <c r="Q769" s="22">
        <v>3.8016924502228155E-2</v>
      </c>
      <c r="R769" s="19">
        <f t="shared" si="84"/>
        <v>3.8342393863437296E-2</v>
      </c>
      <c r="S769" s="22">
        <v>4.1637983107939203E-2</v>
      </c>
      <c r="T769" s="19">
        <f t="shared" si="85"/>
        <v>4.2926246815231162E-2</v>
      </c>
      <c r="U769" s="24">
        <v>4.3740115328441354E-2</v>
      </c>
      <c r="V769" s="24">
        <f t="shared" si="86"/>
        <v>4.2908382435116854E-2</v>
      </c>
      <c r="W769" s="23">
        <f t="shared" si="87"/>
        <v>3.5072293862616899E-3</v>
      </c>
      <c r="X769" s="24">
        <v>4.3288425589989021E-2</v>
      </c>
      <c r="Y769" s="24">
        <f t="shared" si="88"/>
        <v>4.2917771218537126E-2</v>
      </c>
      <c r="Z769" s="23">
        <f t="shared" si="89"/>
        <v>3.507964425912613E-3</v>
      </c>
      <c r="AA769" s="36"/>
    </row>
    <row r="770" spans="15:27" ht="13.9" customHeight="1">
      <c r="O770" s="12">
        <f t="shared" si="83"/>
        <v>63.083333333333336</v>
      </c>
      <c r="P770" s="13">
        <v>757</v>
      </c>
      <c r="Q770" s="22">
        <v>3.8017354381242541E-2</v>
      </c>
      <c r="R770" s="19">
        <f t="shared" si="84"/>
        <v>3.8347380095374195E-2</v>
      </c>
      <c r="S770" s="22">
        <v>4.1639683859291177E-2</v>
      </c>
      <c r="T770" s="19">
        <f t="shared" si="85"/>
        <v>4.2926859365981063E-2</v>
      </c>
      <c r="U770" s="24">
        <v>4.373901616856557E-2</v>
      </c>
      <c r="V770" s="24">
        <f t="shared" si="86"/>
        <v>4.2908601893571818E-2</v>
      </c>
      <c r="W770" s="23">
        <f t="shared" si="87"/>
        <v>3.5072470257695443E-3</v>
      </c>
      <c r="X770" s="24">
        <v>4.3287935867212024E-2</v>
      </c>
      <c r="Y770" s="24">
        <f t="shared" si="88"/>
        <v>4.291821078724678E-2</v>
      </c>
      <c r="Z770" s="23">
        <f t="shared" si="89"/>
        <v>3.5079998622191688E-3</v>
      </c>
      <c r="AA770" s="36"/>
    </row>
    <row r="771" spans="15:27" ht="13.9" customHeight="1">
      <c r="O771" s="12">
        <f t="shared" si="83"/>
        <v>63.166666666666664</v>
      </c>
      <c r="P771" s="13">
        <v>758</v>
      </c>
      <c r="Q771" s="22">
        <v>3.8017789702259108E-2</v>
      </c>
      <c r="R771" s="19">
        <f t="shared" si="84"/>
        <v>3.8352324502364921E-2</v>
      </c>
      <c r="S771" s="22">
        <v>4.1641380933057137E-2</v>
      </c>
      <c r="T771" s="19">
        <f t="shared" si="85"/>
        <v>4.2927466826474303E-2</v>
      </c>
      <c r="U771" s="24">
        <v>4.3737920199754088E-2</v>
      </c>
      <c r="V771" s="24">
        <f t="shared" si="86"/>
        <v>4.2908820821377036E-2</v>
      </c>
      <c r="W771" s="23">
        <f t="shared" si="87"/>
        <v>3.5072646230429605E-3</v>
      </c>
      <c r="X771" s="24">
        <v>4.3287448016919861E-2</v>
      </c>
      <c r="Y771" s="24">
        <f t="shared" si="88"/>
        <v>4.2918648006434523E-2</v>
      </c>
      <c r="Z771" s="23">
        <f t="shared" si="89"/>
        <v>3.5080351087364292E-3</v>
      </c>
      <c r="AA771" s="36"/>
    </row>
    <row r="772" spans="15:27" ht="13.9" customHeight="1">
      <c r="O772" s="12">
        <f t="shared" si="83"/>
        <v>63.25</v>
      </c>
      <c r="P772" s="13">
        <v>759</v>
      </c>
      <c r="Q772" s="22">
        <v>3.8018230388656038E-2</v>
      </c>
      <c r="R772" s="19">
        <f t="shared" si="84"/>
        <v>3.8357227436873309E-2</v>
      </c>
      <c r="S772" s="22">
        <v>4.1643074337067265E-2</v>
      </c>
      <c r="T772" s="19">
        <f t="shared" si="85"/>
        <v>4.2928069237230249E-2</v>
      </c>
      <c r="U772" s="24">
        <v>4.3736827408688672E-2</v>
      </c>
      <c r="V772" s="24">
        <f t="shared" si="86"/>
        <v>4.2909039221664225E-2</v>
      </c>
      <c r="W772" s="23">
        <f t="shared" si="87"/>
        <v>3.5072821777630825E-3</v>
      </c>
      <c r="X772" s="24">
        <v>4.328696202861293E-2</v>
      </c>
      <c r="Y772" s="24">
        <f t="shared" si="88"/>
        <v>4.2919082881532455E-2</v>
      </c>
      <c r="Z772" s="23">
        <f t="shared" si="89"/>
        <v>3.5080701668455117E-3</v>
      </c>
      <c r="AA772" s="36"/>
    </row>
    <row r="773" spans="15:27" ht="13.9" customHeight="1">
      <c r="O773" s="12">
        <f t="shared" si="83"/>
        <v>63.333333333333336</v>
      </c>
      <c r="P773" s="13">
        <v>760</v>
      </c>
      <c r="Q773" s="22">
        <v>3.8018676364679926E-2</v>
      </c>
      <c r="R773" s="19">
        <f t="shared" si="84"/>
        <v>3.8362089252961251E-2</v>
      </c>
      <c r="S773" s="22">
        <v>4.1644764079163732E-2</v>
      </c>
      <c r="T773" s="19">
        <f t="shared" si="85"/>
        <v>4.2928666642707114E-2</v>
      </c>
      <c r="U773" s="24">
        <v>4.3735737782125472E-2</v>
      </c>
      <c r="V773" s="24">
        <f t="shared" si="86"/>
        <v>4.290925710199156E-2</v>
      </c>
      <c r="W773" s="23">
        <f t="shared" si="87"/>
        <v>3.5072996901805986E-3</v>
      </c>
      <c r="X773" s="24">
        <v>4.3286477891853803E-2</v>
      </c>
      <c r="Y773" s="24">
        <f t="shared" si="88"/>
        <v>4.2919515431728783E-2</v>
      </c>
      <c r="Z773" s="23">
        <f t="shared" si="89"/>
        <v>3.5081050369818456E-3</v>
      </c>
      <c r="AA773" s="36"/>
    </row>
    <row r="774" spans="15:27" ht="13.9" customHeight="1">
      <c r="O774" s="12">
        <f t="shared" si="83"/>
        <v>63.416666666666664</v>
      </c>
      <c r="P774" s="13">
        <v>761</v>
      </c>
      <c r="Q774" s="22">
        <v>3.8019127555440679E-2</v>
      </c>
      <c r="R774" s="19">
        <f t="shared" si="84"/>
        <v>3.8366910297528145E-2</v>
      </c>
      <c r="S774" s="22">
        <v>4.1646450167206028E-2</v>
      </c>
      <c r="T774" s="19">
        <f t="shared" si="85"/>
        <v>4.2929259082858717E-2</v>
      </c>
      <c r="U774" s="24">
        <v>4.373465130690013E-2</v>
      </c>
      <c r="V774" s="24">
        <f t="shared" si="86"/>
        <v>4.290947446126081E-2</v>
      </c>
      <c r="W774" s="23">
        <f t="shared" si="87"/>
        <v>3.5073171609019127E-3</v>
      </c>
      <c r="X774" s="24">
        <v>4.3285995596285431E-2</v>
      </c>
      <c r="Y774" s="24">
        <f t="shared" si="88"/>
        <v>4.2919945667222015E-2</v>
      </c>
      <c r="Z774" s="23">
        <f t="shared" si="89"/>
        <v>3.5081397206846443E-3</v>
      </c>
      <c r="AA774" s="36"/>
    </row>
    <row r="775" spans="15:27" ht="13.9" customHeight="1">
      <c r="O775" s="12">
        <f t="shared" si="83"/>
        <v>63.5</v>
      </c>
      <c r="P775" s="13">
        <v>762</v>
      </c>
      <c r="Q775" s="22">
        <v>3.8019583886897523E-2</v>
      </c>
      <c r="R775" s="19">
        <f t="shared" si="84"/>
        <v>3.8371690914494438E-2</v>
      </c>
      <c r="S775" s="22">
        <v>4.1648132609064525E-2</v>
      </c>
      <c r="T775" s="19">
        <f t="shared" si="85"/>
        <v>4.2929846599160104E-2</v>
      </c>
      <c r="U775" s="24">
        <v>4.3733567969916232E-2</v>
      </c>
      <c r="V775" s="24">
        <f t="shared" si="86"/>
        <v>4.2909691286812324E-2</v>
      </c>
      <c r="W775" s="23">
        <f t="shared" si="87"/>
        <v>3.507334589838873E-3</v>
      </c>
      <c r="X775" s="24">
        <v>4.3285515131618268E-2</v>
      </c>
      <c r="Y775" s="24">
        <f t="shared" si="88"/>
        <v>4.2920373598561934E-2</v>
      </c>
      <c r="Z775" s="23">
        <f t="shared" si="89"/>
        <v>3.508174218771698E-3</v>
      </c>
      <c r="AA775" s="36"/>
    </row>
    <row r="776" spans="15:27" ht="13.9" customHeight="1">
      <c r="O776" s="12">
        <f t="shared" si="83"/>
        <v>63.583333333333336</v>
      </c>
      <c r="P776" s="13">
        <v>763</v>
      </c>
      <c r="Q776" s="22">
        <v>3.8020045285849235E-2</v>
      </c>
      <c r="R776" s="19">
        <f t="shared" si="84"/>
        <v>3.8376431449618886E-2</v>
      </c>
      <c r="S776" s="22">
        <v>4.1649811412622917E-2</v>
      </c>
      <c r="T776" s="19">
        <f t="shared" si="85"/>
        <v>4.2930429234020906E-2</v>
      </c>
      <c r="U776" s="24">
        <v>4.3732487758129102E-2</v>
      </c>
      <c r="V776" s="24">
        <f t="shared" si="86"/>
        <v>4.2909907602021402E-2</v>
      </c>
      <c r="W776" s="23">
        <f t="shared" si="87"/>
        <v>3.5073519759762917E-3</v>
      </c>
      <c r="X776" s="24">
        <v>4.3285036487630713E-2</v>
      </c>
      <c r="Y776" s="24">
        <f t="shared" si="88"/>
        <v>4.2920799242175844E-2</v>
      </c>
      <c r="Z776" s="23">
        <f t="shared" si="89"/>
        <v>3.5082085320889966E-3</v>
      </c>
      <c r="AA776" s="36"/>
    </row>
    <row r="777" spans="15:27" ht="13.9" customHeight="1">
      <c r="O777" s="12">
        <f t="shared" si="83"/>
        <v>63.666666666666664</v>
      </c>
      <c r="P777" s="13">
        <v>764</v>
      </c>
      <c r="Q777" s="22">
        <v>3.8020511679930813E-2</v>
      </c>
      <c r="R777" s="19">
        <f t="shared" si="84"/>
        <v>3.8381132239989624E-2</v>
      </c>
      <c r="S777" s="22">
        <v>4.1651486585778663E-2</v>
      </c>
      <c r="T777" s="19">
        <f t="shared" si="85"/>
        <v>4.2931007025427625E-2</v>
      </c>
      <c r="U777" s="24">
        <v>4.3731410658593317E-2</v>
      </c>
      <c r="V777" s="24">
        <f t="shared" si="86"/>
        <v>4.2910123388526067E-2</v>
      </c>
      <c r="W777" s="23">
        <f t="shared" si="87"/>
        <v>3.5073693211888912E-3</v>
      </c>
      <c r="X777" s="24">
        <v>4.3284559654176213E-2</v>
      </c>
      <c r="Y777" s="24">
        <f t="shared" si="88"/>
        <v>4.2921222604845211E-2</v>
      </c>
      <c r="Z777" s="23">
        <f t="shared" si="89"/>
        <v>3.5082426619541529E-3</v>
      </c>
      <c r="AA777" s="36"/>
    </row>
    <row r="778" spans="15:27" ht="13.9" customHeight="1">
      <c r="O778" s="12">
        <f t="shared" si="83"/>
        <v>63.75</v>
      </c>
      <c r="P778" s="13">
        <v>765</v>
      </c>
      <c r="Q778" s="22">
        <v>3.8020982997596819E-2</v>
      </c>
      <c r="R778" s="19">
        <f t="shared" si="84"/>
        <v>3.8385793623503472E-2</v>
      </c>
      <c r="S778" s="22">
        <v>4.1653158136437884E-2</v>
      </c>
      <c r="T778" s="19">
        <f t="shared" si="85"/>
        <v>4.2931580016685844E-2</v>
      </c>
      <c r="U778" s="24">
        <v>4.3730336658406976E-2</v>
      </c>
      <c r="V778" s="24">
        <f t="shared" si="86"/>
        <v>4.2910338669491344E-2</v>
      </c>
      <c r="W778" s="23">
        <f t="shared" si="87"/>
        <v>3.5073866240038498E-3</v>
      </c>
      <c r="X778" s="24">
        <v>4.3284084621170171E-2</v>
      </c>
      <c r="Y778" s="24">
        <f t="shared" si="88"/>
        <v>4.2921643705159829E-2</v>
      </c>
      <c r="Z778" s="23">
        <f t="shared" si="89"/>
        <v>3.5082766089111761E-3</v>
      </c>
      <c r="AA778" s="36"/>
    </row>
    <row r="779" spans="15:27" ht="13.9" customHeight="1">
      <c r="O779" s="12">
        <f t="shared" si="83"/>
        <v>63.833333333333336</v>
      </c>
      <c r="P779" s="13">
        <v>766</v>
      </c>
      <c r="Q779" s="22">
        <v>3.8021459168117167E-2</v>
      </c>
      <c r="R779" s="19">
        <f t="shared" si="84"/>
        <v>3.8390415932482602E-2</v>
      </c>
      <c r="S779" s="22">
        <v>4.16548260725218E-2</v>
      </c>
      <c r="T779" s="19">
        <f t="shared" si="85"/>
        <v>4.2932148245598656E-2</v>
      </c>
      <c r="U779" s="24">
        <v>4.3729265744765655E-2</v>
      </c>
      <c r="V779" s="24">
        <f t="shared" si="86"/>
        <v>4.2910553426041886E-2</v>
      </c>
      <c r="W779" s="23">
        <f t="shared" si="87"/>
        <v>3.5074038862790147E-3</v>
      </c>
      <c r="X779" s="24">
        <v>4.3283611378604814E-2</v>
      </c>
      <c r="Y779" s="24">
        <f t="shared" si="88"/>
        <v>4.292206254963693E-2</v>
      </c>
      <c r="Z779" s="23">
        <f t="shared" si="89"/>
        <v>3.5083103744506516E-3</v>
      </c>
      <c r="AA779" s="36"/>
    </row>
    <row r="780" spans="15:27" ht="13.9" customHeight="1">
      <c r="O780" s="12">
        <f t="shared" si="83"/>
        <v>63.916666666666664</v>
      </c>
      <c r="P780" s="13">
        <v>767</v>
      </c>
      <c r="Q780" s="22">
        <v>3.8021940121564235E-2</v>
      </c>
      <c r="R780" s="19">
        <f t="shared" si="84"/>
        <v>3.8394999497513904E-2</v>
      </c>
      <c r="S780" s="22">
        <v>4.1656490401959401E-2</v>
      </c>
      <c r="T780" s="19">
        <f t="shared" si="85"/>
        <v>4.2932711752536878E-2</v>
      </c>
      <c r="U780" s="24">
        <v>4.3728197904907784E-2</v>
      </c>
      <c r="V780" s="24">
        <f t="shared" si="86"/>
        <v>4.2910767664717353E-2</v>
      </c>
      <c r="W780" s="23">
        <f t="shared" si="87"/>
        <v>3.5074211065009298E-3</v>
      </c>
      <c r="X780" s="24">
        <v>4.3283139916533209E-2</v>
      </c>
      <c r="Y780" s="24">
        <f t="shared" si="88"/>
        <v>4.2922479153935544E-2</v>
      </c>
      <c r="Z780" s="23">
        <f t="shared" si="89"/>
        <v>3.5083439590954946E-3</v>
      </c>
      <c r="AA780" s="36"/>
    </row>
    <row r="781" spans="15:27" ht="13.9" customHeight="1">
      <c r="O781" s="12">
        <f t="shared" si="83"/>
        <v>64</v>
      </c>
      <c r="P781" s="13">
        <v>768</v>
      </c>
      <c r="Q781" s="22">
        <v>3.8022425788805769E-2</v>
      </c>
      <c r="R781" s="19">
        <f t="shared" si="84"/>
        <v>3.8399544648913153E-2</v>
      </c>
      <c r="S781" s="22">
        <v>4.1658151132691223E-2</v>
      </c>
      <c r="T781" s="19">
        <f t="shared" si="85"/>
        <v>4.2933270576740235E-2</v>
      </c>
      <c r="U781" s="24">
        <v>4.3727133126145956E-2</v>
      </c>
      <c r="V781" s="24">
        <f t="shared" si="86"/>
        <v>4.2910981389285396E-2</v>
      </c>
      <c r="W781" s="23">
        <f t="shared" si="87"/>
        <v>3.5074382851936203E-3</v>
      </c>
      <c r="X781" s="24">
        <v>4.3282670225080588E-2</v>
      </c>
      <c r="Y781" s="24">
        <f t="shared" si="88"/>
        <v>4.2922893528355655E-2</v>
      </c>
      <c r="Z781" s="23">
        <f t="shared" si="89"/>
        <v>3.5083773641013671E-3</v>
      </c>
      <c r="AA781" s="36"/>
    </row>
    <row r="782" spans="15:27" ht="13.9" customHeight="1">
      <c r="O782" s="12">
        <f t="shared" ref="O782:O845" si="90">P782/12</f>
        <v>64.083333333333329</v>
      </c>
      <c r="P782" s="13">
        <v>769</v>
      </c>
      <c r="Q782" s="22">
        <v>3.8022916101499105E-2</v>
      </c>
      <c r="R782" s="19">
        <f t="shared" ref="R782:R845" si="91">(1+Q783)^P783/(1+Q782)^P782-1</f>
        <v>3.8404051710107634E-2</v>
      </c>
      <c r="S782" s="22">
        <v>4.1659808272667131E-2</v>
      </c>
      <c r="T782" s="19">
        <f t="shared" ref="T782:T845" si="92">(1+S783)^P783/(1+S782)^P782-1</f>
        <v>4.2933824757372063E-2</v>
      </c>
      <c r="U782" s="24">
        <v>4.3726071395864263E-2</v>
      </c>
      <c r="V782" s="24">
        <f t="shared" ref="V782:V845" si="93">(1+U783)^P783/(1+U782)^P782-1</f>
        <v>4.2911194607096803E-2</v>
      </c>
      <c r="W782" s="23">
        <f t="shared" si="87"/>
        <v>3.5074554226597332E-3</v>
      </c>
      <c r="X782" s="24">
        <v>4.3282202294437022E-2</v>
      </c>
      <c r="Y782" s="24">
        <f t="shared" si="88"/>
        <v>4.2923305685852675E-2</v>
      </c>
      <c r="Z782" s="23">
        <f t="shared" si="89"/>
        <v>3.5084105902947194E-3</v>
      </c>
      <c r="AA782" s="36"/>
    </row>
    <row r="783" spans="15:27" ht="13.9" customHeight="1">
      <c r="O783" s="12">
        <f t="shared" si="90"/>
        <v>64.166666666666671</v>
      </c>
      <c r="P783" s="13">
        <v>770</v>
      </c>
      <c r="Q783" s="22">
        <v>3.8023410992076956E-2</v>
      </c>
      <c r="R783" s="19">
        <f t="shared" si="91"/>
        <v>3.8408521002468277E-2</v>
      </c>
      <c r="S783" s="22">
        <v>4.1661461829846536E-2</v>
      </c>
      <c r="T783" s="19">
        <f t="shared" si="92"/>
        <v>4.293437433241043E-2</v>
      </c>
      <c r="U783" s="24">
        <v>4.3725012701521848E-2</v>
      </c>
      <c r="V783" s="24">
        <f t="shared" si="93"/>
        <v>4.2911407303755311E-2</v>
      </c>
      <c r="W783" s="23">
        <f t="shared" ref="W783:W846" si="94">(1+V782)^(1/12)-1</f>
        <v>3.5074725194883527E-3</v>
      </c>
      <c r="X783" s="24">
        <v>4.3281736114860303E-2</v>
      </c>
      <c r="Y783" s="24">
        <f t="shared" ref="Y783:Y846" si="95">(1+X784)^P784/(1+X783)^P783-1</f>
        <v>4.2923715637134929E-2</v>
      </c>
      <c r="Z783" s="23">
        <f t="shared" ref="Z783:Z846" si="96">(1+Y782)^(1/12)-1</f>
        <v>3.5084436387142759E-3</v>
      </c>
      <c r="AA783" s="36"/>
    </row>
    <row r="784" spans="15:27" ht="13.9" customHeight="1">
      <c r="O784" s="12">
        <f t="shared" si="90"/>
        <v>64.25</v>
      </c>
      <c r="P784" s="13">
        <v>771</v>
      </c>
      <c r="Q784" s="22">
        <v>3.8023910393739868E-2</v>
      </c>
      <c r="R784" s="19">
        <f t="shared" si="91"/>
        <v>3.8412952846605952E-2</v>
      </c>
      <c r="S784" s="22">
        <v>4.1663111812197062E-2</v>
      </c>
      <c r="T784" s="19">
        <f t="shared" si="92"/>
        <v>4.2934919340527511E-2</v>
      </c>
      <c r="U784" s="24">
        <v>4.3723957030624039E-2</v>
      </c>
      <c r="V784" s="24">
        <f t="shared" si="93"/>
        <v>4.2911619491919684E-2</v>
      </c>
      <c r="W784" s="23">
        <f t="shared" si="94"/>
        <v>3.5074895745250689E-3</v>
      </c>
      <c r="X784" s="24">
        <v>4.3281271676672839E-2</v>
      </c>
      <c r="Y784" s="24">
        <f t="shared" si="95"/>
        <v>4.2924123394638247E-2</v>
      </c>
      <c r="Z784" s="23">
        <f t="shared" si="96"/>
        <v>3.5084765102189053E-3</v>
      </c>
      <c r="AA784" s="36"/>
    </row>
    <row r="785" spans="15:27" ht="13.9" customHeight="1">
      <c r="O785" s="12">
        <f t="shared" si="90"/>
        <v>64.333333333333329</v>
      </c>
      <c r="P785" s="13">
        <v>772</v>
      </c>
      <c r="Q785" s="22">
        <v>3.8024414240450444E-2</v>
      </c>
      <c r="R785" s="19">
        <f t="shared" si="91"/>
        <v>3.8417347559433379E-2</v>
      </c>
      <c r="S785" s="22">
        <v>4.1664758227694776E-2</v>
      </c>
      <c r="T785" s="19">
        <f t="shared" si="92"/>
        <v>4.2935459821100697E-2</v>
      </c>
      <c r="U785" s="24">
        <v>4.3722904370757432E-2</v>
      </c>
      <c r="V785" s="24">
        <f t="shared" si="93"/>
        <v>4.2911831180801663E-2</v>
      </c>
      <c r="W785" s="23">
        <f t="shared" si="94"/>
        <v>3.5075065887852919E-3</v>
      </c>
      <c r="X785" s="24">
        <v>4.3280808970262985E-2</v>
      </c>
      <c r="Y785" s="24">
        <f t="shared" si="95"/>
        <v>4.2924528971584941E-2</v>
      </c>
      <c r="Z785" s="23">
        <f t="shared" si="96"/>
        <v>3.5085092058058098E-3</v>
      </c>
      <c r="AA785" s="36"/>
    </row>
    <row r="786" spans="15:27" ht="13.9" customHeight="1">
      <c r="O786" s="12">
        <f t="shared" si="90"/>
        <v>64.416666666666671</v>
      </c>
      <c r="P786" s="13">
        <v>773</v>
      </c>
      <c r="Q786" s="22">
        <v>3.802492246692335E-2</v>
      </c>
      <c r="R786" s="19">
        <f t="shared" si="91"/>
        <v>3.8421705455165656E-2</v>
      </c>
      <c r="S786" s="22">
        <v>4.1666401084325511E-2</v>
      </c>
      <c r="T786" s="19">
        <f t="shared" si="92"/>
        <v>4.2935995808761618E-2</v>
      </c>
      <c r="U786" s="24">
        <v>4.3721854709585006E-2</v>
      </c>
      <c r="V786" s="24">
        <f t="shared" si="93"/>
        <v>4.2912042344080747E-2</v>
      </c>
      <c r="W786" s="23">
        <f t="shared" si="94"/>
        <v>3.5075235630075419E-3</v>
      </c>
      <c r="X786" s="24">
        <v>4.3280347986086376E-2</v>
      </c>
      <c r="Y786" s="24">
        <f t="shared" si="95"/>
        <v>4.292493237648265E-2</v>
      </c>
      <c r="Z786" s="23">
        <f t="shared" si="96"/>
        <v>3.5085417265356966E-3</v>
      </c>
      <c r="AA786" s="36"/>
    </row>
    <row r="787" spans="15:27" ht="13.9" customHeight="1">
      <c r="O787" s="12">
        <f t="shared" si="90"/>
        <v>64.5</v>
      </c>
      <c r="P787" s="13">
        <v>774</v>
      </c>
      <c r="Q787" s="22">
        <v>3.8025435008616881E-2</v>
      </c>
      <c r="R787" s="19">
        <f t="shared" si="91"/>
        <v>3.8426026844629924E-2</v>
      </c>
      <c r="S787" s="22">
        <v>4.1668040390078431E-2</v>
      </c>
      <c r="T787" s="19">
        <f t="shared" si="92"/>
        <v>4.2936527343736763E-2</v>
      </c>
      <c r="U787" s="24">
        <v>4.3720808034799274E-2</v>
      </c>
      <c r="V787" s="24">
        <f t="shared" si="93"/>
        <v>4.2912253010533252E-2</v>
      </c>
      <c r="W787" s="23">
        <f t="shared" si="94"/>
        <v>3.5075404950810629E-3</v>
      </c>
      <c r="X787" s="24">
        <v>4.3279888714658599E-2</v>
      </c>
      <c r="Y787" s="24">
        <f t="shared" si="95"/>
        <v>4.2925333623916817E-2</v>
      </c>
      <c r="Z787" s="23">
        <f t="shared" si="96"/>
        <v>3.5085740730909087E-3</v>
      </c>
      <c r="AA787" s="36"/>
    </row>
    <row r="788" spans="15:27" ht="13.9" customHeight="1">
      <c r="O788" s="12">
        <f t="shared" si="90"/>
        <v>64.583333333333329</v>
      </c>
      <c r="P788" s="13">
        <v>775</v>
      </c>
      <c r="Q788" s="22">
        <v>3.8025951801723856E-2</v>
      </c>
      <c r="R788" s="19">
        <f t="shared" si="91"/>
        <v>3.8430312035416136E-2</v>
      </c>
      <c r="S788" s="22">
        <v>4.1669676152953361E-2</v>
      </c>
      <c r="T788" s="19">
        <f t="shared" si="92"/>
        <v>4.2937054460926216E-2</v>
      </c>
      <c r="U788" s="24">
        <v>4.3719764334193556E-2</v>
      </c>
      <c r="V788" s="24">
        <f t="shared" si="93"/>
        <v>4.2912463167232628E-2</v>
      </c>
      <c r="W788" s="23">
        <f t="shared" si="94"/>
        <v>3.5075573873137866E-3</v>
      </c>
      <c r="X788" s="24">
        <v>4.3279431146563407E-2</v>
      </c>
      <c r="Y788" s="24">
        <f t="shared" si="95"/>
        <v>4.2925732723120946E-2</v>
      </c>
      <c r="Z788" s="23">
        <f t="shared" si="96"/>
        <v>3.5086062466409551E-3</v>
      </c>
      <c r="AA788" s="36"/>
    </row>
    <row r="789" spans="15:27" ht="13.9" customHeight="1">
      <c r="O789" s="12">
        <f t="shared" si="90"/>
        <v>64.666666666666671</v>
      </c>
      <c r="P789" s="13">
        <v>776</v>
      </c>
      <c r="Q789" s="22">
        <v>3.8026472783163179E-2</v>
      </c>
      <c r="R789" s="19">
        <f t="shared" si="91"/>
        <v>3.8434561335629391E-2</v>
      </c>
      <c r="S789" s="22">
        <v>4.1671308380953898E-2</v>
      </c>
      <c r="T789" s="19">
        <f t="shared" si="92"/>
        <v>4.293757719916691E-2</v>
      </c>
      <c r="U789" s="24">
        <v>4.3718723595607356E-2</v>
      </c>
      <c r="V789" s="24">
        <f t="shared" si="93"/>
        <v>4.2912672820704767E-2</v>
      </c>
      <c r="W789" s="23">
        <f t="shared" si="94"/>
        <v>3.5075742386687647E-3</v>
      </c>
      <c r="X789" s="24">
        <v>4.3278975272444731E-2</v>
      </c>
      <c r="Y789" s="24">
        <f t="shared" si="95"/>
        <v>4.2926129688721115E-2</v>
      </c>
      <c r="Z789" s="23">
        <f t="shared" si="96"/>
        <v>3.5086382479263545E-3</v>
      </c>
      <c r="AA789" s="36"/>
    </row>
    <row r="790" spans="15:27" ht="13.9" customHeight="1">
      <c r="O790" s="12">
        <f t="shared" si="90"/>
        <v>64.75</v>
      </c>
      <c r="P790" s="13">
        <v>777</v>
      </c>
      <c r="Q790" s="22">
        <v>3.8026997890574954E-2</v>
      </c>
      <c r="R790" s="19">
        <f t="shared" si="91"/>
        <v>3.8438775046977458E-2</v>
      </c>
      <c r="S790" s="22">
        <v>4.1672937082092298E-2</v>
      </c>
      <c r="T790" s="19">
        <f t="shared" si="92"/>
        <v>4.293809559359163E-2</v>
      </c>
      <c r="U790" s="24">
        <v>4.3717685806951234E-2</v>
      </c>
      <c r="V790" s="24">
        <f t="shared" si="93"/>
        <v>4.2912881973987682E-2</v>
      </c>
      <c r="W790" s="23">
        <f t="shared" si="94"/>
        <v>3.5075910496698004E-3</v>
      </c>
      <c r="X790" s="24">
        <v>4.3278521083013555E-2</v>
      </c>
      <c r="Y790" s="24">
        <f t="shared" si="95"/>
        <v>4.2926524528562382E-2</v>
      </c>
      <c r="Z790" s="23">
        <f t="shared" si="96"/>
        <v>3.5086700781201685E-3</v>
      </c>
      <c r="AA790" s="36"/>
    </row>
    <row r="791" spans="15:27" ht="13.9" customHeight="1">
      <c r="O791" s="12">
        <f t="shared" si="90"/>
        <v>64.833333333333329</v>
      </c>
      <c r="P791" s="13">
        <v>778</v>
      </c>
      <c r="Q791" s="22">
        <v>3.8027527062308275E-2</v>
      </c>
      <c r="R791" s="19">
        <f t="shared" si="91"/>
        <v>3.8442953471677033E-2</v>
      </c>
      <c r="S791" s="22">
        <v>4.1674562264384596E-2</v>
      </c>
      <c r="T791" s="19">
        <f t="shared" si="92"/>
        <v>4.2938609679967765E-2</v>
      </c>
      <c r="U791" s="24">
        <v>4.3716650956201919E-2</v>
      </c>
      <c r="V791" s="24">
        <f t="shared" si="93"/>
        <v>4.2913090617218375E-2</v>
      </c>
      <c r="W791" s="23">
        <f t="shared" si="94"/>
        <v>3.5076078205600325E-3</v>
      </c>
      <c r="X791" s="24">
        <v>4.3278068569038819E-2</v>
      </c>
      <c r="Y791" s="24">
        <f t="shared" si="95"/>
        <v>4.2926917255374564E-2</v>
      </c>
      <c r="Z791" s="23">
        <f t="shared" si="96"/>
        <v>3.5087017378516716E-3</v>
      </c>
      <c r="AA791" s="36"/>
    </row>
    <row r="792" spans="15:27" ht="13.9" customHeight="1">
      <c r="O792" s="12">
        <f t="shared" si="90"/>
        <v>64.916666666666671</v>
      </c>
      <c r="P792" s="13">
        <v>779</v>
      </c>
      <c r="Q792" s="22">
        <v>3.8028060237417227E-2</v>
      </c>
      <c r="R792" s="19">
        <f t="shared" si="91"/>
        <v>3.8447096905597222E-2</v>
      </c>
      <c r="S792" s="22">
        <v>4.1676183935851929E-2</v>
      </c>
      <c r="T792" s="19">
        <f t="shared" si="92"/>
        <v>4.2939119495475131E-2</v>
      </c>
      <c r="U792" s="24">
        <v>4.3715619031385433E-2</v>
      </c>
      <c r="V792" s="24">
        <f t="shared" si="93"/>
        <v>4.2913298765270058E-2</v>
      </c>
      <c r="W792" s="23">
        <f t="shared" si="94"/>
        <v>3.5076245505487602E-3</v>
      </c>
      <c r="X792" s="24">
        <v>4.327761772135319E-2</v>
      </c>
      <c r="Y792" s="24">
        <f t="shared" si="95"/>
        <v>4.2927307883894317E-2</v>
      </c>
      <c r="Z792" s="23">
        <f t="shared" si="96"/>
        <v>3.5087332281418249E-3</v>
      </c>
      <c r="AA792" s="36"/>
    </row>
    <row r="793" spans="15:27" ht="13.9" customHeight="1">
      <c r="O793" s="12">
        <f t="shared" si="90"/>
        <v>65</v>
      </c>
      <c r="P793" s="13">
        <v>780</v>
      </c>
      <c r="Q793" s="22">
        <v>3.8028597355647786E-2</v>
      </c>
      <c r="R793" s="19">
        <f t="shared" si="91"/>
        <v>3.8451205646373499E-2</v>
      </c>
      <c r="S793" s="22">
        <v>4.1677802104521433E-2</v>
      </c>
      <c r="T793" s="19">
        <f t="shared" si="92"/>
        <v>4.2939625074077226E-2</v>
      </c>
      <c r="U793" s="24">
        <v>4.3714590020607735E-2</v>
      </c>
      <c r="V793" s="24">
        <f t="shared" si="93"/>
        <v>4.291350641151026E-2</v>
      </c>
      <c r="W793" s="23">
        <f t="shared" si="94"/>
        <v>3.5076412408288071E-3</v>
      </c>
      <c r="X793" s="24">
        <v>4.3277168530855281E-2</v>
      </c>
      <c r="Y793" s="24">
        <f t="shared" si="95"/>
        <v>4.2927696418937566E-2</v>
      </c>
      <c r="Z793" s="23">
        <f t="shared" si="96"/>
        <v>3.5087645501723497E-3</v>
      </c>
      <c r="AA793" s="36"/>
    </row>
    <row r="794" spans="15:27" ht="13.9" customHeight="1">
      <c r="O794" s="12">
        <f t="shared" si="90"/>
        <v>65.083333333333329</v>
      </c>
      <c r="P794" s="13">
        <v>781</v>
      </c>
      <c r="Q794" s="22">
        <v>3.8029138357436265E-2</v>
      </c>
      <c r="R794" s="19">
        <f t="shared" si="91"/>
        <v>3.8455279986687296E-2</v>
      </c>
      <c r="S794" s="22">
        <v>4.1679416778422906E-2</v>
      </c>
      <c r="T794" s="19">
        <f t="shared" si="92"/>
        <v>4.2940126453072214E-2</v>
      </c>
      <c r="U794" s="24">
        <v>4.3713563912027853E-2</v>
      </c>
      <c r="V794" s="24">
        <f t="shared" si="93"/>
        <v>4.2913713560095657E-2</v>
      </c>
      <c r="W794" s="23">
        <f t="shared" si="94"/>
        <v>3.5076578908681544E-3</v>
      </c>
      <c r="X794" s="24">
        <v>4.3276720988496331E-2</v>
      </c>
      <c r="Y794" s="24">
        <f t="shared" si="95"/>
        <v>4.2928082877033535E-2</v>
      </c>
      <c r="Z794" s="23">
        <f t="shared" si="96"/>
        <v>3.5087957043293816E-3</v>
      </c>
      <c r="AA794" s="36"/>
    </row>
    <row r="795" spans="15:27" ht="13.9" customHeight="1">
      <c r="O795" s="12">
        <f t="shared" si="90"/>
        <v>65.166666666666671</v>
      </c>
      <c r="P795" s="13">
        <v>782</v>
      </c>
      <c r="Q795" s="22">
        <v>3.8029683183897989E-2</v>
      </c>
      <c r="R795" s="19">
        <f t="shared" si="91"/>
        <v>3.8459320216595927E-2</v>
      </c>
      <c r="S795" s="22">
        <v>4.1681027965592587E-2</v>
      </c>
      <c r="T795" s="19">
        <f t="shared" si="92"/>
        <v>4.2940623665135957E-2</v>
      </c>
      <c r="U795" s="24">
        <v>4.3712540693870316E-2</v>
      </c>
      <c r="V795" s="24">
        <f t="shared" si="93"/>
        <v>4.2913920210303935E-2</v>
      </c>
      <c r="W795" s="23">
        <f t="shared" si="94"/>
        <v>3.5076745010000909E-3</v>
      </c>
      <c r="X795" s="24">
        <v>4.3276275085295302E-2</v>
      </c>
      <c r="Y795" s="24">
        <f t="shared" si="95"/>
        <v>4.2928467267146386E-2</v>
      </c>
      <c r="Z795" s="23">
        <f t="shared" si="96"/>
        <v>3.508826691938749E-3</v>
      </c>
      <c r="AA795" s="36"/>
    </row>
    <row r="796" spans="15:27" ht="13.9" customHeight="1">
      <c r="O796" s="12">
        <f t="shared" si="90"/>
        <v>65.25</v>
      </c>
      <c r="P796" s="13">
        <v>783</v>
      </c>
      <c r="Q796" s="22">
        <v>3.8030231776820189E-2</v>
      </c>
      <c r="R796" s="19">
        <f t="shared" si="91"/>
        <v>3.8463326624450289E-2</v>
      </c>
      <c r="S796" s="22">
        <v>4.1682635674067381E-2</v>
      </c>
      <c r="T796" s="19">
        <f t="shared" si="92"/>
        <v>4.2941116746414432E-2</v>
      </c>
      <c r="U796" s="24">
        <v>4.3711520354418942E-2</v>
      </c>
      <c r="V796" s="24">
        <f t="shared" si="93"/>
        <v>4.2914126364202776E-2</v>
      </c>
      <c r="W796" s="23">
        <f t="shared" si="94"/>
        <v>3.5076910711671072E-3</v>
      </c>
      <c r="X796" s="24">
        <v>4.3275830812328442E-2</v>
      </c>
      <c r="Y796" s="24">
        <f t="shared" si="95"/>
        <v>4.2928849600591734E-2</v>
      </c>
      <c r="Z796" s="23">
        <f t="shared" si="96"/>
        <v>3.5088575137192102E-3</v>
      </c>
      <c r="AA796" s="36"/>
    </row>
    <row r="797" spans="15:27" ht="13.9" customHeight="1">
      <c r="O797" s="12">
        <f t="shared" si="90"/>
        <v>65.333333333333329</v>
      </c>
      <c r="P797" s="13">
        <v>784</v>
      </c>
      <c r="Q797" s="22">
        <v>3.80307840786549E-2</v>
      </c>
      <c r="R797" s="19">
        <f t="shared" si="91"/>
        <v>3.8467299494709728E-2</v>
      </c>
      <c r="S797" s="22">
        <v>4.1684239911889298E-2</v>
      </c>
      <c r="T797" s="19">
        <f t="shared" si="92"/>
        <v>4.2941605730554055E-2</v>
      </c>
      <c r="U797" s="24">
        <v>4.3710502882020386E-2</v>
      </c>
      <c r="V797" s="24">
        <f t="shared" si="93"/>
        <v>4.291433202555317E-2</v>
      </c>
      <c r="W797" s="23">
        <f t="shared" si="94"/>
        <v>3.5077076015346265E-3</v>
      </c>
      <c r="X797" s="24">
        <v>4.3275388160731731E-2</v>
      </c>
      <c r="Y797" s="24">
        <f t="shared" si="95"/>
        <v>4.2929229888290177E-2</v>
      </c>
      <c r="Z797" s="23">
        <f t="shared" si="96"/>
        <v>3.5088881705784836E-3</v>
      </c>
      <c r="AA797" s="36"/>
    </row>
    <row r="798" spans="15:27" ht="13.9" customHeight="1">
      <c r="O798" s="12">
        <f t="shared" si="90"/>
        <v>65.416666666666671</v>
      </c>
      <c r="P798" s="13">
        <v>785</v>
      </c>
      <c r="Q798" s="22">
        <v>3.8031340032510075E-2</v>
      </c>
      <c r="R798" s="19">
        <f t="shared" si="91"/>
        <v>3.847123911265693E-2</v>
      </c>
      <c r="S798" s="22">
        <v>4.1685840687102127E-2</v>
      </c>
      <c r="T798" s="19">
        <f t="shared" si="92"/>
        <v>4.2942090652012155E-2</v>
      </c>
      <c r="U798" s="24">
        <v>4.3709488265085028E-2</v>
      </c>
      <c r="V798" s="24">
        <f t="shared" si="93"/>
        <v>4.2914537188304847E-2</v>
      </c>
      <c r="W798" s="23">
        <f t="shared" si="94"/>
        <v>3.5077240924041853E-3</v>
      </c>
      <c r="X798" s="24">
        <v>4.3274947121700436E-2</v>
      </c>
      <c r="Y798" s="24">
        <f t="shared" si="95"/>
        <v>4.2929608141065723E-2</v>
      </c>
      <c r="Z798" s="23">
        <f t="shared" si="96"/>
        <v>3.5089186633923131E-3</v>
      </c>
      <c r="AA798" s="36"/>
    </row>
    <row r="799" spans="15:27" ht="13.9" customHeight="1">
      <c r="O799" s="12">
        <f t="shared" si="90"/>
        <v>65.5</v>
      </c>
      <c r="P799" s="13">
        <v>786</v>
      </c>
      <c r="Q799" s="22">
        <v>3.80318995821467E-2</v>
      </c>
      <c r="R799" s="19">
        <f t="shared" si="91"/>
        <v>3.8475145757359774E-2</v>
      </c>
      <c r="S799" s="22">
        <v>4.1687438007752542E-2</v>
      </c>
      <c r="T799" s="19">
        <f t="shared" si="92"/>
        <v>4.2942571544516861E-2</v>
      </c>
      <c r="U799" s="24">
        <v>4.3708476492074766E-2</v>
      </c>
      <c r="V799" s="24">
        <f t="shared" si="93"/>
        <v>4.2914741860736072E-2</v>
      </c>
      <c r="W799" s="23">
        <f t="shared" si="94"/>
        <v>3.5077405432910602E-3</v>
      </c>
      <c r="X799" s="24">
        <v>4.3274507686488439E-2</v>
      </c>
      <c r="Y799" s="24">
        <f t="shared" si="95"/>
        <v>4.2929984369463048E-2</v>
      </c>
      <c r="Z799" s="23">
        <f t="shared" si="96"/>
        <v>3.508948993028449E-3</v>
      </c>
      <c r="AA799" s="36"/>
    </row>
    <row r="800" spans="15:27" ht="13.9" customHeight="1">
      <c r="O800" s="12">
        <f t="shared" si="90"/>
        <v>65.583333333333329</v>
      </c>
      <c r="P800" s="13">
        <v>787</v>
      </c>
      <c r="Q800" s="22">
        <v>3.8032462671966139E-2</v>
      </c>
      <c r="R800" s="19">
        <f t="shared" si="91"/>
        <v>3.8479019707781781E-2</v>
      </c>
      <c r="S800" s="22">
        <v>4.1689031881888994E-2</v>
      </c>
      <c r="T800" s="19">
        <f t="shared" si="92"/>
        <v>4.2943048441385523E-2</v>
      </c>
      <c r="U800" s="24">
        <v>4.3707467551520551E-2</v>
      </c>
      <c r="V800" s="24">
        <f t="shared" si="93"/>
        <v>4.2914946045317981E-2</v>
      </c>
      <c r="W800" s="23">
        <f t="shared" si="94"/>
        <v>3.5077569548587206E-3</v>
      </c>
      <c r="X800" s="24">
        <v>4.3274069846407581E-2</v>
      </c>
      <c r="Y800" s="24">
        <f t="shared" si="95"/>
        <v>4.2930358587009332E-2</v>
      </c>
      <c r="Z800" s="23">
        <f t="shared" si="96"/>
        <v>3.5089791603331033E-3</v>
      </c>
      <c r="AA800" s="36"/>
    </row>
    <row r="801" spans="15:27" ht="13.9" customHeight="1">
      <c r="O801" s="12">
        <f t="shared" si="90"/>
        <v>65.666666666666671</v>
      </c>
      <c r="P801" s="13">
        <v>788</v>
      </c>
      <c r="Q801" s="22">
        <v>3.8033029247006356E-2</v>
      </c>
      <c r="R801" s="19">
        <f t="shared" si="91"/>
        <v>3.8482861239118593E-2</v>
      </c>
      <c r="S801" s="22">
        <v>4.169062231756171E-2</v>
      </c>
      <c r="T801" s="19">
        <f t="shared" si="92"/>
        <v>4.2943521375770732E-2</v>
      </c>
      <c r="U801" s="24">
        <v>4.3706461432015065E-2</v>
      </c>
      <c r="V801" s="24">
        <f t="shared" si="93"/>
        <v>4.2915149728225632E-2</v>
      </c>
      <c r="W801" s="23">
        <f t="shared" si="94"/>
        <v>3.5077733273054523E-3</v>
      </c>
      <c r="X801" s="24">
        <v>4.3273633592830762E-2</v>
      </c>
      <c r="Y801" s="24">
        <f t="shared" si="95"/>
        <v>4.2930730800673667E-2</v>
      </c>
      <c r="Z801" s="23">
        <f t="shared" si="96"/>
        <v>3.5090091663907419E-3</v>
      </c>
      <c r="AA801" s="36"/>
    </row>
    <row r="802" spans="15:27" ht="13.9" customHeight="1">
      <c r="O802" s="12">
        <f t="shared" si="90"/>
        <v>65.75</v>
      </c>
      <c r="P802" s="13">
        <v>789</v>
      </c>
      <c r="Q802" s="22">
        <v>3.8033599252933259E-2</v>
      </c>
      <c r="R802" s="19">
        <f t="shared" si="91"/>
        <v>3.8486670624879427E-2</v>
      </c>
      <c r="S802" s="22">
        <v>4.1692209322821583E-2</v>
      </c>
      <c r="T802" s="19">
        <f t="shared" si="92"/>
        <v>4.2943990381005603E-2</v>
      </c>
      <c r="U802" s="24">
        <v>4.3705458122190954E-2</v>
      </c>
      <c r="V802" s="24">
        <f t="shared" si="93"/>
        <v>4.2915352936628182E-2</v>
      </c>
      <c r="W802" s="23">
        <f t="shared" si="94"/>
        <v>3.5077896595228086E-3</v>
      </c>
      <c r="X802" s="24">
        <v>4.3273198917183509E-2</v>
      </c>
      <c r="Y802" s="24">
        <f t="shared" si="95"/>
        <v>4.2931101023651497E-2</v>
      </c>
      <c r="Z802" s="23">
        <f t="shared" si="96"/>
        <v>3.509039011760251E-3</v>
      </c>
      <c r="AA802" s="36"/>
    </row>
    <row r="803" spans="15:27" ht="13.9" customHeight="1">
      <c r="O803" s="12">
        <f t="shared" si="90"/>
        <v>65.833333333333329</v>
      </c>
      <c r="P803" s="13">
        <v>790</v>
      </c>
      <c r="Q803" s="22">
        <v>3.8034172636034036E-2</v>
      </c>
      <c r="R803" s="19">
        <f t="shared" si="91"/>
        <v>3.8490448137883826E-2</v>
      </c>
      <c r="S803" s="22">
        <v>4.1693792905721283E-2</v>
      </c>
      <c r="T803" s="19">
        <f t="shared" si="92"/>
        <v>4.2944455489549282E-2</v>
      </c>
      <c r="U803" s="24">
        <v>4.3704457610773018E-2</v>
      </c>
      <c r="V803" s="24">
        <f t="shared" si="93"/>
        <v>4.2915555640914649E-2</v>
      </c>
      <c r="W803" s="23">
        <f t="shared" si="94"/>
        <v>3.5078059536892692E-3</v>
      </c>
      <c r="X803" s="24">
        <v>4.3272765810951741E-2</v>
      </c>
      <c r="Y803" s="24">
        <f t="shared" si="95"/>
        <v>4.2931469265190536E-2</v>
      </c>
      <c r="Z803" s="23">
        <f t="shared" si="96"/>
        <v>3.5090686975001173E-3</v>
      </c>
      <c r="AA803" s="36"/>
    </row>
    <row r="804" spans="15:27" ht="13.9" customHeight="1">
      <c r="O804" s="12">
        <f t="shared" si="90"/>
        <v>65.916666666666671</v>
      </c>
      <c r="P804" s="13">
        <v>791</v>
      </c>
      <c r="Q804" s="22">
        <v>3.8034749343212715E-2</v>
      </c>
      <c r="R804" s="19">
        <f t="shared" si="91"/>
        <v>3.8494194045117336E-2</v>
      </c>
      <c r="S804" s="22">
        <v>4.169537307431348E-2</v>
      </c>
      <c r="T804" s="19">
        <f t="shared" si="92"/>
        <v>4.2944916734014793E-2</v>
      </c>
      <c r="U804" s="24">
        <v>4.3703459886505591E-2</v>
      </c>
      <c r="V804" s="24">
        <f t="shared" si="93"/>
        <v>4.2915757873736249E-2</v>
      </c>
      <c r="W804" s="23">
        <f t="shared" si="94"/>
        <v>3.507822207430511E-3</v>
      </c>
      <c r="X804" s="24">
        <v>4.3272334265675783E-2</v>
      </c>
      <c r="Y804" s="24">
        <f t="shared" si="95"/>
        <v>4.2931835537666885E-2</v>
      </c>
      <c r="Z804" s="23">
        <f t="shared" si="96"/>
        <v>3.5090982243519697E-3</v>
      </c>
      <c r="AA804" s="36"/>
    </row>
    <row r="805" spans="15:27" ht="13.9" customHeight="1">
      <c r="O805" s="12">
        <f t="shared" si="90"/>
        <v>66</v>
      </c>
      <c r="P805" s="13">
        <v>792</v>
      </c>
      <c r="Q805" s="22">
        <v>3.8035329321978839E-2</v>
      </c>
      <c r="R805" s="19">
        <f t="shared" si="91"/>
        <v>3.8497908613299714E-2</v>
      </c>
      <c r="S805" s="22">
        <v>4.1696949836651509E-2</v>
      </c>
      <c r="T805" s="19">
        <f t="shared" si="92"/>
        <v>4.2945374146430737E-2</v>
      </c>
      <c r="U805" s="24">
        <v>4.3702464938231156E-2</v>
      </c>
      <c r="V805" s="24">
        <f t="shared" si="93"/>
        <v>4.2915959614383992E-2</v>
      </c>
      <c r="W805" s="23">
        <f t="shared" si="94"/>
        <v>3.5078384233648841E-3</v>
      </c>
      <c r="X805" s="24">
        <v>4.3271904272954576E-2</v>
      </c>
      <c r="Y805" s="24">
        <f t="shared" si="95"/>
        <v>4.2932199851166475E-2</v>
      </c>
      <c r="Z805" s="23">
        <f t="shared" si="96"/>
        <v>3.5091275933081256E-3</v>
      </c>
      <c r="AA805" s="36"/>
    </row>
    <row r="806" spans="15:27" ht="13.9" customHeight="1">
      <c r="O806" s="12">
        <f t="shared" si="90"/>
        <v>66.083333333333329</v>
      </c>
      <c r="P806" s="13">
        <v>793</v>
      </c>
      <c r="Q806" s="22">
        <v>3.8035912520443249E-2</v>
      </c>
      <c r="R806" s="19">
        <f t="shared" si="91"/>
        <v>3.850159210741011E-2</v>
      </c>
      <c r="S806" s="22">
        <v>4.1698523200788484E-2</v>
      </c>
      <c r="T806" s="19">
        <f t="shared" si="92"/>
        <v>4.2945827758398281E-2</v>
      </c>
      <c r="U806" s="24">
        <v>4.370147275482239E-2</v>
      </c>
      <c r="V806" s="24">
        <f t="shared" si="93"/>
        <v>4.2916160868438746E-2</v>
      </c>
      <c r="W806" s="23">
        <f t="shared" si="94"/>
        <v>3.5078545998314947E-3</v>
      </c>
      <c r="X806" s="24">
        <v>4.3271475824442129E-2</v>
      </c>
      <c r="Y806" s="24">
        <f t="shared" si="95"/>
        <v>4.2932562213226833E-2</v>
      </c>
      <c r="Z806" s="23">
        <f t="shared" si="96"/>
        <v>3.5091568051774935E-3</v>
      </c>
      <c r="AA806" s="36"/>
    </row>
    <row r="807" spans="15:27" ht="13.9" customHeight="1">
      <c r="O807" s="12">
        <f t="shared" si="90"/>
        <v>66.166666666666671</v>
      </c>
      <c r="P807" s="13">
        <v>794</v>
      </c>
      <c r="Q807" s="22">
        <v>3.8036498887312309E-2</v>
      </c>
      <c r="R807" s="19">
        <f t="shared" si="91"/>
        <v>3.8505244789913462E-2</v>
      </c>
      <c r="S807" s="22">
        <v>4.1700093174776409E-2</v>
      </c>
      <c r="T807" s="19">
        <f t="shared" si="92"/>
        <v>4.2946277602000871E-2</v>
      </c>
      <c r="U807" s="24">
        <v>4.3700483325215034E-2</v>
      </c>
      <c r="V807" s="24">
        <f t="shared" si="93"/>
        <v>4.2916361641920142E-2</v>
      </c>
      <c r="W807" s="23">
        <f t="shared" si="94"/>
        <v>3.5078707372779849E-3</v>
      </c>
      <c r="X807" s="24">
        <v>4.3271048911843968E-2</v>
      </c>
      <c r="Y807" s="24">
        <f t="shared" si="95"/>
        <v>4.2932922639596249E-2</v>
      </c>
      <c r="Z807" s="23">
        <f t="shared" si="96"/>
        <v>3.5091858605647008E-3</v>
      </c>
      <c r="AA807" s="36"/>
    </row>
    <row r="808" spans="15:27" ht="13.9" customHeight="1">
      <c r="O808" s="12">
        <f t="shared" si="90"/>
        <v>66.25</v>
      </c>
      <c r="P808" s="13">
        <v>795</v>
      </c>
      <c r="Q808" s="22">
        <v>3.8037088371880579E-2</v>
      </c>
      <c r="R808" s="19">
        <f t="shared" si="91"/>
        <v>3.8508866919760187E-2</v>
      </c>
      <c r="S808" s="22">
        <v>4.1701659766667287E-2</v>
      </c>
      <c r="T808" s="19">
        <f t="shared" si="92"/>
        <v>4.2946723708316537E-2</v>
      </c>
      <c r="U808" s="24">
        <v>4.3699496638408108E-2</v>
      </c>
      <c r="V808" s="24">
        <f t="shared" si="93"/>
        <v>4.2916561932655251E-2</v>
      </c>
      <c r="W808" s="23">
        <f t="shared" si="94"/>
        <v>3.5078868361873017E-3</v>
      </c>
      <c r="X808" s="24">
        <v>4.3270623526927121E-2</v>
      </c>
      <c r="Y808" s="24">
        <f t="shared" si="95"/>
        <v>4.2933281135716372E-2</v>
      </c>
      <c r="Z808" s="23">
        <f t="shared" si="96"/>
        <v>3.5092147607327373E-3</v>
      </c>
      <c r="AA808" s="36"/>
    </row>
    <row r="809" spans="15:27" ht="13.9" customHeight="1">
      <c r="O809" s="12">
        <f t="shared" si="90"/>
        <v>66.333333333333329</v>
      </c>
      <c r="P809" s="13">
        <v>796</v>
      </c>
      <c r="Q809" s="22">
        <v>3.8037680924023043E-2</v>
      </c>
      <c r="R809" s="19">
        <f t="shared" si="91"/>
        <v>3.8512458754001777E-2</v>
      </c>
      <c r="S809" s="22">
        <v>4.170322298451179E-2</v>
      </c>
      <c r="T809" s="19">
        <f t="shared" si="92"/>
        <v>4.2947166107805801E-2</v>
      </c>
      <c r="U809" s="24">
        <v>4.3698512683453261E-2</v>
      </c>
      <c r="V809" s="24">
        <f t="shared" si="93"/>
        <v>4.2916761743579945E-2</v>
      </c>
      <c r="W809" s="23">
        <f t="shared" si="94"/>
        <v>3.5079028963849179E-3</v>
      </c>
      <c r="X809" s="24">
        <v>4.3270199661507025E-2</v>
      </c>
      <c r="Y809" s="24">
        <f t="shared" si="95"/>
        <v>4.2933637714911876E-2</v>
      </c>
      <c r="Z809" s="23">
        <f t="shared" si="96"/>
        <v>3.5092435061179206E-3</v>
      </c>
      <c r="AA809" s="36"/>
    </row>
    <row r="810" spans="15:27" ht="13.9" customHeight="1">
      <c r="O810" s="12">
        <f t="shared" si="90"/>
        <v>66.416666666666671</v>
      </c>
      <c r="P810" s="13">
        <v>797</v>
      </c>
      <c r="Q810" s="22">
        <v>3.8038276494189116E-2</v>
      </c>
      <c r="R810" s="19">
        <f t="shared" si="91"/>
        <v>3.8516020548622576E-2</v>
      </c>
      <c r="S810" s="22">
        <v>4.1704782836358145E-2</v>
      </c>
      <c r="T810" s="19">
        <f t="shared" si="92"/>
        <v>4.2947604832448194E-2</v>
      </c>
      <c r="U810" s="24">
        <v>4.3697531449460758E-2</v>
      </c>
      <c r="V810" s="24">
        <f t="shared" si="93"/>
        <v>4.2916961072609006E-2</v>
      </c>
      <c r="W810" s="23">
        <f t="shared" si="94"/>
        <v>3.507918918106423E-3</v>
      </c>
      <c r="X810" s="24">
        <v>4.3269777307456847E-2</v>
      </c>
      <c r="Y810" s="24">
        <f t="shared" si="95"/>
        <v>4.2933992386840147E-2</v>
      </c>
      <c r="Z810" s="23">
        <f t="shared" si="96"/>
        <v>3.5092720977889513E-3</v>
      </c>
      <c r="AA810" s="36"/>
    </row>
    <row r="811" spans="15:27" ht="13.9" customHeight="1">
      <c r="O811" s="12">
        <f t="shared" si="90"/>
        <v>66.5</v>
      </c>
      <c r="P811" s="13">
        <v>798</v>
      </c>
      <c r="Q811" s="22">
        <v>3.803887503339709E-2</v>
      </c>
      <c r="R811" s="19">
        <f t="shared" si="91"/>
        <v>3.8519552557021219E-2</v>
      </c>
      <c r="S811" s="22">
        <v>4.1706339330254361E-2</v>
      </c>
      <c r="T811" s="19">
        <f t="shared" si="92"/>
        <v>4.2948039912410474E-2</v>
      </c>
      <c r="U811" s="24">
        <v>4.3696552925592824E-2</v>
      </c>
      <c r="V811" s="24">
        <f t="shared" si="93"/>
        <v>4.2917159928021142E-2</v>
      </c>
      <c r="W811" s="23">
        <f t="shared" si="94"/>
        <v>3.5079349011846173E-3</v>
      </c>
      <c r="X811" s="24">
        <v>4.3269356456702379E-2</v>
      </c>
      <c r="Y811" s="24">
        <f t="shared" si="95"/>
        <v>4.293434516115413E-2</v>
      </c>
      <c r="Z811" s="23">
        <f t="shared" si="96"/>
        <v>3.5093005365203211E-3</v>
      </c>
      <c r="AA811" s="36"/>
    </row>
    <row r="812" spans="15:27" ht="13.9" customHeight="1">
      <c r="O812" s="12">
        <f t="shared" si="90"/>
        <v>66.583333333333329</v>
      </c>
      <c r="P812" s="13">
        <v>799</v>
      </c>
      <c r="Q812" s="22">
        <v>3.8039476493228364E-2</v>
      </c>
      <c r="R812" s="19">
        <f t="shared" si="91"/>
        <v>3.8523055030495357E-2</v>
      </c>
      <c r="S812" s="22">
        <v>4.1707892474246E-2</v>
      </c>
      <c r="T812" s="19">
        <f t="shared" si="92"/>
        <v>4.2948471378033259E-2</v>
      </c>
      <c r="U812" s="24">
        <v>4.3695577101076521E-2</v>
      </c>
      <c r="V812" s="24">
        <f t="shared" si="93"/>
        <v>4.2917358303808051E-2</v>
      </c>
      <c r="W812" s="23">
        <f t="shared" si="94"/>
        <v>3.5079508462831921E-3</v>
      </c>
      <c r="X812" s="24">
        <v>4.326893710122226E-2</v>
      </c>
      <c r="Y812" s="24">
        <f t="shared" si="95"/>
        <v>4.2934696048444243E-2</v>
      </c>
      <c r="Z812" s="23">
        <f t="shared" si="96"/>
        <v>3.5093288230858555E-3</v>
      </c>
      <c r="AA812" s="36"/>
    </row>
    <row r="813" spans="15:27" ht="13.9" customHeight="1">
      <c r="O813" s="12">
        <f t="shared" si="90"/>
        <v>66.666666666666671</v>
      </c>
      <c r="P813" s="13">
        <v>800</v>
      </c>
      <c r="Q813" s="22">
        <v>3.8040080825820333E-2</v>
      </c>
      <c r="R813" s="19">
        <f t="shared" si="91"/>
        <v>3.8526528216354272E-2</v>
      </c>
      <c r="S813" s="22">
        <v>4.1709442276375963E-2</v>
      </c>
      <c r="T813" s="19">
        <f t="shared" si="92"/>
        <v>4.2948899258248741E-2</v>
      </c>
      <c r="U813" s="24">
        <v>4.3694603965184875E-2</v>
      </c>
      <c r="V813" s="24">
        <f t="shared" si="93"/>
        <v>4.291755619755766E-2</v>
      </c>
      <c r="W813" s="23">
        <f t="shared" si="94"/>
        <v>3.5079667529207548E-3</v>
      </c>
      <c r="X813" s="24">
        <v>4.3268519233048419E-2</v>
      </c>
      <c r="Y813" s="24">
        <f t="shared" si="95"/>
        <v>4.2935045057541643E-2</v>
      </c>
      <c r="Z813" s="23">
        <f t="shared" si="96"/>
        <v>3.509356958335319E-3</v>
      </c>
      <c r="AA813" s="36"/>
    </row>
    <row r="814" spans="15:27" ht="13.9" customHeight="1">
      <c r="O814" s="12">
        <f t="shared" si="90"/>
        <v>66.75</v>
      </c>
      <c r="P814" s="13">
        <v>801</v>
      </c>
      <c r="Q814" s="22">
        <v>3.8040687983858623E-2</v>
      </c>
      <c r="R814" s="19">
        <f t="shared" si="91"/>
        <v>3.8529972361617926E-2</v>
      </c>
      <c r="S814" s="22">
        <v>4.1710988744683375E-2</v>
      </c>
      <c r="T814" s="19">
        <f t="shared" si="92"/>
        <v>4.2949323583991283E-2</v>
      </c>
      <c r="U814" s="24">
        <v>4.369363350724198E-2</v>
      </c>
      <c r="V814" s="24">
        <f t="shared" si="93"/>
        <v>4.2917753618323173E-2</v>
      </c>
      <c r="W814" s="23">
        <f t="shared" si="94"/>
        <v>3.5079826209034604E-3</v>
      </c>
      <c r="X814" s="24">
        <v>4.3268102844263412E-2</v>
      </c>
      <c r="Y814" s="24">
        <f t="shared" si="95"/>
        <v>4.2935392200905032E-2</v>
      </c>
      <c r="Z814" s="23">
        <f t="shared" si="96"/>
        <v>3.50938494297659E-3</v>
      </c>
      <c r="AA814" s="36"/>
    </row>
    <row r="815" spans="15:27" ht="13.9" customHeight="1">
      <c r="O815" s="12">
        <f t="shared" si="90"/>
        <v>66.833333333333329</v>
      </c>
      <c r="P815" s="13">
        <v>802</v>
      </c>
      <c r="Q815" s="22">
        <v>3.8041297920572648E-2</v>
      </c>
      <c r="R815" s="19">
        <f t="shared" si="91"/>
        <v>3.85333877128331E-2</v>
      </c>
      <c r="S815" s="22">
        <v>4.1712531887205806E-2</v>
      </c>
      <c r="T815" s="19">
        <f t="shared" si="92"/>
        <v>4.2949744385725408E-2</v>
      </c>
      <c r="U815" s="24">
        <v>4.3692665716636103E-2</v>
      </c>
      <c r="V815" s="24">
        <f t="shared" si="93"/>
        <v>4.2917950568866159E-2</v>
      </c>
      <c r="W815" s="23">
        <f t="shared" si="94"/>
        <v>3.5079984509576168E-3</v>
      </c>
      <c r="X815" s="24">
        <v>4.3267687927005083E-2</v>
      </c>
      <c r="Y815" s="24">
        <f t="shared" si="95"/>
        <v>4.2935737486732073E-2</v>
      </c>
      <c r="Z815" s="23">
        <f t="shared" si="96"/>
        <v>3.5094127780090911E-3</v>
      </c>
      <c r="AA815" s="36"/>
    </row>
    <row r="816" spans="15:27" ht="13.9" customHeight="1">
      <c r="O816" s="12">
        <f t="shared" si="90"/>
        <v>66.916666666666671</v>
      </c>
      <c r="P816" s="13">
        <v>803</v>
      </c>
      <c r="Q816" s="22">
        <v>3.8041910589732275E-2</v>
      </c>
      <c r="R816" s="19">
        <f t="shared" si="91"/>
        <v>3.8536774510732119E-2</v>
      </c>
      <c r="S816" s="22">
        <v>4.1714071711978384E-2</v>
      </c>
      <c r="T816" s="19">
        <f t="shared" si="92"/>
        <v>4.2950161690589628E-2</v>
      </c>
      <c r="U816" s="24">
        <v>4.3691700582812132E-2</v>
      </c>
      <c r="V816" s="24">
        <f t="shared" si="93"/>
        <v>4.2918147045431176E-2</v>
      </c>
      <c r="W816" s="23">
        <f t="shared" si="94"/>
        <v>3.5080142433046024E-3</v>
      </c>
      <c r="X816" s="24">
        <v>4.3267274473460571E-2</v>
      </c>
      <c r="Y816" s="24">
        <f t="shared" si="95"/>
        <v>4.2936080926465614E-2</v>
      </c>
      <c r="Z816" s="23">
        <f t="shared" si="96"/>
        <v>3.5094404640900745E-3</v>
      </c>
      <c r="AA816" s="36"/>
    </row>
    <row r="817" spans="15:27" ht="13.9" customHeight="1">
      <c r="O817" s="12">
        <f t="shared" si="90"/>
        <v>67</v>
      </c>
      <c r="P817" s="13">
        <v>804</v>
      </c>
      <c r="Q817" s="22">
        <v>3.8042525945636951E-2</v>
      </c>
      <c r="R817" s="19">
        <f t="shared" si="91"/>
        <v>3.8540132996752074E-2</v>
      </c>
      <c r="S817" s="22">
        <v>4.1715608227030465E-2</v>
      </c>
      <c r="T817" s="19">
        <f t="shared" si="92"/>
        <v>4.2950575529011381E-2</v>
      </c>
      <c r="U817" s="24">
        <v>4.3690738095262471E-2</v>
      </c>
      <c r="V817" s="24">
        <f t="shared" si="93"/>
        <v>4.2918343047555929E-2</v>
      </c>
      <c r="W817" s="23">
        <f t="shared" si="94"/>
        <v>3.5080299976433249E-3</v>
      </c>
      <c r="X817" s="24">
        <v>4.3266862475870083E-2</v>
      </c>
      <c r="Y817" s="24">
        <f t="shared" si="95"/>
        <v>4.2936422527361406E-2</v>
      </c>
      <c r="Z817" s="23">
        <f t="shared" si="96"/>
        <v>3.5094680021372504E-3</v>
      </c>
      <c r="AA817" s="36"/>
    </row>
    <row r="818" spans="15:27" ht="13.9" customHeight="1">
      <c r="O818" s="12">
        <f t="shared" si="90"/>
        <v>67.083333333333329</v>
      </c>
      <c r="P818" s="13">
        <v>805</v>
      </c>
      <c r="Q818" s="22">
        <v>3.8043143943113034E-2</v>
      </c>
      <c r="R818" s="19">
        <f t="shared" si="91"/>
        <v>3.8543463406836009E-2</v>
      </c>
      <c r="S818" s="22">
        <v>4.1717141440388739E-2</v>
      </c>
      <c r="T818" s="19">
        <f t="shared" si="92"/>
        <v>4.29509859292736E-2</v>
      </c>
      <c r="U818" s="24">
        <v>4.3689778243531707E-2</v>
      </c>
      <c r="V818" s="24">
        <f t="shared" si="93"/>
        <v>4.2918538575317244E-2</v>
      </c>
      <c r="W818" s="23">
        <f t="shared" si="94"/>
        <v>3.5080457139364807E-3</v>
      </c>
      <c r="X818" s="24">
        <v>4.3266451926521565E-2</v>
      </c>
      <c r="Y818" s="24">
        <f t="shared" si="95"/>
        <v>4.2936762301937437E-2</v>
      </c>
      <c r="Z818" s="23">
        <f t="shared" si="96"/>
        <v>3.5094953927325978E-3</v>
      </c>
      <c r="AA818" s="36"/>
    </row>
    <row r="819" spans="15:27" ht="13.9" customHeight="1">
      <c r="O819" s="12">
        <f t="shared" si="90"/>
        <v>67.166666666666671</v>
      </c>
      <c r="P819" s="13">
        <v>806</v>
      </c>
      <c r="Q819" s="22">
        <v>3.8043764537504021E-2</v>
      </c>
      <c r="R819" s="19">
        <f t="shared" si="91"/>
        <v>3.8546765981225084E-2</v>
      </c>
      <c r="S819" s="22">
        <v>4.1718671360075676E-2</v>
      </c>
      <c r="T819" s="19">
        <f t="shared" si="92"/>
        <v>4.2951392921100284E-2</v>
      </c>
      <c r="U819" s="24">
        <v>4.368882101721594E-2</v>
      </c>
      <c r="V819" s="24">
        <f t="shared" si="93"/>
        <v>4.2918733643879659E-2</v>
      </c>
      <c r="W819" s="23">
        <f t="shared" si="94"/>
        <v>3.5080613921905091E-3</v>
      </c>
      <c r="X819" s="24">
        <v>4.3266042817756478E-2</v>
      </c>
      <c r="Y819" s="24">
        <f t="shared" si="95"/>
        <v>4.2937100258678917E-2</v>
      </c>
      <c r="Z819" s="23">
        <f t="shared" si="96"/>
        <v>3.5095226368799803E-3</v>
      </c>
      <c r="AA819" s="36"/>
    </row>
    <row r="820" spans="15:27" ht="13.9" customHeight="1">
      <c r="O820" s="12">
        <f t="shared" si="90"/>
        <v>67.25</v>
      </c>
      <c r="P820" s="13">
        <v>807</v>
      </c>
      <c r="Q820" s="22">
        <v>3.8044387684672776E-2</v>
      </c>
      <c r="R820" s="19">
        <f t="shared" si="91"/>
        <v>3.8550040951667475E-2</v>
      </c>
      <c r="S820" s="22">
        <v>4.1720197994110197E-2</v>
      </c>
      <c r="T820" s="19">
        <f t="shared" si="92"/>
        <v>4.2951796531483621E-2</v>
      </c>
      <c r="U820" s="24">
        <v>4.3687866405981879E-2</v>
      </c>
      <c r="V820" s="24">
        <f t="shared" si="93"/>
        <v>4.2918928244139787E-2</v>
      </c>
      <c r="W820" s="23">
        <f t="shared" si="94"/>
        <v>3.5080770336213263E-3</v>
      </c>
      <c r="X820" s="24">
        <v>4.3265635141965131E-2</v>
      </c>
      <c r="Y820" s="24">
        <f t="shared" si="95"/>
        <v>4.293743640947123E-2</v>
      </c>
      <c r="Z820" s="23">
        <f t="shared" si="96"/>
        <v>3.5095497352597427E-3</v>
      </c>
      <c r="AA820" s="36"/>
    </row>
    <row r="821" spans="15:27" ht="13.9" customHeight="1">
      <c r="O821" s="12">
        <f t="shared" si="90"/>
        <v>67.333333333333329</v>
      </c>
      <c r="P821" s="13">
        <v>808</v>
      </c>
      <c r="Q821" s="22">
        <v>3.804501334098731E-2</v>
      </c>
      <c r="R821" s="19">
        <f t="shared" si="91"/>
        <v>3.8553288551013365E-2</v>
      </c>
      <c r="S821" s="22">
        <v>4.1721721350505447E-2</v>
      </c>
      <c r="T821" s="19">
        <f t="shared" si="92"/>
        <v>4.2952196789161734E-2</v>
      </c>
      <c r="U821" s="24">
        <v>4.3686914399535981E-2</v>
      </c>
      <c r="V821" s="24">
        <f t="shared" si="93"/>
        <v>4.2919122368470397E-2</v>
      </c>
      <c r="W821" s="23">
        <f t="shared" si="94"/>
        <v>3.5080926374990717E-3</v>
      </c>
      <c r="X821" s="24">
        <v>4.3265228891590013E-2</v>
      </c>
      <c r="Y821" s="24">
        <f t="shared" si="95"/>
        <v>4.2937770759680527E-2</v>
      </c>
      <c r="Z821" s="23">
        <f t="shared" si="96"/>
        <v>3.5095766888251223E-3</v>
      </c>
      <c r="AA821" s="36"/>
    </row>
    <row r="822" spans="15:27" ht="13.9" customHeight="1">
      <c r="O822" s="12">
        <f t="shared" si="90"/>
        <v>67.416666666666671</v>
      </c>
      <c r="P822" s="13">
        <v>809</v>
      </c>
      <c r="Q822" s="22">
        <v>3.8045641463319457E-2</v>
      </c>
      <c r="R822" s="19">
        <f t="shared" si="91"/>
        <v>3.8556509009397777E-2</v>
      </c>
      <c r="S822" s="22">
        <v>4.1723241437269909E-2</v>
      </c>
      <c r="T822" s="19">
        <f t="shared" si="92"/>
        <v>4.2952593720978038E-2</v>
      </c>
      <c r="U822" s="24">
        <v>4.3685964987626447E-2</v>
      </c>
      <c r="V822" s="24">
        <f t="shared" si="93"/>
        <v>4.2919316030265664E-2</v>
      </c>
      <c r="W822" s="23">
        <f t="shared" si="94"/>
        <v>3.5081082032120126E-3</v>
      </c>
      <c r="X822" s="24">
        <v>4.3264824059117801E-2</v>
      </c>
      <c r="Y822" s="24">
        <f t="shared" si="95"/>
        <v>4.2938103322476717E-2</v>
      </c>
      <c r="Z822" s="23">
        <f t="shared" si="96"/>
        <v>3.5096034980066637E-3</v>
      </c>
      <c r="AA822" s="36"/>
    </row>
    <row r="823" spans="15:27" ht="13.9" customHeight="1">
      <c r="O823" s="12">
        <f t="shared" si="90"/>
        <v>67.5</v>
      </c>
      <c r="P823" s="13">
        <v>810</v>
      </c>
      <c r="Q823" s="22">
        <v>3.8046272009038429E-2</v>
      </c>
      <c r="R823" s="19">
        <f t="shared" si="91"/>
        <v>3.8559702555371E-2</v>
      </c>
      <c r="S823" s="22">
        <v>4.1724758262406292E-2</v>
      </c>
      <c r="T823" s="19">
        <f t="shared" si="92"/>
        <v>4.2952987356784877E-2</v>
      </c>
      <c r="U823" s="24">
        <v>4.3685018160068534E-2</v>
      </c>
      <c r="V823" s="24">
        <f t="shared" si="93"/>
        <v>4.291950922730825E-2</v>
      </c>
      <c r="W823" s="23">
        <f t="shared" si="94"/>
        <v>3.5081237318344005E-3</v>
      </c>
      <c r="X823" s="24">
        <v>4.3264420637088241E-2</v>
      </c>
      <c r="Y823" s="24">
        <f t="shared" si="95"/>
        <v>4.2938434106702728E-2</v>
      </c>
      <c r="Z823" s="23">
        <f t="shared" si="96"/>
        <v>3.509630163860189E-3</v>
      </c>
      <c r="AA823" s="36"/>
    </row>
    <row r="824" spans="15:27" ht="13.9" customHeight="1">
      <c r="O824" s="12">
        <f t="shared" si="90"/>
        <v>67.583333333333329</v>
      </c>
      <c r="P824" s="13">
        <v>811</v>
      </c>
      <c r="Q824" s="22">
        <v>3.8046904936005266E-2</v>
      </c>
      <c r="R824" s="19">
        <f t="shared" si="91"/>
        <v>3.8562869416401746E-2</v>
      </c>
      <c r="S824" s="22">
        <v>4.1726271833913975E-2</v>
      </c>
      <c r="T824" s="19">
        <f t="shared" si="92"/>
        <v>4.295337772208474E-2</v>
      </c>
      <c r="U824" s="24">
        <v>4.3684073906725018E-2</v>
      </c>
      <c r="V824" s="24">
        <f t="shared" si="93"/>
        <v>4.2919701967404356E-2</v>
      </c>
      <c r="W824" s="23">
        <f t="shared" si="94"/>
        <v>3.5081392231881559E-3</v>
      </c>
      <c r="X824" s="24">
        <v>4.326401861808904E-2</v>
      </c>
      <c r="Y824" s="24">
        <f t="shared" si="95"/>
        <v>4.2938763121981305E-2</v>
      </c>
      <c r="Z824" s="23">
        <f t="shared" si="96"/>
        <v>3.5096566870951307E-3</v>
      </c>
      <c r="AA824" s="36"/>
    </row>
    <row r="825" spans="15:27" ht="13.9" customHeight="1">
      <c r="O825" s="12">
        <f t="shared" si="90"/>
        <v>67.666666666666671</v>
      </c>
      <c r="P825" s="13">
        <v>812</v>
      </c>
      <c r="Q825" s="22">
        <v>3.8047540202569063E-2</v>
      </c>
      <c r="R825" s="19">
        <f t="shared" si="91"/>
        <v>3.8566009815408586E-2</v>
      </c>
      <c r="S825" s="22">
        <v>4.1727782159784566E-2</v>
      </c>
      <c r="T825" s="19">
        <f t="shared" si="92"/>
        <v>4.2953764844405606E-2</v>
      </c>
      <c r="U825" s="24">
        <v>4.3683132217518184E-2</v>
      </c>
      <c r="V825" s="24">
        <f t="shared" si="93"/>
        <v>4.291989423177367E-2</v>
      </c>
      <c r="W825" s="23">
        <f t="shared" si="94"/>
        <v>3.5081546778994444E-3</v>
      </c>
      <c r="X825" s="24">
        <v>4.3263617994756309E-2</v>
      </c>
      <c r="Y825" s="24">
        <f t="shared" si="95"/>
        <v>4.2939090376727496E-2</v>
      </c>
      <c r="Z825" s="23">
        <f t="shared" si="96"/>
        <v>3.5096830684830937E-3</v>
      </c>
      <c r="AA825" s="36"/>
    </row>
    <row r="826" spans="15:27" ht="13.9" customHeight="1">
      <c r="O826" s="12">
        <f t="shared" si="90"/>
        <v>67.75</v>
      </c>
      <c r="P826" s="13">
        <v>813</v>
      </c>
      <c r="Q826" s="22">
        <v>3.8048177767558089E-2</v>
      </c>
      <c r="R826" s="19">
        <f t="shared" si="91"/>
        <v>3.8569123975683572E-2</v>
      </c>
      <c r="S826" s="22">
        <v>4.1729289248004342E-2</v>
      </c>
      <c r="T826" s="19">
        <f t="shared" si="92"/>
        <v>4.2954148751046084E-2</v>
      </c>
      <c r="U826" s="24">
        <v>4.3682193082396958E-2</v>
      </c>
      <c r="V826" s="24">
        <f t="shared" si="93"/>
        <v>4.2920086039670569E-2</v>
      </c>
      <c r="W826" s="23">
        <f t="shared" si="94"/>
        <v>3.5081700944623595E-3</v>
      </c>
      <c r="X826" s="24">
        <v>4.326321875977257E-2</v>
      </c>
      <c r="Y826" s="24">
        <f t="shared" si="95"/>
        <v>4.2939415879937215E-2</v>
      </c>
      <c r="Z826" s="23">
        <f t="shared" si="96"/>
        <v>3.5097093086990938E-3</v>
      </c>
      <c r="AA826" s="36"/>
    </row>
    <row r="827" spans="15:27" ht="13.9" customHeight="1">
      <c r="O827" s="12">
        <f t="shared" si="90"/>
        <v>67.833333333333329</v>
      </c>
      <c r="P827" s="13">
        <v>814</v>
      </c>
      <c r="Q827" s="22">
        <v>3.804881759027734E-2</v>
      </c>
      <c r="R827" s="19">
        <f t="shared" si="91"/>
        <v>3.8572212117574445E-2</v>
      </c>
      <c r="S827" s="22">
        <v>4.1730793106553588E-2</v>
      </c>
      <c r="T827" s="19">
        <f t="shared" si="92"/>
        <v>4.2954529469261482E-2</v>
      </c>
      <c r="U827" s="24">
        <v>4.3681256491383103E-2</v>
      </c>
      <c r="V827" s="24">
        <f t="shared" si="93"/>
        <v>4.2920277392836104E-2</v>
      </c>
      <c r="W827" s="23">
        <f t="shared" si="94"/>
        <v>3.5081854744207774E-3</v>
      </c>
      <c r="X827" s="24">
        <v>4.3262820905867638E-2</v>
      </c>
      <c r="Y827" s="24">
        <f t="shared" si="95"/>
        <v>4.2939739645130537E-2</v>
      </c>
      <c r="Z827" s="23">
        <f t="shared" si="96"/>
        <v>3.5097354084641097E-3</v>
      </c>
      <c r="AA827" s="36"/>
    </row>
    <row r="828" spans="15:27" ht="13.9" customHeight="1">
      <c r="O828" s="12">
        <f t="shared" si="90"/>
        <v>67.916666666666671</v>
      </c>
      <c r="P828" s="13">
        <v>815</v>
      </c>
      <c r="Q828" s="22">
        <v>3.8049459630502103E-2</v>
      </c>
      <c r="R828" s="19">
        <f t="shared" si="91"/>
        <v>3.8575274460745046E-2</v>
      </c>
      <c r="S828" s="22">
        <v>4.1732293743407034E-2</v>
      </c>
      <c r="T828" s="19">
        <f t="shared" si="92"/>
        <v>4.2954907024234767E-2</v>
      </c>
      <c r="U828" s="24">
        <v>4.368032243454989E-2</v>
      </c>
      <c r="V828" s="24">
        <f t="shared" si="93"/>
        <v>4.2920468281877122E-2</v>
      </c>
      <c r="W828" s="23">
        <f t="shared" si="94"/>
        <v>3.5082008179143642E-3</v>
      </c>
      <c r="X828" s="24">
        <v>4.3262424425823287E-2</v>
      </c>
      <c r="Y828" s="24">
        <f t="shared" si="95"/>
        <v>4.2940061676072006E-2</v>
      </c>
      <c r="Z828" s="23">
        <f t="shared" si="96"/>
        <v>3.5097613688630513E-3</v>
      </c>
      <c r="AA828" s="36"/>
    </row>
    <row r="829" spans="15:27" ht="13.9" customHeight="1">
      <c r="O829" s="12">
        <f t="shared" si="90"/>
        <v>68</v>
      </c>
      <c r="P829" s="13">
        <v>816</v>
      </c>
      <c r="Q829" s="22">
        <v>3.8050103848473738E-2</v>
      </c>
      <c r="R829" s="19">
        <f t="shared" si="91"/>
        <v>3.8578311222032147E-2</v>
      </c>
      <c r="S829" s="22">
        <v>4.1733791166530976E-2</v>
      </c>
      <c r="T829" s="19">
        <f t="shared" si="92"/>
        <v>4.2955281443429749E-2</v>
      </c>
      <c r="U829" s="24">
        <v>4.3679390902007453E-2</v>
      </c>
      <c r="V829" s="24">
        <f t="shared" si="93"/>
        <v>4.2920658709259873E-2</v>
      </c>
      <c r="W829" s="23">
        <f t="shared" si="94"/>
        <v>3.5082161241899446E-3</v>
      </c>
      <c r="X829" s="24">
        <v>4.3262029312461481E-2</v>
      </c>
      <c r="Y829" s="24">
        <f t="shared" si="95"/>
        <v>4.2940381985300258E-2</v>
      </c>
      <c r="Z829" s="23">
        <f t="shared" si="96"/>
        <v>3.5097871901972333E-3</v>
      </c>
      <c r="AA829" s="36"/>
    </row>
    <row r="830" spans="15:27" ht="13.9" customHeight="1">
      <c r="O830" s="12">
        <f t="shared" si="90"/>
        <v>68.083333333333329</v>
      </c>
      <c r="P830" s="13">
        <v>817</v>
      </c>
      <c r="Q830" s="22">
        <v>3.8050750204894124E-2</v>
      </c>
      <c r="R830" s="19">
        <f t="shared" si="91"/>
        <v>3.8581322615363511E-2</v>
      </c>
      <c r="S830" s="22">
        <v>4.1735285383886378E-2</v>
      </c>
      <c r="T830" s="19">
        <f t="shared" si="92"/>
        <v>4.2955652751704765E-2</v>
      </c>
      <c r="U830" s="24">
        <v>4.3678461883917441E-2</v>
      </c>
      <c r="V830" s="24">
        <f t="shared" si="93"/>
        <v>4.2920848684284474E-2</v>
      </c>
      <c r="W830" s="23">
        <f t="shared" si="94"/>
        <v>3.5082313934451381E-3</v>
      </c>
      <c r="X830" s="24">
        <v>4.326163555865481E-2</v>
      </c>
      <c r="Y830" s="24">
        <f t="shared" si="95"/>
        <v>4.2940700580659685E-2</v>
      </c>
      <c r="Z830" s="23">
        <f t="shared" si="96"/>
        <v>3.5098128734725176E-3</v>
      </c>
      <c r="AA830" s="36"/>
    </row>
    <row r="831" spans="15:27" ht="13.9" customHeight="1">
      <c r="O831" s="12">
        <f t="shared" si="90"/>
        <v>68.166666666666671</v>
      </c>
      <c r="P831" s="13">
        <v>818</v>
      </c>
      <c r="Q831" s="22">
        <v>3.8051398660919E-2</v>
      </c>
      <c r="R831" s="19">
        <f t="shared" si="91"/>
        <v>3.8584308855114546E-2</v>
      </c>
      <c r="S831" s="22">
        <v>4.1736776403425768E-2</v>
      </c>
      <c r="T831" s="19">
        <f t="shared" si="92"/>
        <v>4.2956020976450127E-2</v>
      </c>
      <c r="U831" s="24">
        <v>4.3677535370501008E-2</v>
      </c>
      <c r="V831" s="24">
        <f t="shared" si="93"/>
        <v>4.2921038202335282E-2</v>
      </c>
      <c r="W831" s="23">
        <f t="shared" si="94"/>
        <v>3.5082466264260148E-3</v>
      </c>
      <c r="X831" s="24">
        <v>4.3261243157320051E-2</v>
      </c>
      <c r="Y831" s="24">
        <f t="shared" si="95"/>
        <v>4.2941017472555076E-2</v>
      </c>
      <c r="Z831" s="23">
        <f t="shared" si="96"/>
        <v>3.5098384193179566E-3</v>
      </c>
      <c r="AA831" s="36"/>
    </row>
    <row r="832" spans="15:27" ht="13.9" customHeight="1">
      <c r="O832" s="12">
        <f t="shared" si="90"/>
        <v>68.25</v>
      </c>
      <c r="P832" s="13">
        <v>819</v>
      </c>
      <c r="Q832" s="22">
        <v>3.8052049178155078E-2</v>
      </c>
      <c r="R832" s="19">
        <f t="shared" si="91"/>
        <v>3.8587270151828168E-2</v>
      </c>
      <c r="S832" s="22">
        <v>4.1738264233095901E-2</v>
      </c>
      <c r="T832" s="19">
        <f t="shared" si="92"/>
        <v>4.2956386142684932E-2</v>
      </c>
      <c r="U832" s="24">
        <v>4.3676611352021499E-2</v>
      </c>
      <c r="V832" s="24">
        <f t="shared" si="93"/>
        <v>4.2921227267033402E-2</v>
      </c>
      <c r="W832" s="23">
        <f t="shared" si="94"/>
        <v>3.5082618227624263E-3</v>
      </c>
      <c r="X832" s="24">
        <v>4.3260852101421499E-2</v>
      </c>
      <c r="Y832" s="24">
        <f t="shared" si="95"/>
        <v>4.2941332671684318E-2</v>
      </c>
      <c r="Z832" s="23">
        <f t="shared" si="96"/>
        <v>3.5098638285677719E-3</v>
      </c>
      <c r="AA832" s="36"/>
    </row>
    <row r="833" spans="15:27" ht="13.9" customHeight="1">
      <c r="O833" s="12">
        <f t="shared" si="90"/>
        <v>68.333333333333329</v>
      </c>
      <c r="P833" s="13">
        <v>820</v>
      </c>
      <c r="Q833" s="22">
        <v>3.8052701718653825E-2</v>
      </c>
      <c r="R833" s="19">
        <f t="shared" si="91"/>
        <v>3.8590206716609732E-2</v>
      </c>
      <c r="S833" s="22">
        <v>4.1739748880835759E-2</v>
      </c>
      <c r="T833" s="19">
        <f t="shared" si="92"/>
        <v>4.2956748275000178E-2</v>
      </c>
      <c r="U833" s="24">
        <v>4.3675689818794217E-2</v>
      </c>
      <c r="V833" s="24">
        <f t="shared" si="93"/>
        <v>4.2921415872798185E-2</v>
      </c>
      <c r="W833" s="23">
        <f t="shared" si="94"/>
        <v>3.5082769827443627E-3</v>
      </c>
      <c r="X833" s="24">
        <v>4.3260462383970744E-2</v>
      </c>
      <c r="Y833" s="24">
        <f t="shared" si="95"/>
        <v>4.2941646181019699E-2</v>
      </c>
      <c r="Z833" s="23">
        <f t="shared" si="96"/>
        <v>3.5098891020799439E-3</v>
      </c>
      <c r="AA833" s="36"/>
    </row>
    <row r="834" spans="15:27" ht="13.9" customHeight="1">
      <c r="O834" s="12">
        <f t="shared" si="90"/>
        <v>68.416666666666671</v>
      </c>
      <c r="P834" s="13">
        <v>821</v>
      </c>
      <c r="Q834" s="22">
        <v>3.8053356244908354E-2</v>
      </c>
      <c r="R834" s="19">
        <f t="shared" si="91"/>
        <v>3.8593118756502065E-2</v>
      </c>
      <c r="S834" s="22">
        <v>4.1741230354575221E-2</v>
      </c>
      <c r="T834" s="19">
        <f t="shared" si="92"/>
        <v>4.2957107399951733E-2</v>
      </c>
      <c r="U834" s="24">
        <v>4.3674770761174875E-2</v>
      </c>
      <c r="V834" s="24">
        <f t="shared" si="93"/>
        <v>4.2921604030579097E-2</v>
      </c>
      <c r="W834" s="23">
        <f t="shared" si="94"/>
        <v>3.5082921059248484E-3</v>
      </c>
      <c r="X834" s="24">
        <v>4.3260073998017123E-2</v>
      </c>
      <c r="Y834" s="24">
        <f t="shared" si="95"/>
        <v>4.2941958016211812E-2</v>
      </c>
      <c r="Z834" s="23">
        <f t="shared" si="96"/>
        <v>3.5099142400931704E-3</v>
      </c>
      <c r="AA834" s="36"/>
    </row>
    <row r="835" spans="15:27" ht="13.9" customHeight="1">
      <c r="O835" s="12">
        <f t="shared" si="90"/>
        <v>68.5</v>
      </c>
      <c r="P835" s="13">
        <v>822</v>
      </c>
      <c r="Q835" s="22">
        <v>3.8054012719846542E-2</v>
      </c>
      <c r="R835" s="19">
        <f t="shared" si="91"/>
        <v>3.8596006476246947E-2</v>
      </c>
      <c r="S835" s="22">
        <v>4.1742708662237726E-2</v>
      </c>
      <c r="T835" s="19">
        <f t="shared" si="92"/>
        <v>4.2957463540926666E-2</v>
      </c>
      <c r="U835" s="24">
        <v>4.3673854169579363E-2</v>
      </c>
      <c r="V835" s="24">
        <f t="shared" si="93"/>
        <v>4.2921791733031567E-2</v>
      </c>
      <c r="W835" s="23">
        <f t="shared" si="94"/>
        <v>3.5083071931814036E-3</v>
      </c>
      <c r="X835" s="24">
        <v>4.32596869366626E-2</v>
      </c>
      <c r="Y835" s="24">
        <f t="shared" si="95"/>
        <v>4.2942268182841747E-2</v>
      </c>
      <c r="Z835" s="23">
        <f t="shared" si="96"/>
        <v>3.5099392438622257E-3</v>
      </c>
      <c r="AA835" s="36"/>
    </row>
    <row r="836" spans="15:27" ht="13.9" customHeight="1">
      <c r="O836" s="12">
        <f t="shared" si="90"/>
        <v>68.583333333333329</v>
      </c>
      <c r="P836" s="13">
        <v>823</v>
      </c>
      <c r="Q836" s="22">
        <v>3.8054671106825033E-2</v>
      </c>
      <c r="R836" s="19">
        <f t="shared" si="91"/>
        <v>3.8598870082722003E-2</v>
      </c>
      <c r="S836" s="22">
        <v>4.1744183811737168E-2</v>
      </c>
      <c r="T836" s="19">
        <f t="shared" si="92"/>
        <v>4.2957816724882303E-2</v>
      </c>
      <c r="U836" s="24">
        <v>4.3672940034461316E-2</v>
      </c>
      <c r="V836" s="24">
        <f t="shared" si="93"/>
        <v>4.2921978988885501E-2</v>
      </c>
      <c r="W836" s="23">
        <f t="shared" si="94"/>
        <v>3.5083222439256101E-3</v>
      </c>
      <c r="X836" s="24">
        <v>4.3259301193049771E-2</v>
      </c>
      <c r="Y836" s="24">
        <f t="shared" si="95"/>
        <v>4.2942576691555434E-2</v>
      </c>
      <c r="Z836" s="23">
        <f t="shared" si="96"/>
        <v>3.5099641138345294E-3</v>
      </c>
      <c r="AA836" s="36"/>
    </row>
    <row r="837" spans="15:27" ht="13.9" customHeight="1">
      <c r="O837" s="12">
        <f t="shared" si="90"/>
        <v>68.666666666666671</v>
      </c>
      <c r="P837" s="13">
        <v>824</v>
      </c>
      <c r="Q837" s="22">
        <v>3.8055331369629464E-2</v>
      </c>
      <c r="R837" s="19">
        <f t="shared" si="91"/>
        <v>3.8601709777234428E-2</v>
      </c>
      <c r="S837" s="22">
        <v>4.1745655810980997E-2</v>
      </c>
      <c r="T837" s="19">
        <f t="shared" si="92"/>
        <v>4.2958166974845557E-2</v>
      </c>
      <c r="U837" s="24">
        <v>4.3672028346331215E-2</v>
      </c>
      <c r="V837" s="24">
        <f t="shared" si="93"/>
        <v>4.2922165795159284E-2</v>
      </c>
      <c r="W837" s="23">
        <f t="shared" si="94"/>
        <v>3.5083372588573525E-3</v>
      </c>
      <c r="X837" s="24">
        <v>4.3258916760367416E-2</v>
      </c>
      <c r="Y837" s="24">
        <f t="shared" si="95"/>
        <v>4.2942883549095034E-2</v>
      </c>
      <c r="Z837" s="23">
        <f t="shared" si="96"/>
        <v>3.5099888508642874E-3</v>
      </c>
      <c r="AA837" s="36"/>
    </row>
    <row r="838" spans="15:27" ht="13.9" customHeight="1">
      <c r="O838" s="12">
        <f t="shared" si="90"/>
        <v>68.75</v>
      </c>
      <c r="P838" s="13">
        <v>825</v>
      </c>
      <c r="Q838" s="22">
        <v>3.8055993472465355E-2</v>
      </c>
      <c r="R838" s="19">
        <f t="shared" si="91"/>
        <v>3.8604525760538078E-2</v>
      </c>
      <c r="S838" s="22">
        <v>4.1747124667866675E-2</v>
      </c>
      <c r="T838" s="19">
        <f t="shared" si="92"/>
        <v>4.2958514315000862E-2</v>
      </c>
      <c r="U838" s="24">
        <v>4.3671119095742172E-2</v>
      </c>
      <c r="V838" s="24">
        <f t="shared" si="93"/>
        <v>4.2922352151961052E-2</v>
      </c>
      <c r="W838" s="23">
        <f t="shared" si="94"/>
        <v>3.5083522377372667E-3</v>
      </c>
      <c r="X838" s="24">
        <v>4.3258533631845397E-2</v>
      </c>
      <c r="Y838" s="24">
        <f t="shared" si="95"/>
        <v>4.2943188766302764E-2</v>
      </c>
      <c r="Z838" s="23">
        <f t="shared" si="96"/>
        <v>3.510013455491956E-3</v>
      </c>
      <c r="AA838" s="36"/>
    </row>
    <row r="839" spans="15:27" ht="13.9" customHeight="1">
      <c r="O839" s="12">
        <f t="shared" si="90"/>
        <v>68.833333333333329</v>
      </c>
      <c r="P839" s="13">
        <v>826</v>
      </c>
      <c r="Q839" s="22">
        <v>3.8056657379954562E-2</v>
      </c>
      <c r="R839" s="19">
        <f t="shared" si="91"/>
        <v>3.8607318232257493E-2</v>
      </c>
      <c r="S839" s="22">
        <v>4.174859039028278E-2</v>
      </c>
      <c r="T839" s="19">
        <f t="shared" si="92"/>
        <v>4.2958858770863584E-2</v>
      </c>
      <c r="U839" s="24">
        <v>4.3670212273293041E-2</v>
      </c>
      <c r="V839" s="24">
        <f t="shared" si="93"/>
        <v>4.2922538062566185E-2</v>
      </c>
      <c r="W839" s="23">
        <f t="shared" si="94"/>
        <v>3.5083671805742345E-3</v>
      </c>
      <c r="X839" s="24">
        <v>4.3258151800759537E-2</v>
      </c>
      <c r="Y839" s="24">
        <f t="shared" si="95"/>
        <v>4.2943492352140122E-2</v>
      </c>
      <c r="Z839" s="23">
        <f t="shared" si="96"/>
        <v>3.5100379285868399E-3</v>
      </c>
      <c r="AA839" s="36"/>
    </row>
    <row r="840" spans="15:27" ht="13.9" customHeight="1">
      <c r="O840" s="12">
        <f t="shared" si="90"/>
        <v>68.916666666666671</v>
      </c>
      <c r="P840" s="13">
        <v>827</v>
      </c>
      <c r="Q840" s="22">
        <v>3.8057323057131276E-2</v>
      </c>
      <c r="R840" s="19">
        <f t="shared" si="91"/>
        <v>3.8610087388964986E-2</v>
      </c>
      <c r="S840" s="22">
        <v>4.175005298611012E-2</v>
      </c>
      <c r="T840" s="19">
        <f t="shared" si="92"/>
        <v>4.2959200364924621E-2</v>
      </c>
      <c r="U840" s="24">
        <v>4.366930786963219E-2</v>
      </c>
      <c r="V840" s="24">
        <f t="shared" si="93"/>
        <v>4.2922723519950301E-2</v>
      </c>
      <c r="W840" s="23">
        <f t="shared" si="94"/>
        <v>3.5083820876311567E-3</v>
      </c>
      <c r="X840" s="24">
        <v>4.3257771260428957E-2</v>
      </c>
      <c r="Y840" s="24">
        <f t="shared" si="95"/>
        <v>4.2943794311523176E-2</v>
      </c>
      <c r="Z840" s="23">
        <f t="shared" si="96"/>
        <v>3.5100622708679197E-3</v>
      </c>
      <c r="AA840" s="36"/>
    </row>
    <row r="841" spans="15:27" ht="13.9" customHeight="1">
      <c r="O841" s="12">
        <f t="shared" si="90"/>
        <v>69</v>
      </c>
      <c r="P841" s="13">
        <v>828</v>
      </c>
      <c r="Q841" s="22">
        <v>3.8057990469436254E-2</v>
      </c>
      <c r="R841" s="19">
        <f t="shared" si="91"/>
        <v>3.8612833427997373E-2</v>
      </c>
      <c r="S841" s="22">
        <v>4.1751512463218843E-2</v>
      </c>
      <c r="T841" s="19">
        <f t="shared" si="92"/>
        <v>4.2959539122197521E-2</v>
      </c>
      <c r="U841" s="24">
        <v>4.3668405875444627E-2</v>
      </c>
      <c r="V841" s="24">
        <f t="shared" si="93"/>
        <v>4.2922908539823279E-2</v>
      </c>
      <c r="W841" s="23">
        <f t="shared" si="94"/>
        <v>3.508396958344262E-3</v>
      </c>
      <c r="X841" s="24">
        <v>4.3257392004211193E-2</v>
      </c>
      <c r="Y841" s="24">
        <f t="shared" si="95"/>
        <v>4.294409465731408E-2</v>
      </c>
      <c r="Z841" s="23">
        <f t="shared" si="96"/>
        <v>3.5100864827293243E-3</v>
      </c>
      <c r="AA841" s="36"/>
    </row>
    <row r="842" spans="15:27" ht="13.9" customHeight="1">
      <c r="O842" s="12">
        <f t="shared" si="90"/>
        <v>69.083333333333329</v>
      </c>
      <c r="P842" s="13">
        <v>829</v>
      </c>
      <c r="Q842" s="22">
        <v>3.8058659582715038E-2</v>
      </c>
      <c r="R842" s="19">
        <f t="shared" si="91"/>
        <v>3.8615556542757945E-2</v>
      </c>
      <c r="S842" s="22">
        <v>4.1752968829471326E-2</v>
      </c>
      <c r="T842" s="19">
        <f t="shared" si="92"/>
        <v>4.2959875065908149E-2</v>
      </c>
      <c r="U842" s="24">
        <v>4.3667506281479307E-2</v>
      </c>
      <c r="V842" s="24">
        <f t="shared" si="93"/>
        <v>4.2923093114775046E-2</v>
      </c>
      <c r="W842" s="23">
        <f t="shared" si="94"/>
        <v>3.5084117939738757E-3</v>
      </c>
      <c r="X842" s="24">
        <v>4.3257014025511298E-2</v>
      </c>
      <c r="Y842" s="24">
        <f t="shared" si="95"/>
        <v>4.2944393399148462E-2</v>
      </c>
      <c r="Z842" s="23">
        <f t="shared" si="96"/>
        <v>3.5101105652024511E-3</v>
      </c>
      <c r="AA842" s="36"/>
    </row>
    <row r="843" spans="15:27" ht="13.9" customHeight="1">
      <c r="O843" s="12">
        <f t="shared" si="90"/>
        <v>69.166666666666671</v>
      </c>
      <c r="P843" s="13">
        <v>830</v>
      </c>
      <c r="Q843" s="22">
        <v>3.8059330363210853E-2</v>
      </c>
      <c r="R843" s="19">
        <f t="shared" si="91"/>
        <v>3.8618256925113448E-2</v>
      </c>
      <c r="S843" s="22">
        <v>4.1754422092719956E-2</v>
      </c>
      <c r="T843" s="19">
        <f t="shared" si="92"/>
        <v>4.29602082187166E-2</v>
      </c>
      <c r="U843" s="24">
        <v>4.3666609078520935E-2</v>
      </c>
      <c r="V843" s="24">
        <f t="shared" si="93"/>
        <v>4.2923277241939228E-2</v>
      </c>
      <c r="W843" s="23">
        <f t="shared" si="94"/>
        <v>3.5084265939253623E-3</v>
      </c>
      <c r="X843" s="24">
        <v>4.3256637317777624E-2</v>
      </c>
      <c r="Y843" s="24">
        <f t="shared" si="95"/>
        <v>4.2944690538939012E-2</v>
      </c>
      <c r="Z843" s="23">
        <f t="shared" si="96"/>
        <v>3.5101345190600153E-3</v>
      </c>
      <c r="AA843" s="36"/>
    </row>
    <row r="844" spans="15:27" ht="13.9" customHeight="1">
      <c r="O844" s="12">
        <f t="shared" si="90"/>
        <v>69.25</v>
      </c>
      <c r="P844" s="13">
        <v>831</v>
      </c>
      <c r="Q844" s="22">
        <v>3.8060002777560165E-2</v>
      </c>
      <c r="R844" s="19">
        <f t="shared" si="91"/>
        <v>3.8620934766165238E-2</v>
      </c>
      <c r="S844" s="22">
        <v>4.1755872260806459E-2</v>
      </c>
      <c r="T844" s="19">
        <f t="shared" si="92"/>
        <v>4.2960538604598142E-2</v>
      </c>
      <c r="U844" s="24">
        <v>4.3665714257395072E-2</v>
      </c>
      <c r="V844" s="24">
        <f t="shared" si="93"/>
        <v>4.2923460931215685E-2</v>
      </c>
      <c r="W844" s="23">
        <f t="shared" si="94"/>
        <v>3.5084413579691276E-3</v>
      </c>
      <c r="X844" s="24">
        <v>4.3256261874492496E-2</v>
      </c>
      <c r="Y844" s="24">
        <f t="shared" si="95"/>
        <v>4.2944986092856796E-2</v>
      </c>
      <c r="Z844" s="23">
        <f t="shared" si="96"/>
        <v>3.5101583444556717E-3</v>
      </c>
      <c r="AA844" s="36"/>
    </row>
    <row r="845" spans="15:27" ht="13.9" customHeight="1">
      <c r="O845" s="12">
        <f t="shared" si="90"/>
        <v>69.333333333333329</v>
      </c>
      <c r="P845" s="13">
        <v>832</v>
      </c>
      <c r="Q845" s="22">
        <v>3.8060676792789794E-2</v>
      </c>
      <c r="R845" s="19">
        <f t="shared" si="91"/>
        <v>3.8623590255945306E-2</v>
      </c>
      <c r="S845" s="22">
        <v>4.1757319341563681E-2</v>
      </c>
      <c r="T845" s="19">
        <f t="shared" si="92"/>
        <v>4.296086624612494E-2</v>
      </c>
      <c r="U845" s="24">
        <v>4.3664821808983234E-2</v>
      </c>
      <c r="V845" s="24">
        <f t="shared" si="93"/>
        <v>4.292364417656569E-2</v>
      </c>
      <c r="W845" s="23">
        <f t="shared" si="94"/>
        <v>3.5084560868987591E-3</v>
      </c>
      <c r="X845" s="24">
        <v>4.3255887689188866E-2</v>
      </c>
      <c r="Y845" s="24">
        <f t="shared" si="95"/>
        <v>4.2945280064865976E-2</v>
      </c>
      <c r="Z845" s="23">
        <f t="shared" si="96"/>
        <v>3.5101820426857167E-3</v>
      </c>
      <c r="AA845" s="36"/>
    </row>
    <row r="846" spans="15:27" ht="13.9" customHeight="1">
      <c r="O846" s="12">
        <f t="shared" ref="O846:O909" si="97">P846/12</f>
        <v>69.416666666666671</v>
      </c>
      <c r="P846" s="13">
        <v>833</v>
      </c>
      <c r="Q846" s="22">
        <v>3.8061352376312918E-2</v>
      </c>
      <c r="R846" s="19">
        <f t="shared" ref="R846:R909" si="98">(1+Q847)^P847/(1+Q846)^P846-1</f>
        <v>3.8626223582139296E-2</v>
      </c>
      <c r="S846" s="22">
        <v>4.1758763342814254E-2</v>
      </c>
      <c r="T846" s="19">
        <f t="shared" ref="T846:T909" si="99">(1+S847)^P847/(1+S846)^P846-1</f>
        <v>4.2961191167105284E-2</v>
      </c>
      <c r="U846" s="24">
        <v>4.3663931724203797E-2</v>
      </c>
      <c r="V846" s="24">
        <f t="shared" ref="V846:V909" si="100">(1+U847)^P847/(1+U846)^P846-1</f>
        <v>4.2923826985223457E-2</v>
      </c>
      <c r="W846" s="23">
        <f t="shared" si="94"/>
        <v>3.5084707802304216E-3</v>
      </c>
      <c r="X846" s="24">
        <v>4.3255514755435653E-2</v>
      </c>
      <c r="Y846" s="24">
        <f t="shared" si="95"/>
        <v>4.2945572465596049E-2</v>
      </c>
      <c r="Z846" s="23">
        <f t="shared" si="96"/>
        <v>3.5102056140685622E-3</v>
      </c>
      <c r="AA846" s="36"/>
    </row>
    <row r="847" spans="15:27" ht="13.9" customHeight="1">
      <c r="O847" s="12">
        <f t="shared" si="97"/>
        <v>69.5</v>
      </c>
      <c r="P847" s="13">
        <v>834</v>
      </c>
      <c r="Q847" s="22">
        <v>3.8062029495923966E-2</v>
      </c>
      <c r="R847" s="19">
        <f t="shared" si="98"/>
        <v>3.8628834929604228E-2</v>
      </c>
      <c r="S847" s="22">
        <v>4.176020427237126E-2</v>
      </c>
      <c r="T847" s="19">
        <f t="shared" si="99"/>
        <v>4.2961513388775741E-2</v>
      </c>
      <c r="U847" s="24">
        <v>4.3663043994026873E-2</v>
      </c>
      <c r="V847" s="24">
        <f t="shared" si="100"/>
        <v>4.2924009356378301E-2</v>
      </c>
      <c r="W847" s="23">
        <f t="shared" ref="W847:W910" si="101">(1+V846)^(1/12)-1</f>
        <v>3.5084854385440956E-3</v>
      </c>
      <c r="X847" s="24">
        <v>4.3255143066845303E-2</v>
      </c>
      <c r="Y847" s="24">
        <f t="shared" ref="Y847:Y910" si="102">(1+X848)^P848/(1+X847)^P847-1</f>
        <v>4.2945863302617404E-2</v>
      </c>
      <c r="Z847" s="23">
        <f t="shared" ref="Z847:Z910" si="103">(1+Y846)^(1/12)-1</f>
        <v>3.5102290594564156E-3</v>
      </c>
      <c r="AA847" s="36"/>
    </row>
    <row r="848" spans="15:27" ht="13.9" customHeight="1">
      <c r="O848" s="12">
        <f t="shared" si="97"/>
        <v>69.583333333333329</v>
      </c>
      <c r="P848" s="13">
        <v>835</v>
      </c>
      <c r="Q848" s="22">
        <v>3.8062708119793287E-2</v>
      </c>
      <c r="R848" s="19">
        <f t="shared" si="98"/>
        <v>3.8631424483341892E-2</v>
      </c>
      <c r="S848" s="22">
        <v>4.1761642138036237E-2</v>
      </c>
      <c r="T848" s="19">
        <f t="shared" si="99"/>
        <v>4.2961832934163002E-2</v>
      </c>
      <c r="U848" s="24">
        <v>4.3662158609465429E-2</v>
      </c>
      <c r="V848" s="24">
        <f t="shared" si="100"/>
        <v>4.2924191283841173E-2</v>
      </c>
      <c r="W848" s="23">
        <f t="shared" si="101"/>
        <v>3.5085000617744999E-3</v>
      </c>
      <c r="X848" s="24">
        <v>4.3254772617070003E-2</v>
      </c>
      <c r="Y848" s="24">
        <f t="shared" si="102"/>
        <v>4.2946152583066777E-2</v>
      </c>
      <c r="Z848" s="23">
        <f t="shared" si="103"/>
        <v>3.5102523794563467E-3</v>
      </c>
      <c r="AA848" s="36"/>
    </row>
    <row r="849" spans="15:27" ht="13.9" customHeight="1">
      <c r="O849" s="12">
        <f t="shared" si="97"/>
        <v>69.666666666666671</v>
      </c>
      <c r="P849" s="13">
        <v>836</v>
      </c>
      <c r="Q849" s="22">
        <v>3.8063388216464711E-2</v>
      </c>
      <c r="R849" s="19">
        <f t="shared" si="98"/>
        <v>3.8633992426693187E-2</v>
      </c>
      <c r="S849" s="22">
        <v>4.176307694760073E-2</v>
      </c>
      <c r="T849" s="19">
        <f t="shared" si="99"/>
        <v>4.2962149825821916E-2</v>
      </c>
      <c r="U849" s="24">
        <v>4.3661275561567736E-2</v>
      </c>
      <c r="V849" s="24">
        <f t="shared" si="100"/>
        <v>4.2924372778283759E-2</v>
      </c>
      <c r="W849" s="23">
        <f t="shared" si="101"/>
        <v>3.508514649425809E-3</v>
      </c>
      <c r="X849" s="24">
        <v>4.32544033998008E-2</v>
      </c>
      <c r="Y849" s="24">
        <f t="shared" si="102"/>
        <v>4.2946440318591961E-2</v>
      </c>
      <c r="Z849" s="23">
        <f t="shared" si="103"/>
        <v>3.5102755746407865E-3</v>
      </c>
      <c r="AA849" s="36"/>
    </row>
    <row r="850" spans="15:27" ht="13.9" customHeight="1">
      <c r="O850" s="12">
        <f t="shared" si="97"/>
        <v>69.75</v>
      </c>
      <c r="P850" s="13">
        <v>837</v>
      </c>
      <c r="Q850" s="22">
        <v>3.8064069754851326E-2</v>
      </c>
      <c r="R850" s="19">
        <f t="shared" si="98"/>
        <v>3.8636538940562959E-2</v>
      </c>
      <c r="S850" s="22">
        <v>4.1764508708846071E-2</v>
      </c>
      <c r="T850" s="19">
        <f t="shared" si="99"/>
        <v>4.2962464085464003E-2</v>
      </c>
      <c r="U850" s="24">
        <v>4.3660394841437578E-2</v>
      </c>
      <c r="V850" s="24">
        <f t="shared" si="100"/>
        <v>4.2924553840536284E-2</v>
      </c>
      <c r="W850" s="23">
        <f t="shared" si="101"/>
        <v>3.5085292023535608E-3</v>
      </c>
      <c r="X850" s="24">
        <v>4.3254035408772928E-2</v>
      </c>
      <c r="Y850" s="24">
        <f t="shared" si="102"/>
        <v>4.2946726514244471E-2</v>
      </c>
      <c r="Z850" s="23">
        <f t="shared" si="103"/>
        <v>3.5102986459438767E-3</v>
      </c>
      <c r="AA850" s="36"/>
    </row>
    <row r="851" spans="15:27" ht="13.9" customHeight="1">
      <c r="O851" s="12">
        <f t="shared" si="97"/>
        <v>69.833333333333329</v>
      </c>
      <c r="P851" s="13">
        <v>838</v>
      </c>
      <c r="Q851" s="22">
        <v>3.806475270423082E-2</v>
      </c>
      <c r="R851" s="19">
        <f t="shared" si="98"/>
        <v>3.8639064205584273E-2</v>
      </c>
      <c r="S851" s="22">
        <v>4.1765937429542044E-2</v>
      </c>
      <c r="T851" s="19">
        <f t="shared" si="99"/>
        <v>4.296277573488827E-2</v>
      </c>
      <c r="U851" s="24">
        <v>4.3659516440222257E-2</v>
      </c>
      <c r="V851" s="24">
        <f t="shared" si="100"/>
        <v>4.2924734464959924E-2</v>
      </c>
      <c r="W851" s="23">
        <f t="shared" si="101"/>
        <v>3.5085437206241465E-3</v>
      </c>
      <c r="X851" s="24">
        <v>4.325366863775737E-2</v>
      </c>
      <c r="Y851" s="24">
        <f t="shared" si="102"/>
        <v>4.2947011178873229E-2</v>
      </c>
      <c r="Z851" s="23">
        <f t="shared" si="103"/>
        <v>3.5103215937704046E-3</v>
      </c>
      <c r="AA851" s="36"/>
    </row>
    <row r="852" spans="15:27" ht="13.9" customHeight="1">
      <c r="O852" s="12">
        <f t="shared" si="97"/>
        <v>69.916666666666671</v>
      </c>
      <c r="P852" s="13">
        <v>839</v>
      </c>
      <c r="Q852" s="22">
        <v>3.8065437034242366E-2</v>
      </c>
      <c r="R852" s="19">
        <f t="shared" si="98"/>
        <v>3.8641568397627113E-2</v>
      </c>
      <c r="S852" s="22">
        <v>4.1767363117447776E-2</v>
      </c>
      <c r="T852" s="19">
        <f t="shared" si="99"/>
        <v>4.2963084795649475E-2</v>
      </c>
      <c r="U852" s="24">
        <v>4.3658640349104827E-2</v>
      </c>
      <c r="V852" s="24">
        <f t="shared" si="100"/>
        <v>4.2924914653346802E-2</v>
      </c>
      <c r="W852" s="23">
        <f t="shared" si="101"/>
        <v>3.5085582037857055E-3</v>
      </c>
      <c r="X852" s="24">
        <v>4.3253303080565519E-2</v>
      </c>
      <c r="Y852" s="24">
        <f t="shared" si="102"/>
        <v>4.2947294322196017E-2</v>
      </c>
      <c r="Z852" s="23">
        <f t="shared" si="103"/>
        <v>3.5103444188302468E-3</v>
      </c>
      <c r="AA852" s="36"/>
    </row>
    <row r="853" spans="15:27" ht="13.9" customHeight="1">
      <c r="O853" s="12">
        <f t="shared" si="97"/>
        <v>70</v>
      </c>
      <c r="P853" s="13">
        <v>840</v>
      </c>
      <c r="Q853" s="22">
        <v>3.806612271487908E-2</v>
      </c>
      <c r="R853" s="19">
        <f t="shared" si="98"/>
        <v>3.8644051696494541E-2</v>
      </c>
      <c r="S853" s="22">
        <v>4.1768785780310846E-2</v>
      </c>
      <c r="T853" s="19">
        <f t="shared" si="99"/>
        <v>4.2963391290061326E-2</v>
      </c>
      <c r="U853" s="24">
        <v>4.3657766559312083E-2</v>
      </c>
      <c r="V853" s="24">
        <f t="shared" si="100"/>
        <v>4.292509441470882E-2</v>
      </c>
      <c r="W853" s="23">
        <f t="shared" si="101"/>
        <v>3.5085726519819005E-3</v>
      </c>
      <c r="X853" s="24">
        <v>4.325293873104985E-2</v>
      </c>
      <c r="Y853" s="24">
        <f t="shared" si="102"/>
        <v>4.2947575951555628E-2</v>
      </c>
      <c r="Z853" s="23">
        <f t="shared" si="103"/>
        <v>3.5103671219025578E-3</v>
      </c>
      <c r="AA853" s="36"/>
    </row>
    <row r="854" spans="15:27" ht="13.9" customHeight="1">
      <c r="O854" s="12">
        <f t="shared" si="97"/>
        <v>70.083333333333329</v>
      </c>
      <c r="P854" s="13">
        <v>841</v>
      </c>
      <c r="Q854" s="22">
        <v>3.8066809716490901E-2</v>
      </c>
      <c r="R854" s="19">
        <f t="shared" si="98"/>
        <v>3.8646514275794575E-2</v>
      </c>
      <c r="S854" s="22">
        <v>4.1770205425868623E-2</v>
      </c>
      <c r="T854" s="19">
        <f t="shared" si="99"/>
        <v>4.2963695239012001E-2</v>
      </c>
      <c r="U854" s="24">
        <v>4.3656895062123668E-2</v>
      </c>
      <c r="V854" s="24">
        <f t="shared" si="100"/>
        <v>4.2925273743088077E-2</v>
      </c>
      <c r="W854" s="23">
        <f t="shared" si="101"/>
        <v>3.5085870659354867E-3</v>
      </c>
      <c r="X854" s="24">
        <v>4.3252575583100583E-2</v>
      </c>
      <c r="Y854" s="24">
        <f t="shared" si="102"/>
        <v>4.2947856075308932E-2</v>
      </c>
      <c r="Z854" s="23">
        <f t="shared" si="103"/>
        <v>3.510389703576422E-3</v>
      </c>
      <c r="AA854" s="36"/>
    </row>
    <row r="855" spans="15:27" ht="13.9" customHeight="1">
      <c r="O855" s="12">
        <f t="shared" si="97"/>
        <v>70.166666666666671</v>
      </c>
      <c r="P855" s="13">
        <v>842</v>
      </c>
      <c r="Q855" s="22">
        <v>3.8067498009774381E-2</v>
      </c>
      <c r="R855" s="19">
        <f t="shared" si="98"/>
        <v>3.8648956309916604E-2</v>
      </c>
      <c r="S855" s="22">
        <v>4.1771622061846259E-2</v>
      </c>
      <c r="T855" s="19">
        <f t="shared" si="99"/>
        <v>4.296399666289652E-2</v>
      </c>
      <c r="U855" s="24">
        <v>4.3656025848853197E-2</v>
      </c>
      <c r="V855" s="24">
        <f t="shared" si="100"/>
        <v>4.2925452637109229E-2</v>
      </c>
      <c r="W855" s="23">
        <f t="shared" si="101"/>
        <v>3.5086014451684022E-3</v>
      </c>
      <c r="X855" s="24">
        <v>4.325221363064724E-2</v>
      </c>
      <c r="Y855" s="24">
        <f t="shared" si="102"/>
        <v>4.2948134699164475E-2</v>
      </c>
      <c r="Z855" s="23">
        <f t="shared" si="103"/>
        <v>3.5104121645217479E-3</v>
      </c>
      <c r="AA855" s="36"/>
    </row>
    <row r="856" spans="15:27" ht="13.9" customHeight="1">
      <c r="O856" s="12">
        <f t="shared" si="97"/>
        <v>70.25</v>
      </c>
      <c r="P856" s="13">
        <v>843</v>
      </c>
      <c r="Q856" s="22">
        <v>3.806818756577246E-2</v>
      </c>
      <c r="R856" s="19">
        <f t="shared" si="98"/>
        <v>3.8651377970576828E-2</v>
      </c>
      <c r="S856" s="22">
        <v>4.1773035695956695E-2</v>
      </c>
      <c r="T856" s="19">
        <f t="shared" si="99"/>
        <v>4.2964295583446166E-2</v>
      </c>
      <c r="U856" s="24">
        <v>4.3655158910854253E-2</v>
      </c>
      <c r="V856" s="24">
        <f t="shared" si="100"/>
        <v>4.2925631102665784E-2</v>
      </c>
      <c r="W856" s="23">
        <f t="shared" si="101"/>
        <v>3.5086157895705128E-3</v>
      </c>
      <c r="X856" s="24">
        <v>4.325185286765465E-2</v>
      </c>
      <c r="Y856" s="24">
        <f t="shared" si="102"/>
        <v>4.2948411833641398E-2</v>
      </c>
      <c r="Z856" s="23">
        <f t="shared" si="103"/>
        <v>3.5104345051966135E-3</v>
      </c>
      <c r="AA856" s="36"/>
    </row>
    <row r="857" spans="15:27" ht="13.9" customHeight="1">
      <c r="O857" s="12">
        <f t="shared" si="97"/>
        <v>70.333333333333329</v>
      </c>
      <c r="P857" s="13">
        <v>844</v>
      </c>
      <c r="Q857" s="22">
        <v>3.8068878355868252E-2</v>
      </c>
      <c r="R857" s="19">
        <f t="shared" si="98"/>
        <v>3.8653779428239998E-2</v>
      </c>
      <c r="S857" s="22">
        <v>4.1774446335901994E-2</v>
      </c>
      <c r="T857" s="19">
        <f t="shared" si="99"/>
        <v>4.2964592021840886E-2</v>
      </c>
      <c r="U857" s="24">
        <v>4.3654294239528157E-2</v>
      </c>
      <c r="V857" s="24">
        <f t="shared" si="100"/>
        <v>4.2925809144642058E-2</v>
      </c>
      <c r="W857" s="23">
        <f t="shared" si="101"/>
        <v>3.5086300996145514E-3</v>
      </c>
      <c r="X857" s="24">
        <v>4.3251493288128717E-2</v>
      </c>
      <c r="Y857" s="24">
        <f t="shared" si="102"/>
        <v>4.2948687487875725E-2</v>
      </c>
      <c r="Z857" s="23">
        <f t="shared" si="103"/>
        <v>3.5104567264441222E-3</v>
      </c>
      <c r="AA857" s="36"/>
    </row>
    <row r="858" spans="15:27" ht="13.9" customHeight="1">
      <c r="O858" s="12">
        <f t="shared" si="97"/>
        <v>70.416666666666671</v>
      </c>
      <c r="P858" s="13">
        <v>845</v>
      </c>
      <c r="Q858" s="22">
        <v>3.80695703517826E-2</v>
      </c>
      <c r="R858" s="19">
        <f t="shared" si="98"/>
        <v>3.8656160854457555E-2</v>
      </c>
      <c r="S858" s="22">
        <v>4.1775853989372669E-2</v>
      </c>
      <c r="T858" s="19">
        <f t="shared" si="99"/>
        <v>4.2964885997857305E-2</v>
      </c>
      <c r="U858" s="24">
        <v>4.3653431826322864E-2</v>
      </c>
      <c r="V858" s="24">
        <f t="shared" si="100"/>
        <v>4.2925986756381151E-2</v>
      </c>
      <c r="W858" s="23">
        <f t="shared" si="101"/>
        <v>3.5086443756919827E-3</v>
      </c>
      <c r="X858" s="24">
        <v>4.3251134886114873E-2</v>
      </c>
      <c r="Y858" s="24">
        <f t="shared" si="102"/>
        <v>4.2948961666382957E-2</v>
      </c>
      <c r="Z858" s="23">
        <f t="shared" si="103"/>
        <v>3.5104788289974653E-3</v>
      </c>
      <c r="AA858" s="36"/>
    </row>
    <row r="859" spans="15:27" ht="13.9" customHeight="1">
      <c r="O859" s="12">
        <f t="shared" si="97"/>
        <v>70.5</v>
      </c>
      <c r="P859" s="13">
        <v>846</v>
      </c>
      <c r="Q859" s="22">
        <v>3.8070263525572301E-2</v>
      </c>
      <c r="R859" s="19">
        <f t="shared" si="98"/>
        <v>3.8658522415076169E-2</v>
      </c>
      <c r="S859" s="22">
        <v>4.1777258664046579E-2</v>
      </c>
      <c r="T859" s="19">
        <f t="shared" si="99"/>
        <v>4.2965177532778176E-2</v>
      </c>
      <c r="U859" s="24">
        <v>4.3652571662718742E-2</v>
      </c>
      <c r="V859" s="24">
        <f t="shared" si="100"/>
        <v>4.2926163939814854E-2</v>
      </c>
      <c r="W859" s="23">
        <f t="shared" si="101"/>
        <v>3.5086586172692336E-3</v>
      </c>
      <c r="X859" s="24">
        <v>4.325077765569163E-2</v>
      </c>
      <c r="Y859" s="24">
        <f t="shared" si="102"/>
        <v>4.2949234379965562E-2</v>
      </c>
      <c r="Z859" s="23">
        <f t="shared" si="103"/>
        <v>3.5105008132183535E-3</v>
      </c>
      <c r="AA859" s="36"/>
    </row>
    <row r="860" spans="15:27" ht="13.9" customHeight="1">
      <c r="O860" s="12">
        <f t="shared" si="97"/>
        <v>70.583333333333329</v>
      </c>
      <c r="P860" s="13">
        <v>847</v>
      </c>
      <c r="Q860" s="22">
        <v>3.8070957849622333E-2</v>
      </c>
      <c r="R860" s="19">
        <f t="shared" si="98"/>
        <v>3.8660864277620055E-2</v>
      </c>
      <c r="S860" s="22">
        <v>4.1778660367589815E-2</v>
      </c>
      <c r="T860" s="19">
        <f t="shared" si="99"/>
        <v>4.2965466645675798E-2</v>
      </c>
      <c r="U860" s="24">
        <v>4.3651713740239018E-2</v>
      </c>
      <c r="V860" s="24">
        <f t="shared" si="100"/>
        <v>4.292634069543344E-2</v>
      </c>
      <c r="W860" s="23">
        <f t="shared" si="101"/>
        <v>3.508672824501069E-3</v>
      </c>
      <c r="X860" s="24">
        <v>4.3250421590978583E-2</v>
      </c>
      <c r="Y860" s="24">
        <f t="shared" si="102"/>
        <v>4.294950563300981E-2</v>
      </c>
      <c r="Z860" s="23">
        <f t="shared" si="103"/>
        <v>3.5105226799732048E-3</v>
      </c>
      <c r="AA860" s="36"/>
    </row>
    <row r="861" spans="15:27" ht="13.9" customHeight="1">
      <c r="O861" s="12">
        <f t="shared" si="97"/>
        <v>70.666666666666671</v>
      </c>
      <c r="P861" s="13">
        <v>848</v>
      </c>
      <c r="Q861" s="22">
        <v>3.8071653296645191E-2</v>
      </c>
      <c r="R861" s="19">
        <f t="shared" si="98"/>
        <v>3.8663186606024746E-2</v>
      </c>
      <c r="S861" s="22">
        <v>4.1780059107655365E-2</v>
      </c>
      <c r="T861" s="19">
        <f t="shared" si="99"/>
        <v>4.2965753358255254E-2</v>
      </c>
      <c r="U861" s="24">
        <v>4.3650858050447106E-2</v>
      </c>
      <c r="V861" s="24">
        <f t="shared" si="100"/>
        <v>4.2926517037455092E-2</v>
      </c>
      <c r="W861" s="23">
        <f t="shared" si="101"/>
        <v>3.508686997427013E-3</v>
      </c>
      <c r="X861" s="24">
        <v>4.3250066686127964E-2</v>
      </c>
      <c r="Y861" s="24">
        <f t="shared" si="102"/>
        <v>4.2949775438793747E-2</v>
      </c>
      <c r="Z861" s="23">
        <f t="shared" si="103"/>
        <v>3.5105444296137378E-3</v>
      </c>
      <c r="AA861" s="36"/>
    </row>
    <row r="862" spans="15:27" ht="13.9" customHeight="1">
      <c r="O862" s="12">
        <f t="shared" si="97"/>
        <v>70.75</v>
      </c>
      <c r="P862" s="13">
        <v>849</v>
      </c>
      <c r="Q862" s="22">
        <v>3.8072349839675335E-2</v>
      </c>
      <c r="R862" s="19">
        <f t="shared" si="98"/>
        <v>3.8665489565737232E-2</v>
      </c>
      <c r="S862" s="22">
        <v>4.1781454891885561E-2</v>
      </c>
      <c r="T862" s="19">
        <f t="shared" si="99"/>
        <v>4.296603768985463E-2</v>
      </c>
      <c r="U862" s="24">
        <v>4.3650004584963265E-2</v>
      </c>
      <c r="V862" s="24">
        <f t="shared" si="100"/>
        <v>4.2926692954142753E-2</v>
      </c>
      <c r="W862" s="23">
        <f t="shared" si="101"/>
        <v>3.5087011371870425E-3</v>
      </c>
      <c r="X862" s="24">
        <v>4.3249712935335305E-2</v>
      </c>
      <c r="Y862" s="24">
        <f t="shared" si="102"/>
        <v>4.2950043800908722E-2</v>
      </c>
      <c r="Z862" s="23">
        <f t="shared" si="103"/>
        <v>3.5105660632046565E-3</v>
      </c>
      <c r="AA862" s="36"/>
    </row>
    <row r="863" spans="15:27" ht="13.9" customHeight="1">
      <c r="O863" s="12">
        <f t="shared" si="97"/>
        <v>70.833333333333329</v>
      </c>
      <c r="P863" s="13">
        <v>850</v>
      </c>
      <c r="Q863" s="22">
        <v>3.8073047452068298E-2</v>
      </c>
      <c r="R863" s="19">
        <f t="shared" si="98"/>
        <v>3.8667773318568077E-2</v>
      </c>
      <c r="S863" s="22">
        <v>4.1782847727909411E-2</v>
      </c>
      <c r="T863" s="19">
        <f t="shared" si="99"/>
        <v>4.29663196591199E-2</v>
      </c>
      <c r="U863" s="24">
        <v>4.3649153335433066E-2</v>
      </c>
      <c r="V863" s="24">
        <f t="shared" si="100"/>
        <v>4.2926868437647814E-2</v>
      </c>
      <c r="W863" s="23">
        <f t="shared" si="101"/>
        <v>3.5087152428399104E-3</v>
      </c>
      <c r="X863" s="24">
        <v>4.3249360332827891E-2</v>
      </c>
      <c r="Y863" s="24">
        <f t="shared" si="102"/>
        <v>4.2950310727023489E-2</v>
      </c>
      <c r="Z863" s="23">
        <f t="shared" si="103"/>
        <v>3.5105875810343967E-3</v>
      </c>
      <c r="AA863" s="36"/>
    </row>
    <row r="864" spans="15:27" ht="13.9" customHeight="1">
      <c r="O864" s="12">
        <f t="shared" si="97"/>
        <v>70.916666666666671</v>
      </c>
      <c r="P864" s="13">
        <v>851</v>
      </c>
      <c r="Q864" s="22">
        <v>3.8073746107495365E-2</v>
      </c>
      <c r="R864" s="19">
        <f t="shared" si="98"/>
        <v>3.8670038024659847E-2</v>
      </c>
      <c r="S864" s="22">
        <v>4.1784237623341935E-2</v>
      </c>
      <c r="T864" s="19">
        <f t="shared" si="99"/>
        <v>4.2966599287580731E-2</v>
      </c>
      <c r="U864" s="24">
        <v>4.3648304293532503E-2</v>
      </c>
      <c r="V864" s="24">
        <f t="shared" si="100"/>
        <v>4.2927043511122864E-2</v>
      </c>
      <c r="W864" s="23">
        <f t="shared" si="101"/>
        <v>3.5087293137563424E-3</v>
      </c>
      <c r="X864" s="24">
        <v>4.3249008872868755E-2</v>
      </c>
      <c r="Y864" s="24">
        <f t="shared" si="102"/>
        <v>4.2950576226872927E-2</v>
      </c>
      <c r="Z864" s="23">
        <f t="shared" si="103"/>
        <v>3.510608983717356E-3</v>
      </c>
      <c r="AA864" s="36"/>
    </row>
    <row r="865" spans="15:27" ht="13.9" customHeight="1">
      <c r="O865" s="12">
        <f t="shared" si="97"/>
        <v>71</v>
      </c>
      <c r="P865" s="13">
        <v>852</v>
      </c>
      <c r="Q865" s="22">
        <v>3.8074445779939126E-2</v>
      </c>
      <c r="R865" s="19">
        <f t="shared" si="98"/>
        <v>3.867228384408361E-2</v>
      </c>
      <c r="S865" s="22">
        <v>4.1785624585787717E-2</v>
      </c>
      <c r="T865" s="19">
        <f t="shared" si="99"/>
        <v>4.2966876592893888E-2</v>
      </c>
      <c r="U865" s="24">
        <v>4.3647457451003513E-2</v>
      </c>
      <c r="V865" s="24">
        <f t="shared" si="100"/>
        <v>4.2927218160780711E-2</v>
      </c>
      <c r="W865" s="23">
        <f t="shared" si="101"/>
        <v>3.5087433517928535E-3</v>
      </c>
      <c r="X865" s="24">
        <v>4.3248658549759567E-2</v>
      </c>
      <c r="Y865" s="24">
        <f t="shared" si="102"/>
        <v>4.2950840306184013E-2</v>
      </c>
      <c r="Z865" s="23">
        <f t="shared" si="103"/>
        <v>3.5106302720344651E-3</v>
      </c>
      <c r="AA865" s="36"/>
    </row>
    <row r="866" spans="15:27" ht="13.9" customHeight="1">
      <c r="O866" s="12">
        <f t="shared" si="97"/>
        <v>71.083333333333329</v>
      </c>
      <c r="P866" s="13">
        <v>853</v>
      </c>
      <c r="Q866" s="22">
        <v>3.8075146443692143E-2</v>
      </c>
      <c r="R866" s="19">
        <f t="shared" si="98"/>
        <v>3.8674510935300832E-2</v>
      </c>
      <c r="S866" s="22">
        <v>4.1787008622836463E-2</v>
      </c>
      <c r="T866" s="19">
        <f t="shared" si="99"/>
        <v>4.2967151596020825E-2</v>
      </c>
      <c r="U866" s="24">
        <v>4.3646612799610907E-2</v>
      </c>
      <c r="V866" s="24">
        <f t="shared" si="100"/>
        <v>4.2927392391753694E-2</v>
      </c>
      <c r="W866" s="23">
        <f t="shared" si="101"/>
        <v>3.5087573558441054E-3</v>
      </c>
      <c r="X866" s="24">
        <v>4.3248309357835524E-2</v>
      </c>
      <c r="Y866" s="24">
        <f t="shared" si="102"/>
        <v>4.2951102975191446E-2</v>
      </c>
      <c r="Z866" s="23">
        <f t="shared" si="103"/>
        <v>3.5106514464451344E-3</v>
      </c>
      <c r="AA866" s="36"/>
    </row>
    <row r="867" spans="15:27" ht="13.9" customHeight="1">
      <c r="O867" s="12">
        <f t="shared" si="97"/>
        <v>71.166666666666671</v>
      </c>
      <c r="P867" s="13">
        <v>854</v>
      </c>
      <c r="Q867" s="22">
        <v>3.8075848073352514E-2</v>
      </c>
      <c r="R867" s="19">
        <f t="shared" si="98"/>
        <v>3.8676719456068875E-2</v>
      </c>
      <c r="S867" s="22">
        <v>4.1788389742066778E-2</v>
      </c>
      <c r="T867" s="19">
        <f t="shared" si="99"/>
        <v>4.2967424314895641E-2</v>
      </c>
      <c r="U867" s="24">
        <v>4.3645770331163902E-2</v>
      </c>
      <c r="V867" s="24">
        <f t="shared" si="100"/>
        <v>4.2927566204545187E-2</v>
      </c>
      <c r="W867" s="23">
        <f t="shared" si="101"/>
        <v>3.508771326321547E-3</v>
      </c>
      <c r="X867" s="24">
        <v>4.3247961291470238E-2</v>
      </c>
      <c r="Y867" s="24">
        <f t="shared" si="102"/>
        <v>4.2951364237715062E-2</v>
      </c>
      <c r="Z867" s="23">
        <f t="shared" si="103"/>
        <v>3.5106725077700407E-3</v>
      </c>
      <c r="AA867" s="36"/>
    </row>
    <row r="868" spans="15:27" ht="13.9" customHeight="1">
      <c r="O868" s="12">
        <f t="shared" si="97"/>
        <v>71.25</v>
      </c>
      <c r="P868" s="13">
        <v>855</v>
      </c>
      <c r="Q868" s="22">
        <v>3.8076550643821871E-2</v>
      </c>
      <c r="R868" s="19">
        <f t="shared" si="98"/>
        <v>3.8678909560499353E-2</v>
      </c>
      <c r="S868" s="22">
        <v>4.1789767951042611E-2</v>
      </c>
      <c r="T868" s="19">
        <f t="shared" si="99"/>
        <v>4.2967694768424325E-2</v>
      </c>
      <c r="U868" s="24">
        <v>4.3644930037510576E-2</v>
      </c>
      <c r="V868" s="24">
        <f t="shared" si="100"/>
        <v>4.2927739595917336E-2</v>
      </c>
      <c r="W868" s="23">
        <f t="shared" si="101"/>
        <v>3.5087852632655903E-3</v>
      </c>
      <c r="X868" s="24">
        <v>4.3247614345067964E-2</v>
      </c>
      <c r="Y868" s="24">
        <f t="shared" si="102"/>
        <v>4.2951624103082287E-2</v>
      </c>
      <c r="Z868" s="23">
        <f t="shared" si="103"/>
        <v>3.5106934563151615E-3</v>
      </c>
      <c r="AA868" s="36"/>
    </row>
    <row r="869" spans="15:27" ht="13.9" customHeight="1">
      <c r="O869" s="12">
        <f t="shared" si="97"/>
        <v>71.333333333333329</v>
      </c>
      <c r="P869" s="13">
        <v>856</v>
      </c>
      <c r="Q869" s="22">
        <v>3.8077254130299165E-2</v>
      </c>
      <c r="R869" s="19">
        <f t="shared" si="98"/>
        <v>3.868108140307247E-2</v>
      </c>
      <c r="S869" s="22">
        <v>4.1791143257315033E-2</v>
      </c>
      <c r="T869" s="19">
        <f t="shared" si="99"/>
        <v>4.2967962977214169E-2</v>
      </c>
      <c r="U869" s="24">
        <v>4.3644091910533644E-2</v>
      </c>
      <c r="V869" s="24">
        <f t="shared" si="100"/>
        <v>4.2927912582221284E-2</v>
      </c>
      <c r="W869" s="23">
        <f t="shared" si="101"/>
        <v>3.5087991664164431E-3</v>
      </c>
      <c r="X869" s="24">
        <v>4.3247268513070258E-2</v>
      </c>
      <c r="Y869" s="24">
        <f t="shared" si="102"/>
        <v>4.2951882582640488E-2</v>
      </c>
      <c r="Z869" s="23">
        <f t="shared" si="103"/>
        <v>3.5107142928290092E-3</v>
      </c>
      <c r="AA869" s="36"/>
    </row>
    <row r="870" spans="15:27" ht="13.9" customHeight="1">
      <c r="O870" s="12">
        <f t="shared" si="97"/>
        <v>71.416666666666671</v>
      </c>
      <c r="P870" s="13">
        <v>857</v>
      </c>
      <c r="Q870" s="22">
        <v>3.807795850827933E-2</v>
      </c>
      <c r="R870" s="19">
        <f t="shared" si="98"/>
        <v>3.8683235137374039E-2</v>
      </c>
      <c r="S870" s="22">
        <v>4.1792515668423347E-2</v>
      </c>
      <c r="T870" s="19">
        <f t="shared" si="99"/>
        <v>4.2968228957311227E-2</v>
      </c>
      <c r="U870" s="24">
        <v>4.3643255942172443E-2</v>
      </c>
      <c r="V870" s="24">
        <f t="shared" si="100"/>
        <v>4.2928085141460182E-2</v>
      </c>
      <c r="W870" s="23">
        <f t="shared" si="101"/>
        <v>3.5088130370855009E-3</v>
      </c>
      <c r="X870" s="24">
        <v>4.3246923789957759E-2</v>
      </c>
      <c r="Y870" s="24">
        <f t="shared" si="102"/>
        <v>4.2952139676278422E-2</v>
      </c>
      <c r="Z870" s="23">
        <f t="shared" si="103"/>
        <v>3.5107350182210784E-3</v>
      </c>
      <c r="AA870" s="36"/>
    </row>
    <row r="871" spans="15:27" ht="13.9" customHeight="1">
      <c r="O871" s="12">
        <f t="shared" si="97"/>
        <v>71.5</v>
      </c>
      <c r="P871" s="13">
        <v>858</v>
      </c>
      <c r="Q871" s="22">
        <v>3.8078663753550401E-2</v>
      </c>
      <c r="R871" s="19">
        <f t="shared" si="98"/>
        <v>3.8685370915183315E-2</v>
      </c>
      <c r="S871" s="22">
        <v>4.1793885191891089E-2</v>
      </c>
      <c r="T871" s="19">
        <f t="shared" si="99"/>
        <v>4.2968492729269725E-2</v>
      </c>
      <c r="U871" s="24">
        <v>4.3642422124378522E-2</v>
      </c>
      <c r="V871" s="24">
        <f t="shared" si="100"/>
        <v>4.2928257294795769E-2</v>
      </c>
      <c r="W871" s="23">
        <f t="shared" si="101"/>
        <v>3.5088268735086192E-3</v>
      </c>
      <c r="X871" s="24">
        <v>4.3246580170236637E-2</v>
      </c>
      <c r="Y871" s="24">
        <f t="shared" si="102"/>
        <v>4.2952395396123055E-2</v>
      </c>
      <c r="Z871" s="23">
        <f t="shared" si="103"/>
        <v>3.5107556324827094E-3</v>
      </c>
      <c r="AA871" s="36"/>
    </row>
    <row r="872" spans="15:27" ht="13.9" customHeight="1">
      <c r="O872" s="12">
        <f t="shared" si="97"/>
        <v>71.583333333333329</v>
      </c>
      <c r="P872" s="13">
        <v>859</v>
      </c>
      <c r="Q872" s="22">
        <v>3.8079369842189958E-2</v>
      </c>
      <c r="R872" s="19">
        <f t="shared" si="98"/>
        <v>3.8687488887322541E-2</v>
      </c>
      <c r="S872" s="22">
        <v>4.179525183523003E-2</v>
      </c>
      <c r="T872" s="19">
        <f t="shared" si="99"/>
        <v>4.2968754309913093E-2</v>
      </c>
      <c r="U872" s="24">
        <v>4.3641590449165379E-2</v>
      </c>
      <c r="V872" s="24">
        <f t="shared" si="100"/>
        <v>4.2928429027131676E-2</v>
      </c>
      <c r="W872" s="23">
        <f t="shared" si="101"/>
        <v>3.5088406773831071E-3</v>
      </c>
      <c r="X872" s="24">
        <v>4.3246237648453034E-2</v>
      </c>
      <c r="Y872" s="24">
        <f t="shared" si="102"/>
        <v>4.2952649749315563E-2</v>
      </c>
      <c r="Z872" s="23">
        <f t="shared" si="103"/>
        <v>3.5107761365864576E-3</v>
      </c>
      <c r="AA872" s="36"/>
    </row>
    <row r="873" spans="15:27" ht="13.9" customHeight="1">
      <c r="O873" s="12">
        <f t="shared" si="97"/>
        <v>71.666666666666671</v>
      </c>
      <c r="P873" s="13">
        <v>860</v>
      </c>
      <c r="Q873" s="22">
        <v>3.808007675056202E-2</v>
      </c>
      <c r="R873" s="19">
        <f t="shared" si="98"/>
        <v>3.8689589200648467E-2</v>
      </c>
      <c r="S873" s="22">
        <v>4.179661560593706E-2</v>
      </c>
      <c r="T873" s="19">
        <f t="shared" si="99"/>
        <v>4.2969013719141858E-2</v>
      </c>
      <c r="U873" s="24">
        <v>4.3640760908566278E-2</v>
      </c>
      <c r="V873" s="24">
        <f t="shared" si="100"/>
        <v>4.292860035427104E-2</v>
      </c>
      <c r="W873" s="23">
        <f t="shared" si="101"/>
        <v>3.5088544474979333E-3</v>
      </c>
      <c r="X873" s="24">
        <v>4.3245896219186397E-2</v>
      </c>
      <c r="Y873" s="24">
        <f t="shared" si="102"/>
        <v>4.2952902742817933E-2</v>
      </c>
      <c r="Z873" s="23">
        <f t="shared" si="103"/>
        <v>3.510796531104754E-3</v>
      </c>
      <c r="AA873" s="36"/>
    </row>
    <row r="874" spans="15:27" ht="13.9" customHeight="1">
      <c r="O874" s="12">
        <f t="shared" si="97"/>
        <v>71.75</v>
      </c>
      <c r="P874" s="13">
        <v>861</v>
      </c>
      <c r="Q874" s="22">
        <v>3.8080784455311267E-2</v>
      </c>
      <c r="R874" s="19">
        <f t="shared" si="98"/>
        <v>3.8691672005132904E-2</v>
      </c>
      <c r="S874" s="22">
        <v>4.1797976511496859E-2</v>
      </c>
      <c r="T874" s="19">
        <f t="shared" si="99"/>
        <v>4.2969270973888474E-2</v>
      </c>
      <c r="U874" s="24">
        <v>4.3639933494669769E-2</v>
      </c>
      <c r="V874" s="24">
        <f t="shared" si="100"/>
        <v>4.2928771270338562E-2</v>
      </c>
      <c r="W874" s="23">
        <f t="shared" si="101"/>
        <v>3.5088681851207504E-3</v>
      </c>
      <c r="X874" s="24">
        <v>4.3245555877049924E-2</v>
      </c>
      <c r="Y874" s="24">
        <f t="shared" si="102"/>
        <v>4.295315438316849E-2</v>
      </c>
      <c r="Z874" s="23">
        <f t="shared" si="103"/>
        <v>3.5108168165960407E-3</v>
      </c>
      <c r="AA874" s="36"/>
    </row>
    <row r="875" spans="15:27" ht="13.9" customHeight="1">
      <c r="O875" s="12">
        <f t="shared" si="97"/>
        <v>71.833333333333329</v>
      </c>
      <c r="P875" s="13">
        <v>862</v>
      </c>
      <c r="Q875" s="22">
        <v>3.808149293336438E-2</v>
      </c>
      <c r="R875" s="19">
        <f t="shared" si="98"/>
        <v>3.8693737446922727E-2</v>
      </c>
      <c r="S875" s="22">
        <v>4.1799334559379453E-2</v>
      </c>
      <c r="T875" s="19">
        <f t="shared" si="99"/>
        <v>4.2969526091723775E-2</v>
      </c>
      <c r="U875" s="24">
        <v>4.3639108199594379E-2</v>
      </c>
      <c r="V875" s="24">
        <f t="shared" si="100"/>
        <v>4.2928941769338147E-2</v>
      </c>
      <c r="W875" s="23">
        <f t="shared" si="101"/>
        <v>3.5088818897803797E-3</v>
      </c>
      <c r="X875" s="24">
        <v>4.3245216616688786E-2</v>
      </c>
      <c r="Y875" s="24">
        <f t="shared" si="102"/>
        <v>4.2953404677510187E-2</v>
      </c>
      <c r="Z875" s="23">
        <f t="shared" si="103"/>
        <v>3.5108369935847872E-3</v>
      </c>
      <c r="AA875" s="36"/>
    </row>
    <row r="876" spans="15:27" ht="13.9" customHeight="1">
      <c r="O876" s="12">
        <f t="shared" si="97"/>
        <v>71.916666666666671</v>
      </c>
      <c r="P876" s="13">
        <v>863</v>
      </c>
      <c r="Q876" s="22">
        <v>3.8082202161924483E-2</v>
      </c>
      <c r="R876" s="19">
        <f t="shared" si="98"/>
        <v>3.8695785671793104E-2</v>
      </c>
      <c r="S876" s="22">
        <v>4.180068975704021E-2</v>
      </c>
      <c r="T876" s="19">
        <f t="shared" si="99"/>
        <v>4.2969779091567739E-2</v>
      </c>
      <c r="U876" s="24">
        <v>4.3638285015488165E-2</v>
      </c>
      <c r="V876" s="24">
        <f t="shared" si="100"/>
        <v>4.292911186701498E-2</v>
      </c>
      <c r="W876" s="23">
        <f t="shared" si="101"/>
        <v>3.5088955609958727E-3</v>
      </c>
      <c r="X876" s="24">
        <v>4.3244878432781908E-2</v>
      </c>
      <c r="Y876" s="24">
        <f t="shared" si="102"/>
        <v>4.2953653634905109E-2</v>
      </c>
      <c r="Z876" s="23">
        <f t="shared" si="103"/>
        <v>3.5108570626434243E-3</v>
      </c>
      <c r="AA876" s="36"/>
    </row>
    <row r="877" spans="15:27" ht="13.9" customHeight="1">
      <c r="O877" s="12">
        <f t="shared" si="97"/>
        <v>72</v>
      </c>
      <c r="P877" s="13">
        <v>864</v>
      </c>
      <c r="Q877" s="22">
        <v>3.8082912118468926E-2</v>
      </c>
      <c r="R877" s="19">
        <f t="shared" si="98"/>
        <v>3.8697816823262121E-2</v>
      </c>
      <c r="S877" s="22">
        <v>4.1802042111922288E-2</v>
      </c>
      <c r="T877" s="19">
        <f t="shared" si="99"/>
        <v>4.2970029989907399E-2</v>
      </c>
      <c r="U877" s="24">
        <v>4.3637463934553811E-2</v>
      </c>
      <c r="V877" s="24">
        <f t="shared" si="100"/>
        <v>4.2929281553556686E-2</v>
      </c>
      <c r="W877" s="23">
        <f t="shared" si="101"/>
        <v>3.508909200029775E-3</v>
      </c>
      <c r="X877" s="24">
        <v>4.3244541320042851E-2</v>
      </c>
      <c r="Y877" s="24">
        <f t="shared" si="102"/>
        <v>4.2953901260756711E-2</v>
      </c>
      <c r="Z877" s="23">
        <f t="shared" si="103"/>
        <v>3.5108770244989262E-3</v>
      </c>
      <c r="AA877" s="36"/>
    </row>
    <row r="878" spans="15:27" ht="13.9" customHeight="1">
      <c r="O878" s="12">
        <f t="shared" si="97"/>
        <v>72.083333333333329</v>
      </c>
      <c r="P878" s="13">
        <v>865</v>
      </c>
      <c r="Q878" s="22">
        <v>3.8083622780745063E-2</v>
      </c>
      <c r="R878" s="19">
        <f t="shared" si="98"/>
        <v>3.8699831043645938E-2</v>
      </c>
      <c r="S878" s="22">
        <v>4.180339163145308E-2</v>
      </c>
      <c r="T878" s="19">
        <f t="shared" si="99"/>
        <v>4.2970278805082751E-2</v>
      </c>
      <c r="U878" s="24">
        <v>4.3636644949018644E-2</v>
      </c>
      <c r="V878" s="24">
        <f t="shared" si="100"/>
        <v>4.2929450835946348E-2</v>
      </c>
      <c r="W878" s="23">
        <f t="shared" si="101"/>
        <v>3.5089228060953825E-3</v>
      </c>
      <c r="X878" s="24">
        <v>4.3244205273216263E-2</v>
      </c>
      <c r="Y878" s="24">
        <f t="shared" si="102"/>
        <v>4.2954147563241118E-2</v>
      </c>
      <c r="Z878" s="23">
        <f t="shared" si="103"/>
        <v>3.5108968795845019E-3</v>
      </c>
      <c r="AA878" s="36"/>
    </row>
    <row r="879" spans="15:27" ht="13.9" customHeight="1">
      <c r="O879" s="12">
        <f t="shared" si="97"/>
        <v>72.166666666666671</v>
      </c>
      <c r="P879" s="13">
        <v>866</v>
      </c>
      <c r="Q879" s="22">
        <v>3.808433412676715E-2</v>
      </c>
      <c r="R879" s="19">
        <f t="shared" si="98"/>
        <v>3.8701828476755518E-2</v>
      </c>
      <c r="S879" s="22">
        <v>4.1804738323047097E-2</v>
      </c>
      <c r="T879" s="19">
        <f t="shared" si="99"/>
        <v>4.2970525553945871E-2</v>
      </c>
      <c r="U879" s="24">
        <v>4.363582805115418E-2</v>
      </c>
      <c r="V879" s="24">
        <f t="shared" si="100"/>
        <v>4.2929619707152034E-2</v>
      </c>
      <c r="W879" s="23">
        <f t="shared" si="101"/>
        <v>3.5089363797526918E-3</v>
      </c>
      <c r="X879" s="24">
        <v>4.32438702870801E-2</v>
      </c>
      <c r="Y879" s="24">
        <f t="shared" si="102"/>
        <v>4.2954392547280396E-2</v>
      </c>
      <c r="Z879" s="23">
        <f t="shared" si="103"/>
        <v>3.510916628555627E-3</v>
      </c>
      <c r="AA879" s="36"/>
    </row>
    <row r="880" spans="15:27" ht="13.9" customHeight="1">
      <c r="O880" s="12">
        <f t="shared" si="97"/>
        <v>72.25</v>
      </c>
      <c r="P880" s="13">
        <v>867</v>
      </c>
      <c r="Q880" s="22">
        <v>3.8085046134817002E-2</v>
      </c>
      <c r="R880" s="19">
        <f t="shared" si="98"/>
        <v>3.8703809260710598E-2</v>
      </c>
      <c r="S880" s="22">
        <v>4.1806082194103977E-2</v>
      </c>
      <c r="T880" s="19">
        <f t="shared" si="99"/>
        <v>4.2970770253699442E-2</v>
      </c>
      <c r="U880" s="24">
        <v>4.3635013233259246E-2</v>
      </c>
      <c r="V880" s="24">
        <f t="shared" si="100"/>
        <v>4.2929788176305328E-2</v>
      </c>
      <c r="W880" s="23">
        <f t="shared" si="101"/>
        <v>3.5089499204379315E-3</v>
      </c>
      <c r="X880" s="24">
        <v>4.3243536356442513E-2</v>
      </c>
      <c r="Y880" s="24">
        <f t="shared" si="102"/>
        <v>4.2954636222569897E-2</v>
      </c>
      <c r="Z880" s="23">
        <f t="shared" si="103"/>
        <v>3.510936271807541E-3</v>
      </c>
      <c r="AA880" s="36"/>
    </row>
    <row r="881" spans="15:27" ht="13.9" customHeight="1">
      <c r="O881" s="12">
        <f t="shared" si="97"/>
        <v>72.333333333333329</v>
      </c>
      <c r="P881" s="13">
        <v>868</v>
      </c>
      <c r="Q881" s="22">
        <v>3.8085758783435564E-2</v>
      </c>
      <c r="R881" s="19">
        <f t="shared" si="98"/>
        <v>3.8705773537422772E-2</v>
      </c>
      <c r="S881" s="22">
        <v>4.1807423252008924E-2</v>
      </c>
      <c r="T881" s="19">
        <f t="shared" si="99"/>
        <v>4.2971012921199092E-2</v>
      </c>
      <c r="U881" s="24">
        <v>4.3634200487678854E-2</v>
      </c>
      <c r="V881" s="24">
        <f t="shared" si="100"/>
        <v>4.2929956241526845E-2</v>
      </c>
      <c r="W881" s="23">
        <f t="shared" si="101"/>
        <v>3.5089634288829608E-3</v>
      </c>
      <c r="X881" s="24">
        <v>4.3243203476146519E-2</v>
      </c>
      <c r="Y881" s="24">
        <f t="shared" si="102"/>
        <v>4.2954878596000112E-2</v>
      </c>
      <c r="Z881" s="23">
        <f t="shared" si="103"/>
        <v>3.5109558101171778E-3</v>
      </c>
      <c r="AA881" s="36"/>
    </row>
    <row r="882" spans="15:27" ht="13.9" customHeight="1">
      <c r="O882" s="12">
        <f t="shared" si="97"/>
        <v>72.416666666666671</v>
      </c>
      <c r="P882" s="13">
        <v>869</v>
      </c>
      <c r="Q882" s="22">
        <v>3.8086472051425568E-2</v>
      </c>
      <c r="R882" s="19">
        <f t="shared" si="98"/>
        <v>3.8707721441980203E-2</v>
      </c>
      <c r="S882" s="22">
        <v>4.180876150413293E-2</v>
      </c>
      <c r="T882" s="19">
        <f t="shared" si="99"/>
        <v>4.2971253573766743E-2</v>
      </c>
      <c r="U882" s="24">
        <v>4.3633389806791101E-2</v>
      </c>
      <c r="V882" s="24">
        <f t="shared" si="100"/>
        <v>4.2930123901087081E-2</v>
      </c>
      <c r="W882" s="23">
        <f t="shared" si="101"/>
        <v>3.5089769049374553E-3</v>
      </c>
      <c r="X882" s="24">
        <v>4.324287164106666E-2</v>
      </c>
      <c r="Y882" s="24">
        <f t="shared" si="102"/>
        <v>4.2955119672369868E-2</v>
      </c>
      <c r="Z882" s="23">
        <f t="shared" si="103"/>
        <v>3.5109752440374287E-3</v>
      </c>
      <c r="AA882" s="36"/>
    </row>
    <row r="883" spans="15:27" ht="13.9" customHeight="1">
      <c r="O883" s="12">
        <f t="shared" si="97"/>
        <v>72.5</v>
      </c>
      <c r="P883" s="13">
        <v>870</v>
      </c>
      <c r="Q883" s="22">
        <v>3.8087185917842659E-2</v>
      </c>
      <c r="R883" s="19">
        <f t="shared" si="98"/>
        <v>3.8709653113911502E-2</v>
      </c>
      <c r="S883" s="22">
        <v>4.1810096957832554E-2</v>
      </c>
      <c r="T883" s="19">
        <f t="shared" si="99"/>
        <v>4.2971492227855235E-2</v>
      </c>
      <c r="U883" s="24">
        <v>4.3632581183007169E-2</v>
      </c>
      <c r="V883" s="24">
        <f t="shared" si="100"/>
        <v>4.2930291157721623E-2</v>
      </c>
      <c r="W883" s="23">
        <f t="shared" si="101"/>
        <v>3.5089903484626372E-3</v>
      </c>
      <c r="X883" s="24">
        <v>4.3242540846107014E-2</v>
      </c>
      <c r="Y883" s="24">
        <f t="shared" si="102"/>
        <v>4.2955359459627918E-2</v>
      </c>
      <c r="Z883" s="23">
        <f t="shared" si="103"/>
        <v>3.5109945739530968E-3</v>
      </c>
      <c r="AA883" s="36"/>
    </row>
    <row r="884" spans="15:27" ht="13.9" customHeight="1">
      <c r="O884" s="12">
        <f t="shared" si="97"/>
        <v>72.583333333333329</v>
      </c>
      <c r="P884" s="13">
        <v>871</v>
      </c>
      <c r="Q884" s="22">
        <v>3.8087900361998939E-2</v>
      </c>
      <c r="R884" s="19">
        <f t="shared" si="98"/>
        <v>3.8711568688349018E-2</v>
      </c>
      <c r="S884" s="22">
        <v>4.1811429620449703E-2</v>
      </c>
      <c r="T884" s="19">
        <f t="shared" si="99"/>
        <v>4.2971728899872552E-2</v>
      </c>
      <c r="U884" s="24">
        <v>4.3631774608775986E-2</v>
      </c>
      <c r="V884" s="24">
        <f t="shared" si="100"/>
        <v>4.2930458019200035E-2</v>
      </c>
      <c r="W884" s="23">
        <f t="shared" si="101"/>
        <v>3.5090037596778867E-3</v>
      </c>
      <c r="X884" s="24">
        <v>4.3242211086203852E-2</v>
      </c>
      <c r="Y884" s="24">
        <f t="shared" si="102"/>
        <v>4.2955597966286785E-2</v>
      </c>
      <c r="Z884" s="23">
        <f t="shared" si="103"/>
        <v>3.5110138005014502E-3</v>
      </c>
      <c r="AA884" s="36"/>
    </row>
    <row r="885" spans="15:27" ht="13.9" customHeight="1">
      <c r="O885" s="12">
        <f t="shared" si="97"/>
        <v>72.666666666666671</v>
      </c>
      <c r="P885" s="13">
        <v>872</v>
      </c>
      <c r="Q885" s="22">
        <v>3.8088615363456091E-2</v>
      </c>
      <c r="R885" s="19">
        <f t="shared" si="98"/>
        <v>3.8713468299759413E-2</v>
      </c>
      <c r="S885" s="22">
        <v>4.1812759499311403E-2</v>
      </c>
      <c r="T885" s="19">
        <f t="shared" si="99"/>
        <v>4.2971963606551755E-2</v>
      </c>
      <c r="U885" s="24">
        <v>4.3630970076590447E-2</v>
      </c>
      <c r="V885" s="24">
        <f t="shared" si="100"/>
        <v>4.2930624472486745E-2</v>
      </c>
      <c r="W885" s="23">
        <f t="shared" si="101"/>
        <v>3.5090171392060387E-3</v>
      </c>
      <c r="X885" s="24">
        <v>4.3241882356326533E-2</v>
      </c>
      <c r="Y885" s="24">
        <f t="shared" si="102"/>
        <v>4.2955835196226255E-2</v>
      </c>
      <c r="Z885" s="23">
        <f t="shared" si="103"/>
        <v>3.511032924365276E-3</v>
      </c>
      <c r="AA885" s="36"/>
    </row>
    <row r="886" spans="15:27" ht="13.9" customHeight="1">
      <c r="O886" s="12">
        <f t="shared" si="97"/>
        <v>72.75</v>
      </c>
      <c r="P886" s="13">
        <v>873</v>
      </c>
      <c r="Q886" s="22">
        <v>3.8089330902023377E-2</v>
      </c>
      <c r="R886" s="19">
        <f t="shared" si="98"/>
        <v>3.8715352082004717E-2</v>
      </c>
      <c r="S886" s="22">
        <v>4.1814086601730249E-2</v>
      </c>
      <c r="T886" s="19">
        <f t="shared" si="99"/>
        <v>4.2972196364520432E-2</v>
      </c>
      <c r="U886" s="24">
        <v>4.3630167578962542E-2</v>
      </c>
      <c r="V886" s="24">
        <f t="shared" si="100"/>
        <v>4.2930790533263652E-2</v>
      </c>
      <c r="W886" s="23">
        <f t="shared" si="101"/>
        <v>3.5090304860021515E-3</v>
      </c>
      <c r="X886" s="24">
        <v>4.3241554651471947E-2</v>
      </c>
      <c r="Y886" s="24">
        <f t="shared" si="102"/>
        <v>4.2956071158804843E-2</v>
      </c>
      <c r="Z886" s="23">
        <f t="shared" si="103"/>
        <v>3.5110519458554368E-3</v>
      </c>
      <c r="AA886" s="36"/>
    </row>
    <row r="887" spans="15:27" ht="13.9" customHeight="1">
      <c r="O887" s="12">
        <f t="shared" si="97"/>
        <v>72.833333333333329</v>
      </c>
      <c r="P887" s="13">
        <v>874</v>
      </c>
      <c r="Q887" s="22">
        <v>3.8090046957755863E-2</v>
      </c>
      <c r="R887" s="19">
        <f t="shared" si="98"/>
        <v>3.8717220166259558E-2</v>
      </c>
      <c r="S887" s="22">
        <v>4.1815410935004182E-2</v>
      </c>
      <c r="T887" s="19">
        <f t="shared" si="99"/>
        <v>4.2972427189520435E-2</v>
      </c>
      <c r="U887" s="24">
        <v>4.3629367108456885E-2</v>
      </c>
      <c r="V887" s="24">
        <f t="shared" si="100"/>
        <v>4.2930956187851477E-2</v>
      </c>
      <c r="W887" s="23">
        <f t="shared" si="101"/>
        <v>3.5090438013234415E-3</v>
      </c>
      <c r="X887" s="24">
        <v>4.3241227966670515E-2</v>
      </c>
      <c r="Y887" s="24">
        <f t="shared" si="102"/>
        <v>4.295630585965049E-2</v>
      </c>
      <c r="Z887" s="23">
        <f t="shared" si="103"/>
        <v>3.5110708657226652E-3</v>
      </c>
      <c r="AA887" s="36"/>
    </row>
    <row r="888" spans="15:27" ht="13.9" customHeight="1">
      <c r="O888" s="12">
        <f t="shared" si="97"/>
        <v>72.916666666666671</v>
      </c>
      <c r="P888" s="13">
        <v>875</v>
      </c>
      <c r="Q888" s="22">
        <v>3.8090763510949532E-2</v>
      </c>
      <c r="R888" s="19">
        <f t="shared" si="98"/>
        <v>3.8719072686021372E-2</v>
      </c>
      <c r="S888" s="22">
        <v>4.1816732506416043E-2</v>
      </c>
      <c r="T888" s="19">
        <f t="shared" si="99"/>
        <v>4.2972656097438389E-2</v>
      </c>
      <c r="U888" s="24">
        <v>4.3628568657656075E-2</v>
      </c>
      <c r="V888" s="24">
        <f t="shared" si="100"/>
        <v>4.2931121452429277E-2</v>
      </c>
      <c r="W888" s="23">
        <f t="shared" si="101"/>
        <v>3.5090570840734525E-3</v>
      </c>
      <c r="X888" s="24">
        <v>4.3240902296981965E-2</v>
      </c>
      <c r="Y888" s="24">
        <f t="shared" si="102"/>
        <v>4.2956539305540886E-2</v>
      </c>
      <c r="Z888" s="23">
        <f t="shared" si="103"/>
        <v>3.5110896844181561E-3</v>
      </c>
      <c r="AA888" s="36"/>
    </row>
    <row r="889" spans="15:27" ht="13.9" customHeight="1">
      <c r="O889" s="12">
        <f t="shared" si="97"/>
        <v>73</v>
      </c>
      <c r="P889" s="13">
        <v>876</v>
      </c>
      <c r="Q889" s="22">
        <v>3.8091480542142619E-2</v>
      </c>
      <c r="R889" s="19">
        <f t="shared" si="98"/>
        <v>3.8720909770359357E-2</v>
      </c>
      <c r="S889" s="22">
        <v>4.1818051323233574E-2</v>
      </c>
      <c r="T889" s="19">
        <f t="shared" si="99"/>
        <v>4.2972883105013571E-2</v>
      </c>
      <c r="U889" s="24">
        <v>4.3627772219195338E-2</v>
      </c>
      <c r="V889" s="24">
        <f t="shared" si="100"/>
        <v>4.2931286319434214E-2</v>
      </c>
      <c r="W889" s="23">
        <f t="shared" si="101"/>
        <v>3.509070335548925E-3</v>
      </c>
      <c r="X889" s="24">
        <v>4.3240577637496225E-2</v>
      </c>
      <c r="Y889" s="24">
        <f t="shared" si="102"/>
        <v>4.295677150468391E-2</v>
      </c>
      <c r="Z889" s="23">
        <f t="shared" si="103"/>
        <v>3.5111084024854744E-3</v>
      </c>
      <c r="AA889" s="36"/>
    </row>
    <row r="890" spans="15:27" ht="13.9" customHeight="1">
      <c r="O890" s="12">
        <f t="shared" si="97"/>
        <v>73.083333333333329</v>
      </c>
      <c r="P890" s="13">
        <v>877</v>
      </c>
      <c r="Q890" s="22">
        <v>3.8092198032109392E-2</v>
      </c>
      <c r="R890" s="19">
        <f t="shared" si="98"/>
        <v>3.8722731548248568E-2</v>
      </c>
      <c r="S890" s="22">
        <v>4.1819367392710083E-2</v>
      </c>
      <c r="T890" s="19">
        <f t="shared" si="99"/>
        <v>4.2973108227134293E-2</v>
      </c>
      <c r="U890" s="24">
        <v>4.3626977785734766E-2</v>
      </c>
      <c r="V890" s="24">
        <f t="shared" si="100"/>
        <v>4.2931450788775694E-2</v>
      </c>
      <c r="W890" s="23">
        <f t="shared" si="101"/>
        <v>3.5090835551436772E-3</v>
      </c>
      <c r="X890" s="24">
        <v>4.3240253983334753E-2</v>
      </c>
      <c r="Y890" s="24">
        <f t="shared" si="102"/>
        <v>4.2957002460414895E-2</v>
      </c>
      <c r="Z890" s="23">
        <f t="shared" si="103"/>
        <v>3.5111270205827605E-3</v>
      </c>
      <c r="AA890" s="36"/>
    </row>
    <row r="891" spans="15:27" ht="13.9" customHeight="1">
      <c r="O891" s="12">
        <f t="shared" si="97"/>
        <v>73.166666666666671</v>
      </c>
      <c r="P891" s="13">
        <v>878</v>
      </c>
      <c r="Q891" s="22">
        <v>3.8092915961858598E-2</v>
      </c>
      <c r="R891" s="19">
        <f t="shared" si="98"/>
        <v>3.8724538147626442E-2</v>
      </c>
      <c r="S891" s="22">
        <v>4.1820680722083114E-2</v>
      </c>
      <c r="T891" s="19">
        <f t="shared" si="99"/>
        <v>4.29733314804015E-2</v>
      </c>
      <c r="U891" s="24">
        <v>4.3626185349967761E-2</v>
      </c>
      <c r="V891" s="24">
        <f t="shared" si="100"/>
        <v>4.2931614860193257E-2</v>
      </c>
      <c r="W891" s="23">
        <f t="shared" si="101"/>
        <v>3.5090967428506037E-3</v>
      </c>
      <c r="X891" s="24">
        <v>4.3239931329645653E-2</v>
      </c>
      <c r="Y891" s="24">
        <f t="shared" si="102"/>
        <v>4.2957232183645999E-2</v>
      </c>
      <c r="Z891" s="23">
        <f t="shared" si="103"/>
        <v>3.5111455389775781E-3</v>
      </c>
      <c r="AA891" s="36"/>
    </row>
    <row r="892" spans="15:27" ht="13.9" customHeight="1">
      <c r="O892" s="12">
        <f t="shared" si="97"/>
        <v>73.25</v>
      </c>
      <c r="P892" s="13">
        <v>879</v>
      </c>
      <c r="Q892" s="22">
        <v>3.8093634312630575E-2</v>
      </c>
      <c r="R892" s="19">
        <f t="shared" si="98"/>
        <v>3.8726329695957018E-2</v>
      </c>
      <c r="S892" s="22">
        <v>4.1821991318576002E-2</v>
      </c>
      <c r="T892" s="19">
        <f t="shared" si="99"/>
        <v>4.2973552879078891E-2</v>
      </c>
      <c r="U892" s="24">
        <v>4.3625394904620807E-2</v>
      </c>
      <c r="V892" s="24">
        <f t="shared" si="100"/>
        <v>4.2931778549268662E-2</v>
      </c>
      <c r="W892" s="23">
        <f t="shared" si="101"/>
        <v>3.5091098986488323E-3</v>
      </c>
      <c r="X892" s="24">
        <v>4.3239609671611001E-2</v>
      </c>
      <c r="Y892" s="24">
        <f t="shared" si="102"/>
        <v>4.295746067777606E-2</v>
      </c>
      <c r="Z892" s="23">
        <f t="shared" si="103"/>
        <v>3.5111639585447829E-3</v>
      </c>
      <c r="AA892" s="36"/>
    </row>
    <row r="893" spans="15:27" ht="13.9" customHeight="1">
      <c r="O893" s="12">
        <f t="shared" si="97"/>
        <v>73.333333333333329</v>
      </c>
      <c r="P893" s="13">
        <v>880</v>
      </c>
      <c r="Q893" s="22">
        <v>3.8094353065895925E-2</v>
      </c>
      <c r="R893" s="19">
        <f t="shared" si="98"/>
        <v>3.8728106319195765E-2</v>
      </c>
      <c r="S893" s="22">
        <v>4.1823299189395646E-2</v>
      </c>
      <c r="T893" s="19">
        <f t="shared" si="99"/>
        <v>4.2973772439462765E-2</v>
      </c>
      <c r="U893" s="24">
        <v>4.3624606442471014E-2</v>
      </c>
      <c r="V893" s="24">
        <f t="shared" si="100"/>
        <v>4.2931941830640641E-2</v>
      </c>
      <c r="W893" s="23">
        <f t="shared" si="101"/>
        <v>3.5091230237875859E-3</v>
      </c>
      <c r="X893" s="24">
        <v>4.323928900443863E-2</v>
      </c>
      <c r="Y893" s="24">
        <f t="shared" si="102"/>
        <v>4.295768794899546E-2</v>
      </c>
      <c r="Z893" s="23">
        <f t="shared" si="103"/>
        <v>3.5111822795570458E-3</v>
      </c>
      <c r="AA893" s="36"/>
    </row>
    <row r="894" spans="15:27" ht="13.9" customHeight="1">
      <c r="O894" s="12">
        <f t="shared" si="97"/>
        <v>73.416666666666671</v>
      </c>
      <c r="P894" s="13">
        <v>881</v>
      </c>
      <c r="Q894" s="22">
        <v>3.809507220335262E-2</v>
      </c>
      <c r="R894" s="19">
        <f t="shared" si="98"/>
        <v>3.8729868141508472E-2</v>
      </c>
      <c r="S894" s="22">
        <v>4.1824604341734517E-2</v>
      </c>
      <c r="T894" s="19">
        <f t="shared" si="99"/>
        <v>4.2973990176980781E-2</v>
      </c>
      <c r="U894" s="24">
        <v>4.3623819956299714E-2</v>
      </c>
      <c r="V894" s="24">
        <f t="shared" si="100"/>
        <v>4.2932104733263587E-2</v>
      </c>
      <c r="W894" s="23">
        <f t="shared" si="101"/>
        <v>3.5091361162336021E-3</v>
      </c>
      <c r="X894" s="24">
        <v>4.3238969323365684E-2</v>
      </c>
      <c r="Y894" s="24">
        <f t="shared" si="102"/>
        <v>4.2957914007635933E-2</v>
      </c>
      <c r="Z894" s="23">
        <f t="shared" si="103"/>
        <v>3.5112005025108584E-3</v>
      </c>
      <c r="AA894" s="36"/>
    </row>
    <row r="895" spans="15:27" ht="13.9" customHeight="1">
      <c r="O895" s="12">
        <f t="shared" si="97"/>
        <v>73.5</v>
      </c>
      <c r="P895" s="13">
        <v>882</v>
      </c>
      <c r="Q895" s="22">
        <v>3.8095791706921789E-2</v>
      </c>
      <c r="R895" s="19">
        <f t="shared" si="98"/>
        <v>3.8731615287014298E-2</v>
      </c>
      <c r="S895" s="22">
        <v>4.1825906782769984E-2</v>
      </c>
      <c r="T895" s="19">
        <f t="shared" si="99"/>
        <v>4.2974206106288992E-2</v>
      </c>
      <c r="U895" s="24">
        <v>4.3623035438953739E-2</v>
      </c>
      <c r="V895" s="24">
        <f t="shared" si="100"/>
        <v>4.2932267236622801E-2</v>
      </c>
      <c r="W895" s="23">
        <f t="shared" si="101"/>
        <v>3.5091491783083573E-3</v>
      </c>
      <c r="X895" s="24">
        <v>4.3238650623661945E-2</v>
      </c>
      <c r="Y895" s="24">
        <f t="shared" si="102"/>
        <v>4.2958138856606931E-2</v>
      </c>
      <c r="Z895" s="23">
        <f t="shared" si="103"/>
        <v>3.5112186282344471E-3</v>
      </c>
      <c r="AA895" s="36"/>
    </row>
    <row r="896" spans="15:27" ht="13.9" customHeight="1">
      <c r="O896" s="12">
        <f t="shared" si="97"/>
        <v>73.583333333333329</v>
      </c>
      <c r="P896" s="13">
        <v>883</v>
      </c>
      <c r="Q896" s="22">
        <v>3.8096511558747492E-2</v>
      </c>
      <c r="R896" s="19">
        <f t="shared" si="98"/>
        <v>3.8733347877951019E-2</v>
      </c>
      <c r="S896" s="22">
        <v>4.1827206519663429E-2</v>
      </c>
      <c r="T896" s="19">
        <f t="shared" si="99"/>
        <v>4.2974420242970934E-2</v>
      </c>
      <c r="U896" s="24">
        <v>4.3622252883289026E-2</v>
      </c>
      <c r="V896" s="24">
        <f t="shared" si="100"/>
        <v>4.2932429362631419E-2</v>
      </c>
      <c r="W896" s="23">
        <f t="shared" si="101"/>
        <v>3.5091622083667229E-3</v>
      </c>
      <c r="X896" s="24">
        <v>4.3238332900622511E-2</v>
      </c>
      <c r="Y896" s="24">
        <f t="shared" si="102"/>
        <v>4.2958362504948111E-2</v>
      </c>
      <c r="Z896" s="23">
        <f t="shared" si="103"/>
        <v>3.5112366569616249E-3</v>
      </c>
      <c r="AA896" s="36"/>
    </row>
    <row r="897" spans="15:27" ht="13.9" customHeight="1">
      <c r="O897" s="12">
        <f t="shared" si="97"/>
        <v>73.666666666666671</v>
      </c>
      <c r="P897" s="13">
        <v>884</v>
      </c>
      <c r="Q897" s="22">
        <v>3.8097231741192505E-2</v>
      </c>
      <c r="R897" s="19">
        <f t="shared" si="98"/>
        <v>3.8735066037770105E-2</v>
      </c>
      <c r="S897" s="22">
        <v>4.1828503559561581E-2</v>
      </c>
      <c r="T897" s="19">
        <f t="shared" si="99"/>
        <v>4.2974632600631724E-2</v>
      </c>
      <c r="U897" s="24">
        <v>4.3621472282218576E-2</v>
      </c>
      <c r="V897" s="24">
        <f t="shared" si="100"/>
        <v>4.2932591082265992E-2</v>
      </c>
      <c r="W897" s="23">
        <f t="shared" si="101"/>
        <v>3.509175208166182E-3</v>
      </c>
      <c r="X897" s="24">
        <v>4.3238016149573566E-2</v>
      </c>
      <c r="Y897" s="24">
        <f t="shared" si="102"/>
        <v>4.2958584954601253E-2</v>
      </c>
      <c r="Z897" s="23">
        <f t="shared" si="103"/>
        <v>3.5112545894167013E-3</v>
      </c>
      <c r="AA897" s="36"/>
    </row>
    <row r="898" spans="15:27" ht="13.9" customHeight="1">
      <c r="O898" s="12">
        <f t="shared" si="97"/>
        <v>73.75</v>
      </c>
      <c r="P898" s="13">
        <v>885</v>
      </c>
      <c r="Q898" s="22">
        <v>3.8097952236838761E-2</v>
      </c>
      <c r="R898" s="19">
        <f t="shared" si="98"/>
        <v>3.8736769885217015E-2</v>
      </c>
      <c r="S898" s="22">
        <v>4.1829797909594291E-2</v>
      </c>
      <c r="T898" s="19">
        <f t="shared" si="99"/>
        <v>4.2974843195436652E-2</v>
      </c>
      <c r="U898" s="24">
        <v>4.362069362865495E-2</v>
      </c>
      <c r="V898" s="24">
        <f t="shared" si="100"/>
        <v>4.2932752419929221E-2</v>
      </c>
      <c r="W898" s="23">
        <f t="shared" si="101"/>
        <v>3.5091881753792631E-3</v>
      </c>
      <c r="X898" s="24">
        <v>4.3237700365864828E-2</v>
      </c>
      <c r="Y898" s="24">
        <f t="shared" si="102"/>
        <v>4.2958806217502365E-2</v>
      </c>
      <c r="Z898" s="23">
        <f t="shared" si="103"/>
        <v>3.5112724257559957E-3</v>
      </c>
      <c r="AA898" s="36"/>
    </row>
    <row r="899" spans="15:27" ht="13.9" customHeight="1">
      <c r="O899" s="12">
        <f t="shared" si="97"/>
        <v>73.833333333333329</v>
      </c>
      <c r="P899" s="13">
        <v>886</v>
      </c>
      <c r="Q899" s="22">
        <v>3.8098673028481134E-2</v>
      </c>
      <c r="R899" s="19">
        <f t="shared" si="98"/>
        <v>3.8738459540505144E-2</v>
      </c>
      <c r="S899" s="22">
        <v>4.1831089576877201E-2</v>
      </c>
      <c r="T899" s="19">
        <f t="shared" si="99"/>
        <v>4.2975052041734685E-2</v>
      </c>
      <c r="U899" s="24">
        <v>4.361991691556999E-2</v>
      </c>
      <c r="V899" s="24">
        <f t="shared" si="100"/>
        <v>4.2932913382250248E-2</v>
      </c>
      <c r="W899" s="23">
        <f t="shared" si="101"/>
        <v>3.5092011119630673E-3</v>
      </c>
      <c r="X899" s="24">
        <v>4.3237385544880658E-2</v>
      </c>
      <c r="Y899" s="24">
        <f t="shared" si="102"/>
        <v>4.2959026297582747E-2</v>
      </c>
      <c r="Z899" s="23">
        <f t="shared" si="103"/>
        <v>3.5112901669360763E-3</v>
      </c>
      <c r="AA899" s="36"/>
    </row>
    <row r="900" spans="15:27" ht="13.9" customHeight="1">
      <c r="O900" s="12">
        <f t="shared" si="97"/>
        <v>73.916666666666671</v>
      </c>
      <c r="P900" s="13">
        <v>887</v>
      </c>
      <c r="Q900" s="22">
        <v>3.8099394099126993E-2</v>
      </c>
      <c r="R900" s="19">
        <f t="shared" si="98"/>
        <v>3.8740135121831942E-2</v>
      </c>
      <c r="S900" s="22">
        <v>4.1832378568510409E-2</v>
      </c>
      <c r="T900" s="19">
        <f t="shared" si="99"/>
        <v>4.2975259153362311E-2</v>
      </c>
      <c r="U900" s="24">
        <v>4.3619142135974842E-2</v>
      </c>
      <c r="V900" s="24">
        <f t="shared" si="100"/>
        <v>4.2933073941440414E-2</v>
      </c>
      <c r="W900" s="23">
        <f t="shared" si="101"/>
        <v>3.5092140184485032E-3</v>
      </c>
      <c r="X900" s="24">
        <v>4.3237071682030281E-2</v>
      </c>
      <c r="Y900" s="24">
        <f t="shared" si="102"/>
        <v>4.2959245200476115E-2</v>
      </c>
      <c r="Z900" s="23">
        <f t="shared" si="103"/>
        <v>3.5113078132724684E-3</v>
      </c>
      <c r="AA900" s="36"/>
    </row>
    <row r="901" spans="15:27" ht="13.9" customHeight="1">
      <c r="O901" s="12">
        <f t="shared" si="97"/>
        <v>74</v>
      </c>
      <c r="P901" s="13">
        <v>888</v>
      </c>
      <c r="Q901" s="22">
        <v>3.8100115431993986E-2</v>
      </c>
      <c r="R901" s="19">
        <f t="shared" si="98"/>
        <v>3.8741796748737123E-2</v>
      </c>
      <c r="S901" s="22">
        <v>4.1833664891577138E-2</v>
      </c>
      <c r="T901" s="19">
        <f t="shared" si="99"/>
        <v>4.2975464545419895E-2</v>
      </c>
      <c r="U901" s="24">
        <v>4.3618369282880654E-2</v>
      </c>
      <c r="V901" s="24">
        <f t="shared" si="100"/>
        <v>4.2933234125666297E-2</v>
      </c>
      <c r="W901" s="23">
        <f t="shared" si="101"/>
        <v>3.5092268926080195E-3</v>
      </c>
      <c r="X901" s="24">
        <v>4.3236758772750239E-2</v>
      </c>
      <c r="Y901" s="24">
        <f t="shared" si="102"/>
        <v>4.2959462932909087E-2</v>
      </c>
      <c r="Z901" s="23">
        <f t="shared" si="103"/>
        <v>3.5113253652170329E-3</v>
      </c>
      <c r="AA901" s="36"/>
    </row>
    <row r="902" spans="15:27" ht="13.9" customHeight="1">
      <c r="O902" s="12">
        <f t="shared" si="97"/>
        <v>74.083333333333329</v>
      </c>
      <c r="P902" s="13">
        <v>889</v>
      </c>
      <c r="Q902" s="22">
        <v>3.8100837010509148E-2</v>
      </c>
      <c r="R902" s="19">
        <f t="shared" si="98"/>
        <v>3.8743444535704663E-2</v>
      </c>
      <c r="S902" s="22">
        <v>4.1834948553146178E-2</v>
      </c>
      <c r="T902" s="19">
        <f t="shared" si="99"/>
        <v>4.2975668231881148E-2</v>
      </c>
      <c r="U902" s="24">
        <v>4.3617598349362074E-2</v>
      </c>
      <c r="V902" s="24">
        <f t="shared" si="100"/>
        <v>4.293339391809603E-2</v>
      </c>
      <c r="W902" s="23">
        <f t="shared" si="101"/>
        <v>3.5092397366998096E-3</v>
      </c>
      <c r="X902" s="24">
        <v>4.3236446812505047E-2</v>
      </c>
      <c r="Y902" s="24">
        <f t="shared" si="102"/>
        <v>4.2959679501431536E-2</v>
      </c>
      <c r="Z902" s="23">
        <f t="shared" si="103"/>
        <v>3.511342823309116E-3</v>
      </c>
      <c r="AA902" s="36"/>
    </row>
    <row r="903" spans="15:27" ht="13.9" customHeight="1">
      <c r="O903" s="12">
        <f t="shared" si="97"/>
        <v>74.166666666666671</v>
      </c>
      <c r="P903" s="13">
        <v>890</v>
      </c>
      <c r="Q903" s="22">
        <v>3.8101558818302905E-2</v>
      </c>
      <c r="R903" s="19">
        <f t="shared" si="98"/>
        <v>3.8745078599187188E-2</v>
      </c>
      <c r="S903" s="22">
        <v>4.1836229560269889E-2</v>
      </c>
      <c r="T903" s="19">
        <f t="shared" si="99"/>
        <v>4.2975870227418111E-2</v>
      </c>
      <c r="U903" s="24">
        <v>4.3616829328505524E-2</v>
      </c>
      <c r="V903" s="24">
        <f t="shared" si="100"/>
        <v>4.293355333621518E-2</v>
      </c>
      <c r="W903" s="23">
        <f t="shared" si="101"/>
        <v>3.5092525493742865E-3</v>
      </c>
      <c r="X903" s="24">
        <v>4.3236135796786979E-2</v>
      </c>
      <c r="Y903" s="24">
        <f t="shared" si="102"/>
        <v>4.2959894913187302E-2</v>
      </c>
      <c r="Z903" s="23">
        <f t="shared" si="103"/>
        <v>3.5113601880738532E-3</v>
      </c>
      <c r="AA903" s="36"/>
    </row>
    <row r="904" spans="15:27" ht="13.9" customHeight="1">
      <c r="O904" s="12">
        <f t="shared" si="97"/>
        <v>74.25</v>
      </c>
      <c r="P904" s="13">
        <v>891</v>
      </c>
      <c r="Q904" s="22">
        <v>3.8102280839209524E-2</v>
      </c>
      <c r="R904" s="19">
        <f t="shared" si="98"/>
        <v>3.8746699053545219E-2</v>
      </c>
      <c r="S904" s="22">
        <v>4.183750791998575E-2</v>
      </c>
      <c r="T904" s="19">
        <f t="shared" si="99"/>
        <v>4.2976070545596379E-2</v>
      </c>
      <c r="U904" s="24">
        <v>4.3616062213448714E-2</v>
      </c>
      <c r="V904" s="24">
        <f t="shared" si="100"/>
        <v>4.2933712372277055E-2</v>
      </c>
      <c r="W904" s="23">
        <f t="shared" si="101"/>
        <v>3.5092653320334399E-3</v>
      </c>
      <c r="X904" s="24">
        <v>4.3235825721116727E-2</v>
      </c>
      <c r="Y904" s="24">
        <f t="shared" si="102"/>
        <v>4.2960109174227989E-2</v>
      </c>
      <c r="Z904" s="23">
        <f t="shared" si="103"/>
        <v>3.5113774600841197E-3</v>
      </c>
      <c r="AA904" s="36"/>
    </row>
    <row r="905" spans="15:27" ht="13.9" customHeight="1">
      <c r="O905" s="12">
        <f t="shared" si="97"/>
        <v>74.333333333333329</v>
      </c>
      <c r="P905" s="13">
        <v>892</v>
      </c>
      <c r="Q905" s="22">
        <v>3.8103003057264218E-2</v>
      </c>
      <c r="R905" s="19">
        <f t="shared" si="98"/>
        <v>3.8748306013491662E-2</v>
      </c>
      <c r="S905" s="22">
        <v>4.1838783639314592E-2</v>
      </c>
      <c r="T905" s="19">
        <f t="shared" si="99"/>
        <v>4.2976269199993089E-2</v>
      </c>
      <c r="U905" s="24">
        <v>4.3615296997350672E-2</v>
      </c>
      <c r="V905" s="24">
        <f t="shared" si="100"/>
        <v>4.2933871017910352E-2</v>
      </c>
      <c r="W905" s="23">
        <f t="shared" si="101"/>
        <v>3.509278084056433E-3</v>
      </c>
      <c r="X905" s="24">
        <v>4.3235516581041633E-2</v>
      </c>
      <c r="Y905" s="24">
        <f t="shared" si="102"/>
        <v>4.2960322287248109E-2</v>
      </c>
      <c r="Z905" s="23">
        <f t="shared" si="103"/>
        <v>3.5113946398250828E-3</v>
      </c>
      <c r="AA905" s="36"/>
    </row>
    <row r="906" spans="15:27" ht="13.9" customHeight="1">
      <c r="O906" s="12">
        <f t="shared" si="97"/>
        <v>74.416666666666671</v>
      </c>
      <c r="P906" s="13">
        <v>893</v>
      </c>
      <c r="Q906" s="22">
        <v>3.8103725456702042E-2</v>
      </c>
      <c r="R906" s="19">
        <f t="shared" si="98"/>
        <v>3.8749899591590031E-2</v>
      </c>
      <c r="S906" s="22">
        <v>4.1840056725261032E-2</v>
      </c>
      <c r="T906" s="19">
        <f t="shared" si="99"/>
        <v>4.2976466205185027E-2</v>
      </c>
      <c r="U906" s="24">
        <v>4.3614533673392408E-2</v>
      </c>
      <c r="V906" s="24">
        <f t="shared" si="100"/>
        <v>4.29340292893714E-2</v>
      </c>
      <c r="W906" s="23">
        <f t="shared" si="101"/>
        <v>3.509290804771803E-3</v>
      </c>
      <c r="X906" s="24">
        <v>4.3235208372132128E-2</v>
      </c>
      <c r="Y906" s="24">
        <f t="shared" si="102"/>
        <v>4.2960534263319028E-2</v>
      </c>
      <c r="Z906" s="23">
        <f t="shared" si="103"/>
        <v>3.5114117275132362E-3</v>
      </c>
      <c r="AA906" s="36"/>
    </row>
    <row r="907" spans="15:27" ht="13.9" customHeight="1">
      <c r="O907" s="12">
        <f t="shared" si="97"/>
        <v>74.5</v>
      </c>
      <c r="P907" s="13">
        <v>894</v>
      </c>
      <c r="Q907" s="22">
        <v>3.810444802195434E-2</v>
      </c>
      <c r="R907" s="19">
        <f t="shared" si="98"/>
        <v>3.8751479898846419E-2</v>
      </c>
      <c r="S907" s="22">
        <v>4.1841327184815036E-2</v>
      </c>
      <c r="T907" s="19">
        <f t="shared" si="99"/>
        <v>4.2976661574723574E-2</v>
      </c>
      <c r="U907" s="24">
        <v>4.3613772234803339E-2</v>
      </c>
      <c r="V907" s="24">
        <f t="shared" si="100"/>
        <v>4.2934187181589145E-2</v>
      </c>
      <c r="W907" s="23">
        <f t="shared" si="101"/>
        <v>3.5093034954829516E-3</v>
      </c>
      <c r="X907" s="24">
        <v>4.323490108999084E-2</v>
      </c>
      <c r="Y907" s="24">
        <f t="shared" si="102"/>
        <v>4.2960745105676601E-2</v>
      </c>
      <c r="Z907" s="23">
        <f t="shared" si="103"/>
        <v>3.511428724036092E-3</v>
      </c>
      <c r="AA907" s="36"/>
    </row>
    <row r="908" spans="15:27" ht="13.9" customHeight="1">
      <c r="O908" s="12">
        <f t="shared" si="97"/>
        <v>74.583333333333329</v>
      </c>
      <c r="P908" s="13">
        <v>895</v>
      </c>
      <c r="Q908" s="22">
        <v>3.8105170737646077E-2</v>
      </c>
      <c r="R908" s="19">
        <f t="shared" si="98"/>
        <v>3.8753047045463562E-2</v>
      </c>
      <c r="S908" s="22">
        <v>4.1842595024949913E-2</v>
      </c>
      <c r="T908" s="19">
        <f t="shared" si="99"/>
        <v>4.2976855322192309E-2</v>
      </c>
      <c r="U908" s="24">
        <v>4.3613012674837304E-2</v>
      </c>
      <c r="V908" s="24">
        <f t="shared" si="100"/>
        <v>4.2934344693085214E-2</v>
      </c>
      <c r="W908" s="23">
        <f t="shared" si="101"/>
        <v>3.5093161557833152E-3</v>
      </c>
      <c r="X908" s="24">
        <v>4.3234594730243714E-2</v>
      </c>
      <c r="Y908" s="24">
        <f t="shared" si="102"/>
        <v>4.296095482104878E-2</v>
      </c>
      <c r="Z908" s="23">
        <f t="shared" si="103"/>
        <v>3.5114456296529983E-3</v>
      </c>
      <c r="AA908" s="36"/>
    </row>
    <row r="909" spans="15:27" ht="13.9" customHeight="1">
      <c r="O909" s="12">
        <f t="shared" si="97"/>
        <v>74.666666666666671</v>
      </c>
      <c r="P909" s="13">
        <v>896</v>
      </c>
      <c r="Q909" s="22">
        <v>3.8105893588593842E-2</v>
      </c>
      <c r="R909" s="19">
        <f t="shared" si="98"/>
        <v>3.8754601143812906E-2</v>
      </c>
      <c r="S909" s="22">
        <v>4.1843860252623211E-2</v>
      </c>
      <c r="T909" s="19">
        <f t="shared" si="99"/>
        <v>4.2977047459743956E-2</v>
      </c>
      <c r="U909" s="24">
        <v>4.361225498677701E-2</v>
      </c>
      <c r="V909" s="24">
        <f t="shared" si="100"/>
        <v>4.293450182301739E-2</v>
      </c>
      <c r="W909" s="23">
        <f t="shared" si="101"/>
        <v>3.5093287855545441E-3</v>
      </c>
      <c r="X909" s="24">
        <v>4.3234289288543781E-2</v>
      </c>
      <c r="Y909" s="24">
        <f t="shared" si="102"/>
        <v>4.2961163414630743E-2</v>
      </c>
      <c r="Z909" s="23">
        <f t="shared" si="103"/>
        <v>3.5114624449037457E-3</v>
      </c>
      <c r="AA909" s="36"/>
    </row>
    <row r="910" spans="15:27" ht="13.9" customHeight="1">
      <c r="O910" s="12">
        <f t="shared" ref="O910:O973" si="104">P910/12</f>
        <v>74.75</v>
      </c>
      <c r="P910" s="13">
        <v>897</v>
      </c>
      <c r="Q910" s="22">
        <v>3.8106616559807183E-2</v>
      </c>
      <c r="R910" s="19">
        <f t="shared" ref="R910:R973" si="105">(1+Q911)^P911/(1+Q910)^P910-1</f>
        <v>3.8756142301808572E-2</v>
      </c>
      <c r="S910" s="22">
        <v>4.1845122874775376E-2</v>
      </c>
      <c r="T910" s="19">
        <f t="shared" ref="T910:T973" si="106">(1+S911)^P911/(1+S910)^P910-1</f>
        <v>4.2977238002809726E-2</v>
      </c>
      <c r="U910" s="24">
        <v>4.3611499163934031E-2</v>
      </c>
      <c r="V910" s="24">
        <f t="shared" ref="V910:V973" si="107">(1+U911)^P911/(1+U910)^P910-1</f>
        <v>4.2934658580680241E-2</v>
      </c>
      <c r="W910" s="23">
        <f t="shared" si="101"/>
        <v>3.5093413847291366E-3</v>
      </c>
      <c r="X910" s="24">
        <v>4.3233984760568944E-2</v>
      </c>
      <c r="Y910" s="24">
        <f t="shared" si="102"/>
        <v>4.2961370892691253E-2</v>
      </c>
      <c r="Z910" s="23">
        <f t="shared" si="103"/>
        <v>3.5114791702046677E-3</v>
      </c>
      <c r="AA910" s="36"/>
    </row>
    <row r="911" spans="15:27" ht="13.9" customHeight="1">
      <c r="O911" s="12">
        <f t="shared" si="104"/>
        <v>74.833333333333329</v>
      </c>
      <c r="P911" s="13">
        <v>898</v>
      </c>
      <c r="Q911" s="22">
        <v>3.8107339636482163E-2</v>
      </c>
      <c r="R911" s="19">
        <f t="shared" si="105"/>
        <v>3.8757670626935248E-2</v>
      </c>
      <c r="S911" s="22">
        <v>4.1846382898332424E-2</v>
      </c>
      <c r="T911" s="19">
        <f t="shared" si="106"/>
        <v>4.2977426964350807E-2</v>
      </c>
      <c r="U911" s="24">
        <v>4.3610745199659906E-2</v>
      </c>
      <c r="V911" s="24">
        <f t="shared" si="107"/>
        <v>4.2934814967769519E-2</v>
      </c>
      <c r="W911" s="23">
        <f t="shared" ref="W911:W974" si="108">(1+V910)^(1/12)-1</f>
        <v>3.5093539540522745E-3</v>
      </c>
      <c r="X911" s="24">
        <v>4.323368114202375E-2</v>
      </c>
      <c r="Y911" s="24">
        <f t="shared" ref="Y911:Y974" si="109">(1+X912)^P912/(1+X911)^P911-1</f>
        <v>4.2961577264498008E-2</v>
      </c>
      <c r="Z911" s="23">
        <f t="shared" ref="Z911:Z974" si="110">(1+Y910)^(1/12)-1</f>
        <v>3.5114958060586954E-3</v>
      </c>
      <c r="AA911" s="36"/>
    </row>
    <row r="912" spans="15:27" ht="13.9" customHeight="1">
      <c r="O912" s="12">
        <f t="shared" si="104"/>
        <v>74.916666666666671</v>
      </c>
      <c r="P912" s="13">
        <v>899</v>
      </c>
      <c r="Q912" s="22">
        <v>3.8108062804000919E-2</v>
      </c>
      <c r="R912" s="19">
        <f t="shared" si="105"/>
        <v>3.8759186226252407E-2</v>
      </c>
      <c r="S912" s="22">
        <v>4.1847640330204383E-2</v>
      </c>
      <c r="T912" s="19">
        <f t="shared" si="106"/>
        <v>4.2977614355965033E-2</v>
      </c>
      <c r="U912" s="24">
        <v>4.3609993087337928E-2</v>
      </c>
      <c r="V912" s="24">
        <f t="shared" si="107"/>
        <v>4.2934970969042086E-2</v>
      </c>
      <c r="W912" s="23">
        <f t="shared" si="108"/>
        <v>3.509366493659849E-3</v>
      </c>
      <c r="X912" s="24">
        <v>4.3233378428641833E-2</v>
      </c>
      <c r="Y912" s="24">
        <f t="shared" si="109"/>
        <v>4.29617825312405E-2</v>
      </c>
      <c r="Z912" s="23">
        <f t="shared" si="110"/>
        <v>3.511512353209012E-3</v>
      </c>
      <c r="AA912" s="36"/>
    </row>
    <row r="913" spans="15:27" ht="13.9" customHeight="1">
      <c r="O913" s="12">
        <f t="shared" si="104"/>
        <v>75</v>
      </c>
      <c r="P913" s="13">
        <v>900</v>
      </c>
      <c r="Q913" s="22">
        <v>3.8108786047928778E-2</v>
      </c>
      <c r="R913" s="19">
        <f t="shared" si="105"/>
        <v>3.8760689206808197E-2</v>
      </c>
      <c r="S913" s="22">
        <v>4.1848895177283518E-2</v>
      </c>
      <c r="T913" s="19">
        <f t="shared" si="106"/>
        <v>4.2977800191512872E-2</v>
      </c>
      <c r="U913" s="24">
        <v>4.3609242820363603E-2</v>
      </c>
      <c r="V913" s="24">
        <f t="shared" si="107"/>
        <v>4.2935126600145423E-2</v>
      </c>
      <c r="W913" s="23">
        <f t="shared" si="108"/>
        <v>3.5093790023297267E-3</v>
      </c>
      <c r="X913" s="24">
        <v>4.3233076616177479E-2</v>
      </c>
      <c r="Y913" s="24">
        <f t="shared" si="109"/>
        <v>4.2961986700053467E-2</v>
      </c>
      <c r="Z913" s="23">
        <f t="shared" si="110"/>
        <v>3.5115288117508747E-3</v>
      </c>
      <c r="AA913" s="36"/>
    </row>
    <row r="914" spans="15:27" ht="13.9" customHeight="1">
      <c r="O914" s="12">
        <f t="shared" si="104"/>
        <v>75.083333333333329</v>
      </c>
      <c r="P914" s="13">
        <v>901</v>
      </c>
      <c r="Q914" s="22">
        <v>3.810950935401447E-2</v>
      </c>
      <c r="R914" s="19">
        <f t="shared" si="105"/>
        <v>3.8762179674593833E-2</v>
      </c>
      <c r="S914" s="22">
        <v>4.1850147446446773E-2</v>
      </c>
      <c r="T914" s="19">
        <f t="shared" si="106"/>
        <v>4.2977984484046106E-2</v>
      </c>
      <c r="U914" s="24">
        <v>4.3608494392179509E-2</v>
      </c>
      <c r="V914" s="24">
        <f t="shared" si="107"/>
        <v>4.2935281856808283E-2</v>
      </c>
      <c r="W914" s="23">
        <f t="shared" si="108"/>
        <v>3.5093914813164595E-3</v>
      </c>
      <c r="X914" s="24">
        <v>4.3232775700411397E-2</v>
      </c>
      <c r="Y914" s="24">
        <f t="shared" si="109"/>
        <v>4.2962189778510851E-2</v>
      </c>
      <c r="Z914" s="23">
        <f t="shared" si="110"/>
        <v>3.5115451822562704E-3</v>
      </c>
      <c r="AA914" s="36"/>
    </row>
    <row r="915" spans="15:27" ht="13.9" customHeight="1">
      <c r="O915" s="12">
        <f t="shared" si="104"/>
        <v>75.166666666666671</v>
      </c>
      <c r="P915" s="13">
        <v>902</v>
      </c>
      <c r="Q915" s="22">
        <v>3.8110232708186809E-2</v>
      </c>
      <c r="R915" s="19">
        <f t="shared" si="105"/>
        <v>3.8763657733114298E-2</v>
      </c>
      <c r="S915" s="22">
        <v>4.185139714455488E-2</v>
      </c>
      <c r="T915" s="19">
        <f t="shared" si="106"/>
        <v>4.2978167247428756E-2</v>
      </c>
      <c r="U915" s="24">
        <v>4.3607747796252205E-2</v>
      </c>
      <c r="V915" s="24">
        <f t="shared" si="107"/>
        <v>4.2935436747062017E-2</v>
      </c>
      <c r="W915" s="23">
        <f t="shared" si="108"/>
        <v>3.5094039302778768E-3</v>
      </c>
      <c r="X915" s="24">
        <v>4.3232475677151605E-2</v>
      </c>
      <c r="Y915" s="24">
        <f t="shared" si="109"/>
        <v>4.2962391771917741E-2</v>
      </c>
      <c r="Z915" s="23">
        <f t="shared" si="110"/>
        <v>3.5115614653329352E-3</v>
      </c>
      <c r="AA915" s="36"/>
    </row>
    <row r="916" spans="15:27" ht="13.9" customHeight="1">
      <c r="O916" s="12">
        <f t="shared" si="104"/>
        <v>75.25</v>
      </c>
      <c r="P916" s="13">
        <v>903</v>
      </c>
      <c r="Q916" s="22">
        <v>3.8110956096552018E-2</v>
      </c>
      <c r="R916" s="19">
        <f t="shared" si="105"/>
        <v>3.8765123485923869E-2</v>
      </c>
      <c r="S916" s="22">
        <v>4.1852644278453699E-2</v>
      </c>
      <c r="T916" s="19">
        <f t="shared" si="106"/>
        <v>4.2978348492004104E-2</v>
      </c>
      <c r="U916" s="24">
        <v>4.3607003026086444E-2</v>
      </c>
      <c r="V916" s="24">
        <f t="shared" si="107"/>
        <v>4.2935591263352446E-2</v>
      </c>
      <c r="W916" s="23">
        <f t="shared" si="108"/>
        <v>3.5094163498576858E-3</v>
      </c>
      <c r="X916" s="24">
        <v>4.3232176542230549E-2</v>
      </c>
      <c r="Y916" s="24">
        <f t="shared" si="109"/>
        <v>4.2962592685592327E-2</v>
      </c>
      <c r="Z916" s="23">
        <f t="shared" si="110"/>
        <v>3.5115776614058625E-3</v>
      </c>
      <c r="AA916" s="36"/>
    </row>
    <row r="917" spans="15:27" ht="13.9" customHeight="1">
      <c r="O917" s="12">
        <f t="shared" si="104"/>
        <v>75.333333333333329</v>
      </c>
      <c r="P917" s="13">
        <v>904</v>
      </c>
      <c r="Q917" s="22">
        <v>3.8111679505392182E-2</v>
      </c>
      <c r="R917" s="19">
        <f t="shared" si="105"/>
        <v>3.8766577036042804E-2</v>
      </c>
      <c r="S917" s="22">
        <v>4.1853888854970434E-2</v>
      </c>
      <c r="T917" s="19">
        <f t="shared" si="106"/>
        <v>4.2978528232172408E-2</v>
      </c>
      <c r="U917" s="24">
        <v>4.360626007520696E-2</v>
      </c>
      <c r="V917" s="24">
        <f t="shared" si="107"/>
        <v>4.2935745398807068E-2</v>
      </c>
      <c r="W917" s="23">
        <f t="shared" si="108"/>
        <v>3.5094287394501489E-3</v>
      </c>
      <c r="X917" s="24">
        <v>4.3231878291504877E-2</v>
      </c>
      <c r="Y917" s="24">
        <f t="shared" si="109"/>
        <v>4.2962792523703275E-2</v>
      </c>
      <c r="Z917" s="23">
        <f t="shared" si="110"/>
        <v>3.5115937709018219E-3</v>
      </c>
      <c r="AA917" s="36"/>
    </row>
    <row r="918" spans="15:27" ht="13.9" customHeight="1">
      <c r="O918" s="12">
        <f t="shared" si="104"/>
        <v>75.416666666666671</v>
      </c>
      <c r="P918" s="13">
        <v>905</v>
      </c>
      <c r="Q918" s="22">
        <v>3.8112402921163469E-2</v>
      </c>
      <c r="R918" s="19">
        <f t="shared" si="105"/>
        <v>3.8768018485691336E-2</v>
      </c>
      <c r="S918" s="22">
        <v>4.1855130880917635E-2</v>
      </c>
      <c r="T918" s="19">
        <f t="shared" si="106"/>
        <v>4.2978706480018003E-2</v>
      </c>
      <c r="U918" s="24">
        <v>4.3605518937159804E-2</v>
      </c>
      <c r="V918" s="24">
        <f t="shared" si="107"/>
        <v>4.2935899178179193E-2</v>
      </c>
      <c r="W918" s="23">
        <f t="shared" si="108"/>
        <v>3.5094410985045954E-3</v>
      </c>
      <c r="X918" s="24">
        <v>4.3231580920854329E-2</v>
      </c>
      <c r="Y918" s="24">
        <f t="shared" si="109"/>
        <v>4.2962991295436348E-2</v>
      </c>
      <c r="Z918" s="23">
        <f t="shared" si="110"/>
        <v>3.5116097941549906E-3</v>
      </c>
      <c r="AA918" s="36"/>
    </row>
    <row r="919" spans="15:27" ht="13.9" customHeight="1">
      <c r="O919" s="12">
        <f t="shared" si="104"/>
        <v>75.5</v>
      </c>
      <c r="P919" s="13">
        <v>906</v>
      </c>
      <c r="Q919" s="22">
        <v>3.8113126330495017E-2</v>
      </c>
      <c r="R919" s="19">
        <f t="shared" si="105"/>
        <v>3.8769447936109369E-2</v>
      </c>
      <c r="S919" s="22">
        <v>4.18563703630912E-2</v>
      </c>
      <c r="T919" s="19">
        <f t="shared" si="106"/>
        <v>4.2978883247992483E-2</v>
      </c>
      <c r="U919" s="24">
        <v>4.3604779605546984E-2</v>
      </c>
      <c r="V919" s="24">
        <f t="shared" si="107"/>
        <v>4.2936052584197748E-2</v>
      </c>
      <c r="W919" s="23">
        <f t="shared" si="108"/>
        <v>3.509453429005438E-3</v>
      </c>
      <c r="X919" s="24">
        <v>4.3231284426187067E-2</v>
      </c>
      <c r="Y919" s="24">
        <f t="shared" si="109"/>
        <v>4.2963189004373126E-2</v>
      </c>
      <c r="Z919" s="23">
        <f t="shared" si="110"/>
        <v>3.5116257319018906E-3</v>
      </c>
      <c r="AA919" s="36"/>
    </row>
    <row r="920" spans="15:27" ht="13.9" customHeight="1">
      <c r="O920" s="12">
        <f t="shared" si="104"/>
        <v>75.583333333333329</v>
      </c>
      <c r="P920" s="13">
        <v>907</v>
      </c>
      <c r="Q920" s="22">
        <v>3.8113849720186277E-2</v>
      </c>
      <c r="R920" s="19">
        <f t="shared" si="105"/>
        <v>3.8770865486637218E-2</v>
      </c>
      <c r="S920" s="22">
        <v>4.1857607308271039E-2</v>
      </c>
      <c r="T920" s="19">
        <f t="shared" si="106"/>
        <v>4.2979058548010762E-2</v>
      </c>
      <c r="U920" s="24">
        <v>4.3604042073979166E-2</v>
      </c>
      <c r="V920" s="24">
        <f t="shared" si="107"/>
        <v>4.2936205621903811E-2</v>
      </c>
      <c r="W920" s="23">
        <f t="shared" si="108"/>
        <v>3.5094657295680065E-3</v>
      </c>
      <c r="X920" s="24">
        <v>4.323098880343279E-2</v>
      </c>
      <c r="Y920" s="24">
        <f t="shared" si="109"/>
        <v>4.2963385656418662E-2</v>
      </c>
      <c r="Z920" s="23">
        <f t="shared" si="110"/>
        <v>3.5116415844298476E-3</v>
      </c>
      <c r="AA920" s="36"/>
    </row>
    <row r="921" spans="15:27" ht="13.9" customHeight="1">
      <c r="O921" s="12">
        <f t="shared" si="104"/>
        <v>75.666666666666671</v>
      </c>
      <c r="P921" s="13">
        <v>908</v>
      </c>
      <c r="Q921" s="22">
        <v>3.8114573077204339E-2</v>
      </c>
      <c r="R921" s="19">
        <f t="shared" si="105"/>
        <v>3.8772271237128786E-2</v>
      </c>
      <c r="S921" s="22">
        <v>4.1858841723220186E-2</v>
      </c>
      <c r="T921" s="19">
        <f t="shared" si="106"/>
        <v>4.2979232392628575E-2</v>
      </c>
      <c r="U921" s="24">
        <v>4.3603306336101433E-2</v>
      </c>
      <c r="V921" s="24">
        <f t="shared" si="107"/>
        <v>4.2936358292840149E-2</v>
      </c>
      <c r="W921" s="23">
        <f t="shared" si="108"/>
        <v>3.5094780005964221E-3</v>
      </c>
      <c r="X921" s="24">
        <v>4.3230694048546292E-2</v>
      </c>
      <c r="Y921" s="24">
        <f t="shared" si="109"/>
        <v>4.2963581257154715E-2</v>
      </c>
      <c r="Z921" s="23">
        <f t="shared" si="110"/>
        <v>3.5116573522122607E-3</v>
      </c>
      <c r="AA921" s="36"/>
    </row>
    <row r="922" spans="15:27" ht="13.9" customHeight="1">
      <c r="O922" s="12">
        <f t="shared" si="104"/>
        <v>75.75</v>
      </c>
      <c r="P922" s="13">
        <v>909</v>
      </c>
      <c r="Q922" s="22">
        <v>3.8115296388683273E-2</v>
      </c>
      <c r="R922" s="19">
        <f t="shared" si="105"/>
        <v>3.8773665285943171E-2</v>
      </c>
      <c r="S922" s="22">
        <v>4.1860073614685467E-2</v>
      </c>
      <c r="T922" s="19">
        <f t="shared" si="106"/>
        <v>4.2979404793751508E-2</v>
      </c>
      <c r="U922" s="24">
        <v>4.3602572385587957E-2</v>
      </c>
      <c r="V922" s="24">
        <f t="shared" si="107"/>
        <v>4.293651059869652E-2</v>
      </c>
      <c r="W922" s="23">
        <f t="shared" si="108"/>
        <v>3.5094902422145857E-3</v>
      </c>
      <c r="X922" s="24">
        <v>4.3230400157505677E-2</v>
      </c>
      <c r="Y922" s="24">
        <f t="shared" si="109"/>
        <v>4.296377581255939E-2</v>
      </c>
      <c r="Z922" s="23">
        <f t="shared" si="110"/>
        <v>3.5116730356967718E-3</v>
      </c>
      <c r="AA922" s="36"/>
    </row>
    <row r="923" spans="15:27" ht="13.9" customHeight="1">
      <c r="O923" s="12">
        <f t="shared" si="104"/>
        <v>75.833333333333329</v>
      </c>
      <c r="P923" s="13">
        <v>910</v>
      </c>
      <c r="Q923" s="22">
        <v>3.8116019641921906E-2</v>
      </c>
      <c r="R923" s="19">
        <f t="shared" si="105"/>
        <v>3.8775047731385293E-2</v>
      </c>
      <c r="S923" s="22">
        <v>4.1861302989397497E-2</v>
      </c>
      <c r="T923" s="19">
        <f t="shared" si="106"/>
        <v>4.29795757637359E-2</v>
      </c>
      <c r="U923" s="24">
        <v>4.3601840216142884E-2</v>
      </c>
      <c r="V923" s="24">
        <f t="shared" si="107"/>
        <v>4.2936662537761183E-2</v>
      </c>
      <c r="W923" s="23">
        <f t="shared" si="108"/>
        <v>3.5095024545579445E-3</v>
      </c>
      <c r="X923" s="24">
        <v>4.3230107126313699E-2</v>
      </c>
      <c r="Y923" s="24">
        <f t="shared" si="109"/>
        <v>4.2963969328886353E-2</v>
      </c>
      <c r="Z923" s="23">
        <f t="shared" si="110"/>
        <v>3.5116886353627752E-3</v>
      </c>
      <c r="AA923" s="36"/>
    </row>
    <row r="924" spans="15:27" ht="13.9" customHeight="1">
      <c r="O924" s="12">
        <f t="shared" si="104"/>
        <v>75.916666666666671</v>
      </c>
      <c r="P924" s="13">
        <v>911</v>
      </c>
      <c r="Q924" s="22">
        <v>3.811674282438271E-2</v>
      </c>
      <c r="R924" s="19">
        <f t="shared" si="105"/>
        <v>3.8776418669807633E-2</v>
      </c>
      <c r="S924" s="22">
        <v>4.1862529854070685E-2</v>
      </c>
      <c r="T924" s="19">
        <f t="shared" si="106"/>
        <v>4.2979745313252993E-2</v>
      </c>
      <c r="U924" s="24">
        <v>4.360110982149612E-2</v>
      </c>
      <c r="V924" s="24">
        <f t="shared" si="107"/>
        <v>4.2936814114372668E-2</v>
      </c>
      <c r="W924" s="23">
        <f t="shared" si="108"/>
        <v>3.5095146374890529E-3</v>
      </c>
      <c r="X924" s="24">
        <v>4.3229814950997536E-2</v>
      </c>
      <c r="Y924" s="24">
        <f t="shared" si="109"/>
        <v>4.2964161809688761E-2</v>
      </c>
      <c r="Z924" s="23">
        <f t="shared" si="110"/>
        <v>3.5117041517118697E-3</v>
      </c>
      <c r="AA924" s="36"/>
    </row>
    <row r="925" spans="15:27" ht="13.9" customHeight="1">
      <c r="O925" s="12">
        <f t="shared" si="104"/>
        <v>76</v>
      </c>
      <c r="P925" s="13">
        <v>912</v>
      </c>
      <c r="Q925" s="22">
        <v>3.8117465923688476E-2</v>
      </c>
      <c r="R925" s="19">
        <f t="shared" si="105"/>
        <v>3.8777778196375845E-2</v>
      </c>
      <c r="S925" s="22">
        <v>4.1863754215401894E-2</v>
      </c>
      <c r="T925" s="19">
        <f t="shared" si="106"/>
        <v>4.297991345576091E-2</v>
      </c>
      <c r="U925" s="24">
        <v>4.3600381195409543E-2</v>
      </c>
      <c r="V925" s="24">
        <f t="shared" si="107"/>
        <v>4.2936965320554243E-2</v>
      </c>
      <c r="W925" s="23">
        <f t="shared" si="108"/>
        <v>3.5095267913560768E-3</v>
      </c>
      <c r="X925" s="24">
        <v>4.322952362760546E-2</v>
      </c>
      <c r="Y925" s="24">
        <f t="shared" si="109"/>
        <v>4.2964353260641852E-2</v>
      </c>
      <c r="Z925" s="23">
        <f t="shared" si="110"/>
        <v>3.5117195850287164E-3</v>
      </c>
      <c r="AA925" s="36"/>
    </row>
    <row r="926" spans="15:27" ht="13.9" customHeight="1">
      <c r="O926" s="12">
        <f t="shared" si="104"/>
        <v>76.083333333333329</v>
      </c>
      <c r="P926" s="13">
        <v>913</v>
      </c>
      <c r="Q926" s="22">
        <v>3.8118188927620755E-2</v>
      </c>
      <c r="R926" s="19">
        <f t="shared" si="105"/>
        <v>3.8779126407835873E-2</v>
      </c>
      <c r="S926" s="22">
        <v>4.1864976080073113E-2</v>
      </c>
      <c r="T926" s="19">
        <f t="shared" si="106"/>
        <v>4.2980080202521975E-2</v>
      </c>
      <c r="U926" s="24">
        <v>4.3599654331664128E-2</v>
      </c>
      <c r="V926" s="24">
        <f t="shared" si="107"/>
        <v>4.2937116173402678E-2</v>
      </c>
      <c r="W926" s="23">
        <f t="shared" si="108"/>
        <v>3.5095389155193057E-3</v>
      </c>
      <c r="X926" s="24">
        <v>4.3229233152209501E-2</v>
      </c>
      <c r="Y926" s="24">
        <f t="shared" si="109"/>
        <v>4.296454369155267E-2</v>
      </c>
      <c r="Z926" s="23">
        <f t="shared" si="110"/>
        <v>3.5117349357687289E-3</v>
      </c>
      <c r="AA926" s="36"/>
    </row>
    <row r="927" spans="15:27" ht="13.9" customHeight="1">
      <c r="O927" s="12">
        <f t="shared" si="104"/>
        <v>76.166666666666671</v>
      </c>
      <c r="P927" s="13">
        <v>914</v>
      </c>
      <c r="Q927" s="22">
        <v>3.8118911824120083E-2</v>
      </c>
      <c r="R927" s="19">
        <f t="shared" si="105"/>
        <v>3.8780463398646603E-2</v>
      </c>
      <c r="S927" s="22">
        <v>4.1866195454749455E-2</v>
      </c>
      <c r="T927" s="19">
        <f t="shared" si="106"/>
        <v>4.2980245563619901E-2</v>
      </c>
      <c r="U927" s="24">
        <v>4.3598929224086369E-2</v>
      </c>
      <c r="V927" s="24">
        <f t="shared" si="107"/>
        <v>4.293726665714348E-2</v>
      </c>
      <c r="W927" s="23">
        <f t="shared" si="108"/>
        <v>3.5095510113496431E-3</v>
      </c>
      <c r="X927" s="24">
        <v>4.3228943520909446E-2</v>
      </c>
      <c r="Y927" s="24">
        <f t="shared" si="109"/>
        <v>4.2964733101461094E-2</v>
      </c>
      <c r="Z927" s="23">
        <f t="shared" si="110"/>
        <v>3.511750204717945E-3</v>
      </c>
      <c r="AA927" s="36"/>
    </row>
    <row r="928" spans="15:27" ht="13.9" customHeight="1">
      <c r="O928" s="12">
        <f t="shared" si="104"/>
        <v>76.25</v>
      </c>
      <c r="P928" s="13">
        <v>915</v>
      </c>
      <c r="Q928" s="22">
        <v>3.8119634601283092E-2</v>
      </c>
      <c r="R928" s="19">
        <f t="shared" si="105"/>
        <v>3.8781789262013255E-2</v>
      </c>
      <c r="S928" s="22">
        <v>4.186741234607827E-2</v>
      </c>
      <c r="T928" s="19">
        <f t="shared" si="106"/>
        <v>4.2980409552643817E-2</v>
      </c>
      <c r="U928" s="24">
        <v>4.3598205866512751E-2</v>
      </c>
      <c r="V928" s="24">
        <f t="shared" si="107"/>
        <v>4.2937416787053984E-2</v>
      </c>
      <c r="W928" s="23">
        <f t="shared" si="108"/>
        <v>3.5095630775821007E-3</v>
      </c>
      <c r="X928" s="24">
        <v>4.322865472982107E-2</v>
      </c>
      <c r="Y928" s="24">
        <f t="shared" si="109"/>
        <v>4.2964921501097431E-2</v>
      </c>
      <c r="Z928" s="23">
        <f t="shared" si="110"/>
        <v>3.5117653917997593E-3</v>
      </c>
      <c r="AA928" s="36"/>
    </row>
    <row r="929" spans="15:27" ht="13.9" customHeight="1">
      <c r="O929" s="12">
        <f t="shared" si="104"/>
        <v>76.333333333333329</v>
      </c>
      <c r="P929" s="13">
        <v>916</v>
      </c>
      <c r="Q929" s="22">
        <v>3.8120357247359848E-2</v>
      </c>
      <c r="R929" s="19">
        <f t="shared" si="105"/>
        <v>3.8783104089757492E-2</v>
      </c>
      <c r="S929" s="22">
        <v>4.1868626760692251E-2</v>
      </c>
      <c r="T929" s="19">
        <f t="shared" si="106"/>
        <v>4.2980572179762699E-2</v>
      </c>
      <c r="U929" s="24">
        <v>4.359748425282306E-2</v>
      </c>
      <c r="V929" s="24">
        <f t="shared" si="107"/>
        <v>4.2937566548064021E-2</v>
      </c>
      <c r="W929" s="23">
        <f t="shared" si="108"/>
        <v>3.5095751154419208E-3</v>
      </c>
      <c r="X929" s="24">
        <v>4.3228366775089233E-2</v>
      </c>
      <c r="Y929" s="24">
        <f t="shared" si="109"/>
        <v>4.2965108891559245E-2</v>
      </c>
      <c r="Z929" s="23">
        <f t="shared" si="110"/>
        <v>3.5117804978741507E-3</v>
      </c>
      <c r="AA929" s="36"/>
    </row>
    <row r="930" spans="15:27" ht="13.9" customHeight="1">
      <c r="O930" s="12">
        <f t="shared" si="104"/>
        <v>76.416666666666671</v>
      </c>
      <c r="P930" s="13">
        <v>917</v>
      </c>
      <c r="Q930" s="22">
        <v>3.8121079750752074E-2</v>
      </c>
      <c r="R930" s="19">
        <f t="shared" si="105"/>
        <v>3.878440797526217E-2</v>
      </c>
      <c r="S930" s="22">
        <v>4.186983870520633E-2</v>
      </c>
      <c r="T930" s="19">
        <f t="shared" si="106"/>
        <v>4.2980733456976283E-2</v>
      </c>
      <c r="U930" s="24">
        <v>4.3596764376907959E-2</v>
      </c>
      <c r="V930" s="24">
        <f t="shared" si="107"/>
        <v>4.2937715959103784E-2</v>
      </c>
      <c r="W930" s="23">
        <f t="shared" si="108"/>
        <v>3.5095871237205145E-3</v>
      </c>
      <c r="X930" s="24">
        <v>4.3228079652876117E-2</v>
      </c>
      <c r="Y930" s="24">
        <f t="shared" si="109"/>
        <v>4.2965295283749594E-2</v>
      </c>
      <c r="Z930" s="23">
        <f t="shared" si="110"/>
        <v>3.5117955230297149E-3</v>
      </c>
      <c r="AA930" s="36"/>
    </row>
    <row r="931" spans="15:27" ht="13.9" customHeight="1">
      <c r="O931" s="12">
        <f t="shared" si="104"/>
        <v>76.5</v>
      </c>
      <c r="P931" s="13">
        <v>918</v>
      </c>
      <c r="Q931" s="22">
        <v>3.8121802100013591E-2</v>
      </c>
      <c r="R931" s="19">
        <f t="shared" si="105"/>
        <v>3.8785701009709461E-2</v>
      </c>
      <c r="S931" s="22">
        <v>4.1871048186220117E-2</v>
      </c>
      <c r="T931" s="19">
        <f t="shared" si="106"/>
        <v>4.2980893395153208E-2</v>
      </c>
      <c r="U931" s="24">
        <v>4.3596046232704744E-2</v>
      </c>
      <c r="V931" s="24">
        <f t="shared" si="107"/>
        <v>4.2937865009278209E-2</v>
      </c>
      <c r="W931" s="23">
        <f t="shared" si="108"/>
        <v>3.5095991039360008E-3</v>
      </c>
      <c r="X931" s="24">
        <v>4.3227793359373212E-2</v>
      </c>
      <c r="Y931" s="24">
        <f t="shared" si="109"/>
        <v>4.2965480677410239E-2</v>
      </c>
      <c r="Z931" s="23">
        <f t="shared" si="110"/>
        <v>3.5118104681401974E-3</v>
      </c>
      <c r="AA931" s="36"/>
    </row>
    <row r="932" spans="15:27" ht="13.9" customHeight="1">
      <c r="O932" s="12">
        <f t="shared" si="104"/>
        <v>76.583333333333329</v>
      </c>
      <c r="P932" s="13">
        <v>919</v>
      </c>
      <c r="Q932" s="22">
        <v>3.8122524283846992E-2</v>
      </c>
      <c r="R932" s="19">
        <f t="shared" si="105"/>
        <v>3.8786983283841892E-2</v>
      </c>
      <c r="S932" s="22">
        <v>4.1872255210315679E-2</v>
      </c>
      <c r="T932" s="19">
        <f t="shared" si="106"/>
        <v>4.2981052004704035E-2</v>
      </c>
      <c r="U932" s="24">
        <v>4.3595329814165584E-2</v>
      </c>
      <c r="V932" s="24">
        <f t="shared" si="107"/>
        <v>4.2938013693935906E-2</v>
      </c>
      <c r="W932" s="23">
        <f t="shared" si="108"/>
        <v>3.5096110552146342E-3</v>
      </c>
      <c r="X932" s="24">
        <v>4.3227507890787775E-2</v>
      </c>
      <c r="Y932" s="24">
        <f t="shared" si="109"/>
        <v>4.2965665079900628E-2</v>
      </c>
      <c r="Z932" s="23">
        <f t="shared" si="110"/>
        <v>3.5118253331851701E-3</v>
      </c>
      <c r="AA932" s="36"/>
    </row>
    <row r="933" spans="15:27" ht="13.9" customHeight="1">
      <c r="O933" s="12">
        <f t="shared" si="104"/>
        <v>76.666666666666671</v>
      </c>
      <c r="P933" s="13">
        <v>920</v>
      </c>
      <c r="Q933" s="22">
        <v>3.8123246291102975E-2</v>
      </c>
      <c r="R933" s="19">
        <f t="shared" si="105"/>
        <v>3.8788254887170526E-2</v>
      </c>
      <c r="S933" s="22">
        <v>4.1873459784058209E-2</v>
      </c>
      <c r="T933" s="19">
        <f t="shared" si="106"/>
        <v>4.2981209298207368E-2</v>
      </c>
      <c r="U933" s="24">
        <v>4.3594615115263746E-2</v>
      </c>
      <c r="V933" s="24">
        <f t="shared" si="107"/>
        <v>4.2938162037624572E-2</v>
      </c>
      <c r="W933" s="23">
        <f t="shared" si="108"/>
        <v>3.5096229771836018E-3</v>
      </c>
      <c r="X933" s="24">
        <v>4.3227223243351931E-2</v>
      </c>
      <c r="Y933" s="24">
        <f t="shared" si="109"/>
        <v>4.2965848498758064E-2</v>
      </c>
      <c r="Z933" s="23">
        <f t="shared" si="110"/>
        <v>3.5118401187548276E-3</v>
      </c>
      <c r="AA933" s="36"/>
    </row>
    <row r="934" spans="15:27" ht="13.9" customHeight="1">
      <c r="O934" s="12">
        <f t="shared" si="104"/>
        <v>76.75</v>
      </c>
      <c r="P934" s="13">
        <v>921</v>
      </c>
      <c r="Q934" s="22">
        <v>3.8123968110777229E-2</v>
      </c>
      <c r="R934" s="19">
        <f t="shared" si="105"/>
        <v>3.8789515907643013E-2</v>
      </c>
      <c r="S934" s="22">
        <v>4.1874661913998024E-2</v>
      </c>
      <c r="T934" s="19">
        <f t="shared" si="106"/>
        <v>4.2981365285049256E-2</v>
      </c>
      <c r="U934" s="24">
        <v>4.3593902130025342E-2</v>
      </c>
      <c r="V934" s="24">
        <f t="shared" si="107"/>
        <v>4.2938310012191394E-2</v>
      </c>
      <c r="W934" s="23">
        <f t="shared" si="108"/>
        <v>3.509634871810885E-3</v>
      </c>
      <c r="X934" s="24">
        <v>4.3226939413322008E-2</v>
      </c>
      <c r="Y934" s="24">
        <f t="shared" si="109"/>
        <v>4.2966030935817967E-2</v>
      </c>
      <c r="Z934" s="23">
        <f t="shared" si="110"/>
        <v>3.5118548254533533E-3</v>
      </c>
      <c r="AA934" s="36"/>
    </row>
    <row r="935" spans="15:27" ht="13.9" customHeight="1">
      <c r="O935" s="12">
        <f t="shared" si="104"/>
        <v>76.833333333333329</v>
      </c>
      <c r="P935" s="13">
        <v>922</v>
      </c>
      <c r="Q935" s="22">
        <v>3.8124689732009109E-2</v>
      </c>
      <c r="R935" s="19">
        <f t="shared" si="105"/>
        <v>3.8790766434905422E-2</v>
      </c>
      <c r="S935" s="22">
        <v>4.1875861606667009E-2</v>
      </c>
      <c r="T935" s="19">
        <f t="shared" si="106"/>
        <v>4.2981519977394855E-2</v>
      </c>
      <c r="U935" s="24">
        <v>4.3593190852472041E-2</v>
      </c>
      <c r="V935" s="24">
        <f t="shared" si="107"/>
        <v>4.2938457640818273E-2</v>
      </c>
      <c r="W935" s="23">
        <f t="shared" si="108"/>
        <v>3.5096467368396222E-3</v>
      </c>
      <c r="X935" s="24">
        <v>4.3226656396972984E-2</v>
      </c>
      <c r="Y935" s="24">
        <f t="shared" si="109"/>
        <v>4.2966212398184211E-2</v>
      </c>
      <c r="Z935" s="23">
        <f t="shared" si="110"/>
        <v>3.5118694534281847E-3</v>
      </c>
      <c r="AA935" s="36"/>
    </row>
    <row r="936" spans="15:27" ht="13.9" customHeight="1">
      <c r="O936" s="12">
        <f t="shared" si="104"/>
        <v>76.916666666666671</v>
      </c>
      <c r="P936" s="13">
        <v>923</v>
      </c>
      <c r="Q936" s="22">
        <v>3.8125411144081855E-2</v>
      </c>
      <c r="R936" s="19">
        <f t="shared" si="105"/>
        <v>3.8792006557131886E-2</v>
      </c>
      <c r="S936" s="22">
        <v>4.1877058868582173E-2</v>
      </c>
      <c r="T936" s="19">
        <f t="shared" si="106"/>
        <v>4.2981673385037222E-2</v>
      </c>
      <c r="U936" s="24">
        <v>4.3592481276676365E-2</v>
      </c>
      <c r="V936" s="24">
        <f t="shared" si="107"/>
        <v>4.2938604905148781E-2</v>
      </c>
      <c r="W936" s="23">
        <f t="shared" si="108"/>
        <v>3.509658574128327E-3</v>
      </c>
      <c r="X936" s="24">
        <v>4.3226374190603378E-2</v>
      </c>
      <c r="Y936" s="24">
        <f t="shared" si="109"/>
        <v>4.2966392890561922E-2</v>
      </c>
      <c r="Z936" s="23">
        <f t="shared" si="110"/>
        <v>3.5118840032488663E-3</v>
      </c>
      <c r="AA936" s="36"/>
    </row>
    <row r="937" spans="15:27" ht="13.9" customHeight="1">
      <c r="O937" s="12">
        <f t="shared" si="104"/>
        <v>77</v>
      </c>
      <c r="P937" s="13">
        <v>924</v>
      </c>
      <c r="Q937" s="22">
        <v>3.8126132336420371E-2</v>
      </c>
      <c r="R937" s="19">
        <f t="shared" si="105"/>
        <v>3.8793236359623284E-2</v>
      </c>
      <c r="S937" s="22">
        <v>4.1878253706242541E-2</v>
      </c>
      <c r="T937" s="19">
        <f t="shared" si="106"/>
        <v>4.2981825518969563E-2</v>
      </c>
      <c r="U937" s="24">
        <v>4.3591773396716826E-2</v>
      </c>
      <c r="V937" s="24">
        <f t="shared" si="107"/>
        <v>4.2938751824008303E-2</v>
      </c>
      <c r="W937" s="23">
        <f t="shared" si="108"/>
        <v>3.5096703822050657E-3</v>
      </c>
      <c r="X937" s="24">
        <v>4.32260927905328E-2</v>
      </c>
      <c r="Y937" s="24">
        <f t="shared" si="109"/>
        <v>4.2966572418355664E-2</v>
      </c>
      <c r="Z937" s="23">
        <f t="shared" si="110"/>
        <v>3.5118984752926519E-3</v>
      </c>
      <c r="AA937" s="36"/>
    </row>
    <row r="938" spans="15:27" ht="13.9" customHeight="1">
      <c r="O938" s="12">
        <f t="shared" si="104"/>
        <v>77.083333333333329</v>
      </c>
      <c r="P938" s="13">
        <v>925</v>
      </c>
      <c r="Q938" s="22">
        <v>3.8126853298587671E-2</v>
      </c>
      <c r="R938" s="19">
        <f t="shared" si="105"/>
        <v>3.8794455928646832E-2</v>
      </c>
      <c r="S938" s="22">
        <v>4.1879446126131148E-2</v>
      </c>
      <c r="T938" s="19">
        <f t="shared" si="106"/>
        <v>4.298197639010648E-2</v>
      </c>
      <c r="U938" s="24">
        <v>4.3591067206717682E-2</v>
      </c>
      <c r="V938" s="24">
        <f t="shared" si="107"/>
        <v>4.2938898394956349E-2</v>
      </c>
      <c r="W938" s="23">
        <f t="shared" si="108"/>
        <v>3.5096821625792973E-3</v>
      </c>
      <c r="X938" s="24">
        <v>4.3225812193102842E-2</v>
      </c>
      <c r="Y938" s="24">
        <f t="shared" si="109"/>
        <v>4.2966750988230995E-2</v>
      </c>
      <c r="Z938" s="23">
        <f t="shared" si="110"/>
        <v>3.5119128699927504E-3</v>
      </c>
      <c r="AA938" s="36"/>
    </row>
    <row r="939" spans="15:27" ht="13.9" customHeight="1">
      <c r="O939" s="12">
        <f t="shared" si="104"/>
        <v>77.166666666666671</v>
      </c>
      <c r="P939" s="13">
        <v>926</v>
      </c>
      <c r="Q939" s="22">
        <v>3.812757402028466E-2</v>
      </c>
      <c r="R939" s="19">
        <f t="shared" si="105"/>
        <v>3.8795665350545905E-2</v>
      </c>
      <c r="S939" s="22">
        <v>4.1880636134715044E-2</v>
      </c>
      <c r="T939" s="19">
        <f t="shared" si="106"/>
        <v>4.2982126008081378E-2</v>
      </c>
      <c r="U939" s="24">
        <v>4.3590362700826057E-2</v>
      </c>
      <c r="V939" s="24">
        <f t="shared" si="107"/>
        <v>4.2939044603211407E-2</v>
      </c>
      <c r="W939" s="23">
        <f t="shared" si="108"/>
        <v>3.5096939150558448E-3</v>
      </c>
      <c r="X939" s="24">
        <v>4.3225532394677968E-2</v>
      </c>
      <c r="Y939" s="24">
        <f t="shared" si="109"/>
        <v>4.2966928600798537E-2</v>
      </c>
      <c r="Z939" s="23">
        <f t="shared" si="110"/>
        <v>3.5119271878840674E-3</v>
      </c>
      <c r="AA939" s="36"/>
    </row>
    <row r="940" spans="15:27" ht="13.9" customHeight="1">
      <c r="O940" s="12">
        <f t="shared" si="104"/>
        <v>77.25</v>
      </c>
      <c r="P940" s="13">
        <v>927</v>
      </c>
      <c r="Q940" s="22">
        <v>3.8128294491350134E-2</v>
      </c>
      <c r="R940" s="19">
        <f t="shared" si="105"/>
        <v>3.879686470905308E-2</v>
      </c>
      <c r="S940" s="22">
        <v>4.1881823738443291E-2</v>
      </c>
      <c r="T940" s="19">
        <f t="shared" si="106"/>
        <v>4.2982274384195884E-2</v>
      </c>
      <c r="U940" s="24">
        <v>4.3589659873198405E-2</v>
      </c>
      <c r="V940" s="24">
        <f t="shared" si="107"/>
        <v>4.2939190465137056E-2</v>
      </c>
      <c r="W940" s="23">
        <f t="shared" si="108"/>
        <v>3.5097056384487679E-3</v>
      </c>
      <c r="X940" s="24">
        <v>4.3225253391639074E-2</v>
      </c>
      <c r="Y940" s="24">
        <f t="shared" si="109"/>
        <v>4.2967105265537819E-2</v>
      </c>
      <c r="Z940" s="23">
        <f t="shared" si="110"/>
        <v>3.5119414290152307E-3</v>
      </c>
      <c r="AA940" s="36"/>
    </row>
    <row r="941" spans="15:27" ht="13.9" customHeight="1">
      <c r="O941" s="12">
        <f t="shared" si="104"/>
        <v>77.333333333333329</v>
      </c>
      <c r="P941" s="13">
        <v>928</v>
      </c>
      <c r="Q941" s="22">
        <v>3.812901470175678E-2</v>
      </c>
      <c r="R941" s="19">
        <f t="shared" si="105"/>
        <v>3.8798054089159484E-2</v>
      </c>
      <c r="S941" s="22">
        <v>4.1883008943749633E-2</v>
      </c>
      <c r="T941" s="19">
        <f t="shared" si="106"/>
        <v>4.2982421528416692E-2</v>
      </c>
      <c r="U941" s="24">
        <v>4.3588958718034032E-2</v>
      </c>
      <c r="V941" s="24">
        <f t="shared" si="107"/>
        <v>4.2939335980241911E-2</v>
      </c>
      <c r="W941" s="23">
        <f t="shared" si="108"/>
        <v>3.5097173340707943E-3</v>
      </c>
      <c r="X941" s="24">
        <v>4.3224975180392811E-2</v>
      </c>
      <c r="Y941" s="24">
        <f t="shared" si="109"/>
        <v>4.2967280986497158E-2</v>
      </c>
      <c r="Z941" s="23">
        <f t="shared" si="110"/>
        <v>3.5119555941465208E-3</v>
      </c>
      <c r="AA941" s="36"/>
    </row>
    <row r="942" spans="15:27" ht="13.9" customHeight="1">
      <c r="O942" s="12">
        <f t="shared" si="104"/>
        <v>77.416666666666671</v>
      </c>
      <c r="P942" s="13">
        <v>929</v>
      </c>
      <c r="Q942" s="22">
        <v>3.8129734641611623E-2</v>
      </c>
      <c r="R942" s="19">
        <f t="shared" si="105"/>
        <v>3.8799233572719194E-2</v>
      </c>
      <c r="S942" s="22">
        <v>4.1884191757050715E-2</v>
      </c>
      <c r="T942" s="19">
        <f t="shared" si="106"/>
        <v>4.2982567450959408E-2</v>
      </c>
      <c r="U942" s="24">
        <v>4.358825922955667E-2</v>
      </c>
      <c r="V942" s="24">
        <f t="shared" si="107"/>
        <v>4.2939481144252944E-2</v>
      </c>
      <c r="W942" s="23">
        <f t="shared" si="108"/>
        <v>3.509729001881956E-3</v>
      </c>
      <c r="X942" s="24">
        <v>4.3224697757365593E-2</v>
      </c>
      <c r="Y942" s="24">
        <f t="shared" si="109"/>
        <v>4.2967455768288421E-2</v>
      </c>
      <c r="Z942" s="23">
        <f t="shared" si="110"/>
        <v>3.5119696836025671E-3</v>
      </c>
      <c r="AA942" s="36"/>
    </row>
    <row r="943" spans="15:27" ht="13.9" customHeight="1">
      <c r="O943" s="12">
        <f t="shared" si="104"/>
        <v>77.5</v>
      </c>
      <c r="P943" s="13">
        <v>930</v>
      </c>
      <c r="Q943" s="22">
        <v>3.8130454301152472E-2</v>
      </c>
      <c r="R943" s="19">
        <f t="shared" si="105"/>
        <v>3.8800403242926551E-2</v>
      </c>
      <c r="S943" s="22">
        <v>4.188537218474675E-2</v>
      </c>
      <c r="T943" s="19">
        <f t="shared" si="106"/>
        <v>4.2982712161697689E-2</v>
      </c>
      <c r="U943" s="24">
        <v>4.3587561402010255E-2</v>
      </c>
      <c r="V943" s="24">
        <f t="shared" si="107"/>
        <v>4.2939625959871996E-2</v>
      </c>
      <c r="W943" s="23">
        <f t="shared" si="108"/>
        <v>3.5097406415400823E-3</v>
      </c>
      <c r="X943" s="24">
        <v>4.3224421119004264E-2</v>
      </c>
      <c r="Y943" s="24">
        <f t="shared" si="109"/>
        <v>4.2967629614591996E-2</v>
      </c>
      <c r="Z943" s="23">
        <f t="shared" si="110"/>
        <v>3.5119836977530738E-3</v>
      </c>
      <c r="AA943" s="36"/>
    </row>
    <row r="944" spans="15:27" ht="13.9" customHeight="1">
      <c r="O944" s="12">
        <f t="shared" si="104"/>
        <v>77.583333333333329</v>
      </c>
      <c r="P944" s="13">
        <v>931</v>
      </c>
      <c r="Q944" s="22">
        <v>3.8131173670748364E-2</v>
      </c>
      <c r="R944" s="19">
        <f t="shared" si="105"/>
        <v>3.8801563182291998E-2</v>
      </c>
      <c r="S944" s="22">
        <v>4.1886550233220854E-2</v>
      </c>
      <c r="T944" s="19">
        <f t="shared" si="106"/>
        <v>4.2982855671076958E-2</v>
      </c>
      <c r="U944" s="24">
        <v>4.3586865229666483E-2</v>
      </c>
      <c r="V944" s="24">
        <f t="shared" si="107"/>
        <v>4.2939770426306145E-2</v>
      </c>
      <c r="W944" s="23">
        <f t="shared" si="108"/>
        <v>3.5097522532618886E-3</v>
      </c>
      <c r="X944" s="24">
        <v>4.3224145261774982E-2</v>
      </c>
      <c r="Y944" s="24">
        <f t="shared" si="109"/>
        <v>4.2967802533195876E-2</v>
      </c>
      <c r="Z944" s="23">
        <f t="shared" si="110"/>
        <v>3.5119976368933603E-3</v>
      </c>
      <c r="AA944" s="36"/>
    </row>
    <row r="945" spans="15:27" ht="13.9" customHeight="1">
      <c r="O945" s="12">
        <f t="shared" si="104"/>
        <v>77.666666666666671</v>
      </c>
      <c r="P945" s="13">
        <v>932</v>
      </c>
      <c r="Q945" s="22">
        <v>3.813189274089801E-2</v>
      </c>
      <c r="R945" s="19">
        <f t="shared" si="105"/>
        <v>3.88027134713822E-2</v>
      </c>
      <c r="S945" s="22">
        <v>4.1887725908839935E-2</v>
      </c>
      <c r="T945" s="19">
        <f t="shared" si="106"/>
        <v>4.298299798900862E-2</v>
      </c>
      <c r="U945" s="24">
        <v>4.3586170706820582E-2</v>
      </c>
      <c r="V945" s="24">
        <f t="shared" si="107"/>
        <v>4.2939914551907155E-2</v>
      </c>
      <c r="W945" s="23">
        <f t="shared" si="108"/>
        <v>3.5097638369834261E-3</v>
      </c>
      <c r="X945" s="24">
        <v>4.3223870182167223E-2</v>
      </c>
      <c r="Y945" s="24">
        <f t="shared" si="109"/>
        <v>4.2967974527077235E-2</v>
      </c>
      <c r="Z945" s="23">
        <f t="shared" si="110"/>
        <v>3.5120115016478159E-3</v>
      </c>
      <c r="AA945" s="36"/>
    </row>
    <row r="946" spans="15:27" ht="13.9" customHeight="1">
      <c r="O946" s="12">
        <f t="shared" si="104"/>
        <v>77.75</v>
      </c>
      <c r="P946" s="13">
        <v>933</v>
      </c>
      <c r="Q946" s="22">
        <v>3.8132611502227354E-2</v>
      </c>
      <c r="R946" s="19">
        <f t="shared" si="105"/>
        <v>3.880385419068455E-2</v>
      </c>
      <c r="S946" s="22">
        <v>4.1888899217954467E-2</v>
      </c>
      <c r="T946" s="19">
        <f t="shared" si="106"/>
        <v>4.298313912604379E-2</v>
      </c>
      <c r="U946" s="24">
        <v>4.3585477827801533E-2</v>
      </c>
      <c r="V946" s="24">
        <f t="shared" si="107"/>
        <v>4.2940058332298081E-2</v>
      </c>
      <c r="W946" s="23">
        <f t="shared" si="108"/>
        <v>3.5097753933743814E-3</v>
      </c>
      <c r="X946" s="24">
        <v>4.3223595876688892E-2</v>
      </c>
      <c r="Y946" s="24">
        <f t="shared" si="109"/>
        <v>4.2968145603547336E-2</v>
      </c>
      <c r="Z946" s="23">
        <f t="shared" si="110"/>
        <v>3.5120252922551387E-3</v>
      </c>
      <c r="AA946" s="36"/>
    </row>
    <row r="947" spans="15:27" ht="13.9" customHeight="1">
      <c r="O947" s="12">
        <f t="shared" si="104"/>
        <v>77.833333333333329</v>
      </c>
      <c r="P947" s="13">
        <v>934</v>
      </c>
      <c r="Q947" s="22">
        <v>3.8133329945488459E-2</v>
      </c>
      <c r="R947" s="19">
        <f t="shared" si="105"/>
        <v>3.8804985418863902E-2</v>
      </c>
      <c r="S947" s="22">
        <v>4.1890070166898719E-2</v>
      </c>
      <c r="T947" s="19">
        <f t="shared" si="106"/>
        <v>4.2983279090125892E-2</v>
      </c>
      <c r="U947" s="24">
        <v>4.3584786586957636E-2</v>
      </c>
      <c r="V947" s="24">
        <f t="shared" si="107"/>
        <v>4.2940201758020269E-2</v>
      </c>
      <c r="W947" s="23">
        <f t="shared" si="108"/>
        <v>3.509786922084146E-3</v>
      </c>
      <c r="X947" s="24">
        <v>4.322332234187054E-2</v>
      </c>
      <c r="Y947" s="24">
        <f t="shared" si="109"/>
        <v>4.296831576251936E-2</v>
      </c>
      <c r="Z947" s="23">
        <f t="shared" si="110"/>
        <v>3.5120390093015263E-3</v>
      </c>
      <c r="AA947" s="36"/>
    </row>
    <row r="948" spans="15:27" ht="13.9" customHeight="1">
      <c r="O948" s="12">
        <f t="shared" si="104"/>
        <v>77.916666666666671</v>
      </c>
      <c r="P948" s="13">
        <v>935</v>
      </c>
      <c r="Q948" s="22">
        <v>3.8134048061557069E-2</v>
      </c>
      <c r="R948" s="19">
        <f t="shared" si="105"/>
        <v>3.880610723742528E-2</v>
      </c>
      <c r="S948" s="22">
        <v>4.1891238761988747E-2</v>
      </c>
      <c r="T948" s="19">
        <f t="shared" si="106"/>
        <v>4.2983417893297959E-2</v>
      </c>
      <c r="U948" s="24">
        <v>4.3584096978651399E-2</v>
      </c>
      <c r="V948" s="24">
        <f t="shared" si="107"/>
        <v>4.2940344852318013E-2</v>
      </c>
      <c r="W948" s="23">
        <f t="shared" si="108"/>
        <v>3.5097984223542156E-3</v>
      </c>
      <c r="X948" s="24">
        <v>4.3223049574257599E-2</v>
      </c>
      <c r="Y948" s="24">
        <f t="shared" si="109"/>
        <v>4.2968485014604374E-2</v>
      </c>
      <c r="Z948" s="23">
        <f t="shared" si="110"/>
        <v>3.5120526527803175E-3</v>
      </c>
      <c r="AA948" s="36"/>
    </row>
    <row r="949" spans="15:27" ht="13.9" customHeight="1">
      <c r="O949" s="12">
        <f t="shared" si="104"/>
        <v>78</v>
      </c>
      <c r="P949" s="13">
        <v>936</v>
      </c>
      <c r="Q949" s="22">
        <v>3.8134765841435048E-2</v>
      </c>
      <c r="R949" s="19">
        <f t="shared" si="105"/>
        <v>3.8807219723864916E-2</v>
      </c>
      <c r="S949" s="22">
        <v>4.1892405009525957E-2</v>
      </c>
      <c r="T949" s="19">
        <f t="shared" si="106"/>
        <v>4.2983555543084417E-2</v>
      </c>
      <c r="U949" s="24">
        <v>4.3583408997294182E-2</v>
      </c>
      <c r="V949" s="24">
        <f t="shared" si="107"/>
        <v>4.2940487596051513E-2</v>
      </c>
      <c r="W949" s="23">
        <f t="shared" si="108"/>
        <v>3.5098098960482105E-3</v>
      </c>
      <c r="X949" s="24">
        <v>4.3222777570421478E-2</v>
      </c>
      <c r="Y949" s="24">
        <f t="shared" si="109"/>
        <v>4.2968653361194153E-2</v>
      </c>
      <c r="Z949" s="23">
        <f t="shared" si="110"/>
        <v>3.5120662235419431E-3</v>
      </c>
      <c r="AA949" s="36"/>
    </row>
    <row r="950" spans="15:27" ht="13.9" customHeight="1">
      <c r="O950" s="12">
        <f t="shared" si="104"/>
        <v>78.083333333333329</v>
      </c>
      <c r="P950" s="13">
        <v>937</v>
      </c>
      <c r="Q950" s="22">
        <v>3.8135483276245052E-2</v>
      </c>
      <c r="R950" s="19">
        <f t="shared" si="105"/>
        <v>3.880832295498915E-2</v>
      </c>
      <c r="S950" s="22">
        <v>4.1893568915793322E-2</v>
      </c>
      <c r="T950" s="19">
        <f t="shared" si="106"/>
        <v>4.2983692050696298E-2</v>
      </c>
      <c r="U950" s="24">
        <v>4.3582722637300897E-2</v>
      </c>
      <c r="V950" s="24">
        <f t="shared" si="107"/>
        <v>4.2940630001332192E-2</v>
      </c>
      <c r="W950" s="23">
        <f t="shared" si="108"/>
        <v>3.5098213416315804E-3</v>
      </c>
      <c r="X950" s="24">
        <v>4.3222506326949794E-2</v>
      </c>
      <c r="Y950" s="24">
        <f t="shared" si="109"/>
        <v>4.2968820809217378E-2</v>
      </c>
      <c r="Z950" s="23">
        <f t="shared" si="110"/>
        <v>3.5120797216985356E-3</v>
      </c>
      <c r="AA950" s="36"/>
    </row>
    <row r="951" spans="15:27" ht="13.9" customHeight="1">
      <c r="O951" s="12">
        <f t="shared" si="104"/>
        <v>78.166666666666671</v>
      </c>
      <c r="P951" s="13">
        <v>938</v>
      </c>
      <c r="Q951" s="22">
        <v>3.8136200357229866E-2</v>
      </c>
      <c r="R951" s="19">
        <f t="shared" si="105"/>
        <v>3.8809417009021407E-2</v>
      </c>
      <c r="S951" s="22">
        <v>4.189473048705894E-2</v>
      </c>
      <c r="T951" s="19">
        <f t="shared" si="106"/>
        <v>4.298382742472695E-2</v>
      </c>
      <c r="U951" s="24">
        <v>4.3582037893123093E-2</v>
      </c>
      <c r="V951" s="24">
        <f t="shared" si="107"/>
        <v>4.2940772058245091E-2</v>
      </c>
      <c r="W951" s="23">
        <f t="shared" si="108"/>
        <v>3.5098327600753265E-3</v>
      </c>
      <c r="X951" s="24">
        <v>4.322223584045215E-2</v>
      </c>
      <c r="Y951" s="24">
        <f t="shared" si="109"/>
        <v>4.2968987360655131E-2</v>
      </c>
      <c r="Z951" s="23">
        <f t="shared" si="110"/>
        <v>3.5120931478052064E-3</v>
      </c>
      <c r="AA951" s="36"/>
    </row>
    <row r="952" spans="15:27" ht="13.9" customHeight="1">
      <c r="O952" s="12">
        <f t="shared" si="104"/>
        <v>78.25</v>
      </c>
      <c r="P952" s="13">
        <v>939</v>
      </c>
      <c r="Q952" s="22">
        <v>3.8136917075752397E-2</v>
      </c>
      <c r="R952" s="19">
        <f t="shared" si="105"/>
        <v>3.8810501961945354E-2</v>
      </c>
      <c r="S952" s="22">
        <v>4.1895889729573144E-2</v>
      </c>
      <c r="T952" s="19">
        <f t="shared" si="106"/>
        <v>4.2983961674737836E-2</v>
      </c>
      <c r="U952" s="24">
        <v>4.3581354759225421E-2</v>
      </c>
      <c r="V952" s="24">
        <f t="shared" si="107"/>
        <v>4.2940913779389023E-2</v>
      </c>
      <c r="W952" s="23">
        <f t="shared" si="108"/>
        <v>3.5098441505847511E-3</v>
      </c>
      <c r="X952" s="24">
        <v>4.3221966107554577E-2</v>
      </c>
      <c r="Y952" s="24">
        <f t="shared" si="109"/>
        <v>4.2969153021963802E-2</v>
      </c>
      <c r="Z952" s="23">
        <f t="shared" si="110"/>
        <v>3.5121065020211617E-3</v>
      </c>
      <c r="AA952" s="36"/>
    </row>
    <row r="953" spans="15:27" ht="13.9" customHeight="1">
      <c r="O953" s="12">
        <f t="shared" si="104"/>
        <v>78.333333333333329</v>
      </c>
      <c r="P953" s="13">
        <v>940</v>
      </c>
      <c r="Q953" s="22">
        <v>3.813763342329346E-2</v>
      </c>
      <c r="R953" s="19">
        <f t="shared" si="105"/>
        <v>3.8811577890603521E-2</v>
      </c>
      <c r="S953" s="22">
        <v>4.1897046649569836E-2</v>
      </c>
      <c r="T953" s="19">
        <f t="shared" si="106"/>
        <v>4.2984094810769591E-2</v>
      </c>
      <c r="U953" s="24">
        <v>4.3580673230109612E-2</v>
      </c>
      <c r="V953" s="24">
        <f t="shared" si="107"/>
        <v>4.2941055172391218E-2</v>
      </c>
      <c r="W953" s="23">
        <f t="shared" si="108"/>
        <v>3.509855514169713E-3</v>
      </c>
      <c r="X953" s="24">
        <v>4.3221697124904424E-2</v>
      </c>
      <c r="Y953" s="24">
        <f t="shared" si="109"/>
        <v>4.296931780122093E-2</v>
      </c>
      <c r="Z953" s="23">
        <f t="shared" si="110"/>
        <v>3.5121197848637653E-3</v>
      </c>
      <c r="AA953" s="36"/>
    </row>
    <row r="954" spans="15:27" ht="13.9" customHeight="1">
      <c r="O954" s="12">
        <f t="shared" si="104"/>
        <v>78.416666666666671</v>
      </c>
      <c r="P954" s="13">
        <v>941</v>
      </c>
      <c r="Q954" s="22">
        <v>3.8138349391451332E-2</v>
      </c>
      <c r="R954" s="19">
        <f t="shared" si="105"/>
        <v>3.8812644869540724E-2</v>
      </c>
      <c r="S954" s="22">
        <v>4.1898201253267375E-2</v>
      </c>
      <c r="T954" s="19">
        <f t="shared" si="106"/>
        <v>4.2984226840529827E-2</v>
      </c>
      <c r="U954" s="24">
        <v>4.3579993300308706E-2</v>
      </c>
      <c r="V954" s="24">
        <f t="shared" si="107"/>
        <v>4.2941196203634346E-2</v>
      </c>
      <c r="W954" s="23">
        <f t="shared" si="108"/>
        <v>3.5098668514421671E-3</v>
      </c>
      <c r="X954" s="24">
        <v>4.3221428889171909E-2</v>
      </c>
      <c r="Y954" s="24">
        <f t="shared" si="109"/>
        <v>4.2969481695913414E-2</v>
      </c>
      <c r="Z954" s="23">
        <f t="shared" si="110"/>
        <v>3.5121329969811654E-3</v>
      </c>
      <c r="AA954" s="36"/>
    </row>
    <row r="955" spans="15:27" ht="13.9" customHeight="1">
      <c r="O955" s="12">
        <f t="shared" si="104"/>
        <v>78.5</v>
      </c>
      <c r="P955" s="13">
        <v>942</v>
      </c>
      <c r="Q955" s="22">
        <v>3.8139064971939307E-2</v>
      </c>
      <c r="R955" s="19">
        <f t="shared" si="105"/>
        <v>3.8813702971917108E-2</v>
      </c>
      <c r="S955" s="22">
        <v>4.1899353546865692E-2</v>
      </c>
      <c r="T955" s="19">
        <f t="shared" si="106"/>
        <v>4.2984357774485726E-2</v>
      </c>
      <c r="U955" s="24">
        <v>4.3579314964343308E-2</v>
      </c>
      <c r="V955" s="24">
        <f t="shared" si="107"/>
        <v>4.2941336908078442E-2</v>
      </c>
      <c r="W955" s="23">
        <f t="shared" si="108"/>
        <v>3.50987815970627E-3</v>
      </c>
      <c r="X955" s="24">
        <v>4.3221161397038577E-2</v>
      </c>
      <c r="Y955" s="24">
        <f t="shared" si="109"/>
        <v>4.2969644716316147E-2</v>
      </c>
      <c r="Z955" s="23">
        <f t="shared" si="110"/>
        <v>3.5121461381715235E-3</v>
      </c>
      <c r="AA955" s="36"/>
    </row>
    <row r="956" spans="15:27" ht="13.9" customHeight="1">
      <c r="O956" s="12">
        <f t="shared" si="104"/>
        <v>78.583333333333329</v>
      </c>
      <c r="P956" s="13">
        <v>943</v>
      </c>
      <c r="Q956" s="22">
        <v>3.813978015658348E-2</v>
      </c>
      <c r="R956" s="19">
        <f t="shared" si="105"/>
        <v>3.8814752274879183E-2</v>
      </c>
      <c r="S956" s="22">
        <v>4.1900503536549394E-2</v>
      </c>
      <c r="T956" s="19">
        <f t="shared" si="106"/>
        <v>4.298448762176621E-2</v>
      </c>
      <c r="U956" s="24">
        <v>4.3578638216794641E-2</v>
      </c>
      <c r="V956" s="24">
        <f t="shared" si="107"/>
        <v>4.2941477275174389E-2</v>
      </c>
      <c r="W956" s="23">
        <f t="shared" si="108"/>
        <v>3.5098894417653348E-3</v>
      </c>
      <c r="X956" s="24">
        <v>4.3220894645211061E-2</v>
      </c>
      <c r="Y956" s="24">
        <f t="shared" si="109"/>
        <v>4.2969806864715521E-2</v>
      </c>
      <c r="Z956" s="23">
        <f t="shared" si="110"/>
        <v>3.5121592092588472E-3</v>
      </c>
      <c r="AA956" s="36"/>
    </row>
    <row r="957" spans="15:27" ht="13.9" customHeight="1">
      <c r="O957" s="12">
        <f t="shared" si="104"/>
        <v>78.666666666666671</v>
      </c>
      <c r="P957" s="13">
        <v>944</v>
      </c>
      <c r="Q957" s="22">
        <v>3.8140494937325853E-2</v>
      </c>
      <c r="R957" s="19">
        <f t="shared" si="105"/>
        <v>3.8815792849620667E-2</v>
      </c>
      <c r="S957" s="22">
        <v>4.190165122848688E-2</v>
      </c>
      <c r="T957" s="19">
        <f t="shared" si="106"/>
        <v>4.2984616390584485E-2</v>
      </c>
      <c r="U957" s="24">
        <v>4.3577963052255253E-2</v>
      </c>
      <c r="V957" s="24">
        <f t="shared" si="107"/>
        <v>4.2941617309267599E-2</v>
      </c>
      <c r="W957" s="23">
        <f t="shared" si="108"/>
        <v>3.5099006967735935E-3</v>
      </c>
      <c r="X957" s="24">
        <v>4.3220628630412428E-2</v>
      </c>
      <c r="Y957" s="24">
        <f t="shared" si="109"/>
        <v>4.2969968147958948E-2</v>
      </c>
      <c r="Z957" s="23">
        <f t="shared" si="110"/>
        <v>3.5121722104265451E-3</v>
      </c>
      <c r="AA957" s="36"/>
    </row>
    <row r="958" spans="15:27" ht="13.9" customHeight="1">
      <c r="O958" s="12">
        <f t="shared" si="104"/>
        <v>78.75</v>
      </c>
      <c r="P958" s="13">
        <v>945</v>
      </c>
      <c r="Q958" s="22">
        <v>3.8141209306218116E-2</v>
      </c>
      <c r="R958" s="19">
        <f t="shared" si="105"/>
        <v>3.8816824770193881E-2</v>
      </c>
      <c r="S958" s="22">
        <v>4.1902796628829009E-2</v>
      </c>
      <c r="T958" s="19">
        <f t="shared" si="106"/>
        <v>4.2984744091099314E-2</v>
      </c>
      <c r="U958" s="24">
        <v>4.3577289465345448E-2</v>
      </c>
      <c r="V958" s="24">
        <f t="shared" si="107"/>
        <v>4.2941757004504977E-2</v>
      </c>
      <c r="W958" s="23">
        <f t="shared" si="108"/>
        <v>3.5099119250794342E-3</v>
      </c>
      <c r="X958" s="24">
        <v>4.3220363349386837E-2</v>
      </c>
      <c r="Y958" s="24">
        <f t="shared" si="109"/>
        <v>4.29701285697488E-2</v>
      </c>
      <c r="Z958" s="23">
        <f t="shared" si="110"/>
        <v>3.5121851422237338E-3</v>
      </c>
      <c r="AA958" s="36"/>
    </row>
    <row r="959" spans="15:27" ht="13.9" customHeight="1">
      <c r="O959" s="12">
        <f t="shared" si="104"/>
        <v>78.833333333333329</v>
      </c>
      <c r="P959" s="13">
        <v>946</v>
      </c>
      <c r="Q959" s="22">
        <v>3.8141923255423649E-2</v>
      </c>
      <c r="R959" s="19">
        <f t="shared" si="105"/>
        <v>3.8817848106390107E-2</v>
      </c>
      <c r="S959" s="22">
        <v>4.1903939743711094E-2</v>
      </c>
      <c r="T959" s="19">
        <f t="shared" si="106"/>
        <v>4.2984870730254698E-2</v>
      </c>
      <c r="U959" s="24">
        <v>4.3576617450702182E-2</v>
      </c>
      <c r="V959" s="24">
        <f t="shared" si="107"/>
        <v>4.2941896356597065E-2</v>
      </c>
      <c r="W959" s="23">
        <f t="shared" si="108"/>
        <v>3.5099231262136765E-3</v>
      </c>
      <c r="X959" s="24">
        <v>4.3220098798895989E-2</v>
      </c>
      <c r="Y959" s="24">
        <f t="shared" si="109"/>
        <v>4.2970288131011003E-2</v>
      </c>
      <c r="Z959" s="23">
        <f t="shared" si="110"/>
        <v>3.5121980049470647E-3</v>
      </c>
      <c r="AA959" s="36"/>
    </row>
    <row r="960" spans="15:27" ht="13.9" customHeight="1">
      <c r="O960" s="12">
        <f t="shared" si="104"/>
        <v>78.916666666666671</v>
      </c>
      <c r="P960" s="13">
        <v>947</v>
      </c>
      <c r="Q960" s="22">
        <v>3.8142636777212857E-2</v>
      </c>
      <c r="R960" s="19">
        <f t="shared" si="105"/>
        <v>3.8818862931694564E-2</v>
      </c>
      <c r="S960" s="22">
        <v>4.1905080579250242E-2</v>
      </c>
      <c r="T960" s="19">
        <f t="shared" si="106"/>
        <v>4.2984996318761182E-2</v>
      </c>
      <c r="U960" s="24">
        <v>4.3575947002980397E-2</v>
      </c>
      <c r="V960" s="24">
        <f t="shared" si="107"/>
        <v>4.2942035392402378E-2</v>
      </c>
      <c r="W960" s="23">
        <f t="shared" si="108"/>
        <v>3.5099342998319294E-3</v>
      </c>
      <c r="X960" s="24">
        <v>4.3219834975716465E-2</v>
      </c>
      <c r="Y960" s="24">
        <f t="shared" si="109"/>
        <v>4.2970446843724863E-2</v>
      </c>
      <c r="Z960" s="23">
        <f t="shared" si="110"/>
        <v>3.5122107986709228E-3</v>
      </c>
      <c r="AA960" s="36"/>
    </row>
    <row r="961" spans="15:27" ht="13.9" customHeight="1">
      <c r="O961" s="12">
        <f t="shared" si="104"/>
        <v>79</v>
      </c>
      <c r="P961" s="13">
        <v>948</v>
      </c>
      <c r="Q961" s="22">
        <v>3.8143349863965836E-2</v>
      </c>
      <c r="R961" s="19">
        <f t="shared" si="105"/>
        <v>3.8819869317705757E-2</v>
      </c>
      <c r="S961" s="22">
        <v>4.1906219141548906E-2</v>
      </c>
      <c r="T961" s="19">
        <f t="shared" si="106"/>
        <v>4.2985120864434734E-2</v>
      </c>
      <c r="U961" s="24">
        <v>4.3575278116885885E-2</v>
      </c>
      <c r="V961" s="24">
        <f t="shared" si="107"/>
        <v>4.2942174080219386E-2</v>
      </c>
      <c r="W961" s="23">
        <f t="shared" si="108"/>
        <v>3.5099454480882475E-3</v>
      </c>
      <c r="X961" s="24">
        <v>4.321957187665082E-2</v>
      </c>
      <c r="Y961" s="24">
        <f t="shared" si="109"/>
        <v>4.2970604705105497E-2</v>
      </c>
      <c r="Z961" s="23">
        <f t="shared" si="110"/>
        <v>3.512223524355651E-3</v>
      </c>
      <c r="AA961" s="36"/>
    </row>
    <row r="962" spans="15:27" ht="13.9" customHeight="1">
      <c r="O962" s="12">
        <f t="shared" si="104"/>
        <v>79.083333333333329</v>
      </c>
      <c r="P962" s="13">
        <v>949</v>
      </c>
      <c r="Q962" s="22">
        <v>3.8144062508170595E-2</v>
      </c>
      <c r="R962" s="19">
        <f t="shared" si="105"/>
        <v>3.8820867332785447E-2</v>
      </c>
      <c r="S962" s="22">
        <v>4.1907355436691995E-2</v>
      </c>
      <c r="T962" s="19">
        <f t="shared" si="106"/>
        <v>4.298524437631035E-2</v>
      </c>
      <c r="U962" s="24">
        <v>4.3574610787113555E-2</v>
      </c>
      <c r="V962" s="24">
        <f t="shared" si="107"/>
        <v>4.2942312440745978E-2</v>
      </c>
      <c r="W962" s="23">
        <f t="shared" si="108"/>
        <v>3.5099565684406642E-3</v>
      </c>
      <c r="X962" s="24">
        <v>4.3219309498512493E-2</v>
      </c>
      <c r="Y962" s="24">
        <f t="shared" si="109"/>
        <v>4.2970761725018569E-2</v>
      </c>
      <c r="Z962" s="23">
        <f t="shared" si="110"/>
        <v>3.5122361817785386E-3</v>
      </c>
      <c r="AA962" s="36"/>
    </row>
    <row r="963" spans="15:27" ht="13.9" customHeight="1">
      <c r="O963" s="12">
        <f t="shared" si="104"/>
        <v>79.166666666666671</v>
      </c>
      <c r="P963" s="13">
        <v>950</v>
      </c>
      <c r="Q963" s="22">
        <v>3.8144774702418394E-2</v>
      </c>
      <c r="R963" s="19">
        <f t="shared" si="105"/>
        <v>3.8821857048231045E-2</v>
      </c>
      <c r="S963" s="22">
        <v>4.1908489470748433E-2</v>
      </c>
      <c r="T963" s="19">
        <f t="shared" si="106"/>
        <v>4.2985366862802188E-2</v>
      </c>
      <c r="U963" s="24">
        <v>4.3573945008402282E-2</v>
      </c>
      <c r="V963" s="24">
        <f t="shared" si="107"/>
        <v>4.2942450470749849E-2</v>
      </c>
      <c r="W963" s="23">
        <f t="shared" si="108"/>
        <v>3.5099676625487408E-3</v>
      </c>
      <c r="X963" s="24">
        <v>4.3219047838138458E-2</v>
      </c>
      <c r="Y963" s="24">
        <f t="shared" si="109"/>
        <v>4.2970917904507244E-2</v>
      </c>
      <c r="Z963" s="23">
        <f t="shared" si="110"/>
        <v>3.5122487717300643E-3</v>
      </c>
      <c r="AA963" s="36"/>
    </row>
    <row r="964" spans="15:27" ht="13.9" customHeight="1">
      <c r="O964" s="12">
        <f t="shared" si="104"/>
        <v>79.25</v>
      </c>
      <c r="P964" s="13">
        <v>951</v>
      </c>
      <c r="Q964" s="22">
        <v>3.8145486439406628E-2</v>
      </c>
      <c r="R964" s="19">
        <f t="shared" si="105"/>
        <v>3.8822838531933357E-2</v>
      </c>
      <c r="S964" s="22">
        <v>4.1909621249770268E-2</v>
      </c>
      <c r="T964" s="19">
        <f t="shared" si="106"/>
        <v>4.2985488331939159E-2</v>
      </c>
      <c r="U964" s="24">
        <v>4.3573280775509593E-2</v>
      </c>
      <c r="V964" s="24">
        <f t="shared" si="107"/>
        <v>4.2942588165995277E-2</v>
      </c>
      <c r="W964" s="23">
        <f t="shared" si="108"/>
        <v>3.5099787301531293E-3</v>
      </c>
      <c r="X964" s="24">
        <v>4.3218786892380123E-2</v>
      </c>
      <c r="Y964" s="24">
        <f t="shared" si="109"/>
        <v>4.2971073250060332E-2</v>
      </c>
      <c r="Z964" s="23">
        <f t="shared" si="110"/>
        <v>3.5122612942941611E-3</v>
      </c>
      <c r="AA964" s="36"/>
    </row>
    <row r="965" spans="15:27" ht="13.9" customHeight="1">
      <c r="O965" s="12">
        <f t="shared" si="104"/>
        <v>79.333333333333329</v>
      </c>
      <c r="P965" s="13">
        <v>952</v>
      </c>
      <c r="Q965" s="22">
        <v>3.8146197711934837E-2</v>
      </c>
      <c r="R965" s="19">
        <f t="shared" si="105"/>
        <v>3.8823811853624823E-2</v>
      </c>
      <c r="S965" s="22">
        <v>4.1910750779792894E-2</v>
      </c>
      <c r="T965" s="19">
        <f t="shared" si="106"/>
        <v>4.2985608793633556E-2</v>
      </c>
      <c r="U965" s="24">
        <v>4.3572618083211001E-2</v>
      </c>
      <c r="V965" s="24">
        <f t="shared" si="107"/>
        <v>4.2942725540953797E-2</v>
      </c>
      <c r="W965" s="23">
        <f t="shared" si="108"/>
        <v>3.5099897709145456E-3</v>
      </c>
      <c r="X965" s="24">
        <v>4.3218526658109102E-2</v>
      </c>
      <c r="Y965" s="24">
        <f t="shared" si="109"/>
        <v>4.2971227766750886E-2</v>
      </c>
      <c r="Z965" s="23">
        <f t="shared" si="110"/>
        <v>3.5122737499913015E-3</v>
      </c>
      <c r="AA965" s="36"/>
    </row>
    <row r="966" spans="15:27" ht="13.9" customHeight="1">
      <c r="O966" s="12">
        <f t="shared" si="104"/>
        <v>79.416666666666671</v>
      </c>
      <c r="P966" s="13">
        <v>953</v>
      </c>
      <c r="Q966" s="22">
        <v>3.8146908512905586E-2</v>
      </c>
      <c r="R966" s="19">
        <f t="shared" si="105"/>
        <v>3.8824777081540418E-2</v>
      </c>
      <c r="S966" s="22">
        <v>4.1911878066836383E-2</v>
      </c>
      <c r="T966" s="19">
        <f t="shared" si="106"/>
        <v>4.2985728253708055E-2</v>
      </c>
      <c r="U966" s="24">
        <v>4.3571956926318656E-2</v>
      </c>
      <c r="V966" s="24">
        <f t="shared" si="107"/>
        <v>4.2942862569484319E-2</v>
      </c>
      <c r="W966" s="23">
        <f t="shared" si="108"/>
        <v>3.5100007859931726E-3</v>
      </c>
      <c r="X966" s="24">
        <v>4.3218267132215216E-2</v>
      </c>
      <c r="Y966" s="24">
        <f t="shared" si="109"/>
        <v>4.2971381454651514E-2</v>
      </c>
      <c r="Z966" s="23">
        <f t="shared" si="110"/>
        <v>3.5122861392278271E-3</v>
      </c>
      <c r="AA966" s="36"/>
    </row>
    <row r="967" spans="15:27" ht="13.9" customHeight="1">
      <c r="O967" s="12">
        <f t="shared" si="104"/>
        <v>79.5</v>
      </c>
      <c r="P967" s="13">
        <v>954</v>
      </c>
      <c r="Q967" s="22">
        <v>3.8147618835322916E-2</v>
      </c>
      <c r="R967" s="19">
        <f t="shared" si="105"/>
        <v>3.8825734281409785E-2</v>
      </c>
      <c r="S967" s="22">
        <v>4.1913003116901937E-2</v>
      </c>
      <c r="T967" s="19">
        <f t="shared" si="106"/>
        <v>4.2985846723010201E-2</v>
      </c>
      <c r="U967" s="24">
        <v>4.3571297299639378E-2</v>
      </c>
      <c r="V967" s="24">
        <f t="shared" si="107"/>
        <v>4.2942999281593952E-2</v>
      </c>
      <c r="W967" s="23">
        <f t="shared" si="108"/>
        <v>3.5100117732929093E-3</v>
      </c>
      <c r="X967" s="24">
        <v>4.321800831160183E-2</v>
      </c>
      <c r="Y967" s="24">
        <f t="shared" si="109"/>
        <v>4.2971534322014282E-2</v>
      </c>
      <c r="Z967" s="23">
        <f t="shared" si="110"/>
        <v>3.5122984620099551E-3</v>
      </c>
      <c r="AA967" s="36"/>
    </row>
    <row r="968" spans="15:27" ht="13.9" customHeight="1">
      <c r="O968" s="12">
        <f t="shared" si="104"/>
        <v>79.583333333333329</v>
      </c>
      <c r="P968" s="13">
        <v>955</v>
      </c>
      <c r="Q968" s="22">
        <v>3.8148328672289011E-2</v>
      </c>
      <c r="R968" s="19">
        <f t="shared" si="105"/>
        <v>3.8826683521867356E-2</v>
      </c>
      <c r="S968" s="22">
        <v>4.1914125935976765E-2</v>
      </c>
      <c r="T968" s="19">
        <f t="shared" si="106"/>
        <v>4.2985964208701377E-2</v>
      </c>
      <c r="U968" s="24">
        <v>4.3570639198033057E-2</v>
      </c>
      <c r="V968" s="24">
        <f t="shared" si="107"/>
        <v>4.2943135667675714E-2</v>
      </c>
      <c r="W968" s="23">
        <f t="shared" si="108"/>
        <v>3.510022735220053E-3</v>
      </c>
      <c r="X968" s="24">
        <v>4.3217750193193405E-2</v>
      </c>
      <c r="Y968" s="24">
        <f t="shared" si="109"/>
        <v>4.2971686374867035E-2</v>
      </c>
      <c r="Z968" s="23">
        <f t="shared" si="110"/>
        <v>3.5123107189991565E-3</v>
      </c>
      <c r="AA968" s="36"/>
    </row>
    <row r="969" spans="15:27" ht="13.9" customHeight="1">
      <c r="O969" s="12">
        <f t="shared" si="104"/>
        <v>79.666666666666671</v>
      </c>
      <c r="P969" s="13">
        <v>956</v>
      </c>
      <c r="Q969" s="22">
        <v>3.814903801700642E-2</v>
      </c>
      <c r="R969" s="19">
        <f t="shared" si="105"/>
        <v>3.8827624868293054E-2</v>
      </c>
      <c r="S969" s="22">
        <v>4.1915246530030981E-2</v>
      </c>
      <c r="T969" s="19">
        <f t="shared" si="106"/>
        <v>4.2986080719020325E-2</v>
      </c>
      <c r="U969" s="24">
        <v>4.3569982616371128E-2</v>
      </c>
      <c r="V969" s="24">
        <f t="shared" si="107"/>
        <v>4.294327171799095E-2</v>
      </c>
      <c r="W969" s="23">
        <f t="shared" si="108"/>
        <v>3.5100336710038871E-3</v>
      </c>
      <c r="X969" s="24">
        <v>4.3217492773933941E-2</v>
      </c>
      <c r="Y969" s="24">
        <f t="shared" si="109"/>
        <v>4.2971837612832742E-2</v>
      </c>
      <c r="Z969" s="23">
        <f t="shared" si="110"/>
        <v>3.5123229106790443E-3</v>
      </c>
      <c r="AA969" s="36"/>
    </row>
    <row r="970" spans="15:27" ht="13.9" customHeight="1">
      <c r="O970" s="12">
        <f t="shared" si="104"/>
        <v>79.75</v>
      </c>
      <c r="P970" s="13">
        <v>957</v>
      </c>
      <c r="Q970" s="22">
        <v>3.8149746862774503E-2</v>
      </c>
      <c r="R970" s="19">
        <f t="shared" si="105"/>
        <v>3.8828558386894141E-2</v>
      </c>
      <c r="S970" s="22">
        <v>4.19163649050176E-2</v>
      </c>
      <c r="T970" s="19">
        <f t="shared" si="106"/>
        <v>4.2986196262031262E-2</v>
      </c>
      <c r="U970" s="24">
        <v>4.356932754953613E-2</v>
      </c>
      <c r="V970" s="24">
        <f t="shared" si="107"/>
        <v>4.2943407449373305E-2</v>
      </c>
      <c r="W970" s="23">
        <f t="shared" si="108"/>
        <v>3.5100445798639246E-3</v>
      </c>
      <c r="X970" s="24">
        <v>4.321723605077965E-2</v>
      </c>
      <c r="Y970" s="24">
        <f t="shared" si="109"/>
        <v>4.2971988043931653E-2</v>
      </c>
      <c r="Z970" s="23">
        <f t="shared" si="110"/>
        <v>3.5123350370189765E-3</v>
      </c>
      <c r="AA970" s="36"/>
    </row>
    <row r="971" spans="15:27" ht="13.9" customHeight="1">
      <c r="O971" s="12">
        <f t="shared" si="104"/>
        <v>79.833333333333329</v>
      </c>
      <c r="P971" s="13">
        <v>958</v>
      </c>
      <c r="Q971" s="22">
        <v>3.8150455202989653E-2</v>
      </c>
      <c r="R971" s="19">
        <f t="shared" si="105"/>
        <v>3.882948414345333E-2</v>
      </c>
      <c r="S971" s="22">
        <v>4.1917481066873874E-2</v>
      </c>
      <c r="T971" s="19">
        <f t="shared" si="106"/>
        <v>4.2986310845189557E-2</v>
      </c>
      <c r="U971" s="24">
        <v>4.356867399244968E-2</v>
      </c>
      <c r="V971" s="24">
        <f t="shared" si="107"/>
        <v>4.2943542846577865E-2</v>
      </c>
      <c r="W971" s="23">
        <f t="shared" si="108"/>
        <v>3.5100554631497527E-3</v>
      </c>
      <c r="X971" s="24">
        <v>4.321698002070784E-2</v>
      </c>
      <c r="Y971" s="24">
        <f t="shared" si="109"/>
        <v>4.2972137668817245E-2</v>
      </c>
      <c r="Z971" s="23">
        <f t="shared" si="110"/>
        <v>3.5123470986624383E-3</v>
      </c>
      <c r="AA971" s="36"/>
    </row>
    <row r="972" spans="15:27" ht="13.9" customHeight="1">
      <c r="O972" s="12">
        <f t="shared" si="104"/>
        <v>79.916666666666671</v>
      </c>
      <c r="P972" s="13">
        <v>959</v>
      </c>
      <c r="Q972" s="22">
        <v>3.815116303114463E-2</v>
      </c>
      <c r="R972" s="19">
        <f t="shared" si="105"/>
        <v>3.8830402200622283E-2</v>
      </c>
      <c r="S972" s="22">
        <v>4.1918595021519733E-2</v>
      </c>
      <c r="T972" s="19">
        <f t="shared" si="106"/>
        <v>4.2986424478578478E-2</v>
      </c>
      <c r="U972" s="24">
        <v>4.3568021940038726E-2</v>
      </c>
      <c r="V972" s="24">
        <f t="shared" si="107"/>
        <v>4.2943677933725555E-2</v>
      </c>
      <c r="W972" s="23">
        <f t="shared" si="108"/>
        <v>3.5100663196392379E-3</v>
      </c>
      <c r="X972" s="24">
        <v>4.3216724680709362E-2</v>
      </c>
      <c r="Y972" s="24">
        <f t="shared" si="109"/>
        <v>4.2972286498663692E-2</v>
      </c>
      <c r="Z972" s="23">
        <f t="shared" si="110"/>
        <v>3.5123590956618322E-3</v>
      </c>
      <c r="AA972" s="36"/>
    </row>
    <row r="973" spans="15:27" ht="13.9" customHeight="1">
      <c r="O973" s="12">
        <f t="shared" si="104"/>
        <v>80</v>
      </c>
      <c r="P973" s="13">
        <v>960</v>
      </c>
      <c r="Q973" s="22">
        <v>3.8151870340823901E-2</v>
      </c>
      <c r="R973" s="19">
        <f t="shared" si="105"/>
        <v>3.8831312624601155E-2</v>
      </c>
      <c r="S973" s="22">
        <v>4.1919706774861121E-2</v>
      </c>
      <c r="T973" s="19">
        <f t="shared" si="106"/>
        <v>4.2986537167241767E-2</v>
      </c>
      <c r="U973" s="24">
        <v>4.3567371387276399E-2</v>
      </c>
      <c r="V973" s="24">
        <f t="shared" si="107"/>
        <v>4.294381268801617E-2</v>
      </c>
      <c r="W973" s="23">
        <f t="shared" si="108"/>
        <v>3.5100771512661666E-3</v>
      </c>
      <c r="X973" s="24">
        <v>4.3216470027798826E-2</v>
      </c>
      <c r="Y973" s="24">
        <f t="shared" si="109"/>
        <v>4.2972434529886083E-2</v>
      </c>
      <c r="Z973" s="23">
        <f t="shared" si="110"/>
        <v>3.5123710289128862E-3</v>
      </c>
      <c r="AA973" s="36"/>
    </row>
    <row r="974" spans="15:27" ht="13.9" customHeight="1">
      <c r="O974" s="12">
        <f t="shared" ref="O974:O1037" si="111">P974/12</f>
        <v>80.083333333333329</v>
      </c>
      <c r="P974" s="13">
        <v>961</v>
      </c>
      <c r="Q974" s="22">
        <v>3.8152577125708076E-2</v>
      </c>
      <c r="R974" s="19">
        <f t="shared" ref="R974:R1037" si="112">(1+Q975)^P975/(1+Q974)^P974-1</f>
        <v>3.8832215478542764E-2</v>
      </c>
      <c r="S974" s="22">
        <v>4.1920816332784439E-2</v>
      </c>
      <c r="T974" s="19">
        <f t="shared" ref="T974:T1037" si="113">(1+S975)^P975/(1+S974)^P974-1</f>
        <v>4.2986648920639192E-2</v>
      </c>
      <c r="U974" s="24">
        <v>4.3566722329132945E-2</v>
      </c>
      <c r="V974" s="24">
        <f t="shared" ref="V974:V1037" si="114">(1+U975)^P975/(1+U974)^P974-1</f>
        <v>4.2943947115621217E-2</v>
      </c>
      <c r="W974" s="23">
        <f t="shared" si="108"/>
        <v>3.5100879562024456E-3</v>
      </c>
      <c r="X974" s="24">
        <v>4.3216216058999946E-2</v>
      </c>
      <c r="Y974" s="24">
        <f t="shared" si="109"/>
        <v>4.2972581770167384E-2</v>
      </c>
      <c r="Z974" s="23">
        <f t="shared" si="110"/>
        <v>3.5123828981282745E-3</v>
      </c>
      <c r="AA974" s="36"/>
    </row>
    <row r="975" spans="15:27" ht="13.9" customHeight="1">
      <c r="O975" s="12">
        <f t="shared" si="111"/>
        <v>80.166666666666671</v>
      </c>
      <c r="P975" s="13">
        <v>962</v>
      </c>
      <c r="Q975" s="22">
        <v>3.8153283379569247E-2</v>
      </c>
      <c r="R975" s="19">
        <f t="shared" si="112"/>
        <v>3.8833110825314154E-2</v>
      </c>
      <c r="S975" s="22">
        <v>4.1921923701161656E-2</v>
      </c>
      <c r="T975" s="19">
        <f t="shared" si="113"/>
        <v>4.298675974681343E-2</v>
      </c>
      <c r="U975" s="24">
        <v>4.3566074760606144E-2</v>
      </c>
      <c r="V975" s="24">
        <f t="shared" si="114"/>
        <v>4.2944081229055353E-2</v>
      </c>
      <c r="W975" s="23">
        <f t="shared" ref="W975:W1038" si="115">(1+V974)^(1/12)-1</f>
        <v>3.5100987349430124E-3</v>
      </c>
      <c r="X975" s="24">
        <v>4.321596277135642E-2</v>
      </c>
      <c r="Y975" s="24">
        <f t="shared" ref="Y975:Y1038" si="116">(1+X976)^P976/(1+X975)^P975-1</f>
        <v>4.2972728224922374E-2</v>
      </c>
      <c r="Z975" s="23">
        <f t="shared" ref="Z975:Z1038" si="117">(1+Y974)^(1/12)-1</f>
        <v>3.512394703924171E-3</v>
      </c>
      <c r="AA975" s="36"/>
    </row>
    <row r="976" spans="15:27" ht="13.9" customHeight="1">
      <c r="O976" s="12">
        <f t="shared" si="111"/>
        <v>80.25</v>
      </c>
      <c r="P976" s="13">
        <v>963</v>
      </c>
      <c r="Q976" s="22">
        <v>3.815398909627099E-2</v>
      </c>
      <c r="R976" s="19">
        <f t="shared" si="112"/>
        <v>3.883399872679516E-2</v>
      </c>
      <c r="S976" s="22">
        <v>4.1923028885848534E-2</v>
      </c>
      <c r="T976" s="19">
        <f t="shared" si="113"/>
        <v>4.298686965205345E-2</v>
      </c>
      <c r="U976" s="24">
        <v>4.3565428676727525E-2</v>
      </c>
      <c r="V976" s="24">
        <f t="shared" si="114"/>
        <v>4.2944215016174514E-2</v>
      </c>
      <c r="W976" s="23">
        <f t="shared" si="115"/>
        <v>3.5101094884912865E-3</v>
      </c>
      <c r="X976" s="24">
        <v>4.3215710161930154E-2</v>
      </c>
      <c r="Y976" s="24">
        <f t="shared" si="116"/>
        <v>4.2972873896002017E-2</v>
      </c>
      <c r="Z976" s="23">
        <f t="shared" si="117"/>
        <v>3.5124064467346727E-3</v>
      </c>
      <c r="AA976" s="36"/>
    </row>
    <row r="977" spans="15:27" ht="13.9" customHeight="1">
      <c r="O977" s="12">
        <f t="shared" si="111"/>
        <v>80.333333333333329</v>
      </c>
      <c r="P977" s="13">
        <v>964</v>
      </c>
      <c r="Q977" s="22">
        <v>3.8154694269766143E-2</v>
      </c>
      <c r="R977" s="19">
        <f t="shared" si="112"/>
        <v>3.8834879245317921E-2</v>
      </c>
      <c r="S977" s="22">
        <v>4.1924131892683292E-2</v>
      </c>
      <c r="T977" s="19">
        <f t="shared" si="113"/>
        <v>4.2986978645894736E-2</v>
      </c>
      <c r="U977" s="24">
        <v>4.3564784072536611E-2</v>
      </c>
      <c r="V977" s="24">
        <f t="shared" si="114"/>
        <v>4.2944348485744355E-2</v>
      </c>
      <c r="W977" s="23">
        <f t="shared" si="115"/>
        <v>3.5101202158736022E-3</v>
      </c>
      <c r="X977" s="24">
        <v>4.3215458227797043E-2</v>
      </c>
      <c r="Y977" s="24">
        <f t="shared" si="116"/>
        <v>4.2973018789371098E-2</v>
      </c>
      <c r="Z977" s="23">
        <f t="shared" si="117"/>
        <v>3.5124181267081056E-3</v>
      </c>
      <c r="AA977" s="36"/>
    </row>
    <row r="978" spans="15:27" ht="13.9" customHeight="1">
      <c r="O978" s="12">
        <f t="shared" si="111"/>
        <v>80.416666666666671</v>
      </c>
      <c r="P978" s="13">
        <v>965</v>
      </c>
      <c r="Q978" s="22">
        <v>3.8155398894097248E-2</v>
      </c>
      <c r="R978" s="19">
        <f t="shared" si="112"/>
        <v>3.8835752443769467E-2</v>
      </c>
      <c r="S978" s="22">
        <v>4.1925232727489492E-2</v>
      </c>
      <c r="T978" s="19">
        <f t="shared" si="113"/>
        <v>4.2987086733943691E-2</v>
      </c>
      <c r="U978" s="24">
        <v>4.3564140943102458E-2</v>
      </c>
      <c r="V978" s="24">
        <f t="shared" si="114"/>
        <v>4.2944481628663489E-2</v>
      </c>
      <c r="W978" s="23">
        <f t="shared" si="115"/>
        <v>3.5101309177929529E-3</v>
      </c>
      <c r="X978" s="24">
        <v>4.3215206966051412E-2</v>
      </c>
      <c r="Y978" s="24">
        <f t="shared" si="116"/>
        <v>4.2973162907839146E-2</v>
      </c>
      <c r="Z978" s="23">
        <f t="shared" si="117"/>
        <v>3.5124297443229757E-3</v>
      </c>
      <c r="AA978" s="36"/>
    </row>
    <row r="979" spans="15:27" ht="13.9" customHeight="1">
      <c r="O979" s="12">
        <f t="shared" si="111"/>
        <v>80.5</v>
      </c>
      <c r="P979" s="13">
        <v>966</v>
      </c>
      <c r="Q979" s="22">
        <v>3.8156102963396776E-2</v>
      </c>
      <c r="R979" s="19">
        <f t="shared" si="112"/>
        <v>3.8836618381651533E-2</v>
      </c>
      <c r="S979" s="22">
        <v>4.1926331396072714E-2</v>
      </c>
      <c r="T979" s="19">
        <f t="shared" si="113"/>
        <v>4.2987193925453138E-2</v>
      </c>
      <c r="U979" s="24">
        <v>4.3563499283505225E-2</v>
      </c>
      <c r="V979" s="24">
        <f t="shared" si="114"/>
        <v>4.2944614464168529E-2</v>
      </c>
      <c r="W979" s="23">
        <f t="shared" si="115"/>
        <v>3.5101415935190339E-3</v>
      </c>
      <c r="X979" s="24">
        <v>4.3214956373802238E-2</v>
      </c>
      <c r="Y979" s="24">
        <f t="shared" si="116"/>
        <v>4.2973306256794297E-2</v>
      </c>
      <c r="Z979" s="23">
        <f t="shared" si="117"/>
        <v>3.5124412998044363E-3</v>
      </c>
      <c r="AA979" s="36"/>
    </row>
    <row r="980" spans="15:27" ht="13.9" customHeight="1">
      <c r="O980" s="12">
        <f t="shared" si="111"/>
        <v>80.583333333333329</v>
      </c>
      <c r="P980" s="13">
        <v>967</v>
      </c>
      <c r="Q980" s="22">
        <v>3.8156806471882687E-2</v>
      </c>
      <c r="R980" s="19">
        <f t="shared" si="112"/>
        <v>3.8837477120172714E-2</v>
      </c>
      <c r="S980" s="22">
        <v>4.192742790422388E-2</v>
      </c>
      <c r="T980" s="19">
        <f t="shared" si="113"/>
        <v>4.2987300226919878E-2</v>
      </c>
      <c r="U980" s="24">
        <v>4.356285908886548E-2</v>
      </c>
      <c r="V980" s="24">
        <f t="shared" si="114"/>
        <v>4.2944746973111458E-2</v>
      </c>
      <c r="W980" s="23">
        <f t="shared" si="115"/>
        <v>3.510152244594833E-3</v>
      </c>
      <c r="X980" s="24">
        <v>4.3214706448176265E-2</v>
      </c>
      <c r="Y980" s="24">
        <f t="shared" si="116"/>
        <v>4.2973448841021611E-2</v>
      </c>
      <c r="Z980" s="23">
        <f t="shared" si="117"/>
        <v>3.5124527935845862E-3</v>
      </c>
      <c r="AA980" s="36"/>
    </row>
    <row r="981" spans="15:27" ht="13.9" customHeight="1">
      <c r="O981" s="12">
        <f t="shared" si="111"/>
        <v>80.666666666666671</v>
      </c>
      <c r="P981" s="13">
        <v>968</v>
      </c>
      <c r="Q981" s="22">
        <v>3.8157509413860202E-2</v>
      </c>
      <c r="R981" s="19">
        <f t="shared" si="112"/>
        <v>3.8838328717747173E-2</v>
      </c>
      <c r="S981" s="22">
        <v>4.1928522257716816E-2</v>
      </c>
      <c r="T981" s="19">
        <f t="shared" si="113"/>
        <v>4.2987405645287691E-2</v>
      </c>
      <c r="U981" s="24">
        <v>4.3562220354303793E-2</v>
      </c>
      <c r="V981" s="24">
        <f t="shared" si="114"/>
        <v>4.2944879164218852E-2</v>
      </c>
      <c r="W981" s="23">
        <f t="shared" si="115"/>
        <v>3.5101628694849119E-3</v>
      </c>
      <c r="X981" s="24">
        <v>4.3214457186317112E-2</v>
      </c>
      <c r="Y981" s="24">
        <f t="shared" si="116"/>
        <v>4.2973590659870498E-2</v>
      </c>
      <c r="Z981" s="23">
        <f t="shared" si="117"/>
        <v>3.5124642260471184E-3</v>
      </c>
      <c r="AA981" s="36"/>
    </row>
    <row r="982" spans="15:27" ht="13.9" customHeight="1">
      <c r="O982" s="12">
        <f t="shared" si="111"/>
        <v>80.75</v>
      </c>
      <c r="P982" s="13">
        <v>969</v>
      </c>
      <c r="Q982" s="22">
        <v>3.8158211783718254E-2</v>
      </c>
      <c r="R982" s="19">
        <f t="shared" si="112"/>
        <v>3.8839173235976077E-2</v>
      </c>
      <c r="S982" s="22">
        <v>4.1929614462308695E-2</v>
      </c>
      <c r="T982" s="19">
        <f t="shared" si="113"/>
        <v>4.2987510188709832E-2</v>
      </c>
      <c r="U982" s="24">
        <v>4.3561583074970267E-2</v>
      </c>
      <c r="V982" s="24">
        <f t="shared" si="114"/>
        <v>4.294501104165982E-2</v>
      </c>
      <c r="W982" s="23">
        <f t="shared" si="115"/>
        <v>3.510173468888933E-3</v>
      </c>
      <c r="X982" s="24">
        <v>4.3214208585379277E-2</v>
      </c>
      <c r="Y982" s="24">
        <f t="shared" si="116"/>
        <v>4.2973731723485731E-2</v>
      </c>
      <c r="Z982" s="23">
        <f t="shared" si="117"/>
        <v>3.5124755971398525E-3</v>
      </c>
      <c r="AA982" s="36"/>
    </row>
    <row r="983" spans="15:27" ht="13.9" customHeight="1">
      <c r="O983" s="12">
        <f t="shared" si="111"/>
        <v>80.833333333333329</v>
      </c>
      <c r="P983" s="13">
        <v>970</v>
      </c>
      <c r="Q983" s="22">
        <v>3.8158913575932374E-2</v>
      </c>
      <c r="R983" s="19">
        <f t="shared" si="112"/>
        <v>3.884001073303045E-2</v>
      </c>
      <c r="S983" s="22">
        <v>4.1930704523741147E-2</v>
      </c>
      <c r="T983" s="19">
        <f t="shared" si="113"/>
        <v>4.2987613864659435E-2</v>
      </c>
      <c r="U983" s="24">
        <v>4.3560947246039206E-2</v>
      </c>
      <c r="V983" s="24">
        <f t="shared" si="114"/>
        <v>4.2945142597256902E-2</v>
      </c>
      <c r="W983" s="23">
        <f t="shared" si="115"/>
        <v>3.5101840431410736E-3</v>
      </c>
      <c r="X983" s="24">
        <v>4.3213960642539684E-2</v>
      </c>
      <c r="Y983" s="24">
        <f t="shared" si="116"/>
        <v>4.2973872033107874E-2</v>
      </c>
      <c r="Z983" s="23">
        <f t="shared" si="117"/>
        <v>3.5124869076763598E-3</v>
      </c>
      <c r="AA983" s="36"/>
    </row>
    <row r="984" spans="15:27" ht="13.9" customHeight="1">
      <c r="O984" s="12">
        <f t="shared" si="111"/>
        <v>80.916666666666671</v>
      </c>
      <c r="P984" s="13">
        <v>971</v>
      </c>
      <c r="Q984" s="22">
        <v>3.8159614785060691E-2</v>
      </c>
      <c r="R984" s="19">
        <f t="shared" si="112"/>
        <v>3.8840841266897241E-2</v>
      </c>
      <c r="S984" s="22">
        <v>4.1931792447740035E-2</v>
      </c>
      <c r="T984" s="19">
        <f t="shared" si="113"/>
        <v>4.298771667987844E-2</v>
      </c>
      <c r="U984" s="24">
        <v>4.3560312862696238E-2</v>
      </c>
      <c r="V984" s="24">
        <f t="shared" si="114"/>
        <v>4.2945273849466226E-2</v>
      </c>
      <c r="W984" s="23">
        <f t="shared" si="115"/>
        <v>3.5101945915858579E-3</v>
      </c>
      <c r="X984" s="24">
        <v>4.3213713354988137E-2</v>
      </c>
      <c r="Y984" s="24">
        <f t="shared" si="116"/>
        <v>4.2974011592950667E-2</v>
      </c>
      <c r="Z984" s="23">
        <f t="shared" si="117"/>
        <v>3.5124981577558945E-3</v>
      </c>
      <c r="AA984" s="36"/>
    </row>
    <row r="985" spans="15:27" ht="13.9" customHeight="1">
      <c r="O985" s="12">
        <f t="shared" si="111"/>
        <v>81</v>
      </c>
      <c r="P985" s="13">
        <v>972</v>
      </c>
      <c r="Q985" s="22">
        <v>3.8160315405743273E-2</v>
      </c>
      <c r="R985" s="19">
        <f t="shared" si="112"/>
        <v>3.8841664896391626E-2</v>
      </c>
      <c r="S985" s="22">
        <v>4.1932878240014793E-2</v>
      </c>
      <c r="T985" s="19">
        <f t="shared" si="113"/>
        <v>4.2987818641135433E-2</v>
      </c>
      <c r="U985" s="24">
        <v>4.355967992016585E-2</v>
      </c>
      <c r="V985" s="24">
        <f t="shared" si="114"/>
        <v>4.294540477245512E-2</v>
      </c>
      <c r="W985" s="23">
        <f t="shared" si="115"/>
        <v>3.5102051157029912E-3</v>
      </c>
      <c r="X985" s="24">
        <v>4.3213466719930205E-2</v>
      </c>
      <c r="Y985" s="24">
        <f t="shared" si="116"/>
        <v>4.2974150405886702E-2</v>
      </c>
      <c r="Z985" s="23">
        <f t="shared" si="117"/>
        <v>3.5125093477164082E-3</v>
      </c>
      <c r="AA985" s="36"/>
    </row>
    <row r="986" spans="15:27" ht="13.9" customHeight="1">
      <c r="O986" s="12">
        <f t="shared" si="111"/>
        <v>81.083333333333329</v>
      </c>
      <c r="P986" s="13">
        <v>973</v>
      </c>
      <c r="Q986" s="22">
        <v>3.8161015432702783E-2</v>
      </c>
      <c r="R986" s="19">
        <f t="shared" si="112"/>
        <v>3.8842481677899832E-2</v>
      </c>
      <c r="S986" s="22">
        <v>4.1933961906257755E-2</v>
      </c>
      <c r="T986" s="19">
        <f t="shared" si="113"/>
        <v>4.2987919755802073E-2</v>
      </c>
      <c r="U986" s="24">
        <v>4.3559048413665868E-2</v>
      </c>
      <c r="V986" s="24">
        <f t="shared" si="114"/>
        <v>4.2945535388289491E-2</v>
      </c>
      <c r="W986" s="23">
        <f t="shared" si="115"/>
        <v>3.5102156134212414E-3</v>
      </c>
      <c r="X986" s="24">
        <v>4.3213220734585889E-2</v>
      </c>
      <c r="Y986" s="24">
        <f t="shared" si="116"/>
        <v>4.2974288478314637E-2</v>
      </c>
      <c r="Z986" s="23">
        <f t="shared" si="117"/>
        <v>3.5125204777883834E-3</v>
      </c>
      <c r="AA986" s="36"/>
    </row>
    <row r="987" spans="15:27" ht="13.9" customHeight="1">
      <c r="O987" s="12">
        <f t="shared" si="111"/>
        <v>81.166666666666671</v>
      </c>
      <c r="P987" s="13">
        <v>974</v>
      </c>
      <c r="Q987" s="22">
        <v>3.816171486074138E-2</v>
      </c>
      <c r="R987" s="19">
        <f t="shared" si="112"/>
        <v>3.8843291669766966E-2</v>
      </c>
      <c r="S987" s="22">
        <v>4.1935043452146159E-2</v>
      </c>
      <c r="T987" s="19">
        <f t="shared" si="113"/>
        <v>4.2988020031849539E-2</v>
      </c>
      <c r="U987" s="24">
        <v>4.3558418338456084E-2</v>
      </c>
      <c r="V987" s="24">
        <f t="shared" si="114"/>
        <v>4.2945665694373636E-2</v>
      </c>
      <c r="W987" s="23">
        <f t="shared" si="115"/>
        <v>3.51022608650986E-3</v>
      </c>
      <c r="X987" s="24">
        <v>4.3212975396193398E-2</v>
      </c>
      <c r="Y987" s="24">
        <f t="shared" si="116"/>
        <v>4.2974425813320449E-2</v>
      </c>
      <c r="Z987" s="23">
        <f t="shared" si="117"/>
        <v>3.512531548484743E-3</v>
      </c>
      <c r="AA987" s="36"/>
    </row>
    <row r="988" spans="15:27" ht="13.9" customHeight="1">
      <c r="O988" s="12">
        <f t="shared" si="111"/>
        <v>81.25</v>
      </c>
      <c r="P988" s="13">
        <v>975</v>
      </c>
      <c r="Q988" s="22">
        <v>3.8162413684742269E-2</v>
      </c>
      <c r="R988" s="19">
        <f t="shared" si="112"/>
        <v>3.8844094927987127E-2</v>
      </c>
      <c r="S988" s="22">
        <v>4.1936122883341476E-2</v>
      </c>
      <c r="T988" s="19">
        <f t="shared" si="113"/>
        <v>4.2988119474707487E-2</v>
      </c>
      <c r="U988" s="24">
        <v>4.3557789689813164E-2</v>
      </c>
      <c r="V988" s="24">
        <f t="shared" si="114"/>
        <v>4.2945795686943233E-2</v>
      </c>
      <c r="W988" s="23">
        <f t="shared" si="115"/>
        <v>3.5102365347607911E-3</v>
      </c>
      <c r="X988" s="24">
        <v>4.3212730702005375E-2</v>
      </c>
      <c r="Y988" s="24">
        <f t="shared" si="116"/>
        <v>4.2974562413658157E-2</v>
      </c>
      <c r="Z988" s="23">
        <f t="shared" si="117"/>
        <v>3.5125425600530669E-3</v>
      </c>
      <c r="AA988" s="36"/>
    </row>
    <row r="989" spans="15:27" ht="13.9" customHeight="1">
      <c r="O989" s="12">
        <f t="shared" si="111"/>
        <v>81.333333333333329</v>
      </c>
      <c r="P989" s="13">
        <v>976</v>
      </c>
      <c r="Q989" s="22">
        <v>3.8163111899667035E-2</v>
      </c>
      <c r="R989" s="19">
        <f t="shared" si="112"/>
        <v>3.8844891507783919E-2</v>
      </c>
      <c r="S989" s="22">
        <v>4.1937200205488079E-2</v>
      </c>
      <c r="T989" s="19">
        <f t="shared" si="113"/>
        <v>4.298821809250275E-2</v>
      </c>
      <c r="U989" s="24">
        <v>4.3557162463029542E-2</v>
      </c>
      <c r="V989" s="24">
        <f t="shared" si="114"/>
        <v>4.2945925361096648E-2</v>
      </c>
      <c r="W989" s="23">
        <f t="shared" si="115"/>
        <v>3.5102469578722761E-3</v>
      </c>
      <c r="X989" s="24">
        <v>4.3212486649288229E-2</v>
      </c>
      <c r="Y989" s="24">
        <f t="shared" si="116"/>
        <v>4.2974698283909873E-2</v>
      </c>
      <c r="Z989" s="23">
        <f t="shared" si="117"/>
        <v>3.5125535127140672E-3</v>
      </c>
      <c r="AA989" s="36"/>
    </row>
    <row r="990" spans="15:27" ht="13.9" customHeight="1">
      <c r="O990" s="12">
        <f t="shared" si="111"/>
        <v>81.416666666666671</v>
      </c>
      <c r="P990" s="13">
        <v>977</v>
      </c>
      <c r="Q990" s="22">
        <v>3.8163809500554313E-2</v>
      </c>
      <c r="R990" s="19">
        <f t="shared" si="112"/>
        <v>3.8845681466171289E-2</v>
      </c>
      <c r="S990" s="22">
        <v>4.1938275424215243E-2</v>
      </c>
      <c r="T990" s="19">
        <f t="shared" si="113"/>
        <v>4.2988315891290485E-2</v>
      </c>
      <c r="U990" s="24">
        <v>4.3556536653411415E-2</v>
      </c>
      <c r="V990" s="24">
        <f t="shared" si="114"/>
        <v>4.2946054732170946E-2</v>
      </c>
      <c r="W990" s="23">
        <f t="shared" si="115"/>
        <v>3.5102573554512961E-3</v>
      </c>
      <c r="X990" s="24">
        <v>4.3212243235324799E-2</v>
      </c>
      <c r="Y990" s="24">
        <f t="shared" si="116"/>
        <v>4.2974833429090253E-2</v>
      </c>
      <c r="Z990" s="23">
        <f t="shared" si="117"/>
        <v>3.512564406835228E-3</v>
      </c>
      <c r="AA990" s="36"/>
    </row>
    <row r="991" spans="15:27" ht="13.9" customHeight="1">
      <c r="O991" s="12">
        <f t="shared" si="111"/>
        <v>81.5</v>
      </c>
      <c r="P991" s="13">
        <v>978</v>
      </c>
      <c r="Q991" s="22">
        <v>3.8164506482521343E-2</v>
      </c>
      <c r="R991" s="19">
        <f t="shared" si="112"/>
        <v>3.8846464857727803E-2</v>
      </c>
      <c r="S991" s="22">
        <v>4.1939348545135369E-2</v>
      </c>
      <c r="T991" s="19">
        <f t="shared" si="113"/>
        <v>4.2988412878749882E-2</v>
      </c>
      <c r="U991" s="24">
        <v>4.3555912256300511E-2</v>
      </c>
      <c r="V991" s="24">
        <f t="shared" si="114"/>
        <v>4.294618379423043E-2</v>
      </c>
      <c r="W991" s="23">
        <f t="shared" si="115"/>
        <v>3.5102677287273121E-3</v>
      </c>
      <c r="X991" s="24">
        <v>4.3212000457413691E-2</v>
      </c>
      <c r="Y991" s="24">
        <f t="shared" si="116"/>
        <v>4.2974967851641122E-2</v>
      </c>
      <c r="Z991" s="23">
        <f t="shared" si="117"/>
        <v>3.5125752428186718E-3</v>
      </c>
      <c r="AA991" s="36"/>
    </row>
    <row r="992" spans="15:27" ht="13.9" customHeight="1">
      <c r="O992" s="12">
        <f t="shared" si="111"/>
        <v>81.583333333333329</v>
      </c>
      <c r="P992" s="13">
        <v>979</v>
      </c>
      <c r="Q992" s="22">
        <v>3.8165202840760859E-2</v>
      </c>
      <c r="R992" s="19">
        <f t="shared" si="112"/>
        <v>3.8847241737152816E-2</v>
      </c>
      <c r="S992" s="22">
        <v>4.1940419573845977E-2</v>
      </c>
      <c r="T992" s="19">
        <f t="shared" si="113"/>
        <v>4.2988509060094549E-2</v>
      </c>
      <c r="U992" s="24">
        <v>4.3555289267050767E-2</v>
      </c>
      <c r="V992" s="24">
        <f t="shared" si="114"/>
        <v>4.2946312541603859E-2</v>
      </c>
      <c r="W992" s="23">
        <f t="shared" si="115"/>
        <v>3.5102780772247044E-3</v>
      </c>
      <c r="X992" s="24">
        <v>4.3211758312867277E-2</v>
      </c>
      <c r="Y992" s="24">
        <f t="shared" si="116"/>
        <v>4.2975101556033124E-2</v>
      </c>
      <c r="Z992" s="23">
        <f t="shared" si="117"/>
        <v>3.5125860208600201E-3</v>
      </c>
      <c r="AA992" s="36"/>
    </row>
    <row r="993" spans="15:27" ht="13.9" customHeight="1">
      <c r="O993" s="12">
        <f t="shared" si="111"/>
        <v>81.666666666666671</v>
      </c>
      <c r="P993" s="13">
        <v>980</v>
      </c>
      <c r="Q993" s="22">
        <v>3.8165898570541312E-2</v>
      </c>
      <c r="R993" s="19">
        <f t="shared" si="112"/>
        <v>3.8848012157999934E-2</v>
      </c>
      <c r="S993" s="22">
        <v>4.194148851592705E-2</v>
      </c>
      <c r="T993" s="19">
        <f t="shared" si="113"/>
        <v>4.2988604443656708E-2</v>
      </c>
      <c r="U993" s="24">
        <v>4.3554667681030113E-2</v>
      </c>
      <c r="V993" s="24">
        <f t="shared" si="114"/>
        <v>4.2946440979251044E-2</v>
      </c>
      <c r="W993" s="23">
        <f t="shared" si="115"/>
        <v>3.5102884004887258E-3</v>
      </c>
      <c r="X993" s="24">
        <v>4.3211516799013472E-2</v>
      </c>
      <c r="Y993" s="24">
        <f t="shared" si="116"/>
        <v>4.2975234545739927E-2</v>
      </c>
      <c r="Z993" s="23">
        <f t="shared" si="117"/>
        <v>3.512596741318097E-3</v>
      </c>
      <c r="AA993" s="36"/>
    </row>
    <row r="994" spans="15:27" ht="13.9" customHeight="1">
      <c r="O994" s="12">
        <f t="shared" si="111"/>
        <v>81.75</v>
      </c>
      <c r="P994" s="13">
        <v>981</v>
      </c>
      <c r="Q994" s="22">
        <v>3.8166593667204873E-2</v>
      </c>
      <c r="R994" s="19">
        <f t="shared" si="112"/>
        <v>3.8848776174777999E-2</v>
      </c>
      <c r="S994" s="22">
        <v>4.1942555376944135E-2</v>
      </c>
      <c r="T994" s="19">
        <f t="shared" si="113"/>
        <v>4.298869903529301E-2</v>
      </c>
      <c r="U994" s="24">
        <v>4.3554047493629788E-2</v>
      </c>
      <c r="V994" s="24">
        <f t="shared" si="114"/>
        <v>4.2946569112556787E-2</v>
      </c>
      <c r="W994" s="23">
        <f t="shared" si="115"/>
        <v>3.5102986989170581E-3</v>
      </c>
      <c r="X994" s="24">
        <v>4.3211275913194402E-2</v>
      </c>
      <c r="Y994" s="24">
        <f t="shared" si="116"/>
        <v>4.297536682474834E-2</v>
      </c>
      <c r="Z994" s="23">
        <f t="shared" si="117"/>
        <v>3.5126074044711242E-3</v>
      </c>
      <c r="AA994" s="36"/>
    </row>
    <row r="995" spans="15:27" ht="13.9" customHeight="1">
      <c r="O995" s="12">
        <f t="shared" si="111"/>
        <v>81.833333333333329</v>
      </c>
      <c r="P995" s="13">
        <v>982</v>
      </c>
      <c r="Q995" s="22">
        <v>3.8167288126167875E-2</v>
      </c>
      <c r="R995" s="19">
        <f t="shared" si="112"/>
        <v>3.884953384048484E-2</v>
      </c>
      <c r="S995" s="22">
        <v>4.1943620162446127E-2</v>
      </c>
      <c r="T995" s="19">
        <f t="shared" si="113"/>
        <v>4.2988792841582635E-2</v>
      </c>
      <c r="U995" s="24">
        <v>4.3553428700265684E-2</v>
      </c>
      <c r="V995" s="24">
        <f t="shared" si="114"/>
        <v>4.2946696943264806E-2</v>
      </c>
      <c r="W995" s="23">
        <f t="shared" si="115"/>
        <v>3.5103089729413561E-3</v>
      </c>
      <c r="X995" s="24">
        <v>4.3211035652767515E-2</v>
      </c>
      <c r="Y995" s="24">
        <f t="shared" si="116"/>
        <v>4.2975498397899381E-2</v>
      </c>
      <c r="Z995" s="23">
        <f t="shared" si="117"/>
        <v>3.5126180106390681E-3</v>
      </c>
      <c r="AA995" s="36"/>
    </row>
    <row r="996" spans="15:27" ht="13.9" customHeight="1">
      <c r="O996" s="12">
        <f t="shared" si="111"/>
        <v>81.916666666666671</v>
      </c>
      <c r="P996" s="13">
        <v>983</v>
      </c>
      <c r="Q996" s="22">
        <v>3.8167981942919482E-2</v>
      </c>
      <c r="R996" s="19">
        <f t="shared" si="112"/>
        <v>3.885028520922118E-2</v>
      </c>
      <c r="S996" s="22">
        <v>4.1944682877966377E-2</v>
      </c>
      <c r="T996" s="19">
        <f t="shared" si="113"/>
        <v>4.2988885869203353E-2</v>
      </c>
      <c r="U996" s="24">
        <v>4.3552811296373894E-2</v>
      </c>
      <c r="V996" s="24">
        <f t="shared" si="114"/>
        <v>4.2946824460449617E-2</v>
      </c>
      <c r="W996" s="23">
        <f t="shared" si="115"/>
        <v>3.5103192227012858E-3</v>
      </c>
      <c r="X996" s="24">
        <v>4.3210796015105579E-2</v>
      </c>
      <c r="Y996" s="24">
        <f t="shared" si="116"/>
        <v>4.2975629267085758E-2</v>
      </c>
      <c r="Z996" s="23">
        <f t="shared" si="117"/>
        <v>3.5126285602098406E-3</v>
      </c>
      <c r="AA996" s="36"/>
    </row>
    <row r="997" spans="15:27" ht="13.9" customHeight="1">
      <c r="O997" s="12">
        <f t="shared" si="111"/>
        <v>82</v>
      </c>
      <c r="P997" s="13">
        <v>984</v>
      </c>
      <c r="Q997" s="22">
        <v>3.8168675113022132E-2</v>
      </c>
      <c r="R997" s="19">
        <f t="shared" si="112"/>
        <v>3.8851030331587877E-2</v>
      </c>
      <c r="S997" s="22">
        <v>4.1945743529021806E-2</v>
      </c>
      <c r="T997" s="19">
        <f t="shared" si="113"/>
        <v>4.2988978124291366E-2</v>
      </c>
      <c r="U997" s="24">
        <v>4.3552195277398065E-2</v>
      </c>
      <c r="V997" s="24">
        <f t="shared" si="114"/>
        <v>4.2946951670975508E-2</v>
      </c>
      <c r="W997" s="23">
        <f t="shared" si="115"/>
        <v>3.5103294473213253E-3</v>
      </c>
      <c r="X997" s="24">
        <v>4.3210556997594018E-2</v>
      </c>
      <c r="Y997" s="24">
        <f t="shared" si="116"/>
        <v>4.2975759437101857E-2</v>
      </c>
      <c r="Z997" s="23">
        <f t="shared" si="117"/>
        <v>3.5126390533353202E-3</v>
      </c>
      <c r="AA997" s="36"/>
    </row>
    <row r="998" spans="15:27" ht="13.9" customHeight="1">
      <c r="O998" s="12">
        <f t="shared" si="111"/>
        <v>82.083333333333329</v>
      </c>
      <c r="P998" s="13">
        <v>985</v>
      </c>
      <c r="Q998" s="22">
        <v>3.8169367632107543E-2</v>
      </c>
      <c r="R998" s="19">
        <f t="shared" si="112"/>
        <v>3.8851769260245916E-2</v>
      </c>
      <c r="S998" s="22">
        <v>4.1946802121114013E-2</v>
      </c>
      <c r="T998" s="19">
        <f t="shared" si="113"/>
        <v>4.2989069613460718E-2</v>
      </c>
      <c r="U998" s="24">
        <v>4.3551580638807375E-2</v>
      </c>
      <c r="V998" s="24">
        <f t="shared" si="114"/>
        <v>4.2947078577862063E-2</v>
      </c>
      <c r="W998" s="23">
        <f t="shared" si="115"/>
        <v>3.5103396473517012E-3</v>
      </c>
      <c r="X998" s="24">
        <v>4.3210318597633801E-2</v>
      </c>
      <c r="Y998" s="24">
        <f t="shared" si="116"/>
        <v>4.2975888911776172E-2</v>
      </c>
      <c r="Z998" s="23">
        <f t="shared" si="117"/>
        <v>3.5126494904000882E-3</v>
      </c>
      <c r="AA998" s="36"/>
    </row>
    <row r="999" spans="15:27" ht="13.9" customHeight="1">
      <c r="O999" s="12">
        <f t="shared" si="111"/>
        <v>82.166666666666671</v>
      </c>
      <c r="P999" s="13">
        <v>986</v>
      </c>
      <c r="Q999" s="22">
        <v>3.8170059495878483E-2</v>
      </c>
      <c r="R999" s="19">
        <f t="shared" si="112"/>
        <v>3.8852502047461934E-2</v>
      </c>
      <c r="S999" s="22">
        <v>4.1947858659728388E-2</v>
      </c>
      <c r="T999" s="19">
        <f t="shared" si="113"/>
        <v>4.298916034381195E-2</v>
      </c>
      <c r="U999" s="24">
        <v>4.355096737609232E-2</v>
      </c>
      <c r="V999" s="24">
        <f t="shared" si="114"/>
        <v>4.2947205186584014E-2</v>
      </c>
      <c r="W999" s="23">
        <f t="shared" si="115"/>
        <v>3.5103498230342201E-3</v>
      </c>
      <c r="X999" s="24">
        <v>4.3210080812640328E-2</v>
      </c>
      <c r="Y999" s="24">
        <f t="shared" si="116"/>
        <v>4.2976017695178781E-2</v>
      </c>
      <c r="Z999" s="23">
        <f t="shared" si="117"/>
        <v>3.5126598717107882E-3</v>
      </c>
      <c r="AA999" s="36"/>
    </row>
    <row r="1000" spans="15:27" ht="13.9" customHeight="1">
      <c r="O1000" s="12">
        <f t="shared" si="111"/>
        <v>82.25</v>
      </c>
      <c r="P1000" s="13">
        <v>987</v>
      </c>
      <c r="Q1000" s="22">
        <v>3.8170750700108114E-2</v>
      </c>
      <c r="R1000" s="19">
        <f t="shared" si="112"/>
        <v>3.8853228743240154E-2</v>
      </c>
      <c r="S1000" s="22">
        <v>4.1948913150335443E-2</v>
      </c>
      <c r="T1000" s="19">
        <f t="shared" si="113"/>
        <v>4.2989250320572658E-2</v>
      </c>
      <c r="U1000" s="24">
        <v>4.3550355484767378E-2</v>
      </c>
      <c r="V1000" s="24">
        <f t="shared" si="114"/>
        <v>4.2947331489797902E-2</v>
      </c>
      <c r="W1000" s="23">
        <f t="shared" si="115"/>
        <v>3.510359974808086E-3</v>
      </c>
      <c r="X1000" s="24">
        <v>4.3209843640043655E-2</v>
      </c>
      <c r="Y1000" s="24">
        <f t="shared" si="116"/>
        <v>4.297614578989073E-2</v>
      </c>
      <c r="Z1000" s="23">
        <f t="shared" si="117"/>
        <v>3.5126701975940477E-3</v>
      </c>
      <c r="AA1000" s="36"/>
    </row>
    <row r="1001" spans="15:27" ht="13.9" customHeight="1">
      <c r="O1001" s="12">
        <f t="shared" si="111"/>
        <v>82.333333333333329</v>
      </c>
      <c r="P1001" s="13">
        <v>988</v>
      </c>
      <c r="Q1001" s="22">
        <v>3.8171441240637316E-2</v>
      </c>
      <c r="R1001" s="19">
        <f t="shared" si="112"/>
        <v>3.8853949399560772E-2</v>
      </c>
      <c r="S1001" s="22">
        <v>4.1949965598389038E-2</v>
      </c>
      <c r="T1001" s="19">
        <f t="shared" si="113"/>
        <v>4.2989339549954098E-2</v>
      </c>
      <c r="U1001" s="24">
        <v>4.3549744960357684E-2</v>
      </c>
      <c r="V1001" s="24">
        <f t="shared" si="114"/>
        <v>4.2947457482667817E-2</v>
      </c>
      <c r="W1001" s="23">
        <f t="shared" si="115"/>
        <v>3.5103701020846589E-3</v>
      </c>
      <c r="X1001" s="24">
        <v>4.3209607077286716E-2</v>
      </c>
      <c r="Y1001" s="24">
        <f t="shared" si="116"/>
        <v>4.2976273199624604E-2</v>
      </c>
      <c r="Z1001" s="23">
        <f t="shared" si="117"/>
        <v>3.5126804682568125E-3</v>
      </c>
      <c r="AA1001" s="36"/>
    </row>
    <row r="1002" spans="15:27" ht="13.9" customHeight="1">
      <c r="O1002" s="12">
        <f t="shared" si="111"/>
        <v>82.416666666666671</v>
      </c>
      <c r="P1002" s="13">
        <v>989</v>
      </c>
      <c r="Q1002" s="22">
        <v>3.8172131113376251E-2</v>
      </c>
      <c r="R1002" s="19">
        <f t="shared" si="112"/>
        <v>3.8854664065233191E-2</v>
      </c>
      <c r="S1002" s="22">
        <v>4.1951016009326825E-2</v>
      </c>
      <c r="T1002" s="19">
        <f t="shared" si="113"/>
        <v>4.2989428039391209E-2</v>
      </c>
      <c r="U1002" s="24">
        <v>4.3549135798401473E-2</v>
      </c>
      <c r="V1002" s="24">
        <f t="shared" si="114"/>
        <v>4.294758318137859E-2</v>
      </c>
      <c r="W1002" s="23">
        <f t="shared" si="115"/>
        <v>3.5103802044760268E-3</v>
      </c>
      <c r="X1002" s="24">
        <v>4.3209371121826656E-2</v>
      </c>
      <c r="Y1002" s="24">
        <f t="shared" si="116"/>
        <v>4.2976399929578246E-2</v>
      </c>
      <c r="Z1002" s="23">
        <f t="shared" si="117"/>
        <v>3.5126906839966221E-3</v>
      </c>
      <c r="AA1002" s="36"/>
    </row>
    <row r="1003" spans="15:27" ht="13.9" customHeight="1">
      <c r="O1003" s="12">
        <f t="shared" si="111"/>
        <v>82.5</v>
      </c>
      <c r="P1003" s="13">
        <v>990</v>
      </c>
      <c r="Q1003" s="22">
        <v>3.8172820314300804E-2</v>
      </c>
      <c r="R1003" s="19">
        <f t="shared" si="112"/>
        <v>3.8855372791095411E-2</v>
      </c>
      <c r="S1003" s="22">
        <v>4.1952064388572463E-2</v>
      </c>
      <c r="T1003" s="19">
        <f t="shared" si="113"/>
        <v>4.2989515793500521E-2</v>
      </c>
      <c r="U1003" s="24">
        <v>4.354852799447162E-2</v>
      </c>
      <c r="V1003" s="24">
        <f t="shared" si="114"/>
        <v>4.2947708578993771E-2</v>
      </c>
      <c r="W1003" s="23">
        <f t="shared" si="115"/>
        <v>3.5103902832798184E-3</v>
      </c>
      <c r="X1003" s="24">
        <v>4.3209135771136165E-2</v>
      </c>
      <c r="Y1003" s="24">
        <f t="shared" si="116"/>
        <v>4.2976525982501235E-2</v>
      </c>
      <c r="Z1003" s="23">
        <f t="shared" si="117"/>
        <v>3.5127008452304764E-3</v>
      </c>
      <c r="AA1003" s="36"/>
    </row>
    <row r="1004" spans="15:27" ht="13.9" customHeight="1">
      <c r="O1004" s="12">
        <f t="shared" si="111"/>
        <v>82.583333333333329</v>
      </c>
      <c r="P1004" s="13">
        <v>991</v>
      </c>
      <c r="Q1004" s="22">
        <v>3.8173508839454584E-2</v>
      </c>
      <c r="R1004" s="19">
        <f t="shared" si="112"/>
        <v>3.8856075626266362E-2</v>
      </c>
      <c r="S1004" s="22">
        <v>4.1953110741532296E-2</v>
      </c>
      <c r="T1004" s="19">
        <f t="shared" si="113"/>
        <v>4.2989602819577311E-2</v>
      </c>
      <c r="U1004" s="24">
        <v>4.3547921544151658E-2</v>
      </c>
      <c r="V1004" s="24">
        <f t="shared" si="114"/>
        <v>4.2947833673155911E-2</v>
      </c>
      <c r="W1004" s="23">
        <f t="shared" si="115"/>
        <v>3.5104003379400339E-3</v>
      </c>
      <c r="X1004" s="24">
        <v>4.3208901022700807E-2</v>
      </c>
      <c r="Y1004" s="24">
        <f t="shared" si="116"/>
        <v>4.2976651361471996E-2</v>
      </c>
      <c r="Z1004" s="23">
        <f t="shared" si="117"/>
        <v>3.5127109521788658E-3</v>
      </c>
      <c r="AA1004" s="36"/>
    </row>
    <row r="1005" spans="15:27" ht="13.9" customHeight="1">
      <c r="O1005" s="12">
        <f t="shared" si="111"/>
        <v>82.666666666666671</v>
      </c>
      <c r="P1005" s="13">
        <v>992</v>
      </c>
      <c r="Q1005" s="22">
        <v>3.8174196684946482E-2</v>
      </c>
      <c r="R1005" s="19">
        <f t="shared" si="112"/>
        <v>3.8856772620535551E-2</v>
      </c>
      <c r="S1005" s="22">
        <v>4.1954155073597788E-2</v>
      </c>
      <c r="T1005" s="19">
        <f t="shared" si="113"/>
        <v>4.2989689123406505E-2</v>
      </c>
      <c r="U1005" s="24">
        <v>4.3547316443040662E-2</v>
      </c>
      <c r="V1005" s="24">
        <f t="shared" si="114"/>
        <v>4.294795846738575E-2</v>
      </c>
      <c r="W1005" s="23">
        <f t="shared" si="115"/>
        <v>3.5104103682674914E-3</v>
      </c>
      <c r="X1005" s="24">
        <v>4.3208666874019475E-2</v>
      </c>
      <c r="Y1005" s="24">
        <f t="shared" si="116"/>
        <v>4.2976776069908462E-2</v>
      </c>
      <c r="Z1005" s="23">
        <f t="shared" si="117"/>
        <v>3.5127210050884816E-3</v>
      </c>
      <c r="AA1005" s="36"/>
    </row>
    <row r="1006" spans="15:27" ht="13.9" customHeight="1">
      <c r="O1006" s="12">
        <f t="shared" si="111"/>
        <v>82.75</v>
      </c>
      <c r="P1006" s="13">
        <v>993</v>
      </c>
      <c r="Q1006" s="22">
        <v>3.8174883846951113E-2</v>
      </c>
      <c r="R1006" s="19">
        <f t="shared" si="112"/>
        <v>3.885746382154176E-2</v>
      </c>
      <c r="S1006" s="22">
        <v>4.1955197390145083E-2</v>
      </c>
      <c r="T1006" s="19">
        <f t="shared" si="113"/>
        <v>4.2989774710180395E-2</v>
      </c>
      <c r="U1006" s="24">
        <v>4.3546712686758804E-2</v>
      </c>
      <c r="V1006" s="24">
        <f t="shared" si="114"/>
        <v>4.2948082964112011E-2</v>
      </c>
      <c r="W1006" s="23">
        <f t="shared" si="115"/>
        <v>3.5104203745448537E-3</v>
      </c>
      <c r="X1006" s="24">
        <v>4.32084333226046E-2</v>
      </c>
      <c r="Y1006" s="24">
        <f t="shared" si="116"/>
        <v>4.2976900114192418E-2</v>
      </c>
      <c r="Z1006" s="23">
        <f t="shared" si="117"/>
        <v>3.5127310042333271E-3</v>
      </c>
      <c r="AA1006" s="36"/>
    </row>
    <row r="1007" spans="15:27" ht="13.9" customHeight="1">
      <c r="O1007" s="12">
        <f t="shared" si="111"/>
        <v>82.833333333333329</v>
      </c>
      <c r="P1007" s="13">
        <v>994</v>
      </c>
      <c r="Q1007" s="22">
        <v>3.8175570321706598E-2</v>
      </c>
      <c r="R1007" s="19">
        <f t="shared" si="112"/>
        <v>3.8858149277120946E-2</v>
      </c>
      <c r="S1007" s="22">
        <v>4.1956237696533449E-2</v>
      </c>
      <c r="T1007" s="19">
        <f t="shared" si="113"/>
        <v>4.2989859587130086E-2</v>
      </c>
      <c r="U1007" s="24">
        <v>4.3546110270946681E-2</v>
      </c>
      <c r="V1007" s="24">
        <f t="shared" si="114"/>
        <v>4.294820716704284E-2</v>
      </c>
      <c r="W1007" s="23">
        <f t="shared" si="115"/>
        <v>3.5104303569664097E-3</v>
      </c>
      <c r="X1007" s="24">
        <v>4.3208200365984828E-2</v>
      </c>
      <c r="Y1007" s="24">
        <f t="shared" si="116"/>
        <v>4.2977023494150002E-2</v>
      </c>
      <c r="Z1007" s="23">
        <f t="shared" si="117"/>
        <v>3.5127409501252149E-3</v>
      </c>
      <c r="AA1007" s="36"/>
    </row>
    <row r="1008" spans="15:27" ht="13.9" customHeight="1">
      <c r="O1008" s="12">
        <f t="shared" si="111"/>
        <v>82.916666666666671</v>
      </c>
      <c r="P1008" s="13">
        <v>995</v>
      </c>
      <c r="Q1008" s="22">
        <v>3.8176256105513895E-2</v>
      </c>
      <c r="R1008" s="19">
        <f t="shared" si="112"/>
        <v>3.8858829036935161E-2</v>
      </c>
      <c r="S1008" s="22">
        <v>4.195727599810839E-2</v>
      </c>
      <c r="T1008" s="19">
        <f t="shared" si="113"/>
        <v>4.2989943758593663E-2</v>
      </c>
      <c r="U1008" s="24">
        <v>4.3545509191265985E-2</v>
      </c>
      <c r="V1008" s="24">
        <f t="shared" si="114"/>
        <v>4.2948331062379053E-2</v>
      </c>
      <c r="W1008" s="23">
        <f t="shared" si="115"/>
        <v>3.5104403158299213E-3</v>
      </c>
      <c r="X1008" s="24">
        <v>4.3207968001699015E-2</v>
      </c>
      <c r="Y1008" s="24">
        <f t="shared" si="116"/>
        <v>4.2977146213996509E-2</v>
      </c>
      <c r="Z1008" s="23">
        <f t="shared" si="117"/>
        <v>3.5127508427501564E-3</v>
      </c>
      <c r="AA1008" s="36"/>
    </row>
    <row r="1009" spans="15:27" ht="13.9" customHeight="1">
      <c r="O1009" s="12">
        <f t="shared" si="111"/>
        <v>83</v>
      </c>
      <c r="P1009" s="13">
        <v>996</v>
      </c>
      <c r="Q1009" s="22">
        <v>3.8176941194739022E-2</v>
      </c>
      <c r="R1009" s="19">
        <f t="shared" si="112"/>
        <v>3.8859503147008922E-2</v>
      </c>
      <c r="S1009" s="22">
        <v>4.1958312300197864E-2</v>
      </c>
      <c r="T1009" s="19">
        <f t="shared" si="113"/>
        <v>4.2990027232076899E-2</v>
      </c>
      <c r="U1009" s="24">
        <v>4.3544909443381741E-2</v>
      </c>
      <c r="V1009" s="24">
        <f t="shared" si="114"/>
        <v>4.2948454665148628E-2</v>
      </c>
      <c r="W1009" s="23">
        <f t="shared" si="115"/>
        <v>3.5104502500284962E-3</v>
      </c>
      <c r="X1009" s="24">
        <v>4.3207736227299565E-2</v>
      </c>
      <c r="Y1009" s="24">
        <f t="shared" si="116"/>
        <v>4.2977268279428493E-2</v>
      </c>
      <c r="Z1009" s="23">
        <f t="shared" si="117"/>
        <v>3.5127606824463253E-3</v>
      </c>
      <c r="AA1009" s="36"/>
    </row>
    <row r="1010" spans="15:27" ht="13.9" customHeight="1">
      <c r="O1010" s="12">
        <f t="shared" si="111"/>
        <v>83.083333333333329</v>
      </c>
      <c r="P1010" s="13">
        <v>997</v>
      </c>
      <c r="Q1010" s="22">
        <v>3.8177625585808395E-2</v>
      </c>
      <c r="R1010" s="19">
        <f t="shared" si="112"/>
        <v>3.886017165444744E-2</v>
      </c>
      <c r="S1010" s="22">
        <v>4.1959346608116066E-2</v>
      </c>
      <c r="T1010" s="19">
        <f t="shared" si="113"/>
        <v>4.2990110012603333E-2</v>
      </c>
      <c r="U1010" s="24">
        <v>4.3544311022991833E-2</v>
      </c>
      <c r="V1010" s="24">
        <f t="shared" si="114"/>
        <v>4.2948577975360891E-2</v>
      </c>
      <c r="W1010" s="23">
        <f t="shared" si="115"/>
        <v>3.5104601607673924E-3</v>
      </c>
      <c r="X1010" s="24">
        <v>4.3207505040354865E-2</v>
      </c>
      <c r="Y1010" s="24">
        <f t="shared" si="116"/>
        <v>4.2977389692893331E-2</v>
      </c>
      <c r="Z1010" s="23">
        <f t="shared" si="117"/>
        <v>3.5127704696704676E-3</v>
      </c>
      <c r="AA1010" s="36"/>
    </row>
    <row r="1011" spans="15:27" ht="13.9" customHeight="1">
      <c r="O1011" s="12">
        <f t="shared" si="111"/>
        <v>83.166666666666671</v>
      </c>
      <c r="P1011" s="13">
        <v>998</v>
      </c>
      <c r="Q1011" s="22">
        <v>3.8178309275210154E-2</v>
      </c>
      <c r="R1011" s="19">
        <f t="shared" si="112"/>
        <v>3.8860834605892514E-2</v>
      </c>
      <c r="S1011" s="22">
        <v>4.1960378927161202E-2</v>
      </c>
      <c r="T1011" s="19">
        <f t="shared" si="113"/>
        <v>4.2990192105393898E-2</v>
      </c>
      <c r="U1011" s="24">
        <v>4.3543713925811023E-2</v>
      </c>
      <c r="V1011" s="24">
        <f t="shared" si="114"/>
        <v>4.2948700984034804E-2</v>
      </c>
      <c r="W1011" s="23">
        <f t="shared" si="115"/>
        <v>3.5104700480474982E-3</v>
      </c>
      <c r="X1011" s="24">
        <v>4.3207274438445298E-2</v>
      </c>
      <c r="Y1011" s="24">
        <f t="shared" si="116"/>
        <v>4.2977510456906787E-2</v>
      </c>
      <c r="Z1011" s="23">
        <f t="shared" si="117"/>
        <v>3.5127802046186485E-3</v>
      </c>
      <c r="AA1011" s="36"/>
    </row>
    <row r="1012" spans="15:27" ht="13.9" customHeight="1">
      <c r="O1012" s="12">
        <f t="shared" si="111"/>
        <v>83.25</v>
      </c>
      <c r="P1012" s="13">
        <v>999</v>
      </c>
      <c r="Q1012" s="22">
        <v>3.8178992259492839E-2</v>
      </c>
      <c r="R1012" s="19">
        <f t="shared" si="112"/>
        <v>3.88614920475574E-2</v>
      </c>
      <c r="S1012" s="22">
        <v>4.1961409262615046E-2</v>
      </c>
      <c r="T1012" s="19">
        <f t="shared" si="113"/>
        <v>4.2990273517009792E-2</v>
      </c>
      <c r="U1012" s="24">
        <v>4.3543118147562732E-2</v>
      </c>
      <c r="V1012" s="24">
        <f t="shared" si="114"/>
        <v>4.2948823703458761E-2</v>
      </c>
      <c r="W1012" s="23">
        <f t="shared" si="115"/>
        <v>3.5104799111485008E-3</v>
      </c>
      <c r="X1012" s="24">
        <v>4.3207044419163676E-2</v>
      </c>
      <c r="Y1012" s="24">
        <f t="shared" si="116"/>
        <v>4.2977630575772974E-2</v>
      </c>
      <c r="Z1012" s="23">
        <f t="shared" si="117"/>
        <v>3.5127898874927066E-3</v>
      </c>
      <c r="AA1012" s="36"/>
    </row>
    <row r="1013" spans="15:27" ht="13.9" customHeight="1">
      <c r="O1013" s="12">
        <f t="shared" si="111"/>
        <v>83.333333333333329</v>
      </c>
      <c r="P1013" s="13">
        <v>1000</v>
      </c>
      <c r="Q1013" s="22">
        <v>3.8179674535265384E-2</v>
      </c>
      <c r="R1013" s="19">
        <f t="shared" si="112"/>
        <v>3.8862144026437617E-2</v>
      </c>
      <c r="S1013" s="22">
        <v>4.1962437619745163E-2</v>
      </c>
      <c r="T1013" s="19">
        <f t="shared" si="113"/>
        <v>4.2990354252593344E-2</v>
      </c>
      <c r="U1013" s="24">
        <v>4.3542523683999246E-2</v>
      </c>
      <c r="V1013" s="24">
        <f t="shared" si="114"/>
        <v>4.294894611890232E-2</v>
      </c>
      <c r="W1013" s="23">
        <f t="shared" si="115"/>
        <v>3.5104897510556121E-3</v>
      </c>
      <c r="X1013" s="24">
        <v>4.3206814980116359E-2</v>
      </c>
      <c r="Y1013" s="24">
        <f t="shared" si="116"/>
        <v>4.29777500522881E-2</v>
      </c>
      <c r="Z1013" s="23">
        <f t="shared" si="117"/>
        <v>3.5127995186376992E-3</v>
      </c>
      <c r="AA1013" s="36"/>
    </row>
    <row r="1014" spans="15:27" ht="13.9" customHeight="1">
      <c r="O1014" s="12">
        <f t="shared" si="111"/>
        <v>83.416666666666671</v>
      </c>
      <c r="P1014" s="13">
        <v>1001</v>
      </c>
      <c r="Q1014" s="22">
        <v>3.8180356099196899E-2</v>
      </c>
      <c r="R1014" s="19">
        <f t="shared" si="112"/>
        <v>3.8862790586722484E-2</v>
      </c>
      <c r="S1014" s="22">
        <v>4.196346400380313E-2</v>
      </c>
      <c r="T1014" s="19">
        <f t="shared" si="113"/>
        <v>4.299043431857541E-2</v>
      </c>
      <c r="U1014" s="24">
        <v>4.3541930530875517E-2</v>
      </c>
      <c r="V1014" s="24">
        <f t="shared" si="114"/>
        <v>4.2949068255609957E-2</v>
      </c>
      <c r="W1014" s="23">
        <f t="shared" si="115"/>
        <v>3.510499566587999E-3</v>
      </c>
      <c r="X1014" s="24">
        <v>4.3206586118922363E-2</v>
      </c>
      <c r="Y1014" s="24">
        <f t="shared" si="116"/>
        <v>4.2977868893328441E-2</v>
      </c>
      <c r="Z1014" s="23">
        <f t="shared" si="117"/>
        <v>3.5128090982778915E-3</v>
      </c>
      <c r="AA1014" s="36"/>
    </row>
    <row r="1015" spans="15:27" ht="13.9" customHeight="1">
      <c r="O1015" s="12">
        <f t="shared" si="111"/>
        <v>83.5</v>
      </c>
      <c r="P1015" s="13">
        <v>1002</v>
      </c>
      <c r="Q1015" s="22">
        <v>3.8181036948014002E-2</v>
      </c>
      <c r="R1015" s="19">
        <f t="shared" si="112"/>
        <v>3.8863431773112911E-2</v>
      </c>
      <c r="S1015" s="22">
        <v>4.1964488420025869E-2</v>
      </c>
      <c r="T1015" s="19">
        <f t="shared" si="113"/>
        <v>4.2990513719720402E-2</v>
      </c>
      <c r="U1015" s="24">
        <v>4.3541338683988462E-2</v>
      </c>
      <c r="V1015" s="24">
        <f t="shared" si="114"/>
        <v>4.2949190093025003E-2</v>
      </c>
      <c r="W1015" s="23">
        <f t="shared" si="115"/>
        <v>3.51050935976982E-3</v>
      </c>
      <c r="X1015" s="24">
        <v>4.3206357833217135E-2</v>
      </c>
      <c r="Y1015" s="24">
        <f t="shared" si="116"/>
        <v>4.2977987096259218E-2</v>
      </c>
      <c r="Z1015" s="23">
        <f t="shared" si="117"/>
        <v>3.51281862696462E-3</v>
      </c>
      <c r="AA1015" s="36"/>
    </row>
    <row r="1016" spans="15:27" ht="13.9" customHeight="1">
      <c r="O1016" s="12">
        <f t="shared" si="111"/>
        <v>83.583333333333329</v>
      </c>
      <c r="P1016" s="13">
        <v>1003</v>
      </c>
      <c r="Q1016" s="22">
        <v>3.8181717078500821E-2</v>
      </c>
      <c r="R1016" s="19">
        <f t="shared" si="112"/>
        <v>3.8864067631724675E-2</v>
      </c>
      <c r="S1016" s="22">
        <v>4.1965510873634315E-2</v>
      </c>
      <c r="T1016" s="19">
        <f t="shared" si="113"/>
        <v>4.2990592460733668E-2</v>
      </c>
      <c r="U1016" s="24">
        <v>4.3540748139131225E-2</v>
      </c>
      <c r="V1016" s="24">
        <f t="shared" si="114"/>
        <v>4.2949311633774023E-2</v>
      </c>
      <c r="W1016" s="23">
        <f t="shared" si="115"/>
        <v>3.510519128952394E-3</v>
      </c>
      <c r="X1016" s="24">
        <v>4.3206130120642561E-2</v>
      </c>
      <c r="Y1016" s="24">
        <f t="shared" si="116"/>
        <v>4.2978104668018657E-2</v>
      </c>
      <c r="Z1016" s="23">
        <f t="shared" si="117"/>
        <v>3.5128281044869425E-3</v>
      </c>
      <c r="AA1016" s="36"/>
    </row>
    <row r="1017" spans="15:27" ht="13.9" customHeight="1">
      <c r="O1017" s="12">
        <f t="shared" si="111"/>
        <v>83.666666666666671</v>
      </c>
      <c r="P1017" s="13">
        <v>1004</v>
      </c>
      <c r="Q1017" s="22">
        <v>3.8182396487500103E-2</v>
      </c>
      <c r="R1017" s="19">
        <f t="shared" si="112"/>
        <v>3.8864698205883119E-2</v>
      </c>
      <c r="S1017" s="22">
        <v>4.1966531369833193E-2</v>
      </c>
      <c r="T1017" s="19">
        <f t="shared" si="113"/>
        <v>4.2990670549450272E-2</v>
      </c>
      <c r="U1017" s="24">
        <v>4.3540158892116487E-2</v>
      </c>
      <c r="V1017" s="24">
        <f t="shared" si="114"/>
        <v>4.2949432890378114E-2</v>
      </c>
      <c r="W1017" s="23">
        <f t="shared" si="115"/>
        <v>3.5105288743466634E-3</v>
      </c>
      <c r="X1017" s="24">
        <v>4.320590297885718E-2</v>
      </c>
      <c r="Y1017" s="24">
        <f t="shared" si="116"/>
        <v>4.2978221613784617E-2</v>
      </c>
      <c r="Z1017" s="23">
        <f t="shared" si="117"/>
        <v>3.5128375314006366E-3</v>
      </c>
      <c r="AA1017" s="36"/>
    </row>
    <row r="1018" spans="15:27" ht="13.9" customHeight="1">
      <c r="O1018" s="12">
        <f t="shared" si="111"/>
        <v>83.75</v>
      </c>
      <c r="P1018" s="13">
        <v>1005</v>
      </c>
      <c r="Q1018" s="22">
        <v>3.8183075171910552E-2</v>
      </c>
      <c r="R1018" s="19">
        <f t="shared" si="112"/>
        <v>3.8865323540777874E-2</v>
      </c>
      <c r="S1018" s="22">
        <v>4.196754991381435E-2</v>
      </c>
      <c r="T1018" s="19">
        <f t="shared" si="113"/>
        <v>4.299074798915492E-2</v>
      </c>
      <c r="U1018" s="24">
        <v>4.3539570938786021E-2</v>
      </c>
      <c r="V1018" s="24">
        <f t="shared" si="114"/>
        <v>4.2949553851933109E-2</v>
      </c>
      <c r="W1018" s="23">
        <f t="shared" si="115"/>
        <v>3.5105385969567138E-3</v>
      </c>
      <c r="X1018" s="24">
        <v>4.3205676405533966E-2</v>
      </c>
      <c r="Y1018" s="24">
        <f t="shared" si="116"/>
        <v>4.2978337932249477E-2</v>
      </c>
      <c r="Z1018" s="23">
        <f t="shared" si="117"/>
        <v>3.5128469081211477E-3</v>
      </c>
      <c r="AA1018" s="36"/>
    </row>
    <row r="1019" spans="15:27" ht="13.9" customHeight="1">
      <c r="O1019" s="12">
        <f t="shared" si="111"/>
        <v>83.833333333333329</v>
      </c>
      <c r="P1019" s="13">
        <v>1006</v>
      </c>
      <c r="Q1019" s="22">
        <v>3.8183753128687714E-2</v>
      </c>
      <c r="R1019" s="19">
        <f t="shared" si="112"/>
        <v>3.8865943678234149E-2</v>
      </c>
      <c r="S1019" s="22">
        <v>4.1968566510752314E-2</v>
      </c>
      <c r="T1019" s="19">
        <f t="shared" si="113"/>
        <v>4.2990824786705684E-2</v>
      </c>
      <c r="U1019" s="24">
        <v>4.3538984274987147E-2</v>
      </c>
      <c r="V1019" s="24">
        <f t="shared" si="114"/>
        <v>4.2949674528343973E-2</v>
      </c>
      <c r="W1019" s="23">
        <f t="shared" si="115"/>
        <v>3.5105482959079115E-3</v>
      </c>
      <c r="X1019" s="24">
        <v>4.3205450398353662E-2</v>
      </c>
      <c r="Y1019" s="24">
        <f t="shared" si="116"/>
        <v>4.2978453631665081E-2</v>
      </c>
      <c r="Z1019" s="23">
        <f t="shared" si="117"/>
        <v>3.512856234543893E-3</v>
      </c>
      <c r="AA1019" s="36"/>
    </row>
    <row r="1020" spans="15:27" ht="13.9" customHeight="1">
      <c r="O1020" s="12">
        <f t="shared" si="111"/>
        <v>83.916666666666671</v>
      </c>
      <c r="P1020" s="13">
        <v>1007</v>
      </c>
      <c r="Q1020" s="22">
        <v>3.8184430354841092E-2</v>
      </c>
      <c r="R1020" s="19">
        <f t="shared" si="112"/>
        <v>3.8866558662617123E-2</v>
      </c>
      <c r="S1020" s="22">
        <v>4.1969581165807623E-2</v>
      </c>
      <c r="T1020" s="19">
        <f t="shared" si="113"/>
        <v>4.2990900945625077E-2</v>
      </c>
      <c r="U1020" s="24">
        <v>4.3538398896593833E-2</v>
      </c>
      <c r="V1020" s="24">
        <f t="shared" si="114"/>
        <v>4.2949794905318583E-2</v>
      </c>
      <c r="W1020" s="23">
        <f t="shared" si="115"/>
        <v>3.5105579719947322E-3</v>
      </c>
      <c r="X1020" s="24">
        <v>4.3205224955014554E-2</v>
      </c>
      <c r="Y1020" s="24">
        <f t="shared" si="116"/>
        <v>4.2978568709816534E-2</v>
      </c>
      <c r="Z1020" s="23">
        <f t="shared" si="117"/>
        <v>3.512865511330121E-3</v>
      </c>
      <c r="AA1020" s="36"/>
    </row>
    <row r="1021" spans="15:27" ht="13.9" customHeight="1">
      <c r="O1021" s="12">
        <f t="shared" si="111"/>
        <v>84</v>
      </c>
      <c r="P1021" s="13">
        <v>1008</v>
      </c>
      <c r="Q1021" s="22">
        <v>3.8185106847435701E-2</v>
      </c>
      <c r="R1021" s="19">
        <f t="shared" si="112"/>
        <v>3.8867168536404817E-2</v>
      </c>
      <c r="S1021" s="22">
        <v>4.1970593884124163E-2</v>
      </c>
      <c r="T1021" s="19">
        <f t="shared" si="113"/>
        <v>4.2990976473055387E-2</v>
      </c>
      <c r="U1021" s="24">
        <v>4.3537814799481822E-2</v>
      </c>
      <c r="V1021" s="24">
        <f t="shared" si="114"/>
        <v>4.294991500725942E-2</v>
      </c>
      <c r="W1021" s="23">
        <f t="shared" si="115"/>
        <v>3.5105676240712036E-3</v>
      </c>
      <c r="X1021" s="24">
        <v>4.3205000073221811E-2</v>
      </c>
      <c r="Y1021" s="24">
        <f t="shared" si="116"/>
        <v>4.2978683176184029E-2</v>
      </c>
      <c r="Z1021" s="23">
        <f t="shared" si="117"/>
        <v>3.5128747383024184E-3</v>
      </c>
      <c r="AA1021" s="36"/>
    </row>
    <row r="1022" spans="15:27" ht="13.9" customHeight="1">
      <c r="O1022" s="12">
        <f t="shared" si="111"/>
        <v>84.083333333333329</v>
      </c>
      <c r="P1022" s="13">
        <v>1009</v>
      </c>
      <c r="Q1022" s="22">
        <v>3.8185782603590512E-2</v>
      </c>
      <c r="R1022" s="19">
        <f t="shared" si="112"/>
        <v>3.8867773343443046E-2</v>
      </c>
      <c r="S1022" s="22">
        <v>4.1971604670832496E-2</v>
      </c>
      <c r="T1022" s="19">
        <f t="shared" si="113"/>
        <v>4.299105137369974E-2</v>
      </c>
      <c r="U1022" s="24">
        <v>4.3537231979567714E-2</v>
      </c>
      <c r="V1022" s="24">
        <f t="shared" si="114"/>
        <v>4.295003481928128E-2</v>
      </c>
      <c r="W1022" s="23">
        <f t="shared" si="115"/>
        <v>3.5105772540937608E-3</v>
      </c>
      <c r="X1022" s="24">
        <v>4.3204775750699254E-2</v>
      </c>
      <c r="Y1022" s="24">
        <f t="shared" si="116"/>
        <v>4.2978797029651572E-2</v>
      </c>
      <c r="Z1022" s="23">
        <f t="shared" si="117"/>
        <v>3.5128839162208436E-3</v>
      </c>
      <c r="AA1022" s="36"/>
    </row>
    <row r="1023" spans="15:27" ht="13.9" customHeight="1">
      <c r="O1023" s="12">
        <f t="shared" si="111"/>
        <v>84.166666666666671</v>
      </c>
      <c r="P1023" s="13">
        <v>1010</v>
      </c>
      <c r="Q1023" s="22">
        <v>3.818645762047912E-2</v>
      </c>
      <c r="R1023" s="19">
        <f t="shared" si="112"/>
        <v>3.886837312346203E-2</v>
      </c>
      <c r="S1023" s="22">
        <v>4.1972613531047198E-2</v>
      </c>
      <c r="T1023" s="19">
        <f t="shared" si="113"/>
        <v>4.2991125652255491E-2</v>
      </c>
      <c r="U1023" s="24">
        <v>4.3536650432769441E-2</v>
      </c>
      <c r="V1023" s="24">
        <f t="shared" si="114"/>
        <v>4.2950154332921597E-2</v>
      </c>
      <c r="W1023" s="23">
        <f t="shared" si="115"/>
        <v>3.5105868608689139E-3</v>
      </c>
      <c r="X1023" s="24">
        <v>4.3204551985178474E-2</v>
      </c>
      <c r="Y1023" s="24">
        <f t="shared" si="116"/>
        <v>4.2978910274835691E-2</v>
      </c>
      <c r="Z1023" s="23">
        <f t="shared" si="117"/>
        <v>3.5128930449961349E-3</v>
      </c>
      <c r="AA1023" s="36"/>
    </row>
    <row r="1024" spans="15:27" ht="13.9" customHeight="1">
      <c r="O1024" s="12">
        <f t="shared" si="111"/>
        <v>84.25</v>
      </c>
      <c r="P1024" s="13">
        <v>1011</v>
      </c>
      <c r="Q1024" s="22">
        <v>3.8187131895325743E-2</v>
      </c>
      <c r="R1024" s="19">
        <f t="shared" si="112"/>
        <v>3.8868967919865494E-2</v>
      </c>
      <c r="S1024" s="22">
        <v>4.1973620469867523E-2</v>
      </c>
      <c r="T1024" s="19">
        <f t="shared" si="113"/>
        <v>4.2991199314242445E-2</v>
      </c>
      <c r="U1024" s="24">
        <v>4.3536070155012929E-2</v>
      </c>
      <c r="V1024" s="24">
        <f t="shared" si="114"/>
        <v>4.2950273570984798E-2</v>
      </c>
      <c r="W1024" s="23">
        <f t="shared" si="115"/>
        <v>3.5105964437183168E-3</v>
      </c>
      <c r="X1024" s="24">
        <v>4.3204328774404388E-2</v>
      </c>
      <c r="Y1024" s="24">
        <f t="shared" si="116"/>
        <v>4.2979022914776843E-2</v>
      </c>
      <c r="Z1024" s="23">
        <f t="shared" si="117"/>
        <v>3.5129021249982184E-3</v>
      </c>
      <c r="AA1024" s="36"/>
    </row>
    <row r="1025" spans="15:27" ht="13.9" customHeight="1">
      <c r="O1025" s="12">
        <f t="shared" si="111"/>
        <v>84.333333333333329</v>
      </c>
      <c r="P1025" s="13">
        <v>1012</v>
      </c>
      <c r="Q1025" s="22">
        <v>3.8187805425408339E-2</v>
      </c>
      <c r="R1025" s="19">
        <f t="shared" si="112"/>
        <v>3.8869557773320018E-2</v>
      </c>
      <c r="S1025" s="22">
        <v>4.1974625492377848E-2</v>
      </c>
      <c r="T1025" s="19">
        <f t="shared" si="113"/>
        <v>4.299127236429201E-2</v>
      </c>
      <c r="U1025" s="24">
        <v>4.3535491142262295E-2</v>
      </c>
      <c r="V1025" s="24">
        <f t="shared" si="114"/>
        <v>4.2950392514231384E-2</v>
      </c>
      <c r="W1025" s="23">
        <f t="shared" si="115"/>
        <v>3.5106060044702847E-3</v>
      </c>
      <c r="X1025" s="24">
        <v>4.3204106116134344E-2</v>
      </c>
      <c r="Y1025" s="24">
        <f t="shared" si="116"/>
        <v>4.2979134953218479E-2</v>
      </c>
      <c r="Z1025" s="23">
        <f t="shared" si="117"/>
        <v>3.5129111564711213E-3</v>
      </c>
      <c r="AA1025" s="36"/>
    </row>
    <row r="1026" spans="15:27" ht="13.9" customHeight="1">
      <c r="O1026" s="12">
        <f t="shared" si="111"/>
        <v>84.416666666666671</v>
      </c>
      <c r="P1026" s="13">
        <v>1013</v>
      </c>
      <c r="Q1026" s="22">
        <v>3.8188478208055709E-2</v>
      </c>
      <c r="R1026" s="19">
        <f t="shared" si="112"/>
        <v>3.8870142727132295E-2</v>
      </c>
      <c r="S1026" s="22">
        <v>4.1975628603647452E-2</v>
      </c>
      <c r="T1026" s="19">
        <f t="shared" si="113"/>
        <v>4.2991344808864129E-2</v>
      </c>
      <c r="U1026" s="24">
        <v>4.3534913390478991E-2</v>
      </c>
      <c r="V1026" s="24">
        <f t="shared" si="114"/>
        <v>4.2950511185069651E-2</v>
      </c>
      <c r="W1026" s="23">
        <f t="shared" si="115"/>
        <v>3.5106155415822737E-3</v>
      </c>
      <c r="X1026" s="24">
        <v>4.3203884008137905E-2</v>
      </c>
      <c r="Y1026" s="24">
        <f t="shared" si="116"/>
        <v>4.2979246393615611E-2</v>
      </c>
      <c r="Z1026" s="23">
        <f t="shared" si="117"/>
        <v>3.5129201397148258E-3</v>
      </c>
      <c r="AA1026" s="36"/>
    </row>
    <row r="1027" spans="15:27" ht="13.9" customHeight="1">
      <c r="O1027" s="12">
        <f t="shared" si="111"/>
        <v>84.5</v>
      </c>
      <c r="P1027" s="13">
        <v>1014</v>
      </c>
      <c r="Q1027" s="22">
        <v>3.8189150240649727E-2</v>
      </c>
      <c r="R1027" s="19">
        <f t="shared" si="112"/>
        <v>3.8870722819491554E-2</v>
      </c>
      <c r="S1027" s="22">
        <v>4.1976629808731403E-2</v>
      </c>
      <c r="T1027" s="19">
        <f t="shared" si="113"/>
        <v>4.299141665140116E-2</v>
      </c>
      <c r="U1027" s="24">
        <v>4.353433689566244E-2</v>
      </c>
      <c r="V1027" s="24">
        <f t="shared" si="114"/>
        <v>4.2950629561579579E-2</v>
      </c>
      <c r="W1027" s="23">
        <f t="shared" si="115"/>
        <v>3.5106250568510688E-3</v>
      </c>
      <c r="X1027" s="24">
        <v>4.3203662448196845E-2</v>
      </c>
      <c r="Y1027" s="24">
        <f t="shared" si="116"/>
        <v>4.2979357238086102E-2</v>
      </c>
      <c r="Z1027" s="23">
        <f t="shared" si="117"/>
        <v>3.5129290750064435E-3</v>
      </c>
      <c r="AA1027" s="36"/>
    </row>
    <row r="1028" spans="15:27" ht="13.9" customHeight="1">
      <c r="O1028" s="12">
        <f t="shared" si="111"/>
        <v>84.583333333333329</v>
      </c>
      <c r="P1028" s="13">
        <v>1015</v>
      </c>
      <c r="Q1028" s="22">
        <v>3.8189821520620448E-2</v>
      </c>
      <c r="R1028" s="19">
        <f t="shared" si="112"/>
        <v>3.88712980916055E-2</v>
      </c>
      <c r="S1028" s="22">
        <v>4.1977629112668779E-2</v>
      </c>
      <c r="T1028" s="19">
        <f t="shared" si="113"/>
        <v>4.2991487897424463E-2</v>
      </c>
      <c r="U1028" s="24">
        <v>4.3533761653806069E-2</v>
      </c>
      <c r="V1028" s="24">
        <f t="shared" si="114"/>
        <v>4.2950747654198596E-2</v>
      </c>
      <c r="W1028" s="23">
        <f t="shared" si="115"/>
        <v>3.5106345485189649E-3</v>
      </c>
      <c r="X1028" s="24">
        <v>4.3203441434103818E-2</v>
      </c>
      <c r="Y1028" s="24">
        <f t="shared" si="116"/>
        <v>4.2979467488728051E-2</v>
      </c>
      <c r="Z1028" s="23">
        <f t="shared" si="117"/>
        <v>3.5129379625158386E-3</v>
      </c>
      <c r="AA1028" s="36"/>
    </row>
    <row r="1029" spans="15:27" ht="13.9" customHeight="1">
      <c r="O1029" s="12">
        <f t="shared" si="111"/>
        <v>84.666666666666671</v>
      </c>
      <c r="P1029" s="13">
        <v>1016</v>
      </c>
      <c r="Q1029" s="22">
        <v>3.8190492045448554E-2</v>
      </c>
      <c r="R1029" s="19">
        <f t="shared" si="112"/>
        <v>3.8871868583145286E-2</v>
      </c>
      <c r="S1029" s="22">
        <v>4.1978626520483786E-2</v>
      </c>
      <c r="T1029" s="19">
        <f t="shared" si="113"/>
        <v>4.2991558552578413E-2</v>
      </c>
      <c r="U1029" s="24">
        <v>4.3533187660929507E-2</v>
      </c>
      <c r="V1029" s="24">
        <f t="shared" si="114"/>
        <v>4.2950865467729749E-2</v>
      </c>
      <c r="W1029" s="23">
        <f t="shared" si="115"/>
        <v>3.5106440174230702E-3</v>
      </c>
      <c r="X1029" s="24">
        <v>4.3203220963662359E-2</v>
      </c>
      <c r="Y1029" s="24">
        <f t="shared" si="116"/>
        <v>4.2979577153217541E-2</v>
      </c>
      <c r="Z1029" s="23">
        <f t="shared" si="117"/>
        <v>3.5129468024113208E-3</v>
      </c>
      <c r="AA1029" s="36"/>
    </row>
    <row r="1030" spans="15:27" ht="13.9" customHeight="1">
      <c r="O1030" s="12">
        <f t="shared" si="111"/>
        <v>84.75</v>
      </c>
      <c r="P1030" s="13">
        <v>1017</v>
      </c>
      <c r="Q1030" s="22">
        <v>3.8191161812663355E-2</v>
      </c>
      <c r="R1030" s="19">
        <f t="shared" si="112"/>
        <v>3.8872434335612382E-2</v>
      </c>
      <c r="S1030" s="22">
        <v>4.1979622037186859E-2</v>
      </c>
      <c r="T1030" s="19">
        <f t="shared" si="113"/>
        <v>4.2991628621096734E-2</v>
      </c>
      <c r="U1030" s="24">
        <v>4.3532614913072809E-2</v>
      </c>
      <c r="V1030" s="24">
        <f t="shared" si="114"/>
        <v>4.2950983004040211E-2</v>
      </c>
      <c r="W1030" s="23">
        <f t="shared" si="115"/>
        <v>3.5106534639484099E-3</v>
      </c>
      <c r="X1030" s="24">
        <v>4.320300103469199E-2</v>
      </c>
      <c r="Y1030" s="24">
        <f t="shared" si="116"/>
        <v>4.2979686231082725E-2</v>
      </c>
      <c r="Z1030" s="23">
        <f t="shared" si="117"/>
        <v>3.5129555953079539E-3</v>
      </c>
      <c r="AA1030" s="36"/>
    </row>
    <row r="1031" spans="15:27" ht="13.9" customHeight="1">
      <c r="O1031" s="12">
        <f t="shared" si="111"/>
        <v>84.833333333333329</v>
      </c>
      <c r="P1031" s="13">
        <v>1018</v>
      </c>
      <c r="Q1031" s="22">
        <v>3.8191830819845007E-2</v>
      </c>
      <c r="R1031" s="19">
        <f t="shared" si="112"/>
        <v>3.8872995387415621E-2</v>
      </c>
      <c r="S1031" s="22">
        <v>4.1980615667772669E-2</v>
      </c>
      <c r="T1031" s="19">
        <f t="shared" si="113"/>
        <v>4.2991698107824661E-2</v>
      </c>
      <c r="U1031" s="24">
        <v>4.3532043406293353E-2</v>
      </c>
      <c r="V1031" s="24">
        <f t="shared" si="114"/>
        <v>4.295110024686899E-2</v>
      </c>
      <c r="W1031" s="23">
        <f t="shared" si="115"/>
        <v>3.5106628882444202E-3</v>
      </c>
      <c r="X1031" s="24">
        <v>4.3202781645020449E-2</v>
      </c>
      <c r="Y1031" s="24">
        <f t="shared" si="116"/>
        <v>4.2979794724754106E-2</v>
      </c>
      <c r="Z1031" s="23">
        <f t="shared" si="117"/>
        <v>3.5129643411684341E-3</v>
      </c>
      <c r="AA1031" s="36"/>
    </row>
    <row r="1032" spans="15:27" ht="13.9" customHeight="1">
      <c r="O1032" s="12">
        <f t="shared" si="111"/>
        <v>84.916666666666671</v>
      </c>
      <c r="P1032" s="13">
        <v>1019</v>
      </c>
      <c r="Q1032" s="22">
        <v>3.81924990646203E-2</v>
      </c>
      <c r="R1032" s="19">
        <f t="shared" si="112"/>
        <v>3.8873551776300141E-2</v>
      </c>
      <c r="S1032" s="22">
        <v>4.1981607417221012E-2</v>
      </c>
      <c r="T1032" s="19">
        <f t="shared" si="113"/>
        <v>4.2991767017874771E-2</v>
      </c>
      <c r="U1032" s="24">
        <v>4.3531473136647847E-2</v>
      </c>
      <c r="V1032" s="24">
        <f t="shared" si="114"/>
        <v>4.2951217221433469E-2</v>
      </c>
      <c r="W1032" s="23">
        <f t="shared" si="115"/>
        <v>3.5106722890076991E-3</v>
      </c>
      <c r="X1032" s="24">
        <v>4.3202562792486354E-2</v>
      </c>
      <c r="Y1032" s="24">
        <f t="shared" si="116"/>
        <v>4.2979902640929879E-2</v>
      </c>
      <c r="Z1032" s="23">
        <f t="shared" si="117"/>
        <v>3.5129730401872727E-3</v>
      </c>
      <c r="AA1032" s="36"/>
    </row>
    <row r="1033" spans="15:27" ht="13.9" customHeight="1">
      <c r="O1033" s="12">
        <f t="shared" si="111"/>
        <v>85</v>
      </c>
      <c r="P1033" s="13">
        <v>1020</v>
      </c>
      <c r="Q1033" s="22">
        <v>3.8193166544662871E-2</v>
      </c>
      <c r="R1033" s="19">
        <f t="shared" si="112"/>
        <v>3.887410354300247E-2</v>
      </c>
      <c r="S1033" s="22">
        <v>4.1982597290497248E-2</v>
      </c>
      <c r="T1033" s="19">
        <f t="shared" si="113"/>
        <v>4.2991835355538299E-2</v>
      </c>
      <c r="U1033" s="24">
        <v>4.3530904100233636E-2</v>
      </c>
      <c r="V1033" s="24">
        <f t="shared" si="114"/>
        <v>4.2951333903574751E-2</v>
      </c>
      <c r="W1033" s="23">
        <f t="shared" si="115"/>
        <v>3.5106816682599629E-3</v>
      </c>
      <c r="X1033" s="24">
        <v>4.3202344474943422E-2</v>
      </c>
      <c r="Y1033" s="24">
        <f t="shared" si="116"/>
        <v>4.2980009978587974E-2</v>
      </c>
      <c r="Z1033" s="23">
        <f t="shared" si="117"/>
        <v>3.5129816929018176E-3</v>
      </c>
      <c r="AA1033" s="36"/>
    </row>
    <row r="1034" spans="15:27" ht="13.9" customHeight="1">
      <c r="O1034" s="12">
        <f t="shared" si="111"/>
        <v>85.083333333333329</v>
      </c>
      <c r="P1034" s="13">
        <v>1021</v>
      </c>
      <c r="Q1034" s="22">
        <v>3.8193833257694987E-2</v>
      </c>
      <c r="R1034" s="19">
        <f t="shared" si="112"/>
        <v>3.8874650724642024E-2</v>
      </c>
      <c r="S1034" s="22">
        <v>4.1983585292551417E-2</v>
      </c>
      <c r="T1034" s="19">
        <f t="shared" si="113"/>
        <v>4.2991903126524678E-2</v>
      </c>
      <c r="U1034" s="24">
        <v>4.3530336293139404E-2</v>
      </c>
      <c r="V1034" s="24">
        <f t="shared" si="114"/>
        <v>4.2951450317985529E-2</v>
      </c>
      <c r="W1034" s="23">
        <f t="shared" si="115"/>
        <v>3.5106910240640943E-3</v>
      </c>
      <c r="X1034" s="24">
        <v>4.3202126690252696E-2</v>
      </c>
      <c r="Y1034" s="24">
        <f t="shared" si="116"/>
        <v>4.298011674436486E-2</v>
      </c>
      <c r="Z1034" s="23">
        <f t="shared" si="117"/>
        <v>3.5129902992301343E-3</v>
      </c>
      <c r="AA1034" s="36"/>
    </row>
    <row r="1035" spans="15:27" ht="13.9" customHeight="1">
      <c r="O1035" s="12">
        <f t="shared" si="111"/>
        <v>85.166666666666671</v>
      </c>
      <c r="P1035" s="13">
        <v>1022</v>
      </c>
      <c r="Q1035" s="22">
        <v>3.8194499201484211E-2</v>
      </c>
      <c r="R1035" s="19">
        <f t="shared" si="112"/>
        <v>3.8875193361535221E-2</v>
      </c>
      <c r="S1035" s="22">
        <v>4.1984571428320017E-2</v>
      </c>
      <c r="T1035" s="19">
        <f t="shared" si="113"/>
        <v>4.2991970334275598E-2</v>
      </c>
      <c r="U1035" s="24">
        <v>4.3529769711493138E-2</v>
      </c>
      <c r="V1035" s="24">
        <f t="shared" si="114"/>
        <v>4.2951566444134004E-2</v>
      </c>
      <c r="W1035" s="23">
        <f t="shared" si="115"/>
        <v>3.5107003584002872E-3</v>
      </c>
      <c r="X1035" s="24">
        <v>4.3201909436290098E-2</v>
      </c>
      <c r="Y1035" s="24">
        <f t="shared" si="116"/>
        <v>4.2980222938736823E-2</v>
      </c>
      <c r="Z1035" s="23">
        <f t="shared" si="117"/>
        <v>3.5129988597040196E-3</v>
      </c>
      <c r="AA1035" s="36"/>
    </row>
    <row r="1036" spans="15:27" ht="13.9" customHeight="1">
      <c r="O1036" s="12">
        <f t="shared" si="111"/>
        <v>85.25</v>
      </c>
      <c r="P1036" s="13">
        <v>1023</v>
      </c>
      <c r="Q1036" s="22">
        <v>3.8195164373846291E-2</v>
      </c>
      <c r="R1036" s="19">
        <f t="shared" si="112"/>
        <v>3.8875731488688947E-2</v>
      </c>
      <c r="S1036" s="22">
        <v>4.1985555702723332E-2</v>
      </c>
      <c r="T1036" s="19">
        <f t="shared" si="113"/>
        <v>4.2992036984280446E-2</v>
      </c>
      <c r="U1036" s="24">
        <v>4.3529204351418382E-2</v>
      </c>
      <c r="V1036" s="24">
        <f t="shared" si="114"/>
        <v>4.2951682296220151E-2</v>
      </c>
      <c r="W1036" s="23">
        <f t="shared" si="115"/>
        <v>3.5107096696220808E-3</v>
      </c>
      <c r="X1036" s="24">
        <v>4.3201692710940431E-2</v>
      </c>
      <c r="Y1036" s="24">
        <f t="shared" si="116"/>
        <v>4.2980328566323278E-2</v>
      </c>
      <c r="Z1036" s="23">
        <f t="shared" si="117"/>
        <v>3.5130073743621093E-3</v>
      </c>
      <c r="AA1036" s="36"/>
    </row>
    <row r="1037" spans="15:27" ht="13.9" customHeight="1">
      <c r="O1037" s="12">
        <f t="shared" si="111"/>
        <v>85.333333333333329</v>
      </c>
      <c r="P1037" s="13">
        <v>1024</v>
      </c>
      <c r="Q1037" s="22">
        <v>3.8195828772639384E-2</v>
      </c>
      <c r="R1037" s="19">
        <f t="shared" si="112"/>
        <v>3.8876265144469846E-2</v>
      </c>
      <c r="S1037" s="22">
        <v>4.1986538120667882E-2</v>
      </c>
      <c r="T1037" s="19">
        <f t="shared" si="113"/>
        <v>4.2992103081861632E-2</v>
      </c>
      <c r="U1037" s="24">
        <v>4.3528640209067326E-2</v>
      </c>
      <c r="V1037" s="24">
        <f t="shared" si="114"/>
        <v>4.2951797872433639E-2</v>
      </c>
      <c r="W1037" s="23">
        <f t="shared" si="115"/>
        <v>3.5107189588678978E-3</v>
      </c>
      <c r="X1037" s="24">
        <v>4.3201476512101156E-2</v>
      </c>
      <c r="Y1037" s="24">
        <f t="shared" si="116"/>
        <v>4.2980433629071113E-2</v>
      </c>
      <c r="Z1037" s="23">
        <f t="shared" si="117"/>
        <v>3.5130158435745518E-3</v>
      </c>
      <c r="AA1037" s="36"/>
    </row>
    <row r="1038" spans="15:27" ht="13.9" customHeight="1">
      <c r="O1038" s="12">
        <f t="shared" ref="O1038:O1101" si="118">P1038/12</f>
        <v>85.416666666666671</v>
      </c>
      <c r="P1038" s="13">
        <v>1025</v>
      </c>
      <c r="Q1038" s="22">
        <v>3.8196492395767834E-2</v>
      </c>
      <c r="R1038" s="19">
        <f t="shared" ref="R1038:R1101" si="119">(1+Q1039)^P1039/(1+Q1038)^P1038-1</f>
        <v>3.8876794367194156E-2</v>
      </c>
      <c r="S1038" s="22">
        <v>4.1987518687046199E-2</v>
      </c>
      <c r="T1038" s="19">
        <f t="shared" ref="T1038:T1101" si="120">(1+S1039)^P1039/(1+S1038)^P1038-1</f>
        <v>4.2992168629358618E-2</v>
      </c>
      <c r="U1038" s="24">
        <v>4.3528077280605482E-2</v>
      </c>
      <c r="V1038" s="24">
        <f t="shared" ref="V1038:V1101" si="121">(1+U1039)^P1039/(1+U1038)^P1038-1</f>
        <v>4.2951913164856359E-2</v>
      </c>
      <c r="W1038" s="23">
        <f t="shared" si="115"/>
        <v>3.5107282259929651E-3</v>
      </c>
      <c r="X1038" s="24">
        <v>4.3201260837679945E-2</v>
      </c>
      <c r="Y1038" s="24">
        <f t="shared" si="116"/>
        <v>4.2980538130620305E-2</v>
      </c>
      <c r="Z1038" s="23">
        <f t="shared" si="117"/>
        <v>3.5130242674972223E-3</v>
      </c>
      <c r="AA1038" s="36"/>
    </row>
    <row r="1039" spans="15:27" ht="13.9" customHeight="1">
      <c r="O1039" s="12">
        <f t="shared" si="118"/>
        <v>85.5</v>
      </c>
      <c r="P1039" s="13">
        <v>1026</v>
      </c>
      <c r="Q1039" s="22">
        <v>3.819715524118128E-2</v>
      </c>
      <c r="R1039" s="19">
        <f t="shared" si="119"/>
        <v>3.8877319193276083E-2</v>
      </c>
      <c r="S1039" s="22">
        <v>4.198849740673416E-2</v>
      </c>
      <c r="T1039" s="19">
        <f t="shared" si="120"/>
        <v>4.2992233633881272E-2</v>
      </c>
      <c r="U1039" s="24">
        <v>4.3527515562205688E-2</v>
      </c>
      <c r="V1039" s="24">
        <f t="shared" si="121"/>
        <v>4.2952028188457891E-2</v>
      </c>
      <c r="W1039" s="23">
        <f t="shared" ref="W1039:W1102" si="122">(1+V1038)^(1/12)-1</f>
        <v>3.5107374703622352E-3</v>
      </c>
      <c r="X1039" s="24">
        <v>4.3201045685596018E-2</v>
      </c>
      <c r="Y1039" s="24">
        <f t="shared" ref="Y1039:Y1102" si="123">(1+X1040)^P1040/(1+X1039)^P1039-1</f>
        <v>4.2980642074253783E-2</v>
      </c>
      <c r="Z1039" s="23">
        <f t="shared" ref="Z1039:Z1102" si="124">(1+Y1038)^(1/12)-1</f>
        <v>3.5130326464225536E-3</v>
      </c>
      <c r="AA1039" s="36"/>
    </row>
    <row r="1040" spans="15:27" ht="13.9" customHeight="1">
      <c r="O1040" s="12">
        <f t="shared" si="118"/>
        <v>85.583333333333329</v>
      </c>
      <c r="P1040" s="13">
        <v>1027</v>
      </c>
      <c r="Q1040" s="22">
        <v>3.8197817306872661E-2</v>
      </c>
      <c r="R1040" s="19">
        <f t="shared" si="119"/>
        <v>3.8877839659086089E-2</v>
      </c>
      <c r="S1040" s="22">
        <v>4.1989474284595429E-2</v>
      </c>
      <c r="T1040" s="19">
        <f t="shared" si="120"/>
        <v>4.2992298097525472E-2</v>
      </c>
      <c r="U1040" s="24">
        <v>4.3526955050070093E-2</v>
      </c>
      <c r="V1040" s="24">
        <f t="shared" si="121"/>
        <v>4.295214293023264E-2</v>
      </c>
      <c r="W1040" s="23">
        <f t="shared" si="122"/>
        <v>3.5107466931758591E-3</v>
      </c>
      <c r="X1040" s="24">
        <v>4.3200831053780142E-2</v>
      </c>
      <c r="Y1040" s="24">
        <f t="shared" si="123"/>
        <v>4.2980745461382419E-2</v>
      </c>
      <c r="Z1040" s="23">
        <f t="shared" si="124"/>
        <v>3.5130409806134466E-3</v>
      </c>
      <c r="AA1040" s="36"/>
    </row>
    <row r="1041" spans="15:27" ht="13.9" customHeight="1">
      <c r="O1041" s="12">
        <f t="shared" si="118"/>
        <v>85.666666666666671</v>
      </c>
      <c r="P1041" s="13">
        <v>1028</v>
      </c>
      <c r="Q1041" s="22">
        <v>3.8198478590878215E-2</v>
      </c>
      <c r="R1041" s="19">
        <f t="shared" si="119"/>
        <v>3.8878355799439435E-2</v>
      </c>
      <c r="S1041" s="22">
        <v>4.1990449325477019E-2</v>
      </c>
      <c r="T1041" s="19">
        <f t="shared" si="120"/>
        <v>4.2992362027654663E-2</v>
      </c>
      <c r="U1041" s="24">
        <v>4.352639574040329E-2</v>
      </c>
      <c r="V1041" s="24">
        <f t="shared" si="121"/>
        <v>4.2952257400632465E-2</v>
      </c>
      <c r="W1041" s="23">
        <f t="shared" si="122"/>
        <v>3.5107558933911154E-3</v>
      </c>
      <c r="X1041" s="24">
        <v>4.3200616940172187E-2</v>
      </c>
      <c r="Y1041" s="24">
        <f t="shared" si="123"/>
        <v>4.2980848298284302E-2</v>
      </c>
      <c r="Z1041" s="23">
        <f t="shared" si="124"/>
        <v>3.5130492701829219E-3</v>
      </c>
      <c r="AA1041" s="36"/>
    </row>
    <row r="1042" spans="15:27" ht="13.9" customHeight="1">
      <c r="O1042" s="12">
        <f t="shared" si="118"/>
        <v>85.75</v>
      </c>
      <c r="P1042" s="13">
        <v>1029</v>
      </c>
      <c r="Q1042" s="22">
        <v>3.819913909127548E-2</v>
      </c>
      <c r="R1042" s="19">
        <f t="shared" si="119"/>
        <v>3.8878867652563764E-2</v>
      </c>
      <c r="S1042" s="22">
        <v>4.1991422534213729E-2</v>
      </c>
      <c r="T1042" s="19">
        <f t="shared" si="120"/>
        <v>4.2992425426213954E-2</v>
      </c>
      <c r="U1042" s="24">
        <v>4.3525837629434516E-2</v>
      </c>
      <c r="V1042" s="24">
        <f t="shared" si="121"/>
        <v>4.2952371598282024E-2</v>
      </c>
      <c r="W1042" s="23">
        <f t="shared" si="122"/>
        <v>3.5107650718460004E-3</v>
      </c>
      <c r="X1042" s="24">
        <v>4.3200403342726457E-2</v>
      </c>
      <c r="Y1042" s="24">
        <f t="shared" si="123"/>
        <v>4.2980950584477817E-2</v>
      </c>
      <c r="Z1042" s="23">
        <f t="shared" si="124"/>
        <v>3.5130575156345767E-3</v>
      </c>
      <c r="AA1042" s="36"/>
    </row>
    <row r="1043" spans="15:27" ht="13.9" customHeight="1">
      <c r="O1043" s="12">
        <f t="shared" si="118"/>
        <v>85.833333333333329</v>
      </c>
      <c r="P1043" s="13">
        <v>1030</v>
      </c>
      <c r="Q1043" s="22">
        <v>3.8199798806186847E-2</v>
      </c>
      <c r="R1043" s="19">
        <f t="shared" si="119"/>
        <v>3.8879375253826787E-2</v>
      </c>
      <c r="S1043" s="22">
        <v>4.1992393915624149E-2</v>
      </c>
      <c r="T1043" s="19">
        <f t="shared" si="120"/>
        <v>4.2992488298271514E-2</v>
      </c>
      <c r="U1043" s="24">
        <v>4.3525280713406334E-2</v>
      </c>
      <c r="V1043" s="24">
        <f t="shared" si="121"/>
        <v>4.2952485518077177E-2</v>
      </c>
      <c r="W1043" s="23">
        <f t="shared" si="122"/>
        <v>3.51077422843038E-3</v>
      </c>
      <c r="X1043" s="24">
        <v>4.3200190259404359E-2</v>
      </c>
      <c r="Y1043" s="24">
        <f t="shared" si="123"/>
        <v>4.2981052323601387E-2</v>
      </c>
      <c r="Z1043" s="23">
        <f t="shared" si="124"/>
        <v>3.5130657169299973E-3</v>
      </c>
      <c r="AA1043" s="36"/>
    </row>
    <row r="1044" spans="15:27" ht="13.9" customHeight="1">
      <c r="O1044" s="12">
        <f t="shared" si="118"/>
        <v>85.916666666666671</v>
      </c>
      <c r="P1044" s="13">
        <v>1031</v>
      </c>
      <c r="Q1044" s="22">
        <v>3.8200457733776005E-2</v>
      </c>
      <c r="R1044" s="19">
        <f t="shared" si="119"/>
        <v>3.8879878637325671E-2</v>
      </c>
      <c r="S1044" s="22">
        <v>4.1993363474512657E-2</v>
      </c>
      <c r="T1044" s="19">
        <f t="shared" si="120"/>
        <v>4.2992550649191275E-2</v>
      </c>
      <c r="U1044" s="24">
        <v>4.3524724988571073E-2</v>
      </c>
      <c r="V1044" s="24">
        <f t="shared" si="121"/>
        <v>4.2952599170209993E-2</v>
      </c>
      <c r="W1044" s="23">
        <f t="shared" si="122"/>
        <v>3.510783362735026E-3</v>
      </c>
      <c r="X1044" s="24">
        <v>4.3199977688179292E-2</v>
      </c>
      <c r="Y1044" s="24">
        <f t="shared" si="123"/>
        <v>4.2981153521646887E-2</v>
      </c>
      <c r="Z1044" s="23">
        <f t="shared" si="124"/>
        <v>3.5130738743602841E-3</v>
      </c>
      <c r="AA1044" s="36"/>
    </row>
    <row r="1045" spans="15:27" ht="13.9" customHeight="1">
      <c r="O1045" s="12">
        <f t="shared" si="118"/>
        <v>86</v>
      </c>
      <c r="P1045" s="13">
        <v>1032</v>
      </c>
      <c r="Q1045" s="22">
        <v>3.8201115872246838E-2</v>
      </c>
      <c r="R1045" s="19">
        <f t="shared" si="119"/>
        <v>3.8880377838749647E-2</v>
      </c>
      <c r="S1045" s="22">
        <v>4.1994331215670311E-2</v>
      </c>
      <c r="T1045" s="19">
        <f t="shared" si="120"/>
        <v>4.2992612481669523E-2</v>
      </c>
      <c r="U1045" s="24">
        <v>4.3524170451205491E-2</v>
      </c>
      <c r="V1045" s="24">
        <f t="shared" si="121"/>
        <v>4.2952712546965088E-2</v>
      </c>
      <c r="W1045" s="23">
        <f t="shared" si="122"/>
        <v>3.5107924755770625E-3</v>
      </c>
      <c r="X1045" s="24">
        <v>4.3199765627037756E-2</v>
      </c>
      <c r="Y1045" s="24">
        <f t="shared" si="123"/>
        <v>4.2981254175682437E-2</v>
      </c>
      <c r="Z1045" s="23">
        <f t="shared" si="124"/>
        <v>3.5130819884066078E-3</v>
      </c>
      <c r="AA1045" s="36"/>
    </row>
    <row r="1046" spans="15:27" ht="13.9" customHeight="1">
      <c r="O1046" s="12">
        <f t="shared" si="118"/>
        <v>86.083333333333329</v>
      </c>
      <c r="P1046" s="13">
        <v>1033</v>
      </c>
      <c r="Q1046" s="22">
        <v>3.8201773219844748E-2</v>
      </c>
      <c r="R1046" s="19">
        <f t="shared" si="119"/>
        <v>3.8880872892798735E-2</v>
      </c>
      <c r="S1046" s="22">
        <v>4.1995297143872401E-2</v>
      </c>
      <c r="T1046" s="19">
        <f t="shared" si="120"/>
        <v>4.2992673801685921E-2</v>
      </c>
      <c r="U1046" s="24">
        <v>4.3523617097593226E-2</v>
      </c>
      <c r="V1046" s="24">
        <f t="shared" si="121"/>
        <v>4.2952825652449178E-2</v>
      </c>
      <c r="W1046" s="23">
        <f t="shared" si="122"/>
        <v>3.5108015663378733E-3</v>
      </c>
      <c r="X1046" s="24">
        <v>4.319955407397158E-2</v>
      </c>
      <c r="Y1046" s="24">
        <f t="shared" si="123"/>
        <v>4.2981354295420715E-2</v>
      </c>
      <c r="Z1046" s="23">
        <f t="shared" si="124"/>
        <v>3.5130900588333791E-3</v>
      </c>
      <c r="AA1046" s="36"/>
    </row>
    <row r="1047" spans="15:27" ht="13.9" customHeight="1">
      <c r="O1047" s="12">
        <f t="shared" si="118"/>
        <v>86.166666666666671</v>
      </c>
      <c r="P1047" s="13">
        <v>1034</v>
      </c>
      <c r="Q1047" s="22">
        <v>3.8202429774855329E-2</v>
      </c>
      <c r="R1047" s="19">
        <f t="shared" si="119"/>
        <v>3.8881363834706972E-2</v>
      </c>
      <c r="S1047" s="22">
        <v>4.1996261263881118E-2</v>
      </c>
      <c r="T1047" s="19">
        <f t="shared" si="120"/>
        <v>4.2992734612377514E-2</v>
      </c>
      <c r="U1047" s="24">
        <v>4.3523064924035904E-2</v>
      </c>
      <c r="V1047" s="24">
        <f t="shared" si="121"/>
        <v>4.2952938487399894E-2</v>
      </c>
      <c r="W1047" s="23">
        <f t="shared" si="122"/>
        <v>3.5108106353469726E-3</v>
      </c>
      <c r="X1047" s="24">
        <v>4.3199343026989467E-2</v>
      </c>
      <c r="Y1047" s="24">
        <f t="shared" si="123"/>
        <v>4.298145387752994E-2</v>
      </c>
      <c r="Z1047" s="23">
        <f t="shared" si="124"/>
        <v>3.5130980864195305E-3</v>
      </c>
      <c r="AA1047" s="36"/>
    </row>
    <row r="1048" spans="15:27" ht="13.9" customHeight="1">
      <c r="O1048" s="12">
        <f t="shared" si="118"/>
        <v>86.25</v>
      </c>
      <c r="P1048" s="13">
        <v>1035</v>
      </c>
      <c r="Q1048" s="22">
        <v>3.820308553560503E-2</v>
      </c>
      <c r="R1048" s="19">
        <f t="shared" si="119"/>
        <v>3.8881850698399667E-2</v>
      </c>
      <c r="S1048" s="22">
        <v>4.1997223580443777E-2</v>
      </c>
      <c r="T1048" s="19">
        <f t="shared" si="120"/>
        <v>4.2992794918307098E-2</v>
      </c>
      <c r="U1048" s="24">
        <v>4.3522513926850914E-2</v>
      </c>
      <c r="V1048" s="24">
        <f t="shared" si="121"/>
        <v>4.2953051053729041E-2</v>
      </c>
      <c r="W1048" s="23">
        <f t="shared" si="122"/>
        <v>3.5108196826629801E-3</v>
      </c>
      <c r="X1048" s="24">
        <v>4.3199132484105007E-2</v>
      </c>
      <c r="Y1048" s="24">
        <f t="shared" si="123"/>
        <v>4.2981552929522104E-2</v>
      </c>
      <c r="Z1048" s="23">
        <f t="shared" si="124"/>
        <v>3.5131060708981643E-3</v>
      </c>
      <c r="AA1048" s="36"/>
    </row>
    <row r="1049" spans="15:27" ht="13.9" customHeight="1">
      <c r="O1049" s="12">
        <f t="shared" si="118"/>
        <v>86.333333333333329</v>
      </c>
      <c r="P1049" s="13">
        <v>1036</v>
      </c>
      <c r="Q1049" s="22">
        <v>3.8203740500459382E-2</v>
      </c>
      <c r="R1049" s="19">
        <f t="shared" si="119"/>
        <v>3.8882333516595313E-2</v>
      </c>
      <c r="S1049" s="22">
        <v>4.1998184098293478E-2</v>
      </c>
      <c r="T1049" s="19">
        <f t="shared" si="120"/>
        <v>4.2992854723623353E-2</v>
      </c>
      <c r="U1049" s="24">
        <v>4.3521964102371191E-2</v>
      </c>
      <c r="V1049" s="24">
        <f t="shared" si="121"/>
        <v>4.2953163348559587E-2</v>
      </c>
      <c r="W1049" s="23">
        <f t="shared" si="122"/>
        <v>3.5108287084397727E-3</v>
      </c>
      <c r="X1049" s="24">
        <v>4.3198922443346222E-2</v>
      </c>
      <c r="Y1049" s="24">
        <f t="shared" si="123"/>
        <v>4.2981651452364433E-2</v>
      </c>
      <c r="Z1049" s="23">
        <f t="shared" si="124"/>
        <v>3.5131140128712435E-3</v>
      </c>
      <c r="AA1049" s="36"/>
    </row>
    <row r="1050" spans="15:27" ht="13.9" customHeight="1">
      <c r="O1050" s="12">
        <f t="shared" si="118"/>
        <v>86.416666666666671</v>
      </c>
      <c r="P1050" s="13">
        <v>1037</v>
      </c>
      <c r="Q1050" s="22">
        <v>3.8204394667821662E-2</v>
      </c>
      <c r="R1050" s="19">
        <f t="shared" si="119"/>
        <v>3.8882812323771221E-2</v>
      </c>
      <c r="S1050" s="22">
        <v>4.1999142822149116E-2</v>
      </c>
      <c r="T1050" s="19">
        <f t="shared" si="120"/>
        <v>4.2992914032087048E-2</v>
      </c>
      <c r="U1050" s="24">
        <v>4.3521415446941214E-2</v>
      </c>
      <c r="V1050" s="24">
        <f t="shared" si="121"/>
        <v>4.2953275370610999E-2</v>
      </c>
      <c r="W1050" s="23">
        <f t="shared" si="122"/>
        <v>3.510837712446202E-3</v>
      </c>
      <c r="X1050" s="24">
        <v>4.3198712902750014E-2</v>
      </c>
      <c r="Y1050" s="24">
        <f t="shared" si="123"/>
        <v>4.2981749445830664E-2</v>
      </c>
      <c r="Z1050" s="23">
        <f t="shared" si="124"/>
        <v>3.5131219124164836E-3</v>
      </c>
      <c r="AA1050" s="36"/>
    </row>
    <row r="1051" spans="15:27" ht="13.9" customHeight="1">
      <c r="O1051" s="12">
        <f t="shared" si="118"/>
        <v>86.5</v>
      </c>
      <c r="P1051" s="13">
        <v>1038</v>
      </c>
      <c r="Q1051" s="22">
        <v>3.820504803613467E-2</v>
      </c>
      <c r="R1051" s="19">
        <f t="shared" si="119"/>
        <v>3.8883287153657298E-2</v>
      </c>
      <c r="S1051" s="22">
        <v>4.2000099756714926E-2</v>
      </c>
      <c r="T1051" s="19">
        <f t="shared" si="120"/>
        <v>4.2992972848562072E-2</v>
      </c>
      <c r="U1051" s="24">
        <v>4.3520867956918119E-2</v>
      </c>
      <c r="V1051" s="24">
        <f t="shared" si="121"/>
        <v>4.2953387128918719E-2</v>
      </c>
      <c r="W1051" s="23">
        <f t="shared" si="122"/>
        <v>3.5108466945799055E-3</v>
      </c>
      <c r="X1051" s="24">
        <v>4.3198503860360615E-2</v>
      </c>
      <c r="Y1051" s="24">
        <f t="shared" si="123"/>
        <v>4.2981846920065792E-2</v>
      </c>
      <c r="Z1051" s="23">
        <f t="shared" si="124"/>
        <v>3.5131297695158992E-3</v>
      </c>
      <c r="AA1051" s="36"/>
    </row>
    <row r="1052" spans="15:27" ht="13.9" customHeight="1">
      <c r="O1052" s="12">
        <f t="shared" si="118"/>
        <v>86.583333333333329</v>
      </c>
      <c r="P1052" s="13">
        <v>1039</v>
      </c>
      <c r="Q1052" s="22">
        <v>3.82057006038794E-2</v>
      </c>
      <c r="R1052" s="19">
        <f t="shared" si="119"/>
        <v>3.8883758039323535E-2</v>
      </c>
      <c r="S1052" s="22">
        <v>4.2001054906682045E-2</v>
      </c>
      <c r="T1052" s="19">
        <f t="shared" si="120"/>
        <v>4.2993031177058993E-2</v>
      </c>
      <c r="U1052" s="24">
        <v>4.3520321628682135E-2</v>
      </c>
      <c r="V1052" s="24">
        <f t="shared" si="121"/>
        <v>4.2953498623301334E-2</v>
      </c>
      <c r="W1052" s="23">
        <f t="shared" si="122"/>
        <v>3.5108556555654147E-3</v>
      </c>
      <c r="X1052" s="24">
        <v>4.3198295314239354E-2</v>
      </c>
      <c r="Y1052" s="24">
        <f t="shared" si="123"/>
        <v>4.2981943871216011E-2</v>
      </c>
      <c r="Z1052" s="23">
        <f t="shared" si="124"/>
        <v>3.5131375849826174E-3</v>
      </c>
      <c r="AA1052" s="36"/>
    </row>
    <row r="1053" spans="15:27" ht="13.9" customHeight="1">
      <c r="O1053" s="12">
        <f t="shared" si="118"/>
        <v>86.666666666666671</v>
      </c>
      <c r="P1053" s="13">
        <v>1040</v>
      </c>
      <c r="Q1053" s="22">
        <v>3.8206352369574814E-2</v>
      </c>
      <c r="R1053" s="19">
        <f t="shared" si="119"/>
        <v>3.8884225012885354E-2</v>
      </c>
      <c r="S1053" s="22">
        <v>4.2002008276727176E-2</v>
      </c>
      <c r="T1053" s="19">
        <f t="shared" si="120"/>
        <v>4.2993089020938013E-2</v>
      </c>
      <c r="U1053" s="24">
        <v>4.3519776458626813E-2</v>
      </c>
      <c r="V1053" s="24">
        <f t="shared" si="121"/>
        <v>4.2953609840804985E-2</v>
      </c>
      <c r="W1053" s="23">
        <f t="shared" si="122"/>
        <v>3.5108645953878526E-3</v>
      </c>
      <c r="X1053" s="24">
        <v>4.3198087262451557E-2</v>
      </c>
      <c r="Y1053" s="24">
        <f t="shared" si="123"/>
        <v>4.2982040304126334E-2</v>
      </c>
      <c r="Z1053" s="23">
        <f t="shared" si="124"/>
        <v>3.5131453585079964E-3</v>
      </c>
      <c r="AA1053" s="36"/>
    </row>
    <row r="1054" spans="15:27" ht="13.9" customHeight="1">
      <c r="O1054" s="12">
        <f t="shared" si="118"/>
        <v>86.75</v>
      </c>
      <c r="P1054" s="13">
        <v>1041</v>
      </c>
      <c r="Q1054" s="22">
        <v>3.8207003331776068E-2</v>
      </c>
      <c r="R1054" s="19">
        <f t="shared" si="119"/>
        <v>3.8884688106899379E-2</v>
      </c>
      <c r="S1054" s="22">
        <v>4.2002959871512147E-2</v>
      </c>
      <c r="T1054" s="19">
        <f t="shared" si="120"/>
        <v>4.2993146384764147E-2</v>
      </c>
      <c r="U1054" s="24">
        <v>4.3519232443147482E-2</v>
      </c>
      <c r="V1054" s="24">
        <f t="shared" si="121"/>
        <v>4.2953720798863282E-2</v>
      </c>
      <c r="W1054" s="23">
        <f t="shared" si="122"/>
        <v>3.5108735130087165E-3</v>
      </c>
      <c r="X1054" s="24">
        <v>4.3197879703074316E-2</v>
      </c>
      <c r="Y1054" s="24">
        <f t="shared" si="123"/>
        <v>4.2982136223142842E-2</v>
      </c>
      <c r="Z1054" s="23">
        <f t="shared" si="124"/>
        <v>3.51315309048017E-3</v>
      </c>
      <c r="AA1054" s="36"/>
    </row>
    <row r="1055" spans="15:27" ht="13.9" customHeight="1">
      <c r="O1055" s="12">
        <f t="shared" si="118"/>
        <v>86.833333333333329</v>
      </c>
      <c r="P1055" s="13">
        <v>1042</v>
      </c>
      <c r="Q1055" s="22">
        <v>3.8207653489075177E-2</v>
      </c>
      <c r="R1055" s="19">
        <f t="shared" si="119"/>
        <v>3.8885147354372318E-2</v>
      </c>
      <c r="S1055" s="22">
        <v>4.2003909695685682E-2</v>
      </c>
      <c r="T1055" s="19">
        <f t="shared" si="120"/>
        <v>4.2993203272495117E-2</v>
      </c>
      <c r="U1055" s="24">
        <v>4.3518689578669889E-2</v>
      </c>
      <c r="V1055" s="24">
        <f t="shared" si="121"/>
        <v>4.2953831479694893E-2</v>
      </c>
      <c r="W1055" s="23">
        <f t="shared" si="122"/>
        <v>3.5108824098259994E-3</v>
      </c>
      <c r="X1055" s="24">
        <v>4.3197672634196715E-2</v>
      </c>
      <c r="Y1055" s="24">
        <f t="shared" si="123"/>
        <v>4.2982231627790801E-2</v>
      </c>
      <c r="Z1055" s="23">
        <f t="shared" si="124"/>
        <v>3.5131607812477483E-3</v>
      </c>
      <c r="AA1055" s="36"/>
    </row>
    <row r="1056" spans="15:27" ht="13.9" customHeight="1">
      <c r="O1056" s="12">
        <f t="shared" si="118"/>
        <v>86.916666666666671</v>
      </c>
      <c r="P1056" s="13">
        <v>1043</v>
      </c>
      <c r="Q1056" s="22">
        <v>3.8208302840101238E-2</v>
      </c>
      <c r="R1056" s="19">
        <f t="shared" si="119"/>
        <v>3.8885602787488871E-2</v>
      </c>
      <c r="S1056" s="22">
        <v>4.2004857753882074E-2</v>
      </c>
      <c r="T1056" s="19">
        <f t="shared" si="120"/>
        <v>4.2993259688500318E-2</v>
      </c>
      <c r="U1056" s="24">
        <v>4.3518147861616452E-2</v>
      </c>
      <c r="V1056" s="24">
        <f t="shared" si="121"/>
        <v>4.2953941918544514E-2</v>
      </c>
      <c r="W1056" s="23">
        <f t="shared" si="122"/>
        <v>3.5108912844139528E-3</v>
      </c>
      <c r="X1056" s="24">
        <v>4.319746605391428E-2</v>
      </c>
      <c r="Y1056" s="24">
        <f t="shared" si="123"/>
        <v>4.2982326526392223E-2</v>
      </c>
      <c r="Z1056" s="23">
        <f t="shared" si="124"/>
        <v>3.5131684307727618E-3</v>
      </c>
      <c r="AA1056" s="36"/>
    </row>
    <row r="1057" spans="15:27" ht="13.9" customHeight="1">
      <c r="O1057" s="12">
        <f t="shared" si="118"/>
        <v>87</v>
      </c>
      <c r="P1057" s="13">
        <v>1044</v>
      </c>
      <c r="Q1057" s="22">
        <v>3.8208951383519318E-2</v>
      </c>
      <c r="R1057" s="19">
        <f t="shared" si="119"/>
        <v>3.8886054436483963E-2</v>
      </c>
      <c r="S1057" s="22">
        <v>4.2005804050722295E-2</v>
      </c>
      <c r="T1057" s="19">
        <f t="shared" si="120"/>
        <v>4.2993315635516893E-2</v>
      </c>
      <c r="U1057" s="24">
        <v>4.3517607288457105E-2</v>
      </c>
      <c r="V1057" s="24">
        <f t="shared" si="121"/>
        <v>4.2954052073345794E-2</v>
      </c>
      <c r="W1057" s="23">
        <f t="shared" si="122"/>
        <v>3.5109001395985384E-3</v>
      </c>
      <c r="X1057" s="24">
        <v>4.3197259960338075E-2</v>
      </c>
      <c r="Y1057" s="24">
        <f t="shared" si="123"/>
        <v>4.2982420914611907E-2</v>
      </c>
      <c r="Z1057" s="23">
        <f t="shared" si="124"/>
        <v>3.5131760397224543E-3</v>
      </c>
      <c r="AA1057" s="36"/>
    </row>
    <row r="1058" spans="15:27" ht="13.9" customHeight="1">
      <c r="O1058" s="12">
        <f t="shared" si="118"/>
        <v>87.083333333333329</v>
      </c>
      <c r="P1058" s="13">
        <v>1045</v>
      </c>
      <c r="Q1058" s="22">
        <v>3.8209599118028681E-2</v>
      </c>
      <c r="R1058" s="19">
        <f t="shared" si="119"/>
        <v>3.8886502333842055E-2</v>
      </c>
      <c r="S1058" s="22">
        <v>4.2006748590812215E-2</v>
      </c>
      <c r="T1058" s="19">
        <f t="shared" si="120"/>
        <v>4.2993371118081436E-2</v>
      </c>
      <c r="U1058" s="24">
        <v>4.3517067855634917E-2</v>
      </c>
      <c r="V1058" s="24">
        <f t="shared" si="121"/>
        <v>4.2954161967599713E-2</v>
      </c>
      <c r="W1058" s="23">
        <f t="shared" si="122"/>
        <v>3.5109089720066766E-3</v>
      </c>
      <c r="X1058" s="24">
        <v>4.3197054351582276E-2</v>
      </c>
      <c r="Y1058" s="24">
        <f t="shared" si="123"/>
        <v>4.2982514799451366E-2</v>
      </c>
      <c r="Z1058" s="23">
        <f t="shared" si="124"/>
        <v>3.5131836077493261E-3</v>
      </c>
      <c r="AA1058" s="36"/>
    </row>
    <row r="1059" spans="15:27" ht="13.9" customHeight="1">
      <c r="O1059" s="12">
        <f t="shared" si="118"/>
        <v>87.166666666666671</v>
      </c>
      <c r="P1059" s="13">
        <v>1046</v>
      </c>
      <c r="Q1059" s="22">
        <v>3.8210246042364338E-2</v>
      </c>
      <c r="R1059" s="19">
        <f t="shared" si="119"/>
        <v>3.8886946510296339E-2</v>
      </c>
      <c r="S1059" s="22">
        <v>4.2007691378744383E-2</v>
      </c>
      <c r="T1059" s="19">
        <f t="shared" si="120"/>
        <v>4.2993426140431668E-2</v>
      </c>
      <c r="U1059" s="24">
        <v>4.3516529559629147E-2</v>
      </c>
      <c r="V1059" s="24">
        <f t="shared" si="121"/>
        <v>4.2954271604878302E-2</v>
      </c>
      <c r="W1059" s="23">
        <f t="shared" si="122"/>
        <v>3.5109177835226379E-3</v>
      </c>
      <c r="X1059" s="24">
        <v>4.3196849225774603E-2</v>
      </c>
      <c r="Y1059" s="24">
        <f t="shared" si="123"/>
        <v>4.298260818370192E-2</v>
      </c>
      <c r="Z1059" s="23">
        <f t="shared" si="124"/>
        <v>3.513191135414484E-3</v>
      </c>
      <c r="AA1059" s="36"/>
    </row>
    <row r="1060" spans="15:27" ht="13.9" customHeight="1">
      <c r="O1060" s="12">
        <f t="shared" si="118"/>
        <v>87.25</v>
      </c>
      <c r="P1060" s="13">
        <v>1047</v>
      </c>
      <c r="Q1060" s="22">
        <v>3.8210892155295717E-2</v>
      </c>
      <c r="R1060" s="19">
        <f t="shared" si="119"/>
        <v>3.8887386997860762E-2</v>
      </c>
      <c r="S1060" s="22">
        <v>4.2008632419097802E-2</v>
      </c>
      <c r="T1060" s="19">
        <f t="shared" si="120"/>
        <v>4.2993480705926901E-2</v>
      </c>
      <c r="U1060" s="24">
        <v>4.3515992396935932E-2</v>
      </c>
      <c r="V1060" s="24">
        <f t="shared" si="121"/>
        <v>4.2954380976633733E-2</v>
      </c>
      <c r="W1060" s="23">
        <f t="shared" si="122"/>
        <v>3.510926574433304E-3</v>
      </c>
      <c r="X1060" s="24">
        <v>4.3196644581053212E-2</v>
      </c>
      <c r="Y1060" s="24">
        <f t="shared" si="123"/>
        <v>4.2982701068007056E-2</v>
      </c>
      <c r="Z1060" s="23">
        <f t="shared" si="124"/>
        <v>3.513198622942193E-3</v>
      </c>
      <c r="AA1060" s="36"/>
    </row>
    <row r="1061" spans="15:27" ht="13.9" customHeight="1">
      <c r="O1061" s="12">
        <f t="shared" si="118"/>
        <v>87.333333333333329</v>
      </c>
      <c r="P1061" s="13">
        <v>1048</v>
      </c>
      <c r="Q1061" s="22">
        <v>3.8211537455627331E-2</v>
      </c>
      <c r="R1061" s="19">
        <f t="shared" si="119"/>
        <v>3.8887823826541323E-2</v>
      </c>
      <c r="S1061" s="22">
        <v>4.2009571716437266E-2</v>
      </c>
      <c r="T1061" s="19">
        <f t="shared" si="120"/>
        <v>4.2993534818785761E-2</v>
      </c>
      <c r="U1061" s="24">
        <v>4.3515456364056737E-2</v>
      </c>
      <c r="V1061" s="24">
        <f t="shared" si="121"/>
        <v>4.2954490084727182E-2</v>
      </c>
      <c r="W1061" s="23">
        <f t="shared" si="122"/>
        <v>3.5109353440527791E-3</v>
      </c>
      <c r="X1061" s="24">
        <v>4.3196440415563364E-2</v>
      </c>
      <c r="Y1061" s="24">
        <f t="shared" si="123"/>
        <v>4.2982793457197355E-2</v>
      </c>
      <c r="Z1061" s="23">
        <f t="shared" si="124"/>
        <v>3.5132060703835233E-3</v>
      </c>
      <c r="AA1061" s="36"/>
    </row>
    <row r="1062" spans="15:27" ht="13.9" customHeight="1">
      <c r="O1062" s="12">
        <f t="shared" si="118"/>
        <v>87.416666666666671</v>
      </c>
      <c r="P1062" s="13">
        <v>1049</v>
      </c>
      <c r="Q1062" s="22">
        <v>3.8212181942196777E-2</v>
      </c>
      <c r="R1062" s="19">
        <f t="shared" si="119"/>
        <v>3.8888257025787798E-2</v>
      </c>
      <c r="S1062" s="22">
        <v>4.2010509275314245E-2</v>
      </c>
      <c r="T1062" s="19">
        <f t="shared" si="120"/>
        <v>4.299358848206869E-2</v>
      </c>
      <c r="U1062" s="24">
        <v>4.3514921457507683E-2</v>
      </c>
      <c r="V1062" s="24">
        <f t="shared" si="121"/>
        <v>4.2954598931155052E-2</v>
      </c>
      <c r="W1062" s="23">
        <f t="shared" si="122"/>
        <v>3.5109440925307212E-3</v>
      </c>
      <c r="X1062" s="24">
        <v>4.3196236727462312E-2</v>
      </c>
      <c r="Y1062" s="24">
        <f t="shared" si="123"/>
        <v>4.2982885351571465E-2</v>
      </c>
      <c r="Z1062" s="23">
        <f t="shared" si="124"/>
        <v>3.5132134781261648E-3</v>
      </c>
      <c r="AA1062" s="36"/>
    </row>
    <row r="1063" spans="15:27" ht="13.9" customHeight="1">
      <c r="O1063" s="12">
        <f t="shared" si="118"/>
        <v>87.5</v>
      </c>
      <c r="P1063" s="13">
        <v>1050</v>
      </c>
      <c r="Q1063" s="22">
        <v>3.8212825613874291E-2</v>
      </c>
      <c r="R1063" s="19">
        <f t="shared" si="119"/>
        <v>3.8888686626885161E-2</v>
      </c>
      <c r="S1063" s="22">
        <v>4.2011445100265776E-2</v>
      </c>
      <c r="T1063" s="19">
        <f t="shared" si="120"/>
        <v>4.2993641699835994E-2</v>
      </c>
      <c r="U1063" s="24">
        <v>4.3514387673820654E-2</v>
      </c>
      <c r="V1063" s="24">
        <f t="shared" si="121"/>
        <v>4.2954707519251123E-2</v>
      </c>
      <c r="W1063" s="23">
        <f t="shared" si="122"/>
        <v>3.5109528200267803E-3</v>
      </c>
      <c r="X1063" s="24">
        <v>4.3196033514914633E-2</v>
      </c>
      <c r="Y1063" s="24">
        <f t="shared" si="123"/>
        <v>4.2982976756307467E-2</v>
      </c>
      <c r="Z1063" s="23">
        <f t="shared" si="124"/>
        <v>3.5132208461938763E-3</v>
      </c>
      <c r="AA1063" s="36"/>
    </row>
    <row r="1064" spans="15:27" ht="13.9" customHeight="1">
      <c r="O1064" s="12">
        <f t="shared" si="118"/>
        <v>87.583333333333329</v>
      </c>
      <c r="P1064" s="13">
        <v>1051</v>
      </c>
      <c r="Q1064" s="22">
        <v>3.8213468469564082E-2</v>
      </c>
      <c r="R1064" s="19">
        <f t="shared" si="119"/>
        <v>3.8889112659264757E-2</v>
      </c>
      <c r="S1064" s="22">
        <v>4.2012379195815353E-2</v>
      </c>
      <c r="T1064" s="19">
        <f t="shared" si="120"/>
        <v>4.2993694476675781E-2</v>
      </c>
      <c r="U1064" s="24">
        <v>4.3513855009543523E-2</v>
      </c>
      <c r="V1064" s="24">
        <f t="shared" si="121"/>
        <v>4.2954815849634009E-2</v>
      </c>
      <c r="W1064" s="23">
        <f t="shared" si="122"/>
        <v>3.5109615268087424E-3</v>
      </c>
      <c r="X1064" s="24">
        <v>4.3195830776096678E-2</v>
      </c>
      <c r="Y1064" s="24">
        <f t="shared" si="123"/>
        <v>4.2983067672857533E-2</v>
      </c>
      <c r="Z1064" s="23">
        <f t="shared" si="124"/>
        <v>3.5132281750021033E-3</v>
      </c>
      <c r="AA1064" s="36"/>
    </row>
    <row r="1065" spans="15:27" ht="13.9" customHeight="1">
      <c r="O1065" s="12">
        <f t="shared" si="118"/>
        <v>87.666666666666671</v>
      </c>
      <c r="P1065" s="13">
        <v>1052</v>
      </c>
      <c r="Q1065" s="22">
        <v>3.8214110508202337E-2</v>
      </c>
      <c r="R1065" s="19">
        <f t="shared" si="119"/>
        <v>3.8889535154309263E-2</v>
      </c>
      <c r="S1065" s="22">
        <v>4.201331156647381E-2</v>
      </c>
      <c r="T1065" s="19">
        <f t="shared" si="120"/>
        <v>4.2993746814384171E-2</v>
      </c>
      <c r="U1065" s="24">
        <v>4.3513323461238151E-2</v>
      </c>
      <c r="V1065" s="24">
        <f t="shared" si="121"/>
        <v>4.295492391295852E-2</v>
      </c>
      <c r="W1065" s="23">
        <f t="shared" si="122"/>
        <v>3.5109702129259013E-3</v>
      </c>
      <c r="X1065" s="24">
        <v>4.3195628509193229E-2</v>
      </c>
      <c r="Y1065" s="24">
        <f t="shared" si="123"/>
        <v>4.2983158102120944E-2</v>
      </c>
      <c r="Z1065" s="23">
        <f t="shared" si="124"/>
        <v>3.513235464666975E-3</v>
      </c>
      <c r="AA1065" s="36"/>
    </row>
    <row r="1066" spans="15:27" ht="13.9" customHeight="1">
      <c r="O1066" s="12">
        <f t="shared" si="118"/>
        <v>87.75</v>
      </c>
      <c r="P1066" s="13">
        <v>1053</v>
      </c>
      <c r="Q1066" s="22">
        <v>3.8214751728759211E-2</v>
      </c>
      <c r="R1066" s="19">
        <f t="shared" si="119"/>
        <v>3.8889954138546123E-2</v>
      </c>
      <c r="S1066" s="22">
        <v>4.2014242216736442E-2</v>
      </c>
      <c r="T1066" s="19">
        <f t="shared" si="120"/>
        <v>4.2993798717675613E-2</v>
      </c>
      <c r="U1066" s="24">
        <v>4.3512793025470176E-2</v>
      </c>
      <c r="V1066" s="24">
        <f t="shared" si="121"/>
        <v>4.2955031718890258E-2</v>
      </c>
      <c r="W1066" s="23">
        <f t="shared" si="122"/>
        <v>3.5109788776290785E-3</v>
      </c>
      <c r="X1066" s="24">
        <v>4.3195426712396845E-2</v>
      </c>
      <c r="Y1066" s="24">
        <f t="shared" si="123"/>
        <v>4.2983248049470069E-2</v>
      </c>
      <c r="Z1066" s="23">
        <f t="shared" si="124"/>
        <v>3.513242715260656E-3</v>
      </c>
      <c r="AA1066" s="36"/>
    </row>
    <row r="1067" spans="15:27" ht="13.9" customHeight="1">
      <c r="O1067" s="12">
        <f t="shared" si="118"/>
        <v>87.833333333333329</v>
      </c>
      <c r="P1067" s="13">
        <v>1054</v>
      </c>
      <c r="Q1067" s="22">
        <v>3.8215392130233949E-2</v>
      </c>
      <c r="R1067" s="19">
        <f t="shared" si="119"/>
        <v>3.8890369642597289E-2</v>
      </c>
      <c r="S1067" s="22">
        <v>4.2015171151086106E-2</v>
      </c>
      <c r="T1067" s="19">
        <f t="shared" si="120"/>
        <v>4.2993850190653493E-2</v>
      </c>
      <c r="U1067" s="24">
        <v>4.351226369882788E-2</v>
      </c>
      <c r="V1067" s="24">
        <f t="shared" si="121"/>
        <v>4.2955139271386278E-2</v>
      </c>
      <c r="W1067" s="23">
        <f t="shared" si="122"/>
        <v>3.5109875216932096E-3</v>
      </c>
      <c r="X1067" s="24">
        <v>4.3195225383911851E-2</v>
      </c>
      <c r="Y1067" s="24">
        <f t="shared" si="123"/>
        <v>4.2983337514931774E-2</v>
      </c>
      <c r="Z1067" s="23">
        <f t="shared" si="124"/>
        <v>3.5132499272143569E-3</v>
      </c>
      <c r="AA1067" s="36"/>
    </row>
    <row r="1068" spans="15:27" ht="13.9" customHeight="1">
      <c r="O1068" s="12">
        <f t="shared" si="118"/>
        <v>87.916666666666671</v>
      </c>
      <c r="P1068" s="13">
        <v>1055</v>
      </c>
      <c r="Q1068" s="22">
        <v>3.8216031711658438E-2</v>
      </c>
      <c r="R1068" s="19">
        <f t="shared" si="119"/>
        <v>3.8890781695949617E-2</v>
      </c>
      <c r="S1068" s="22">
        <v>4.2016098373992339E-2</v>
      </c>
      <c r="T1068" s="19">
        <f t="shared" si="120"/>
        <v>4.299390123658009E-2</v>
      </c>
      <c r="U1068" s="24">
        <v>4.3511735477916202E-2</v>
      </c>
      <c r="V1068" s="24">
        <f t="shared" si="121"/>
        <v>4.2955246564556848E-2</v>
      </c>
      <c r="W1068" s="23">
        <f t="shared" si="122"/>
        <v>3.5109961454355965E-3</v>
      </c>
      <c r="X1068" s="24">
        <v>4.3195024521949454E-2</v>
      </c>
      <c r="Y1068" s="24">
        <f t="shared" si="123"/>
        <v>4.2983426505059041E-2</v>
      </c>
      <c r="Z1068" s="23">
        <f t="shared" si="124"/>
        <v>3.513257100529632E-3</v>
      </c>
      <c r="AA1068" s="36"/>
    </row>
    <row r="1069" spans="15:27" ht="13.9" customHeight="1">
      <c r="O1069" s="12">
        <f t="shared" si="118"/>
        <v>88</v>
      </c>
      <c r="P1069" s="13">
        <v>1056</v>
      </c>
      <c r="Q1069" s="22">
        <v>3.8216670472096315E-2</v>
      </c>
      <c r="R1069" s="19">
        <f t="shared" si="119"/>
        <v>3.8891190326665326E-2</v>
      </c>
      <c r="S1069" s="22">
        <v>4.2017023889910909E-2</v>
      </c>
      <c r="T1069" s="19">
        <f t="shared" si="120"/>
        <v>4.2993951858247392E-2</v>
      </c>
      <c r="U1069" s="24">
        <v>4.3511208359346965E-2</v>
      </c>
      <c r="V1069" s="24">
        <f t="shared" si="121"/>
        <v>4.2955353601934032E-2</v>
      </c>
      <c r="W1069" s="23">
        <f t="shared" si="122"/>
        <v>3.5110047483839502E-3</v>
      </c>
      <c r="X1069" s="24">
        <v>4.3194824124734188E-2</v>
      </c>
      <c r="Y1069" s="24">
        <f t="shared" si="123"/>
        <v>4.2983515018172769E-2</v>
      </c>
      <c r="Z1069" s="23">
        <f t="shared" si="124"/>
        <v>3.513264235732283E-3</v>
      </c>
      <c r="AA1069" s="36"/>
    </row>
    <row r="1070" spans="15:27" ht="13.9" customHeight="1">
      <c r="O1070" s="12">
        <f t="shared" si="118"/>
        <v>88.083333333333329</v>
      </c>
      <c r="P1070" s="13">
        <v>1057</v>
      </c>
      <c r="Q1070" s="22">
        <v>3.8217308410641193E-2</v>
      </c>
      <c r="R1070" s="19">
        <f t="shared" si="119"/>
        <v>3.8891595563650405E-2</v>
      </c>
      <c r="S1070" s="22">
        <v>4.2017947703283598E-2</v>
      </c>
      <c r="T1070" s="19">
        <f t="shared" si="120"/>
        <v>4.2994002059531855E-2</v>
      </c>
      <c r="U1070" s="24">
        <v>4.3510682339748641E-2</v>
      </c>
      <c r="V1070" s="24">
        <f t="shared" si="121"/>
        <v>4.2955460375350585E-2</v>
      </c>
      <c r="W1070" s="23">
        <f t="shared" si="122"/>
        <v>3.5110133308218217E-3</v>
      </c>
      <c r="X1070" s="24">
        <v>4.3194624190495245E-2</v>
      </c>
      <c r="Y1070" s="24">
        <f t="shared" si="123"/>
        <v>4.2983603057384023E-2</v>
      </c>
      <c r="Z1070" s="23">
        <f t="shared" si="124"/>
        <v>3.5132713326875287E-3</v>
      </c>
      <c r="AA1070" s="36"/>
    </row>
    <row r="1071" spans="15:27" ht="13.9" customHeight="1">
      <c r="O1071" s="12">
        <f t="shared" si="118"/>
        <v>88.166666666666671</v>
      </c>
      <c r="P1071" s="13">
        <v>1058</v>
      </c>
      <c r="Q1071" s="22">
        <v>3.821794552641733E-2</v>
      </c>
      <c r="R1071" s="19">
        <f t="shared" si="119"/>
        <v>3.8891997433506242E-2</v>
      </c>
      <c r="S1071" s="22">
        <v>4.201886981853864E-2</v>
      </c>
      <c r="T1071" s="19">
        <f t="shared" si="120"/>
        <v>4.2994051844735592E-2</v>
      </c>
      <c r="U1071" s="24">
        <v>4.3510157415754369E-2</v>
      </c>
      <c r="V1071" s="24">
        <f t="shared" si="121"/>
        <v>4.2955566900776398E-2</v>
      </c>
      <c r="W1071" s="23">
        <f t="shared" si="122"/>
        <v>3.5110218920937353E-3</v>
      </c>
      <c r="X1071" s="24">
        <v>4.3194424717471813E-2</v>
      </c>
      <c r="Y1071" s="24">
        <f t="shared" si="123"/>
        <v>4.2983690627806714E-2</v>
      </c>
      <c r="Z1071" s="23">
        <f t="shared" si="124"/>
        <v>3.5132783916447252E-3</v>
      </c>
      <c r="AA1071" s="36"/>
    </row>
    <row r="1072" spans="15:27" ht="13.9" customHeight="1">
      <c r="O1072" s="12">
        <f t="shared" si="118"/>
        <v>88.25</v>
      </c>
      <c r="P1072" s="13">
        <v>1059</v>
      </c>
      <c r="Q1072" s="22">
        <v>3.8218581818577624E-2</v>
      </c>
      <c r="R1072" s="19">
        <f t="shared" si="119"/>
        <v>3.8892395966021454E-2</v>
      </c>
      <c r="S1072" s="22">
        <v>4.2019790240092059E-2</v>
      </c>
      <c r="T1072" s="19">
        <f t="shared" si="120"/>
        <v>4.2994101216277558E-2</v>
      </c>
      <c r="U1072" s="24">
        <v>4.3509633584025265E-2</v>
      </c>
      <c r="V1072" s="24">
        <f t="shared" si="121"/>
        <v>4.295567317113691E-2</v>
      </c>
      <c r="W1072" s="23">
        <f t="shared" si="122"/>
        <v>3.5110304334806663E-3</v>
      </c>
      <c r="X1072" s="24">
        <v>4.319422570391418E-2</v>
      </c>
      <c r="Y1072" s="24">
        <f t="shared" si="123"/>
        <v>4.2983777731336881E-2</v>
      </c>
      <c r="Z1072" s="23">
        <f t="shared" si="124"/>
        <v>3.513285413014211E-3</v>
      </c>
      <c r="AA1072" s="36"/>
    </row>
    <row r="1073" spans="15:27" ht="13.9" customHeight="1">
      <c r="O1073" s="12">
        <f t="shared" si="118"/>
        <v>88.333333333333329</v>
      </c>
      <c r="P1073" s="13">
        <v>1060</v>
      </c>
      <c r="Q1073" s="22">
        <v>3.8219217286306062E-2</v>
      </c>
      <c r="R1073" s="19">
        <f t="shared" si="119"/>
        <v>3.8892791189093501E-2</v>
      </c>
      <c r="S1073" s="22">
        <v>4.2020708972345222E-2</v>
      </c>
      <c r="T1073" s="19">
        <f t="shared" si="120"/>
        <v>4.2994150178194968E-2</v>
      </c>
      <c r="U1073" s="24">
        <v>4.3509110841228438E-2</v>
      </c>
      <c r="V1073" s="24">
        <f t="shared" si="121"/>
        <v>4.2955779186702125E-2</v>
      </c>
      <c r="W1073" s="23">
        <f t="shared" si="122"/>
        <v>3.5110389544152909E-3</v>
      </c>
      <c r="X1073" s="24">
        <v>4.3194027148081515E-2</v>
      </c>
      <c r="Y1073" s="24">
        <f t="shared" si="123"/>
        <v>4.2983864367879709E-2</v>
      </c>
      <c r="Z1073" s="23">
        <f t="shared" si="124"/>
        <v>3.5132923969478647E-3</v>
      </c>
      <c r="AA1073" s="36"/>
    </row>
    <row r="1074" spans="15:27" ht="13.9" customHeight="1">
      <c r="O1074" s="12">
        <f t="shared" si="118"/>
        <v>88.416666666666671</v>
      </c>
      <c r="P1074" s="13">
        <v>1061</v>
      </c>
      <c r="Q1074" s="22">
        <v>3.821985192881594E-2</v>
      </c>
      <c r="R1074" s="19">
        <f t="shared" si="119"/>
        <v>3.8893183129030007E-2</v>
      </c>
      <c r="S1074" s="22">
        <v>4.2021626019686842E-2</v>
      </c>
      <c r="T1074" s="19">
        <f t="shared" si="120"/>
        <v>4.2994198733692812E-2</v>
      </c>
      <c r="U1074" s="24">
        <v>4.3508589184043656E-2</v>
      </c>
      <c r="V1074" s="24">
        <f t="shared" si="121"/>
        <v>4.2955884944116507E-2</v>
      </c>
      <c r="W1074" s="23">
        <f t="shared" si="122"/>
        <v>3.5110474549191473E-3</v>
      </c>
      <c r="X1074" s="24">
        <v>4.3193829048238985E-2</v>
      </c>
      <c r="Y1074" s="24">
        <f t="shared" si="123"/>
        <v>4.2983950542087923E-2</v>
      </c>
      <c r="Z1074" s="23">
        <f t="shared" si="124"/>
        <v>3.5132993434379145E-3</v>
      </c>
      <c r="AA1074" s="36"/>
    </row>
    <row r="1075" spans="15:27" ht="13.9" customHeight="1">
      <c r="O1075" s="12">
        <f t="shared" si="118"/>
        <v>88.5</v>
      </c>
      <c r="P1075" s="13">
        <v>1062</v>
      </c>
      <c r="Q1075" s="22">
        <v>3.8220485745348531E-2</v>
      </c>
      <c r="R1075" s="19">
        <f t="shared" si="119"/>
        <v>3.8893571813251038E-2</v>
      </c>
      <c r="S1075" s="22">
        <v>4.2022541386491863E-2</v>
      </c>
      <c r="T1075" s="19">
        <f t="shared" si="120"/>
        <v>4.2994246885897702E-2</v>
      </c>
      <c r="U1075" s="24">
        <v>4.3508068609160233E-2</v>
      </c>
      <c r="V1075" s="24">
        <f t="shared" si="121"/>
        <v>4.2955990451196024E-2</v>
      </c>
      <c r="W1075" s="23">
        <f t="shared" si="122"/>
        <v>3.5110559347233394E-3</v>
      </c>
      <c r="X1075" s="24">
        <v>4.319363140266308E-2</v>
      </c>
      <c r="Y1075" s="24">
        <f t="shared" si="123"/>
        <v>4.298403625666869E-2</v>
      </c>
      <c r="Z1075" s="23">
        <f t="shared" si="124"/>
        <v>3.5133062528578396E-3</v>
      </c>
      <c r="AA1075" s="36"/>
    </row>
    <row r="1076" spans="15:27" ht="13.9" customHeight="1">
      <c r="O1076" s="12">
        <f t="shared" si="118"/>
        <v>88.583333333333329</v>
      </c>
      <c r="P1076" s="13">
        <v>1063</v>
      </c>
      <c r="Q1076" s="22">
        <v>3.8221118735173532E-2</v>
      </c>
      <c r="R1076" s="19">
        <f t="shared" si="119"/>
        <v>3.8893957268725021E-2</v>
      </c>
      <c r="S1076" s="22">
        <v>4.2023455077122129E-2</v>
      </c>
      <c r="T1076" s="19">
        <f t="shared" si="120"/>
        <v>4.2994294638933228E-2</v>
      </c>
      <c r="U1076" s="24">
        <v>4.3507549113287025E-2</v>
      </c>
      <c r="V1076" s="24">
        <f t="shared" si="121"/>
        <v>4.2956095707527231E-2</v>
      </c>
      <c r="W1076" s="23">
        <f t="shared" si="122"/>
        <v>3.5110643944544773E-3</v>
      </c>
      <c r="X1076" s="24">
        <v>4.3193434209638948E-2</v>
      </c>
      <c r="Y1076" s="24">
        <f t="shared" si="123"/>
        <v>4.2984121512943396E-2</v>
      </c>
      <c r="Z1076" s="23">
        <f t="shared" si="124"/>
        <v>3.5133131254243555E-3</v>
      </c>
      <c r="AA1076" s="36"/>
    </row>
    <row r="1077" spans="15:27" ht="13.9" customHeight="1">
      <c r="O1077" s="12">
        <f t="shared" si="118"/>
        <v>88.666666666666671</v>
      </c>
      <c r="P1077" s="13">
        <v>1064</v>
      </c>
      <c r="Q1077" s="22">
        <v>3.8221750897588613E-2</v>
      </c>
      <c r="R1077" s="19">
        <f t="shared" si="119"/>
        <v>3.889433952399135E-2</v>
      </c>
      <c r="S1077" s="22">
        <v>4.2024367095926607E-2</v>
      </c>
      <c r="T1077" s="19">
        <f t="shared" si="120"/>
        <v>4.2994341995339136E-2</v>
      </c>
      <c r="U1077" s="24">
        <v>4.3507030693145099E-2</v>
      </c>
      <c r="V1077" s="24">
        <f t="shared" si="121"/>
        <v>4.2956200707356507E-2</v>
      </c>
      <c r="W1077" s="23">
        <f t="shared" si="122"/>
        <v>3.5110728340792541E-3</v>
      </c>
      <c r="X1077" s="24">
        <v>4.3193237467459733E-2</v>
      </c>
      <c r="Y1077" s="24">
        <f t="shared" si="123"/>
        <v>4.2984206312914441E-2</v>
      </c>
      <c r="Z1077" s="23">
        <f t="shared" si="124"/>
        <v>3.5133199612435995E-3</v>
      </c>
      <c r="AA1077" s="36"/>
    </row>
    <row r="1078" spans="15:27" ht="13.9" customHeight="1">
      <c r="O1078" s="12">
        <f t="shared" si="118"/>
        <v>88.75</v>
      </c>
      <c r="P1078" s="13">
        <v>1065</v>
      </c>
      <c r="Q1078" s="22">
        <v>3.8222382231921204E-2</v>
      </c>
      <c r="R1078" s="19">
        <f t="shared" si="119"/>
        <v>3.8894718603746936E-2</v>
      </c>
      <c r="S1078" s="22">
        <v>4.2025277447240494E-2</v>
      </c>
      <c r="T1078" s="19">
        <f t="shared" si="120"/>
        <v>4.2994388958110807E-2</v>
      </c>
      <c r="U1078" s="24">
        <v>4.3506513345462405E-2</v>
      </c>
      <c r="V1078" s="24">
        <f t="shared" si="121"/>
        <v>4.2956305459800559E-2</v>
      </c>
      <c r="W1078" s="23">
        <f t="shared" si="122"/>
        <v>3.5110812531367053E-3</v>
      </c>
      <c r="X1078" s="24">
        <v>4.3193041174426794E-2</v>
      </c>
      <c r="Y1078" s="24">
        <f t="shared" si="123"/>
        <v>4.2984290660555979E-2</v>
      </c>
      <c r="Z1078" s="23">
        <f t="shared" si="124"/>
        <v>3.5133267604758878E-3</v>
      </c>
      <c r="AA1078" s="36"/>
    </row>
    <row r="1079" spans="15:27" ht="13.9" customHeight="1">
      <c r="O1079" s="12">
        <f t="shared" si="118"/>
        <v>88.833333333333329</v>
      </c>
      <c r="P1079" s="13">
        <v>1066</v>
      </c>
      <c r="Q1079" s="22">
        <v>3.8223012737524042E-2</v>
      </c>
      <c r="R1079" s="19">
        <f t="shared" si="119"/>
        <v>3.8895094535154717E-2</v>
      </c>
      <c r="S1079" s="22">
        <v>4.2026186135385446E-2</v>
      </c>
      <c r="T1079" s="19">
        <f t="shared" si="120"/>
        <v>4.2994435531284347E-2</v>
      </c>
      <c r="U1079" s="24">
        <v>4.3505997066987545E-2</v>
      </c>
      <c r="V1079" s="24">
        <f t="shared" si="121"/>
        <v>4.2956409958362141E-2</v>
      </c>
      <c r="W1079" s="23">
        <f t="shared" si="122"/>
        <v>3.5110896523575796E-3</v>
      </c>
      <c r="X1079" s="24">
        <v>4.3192845328851481E-2</v>
      </c>
      <c r="Y1079" s="24">
        <f t="shared" si="123"/>
        <v>4.2984374558542537E-2</v>
      </c>
      <c r="Z1079" s="23">
        <f t="shared" si="124"/>
        <v>3.5133335234402985E-3</v>
      </c>
      <c r="AA1079" s="36"/>
    </row>
    <row r="1080" spans="15:27" ht="13.9" customHeight="1">
      <c r="O1080" s="12">
        <f t="shared" si="118"/>
        <v>88.916666666666671</v>
      </c>
      <c r="P1080" s="13">
        <v>1067</v>
      </c>
      <c r="Q1080" s="22">
        <v>3.8223642413778069E-2</v>
      </c>
      <c r="R1080" s="19">
        <f t="shared" si="119"/>
        <v>3.8895467344102652E-2</v>
      </c>
      <c r="S1080" s="22">
        <v>4.2027093164670903E-2</v>
      </c>
      <c r="T1080" s="19">
        <f t="shared" si="120"/>
        <v>4.2994481718926281E-2</v>
      </c>
      <c r="U1080" s="24">
        <v>4.3505481854475558E-2</v>
      </c>
      <c r="V1080" s="24">
        <f t="shared" si="121"/>
        <v>4.2956514207308061E-2</v>
      </c>
      <c r="W1080" s="23">
        <f t="shared" si="122"/>
        <v>3.5110980312209605E-3</v>
      </c>
      <c r="X1080" s="24">
        <v>4.3192649929054028E-2</v>
      </c>
      <c r="Y1080" s="24">
        <f t="shared" si="123"/>
        <v>4.2984458007192083E-2</v>
      </c>
      <c r="Z1080" s="23">
        <f t="shared" si="124"/>
        <v>3.5133402503508826E-3</v>
      </c>
      <c r="AA1080" s="36"/>
    </row>
    <row r="1081" spans="15:27" ht="13.9" customHeight="1">
      <c r="O1081" s="12">
        <f t="shared" si="118"/>
        <v>89</v>
      </c>
      <c r="P1081" s="13">
        <v>1068</v>
      </c>
      <c r="Q1081" s="22">
        <v>3.8224271260090426E-2</v>
      </c>
      <c r="R1081" s="19">
        <f t="shared" si="119"/>
        <v>3.8895837056777793E-2</v>
      </c>
      <c r="S1081" s="22">
        <v>4.2027998539393652E-2</v>
      </c>
      <c r="T1081" s="19">
        <f t="shared" si="120"/>
        <v>4.2994527521551307E-2</v>
      </c>
      <c r="U1081" s="24">
        <v>4.3504967704697473E-2</v>
      </c>
      <c r="V1081" s="24">
        <f t="shared" si="121"/>
        <v>4.295661820819352E-2</v>
      </c>
      <c r="W1081" s="23">
        <f t="shared" si="122"/>
        <v>3.5111063900690187E-3</v>
      </c>
      <c r="X1081" s="24">
        <v>4.3192454973361327E-2</v>
      </c>
      <c r="Y1081" s="24">
        <f t="shared" si="123"/>
        <v>4.2984541009581934E-2</v>
      </c>
      <c r="Z1081" s="23">
        <f t="shared" si="124"/>
        <v>3.5133469412333973E-3</v>
      </c>
      <c r="AA1081" s="36"/>
    </row>
    <row r="1082" spans="15:27" ht="13.9" customHeight="1">
      <c r="O1082" s="12">
        <f t="shared" si="118"/>
        <v>89.083333333333329</v>
      </c>
      <c r="P1082" s="13">
        <v>1069</v>
      </c>
      <c r="Q1082" s="22">
        <v>3.8224899275895119E-2</v>
      </c>
      <c r="R1082" s="19">
        <f t="shared" si="119"/>
        <v>3.8896203699563481E-2</v>
      </c>
      <c r="S1082" s="22">
        <v>4.2028902263835155E-2</v>
      </c>
      <c r="T1082" s="19">
        <f t="shared" si="120"/>
        <v>4.2994572944742515E-2</v>
      </c>
      <c r="U1082" s="24">
        <v>4.3504454614437638E-2</v>
      </c>
      <c r="V1082" s="24">
        <f t="shared" si="121"/>
        <v>4.295672195153255E-2</v>
      </c>
      <c r="W1082" s="23">
        <f t="shared" si="122"/>
        <v>3.5111147290263212E-3</v>
      </c>
      <c r="X1082" s="24">
        <v>4.3192260460109377E-2</v>
      </c>
      <c r="Y1082" s="24">
        <f t="shared" si="123"/>
        <v>4.2984623569320979E-2</v>
      </c>
      <c r="Z1082" s="23">
        <f t="shared" si="124"/>
        <v>3.5133535963343121E-3</v>
      </c>
      <c r="AA1082" s="36"/>
    </row>
    <row r="1083" spans="15:27" ht="13.9" customHeight="1">
      <c r="O1083" s="12">
        <f t="shared" si="118"/>
        <v>89.166666666666671</v>
      </c>
      <c r="P1083" s="13">
        <v>1070</v>
      </c>
      <c r="Q1083" s="22">
        <v>3.8225526460653025E-2</v>
      </c>
      <c r="R1083" s="19">
        <f t="shared" si="119"/>
        <v>3.8896567296126561E-2</v>
      </c>
      <c r="S1083" s="22">
        <v>4.2029804342265997E-2</v>
      </c>
      <c r="T1083" s="19">
        <f t="shared" si="120"/>
        <v>4.2994617990976147E-2</v>
      </c>
      <c r="U1083" s="24">
        <v>4.3503942580483956E-2</v>
      </c>
      <c r="V1083" s="24">
        <f t="shared" si="121"/>
        <v>4.2956825458702497E-2</v>
      </c>
      <c r="W1083" s="23">
        <f t="shared" si="122"/>
        <v>3.5111230473323651E-3</v>
      </c>
      <c r="X1083" s="24">
        <v>4.3192066387643724E-2</v>
      </c>
      <c r="Y1083" s="24">
        <f t="shared" si="123"/>
        <v>4.2984705688425828E-2</v>
      </c>
      <c r="Z1083" s="23">
        <f t="shared" si="124"/>
        <v>3.5133602159431732E-3</v>
      </c>
      <c r="AA1083" s="36"/>
    </row>
    <row r="1084" spans="15:27" ht="13.9" customHeight="1">
      <c r="O1084" s="12">
        <f t="shared" si="118"/>
        <v>89.25</v>
      </c>
      <c r="P1084" s="13">
        <v>1071</v>
      </c>
      <c r="Q1084" s="22">
        <v>3.8226152813849001E-2</v>
      </c>
      <c r="R1084" s="19">
        <f t="shared" si="119"/>
        <v>3.889692787315191E-2</v>
      </c>
      <c r="S1084" s="22">
        <v>4.2030704778943218E-2</v>
      </c>
      <c r="T1084" s="19">
        <f t="shared" si="120"/>
        <v>4.2994662663539573E-2</v>
      </c>
      <c r="U1084" s="24">
        <v>4.3503431599655862E-2</v>
      </c>
      <c r="V1084" s="24">
        <f t="shared" si="121"/>
        <v>4.2956928713633324E-2</v>
      </c>
      <c r="W1084" s="23">
        <f t="shared" si="122"/>
        <v>3.511131346701335E-3</v>
      </c>
      <c r="X1084" s="24">
        <v>4.3191872754318128E-2</v>
      </c>
      <c r="Y1084" s="24">
        <f t="shared" si="123"/>
        <v>4.2984787369161337E-2</v>
      </c>
      <c r="Z1084" s="23">
        <f t="shared" si="124"/>
        <v>3.513366800221851E-3</v>
      </c>
      <c r="AA1084" s="36"/>
    </row>
    <row r="1085" spans="15:27" ht="13.9" customHeight="1">
      <c r="O1085" s="12">
        <f t="shared" si="118"/>
        <v>89.333333333333329</v>
      </c>
      <c r="P1085" s="13">
        <v>1072</v>
      </c>
      <c r="Q1085" s="22">
        <v>3.8226778334994549E-2</v>
      </c>
      <c r="R1085" s="19">
        <f t="shared" si="119"/>
        <v>3.8897285455699704E-2</v>
      </c>
      <c r="S1085" s="22">
        <v>4.2031603578110754E-2</v>
      </c>
      <c r="T1085" s="19">
        <f t="shared" si="120"/>
        <v>4.2994706964569751E-2</v>
      </c>
      <c r="U1085" s="24">
        <v>4.3502921668770123E-2</v>
      </c>
      <c r="V1085" s="24">
        <f t="shared" si="121"/>
        <v>4.2957031716906791E-2</v>
      </c>
      <c r="W1085" s="23">
        <f t="shared" si="122"/>
        <v>3.5111396258447058E-3</v>
      </c>
      <c r="X1085" s="24">
        <v>4.3191679558494345E-2</v>
      </c>
      <c r="Y1085" s="24">
        <f t="shared" si="123"/>
        <v>4.298486861216233E-2</v>
      </c>
      <c r="Z1085" s="23">
        <f t="shared" si="124"/>
        <v>3.513373349351756E-3</v>
      </c>
      <c r="AA1085" s="36"/>
    </row>
    <row r="1086" spans="15:27" ht="13.9" customHeight="1">
      <c r="O1086" s="12">
        <f t="shared" si="118"/>
        <v>89.416666666666671</v>
      </c>
      <c r="P1086" s="13">
        <v>1073</v>
      </c>
      <c r="Q1086" s="22">
        <v>3.8227403023626705E-2</v>
      </c>
      <c r="R1086" s="19">
        <f t="shared" si="119"/>
        <v>3.8897640068846107E-2</v>
      </c>
      <c r="S1086" s="22">
        <v>4.2032500743999002E-2</v>
      </c>
      <c r="T1086" s="19">
        <f t="shared" si="120"/>
        <v>4.2994750898549761E-2</v>
      </c>
      <c r="U1086" s="24">
        <v>4.350241278465572E-2</v>
      </c>
      <c r="V1086" s="24">
        <f t="shared" si="121"/>
        <v>4.2957134480426706E-2</v>
      </c>
      <c r="W1086" s="23">
        <f t="shared" si="122"/>
        <v>3.5111478848088851E-3</v>
      </c>
      <c r="X1086" s="24">
        <v>4.3191486798541012E-2</v>
      </c>
      <c r="Y1086" s="24">
        <f t="shared" si="123"/>
        <v>4.298494942233444E-2</v>
      </c>
      <c r="Z1086" s="23">
        <f t="shared" si="124"/>
        <v>3.5133798633837365E-3</v>
      </c>
      <c r="AA1086" s="36"/>
    </row>
    <row r="1087" spans="15:27" ht="13.9" customHeight="1">
      <c r="O1087" s="12">
        <f t="shared" si="118"/>
        <v>89.5</v>
      </c>
      <c r="P1087" s="13">
        <v>1074</v>
      </c>
      <c r="Q1087" s="22">
        <v>3.8228026879307153E-2</v>
      </c>
      <c r="R1087" s="19">
        <f t="shared" si="119"/>
        <v>3.8897991736334347E-2</v>
      </c>
      <c r="S1087" s="22">
        <v>4.2033396280826807E-2</v>
      </c>
      <c r="T1087" s="19">
        <f t="shared" si="120"/>
        <v>4.2994794467332564E-2</v>
      </c>
      <c r="U1087" s="24">
        <v>4.3501904944164282E-2</v>
      </c>
      <c r="V1087" s="24">
        <f t="shared" si="121"/>
        <v>4.2957236992947401E-2</v>
      </c>
      <c r="W1087" s="23">
        <f t="shared" si="122"/>
        <v>3.5111561245484424E-3</v>
      </c>
      <c r="X1087" s="24">
        <v>4.3191294472837427E-2</v>
      </c>
      <c r="Y1087" s="24">
        <f t="shared" si="123"/>
        <v>4.2985029800885366E-2</v>
      </c>
      <c r="Z1087" s="23">
        <f t="shared" si="124"/>
        <v>3.5133863427110334E-3</v>
      </c>
      <c r="AA1087" s="36"/>
    </row>
    <row r="1088" spans="15:27" ht="13.9" customHeight="1">
      <c r="O1088" s="12">
        <f t="shared" si="118"/>
        <v>89.583333333333329</v>
      </c>
      <c r="P1088" s="13">
        <v>1075</v>
      </c>
      <c r="Q1088" s="22">
        <v>3.8228649901621559E-2</v>
      </c>
      <c r="R1088" s="19">
        <f t="shared" si="119"/>
        <v>3.8898340483565441E-2</v>
      </c>
      <c r="S1088" s="22">
        <v>4.2034290192798807E-2</v>
      </c>
      <c r="T1088" s="19">
        <f t="shared" si="120"/>
        <v>4.2994837674813269E-2</v>
      </c>
      <c r="U1088" s="24">
        <v>4.3501398144149217E-2</v>
      </c>
      <c r="V1088" s="24">
        <f t="shared" si="121"/>
        <v>4.2957339261541438E-2</v>
      </c>
      <c r="W1088" s="23">
        <f t="shared" si="122"/>
        <v>3.5111643441618767E-3</v>
      </c>
      <c r="X1088" s="24">
        <v>4.3191102579769991E-2</v>
      </c>
      <c r="Y1088" s="24">
        <f t="shared" si="123"/>
        <v>4.2985109748953754E-2</v>
      </c>
      <c r="Z1088" s="23">
        <f t="shared" si="124"/>
        <v>3.5133927874309023E-3</v>
      </c>
      <c r="AA1088" s="36"/>
    </row>
    <row r="1089" spans="15:27" ht="13.9" customHeight="1">
      <c r="O1089" s="12">
        <f t="shared" si="118"/>
        <v>89.666666666666671</v>
      </c>
      <c r="P1089" s="13">
        <v>1076</v>
      </c>
      <c r="Q1089" s="22">
        <v>3.8229272090180455E-2</v>
      </c>
      <c r="R1089" s="19">
        <f t="shared" si="119"/>
        <v>3.8898686334155608E-2</v>
      </c>
      <c r="S1089" s="22">
        <v>4.2035182484107869E-2</v>
      </c>
      <c r="T1089" s="19">
        <f t="shared" si="120"/>
        <v>4.2994880523412382E-2</v>
      </c>
      <c r="U1089" s="24">
        <v>4.3500892381481693E-2</v>
      </c>
      <c r="V1089" s="24">
        <f t="shared" si="121"/>
        <v>4.2957441285426112E-2</v>
      </c>
      <c r="W1089" s="23">
        <f t="shared" si="122"/>
        <v>3.51117254421629E-3</v>
      </c>
      <c r="X1089" s="24">
        <v>4.3190911117732211E-2</v>
      </c>
      <c r="Y1089" s="24">
        <f t="shared" si="123"/>
        <v>4.2985189271236957E-2</v>
      </c>
      <c r="Z1089" s="23">
        <f t="shared" si="124"/>
        <v>3.5133991976343815E-3</v>
      </c>
      <c r="AA1089" s="36"/>
    </row>
    <row r="1090" spans="15:27" ht="13.9" customHeight="1">
      <c r="O1090" s="12">
        <f t="shared" si="118"/>
        <v>89.75</v>
      </c>
      <c r="P1090" s="13">
        <v>1077</v>
      </c>
      <c r="Q1090" s="22">
        <v>3.8229893444618135E-2</v>
      </c>
      <c r="R1090" s="19">
        <f t="shared" si="119"/>
        <v>3.8899029312583489E-2</v>
      </c>
      <c r="S1090" s="22">
        <v>4.2036073158933318E-2</v>
      </c>
      <c r="T1090" s="19">
        <f t="shared" si="120"/>
        <v>4.2994923016570263E-2</v>
      </c>
      <c r="U1090" s="24">
        <v>4.3500387653043981E-2</v>
      </c>
      <c r="V1090" s="24">
        <f t="shared" si="121"/>
        <v>4.2957543063358861E-2</v>
      </c>
      <c r="W1090" s="23">
        <f t="shared" si="122"/>
        <v>3.5111807246486215E-3</v>
      </c>
      <c r="X1090" s="24">
        <v>4.3190720085127809E-2</v>
      </c>
      <c r="Y1090" s="24">
        <f t="shared" si="123"/>
        <v>4.2985268367495388E-2</v>
      </c>
      <c r="Z1090" s="23">
        <f t="shared" si="124"/>
        <v>3.5134055736980585E-3</v>
      </c>
      <c r="AA1090" s="36"/>
    </row>
    <row r="1091" spans="15:27" ht="13.9" customHeight="1">
      <c r="O1091" s="12">
        <f t="shared" si="118"/>
        <v>89.833333333333329</v>
      </c>
      <c r="P1091" s="13">
        <v>1078</v>
      </c>
      <c r="Q1091" s="22">
        <v>3.823051396459265E-2</v>
      </c>
      <c r="R1091" s="19">
        <f t="shared" si="119"/>
        <v>3.889936944308614E-2</v>
      </c>
      <c r="S1091" s="22">
        <v>4.2036962221442264E-2</v>
      </c>
      <c r="T1091" s="19">
        <f t="shared" si="120"/>
        <v>4.2994965157157949E-2</v>
      </c>
      <c r="U1091" s="24">
        <v>4.3499883955729013E-2</v>
      </c>
      <c r="V1091" s="24">
        <f t="shared" si="121"/>
        <v>4.2957644603207612E-2</v>
      </c>
      <c r="W1091" s="23">
        <f t="shared" si="122"/>
        <v>3.5111888853593953E-3</v>
      </c>
      <c r="X1091" s="24">
        <v>4.319052948036628E-2</v>
      </c>
      <c r="Y1091" s="24">
        <f t="shared" si="123"/>
        <v>4.2985347044506961E-2</v>
      </c>
      <c r="Z1091" s="23">
        <f t="shared" si="124"/>
        <v>3.5134119156028376E-3</v>
      </c>
      <c r="AA1091" s="36"/>
    </row>
    <row r="1092" spans="15:27" ht="13.9" customHeight="1">
      <c r="O1092" s="12">
        <f t="shared" si="118"/>
        <v>89.916666666666671</v>
      </c>
      <c r="P1092" s="13">
        <v>1079</v>
      </c>
      <c r="Q1092" s="22">
        <v>3.8231133649785809E-2</v>
      </c>
      <c r="R1092" s="19">
        <f t="shared" si="119"/>
        <v>3.889970674806098E-2</v>
      </c>
      <c r="S1092" s="22">
        <v>4.2037849675789163E-2</v>
      </c>
      <c r="T1092" s="19">
        <f t="shared" si="120"/>
        <v>4.2995006947279757E-2</v>
      </c>
      <c r="U1092" s="24">
        <v>4.3499381286448147E-2</v>
      </c>
      <c r="V1092" s="24">
        <f t="shared" si="121"/>
        <v>4.2957745894790955E-2</v>
      </c>
      <c r="W1092" s="23">
        <f t="shared" si="122"/>
        <v>3.5111970269794401E-3</v>
      </c>
      <c r="X1092" s="24">
        <v>4.3190339301869329E-2</v>
      </c>
      <c r="Y1092" s="24">
        <f t="shared" si="123"/>
        <v>4.2985425295974267E-2</v>
      </c>
      <c r="Z1092" s="23">
        <f t="shared" si="124"/>
        <v>3.5134182238920619E-3</v>
      </c>
      <c r="AA1092" s="36"/>
    </row>
    <row r="1093" spans="15:27" ht="13.9" customHeight="1">
      <c r="O1093" s="12">
        <f t="shared" si="118"/>
        <v>90</v>
      </c>
      <c r="P1093" s="13">
        <v>1080</v>
      </c>
      <c r="Q1093" s="22">
        <v>3.8231752499901184E-2</v>
      </c>
      <c r="R1093" s="19">
        <f t="shared" si="119"/>
        <v>3.8900041252311501E-2</v>
      </c>
      <c r="S1093" s="22">
        <v>4.2038735526114923E-2</v>
      </c>
      <c r="T1093" s="19">
        <f t="shared" si="120"/>
        <v>4.2995048391136992E-2</v>
      </c>
      <c r="U1093" s="24">
        <v>4.3498879642114963E-2</v>
      </c>
      <c r="V1093" s="24">
        <f t="shared" si="121"/>
        <v>4.2957846941216182E-2</v>
      </c>
      <c r="W1093" s="23">
        <f t="shared" si="122"/>
        <v>3.511205148692742E-3</v>
      </c>
      <c r="X1093" s="24">
        <v>4.3190149548058665E-2</v>
      </c>
      <c r="Y1093" s="24">
        <f t="shared" si="123"/>
        <v>4.2985503133181391E-2</v>
      </c>
      <c r="Z1093" s="23">
        <f t="shared" si="124"/>
        <v>3.5134244980610241E-3</v>
      </c>
      <c r="AA1093" s="36"/>
    </row>
    <row r="1094" spans="15:27" ht="13.9" customHeight="1">
      <c r="O1094" s="12">
        <f t="shared" si="118"/>
        <v>90.083333333333329</v>
      </c>
      <c r="P1094" s="13">
        <v>1081</v>
      </c>
      <c r="Q1094" s="22">
        <v>3.8232370514666769E-2</v>
      </c>
      <c r="R1094" s="19">
        <f t="shared" si="119"/>
        <v>3.8900372978017517E-2</v>
      </c>
      <c r="S1094" s="22">
        <v>4.2039619776548909E-2</v>
      </c>
      <c r="T1094" s="19">
        <f t="shared" si="120"/>
        <v>4.2995089490848404E-2</v>
      </c>
      <c r="U1094" s="24">
        <v>4.3498379019657252E-2</v>
      </c>
      <c r="V1094" s="24">
        <f t="shared" si="121"/>
        <v>4.2957947752131131E-2</v>
      </c>
      <c r="W1094" s="23">
        <f t="shared" si="122"/>
        <v>3.511213250747991E-3</v>
      </c>
      <c r="X1094" s="24">
        <v>4.3189960217372203E-2</v>
      </c>
      <c r="Y1094" s="24">
        <f t="shared" si="123"/>
        <v>4.2985580553326352E-2</v>
      </c>
      <c r="Z1094" s="23">
        <f t="shared" si="124"/>
        <v>3.5134307390143338E-3</v>
      </c>
      <c r="AA1094" s="36"/>
    </row>
    <row r="1095" spans="15:27" ht="13.9" customHeight="1">
      <c r="O1095" s="12">
        <f t="shared" si="118"/>
        <v>90.166666666666671</v>
      </c>
      <c r="P1095" s="13">
        <v>1082</v>
      </c>
      <c r="Q1095" s="22">
        <v>3.8232987693831655E-2</v>
      </c>
      <c r="R1095" s="19">
        <f t="shared" si="119"/>
        <v>3.8900701949846406E-2</v>
      </c>
      <c r="S1095" s="22">
        <v>4.2040502431207383E-2</v>
      </c>
      <c r="T1095" s="19">
        <f t="shared" si="120"/>
        <v>4.2995130249043223E-2</v>
      </c>
      <c r="U1095" s="24">
        <v>4.3497879416023233E-2</v>
      </c>
      <c r="V1095" s="24">
        <f t="shared" si="121"/>
        <v>4.2958048318852304E-2</v>
      </c>
      <c r="W1095" s="23">
        <f t="shared" si="122"/>
        <v>3.5112213339190124E-3</v>
      </c>
      <c r="X1095" s="24">
        <v>4.318977130825119E-2</v>
      </c>
      <c r="Y1095" s="24">
        <f t="shared" si="123"/>
        <v>4.2985657560467239E-2</v>
      </c>
      <c r="Z1095" s="23">
        <f t="shared" si="124"/>
        <v>3.5134369465272819E-3</v>
      </c>
      <c r="AA1095" s="36"/>
    </row>
    <row r="1096" spans="15:27" ht="13.9" customHeight="1">
      <c r="O1096" s="12">
        <f t="shared" si="118"/>
        <v>90.25</v>
      </c>
      <c r="P1096" s="13">
        <v>1083</v>
      </c>
      <c r="Q1096" s="22">
        <v>3.8233604037168689E-2</v>
      </c>
      <c r="R1096" s="19">
        <f t="shared" si="119"/>
        <v>3.8901028188763842E-2</v>
      </c>
      <c r="S1096" s="22">
        <v>4.2041383494193729E-2</v>
      </c>
      <c r="T1096" s="19">
        <f t="shared" si="120"/>
        <v>4.2995170669480443E-2</v>
      </c>
      <c r="U1096" s="24">
        <v>4.3497380828164234E-2</v>
      </c>
      <c r="V1096" s="24">
        <f t="shared" si="121"/>
        <v>4.2958148642486149E-2</v>
      </c>
      <c r="W1096" s="23">
        <f t="shared" si="122"/>
        <v>3.5112293975092523E-3</v>
      </c>
      <c r="X1096" s="24">
        <v>4.3189582819146199E-2</v>
      </c>
      <c r="Y1096" s="24">
        <f t="shared" si="123"/>
        <v>4.298573415654805E-2</v>
      </c>
      <c r="Z1096" s="23">
        <f t="shared" si="124"/>
        <v>3.5134431209253858E-3</v>
      </c>
      <c r="AA1096" s="36"/>
    </row>
    <row r="1097" spans="15:27" ht="13.9" customHeight="1">
      <c r="O1097" s="12">
        <f t="shared" si="118"/>
        <v>90.333333333333329</v>
      </c>
      <c r="P1097" s="13">
        <v>1084</v>
      </c>
      <c r="Q1097" s="22">
        <v>3.8234219544471149E-2</v>
      </c>
      <c r="R1097" s="19">
        <f t="shared" si="119"/>
        <v>3.8901351718630961E-2</v>
      </c>
      <c r="S1097" s="22">
        <v>4.2042262969599564E-2</v>
      </c>
      <c r="T1097" s="19">
        <f t="shared" si="120"/>
        <v>4.2995210753676405E-2</v>
      </c>
      <c r="U1097" s="24">
        <v>4.3496883253043794E-2</v>
      </c>
      <c r="V1097" s="24">
        <f t="shared" si="121"/>
        <v>4.2958248722075876E-2</v>
      </c>
      <c r="W1097" s="23">
        <f t="shared" si="122"/>
        <v>3.5112374416079728E-3</v>
      </c>
      <c r="X1097" s="24">
        <v>4.3189394748515353E-2</v>
      </c>
      <c r="Y1097" s="24">
        <f t="shared" si="123"/>
        <v>4.2985810341384934E-2</v>
      </c>
      <c r="Z1097" s="23">
        <f t="shared" si="124"/>
        <v>3.5134492623642988E-3</v>
      </c>
      <c r="AA1097" s="36"/>
    </row>
    <row r="1098" spans="15:27" ht="13.9" customHeight="1">
      <c r="O1098" s="12">
        <f t="shared" si="118"/>
        <v>90.416666666666671</v>
      </c>
      <c r="P1098" s="13">
        <v>1085</v>
      </c>
      <c r="Q1098" s="22">
        <v>3.8234834215554736E-2</v>
      </c>
      <c r="R1098" s="19">
        <f t="shared" si="119"/>
        <v>3.8901672561440614E-2</v>
      </c>
      <c r="S1098" s="22">
        <v>4.2043140861503181E-2</v>
      </c>
      <c r="T1098" s="19">
        <f t="shared" si="120"/>
        <v>4.2995250506137062E-2</v>
      </c>
      <c r="U1098" s="24">
        <v>4.3496386687636113E-2</v>
      </c>
      <c r="V1098" s="24">
        <f t="shared" si="121"/>
        <v>4.2958348577890826E-2</v>
      </c>
      <c r="W1098" s="23">
        <f t="shared" si="122"/>
        <v>3.5112454661381243E-3</v>
      </c>
      <c r="X1098" s="24">
        <v>4.3189207094822546E-2</v>
      </c>
      <c r="Y1098" s="24">
        <f t="shared" si="123"/>
        <v>4.2985886122743233E-2</v>
      </c>
      <c r="Z1098" s="23">
        <f t="shared" si="124"/>
        <v>3.5134553708295879E-3</v>
      </c>
      <c r="AA1098" s="36"/>
    </row>
    <row r="1099" spans="15:27" ht="13.9" customHeight="1">
      <c r="O1099" s="12">
        <f t="shared" si="118"/>
        <v>90.5</v>
      </c>
      <c r="P1099" s="13">
        <v>1086</v>
      </c>
      <c r="Q1099" s="22">
        <v>3.8235448050256249E-2</v>
      </c>
      <c r="R1099" s="19">
        <f t="shared" si="119"/>
        <v>3.8901990740806136E-2</v>
      </c>
      <c r="S1099" s="22">
        <v>4.2044017173971548E-2</v>
      </c>
      <c r="T1099" s="19">
        <f t="shared" si="120"/>
        <v>4.2995289927676872E-2</v>
      </c>
      <c r="U1099" s="24">
        <v>4.3495891128944697E-2</v>
      </c>
      <c r="V1099" s="24">
        <f t="shared" si="121"/>
        <v>4.295844817882033E-2</v>
      </c>
      <c r="W1099" s="23">
        <f t="shared" si="122"/>
        <v>3.5112534727248512E-3</v>
      </c>
      <c r="X1099" s="24">
        <v>4.3189019856544109E-2</v>
      </c>
      <c r="Y1099" s="24">
        <f t="shared" si="123"/>
        <v>4.2985961496180281E-2</v>
      </c>
      <c r="Z1099" s="23">
        <f t="shared" si="124"/>
        <v>3.5134614469438663E-3</v>
      </c>
      <c r="AA1099" s="36"/>
    </row>
    <row r="1100" spans="15:27" ht="13.9" customHeight="1">
      <c r="O1100" s="12">
        <f t="shared" si="118"/>
        <v>90.583333333333329</v>
      </c>
      <c r="P1100" s="13">
        <v>1087</v>
      </c>
      <c r="Q1100" s="22">
        <v>3.8236061048434689E-2</v>
      </c>
      <c r="R1100" s="19">
        <f t="shared" si="119"/>
        <v>3.8902306277505794E-2</v>
      </c>
      <c r="S1100" s="22">
        <v>4.2044891911057647E-2</v>
      </c>
      <c r="T1100" s="19">
        <f t="shared" si="120"/>
        <v>4.2995329022509576E-2</v>
      </c>
      <c r="U1100" s="24">
        <v>4.3495396573955958E-2</v>
      </c>
      <c r="V1100" s="24">
        <f t="shared" si="121"/>
        <v>4.2958547546029902E-2</v>
      </c>
      <c r="W1100" s="23">
        <f t="shared" si="122"/>
        <v>3.5112614588739266E-3</v>
      </c>
      <c r="X1100" s="24">
        <v>4.3188833032158147E-2</v>
      </c>
      <c r="Y1100" s="24">
        <f t="shared" si="123"/>
        <v>4.2986036468368738E-2</v>
      </c>
      <c r="Z1100" s="23">
        <f t="shared" si="124"/>
        <v>3.5134674903507523E-3</v>
      </c>
      <c r="AA1100" s="36"/>
    </row>
    <row r="1101" spans="15:27" ht="13.9" customHeight="1">
      <c r="O1101" s="12">
        <f t="shared" si="118"/>
        <v>90.666666666666671</v>
      </c>
      <c r="P1101" s="13">
        <v>1088</v>
      </c>
      <c r="Q1101" s="22">
        <v>3.8236673209968819E-2</v>
      </c>
      <c r="R1101" s="19">
        <f t="shared" si="119"/>
        <v>3.8902619193011079E-2</v>
      </c>
      <c r="S1101" s="22">
        <v>4.2045765076803576E-2</v>
      </c>
      <c r="T1101" s="19">
        <f t="shared" si="120"/>
        <v>4.2995367792945771E-2</v>
      </c>
      <c r="U1101" s="24">
        <v>4.3494903019686504E-2</v>
      </c>
      <c r="V1101" s="24">
        <f t="shared" si="121"/>
        <v>4.2958646678608714E-2</v>
      </c>
      <c r="W1101" s="23">
        <f t="shared" si="122"/>
        <v>3.5112694262822153E-3</v>
      </c>
      <c r="X1101" s="24">
        <v>4.3188646620154314E-2</v>
      </c>
      <c r="Y1101" s="24">
        <f t="shared" si="123"/>
        <v>4.2986111040436148E-2</v>
      </c>
      <c r="Z1101" s="23">
        <f t="shared" si="124"/>
        <v>3.5134735015851515E-3</v>
      </c>
      <c r="AA1101" s="36"/>
    </row>
    <row r="1102" spans="15:27" ht="13.9" customHeight="1">
      <c r="O1102" s="12">
        <f t="shared" ref="O1102:O1165" si="125">P1102/12</f>
        <v>90.75</v>
      </c>
      <c r="P1102" s="13">
        <v>1089</v>
      </c>
      <c r="Q1102" s="22">
        <v>3.8237284534757388E-2</v>
      </c>
      <c r="R1102" s="19">
        <f t="shared" ref="R1102:R1165" si="126">(1+Q1103)^P1103/(1+Q1102)^P1102-1</f>
        <v>3.8902929510376216E-2</v>
      </c>
      <c r="S1102" s="22">
        <v>4.2046636675238336E-2</v>
      </c>
      <c r="T1102" s="19">
        <f t="shared" ref="T1102:T1165" si="127">(1+S1103)^P1103/(1+S1102)^P1102-1</f>
        <v>4.2995406240912803E-2</v>
      </c>
      <c r="U1102" s="24">
        <v>4.3494410463163158E-2</v>
      </c>
      <c r="V1102" s="24">
        <f t="shared" ref="V1102:V1165" si="128">(1+U1103)^P1103/(1+U1102)^P1102-1</f>
        <v>4.29587455693905E-2</v>
      </c>
      <c r="W1102" s="23">
        <f t="shared" si="122"/>
        <v>3.5112773748766646E-3</v>
      </c>
      <c r="X1102" s="24">
        <v>4.3188460619029145E-2</v>
      </c>
      <c r="Y1102" s="24">
        <f t="shared" si="123"/>
        <v>4.2986185213408579E-2</v>
      </c>
      <c r="Z1102" s="23">
        <f t="shared" si="124"/>
        <v>3.5134794807376579E-3</v>
      </c>
      <c r="AA1102" s="36"/>
    </row>
    <row r="1103" spans="15:27" ht="13.9" customHeight="1">
      <c r="O1103" s="12">
        <f t="shared" si="125"/>
        <v>90.833333333333329</v>
      </c>
      <c r="P1103" s="13">
        <v>1090</v>
      </c>
      <c r="Q1103" s="22">
        <v>3.823789502272068E-2</v>
      </c>
      <c r="R1103" s="19">
        <f t="shared" si="126"/>
        <v>3.8903237251608269E-2</v>
      </c>
      <c r="S1103" s="22">
        <v>4.2047506710378268E-2</v>
      </c>
      <c r="T1103" s="19">
        <f t="shared" si="127"/>
        <v>4.2995444370530933E-2</v>
      </c>
      <c r="U1103" s="24">
        <v>4.3493918901417183E-2</v>
      </c>
      <c r="V1103" s="24">
        <f t="shared" si="128"/>
        <v>4.2958844227807047E-2</v>
      </c>
      <c r="W1103" s="23">
        <f t="shared" ref="W1103:W1166" si="129">(1+V1102)^(1/12)-1</f>
        <v>3.5112853040828451E-3</v>
      </c>
      <c r="X1103" s="24">
        <v>4.3188275027285172E-2</v>
      </c>
      <c r="Y1103" s="24">
        <f t="shared" ref="Y1103:Y1166" si="130">(1+X1104)^P1104/(1+X1103)^P1103-1</f>
        <v>4.298625899022146E-2</v>
      </c>
      <c r="Z1103" s="23">
        <f t="shared" ref="Z1103:Z1166" si="131">(1+Y1102)^(1/12)-1</f>
        <v>3.5134854278906502E-3</v>
      </c>
      <c r="AA1103" s="36"/>
    </row>
    <row r="1104" spans="15:27" ht="13.9" customHeight="1">
      <c r="O1104" s="12">
        <f t="shared" si="125"/>
        <v>90.916666666666671</v>
      </c>
      <c r="P1104" s="13">
        <v>1091</v>
      </c>
      <c r="Q1104" s="22">
        <v>3.8238504673799412E-2</v>
      </c>
      <c r="R1104" s="19">
        <f t="shared" si="126"/>
        <v>3.8903542436464544E-2</v>
      </c>
      <c r="S1104" s="22">
        <v>4.2048375186228615E-2</v>
      </c>
      <c r="T1104" s="19">
        <f t="shared" si="127"/>
        <v>4.299548218299365E-2</v>
      </c>
      <c r="U1104" s="24">
        <v>4.3493428331499384E-2</v>
      </c>
      <c r="V1104" s="24">
        <f t="shared" si="128"/>
        <v>4.2958942643890552E-2</v>
      </c>
      <c r="W1104" s="23">
        <f t="shared" si="129"/>
        <v>3.5112932146570408E-3</v>
      </c>
      <c r="X1104" s="24">
        <v>4.3188089843433586E-2</v>
      </c>
      <c r="Y1104" s="24">
        <f t="shared" si="130"/>
        <v>4.2986332373733394E-2</v>
      </c>
      <c r="Z1104" s="23">
        <f t="shared" si="131"/>
        <v>3.5134913432794956E-3</v>
      </c>
      <c r="AA1104" s="36"/>
    </row>
    <row r="1105" spans="15:27" ht="13.9" customHeight="1">
      <c r="O1105" s="12">
        <f t="shared" si="125"/>
        <v>91</v>
      </c>
      <c r="P1105" s="13">
        <v>1092</v>
      </c>
      <c r="Q1105" s="22">
        <v>3.8239113487952725E-2</v>
      </c>
      <c r="R1105" s="19">
        <f t="shared" si="126"/>
        <v>3.89038450869712E-2</v>
      </c>
      <c r="S1105" s="22">
        <v>4.2049242106781071E-2</v>
      </c>
      <c r="T1105" s="19">
        <f t="shared" si="127"/>
        <v>4.2995519682080152E-2</v>
      </c>
      <c r="U1105" s="24">
        <v>4.3492938750461896E-2</v>
      </c>
      <c r="V1105" s="24">
        <f t="shared" si="128"/>
        <v>4.2959040829807726E-2</v>
      </c>
      <c r="W1105" s="23">
        <f t="shared" si="129"/>
        <v>3.5113011057998911E-3</v>
      </c>
      <c r="X1105" s="24">
        <v>4.3187905065993348E-2</v>
      </c>
      <c r="Y1105" s="24">
        <f t="shared" si="130"/>
        <v>4.2986405364501934E-2</v>
      </c>
      <c r="Z1105" s="23">
        <f t="shared" si="131"/>
        <v>3.5134972271331222E-3</v>
      </c>
      <c r="AA1105" s="36"/>
    </row>
    <row r="1106" spans="15:27" ht="13.9" customHeight="1">
      <c r="O1106" s="12">
        <f t="shared" si="125"/>
        <v>91.083333333333329</v>
      </c>
      <c r="P1106" s="13">
        <v>1093</v>
      </c>
      <c r="Q1106" s="22">
        <v>3.823972146515997E-2</v>
      </c>
      <c r="R1106" s="19">
        <f t="shared" si="126"/>
        <v>3.8904145223787934E-2</v>
      </c>
      <c r="S1106" s="22">
        <v>4.205010747601623E-2</v>
      </c>
      <c r="T1106" s="19">
        <f t="shared" si="127"/>
        <v>4.2995556870040197E-2</v>
      </c>
      <c r="U1106" s="24">
        <v>4.3492450155379281E-2</v>
      </c>
      <c r="V1106" s="24">
        <f t="shared" si="128"/>
        <v>4.2959138785013451E-2</v>
      </c>
      <c r="W1106" s="23">
        <f t="shared" si="129"/>
        <v>3.5113089784870599E-3</v>
      </c>
      <c r="X1106" s="24">
        <v>4.3187720693489418E-2</v>
      </c>
      <c r="Y1106" s="24">
        <f t="shared" si="130"/>
        <v>4.2986477967018155E-2</v>
      </c>
      <c r="Z1106" s="23">
        <f t="shared" si="131"/>
        <v>3.5135030794963829E-3</v>
      </c>
      <c r="AA1106" s="36"/>
    </row>
    <row r="1107" spans="15:27" ht="13.9" customHeight="1">
      <c r="O1107" s="12">
        <f t="shared" si="125"/>
        <v>91.166666666666671</v>
      </c>
      <c r="P1107" s="13">
        <v>1094</v>
      </c>
      <c r="Q1107" s="22">
        <v>3.8240328605419371E-2</v>
      </c>
      <c r="R1107" s="19">
        <f t="shared" si="126"/>
        <v>3.8904442869171385E-2</v>
      </c>
      <c r="S1107" s="22">
        <v>4.2050971297902029E-2</v>
      </c>
      <c r="T1107" s="19">
        <f t="shared" si="127"/>
        <v>4.2995593748715866E-2</v>
      </c>
      <c r="U1107" s="24">
        <v>4.3491962543335871E-2</v>
      </c>
      <c r="V1107" s="24">
        <f t="shared" si="128"/>
        <v>4.2959236492729147E-2</v>
      </c>
      <c r="W1107" s="23">
        <f t="shared" si="129"/>
        <v>3.5113168326748045E-3</v>
      </c>
      <c r="X1107" s="24">
        <v>4.3187536724456299E-2</v>
      </c>
      <c r="Y1107" s="24">
        <f t="shared" si="130"/>
        <v>4.2986550179082927E-2</v>
      </c>
      <c r="Z1107" s="23">
        <f t="shared" si="131"/>
        <v>3.513508900729434E-3</v>
      </c>
      <c r="AA1107" s="36"/>
    </row>
    <row r="1108" spans="15:27" ht="13.9" customHeight="1">
      <c r="O1108" s="12">
        <f t="shared" si="125"/>
        <v>91.25</v>
      </c>
      <c r="P1108" s="13">
        <v>1095</v>
      </c>
      <c r="Q1108" s="22">
        <v>3.824093490874958E-2</v>
      </c>
      <c r="R1108" s="19">
        <f t="shared" si="126"/>
        <v>3.8904738043057163E-2</v>
      </c>
      <c r="S1108" s="22">
        <v>4.2051833576393749E-2</v>
      </c>
      <c r="T1108" s="19">
        <f t="shared" si="127"/>
        <v>4.2995630321589706E-2</v>
      </c>
      <c r="U1108" s="24">
        <v>4.3491475911411781E-2</v>
      </c>
      <c r="V1108" s="24">
        <f t="shared" si="128"/>
        <v>4.2959333971555935E-2</v>
      </c>
      <c r="W1108" s="23">
        <f t="shared" si="129"/>
        <v>3.5113246670175347E-3</v>
      </c>
      <c r="X1108" s="24">
        <v>4.3187353157431829E-2</v>
      </c>
      <c r="Y1108" s="24">
        <f t="shared" si="130"/>
        <v>4.2986622007100239E-2</v>
      </c>
      <c r="Z1108" s="23">
        <f t="shared" si="131"/>
        <v>3.5135146906557502E-3</v>
      </c>
      <c r="AA1108" s="36"/>
    </row>
    <row r="1109" spans="15:27" ht="13.9" customHeight="1">
      <c r="O1109" s="12">
        <f t="shared" si="125"/>
        <v>91.333333333333329</v>
      </c>
      <c r="P1109" s="13">
        <v>1096</v>
      </c>
      <c r="Q1109" s="22">
        <v>3.8241540375187233E-2</v>
      </c>
      <c r="R1109" s="19">
        <f t="shared" si="126"/>
        <v>3.8905030765044923E-2</v>
      </c>
      <c r="S1109" s="22">
        <v>4.2052694315435346E-2</v>
      </c>
      <c r="T1109" s="19">
        <f t="shared" si="127"/>
        <v>4.2995666590671444E-2</v>
      </c>
      <c r="U1109" s="24">
        <v>4.3490990256714213E-2</v>
      </c>
      <c r="V1109" s="24">
        <f t="shared" si="128"/>
        <v>4.2959431218308142E-2</v>
      </c>
      <c r="W1109" s="23">
        <f t="shared" si="129"/>
        <v>3.5113324830071679E-3</v>
      </c>
      <c r="X1109" s="24">
        <v>4.3187169990964946E-2</v>
      </c>
      <c r="Y1109" s="24">
        <f t="shared" si="130"/>
        <v>4.2986693449850621E-2</v>
      </c>
      <c r="Z1109" s="23">
        <f t="shared" si="131"/>
        <v>3.5135204497891426E-3</v>
      </c>
      <c r="AA1109" s="36"/>
    </row>
    <row r="1110" spans="15:27" ht="13.9" customHeight="1">
      <c r="O1110" s="12">
        <f t="shared" si="125"/>
        <v>91.416666666666671</v>
      </c>
      <c r="P1110" s="13">
        <v>1097</v>
      </c>
      <c r="Q1110" s="22">
        <v>3.8242145004786954E-2</v>
      </c>
      <c r="R1110" s="19">
        <f t="shared" si="126"/>
        <v>3.8905321056581954E-2</v>
      </c>
      <c r="S1110" s="22">
        <v>4.2053553518958342E-2</v>
      </c>
      <c r="T1110" s="19">
        <f t="shared" si="127"/>
        <v>4.2995702559141202E-2</v>
      </c>
      <c r="U1110" s="24">
        <v>4.3490505576358585E-2</v>
      </c>
      <c r="V1110" s="24">
        <f t="shared" si="128"/>
        <v>4.2959528237198175E-2</v>
      </c>
      <c r="W1110" s="23">
        <f t="shared" si="129"/>
        <v>3.5113402803881311E-3</v>
      </c>
      <c r="X1110" s="24">
        <v>4.318698722360903E-2</v>
      </c>
      <c r="Y1110" s="24">
        <f t="shared" si="130"/>
        <v>4.2986764513180953E-2</v>
      </c>
      <c r="Z1110" s="23">
        <f t="shared" si="131"/>
        <v>3.5135261780316895E-3</v>
      </c>
      <c r="AA1110" s="36"/>
    </row>
    <row r="1111" spans="15:27" ht="13.9" customHeight="1">
      <c r="O1111" s="12">
        <f t="shared" si="125"/>
        <v>91.5</v>
      </c>
      <c r="P1111" s="13">
        <v>1098</v>
      </c>
      <c r="Q1111" s="22">
        <v>3.8242748797622239E-2</v>
      </c>
      <c r="R1111" s="19">
        <f t="shared" si="126"/>
        <v>3.8905608937204184E-2</v>
      </c>
      <c r="S1111" s="22">
        <v>4.2054411190882712E-2</v>
      </c>
      <c r="T1111" s="19">
        <f t="shared" si="127"/>
        <v>4.2995738228703173E-2</v>
      </c>
      <c r="U1111" s="24">
        <v>4.3490021867474082E-2</v>
      </c>
      <c r="V1111" s="24">
        <f t="shared" si="128"/>
        <v>4.2959625016142144E-2</v>
      </c>
      <c r="W1111" s="23">
        <f t="shared" si="129"/>
        <v>3.5113480594979318E-3</v>
      </c>
      <c r="X1111" s="24">
        <v>4.3186804853927674E-2</v>
      </c>
      <c r="Y1111" s="24">
        <f t="shared" si="130"/>
        <v>4.2986835196208162E-2</v>
      </c>
      <c r="Z1111" s="23">
        <f t="shared" si="131"/>
        <v>3.5135318758521272E-3</v>
      </c>
      <c r="AA1111" s="36"/>
    </row>
    <row r="1112" spans="15:27" ht="13.9" customHeight="1">
      <c r="O1112" s="12">
        <f t="shared" si="125"/>
        <v>91.583333333333329</v>
      </c>
      <c r="P1112" s="13">
        <v>1099</v>
      </c>
      <c r="Q1112" s="22">
        <v>3.8243351753784571E-2</v>
      </c>
      <c r="R1112" s="19">
        <f t="shared" si="126"/>
        <v>3.8905894427655685E-2</v>
      </c>
      <c r="S1112" s="22">
        <v>4.2055267335115776E-2</v>
      </c>
      <c r="T1112" s="19">
        <f t="shared" si="127"/>
        <v>4.2995773601794962E-2</v>
      </c>
      <c r="U1112" s="24">
        <v>4.3489539127189891E-2</v>
      </c>
      <c r="V1112" s="24">
        <f t="shared" si="128"/>
        <v>4.2959721561107278E-2</v>
      </c>
      <c r="W1112" s="23">
        <f t="shared" si="129"/>
        <v>3.5113558193680117E-3</v>
      </c>
      <c r="X1112" s="24">
        <v>4.3186622880489134E-2</v>
      </c>
      <c r="Y1112" s="24">
        <f t="shared" si="130"/>
        <v>4.2986905500209227E-2</v>
      </c>
      <c r="Z1112" s="23">
        <f t="shared" si="131"/>
        <v>3.5135375431798455E-3</v>
      </c>
      <c r="AA1112" s="36"/>
    </row>
    <row r="1113" spans="15:27" ht="13.9" customHeight="1">
      <c r="O1113" s="12">
        <f t="shared" si="125"/>
        <v>91.666666666666671</v>
      </c>
      <c r="P1113" s="13">
        <v>1100</v>
      </c>
      <c r="Q1113" s="22">
        <v>3.824395387338364E-2</v>
      </c>
      <c r="R1113" s="19">
        <f t="shared" si="126"/>
        <v>3.8906177547851639E-2</v>
      </c>
      <c r="S1113" s="22">
        <v>4.2056121955552861E-2</v>
      </c>
      <c r="T1113" s="19">
        <f t="shared" si="127"/>
        <v>4.2995808682100289E-2</v>
      </c>
      <c r="U1113" s="24">
        <v>4.348905735265074E-2</v>
      </c>
      <c r="V1113" s="24">
        <f t="shared" si="128"/>
        <v>4.2959817882720408E-2</v>
      </c>
      <c r="W1113" s="23">
        <f t="shared" si="129"/>
        <v>3.5113635604766547E-3</v>
      </c>
      <c r="X1113" s="24">
        <v>4.3186441301868106E-2</v>
      </c>
      <c r="Y1113" s="24">
        <f t="shared" si="130"/>
        <v>4.2986975430295615E-2</v>
      </c>
      <c r="Z1113" s="23">
        <f t="shared" si="131"/>
        <v>3.5135431801169847E-3</v>
      </c>
      <c r="AA1113" s="36"/>
    </row>
    <row r="1114" spans="15:27" ht="13.9" customHeight="1">
      <c r="O1114" s="12">
        <f t="shared" si="125"/>
        <v>91.75</v>
      </c>
      <c r="P1114" s="13">
        <v>1101</v>
      </c>
      <c r="Q1114" s="22">
        <v>3.82445551565469E-2</v>
      </c>
      <c r="R1114" s="19">
        <f t="shared" si="126"/>
        <v>3.8906458316126491E-2</v>
      </c>
      <c r="S1114" s="22">
        <v>4.2056975056078416E-2</v>
      </c>
      <c r="T1114" s="19">
        <f t="shared" si="127"/>
        <v>4.2995843471142159E-2</v>
      </c>
      <c r="U1114" s="24">
        <v>4.348857654102134E-2</v>
      </c>
      <c r="V1114" s="24">
        <f t="shared" si="128"/>
        <v>4.2959913972906438E-2</v>
      </c>
      <c r="W1114" s="23">
        <f t="shared" si="129"/>
        <v>3.5113712836758459E-3</v>
      </c>
      <c r="X1114" s="24">
        <v>4.3186260116648834E-2</v>
      </c>
      <c r="Y1114" s="24">
        <f t="shared" si="130"/>
        <v>4.2987044987001344E-2</v>
      </c>
      <c r="Z1114" s="23">
        <f t="shared" si="131"/>
        <v>3.5135487870734394E-3</v>
      </c>
      <c r="AA1114" s="36"/>
    </row>
    <row r="1115" spans="15:27" ht="13.9" customHeight="1">
      <c r="O1115" s="12">
        <f t="shared" si="125"/>
        <v>91.833333333333329</v>
      </c>
      <c r="P1115" s="13">
        <v>1102</v>
      </c>
      <c r="Q1115" s="22">
        <v>3.8245155603417791E-2</v>
      </c>
      <c r="R1115" s="19">
        <f t="shared" si="126"/>
        <v>3.890673675320655E-2</v>
      </c>
      <c r="S1115" s="22">
        <v>4.2057826640564233E-2</v>
      </c>
      <c r="T1115" s="19">
        <f t="shared" si="127"/>
        <v>4.2995877971157004E-2</v>
      </c>
      <c r="U1115" s="24">
        <v>4.3488096689469735E-2</v>
      </c>
      <c r="V1115" s="24">
        <f t="shared" si="128"/>
        <v>4.2960009831606749E-2</v>
      </c>
      <c r="W1115" s="23">
        <f t="shared" si="129"/>
        <v>3.5113789883183255E-3</v>
      </c>
      <c r="X1115" s="24">
        <v>4.3186079323421334E-2</v>
      </c>
      <c r="Y1115" s="24">
        <f t="shared" si="130"/>
        <v>4.2987114172137408E-2</v>
      </c>
      <c r="Z1115" s="23">
        <f t="shared" si="131"/>
        <v>3.5135543640920641E-3</v>
      </c>
      <c r="AA1115" s="36"/>
    </row>
    <row r="1116" spans="15:27" ht="13.9" customHeight="1">
      <c r="O1116" s="12">
        <f t="shared" si="125"/>
        <v>91.916666666666671</v>
      </c>
      <c r="P1116" s="13">
        <v>1103</v>
      </c>
      <c r="Q1116" s="22">
        <v>3.8245755214158406E-2</v>
      </c>
      <c r="R1116" s="19">
        <f t="shared" si="126"/>
        <v>3.8907012878759195E-2</v>
      </c>
      <c r="S1116" s="22">
        <v>4.2058676712870113E-2</v>
      </c>
      <c r="T1116" s="19">
        <f t="shared" si="127"/>
        <v>4.2995912184495833E-2</v>
      </c>
      <c r="U1116" s="24">
        <v>4.3487617795173739E-2</v>
      </c>
      <c r="V1116" s="24">
        <f t="shared" si="128"/>
        <v>4.2960105459916242E-2</v>
      </c>
      <c r="W1116" s="23">
        <f t="shared" si="129"/>
        <v>3.5113866743994304E-3</v>
      </c>
      <c r="X1116" s="24">
        <v>4.3185898920782506E-2</v>
      </c>
      <c r="Y1116" s="24">
        <f t="shared" si="130"/>
        <v>4.2987182986495176E-2</v>
      </c>
      <c r="Z1116" s="23">
        <f t="shared" si="131"/>
        <v>3.513559911318298E-3</v>
      </c>
      <c r="AA1116" s="36"/>
    </row>
    <row r="1117" spans="15:27" ht="13.9" customHeight="1">
      <c r="O1117" s="12">
        <f t="shared" si="125"/>
        <v>92</v>
      </c>
      <c r="P1117" s="13">
        <v>1104</v>
      </c>
      <c r="Q1117" s="22">
        <v>3.8246353988947712E-2</v>
      </c>
      <c r="R1117" s="19">
        <f t="shared" si="126"/>
        <v>3.890728671097432E-2</v>
      </c>
      <c r="S1117" s="22">
        <v>4.205952527684409E-2</v>
      </c>
      <c r="T1117" s="19">
        <f t="shared" si="127"/>
        <v>4.29959461142424E-2</v>
      </c>
      <c r="U1117" s="24">
        <v>4.348713985532271E-2</v>
      </c>
      <c r="V1117" s="24">
        <f t="shared" si="128"/>
        <v>4.2960200861917652E-2</v>
      </c>
      <c r="W1117" s="23">
        <f t="shared" si="129"/>
        <v>3.5113943420066462E-3</v>
      </c>
      <c r="X1117" s="24">
        <v>4.3185718907334802E-2</v>
      </c>
      <c r="Y1117" s="24">
        <f t="shared" si="130"/>
        <v>4.2987251434439822E-2</v>
      </c>
      <c r="Z1117" s="23">
        <f t="shared" si="131"/>
        <v>3.5135654288152018E-3</v>
      </c>
      <c r="AA1117" s="36"/>
    </row>
    <row r="1118" spans="15:27" ht="13.9" customHeight="1">
      <c r="O1118" s="12">
        <f t="shared" si="125"/>
        <v>92.083333333333329</v>
      </c>
      <c r="P1118" s="13">
        <v>1105</v>
      </c>
      <c r="Q1118" s="22">
        <v>3.8246951927980666E-2</v>
      </c>
      <c r="R1118" s="19">
        <f t="shared" si="126"/>
        <v>3.890755826943848E-2</v>
      </c>
      <c r="S1118" s="22">
        <v>4.2060372336322871E-2</v>
      </c>
      <c r="T1118" s="19">
        <f t="shared" si="127"/>
        <v>4.2995979762578962E-2</v>
      </c>
      <c r="U1118" s="24">
        <v>4.3486662867119774E-2</v>
      </c>
      <c r="V1118" s="24">
        <f t="shared" si="128"/>
        <v>4.2960296031716583E-2</v>
      </c>
      <c r="W1118" s="23">
        <f t="shared" si="129"/>
        <v>3.5114019914677108E-3</v>
      </c>
      <c r="X1118" s="24">
        <v>4.318553928169E-2</v>
      </c>
      <c r="Y1118" s="24">
        <f t="shared" si="130"/>
        <v>4.2987319516657907E-2</v>
      </c>
      <c r="Z1118" s="23">
        <f t="shared" si="131"/>
        <v>3.5135709169331619E-3</v>
      </c>
      <c r="AA1118" s="36"/>
    </row>
    <row r="1119" spans="15:27" ht="13.9" customHeight="1">
      <c r="O1119" s="12">
        <f t="shared" si="125"/>
        <v>92.166666666666671</v>
      </c>
      <c r="P1119" s="13">
        <v>1106</v>
      </c>
      <c r="Q1119" s="22">
        <v>3.8247549031469097E-2</v>
      </c>
      <c r="R1119" s="19">
        <f t="shared" si="126"/>
        <v>3.8907827572646436E-2</v>
      </c>
      <c r="S1119" s="22">
        <v>4.2061217895131398E-2</v>
      </c>
      <c r="T1119" s="19">
        <f t="shared" si="127"/>
        <v>4.2996013131009869E-2</v>
      </c>
      <c r="U1119" s="24">
        <v>4.3486186827772721E-2</v>
      </c>
      <c r="V1119" s="24">
        <f t="shared" si="128"/>
        <v>4.2960390973140639E-2</v>
      </c>
      <c r="W1119" s="23">
        <f t="shared" si="129"/>
        <v>3.5114096223096691E-3</v>
      </c>
      <c r="X1119" s="24">
        <v>4.3185360042465204E-2</v>
      </c>
      <c r="Y1119" s="24">
        <f t="shared" si="130"/>
        <v>4.2987387234569185E-2</v>
      </c>
      <c r="Z1119" s="23">
        <f t="shared" si="131"/>
        <v>3.5135763757268013E-3</v>
      </c>
      <c r="AA1119" s="36"/>
    </row>
    <row r="1120" spans="15:27" ht="13.9" customHeight="1">
      <c r="O1120" s="12">
        <f t="shared" si="125"/>
        <v>92.25</v>
      </c>
      <c r="P1120" s="13">
        <v>1107</v>
      </c>
      <c r="Q1120" s="22">
        <v>3.8248145299640823E-2</v>
      </c>
      <c r="R1120" s="19">
        <f t="shared" si="126"/>
        <v>3.890809464113798E-2</v>
      </c>
      <c r="S1120" s="22">
        <v>4.2062061957082175E-2</v>
      </c>
      <c r="T1120" s="19">
        <f t="shared" si="127"/>
        <v>4.2996046222857576E-2</v>
      </c>
      <c r="U1120" s="24">
        <v>4.3485711734503107E-2</v>
      </c>
      <c r="V1120" s="24">
        <f t="shared" si="128"/>
        <v>4.2960485687667527E-2</v>
      </c>
      <c r="W1120" s="23">
        <f t="shared" si="129"/>
        <v>3.5114172348396089E-3</v>
      </c>
      <c r="X1120" s="24">
        <v>4.3185181188283961E-2</v>
      </c>
      <c r="Y1120" s="24">
        <f t="shared" si="130"/>
        <v>4.2987454590726504E-2</v>
      </c>
      <c r="Z1120" s="23">
        <f t="shared" si="131"/>
        <v>3.5135818053104728E-3</v>
      </c>
      <c r="AA1120" s="36"/>
    </row>
    <row r="1121" spans="15:27" ht="13.9" customHeight="1">
      <c r="O1121" s="12">
        <f t="shared" si="125"/>
        <v>92.333333333333329</v>
      </c>
      <c r="P1121" s="13">
        <v>1108</v>
      </c>
      <c r="Q1121" s="22">
        <v>3.8248740732741204E-2</v>
      </c>
      <c r="R1121" s="19">
        <f t="shared" si="126"/>
        <v>3.8908359490611888E-2</v>
      </c>
      <c r="S1121" s="22">
        <v>4.206290452597683E-2</v>
      </c>
      <c r="T1121" s="19">
        <f t="shared" si="127"/>
        <v>4.2996079040004576E-2</v>
      </c>
      <c r="U1121" s="24">
        <v>4.3485237584543812E-2</v>
      </c>
      <c r="V1121" s="24">
        <f t="shared" si="128"/>
        <v>4.2960580179545849E-2</v>
      </c>
      <c r="W1121" s="23">
        <f t="shared" si="129"/>
        <v>3.5114248291761019E-3</v>
      </c>
      <c r="X1121" s="24">
        <v>4.3185002717776921E-2</v>
      </c>
      <c r="Y1121" s="24">
        <f t="shared" si="130"/>
        <v>4.2987521588596644E-2</v>
      </c>
      <c r="Z1121" s="23">
        <f t="shared" si="131"/>
        <v>3.5135872058884576E-3</v>
      </c>
      <c r="AA1121" s="36"/>
    </row>
    <row r="1122" spans="15:27" ht="13.9" customHeight="1">
      <c r="O1122" s="12">
        <f t="shared" si="125"/>
        <v>92.416666666666671</v>
      </c>
      <c r="P1122" s="13">
        <v>1109</v>
      </c>
      <c r="Q1122" s="22">
        <v>3.8249335331029144E-2</v>
      </c>
      <c r="R1122" s="19">
        <f t="shared" si="126"/>
        <v>3.8908622140927829E-2</v>
      </c>
      <c r="S1122" s="22">
        <v>4.2063745605604996E-2</v>
      </c>
      <c r="T1122" s="19">
        <f t="shared" si="127"/>
        <v>4.2996111584732821E-2</v>
      </c>
      <c r="U1122" s="24">
        <v>4.348476437514126E-2</v>
      </c>
      <c r="V1122" s="24">
        <f t="shared" si="128"/>
        <v>4.2960674442112046E-2</v>
      </c>
      <c r="W1122" s="23">
        <f t="shared" si="129"/>
        <v>3.5114324056595425E-3</v>
      </c>
      <c r="X1122" s="24">
        <v>4.3184824629583174E-2</v>
      </c>
      <c r="Y1122" s="24">
        <f t="shared" si="130"/>
        <v>4.298758822722748E-2</v>
      </c>
      <c r="Z1122" s="23">
        <f t="shared" si="131"/>
        <v>3.5135925777387556E-3</v>
      </c>
      <c r="AA1122" s="36"/>
    </row>
    <row r="1123" spans="15:27" ht="13.9" customHeight="1">
      <c r="O1123" s="12">
        <f t="shared" si="125"/>
        <v>92.5</v>
      </c>
      <c r="P1123" s="13">
        <v>1110</v>
      </c>
      <c r="Q1123" s="22">
        <v>3.8249929094780422E-2</v>
      </c>
      <c r="R1123" s="19">
        <f t="shared" si="126"/>
        <v>3.8908882610962925E-2</v>
      </c>
      <c r="S1123" s="22">
        <v>4.2064585199744764E-2</v>
      </c>
      <c r="T1123" s="19">
        <f t="shared" si="127"/>
        <v>4.2996143859043157E-2</v>
      </c>
      <c r="U1123" s="24">
        <v>4.3484292103546318E-2</v>
      </c>
      <c r="V1123" s="24">
        <f t="shared" si="128"/>
        <v>4.2960768477659839E-2</v>
      </c>
      <c r="W1123" s="23">
        <f t="shared" si="129"/>
        <v>3.5114399637559135E-3</v>
      </c>
      <c r="X1123" s="24">
        <v>4.3184646922345582E-2</v>
      </c>
      <c r="Y1123" s="24">
        <f t="shared" si="130"/>
        <v>4.2987654509721862E-2</v>
      </c>
      <c r="Z1123" s="23">
        <f t="shared" si="131"/>
        <v>3.5135979207852053E-3</v>
      </c>
      <c r="AA1123" s="36"/>
    </row>
    <row r="1124" spans="15:27" ht="13.9" customHeight="1">
      <c r="O1124" s="12">
        <f t="shared" si="125"/>
        <v>92.583333333333329</v>
      </c>
      <c r="P1124" s="13">
        <v>1111</v>
      </c>
      <c r="Q1124" s="22">
        <v>3.8250522024286582E-2</v>
      </c>
      <c r="R1124" s="19">
        <f t="shared" si="126"/>
        <v>3.8909140917524399E-2</v>
      </c>
      <c r="S1124" s="22">
        <v>4.2065423312162453E-2</v>
      </c>
      <c r="T1124" s="19">
        <f t="shared" si="127"/>
        <v>4.2996175865411157E-2</v>
      </c>
      <c r="U1124" s="24">
        <v>4.3483820767021175E-2</v>
      </c>
      <c r="V1124" s="24">
        <f t="shared" si="128"/>
        <v>4.296086228545315E-2</v>
      </c>
      <c r="W1124" s="23">
        <f t="shared" si="129"/>
        <v>3.5114475036490678E-3</v>
      </c>
      <c r="X1124" s="24">
        <v>4.3184469594714558E-2</v>
      </c>
      <c r="Y1124" s="24">
        <f t="shared" si="130"/>
        <v>4.2987720437922317E-2</v>
      </c>
      <c r="Z1124" s="23">
        <f t="shared" si="131"/>
        <v>3.5136032352767188E-3</v>
      </c>
      <c r="AA1124" s="36"/>
    </row>
    <row r="1125" spans="15:27" ht="13.9" customHeight="1">
      <c r="O1125" s="12">
        <f t="shared" si="125"/>
        <v>92.666666666666671</v>
      </c>
      <c r="P1125" s="13">
        <v>1112</v>
      </c>
      <c r="Q1125" s="22">
        <v>3.825111411985338E-2</v>
      </c>
      <c r="R1125" s="19">
        <f t="shared" si="126"/>
        <v>3.8909397080271191E-2</v>
      </c>
      <c r="S1125" s="22">
        <v>4.206625994661306E-2</v>
      </c>
      <c r="T1125" s="19">
        <f t="shared" si="127"/>
        <v>4.2996207606648129E-2</v>
      </c>
      <c r="U1125" s="24">
        <v>4.3483350362837792E-2</v>
      </c>
      <c r="V1125" s="24">
        <f t="shared" si="128"/>
        <v>4.2960955878194484E-2</v>
      </c>
      <c r="W1125" s="23">
        <f t="shared" si="129"/>
        <v>3.5114550252799415E-3</v>
      </c>
      <c r="X1125" s="24">
        <v>4.31842926453474E-2</v>
      </c>
      <c r="Y1125" s="24">
        <f t="shared" si="130"/>
        <v>4.29877860156338E-2</v>
      </c>
      <c r="Z1125" s="23">
        <f t="shared" si="131"/>
        <v>3.5136085213605117E-3</v>
      </c>
      <c r="AA1125" s="36"/>
    </row>
    <row r="1126" spans="15:27" ht="13.9" customHeight="1">
      <c r="O1126" s="12">
        <f t="shared" si="125"/>
        <v>92.75</v>
      </c>
      <c r="P1126" s="13">
        <v>1113</v>
      </c>
      <c r="Q1126" s="22">
        <v>3.8251705381803225E-2</v>
      </c>
      <c r="R1126" s="19">
        <f t="shared" si="126"/>
        <v>3.8909651115465627E-2</v>
      </c>
      <c r="S1126" s="22">
        <v>4.206709510684048E-2</v>
      </c>
      <c r="T1126" s="19">
        <f t="shared" si="127"/>
        <v>4.2996239084303278E-2</v>
      </c>
      <c r="U1126" s="24">
        <v>4.3482880888288999E-2</v>
      </c>
      <c r="V1126" s="24">
        <f t="shared" si="128"/>
        <v>4.296104924060451E-2</v>
      </c>
      <c r="W1126" s="23">
        <f t="shared" si="129"/>
        <v>3.5114625296670532E-3</v>
      </c>
      <c r="X1126" s="24">
        <v>4.3184116072909395E-2</v>
      </c>
      <c r="Y1126" s="24">
        <f t="shared" si="130"/>
        <v>4.2987851242831665E-2</v>
      </c>
      <c r="Z1126" s="23">
        <f t="shared" si="131"/>
        <v>3.5136137793423394E-3</v>
      </c>
      <c r="AA1126" s="36"/>
    </row>
    <row r="1127" spans="15:27" ht="13.9" customHeight="1">
      <c r="O1127" s="12">
        <f t="shared" si="125"/>
        <v>92.833333333333329</v>
      </c>
      <c r="P1127" s="13">
        <v>1114</v>
      </c>
      <c r="Q1127" s="22">
        <v>3.8252295810471848E-2</v>
      </c>
      <c r="R1127" s="19">
        <f t="shared" si="126"/>
        <v>3.8909903040593496E-2</v>
      </c>
      <c r="S1127" s="22">
        <v>4.2067928796576615E-2</v>
      </c>
      <c r="T1127" s="19">
        <f t="shared" si="127"/>
        <v>4.2996270300319495E-2</v>
      </c>
      <c r="U1127" s="24">
        <v>4.3482412340663856E-2</v>
      </c>
      <c r="V1127" s="24">
        <f t="shared" si="128"/>
        <v>4.2961142384373652E-2</v>
      </c>
      <c r="W1127" s="23">
        <f t="shared" si="129"/>
        <v>3.5114700155851608E-3</v>
      </c>
      <c r="X1127" s="24">
        <v>4.3183939876070498E-2</v>
      </c>
      <c r="Y1127" s="24">
        <f t="shared" si="130"/>
        <v>4.2987916120705405E-2</v>
      </c>
      <c r="Z1127" s="23">
        <f t="shared" si="131"/>
        <v>3.5136190092197594E-3</v>
      </c>
      <c r="AA1127" s="36"/>
    </row>
    <row r="1128" spans="15:27" ht="13.9" customHeight="1">
      <c r="O1128" s="12">
        <f t="shared" si="125"/>
        <v>92.916666666666671</v>
      </c>
      <c r="P1128" s="13">
        <v>1115</v>
      </c>
      <c r="Q1128" s="22">
        <v>3.8252885406209414E-2</v>
      </c>
      <c r="R1128" s="19">
        <f t="shared" si="126"/>
        <v>3.8910152875177406E-2</v>
      </c>
      <c r="S1128" s="22">
        <v>4.2068761019542045E-2</v>
      </c>
      <c r="T1128" s="19">
        <f t="shared" si="127"/>
        <v>4.2996301257766323E-2</v>
      </c>
      <c r="U1128" s="24">
        <v>4.3481944717271404E-2</v>
      </c>
      <c r="V1128" s="24">
        <f t="shared" si="128"/>
        <v>4.2961235296769207E-2</v>
      </c>
      <c r="W1128" s="23">
        <f t="shared" si="129"/>
        <v>3.5114774839719587E-3</v>
      </c>
      <c r="X1128" s="24">
        <v>4.3183764053506879E-2</v>
      </c>
      <c r="Y1128" s="24">
        <f t="shared" si="130"/>
        <v>4.2987980652047453E-2</v>
      </c>
      <c r="Z1128" s="23">
        <f t="shared" si="131"/>
        <v>3.513624211088251E-3</v>
      </c>
      <c r="AA1128" s="36"/>
    </row>
    <row r="1129" spans="15:27" ht="13.9" customHeight="1">
      <c r="O1129" s="12">
        <f t="shared" si="125"/>
        <v>93</v>
      </c>
      <c r="P1129" s="13">
        <v>1116</v>
      </c>
      <c r="Q1129" s="22">
        <v>3.8253474169382295E-2</v>
      </c>
      <c r="R1129" s="19">
        <f t="shared" si="126"/>
        <v>3.8910400634421194E-2</v>
      </c>
      <c r="S1129" s="22">
        <v>4.2069591779446247E-2</v>
      </c>
      <c r="T1129" s="19">
        <f t="shared" si="127"/>
        <v>4.2996331957676714E-2</v>
      </c>
      <c r="U1129" s="24">
        <v>4.3481478015418906E-2</v>
      </c>
      <c r="V1129" s="24">
        <f t="shared" si="128"/>
        <v>4.2961327992460996E-2</v>
      </c>
      <c r="W1129" s="23">
        <f t="shared" si="129"/>
        <v>3.5114849338060417E-3</v>
      </c>
      <c r="X1129" s="24">
        <v>4.318358860390159E-2</v>
      </c>
      <c r="Y1129" s="24">
        <f t="shared" si="130"/>
        <v>4.2988044839039175E-2</v>
      </c>
      <c r="Z1129" s="23">
        <f t="shared" si="131"/>
        <v>3.513629385171857E-3</v>
      </c>
      <c r="AA1129" s="36"/>
    </row>
    <row r="1130" spans="15:27" ht="13.9" customHeight="1">
      <c r="O1130" s="12">
        <f t="shared" si="125"/>
        <v>93.083333333333329</v>
      </c>
      <c r="P1130" s="13">
        <v>1117</v>
      </c>
      <c r="Q1130" s="22">
        <v>3.8254062100369302E-2</v>
      </c>
      <c r="R1130" s="19">
        <f t="shared" si="126"/>
        <v>3.8910646337650956E-2</v>
      </c>
      <c r="S1130" s="22">
        <v>4.2070421079986708E-2</v>
      </c>
      <c r="T1130" s="19">
        <f t="shared" si="127"/>
        <v>4.2996362403472377E-2</v>
      </c>
      <c r="U1130" s="24">
        <v>4.3481012232436944E-2</v>
      </c>
      <c r="V1130" s="24">
        <f t="shared" si="128"/>
        <v>4.2961420468888845E-2</v>
      </c>
      <c r="W1130" s="23">
        <f t="shared" si="129"/>
        <v>3.5114923662642461E-3</v>
      </c>
      <c r="X1130" s="24">
        <v>4.3183413525944569E-2</v>
      </c>
      <c r="Y1130" s="24">
        <f t="shared" si="130"/>
        <v>4.298810868393943E-2</v>
      </c>
      <c r="Z1130" s="23">
        <f t="shared" si="131"/>
        <v>3.5136345316451045E-3</v>
      </c>
      <c r="AA1130" s="36"/>
    </row>
    <row r="1131" spans="15:27" ht="13.9" customHeight="1">
      <c r="O1131" s="12">
        <f t="shared" si="125"/>
        <v>93.166666666666671</v>
      </c>
      <c r="P1131" s="13">
        <v>1118</v>
      </c>
      <c r="Q1131" s="22">
        <v>3.8254649199565005E-2</v>
      </c>
      <c r="R1131" s="19">
        <f t="shared" si="126"/>
        <v>3.8910889999176357E-2</v>
      </c>
      <c r="S1131" s="22">
        <v>4.207124892485048E-2</v>
      </c>
      <c r="T1131" s="19">
        <f t="shared" si="127"/>
        <v>4.2996392595821442E-2</v>
      </c>
      <c r="U1131" s="24">
        <v>4.3480547365662536E-2</v>
      </c>
      <c r="V1131" s="24">
        <f t="shared" si="128"/>
        <v>4.296151271608073E-2</v>
      </c>
      <c r="W1131" s="23">
        <f t="shared" si="129"/>
        <v>3.5114997811407367E-3</v>
      </c>
      <c r="X1131" s="24">
        <v>4.3183238818332415E-2</v>
      </c>
      <c r="Y1131" s="24">
        <f t="shared" si="130"/>
        <v>4.2988172187334417E-2</v>
      </c>
      <c r="Z1131" s="23">
        <f t="shared" si="131"/>
        <v>3.5136396506896261E-3</v>
      </c>
      <c r="AA1131" s="36"/>
    </row>
    <row r="1132" spans="15:27" ht="13.9" customHeight="1">
      <c r="O1132" s="12">
        <f t="shared" si="125"/>
        <v>93.25</v>
      </c>
      <c r="P1132" s="13">
        <v>1119</v>
      </c>
      <c r="Q1132" s="22">
        <v>3.8255235467375526E-2</v>
      </c>
      <c r="R1132" s="19">
        <f t="shared" si="126"/>
        <v>3.8911131638055485E-2</v>
      </c>
      <c r="S1132" s="22">
        <v>4.2072075317712399E-2</v>
      </c>
      <c r="T1132" s="19">
        <f t="shared" si="127"/>
        <v>4.299642253757141E-2</v>
      </c>
      <c r="U1132" s="24">
        <v>4.3480083412434034E-2</v>
      </c>
      <c r="V1132" s="24">
        <f t="shared" si="128"/>
        <v>4.2961604743795734E-2</v>
      </c>
      <c r="W1132" s="23">
        <f t="shared" si="129"/>
        <v>3.5115071776363749E-3</v>
      </c>
      <c r="X1132" s="24">
        <v>4.3183064479766831E-2</v>
      </c>
      <c r="Y1132" s="24">
        <f t="shared" si="130"/>
        <v>4.2988235350183368E-2</v>
      </c>
      <c r="Z1132" s="23">
        <f t="shared" si="131"/>
        <v>3.5136447423520512E-3</v>
      </c>
      <c r="AA1132" s="36"/>
    </row>
    <row r="1133" spans="15:27" ht="13.9" customHeight="1">
      <c r="O1133" s="12">
        <f t="shared" si="125"/>
        <v>93.333333333333329</v>
      </c>
      <c r="P1133" s="13">
        <v>1120</v>
      </c>
      <c r="Q1133" s="22">
        <v>3.8255820904222304E-2</v>
      </c>
      <c r="R1133" s="19">
        <f t="shared" si="126"/>
        <v>3.8911371271417305E-2</v>
      </c>
      <c r="S1133" s="22">
        <v>4.2072900262236423E-2</v>
      </c>
      <c r="T1133" s="19">
        <f t="shared" si="127"/>
        <v>4.2996452231224946E-2</v>
      </c>
      <c r="U1133" s="24">
        <v>4.3479620370107552E-2</v>
      </c>
      <c r="V1133" s="24">
        <f t="shared" si="128"/>
        <v>4.2961696551539807E-2</v>
      </c>
      <c r="W1133" s="23">
        <f t="shared" si="129"/>
        <v>3.5115145565334238E-3</v>
      </c>
      <c r="X1133" s="24">
        <v>4.3182890508955074E-2</v>
      </c>
      <c r="Y1133" s="24">
        <f t="shared" si="130"/>
        <v>4.2988298176197093E-2</v>
      </c>
      <c r="Z1133" s="23">
        <f t="shared" si="131"/>
        <v>3.5136498067096511E-3</v>
      </c>
      <c r="AA1133" s="36"/>
    </row>
    <row r="1134" spans="15:27" ht="13.9" customHeight="1">
      <c r="O1134" s="12">
        <f t="shared" si="125"/>
        <v>93.416666666666671</v>
      </c>
      <c r="P1134" s="13">
        <v>1121</v>
      </c>
      <c r="Q1134" s="22">
        <v>3.8256405510540548E-2</v>
      </c>
      <c r="R1134" s="19">
        <f t="shared" si="126"/>
        <v>3.8911608914459217E-2</v>
      </c>
      <c r="S1134" s="22">
        <v>4.2073723762075632E-2</v>
      </c>
      <c r="T1134" s="19">
        <f t="shared" si="127"/>
        <v>4.2996481678287957E-2</v>
      </c>
      <c r="U1134" s="24">
        <v>4.347915823604831E-2</v>
      </c>
      <c r="V1134" s="24">
        <f t="shared" si="128"/>
        <v>4.2961788147236835E-2</v>
      </c>
      <c r="W1134" s="23">
        <f t="shared" si="129"/>
        <v>3.5115219177921375E-3</v>
      </c>
      <c r="X1134" s="24">
        <v>4.3182716904612395E-2</v>
      </c>
      <c r="Y1134" s="24">
        <f t="shared" si="130"/>
        <v>4.2988360668149594E-2</v>
      </c>
      <c r="Z1134" s="23">
        <f t="shared" si="131"/>
        <v>3.5136548440595217E-3</v>
      </c>
      <c r="AA1134" s="36"/>
    </row>
    <row r="1135" spans="15:27" ht="13.9" customHeight="1">
      <c r="O1135" s="12">
        <f t="shared" si="125"/>
        <v>93.5</v>
      </c>
      <c r="P1135" s="13">
        <v>1122</v>
      </c>
      <c r="Q1135" s="22">
        <v>3.8256989286777898E-2</v>
      </c>
      <c r="R1135" s="19">
        <f t="shared" si="126"/>
        <v>3.8911844584550437E-2</v>
      </c>
      <c r="S1135" s="22">
        <v>4.2074545820871778E-2</v>
      </c>
      <c r="T1135" s="19">
        <f t="shared" si="127"/>
        <v>4.2996510880709771E-2</v>
      </c>
      <c r="U1135" s="24">
        <v>4.3478697007638178E-2</v>
      </c>
      <c r="V1135" s="24">
        <f t="shared" si="128"/>
        <v>4.2961879516094648E-2</v>
      </c>
      <c r="W1135" s="23">
        <f t="shared" si="129"/>
        <v>3.5115292620482297E-3</v>
      </c>
      <c r="X1135" s="24">
        <v>4.3182543665460926E-2</v>
      </c>
      <c r="Y1135" s="24">
        <f t="shared" si="130"/>
        <v>4.298842282569737E-2</v>
      </c>
      <c r="Z1135" s="23">
        <f t="shared" si="131"/>
        <v>3.5136598546243736E-3</v>
      </c>
      <c r="AA1135" s="36"/>
    </row>
    <row r="1136" spans="15:27" ht="13.9" customHeight="1">
      <c r="O1136" s="12">
        <f t="shared" si="125"/>
        <v>93.583333333333329</v>
      </c>
      <c r="P1136" s="13">
        <v>1123</v>
      </c>
      <c r="Q1136" s="22">
        <v>3.8257572233395321E-2</v>
      </c>
      <c r="R1136" s="19">
        <f t="shared" si="126"/>
        <v>3.8912078297001829E-2</v>
      </c>
      <c r="S1136" s="22">
        <v>4.2075366442255069E-2</v>
      </c>
      <c r="T1136" s="19">
        <f t="shared" si="127"/>
        <v>4.2996539841017034E-2</v>
      </c>
      <c r="U1136" s="24">
        <v>4.3478236682255034E-2</v>
      </c>
      <c r="V1136" s="24">
        <f t="shared" si="128"/>
        <v>4.2961970665384541E-2</v>
      </c>
      <c r="W1136" s="23">
        <f t="shared" si="129"/>
        <v>3.511536588115538E-3</v>
      </c>
      <c r="X1136" s="24">
        <v>4.3182370790227242E-2</v>
      </c>
      <c r="Y1136" s="24">
        <f t="shared" si="130"/>
        <v>4.298848465014049E-2</v>
      </c>
      <c r="Z1136" s="23">
        <f t="shared" si="131"/>
        <v>3.5136648383766733E-3</v>
      </c>
      <c r="AA1136" s="36"/>
    </row>
    <row r="1137" spans="15:27" ht="13.9" customHeight="1">
      <c r="O1137" s="12">
        <f t="shared" si="125"/>
        <v>93.666666666666671</v>
      </c>
      <c r="P1137" s="13">
        <v>1124</v>
      </c>
      <c r="Q1137" s="22">
        <v>3.8258154350865992E-2</v>
      </c>
      <c r="R1137" s="19">
        <f t="shared" si="126"/>
        <v>3.891231007030771E-2</v>
      </c>
      <c r="S1137" s="22">
        <v>4.2076185629845053E-2</v>
      </c>
      <c r="T1137" s="19">
        <f t="shared" si="127"/>
        <v>4.2996568560963233E-2</v>
      </c>
      <c r="U1137" s="24">
        <v>4.3477777257292516E-2</v>
      </c>
      <c r="V1137" s="24">
        <f t="shared" si="128"/>
        <v>4.2962061603904145E-2</v>
      </c>
      <c r="W1137" s="23">
        <f t="shared" si="129"/>
        <v>3.5115438965769297E-3</v>
      </c>
      <c r="X1137" s="24">
        <v>4.3182198277643469E-2</v>
      </c>
      <c r="Y1137" s="24">
        <f t="shared" si="130"/>
        <v>4.2988546145058315E-2</v>
      </c>
      <c r="Z1137" s="23">
        <f t="shared" si="131"/>
        <v>3.5136697954203377E-3</v>
      </c>
      <c r="AA1137" s="36"/>
    </row>
    <row r="1138" spans="15:27" ht="13.9" customHeight="1">
      <c r="O1138" s="12">
        <f t="shared" si="125"/>
        <v>93.75</v>
      </c>
      <c r="P1138" s="13">
        <v>1125</v>
      </c>
      <c r="Q1138" s="22">
        <v>3.8258735639677743E-2</v>
      </c>
      <c r="R1138" s="19">
        <f t="shared" si="126"/>
        <v>3.8912539918806166E-2</v>
      </c>
      <c r="S1138" s="22">
        <v>4.2077003387250178E-2</v>
      </c>
      <c r="T1138" s="19">
        <f t="shared" si="127"/>
        <v>4.299659704231984E-2</v>
      </c>
      <c r="U1138" s="24">
        <v>4.3477318730161363E-2</v>
      </c>
      <c r="V1138" s="24">
        <f t="shared" si="128"/>
        <v>4.2962152315718649E-2</v>
      </c>
      <c r="W1138" s="23">
        <f t="shared" si="129"/>
        <v>3.5115511881380623E-3</v>
      </c>
      <c r="X1138" s="24">
        <v>4.3182026126449502E-2</v>
      </c>
      <c r="Y1138" s="24">
        <f t="shared" si="130"/>
        <v>4.298860731223364E-2</v>
      </c>
      <c r="Z1138" s="23">
        <f t="shared" si="131"/>
        <v>3.5136747260429146E-3</v>
      </c>
      <c r="AA1138" s="36"/>
    </row>
    <row r="1139" spans="15:27" ht="13.9" customHeight="1">
      <c r="O1139" s="12">
        <f t="shared" si="125"/>
        <v>93.833333333333329</v>
      </c>
      <c r="P1139" s="13">
        <v>1126</v>
      </c>
      <c r="Q1139" s="22">
        <v>3.825931610032951E-2</v>
      </c>
      <c r="R1139" s="19">
        <f t="shared" si="126"/>
        <v>3.8912767858568786E-2</v>
      </c>
      <c r="S1139" s="22">
        <v>4.2077819718067566E-2</v>
      </c>
      <c r="T1139" s="19">
        <f t="shared" si="127"/>
        <v>4.2996625287262447E-2</v>
      </c>
      <c r="U1139" s="24">
        <v>4.3476861098267428E-2</v>
      </c>
      <c r="V1139" s="24">
        <f t="shared" si="128"/>
        <v>4.2962242818980201E-2</v>
      </c>
      <c r="W1139" s="23">
        <f t="shared" si="129"/>
        <v>3.5115584615210693E-3</v>
      </c>
      <c r="X1139" s="24">
        <v>4.3181854335391234E-2</v>
      </c>
      <c r="Y1139" s="24">
        <f t="shared" si="130"/>
        <v>4.2988668152410758E-2</v>
      </c>
      <c r="Z1139" s="23">
        <f t="shared" si="131"/>
        <v>3.5136796303867346E-3</v>
      </c>
      <c r="AA1139" s="36"/>
    </row>
    <row r="1140" spans="15:27" ht="13.9" customHeight="1">
      <c r="O1140" s="12">
        <f t="shared" si="125"/>
        <v>93.916666666666671</v>
      </c>
      <c r="P1140" s="13">
        <v>1127</v>
      </c>
      <c r="Q1140" s="22">
        <v>3.8259895733332661E-2</v>
      </c>
      <c r="R1140" s="19">
        <f t="shared" si="126"/>
        <v>3.8912993905954707E-2</v>
      </c>
      <c r="S1140" s="22">
        <v>4.2078634625883238E-2</v>
      </c>
      <c r="T1140" s="19">
        <f t="shared" si="127"/>
        <v>4.2996653297794785E-2</v>
      </c>
      <c r="U1140" s="24">
        <v>4.3476404359041876E-2</v>
      </c>
      <c r="V1140" s="24">
        <f t="shared" si="128"/>
        <v>4.2962333096979277E-2</v>
      </c>
      <c r="W1140" s="23">
        <f t="shared" si="129"/>
        <v>3.511565718181453E-3</v>
      </c>
      <c r="X1140" s="24">
        <v>4.3181682903219665E-2</v>
      </c>
      <c r="Y1140" s="24">
        <f t="shared" si="130"/>
        <v>4.2988728666697007E-2</v>
      </c>
      <c r="Z1140" s="23">
        <f t="shared" si="131"/>
        <v>3.5136845085119717E-3</v>
      </c>
      <c r="AA1140" s="36"/>
    </row>
    <row r="1141" spans="15:27" ht="13.9" customHeight="1">
      <c r="O1141" s="12">
        <f t="shared" si="125"/>
        <v>94</v>
      </c>
      <c r="P1141" s="13">
        <v>1128</v>
      </c>
      <c r="Q1141" s="22">
        <v>3.826047453921122E-2</v>
      </c>
      <c r="R1141" s="19">
        <f t="shared" si="126"/>
        <v>3.8913218076214395E-2</v>
      </c>
      <c r="S1141" s="22">
        <v>4.2079448114272777E-2</v>
      </c>
      <c r="T1141" s="19">
        <f t="shared" si="127"/>
        <v>4.2996681076176824E-2</v>
      </c>
      <c r="U1141" s="24">
        <v>4.3475948509910101E-2</v>
      </c>
      <c r="V1141" s="24">
        <f t="shared" si="128"/>
        <v>4.2962423166303276E-2</v>
      </c>
      <c r="W1141" s="23">
        <f t="shared" si="129"/>
        <v>3.5115729567793963E-3</v>
      </c>
      <c r="X1141" s="24">
        <v>4.3181511828691344E-2</v>
      </c>
      <c r="Y1141" s="24">
        <f t="shared" si="130"/>
        <v>4.298878885909474E-2</v>
      </c>
      <c r="Z1141" s="23">
        <f t="shared" si="131"/>
        <v>3.5136893605072217E-3</v>
      </c>
      <c r="AA1141" s="36"/>
    </row>
    <row r="1142" spans="15:27" ht="13.9" customHeight="1">
      <c r="O1142" s="12">
        <f t="shared" si="125"/>
        <v>94.083333333333329</v>
      </c>
      <c r="P1142" s="13">
        <v>1129</v>
      </c>
      <c r="Q1142" s="22">
        <v>3.8261052518500982E-2</v>
      </c>
      <c r="R1142" s="19">
        <f t="shared" si="126"/>
        <v>3.8913440386056486E-2</v>
      </c>
      <c r="S1142" s="22">
        <v>4.2080260186800666E-2</v>
      </c>
      <c r="T1142" s="19">
        <f t="shared" si="127"/>
        <v>4.299670862381455E-2</v>
      </c>
      <c r="U1142" s="24">
        <v>4.3475493548321476E-2</v>
      </c>
      <c r="V1142" s="24">
        <f t="shared" si="128"/>
        <v>4.2962513017344106E-2</v>
      </c>
      <c r="W1142" s="23">
        <f t="shared" si="129"/>
        <v>3.5115801786449463E-3</v>
      </c>
      <c r="X1142" s="24">
        <v>4.3181341110570592E-2</v>
      </c>
      <c r="Y1142" s="24">
        <f t="shared" si="130"/>
        <v>4.2988848729626161E-2</v>
      </c>
      <c r="Z1142" s="23">
        <f t="shared" si="131"/>
        <v>3.5136941866935612E-3</v>
      </c>
      <c r="AA1142" s="36"/>
    </row>
    <row r="1143" spans="15:27" ht="13.9" customHeight="1">
      <c r="O1143" s="12">
        <f t="shared" si="125"/>
        <v>94.166666666666671</v>
      </c>
      <c r="P1143" s="13">
        <v>1130</v>
      </c>
      <c r="Q1143" s="22">
        <v>3.8261629671750397E-2</v>
      </c>
      <c r="R1143" s="19">
        <f t="shared" si="126"/>
        <v>3.8913660849435816E-2</v>
      </c>
      <c r="S1143" s="22">
        <v>4.2081070847020285E-2</v>
      </c>
      <c r="T1143" s="19">
        <f t="shared" si="127"/>
        <v>4.2996735942621767E-2</v>
      </c>
      <c r="U1143" s="24">
        <v>4.3475039471725596E-2</v>
      </c>
      <c r="V1143" s="24">
        <f t="shared" si="128"/>
        <v>4.2962602653451087E-2</v>
      </c>
      <c r="W1143" s="23">
        <f t="shared" si="129"/>
        <v>3.5115873830078304E-3</v>
      </c>
      <c r="X1143" s="24">
        <v>4.3181170747626174E-2</v>
      </c>
      <c r="Y1143" s="24">
        <f t="shared" si="130"/>
        <v>4.2988908279869786E-2</v>
      </c>
      <c r="Z1143" s="23">
        <f t="shared" si="131"/>
        <v>3.5136989870723223E-3</v>
      </c>
      <c r="AA1143" s="36"/>
    </row>
    <row r="1144" spans="15:27" ht="13.9" customHeight="1">
      <c r="O1144" s="12">
        <f t="shared" si="125"/>
        <v>94.25</v>
      </c>
      <c r="P1144" s="13">
        <v>1131</v>
      </c>
      <c r="Q1144" s="22">
        <v>3.8262205999518351E-2</v>
      </c>
      <c r="R1144" s="19">
        <f t="shared" si="126"/>
        <v>3.8913879482305846E-2</v>
      </c>
      <c r="S1144" s="22">
        <v>4.2081880098473912E-2</v>
      </c>
      <c r="T1144" s="19">
        <f t="shared" si="127"/>
        <v>4.2996763034373719E-2</v>
      </c>
      <c r="U1144" s="24">
        <v>4.3474586277584493E-2</v>
      </c>
      <c r="V1144" s="24">
        <f t="shared" si="128"/>
        <v>4.2962692072211039E-2</v>
      </c>
      <c r="W1144" s="23">
        <f t="shared" si="129"/>
        <v>3.5115945701365003E-3</v>
      </c>
      <c r="X1144" s="24">
        <v>4.3181000738632624E-2</v>
      </c>
      <c r="Y1144" s="24">
        <f t="shared" si="130"/>
        <v>4.2988967511595977E-2</v>
      </c>
      <c r="Z1144" s="23">
        <f t="shared" si="131"/>
        <v>3.5137037617705147E-3</v>
      </c>
      <c r="AA1144" s="36"/>
    </row>
    <row r="1145" spans="15:27" ht="13.9" customHeight="1">
      <c r="O1145" s="12">
        <f t="shared" si="125"/>
        <v>94.333333333333329</v>
      </c>
      <c r="P1145" s="13">
        <v>1132</v>
      </c>
      <c r="Q1145" s="22">
        <v>3.8262781502375942E-2</v>
      </c>
      <c r="R1145" s="19">
        <f t="shared" si="126"/>
        <v>3.8914096300106227E-2</v>
      </c>
      <c r="S1145" s="22">
        <v>4.2082687944693165E-2</v>
      </c>
      <c r="T1145" s="19">
        <f t="shared" si="127"/>
        <v>4.2996789901629251E-2</v>
      </c>
      <c r="U1145" s="24">
        <v>4.3474133963366635E-2</v>
      </c>
      <c r="V1145" s="24">
        <f t="shared" si="128"/>
        <v>4.296278127453812E-2</v>
      </c>
      <c r="W1145" s="23">
        <f t="shared" si="129"/>
        <v>3.5116017398373334E-3</v>
      </c>
      <c r="X1145" s="24">
        <v>4.3180831082370474E-2</v>
      </c>
      <c r="Y1145" s="24">
        <f t="shared" si="130"/>
        <v>4.2989026427762367E-2</v>
      </c>
      <c r="Z1145" s="23">
        <f t="shared" si="131"/>
        <v>3.5137085109300248E-3</v>
      </c>
      <c r="AA1145" s="36"/>
    </row>
    <row r="1146" spans="15:27" ht="13.9" customHeight="1">
      <c r="O1146" s="12">
        <f t="shared" si="125"/>
        <v>94.416666666666671</v>
      </c>
      <c r="P1146" s="13">
        <v>1133</v>
      </c>
      <c r="Q1146" s="22">
        <v>3.8263356180906039E-2</v>
      </c>
      <c r="R1146" s="19">
        <f t="shared" si="126"/>
        <v>3.8914311317846506E-2</v>
      </c>
      <c r="S1146" s="22">
        <v>4.2083494389199227E-2</v>
      </c>
      <c r="T1146" s="19">
        <f t="shared" si="127"/>
        <v>4.2996816546293282E-2</v>
      </c>
      <c r="U1146" s="24">
        <v>4.3473682526550261E-2</v>
      </c>
      <c r="V1146" s="24">
        <f t="shared" si="128"/>
        <v>4.2962870273389298E-2</v>
      </c>
      <c r="W1146" s="23">
        <f t="shared" si="129"/>
        <v>3.5116088921838262E-3</v>
      </c>
      <c r="X1146" s="24">
        <v>4.3180661777627138E-2</v>
      </c>
      <c r="Y1146" s="24">
        <f t="shared" si="130"/>
        <v>4.2989085029622842E-2</v>
      </c>
      <c r="Z1146" s="23">
        <f t="shared" si="131"/>
        <v>3.5137132347877742E-3</v>
      </c>
      <c r="AA1146" s="36"/>
    </row>
    <row r="1147" spans="15:27" ht="13.9" customHeight="1">
      <c r="O1147" s="12">
        <f t="shared" si="125"/>
        <v>94.5</v>
      </c>
      <c r="P1147" s="13">
        <v>1134</v>
      </c>
      <c r="Q1147" s="22">
        <v>3.8263930035702165E-2</v>
      </c>
      <c r="R1147" s="19">
        <f t="shared" si="126"/>
        <v>3.8914524551225238E-2</v>
      </c>
      <c r="S1147" s="22">
        <v>4.2084299435502626E-2</v>
      </c>
      <c r="T1147" s="19">
        <f t="shared" si="127"/>
        <v>4.2996842969121873E-2</v>
      </c>
      <c r="U1147" s="24">
        <v>4.3473231964634262E-2</v>
      </c>
      <c r="V1147" s="24">
        <f t="shared" si="128"/>
        <v>4.296295905210501E-2</v>
      </c>
      <c r="W1147" s="23">
        <f t="shared" si="129"/>
        <v>3.5116160282147035E-3</v>
      </c>
      <c r="X1147" s="24">
        <v>4.3180492823195138E-2</v>
      </c>
      <c r="Y1147" s="24">
        <f t="shared" si="130"/>
        <v>4.2989143317029743E-2</v>
      </c>
      <c r="Z1147" s="23">
        <f t="shared" si="131"/>
        <v>3.5137179334445712E-3</v>
      </c>
      <c r="AA1147" s="36"/>
    </row>
    <row r="1148" spans="15:27" ht="13.9" customHeight="1">
      <c r="O1148" s="12">
        <f t="shared" si="125"/>
        <v>94.583333333333329</v>
      </c>
      <c r="P1148" s="13">
        <v>1135</v>
      </c>
      <c r="Q1148" s="22">
        <v>3.8264503067370059E-2</v>
      </c>
      <c r="R1148" s="19">
        <f t="shared" si="126"/>
        <v>3.8914736012363615E-2</v>
      </c>
      <c r="S1148" s="22">
        <v>4.2085103087102116E-2</v>
      </c>
      <c r="T1148" s="19">
        <f t="shared" si="127"/>
        <v>4.2996869172271079E-2</v>
      </c>
      <c r="U1148" s="24">
        <v>4.347278227511131E-2</v>
      </c>
      <c r="V1148" s="24">
        <f t="shared" si="128"/>
        <v>4.2963047612685656E-2</v>
      </c>
      <c r="W1148" s="23">
        <f t="shared" si="129"/>
        <v>3.5116231465945891E-3</v>
      </c>
      <c r="X1148" s="24">
        <v>4.3180324217871435E-2</v>
      </c>
      <c r="Y1148" s="24">
        <f t="shared" si="130"/>
        <v>4.2989201293800017E-2</v>
      </c>
      <c r="Z1148" s="23">
        <f t="shared" si="131"/>
        <v>3.5137226068884253E-3</v>
      </c>
      <c r="AA1148" s="36"/>
    </row>
    <row r="1149" spans="15:27" ht="13.9" customHeight="1">
      <c r="O1149" s="12">
        <f t="shared" si="125"/>
        <v>94.666666666666671</v>
      </c>
      <c r="P1149" s="13">
        <v>1136</v>
      </c>
      <c r="Q1149" s="22">
        <v>3.8265075276523897E-2</v>
      </c>
      <c r="R1149" s="19">
        <f t="shared" si="126"/>
        <v>3.8914945719171534E-2</v>
      </c>
      <c r="S1149" s="22">
        <v>4.2085905347486241E-2</v>
      </c>
      <c r="T1149" s="19">
        <f t="shared" si="127"/>
        <v>4.299689515907934E-2</v>
      </c>
      <c r="U1149" s="24">
        <v>4.3472333455484957E-2</v>
      </c>
      <c r="V1149" s="24">
        <f t="shared" si="128"/>
        <v>4.2963135971953337E-2</v>
      </c>
      <c r="W1149" s="23">
        <f t="shared" si="129"/>
        <v>3.5116302474833549E-3</v>
      </c>
      <c r="X1149" s="24">
        <v>4.3180155960460542E-2</v>
      </c>
      <c r="Y1149" s="24">
        <f t="shared" si="130"/>
        <v>4.298925896181971E-2</v>
      </c>
      <c r="Z1149" s="23">
        <f t="shared" si="131"/>
        <v>3.5137272554253141E-3</v>
      </c>
      <c r="AA1149" s="36"/>
    </row>
    <row r="1150" spans="15:27" ht="13.9" customHeight="1">
      <c r="O1150" s="12">
        <f t="shared" si="125"/>
        <v>94.75</v>
      </c>
      <c r="P1150" s="13">
        <v>1137</v>
      </c>
      <c r="Q1150" s="22">
        <v>3.8265646663791175E-2</v>
      </c>
      <c r="R1150" s="19">
        <f t="shared" si="126"/>
        <v>3.8915153684148773E-2</v>
      </c>
      <c r="S1150" s="22">
        <v>4.2086706220133996E-2</v>
      </c>
      <c r="T1150" s="19">
        <f t="shared" si="127"/>
        <v>4.2996920929627036E-2</v>
      </c>
      <c r="U1150" s="24">
        <v>4.3471885503282071E-2</v>
      </c>
      <c r="V1150" s="24">
        <f t="shared" si="128"/>
        <v>4.2963224118009569E-2</v>
      </c>
      <c r="W1150" s="23">
        <f t="shared" si="129"/>
        <v>3.5116373322301442E-3</v>
      </c>
      <c r="X1150" s="24">
        <v>4.3179988049772744E-2</v>
      </c>
      <c r="Y1150" s="24">
        <f t="shared" si="130"/>
        <v>4.298931632157954E-2</v>
      </c>
      <c r="Z1150" s="23">
        <f t="shared" si="131"/>
        <v>3.5137318792066718E-3</v>
      </c>
      <c r="AA1150" s="36"/>
    </row>
    <row r="1151" spans="15:27" ht="13.9" customHeight="1">
      <c r="O1151" s="12">
        <f t="shared" si="125"/>
        <v>94.833333333333329</v>
      </c>
      <c r="P1151" s="13">
        <v>1138</v>
      </c>
      <c r="Q1151" s="22">
        <v>3.8266217229808497E-2</v>
      </c>
      <c r="R1151" s="19">
        <f t="shared" si="126"/>
        <v>3.8915359923839876E-2</v>
      </c>
      <c r="S1151" s="22">
        <v>4.2087505708512385E-2</v>
      </c>
      <c r="T1151" s="19">
        <f t="shared" si="127"/>
        <v>4.299694648620056E-2</v>
      </c>
      <c r="U1151" s="24">
        <v>4.3471438416027963E-2</v>
      </c>
      <c r="V1151" s="24">
        <f t="shared" si="128"/>
        <v>4.2963312053852176E-2</v>
      </c>
      <c r="W1151" s="23">
        <f t="shared" si="129"/>
        <v>3.5116443998808311E-3</v>
      </c>
      <c r="X1151" s="24">
        <v>4.3179820484622988E-2</v>
      </c>
      <c r="Y1151" s="24">
        <f t="shared" si="130"/>
        <v>4.2989373373873541E-2</v>
      </c>
      <c r="Z1151" s="23">
        <f t="shared" si="131"/>
        <v>3.5137364782718006E-3</v>
      </c>
      <c r="AA1151" s="36"/>
    </row>
    <row r="1152" spans="15:27" ht="13.9" customHeight="1">
      <c r="O1152" s="12">
        <f t="shared" si="125"/>
        <v>94.916666666666671</v>
      </c>
      <c r="P1152" s="13">
        <v>1139</v>
      </c>
      <c r="Q1152" s="22">
        <v>3.8266786975224454E-2</v>
      </c>
      <c r="R1152" s="19">
        <f t="shared" si="126"/>
        <v>3.8915564449824247E-2</v>
      </c>
      <c r="S1152" s="22">
        <v>4.2088303816077977E-2</v>
      </c>
      <c r="T1152" s="19">
        <f t="shared" si="127"/>
        <v>4.2996971830659758E-2</v>
      </c>
      <c r="U1152" s="24">
        <v>4.347099219125905E-2</v>
      </c>
      <c r="V1152" s="24">
        <f t="shared" si="128"/>
        <v>4.2963399771960731E-2</v>
      </c>
      <c r="W1152" s="23">
        <f t="shared" si="129"/>
        <v>3.51165145067589E-3</v>
      </c>
      <c r="X1152" s="24">
        <v>4.3179653263831108E-2</v>
      </c>
      <c r="Y1152" s="24">
        <f t="shared" si="130"/>
        <v>4.2989430122728711E-2</v>
      </c>
      <c r="Z1152" s="23">
        <f t="shared" si="131"/>
        <v>3.513741052684205E-3</v>
      </c>
      <c r="AA1152" s="36"/>
    </row>
    <row r="1153" spans="15:27" ht="13.9" customHeight="1">
      <c r="O1153" s="12">
        <f t="shared" si="125"/>
        <v>95</v>
      </c>
      <c r="P1153" s="13">
        <v>1140</v>
      </c>
      <c r="Q1153" s="22">
        <v>3.8267355900695632E-2</v>
      </c>
      <c r="R1153" s="19">
        <f t="shared" si="126"/>
        <v>3.8915767278131286E-2</v>
      </c>
      <c r="S1153" s="22">
        <v>4.2089100546277125E-2</v>
      </c>
      <c r="T1153" s="19">
        <f t="shared" si="127"/>
        <v>4.2996996964881129E-2</v>
      </c>
      <c r="U1153" s="24">
        <v>4.3470546826514189E-2</v>
      </c>
      <c r="V1153" s="24">
        <f t="shared" si="128"/>
        <v>4.296348728523669E-2</v>
      </c>
      <c r="W1153" s="23">
        <f t="shared" si="129"/>
        <v>3.5116584840122478E-3</v>
      </c>
      <c r="X1153" s="24">
        <v>4.3179486386224486E-2</v>
      </c>
      <c r="Y1153" s="24">
        <f t="shared" si="130"/>
        <v>4.2989486567394541E-2</v>
      </c>
      <c r="Z1153" s="23">
        <f t="shared" si="131"/>
        <v>3.513745602766738E-3</v>
      </c>
      <c r="AA1153" s="36"/>
    </row>
    <row r="1154" spans="15:27" ht="13.9" customHeight="1">
      <c r="O1154" s="12">
        <f t="shared" si="125"/>
        <v>95.083333333333329</v>
      </c>
      <c r="P1154" s="13">
        <v>1141</v>
      </c>
      <c r="Q1154" s="22">
        <v>3.8267924006890608E-2</v>
      </c>
      <c r="R1154" s="19">
        <f t="shared" si="126"/>
        <v>3.8915968422111202E-2</v>
      </c>
      <c r="S1154" s="22">
        <v>4.2089895902545749E-2</v>
      </c>
      <c r="T1154" s="19">
        <f t="shared" si="127"/>
        <v>4.2997021890999632E-2</v>
      </c>
      <c r="U1154" s="24">
        <v>4.3470102319351778E-2</v>
      </c>
      <c r="V1154" s="24">
        <f t="shared" si="128"/>
        <v>4.2963574592645548E-2</v>
      </c>
      <c r="W1154" s="23">
        <f t="shared" si="129"/>
        <v>3.5116655009241882E-3</v>
      </c>
      <c r="X1154" s="24">
        <v>4.3179319850634057E-2</v>
      </c>
      <c r="Y1154" s="24">
        <f t="shared" si="130"/>
        <v>4.2989542712581041E-2</v>
      </c>
      <c r="Z1154" s="23">
        <f t="shared" si="131"/>
        <v>3.5137501284596695E-3</v>
      </c>
      <c r="AA1154" s="36"/>
    </row>
    <row r="1155" spans="15:27" ht="13.9" customHeight="1">
      <c r="O1155" s="12">
        <f t="shared" si="125"/>
        <v>95.166666666666671</v>
      </c>
      <c r="P1155" s="13">
        <v>1142</v>
      </c>
      <c r="Q1155" s="22">
        <v>3.8268491294486839E-2</v>
      </c>
      <c r="R1155" s="19">
        <f t="shared" si="126"/>
        <v>3.8916167897285581E-2</v>
      </c>
      <c r="S1155" s="22">
        <v>4.2090689888309329E-2</v>
      </c>
      <c r="T1155" s="19">
        <f t="shared" si="127"/>
        <v>4.2997046609228429E-2</v>
      </c>
      <c r="U1155" s="24">
        <v>4.3469658667337985E-2</v>
      </c>
      <c r="V1155" s="24">
        <f t="shared" si="128"/>
        <v>4.2963661685801569E-2</v>
      </c>
      <c r="W1155" s="23">
        <f t="shared" si="129"/>
        <v>3.5116725013291106E-3</v>
      </c>
      <c r="X1155" s="24">
        <v>4.3179153655899194E-2</v>
      </c>
      <c r="Y1155" s="24">
        <f t="shared" si="130"/>
        <v>4.2989598556033792E-2</v>
      </c>
      <c r="Z1155" s="23">
        <f t="shared" si="131"/>
        <v>3.5137546301400313E-3</v>
      </c>
      <c r="AA1155" s="36"/>
    </row>
    <row r="1156" spans="15:27" ht="13.9" customHeight="1">
      <c r="O1156" s="12">
        <f t="shared" si="125"/>
        <v>95.25</v>
      </c>
      <c r="P1156" s="13">
        <v>1143</v>
      </c>
      <c r="Q1156" s="22">
        <v>3.8269057764173331E-2</v>
      </c>
      <c r="R1156" s="19">
        <f t="shared" si="126"/>
        <v>3.8916365715863988E-2</v>
      </c>
      <c r="S1156" s="22">
        <v>4.2091482506981803E-2</v>
      </c>
      <c r="T1156" s="19">
        <f t="shared" si="127"/>
        <v>4.2997071122037989E-2</v>
      </c>
      <c r="U1156" s="24">
        <v>4.3469215868040312E-2</v>
      </c>
      <c r="V1156" s="24">
        <f t="shared" si="128"/>
        <v>4.2963748561853476E-2</v>
      </c>
      <c r="W1156" s="23">
        <f t="shared" si="129"/>
        <v>3.5116794845544419E-3</v>
      </c>
      <c r="X1156" s="24">
        <v>4.3178987800860824E-2</v>
      </c>
      <c r="Y1156" s="24">
        <f t="shared" si="130"/>
        <v>4.2989654099875096E-2</v>
      </c>
      <c r="Z1156" s="23">
        <f t="shared" si="131"/>
        <v>3.5137591076275232E-3</v>
      </c>
      <c r="AA1156" s="36"/>
    </row>
    <row r="1157" spans="15:27" ht="13.9" customHeight="1">
      <c r="O1157" s="12">
        <f t="shared" si="125"/>
        <v>95.333333333333329</v>
      </c>
      <c r="P1157" s="13">
        <v>1144</v>
      </c>
      <c r="Q1157" s="22">
        <v>3.8269623416647081E-2</v>
      </c>
      <c r="R1157" s="19">
        <f t="shared" si="126"/>
        <v>3.8916561891375601E-2</v>
      </c>
      <c r="S1157" s="22">
        <v>4.2092273761967336E-2</v>
      </c>
      <c r="T1157" s="19">
        <f t="shared" si="127"/>
        <v>4.2997095432775412E-2</v>
      </c>
      <c r="U1157" s="24">
        <v>4.3468773919032033E-2</v>
      </c>
      <c r="V1157" s="24">
        <f t="shared" si="128"/>
        <v>4.2963835253179594E-2</v>
      </c>
      <c r="W1157" s="23">
        <f t="shared" si="129"/>
        <v>3.5116864503714762E-3</v>
      </c>
      <c r="X1157" s="24">
        <v>4.3178822284366314E-2</v>
      </c>
      <c r="Y1157" s="24">
        <f t="shared" si="130"/>
        <v>4.2989709351180627E-2</v>
      </c>
      <c r="Z1157" s="23">
        <f t="shared" si="131"/>
        <v>3.5137635610922313E-3</v>
      </c>
      <c r="AA1157" s="36"/>
    </row>
    <row r="1158" spans="15:27" ht="13.9" customHeight="1">
      <c r="O1158" s="12">
        <f t="shared" si="125"/>
        <v>95.416666666666671</v>
      </c>
      <c r="P1158" s="13">
        <v>1145</v>
      </c>
      <c r="Q1158" s="22">
        <v>3.8270188252614634E-2</v>
      </c>
      <c r="R1158" s="19">
        <f t="shared" si="126"/>
        <v>3.8916756438719835E-2</v>
      </c>
      <c r="S1158" s="22">
        <v>4.2093063656660989E-2</v>
      </c>
      <c r="T1158" s="19">
        <f t="shared" si="127"/>
        <v>4.2997119540645334E-2</v>
      </c>
      <c r="U1158" s="24">
        <v>4.3468332817923283E-2</v>
      </c>
      <c r="V1158" s="24">
        <f t="shared" si="128"/>
        <v>4.2963921710821751E-2</v>
      </c>
      <c r="W1158" s="23">
        <f t="shared" si="129"/>
        <v>3.511693401376581E-3</v>
      </c>
      <c r="X1158" s="24">
        <v>4.31786571052728E-2</v>
      </c>
      <c r="Y1158" s="24">
        <f t="shared" si="130"/>
        <v>4.2989764303302147E-2</v>
      </c>
      <c r="Z1158" s="23">
        <f t="shared" si="131"/>
        <v>3.5137679911012576E-3</v>
      </c>
      <c r="AA1158" s="36"/>
    </row>
    <row r="1159" spans="15:27" ht="13.9" customHeight="1">
      <c r="O1159" s="12">
        <f t="shared" si="125"/>
        <v>95.5</v>
      </c>
      <c r="P1159" s="13">
        <v>1146</v>
      </c>
      <c r="Q1159" s="22">
        <v>3.8270752272793196E-2</v>
      </c>
      <c r="R1159" s="19">
        <f t="shared" si="126"/>
        <v>3.8916949371038179E-2</v>
      </c>
      <c r="S1159" s="22">
        <v>4.2093852194445391E-2</v>
      </c>
      <c r="T1159" s="19">
        <f t="shared" si="127"/>
        <v>4.2997143449104991E-2</v>
      </c>
      <c r="U1159" s="24">
        <v>4.346789256229E-2</v>
      </c>
      <c r="V1159" s="24">
        <f t="shared" si="128"/>
        <v>4.2964007981143082E-2</v>
      </c>
      <c r="W1159" s="23">
        <f t="shared" si="129"/>
        <v>3.5117003336440078E-3</v>
      </c>
      <c r="X1159" s="24">
        <v>4.3178492262436086E-2</v>
      </c>
      <c r="Y1159" s="24">
        <f t="shared" si="130"/>
        <v>4.298981896415377E-2</v>
      </c>
      <c r="Z1159" s="23">
        <f t="shared" si="131"/>
        <v>3.513772397121917E-3</v>
      </c>
      <c r="AA1159" s="36"/>
    </row>
    <row r="1160" spans="15:27" ht="13.9" customHeight="1">
      <c r="O1160" s="12">
        <f t="shared" si="125"/>
        <v>95.583333333333329</v>
      </c>
      <c r="P1160" s="13">
        <v>1147</v>
      </c>
      <c r="Q1160" s="22">
        <v>3.827131547790863E-2</v>
      </c>
      <c r="R1160" s="19">
        <f t="shared" si="126"/>
        <v>3.8917140701957065E-2</v>
      </c>
      <c r="S1160" s="22">
        <v>4.2094639378694287E-2</v>
      </c>
      <c r="T1160" s="19">
        <f t="shared" si="127"/>
        <v>4.2997167157770244E-2</v>
      </c>
      <c r="U1160" s="24">
        <v>4.3467453149756752E-2</v>
      </c>
      <c r="V1160" s="24">
        <f t="shared" si="128"/>
        <v>4.2964094026111788E-2</v>
      </c>
      <c r="W1160" s="23">
        <f t="shared" si="129"/>
        <v>3.5117072508914493E-3</v>
      </c>
      <c r="X1160" s="24">
        <v>4.3178327754722412E-2</v>
      </c>
      <c r="Y1160" s="24">
        <f t="shared" si="130"/>
        <v>4.2989873331677808E-2</v>
      </c>
      <c r="Z1160" s="23">
        <f t="shared" si="131"/>
        <v>3.513776779788369E-3</v>
      </c>
      <c r="AA1160" s="36"/>
    </row>
    <row r="1161" spans="15:27" ht="13.9" customHeight="1">
      <c r="O1161" s="12">
        <f t="shared" si="125"/>
        <v>95.666666666666671</v>
      </c>
      <c r="P1161" s="13">
        <v>1148</v>
      </c>
      <c r="Q1161" s="22">
        <v>3.8271877868696125E-2</v>
      </c>
      <c r="R1161" s="19">
        <f t="shared" si="126"/>
        <v>3.8917330443424492E-2</v>
      </c>
      <c r="S1161" s="22">
        <v>4.2095425212769433E-2</v>
      </c>
      <c r="T1161" s="19">
        <f t="shared" si="127"/>
        <v>4.2997190671366647E-2</v>
      </c>
      <c r="U1161" s="24">
        <v>4.3467014577923235E-2</v>
      </c>
      <c r="V1161" s="24">
        <f t="shared" si="128"/>
        <v>4.2964179884005471E-2</v>
      </c>
      <c r="W1161" s="23">
        <f t="shared" si="129"/>
        <v>3.511714150069345E-3</v>
      </c>
      <c r="X1161" s="24">
        <v>4.3178163581000462E-2</v>
      </c>
      <c r="Y1161" s="24">
        <f t="shared" si="130"/>
        <v>4.2989927409886608E-2</v>
      </c>
      <c r="Z1161" s="23">
        <f t="shared" si="131"/>
        <v>3.5137811389360785E-3</v>
      </c>
      <c r="AA1161" s="36"/>
    </row>
    <row r="1162" spans="15:27" ht="13.9" customHeight="1">
      <c r="O1162" s="12">
        <f t="shared" si="125"/>
        <v>95.75</v>
      </c>
      <c r="P1162" s="13">
        <v>1149</v>
      </c>
      <c r="Q1162" s="22">
        <v>3.8272439445899087E-2</v>
      </c>
      <c r="R1162" s="19">
        <f t="shared" si="126"/>
        <v>3.8917518609564272E-2</v>
      </c>
      <c r="S1162" s="22">
        <v>4.2096209700024811E-2</v>
      </c>
      <c r="T1162" s="19">
        <f t="shared" si="127"/>
        <v>4.2997213989552252E-2</v>
      </c>
      <c r="U1162" s="24">
        <v>4.3466576844431115E-2</v>
      </c>
      <c r="V1162" s="24">
        <f t="shared" si="128"/>
        <v>4.2964265535988533E-2</v>
      </c>
      <c r="W1162" s="23">
        <f t="shared" si="129"/>
        <v>3.5117210342467953E-3</v>
      </c>
      <c r="X1162" s="24">
        <v>4.3177999740146245E-2</v>
      </c>
      <c r="Y1162" s="24">
        <f t="shared" si="130"/>
        <v>4.2989981200943994E-2</v>
      </c>
      <c r="Z1162" s="23">
        <f t="shared" si="131"/>
        <v>3.513785474886344E-3</v>
      </c>
      <c r="AA1162" s="36"/>
    </row>
    <row r="1163" spans="15:27" ht="13.9" customHeight="1">
      <c r="O1163" s="12">
        <f t="shared" si="125"/>
        <v>95.833333333333329</v>
      </c>
      <c r="P1163" s="13">
        <v>1150</v>
      </c>
      <c r="Q1163" s="22">
        <v>3.8273000210270247E-2</v>
      </c>
      <c r="R1163" s="19">
        <f t="shared" si="126"/>
        <v>3.891770521485638E-2</v>
      </c>
      <c r="S1163" s="22">
        <v>4.2096992843802861E-2</v>
      </c>
      <c r="T1163" s="19">
        <f t="shared" si="127"/>
        <v>4.2997237112828435E-2</v>
      </c>
      <c r="U1163" s="24">
        <v>4.3466139946913618E-2</v>
      </c>
      <c r="V1163" s="24">
        <f t="shared" si="128"/>
        <v>4.2964350964711517E-2</v>
      </c>
      <c r="W1163" s="23">
        <f t="shared" si="129"/>
        <v>3.5117279019134529E-3</v>
      </c>
      <c r="X1163" s="24">
        <v>4.3177836231041544E-2</v>
      </c>
      <c r="Y1163" s="24">
        <f t="shared" si="130"/>
        <v>4.2990034699981194E-2</v>
      </c>
      <c r="Z1163" s="23">
        <f t="shared" si="131"/>
        <v>3.5137897878128044E-3</v>
      </c>
      <c r="AA1163" s="36"/>
    </row>
    <row r="1164" spans="15:27" ht="13.9" customHeight="1">
      <c r="O1164" s="12">
        <f t="shared" si="125"/>
        <v>95.916666666666671</v>
      </c>
      <c r="P1164" s="13">
        <v>1151</v>
      </c>
      <c r="Q1164" s="22">
        <v>3.8273560162572329E-2</v>
      </c>
      <c r="R1164" s="19">
        <f t="shared" si="126"/>
        <v>3.8917890270186106E-2</v>
      </c>
      <c r="S1164" s="22">
        <v>4.2097774647434472E-2</v>
      </c>
      <c r="T1164" s="19">
        <f t="shared" si="127"/>
        <v>4.2997260045749552E-2</v>
      </c>
      <c r="U1164" s="24">
        <v>4.3465703882997087E-2</v>
      </c>
      <c r="V1164" s="24">
        <f t="shared" si="128"/>
        <v>4.2964436207392653E-2</v>
      </c>
      <c r="W1164" s="23">
        <f t="shared" si="129"/>
        <v>3.5117347516786523E-3</v>
      </c>
      <c r="X1164" s="24">
        <v>4.3177673052567922E-2</v>
      </c>
      <c r="Y1164" s="24">
        <f t="shared" si="130"/>
        <v>4.2990087918609587E-2</v>
      </c>
      <c r="Z1164" s="23">
        <f t="shared" si="131"/>
        <v>3.5137940773251053E-3</v>
      </c>
      <c r="AA1164" s="36"/>
    </row>
    <row r="1165" spans="15:27" ht="13.9" customHeight="1">
      <c r="O1165" s="12">
        <f t="shared" si="125"/>
        <v>96</v>
      </c>
      <c r="P1165" s="13">
        <v>1152</v>
      </c>
      <c r="Q1165" s="22">
        <v>3.8274119303574938E-2</v>
      </c>
      <c r="R1165" s="19">
        <f t="shared" si="126"/>
        <v>3.8918073789238727E-2</v>
      </c>
      <c r="S1165" s="22">
        <v>4.2098555114242986E-2</v>
      </c>
      <c r="T1165" s="19">
        <f t="shared" si="127"/>
        <v>4.2997282786952251E-2</v>
      </c>
      <c r="U1165" s="24">
        <v>4.3465268650348721E-2</v>
      </c>
      <c r="V1165" s="24">
        <f t="shared" si="128"/>
        <v>4.2964521238240794E-2</v>
      </c>
      <c r="W1165" s="23">
        <f t="shared" si="129"/>
        <v>3.5117415865260071E-3</v>
      </c>
      <c r="X1165" s="24">
        <v>4.3177510203620706E-2</v>
      </c>
      <c r="Y1165" s="24">
        <f t="shared" si="130"/>
        <v>4.2990140849762604E-2</v>
      </c>
      <c r="Z1165" s="23">
        <f t="shared" si="131"/>
        <v>3.5137983443540577E-3</v>
      </c>
      <c r="AA1165" s="36"/>
    </row>
    <row r="1166" spans="15:27" ht="13.9" customHeight="1">
      <c r="O1166" s="12">
        <f t="shared" ref="O1166:O1214" si="132">P1166/12</f>
        <v>96.083333333333329</v>
      </c>
      <c r="P1166" s="13">
        <v>1153</v>
      </c>
      <c r="Q1166" s="22">
        <v>3.8274677634057008E-2</v>
      </c>
      <c r="R1166" s="19">
        <f t="shared" ref="R1166:R1213" si="133">(1+Q1167)^P1167/(1+Q1166)^P1166-1</f>
        <v>3.8918255783452871E-2</v>
      </c>
      <c r="S1166" s="22">
        <v>4.2099334247539089E-2</v>
      </c>
      <c r="T1166" s="19">
        <f t="shared" ref="T1166:T1213" si="134">(1+S1167)^P1167/(1+S1166)^P1166-1</f>
        <v>4.2997305341049064E-2</v>
      </c>
      <c r="U1166" s="24">
        <v>4.3464834246621287E-2</v>
      </c>
      <c r="V1166" s="24">
        <f t="shared" ref="V1166:V1213" si="135">(1+U1167)^P1167/(1+U1166)^P1166-1</f>
        <v>4.2964606068211175E-2</v>
      </c>
      <c r="W1166" s="23">
        <f t="shared" si="129"/>
        <v>3.5117484043880598E-3</v>
      </c>
      <c r="X1166" s="24">
        <v>4.3177347683093004E-2</v>
      </c>
      <c r="Y1166" s="24">
        <f t="shared" si="130"/>
        <v>4.2990193500098695E-2</v>
      </c>
      <c r="Z1166" s="23">
        <f t="shared" si="131"/>
        <v>3.5138025883334478E-3</v>
      </c>
      <c r="AA1166" s="36"/>
    </row>
    <row r="1167" spans="15:27" ht="13.9" customHeight="1">
      <c r="O1167" s="12">
        <f t="shared" si="132"/>
        <v>96.166666666666671</v>
      </c>
      <c r="P1167" s="13">
        <v>1154</v>
      </c>
      <c r="Q1167" s="22">
        <v>3.8275235154804355E-2</v>
      </c>
      <c r="R1167" s="19">
        <f t="shared" si="133"/>
        <v>3.8918436269067991E-2</v>
      </c>
      <c r="S1167" s="22">
        <v>4.2100112050625915E-2</v>
      </c>
      <c r="T1167" s="19">
        <f t="shared" si="134"/>
        <v>4.2997327706582933E-2</v>
      </c>
      <c r="U1167" s="24">
        <v>4.3464400669484871E-2</v>
      </c>
      <c r="V1167" s="24">
        <f t="shared" si="135"/>
        <v>4.2964690693767738E-2</v>
      </c>
      <c r="W1167" s="23">
        <f t="shared" ref="W1167:W1213" si="136">(1+V1166)^(1/12)-1</f>
        <v>3.5117552061429969E-3</v>
      </c>
      <c r="X1167" s="24">
        <v>4.3177185489887693E-2</v>
      </c>
      <c r="Y1167" s="24">
        <f t="shared" ref="Y1167:Y1213" si="137">(1+X1168)^P1168/(1+X1167)^P1167-1</f>
        <v>4.2990245867423837E-2</v>
      </c>
      <c r="Z1167" s="23">
        <f t="shared" ref="Z1167:Z1213" si="138">(1+Y1166)^(1/12)-1</f>
        <v>3.5138068097970709E-3</v>
      </c>
      <c r="AA1167" s="36"/>
    </row>
    <row r="1168" spans="15:27" ht="13.9" customHeight="1">
      <c r="O1168" s="12">
        <f t="shared" si="132"/>
        <v>96.25</v>
      </c>
      <c r="P1168" s="13">
        <v>1155</v>
      </c>
      <c r="Q1168" s="22">
        <v>3.8275791866614339E-2</v>
      </c>
      <c r="R1168" s="19">
        <f t="shared" si="133"/>
        <v>3.8918615255147504E-2</v>
      </c>
      <c r="S1168" s="22">
        <v>4.2100888526794167E-2</v>
      </c>
      <c r="T1168" s="19">
        <f t="shared" si="134"/>
        <v>4.29973498863927E-2</v>
      </c>
      <c r="U1168" s="24">
        <v>4.3463967916615109E-2</v>
      </c>
      <c r="V1168" s="24">
        <f t="shared" si="135"/>
        <v>4.2964775106321795E-2</v>
      </c>
      <c r="W1168" s="23">
        <f t="shared" si="136"/>
        <v>3.5117619915072673E-3</v>
      </c>
      <c r="X1168" s="24">
        <v>4.3177023622909427E-2</v>
      </c>
      <c r="Y1168" s="24">
        <f t="shared" si="137"/>
        <v>4.2990297954198287E-2</v>
      </c>
      <c r="Z1168" s="23">
        <f t="shared" si="138"/>
        <v>3.5138110085688457E-3</v>
      </c>
      <c r="AA1168" s="36"/>
    </row>
    <row r="1169" spans="15:27" ht="13.9" customHeight="1">
      <c r="O1169" s="12">
        <f t="shared" si="132"/>
        <v>96.333333333333329</v>
      </c>
      <c r="P1169" s="13">
        <v>1156</v>
      </c>
      <c r="Q1169" s="22">
        <v>3.8276347770289432E-2</v>
      </c>
      <c r="R1169" s="19">
        <f t="shared" si="133"/>
        <v>3.8918792755156639E-2</v>
      </c>
      <c r="S1169" s="22">
        <v>4.2101663679325219E-2</v>
      </c>
      <c r="T1169" s="19">
        <f t="shared" si="134"/>
        <v>4.2997371882861568E-2</v>
      </c>
      <c r="U1169" s="24">
        <v>4.3463535985687862E-2</v>
      </c>
      <c r="V1169" s="24">
        <f t="shared" si="135"/>
        <v>4.2964859336709571E-2</v>
      </c>
      <c r="W1169" s="23">
        <f t="shared" si="136"/>
        <v>3.5117687597923108E-3</v>
      </c>
      <c r="X1169" s="24">
        <v>4.3176862081068634E-2</v>
      </c>
      <c r="Y1169" s="24">
        <f t="shared" si="137"/>
        <v>4.2990349766553804E-2</v>
      </c>
      <c r="Z1169" s="23">
        <f t="shared" si="138"/>
        <v>3.5138151848459476E-3</v>
      </c>
      <c r="AA1169" s="36"/>
    </row>
    <row r="1170" spans="15:27" ht="13.9" customHeight="1">
      <c r="O1170" s="12">
        <f t="shared" si="132"/>
        <v>96.416666666666671</v>
      </c>
      <c r="P1170" s="13">
        <v>1157</v>
      </c>
      <c r="Q1170" s="22">
        <v>3.8276902866640761E-2</v>
      </c>
      <c r="R1170" s="19">
        <f t="shared" si="133"/>
        <v>3.8918968781340046E-2</v>
      </c>
      <c r="S1170" s="22">
        <v>4.2102437511491564E-2</v>
      </c>
      <c r="T1170" s="19">
        <f t="shared" si="134"/>
        <v>4.2997393696323494E-2</v>
      </c>
      <c r="U1170" s="24">
        <v>4.3463104874413849E-2</v>
      </c>
      <c r="V1170" s="24">
        <f t="shared" si="135"/>
        <v>4.296494334805101E-2</v>
      </c>
      <c r="W1170" s="23">
        <f t="shared" si="136"/>
        <v>3.5117755134705941E-3</v>
      </c>
      <c r="X1170" s="24">
        <v>4.3176700863285067E-2</v>
      </c>
      <c r="Y1170" s="24">
        <f t="shared" si="137"/>
        <v>4.2990401298359515E-2</v>
      </c>
      <c r="Z1170" s="23">
        <f t="shared" si="138"/>
        <v>3.5138193391202055E-3</v>
      </c>
      <c r="AA1170" s="36"/>
    </row>
    <row r="1171" spans="15:27" ht="13.9" customHeight="1">
      <c r="O1171" s="12">
        <f t="shared" si="132"/>
        <v>96.5</v>
      </c>
      <c r="P1171" s="13">
        <v>1158</v>
      </c>
      <c r="Q1171" s="22">
        <v>3.8277457156487449E-2</v>
      </c>
      <c r="R1171" s="19">
        <f t="shared" si="133"/>
        <v>3.8919143346691332E-2</v>
      </c>
      <c r="S1171" s="22">
        <v>4.2103210026554372E-2</v>
      </c>
      <c r="T1171" s="19">
        <f t="shared" si="134"/>
        <v>4.2997415328927868E-2</v>
      </c>
      <c r="U1171" s="24">
        <v>4.346267458047981E-2</v>
      </c>
      <c r="V1171" s="24">
        <f t="shared" si="135"/>
        <v>4.2965027169579395E-2</v>
      </c>
      <c r="W1171" s="23">
        <f t="shared" si="136"/>
        <v>3.5117822495849271E-3</v>
      </c>
      <c r="X1171" s="24">
        <v>4.3176539968476702E-2</v>
      </c>
      <c r="Y1171" s="24">
        <f t="shared" si="137"/>
        <v>4.2990452557910119E-2</v>
      </c>
      <c r="Z1171" s="23">
        <f t="shared" si="138"/>
        <v>3.5138234709000127E-3</v>
      </c>
      <c r="AA1171" s="36"/>
    </row>
    <row r="1172" spans="15:27" ht="13.9" customHeight="1">
      <c r="O1172" s="12">
        <f t="shared" si="132"/>
        <v>96.583333333333329</v>
      </c>
      <c r="P1172" s="13">
        <v>1159</v>
      </c>
      <c r="Q1172" s="22">
        <v>3.8278010640656834E-2</v>
      </c>
      <c r="R1172" s="19">
        <f t="shared" si="133"/>
        <v>3.8919316462962872E-2</v>
      </c>
      <c r="S1172" s="22">
        <v>4.2103981227765486E-2</v>
      </c>
      <c r="T1172" s="19">
        <f t="shared" si="134"/>
        <v>4.2997436781430753E-2</v>
      </c>
      <c r="U1172" s="24">
        <v>4.346224510160579E-2</v>
      </c>
      <c r="V1172" s="24">
        <f t="shared" si="135"/>
        <v>4.2965110780738724E-2</v>
      </c>
      <c r="W1172" s="23">
        <f t="shared" si="136"/>
        <v>3.5117889704794347E-3</v>
      </c>
      <c r="X1172" s="24">
        <v>4.3176379395572617E-2</v>
      </c>
      <c r="Y1172" s="24">
        <f t="shared" si="137"/>
        <v>4.2990503540579317E-2</v>
      </c>
      <c r="Z1172" s="23">
        <f t="shared" si="138"/>
        <v>3.5138275808506148E-3</v>
      </c>
      <c r="AA1172" s="36"/>
    </row>
    <row r="1173" spans="15:27" ht="13.9" customHeight="1">
      <c r="O1173" s="12">
        <f t="shared" si="132"/>
        <v>96.666666666666671</v>
      </c>
      <c r="P1173" s="13">
        <v>1160</v>
      </c>
      <c r="Q1173" s="22">
        <v>3.8278563319983583E-2</v>
      </c>
      <c r="R1173" s="19">
        <f t="shared" si="133"/>
        <v>3.8919488141679448E-2</v>
      </c>
      <c r="S1173" s="22">
        <v>4.2104751118366313E-2</v>
      </c>
      <c r="T1173" s="19">
        <f t="shared" si="134"/>
        <v>4.299745805651467E-2</v>
      </c>
      <c r="U1173" s="24">
        <v>4.3461816435501843E-2</v>
      </c>
      <c r="V1173" s="24">
        <f t="shared" si="135"/>
        <v>4.2965194198958834E-2</v>
      </c>
      <c r="W1173" s="23">
        <f t="shared" si="136"/>
        <v>3.5117956745058798E-3</v>
      </c>
      <c r="X1173" s="24">
        <v>4.3176219143501449E-2</v>
      </c>
      <c r="Y1173" s="24">
        <f t="shared" si="137"/>
        <v>4.2990554253443447E-2</v>
      </c>
      <c r="Z1173" s="23">
        <f t="shared" si="138"/>
        <v>3.5138316686007531E-3</v>
      </c>
      <c r="AA1173" s="36"/>
    </row>
    <row r="1174" spans="15:27" ht="13.9" customHeight="1">
      <c r="O1174" s="12">
        <f t="shared" si="132"/>
        <v>96.75</v>
      </c>
      <c r="P1174" s="13">
        <v>1161</v>
      </c>
      <c r="Q1174" s="22">
        <v>3.8279115195309465E-2</v>
      </c>
      <c r="R1174" s="19">
        <f t="shared" si="133"/>
        <v>3.8919658394987344E-2</v>
      </c>
      <c r="S1174" s="22">
        <v>4.2105519701589378E-2</v>
      </c>
      <c r="T1174" s="19">
        <f t="shared" si="134"/>
        <v>4.2997479155743923E-2</v>
      </c>
      <c r="U1174" s="24">
        <v>4.3461388579900895E-2</v>
      </c>
      <c r="V1174" s="24">
        <f t="shared" si="135"/>
        <v>4.2965277422498449E-2</v>
      </c>
      <c r="W1174" s="23">
        <f t="shared" si="136"/>
        <v>3.5118023630618111E-3</v>
      </c>
      <c r="X1174" s="24">
        <v>4.3176059211201601E-2</v>
      </c>
      <c r="Y1174" s="24">
        <f t="shared" si="137"/>
        <v>4.2990604696297785E-2</v>
      </c>
      <c r="Z1174" s="23">
        <f t="shared" si="138"/>
        <v>3.5138357347177518E-3</v>
      </c>
      <c r="AA1174" s="36"/>
    </row>
    <row r="1175" spans="15:27" ht="13.9" customHeight="1">
      <c r="O1175" s="12">
        <f t="shared" si="132"/>
        <v>96.833333333333329</v>
      </c>
      <c r="P1175" s="13">
        <v>1162</v>
      </c>
      <c r="Q1175" s="22">
        <v>3.8279666267483581E-2</v>
      </c>
      <c r="R1175" s="19">
        <f t="shared" si="133"/>
        <v>3.8919827234939142E-2</v>
      </c>
      <c r="S1175" s="22">
        <v>4.2106286980657215E-2</v>
      </c>
      <c r="T1175" s="19">
        <f t="shared" si="134"/>
        <v>4.2997500077919915E-2</v>
      </c>
      <c r="U1175" s="24">
        <v>4.3460961532542308E-2</v>
      </c>
      <c r="V1175" s="24">
        <f t="shared" si="135"/>
        <v>4.2965360433017574E-2</v>
      </c>
      <c r="W1175" s="23">
        <f t="shared" si="136"/>
        <v>3.5118090360075627E-3</v>
      </c>
      <c r="X1175" s="24">
        <v>4.3175899597615031E-2</v>
      </c>
      <c r="Y1175" s="24">
        <f t="shared" si="137"/>
        <v>4.2990654865973532E-2</v>
      </c>
      <c r="Z1175" s="23">
        <f t="shared" si="138"/>
        <v>3.5138397791856235E-3</v>
      </c>
      <c r="AA1175" s="36"/>
    </row>
    <row r="1176" spans="15:27" ht="13.9" customHeight="1">
      <c r="O1176" s="12">
        <f t="shared" si="132"/>
        <v>96.916666666666671</v>
      </c>
      <c r="P1176" s="13">
        <v>1163</v>
      </c>
      <c r="Q1176" s="22">
        <v>3.8280216537362799E-2</v>
      </c>
      <c r="R1176" s="19">
        <f t="shared" si="133"/>
        <v>3.891999467404661E-2</v>
      </c>
      <c r="S1176" s="22">
        <v>4.2107052958780589E-2</v>
      </c>
      <c r="T1176" s="19">
        <f t="shared" si="134"/>
        <v>4.2997520828018665E-2</v>
      </c>
      <c r="U1176" s="24">
        <v>4.3460535291157454E-2</v>
      </c>
      <c r="V1176" s="24">
        <f t="shared" si="135"/>
        <v>4.2965443257412472E-2</v>
      </c>
      <c r="W1176" s="23">
        <f t="shared" si="136"/>
        <v>3.511815691872533E-3</v>
      </c>
      <c r="X1176" s="24">
        <v>4.3175740301684584E-2</v>
      </c>
      <c r="Y1176" s="24">
        <f t="shared" si="137"/>
        <v>4.299070477141087E-2</v>
      </c>
      <c r="Z1176" s="23">
        <f t="shared" si="138"/>
        <v>3.5138438017501272E-3</v>
      </c>
      <c r="AA1176" s="36"/>
    </row>
    <row r="1177" spans="15:27" ht="13.9" customHeight="1">
      <c r="O1177" s="12">
        <f t="shared" si="132"/>
        <v>97</v>
      </c>
      <c r="P1177" s="13">
        <v>1164</v>
      </c>
      <c r="Q1177" s="22">
        <v>3.828076600581154E-2</v>
      </c>
      <c r="R1177" s="19">
        <f t="shared" si="133"/>
        <v>3.8920160722370367E-2</v>
      </c>
      <c r="S1177" s="22">
        <v>4.2107817639163159E-2</v>
      </c>
      <c r="T1177" s="19">
        <f t="shared" si="134"/>
        <v>4.2997541404977468E-2</v>
      </c>
      <c r="U1177" s="24">
        <v>4.3460109853508344E-2</v>
      </c>
      <c r="V1177" s="24">
        <f t="shared" si="135"/>
        <v>4.296552587058744E-2</v>
      </c>
      <c r="W1177" s="23">
        <f t="shared" si="136"/>
        <v>3.5118223328134412E-3</v>
      </c>
      <c r="X1177" s="24">
        <v>4.3175581322364431E-2</v>
      </c>
      <c r="Y1177" s="24">
        <f t="shared" si="137"/>
        <v>4.2990754407199017E-2</v>
      </c>
      <c r="Z1177" s="23">
        <f t="shared" si="138"/>
        <v>3.5138478031280229E-3</v>
      </c>
      <c r="AA1177" s="36"/>
    </row>
    <row r="1178" spans="15:27" ht="13.9" customHeight="1">
      <c r="O1178" s="12">
        <f t="shared" si="132"/>
        <v>97.083333333333329</v>
      </c>
      <c r="P1178" s="13">
        <v>1165</v>
      </c>
      <c r="Q1178" s="22">
        <v>3.8281314673699995E-2</v>
      </c>
      <c r="R1178" s="19">
        <f t="shared" si="133"/>
        <v>3.8920325392328703E-2</v>
      </c>
      <c r="S1178" s="22">
        <v>4.2108581024997038E-2</v>
      </c>
      <c r="T1178" s="19">
        <f t="shared" si="134"/>
        <v>4.2997561812075036E-2</v>
      </c>
      <c r="U1178" s="24">
        <v>4.3459685217343669E-2</v>
      </c>
      <c r="V1178" s="24">
        <f t="shared" si="135"/>
        <v>4.2965608301942071E-2</v>
      </c>
      <c r="W1178" s="23">
        <f t="shared" si="136"/>
        <v>3.5118289568178973E-3</v>
      </c>
      <c r="X1178" s="24">
        <v>4.3175422658607632E-2</v>
      </c>
      <c r="Y1178" s="24">
        <f t="shared" si="137"/>
        <v>4.2990803781513209E-2</v>
      </c>
      <c r="Z1178" s="23">
        <f t="shared" si="138"/>
        <v>3.5138517828854354E-3</v>
      </c>
      <c r="AA1178" s="36"/>
    </row>
    <row r="1179" spans="15:27" ht="13.9" customHeight="1">
      <c r="O1179" s="12">
        <f t="shared" si="132"/>
        <v>97.166666666666671</v>
      </c>
      <c r="P1179" s="13">
        <v>1166</v>
      </c>
      <c r="Q1179" s="22">
        <v>3.8281862541905909E-2</v>
      </c>
      <c r="R1179" s="19">
        <f t="shared" si="133"/>
        <v>3.8920488695118882E-2</v>
      </c>
      <c r="S1179" s="22">
        <v>4.2109343119465903E-2</v>
      </c>
      <c r="T1179" s="19">
        <f t="shared" si="134"/>
        <v>4.2997582048518446E-2</v>
      </c>
      <c r="U1179" s="24">
        <v>4.3459261380444536E-2</v>
      </c>
      <c r="V1179" s="24">
        <f t="shared" si="135"/>
        <v>4.2965690522571043E-2</v>
      </c>
      <c r="W1179" s="23">
        <f t="shared" si="136"/>
        <v>3.5118355662435707E-3</v>
      </c>
      <c r="X1179" s="24">
        <v>4.3175264309378125E-2</v>
      </c>
      <c r="Y1179" s="24">
        <f t="shared" si="137"/>
        <v>4.2990852889523312E-2</v>
      </c>
      <c r="Z1179" s="23">
        <f t="shared" si="138"/>
        <v>3.5138557416778404E-3</v>
      </c>
      <c r="AA1179" s="36"/>
    </row>
    <row r="1180" spans="15:27" ht="13.9" customHeight="1">
      <c r="O1180" s="12">
        <f t="shared" si="132"/>
        <v>97.25</v>
      </c>
      <c r="P1180" s="13">
        <v>1167</v>
      </c>
      <c r="Q1180" s="22">
        <v>3.8282409611313684E-2</v>
      </c>
      <c r="R1180" s="19">
        <f t="shared" si="133"/>
        <v>3.8920650642299437E-2</v>
      </c>
      <c r="S1180" s="22">
        <v>4.2110103925741882E-2</v>
      </c>
      <c r="T1180" s="19">
        <f t="shared" si="134"/>
        <v>4.299760211783088E-2</v>
      </c>
      <c r="U1180" s="24">
        <v>4.3458838340575179E-2</v>
      </c>
      <c r="V1180" s="24">
        <f t="shared" si="135"/>
        <v>4.2965772558194448E-2</v>
      </c>
      <c r="W1180" s="23">
        <f t="shared" si="136"/>
        <v>3.5118421587725379E-3</v>
      </c>
      <c r="X1180" s="24">
        <v>4.3175106273638741E-2</v>
      </c>
      <c r="Y1180" s="24">
        <f t="shared" si="137"/>
        <v>4.2990901735445508E-2</v>
      </c>
      <c r="Z1180" s="23">
        <f t="shared" si="138"/>
        <v>3.5138596791179921E-3</v>
      </c>
      <c r="AA1180" s="36"/>
    </row>
    <row r="1181" spans="15:27" ht="13.9" customHeight="1">
      <c r="O1181" s="12">
        <f t="shared" si="132"/>
        <v>97.333333333333329</v>
      </c>
      <c r="P1181" s="13">
        <v>1168</v>
      </c>
      <c r="Q1181" s="22">
        <v>3.8282955882814607E-2</v>
      </c>
      <c r="R1181" s="19">
        <f t="shared" si="133"/>
        <v>3.8920811246035081E-2</v>
      </c>
      <c r="S1181" s="22">
        <v>4.2110863446989555E-2</v>
      </c>
      <c r="T1181" s="19">
        <f t="shared" si="134"/>
        <v>4.2997622020953363E-2</v>
      </c>
      <c r="U1181" s="24">
        <v>4.3458416095529362E-2</v>
      </c>
      <c r="V1181" s="24">
        <f t="shared" si="135"/>
        <v>4.2965854389366065E-2</v>
      </c>
      <c r="W1181" s="23">
        <f t="shared" si="136"/>
        <v>3.5118487364669271E-3</v>
      </c>
      <c r="X1181" s="24">
        <v>4.317494855035986E-2</v>
      </c>
      <c r="Y1181" s="24">
        <f t="shared" si="137"/>
        <v>4.2990950322425503E-2</v>
      </c>
      <c r="Z1181" s="23">
        <f t="shared" si="138"/>
        <v>3.5138635955440645E-3</v>
      </c>
      <c r="AA1181" s="36"/>
    </row>
    <row r="1182" spans="15:27" ht="13.9" customHeight="1">
      <c r="O1182" s="12">
        <f t="shared" si="132"/>
        <v>97.416666666666671</v>
      </c>
      <c r="P1182" s="13">
        <v>1169</v>
      </c>
      <c r="Q1182" s="22">
        <v>3.8283501357307292E-2</v>
      </c>
      <c r="R1182" s="19">
        <f t="shared" si="133"/>
        <v>3.8920970514623399E-2</v>
      </c>
      <c r="S1182" s="22">
        <v>4.2111621686363065E-2</v>
      </c>
      <c r="T1182" s="19">
        <f t="shared" si="134"/>
        <v>4.2997641758261596E-2</v>
      </c>
      <c r="U1182" s="24">
        <v>4.3457994643091746E-2</v>
      </c>
      <c r="V1182" s="24">
        <f t="shared" si="135"/>
        <v>4.296593602430443E-2</v>
      </c>
      <c r="W1182" s="23">
        <f t="shared" si="136"/>
        <v>3.5118552977679851E-3</v>
      </c>
      <c r="X1182" s="24">
        <v>4.3174791138518076E-2</v>
      </c>
      <c r="Y1182" s="24">
        <f t="shared" si="137"/>
        <v>4.2990998646760037E-2</v>
      </c>
      <c r="Z1182" s="23">
        <f t="shared" si="138"/>
        <v>3.5138674912083001E-3</v>
      </c>
      <c r="AA1182" s="36"/>
    </row>
    <row r="1183" spans="15:27" ht="13.9" customHeight="1">
      <c r="O1183" s="12">
        <f t="shared" si="132"/>
        <v>97.5</v>
      </c>
      <c r="P1183" s="13">
        <v>1170</v>
      </c>
      <c r="Q1183" s="22">
        <v>3.8284046035694352E-2</v>
      </c>
      <c r="R1183" s="19">
        <f t="shared" si="133"/>
        <v>3.8921128462061638E-2</v>
      </c>
      <c r="S1183" s="22">
        <v>4.2112378647006343E-2</v>
      </c>
      <c r="T1183" s="19">
        <f t="shared" si="134"/>
        <v>4.299766133151306E-2</v>
      </c>
      <c r="U1183" s="24">
        <v>4.345757398106187E-2</v>
      </c>
      <c r="V1183" s="24">
        <f t="shared" si="135"/>
        <v>4.2966017463881068E-2</v>
      </c>
      <c r="W1183" s="23">
        <f t="shared" si="136"/>
        <v>3.5118618433342963E-3</v>
      </c>
      <c r="X1183" s="24">
        <v>4.3174634037090209E-2</v>
      </c>
      <c r="Y1183" s="24">
        <f t="shared" si="137"/>
        <v>4.2991046715330494E-2</v>
      </c>
      <c r="Z1183" s="23">
        <f t="shared" si="138"/>
        <v>3.5138713658136034E-3</v>
      </c>
      <c r="AA1183" s="36"/>
    </row>
    <row r="1184" spans="15:27" ht="13.9" customHeight="1">
      <c r="O1184" s="12">
        <f t="shared" si="132"/>
        <v>97.583333333333329</v>
      </c>
      <c r="P1184" s="13">
        <v>1171</v>
      </c>
      <c r="Q1184" s="22">
        <v>3.828458991888728E-2</v>
      </c>
      <c r="R1184" s="19">
        <f t="shared" si="133"/>
        <v>3.8921285098126646E-2</v>
      </c>
      <c r="S1184" s="22">
        <v>4.2113134332053992E-2</v>
      </c>
      <c r="T1184" s="19">
        <f t="shared" si="134"/>
        <v>4.2997680742347333E-2</v>
      </c>
      <c r="U1184" s="24">
        <v>4.3457154107247264E-2</v>
      </c>
      <c r="V1184" s="24">
        <f t="shared" si="135"/>
        <v>4.2966098709610323E-2</v>
      </c>
      <c r="W1184" s="23">
        <f t="shared" si="136"/>
        <v>3.5118683732358047E-3</v>
      </c>
      <c r="X1184" s="24">
        <v>4.3174477245062404E-2</v>
      </c>
      <c r="Y1184" s="24">
        <f t="shared" si="137"/>
        <v>4.2991094525751672E-2</v>
      </c>
      <c r="Z1184" s="23">
        <f t="shared" si="138"/>
        <v>3.5138752199117551E-3</v>
      </c>
      <c r="AA1184" s="36"/>
    </row>
    <row r="1185" spans="15:27" ht="13.9" customHeight="1">
      <c r="O1185" s="12">
        <f t="shared" si="132"/>
        <v>97.666666666666671</v>
      </c>
      <c r="P1185" s="13">
        <v>1172</v>
      </c>
      <c r="Q1185" s="22">
        <v>3.8285133007802674E-2</v>
      </c>
      <c r="R1185" s="19">
        <f t="shared" si="133"/>
        <v>3.8921440434250387E-2</v>
      </c>
      <c r="S1185" s="22">
        <v>4.2113888744631511E-2</v>
      </c>
      <c r="T1185" s="19">
        <f t="shared" si="134"/>
        <v>4.2997699992617822E-2</v>
      </c>
      <c r="U1185" s="24">
        <v>4.3456735019464343E-2</v>
      </c>
      <c r="V1185" s="24">
        <f t="shared" si="135"/>
        <v>4.2966179762549128E-2</v>
      </c>
      <c r="W1185" s="23">
        <f t="shared" si="136"/>
        <v>3.5118748875939687E-3</v>
      </c>
      <c r="X1185" s="24">
        <v>4.3174320761422358E-2</v>
      </c>
      <c r="Y1185" s="24">
        <f t="shared" si="137"/>
        <v>4.2991142082164702E-2</v>
      </c>
      <c r="Z1185" s="23">
        <f t="shared" si="138"/>
        <v>3.5138790533115749E-3</v>
      </c>
      <c r="AA1185" s="36"/>
    </row>
    <row r="1186" spans="15:27" ht="13.9" customHeight="1">
      <c r="O1186" s="12">
        <f t="shared" si="132"/>
        <v>97.75</v>
      </c>
      <c r="P1186" s="13">
        <v>1173</v>
      </c>
      <c r="Q1186" s="22">
        <v>3.828567530336402E-2</v>
      </c>
      <c r="R1186" s="19">
        <f t="shared" si="133"/>
        <v>3.8921594481066135E-2</v>
      </c>
      <c r="S1186" s="22">
        <v>4.2114641887855075E-2</v>
      </c>
      <c r="T1186" s="19">
        <f t="shared" si="134"/>
        <v>4.2997719082570995E-2</v>
      </c>
      <c r="U1186" s="24">
        <v>4.3456316715537735E-2</v>
      </c>
      <c r="V1186" s="24">
        <f t="shared" si="135"/>
        <v>4.296626062374842E-2</v>
      </c>
      <c r="W1186" s="23">
        <f t="shared" si="136"/>
        <v>3.5118813864936094E-3</v>
      </c>
      <c r="X1186" s="24">
        <v>4.3174164585164654E-2</v>
      </c>
      <c r="Y1186" s="24">
        <f t="shared" si="137"/>
        <v>4.2991189383846384E-2</v>
      </c>
      <c r="Z1186" s="23">
        <f t="shared" si="138"/>
        <v>3.5138828663450195E-3</v>
      </c>
      <c r="AA1186" s="36"/>
    </row>
    <row r="1187" spans="15:27" ht="13.9" customHeight="1">
      <c r="O1187" s="12">
        <f t="shared" si="132"/>
        <v>97.833333333333329</v>
      </c>
      <c r="P1187" s="13">
        <v>1174</v>
      </c>
      <c r="Q1187" s="22">
        <v>3.8286216806500351E-2</v>
      </c>
      <c r="R1187" s="19">
        <f t="shared" si="133"/>
        <v>3.8921747247850247E-2</v>
      </c>
      <c r="S1187" s="22">
        <v>4.2115393764830422E-2</v>
      </c>
      <c r="T1187" s="19">
        <f t="shared" si="134"/>
        <v>4.299773801428608E-2</v>
      </c>
      <c r="U1187" s="24">
        <v>4.3455899193300507E-2</v>
      </c>
      <c r="V1187" s="24">
        <f t="shared" si="135"/>
        <v>4.2966341279973896E-2</v>
      </c>
      <c r="W1187" s="23">
        <f t="shared" si="136"/>
        <v>3.5118878700188816E-3</v>
      </c>
      <c r="X1187" s="24">
        <v>4.317400871528676E-2</v>
      </c>
      <c r="Y1187" s="24">
        <f t="shared" si="137"/>
        <v>4.299123643184144E-2</v>
      </c>
      <c r="Z1187" s="23">
        <f t="shared" si="138"/>
        <v>3.5138866589541351E-3</v>
      </c>
      <c r="AA1187" s="36"/>
    </row>
    <row r="1188" spans="15:27" ht="13.9" customHeight="1">
      <c r="O1188" s="12">
        <f t="shared" si="132"/>
        <v>97.916666666666671</v>
      </c>
      <c r="P1188" s="13">
        <v>1175</v>
      </c>
      <c r="Q1188" s="22">
        <v>3.8286757518145809E-2</v>
      </c>
      <c r="R1188" s="19">
        <f t="shared" si="133"/>
        <v>3.8921898747189321E-2</v>
      </c>
      <c r="S1188" s="22">
        <v>4.2116144378654852E-2</v>
      </c>
      <c r="T1188" s="19">
        <f t="shared" si="134"/>
        <v>4.2997756789502128E-2</v>
      </c>
      <c r="U1188" s="24">
        <v>4.345548245058195E-2</v>
      </c>
      <c r="V1188" s="24">
        <f t="shared" si="135"/>
        <v>4.29664217581609E-2</v>
      </c>
      <c r="W1188" s="23">
        <f t="shared" si="136"/>
        <v>3.5118943371086342E-3</v>
      </c>
      <c r="X1188" s="24">
        <v>4.3173853150790364E-2</v>
      </c>
      <c r="Y1188" s="24">
        <f t="shared" si="137"/>
        <v>4.299128323175716E-2</v>
      </c>
      <c r="Z1188" s="23">
        <f t="shared" si="138"/>
        <v>3.5138904312228547E-3</v>
      </c>
      <c r="AA1188" s="36"/>
    </row>
    <row r="1189" spans="15:27" ht="13.9" customHeight="1">
      <c r="O1189" s="12">
        <f t="shared" si="132"/>
        <v>98</v>
      </c>
      <c r="P1189" s="13">
        <v>1176</v>
      </c>
      <c r="Q1189" s="22">
        <v>3.8287297439241863E-2</v>
      </c>
      <c r="R1189" s="19">
        <f t="shared" si="133"/>
        <v>3.8922048989054492E-2</v>
      </c>
      <c r="S1189" s="22">
        <v>4.2116893732416116E-2</v>
      </c>
      <c r="T1189" s="19">
        <f t="shared" si="134"/>
        <v>4.2997775407613181E-2</v>
      </c>
      <c r="U1189" s="24">
        <v>4.3455066485241334E-2</v>
      </c>
      <c r="V1189" s="24">
        <f t="shared" si="135"/>
        <v>4.2966502033617404E-2</v>
      </c>
      <c r="W1189" s="23">
        <f t="shared" si="136"/>
        <v>3.5119007899229171E-3</v>
      </c>
      <c r="X1189" s="24">
        <v>4.317369789068537E-2</v>
      </c>
      <c r="Y1189" s="24">
        <f t="shared" si="137"/>
        <v>4.2991329778518939E-2</v>
      </c>
      <c r="Z1189" s="23">
        <f t="shared" si="138"/>
        <v>3.5138941836003745E-3</v>
      </c>
      <c r="AA1189" s="36"/>
    </row>
    <row r="1190" spans="15:27" ht="13.9" customHeight="1">
      <c r="O1190" s="12">
        <f t="shared" si="132"/>
        <v>98.083333333333329</v>
      </c>
      <c r="P1190" s="13">
        <v>1177</v>
      </c>
      <c r="Q1190" s="22">
        <v>3.828783657073509E-2</v>
      </c>
      <c r="R1190" s="19">
        <f t="shared" si="133"/>
        <v>3.8922197983955353E-2</v>
      </c>
      <c r="S1190" s="22">
        <v>4.2117641829191532E-2</v>
      </c>
      <c r="T1190" s="19">
        <f t="shared" si="134"/>
        <v>4.2997793872106671E-2</v>
      </c>
      <c r="U1190" s="24">
        <v>4.3454651295124602E-2</v>
      </c>
      <c r="V1190" s="24">
        <f t="shared" si="135"/>
        <v>4.2966582126143349E-2</v>
      </c>
      <c r="W1190" s="23">
        <f t="shared" si="136"/>
        <v>3.5119072264813145E-3</v>
      </c>
      <c r="X1190" s="24">
        <v>4.3173542933980791E-2</v>
      </c>
      <c r="Y1190" s="24">
        <f t="shared" si="137"/>
        <v>4.2991376079012378E-2</v>
      </c>
      <c r="Z1190" s="23">
        <f t="shared" si="138"/>
        <v>3.5138979156803529E-3</v>
      </c>
      <c r="AA1190" s="36"/>
    </row>
    <row r="1191" spans="15:27" ht="13.9" customHeight="1">
      <c r="O1191" s="12">
        <f t="shared" si="132"/>
        <v>98.166666666666671</v>
      </c>
      <c r="P1191" s="13">
        <v>1178</v>
      </c>
      <c r="Q1191" s="22">
        <v>3.828837491357806E-2</v>
      </c>
      <c r="R1191" s="19">
        <f t="shared" si="133"/>
        <v>3.8922345741084996E-2</v>
      </c>
      <c r="S1191" s="22">
        <v>4.2118388672050422E-2</v>
      </c>
      <c r="T1191" s="19">
        <f t="shared" si="134"/>
        <v>4.2997812183157791E-2</v>
      </c>
      <c r="U1191" s="24">
        <v>4.345423687810146E-2</v>
      </c>
      <c r="V1191" s="24">
        <f t="shared" si="135"/>
        <v>4.2966662017737356E-2</v>
      </c>
      <c r="W1191" s="23">
        <f t="shared" si="136"/>
        <v>3.5119136483718894E-3</v>
      </c>
      <c r="X1191" s="24">
        <v>4.3173388279694747E-2</v>
      </c>
      <c r="Y1191" s="24">
        <f t="shared" si="137"/>
        <v>4.2991422130321588E-2</v>
      </c>
      <c r="Z1191" s="23">
        <f t="shared" si="138"/>
        <v>3.5139016280143487E-3</v>
      </c>
      <c r="AA1191" s="36"/>
    </row>
    <row r="1192" spans="15:27" ht="13.9" customHeight="1">
      <c r="O1192" s="12">
        <f t="shared" si="132"/>
        <v>98.25</v>
      </c>
      <c r="P1192" s="13">
        <v>1179</v>
      </c>
      <c r="Q1192" s="22">
        <v>3.8288912468727787E-2</v>
      </c>
      <c r="R1192" s="19">
        <f t="shared" si="133"/>
        <v>3.8922492271728171E-2</v>
      </c>
      <c r="S1192" s="22">
        <v>4.2119134264052116E-2</v>
      </c>
      <c r="T1192" s="19">
        <f t="shared" si="134"/>
        <v>4.299783034193938E-2</v>
      </c>
      <c r="U1192" s="24">
        <v>4.3453823232033839E-2</v>
      </c>
      <c r="V1192" s="24">
        <f t="shared" si="135"/>
        <v>4.2966741719970614E-2</v>
      </c>
      <c r="W1192" s="23">
        <f t="shared" si="136"/>
        <v>3.5119200541511297E-3</v>
      </c>
      <c r="X1192" s="24">
        <v>4.3173233926846244E-2</v>
      </c>
      <c r="Y1192" s="24">
        <f t="shared" si="137"/>
        <v>4.2991467936875916E-2</v>
      </c>
      <c r="Z1192" s="23">
        <f t="shared" si="138"/>
        <v>3.5139053203689929E-3</v>
      </c>
      <c r="AA1192" s="36"/>
    </row>
    <row r="1193" spans="15:27" ht="13.9" customHeight="1">
      <c r="O1193" s="12">
        <f t="shared" si="132"/>
        <v>98.333333333333329</v>
      </c>
      <c r="P1193" s="13">
        <v>1180</v>
      </c>
      <c r="Q1193" s="22">
        <v>3.8289449237147499E-2</v>
      </c>
      <c r="R1193" s="19">
        <f t="shared" si="133"/>
        <v>3.8922637586664033E-2</v>
      </c>
      <c r="S1193" s="22">
        <v>4.2119878608246397E-2</v>
      </c>
      <c r="T1193" s="19">
        <f t="shared" si="134"/>
        <v>4.2997848350337486E-2</v>
      </c>
      <c r="U1193" s="24">
        <v>4.3453410354800548E-2</v>
      </c>
      <c r="V1193" s="24">
        <f t="shared" si="135"/>
        <v>4.2966821233535235E-2</v>
      </c>
      <c r="W1193" s="23">
        <f t="shared" si="136"/>
        <v>3.511926444746738E-3</v>
      </c>
      <c r="X1193" s="24">
        <v>4.3173079874461395E-2</v>
      </c>
      <c r="Y1193" s="24">
        <f t="shared" si="137"/>
        <v>4.2991513497995237E-2</v>
      </c>
      <c r="Z1193" s="23">
        <f t="shared" si="138"/>
        <v>3.513908993099335E-3</v>
      </c>
      <c r="AA1193" s="36"/>
    </row>
    <row r="1194" spans="15:27" ht="13.9" customHeight="1">
      <c r="O1194" s="12">
        <f t="shared" si="132"/>
        <v>98.416666666666671</v>
      </c>
      <c r="P1194" s="13">
        <v>1181</v>
      </c>
      <c r="Q1194" s="22">
        <v>3.8289985219806422E-2</v>
      </c>
      <c r="R1194" s="19">
        <f t="shared" si="133"/>
        <v>3.892278169511143E-2</v>
      </c>
      <c r="S1194" s="22">
        <v>4.212062170767461E-2</v>
      </c>
      <c r="T1194" s="19">
        <f t="shared" si="134"/>
        <v>4.299786620883661E-2</v>
      </c>
      <c r="U1194" s="24">
        <v>4.3452998244288388E-2</v>
      </c>
      <c r="V1194" s="24">
        <f t="shared" si="135"/>
        <v>4.2966900554353593E-2</v>
      </c>
      <c r="W1194" s="23">
        <f t="shared" si="136"/>
        <v>3.5119328202142253E-3</v>
      </c>
      <c r="X1194" s="24">
        <v>4.3172926121568977E-2</v>
      </c>
      <c r="Y1194" s="24">
        <f t="shared" si="137"/>
        <v>4.2991558815948627E-2</v>
      </c>
      <c r="Z1194" s="23">
        <f t="shared" si="138"/>
        <v>3.5139126461505299E-3</v>
      </c>
      <c r="AA1194" s="36"/>
    </row>
    <row r="1195" spans="15:27" ht="13.9" customHeight="1">
      <c r="O1195" s="12">
        <f t="shared" si="132"/>
        <v>98.5</v>
      </c>
      <c r="P1195" s="13">
        <v>1182</v>
      </c>
      <c r="Q1195" s="22">
        <v>3.829052041767822E-2</v>
      </c>
      <c r="R1195" s="19">
        <f t="shared" si="133"/>
        <v>3.892292460740121E-2</v>
      </c>
      <c r="S1195" s="22">
        <v>4.2121363565367886E-2</v>
      </c>
      <c r="T1195" s="19">
        <f t="shared" si="134"/>
        <v>4.2997883920132818E-2</v>
      </c>
      <c r="U1195" s="24">
        <v>4.3452586898387491E-2</v>
      </c>
      <c r="V1195" s="24">
        <f t="shared" si="135"/>
        <v>4.2966979689212037E-2</v>
      </c>
      <c r="W1195" s="23">
        <f t="shared" si="136"/>
        <v>3.5119391802267419E-3</v>
      </c>
      <c r="X1195" s="24">
        <v>4.3172772667203096E-2</v>
      </c>
      <c r="Y1195" s="24">
        <f t="shared" si="137"/>
        <v>4.2991603893111519E-2</v>
      </c>
      <c r="Z1195" s="23">
        <f t="shared" si="138"/>
        <v>3.5139162797048762E-3</v>
      </c>
      <c r="AA1195" s="36"/>
    </row>
    <row r="1196" spans="15:27" ht="13.9" customHeight="1">
      <c r="O1196" s="12">
        <f t="shared" si="132"/>
        <v>98.583333333333329</v>
      </c>
      <c r="P1196" s="13">
        <v>1183</v>
      </c>
      <c r="Q1196" s="22">
        <v>3.8291054831742111E-2</v>
      </c>
      <c r="R1196" s="19">
        <f t="shared" si="133"/>
        <v>3.8923066331829181E-2</v>
      </c>
      <c r="S1196" s="22">
        <v>4.2122104184349585E-2</v>
      </c>
      <c r="T1196" s="19">
        <f t="shared" si="134"/>
        <v>4.2997901483454504E-2</v>
      </c>
      <c r="U1196" s="24">
        <v>4.3452176315001312E-2</v>
      </c>
      <c r="V1196" s="24">
        <f t="shared" si="135"/>
        <v>4.2967058638192057E-2</v>
      </c>
      <c r="W1196" s="23">
        <f t="shared" si="136"/>
        <v>3.5119455253285192E-3</v>
      </c>
      <c r="X1196" s="24">
        <v>4.3172619510402965E-2</v>
      </c>
      <c r="Y1196" s="24">
        <f t="shared" si="137"/>
        <v>4.2991648728499365E-2</v>
      </c>
      <c r="Z1196" s="23">
        <f t="shared" si="138"/>
        <v>3.5139198939526661E-3</v>
      </c>
      <c r="AA1196" s="36"/>
    </row>
    <row r="1197" spans="15:27" ht="13.9" customHeight="1">
      <c r="O1197" s="12">
        <f t="shared" si="132"/>
        <v>98.666666666666671</v>
      </c>
      <c r="P1197" s="13">
        <v>1184</v>
      </c>
      <c r="Q1197" s="22">
        <v>3.8291588462980863E-2</v>
      </c>
      <c r="R1197" s="19">
        <f t="shared" si="133"/>
        <v>3.8923206881617656E-2</v>
      </c>
      <c r="S1197" s="22">
        <v>4.2122843567632184E-2</v>
      </c>
      <c r="T1197" s="19">
        <f t="shared" si="134"/>
        <v>4.2997918901179988E-2</v>
      </c>
      <c r="U1197" s="24">
        <v>4.3451766492040189E-2</v>
      </c>
      <c r="V1197" s="24">
        <f t="shared" si="135"/>
        <v>4.2967137388208343E-2</v>
      </c>
      <c r="W1197" s="23">
        <f t="shared" si="136"/>
        <v>3.5119518555259965E-3</v>
      </c>
      <c r="X1197" s="24">
        <v>4.3172466650210461E-2</v>
      </c>
      <c r="Y1197" s="24">
        <f t="shared" si="137"/>
        <v>4.2991693324350155E-2</v>
      </c>
      <c r="Z1197" s="23">
        <f t="shared" si="138"/>
        <v>3.5139234888150739E-3</v>
      </c>
      <c r="AA1197" s="36"/>
    </row>
    <row r="1198" spans="15:27" ht="13.9" customHeight="1">
      <c r="O1198" s="12">
        <f t="shared" si="132"/>
        <v>98.75</v>
      </c>
      <c r="P1198" s="13">
        <v>1185</v>
      </c>
      <c r="Q1198" s="22">
        <v>3.8292121312385019E-2</v>
      </c>
      <c r="R1198" s="19">
        <f t="shared" si="133"/>
        <v>3.8923346264269743E-2</v>
      </c>
      <c r="S1198" s="22">
        <v>4.2123581718219949E-2</v>
      </c>
      <c r="T1198" s="19">
        <f t="shared" si="134"/>
        <v>4.2997936174199003E-2</v>
      </c>
      <c r="U1198" s="24">
        <v>4.3451357427410464E-2</v>
      </c>
      <c r="V1198" s="24">
        <f t="shared" si="135"/>
        <v>4.2967215956197125E-2</v>
      </c>
      <c r="W1198" s="23">
        <f t="shared" si="136"/>
        <v>3.511958169769791E-3</v>
      </c>
      <c r="X1198" s="24">
        <v>4.3172314085672348E-2</v>
      </c>
      <c r="Y1198" s="24">
        <f t="shared" si="137"/>
        <v>4.2991737681933762E-2</v>
      </c>
      <c r="Z1198" s="23">
        <f t="shared" si="138"/>
        <v>3.5139270644712894E-3</v>
      </c>
      <c r="AA1198" s="36"/>
    </row>
    <row r="1199" spans="15:27" ht="13.9" customHeight="1">
      <c r="O1199" s="12">
        <f t="shared" si="132"/>
        <v>98.833333333333329</v>
      </c>
      <c r="P1199" s="13">
        <v>1186</v>
      </c>
      <c r="Q1199" s="22">
        <v>3.8292653380948449E-2</v>
      </c>
      <c r="R1199" s="19">
        <f t="shared" si="133"/>
        <v>3.8923484489647553E-2</v>
      </c>
      <c r="S1199" s="22">
        <v>4.2124318639107816E-2</v>
      </c>
      <c r="T1199" s="19">
        <f t="shared" si="134"/>
        <v>4.2997953304018788E-2</v>
      </c>
      <c r="U1199" s="24">
        <v>4.3450949119040017E-2</v>
      </c>
      <c r="V1199" s="24">
        <f t="shared" si="135"/>
        <v>4.2967294329726125E-2</v>
      </c>
      <c r="W1199" s="23">
        <f t="shared" si="136"/>
        <v>3.5119644694179275E-3</v>
      </c>
      <c r="X1199" s="24">
        <v>4.3172161815839605E-2</v>
      </c>
      <c r="Y1199" s="24">
        <f t="shared" si="137"/>
        <v>4.2991781802450335E-2</v>
      </c>
      <c r="Z1199" s="23">
        <f t="shared" si="138"/>
        <v>3.5139306210234533E-3</v>
      </c>
      <c r="AA1199" s="36"/>
    </row>
    <row r="1200" spans="15:27" ht="13.9" customHeight="1">
      <c r="O1200" s="12">
        <f t="shared" si="132"/>
        <v>98.916666666666671</v>
      </c>
      <c r="P1200" s="13">
        <v>1187</v>
      </c>
      <c r="Q1200" s="22">
        <v>3.8293184669669467E-2</v>
      </c>
      <c r="R1200" s="19">
        <f t="shared" si="133"/>
        <v>3.8923621567283906E-2</v>
      </c>
      <c r="S1200" s="22">
        <v>4.2125054333281842E-2</v>
      </c>
      <c r="T1200" s="19">
        <f t="shared" si="134"/>
        <v>4.2997970292073084E-2</v>
      </c>
      <c r="U1200" s="24">
        <v>4.3450541564852951E-2</v>
      </c>
      <c r="V1200" s="24">
        <f t="shared" si="135"/>
        <v>4.2967372519951752E-2</v>
      </c>
      <c r="W1200" s="23">
        <f t="shared" si="136"/>
        <v>3.5119707534738698E-3</v>
      </c>
      <c r="X1200" s="24">
        <v>4.3172009839767878E-2</v>
      </c>
      <c r="Y1200" s="24">
        <f t="shared" si="137"/>
        <v>4.2991825688660557E-2</v>
      </c>
      <c r="Z1200" s="23">
        <f t="shared" si="138"/>
        <v>3.5139341585677109E-3</v>
      </c>
      <c r="AA1200" s="36"/>
    </row>
    <row r="1201" spans="15:27" ht="13.9" customHeight="1">
      <c r="O1201" s="12">
        <f t="shared" si="132"/>
        <v>99</v>
      </c>
      <c r="P1201" s="13">
        <v>1188</v>
      </c>
      <c r="Q1201" s="22">
        <v>3.8293715179551491E-2</v>
      </c>
      <c r="R1201" s="19">
        <f t="shared" si="133"/>
        <v>3.8923757506851286E-2</v>
      </c>
      <c r="S1201" s="22">
        <v>4.21257888037192E-2</v>
      </c>
      <c r="T1201" s="19">
        <f t="shared" si="134"/>
        <v>4.2997987138321481E-2</v>
      </c>
      <c r="U1201" s="24">
        <v>4.3450134762790027E-2</v>
      </c>
      <c r="V1201" s="24">
        <f t="shared" si="135"/>
        <v>4.2967450527054085E-2</v>
      </c>
      <c r="W1201" s="23">
        <f t="shared" si="136"/>
        <v>3.5119770228320135E-3</v>
      </c>
      <c r="X1201" s="24">
        <v>4.3171858156517695E-2</v>
      </c>
      <c r="Y1201" s="24">
        <f t="shared" si="137"/>
        <v>4.2991869338603994E-2</v>
      </c>
      <c r="Z1201" s="23">
        <f t="shared" si="138"/>
        <v>3.5139376773252184E-3</v>
      </c>
      <c r="AA1201" s="36"/>
    </row>
    <row r="1202" spans="15:27" ht="13.9" customHeight="1">
      <c r="O1202" s="12">
        <f t="shared" si="132"/>
        <v>99.083333333333329</v>
      </c>
      <c r="P1202" s="13">
        <v>1189</v>
      </c>
      <c r="Q1202" s="22">
        <v>3.8294244911602604E-2</v>
      </c>
      <c r="R1202" s="19">
        <f t="shared" si="133"/>
        <v>3.892389231930693E-2</v>
      </c>
      <c r="S1202" s="22">
        <v>4.2126522053387294E-2</v>
      </c>
      <c r="T1202" s="19">
        <f t="shared" si="134"/>
        <v>4.2998003844907817E-2</v>
      </c>
      <c r="U1202" s="24">
        <v>4.3449728710798885E-2</v>
      </c>
      <c r="V1202" s="24">
        <f t="shared" si="135"/>
        <v>4.2967528338383465E-2</v>
      </c>
      <c r="W1202" s="23">
        <f t="shared" si="136"/>
        <v>3.5119832775065696E-3</v>
      </c>
      <c r="X1202" s="24">
        <v>4.3171706765151585E-2</v>
      </c>
      <c r="Y1202" s="24">
        <f t="shared" si="137"/>
        <v>4.2991912756016992E-2</v>
      </c>
      <c r="Z1202" s="23">
        <f t="shared" si="138"/>
        <v>3.5139411771389906E-3</v>
      </c>
      <c r="AA1202" s="36"/>
    </row>
    <row r="1203" spans="15:27" ht="13.9" customHeight="1">
      <c r="O1203" s="12">
        <f t="shared" si="132"/>
        <v>99.166666666666671</v>
      </c>
      <c r="P1203" s="13">
        <v>1190</v>
      </c>
      <c r="Q1203" s="22">
        <v>3.829477386683644E-2</v>
      </c>
      <c r="R1203" s="19">
        <f t="shared" si="133"/>
        <v>3.892402601158107E-2</v>
      </c>
      <c r="S1203" s="22">
        <v>4.2127254085245092E-2</v>
      </c>
      <c r="T1203" s="19">
        <f t="shared" si="134"/>
        <v>4.2998020413091753E-2</v>
      </c>
      <c r="U1203" s="24">
        <v>4.3449323406823614E-2</v>
      </c>
      <c r="V1203" s="24">
        <f t="shared" si="135"/>
        <v>4.2967605971947709E-2</v>
      </c>
      <c r="W1203" s="23">
        <f t="shared" si="136"/>
        <v>3.5119895164834602E-3</v>
      </c>
      <c r="X1203" s="24">
        <v>4.3171555664738293E-2</v>
      </c>
      <c r="Y1203" s="24">
        <f t="shared" si="137"/>
        <v>4.299195594290306E-2</v>
      </c>
      <c r="Z1203" s="23">
        <f t="shared" si="138"/>
        <v>3.5139446583085654E-3</v>
      </c>
      <c r="AA1203" s="36"/>
    </row>
    <row r="1204" spans="15:27" ht="13.9" customHeight="1">
      <c r="O1204" s="12">
        <f t="shared" si="132"/>
        <v>99.25</v>
      </c>
      <c r="P1204" s="13">
        <v>1191</v>
      </c>
      <c r="Q1204" s="22">
        <v>3.8295302046269297E-2</v>
      </c>
      <c r="R1204" s="19">
        <f t="shared" si="133"/>
        <v>3.8924158593532043E-2</v>
      </c>
      <c r="S1204" s="22">
        <v>4.2127984902242677E-2</v>
      </c>
      <c r="T1204" s="19">
        <f t="shared" si="134"/>
        <v>4.2998036844356546E-2</v>
      </c>
      <c r="U1204" s="24">
        <v>4.3448918848830065E-2</v>
      </c>
      <c r="V1204" s="24">
        <f t="shared" si="135"/>
        <v>4.2967683414335101E-2</v>
      </c>
      <c r="W1204" s="23">
        <f t="shared" si="136"/>
        <v>3.5119957412066416E-3</v>
      </c>
      <c r="X1204" s="24">
        <v>4.3171404854351003E-2</v>
      </c>
      <c r="Y1204" s="24">
        <f t="shared" si="137"/>
        <v>4.2991998897348838E-2</v>
      </c>
      <c r="Z1204" s="23">
        <f t="shared" si="138"/>
        <v>3.5139481209944812E-3</v>
      </c>
      <c r="AA1204" s="36"/>
    </row>
    <row r="1205" spans="15:27" ht="13.9" customHeight="1">
      <c r="O1205" s="12">
        <f t="shared" si="132"/>
        <v>99.333333333333329</v>
      </c>
      <c r="P1205" s="13">
        <v>1192</v>
      </c>
      <c r="Q1205" s="22">
        <v>3.8295829450922358E-2</v>
      </c>
      <c r="R1205" s="19">
        <f t="shared" si="133"/>
        <v>3.8924290076228996E-2</v>
      </c>
      <c r="S1205" s="22">
        <v>4.2128714507321474E-2</v>
      </c>
      <c r="T1205" s="19">
        <f t="shared" si="134"/>
        <v>4.2998053138422421E-2</v>
      </c>
      <c r="U1205" s="24">
        <v>4.3448515034780089E-2</v>
      </c>
      <c r="V1205" s="24">
        <f t="shared" si="135"/>
        <v>4.2967760679171851E-2</v>
      </c>
      <c r="W1205" s="23">
        <f t="shared" si="136"/>
        <v>3.5120019506007516E-3</v>
      </c>
      <c r="X1205" s="24">
        <v>4.3171254333064901E-2</v>
      </c>
      <c r="Y1205" s="24">
        <f t="shared" si="137"/>
        <v>4.2992041624793309E-2</v>
      </c>
      <c r="Z1205" s="23">
        <f t="shared" si="138"/>
        <v>3.5139515650435271E-3</v>
      </c>
      <c r="AA1205" s="36"/>
    </row>
    <row r="1206" spans="15:27" ht="13.9" customHeight="1">
      <c r="O1206" s="12">
        <f t="shared" si="132"/>
        <v>99.416666666666671</v>
      </c>
      <c r="P1206" s="13">
        <v>1193</v>
      </c>
      <c r="Q1206" s="22">
        <v>3.8296356081822358E-2</v>
      </c>
      <c r="R1206" s="19">
        <f t="shared" si="133"/>
        <v>3.8924420466518894E-2</v>
      </c>
      <c r="S1206" s="22">
        <v>4.2129442903413139E-2</v>
      </c>
      <c r="T1206" s="19">
        <f t="shared" si="134"/>
        <v>4.2998069296846353E-2</v>
      </c>
      <c r="U1206" s="24">
        <v>4.3448111962653302E-2</v>
      </c>
      <c r="V1206" s="24">
        <f t="shared" si="135"/>
        <v>4.2967837750483406E-2</v>
      </c>
      <c r="W1206" s="23">
        <f t="shared" si="136"/>
        <v>3.5120081457582497E-3</v>
      </c>
      <c r="X1206" s="24">
        <v>4.3171104099962498E-2</v>
      </c>
      <c r="Y1206" s="24">
        <f t="shared" si="137"/>
        <v>4.2992084121039831E-2</v>
      </c>
      <c r="Z1206" s="23">
        <f t="shared" si="138"/>
        <v>3.5139549908915768E-3</v>
      </c>
      <c r="AA1206" s="36"/>
    </row>
    <row r="1207" spans="15:27" ht="13.9" customHeight="1">
      <c r="O1207" s="12">
        <f t="shared" si="132"/>
        <v>99.5</v>
      </c>
      <c r="P1207" s="13">
        <v>1194</v>
      </c>
      <c r="Q1207" s="22">
        <v>3.8296881939998695E-2</v>
      </c>
      <c r="R1207" s="19">
        <f t="shared" si="133"/>
        <v>3.8924549775245287E-2</v>
      </c>
      <c r="S1207" s="22">
        <v>4.2130170093440444E-2</v>
      </c>
      <c r="T1207" s="19">
        <f t="shared" si="134"/>
        <v>4.2998085322476731E-2</v>
      </c>
      <c r="U1207" s="24">
        <v>4.3447709630423104E-2</v>
      </c>
      <c r="V1207" s="24">
        <f t="shared" si="135"/>
        <v>4.2967914639250759E-2</v>
      </c>
      <c r="W1207" s="23">
        <f t="shared" si="136"/>
        <v>3.5120143253981606E-3</v>
      </c>
      <c r="X1207" s="24">
        <v>4.3170954154126084E-2</v>
      </c>
      <c r="Y1207" s="24">
        <f t="shared" si="137"/>
        <v>4.2992126392248808E-2</v>
      </c>
      <c r="Z1207" s="23">
        <f t="shared" si="138"/>
        <v>3.5139583982022327E-3</v>
      </c>
      <c r="AA1207" s="36"/>
    </row>
    <row r="1208" spans="15:27" ht="13.9" customHeight="1">
      <c r="O1208" s="12">
        <f t="shared" si="132"/>
        <v>99.583333333333329</v>
      </c>
      <c r="P1208" s="13">
        <v>1195</v>
      </c>
      <c r="Q1208" s="22">
        <v>3.8297407026486097E-2</v>
      </c>
      <c r="R1208" s="19">
        <f t="shared" si="133"/>
        <v>3.8924678009704339E-2</v>
      </c>
      <c r="S1208" s="22">
        <v>4.2130896080318836E-2</v>
      </c>
      <c r="T1208" s="19">
        <f t="shared" si="134"/>
        <v>4.2998101214144935E-2</v>
      </c>
      <c r="U1208" s="24">
        <v>4.3447308036078658E-2</v>
      </c>
      <c r="V1208" s="24">
        <f t="shared" si="135"/>
        <v>4.2967991343664691E-2</v>
      </c>
      <c r="W1208" s="23">
        <f t="shared" si="136"/>
        <v>3.5120204904013352E-3</v>
      </c>
      <c r="X1208" s="24">
        <v>4.3170804494645942E-2</v>
      </c>
      <c r="Y1208" s="24">
        <f t="shared" si="137"/>
        <v>4.2992168437309797E-2</v>
      </c>
      <c r="Z1208" s="23">
        <f t="shared" si="138"/>
        <v>3.5139617874695439E-3</v>
      </c>
      <c r="AA1208" s="36"/>
    </row>
    <row r="1209" spans="15:27" ht="13.9" customHeight="1">
      <c r="O1209" s="12">
        <f t="shared" si="132"/>
        <v>99.666666666666671</v>
      </c>
      <c r="P1209" s="13">
        <v>1196</v>
      </c>
      <c r="Q1209" s="22">
        <v>3.8297931342322178E-2</v>
      </c>
      <c r="R1209" s="19">
        <f t="shared" si="133"/>
        <v>3.8924805179918698E-2</v>
      </c>
      <c r="S1209" s="22">
        <v>4.2131620866953101E-2</v>
      </c>
      <c r="T1209" s="19">
        <f t="shared" si="134"/>
        <v>4.2998116973794298E-2</v>
      </c>
      <c r="U1209" s="24">
        <v>4.3446907177614458E-2</v>
      </c>
      <c r="V1209" s="24">
        <f t="shared" si="135"/>
        <v>4.2968067869328497E-2</v>
      </c>
      <c r="W1209" s="23">
        <f t="shared" si="136"/>
        <v>3.5120266406223344E-3</v>
      </c>
      <c r="X1209" s="24">
        <v>4.3170655120614576E-2</v>
      </c>
      <c r="Y1209" s="24">
        <f t="shared" si="137"/>
        <v>4.2992210257682739E-2</v>
      </c>
      <c r="Z1209" s="23">
        <f t="shared" si="138"/>
        <v>3.5139651586044707E-3</v>
      </c>
      <c r="AA1209" s="36"/>
    </row>
    <row r="1210" spans="15:27" ht="13.9" customHeight="1">
      <c r="O1210" s="12">
        <f t="shared" si="132"/>
        <v>99.75</v>
      </c>
      <c r="P1210" s="13">
        <v>1197</v>
      </c>
      <c r="Q1210" s="22">
        <v>3.8298454888549216E-2</v>
      </c>
      <c r="R1210" s="19">
        <f t="shared" si="133"/>
        <v>3.8924931295072351E-2</v>
      </c>
      <c r="S1210" s="22">
        <v>4.2132344456240034E-2</v>
      </c>
      <c r="T1210" s="19">
        <f t="shared" si="134"/>
        <v>4.2998132603444983E-2</v>
      </c>
      <c r="U1210" s="24">
        <v>4.3446507053036321E-2</v>
      </c>
      <c r="V1210" s="24">
        <f t="shared" si="135"/>
        <v>4.2968144204971415E-2</v>
      </c>
      <c r="W1210" s="23">
        <f t="shared" si="136"/>
        <v>3.5120327765107984E-3</v>
      </c>
      <c r="X1210" s="24">
        <v>4.317050603112893E-2</v>
      </c>
      <c r="Y1210" s="24">
        <f t="shared" si="137"/>
        <v>4.2992251854341745E-2</v>
      </c>
      <c r="Z1210" s="23">
        <f t="shared" si="138"/>
        <v>3.5139685117238084E-3</v>
      </c>
      <c r="AA1210" s="36"/>
    </row>
    <row r="1211" spans="15:27" ht="13.9" customHeight="1">
      <c r="O1211" s="12">
        <f t="shared" si="132"/>
        <v>99.833333333333329</v>
      </c>
      <c r="P1211" s="13">
        <v>1198</v>
      </c>
      <c r="Q1211" s="22">
        <v>3.8298977666213707E-2</v>
      </c>
      <c r="R1211" s="19">
        <f t="shared" si="133"/>
        <v>3.8925056363268595E-2</v>
      </c>
      <c r="S1211" s="22">
        <v>4.2133066851068213E-2</v>
      </c>
      <c r="T1211" s="19">
        <f t="shared" si="134"/>
        <v>4.2998148103128297E-2</v>
      </c>
      <c r="U1211" s="24">
        <v>4.3446107660347177E-2</v>
      </c>
      <c r="V1211" s="24">
        <f t="shared" si="135"/>
        <v>4.2968220369210997E-2</v>
      </c>
      <c r="W1211" s="23">
        <f t="shared" si="136"/>
        <v>3.5120388971625616E-3</v>
      </c>
      <c r="X1211" s="24">
        <v>4.3170357225289502E-2</v>
      </c>
      <c r="Y1211" s="24">
        <f t="shared" si="137"/>
        <v>4.2992293230552869E-2</v>
      </c>
      <c r="Z1211" s="23">
        <f t="shared" si="138"/>
        <v>3.5139718469059389E-3</v>
      </c>
      <c r="AA1211" s="36"/>
    </row>
    <row r="1212" spans="15:27" ht="13.9" customHeight="1">
      <c r="O1212" s="12">
        <f t="shared" si="132"/>
        <v>99.916666666666671</v>
      </c>
      <c r="P1212" s="13">
        <v>1199</v>
      </c>
      <c r="Q1212" s="22">
        <v>3.82994996763657E-2</v>
      </c>
      <c r="R1212" s="19">
        <f t="shared" si="133"/>
        <v>3.8925180392584524E-2</v>
      </c>
      <c r="S1212" s="22">
        <v>4.213378805431689E-2</v>
      </c>
      <c r="T1212" s="19">
        <f t="shared" si="134"/>
        <v>4.2998163473070505E-2</v>
      </c>
      <c r="U1212" s="24">
        <v>4.3445708997572385E-2</v>
      </c>
      <c r="V1212" s="24">
        <f t="shared" si="135"/>
        <v>4.2968296339729761E-2</v>
      </c>
      <c r="W1212" s="23">
        <f t="shared" si="136"/>
        <v>3.5120450040708739E-3</v>
      </c>
      <c r="X1212" s="24">
        <v>4.3170208702202784E-2</v>
      </c>
      <c r="Y1212" s="24">
        <f t="shared" si="137"/>
        <v>4.2992334383874953E-2</v>
      </c>
      <c r="Z1212" s="23">
        <f t="shared" si="138"/>
        <v>3.5139751644126527E-3</v>
      </c>
      <c r="AA1212" s="36"/>
    </row>
    <row r="1213" spans="15:27" ht="13.9" customHeight="1">
      <c r="O1213" s="12">
        <f t="shared" si="132"/>
        <v>100</v>
      </c>
      <c r="P1213" s="13">
        <v>1200</v>
      </c>
      <c r="Q1213" s="22">
        <v>3.8300020920058131E-2</v>
      </c>
      <c r="R1213" s="19">
        <f t="shared" si="133"/>
        <v>3.8925303392526533E-2</v>
      </c>
      <c r="S1213" s="22">
        <v>4.2134508068855769E-2</v>
      </c>
      <c r="T1213" s="19">
        <f t="shared" si="134"/>
        <v>4.2998178717075453E-2</v>
      </c>
      <c r="U1213" s="24">
        <v>4.3445311062725311E-2</v>
      </c>
      <c r="V1213" s="24">
        <f t="shared" si="135"/>
        <v>4.2968372131578114E-2</v>
      </c>
      <c r="W1213" s="23">
        <f t="shared" si="136"/>
        <v>3.512051095446056E-3</v>
      </c>
      <c r="X1213" s="24">
        <v>4.3170060460975712E-2</v>
      </c>
      <c r="Y1213" s="24">
        <f t="shared" si="137"/>
        <v>4.2992375317652654E-2</v>
      </c>
      <c r="Z1213" s="23">
        <f t="shared" si="138"/>
        <v>3.5139784640481064E-3</v>
      </c>
      <c r="AA1213" s="36"/>
    </row>
    <row r="1214" spans="15:27" ht="13.9" customHeight="1">
      <c r="O1214" s="12">
        <f t="shared" si="132"/>
        <v>100.08333333333333</v>
      </c>
      <c r="P1214" s="13">
        <v>1201</v>
      </c>
      <c r="Q1214" s="27">
        <v>3.8300541398348376E-2</v>
      </c>
      <c r="R1214" s="20"/>
      <c r="S1214" s="27">
        <v>4.2135226897547895E-2</v>
      </c>
      <c r="T1214" s="20"/>
      <c r="U1214" s="28">
        <v>4.3444913853838196E-2</v>
      </c>
      <c r="V1214" s="28"/>
      <c r="W1214" s="29"/>
      <c r="X1214" s="28">
        <v>4.3169912500721663E-2</v>
      </c>
      <c r="Y1214" s="28"/>
      <c r="Z1214" s="29"/>
      <c r="AA1214" s="36"/>
    </row>
  </sheetData>
  <mergeCells count="68">
    <mergeCell ref="J43:J44"/>
    <mergeCell ref="I31:I38"/>
    <mergeCell ref="D29:J29"/>
    <mergeCell ref="D41:J41"/>
    <mergeCell ref="D43:D44"/>
    <mergeCell ref="E43:E44"/>
    <mergeCell ref="F43:F44"/>
    <mergeCell ref="G43:G44"/>
    <mergeCell ref="H43:H44"/>
    <mergeCell ref="J31:J32"/>
    <mergeCell ref="I43:I50"/>
    <mergeCell ref="D31:D32"/>
    <mergeCell ref="E31:E32"/>
    <mergeCell ref="F31:F32"/>
    <mergeCell ref="G31:G32"/>
    <mergeCell ref="H31:H32"/>
    <mergeCell ref="D51:J52"/>
    <mergeCell ref="D53:J55"/>
    <mergeCell ref="J1:M1"/>
    <mergeCell ref="O1:Z1"/>
    <mergeCell ref="O3:P3"/>
    <mergeCell ref="O4:P4"/>
    <mergeCell ref="O5:P5"/>
    <mergeCell ref="O6:P6"/>
    <mergeCell ref="U3:W3"/>
    <mergeCell ref="U4:W4"/>
    <mergeCell ref="U5:W5"/>
    <mergeCell ref="E6:H6"/>
    <mergeCell ref="K6:M6"/>
    <mergeCell ref="K3:M3"/>
    <mergeCell ref="K4:M4"/>
    <mergeCell ref="K5:M5"/>
    <mergeCell ref="V11:W11"/>
    <mergeCell ref="U6:W6"/>
    <mergeCell ref="U7:W7"/>
    <mergeCell ref="U8:W8"/>
    <mergeCell ref="U9:W9"/>
    <mergeCell ref="U10:W10"/>
    <mergeCell ref="S7:T7"/>
    <mergeCell ref="O8:P8"/>
    <mergeCell ref="O9:P9"/>
    <mergeCell ref="O11:P11"/>
    <mergeCell ref="O10:P10"/>
    <mergeCell ref="D1:H1"/>
    <mergeCell ref="S3:T3"/>
    <mergeCell ref="S4:T4"/>
    <mergeCell ref="S5:T5"/>
    <mergeCell ref="E3:H3"/>
    <mergeCell ref="E4:H4"/>
    <mergeCell ref="E5:H5"/>
    <mergeCell ref="Q3:R3"/>
    <mergeCell ref="Q4:R4"/>
    <mergeCell ref="Q5:R11"/>
    <mergeCell ref="O7:P7"/>
    <mergeCell ref="S6:T6"/>
    <mergeCell ref="S8:T8"/>
    <mergeCell ref="S9:T9"/>
    <mergeCell ref="S11:T11"/>
    <mergeCell ref="S10:T10"/>
    <mergeCell ref="X8:Z8"/>
    <mergeCell ref="X9:Z9"/>
    <mergeCell ref="X10:Z10"/>
    <mergeCell ref="Y11:Z11"/>
    <mergeCell ref="X3:Z3"/>
    <mergeCell ref="X4:Z4"/>
    <mergeCell ref="X5:Z5"/>
    <mergeCell ref="X6:Z6"/>
    <mergeCell ref="X7:Z7"/>
  </mergeCells>
  <phoneticPr fontId="2" type="noConversion"/>
  <pageMargins left="0.25" right="0.25" top="0.75" bottom="0.75" header="0.3" footer="0.3"/>
  <pageSetup paperSize="9" scale="4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원화 무위험 금리기간구조</vt:lpstr>
    </vt:vector>
  </TitlesOfParts>
  <Company>한국금융감독원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FSS_15U590</dc:creator>
  <cp:lastModifiedBy>FSS_NT551XED</cp:lastModifiedBy>
  <cp:lastPrinted>2026-02-04T04:36:09Z</cp:lastPrinted>
  <dcterms:created xsi:type="dcterms:W3CDTF">2021-08-24T04:22:45Z</dcterms:created>
  <dcterms:modified xsi:type="dcterms:W3CDTF">2026-06-01T08:04:40Z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Fasoo_Trace_ID" pid="2">
    <vt:lpwstr>eyAibm9kZUNvdW50IjogNzUsICJub2RlMSIgOiB7ImRzZCI6IjAxMDAwMDAwMDAwMDE3MzkiLCJsb2dUaW1lIjoiMjAyNi0wNS0wNFQwMjoyNTowMVoiLCJwSUQiOjEsInRyYWNlSWQiOiIxNEQxRjczMkVCNTQ0NjY5OTUwNTAzQjgxRjEzM0U1MCIsInVzZXJDb2RlIjoiMjI0MDcyMSJ9LCJub2RlMiIgOiB7ImRzZCI6IjAxMDAwMDAwMDAwMDE3MzkiLCJsb2dUaW1lIjoiMjAyNi0wNS0wNlQwMDozOToyMFoiLCJwSUQiOjEsInRyYWNlSWQiOiJDMDQ3Q0EyMTAyNkQ0QzI0QjlGRDBCRThFNjM5OEI2OSIsInVzZXJDb2RlIjoiMjI0MDcyMSJ9LCJub2RlMyIgOiB7ImRzZCI6IjAxMDAwMDAwMDAwMDE3MzkiLCJsb2dUaW1lIjoiMjAyNi0wNi0wMVQwNTowOTo0MFoiLCJwSUQiOjEsInRyYWNlSWQiOiI1QzUxNTAyNjc1MzY0QTdBOTU2RTdGRTk4NzY5N0E3RSIsInVzZXJDb2RlIjoiMjI0MDcyMSJ9LCJub2RlNCIgOiB7ImRzZCI6IjAxMDAwMDAwMDAwMDE3MzkiLCJsb2dUaW1lIjoiMjAyNi0wNi0wMVQwODowNjoxMVoiLCJwSUQiOjEsInRyYWNlSWQiOiIzQ0FBMTE4NURGNkM0NDgzQTQ4OEMzQ0IzNkQyOERCNCIsInVzZXJDb2RlIjoiMjI0MDcyMSJ9LCJub2RlNSIgOiB7ICJ1c2VyQ29kZSIgOiAiMjI0MDcyMSIsICJ0cmFjZUlkIiA6ICI3NURCOTlBMzFCRkYzREZBQUJDRjIyOEYzMzc0NDM2QiIsICJkc2QiIDogIjAwMDAwMDAwMDAwMDAwMDAiLCAicElEIiA6ICIyMDQ4IiwgImxvZ1RpbWUiIDogIjIwMjYtMDYtMDhUMDA6MDk6MTdaIiB9fQ==</vt:lpwstr>
  </property>
</Properties>
</file>